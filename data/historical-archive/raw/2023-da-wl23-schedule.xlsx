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ld SCHEDU" sheetId="1" r:id="rId4"/>
    <sheet state="hidden" name="Schedule" sheetId="2" r:id="rId5"/>
    <sheet state="visible" name="Draft Sheet" sheetId="3" r:id="rId6"/>
    <sheet state="visible" name="Schedule ListStandings" sheetId="4" r:id="rId7"/>
    <sheet state="visible" name="Game History" sheetId="5" r:id="rId8"/>
    <sheet state="visible" name="Playoffs" sheetId="6" r:id="rId9"/>
    <sheet state="hidden" name="Copy of Halo Reach Stats" sheetId="7" r:id="rId10"/>
  </sheets>
  <definedNames>
    <definedName hidden="1" localSheetId="6" name="_xlnm._FilterDatabase">'Copy of Halo Reach Stats'!$A$1:$AK$47</definedName>
  </definedNames>
  <calcPr/>
</workbook>
</file>

<file path=xl/sharedStrings.xml><?xml version="1.0" encoding="utf-8"?>
<sst xmlns="http://schemas.openxmlformats.org/spreadsheetml/2006/main" count="1664" uniqueCount="850">
  <si>
    <t>ALL TIMES IN EASTERN STANDARD TIME</t>
  </si>
  <si>
    <t>Figure it out on your own</t>
  </si>
  <si>
    <t>Sunday</t>
  </si>
  <si>
    <t>Monday</t>
  </si>
  <si>
    <t>Tuesday</t>
  </si>
  <si>
    <t>Wednesday</t>
  </si>
  <si>
    <t>Thursday</t>
  </si>
  <si>
    <t xml:space="preserve">Friday </t>
  </si>
  <si>
    <t>Saturday</t>
  </si>
  <si>
    <t>Nov 26 - Dec 2</t>
  </si>
  <si>
    <t>8pm Death vs Oreo</t>
  </si>
  <si>
    <r>
      <rPr>
        <rFont val="Arial"/>
        <b/>
        <color rgb="FF000000"/>
      </rPr>
      <t>7pm Holy vs Amnatu</t>
    </r>
    <r>
      <rPr>
        <rFont val="Arial"/>
        <color rgb="FF000000"/>
      </rPr>
      <t xml:space="preserve">           9pm Death vs ASpence        </t>
    </r>
    <r>
      <rPr>
        <rFont val="Arial"/>
        <b/>
        <color rgb="FF000000"/>
      </rPr>
      <t xml:space="preserve"> 9pm Mungo vs Holy</t>
    </r>
  </si>
  <si>
    <r>
      <rPr>
        <rFont val="Arial"/>
        <b/>
        <color rgb="FF000000"/>
      </rPr>
      <t xml:space="preserve">9:30pm Death vs Scullen </t>
    </r>
    <r>
      <rPr>
        <rFont val="Arial"/>
        <color rgb="FF000000"/>
      </rPr>
      <t xml:space="preserve">   9pm ASpence vs Doer         </t>
    </r>
    <r>
      <rPr>
        <rFont val="Arial"/>
        <b/>
        <color rgb="FF000000"/>
      </rPr>
      <t>10pm Novice vs ASpence</t>
    </r>
  </si>
  <si>
    <r>
      <rPr>
        <rFont val="Arial"/>
        <b/>
        <color rgb="FF000000"/>
      </rPr>
      <t>7pm Trespass vs ASpence</t>
    </r>
    <r>
      <rPr>
        <rFont val="Arial"/>
        <color rgb="FF000000"/>
      </rPr>
      <t xml:space="preserve">    8:30pm Novice vs Mungo          </t>
    </r>
    <r>
      <rPr>
        <rFont val="Arial"/>
        <b/>
        <color rgb="FF000000"/>
      </rPr>
      <t>9pm Doer vs Death</t>
    </r>
    <r>
      <rPr>
        <rFont val="Arial"/>
        <color rgb="FF000000"/>
      </rPr>
      <t xml:space="preserve">           10pm Novice vs Doer</t>
    </r>
  </si>
  <si>
    <r>
      <rPr>
        <rFont val="Arial"/>
        <b/>
        <color rgb="FF000000"/>
      </rPr>
      <t xml:space="preserve">8pm Holy vs ASpence </t>
    </r>
    <r>
      <rPr>
        <rFont val="Arial"/>
        <color rgb="FF000000"/>
      </rPr>
      <t xml:space="preserve">            10pm Novice vs Death</t>
    </r>
  </si>
  <si>
    <r>
      <rPr>
        <rFont val="Arial"/>
        <b/>
        <color rgb="FF000000"/>
      </rPr>
      <t xml:space="preserve">7pm Holy vs Trespass </t>
    </r>
    <r>
      <rPr>
        <rFont val="Arial"/>
        <color rgb="FF000000"/>
      </rPr>
      <t xml:space="preserve">            8:30pm Mungo vs ASpence              </t>
    </r>
    <r>
      <rPr>
        <rFont val="Arial"/>
        <b/>
        <color rgb="FF000000"/>
      </rPr>
      <t xml:space="preserve">9:15pm Doer vs Scullen </t>
    </r>
    <r>
      <rPr>
        <rFont val="Arial"/>
        <color rgb="FF000000"/>
      </rPr>
      <t xml:space="preserve">       9:30pm Spank vs Death</t>
    </r>
  </si>
  <si>
    <r>
      <rPr>
        <rFont val="Arial"/>
        <b/>
        <color rgb="FF000000"/>
      </rPr>
      <t xml:space="preserve">7pm Amnatu vs Oreo </t>
    </r>
    <r>
      <rPr>
        <rFont val="Arial"/>
        <color rgb="FF000000"/>
      </rPr>
      <t xml:space="preserve">            9:30pm Doer vs Oreo     </t>
    </r>
    <r>
      <rPr>
        <rFont val="Arial"/>
        <b/>
        <color rgb="FF000000"/>
      </rPr>
      <t>10pm Novice vs Spank</t>
    </r>
    <r>
      <rPr>
        <rFont val="Arial"/>
        <color rgb="FF000000"/>
      </rPr>
      <t xml:space="preserve">       11pm Holy vs Spank</t>
    </r>
  </si>
  <si>
    <t>Oreo vs Scullen</t>
  </si>
  <si>
    <t>Oreo vs Novice</t>
  </si>
  <si>
    <t>Oreo vs Trespass</t>
  </si>
  <si>
    <t>Dec 3 - 9</t>
  </si>
  <si>
    <r>
      <rPr>
        <rFont val="Arial"/>
        <b/>
        <color rgb="FF000000"/>
      </rPr>
      <t xml:space="preserve">7pm Amnatu vs Death  </t>
    </r>
    <r>
      <rPr>
        <rFont val="Arial"/>
        <color rgb="FF000000"/>
      </rPr>
      <t xml:space="preserve">   8pm ASpence vs Oreo      </t>
    </r>
    <r>
      <rPr>
        <rFont val="Arial"/>
        <b/>
        <color rgb="FF000000"/>
      </rPr>
      <t xml:space="preserve">9pm Holy vs Doer              </t>
    </r>
    <r>
      <rPr>
        <rFont val="Arial"/>
        <color rgb="FF000000"/>
      </rPr>
      <t>9pm Spank vs Oreo</t>
    </r>
  </si>
  <si>
    <r>
      <rPr>
        <rFont val="Arial"/>
        <b/>
        <color rgb="FF000000"/>
      </rPr>
      <t>7pm Amnatu vs ASpence</t>
    </r>
    <r>
      <rPr>
        <rFont val="Arial"/>
        <color rgb="FF000000"/>
      </rPr>
      <t xml:space="preserve">    9pm Mungo vs Death</t>
    </r>
  </si>
  <si>
    <r>
      <rPr>
        <rFont val="Arial"/>
        <b/>
        <color rgb="FF000000"/>
      </rPr>
      <t>9pm Scullen vs ASpence</t>
    </r>
    <r>
      <rPr>
        <rFont val="Arial"/>
        <color rgb="FF000000"/>
      </rPr>
      <t xml:space="preserve">        9pm Holy vs Novice       </t>
    </r>
    <r>
      <rPr>
        <rFont val="Arial"/>
        <b/>
        <color rgb="FF000000"/>
      </rPr>
      <t xml:space="preserve"> 10pm Novice vs Scullen</t>
    </r>
  </si>
  <si>
    <r>
      <rPr>
        <rFont val="Arial"/>
        <b/>
        <color rgb="FF000000"/>
      </rPr>
      <t xml:space="preserve">7pm Trespass vs ASpence </t>
    </r>
    <r>
      <rPr>
        <rFont val="Arial"/>
        <color rgb="FF000000"/>
      </rPr>
      <t xml:space="preserve">         9pm Death vs Novice        </t>
    </r>
    <r>
      <rPr>
        <rFont val="Arial"/>
        <b/>
        <color rgb="FF000000"/>
      </rPr>
      <t>9pm Mungo vs Doer</t>
    </r>
  </si>
  <si>
    <r>
      <rPr>
        <rFont val="Arial"/>
        <b/>
        <color rgb="FF000000"/>
      </rPr>
      <t>9pm Amnatu vs Scullen</t>
    </r>
    <r>
      <rPr>
        <rFont val="Arial"/>
        <color rgb="FF000000"/>
      </rPr>
      <t xml:space="preserve">          9:30pm Holy vs Death           </t>
    </r>
    <r>
      <rPr>
        <rFont val="Arial"/>
        <b/>
        <color rgb="FF000000"/>
      </rPr>
      <t xml:space="preserve"> 9pm ASpence vs Novice</t>
    </r>
  </si>
  <si>
    <r>
      <rPr>
        <rFont val="Arial"/>
        <b/>
        <color rgb="FF000000"/>
      </rPr>
      <t xml:space="preserve">7pm Holy vs Trespass </t>
    </r>
    <r>
      <rPr>
        <rFont val="Arial"/>
        <color rgb="FF000000"/>
      </rPr>
      <t xml:space="preserve">            8:30pm ASpence vs Mungo             </t>
    </r>
    <r>
      <rPr>
        <rFont val="Arial"/>
        <b/>
        <color rgb="FF000000"/>
      </rPr>
      <t xml:space="preserve">9:30pm Scullen vs Death </t>
    </r>
    <r>
      <rPr>
        <rFont val="Arial"/>
        <color rgb="FF000000"/>
      </rPr>
      <t xml:space="preserve">           9:30pm Spank vs ASpence          </t>
    </r>
    <r>
      <rPr>
        <rFont val="Arial"/>
        <b/>
        <color rgb="FF000000"/>
      </rPr>
      <t>10:30pm Spank vs Holy</t>
    </r>
  </si>
  <si>
    <r>
      <rPr>
        <rFont val="Arial"/>
        <b/>
        <color rgb="FF000000"/>
      </rPr>
      <t>7:30pm Oreo vs Holy</t>
    </r>
    <r>
      <rPr>
        <rFont val="Arial"/>
        <color rgb="FF000000"/>
      </rPr>
      <t xml:space="preserve">    8:30pm Mungo vs Oreo    </t>
    </r>
    <r>
      <rPr>
        <rFont val="Arial"/>
        <b/>
        <color rgb="FF000000"/>
      </rPr>
      <t xml:space="preserve"> 9:30pm Spank vs Doer</t>
    </r>
  </si>
  <si>
    <t>Scullen vs Trespass</t>
  </si>
  <si>
    <t>Spank vs Trespass</t>
  </si>
  <si>
    <t>Dec 10 - 16</t>
  </si>
  <si>
    <r>
      <rPr>
        <rFont val="Arial"/>
        <b/>
        <color rgb="FF000000"/>
      </rPr>
      <t>7pm Holy vs Amnatu</t>
    </r>
    <r>
      <rPr>
        <rFont val="Arial"/>
        <color rgb="FF000000"/>
      </rPr>
      <t xml:space="preserve">           8pm Oreo vs Death                </t>
    </r>
    <r>
      <rPr>
        <rFont val="Arial"/>
        <b/>
        <color rgb="FF000000"/>
      </rPr>
      <t>9:30pm Oreo vs Doer</t>
    </r>
  </si>
  <si>
    <r>
      <rPr>
        <rFont val="Arial"/>
        <b/>
        <color rgb="FF000000"/>
      </rPr>
      <t>7pm Amnatu vs ASpence</t>
    </r>
    <r>
      <rPr>
        <rFont val="Arial"/>
        <color rgb="FF000000"/>
      </rPr>
      <t xml:space="preserve">            8:30pm Holy vs Mungo              </t>
    </r>
    <r>
      <rPr>
        <rFont val="Arial"/>
        <b/>
        <color rgb="FF000000"/>
      </rPr>
      <t>9pm ASpence vs Death</t>
    </r>
  </si>
  <si>
    <r>
      <rPr>
        <rFont val="Arial"/>
        <b/>
        <color rgb="FF000000"/>
      </rPr>
      <t>9pm Scullen vs Amnatu</t>
    </r>
    <r>
      <rPr>
        <rFont val="Arial"/>
        <color rgb="FF000000"/>
      </rPr>
      <t xml:space="preserve">             10pm ASpence vs Scullen</t>
    </r>
  </si>
  <si>
    <r>
      <rPr>
        <rFont val="Arial"/>
        <b/>
        <color rgb="FF000000"/>
      </rPr>
      <t>7pm Trespass vs Amnatu</t>
    </r>
    <r>
      <rPr>
        <rFont val="Arial"/>
        <color rgb="FF000000"/>
      </rPr>
      <t xml:space="preserve">     8:30pm Mungo vs Amnatu      </t>
    </r>
    <r>
      <rPr>
        <rFont val="Arial"/>
        <b/>
        <color rgb="FF000000"/>
      </rPr>
      <t xml:space="preserve">9pm Death vs Doer   </t>
    </r>
    <r>
      <rPr>
        <rFont val="Arial"/>
        <color rgb="FF000000"/>
      </rPr>
      <t xml:space="preserve">       10pm Doer vs ASpence</t>
    </r>
  </si>
  <si>
    <t>9:30pm Death vs Holy</t>
  </si>
  <si>
    <r>
      <rPr>
        <rFont val="Arial"/>
        <b/>
        <color rgb="FF000000"/>
      </rPr>
      <t>9:15pm Doer vs Scullen</t>
    </r>
    <r>
      <rPr>
        <rFont val="Arial"/>
        <color rgb="FF000000"/>
      </rPr>
      <t xml:space="preserve">         9:30pm Death vs Spank</t>
    </r>
  </si>
  <si>
    <r>
      <rPr>
        <rFont val="Arial"/>
        <b/>
        <color rgb="FF000000"/>
      </rPr>
      <t xml:space="preserve">7:30pm Holy vs Oreo </t>
    </r>
    <r>
      <rPr>
        <rFont val="Arial"/>
        <color rgb="FF000000"/>
      </rPr>
      <t xml:space="preserve">    8:30pm Mungo vs Oreo     </t>
    </r>
    <r>
      <rPr>
        <rFont val="Arial"/>
        <b/>
        <color rgb="FF000000"/>
      </rPr>
      <t xml:space="preserve"> 10pm Doer vs Novice     </t>
    </r>
    <r>
      <rPr>
        <rFont val="Arial"/>
        <color rgb="FF000000"/>
      </rPr>
      <t>10pm Amnatu vs Spank</t>
    </r>
  </si>
  <si>
    <t>Dec 17 - 23</t>
  </si>
  <si>
    <r>
      <rPr>
        <rFont val="Arial"/>
        <b/>
        <color rgb="FF000000"/>
      </rPr>
      <t>7pm Amnatu vs Death</t>
    </r>
    <r>
      <rPr>
        <rFont val="Arial"/>
        <color rgb="FF000000"/>
      </rPr>
      <t xml:space="preserve">      8pm ASpence vs Oreo       </t>
    </r>
    <r>
      <rPr>
        <rFont val="Arial"/>
        <b/>
        <color rgb="FF000000"/>
      </rPr>
      <t xml:space="preserve">9pm Doer vs Holy           </t>
    </r>
    <r>
      <rPr>
        <rFont val="Arial"/>
        <color rgb="FF000000"/>
      </rPr>
      <t>9pm Spank vs Oreo</t>
    </r>
  </si>
  <si>
    <t>9pm Death vs Mungo</t>
  </si>
  <si>
    <r>
      <rPr>
        <rFont val="Arial"/>
        <b/>
        <color rgb="FF000000"/>
      </rPr>
      <t xml:space="preserve">9pm Holy vs Scullen  </t>
    </r>
    <r>
      <rPr>
        <rFont val="Arial"/>
        <color rgb="FF000000"/>
      </rPr>
      <t xml:space="preserve">           10pm Novice vs Scullen</t>
    </r>
  </si>
  <si>
    <r>
      <rPr>
        <rFont val="Arial"/>
        <b/>
        <color rgb="FF000000"/>
      </rPr>
      <t>7pm Trespass vs Death</t>
    </r>
    <r>
      <rPr>
        <rFont val="Arial"/>
        <color rgb="FF000000"/>
      </rPr>
      <t xml:space="preserve">     8:30pm Mungo vs Novice     </t>
    </r>
    <r>
      <rPr>
        <rFont val="Arial"/>
        <b/>
        <color rgb="FF000000"/>
      </rPr>
      <t xml:space="preserve">9:20pm Doer vs Mungo    </t>
    </r>
    <r>
      <rPr>
        <rFont val="Arial"/>
        <color rgb="FF000000"/>
      </rPr>
      <t>9:30pm Novice vs Holy</t>
    </r>
  </si>
  <si>
    <t>8pm Holy vs ASpence</t>
  </si>
  <si>
    <r>
      <rPr>
        <rFont val="Arial"/>
        <b/>
        <color rgb="FF000000"/>
      </rPr>
      <t xml:space="preserve">7pm Amnatu vs Trespass </t>
    </r>
    <r>
      <rPr>
        <rFont val="Arial"/>
        <color rgb="FF000000"/>
      </rPr>
      <t xml:space="preserve">      9pm Mungo vs Scullen   </t>
    </r>
    <r>
      <rPr>
        <rFont val="Arial"/>
        <b/>
        <color rgb="FF000000"/>
      </rPr>
      <t>9:30pm ASpence vs Spank</t>
    </r>
  </si>
  <si>
    <r>
      <rPr>
        <rFont val="Arial"/>
        <b/>
        <color rgb="FF000000"/>
      </rPr>
      <t xml:space="preserve">7pm Amnatu vs Oreo </t>
    </r>
    <r>
      <rPr>
        <rFont val="Arial"/>
        <color rgb="FF000000"/>
      </rPr>
      <t xml:space="preserve">            9:30pm Spank vs Doer</t>
    </r>
  </si>
  <si>
    <t>Dec 24 -30</t>
  </si>
  <si>
    <r>
      <rPr>
        <rFont val="Arial"/>
        <b/>
        <color rgb="FF000000"/>
      </rPr>
      <t xml:space="preserve">7pm Death vs Trespass  </t>
    </r>
    <r>
      <rPr>
        <rFont val="Arial"/>
        <color rgb="FF000000"/>
      </rPr>
      <t xml:space="preserve"> 8:30pm Amnatu vs Mungo           </t>
    </r>
    <r>
      <rPr>
        <rFont val="Arial"/>
        <b/>
        <color rgb="FF000000"/>
      </rPr>
      <t>9pm Doer vs Trespass</t>
    </r>
  </si>
  <si>
    <r>
      <rPr>
        <rFont val="Arial"/>
        <b/>
        <color rgb="FF000000"/>
      </rPr>
      <t xml:space="preserve">9pm Scullen vs Mungo </t>
    </r>
    <r>
      <rPr>
        <rFont val="Arial"/>
        <color rgb="FF000000"/>
      </rPr>
      <t xml:space="preserve">        9:45pm Spank vs Mungo</t>
    </r>
  </si>
  <si>
    <r>
      <rPr>
        <rFont val="Arial"/>
        <b/>
        <color rgb="FF000000"/>
      </rPr>
      <t xml:space="preserve">9pm Doer vs Amnatu  </t>
    </r>
    <r>
      <rPr>
        <rFont val="Arial"/>
        <color rgb="FF000000"/>
      </rPr>
      <t xml:space="preserve">      10pm Spank vs Amnatu</t>
    </r>
  </si>
  <si>
    <t>Dec 31 - Jan 6</t>
  </si>
  <si>
    <r>
      <rPr>
        <rFont val="Arial"/>
        <b/>
        <color rgb="FF000000"/>
      </rPr>
      <t>8:30pm Trespass vs Novice</t>
    </r>
    <r>
      <rPr>
        <rFont val="Arial"/>
        <color rgb="FF000000"/>
      </rPr>
      <t xml:space="preserve">       9:30pm Amnatu vs Novice</t>
    </r>
  </si>
  <si>
    <r>
      <rPr>
        <rFont val="Arial"/>
        <b/>
        <color rgb="FF000000"/>
      </rPr>
      <t>8:30pm Trespass vs Mungo</t>
    </r>
    <r>
      <rPr>
        <rFont val="Arial"/>
        <color rgb="FF000000"/>
      </rPr>
      <t xml:space="preserve">             9:30pm Spank vs Scullen</t>
    </r>
  </si>
  <si>
    <r>
      <rPr>
        <rFont val="Arial"/>
        <b/>
        <color rgb="FF000000"/>
      </rPr>
      <t xml:space="preserve">9pm Amnatu vs Doer </t>
    </r>
    <r>
      <rPr>
        <rFont val="Arial"/>
        <color rgb="FF000000"/>
      </rPr>
      <t xml:space="preserve">        10pm Spank vs Novice</t>
    </r>
  </si>
  <si>
    <t>Jan 7 - 13</t>
  </si>
  <si>
    <t>8:30pm Mungo vs Trespass</t>
  </si>
  <si>
    <t>9pm Holy vs Scullen</t>
  </si>
  <si>
    <r>
      <rPr>
        <rFont val="Arial"/>
        <b/>
        <color rgb="FF000000"/>
      </rPr>
      <t>8:30pm Novice vs Trespass</t>
    </r>
    <r>
      <rPr>
        <rFont val="Arial"/>
        <color rgb="FF000000"/>
      </rPr>
      <t xml:space="preserve">          9:30pm Novice vs Amnatu</t>
    </r>
  </si>
  <si>
    <t>9:30pm Scullen vs Spank</t>
  </si>
  <si>
    <t>Jan 14 - 20</t>
  </si>
  <si>
    <t>9pm  Doer vs Trespass</t>
  </si>
  <si>
    <t>9:30pm Mungo vs Spank</t>
  </si>
  <si>
    <t>Checked off</t>
  </si>
  <si>
    <t>Oreo vs Doer</t>
  </si>
  <si>
    <t>Scullen vs Aspence</t>
  </si>
  <si>
    <t>Death vs ASpence</t>
  </si>
  <si>
    <t>Doer vs Oreo</t>
  </si>
  <si>
    <t>ASpence vs Doer</t>
  </si>
  <si>
    <t>Amnatu vs ASpence</t>
  </si>
  <si>
    <t>Mungo vs ASpence</t>
  </si>
  <si>
    <t>Spank vs Novice</t>
  </si>
  <si>
    <t>Novice vs Spank</t>
  </si>
  <si>
    <t>Trespass vs Amnatu</t>
  </si>
  <si>
    <t>Holy vs Mungo</t>
  </si>
  <si>
    <t>Oreo vs Death</t>
  </si>
  <si>
    <t>Scullen vs Death</t>
  </si>
  <si>
    <t>Death vs Doer</t>
  </si>
  <si>
    <t>Doer vs Scullen</t>
  </si>
  <si>
    <t>ASpence vs Death</t>
  </si>
  <si>
    <t>Amnatu vs Death</t>
  </si>
  <si>
    <t>Mungo vs Doer</t>
  </si>
  <si>
    <t>Spank vs ASpence</t>
  </si>
  <si>
    <t>Novice vs Mungo</t>
  </si>
  <si>
    <t>Trespass vs ASpence</t>
  </si>
  <si>
    <t>Holy vs Trespass</t>
  </si>
  <si>
    <t>Oreo vs Holy</t>
  </si>
  <si>
    <t>Scullen vs Doer</t>
  </si>
  <si>
    <t>Death vs Amnatu</t>
  </si>
  <si>
    <t>Doer vs Death</t>
  </si>
  <si>
    <t>ASpence vs Scullen</t>
  </si>
  <si>
    <t>Amnatu vs Trespass</t>
  </si>
  <si>
    <t>Mungo vs Death</t>
  </si>
  <si>
    <t>Spank vs Doer</t>
  </si>
  <si>
    <t>Novice vs ASpence</t>
  </si>
  <si>
    <t>Trespass vs Death</t>
  </si>
  <si>
    <t>Holy vs Novice</t>
  </si>
  <si>
    <t>Oreo vs ASpence</t>
  </si>
  <si>
    <t>Scullen vs Mungo</t>
  </si>
  <si>
    <t>Death vs Mungo</t>
  </si>
  <si>
    <t>Doer vs ASpence</t>
  </si>
  <si>
    <t>ASpence vs Amnatu</t>
  </si>
  <si>
    <t>Amnatu vs Holy</t>
  </si>
  <si>
    <t>Mungo vs Scullen</t>
  </si>
  <si>
    <t>Spank vs Death</t>
  </si>
  <si>
    <t>Novice vs Doer</t>
  </si>
  <si>
    <t>Trespass vs Holy</t>
  </si>
  <si>
    <t>Oreo vs Amnatu</t>
  </si>
  <si>
    <t>Scullen vs Spank</t>
  </si>
  <si>
    <t>Death vs Spank</t>
  </si>
  <si>
    <t>Doer vs Mungo</t>
  </si>
  <si>
    <t>ASpence vs Mungo</t>
  </si>
  <si>
    <t>Amnatu vs Oreo</t>
  </si>
  <si>
    <t>Mungo vs Novice</t>
  </si>
  <si>
    <t>Spank vs Scullen</t>
  </si>
  <si>
    <t>Novice vs Death</t>
  </si>
  <si>
    <t>Trespass vs Novice</t>
  </si>
  <si>
    <t>Holy vs Amnatu</t>
  </si>
  <si>
    <t>Oreo vs Spank</t>
  </si>
  <si>
    <t>Scullen vs Holy</t>
  </si>
  <si>
    <t>Death vs Novice</t>
  </si>
  <si>
    <t>Doer vs Spank</t>
  </si>
  <si>
    <t>ASpence vs Spank</t>
  </si>
  <si>
    <t>Amnatu vs Scullen</t>
  </si>
  <si>
    <t>Mungo vs Holy</t>
  </si>
  <si>
    <t>Spank vs Holy</t>
  </si>
  <si>
    <t>Novice vs Scullen</t>
  </si>
  <si>
    <t>Trespass vs Doer</t>
  </si>
  <si>
    <t>Holy vs ASpence</t>
  </si>
  <si>
    <t xml:space="preserve">Oreo vs </t>
  </si>
  <si>
    <t>Scullen vs Novice</t>
  </si>
  <si>
    <t>Death vs Tresspass</t>
  </si>
  <si>
    <t>Doer vs Novice</t>
  </si>
  <si>
    <t>ASpence vs Novice</t>
  </si>
  <si>
    <t>Amnatu vs Doer</t>
  </si>
  <si>
    <t>Mungo vs Amnatu</t>
  </si>
  <si>
    <t>Spank vs Oreo</t>
  </si>
  <si>
    <t>Novice vs Holy</t>
  </si>
  <si>
    <t xml:space="preserve">Trespass vs </t>
  </si>
  <si>
    <t>Holy vs Doer</t>
  </si>
  <si>
    <t>Scullen vs Amnatu</t>
  </si>
  <si>
    <t>Death vs Holy</t>
  </si>
  <si>
    <t>Doer vs Holy</t>
  </si>
  <si>
    <t>ASpence vs Trespass</t>
  </si>
  <si>
    <t>Amnatu vs Mungo</t>
  </si>
  <si>
    <t>Mungo vs Spank</t>
  </si>
  <si>
    <t>Spank vs Amnatu</t>
  </si>
  <si>
    <t>Novice vs Trespass</t>
  </si>
  <si>
    <t>Holy vs Death</t>
  </si>
  <si>
    <t>Scullen vs</t>
  </si>
  <si>
    <t>Death vs Scullen</t>
  </si>
  <si>
    <t>Doer vs Amnatu</t>
  </si>
  <si>
    <t>ASpence vs Holy</t>
  </si>
  <si>
    <t>Amnatu vs Novice</t>
  </si>
  <si>
    <t>Mungo vs Trespass</t>
  </si>
  <si>
    <t>Spank vs Mungo</t>
  </si>
  <si>
    <t>Novice vs Amnatu</t>
  </si>
  <si>
    <t>Holy vs Scullen</t>
  </si>
  <si>
    <t>Death vs Oreo</t>
  </si>
  <si>
    <t>Doer vs Trespass</t>
  </si>
  <si>
    <t>ASpence vs Oreo</t>
  </si>
  <si>
    <t>Amnatu vs Spank</t>
  </si>
  <si>
    <t>Mungo vs Oreo</t>
  </si>
  <si>
    <t xml:space="preserve">Spank vs </t>
  </si>
  <si>
    <t xml:space="preserve">Novice vs </t>
  </si>
  <si>
    <t>Holy vs Oreo</t>
  </si>
  <si>
    <t>INFINITE SEASON WL23</t>
  </si>
  <si>
    <t>All Games are Eastern Time (EST)</t>
  </si>
  <si>
    <t xml:space="preserve">Saturday </t>
  </si>
  <si>
    <r>
      <rPr>
        <rFont val="Comfortaa"/>
        <b/>
        <color rgb="FFFF0000"/>
        <sz val="9.0"/>
      </rPr>
      <t xml:space="preserve">7pm Holy vs Amnatu  </t>
    </r>
    <r>
      <rPr>
        <rFont val="Comfortaa"/>
        <b/>
        <color rgb="FF000000"/>
        <sz val="9.0"/>
      </rPr>
      <t xml:space="preserve">            </t>
    </r>
    <r>
      <rPr>
        <rFont val="Comfortaa"/>
        <b/>
        <strike/>
        <color rgb="FF0000FF"/>
        <sz val="9.0"/>
      </rPr>
      <t>10:30pm Death vs Oreo</t>
    </r>
  </si>
  <si>
    <t>9pm Death vs ASpence         9pm Mungo vs Holy</t>
  </si>
  <si>
    <r>
      <rPr>
        <rFont val="Comfortaa"/>
        <b/>
        <color rgb="FF000000"/>
        <sz val="9.0"/>
      </rPr>
      <t xml:space="preserve">9:30pm Death vs Scullen </t>
    </r>
    <r>
      <rPr>
        <rFont val="Comfortaa"/>
        <b/>
        <color rgb="FF000000"/>
        <sz val="9.0"/>
      </rPr>
      <t xml:space="preserve">   9pm ASpence vs Doer         </t>
    </r>
    <r>
      <rPr>
        <rFont val="Comfortaa"/>
        <b/>
        <color rgb="FF000000"/>
        <sz val="9.0"/>
      </rPr>
      <t>10pm Novice vs ASpence</t>
    </r>
  </si>
  <si>
    <t>7pm Trespass vs ASpence    8:30pm Novice vs Mungo          9pm Doer vs Death           10pm Novice vs Doer</t>
  </si>
  <si>
    <r>
      <rPr>
        <rFont val="Comfortaa"/>
        <b/>
        <color rgb="FF000000"/>
        <sz val="9.0"/>
      </rPr>
      <t xml:space="preserve">8pm Holy vs ASpence </t>
    </r>
    <r>
      <rPr>
        <rFont val="Comfortaa"/>
        <b/>
        <color rgb="FF000000"/>
        <sz val="9.0"/>
      </rPr>
      <t xml:space="preserve">            10pm Novice vs Death</t>
    </r>
  </si>
  <si>
    <t>7pm Holy vs Trespass             8:30pm Mungo vs ASpence              9:15pm Doer vs Scullen        9:30pm Spank vs Death</t>
  </si>
  <si>
    <t>7pm Amnatu vs Oreo             9:30pm Doer vs Oreo     10pm Novice vs Spank       11pm Holy vs Spank</t>
  </si>
  <si>
    <r>
      <rPr>
        <rFont val="Lexend"/>
        <color rgb="FF46BDC6"/>
        <sz val="18.0"/>
      </rPr>
      <t xml:space="preserve">Blue = Rescheduled Games           </t>
    </r>
    <r>
      <rPr>
        <rFont val="Lexend"/>
        <color rgb="FFFF0000"/>
        <sz val="18.0"/>
      </rPr>
      <t>Red = Awaiting Reschedule Date</t>
    </r>
  </si>
  <si>
    <t>Dec 3 - Dec 9</t>
  </si>
  <si>
    <t>7pm Amnatu vs Death     8pm ASpence vs Oreo      9pm Holy vs Doer              9pm Spank vs Oreo</t>
  </si>
  <si>
    <t>7pm Amnatu vs ASpence    9pm Mungo vs Death</t>
  </si>
  <si>
    <t>9pm Scullen vs ASpence        9pm Holy vs Novice        10pm Novice vs Scullen</t>
  </si>
  <si>
    <t>7pm Trespass vs ASpence          9pm Death vs Novice        9pm Mungo vs Doer</t>
  </si>
  <si>
    <t>9pm Amnatu vs Scullen          9:30pm Holy vs Death            9pm ASpence vs Novice</t>
  </si>
  <si>
    <t>7pm Holy vs Trespass             8:30pm ASpence vs Mungo             9:30pm Scullen vs Death            9:30pm Spank vs ASpence          10:30pm Spank vs Holy</t>
  </si>
  <si>
    <t>7:30pm Oreo vs Holy    8:30pm Mungo vs Oreo     9:30pm Spank vs Doer</t>
  </si>
  <si>
    <t>Dec 10 - Dec 16</t>
  </si>
  <si>
    <t>7pm Holy vs Amnatu           8pm Oreo vs Death                9:30pm Oreo vs Doer</t>
  </si>
  <si>
    <t>7pm Amnatu vs ASpence            8:30pm Holy vs Mungo              9pm ASpence vs Death</t>
  </si>
  <si>
    <t>9pm Scullen vs Amnatu             10pm ASpence vs Scullen</t>
  </si>
  <si>
    <t>7pm Trespass vs Amnatu     8:30pm Mungo vs Amnatu      9pm Death vs Doer          10pm Doer vs ASpence</t>
  </si>
  <si>
    <t>9:15pm Doer vs Scullen         9:30pm Death vs Spank</t>
  </si>
  <si>
    <t>7:30pm Holy vs Oreo     8:30pm Mungo vs Oreo      10pm Doer vs Novice     10pm Amnatu vs Spank</t>
  </si>
  <si>
    <t>Dec 17 - Dec 23</t>
  </si>
  <si>
    <t>7pm Amnatu vs Death      8pm ASpence vs Oreo       9pm Doer vs Holy           9pm Spank vs Oreo</t>
  </si>
  <si>
    <t>9pm Holy vs Scullen             10pm Novice vs Scullen</t>
  </si>
  <si>
    <t>7pm Trespass vs Death     8:30pm Mungo vs Novice     9:20pm Doer vs Mungo    9:30pm Novice vs Holy</t>
  </si>
  <si>
    <t>7pm Amnatu vs Trespass       9pm Mungo vs Scullen   9:30pm ASpence vs Spank</t>
  </si>
  <si>
    <t>7pm Amnatu vs Oreo             9:30pm Spank vs Doer</t>
  </si>
  <si>
    <t>Dec 24 - Dec 30</t>
  </si>
  <si>
    <t>7pm Death vs Trespass   8:30pm Amnatu vs Mungo           9pm Doer vs Trespass</t>
  </si>
  <si>
    <t>9pm Scullen vs Mungo         9:45pm Spank vs Mungo</t>
  </si>
  <si>
    <t>9pm Doer vs Amnatu        10pm Spank vs Amnatu</t>
  </si>
  <si>
    <t>8:30pm Trespass vs Novice       9:30pm Amnatu vs Novice</t>
  </si>
  <si>
    <t>8:30pm Trespass vs Mungo             9:30pm Spank vs Scullen</t>
  </si>
  <si>
    <t>9pm Amnatu vs Doer         10pm Spank vs Novice</t>
  </si>
  <si>
    <t>TBD:</t>
  </si>
  <si>
    <t>Jan 7 - Jan 13</t>
  </si>
  <si>
    <t>8:30pm Novice vs Trespass          9:30pm Novice vs Amnatu</t>
  </si>
  <si>
    <t>Oreo vs Scullen             Oreo vs Novice                       Oreo vs Trespass            Scullen vs Trespass        Spank vs Trespass</t>
  </si>
  <si>
    <t>Jan 14 - Jan 20</t>
  </si>
  <si>
    <t>Make Up Week</t>
  </si>
  <si>
    <t>Make Up Games:</t>
  </si>
  <si>
    <t>HALO INFINITE WINTER LEAGUE 2023 GRIFBALL SEASON</t>
  </si>
  <si>
    <t>Team Name:</t>
  </si>
  <si>
    <t>THE WINNERS TEAM</t>
  </si>
  <si>
    <t>The Crawller          Death Squad</t>
  </si>
  <si>
    <t>The Grif S.A.G.A.</t>
  </si>
  <si>
    <t>Mystery Heroes</t>
  </si>
  <si>
    <t>Off in the Shower</t>
  </si>
  <si>
    <t>Ram Ranch</t>
  </si>
  <si>
    <t>MenZ's Grossly Large Backpack</t>
  </si>
  <si>
    <t>USURPER SZN</t>
  </si>
  <si>
    <t>Glory 2 God</t>
  </si>
  <si>
    <t>Quit Fuckin Betrayin’ Me</t>
  </si>
  <si>
    <t>Captain:</t>
  </si>
  <si>
    <t>OREOTHECAT</t>
  </si>
  <si>
    <t>Deathcrawller</t>
  </si>
  <si>
    <t>amnatu</t>
  </si>
  <si>
    <t>Holy Morals</t>
  </si>
  <si>
    <t>Trespa5s</t>
  </si>
  <si>
    <t>Doerstopper</t>
  </si>
  <si>
    <t>MuNgO PuNgO</t>
  </si>
  <si>
    <t>Scullen cx</t>
  </si>
  <si>
    <t>SPANKATR0N</t>
  </si>
  <si>
    <t>ASpence501</t>
  </si>
  <si>
    <t>MysticalNovice</t>
  </si>
  <si>
    <t>1st Round:</t>
  </si>
  <si>
    <t>Clydrohsun</t>
  </si>
  <si>
    <t>yLuxe</t>
  </si>
  <si>
    <t xml:space="preserve">Ace B S1lentND1 </t>
  </si>
  <si>
    <t>Memorized</t>
  </si>
  <si>
    <t>Itzreelz</t>
  </si>
  <si>
    <t>DCleak</t>
  </si>
  <si>
    <t>Fanciest Pants</t>
  </si>
  <si>
    <t>Jussshhhyyy</t>
  </si>
  <si>
    <t xml:space="preserve">Scomancer        </t>
  </si>
  <si>
    <t>oh zilly</t>
  </si>
  <si>
    <t xml:space="preserve">Mavbrid        </t>
  </si>
  <si>
    <t>2nd Round:</t>
  </si>
  <si>
    <t>Pd Craig 69</t>
  </si>
  <si>
    <t>CaptainSev004</t>
  </si>
  <si>
    <t>Grunt Padre</t>
  </si>
  <si>
    <t xml:space="preserve">Immørzlx        </t>
  </si>
  <si>
    <t>Mr epic beast</t>
  </si>
  <si>
    <t>Beam1n1</t>
  </si>
  <si>
    <t>tommyywestside</t>
  </si>
  <si>
    <t>Its Rainin MenZ</t>
  </si>
  <si>
    <t>AwareMosquito</t>
  </si>
  <si>
    <t xml:space="preserve">NOPLEX        </t>
  </si>
  <si>
    <t xml:space="preserve">Almighty Tycoon        </t>
  </si>
  <si>
    <t>3rd Round:</t>
  </si>
  <si>
    <t xml:space="preserve">ThePro#1771        </t>
  </si>
  <si>
    <t>TJP37</t>
  </si>
  <si>
    <t xml:space="preserve">ABOVEAVGJ0HN        </t>
  </si>
  <si>
    <t>Priest XYZ</t>
  </si>
  <si>
    <t>GeneralCornBeef</t>
  </si>
  <si>
    <t xml:space="preserve">WeirdPG        </t>
  </si>
  <si>
    <t>KDSkill</t>
  </si>
  <si>
    <t>Ram Osneb</t>
  </si>
  <si>
    <t>ill shrek u</t>
  </si>
  <si>
    <t xml:space="preserve">Ken Khaneki        </t>
  </si>
  <si>
    <t>xXTHEChickenGod</t>
  </si>
  <si>
    <t>Draft Pool</t>
  </si>
  <si>
    <t>Captains</t>
  </si>
  <si>
    <t xml:space="preserve"> </t>
  </si>
  <si>
    <t>Gamertag</t>
  </si>
  <si>
    <t>Discord</t>
  </si>
  <si>
    <t>Region</t>
  </si>
  <si>
    <t>Experience:</t>
  </si>
  <si>
    <t>Schedule:</t>
  </si>
  <si>
    <t>ABOVEAVGJ0HN</t>
  </si>
  <si>
    <t>aboveavgjoseph</t>
  </si>
  <si>
    <t>East North America</t>
  </si>
  <si>
    <t>H3, HR, H4, H5</t>
  </si>
  <si>
    <t>OREOTHECAT#5618</t>
  </si>
  <si>
    <t>Banned Player List</t>
  </si>
  <si>
    <t>Ace B S1lentND1</t>
  </si>
  <si>
    <t>S1lentNdeadly1</t>
  </si>
  <si>
    <t>Central North America</t>
  </si>
  <si>
    <t xml:space="preserve"> H3, HR, H4, H5</t>
  </si>
  <si>
    <t>Immørzlx (718631634416697396)</t>
  </si>
  <si>
    <t>Free Sub Pool</t>
  </si>
  <si>
    <t>Almighty Tycoon</t>
  </si>
  <si>
    <t>bosstycoon_</t>
  </si>
  <si>
    <t>West North America</t>
  </si>
  <si>
    <t xml:space="preserve"> H3, HR, Dash, H4</t>
  </si>
  <si>
    <t>Krisroll (994830238594908250)</t>
  </si>
  <si>
    <t xml:space="preserve">matt419 </t>
  </si>
  <si>
    <t>North Europe</t>
  </si>
  <si>
    <t>ABOVEAVGJ0HN   (314136564668170240)</t>
  </si>
  <si>
    <t>Apostic</t>
  </si>
  <si>
    <t>tresspass</t>
  </si>
  <si>
    <t>Scomancer (872928065372700672)</t>
  </si>
  <si>
    <t>BlueRacerTrain</t>
  </si>
  <si>
    <t>H5</t>
  </si>
  <si>
    <t>Sev004</t>
  </si>
  <si>
    <t xml:space="preserve"> H3, HR, Dash, H4, H5</t>
  </si>
  <si>
    <t>centroyt</t>
  </si>
  <si>
    <t>H3,HR,H4,H5</t>
  </si>
  <si>
    <t>cleak</t>
  </si>
  <si>
    <t xml:space="preserve">H3, H4 </t>
  </si>
  <si>
    <t>spankatron</t>
  </si>
  <si>
    <t>Fancy</t>
  </si>
  <si>
    <t xml:space="preserve">H3 </t>
  </si>
  <si>
    <t>GenericAccountName</t>
  </si>
  <si>
    <t>Australia</t>
  </si>
  <si>
    <t>gruntpadre</t>
  </si>
  <si>
    <t>H3,HR,H4</t>
  </si>
  <si>
    <t>Immørzlx</t>
  </si>
  <si>
    <t>zade</t>
  </si>
  <si>
    <t>H4, H5</t>
  </si>
  <si>
    <t>(R2)Immørzlx</t>
  </si>
  <si>
    <t>MenZ</t>
  </si>
  <si>
    <t>H3, HR, Dash</t>
  </si>
  <si>
    <t>&amp;</t>
  </si>
  <si>
    <t>andy25</t>
  </si>
  <si>
    <t>(R3)krisroll</t>
  </si>
  <si>
    <t>pistanthrophobiaa</t>
  </si>
  <si>
    <t>Ken Khaneki</t>
  </si>
  <si>
    <t>.khanye</t>
  </si>
  <si>
    <t xml:space="preserve">Australia </t>
  </si>
  <si>
    <t>HR, H4, H5</t>
  </si>
  <si>
    <t>(R3)ABOVEAVGJ0HN</t>
  </si>
  <si>
    <t xml:space="preserve">Krisroll </t>
  </si>
  <si>
    <t>Mavbrid</t>
  </si>
  <si>
    <t>grumpymav</t>
  </si>
  <si>
    <t>(R1) Scomancer</t>
  </si>
  <si>
    <t>uhohmya</t>
  </si>
  <si>
    <t>(R3) StarMonster8129</t>
  </si>
  <si>
    <t>NOPLEX</t>
  </si>
  <si>
    <t>NOPLEX#5644</t>
  </si>
  <si>
    <t>zahils</t>
  </si>
  <si>
    <t>HR, Dash, H4</t>
  </si>
  <si>
    <t>(R3) BlueRacerTrain</t>
  </si>
  <si>
    <t>austin.craig88</t>
  </si>
  <si>
    <t>Quit</t>
  </si>
  <si>
    <t>Scomancer</t>
  </si>
  <si>
    <t>Calculated19k</t>
  </si>
  <si>
    <t>priestxyz will</t>
  </si>
  <si>
    <t>StarMonster8129</t>
  </si>
  <si>
    <t>SGTROSS</t>
  </si>
  <si>
    <t>HR</t>
  </si>
  <si>
    <t>take</t>
  </si>
  <si>
    <t xml:space="preserve">THEChickyGod / xXTHEChickenGod </t>
  </si>
  <si>
    <t>thechicken_god</t>
  </si>
  <si>
    <t>H3, HR</t>
  </si>
  <si>
    <t>krisroll's place</t>
  </si>
  <si>
    <t>traded for</t>
  </si>
  <si>
    <t>ThePro#1771</t>
  </si>
  <si>
    <t>prongobbles</t>
  </si>
  <si>
    <t>None</t>
  </si>
  <si>
    <t>shrek incarnate will</t>
  </si>
  <si>
    <t>starmonster's place</t>
  </si>
  <si>
    <t>WeirdPG</t>
  </si>
  <si>
    <t>KDSKill</t>
  </si>
  <si>
    <t>BlueRacerTrain's place</t>
  </si>
  <si>
    <t>Nov 26 | Sun</t>
  </si>
  <si>
    <t>All Times and Dates Are Based On Eastern Standard Time</t>
  </si>
  <si>
    <t>week 2</t>
  </si>
  <si>
    <t>Reschedules</t>
  </si>
  <si>
    <t>Team Standings</t>
  </si>
  <si>
    <t>Wins</t>
  </si>
  <si>
    <t>Loss</t>
  </si>
  <si>
    <t>Games</t>
  </si>
  <si>
    <t>Trespass</t>
  </si>
  <si>
    <t>spank</t>
  </si>
  <si>
    <t>ASpence</t>
  </si>
  <si>
    <t>Dec 9 | Sat</t>
  </si>
  <si>
    <t>8:30pm | Mungo vs Oreo</t>
  </si>
  <si>
    <t>Mystery Heroes (Holy Morals)</t>
  </si>
  <si>
    <t>10:30pm | Death vs Oreo</t>
  </si>
  <si>
    <t>Dec 2 | Sat</t>
  </si>
  <si>
    <t>7pm | Amnatu vs Oreo</t>
  </si>
  <si>
    <t>Nov 27 | Mon</t>
  </si>
  <si>
    <t>9pm | Mungo vs Holy</t>
  </si>
  <si>
    <t>Nov 29 | Wed</t>
  </si>
  <si>
    <t>7pm | Trespass vs ASpence</t>
  </si>
  <si>
    <t>Nov 28 | Tue</t>
  </si>
  <si>
    <t>9:30pm | Death vs Scullen</t>
  </si>
  <si>
    <t>Dec 1 | Fri</t>
  </si>
  <si>
    <t>9:30pm | Spank vs Death</t>
  </si>
  <si>
    <t>9pm | ASpence vs Doerstopper</t>
  </si>
  <si>
    <t>10pm | Novice vs ASpence</t>
  </si>
  <si>
    <t>week 3</t>
  </si>
  <si>
    <t>Glory 2 God (ASpence501)</t>
  </si>
  <si>
    <t>9pm | Doerstopper vs Death</t>
  </si>
  <si>
    <t>Dec 3 | Sun</t>
  </si>
  <si>
    <t>7pm | Amnatu vs Death</t>
  </si>
  <si>
    <t>Nov 30 | Thu</t>
  </si>
  <si>
    <t>8pm | Holy vs ASpence</t>
  </si>
  <si>
    <t>7pm | Holy vs Trespass</t>
  </si>
  <si>
    <t>8:30pm | Novice vs Mungo</t>
  </si>
  <si>
    <t>9:15pm | Doerstopper vs Scullen</t>
  </si>
  <si>
    <t>10pm | Novice vs Spank</t>
  </si>
  <si>
    <t>Dec 10 | Sun</t>
  </si>
  <si>
    <t>8pm | Oreo vs Death</t>
  </si>
  <si>
    <t>8pm | Spank vs Holy</t>
  </si>
  <si>
    <t>Quit Fuckin Betrayin’ Me (MysticalNovice)</t>
  </si>
  <si>
    <t>9:30pm | Doerstopper vs Oreo</t>
  </si>
  <si>
    <t>Dec 4 | Mon</t>
  </si>
  <si>
    <t>7pm | Amnatu vs ASpence</t>
  </si>
  <si>
    <t>Dec 6 | Wed</t>
  </si>
  <si>
    <t>8:30pm | Mungo vs ASpence</t>
  </si>
  <si>
    <t>Dec 5 | Tue</t>
  </si>
  <si>
    <t>9pm | Scullen vs ASpence</t>
  </si>
  <si>
    <t>11pm | Holy vs Spank</t>
  </si>
  <si>
    <t>10pm | Novice vs Doerstopper</t>
  </si>
  <si>
    <t>Dec 11 | Mon</t>
  </si>
  <si>
    <t>9pm | ASpence vs Death</t>
  </si>
  <si>
    <t>The Crawller Death Squad (Deathcrawller)</t>
  </si>
  <si>
    <t>8pm | ASpence vs Oreo</t>
  </si>
  <si>
    <t>8pm | Novice vs Death</t>
  </si>
  <si>
    <t>Dec 7 | Thu</t>
  </si>
  <si>
    <t>9pm | Amnatu vs Scullen</t>
  </si>
  <si>
    <t>Dec 8 | Fri</t>
  </si>
  <si>
    <t>9pm | Mungo vs Death</t>
  </si>
  <si>
    <t>10pm | Novice vs Scullen</t>
  </si>
  <si>
    <t>9pm | Spank vs Oreo</t>
  </si>
  <si>
    <t>Dec 16 | Sat</t>
  </si>
  <si>
    <t>8:30pm | Oreo vs Mungo</t>
  </si>
  <si>
    <t>MenZ's Grossly Large Backpack (Scullen cx)</t>
  </si>
  <si>
    <t>7pm | Holy vs Amnatu</t>
  </si>
  <si>
    <t>9pm | Holy vs Doerstopper</t>
  </si>
  <si>
    <t>Dec 13 | Wed</t>
  </si>
  <si>
    <t>7pm | Trespass vs Amnatu</t>
  </si>
  <si>
    <t>9pm | Mungo vs Doerstopper</t>
  </si>
  <si>
    <t>9:30pm | Spank vs ASpence</t>
  </si>
  <si>
    <t>week 4</t>
  </si>
  <si>
    <t>Friday</t>
  </si>
  <si>
    <t>The Grif S.A.G.A. (Amnatu)</t>
  </si>
  <si>
    <t>7:30pm | Oreo vs Holy</t>
  </si>
  <si>
    <t>9pm | Holy vs Novice</t>
  </si>
  <si>
    <t>Dec 20 | Wed</t>
  </si>
  <si>
    <t>7pm | Trespass vs Death</t>
  </si>
  <si>
    <t>8:30pm | ASpence vs Mungo</t>
  </si>
  <si>
    <t>9:30pm | Scullen vs Death</t>
  </si>
  <si>
    <t>10:30pm | Spank vs Holy</t>
  </si>
  <si>
    <t>Dec 17 | Sun</t>
  </si>
  <si>
    <t>9pm | ASpence vs Novice</t>
  </si>
  <si>
    <t>USURPER SZN (Spank)</t>
  </si>
  <si>
    <t>7pm | Death vs ASpence</t>
  </si>
  <si>
    <t>Dec 12 | Tue</t>
  </si>
  <si>
    <t>9pm | Scullen vs Amnatu</t>
  </si>
  <si>
    <t>9:30pm | Holy vs Death</t>
  </si>
  <si>
    <t>Dec 22 | Fri</t>
  </si>
  <si>
    <t>7pm | Amnatu vs Trespass</t>
  </si>
  <si>
    <t>9:30pm | Spank vs Doerstopper</t>
  </si>
  <si>
    <t>8pm | Oreo vs ASpence</t>
  </si>
  <si>
    <t>Reschedule Thread Opened</t>
  </si>
  <si>
    <t>Ram Ranch (MuNgO PuNgO)</t>
  </si>
  <si>
    <t>9pm | Death vs Novice</t>
  </si>
  <si>
    <t>Dec 27 | Wed</t>
  </si>
  <si>
    <t>7pm | Death vs Trespass</t>
  </si>
  <si>
    <t>8:30pm | Holy vs Mungo</t>
  </si>
  <si>
    <t>10pm | ASpence vs Scullen</t>
  </si>
  <si>
    <t>Dec 15 | Fri</t>
  </si>
  <si>
    <t>9:30pm | Death vs Spank</t>
  </si>
  <si>
    <t>Reschedule Locked in</t>
  </si>
  <si>
    <t>X</t>
  </si>
  <si>
    <t>Off in the Shower (Doerstopper)</t>
  </si>
  <si>
    <t>9:30pm | Oreo  vs Doerstopper</t>
  </si>
  <si>
    <t>8:30 pm | Mungo vs Amnatu</t>
  </si>
  <si>
    <t>9pm | Doerstopper vs Trespass</t>
  </si>
  <si>
    <t>10pm | Amnatu vs Spank</t>
  </si>
  <si>
    <t>week 5</t>
  </si>
  <si>
    <t>AEST is 15 hours ahead of EST</t>
  </si>
  <si>
    <t>7:30pm | Holy vs Oreo</t>
  </si>
  <si>
    <t>Jan 3 | Wed</t>
  </si>
  <si>
    <t>8:30pm | Trespass vs Novice</t>
  </si>
  <si>
    <t>Dec 19 | Tue</t>
  </si>
  <si>
    <t>9pm | Holy vs Scullen</t>
  </si>
  <si>
    <t>10pm | Doerstopper vs Novice</t>
  </si>
  <si>
    <t>THE WINNERS TEAM (OREOTHECAT)</t>
  </si>
  <si>
    <t>Jan 5 | Fri</t>
  </si>
  <si>
    <t>8:30pm | Trespass vs Mungo</t>
  </si>
  <si>
    <t>Dec 18 | Mon</t>
  </si>
  <si>
    <t>9pm | Death vs Mungo</t>
  </si>
  <si>
    <t>9:30pm | ASpence vs Spank</t>
  </si>
  <si>
    <t>week 6</t>
  </si>
  <si>
    <t>Jan 8 | Mon</t>
  </si>
  <si>
    <t>8:30pm | Mungo vs Trespass</t>
  </si>
  <si>
    <t>8:30pm | Mungo vs Novice</t>
  </si>
  <si>
    <t>9pm | Mungo vs Scullen</t>
  </si>
  <si>
    <t>Dec 23 | Sat</t>
  </si>
  <si>
    <t>8pm | Death vs Novice</t>
  </si>
  <si>
    <t>Probably need 10/11 wins to make playoffs</t>
  </si>
  <si>
    <t>9pm | Death vs Doerstopper</t>
  </si>
  <si>
    <t>Dec 14 | Thu</t>
  </si>
  <si>
    <t>9:30pm | Death vs Holy</t>
  </si>
  <si>
    <t>Jan 10 | Wed</t>
  </si>
  <si>
    <t>8:30pm | Novice vs Trespass</t>
  </si>
  <si>
    <t>9:20pm | Doerstopper vs Mungo</t>
  </si>
  <si>
    <t>Dec 29 | Fri</t>
  </si>
  <si>
    <t>9pm | Scullent vs Mungo</t>
  </si>
  <si>
    <t>9:45pm | Spank vs Mungo</t>
  </si>
  <si>
    <t>9:30pm | Novice vs Holy</t>
  </si>
  <si>
    <t>week 7</t>
  </si>
  <si>
    <t>8:30pm | Amnatu vs Mungo</t>
  </si>
  <si>
    <t>Jan 17 | Wed</t>
  </si>
  <si>
    <t>9:30pm | Spank vs Scullen</t>
  </si>
  <si>
    <t>Dec 30 | Sat</t>
  </si>
  <si>
    <t>10pm | Spank vs Amnatu</t>
  </si>
  <si>
    <t>Jan 7 | Sun</t>
  </si>
  <si>
    <t>none</t>
  </si>
  <si>
    <t>Need to be scheduled</t>
  </si>
  <si>
    <t>if oreo FFs</t>
  </si>
  <si>
    <t>9pm | Doerstopper vs Amnatu</t>
  </si>
  <si>
    <t>9pm | Doerstopper vs Holy</t>
  </si>
  <si>
    <t xml:space="preserve">Jan 9 | Tue </t>
  </si>
  <si>
    <t>9:30pm | Amnatu vs Novice</t>
  </si>
  <si>
    <t>9pm | Trespass vs Mungo</t>
  </si>
  <si>
    <t>Jan 13 | Sat</t>
  </si>
  <si>
    <t>9:30pm | Scullent vs Spank</t>
  </si>
  <si>
    <t>Jan 6 | Sat</t>
  </si>
  <si>
    <t>10pm | Spank vs Novice</t>
  </si>
  <si>
    <t>8:30pm | Death vs Mungo</t>
  </si>
  <si>
    <t>death 1 win (10/3)</t>
  </si>
  <si>
    <t>10pm | Doerstopper vs ASpence</t>
  </si>
  <si>
    <t>9pm | Amnatu vs Doerstopper</t>
  </si>
  <si>
    <t>Dec 21 | Thu</t>
  </si>
  <si>
    <t>Jan 19 | Fri</t>
  </si>
  <si>
    <t>9:30pm | Mungo vs Spank</t>
  </si>
  <si>
    <t>Jan 11 | Thu</t>
  </si>
  <si>
    <t>9:30pm | Novice vs Amnatu</t>
  </si>
  <si>
    <t>spank 1 win (4/6)</t>
  </si>
  <si>
    <t>Jan 12 | Fri</t>
  </si>
  <si>
    <t>7pm | Trespass vs Novice</t>
  </si>
  <si>
    <t>7:15pm | Novice vs Trespass</t>
  </si>
  <si>
    <t>8pm | Spank vs Trespass</t>
  </si>
  <si>
    <t>8:30pm | Scullen vs Death</t>
  </si>
  <si>
    <t>9pm | Death vs Trespass</t>
  </si>
  <si>
    <t>9pm | Spank vs Mungo</t>
  </si>
  <si>
    <t>9pm | Amnatu vs Novice</t>
  </si>
  <si>
    <t>9:30 | Novice vs Amnatu</t>
  </si>
  <si>
    <t>9:30pm | Trespass vs Death</t>
  </si>
  <si>
    <t>9:30pm | Scullen vs Spank</t>
  </si>
  <si>
    <t>week 8</t>
  </si>
  <si>
    <t>Jan 14 | Sun</t>
  </si>
  <si>
    <t>8pm | ASpence vs Death</t>
  </si>
  <si>
    <t>Jan 15 | Mon</t>
  </si>
  <si>
    <t>oreo vs novice</t>
  </si>
  <si>
    <t xml:space="preserve">Jan 16 | Tue </t>
  </si>
  <si>
    <t>novice vs oreo</t>
  </si>
  <si>
    <t>Jan 18 | Thu</t>
  </si>
  <si>
    <t>8pm | Novice vs Oreo</t>
  </si>
  <si>
    <t>8:30pm | Oreo vs Novice</t>
  </si>
  <si>
    <t>Jan 20 | Sat</t>
  </si>
  <si>
    <t>Home</t>
  </si>
  <si>
    <t>Away</t>
  </si>
  <si>
    <t>Score</t>
  </si>
  <si>
    <t>Time</t>
  </si>
  <si>
    <t>Waypoint URL</t>
  </si>
  <si>
    <t>VOD</t>
  </si>
  <si>
    <t>Week 1</t>
  </si>
  <si>
    <t>Oreo</t>
  </si>
  <si>
    <t>5-0</t>
  </si>
  <si>
    <t>0:00</t>
  </si>
  <si>
    <t>FF</t>
  </si>
  <si>
    <t>Amnatu</t>
  </si>
  <si>
    <t>5-1</t>
  </si>
  <si>
    <t>05:33</t>
  </si>
  <si>
    <t>https://www.halowaypoint.com/halo-infinite/players/ASpence501/matches/1fde4c2a-7935-4fb0-9706-e226f4d13683</t>
  </si>
  <si>
    <t>1-5</t>
  </si>
  <si>
    <t>17:50</t>
  </si>
  <si>
    <t>https://www.halowaypoint.com/halo-infinite/players/ASpence501/matches/4d98d05b-96e4-4749-9861-e9d4de2e6d0a</t>
  </si>
  <si>
    <t>6:11</t>
  </si>
  <si>
    <t>https://www.halowaypoint.com/halo-infinite/players/ASpence501/matches/e7a64b82-69f5-4f8a-a1be-c9a7a6a69ec7</t>
  </si>
  <si>
    <t>Observer Mode</t>
  </si>
  <si>
    <t>7:45</t>
  </si>
  <si>
    <t>https://www.halowaypoint.com/halo-infinite/players/Deathcrawller/matches/009b6ef9-a399-478f-9af2-9e8a7c456aa5</t>
  </si>
  <si>
    <t>yLuxe POV</t>
  </si>
  <si>
    <t>11:00</t>
  </si>
  <si>
    <r>
      <rPr/>
      <t xml:space="preserve">https://www.halowaypoint.com/halo-infinite/players/Deathcrawller/matches/f4c1db3f-6581-43b5-a302-cf72c0123d84    </t>
    </r>
    <r>
      <rPr>
        <color rgb="FF1155CC"/>
        <u/>
      </rPr>
      <t>https://www.halowaypoint.com/halo-infinite/players/Deathcrawller/matches/5022bc2a-0cfb-46c8-b99a-866a4df7500a</t>
    </r>
  </si>
  <si>
    <t>2-5</t>
  </si>
  <si>
    <t>25:54</t>
  </si>
  <si>
    <t>https://www.halowaypoint.com/halo-infinite/players/ASpence501/matches/e7ff616a-4f36-443d-b27c-d26e72764459</t>
  </si>
  <si>
    <t>5-4</t>
  </si>
  <si>
    <t>18:00</t>
  </si>
  <si>
    <t>https://www.halowaypoint.com/halo-infinite/players/ASpence501/matches/40123278-35e4-4e41-b8fe-9a41210644d0</t>
  </si>
  <si>
    <t>ASpence501 POV</t>
  </si>
  <si>
    <t>8:59</t>
  </si>
  <si>
    <t>https://www.halowaypoint.com/halo-infinite/players/xXTHEChickenGod/matches/9726dc77-9563-4245-9e8f-c7fdc4df3ef5</t>
  </si>
  <si>
    <t>ChickenGod POV</t>
  </si>
  <si>
    <t>6:54</t>
  </si>
  <si>
    <t>https://www.halowaypoint.com/halo-infinite/players/xXTHEChickenGod/matches/3ca8ef11-d06a-4a38-860c-7f110ac275b0</t>
  </si>
  <si>
    <t>0-5</t>
  </si>
  <si>
    <t>9:06</t>
  </si>
  <si>
    <t>https://www.halowaypoint.com/halo-infinite/players/ASpence501/matches/a86ff1e6-a12d-4166-b464-4ff50c32c347</t>
  </si>
  <si>
    <t>30:41</t>
  </si>
  <si>
    <t>https://www.halowaypoint.com/halo-infinite/players/ASpence501/matches/279e0eb8-9d0f-4f2c-98c2-745fe73217ba</t>
  </si>
  <si>
    <t>4-5</t>
  </si>
  <si>
    <t>26:34</t>
  </si>
  <si>
    <t>https://www.halowaypoint.com/halo-infinite/players/Holy%20Morals/matches/2cfebdd1-2a2e-422d-827d-ddd3da55ca4f     https://www.halowaypoint.com/halo-infinite/players/Holy%20Morals/matches/a94047e3-e34a-4ade-9668-d1d031c609bb</t>
  </si>
  <si>
    <t>https://www.halowaypoint.com/halo-infinite/players/ASpence501/matches/3f10b5c7-4af1-47df-8c89-042da9a974de</t>
  </si>
  <si>
    <t>13:38</t>
  </si>
  <si>
    <t>https://www.halowaypoint.com/halo-infinite/players/Scullen%20cx/matches/87d53590-0d1f-4075-b15d-3805e382160e</t>
  </si>
  <si>
    <t>5-3</t>
  </si>
  <si>
    <t>27:54</t>
  </si>
  <si>
    <r>
      <rPr/>
      <t xml:space="preserve">https://www.halowaypoint.com/halo-infinite/players/xXTHEChickenGod/matches/90d0db64-6777-48dd-b418-52101af6906f    </t>
    </r>
    <r>
      <rPr>
        <color rgb="FF1155CC"/>
        <u/>
      </rPr>
      <t>https://www.halowaypoint.com/halo-infinite/players/xXTHEChickenGod/matches/caeee87d-d1ce-4d45-a19c-b86fee08bf5e</t>
    </r>
  </si>
  <si>
    <t>Week 2</t>
  </si>
  <si>
    <t>6:15</t>
  </si>
  <si>
    <t>https://www.halowaypoint.com/halo-infinite/players/Doerstopper/matches/767ce514-6446-4654-87b9-04814af2c5b2</t>
  </si>
  <si>
    <t>15:34</t>
  </si>
  <si>
    <t>https://www.halowaypoint.com/halo-infinite/players/Doerstopper/matches/fc0ed6d8-699b-4033-ae88-6e254e4a4efd</t>
  </si>
  <si>
    <t>17:27</t>
  </si>
  <si>
    <t>https://www.halowaypoint.com/halo-infinite/players/Doerstopper/matches/4a413de5-308a-4dfd-aff2-4e923237b075</t>
  </si>
  <si>
    <t>12:02</t>
  </si>
  <si>
    <t>https://www.halowaypoint.com/halo-infinite/players/Doerstopper/matches/c90e8c17-6de2-4fce-bc9f-6f675a67eca1</t>
  </si>
  <si>
    <t>10:51</t>
  </si>
  <si>
    <t>https://www.halowaypoint.com/halo-infinite/players/ASpence501/matches/9a6e8634-abe0-496e-b2af-3d5bf8909ef6</t>
  </si>
  <si>
    <t>16:15</t>
  </si>
  <si>
    <t>https://www.halowaypoint.com/halo-infinite/players/ASpence501/matches/8dc2f516-c52a-40bc-a8a9-a12dbdce0a3a</t>
  </si>
  <si>
    <t>12:03</t>
  </si>
  <si>
    <t>https://www.halowaypoint.com/halo-infinite/players/xXTHEChickenGod/matches/8b848604-1928-4963-9a2b-9fa7e571f5ab</t>
  </si>
  <si>
    <t>10:55</t>
  </si>
  <si>
    <t>https://www.halowaypoint.com/halo-infinite/players/xXTHEChickenGod/matches/7b9a3d31-7172-4a46-bb8b-b51834b3e004</t>
  </si>
  <si>
    <t>7:27</t>
  </si>
  <si>
    <t>https://www.halowaypoint.com/halo-infinite/players/ASpence501/matches/7f5d9678-94b1-482e-89d7-51ae88370a0c</t>
  </si>
  <si>
    <t>11:32</t>
  </si>
  <si>
    <t>https://www.halowaypoint.com/halo-infinite/players/MuNgO%20PuNgO/matches/534bf9a2-99a1-4785-942c-78ba741ddb5a</t>
  </si>
  <si>
    <t>9:51</t>
  </si>
  <si>
    <t>https://www.halowaypoint.com/halo-infinite/players/MuNgO%20PuNgO/matches/081133d6-47c6-4b87-8de5-02e29d7e4375</t>
  </si>
  <si>
    <t>5-2</t>
  </si>
  <si>
    <t>14:13</t>
  </si>
  <si>
    <t>https://www.halowaypoint.com/halo-infinite/players/Holy%20Morals/matches/708844aa-92c7-4b69-bb94-6ad56554b609</t>
  </si>
  <si>
    <t>28:18</t>
  </si>
  <si>
    <t>https://www.halowaypoint.com/halo-infinite/players/Holy%20Morals/matches/ce751138-e0b1-451d-861a-dbbc9338439c</t>
  </si>
  <si>
    <t>10:11</t>
  </si>
  <si>
    <t>https://www.halowaypoint.com/halo-infinite/players/xXTHEChickenGod/matches/ac2a1449-7459-4935-a54c-7a15a17a001b</t>
  </si>
  <si>
    <t>9:27</t>
  </si>
  <si>
    <t>https://www.halowaypoint.com/halo-infinite/players/xXTHEChickenGod/matches/266240a1-27db-4a86-8b50-a6647f287018</t>
  </si>
  <si>
    <t>11:48</t>
  </si>
  <si>
    <t>https://www.halowaypoint.com/halo-infinite/players/amnatu/matches/89724830-6181-4b06-8799-ba9aed924419</t>
  </si>
  <si>
    <t>`</t>
  </si>
  <si>
    <t>5:05</t>
  </si>
  <si>
    <t>https://www.halowaypoint.com/halo-infinite/players/Holy%20Morals/matches/87a28842-c099-46c5-8530-d6c848b9a6e4</t>
  </si>
  <si>
    <t>16:40</t>
  </si>
  <si>
    <t>https://www.halowaypoint.com/halo-infinite/players/Holy%20Morals/matches/26e74234-b7d9-4af1-a714-bed2f5f42101</t>
  </si>
  <si>
    <t>13:01</t>
  </si>
  <si>
    <t>https://www.halowaypoint.com/halo-infinite/players/Holy%20Morals/matches/29e86ce4-47fc-4185-8fe2-c9ab7f4d43f5</t>
  </si>
  <si>
    <t>6:42</t>
  </si>
  <si>
    <t>https://www.halowaypoint.com/halo-infinite/players/ASpence501/matches/12e1b9b9-6db5-466e-8042-c8549a092c14</t>
  </si>
  <si>
    <t>ASpence POV</t>
  </si>
  <si>
    <t>8:30</t>
  </si>
  <si>
    <t>https://www.halowaypoint.com/halo-infinite/players/Holy%20Morals/matches/a7ebaf06-46f2-439d-8b1d-637c055ba0be</t>
  </si>
  <si>
    <t>7:12</t>
  </si>
  <si>
    <t>https://www.halowaypoint.com/halo-infinite/players/Holy%20Morals/matches/dda0c9da-ff09-40c0-8f00-b84ff38f299b</t>
  </si>
  <si>
    <t>15:59</t>
  </si>
  <si>
    <t>https://www.halowaypoint.com/halo-infinite/players/ASpence501/matches/a083ed36-0c90-4544-8738-f148d73f85c4</t>
  </si>
  <si>
    <t>7:07</t>
  </si>
  <si>
    <t>https://www.halowaypoint.com/halo-infinite/players/ASpence501/matches/d4501f7f-eba4-4bad-9916-6d8a470cb7d9</t>
  </si>
  <si>
    <t>15:24</t>
  </si>
  <si>
    <t>https://www.halowaypoint.com/halo-infinite/players/ASpence501/matches/166c73eb-5d80-469b-899c-e91d7d587283</t>
  </si>
  <si>
    <t>17:09</t>
  </si>
  <si>
    <t>https://www.halowaypoint.com/halo-infinite/players/Trespa5s/matches/4029e554-7b8f-4759-9fda-e93abde5d004</t>
  </si>
  <si>
    <t>16:47</t>
  </si>
  <si>
    <t>https://www.halowaypoint.com/halo-infinite/players/Trespa5s/matches/fae6dd05-e237-4e62-9f16-1c7ff9c7e12b</t>
  </si>
  <si>
    <t>Mungo PuNgO</t>
  </si>
  <si>
    <t>12:10</t>
  </si>
  <si>
    <t>https://www.halowaypoint.com/halo-infinite/players/Holy%20Morals/matches/88d6f5b1-d79a-43a2-b805-72da72e187b4</t>
  </si>
  <si>
    <t>SPANKATRON</t>
  </si>
  <si>
    <t>6:55</t>
  </si>
  <si>
    <t>https://www.halowaypoint.com/halo-infinite/players/Doerstopper/matches/0ccf7cb4-e776-4df0-ba0b-0256c1fdcbf8</t>
  </si>
  <si>
    <t>Mavbrid POV</t>
  </si>
  <si>
    <t>8:49</t>
  </si>
  <si>
    <t>https://www.halowaypoint.com/halo-infinite/players/Doerstopper/matches/8be387c2-fec2-4272-9015-866f1a7c7aa3</t>
  </si>
  <si>
    <t>Week 3</t>
  </si>
  <si>
    <t>5:50</t>
  </si>
  <si>
    <t>https://www.halowaypoint.com/halo-infinite/players/Holy%20Morals/matches/436723b9-ff66-4584-a983-576ea788dd9f</t>
  </si>
  <si>
    <t>28:07</t>
  </si>
  <si>
    <t>https://www.halowaypoint.com/halo-infinite/players/Holy%20Morals/matches/ac9697fc-79b0-4095-98ed-3833a38d4be5</t>
  </si>
  <si>
    <t>19:56</t>
  </si>
  <si>
    <t>https://www.halowaypoint.com/halo-infinite/players/ASpence501/matches/580f66f7-a7cf-4852-9eda-977803ff4a6e</t>
  </si>
  <si>
    <t>23:36</t>
  </si>
  <si>
    <t>https://www.halowaypoint.com/halo-infinite/players/amnatu/matches/01f25a83-8f47-4478-a93a-726e7872d266</t>
  </si>
  <si>
    <t>20:12</t>
  </si>
  <si>
    <t>https://www.halowaypoint.com/halo-infinite/players/amnatu/matches/040e0ffb-7208-4941-a589-15d77f750c78</t>
  </si>
  <si>
    <t>19:49</t>
  </si>
  <si>
    <t>https://www.halowaypoint.com/halo-infinite/players/amnatu/matches/ee4e8e1f-4979-424c-9ef9-9836f17f64cf</t>
  </si>
  <si>
    <t>17:10</t>
  </si>
  <si>
    <t>https://www.halowaypoint.com/halo-infinite/players/amnatu/matches/ebbb1e6a-83e0-4336-aa9d-bf3b610abbaa</t>
  </si>
  <si>
    <t>17:58</t>
  </si>
  <si>
    <t>https://www.halowaypoint.com/halo-infinite/players/amnatu/matches/f601997c-217d-463b-b680-303b4e3cb758</t>
  </si>
  <si>
    <t>12:32</t>
  </si>
  <si>
    <t>https://www.halowaypoint.com/halo-infinite/players/xXTHEChickenGod/matches/e850ee4f-a3ae-48c4-84ae-63fda0ad54b7</t>
  </si>
  <si>
    <t>16:01</t>
  </si>
  <si>
    <t>343 Deleted History</t>
  </si>
  <si>
    <t>25:53</t>
  </si>
  <si>
    <t>https://www.halowaypoint.com/halo-infinite/players/Deathcrawller/matches/1d8781d1-82dc-4f29-b751-491bd11b36de</t>
  </si>
  <si>
    <t>12:09</t>
  </si>
  <si>
    <t>https://www.halowaypoint.com/halo-infinite/players/amnatu/matches/44f2be51-2d7e-4af7-9712-6387ba86806f</t>
  </si>
  <si>
    <t>16:03</t>
  </si>
  <si>
    <t>https://www.halowaypoint.com/halo-infinite/players/amnatu/matches/c6382b7e-60d4-45d5-bc85-44c8800fb72c</t>
  </si>
  <si>
    <t>Week 4</t>
  </si>
  <si>
    <t>3-5</t>
  </si>
  <si>
    <t>14:24</t>
  </si>
  <si>
    <t>https://www.halowaypoint.com/halo-infinite/players/ASpence501/matches/78f99be5-814a-4f11-8d45-91fce9bb5a45</t>
  </si>
  <si>
    <t>10:36</t>
  </si>
  <si>
    <t>https://www.halowaypoint.com/halo-infinite/players/Jussshhhyyy/matches/f4136a9d-d1a1-4358-bd8c-cb54814224bf</t>
  </si>
  <si>
    <t>12:37</t>
  </si>
  <si>
    <t>https://www.halowaypoint.com/halo-infinite/players/ASpence501/matches/d9502468-c134-4f49-ae6c-7bd3be12a3d1</t>
  </si>
  <si>
    <t>25:02</t>
  </si>
  <si>
    <t>https://www.halowaypoint.com/halo-infinite/players/ASpence501/matches/f71d4247-efc9-4e97-92f9-358ad408e79c</t>
  </si>
  <si>
    <t>https://www.halowaypoint.com/halo-infinite/players/Jussshhhyyy/matches/c0f8f7d8-2abb-4605-a4b8-13762f5a7dfe</t>
  </si>
  <si>
    <t>13:33</t>
  </si>
  <si>
    <t>https://www.halowaypoint.com/halo-infinite/players/amnatu/matches/a7fc3475-f4a1-40b8-aa20-aa5b7d862297</t>
  </si>
  <si>
    <t>W5</t>
  </si>
  <si>
    <t>avg</t>
  </si>
  <si>
    <t>18:20</t>
  </si>
  <si>
    <t>https://www.halowaypoint.com/halo-infinite/players/Scullen%20cx/matches/cdaf3190-1a9d-4c6e-9b1d-5df41dd63ff1</t>
  </si>
  <si>
    <t>Week 6</t>
  </si>
  <si>
    <t>0:0</t>
  </si>
  <si>
    <t>14:48</t>
  </si>
  <si>
    <t>https://www.halowaypoint.com/halo-infinite/players/Deathcrawller/matches/f33eb8af-db92-4957-af4d-bd44c3d46ee1</t>
  </si>
  <si>
    <t xml:space="preserve">SPANKATRON </t>
  </si>
  <si>
    <t>9:04</t>
  </si>
  <si>
    <t>https://www.halowaypoint.com/halo-infinite/players/Scullen%20cx/matches/01339d75-5bf3-46f1-b2bc-30dd23506e51</t>
  </si>
  <si>
    <t>24:35</t>
  </si>
  <si>
    <t>https://www.halowaypoint.com/halo-infinite/players/Scullen%20cx/matches/fb591d1a-96c2-4d78-a6e1-10e6ccedd17f</t>
  </si>
  <si>
    <t>10:16</t>
  </si>
  <si>
    <t>https://www.halowaypoint.com/halo-infinite/players/Scullen%20cx/matches/007efc97-2ef7-4192-b6fa-ecb058090fd4</t>
  </si>
  <si>
    <t>16:07</t>
  </si>
  <si>
    <t>https://www.halowaypoint.com/halo-infinite/players/Scullen%20cx/matches/b538b6b9-3599-40bf-a3bc-6ecc72bb777a</t>
  </si>
  <si>
    <t>6:52</t>
  </si>
  <si>
    <t>https://www.halowaypoint.com/halo-infinite/players/Scullen%20cx/matches/e0f631c5-a12a-4e27-a7a6-7d28bc7e06e7</t>
  </si>
  <si>
    <t>21:25</t>
  </si>
  <si>
    <t>https://www.halowaypoint.com/halo-infinite/players/Jussshhhyyy/matches/266dcf5c-f48d-4ad2-b76c-445e8945e367</t>
  </si>
  <si>
    <t>22:50</t>
  </si>
  <si>
    <t>https://www.halowaypoint.com/halo-infinite/players/ASpence501/matches/ce5941d3-a709-485f-8c80-217e70bd4fdc</t>
  </si>
  <si>
    <t>25:13</t>
  </si>
  <si>
    <t>https://www.halowaypoint.com/halo-infinite/players/Jussshhhyyy/matches/a2b5fb4b-b8f9-4c5e-a2c8-6634e68cd233</t>
  </si>
  <si>
    <t>Week 7</t>
  </si>
  <si>
    <t>5:11</t>
  </si>
  <si>
    <t>https://www.halowaypoint.com/halo-infinite/players/MuNgO%20PuNgO/matches/971942fe-3091-4fb6-a2b7-0399ef1d5b6e</t>
  </si>
  <si>
    <t>7:28</t>
  </si>
  <si>
    <t>https://www.halowaypoint.com/halo-infinite/players/MuNgO%20PuNgO/matches/1bb387e9-7466-4410-87b3-40d2462e09a9</t>
  </si>
  <si>
    <t>7:20</t>
  </si>
  <si>
    <t>16:36</t>
  </si>
  <si>
    <t>11:45</t>
  </si>
  <si>
    <t>16:37</t>
  </si>
  <si>
    <t>17:03</t>
  </si>
  <si>
    <t>8:20</t>
  </si>
  <si>
    <t>8:15</t>
  </si>
  <si>
    <t>10:30</t>
  </si>
  <si>
    <t>24:01</t>
  </si>
  <si>
    <t>15:44</t>
  </si>
  <si>
    <t>Auto Updates</t>
  </si>
  <si>
    <t>S1/2</t>
  </si>
  <si>
    <t>vs</t>
  </si>
  <si>
    <t>40-80 min</t>
  </si>
  <si>
    <t>seed 4</t>
  </si>
  <si>
    <t>seed 3</t>
  </si>
  <si>
    <t>S8</t>
  </si>
  <si>
    <t>winner</t>
  </si>
  <si>
    <t>seed 5</t>
  </si>
  <si>
    <t>seed 6</t>
  </si>
  <si>
    <t>@</t>
  </si>
  <si>
    <t>8pm est</t>
  </si>
  <si>
    <t>5pm est</t>
  </si>
  <si>
    <t>100-200 min</t>
  </si>
  <si>
    <t>90-120 min</t>
  </si>
  <si>
    <t>S4</t>
  </si>
  <si>
    <t>seed 1/2</t>
  </si>
  <si>
    <t>seed 8</t>
  </si>
  <si>
    <t>seed 7</t>
  </si>
  <si>
    <t>60-120 min</t>
  </si>
  <si>
    <t>9pm est</t>
  </si>
  <si>
    <t>S5</t>
  </si>
  <si>
    <t>90-150 min</t>
  </si>
  <si>
    <t>Season winner</t>
  </si>
  <si>
    <t>w.S1/8</t>
  </si>
  <si>
    <t>w.Top</t>
  </si>
  <si>
    <t>S3</t>
  </si>
  <si>
    <t>w.S4/5</t>
  </si>
  <si>
    <t>w.Bot</t>
  </si>
  <si>
    <t>S6</t>
  </si>
  <si>
    <t>w.S3/6</t>
  </si>
  <si>
    <t>Avg Match Time</t>
  </si>
  <si>
    <t>w.S1/7</t>
  </si>
  <si>
    <t>15 mins</t>
  </si>
  <si>
    <t>Min Match time</t>
  </si>
  <si>
    <t>S7</t>
  </si>
  <si>
    <t>5 mins</t>
  </si>
  <si>
    <t>Max Match time</t>
  </si>
  <si>
    <t>31 mins</t>
  </si>
  <si>
    <t>Roster</t>
  </si>
  <si>
    <t>Captain</t>
  </si>
  <si>
    <t>DeathCrawller</t>
  </si>
  <si>
    <t>R1</t>
  </si>
  <si>
    <t>Zahils</t>
  </si>
  <si>
    <t>sub</t>
  </si>
  <si>
    <t>R2</t>
  </si>
  <si>
    <t>R3</t>
  </si>
  <si>
    <t>SUB</t>
  </si>
  <si>
    <t>TommyWstSide</t>
  </si>
  <si>
    <t>SUB ALT</t>
  </si>
  <si>
    <t>Seed 1</t>
  </si>
  <si>
    <t>Seed 2</t>
  </si>
  <si>
    <t>Seed 3</t>
  </si>
  <si>
    <t>Seed 4</t>
  </si>
  <si>
    <t>Seed 5</t>
  </si>
  <si>
    <t>Seed 6</t>
  </si>
  <si>
    <t>Seed 7</t>
  </si>
  <si>
    <t>Seed 8</t>
  </si>
  <si>
    <t>Player</t>
  </si>
  <si>
    <t>Games Played</t>
  </si>
  <si>
    <t>Losses</t>
  </si>
  <si>
    <t>Kills</t>
  </si>
  <si>
    <t>Deaths</t>
  </si>
  <si>
    <t>Spread</t>
  </si>
  <si>
    <t>Assists</t>
  </si>
  <si>
    <t>Streak</t>
  </si>
  <si>
    <t>Betrayals</t>
  </si>
  <si>
    <t>Time Alive</t>
  </si>
  <si>
    <t>Game Time</t>
  </si>
  <si>
    <t>Average Life</t>
  </si>
  <si>
    <t>Carry Time</t>
  </si>
  <si>
    <t>Bomb Stops</t>
  </si>
  <si>
    <t>Killing Sprees</t>
  </si>
  <si>
    <t>Killing Frenzies</t>
  </si>
  <si>
    <t>Running Riots</t>
  </si>
  <si>
    <t>Rampages</t>
  </si>
  <si>
    <t>Hammer Sprees</t>
  </si>
  <si>
    <t>Sword Sprees</t>
  </si>
  <si>
    <t>Double Kills</t>
  </si>
  <si>
    <t>Triple Kills</t>
  </si>
  <si>
    <t>Overkills</t>
  </si>
  <si>
    <t>Killtaculars</t>
  </si>
  <si>
    <t>Killtrocities</t>
  </si>
  <si>
    <t>Killamanjaros</t>
  </si>
  <si>
    <t>Killtastrophe</t>
  </si>
  <si>
    <t>Killpocalypses</t>
  </si>
  <si>
    <t>Killionaire</t>
  </si>
  <si>
    <t>Exterms</t>
  </si>
  <si>
    <t>Bulltrues</t>
  </si>
  <si>
    <t>Assassinations</t>
  </si>
  <si>
    <t>Avengers</t>
  </si>
  <si>
    <t>Revenges</t>
  </si>
  <si>
    <t>First Strike</t>
  </si>
  <si>
    <t>Team ID</t>
  </si>
  <si>
    <t>ACE B S1lentND1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</si>
</sst>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/d"/>
  </numFmts>
  <fonts count="84">
    <font>
      <sz val="10.0"/>
      <color rgb="FF000000"/>
      <name val="Arial"/>
      <scheme val="minor"/>
    </font>
    <font>
      <color theme="1"/>
      <name val="Arial"/>
      <scheme val="minor"/>
    </font>
    <font>
      <sz val="25.0"/>
      <color theme="1"/>
      <name val="Arial"/>
      <scheme val="minor"/>
    </font>
    <font>
      <sz val="20.0"/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000000"/>
      <name val="Arial"/>
    </font>
    <font>
      <b/>
      <color theme="1"/>
      <name val="Arial"/>
      <scheme val="minor"/>
    </font>
    <font>
      <b/>
      <color rgb="FF000000"/>
      <name val="Arial"/>
    </font>
    <font>
      <color rgb="FFFF0000"/>
      <name val="Arial"/>
      <scheme val="minor"/>
    </font>
    <font>
      <b/>
      <sz val="25.0"/>
      <color rgb="FFFF0000"/>
      <name val="Arial"/>
      <scheme val="minor"/>
    </font>
    <font>
      <sz val="15.0"/>
      <color rgb="FFFF0000"/>
      <name val="Arial"/>
      <scheme val="minor"/>
    </font>
    <font>
      <sz val="12.0"/>
      <color theme="1"/>
      <name val="Lexend"/>
    </font>
    <font>
      <b/>
      <sz val="9.0"/>
      <color rgb="FF000000"/>
      <name val="Comfortaa"/>
    </font>
    <font>
      <sz val="18.0"/>
      <color rgb="FF46BDC6"/>
      <name val="Lexend"/>
    </font>
    <font>
      <b/>
      <sz val="10.0"/>
      <color rgb="FF000000"/>
      <name val="Comfortaa"/>
    </font>
    <font>
      <b/>
      <sz val="39.0"/>
      <color rgb="FFFFFFFF"/>
      <name val="Comfortaa"/>
    </font>
    <font>
      <b/>
      <sz val="10.0"/>
      <color rgb="FFFF0000"/>
      <name val="Comfortaa"/>
    </font>
    <font>
      <b/>
      <sz val="12.0"/>
      <color theme="1"/>
      <name val="Lexend"/>
    </font>
    <font>
      <sz val="8.0"/>
      <color rgb="FFFFFFFF"/>
      <name val="Arial"/>
      <scheme val="minor"/>
    </font>
    <font>
      <sz val="36.0"/>
      <color theme="1"/>
      <name val="EB Garamond"/>
    </font>
    <font/>
    <font>
      <b/>
      <sz val="24.0"/>
      <color theme="1"/>
      <name val="Calibri"/>
    </font>
    <font>
      <sz val="14.0"/>
      <color theme="1"/>
      <name val="Oswald"/>
    </font>
    <font>
      <sz val="11.0"/>
      <color theme="1"/>
      <name val="Oswald"/>
    </font>
    <font>
      <b/>
      <color theme="1"/>
      <name val="Georgia"/>
    </font>
    <font>
      <sz val="12.0"/>
      <color theme="1"/>
      <name val="Oswald"/>
    </font>
    <font>
      <b/>
      <sz val="11.0"/>
      <color theme="1"/>
      <name val="Merriweather"/>
    </font>
    <font>
      <sz val="11.0"/>
      <color theme="1"/>
      <name val="Merriweather"/>
    </font>
    <font>
      <strike/>
      <sz val="11.0"/>
      <color theme="1"/>
      <name val="Merriweather"/>
    </font>
    <font>
      <strike/>
      <sz val="10.0"/>
      <color theme="1"/>
      <name val="Merriweather"/>
    </font>
    <font>
      <sz val="10.0"/>
      <color theme="1"/>
      <name val="Merriweather"/>
    </font>
    <font>
      <sz val="10.0"/>
      <color rgb="FFFF9900"/>
      <name val="Merriweather"/>
    </font>
    <font>
      <sz val="10.0"/>
      <color rgb="FF980000"/>
      <name val="Merriweather"/>
    </font>
    <font>
      <color theme="1"/>
      <name val="Calibri"/>
    </font>
    <font>
      <b/>
      <sz val="13.0"/>
      <color theme="1"/>
      <name val="Comfortaa"/>
    </font>
    <font>
      <strike/>
      <sz val="11.0"/>
      <color theme="1"/>
      <name val="Calibri"/>
    </font>
    <font>
      <strike/>
      <sz val="9.0"/>
      <color theme="1"/>
      <name val="Calibri"/>
    </font>
    <font>
      <b/>
      <sz val="20.0"/>
      <color theme="1"/>
      <name val="Calibri"/>
    </font>
    <font>
      <sz val="10.0"/>
      <color theme="1"/>
      <name val="Lora"/>
    </font>
    <font>
      <b/>
      <color theme="1"/>
      <name val="Comfortaa"/>
    </font>
    <font>
      <strike/>
      <sz val="11.0"/>
      <color rgb="FF202124"/>
      <name val="Calibri"/>
    </font>
    <font>
      <b/>
      <sz val="12.0"/>
      <color theme="1"/>
      <name val="Calibri"/>
    </font>
    <font>
      <b/>
      <sz val="12.0"/>
      <color rgb="FF000000"/>
      <name val="Docs-Calibri"/>
    </font>
    <font>
      <b/>
      <sz val="12.0"/>
      <color rgb="FF000000"/>
      <name val="Calibri"/>
    </font>
    <font>
      <strike/>
      <color theme="1"/>
      <name val="Arial"/>
      <scheme val="minor"/>
    </font>
    <font>
      <sz val="11.0"/>
      <color theme="1"/>
      <name val="Calibri"/>
    </font>
    <font>
      <sz val="9.0"/>
      <color theme="1"/>
      <name val="Calibri"/>
    </font>
    <font>
      <b/>
      <strike/>
      <color rgb="FF000000"/>
      <name val="Arial"/>
    </font>
    <font>
      <b/>
      <sz val="22.0"/>
      <color rgb="FFE6B8AF"/>
      <name val="Arial"/>
      <scheme val="minor"/>
    </font>
    <font>
      <b/>
      <sz val="15.0"/>
      <color theme="1"/>
      <name val="Arial"/>
      <scheme val="minor"/>
    </font>
    <font>
      <b/>
      <color rgb="FFFF0000"/>
      <name val="Arial"/>
      <scheme val="minor"/>
    </font>
    <font>
      <b/>
      <strike/>
      <color theme="1"/>
      <name val="Arial"/>
    </font>
    <font>
      <color rgb="FF000000"/>
      <name val="Arial"/>
      <scheme val="minor"/>
    </font>
    <font>
      <b/>
      <strike/>
      <color rgb="FF000000"/>
      <name val="Arial"/>
      <scheme val="minor"/>
    </font>
    <font>
      <b/>
      <strike/>
      <color rgb="FFFF0000"/>
      <name val="Arial"/>
      <scheme val="minor"/>
    </font>
    <font>
      <b/>
      <color rgb="FF000000"/>
      <name val="Arial"/>
      <scheme val="minor"/>
    </font>
    <font>
      <b/>
      <color rgb="FFFF9900"/>
      <name val="Arial"/>
      <scheme val="minor"/>
    </font>
    <font>
      <b/>
      <strike/>
      <color theme="1"/>
      <name val="Arial"/>
      <scheme val="minor"/>
    </font>
    <font>
      <b/>
      <sz val="14.0"/>
      <color rgb="FFFF0000"/>
      <name val="Arial"/>
      <scheme val="minor"/>
    </font>
    <font>
      <i/>
      <color theme="1"/>
      <name val="Arial"/>
      <scheme val="minor"/>
    </font>
    <font>
      <i/>
      <strike/>
      <color theme="1"/>
      <name val="Arial"/>
      <scheme val="minor"/>
    </font>
    <font>
      <b/>
      <strike/>
      <color rgb="FF4A86E8"/>
      <name val="Arial"/>
      <scheme val="minor"/>
    </font>
    <font>
      <sz val="20.0"/>
      <color rgb="FFFF0000"/>
      <name val="Arial"/>
      <scheme val="minor"/>
    </font>
    <font>
      <b/>
      <sz val="12.0"/>
      <color theme="1"/>
      <name val="Arial"/>
      <scheme val="minor"/>
    </font>
    <font>
      <b/>
      <sz val="12.0"/>
      <color rgb="FFFF0000"/>
      <name val="Arial"/>
      <scheme val="minor"/>
    </font>
    <font>
      <u/>
      <color rgb="FFFF0000"/>
      <name val="Arial"/>
      <scheme val="minor"/>
    </font>
    <font>
      <u/>
      <color rgb="FFFF0000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0000FF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2.0"/>
      <color rgb="FFFF0000"/>
      <name val="Arial"/>
      <scheme val="minor"/>
    </font>
    <font>
      <u/>
      <color rgb="FFFF0000"/>
      <name val="Arial"/>
      <scheme val="minor"/>
    </font>
    <font>
      <u/>
      <color rgb="FFFF0000"/>
      <name val="Arial"/>
      <scheme val="minor"/>
    </font>
    <font>
      <u/>
      <color rgb="FF0000FF"/>
    </font>
    <font>
      <sz val="9.0"/>
      <color theme="1"/>
      <name val="Arial"/>
      <scheme val="minor"/>
    </font>
    <font>
      <i/>
      <color rgb="FF0000FF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theme="9"/>
        <bgColor theme="9"/>
      </patternFill>
    </fill>
    <fill>
      <patternFill patternType="solid">
        <fgColor rgb="FF46BDC6"/>
        <bgColor rgb="FF46BDC6"/>
      </patternFill>
    </fill>
    <fill>
      <patternFill patternType="solid">
        <fgColor theme="5"/>
        <bgColor theme="5"/>
      </patternFill>
    </fill>
    <fill>
      <patternFill patternType="solid">
        <fgColor rgb="FF8E7CC3"/>
        <bgColor rgb="FF8E7CC3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B7E1CD"/>
        <bgColor rgb="FFB7E1CD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theme="1"/>
        <bgColor theme="1"/>
      </patternFill>
    </fill>
    <fill>
      <patternFill patternType="solid">
        <fgColor rgb="FFFF9900"/>
        <bgColor rgb="FFFF9900"/>
      </patternFill>
    </fill>
    <fill>
      <patternFill patternType="solid">
        <fgColor rgb="FFBDBDBD"/>
        <bgColor rgb="FFBDBDBD"/>
      </patternFill>
    </fill>
  </fills>
  <borders count="57">
    <border/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 vertical="center"/>
    </xf>
    <xf borderId="0" fillId="2" fontId="4" numFmtId="0" xfId="0" applyAlignment="1" applyFont="1">
      <alignment vertical="bottom"/>
    </xf>
    <xf borderId="0" fillId="5" fontId="5" numFmtId="0" xfId="0" applyAlignment="1" applyFill="1" applyFont="1">
      <alignment horizontal="center" vertical="bottom"/>
    </xf>
    <xf borderId="0" fillId="6" fontId="4" numFmtId="0" xfId="0" applyAlignment="1" applyFill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7" fontId="7" numFmtId="0" xfId="0" applyAlignment="1" applyFill="1" applyFont="1">
      <alignment horizontal="center" readingOrder="0" shrinkToFit="0" vertical="center" wrapText="1"/>
    </xf>
    <xf borderId="0" fillId="7" fontId="1" numFmtId="0" xfId="0" applyFont="1"/>
    <xf borderId="0" fillId="2" fontId="6" numFmtId="0" xfId="0" applyAlignment="1" applyFont="1">
      <alignment horizontal="center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2" fontId="1" numFmtId="20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8" fontId="7" numFmtId="0" xfId="0" applyAlignment="1" applyFill="1" applyFont="1">
      <alignment readingOrder="0"/>
    </xf>
    <xf borderId="0" fillId="9" fontId="8" numFmtId="0" xfId="0" applyAlignment="1" applyFill="1" applyFont="1">
      <alignment horizontal="left" readingOrder="0"/>
    </xf>
    <xf borderId="0" fillId="10" fontId="9" numFmtId="0" xfId="0" applyAlignment="1" applyFill="1" applyFont="1">
      <alignment horizontal="center" readingOrder="0" vertical="center"/>
    </xf>
    <xf borderId="0" fillId="2" fontId="10" numFmtId="0" xfId="0" applyAlignment="1" applyFont="1">
      <alignment horizontal="center" readingOrder="0"/>
    </xf>
    <xf borderId="0" fillId="2" fontId="11" numFmtId="0" xfId="0" applyAlignment="1" applyFont="1">
      <alignment horizontal="center" readingOrder="0" shrinkToFit="0" vertical="center" wrapText="1"/>
    </xf>
    <xf borderId="0" fillId="11" fontId="7" numFmtId="0" xfId="0" applyAlignment="1" applyFill="1" applyFont="1">
      <alignment horizontal="center" readingOrder="0"/>
    </xf>
    <xf borderId="0" fillId="8" fontId="7" numFmtId="0" xfId="0" applyAlignment="1" applyFont="1">
      <alignment horizontal="center" readingOrder="0"/>
    </xf>
    <xf borderId="0" fillId="7" fontId="7" numFmtId="0" xfId="0" applyAlignment="1" applyFont="1">
      <alignment horizontal="center" readingOrder="0"/>
    </xf>
    <xf borderId="0" fillId="5" fontId="7" numFmtId="0" xfId="0" applyAlignment="1" applyFont="1">
      <alignment horizontal="center" readingOrder="0"/>
    </xf>
    <xf borderId="0" fillId="12" fontId="7" numFmtId="0" xfId="0" applyAlignment="1" applyFill="1" applyFont="1">
      <alignment horizontal="center" readingOrder="0"/>
    </xf>
    <xf borderId="0" fillId="4" fontId="7" numFmtId="0" xfId="0" applyAlignment="1" applyFont="1">
      <alignment horizontal="center" readingOrder="0"/>
    </xf>
    <xf borderId="0" fillId="13" fontId="7" numFmtId="0" xfId="0" applyAlignment="1" applyFill="1" applyFont="1">
      <alignment horizontal="center" readingOrder="0"/>
    </xf>
    <xf borderId="0" fillId="14" fontId="12" numFmtId="0" xfId="0" applyAlignment="1" applyFill="1" applyFont="1">
      <alignment horizontal="center" readingOrder="0" shrinkToFit="0" vertical="center" wrapText="1"/>
    </xf>
    <xf borderId="0" fillId="6" fontId="13" numFmtId="0" xfId="0" applyAlignment="1" applyFont="1">
      <alignment horizontal="center" readingOrder="0" shrinkToFit="0" vertical="center" wrapText="1"/>
    </xf>
    <xf borderId="1" fillId="11" fontId="13" numFmtId="0" xfId="0" applyAlignment="1" applyBorder="1" applyFont="1">
      <alignment horizontal="center" readingOrder="0" shrinkToFit="0" vertical="center" wrapText="1"/>
    </xf>
    <xf borderId="1" fillId="6" fontId="13" numFmtId="0" xfId="0" applyAlignment="1" applyBorder="1" applyFont="1">
      <alignment horizontal="center" readingOrder="0" shrinkToFit="0" vertical="center" wrapText="1"/>
    </xf>
    <xf borderId="2" fillId="11" fontId="13" numFmtId="0" xfId="0" applyAlignment="1" applyBorder="1" applyFont="1">
      <alignment horizontal="center" readingOrder="0" shrinkToFit="0" vertical="center" wrapText="1"/>
    </xf>
    <xf borderId="2" fillId="6" fontId="13" numFmtId="0" xfId="0" applyAlignment="1" applyBorder="1" applyFont="1">
      <alignment horizontal="center" readingOrder="0" shrinkToFit="0" vertical="center" wrapText="1"/>
    </xf>
    <xf borderId="0" fillId="2" fontId="14" numFmtId="0" xfId="0" applyAlignment="1" applyFont="1">
      <alignment horizontal="center" readingOrder="0" shrinkToFit="0" vertical="center" wrapText="1"/>
    </xf>
    <xf borderId="3" fillId="11" fontId="13" numFmtId="0" xfId="0" applyAlignment="1" applyBorder="1" applyFont="1">
      <alignment horizontal="center" readingOrder="0" shrinkToFit="0" vertical="center" wrapText="1"/>
    </xf>
    <xf borderId="3" fillId="6" fontId="13" numFmtId="0" xfId="0" applyAlignment="1" applyBorder="1" applyFont="1">
      <alignment horizontal="center" readingOrder="0" shrinkToFit="0" vertical="center" wrapText="1"/>
    </xf>
    <xf borderId="3" fillId="6" fontId="13" numFmtId="0" xfId="0" applyAlignment="1" applyBorder="1" applyFont="1">
      <alignment horizontal="center" shrinkToFit="0" vertical="center" wrapText="1"/>
    </xf>
    <xf borderId="4" fillId="14" fontId="12" numFmtId="0" xfId="0" applyAlignment="1" applyBorder="1" applyFont="1">
      <alignment horizontal="center" readingOrder="0" shrinkToFit="0" vertical="center" wrapText="1"/>
    </xf>
    <xf borderId="3" fillId="11" fontId="13" numFmtId="0" xfId="0" applyAlignment="1" applyBorder="1" applyFont="1">
      <alignment horizontal="center" shrinkToFit="0" vertical="center" wrapText="1"/>
    </xf>
    <xf borderId="0" fillId="2" fontId="15" numFmtId="0" xfId="0" applyAlignment="1" applyFont="1">
      <alignment horizontal="center" readingOrder="0" shrinkToFit="0" vertical="center" wrapText="1"/>
    </xf>
    <xf borderId="0" fillId="2" fontId="16" numFmtId="0" xfId="0" applyAlignment="1" applyFont="1">
      <alignment horizontal="center" readingOrder="0" shrinkToFit="0" vertical="bottom" wrapText="1"/>
    </xf>
    <xf borderId="0" fillId="2" fontId="17" numFmtId="0" xfId="0" applyAlignment="1" applyFont="1">
      <alignment horizontal="center" readingOrder="0" shrinkToFit="0" vertical="center" wrapText="1"/>
    </xf>
    <xf borderId="0" fillId="15" fontId="12" numFmtId="0" xfId="0" applyAlignment="1" applyFill="1" applyFont="1">
      <alignment horizontal="center" readingOrder="0" shrinkToFit="0" vertical="center" wrapText="1"/>
    </xf>
    <xf borderId="0" fillId="2" fontId="15" numFmtId="165" xfId="0" applyAlignment="1" applyFont="1" applyNumberFormat="1">
      <alignment horizontal="center" readingOrder="0" shrinkToFit="0" vertical="center" wrapText="1"/>
    </xf>
    <xf borderId="0" fillId="2" fontId="15" numFmtId="0" xfId="0" applyFont="1"/>
    <xf borderId="0" fillId="2" fontId="9" numFmtId="165" xfId="0" applyAlignment="1" applyFont="1" applyNumberFormat="1">
      <alignment horizontal="center" readingOrder="0" shrinkToFit="0" vertical="center" wrapText="1"/>
    </xf>
    <xf borderId="0" fillId="16" fontId="18" numFmtId="0" xfId="0" applyAlignment="1" applyFill="1" applyFont="1">
      <alignment horizontal="center" readingOrder="0" vertical="center"/>
    </xf>
    <xf borderId="0" fillId="2" fontId="19" numFmtId="0" xfId="0" applyAlignment="1" applyFont="1">
      <alignment horizontal="center" readingOrder="0" shrinkToFit="0" vertical="center" wrapText="1"/>
    </xf>
    <xf borderId="5" fillId="17" fontId="20" numFmtId="0" xfId="0" applyAlignment="1" applyBorder="1" applyFill="1" applyFont="1">
      <alignment horizontal="center" readingOrder="0" textRotation="0" vertical="center"/>
    </xf>
    <xf borderId="6" fillId="0" fontId="21" numFmtId="0" xfId="0" applyBorder="1" applyFont="1"/>
    <xf borderId="7" fillId="0" fontId="21" numFmtId="0" xfId="0" applyBorder="1" applyFont="1"/>
    <xf borderId="0" fillId="9" fontId="22" numFmtId="0" xfId="0" applyAlignment="1" applyFont="1">
      <alignment horizontal="center" readingOrder="0" vertical="bottom"/>
    </xf>
    <xf borderId="0" fillId="9" fontId="22" numFmtId="0" xfId="0" applyAlignment="1" applyFont="1">
      <alignment horizontal="center" vertical="bottom"/>
    </xf>
    <xf borderId="1" fillId="0" fontId="21" numFmtId="0" xfId="0" applyBorder="1" applyFont="1"/>
    <xf borderId="8" fillId="0" fontId="21" numFmtId="0" xfId="0" applyBorder="1" applyFont="1"/>
    <xf borderId="0" fillId="9" fontId="23" numFmtId="49" xfId="0" applyAlignment="1" applyFont="1" applyNumberFormat="1">
      <alignment horizontal="center" readingOrder="0" vertical="bottom"/>
    </xf>
    <xf borderId="0" fillId="9" fontId="24" numFmtId="0" xfId="0" applyAlignment="1" applyFont="1">
      <alignment horizontal="center" readingOrder="0" vertical="bottom"/>
    </xf>
    <xf borderId="9" fillId="0" fontId="21" numFmtId="0" xfId="0" applyBorder="1" applyFont="1"/>
    <xf borderId="10" fillId="0" fontId="21" numFmtId="0" xfId="0" applyBorder="1" applyFont="1"/>
    <xf borderId="11" fillId="0" fontId="21" numFmtId="0" xfId="0" applyBorder="1" applyFont="1"/>
    <xf borderId="12" fillId="2" fontId="4" numFmtId="0" xfId="0" applyAlignment="1" applyBorder="1" applyFont="1">
      <alignment vertical="bottom"/>
    </xf>
    <xf borderId="13" fillId="0" fontId="25" numFmtId="0" xfId="0" applyAlignment="1" applyBorder="1" applyFont="1">
      <alignment horizontal="center" vertical="center"/>
    </xf>
    <xf borderId="14" fillId="0" fontId="26" numFmtId="0" xfId="0" applyAlignment="1" applyBorder="1" applyFont="1">
      <alignment horizontal="center" readingOrder="0" vertical="center"/>
    </xf>
    <xf borderId="14" fillId="0" fontId="26" numFmtId="0" xfId="0" applyAlignment="1" applyBorder="1" applyFont="1">
      <alignment horizontal="center" readingOrder="0" shrinkToFit="0" vertical="center" wrapText="1"/>
    </xf>
    <xf borderId="15" fillId="0" fontId="26" numFmtId="0" xfId="0" applyAlignment="1" applyBorder="1" applyFont="1">
      <alignment horizontal="center" readingOrder="0" vertical="center"/>
    </xf>
    <xf borderId="14" fillId="9" fontId="26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bottom"/>
    </xf>
    <xf borderId="16" fillId="0" fontId="21" numFmtId="0" xfId="0" applyBorder="1" applyFont="1"/>
    <xf borderId="17" fillId="0" fontId="21" numFmtId="0" xfId="0" applyBorder="1" applyFont="1"/>
    <xf borderId="15" fillId="6" fontId="27" numFmtId="0" xfId="0" applyAlignment="1" applyBorder="1" applyFont="1">
      <alignment horizontal="center" readingOrder="0" vertical="bottom"/>
    </xf>
    <xf borderId="12" fillId="6" fontId="27" numFmtId="0" xfId="0" applyAlignment="1" applyBorder="1" applyFont="1">
      <alignment horizontal="center" readingOrder="0" vertical="bottom"/>
    </xf>
    <xf borderId="18" fillId="6" fontId="27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shrinkToFit="0" vertical="center" wrapText="1"/>
    </xf>
    <xf borderId="19" fillId="9" fontId="27" numFmtId="0" xfId="0" applyAlignment="1" applyBorder="1" applyFont="1">
      <alignment horizontal="center" readingOrder="0" shrinkToFit="0" vertical="center" wrapText="1"/>
    </xf>
    <xf borderId="19" fillId="9" fontId="28" numFmtId="0" xfId="0" applyAlignment="1" applyBorder="1" applyFont="1">
      <alignment horizontal="center" readingOrder="0" shrinkToFit="0" vertical="center" wrapText="1"/>
    </xf>
    <xf borderId="12" fillId="9" fontId="28" numFmtId="0" xfId="0" applyAlignment="1" applyBorder="1" applyFont="1">
      <alignment horizontal="center" readingOrder="0" shrinkToFit="0" vertical="center" wrapText="1"/>
    </xf>
    <xf borderId="12" fillId="9" fontId="29" numFmtId="0" xfId="0" applyAlignment="1" applyBorder="1" applyFont="1">
      <alignment horizontal="center" readingOrder="0" shrinkToFit="0" vertical="center" wrapText="1"/>
    </xf>
    <xf borderId="0" fillId="9" fontId="23" numFmtId="49" xfId="0" applyAlignment="1" applyFont="1" applyNumberFormat="1">
      <alignment horizontal="center" readingOrder="0" shrinkToFit="0" vertical="center" wrapText="1"/>
    </xf>
    <xf borderId="0" fillId="9" fontId="2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9" fillId="6" fontId="27" numFmtId="0" xfId="0" applyAlignment="1" applyBorder="1" applyFont="1">
      <alignment horizontal="center" readingOrder="0" shrinkToFit="0" vertical="center" wrapText="1"/>
    </xf>
    <xf borderId="12" fillId="6" fontId="30" numFmtId="0" xfId="0" applyAlignment="1" applyBorder="1" applyFont="1">
      <alignment horizontal="center" readingOrder="0" shrinkToFit="0" vertical="center" wrapText="1"/>
    </xf>
    <xf borderId="12" fillId="6" fontId="31" numFmtId="0" xfId="0" applyAlignment="1" applyBorder="1" applyFont="1">
      <alignment horizontal="center" readingOrder="0" shrinkToFit="0" vertical="center" wrapText="1"/>
    </xf>
    <xf borderId="16" fillId="9" fontId="27" numFmtId="0" xfId="0" applyAlignment="1" applyBorder="1" applyFont="1">
      <alignment horizontal="center" readingOrder="0" shrinkToFit="0" vertical="center" wrapText="1"/>
    </xf>
    <xf borderId="17" fillId="9" fontId="30" numFmtId="0" xfId="0" applyAlignment="1" applyBorder="1" applyFont="1">
      <alignment horizontal="center" readingOrder="0" shrinkToFit="0" vertical="center" wrapText="1"/>
    </xf>
    <xf borderId="17" fillId="9" fontId="31" numFmtId="0" xfId="0" applyAlignment="1" applyBorder="1" applyFont="1">
      <alignment horizontal="center" readingOrder="0" shrinkToFit="0" vertical="center" wrapText="1"/>
    </xf>
    <xf borderId="17" fillId="9" fontId="30" numFmtId="0" xfId="0" applyAlignment="1" applyBorder="1" applyFont="1">
      <alignment horizontal="center" readingOrder="0" shrinkToFit="0" vertical="center" wrapText="1"/>
    </xf>
    <xf borderId="17" fillId="9" fontId="32" numFmtId="0" xfId="0" applyAlignment="1" applyBorder="1" applyFont="1">
      <alignment horizontal="center" readingOrder="0" shrinkToFit="0" vertical="center" wrapText="1"/>
    </xf>
    <xf borderId="17" fillId="9" fontId="33" numFmtId="0" xfId="0" applyAlignment="1" applyBorder="1" applyFont="1">
      <alignment horizontal="center" readingOrder="0" shrinkToFit="0" vertical="center" wrapText="1"/>
    </xf>
    <xf borderId="12" fillId="9" fontId="31" numFmtId="0" xfId="0" applyAlignment="1" applyBorder="1" applyFont="1">
      <alignment horizontal="center" readingOrder="0" shrinkToFit="0" vertical="center" wrapText="1"/>
    </xf>
    <xf borderId="5" fillId="17" fontId="22" numFmtId="0" xfId="0" applyAlignment="1" applyBorder="1" applyFont="1">
      <alignment horizontal="center"/>
    </xf>
    <xf borderId="7" fillId="17" fontId="22" numFmtId="0" xfId="0" applyAlignment="1" applyBorder="1" applyFont="1">
      <alignment horizontal="center" vertical="bottom"/>
    </xf>
    <xf borderId="7" fillId="17" fontId="22" numFmtId="0" xfId="0" applyAlignment="1" applyBorder="1" applyFont="1">
      <alignment horizontal="center" vertical="center"/>
    </xf>
    <xf borderId="0" fillId="18" fontId="1" numFmtId="0" xfId="0" applyAlignment="1" applyFill="1" applyFont="1">
      <alignment readingOrder="0" vertical="center"/>
    </xf>
    <xf borderId="0" fillId="9" fontId="34" numFmtId="0" xfId="0" applyAlignment="1" applyFont="1">
      <alignment horizontal="center" readingOrder="0" vertical="bottom"/>
    </xf>
    <xf borderId="20" fillId="3" fontId="35" numFmtId="0" xfId="0" applyAlignment="1" applyBorder="1" applyFont="1">
      <alignment horizontal="center" readingOrder="0"/>
    </xf>
    <xf borderId="21" fillId="0" fontId="21" numFmtId="0" xfId="0" applyBorder="1" applyFont="1"/>
    <xf borderId="21" fillId="3" fontId="35" numFmtId="0" xfId="0" applyAlignment="1" applyBorder="1" applyFont="1">
      <alignment horizontal="center" readingOrder="0"/>
    </xf>
    <xf borderId="22" fillId="0" fontId="21" numFmtId="0" xfId="0" applyBorder="1" applyFont="1"/>
    <xf borderId="23" fillId="3" fontId="35" numFmtId="0" xfId="0" applyAlignment="1" applyBorder="1" applyFont="1">
      <alignment horizontal="center" readingOrder="0" vertical="center"/>
    </xf>
    <xf borderId="1" fillId="19" fontId="36" numFmtId="0" xfId="0" applyAlignment="1" applyBorder="1" applyFill="1" applyFont="1">
      <alignment horizontal="center" readingOrder="0"/>
    </xf>
    <xf borderId="0" fillId="19" fontId="36" numFmtId="0" xfId="0" applyAlignment="1" applyFont="1">
      <alignment horizontal="center" readingOrder="0"/>
    </xf>
    <xf borderId="0" fillId="19" fontId="37" numFmtId="0" xfId="0" applyAlignment="1" applyFont="1">
      <alignment horizontal="center" readingOrder="0"/>
    </xf>
    <xf borderId="0" fillId="18" fontId="38" numFmtId="0" xfId="0" applyAlignment="1" applyFont="1">
      <alignment horizontal="center" readingOrder="0" vertical="center"/>
    </xf>
    <xf borderId="24" fillId="6" fontId="34" numFmtId="0" xfId="0" applyAlignment="1" applyBorder="1" applyFont="1">
      <alignment horizontal="center" readingOrder="0" vertical="center"/>
    </xf>
    <xf borderId="0" fillId="18" fontId="7" numFmtId="0" xfId="0" applyAlignment="1" applyFont="1">
      <alignment horizontal="center" readingOrder="0" vertical="center"/>
    </xf>
    <xf borderId="0" fillId="0" fontId="34" numFmtId="0" xfId="0" applyAlignment="1" applyFont="1">
      <alignment horizontal="center" readingOrder="0" vertical="bottom"/>
    </xf>
    <xf borderId="0" fillId="0" fontId="39" numFmtId="0" xfId="0" applyAlignment="1" applyFont="1">
      <alignment horizontal="center" readingOrder="0"/>
    </xf>
    <xf borderId="25" fillId="0" fontId="34" numFmtId="0" xfId="0" applyAlignment="1" applyBorder="1" applyFont="1">
      <alignment horizontal="center" readingOrder="0" vertical="center"/>
    </xf>
    <xf borderId="5" fillId="17" fontId="22" numFmtId="0" xfId="0" applyAlignment="1" applyBorder="1" applyFont="1">
      <alignment horizontal="center" readingOrder="0" vertical="bottom"/>
    </xf>
    <xf borderId="1" fillId="19" fontId="36" numFmtId="0" xfId="0" applyAlignment="1" applyBorder="1" applyFont="1">
      <alignment horizontal="center" readingOrder="0" vertical="bottom"/>
    </xf>
    <xf borderId="25" fillId="6" fontId="34" numFmtId="0" xfId="0" applyAlignment="1" applyBorder="1" applyFont="1">
      <alignment horizontal="center" readingOrder="0" vertical="center"/>
    </xf>
    <xf borderId="1" fillId="0" fontId="40" numFmtId="0" xfId="0" applyAlignment="1" applyBorder="1" applyFont="1">
      <alignment horizontal="center" readingOrder="0"/>
    </xf>
    <xf borderId="9" fillId="0" fontId="40" numFmtId="0" xfId="0" applyAlignment="1" applyBorder="1" applyFont="1">
      <alignment horizontal="center" readingOrder="0"/>
    </xf>
    <xf borderId="0" fillId="19" fontId="36" numFmtId="0" xfId="0" applyAlignment="1" applyFont="1">
      <alignment horizontal="center" readingOrder="0" vertical="bottom"/>
    </xf>
    <xf borderId="0" fillId="19" fontId="37" numFmtId="0" xfId="0" applyAlignment="1" applyFont="1">
      <alignment horizontal="center" vertical="bottom"/>
    </xf>
    <xf borderId="0" fillId="19" fontId="41" numFmtId="0" xfId="0" applyAlignment="1" applyFont="1">
      <alignment horizontal="center" readingOrder="0"/>
    </xf>
    <xf borderId="26" fillId="6" fontId="34" numFmtId="0" xfId="0" applyAlignment="1" applyBorder="1" applyFont="1">
      <alignment horizontal="center" readingOrder="0" vertical="center"/>
    </xf>
    <xf borderId="25" fillId="18" fontId="42" numFmtId="0" xfId="0" applyAlignment="1" applyBorder="1" applyFont="1">
      <alignment horizontal="center" readingOrder="0" shrinkToFit="0" vertical="center" wrapText="1"/>
    </xf>
    <xf borderId="25" fillId="18" fontId="42" numFmtId="0" xfId="0" applyAlignment="1" applyBorder="1" applyFont="1">
      <alignment horizontal="left" readingOrder="0" shrinkToFit="0" vertical="center" wrapText="0"/>
    </xf>
    <xf borderId="25" fillId="20" fontId="43" numFmtId="0" xfId="0" applyAlignment="1" applyBorder="1" applyFill="1" applyFont="1">
      <alignment horizontal="center" readingOrder="0"/>
    </xf>
    <xf borderId="1" fillId="19" fontId="36" numFmtId="0" xfId="0" applyAlignment="1" applyBorder="1" applyFont="1">
      <alignment horizontal="center"/>
    </xf>
    <xf borderId="0" fillId="19" fontId="36" numFmtId="0" xfId="0" applyAlignment="1" applyFont="1">
      <alignment horizontal="center"/>
    </xf>
    <xf borderId="0" fillId="19" fontId="36" numFmtId="0" xfId="0" applyAlignment="1" applyFont="1">
      <alignment horizontal="center"/>
    </xf>
    <xf borderId="0" fillId="19" fontId="37" numFmtId="0" xfId="0" applyAlignment="1" applyFont="1">
      <alignment horizontal="center"/>
    </xf>
    <xf borderId="25" fillId="20" fontId="44" numFmtId="0" xfId="0" applyAlignment="1" applyBorder="1" applyFont="1">
      <alignment horizontal="left" readingOrder="0" shrinkToFit="0" wrapText="0"/>
    </xf>
    <xf borderId="0" fillId="19" fontId="45" numFmtId="0" xfId="0" applyAlignment="1" applyFont="1">
      <alignment horizontal="center" readingOrder="0"/>
    </xf>
    <xf borderId="25" fillId="20" fontId="44" numFmtId="0" xfId="0" applyAlignment="1" applyBorder="1" applyFont="1">
      <alignment horizontal="center" readingOrder="0"/>
    </xf>
    <xf borderId="1" fillId="2" fontId="46" numFmtId="0" xfId="0" applyAlignment="1" applyBorder="1" applyFont="1">
      <alignment horizontal="center" readingOrder="0" vertical="bottom"/>
    </xf>
    <xf borderId="0" fillId="2" fontId="46" numFmtId="0" xfId="0" applyAlignment="1" applyFont="1">
      <alignment horizontal="center" readingOrder="0"/>
    </xf>
    <xf borderId="0" fillId="2" fontId="47" numFmtId="0" xfId="0" applyAlignment="1" applyFont="1">
      <alignment horizontal="center" readingOrder="0"/>
    </xf>
    <xf borderId="26" fillId="2" fontId="1" numFmtId="0" xfId="0" applyBorder="1" applyFont="1"/>
    <xf borderId="1" fillId="9" fontId="46" numFmtId="0" xfId="0" applyAlignment="1" applyBorder="1" applyFont="1">
      <alignment horizontal="center" readingOrder="0"/>
    </xf>
    <xf borderId="0" fillId="9" fontId="46" numFmtId="0" xfId="0" applyAlignment="1" applyFont="1">
      <alignment horizontal="center" readingOrder="0" vertical="bottom"/>
    </xf>
    <xf borderId="0" fillId="0" fontId="46" numFmtId="0" xfId="0" applyAlignment="1" applyFont="1">
      <alignment horizontal="center" readingOrder="0" shrinkToFit="0" vertical="center" wrapText="1"/>
    </xf>
    <xf borderId="0" fillId="9" fontId="47" numFmtId="0" xfId="0" applyAlignment="1" applyFont="1">
      <alignment horizontal="center" readingOrder="0" vertical="bottom"/>
    </xf>
    <xf borderId="0" fillId="9" fontId="46" numFmtId="0" xfId="0" applyAlignment="1" applyFont="1">
      <alignment horizontal="center" readingOrder="0"/>
    </xf>
    <xf borderId="1" fillId="0" fontId="46" numFmtId="0" xfId="0" applyAlignment="1" applyBorder="1" applyFont="1">
      <alignment horizontal="center" readingOrder="0"/>
    </xf>
    <xf borderId="0" fillId="0" fontId="46" numFmtId="0" xfId="0" applyAlignment="1" applyFont="1">
      <alignment horizontal="center" readingOrder="0"/>
    </xf>
    <xf borderId="0" fillId="0" fontId="47" numFmtId="0" xfId="0" applyAlignment="1" applyFont="1">
      <alignment horizontal="center" readingOrder="0"/>
    </xf>
    <xf borderId="1" fillId="9" fontId="46" numFmtId="0" xfId="0" applyAlignment="1" applyBorder="1" applyFont="1">
      <alignment horizontal="center" vertical="bottom"/>
    </xf>
    <xf borderId="0" fillId="9" fontId="46" numFmtId="0" xfId="0" applyAlignment="1" applyFont="1">
      <alignment horizontal="center" vertical="bottom"/>
    </xf>
    <xf borderId="0" fillId="9" fontId="47" numFmtId="0" xfId="0" applyAlignment="1" applyFont="1">
      <alignment horizontal="center"/>
    </xf>
    <xf borderId="1" fillId="9" fontId="46" numFmtId="0" xfId="0" applyAlignment="1" applyBorder="1" applyFont="1">
      <alignment horizontal="center"/>
    </xf>
    <xf borderId="0" fillId="9" fontId="46" numFmtId="0" xfId="0" applyAlignment="1" applyFont="1">
      <alignment horizontal="center"/>
    </xf>
    <xf borderId="1" fillId="9" fontId="46" numFmtId="0" xfId="0" applyAlignment="1" applyBorder="1" applyFont="1">
      <alignment horizontal="center" readingOrder="0" vertical="bottom"/>
    </xf>
    <xf borderId="0" fillId="9" fontId="47" numFmtId="0" xfId="0" applyAlignment="1" applyFont="1">
      <alignment horizontal="center" readingOrder="0"/>
    </xf>
    <xf borderId="0" fillId="0" fontId="46" numFmtId="0" xfId="0" applyFont="1"/>
    <xf borderId="0" fillId="0" fontId="47" numFmtId="0" xfId="0" applyFont="1"/>
    <xf borderId="27" fillId="2" fontId="48" numFmtId="0" xfId="0" applyAlignment="1" applyBorder="1" applyFont="1">
      <alignment horizontal="center" readingOrder="0" shrinkToFit="0" vertical="center" wrapText="1"/>
    </xf>
    <xf borderId="0" fillId="2" fontId="49" numFmtId="0" xfId="0" applyAlignment="1" applyFont="1">
      <alignment horizontal="left" readingOrder="0"/>
    </xf>
    <xf borderId="0" fillId="2" fontId="49" numFmtId="0" xfId="0" applyAlignment="1" applyFont="1">
      <alignment horizontal="center" readingOrder="0"/>
    </xf>
    <xf borderId="1" fillId="2" fontId="5" numFmtId="0" xfId="0" applyAlignment="1" applyBorder="1" applyFont="1">
      <alignment horizontal="center" readingOrder="0" shrinkToFit="0" vertical="center" wrapText="1"/>
    </xf>
    <xf borderId="28" fillId="0" fontId="50" numFmtId="0" xfId="0" applyAlignment="1" applyBorder="1" applyFont="1">
      <alignment horizontal="center" readingOrder="0"/>
    </xf>
    <xf borderId="29" fillId="0" fontId="50" numFmtId="0" xfId="0" applyAlignment="1" applyBorder="1" applyFont="1">
      <alignment horizontal="center" readingOrder="0"/>
    </xf>
    <xf borderId="0" fillId="2" fontId="1" numFmtId="0" xfId="0" applyAlignment="1" applyFont="1">
      <alignment horizontal="center"/>
    </xf>
    <xf borderId="30" fillId="0" fontId="50" numFmtId="0" xfId="0" applyAlignment="1" applyBorder="1" applyFont="1">
      <alignment horizontal="center" readingOrder="0"/>
    </xf>
    <xf borderId="31" fillId="0" fontId="50" numFmtId="0" xfId="0" applyAlignment="1" applyBorder="1" applyFont="1">
      <alignment horizontal="center" readingOrder="0"/>
    </xf>
    <xf borderId="32" fillId="0" fontId="50" numFmtId="0" xfId="0" applyAlignment="1" applyBorder="1" applyFont="1">
      <alignment horizontal="center" readingOrder="0"/>
    </xf>
    <xf borderId="33" fillId="2" fontId="1" numFmtId="0" xfId="0" applyAlignment="1" applyBorder="1" applyFont="1">
      <alignment horizontal="center" readingOrder="0"/>
    </xf>
    <xf borderId="27" fillId="2" fontId="1" numFmtId="0" xfId="0" applyAlignment="1" applyBorder="1" applyFont="1">
      <alignment horizontal="center" readingOrder="0"/>
    </xf>
    <xf borderId="27" fillId="2" fontId="1" numFmtId="0" xfId="0" applyBorder="1" applyFont="1"/>
    <xf borderId="34" fillId="0" fontId="31" numFmtId="0" xfId="0" applyAlignment="1" applyBorder="1" applyFont="1">
      <alignment horizontal="center" readingOrder="0" vertical="bottom"/>
    </xf>
    <xf borderId="34" fillId="2" fontId="7" numFmtId="0" xfId="0" applyAlignment="1" applyBorder="1" applyFont="1">
      <alignment horizontal="center"/>
    </xf>
    <xf borderId="35" fillId="0" fontId="31" numFmtId="0" xfId="0" applyAlignment="1" applyBorder="1" applyFont="1">
      <alignment horizontal="center" readingOrder="0" vertical="bottom"/>
    </xf>
    <xf borderId="36" fillId="13" fontId="5" numFmtId="0" xfId="0" applyAlignment="1" applyBorder="1" applyFont="1">
      <alignment horizontal="center" readingOrder="0" shrinkToFit="0" vertical="center" wrapText="1"/>
    </xf>
    <xf borderId="4" fillId="13" fontId="51" numFmtId="0" xfId="0" applyAlignment="1" applyBorder="1" applyFont="1">
      <alignment horizontal="center" readingOrder="0"/>
    </xf>
    <xf borderId="37" fillId="2" fontId="7" numFmtId="0" xfId="0" applyAlignment="1" applyBorder="1" applyFont="1">
      <alignment horizontal="center" readingOrder="0"/>
    </xf>
    <xf borderId="33" fillId="11" fontId="7" numFmtId="0" xfId="0" applyAlignment="1" applyBorder="1" applyFont="1">
      <alignment horizontal="center" readingOrder="0"/>
    </xf>
    <xf borderId="36" fillId="21" fontId="7" numFmtId="0" xfId="0" applyAlignment="1" applyBorder="1" applyFill="1" applyFont="1">
      <alignment horizontal="center" readingOrder="0" vertical="center"/>
    </xf>
    <xf borderId="0" fillId="21" fontId="7" numFmtId="3" xfId="0" applyAlignment="1" applyFont="1" applyNumberFormat="1">
      <alignment horizontal="center" readingOrder="0" vertical="center"/>
    </xf>
    <xf borderId="4" fillId="21" fontId="7" numFmtId="3" xfId="0" applyAlignment="1" applyBorder="1" applyFont="1" applyNumberFormat="1">
      <alignment horizontal="center" readingOrder="0" vertical="center"/>
    </xf>
    <xf borderId="37" fillId="2" fontId="1" numFmtId="0" xfId="0" applyAlignment="1" applyBorder="1" applyFont="1">
      <alignment horizontal="center" readingOrder="0"/>
    </xf>
    <xf borderId="27" fillId="11" fontId="52" numFmtId="0" xfId="0" applyAlignment="1" applyBorder="1" applyFont="1">
      <alignment horizontal="center" readingOrder="0" shrinkToFit="0" vertical="center" wrapText="1"/>
    </xf>
    <xf borderId="34" fillId="11" fontId="48" numFmtId="0" xfId="0" applyAlignment="1" applyBorder="1" applyFont="1">
      <alignment horizontal="center" readingOrder="0" shrinkToFit="0" vertical="center" wrapText="1"/>
    </xf>
    <xf borderId="34" fillId="11" fontId="52" numFmtId="0" xfId="0" applyAlignment="1" applyBorder="1" applyFont="1">
      <alignment horizontal="center" readingOrder="0" shrinkToFit="0" vertical="center" wrapText="1"/>
    </xf>
    <xf borderId="34" fillId="13" fontId="5" numFmtId="0" xfId="0" applyAlignment="1" applyBorder="1" applyFont="1">
      <alignment horizontal="center" readingOrder="0" shrinkToFit="0" vertical="center" wrapText="1"/>
    </xf>
    <xf borderId="34" fillId="13" fontId="1" numFmtId="0" xfId="0" applyAlignment="1" applyBorder="1" applyFont="1">
      <alignment horizontal="center" readingOrder="0"/>
    </xf>
    <xf borderId="34" fillId="8" fontId="5" numFmtId="0" xfId="0" applyAlignment="1" applyBorder="1" applyFont="1">
      <alignment horizontal="center" readingOrder="0" shrinkToFit="0" vertical="center" wrapText="1"/>
    </xf>
    <xf borderId="34" fillId="8" fontId="1" numFmtId="0" xfId="0" applyAlignment="1" applyBorder="1" applyFont="1">
      <alignment horizontal="center" readingOrder="0"/>
    </xf>
    <xf borderId="34" fillId="5" fontId="5" numFmtId="0" xfId="0" applyAlignment="1" applyBorder="1" applyFont="1">
      <alignment horizontal="center" readingOrder="0" shrinkToFit="0" vertical="center" wrapText="1"/>
    </xf>
    <xf borderId="34" fillId="5" fontId="1" numFmtId="0" xfId="0" applyAlignment="1" applyBorder="1" applyFont="1">
      <alignment horizontal="center" readingOrder="0"/>
    </xf>
    <xf borderId="34" fillId="7" fontId="5" numFmtId="0" xfId="0" applyAlignment="1" applyBorder="1" applyFont="1">
      <alignment horizontal="center" readingOrder="0" shrinkToFit="0" vertical="center" wrapText="1"/>
    </xf>
    <xf borderId="34" fillId="7" fontId="45" numFmtId="0" xfId="0" applyAlignment="1" applyBorder="1" applyFont="1">
      <alignment horizontal="center" readingOrder="0"/>
    </xf>
    <xf borderId="34" fillId="4" fontId="5" numFmtId="0" xfId="0" applyAlignment="1" applyBorder="1" applyFont="1">
      <alignment horizontal="center" readingOrder="0" shrinkToFit="0" vertical="center" wrapText="1"/>
    </xf>
    <xf borderId="34" fillId="4" fontId="1" numFmtId="0" xfId="0" applyAlignment="1" applyBorder="1" applyFont="1">
      <alignment horizontal="center" readingOrder="0"/>
    </xf>
    <xf borderId="35" fillId="7" fontId="45" numFmtId="0" xfId="0" applyAlignment="1" applyBorder="1" applyFont="1">
      <alignment horizontal="center" readingOrder="0"/>
    </xf>
    <xf borderId="1" fillId="2" fontId="7" numFmtId="0" xfId="0" applyBorder="1" applyFont="1"/>
    <xf borderId="38" fillId="0" fontId="50" numFmtId="0" xfId="0" applyAlignment="1" applyBorder="1" applyFont="1">
      <alignment horizontal="center" readingOrder="0"/>
    </xf>
    <xf borderId="37" fillId="8" fontId="7" numFmtId="0" xfId="0" applyAlignment="1" applyBorder="1" applyFont="1">
      <alignment horizontal="center" readingOrder="0"/>
    </xf>
    <xf borderId="36" fillId="11" fontId="7" numFmtId="0" xfId="0" applyAlignment="1" applyBorder="1" applyFont="1">
      <alignment horizontal="center" readingOrder="0" vertical="center"/>
    </xf>
    <xf borderId="0" fillId="11" fontId="7" numFmtId="3" xfId="0" applyAlignment="1" applyFont="1" applyNumberFormat="1">
      <alignment horizontal="center" readingOrder="0" vertical="center"/>
    </xf>
    <xf borderId="4" fillId="11" fontId="7" numFmtId="3" xfId="0" applyAlignment="1" applyBorder="1" applyFont="1" applyNumberFormat="1">
      <alignment horizontal="center" readingOrder="0" vertical="center"/>
    </xf>
    <xf borderId="36" fillId="2" fontId="1" numFmtId="0" xfId="0" applyAlignment="1" applyBorder="1" applyFont="1">
      <alignment horizontal="center" readingOrder="0"/>
    </xf>
    <xf borderId="0" fillId="13" fontId="1" numFmtId="0" xfId="0" applyAlignment="1" applyFont="1">
      <alignment horizontal="center" readingOrder="0"/>
    </xf>
    <xf borderId="0" fillId="5" fontId="5" numFmtId="0" xfId="0" applyAlignment="1" applyFont="1">
      <alignment horizontal="center" readingOrder="0" shrinkToFit="0" vertical="center" wrapText="1"/>
    </xf>
    <xf borderId="0" fillId="5" fontId="45" numFmtId="0" xfId="0" applyAlignment="1" applyFont="1">
      <alignment horizontal="center" readingOrder="0"/>
    </xf>
    <xf borderId="0" fillId="11" fontId="5" numFmtId="0" xfId="0" applyAlignment="1" applyFont="1">
      <alignment horizontal="center" readingOrder="0" shrinkToFit="0" vertical="center" wrapText="1"/>
    </xf>
    <xf borderId="0" fillId="11" fontId="1" numFmtId="0" xfId="0" applyAlignment="1" applyFont="1">
      <alignment horizontal="center" readingOrder="0"/>
    </xf>
    <xf borderId="0" fillId="12" fontId="5" numFmtId="0" xfId="0" applyAlignment="1" applyFont="1">
      <alignment horizontal="center" readingOrder="0" shrinkToFit="0" vertical="center" wrapText="1"/>
    </xf>
    <xf borderId="0" fillId="12" fontId="1" numFmtId="0" xfId="0" applyAlignment="1" applyFont="1">
      <alignment horizontal="center" readingOrder="0"/>
    </xf>
    <xf borderId="0" fillId="4" fontId="5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13" fontId="5" numFmtId="0" xfId="0" applyAlignment="1" applyFont="1">
      <alignment horizontal="center" readingOrder="0" shrinkToFit="0" vertical="center" wrapText="1"/>
    </xf>
    <xf borderId="0" fillId="7" fontId="5" numFmtId="0" xfId="0" applyAlignment="1" applyFont="1">
      <alignment horizontal="center" readingOrder="0" shrinkToFit="0" vertical="center" wrapText="1"/>
    </xf>
    <xf borderId="0" fillId="7" fontId="45" numFmtId="0" xfId="0" applyAlignment="1" applyFont="1">
      <alignment horizontal="center" readingOrder="0"/>
    </xf>
    <xf borderId="4" fillId="5" fontId="45" numFmtId="0" xfId="0" applyAlignment="1" applyBorder="1" applyFont="1">
      <alignment horizontal="center" readingOrder="0"/>
    </xf>
    <xf borderId="27" fillId="11" fontId="5" numFmtId="0" xfId="0" applyAlignment="1" applyBorder="1" applyFont="1">
      <alignment horizontal="center" readingOrder="0" shrinkToFit="0" vertical="center" wrapText="1"/>
    </xf>
    <xf borderId="4" fillId="11" fontId="51" numFmtId="0" xfId="0" applyAlignment="1" applyBorder="1" applyFont="1">
      <alignment horizontal="center" readingOrder="0"/>
    </xf>
    <xf borderId="0" fillId="2" fontId="53" numFmtId="0" xfId="0" applyFont="1"/>
    <xf borderId="33" fillId="2" fontId="54" numFmtId="0" xfId="0" applyAlignment="1" applyBorder="1" applyFont="1">
      <alignment horizontal="center" readingOrder="0"/>
    </xf>
    <xf borderId="37" fillId="7" fontId="7" numFmtId="0" xfId="0" applyAlignment="1" applyBorder="1" applyFont="1">
      <alignment horizontal="center" readingOrder="0"/>
    </xf>
    <xf borderId="36" fillId="8" fontId="7" numFmtId="0" xfId="0" applyAlignment="1" applyBorder="1" applyFont="1">
      <alignment horizontal="center" readingOrder="0" vertical="center"/>
    </xf>
    <xf borderId="0" fillId="8" fontId="7" numFmtId="3" xfId="0" applyAlignment="1" applyFont="1" applyNumberFormat="1">
      <alignment horizontal="center" readingOrder="0" vertical="center"/>
    </xf>
    <xf borderId="4" fillId="8" fontId="7" numFmtId="3" xfId="0" applyAlignment="1" applyBorder="1" applyFont="1" applyNumberFormat="1">
      <alignment horizontal="center" readingOrder="0" vertical="center"/>
    </xf>
    <xf borderId="0" fillId="8" fontId="5" numFmtId="0" xfId="0" applyAlignment="1" applyFont="1">
      <alignment horizontal="center" readingOrder="0" shrinkToFit="0" vertical="center" wrapText="1"/>
    </xf>
    <xf borderId="0" fillId="8" fontId="1" numFmtId="0" xfId="0" applyAlignment="1" applyFont="1">
      <alignment horizontal="center" readingOrder="0"/>
    </xf>
    <xf borderId="0" fillId="7" fontId="1" numFmtId="0" xfId="0" applyAlignment="1" applyFont="1">
      <alignment horizontal="center" readingOrder="0"/>
    </xf>
    <xf borderId="39" fillId="8" fontId="5" numFmtId="0" xfId="0" applyAlignment="1" applyBorder="1" applyFont="1">
      <alignment horizontal="center" readingOrder="0" shrinkToFit="0" vertical="center" wrapText="1"/>
    </xf>
    <xf borderId="40" fillId="8" fontId="55" numFmtId="0" xfId="0" applyAlignment="1" applyBorder="1" applyFont="1">
      <alignment horizontal="center" readingOrder="0"/>
    </xf>
    <xf borderId="37" fillId="5" fontId="7" numFmtId="0" xfId="0" applyAlignment="1" applyBorder="1" applyFont="1">
      <alignment horizontal="center" readingOrder="0"/>
    </xf>
    <xf borderId="36" fillId="7" fontId="7" numFmtId="0" xfId="0" applyAlignment="1" applyBorder="1" applyFont="1">
      <alignment horizontal="center" readingOrder="0" vertical="center"/>
    </xf>
    <xf borderId="0" fillId="7" fontId="7" numFmtId="3" xfId="0" applyAlignment="1" applyFont="1" applyNumberFormat="1">
      <alignment horizontal="center" readingOrder="0" vertical="center"/>
    </xf>
    <xf borderId="4" fillId="7" fontId="7" numFmtId="3" xfId="0" applyAlignment="1" applyBorder="1" applyFont="1" applyNumberFormat="1">
      <alignment horizontal="center" readingOrder="0" vertical="center"/>
    </xf>
    <xf borderId="36" fillId="11" fontId="5" numFmtId="0" xfId="0" applyAlignment="1" applyBorder="1" applyFont="1">
      <alignment horizontal="center" readingOrder="0" shrinkToFit="0" vertical="center" wrapText="1"/>
    </xf>
    <xf borderId="0" fillId="7" fontId="7" numFmtId="0" xfId="0" applyFont="1"/>
    <xf borderId="0" fillId="12" fontId="45" numFmtId="0" xfId="0" applyAlignment="1" applyFont="1">
      <alignment horizontal="center" readingOrder="0"/>
    </xf>
    <xf borderId="4" fillId="13" fontId="7" numFmtId="0" xfId="0" applyAlignment="1" applyBorder="1" applyFont="1">
      <alignment horizontal="center" readingOrder="0"/>
    </xf>
    <xf borderId="37" fillId="12" fontId="7" numFmtId="0" xfId="0" applyAlignment="1" applyBorder="1" applyFont="1">
      <alignment horizontal="center" readingOrder="0"/>
    </xf>
    <xf borderId="36" fillId="5" fontId="7" numFmtId="0" xfId="0" applyAlignment="1" applyBorder="1" applyFont="1">
      <alignment horizontal="center" readingOrder="0" vertical="center"/>
    </xf>
    <xf borderId="0" fillId="5" fontId="7" numFmtId="3" xfId="0" applyAlignment="1" applyFont="1" applyNumberFormat="1">
      <alignment horizontal="center" readingOrder="0" vertical="center"/>
    </xf>
    <xf borderId="4" fillId="5" fontId="7" numFmtId="3" xfId="0" applyAlignment="1" applyBorder="1" applyFont="1" applyNumberFormat="1">
      <alignment horizontal="center" readingOrder="0" vertical="center"/>
    </xf>
    <xf borderId="36" fillId="11" fontId="7" numFmtId="0" xfId="0" applyBorder="1" applyFont="1"/>
    <xf borderId="4" fillId="13" fontId="1" numFmtId="0" xfId="0" applyAlignment="1" applyBorder="1" applyFont="1">
      <alignment horizontal="center" readingOrder="0"/>
    </xf>
    <xf borderId="41" fillId="0" fontId="50" numFmtId="0" xfId="0" applyAlignment="1" applyBorder="1" applyFont="1">
      <alignment horizontal="center" readingOrder="0"/>
    </xf>
    <xf borderId="37" fillId="4" fontId="7" numFmtId="0" xfId="0" applyAlignment="1" applyBorder="1" applyFont="1">
      <alignment horizontal="center" readingOrder="0"/>
    </xf>
    <xf borderId="36" fillId="12" fontId="7" numFmtId="0" xfId="0" applyAlignment="1" applyBorder="1" applyFont="1">
      <alignment horizontal="center" readingOrder="0" vertical="center"/>
    </xf>
    <xf borderId="0" fillId="12" fontId="7" numFmtId="3" xfId="0" applyAlignment="1" applyFont="1" applyNumberFormat="1">
      <alignment horizontal="center" readingOrder="0" vertical="center"/>
    </xf>
    <xf borderId="4" fillId="12" fontId="7" numFmtId="3" xfId="0" applyAlignment="1" applyBorder="1" applyFont="1" applyNumberFormat="1">
      <alignment horizontal="center" readingOrder="0" vertical="center"/>
    </xf>
    <xf borderId="0" fillId="4" fontId="7" numFmtId="0" xfId="0" applyFont="1"/>
    <xf borderId="4" fillId="7" fontId="1" numFmtId="0" xfId="0" applyAlignment="1" applyBorder="1" applyFont="1">
      <alignment horizontal="center" readingOrder="0"/>
    </xf>
    <xf borderId="35" fillId="11" fontId="55" numFmtId="0" xfId="0" applyAlignment="1" applyBorder="1" applyFont="1">
      <alignment horizontal="center" readingOrder="0"/>
    </xf>
    <xf borderId="37" fillId="2" fontId="54" numFmtId="0" xfId="0" applyAlignment="1" applyBorder="1" applyFont="1">
      <alignment horizontal="center" readingOrder="0"/>
    </xf>
    <xf borderId="42" fillId="13" fontId="7" numFmtId="0" xfId="0" applyAlignment="1" applyBorder="1" applyFont="1">
      <alignment horizontal="center" readingOrder="0"/>
    </xf>
    <xf borderId="36" fillId="4" fontId="7" numFmtId="0" xfId="0" applyAlignment="1" applyBorder="1" applyFont="1">
      <alignment horizontal="center" readingOrder="0" vertical="center"/>
    </xf>
    <xf borderId="0" fillId="4" fontId="7" numFmtId="3" xfId="0" applyAlignment="1" applyFont="1" applyNumberFormat="1">
      <alignment horizontal="center" readingOrder="0" vertical="center"/>
    </xf>
    <xf borderId="4" fillId="4" fontId="7" numFmtId="3" xfId="0" applyAlignment="1" applyBorder="1" applyFont="1" applyNumberFormat="1">
      <alignment horizontal="center" readingOrder="0" vertical="center"/>
    </xf>
    <xf borderId="36" fillId="13" fontId="7" numFmtId="0" xfId="0" applyBorder="1" applyFont="1"/>
    <xf borderId="37" fillId="2" fontId="56" numFmtId="0" xfId="0" applyAlignment="1" applyBorder="1" applyFont="1">
      <alignment horizontal="center" readingOrder="0"/>
    </xf>
    <xf borderId="0" fillId="2" fontId="51" numFmtId="0" xfId="0" applyAlignment="1" applyFont="1">
      <alignment horizontal="center" readingOrder="0" shrinkToFit="0" wrapText="0"/>
    </xf>
    <xf borderId="38" fillId="13" fontId="7" numFmtId="0" xfId="0" applyAlignment="1" applyBorder="1" applyFont="1">
      <alignment horizontal="center" readingOrder="0" vertical="center"/>
    </xf>
    <xf borderId="43" fillId="13" fontId="7" numFmtId="3" xfId="0" applyAlignment="1" applyBorder="1" applyFont="1" applyNumberFormat="1">
      <alignment horizontal="center" readingOrder="0" vertical="center"/>
    </xf>
    <xf borderId="44" fillId="13" fontId="7" numFmtId="3" xfId="0" applyAlignment="1" applyBorder="1" applyFont="1" applyNumberFormat="1">
      <alignment horizontal="center" readingOrder="0" vertical="center"/>
    </xf>
    <xf borderId="4" fillId="5" fontId="1" numFmtId="0" xfId="0" applyAlignment="1" applyBorder="1" applyFont="1">
      <alignment horizontal="center" readingOrder="0"/>
    </xf>
    <xf borderId="0" fillId="2" fontId="55" numFmtId="0" xfId="0" applyAlignment="1" applyFont="1">
      <alignment horizontal="center" readingOrder="0" shrinkToFit="0" wrapText="0"/>
    </xf>
    <xf borderId="0" fillId="2" fontId="9" numFmtId="0" xfId="0" applyAlignment="1" applyFont="1">
      <alignment readingOrder="0"/>
    </xf>
    <xf borderId="27" fillId="6" fontId="7" numFmtId="0" xfId="0" applyAlignment="1" applyBorder="1" applyFont="1">
      <alignment horizontal="center" readingOrder="0" vertical="center"/>
    </xf>
    <xf borderId="34" fillId="6" fontId="7" numFmtId="3" xfId="0" applyAlignment="1" applyBorder="1" applyFont="1" applyNumberFormat="1">
      <alignment horizontal="center" readingOrder="0" vertical="center"/>
    </xf>
    <xf borderId="35" fillId="6" fontId="7" numFmtId="3" xfId="0" applyAlignment="1" applyBorder="1" applyFont="1" applyNumberFormat="1">
      <alignment horizontal="center" readingOrder="0" vertical="center"/>
    </xf>
    <xf borderId="0" fillId="5" fontId="7" numFmtId="0" xfId="0" applyFont="1"/>
    <xf borderId="4" fillId="12" fontId="1" numFmtId="0" xfId="0" applyAlignment="1" applyBorder="1" applyFont="1">
      <alignment horizontal="center" readingOrder="0"/>
    </xf>
    <xf borderId="0" fillId="2" fontId="57" numFmtId="0" xfId="0" applyAlignment="1" applyFont="1">
      <alignment horizontal="center" readingOrder="0" shrinkToFit="0" wrapText="1"/>
    </xf>
    <xf borderId="36" fillId="22" fontId="7" numFmtId="0" xfId="0" applyAlignment="1" applyBorder="1" applyFill="1" applyFont="1">
      <alignment horizontal="center" readingOrder="0" vertical="center"/>
    </xf>
    <xf borderId="0" fillId="22" fontId="7" numFmtId="3" xfId="0" applyAlignment="1" applyFont="1" applyNumberFormat="1">
      <alignment horizontal="center" readingOrder="0" vertical="center"/>
    </xf>
    <xf borderId="4" fillId="22" fontId="7" numFmtId="3" xfId="0" applyAlignment="1" applyBorder="1" applyFont="1" applyNumberFormat="1">
      <alignment horizontal="center" readingOrder="0" vertical="center"/>
    </xf>
    <xf borderId="39" fillId="5" fontId="5" numFmtId="0" xfId="0" applyAlignment="1" applyBorder="1" applyFont="1">
      <alignment horizontal="center" readingOrder="0" shrinkToFit="0" vertical="center" wrapText="1"/>
    </xf>
    <xf borderId="45" fillId="5" fontId="51" numFmtId="0" xfId="0" applyAlignment="1" applyBorder="1" applyFont="1">
      <alignment horizontal="center" readingOrder="0"/>
    </xf>
    <xf borderId="46" fillId="2" fontId="1" numFmtId="0" xfId="0" applyBorder="1" applyFont="1"/>
    <xf borderId="47" fillId="2" fontId="58" numFmtId="0" xfId="0" applyAlignment="1" applyBorder="1" applyFont="1">
      <alignment horizontal="center" readingOrder="0"/>
    </xf>
    <xf borderId="38" fillId="23" fontId="7" numFmtId="0" xfId="0" applyAlignment="1" applyBorder="1" applyFill="1" applyFont="1">
      <alignment horizontal="center" readingOrder="0" vertical="center"/>
    </xf>
    <xf borderId="43" fillId="23" fontId="7" numFmtId="3" xfId="0" applyAlignment="1" applyBorder="1" applyFont="1" applyNumberFormat="1">
      <alignment horizontal="center" readingOrder="0" vertical="center"/>
    </xf>
    <xf borderId="44" fillId="23" fontId="7" numFmtId="3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 readingOrder="0"/>
    </xf>
    <xf borderId="0" fillId="2" fontId="7" numFmtId="0" xfId="0" applyAlignment="1" applyFont="1">
      <alignment horizontal="center" readingOrder="0" vertical="center"/>
    </xf>
    <xf borderId="0" fillId="11" fontId="4" numFmtId="0" xfId="0" applyAlignment="1" applyFont="1">
      <alignment horizontal="center" vertical="bottom"/>
    </xf>
    <xf borderId="39" fillId="4" fontId="5" numFmtId="0" xfId="0" applyAlignment="1" applyBorder="1" applyFont="1">
      <alignment horizontal="center" readingOrder="0" shrinkToFit="0" vertical="center" wrapText="1"/>
    </xf>
    <xf borderId="45" fillId="4" fontId="51" numFmtId="0" xfId="0" applyAlignment="1" applyBorder="1" applyFont="1">
      <alignment horizontal="center" readingOrder="0"/>
    </xf>
    <xf borderId="0" fillId="2" fontId="59" numFmtId="0" xfId="0" applyAlignment="1" applyFont="1">
      <alignment horizontal="center" readingOrder="0" vertical="center"/>
    </xf>
    <xf borderId="35" fillId="11" fontId="1" numFmtId="0" xfId="0" applyAlignment="1" applyBorder="1" applyFont="1">
      <alignment horizontal="center" readingOrder="0"/>
    </xf>
    <xf borderId="37" fillId="11" fontId="7" numFmtId="0" xfId="0" applyAlignment="1" applyBorder="1" applyFont="1">
      <alignment horizontal="center" readingOrder="0"/>
    </xf>
    <xf borderId="0" fillId="2" fontId="56" numFmtId="0" xfId="0" applyAlignment="1" applyFont="1">
      <alignment horizontal="center" readingOrder="0" vertical="center"/>
    </xf>
    <xf borderId="0" fillId="8" fontId="7" numFmtId="0" xfId="0" applyFont="1"/>
    <xf borderId="36" fillId="8" fontId="5" numFmtId="0" xfId="0" applyAlignment="1" applyBorder="1" applyFont="1">
      <alignment horizontal="center" readingOrder="0" shrinkToFit="0" vertical="center" wrapText="1"/>
    </xf>
    <xf borderId="4" fillId="8" fontId="45" numFmtId="0" xfId="0" applyAlignment="1" applyBorder="1" applyFont="1">
      <alignment horizontal="center" readingOrder="0"/>
    </xf>
    <xf borderId="37" fillId="8" fontId="58" numFmtId="0" xfId="0" applyAlignment="1" applyBorder="1" applyFont="1">
      <alignment horizontal="center" readingOrder="0"/>
    </xf>
    <xf borderId="0" fillId="8" fontId="60" numFmtId="0" xfId="0" applyAlignment="1" applyFont="1">
      <alignment horizontal="center" readingOrder="0"/>
    </xf>
    <xf borderId="36" fillId="0" fontId="7" numFmtId="0" xfId="0" applyBorder="1" applyFont="1"/>
    <xf borderId="0" fillId="13" fontId="7" numFmtId="0" xfId="0" applyFont="1"/>
    <xf borderId="36" fillId="7" fontId="5" numFmtId="0" xfId="0" applyAlignment="1" applyBorder="1" applyFont="1">
      <alignment horizontal="center" readingOrder="0" shrinkToFit="0" vertical="center" wrapText="1"/>
    </xf>
    <xf borderId="4" fillId="7" fontId="55" numFmtId="0" xfId="0" applyAlignment="1" applyBorder="1" applyFont="1">
      <alignment horizontal="center" readingOrder="0"/>
    </xf>
    <xf borderId="0" fillId="8" fontId="61" numFmtId="0" xfId="0" applyAlignment="1" applyFont="1">
      <alignment horizontal="center" readingOrder="0"/>
    </xf>
    <xf borderId="36" fillId="0" fontId="1" numFmtId="0" xfId="0" applyBorder="1" applyFont="1"/>
    <xf borderId="36" fillId="5" fontId="5" numFmtId="0" xfId="0" applyAlignment="1" applyBorder="1" applyFont="1">
      <alignment horizontal="center" readingOrder="0" shrinkToFit="0" vertical="center" wrapText="1"/>
    </xf>
    <xf borderId="4" fillId="5" fontId="55" numFmtId="0" xfId="0" applyAlignment="1" applyBorder="1" applyFont="1">
      <alignment horizontal="center" readingOrder="0"/>
    </xf>
    <xf borderId="4" fillId="0" fontId="1" numFmtId="0" xfId="0" applyBorder="1" applyFont="1"/>
    <xf borderId="36" fillId="12" fontId="5" numFmtId="0" xfId="0" applyAlignment="1" applyBorder="1" applyFont="1">
      <alignment horizontal="center" readingOrder="0" shrinkToFit="0" vertical="center" wrapText="1"/>
    </xf>
    <xf borderId="4" fillId="12" fontId="55" numFmtId="0" xfId="0" applyAlignment="1" applyBorder="1" applyFont="1">
      <alignment horizontal="center" readingOrder="0"/>
    </xf>
    <xf borderId="43" fillId="4" fontId="5" numFmtId="0" xfId="0" applyAlignment="1" applyBorder="1" applyFont="1">
      <alignment horizontal="center" readingOrder="0" shrinkToFit="0" vertical="center" wrapText="1"/>
    </xf>
    <xf borderId="43" fillId="4" fontId="1" numFmtId="0" xfId="0" applyAlignment="1" applyBorder="1" applyFont="1">
      <alignment horizontal="center" readingOrder="0"/>
    </xf>
    <xf borderId="43" fillId="0" fontId="1" numFmtId="0" xfId="0" applyBorder="1" applyFont="1"/>
    <xf borderId="36" fillId="4" fontId="5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ont="1">
      <alignment horizontal="center" readingOrder="0"/>
    </xf>
    <xf borderId="37" fillId="4" fontId="58" numFmtId="0" xfId="0" applyAlignment="1" applyBorder="1" applyFont="1">
      <alignment horizontal="center" readingOrder="0"/>
    </xf>
    <xf borderId="42" fillId="2" fontId="1" numFmtId="0" xfId="0" applyAlignment="1" applyBorder="1" applyFont="1">
      <alignment horizontal="center" readingOrder="0"/>
    </xf>
    <xf borderId="38" fillId="2" fontId="1" numFmtId="0" xfId="0" applyAlignment="1" applyBorder="1" applyFont="1">
      <alignment horizontal="center" readingOrder="0"/>
    </xf>
    <xf borderId="38" fillId="0" fontId="5" numFmtId="0" xfId="0" applyAlignment="1" applyBorder="1" applyFont="1">
      <alignment horizontal="center" readingOrder="0" shrinkToFit="0" vertical="center" wrapText="1"/>
    </xf>
    <xf borderId="43" fillId="0" fontId="5" numFmtId="0" xfId="0" applyAlignment="1" applyBorder="1" applyFont="1">
      <alignment horizontal="center" readingOrder="0" shrinkToFit="0" vertical="center" wrapText="1"/>
    </xf>
    <xf borderId="44" fillId="0" fontId="1" numFmtId="0" xfId="0" applyBorder="1" applyFont="1"/>
    <xf borderId="38" fillId="13" fontId="5" numFmtId="0" xfId="0" applyAlignment="1" applyBorder="1" applyFont="1">
      <alignment horizontal="center" readingOrder="0" shrinkToFit="0" vertical="center" wrapText="1"/>
    </xf>
    <xf borderId="44" fillId="13" fontId="55" numFmtId="0" xfId="0" applyAlignment="1" applyBorder="1" applyFont="1">
      <alignment horizontal="center" readingOrder="0"/>
    </xf>
    <xf borderId="37" fillId="13" fontId="7" numFmtId="0" xfId="0" applyAlignment="1" applyBorder="1" applyFont="1">
      <alignment horizontal="center" readingOrder="0"/>
    </xf>
    <xf borderId="4" fillId="11" fontId="1" numFmtId="0" xfId="0" applyAlignment="1" applyBorder="1" applyFont="1">
      <alignment horizontal="center" readingOrder="0"/>
    </xf>
    <xf borderId="4" fillId="8" fontId="1" numFmtId="0" xfId="0" applyAlignment="1" applyBorder="1" applyFont="1">
      <alignment horizontal="center" readingOrder="0"/>
    </xf>
    <xf borderId="4" fillId="5" fontId="62" numFmtId="0" xfId="0" applyAlignment="1" applyBorder="1" applyFont="1">
      <alignment horizontal="center" readingOrder="0"/>
    </xf>
    <xf borderId="0" fillId="8" fontId="60" numFmtId="0" xfId="0" applyAlignment="1" applyFont="1">
      <alignment horizontal="center" readingOrder="0"/>
    </xf>
    <xf borderId="44" fillId="13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2" fontId="7" numFmtId="0" xfId="0" applyFont="1"/>
    <xf borderId="0" fillId="2" fontId="7" numFmtId="0" xfId="0" applyAlignment="1" applyFont="1">
      <alignment horizontal="center"/>
    </xf>
    <xf borderId="0" fillId="2" fontId="63" numFmtId="0" xfId="0" applyAlignment="1" applyFont="1">
      <alignment horizontal="center" readingOrder="0" shrinkToFit="0" textRotation="255" vertical="center" wrapText="0"/>
    </xf>
    <xf borderId="43" fillId="6" fontId="64" numFmtId="0" xfId="0" applyAlignment="1" applyBorder="1" applyFont="1">
      <alignment horizontal="center" readingOrder="0"/>
    </xf>
    <xf borderId="44" fillId="6" fontId="64" numFmtId="0" xfId="0" applyAlignment="1" applyBorder="1" applyFont="1">
      <alignment horizontal="center" readingOrder="0"/>
    </xf>
    <xf borderId="29" fillId="6" fontId="64" numFmtId="49" xfId="0" applyAlignment="1" applyBorder="1" applyFont="1" applyNumberFormat="1">
      <alignment horizontal="center" readingOrder="0"/>
    </xf>
    <xf borderId="0" fillId="6" fontId="64" numFmtId="0" xfId="0" applyAlignment="1" applyFont="1">
      <alignment horizontal="center" readingOrder="0"/>
    </xf>
    <xf borderId="43" fillId="0" fontId="21" numFmtId="0" xfId="0" applyBorder="1" applyFont="1"/>
    <xf borderId="0" fillId="6" fontId="64" numFmtId="2" xfId="0" applyAlignment="1" applyFont="1" applyNumberFormat="1">
      <alignment horizontal="center" readingOrder="0"/>
    </xf>
    <xf borderId="0" fillId="2" fontId="65" numFmtId="0" xfId="0" applyAlignment="1" applyFont="1">
      <alignment horizontal="center" readingOrder="0"/>
    </xf>
    <xf borderId="4" fillId="0" fontId="21" numFmtId="0" xfId="0" applyBorder="1" applyFont="1"/>
    <xf borderId="0" fillId="2" fontId="65" numFmtId="49" xfId="0" applyAlignment="1" applyFont="1" applyNumberFormat="1">
      <alignment horizontal="center" readingOrder="0"/>
    </xf>
    <xf borderId="0" fillId="2" fontId="9" numFmtId="0" xfId="0" applyAlignment="1" applyFont="1">
      <alignment horizontal="left" readingOrder="0"/>
    </xf>
    <xf borderId="0" fillId="2" fontId="66" numFmtId="0" xfId="0" applyAlignment="1" applyFont="1">
      <alignment horizontal="left" readingOrder="0" shrinkToFit="0" vertical="center" wrapText="1"/>
    </xf>
    <xf borderId="0" fillId="2" fontId="67" numFmtId="2" xfId="0" applyAlignment="1" applyFont="1" applyNumberFormat="1">
      <alignment horizontal="left" readingOrder="0" shrinkToFit="0" vertical="center" wrapText="1"/>
    </xf>
    <xf borderId="0" fillId="2" fontId="63" numFmtId="0" xfId="0" applyAlignment="1" applyFont="1">
      <alignment horizontal="center" readingOrder="0" shrinkToFit="0" textRotation="255" vertical="top" wrapText="0"/>
    </xf>
    <xf borderId="48" fillId="0" fontId="7" numFmtId="0" xfId="0" applyAlignment="1" applyBorder="1" applyFont="1">
      <alignment horizontal="center" readingOrder="0"/>
    </xf>
    <xf borderId="49" fillId="0" fontId="1" numFmtId="0" xfId="0" applyAlignment="1" applyBorder="1" applyFont="1">
      <alignment horizontal="center" readingOrder="0"/>
    </xf>
    <xf borderId="50" fillId="0" fontId="1" numFmtId="49" xfId="0" applyAlignment="1" applyBorder="1" applyFont="1" applyNumberFormat="1">
      <alignment horizontal="center" readingOrder="0"/>
    </xf>
    <xf borderId="51" fillId="5" fontId="1" numFmtId="49" xfId="0" applyAlignment="1" applyBorder="1" applyFont="1" applyNumberFormat="1">
      <alignment horizontal="center" readingOrder="0"/>
    </xf>
    <xf borderId="52" fillId="5" fontId="1" numFmtId="0" xfId="0" applyAlignment="1" applyBorder="1" applyFont="1">
      <alignment horizontal="center" readingOrder="0"/>
    </xf>
    <xf borderId="0" fillId="24" fontId="68" numFmtId="0" xfId="0" applyAlignment="1" applyFill="1" applyFont="1">
      <alignment horizontal="left" readingOrder="0" shrinkToFit="0" vertical="center" wrapText="1"/>
    </xf>
    <xf borderId="0" fillId="24" fontId="69" numFmtId="2" xfId="0" applyAlignment="1" applyFont="1" applyNumberFormat="1">
      <alignment horizontal="left" readingOrder="0" shrinkToFit="0" vertical="center" wrapText="1"/>
    </xf>
    <xf borderId="48" fillId="4" fontId="7" numFmtId="0" xfId="0" applyAlignment="1" applyBorder="1" applyFont="1">
      <alignment horizontal="center" readingOrder="0"/>
    </xf>
    <xf borderId="49" fillId="11" fontId="1" numFmtId="0" xfId="0" applyAlignment="1" applyBorder="1" applyFont="1">
      <alignment horizontal="center" readingOrder="0"/>
    </xf>
    <xf borderId="50" fillId="4" fontId="1" numFmtId="49" xfId="0" applyAlignment="1" applyBorder="1" applyFont="1" applyNumberFormat="1">
      <alignment horizontal="center" readingOrder="0"/>
    </xf>
    <xf borderId="52" fillId="5" fontId="70" numFmtId="0" xfId="0" applyAlignment="1" applyBorder="1" applyFont="1">
      <alignment horizontal="left" readingOrder="0"/>
    </xf>
    <xf borderId="48" fillId="11" fontId="1" numFmtId="0" xfId="0" applyAlignment="1" applyBorder="1" applyFont="1">
      <alignment horizontal="center" readingOrder="0"/>
    </xf>
    <xf borderId="49" fillId="4" fontId="7" numFmtId="0" xfId="0" applyAlignment="1" applyBorder="1" applyFont="1">
      <alignment horizontal="center" readingOrder="0"/>
    </xf>
    <xf borderId="0" fillId="24" fontId="71" numFmtId="0" xfId="0" applyAlignment="1" applyFont="1">
      <alignment readingOrder="0"/>
    </xf>
    <xf borderId="0" fillId="24" fontId="72" numFmtId="2" xfId="0" applyAlignment="1" applyFont="1" applyNumberFormat="1">
      <alignment readingOrder="0"/>
    </xf>
    <xf borderId="48" fillId="11" fontId="7" numFmtId="0" xfId="0" applyAlignment="1" applyBorder="1" applyFont="1">
      <alignment horizontal="center" readingOrder="0"/>
    </xf>
    <xf borderId="49" fillId="4" fontId="1" numFmtId="0" xfId="0" applyAlignment="1" applyBorder="1" applyFont="1">
      <alignment horizontal="center" readingOrder="0"/>
    </xf>
    <xf borderId="50" fillId="11" fontId="1" numFmtId="49" xfId="0" applyAlignment="1" applyBorder="1" applyFont="1" applyNumberFormat="1">
      <alignment horizontal="center" readingOrder="0"/>
    </xf>
    <xf borderId="0" fillId="24" fontId="73" numFmtId="0" xfId="0" applyAlignment="1" applyFont="1">
      <alignment readingOrder="0"/>
    </xf>
    <xf borderId="52" fillId="5" fontId="74" numFmtId="0" xfId="0" applyAlignment="1" applyBorder="1" applyFont="1">
      <alignment horizontal="left" readingOrder="0"/>
    </xf>
    <xf borderId="0" fillId="24" fontId="1" numFmtId="0" xfId="0" applyAlignment="1" applyFont="1">
      <alignment readingOrder="0"/>
    </xf>
    <xf borderId="0" fillId="24" fontId="1" numFmtId="2" xfId="0" applyAlignment="1" applyFont="1" applyNumberFormat="1">
      <alignment readingOrder="0"/>
    </xf>
    <xf borderId="46" fillId="4" fontId="7" numFmtId="0" xfId="0" applyAlignment="1" applyBorder="1" applyFont="1">
      <alignment horizontal="center" readingOrder="0"/>
    </xf>
    <xf borderId="53" fillId="4" fontId="1" numFmtId="49" xfId="0" applyAlignment="1" applyBorder="1" applyFont="1" applyNumberFormat="1">
      <alignment horizontal="center" readingOrder="0"/>
    </xf>
    <xf borderId="21" fillId="5" fontId="1" numFmtId="49" xfId="0" applyAlignment="1" applyBorder="1" applyFont="1" applyNumberFormat="1">
      <alignment horizontal="center" readingOrder="0"/>
    </xf>
    <xf borderId="21" fillId="5" fontId="75" numFmtId="0" xfId="0" applyAlignment="1" applyBorder="1" applyFont="1">
      <alignment horizontal="left" readingOrder="0"/>
    </xf>
    <xf borderId="48" fillId="4" fontId="56" numFmtId="0" xfId="0" applyAlignment="1" applyBorder="1" applyFont="1">
      <alignment horizontal="center" readingOrder="0"/>
    </xf>
    <xf borderId="51" fillId="11" fontId="1" numFmtId="0" xfId="0" applyAlignment="1" applyBorder="1" applyFont="1">
      <alignment horizontal="center" readingOrder="0"/>
    </xf>
    <xf borderId="49" fillId="13" fontId="7" numFmtId="0" xfId="0" applyAlignment="1" applyBorder="1" applyFont="1">
      <alignment horizontal="center" readingOrder="0"/>
    </xf>
    <xf borderId="50" fillId="13" fontId="1" numFmtId="49" xfId="0" applyAlignment="1" applyBorder="1" applyFont="1" applyNumberFormat="1">
      <alignment horizontal="center" readingOrder="0"/>
    </xf>
    <xf borderId="48" fillId="13" fontId="7" numFmtId="0" xfId="0" applyAlignment="1" applyBorder="1" applyFont="1">
      <alignment horizontal="center" readingOrder="0"/>
    </xf>
    <xf borderId="52" fillId="5" fontId="1" numFmtId="0" xfId="0" applyAlignment="1" applyBorder="1" applyFont="1">
      <alignment horizontal="left" readingOrder="0"/>
    </xf>
    <xf borderId="48" fillId="13" fontId="1" numFmtId="0" xfId="0" applyAlignment="1" applyBorder="1" applyFont="1">
      <alignment horizontal="center" readingOrder="0"/>
    </xf>
    <xf borderId="49" fillId="11" fontId="7" numFmtId="0" xfId="0" applyAlignment="1" applyBorder="1" applyFont="1">
      <alignment horizontal="center" readingOrder="0"/>
    </xf>
    <xf borderId="0" fillId="24" fontId="1" numFmtId="0" xfId="0" applyFont="1"/>
    <xf borderId="0" fillId="24" fontId="1" numFmtId="2" xfId="0" applyFont="1" applyNumberFormat="1"/>
    <xf borderId="48" fillId="2" fontId="1" numFmtId="0" xfId="0" applyAlignment="1" applyBorder="1" applyFont="1">
      <alignment horizontal="center"/>
    </xf>
    <xf borderId="51" fillId="2" fontId="65" numFmtId="0" xfId="0" applyAlignment="1" applyBorder="1" applyFont="1">
      <alignment horizontal="center" readingOrder="0"/>
    </xf>
    <xf borderId="49" fillId="0" fontId="21" numFmtId="0" xfId="0" applyBorder="1" applyFont="1"/>
    <xf borderId="51" fillId="2" fontId="65" numFmtId="49" xfId="0" applyAlignment="1" applyBorder="1" applyFont="1" applyNumberFormat="1">
      <alignment horizontal="center" readingOrder="0"/>
    </xf>
    <xf borderId="52" fillId="2" fontId="9" numFmtId="0" xfId="0" applyAlignment="1" applyBorder="1" applyFont="1">
      <alignment horizontal="left" readingOrder="0"/>
    </xf>
    <xf borderId="51" fillId="5" fontId="76" numFmtId="49" xfId="0" applyAlignment="1" applyBorder="1" applyFont="1" applyNumberFormat="1">
      <alignment horizontal="left" readingOrder="0"/>
    </xf>
    <xf borderId="49" fillId="13" fontId="1" numFmtId="0" xfId="0" applyAlignment="1" applyBorder="1" applyFont="1">
      <alignment horizontal="center" readingOrder="0"/>
    </xf>
    <xf borderId="49" fillId="11" fontId="4" numFmtId="49" xfId="0" applyAlignment="1" applyBorder="1" applyFont="1" applyNumberFormat="1">
      <alignment horizontal="center" readingOrder="0" vertical="bottom"/>
    </xf>
    <xf borderId="51" fillId="11" fontId="7" numFmtId="0" xfId="0" applyAlignment="1" applyBorder="1" applyFont="1">
      <alignment horizontal="center" readingOrder="0"/>
    </xf>
    <xf borderId="0" fillId="13" fontId="4" numFmtId="0" xfId="0" applyAlignment="1" applyFont="1">
      <alignment horizontal="center" readingOrder="0" vertical="bottom"/>
    </xf>
    <xf borderId="4" fillId="11" fontId="7" numFmtId="0" xfId="0" applyAlignment="1" applyBorder="1" applyFont="1">
      <alignment horizontal="center" readingOrder="0"/>
    </xf>
    <xf borderId="37" fillId="11" fontId="1" numFmtId="49" xfId="0" applyAlignment="1" applyBorder="1" applyFont="1" applyNumberFormat="1">
      <alignment horizontal="center" readingOrder="0"/>
    </xf>
    <xf borderId="51" fillId="11" fontId="5" numFmtId="0" xfId="0" applyAlignment="1" applyBorder="1" applyFont="1">
      <alignment horizontal="center" readingOrder="0" vertical="bottom"/>
    </xf>
    <xf borderId="37" fillId="13" fontId="1" numFmtId="49" xfId="0" applyAlignment="1" applyBorder="1" applyFont="1" applyNumberFormat="1">
      <alignment horizontal="center" readingOrder="0"/>
    </xf>
    <xf borderId="51" fillId="13" fontId="7" numFmtId="0" xfId="0" applyAlignment="1" applyBorder="1" applyFont="1">
      <alignment horizontal="center" readingOrder="0"/>
    </xf>
    <xf borderId="46" fillId="11" fontId="7" numFmtId="0" xfId="0" applyAlignment="1" applyBorder="1" applyFont="1">
      <alignment horizontal="center" readingOrder="0"/>
    </xf>
    <xf borderId="51" fillId="13" fontId="1" numFmtId="0" xfId="0" applyAlignment="1" applyBorder="1" applyFont="1">
      <alignment horizontal="center" readingOrder="0"/>
    </xf>
    <xf borderId="21" fillId="13" fontId="1" numFmtId="0" xfId="0" applyAlignment="1" applyBorder="1" applyFont="1">
      <alignment horizontal="center" readingOrder="0"/>
    </xf>
    <xf borderId="37" fillId="11" fontId="1" numFmtId="164" xfId="0" applyAlignment="1" applyBorder="1" applyFont="1" applyNumberFormat="1">
      <alignment horizontal="center" readingOrder="0"/>
    </xf>
    <xf borderId="0" fillId="5" fontId="77" numFmtId="0" xfId="0" applyAlignment="1" applyFont="1">
      <alignment readingOrder="0"/>
    </xf>
    <xf borderId="37" fillId="11" fontId="1" numFmtId="0" xfId="0" applyAlignment="1" applyBorder="1" applyFont="1">
      <alignment horizontal="center" readingOrder="0"/>
    </xf>
    <xf borderId="37" fillId="13" fontId="1" numFmtId="164" xfId="0" applyAlignment="1" applyBorder="1" applyFont="1" applyNumberFormat="1">
      <alignment horizontal="center" readingOrder="0"/>
    </xf>
    <xf borderId="0" fillId="5" fontId="1" numFmtId="49" xfId="0" applyAlignment="1" applyFont="1" applyNumberFormat="1">
      <alignment horizontal="center" readingOrder="0"/>
    </xf>
    <xf borderId="0" fillId="25" fontId="1" numFmtId="0" xfId="0" applyAlignment="1" applyFill="1" applyFont="1">
      <alignment horizontal="center"/>
    </xf>
    <xf borderId="0" fillId="25" fontId="1" numFmtId="0" xfId="0" applyFont="1"/>
    <xf borderId="48" fillId="0" fontId="1" numFmtId="0" xfId="0" applyAlignment="1" applyBorder="1" applyFont="1">
      <alignment horizontal="center" readingOrder="0"/>
    </xf>
    <xf borderId="49" fillId="0" fontId="7" numFmtId="0" xfId="0" applyAlignment="1" applyBorder="1" applyFont="1">
      <alignment horizontal="center" readingOrder="0"/>
    </xf>
    <xf borderId="0" fillId="2" fontId="78" numFmtId="0" xfId="0" applyAlignment="1" applyFont="1">
      <alignment horizontal="center" readingOrder="0" shrinkToFit="0" textRotation="255" vertical="center" wrapText="0"/>
    </xf>
    <xf borderId="0" fillId="24" fontId="1" numFmtId="0" xfId="0" applyAlignment="1" applyFont="1">
      <alignment readingOrder="0"/>
    </xf>
    <xf borderId="46" fillId="2" fontId="4" numFmtId="0" xfId="0" applyAlignment="1" applyBorder="1" applyFont="1">
      <alignment horizontal="center" readingOrder="0" vertical="bottom"/>
    </xf>
    <xf borderId="45" fillId="2" fontId="4" numFmtId="0" xfId="0" applyAlignment="1" applyBorder="1" applyFont="1">
      <alignment horizontal="center" readingOrder="0" vertical="bottom"/>
    </xf>
    <xf borderId="4" fillId="2" fontId="4" numFmtId="49" xfId="0" applyAlignment="1" applyBorder="1" applyFont="1" applyNumberFormat="1">
      <alignment horizontal="center" readingOrder="0" vertical="bottom"/>
    </xf>
    <xf borderId="0" fillId="2" fontId="4" numFmtId="49" xfId="0" applyAlignment="1" applyFont="1" applyNumberFormat="1">
      <alignment horizontal="center" readingOrder="0" vertical="bottom"/>
    </xf>
    <xf borderId="0" fillId="2" fontId="4" numFmtId="0" xfId="0" applyAlignment="1" applyFont="1">
      <alignment horizontal="left" readingOrder="0" vertical="bottom"/>
    </xf>
    <xf borderId="0" fillId="2" fontId="1" numFmtId="2" xfId="0" applyFont="1" applyNumberFormat="1"/>
    <xf borderId="0" fillId="0" fontId="79" numFmtId="0" xfId="0" applyAlignment="1" applyFont="1">
      <alignment horizontal="left" readingOrder="0" shrinkToFit="0" vertical="center" wrapText="1"/>
    </xf>
    <xf borderId="0" fillId="0" fontId="80" numFmtId="2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45" fillId="13" fontId="1" numFmtId="0" xfId="0" applyAlignment="1" applyBorder="1" applyFont="1">
      <alignment horizontal="center" readingOrder="0"/>
    </xf>
    <xf borderId="4" fillId="11" fontId="1" numFmtId="49" xfId="0" applyAlignment="1" applyBorder="1" applyFont="1" applyNumberFormat="1">
      <alignment horizontal="center" readingOrder="0"/>
    </xf>
    <xf borderId="0" fillId="5" fontId="1" numFmtId="0" xfId="0" applyAlignment="1" applyFont="1">
      <alignment horizontal="left" readingOrder="0"/>
    </xf>
    <xf borderId="46" fillId="13" fontId="1" numFmtId="0" xfId="0" applyAlignment="1" applyBorder="1" applyFont="1">
      <alignment horizontal="center" readingOrder="0"/>
    </xf>
    <xf borderId="45" fillId="11" fontId="7" numFmtId="0" xfId="0" applyAlignment="1" applyBorder="1" applyFont="1">
      <alignment horizontal="center" readingOrder="0"/>
    </xf>
    <xf borderId="0" fillId="5" fontId="81" numFmtId="0" xfId="0" applyAlignment="1" applyFont="1">
      <alignment horizontal="left" readingOrder="0"/>
    </xf>
    <xf borderId="54" fillId="13" fontId="7" numFmtId="0" xfId="0" applyAlignment="1" applyBorder="1" applyFont="1">
      <alignment horizontal="center" readingOrder="0"/>
    </xf>
    <xf borderId="45" fillId="11" fontId="1" numFmtId="0" xfId="0" applyAlignment="1" applyBorder="1" applyFont="1">
      <alignment horizontal="center" readingOrder="0"/>
    </xf>
    <xf borderId="49" fillId="13" fontId="1" numFmtId="49" xfId="0" applyAlignment="1" applyBorder="1" applyFont="1" applyNumberFormat="1">
      <alignment horizontal="center" readingOrder="0"/>
    </xf>
    <xf borderId="55" fillId="13" fontId="1" numFmtId="0" xfId="0" applyAlignment="1" applyBorder="1" applyFont="1">
      <alignment horizontal="center" readingOrder="0"/>
    </xf>
    <xf borderId="40" fillId="11" fontId="1" numFmtId="0" xfId="0" applyAlignment="1" applyBorder="1" applyFont="1">
      <alignment horizontal="center" readingOrder="0"/>
    </xf>
    <xf borderId="0" fillId="26" fontId="1" numFmtId="0" xfId="0" applyAlignment="1" applyFill="1" applyFont="1">
      <alignment horizontal="center" readingOrder="0"/>
    </xf>
    <xf borderId="0" fillId="2" fontId="9" numFmtId="0" xfId="0" applyAlignment="1" applyFont="1">
      <alignment horizontal="center" readingOrder="0" shrinkToFit="0" vertical="top" wrapText="1"/>
    </xf>
    <xf borderId="54" fillId="0" fontId="82" numFmtId="0" xfId="0" applyAlignment="1" applyBorder="1" applyFont="1">
      <alignment horizontal="center" readingOrder="0" shrinkToFit="0" vertical="center" wrapText="1"/>
    </xf>
    <xf borderId="18" fillId="0" fontId="21" numFmtId="0" xfId="0" applyBorder="1" applyFont="1"/>
    <xf borderId="0" fillId="4" fontId="1" numFmtId="0" xfId="0" applyAlignment="1" applyFont="1">
      <alignment horizontal="center"/>
    </xf>
    <xf borderId="0" fillId="2" fontId="1" numFmtId="0" xfId="0" applyAlignment="1" applyFont="1">
      <alignment horizontal="center" readingOrder="0" shrinkToFit="0" vertical="top" wrapText="1"/>
    </xf>
    <xf borderId="55" fillId="0" fontId="21" numFmtId="0" xfId="0" applyBorder="1" applyFont="1"/>
    <xf borderId="18" fillId="4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8" fontId="1" numFmtId="0" xfId="0" applyAlignment="1" applyFont="1">
      <alignment horizontal="center" readingOrder="0" vertical="center"/>
    </xf>
    <xf borderId="12" fillId="4" fontId="1" numFmtId="0" xfId="0" applyAlignment="1" applyBorder="1" applyFont="1">
      <alignment horizontal="center" readingOrder="0"/>
    </xf>
    <xf borderId="54" fillId="0" fontId="1" numFmtId="0" xfId="0" applyAlignment="1" applyBorder="1" applyFont="1">
      <alignment horizontal="center" readingOrder="0" shrinkToFit="0" vertical="center" wrapText="1"/>
    </xf>
    <xf borderId="12" fillId="4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 readingOrder="0" vertical="center"/>
    </xf>
    <xf borderId="46" fillId="4" fontId="1" numFmtId="0" xfId="0" applyAlignment="1" applyBorder="1" applyFont="1">
      <alignment horizontal="center"/>
    </xf>
    <xf borderId="0" fillId="2" fontId="1" numFmtId="0" xfId="0" applyAlignment="1" applyFont="1">
      <alignment horizontal="center" vertical="center"/>
    </xf>
    <xf borderId="12" fillId="8" fontId="1" numFmtId="0" xfId="0" applyAlignment="1" applyBorder="1" applyFont="1">
      <alignment horizontal="center" readingOrder="0" vertical="center"/>
    </xf>
    <xf borderId="0" fillId="2" fontId="9" numFmtId="0" xfId="0" applyAlignment="1" applyFont="1">
      <alignment horizontal="center" readingOrder="0"/>
    </xf>
    <xf borderId="56" fillId="0" fontId="1" numFmtId="0" xfId="0" applyAlignment="1" applyBorder="1" applyFont="1">
      <alignment horizontal="center" readingOrder="0"/>
    </xf>
    <xf borderId="17" fillId="4" fontId="1" numFmtId="0" xfId="0" applyAlignment="1" applyBorder="1" applyFont="1">
      <alignment horizontal="center"/>
    </xf>
    <xf borderId="0" fillId="4" fontId="1" numFmtId="0" xfId="0" applyAlignment="1" applyFont="1">
      <alignment horizontal="center" readingOrder="0" vertical="center"/>
    </xf>
    <xf borderId="0" fillId="8" fontId="7" numFmtId="0" xfId="0" applyAlignment="1" applyFont="1">
      <alignment horizontal="center" readingOrder="0" vertical="center"/>
    </xf>
    <xf borderId="0" fillId="8" fontId="1" numFmtId="0" xfId="0" applyAlignment="1" applyFont="1">
      <alignment horizontal="center"/>
    </xf>
    <xf borderId="0" fillId="8" fontId="83" numFmtId="0" xfId="0" applyAlignment="1" applyFont="1">
      <alignment horizontal="center" readingOrder="0"/>
    </xf>
    <xf borderId="46" fillId="2" fontId="1" numFmtId="0" xfId="0" applyAlignment="1" applyBorder="1" applyFont="1">
      <alignment horizontal="center"/>
    </xf>
    <xf borderId="46" fillId="8" fontId="1" numFmtId="0" xfId="0" applyAlignment="1" applyBorder="1" applyFont="1">
      <alignment horizontal="center" readingOrder="0" vertical="center"/>
    </xf>
    <xf borderId="46" fillId="8" fontId="7" numFmtId="0" xfId="0" applyAlignment="1" applyBorder="1" applyFont="1">
      <alignment horizontal="center" readingOrder="0"/>
    </xf>
    <xf borderId="46" fillId="8" fontId="1" numFmtId="0" xfId="0" applyAlignment="1" applyBorder="1" applyFont="1">
      <alignment horizontal="center"/>
    </xf>
    <xf borderId="46" fillId="8" fontId="1" numFmtId="0" xfId="0" applyAlignment="1" applyBorder="1" applyFont="1">
      <alignment horizontal="center" readingOrder="0"/>
    </xf>
    <xf borderId="0" fillId="9" fontId="1" numFmtId="0" xfId="0" applyAlignment="1" applyFont="1">
      <alignment horizontal="left" vertical="center"/>
    </xf>
    <xf borderId="0" fillId="9" fontId="1" numFmtId="3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9" xfId="0" applyFont="1" applyNumberFormat="1"/>
    <xf borderId="0" fillId="9" fontId="1" numFmtId="0" xfId="0" applyAlignment="1" applyFont="1">
      <alignment horizontal="center" readingOrder="0"/>
    </xf>
    <xf borderId="0" fillId="9" fontId="45" numFmtId="0" xfId="0" applyAlignment="1" applyFont="1">
      <alignment horizontal="left" vertical="center"/>
    </xf>
    <xf borderId="0" fillId="9" fontId="45" numFmtId="3" xfId="0" applyAlignment="1" applyFont="1" applyNumberFormat="1">
      <alignment horizontal="center"/>
    </xf>
    <xf borderId="0" fillId="0" fontId="45" numFmtId="9" xfId="0" applyFont="1" applyNumberFormat="1"/>
    <xf borderId="0" fillId="27" fontId="5" numFmtId="0" xfId="0" applyAlignment="1" applyFill="1" applyFont="1">
      <alignment horizontal="center" readingOrder="0" vertical="bottom"/>
    </xf>
    <xf borderId="0" fillId="27" fontId="5" numFmtId="0" xfId="0" applyAlignment="1" applyFont="1">
      <alignment horizontal="left" readingOrder="0" vertical="bottom"/>
    </xf>
    <xf borderId="0" fillId="4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4" fontId="4" numFmtId="0" xfId="0" applyAlignment="1" applyFont="1">
      <alignment readingOrder="0" vertical="bottom"/>
    </xf>
    <xf borderId="0" fillId="4" fontId="4" numFmtId="0" xfId="0" applyAlignment="1" applyFont="1">
      <alignment horizontal="right" readingOrder="0" vertical="bottom"/>
    </xf>
    <xf borderId="0" fillId="4" fontId="4" numFmtId="0" xfId="0" applyAlignment="1" applyFont="1">
      <alignment horizontal="right" readingOrder="0" vertical="bottom"/>
    </xf>
    <xf borderId="0" fillId="4" fontId="6" numFmtId="0" xfId="0" applyAlignment="1" applyFont="1">
      <alignment horizontal="right" readingOrder="0" vertical="bottom"/>
    </xf>
    <xf borderId="0" fillId="4" fontId="4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alowaypoint.com/halo-infinite/players/xXTHEChickenGod/matches/7b9a3d31-7172-4a46-bb8b-b51834b3e004" TargetMode="External"/><Relationship Id="rId42" Type="http://schemas.openxmlformats.org/officeDocument/2006/relationships/hyperlink" Target="https://www.halowaypoint.com/halo-infinite/players/ASpence501/matches/7f5d9678-94b1-482e-89d7-51ae88370a0c" TargetMode="External"/><Relationship Id="rId41" Type="http://schemas.openxmlformats.org/officeDocument/2006/relationships/hyperlink" Target="https://www.youtube.com/watch?v=kAmDZooyEpw" TargetMode="External"/><Relationship Id="rId44" Type="http://schemas.openxmlformats.org/officeDocument/2006/relationships/hyperlink" Target="https://www.halowaypoint.com/halo-infinite/players/MuNgO%20PuNgO/matches/534bf9a2-99a1-4785-942c-78ba741ddb5a" TargetMode="External"/><Relationship Id="rId43" Type="http://schemas.openxmlformats.org/officeDocument/2006/relationships/hyperlink" Target="https://www.youtube.com/watch?v=EPCSrK1psg0" TargetMode="External"/><Relationship Id="rId46" Type="http://schemas.openxmlformats.org/officeDocument/2006/relationships/hyperlink" Target="https://www.halowaypoint.com/halo-infinite/players/MuNgO%20PuNgO/matches/081133d6-47c6-4b87-8de5-02e29d7e4375" TargetMode="External"/><Relationship Id="rId45" Type="http://schemas.openxmlformats.org/officeDocument/2006/relationships/hyperlink" Target="https://www.youtube.com/watch?v=NQU25o4EKxM" TargetMode="External"/><Relationship Id="rId107" Type="http://schemas.openxmlformats.org/officeDocument/2006/relationships/hyperlink" Target="https://www.halowaypoint.com/halo-infinite/players/Scullen%20cx/matches/b538b6b9-3599-40bf-a3bc-6ecc72bb777a" TargetMode="External"/><Relationship Id="rId106" Type="http://schemas.openxmlformats.org/officeDocument/2006/relationships/hyperlink" Target="https://www.halowaypoint.com/halo-infinite/players/Scullen%20cx/matches/007efc97-2ef7-4192-b6fa-ecb058090fd4" TargetMode="External"/><Relationship Id="rId105" Type="http://schemas.openxmlformats.org/officeDocument/2006/relationships/hyperlink" Target="https://www.halowaypoint.com/halo-infinite/players/Scullen%20cx/matches/fb591d1a-96c2-4d78-a6e1-10e6ccedd17f" TargetMode="External"/><Relationship Id="rId104" Type="http://schemas.openxmlformats.org/officeDocument/2006/relationships/hyperlink" Target="https://www.halowaypoint.com/halo-infinite/players/Scullen%20cx/matches/01339d75-5bf3-46f1-b2bc-30dd23506e51" TargetMode="External"/><Relationship Id="rId109" Type="http://schemas.openxmlformats.org/officeDocument/2006/relationships/hyperlink" Target="https://www.halowaypoint.com/halo-infinite/players/Jussshhhyyy/matches/266dcf5c-f48d-4ad2-b76c-445e8945e367" TargetMode="External"/><Relationship Id="rId108" Type="http://schemas.openxmlformats.org/officeDocument/2006/relationships/hyperlink" Target="https://www.halowaypoint.com/halo-infinite/players/Scullen%20cx/matches/e0f631c5-a12a-4e27-a7a6-7d28bc7e06e7" TargetMode="External"/><Relationship Id="rId48" Type="http://schemas.openxmlformats.org/officeDocument/2006/relationships/hyperlink" Target="https://www.halowaypoint.com/halo-infinite/players/Holy%20Morals/matches/708844aa-92c7-4b69-bb94-6ad56554b609" TargetMode="External"/><Relationship Id="rId47" Type="http://schemas.openxmlformats.org/officeDocument/2006/relationships/hyperlink" Target="https://www.youtube.com/watch?v=lu3fLjYo7yQ" TargetMode="External"/><Relationship Id="rId49" Type="http://schemas.openxmlformats.org/officeDocument/2006/relationships/hyperlink" Target="https://www.halowaypoint.com/halo-infinite/players/Holy%20Morals/matches/ce751138-e0b1-451d-861a-dbbc9338439c" TargetMode="External"/><Relationship Id="rId103" Type="http://schemas.openxmlformats.org/officeDocument/2006/relationships/hyperlink" Target="https://www.youtube.com/watch?v=bztnagsLNn0" TargetMode="External"/><Relationship Id="rId102" Type="http://schemas.openxmlformats.org/officeDocument/2006/relationships/hyperlink" Target="https://www.halowaypoint.com/halo-infinite/players/Deathcrawller/matches/f33eb8af-db92-4957-af4d-bd44c3d46ee1" TargetMode="External"/><Relationship Id="rId101" Type="http://schemas.openxmlformats.org/officeDocument/2006/relationships/hyperlink" Target="https://www.halowaypoint.com/halo-infinite/players/Scullen%20cx/matches/cdaf3190-1a9d-4c6e-9b1d-5df41dd63ff1" TargetMode="External"/><Relationship Id="rId100" Type="http://schemas.openxmlformats.org/officeDocument/2006/relationships/hyperlink" Target="https://www.halowaypoint.com/halo-infinite/players/amnatu/matches/a7fc3475-f4a1-40b8-aa20-aa5b7d862297" TargetMode="External"/><Relationship Id="rId31" Type="http://schemas.openxmlformats.org/officeDocument/2006/relationships/hyperlink" Target="https://www.halowaypoint.com/halo-infinite/players/Doerstopper/matches/c90e8c17-6de2-4fce-bc9f-6f675a67eca1" TargetMode="External"/><Relationship Id="rId30" Type="http://schemas.openxmlformats.org/officeDocument/2006/relationships/hyperlink" Target="https://www.youtube.com/watch?v=jbrYcHJdKjE" TargetMode="External"/><Relationship Id="rId33" Type="http://schemas.openxmlformats.org/officeDocument/2006/relationships/hyperlink" Target="https://www.halowaypoint.com/halo-infinite/players/ASpence501/matches/9a6e8634-abe0-496e-b2af-3d5bf8909ef6" TargetMode="External"/><Relationship Id="rId32" Type="http://schemas.openxmlformats.org/officeDocument/2006/relationships/hyperlink" Target="https://www.youtube.com/watch?v=jbrYcHJdKjE" TargetMode="External"/><Relationship Id="rId35" Type="http://schemas.openxmlformats.org/officeDocument/2006/relationships/hyperlink" Target="https://www.youtube.com/watch?v=v_1D1FEu-1A" TargetMode="External"/><Relationship Id="rId34" Type="http://schemas.openxmlformats.org/officeDocument/2006/relationships/hyperlink" Target="https://www.youtube.com/watch?v=UAQbtocEwuI" TargetMode="External"/><Relationship Id="rId37" Type="http://schemas.openxmlformats.org/officeDocument/2006/relationships/hyperlink" Target="https://www.youtube.com/watch?v=DpGlAS8dvyA" TargetMode="External"/><Relationship Id="rId36" Type="http://schemas.openxmlformats.org/officeDocument/2006/relationships/hyperlink" Target="https://www.halowaypoint.com/halo-infinite/players/ASpence501/matches/8dc2f516-c52a-40bc-a8a9-a12dbdce0a3a" TargetMode="External"/><Relationship Id="rId39" Type="http://schemas.openxmlformats.org/officeDocument/2006/relationships/hyperlink" Target="https://www.youtube.com/watch?v=RzRDC2vNg7o" TargetMode="External"/><Relationship Id="rId38" Type="http://schemas.openxmlformats.org/officeDocument/2006/relationships/hyperlink" Target="https://www.halowaypoint.com/halo-infinite/players/xXTHEChickenGod/matches/8b848604-1928-4963-9a2b-9fa7e571f5ab" TargetMode="External"/><Relationship Id="rId20" Type="http://schemas.openxmlformats.org/officeDocument/2006/relationships/hyperlink" Target="https://www.youtube.com/watch?v=JbwGgL1ewwk" TargetMode="External"/><Relationship Id="rId22" Type="http://schemas.openxmlformats.org/officeDocument/2006/relationships/hyperlink" Target="https://www.youtube.com/watch?v=YomaAS1aWcQhttps://www.youtube.com/watch?v=YomaAS1aWcQ" TargetMode="External"/><Relationship Id="rId21" Type="http://schemas.openxmlformats.org/officeDocument/2006/relationships/hyperlink" Target="https://www.halowaypoint.com/halo-infinite/players/ASpence501/matches/3f10b5c7-4af1-47df-8c89-042da9a974de" TargetMode="External"/><Relationship Id="rId24" Type="http://schemas.openxmlformats.org/officeDocument/2006/relationships/hyperlink" Target="https://www.youtube.com/watch?v=sZjgQBynfMg" TargetMode="External"/><Relationship Id="rId23" Type="http://schemas.openxmlformats.org/officeDocument/2006/relationships/hyperlink" Target="https://www.halowaypoint.com/halo-infinite/players/Scullen%20cx/matches/87d53590-0d1f-4075-b15d-3805e382160e" TargetMode="External"/><Relationship Id="rId26" Type="http://schemas.openxmlformats.org/officeDocument/2006/relationships/hyperlink" Target="https://www.youtube.com/watch?v=9ZPWC6CRueg" TargetMode="External"/><Relationship Id="rId25" Type="http://schemas.openxmlformats.org/officeDocument/2006/relationships/hyperlink" Target="https://www.halowaypoint.com/halo-infinite/players/xXTHEChickenGod/matches/caeee87d-d1ce-4d45-a19c-b86fee08bf5e" TargetMode="External"/><Relationship Id="rId28" Type="http://schemas.openxmlformats.org/officeDocument/2006/relationships/hyperlink" Target="https://www.halowaypoint.com/halo-infinite/players/Doerstopper/matches/fc0ed6d8-699b-4033-ae88-6e254e4a4efd" TargetMode="External"/><Relationship Id="rId27" Type="http://schemas.openxmlformats.org/officeDocument/2006/relationships/hyperlink" Target="https://www.halowaypoint.com/halo-infinite/players/Doerstopper/matches/767ce514-6446-4654-87b9-04814af2c5b2" TargetMode="External"/><Relationship Id="rId29" Type="http://schemas.openxmlformats.org/officeDocument/2006/relationships/hyperlink" Target="https://www.halowaypoint.com/halo-infinite/players/Doerstopper/matches/4a413de5-308a-4dfd-aff2-4e923237b075" TargetMode="External"/><Relationship Id="rId95" Type="http://schemas.openxmlformats.org/officeDocument/2006/relationships/hyperlink" Target="https://www.halowaypoint.com/halo-infinite/players/ASpence501/matches/d9502468-c134-4f49-ae6c-7bd3be12a3d1" TargetMode="External"/><Relationship Id="rId94" Type="http://schemas.openxmlformats.org/officeDocument/2006/relationships/hyperlink" Target="https://www.halowaypoint.com/halo-infinite/players/Jussshhhyyy/matches/f4136a9d-d1a1-4358-bd8c-cb54814224bf" TargetMode="External"/><Relationship Id="rId97" Type="http://schemas.openxmlformats.org/officeDocument/2006/relationships/hyperlink" Target="https://www.halowaypoint.com/halo-infinite/players/ASpence501/matches/f71d4247-efc9-4e97-92f9-358ad408e79c" TargetMode="External"/><Relationship Id="rId96" Type="http://schemas.openxmlformats.org/officeDocument/2006/relationships/hyperlink" Target="https://www.youtube.com/watch?v=6YBzkxnQFC8" TargetMode="External"/><Relationship Id="rId11" Type="http://schemas.openxmlformats.org/officeDocument/2006/relationships/hyperlink" Target="https://www.youtube.com/watch?v=yoWJaPVHlMI" TargetMode="External"/><Relationship Id="rId99" Type="http://schemas.openxmlformats.org/officeDocument/2006/relationships/hyperlink" Target="https://www.halowaypoint.com/halo-infinite/players/Jussshhhyyy/matches/c0f8f7d8-2abb-4605-a4b8-13762f5a7dfe" TargetMode="External"/><Relationship Id="rId10" Type="http://schemas.openxmlformats.org/officeDocument/2006/relationships/hyperlink" Target="https://www.halowaypoint.com/halo-infinite/players/ASpence501/matches/40123278-35e4-4e41-b8fe-9a41210644d0" TargetMode="External"/><Relationship Id="rId98" Type="http://schemas.openxmlformats.org/officeDocument/2006/relationships/hyperlink" Target="https://www.youtube.com/watch?v=OK81b3BZ6Z0" TargetMode="External"/><Relationship Id="rId13" Type="http://schemas.openxmlformats.org/officeDocument/2006/relationships/hyperlink" Target="https://www.halowaypoint.com/halo-infinite/players/xXTHEChickenGod/matches/9726dc77-9563-4245-9e8f-c7fdc4df3ef5" TargetMode="External"/><Relationship Id="rId12" Type="http://schemas.openxmlformats.org/officeDocument/2006/relationships/hyperlink" Target="https://www.youtube.com/watch?v=cX2ifLFQGkw" TargetMode="External"/><Relationship Id="rId91" Type="http://schemas.openxmlformats.org/officeDocument/2006/relationships/hyperlink" Target="https://www.halowaypoint.com/halo-infinite/players/amnatu/matches/c6382b7e-60d4-45d5-bc85-44c8800fb72c" TargetMode="External"/><Relationship Id="rId90" Type="http://schemas.openxmlformats.org/officeDocument/2006/relationships/hyperlink" Target="https://www.halowaypoint.com/halo-infinite/players/amnatu/matches/44f2be51-2d7e-4af7-9712-6387ba86806f" TargetMode="External"/><Relationship Id="rId93" Type="http://schemas.openxmlformats.org/officeDocument/2006/relationships/hyperlink" Target="https://www.youtube.com/watch?v=7nS0OPgE2H0" TargetMode="External"/><Relationship Id="rId92" Type="http://schemas.openxmlformats.org/officeDocument/2006/relationships/hyperlink" Target="https://www.halowaypoint.com/halo-infinite/players/ASpence501/matches/78f99be5-814a-4f11-8d45-91fce9bb5a45" TargetMode="External"/><Relationship Id="rId115" Type="http://schemas.openxmlformats.org/officeDocument/2006/relationships/drawing" Target="../drawings/drawing5.xml"/><Relationship Id="rId15" Type="http://schemas.openxmlformats.org/officeDocument/2006/relationships/hyperlink" Target="https://www.halowaypoint.com/halo-infinite/players/xXTHEChickenGod/matches/3ca8ef11-d06a-4a38-860c-7f110ac275b0" TargetMode="External"/><Relationship Id="rId110" Type="http://schemas.openxmlformats.org/officeDocument/2006/relationships/hyperlink" Target="https://www.halowaypoint.com/halo-infinite/players/ASpence501/matches/ce5941d3-a709-485f-8c80-217e70bd4fdc" TargetMode="External"/><Relationship Id="rId14" Type="http://schemas.openxmlformats.org/officeDocument/2006/relationships/hyperlink" Target="https://www.youtube.com/watch?v=aWCbeSvTmqs" TargetMode="External"/><Relationship Id="rId17" Type="http://schemas.openxmlformats.org/officeDocument/2006/relationships/hyperlink" Target="https://www.halowaypoint.com/halo-infinite/players/ASpence501/matches/a86ff1e6-a12d-4166-b464-4ff50c32c347" TargetMode="External"/><Relationship Id="rId16" Type="http://schemas.openxmlformats.org/officeDocument/2006/relationships/hyperlink" Target="https://www.youtube.com/watch?v=lhFy18wtALw" TargetMode="External"/><Relationship Id="rId19" Type="http://schemas.openxmlformats.org/officeDocument/2006/relationships/hyperlink" Target="https://www.halowaypoint.com/halo-infinite/players/ASpence501/matches/279e0eb8-9d0f-4f2c-98c2-745fe73217ba" TargetMode="External"/><Relationship Id="rId114" Type="http://schemas.openxmlformats.org/officeDocument/2006/relationships/hyperlink" Target="https://www.halowaypoint.com/halo-infinite/players/MuNgO%20PuNgO/matches/1bb387e9-7466-4410-87b3-40d2462e09a9" TargetMode="External"/><Relationship Id="rId18" Type="http://schemas.openxmlformats.org/officeDocument/2006/relationships/hyperlink" Target="https://www.youtube.com/watch?v=UpmmJi2tnkg" TargetMode="External"/><Relationship Id="rId113" Type="http://schemas.openxmlformats.org/officeDocument/2006/relationships/hyperlink" Target="https://www.halowaypoint.com/halo-infinite/players/MuNgO%20PuNgO/matches/971942fe-3091-4fb6-a2b7-0399ef1d5b6e" TargetMode="External"/><Relationship Id="rId112" Type="http://schemas.openxmlformats.org/officeDocument/2006/relationships/hyperlink" Target="https://www.halowaypoint.com/halo-infinite/players/Jussshhhyyy/matches/a2b5fb4b-b8f9-4c5e-a2c8-6634e68cd233" TargetMode="External"/><Relationship Id="rId111" Type="http://schemas.openxmlformats.org/officeDocument/2006/relationships/hyperlink" Target="https://www.youtube.com/watch?v=pp4GxX601TM" TargetMode="External"/><Relationship Id="rId84" Type="http://schemas.openxmlformats.org/officeDocument/2006/relationships/hyperlink" Target="https://www.halowaypoint.com/halo-infinite/players/xXTHEChickenGod/matches/e850ee4f-a3ae-48c4-84ae-63fda0ad54b7" TargetMode="External"/><Relationship Id="rId83" Type="http://schemas.openxmlformats.org/officeDocument/2006/relationships/hyperlink" Target="https://www.halowaypoint.com/halo-infinite/players/amnatu/matches/f601997c-217d-463b-b680-303b4e3cb758" TargetMode="External"/><Relationship Id="rId86" Type="http://schemas.openxmlformats.org/officeDocument/2006/relationships/hyperlink" Target="https://www.youtube.com/watch?v=6i4OG4i3X-4" TargetMode="External"/><Relationship Id="rId85" Type="http://schemas.openxmlformats.org/officeDocument/2006/relationships/hyperlink" Target="https://www.youtube.com/watch?v=_DBd_rx-26g" TargetMode="External"/><Relationship Id="rId88" Type="http://schemas.openxmlformats.org/officeDocument/2006/relationships/hyperlink" Target="https://www.halowaypoint.com/halo-infinite/players/Deathcrawller/matches/1d8781d1-82dc-4f29-b751-491bd11b36de" TargetMode="External"/><Relationship Id="rId87" Type="http://schemas.openxmlformats.org/officeDocument/2006/relationships/hyperlink" Target="https://www.youtube.com/watch?v=3IYN5I4vY3w" TargetMode="External"/><Relationship Id="rId89" Type="http://schemas.openxmlformats.org/officeDocument/2006/relationships/hyperlink" Target="https://www.youtube.com/watch?v=g8tgEGDt7wU" TargetMode="External"/><Relationship Id="rId80" Type="http://schemas.openxmlformats.org/officeDocument/2006/relationships/hyperlink" Target="https://www.halowaypoint.com/halo-infinite/players/amnatu/matches/040e0ffb-7208-4941-a589-15d77f750c78" TargetMode="External"/><Relationship Id="rId82" Type="http://schemas.openxmlformats.org/officeDocument/2006/relationships/hyperlink" Target="https://www.halowaypoint.com/halo-infinite/players/amnatu/matches/ebbb1e6a-83e0-4336-aa9d-bf3b610abbaa" TargetMode="External"/><Relationship Id="rId81" Type="http://schemas.openxmlformats.org/officeDocument/2006/relationships/hyperlink" Target="https://www.halowaypoint.com/halo-infinite/players/amnatu/matches/ee4e8e1f-4979-424c-9ef9-9836f17f64cf" TargetMode="External"/><Relationship Id="rId1" Type="http://schemas.openxmlformats.org/officeDocument/2006/relationships/hyperlink" Target="https://www.halowaypoint.com/halo-infinite/players/ASpence501/matches/1fde4c2a-7935-4fb0-9706-e226f4d13683" TargetMode="External"/><Relationship Id="rId2" Type="http://schemas.openxmlformats.org/officeDocument/2006/relationships/hyperlink" Target="https://www.halowaypoint.com/halo-infinite/players/ASpence501/matches/4d98d05b-96e4-4749-9861-e9d4de2e6d0a" TargetMode="External"/><Relationship Id="rId3" Type="http://schemas.openxmlformats.org/officeDocument/2006/relationships/hyperlink" Target="https://www.halowaypoint.com/halo-infinite/players/ASpence501/matches/e7a64b82-69f5-4f8a-a1be-c9a7a6a69ec7" TargetMode="External"/><Relationship Id="rId4" Type="http://schemas.openxmlformats.org/officeDocument/2006/relationships/hyperlink" Target="https://www.youtube.com/watch?v=CnH7gClgZOY" TargetMode="External"/><Relationship Id="rId9" Type="http://schemas.openxmlformats.org/officeDocument/2006/relationships/hyperlink" Target="https://www.halowaypoint.com/halo-infinite/players/ASpence501/matches/e7ff616a-4f36-443d-b27c-d26e72764459" TargetMode="External"/><Relationship Id="rId5" Type="http://schemas.openxmlformats.org/officeDocument/2006/relationships/hyperlink" Target="https://www.halowaypoint.com/halo-infinite/players/Deathcrawller/matches/009b6ef9-a399-478f-9af2-9e8a7c456aa5" TargetMode="External"/><Relationship Id="rId6" Type="http://schemas.openxmlformats.org/officeDocument/2006/relationships/hyperlink" Target="https://www.youtube.com/watch?v=RywRbHhNyXE" TargetMode="External"/><Relationship Id="rId7" Type="http://schemas.openxmlformats.org/officeDocument/2006/relationships/hyperlink" Target="https://www.halowaypoint.com/halo-infinite/players/Deathcrawller/matches/5022bc2a-0cfb-46c8-b99a-866a4df7500a" TargetMode="External"/><Relationship Id="rId8" Type="http://schemas.openxmlformats.org/officeDocument/2006/relationships/hyperlink" Target="https://www.youtube.com/watch?v=anPXcvQ5EkM" TargetMode="External"/><Relationship Id="rId73" Type="http://schemas.openxmlformats.org/officeDocument/2006/relationships/hyperlink" Target="https://www.halowaypoint.com/halo-infinite/players/Doerstopper/matches/8be387c2-fec2-4272-9015-866f1a7c7aa3" TargetMode="External"/><Relationship Id="rId72" Type="http://schemas.openxmlformats.org/officeDocument/2006/relationships/hyperlink" Target="https://www.youtube.com/watch?v=LWch75KCzMs" TargetMode="External"/><Relationship Id="rId75" Type="http://schemas.openxmlformats.org/officeDocument/2006/relationships/hyperlink" Target="https://www.halowaypoint.com/halo-infinite/players/Holy%20Morals/matches/436723b9-ff66-4584-a983-576ea788dd9f" TargetMode="External"/><Relationship Id="rId74" Type="http://schemas.openxmlformats.org/officeDocument/2006/relationships/hyperlink" Target="https://www.youtube.com/watch?v=b4G6cld2yac" TargetMode="External"/><Relationship Id="rId77" Type="http://schemas.openxmlformats.org/officeDocument/2006/relationships/hyperlink" Target="https://www.halowaypoint.com/halo-infinite/players/ASpence501/matches/580f66f7-a7cf-4852-9eda-977803ff4a6e" TargetMode="External"/><Relationship Id="rId76" Type="http://schemas.openxmlformats.org/officeDocument/2006/relationships/hyperlink" Target="https://www.halowaypoint.com/halo-infinite/players/Holy%20Morals/matches/ac9697fc-79b0-4095-98ed-3833a38d4be5" TargetMode="External"/><Relationship Id="rId79" Type="http://schemas.openxmlformats.org/officeDocument/2006/relationships/hyperlink" Target="https://www.halowaypoint.com/halo-infinite/players/amnatu/matches/01f25a83-8f47-4478-a93a-726e7872d266" TargetMode="External"/><Relationship Id="rId78" Type="http://schemas.openxmlformats.org/officeDocument/2006/relationships/hyperlink" Target="https://www.youtube.com/watch?v=LNQGCOqbE4o" TargetMode="External"/><Relationship Id="rId71" Type="http://schemas.openxmlformats.org/officeDocument/2006/relationships/hyperlink" Target="https://www.halowaypoint.com/halo-infinite/players/Doerstopper/matches/0ccf7cb4-e776-4df0-ba0b-0256c1fdcbf8" TargetMode="External"/><Relationship Id="rId70" Type="http://schemas.openxmlformats.org/officeDocument/2006/relationships/hyperlink" Target="https://www.halowaypoint.com/halo-infinite/players/Holy%20Morals/matches/88d6f5b1-d79a-43a2-b805-72da72e187b4" TargetMode="External"/><Relationship Id="rId62" Type="http://schemas.openxmlformats.org/officeDocument/2006/relationships/hyperlink" Target="https://www.halowaypoint.com/halo-infinite/players/ASpence501/matches/a083ed36-0c90-4544-8738-f148d73f85c4" TargetMode="External"/><Relationship Id="rId61" Type="http://schemas.openxmlformats.org/officeDocument/2006/relationships/hyperlink" Target="https://www.halowaypoint.com/halo-infinite/players/Holy%20Morals/matches/dda0c9da-ff09-40c0-8f00-b84ff38f299b" TargetMode="External"/><Relationship Id="rId64" Type="http://schemas.openxmlformats.org/officeDocument/2006/relationships/hyperlink" Target="https://www.halowaypoint.com/halo-infinite/players/ASpence501/matches/d4501f7f-eba4-4bad-9916-6d8a470cb7d9" TargetMode="External"/><Relationship Id="rId63" Type="http://schemas.openxmlformats.org/officeDocument/2006/relationships/hyperlink" Target="https://www.youtube.com/watch?v=BqwVEPr72Kc" TargetMode="External"/><Relationship Id="rId66" Type="http://schemas.openxmlformats.org/officeDocument/2006/relationships/hyperlink" Target="https://www.halowaypoint.com/halo-infinite/players/ASpence501/matches/166c73eb-5d80-469b-899c-e91d7d587283" TargetMode="External"/><Relationship Id="rId65" Type="http://schemas.openxmlformats.org/officeDocument/2006/relationships/hyperlink" Target="https://www.youtube.com/watch?v=VtFWfj1DDvc" TargetMode="External"/><Relationship Id="rId68" Type="http://schemas.openxmlformats.org/officeDocument/2006/relationships/hyperlink" Target="https://www.halowaypoint.com/halo-infinite/players/Trespa5s/matches/4029e554-7b8f-4759-9fda-e93abde5d004" TargetMode="External"/><Relationship Id="rId67" Type="http://schemas.openxmlformats.org/officeDocument/2006/relationships/hyperlink" Target="https://www.youtube.com/watch?v=a_jlCFXawQI" TargetMode="External"/><Relationship Id="rId60" Type="http://schemas.openxmlformats.org/officeDocument/2006/relationships/hyperlink" Target="https://www.halowaypoint.com/halo-infinite/players/Holy%20Morals/matches/a7ebaf06-46f2-439d-8b1d-637c055ba0be" TargetMode="External"/><Relationship Id="rId69" Type="http://schemas.openxmlformats.org/officeDocument/2006/relationships/hyperlink" Target="https://www.halowaypoint.com/halo-infinite/players/Trespa5s/matches/fae6dd05-e237-4e62-9f16-1c7ff9c7e12b" TargetMode="External"/><Relationship Id="rId51" Type="http://schemas.openxmlformats.org/officeDocument/2006/relationships/hyperlink" Target="https://www.youtube.com/watch?v=HxjZf0YtlAA" TargetMode="External"/><Relationship Id="rId50" Type="http://schemas.openxmlformats.org/officeDocument/2006/relationships/hyperlink" Target="https://www.halowaypoint.com/halo-infinite/players/xXTHEChickenGod/matches/ac2a1449-7459-4935-a54c-7a15a17a001b" TargetMode="External"/><Relationship Id="rId53" Type="http://schemas.openxmlformats.org/officeDocument/2006/relationships/hyperlink" Target="https://www.youtube.com/watch?v=j2LpTVf_Fhw" TargetMode="External"/><Relationship Id="rId52" Type="http://schemas.openxmlformats.org/officeDocument/2006/relationships/hyperlink" Target="https://www.halowaypoint.com/halo-infinite/players/xXTHEChickenGod/matches/266240a1-27db-4a86-8b50-a6647f287018" TargetMode="External"/><Relationship Id="rId55" Type="http://schemas.openxmlformats.org/officeDocument/2006/relationships/hyperlink" Target="https://www.halowaypoint.com/halo-infinite/players/Holy%20Morals/matches/87a28842-c099-46c5-8530-d6c848b9a6e4" TargetMode="External"/><Relationship Id="rId54" Type="http://schemas.openxmlformats.org/officeDocument/2006/relationships/hyperlink" Target="https://www.halowaypoint.com/halo-infinite/players/amnatu/matches/89724830-6181-4b06-8799-ba9aed924419" TargetMode="External"/><Relationship Id="rId57" Type="http://schemas.openxmlformats.org/officeDocument/2006/relationships/hyperlink" Target="https://www.halowaypoint.com/halo-infinite/players/Holy%20Morals/matches/29e86ce4-47fc-4185-8fe2-c9ab7f4d43f5" TargetMode="External"/><Relationship Id="rId56" Type="http://schemas.openxmlformats.org/officeDocument/2006/relationships/hyperlink" Target="https://www.halowaypoint.com/halo-infinite/players/Holy%20Morals/matches/26e74234-b7d9-4af1-a714-bed2f5f42101" TargetMode="External"/><Relationship Id="rId59" Type="http://schemas.openxmlformats.org/officeDocument/2006/relationships/hyperlink" Target="https://www.youtube.com/watch?v=o1DD1lBwB6s" TargetMode="External"/><Relationship Id="rId58" Type="http://schemas.openxmlformats.org/officeDocument/2006/relationships/hyperlink" Target="https://www.halowaypoint.com/halo-infinite/players/ASpence501/matches/12e1b9b9-6db5-466e-8042-c8549a092c14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8" max="8" width="13.25"/>
    <col customWidth="1" min="10" max="10" width="16.5"/>
  </cols>
  <sheetData>
    <row r="1">
      <c r="A1" s="1"/>
      <c r="B1" s="2" t="s">
        <v>0</v>
      </c>
      <c r="J1" s="1"/>
      <c r="K1" s="3" t="s">
        <v>1</v>
      </c>
    </row>
    <row r="2">
      <c r="A2" s="1"/>
      <c r="B2" s="4"/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"/>
    </row>
    <row r="3">
      <c r="A3" s="1"/>
      <c r="B3" s="6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1"/>
      <c r="K3" s="8" t="s">
        <v>17</v>
      </c>
      <c r="L3" s="8" t="s">
        <v>18</v>
      </c>
      <c r="M3" s="8" t="s">
        <v>19</v>
      </c>
    </row>
    <row r="4">
      <c r="A4" s="1"/>
      <c r="B4" s="6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  <c r="I4" s="7" t="s">
        <v>27</v>
      </c>
      <c r="J4" s="1"/>
      <c r="K4" s="8" t="s">
        <v>28</v>
      </c>
      <c r="L4" s="8" t="s">
        <v>29</v>
      </c>
      <c r="M4" s="9"/>
    </row>
    <row r="5">
      <c r="A5" s="1"/>
      <c r="B5" s="6" t="s">
        <v>30</v>
      </c>
      <c r="C5" s="7" t="s">
        <v>31</v>
      </c>
      <c r="D5" s="7" t="s">
        <v>32</v>
      </c>
      <c r="E5" s="7" t="s">
        <v>33</v>
      </c>
      <c r="F5" s="7" t="s">
        <v>34</v>
      </c>
      <c r="G5" s="7" t="s">
        <v>35</v>
      </c>
      <c r="H5" s="7" t="s">
        <v>36</v>
      </c>
      <c r="I5" s="7" t="s">
        <v>37</v>
      </c>
      <c r="J5" s="1"/>
      <c r="K5" s="1"/>
      <c r="L5" s="1"/>
      <c r="M5" s="1"/>
    </row>
    <row r="6">
      <c r="A6" s="1"/>
      <c r="B6" s="6" t="s">
        <v>38</v>
      </c>
      <c r="C6" s="7" t="s">
        <v>39</v>
      </c>
      <c r="D6" s="7" t="s">
        <v>40</v>
      </c>
      <c r="E6" s="7" t="s">
        <v>41</v>
      </c>
      <c r="F6" s="7" t="s">
        <v>42</v>
      </c>
      <c r="G6" s="7" t="s">
        <v>43</v>
      </c>
      <c r="H6" s="7" t="s">
        <v>44</v>
      </c>
      <c r="I6" s="7" t="s">
        <v>45</v>
      </c>
      <c r="J6" s="1"/>
      <c r="K6" s="1"/>
      <c r="L6" s="1"/>
      <c r="M6" s="1"/>
    </row>
    <row r="7">
      <c r="A7" s="1"/>
      <c r="B7" s="6" t="s">
        <v>46</v>
      </c>
      <c r="C7" s="10"/>
      <c r="D7" s="10"/>
      <c r="E7" s="10"/>
      <c r="F7" s="7" t="s">
        <v>47</v>
      </c>
      <c r="G7" s="11"/>
      <c r="H7" s="7" t="s">
        <v>48</v>
      </c>
      <c r="I7" s="7" t="s">
        <v>49</v>
      </c>
      <c r="J7" s="1"/>
      <c r="K7" s="12"/>
      <c r="L7" s="1"/>
      <c r="M7" s="1"/>
    </row>
    <row r="8">
      <c r="A8" s="1"/>
      <c r="B8" s="6" t="s">
        <v>50</v>
      </c>
      <c r="C8" s="10"/>
      <c r="D8" s="10"/>
      <c r="E8" s="10"/>
      <c r="F8" s="7" t="s">
        <v>51</v>
      </c>
      <c r="G8" s="11"/>
      <c r="H8" s="7" t="s">
        <v>52</v>
      </c>
      <c r="I8" s="7" t="s">
        <v>53</v>
      </c>
      <c r="J8" s="13"/>
      <c r="K8" s="1"/>
      <c r="L8" s="1"/>
      <c r="M8" s="1"/>
    </row>
    <row r="9">
      <c r="A9" s="1"/>
      <c r="B9" s="6" t="s">
        <v>54</v>
      </c>
      <c r="C9" s="11"/>
      <c r="D9" s="7" t="s">
        <v>55</v>
      </c>
      <c r="E9" s="7" t="s">
        <v>56</v>
      </c>
      <c r="F9" s="7" t="s">
        <v>57</v>
      </c>
      <c r="G9" s="11"/>
      <c r="H9" s="7" t="s">
        <v>58</v>
      </c>
      <c r="I9" s="11"/>
      <c r="J9" s="1"/>
      <c r="K9" s="1"/>
      <c r="L9" s="14"/>
      <c r="M9" s="1"/>
    </row>
    <row r="10">
      <c r="A10" s="1"/>
      <c r="B10" s="6" t="s">
        <v>59</v>
      </c>
      <c r="C10" s="11"/>
      <c r="D10" s="11"/>
      <c r="E10" s="11"/>
      <c r="F10" s="7" t="s">
        <v>60</v>
      </c>
      <c r="G10" s="11"/>
      <c r="H10" s="7" t="s">
        <v>61</v>
      </c>
      <c r="I10" s="11"/>
      <c r="J10" s="1"/>
      <c r="K10" s="1"/>
      <c r="L10" s="14"/>
      <c r="M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hidden="1">
      <c r="A15" s="1"/>
      <c r="B15" s="15" t="s">
        <v>62</v>
      </c>
    </row>
    <row r="16" hidden="1">
      <c r="A16" s="16">
        <v>1.0</v>
      </c>
      <c r="B16" s="17" t="s">
        <v>63</v>
      </c>
      <c r="C16" s="17" t="s">
        <v>64</v>
      </c>
      <c r="D16" s="18" t="s">
        <v>65</v>
      </c>
      <c r="E16" s="18" t="s">
        <v>66</v>
      </c>
      <c r="F16" s="18" t="s">
        <v>67</v>
      </c>
      <c r="G16" s="18" t="s">
        <v>68</v>
      </c>
      <c r="H16" s="18" t="s">
        <v>69</v>
      </c>
      <c r="I16" s="17" t="s">
        <v>70</v>
      </c>
      <c r="J16" s="17" t="s">
        <v>71</v>
      </c>
      <c r="K16" s="17" t="s">
        <v>72</v>
      </c>
      <c r="L16" s="18" t="s">
        <v>73</v>
      </c>
    </row>
    <row r="17" hidden="1">
      <c r="A17" s="16">
        <v>2.0</v>
      </c>
      <c r="B17" s="17" t="s">
        <v>74</v>
      </c>
      <c r="C17" s="17" t="s">
        <v>75</v>
      </c>
      <c r="D17" s="18" t="s">
        <v>76</v>
      </c>
      <c r="E17" s="18" t="s">
        <v>77</v>
      </c>
      <c r="F17" s="18" t="s">
        <v>78</v>
      </c>
      <c r="G17" s="18" t="s">
        <v>79</v>
      </c>
      <c r="H17" s="18" t="s">
        <v>80</v>
      </c>
      <c r="I17" s="17" t="s">
        <v>81</v>
      </c>
      <c r="J17" s="17" t="s">
        <v>82</v>
      </c>
      <c r="K17" s="17" t="s">
        <v>83</v>
      </c>
      <c r="L17" s="18" t="s">
        <v>84</v>
      </c>
    </row>
    <row r="18" hidden="1">
      <c r="A18" s="16">
        <v>3.0</v>
      </c>
      <c r="B18" s="17" t="s">
        <v>85</v>
      </c>
      <c r="C18" s="17" t="s">
        <v>86</v>
      </c>
      <c r="D18" s="18" t="s">
        <v>87</v>
      </c>
      <c r="E18" s="18" t="s">
        <v>88</v>
      </c>
      <c r="F18" s="18" t="s">
        <v>89</v>
      </c>
      <c r="G18" s="18" t="s">
        <v>90</v>
      </c>
      <c r="H18" s="18" t="s">
        <v>91</v>
      </c>
      <c r="I18" s="17" t="s">
        <v>92</v>
      </c>
      <c r="J18" s="17" t="s">
        <v>93</v>
      </c>
      <c r="K18" s="17" t="s">
        <v>94</v>
      </c>
      <c r="L18" s="18" t="s">
        <v>95</v>
      </c>
    </row>
    <row r="19" hidden="1">
      <c r="A19" s="16">
        <v>4.0</v>
      </c>
      <c r="B19" s="17" t="s">
        <v>96</v>
      </c>
      <c r="C19" s="19" t="s">
        <v>97</v>
      </c>
      <c r="D19" s="18" t="s">
        <v>98</v>
      </c>
      <c r="E19" s="18" t="s">
        <v>99</v>
      </c>
      <c r="F19" s="18" t="s">
        <v>100</v>
      </c>
      <c r="G19" s="18" t="s">
        <v>101</v>
      </c>
      <c r="H19" s="18" t="s">
        <v>102</v>
      </c>
      <c r="I19" s="17" t="s">
        <v>103</v>
      </c>
      <c r="J19" s="17" t="s">
        <v>104</v>
      </c>
      <c r="K19" s="17" t="s">
        <v>105</v>
      </c>
      <c r="L19" s="18" t="s">
        <v>73</v>
      </c>
    </row>
    <row r="20" hidden="1">
      <c r="A20" s="16">
        <v>5.0</v>
      </c>
      <c r="B20" s="17" t="s">
        <v>106</v>
      </c>
      <c r="C20" s="19" t="s">
        <v>107</v>
      </c>
      <c r="D20" s="18" t="s">
        <v>108</v>
      </c>
      <c r="E20" s="18" t="s">
        <v>109</v>
      </c>
      <c r="F20" s="18" t="s">
        <v>110</v>
      </c>
      <c r="G20" s="18" t="s">
        <v>111</v>
      </c>
      <c r="H20" s="18" t="s">
        <v>112</v>
      </c>
      <c r="I20" s="17" t="s">
        <v>113</v>
      </c>
      <c r="J20" s="17" t="s">
        <v>114</v>
      </c>
      <c r="K20" s="17" t="s">
        <v>115</v>
      </c>
      <c r="L20" s="18" t="s">
        <v>116</v>
      </c>
    </row>
    <row r="21" hidden="1">
      <c r="A21" s="16">
        <v>6.0</v>
      </c>
      <c r="B21" s="17" t="s">
        <v>117</v>
      </c>
      <c r="C21" s="19" t="s">
        <v>118</v>
      </c>
      <c r="D21" s="18" t="s">
        <v>119</v>
      </c>
      <c r="E21" s="18" t="s">
        <v>120</v>
      </c>
      <c r="F21" s="18" t="s">
        <v>121</v>
      </c>
      <c r="G21" s="18" t="s">
        <v>122</v>
      </c>
      <c r="H21" s="18" t="s">
        <v>123</v>
      </c>
      <c r="I21" s="17" t="s">
        <v>124</v>
      </c>
      <c r="J21" s="17" t="s">
        <v>125</v>
      </c>
      <c r="K21" s="17" t="s">
        <v>126</v>
      </c>
      <c r="L21" s="18" t="s">
        <v>127</v>
      </c>
    </row>
    <row r="22" hidden="1">
      <c r="A22" s="16">
        <v>7.0</v>
      </c>
      <c r="B22" s="17" t="s">
        <v>128</v>
      </c>
      <c r="C22" s="19" t="s">
        <v>129</v>
      </c>
      <c r="D22" s="18" t="s">
        <v>130</v>
      </c>
      <c r="E22" s="18" t="s">
        <v>131</v>
      </c>
      <c r="F22" s="18" t="s">
        <v>132</v>
      </c>
      <c r="G22" s="18" t="s">
        <v>133</v>
      </c>
      <c r="H22" s="18" t="s">
        <v>134</v>
      </c>
      <c r="I22" s="17" t="s">
        <v>135</v>
      </c>
      <c r="J22" s="17" t="s">
        <v>136</v>
      </c>
      <c r="K22" s="17" t="s">
        <v>137</v>
      </c>
      <c r="L22" s="18" t="s">
        <v>138</v>
      </c>
    </row>
    <row r="23" hidden="1">
      <c r="A23" s="16">
        <v>8.0</v>
      </c>
      <c r="B23" s="17" t="s">
        <v>128</v>
      </c>
      <c r="C23" s="19" t="s">
        <v>139</v>
      </c>
      <c r="D23" s="18" t="s">
        <v>140</v>
      </c>
      <c r="E23" s="18" t="s">
        <v>141</v>
      </c>
      <c r="F23" s="18" t="s">
        <v>142</v>
      </c>
      <c r="G23" s="18" t="s">
        <v>143</v>
      </c>
      <c r="H23" s="18" t="s">
        <v>144</v>
      </c>
      <c r="I23" s="17" t="s">
        <v>145</v>
      </c>
      <c r="J23" s="17" t="s">
        <v>146</v>
      </c>
      <c r="K23" s="17" t="s">
        <v>137</v>
      </c>
      <c r="L23" s="18" t="s">
        <v>147</v>
      </c>
    </row>
    <row r="24" hidden="1">
      <c r="A24" s="16">
        <v>9.0</v>
      </c>
      <c r="B24" s="17" t="s">
        <v>128</v>
      </c>
      <c r="C24" s="19" t="s">
        <v>148</v>
      </c>
      <c r="D24" s="18" t="s">
        <v>149</v>
      </c>
      <c r="E24" s="18" t="s">
        <v>150</v>
      </c>
      <c r="F24" s="18" t="s">
        <v>151</v>
      </c>
      <c r="G24" s="18" t="s">
        <v>152</v>
      </c>
      <c r="H24" s="18" t="s">
        <v>153</v>
      </c>
      <c r="I24" s="17" t="s">
        <v>154</v>
      </c>
      <c r="J24" s="17" t="s">
        <v>155</v>
      </c>
      <c r="K24" s="17" t="s">
        <v>137</v>
      </c>
      <c r="L24" s="18" t="s">
        <v>156</v>
      </c>
    </row>
    <row r="25" hidden="1">
      <c r="A25" s="16">
        <v>10.0</v>
      </c>
      <c r="B25" s="17" t="s">
        <v>128</v>
      </c>
      <c r="C25" s="19" t="s">
        <v>148</v>
      </c>
      <c r="D25" s="18" t="s">
        <v>157</v>
      </c>
      <c r="E25" s="18" t="s">
        <v>158</v>
      </c>
      <c r="F25" s="18" t="s">
        <v>159</v>
      </c>
      <c r="G25" s="18" t="s">
        <v>160</v>
      </c>
      <c r="H25" s="18" t="s">
        <v>161</v>
      </c>
      <c r="I25" s="17" t="s">
        <v>162</v>
      </c>
      <c r="J25" s="17" t="s">
        <v>163</v>
      </c>
      <c r="K25" s="17" t="s">
        <v>137</v>
      </c>
      <c r="L25" s="18" t="s">
        <v>164</v>
      </c>
    </row>
  </sheetData>
  <mergeCells count="2">
    <mergeCell ref="B1:I1"/>
    <mergeCell ref="K1:M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2" max="2" width="22.25"/>
    <col customWidth="1" min="3" max="3" width="24.25"/>
    <col customWidth="1" min="4" max="8" width="22.0"/>
    <col customWidth="1" min="9" max="10" width="23.13"/>
  </cols>
  <sheetData>
    <row r="1">
      <c r="A1" s="20" t="s">
        <v>165</v>
      </c>
      <c r="B1" s="21" t="s">
        <v>166</v>
      </c>
      <c r="I1" s="22"/>
    </row>
    <row r="2">
      <c r="B2" s="23" t="s">
        <v>2</v>
      </c>
      <c r="C2" s="24" t="s">
        <v>3</v>
      </c>
      <c r="D2" s="25" t="s">
        <v>4</v>
      </c>
      <c r="E2" s="26" t="s">
        <v>5</v>
      </c>
      <c r="F2" s="27" t="s">
        <v>6</v>
      </c>
      <c r="G2" s="28" t="s">
        <v>7</v>
      </c>
      <c r="H2" s="29" t="s">
        <v>167</v>
      </c>
    </row>
    <row r="3" ht="82.5" customHeight="1">
      <c r="A3" s="30" t="s">
        <v>9</v>
      </c>
      <c r="B3" s="31" t="s">
        <v>168</v>
      </c>
      <c r="C3" s="32" t="s">
        <v>169</v>
      </c>
      <c r="D3" s="33" t="s">
        <v>170</v>
      </c>
      <c r="E3" s="34" t="s">
        <v>171</v>
      </c>
      <c r="F3" s="31" t="s">
        <v>172</v>
      </c>
      <c r="G3" s="34" t="s">
        <v>173</v>
      </c>
      <c r="H3" s="35" t="s">
        <v>174</v>
      </c>
      <c r="I3" s="36" t="s">
        <v>175</v>
      </c>
    </row>
    <row r="4" ht="101.25" customHeight="1">
      <c r="A4" s="30" t="s">
        <v>176</v>
      </c>
      <c r="B4" s="37" t="s">
        <v>177</v>
      </c>
      <c r="C4" s="38" t="s">
        <v>178</v>
      </c>
      <c r="D4" s="37" t="s">
        <v>179</v>
      </c>
      <c r="E4" s="38" t="s">
        <v>180</v>
      </c>
      <c r="F4" s="37" t="s">
        <v>181</v>
      </c>
      <c r="G4" s="38" t="s">
        <v>182</v>
      </c>
      <c r="H4" s="37" t="s">
        <v>183</v>
      </c>
    </row>
    <row r="5" ht="101.25" customHeight="1">
      <c r="A5" s="30" t="s">
        <v>184</v>
      </c>
      <c r="B5" s="38" t="s">
        <v>185</v>
      </c>
      <c r="C5" s="37" t="s">
        <v>186</v>
      </c>
      <c r="D5" s="38" t="s">
        <v>187</v>
      </c>
      <c r="E5" s="37" t="s">
        <v>188</v>
      </c>
      <c r="F5" s="38" t="s">
        <v>35</v>
      </c>
      <c r="G5" s="37" t="s">
        <v>189</v>
      </c>
      <c r="H5" s="38" t="s">
        <v>190</v>
      </c>
    </row>
    <row r="6" ht="96.0" customHeight="1">
      <c r="A6" s="30" t="s">
        <v>191</v>
      </c>
      <c r="B6" s="37" t="s">
        <v>192</v>
      </c>
      <c r="C6" s="38" t="s">
        <v>40</v>
      </c>
      <c r="D6" s="37" t="s">
        <v>193</v>
      </c>
      <c r="E6" s="38" t="s">
        <v>194</v>
      </c>
      <c r="F6" s="37" t="s">
        <v>43</v>
      </c>
      <c r="G6" s="38" t="s">
        <v>195</v>
      </c>
      <c r="H6" s="37" t="s">
        <v>196</v>
      </c>
    </row>
    <row r="7" ht="93.0" customHeight="1">
      <c r="A7" s="30" t="s">
        <v>197</v>
      </c>
      <c r="B7" s="38"/>
      <c r="C7" s="37"/>
      <c r="D7" s="38"/>
      <c r="E7" s="37" t="s">
        <v>198</v>
      </c>
      <c r="F7" s="39"/>
      <c r="G7" s="37" t="s">
        <v>199</v>
      </c>
      <c r="H7" s="38" t="s">
        <v>200</v>
      </c>
    </row>
    <row r="8" ht="93.0" customHeight="1">
      <c r="A8" s="40" t="s">
        <v>50</v>
      </c>
      <c r="B8" s="37"/>
      <c r="C8" s="38"/>
      <c r="D8" s="37"/>
      <c r="E8" s="38" t="s">
        <v>201</v>
      </c>
      <c r="F8" s="41"/>
      <c r="G8" s="38" t="s">
        <v>202</v>
      </c>
      <c r="H8" s="37" t="s">
        <v>203</v>
      </c>
      <c r="I8" s="42"/>
      <c r="J8" s="43" t="s">
        <v>204</v>
      </c>
    </row>
    <row r="9" ht="82.5" customHeight="1">
      <c r="A9" s="40" t="s">
        <v>205</v>
      </c>
      <c r="B9" s="38"/>
      <c r="C9" s="37" t="s">
        <v>55</v>
      </c>
      <c r="D9" s="38" t="s">
        <v>56</v>
      </c>
      <c r="E9" s="37" t="s">
        <v>206</v>
      </c>
      <c r="F9" s="39"/>
      <c r="G9" s="37" t="s">
        <v>58</v>
      </c>
      <c r="H9" s="38"/>
      <c r="I9" s="42"/>
      <c r="J9" s="44" t="s">
        <v>207</v>
      </c>
    </row>
    <row r="10" ht="82.5" customHeight="1">
      <c r="A10" s="45" t="s">
        <v>208</v>
      </c>
      <c r="B10" s="37"/>
      <c r="C10" s="38"/>
      <c r="D10" s="37"/>
      <c r="E10" s="38" t="s">
        <v>60</v>
      </c>
      <c r="F10" s="41"/>
      <c r="G10" s="38" t="s">
        <v>61</v>
      </c>
      <c r="H10" s="37"/>
      <c r="I10" s="46"/>
      <c r="J10" s="47"/>
    </row>
    <row r="11" ht="96.0" customHeight="1">
      <c r="A11" s="45" t="s">
        <v>209</v>
      </c>
      <c r="B11" s="38"/>
      <c r="C11" s="37"/>
      <c r="D11" s="38"/>
      <c r="E11" s="37"/>
      <c r="F11" s="38"/>
      <c r="G11" s="37"/>
      <c r="H11" s="38"/>
      <c r="I11" s="48"/>
      <c r="J11" s="1"/>
    </row>
    <row r="12" ht="82.5" customHeight="1">
      <c r="A12" s="49" t="s">
        <v>210</v>
      </c>
      <c r="B12" s="50"/>
      <c r="C12" s="50"/>
      <c r="D12" s="50"/>
      <c r="E12" s="50"/>
      <c r="F12" s="50"/>
      <c r="G12" s="50"/>
      <c r="H12" s="50"/>
      <c r="I12" s="48"/>
      <c r="J12" s="1"/>
    </row>
  </sheetData>
  <mergeCells count="4">
    <mergeCell ref="A1:A2"/>
    <mergeCell ref="B1:H1"/>
    <mergeCell ref="I1:J2"/>
    <mergeCell ref="I3:J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5.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3" width="17.38"/>
    <col customWidth="1" min="14" max="14" width="3.88"/>
    <col hidden="1" min="15" max="17" width="12.63"/>
    <col customWidth="1" hidden="1" min="18" max="18" width="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51" t="s">
        <v>211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3"/>
      <c r="N2" s="1"/>
      <c r="O2" s="54"/>
      <c r="P2" s="55"/>
      <c r="Q2" s="55"/>
    </row>
    <row r="3">
      <c r="A3" s="1"/>
      <c r="B3" s="56"/>
      <c r="M3" s="57"/>
      <c r="N3" s="1"/>
      <c r="O3" s="54"/>
      <c r="P3" s="55"/>
      <c r="Q3" s="55"/>
    </row>
    <row r="4">
      <c r="A4" s="1"/>
      <c r="B4" s="56"/>
      <c r="M4" s="57"/>
      <c r="N4" s="1"/>
      <c r="O4" s="58"/>
      <c r="P4" s="59"/>
      <c r="Q4" s="59"/>
    </row>
    <row r="5">
      <c r="A5" s="1"/>
      <c r="B5" s="60"/>
      <c r="C5" s="61"/>
      <c r="D5" s="61"/>
      <c r="E5" s="61"/>
      <c r="F5" s="61"/>
      <c r="G5" s="61"/>
      <c r="H5" s="61"/>
      <c r="I5" s="61"/>
      <c r="J5" s="61"/>
      <c r="K5" s="61"/>
      <c r="L5" s="61"/>
      <c r="M5" s="62"/>
      <c r="N5" s="1"/>
      <c r="O5" s="58"/>
      <c r="P5" s="59"/>
      <c r="Q5" s="59"/>
    </row>
    <row r="6">
      <c r="A6" s="63"/>
      <c r="B6" s="64" t="s">
        <v>212</v>
      </c>
      <c r="C6" s="65" t="s">
        <v>213</v>
      </c>
      <c r="D6" s="66" t="s">
        <v>214</v>
      </c>
      <c r="E6" s="67" t="s">
        <v>215</v>
      </c>
      <c r="F6" s="66" t="s">
        <v>216</v>
      </c>
      <c r="G6" s="65"/>
      <c r="H6" s="65" t="s">
        <v>217</v>
      </c>
      <c r="I6" s="65" t="s">
        <v>218</v>
      </c>
      <c r="J6" s="66" t="s">
        <v>219</v>
      </c>
      <c r="K6" s="68" t="s">
        <v>220</v>
      </c>
      <c r="L6" s="65" t="s">
        <v>221</v>
      </c>
      <c r="M6" s="66" t="s">
        <v>222</v>
      </c>
      <c r="N6" s="4"/>
      <c r="O6" s="58"/>
      <c r="P6" s="59"/>
      <c r="Q6" s="59"/>
      <c r="R6" s="69"/>
    </row>
    <row r="7" ht="21.0" customHeight="1">
      <c r="A7" s="4"/>
      <c r="B7" s="70"/>
      <c r="C7" s="71"/>
      <c r="D7" s="71"/>
      <c r="E7" s="70"/>
      <c r="F7" s="71"/>
      <c r="G7" s="71"/>
      <c r="H7" s="71"/>
      <c r="I7" s="71"/>
      <c r="J7" s="71"/>
      <c r="K7" s="71"/>
      <c r="L7" s="71"/>
      <c r="M7" s="71"/>
      <c r="N7" s="4"/>
      <c r="O7" s="58"/>
      <c r="P7" s="59"/>
      <c r="Q7" s="59"/>
      <c r="R7" s="69"/>
    </row>
    <row r="8">
      <c r="A8" s="1"/>
      <c r="B8" s="72" t="s">
        <v>223</v>
      </c>
      <c r="C8" s="72" t="s">
        <v>224</v>
      </c>
      <c r="D8" s="73" t="s">
        <v>225</v>
      </c>
      <c r="E8" s="73" t="s">
        <v>226</v>
      </c>
      <c r="F8" s="73" t="s">
        <v>227</v>
      </c>
      <c r="G8" s="72" t="s">
        <v>228</v>
      </c>
      <c r="H8" s="74" t="s">
        <v>229</v>
      </c>
      <c r="I8" s="74" t="s">
        <v>230</v>
      </c>
      <c r="J8" s="74" t="s">
        <v>231</v>
      </c>
      <c r="K8" s="74" t="s">
        <v>232</v>
      </c>
      <c r="L8" s="73" t="s">
        <v>233</v>
      </c>
      <c r="M8" s="73" t="s">
        <v>234</v>
      </c>
      <c r="N8" s="1"/>
      <c r="O8" s="58"/>
      <c r="P8" s="59"/>
      <c r="Q8" s="59"/>
    </row>
    <row r="9">
      <c r="A9" s="75"/>
      <c r="B9" s="76" t="s">
        <v>235</v>
      </c>
      <c r="C9" s="77" t="s">
        <v>236</v>
      </c>
      <c r="D9" s="78" t="s">
        <v>237</v>
      </c>
      <c r="E9" s="78" t="s">
        <v>238</v>
      </c>
      <c r="F9" s="78" t="s">
        <v>239</v>
      </c>
      <c r="G9" s="78" t="s">
        <v>240</v>
      </c>
      <c r="H9" s="78" t="s">
        <v>241</v>
      </c>
      <c r="I9" s="78" t="s">
        <v>242</v>
      </c>
      <c r="J9" s="78" t="s">
        <v>243</v>
      </c>
      <c r="K9" s="79" t="s">
        <v>244</v>
      </c>
      <c r="L9" s="78" t="s">
        <v>245</v>
      </c>
      <c r="M9" s="78" t="s">
        <v>246</v>
      </c>
      <c r="N9" s="75"/>
      <c r="O9" s="80"/>
      <c r="P9" s="81"/>
      <c r="Q9" s="81"/>
      <c r="R9" s="82"/>
    </row>
    <row r="10">
      <c r="A10" s="75"/>
      <c r="B10" s="83" t="s">
        <v>247</v>
      </c>
      <c r="C10" s="84" t="s">
        <v>248</v>
      </c>
      <c r="D10" s="85" t="s">
        <v>249</v>
      </c>
      <c r="E10" s="85" t="s">
        <v>250</v>
      </c>
      <c r="F10" s="84" t="s">
        <v>251</v>
      </c>
      <c r="G10" s="85" t="s">
        <v>252</v>
      </c>
      <c r="H10" s="85" t="s">
        <v>253</v>
      </c>
      <c r="I10" s="85" t="s">
        <v>254</v>
      </c>
      <c r="J10" s="85" t="s">
        <v>255</v>
      </c>
      <c r="K10" s="85" t="s">
        <v>256</v>
      </c>
      <c r="L10" s="85" t="s">
        <v>257</v>
      </c>
      <c r="M10" s="85" t="s">
        <v>258</v>
      </c>
      <c r="N10" s="75"/>
      <c r="O10" s="80"/>
      <c r="P10" s="81"/>
      <c r="Q10" s="81"/>
      <c r="R10" s="82"/>
    </row>
    <row r="11">
      <c r="A11" s="75"/>
      <c r="B11" s="86" t="s">
        <v>259</v>
      </c>
      <c r="C11" s="87" t="s">
        <v>260</v>
      </c>
      <c r="D11" s="88" t="s">
        <v>261</v>
      </c>
      <c r="E11" s="89" t="s">
        <v>262</v>
      </c>
      <c r="F11" s="90" t="s">
        <v>263</v>
      </c>
      <c r="G11" s="91" t="s">
        <v>264</v>
      </c>
      <c r="H11" s="87" t="s">
        <v>265</v>
      </c>
      <c r="I11" s="90" t="s">
        <v>266</v>
      </c>
      <c r="J11" s="91" t="s">
        <v>267</v>
      </c>
      <c r="K11" s="90" t="s">
        <v>268</v>
      </c>
      <c r="L11" s="92" t="s">
        <v>269</v>
      </c>
      <c r="M11" s="91" t="s">
        <v>270</v>
      </c>
      <c r="N11" s="75"/>
      <c r="O11" s="80"/>
      <c r="P11" s="81"/>
      <c r="Q11" s="81"/>
      <c r="R11" s="82"/>
    </row>
    <row r="12">
      <c r="A12" s="1"/>
      <c r="B12" s="93" t="s">
        <v>271</v>
      </c>
      <c r="C12" s="52"/>
      <c r="D12" s="52"/>
      <c r="E12" s="52"/>
      <c r="F12" s="52"/>
      <c r="G12" s="52"/>
      <c r="H12" s="52"/>
      <c r="I12" s="52"/>
      <c r="J12" s="52"/>
      <c r="K12" s="94"/>
      <c r="L12" s="95" t="s">
        <v>272</v>
      </c>
      <c r="M12" s="96" t="s">
        <v>273</v>
      </c>
      <c r="N12" s="1"/>
      <c r="O12" s="58"/>
      <c r="P12" s="59"/>
      <c r="Q12" s="59"/>
    </row>
    <row r="13">
      <c r="A13" s="1"/>
      <c r="B13" s="60"/>
      <c r="C13" s="61"/>
      <c r="D13" s="61"/>
      <c r="E13" s="61"/>
      <c r="F13" s="61"/>
      <c r="G13" s="61"/>
      <c r="H13" s="61"/>
      <c r="I13" s="61"/>
      <c r="J13" s="61"/>
      <c r="K13" s="62"/>
      <c r="L13" s="62"/>
      <c r="N13" s="1"/>
      <c r="O13" s="97"/>
      <c r="P13" s="97"/>
      <c r="Q13" s="97"/>
    </row>
    <row r="14">
      <c r="A14" s="1"/>
      <c r="B14" s="98" t="s">
        <v>274</v>
      </c>
      <c r="C14" s="99"/>
      <c r="D14" s="100" t="s">
        <v>275</v>
      </c>
      <c r="E14" s="100" t="s">
        <v>276</v>
      </c>
      <c r="F14" s="100" t="s">
        <v>277</v>
      </c>
      <c r="G14" s="100" t="s">
        <v>278</v>
      </c>
      <c r="H14" s="99"/>
      <c r="I14" s="99"/>
      <c r="J14" s="99"/>
      <c r="K14" s="101"/>
      <c r="L14" s="102" t="s">
        <v>274</v>
      </c>
      <c r="N14" s="1"/>
    </row>
    <row r="15" ht="15.75" customHeight="1">
      <c r="A15" s="1"/>
      <c r="B15" s="103" t="s">
        <v>279</v>
      </c>
      <c r="D15" s="104" t="s">
        <v>280</v>
      </c>
      <c r="E15" s="104" t="s">
        <v>281</v>
      </c>
      <c r="F15" s="105" t="s">
        <v>282</v>
      </c>
      <c r="G15" s="106"/>
      <c r="K15" s="57"/>
      <c r="L15" s="107" t="s">
        <v>283</v>
      </c>
      <c r="M15" s="108" t="s">
        <v>284</v>
      </c>
      <c r="N15" s="1"/>
      <c r="O15" s="109"/>
      <c r="P15" s="110"/>
      <c r="Q15" s="110"/>
    </row>
    <row r="16" ht="15.75" customHeight="1">
      <c r="A16" s="1"/>
      <c r="B16" s="103" t="s">
        <v>285</v>
      </c>
      <c r="D16" s="104" t="s">
        <v>286</v>
      </c>
      <c r="E16" s="104" t="s">
        <v>287</v>
      </c>
      <c r="F16" s="105" t="s">
        <v>288</v>
      </c>
      <c r="K16" s="57"/>
      <c r="L16" s="111" t="s">
        <v>225</v>
      </c>
      <c r="M16" s="85" t="s">
        <v>289</v>
      </c>
      <c r="N16" s="1"/>
      <c r="O16" s="112" t="s">
        <v>290</v>
      </c>
      <c r="P16" s="53"/>
      <c r="Q16" s="109"/>
    </row>
    <row r="17" ht="15.75" customHeight="1">
      <c r="A17" s="1"/>
      <c r="B17" s="113" t="s">
        <v>291</v>
      </c>
      <c r="D17" s="104" t="s">
        <v>292</v>
      </c>
      <c r="E17" s="104" t="s">
        <v>293</v>
      </c>
      <c r="F17" s="105" t="s">
        <v>294</v>
      </c>
      <c r="K17" s="57"/>
      <c r="L17" s="114" t="s">
        <v>226</v>
      </c>
      <c r="M17" s="85" t="s">
        <v>295</v>
      </c>
      <c r="N17" s="1"/>
      <c r="O17" s="60"/>
      <c r="P17" s="62"/>
    </row>
    <row r="18" ht="15.75" customHeight="1">
      <c r="A18" s="1"/>
      <c r="B18" s="103" t="s">
        <v>256</v>
      </c>
      <c r="D18" s="104" t="s">
        <v>296</v>
      </c>
      <c r="E18" s="104" t="s">
        <v>297</v>
      </c>
      <c r="F18" s="105" t="s">
        <v>294</v>
      </c>
      <c r="K18" s="57"/>
      <c r="L18" s="111" t="s">
        <v>227</v>
      </c>
      <c r="M18" s="85" t="s">
        <v>298</v>
      </c>
      <c r="N18" s="1"/>
      <c r="O18" s="115"/>
      <c r="P18" s="57"/>
    </row>
    <row r="19" ht="15.75" customHeight="1">
      <c r="A19" s="1"/>
      <c r="B19" s="113" t="s">
        <v>253</v>
      </c>
      <c r="D19" s="104" t="s">
        <v>299</v>
      </c>
      <c r="E19" s="104" t="s">
        <v>281</v>
      </c>
      <c r="F19" s="105" t="s">
        <v>294</v>
      </c>
      <c r="K19" s="57"/>
      <c r="L19" s="114" t="s">
        <v>300</v>
      </c>
      <c r="M19" s="85" t="s">
        <v>301</v>
      </c>
      <c r="N19" s="1"/>
      <c r="O19" s="115"/>
      <c r="P19" s="57"/>
    </row>
    <row r="20" ht="15.75" customHeight="1">
      <c r="A20" s="1"/>
      <c r="B20" s="103" t="s">
        <v>302</v>
      </c>
      <c r="D20" s="104" t="s">
        <v>302</v>
      </c>
      <c r="E20" s="104" t="s">
        <v>287</v>
      </c>
      <c r="F20" s="105" t="s">
        <v>303</v>
      </c>
      <c r="K20" s="57"/>
      <c r="L20" s="111" t="s">
        <v>229</v>
      </c>
      <c r="M20" s="85"/>
      <c r="N20" s="1"/>
      <c r="O20" s="116"/>
      <c r="P20" s="62"/>
    </row>
    <row r="21" ht="15.75" customHeight="1">
      <c r="A21" s="1"/>
      <c r="B21" s="103" t="s">
        <v>249</v>
      </c>
      <c r="D21" s="117" t="s">
        <v>304</v>
      </c>
      <c r="E21" s="117" t="s">
        <v>297</v>
      </c>
      <c r="F21" s="118" t="s">
        <v>305</v>
      </c>
      <c r="K21" s="57"/>
      <c r="L21" s="114" t="s">
        <v>230</v>
      </c>
      <c r="M21" s="96"/>
      <c r="N21" s="1"/>
    </row>
    <row r="22" ht="15.75" customHeight="1">
      <c r="A22" s="1"/>
      <c r="B22" s="113" t="s">
        <v>236</v>
      </c>
      <c r="D22" s="117" t="s">
        <v>306</v>
      </c>
      <c r="E22" s="117" t="s">
        <v>293</v>
      </c>
      <c r="F22" s="105" t="s">
        <v>307</v>
      </c>
      <c r="K22" s="57"/>
      <c r="L22" s="111" t="s">
        <v>231</v>
      </c>
      <c r="M22" s="96"/>
      <c r="N22" s="1"/>
    </row>
    <row r="23" ht="15.75" customHeight="1">
      <c r="A23" s="1"/>
      <c r="B23" s="113" t="s">
        <v>241</v>
      </c>
      <c r="D23" s="119" t="s">
        <v>308</v>
      </c>
      <c r="E23" s="104" t="s">
        <v>287</v>
      </c>
      <c r="F23" s="105" t="s">
        <v>309</v>
      </c>
      <c r="K23" s="57"/>
      <c r="L23" s="114" t="s">
        <v>310</v>
      </c>
      <c r="M23" s="96"/>
      <c r="N23" s="1"/>
    </row>
    <row r="24" ht="15.75" customHeight="1">
      <c r="A24" s="1"/>
      <c r="B24" s="103" t="s">
        <v>242</v>
      </c>
      <c r="D24" s="104" t="s">
        <v>311</v>
      </c>
      <c r="E24" s="104" t="s">
        <v>287</v>
      </c>
      <c r="F24" s="105" t="s">
        <v>312</v>
      </c>
      <c r="K24" s="57"/>
      <c r="L24" s="111" t="s">
        <v>233</v>
      </c>
      <c r="M24" s="96"/>
      <c r="N24" s="1"/>
    </row>
    <row r="25" ht="15.75" customHeight="1">
      <c r="A25" s="1"/>
      <c r="B25" s="103" t="s">
        <v>264</v>
      </c>
      <c r="D25" s="119" t="s">
        <v>313</v>
      </c>
      <c r="E25" s="104" t="s">
        <v>314</v>
      </c>
      <c r="F25" s="105" t="s">
        <v>303</v>
      </c>
      <c r="K25" s="57"/>
      <c r="L25" s="120" t="s">
        <v>234</v>
      </c>
      <c r="M25" s="96"/>
      <c r="N25" s="1"/>
    </row>
    <row r="26" ht="15.75" customHeight="1">
      <c r="A26" s="1"/>
      <c r="B26" s="113" t="s">
        <v>250</v>
      </c>
      <c r="D26" s="104" t="s">
        <v>315</v>
      </c>
      <c r="E26" s="104" t="s">
        <v>281</v>
      </c>
      <c r="F26" s="105" t="s">
        <v>316</v>
      </c>
      <c r="K26" s="57"/>
      <c r="L26" s="121"/>
      <c r="M26" s="96"/>
      <c r="N26" s="1"/>
    </row>
    <row r="27" ht="15.75" customHeight="1">
      <c r="A27" s="1"/>
      <c r="B27" s="113" t="s">
        <v>317</v>
      </c>
      <c r="D27" s="104" t="s">
        <v>318</v>
      </c>
      <c r="E27" s="104" t="s">
        <v>293</v>
      </c>
      <c r="F27" s="105" t="s">
        <v>319</v>
      </c>
      <c r="K27" s="57"/>
      <c r="L27" s="122" t="s">
        <v>320</v>
      </c>
      <c r="M27" s="96"/>
      <c r="N27" s="1"/>
    </row>
    <row r="28" ht="15.75" customHeight="1">
      <c r="A28" s="1"/>
      <c r="B28" s="103" t="s">
        <v>255</v>
      </c>
      <c r="D28" s="104" t="s">
        <v>321</v>
      </c>
      <c r="E28" s="104" t="s">
        <v>281</v>
      </c>
      <c r="F28" s="105" t="s">
        <v>322</v>
      </c>
      <c r="K28" s="57"/>
      <c r="L28" s="123" t="s">
        <v>323</v>
      </c>
      <c r="M28" s="96"/>
      <c r="N28" s="1"/>
    </row>
    <row r="29" ht="15.75" customHeight="1">
      <c r="A29" s="1"/>
      <c r="B29" s="124" t="s">
        <v>240</v>
      </c>
      <c r="D29" s="125" t="s">
        <v>324</v>
      </c>
      <c r="E29" s="126" t="s">
        <v>281</v>
      </c>
      <c r="F29" s="127" t="s">
        <v>294</v>
      </c>
      <c r="K29" s="57"/>
      <c r="L29" s="128" t="s">
        <v>325</v>
      </c>
      <c r="M29" s="96"/>
      <c r="N29" s="1"/>
    </row>
    <row r="30" ht="15.75" customHeight="1">
      <c r="A30" s="1"/>
      <c r="B30" s="103" t="s">
        <v>243</v>
      </c>
      <c r="D30" s="104" t="s">
        <v>326</v>
      </c>
      <c r="E30" s="104" t="s">
        <v>281</v>
      </c>
      <c r="F30" s="105" t="s">
        <v>305</v>
      </c>
      <c r="K30" s="57"/>
      <c r="L30" s="123" t="s">
        <v>323</v>
      </c>
      <c r="M30" s="96"/>
      <c r="N30" s="1"/>
    </row>
    <row r="31" ht="15.75" customHeight="1">
      <c r="A31" s="1"/>
      <c r="B31" s="103" t="s">
        <v>327</v>
      </c>
      <c r="D31" s="104" t="s">
        <v>328</v>
      </c>
      <c r="E31" s="104" t="s">
        <v>329</v>
      </c>
      <c r="F31" s="105" t="s">
        <v>330</v>
      </c>
      <c r="K31" s="57"/>
      <c r="L31" s="128" t="s">
        <v>331</v>
      </c>
      <c r="M31" s="96"/>
      <c r="N31" s="1"/>
    </row>
    <row r="32" ht="15.75" customHeight="1">
      <c r="A32" s="1"/>
      <c r="B32" s="113" t="s">
        <v>332</v>
      </c>
      <c r="D32" s="104" t="s">
        <v>332</v>
      </c>
      <c r="E32" s="104" t="s">
        <v>287</v>
      </c>
      <c r="F32" s="105" t="s">
        <v>294</v>
      </c>
      <c r="K32" s="57"/>
      <c r="L32" s="123" t="s">
        <v>323</v>
      </c>
      <c r="M32" s="96"/>
      <c r="N32" s="1"/>
    </row>
    <row r="33" ht="15.75" customHeight="1">
      <c r="A33" s="1"/>
      <c r="B33" s="103" t="s">
        <v>333</v>
      </c>
      <c r="D33" s="129" t="s">
        <v>334</v>
      </c>
      <c r="E33" s="129" t="s">
        <v>281</v>
      </c>
      <c r="F33" s="105" t="s">
        <v>305</v>
      </c>
      <c r="K33" s="57"/>
      <c r="L33" s="128" t="s">
        <v>335</v>
      </c>
      <c r="M33" s="96"/>
      <c r="N33" s="1"/>
    </row>
    <row r="34" ht="15.75" customHeight="1">
      <c r="A34" s="1"/>
      <c r="B34" s="113" t="s">
        <v>239</v>
      </c>
      <c r="D34" s="104" t="s">
        <v>336</v>
      </c>
      <c r="E34" s="104" t="s">
        <v>287</v>
      </c>
      <c r="F34" s="105" t="s">
        <v>282</v>
      </c>
      <c r="K34" s="57"/>
      <c r="L34" s="123" t="s">
        <v>323</v>
      </c>
      <c r="M34" s="96"/>
      <c r="N34" s="1"/>
    </row>
    <row r="35" ht="15.75" customHeight="1">
      <c r="A35" s="1"/>
      <c r="B35" s="103" t="s">
        <v>252</v>
      </c>
      <c r="D35" s="104" t="s">
        <v>252</v>
      </c>
      <c r="E35" s="104" t="s">
        <v>293</v>
      </c>
      <c r="F35" s="127" t="s">
        <v>305</v>
      </c>
      <c r="K35" s="57"/>
      <c r="L35" s="128" t="s">
        <v>337</v>
      </c>
      <c r="M35" s="96"/>
      <c r="N35" s="1"/>
    </row>
    <row r="36" ht="15.75" customHeight="1">
      <c r="A36" s="1"/>
      <c r="B36" s="113" t="s">
        <v>338</v>
      </c>
      <c r="D36" s="117" t="s">
        <v>339</v>
      </c>
      <c r="E36" s="117" t="s">
        <v>287</v>
      </c>
      <c r="F36" s="105" t="s">
        <v>305</v>
      </c>
      <c r="K36" s="57"/>
      <c r="L36" s="123" t="s">
        <v>323</v>
      </c>
      <c r="M36" s="96"/>
      <c r="N36" s="1"/>
      <c r="O36" s="15"/>
    </row>
    <row r="37" ht="15.75" customHeight="1">
      <c r="A37" s="1"/>
      <c r="B37" s="113" t="s">
        <v>245</v>
      </c>
      <c r="D37" s="104" t="s">
        <v>340</v>
      </c>
      <c r="E37" s="104" t="s">
        <v>287</v>
      </c>
      <c r="F37" s="105" t="s">
        <v>341</v>
      </c>
      <c r="K37" s="57"/>
      <c r="L37" s="122" t="s">
        <v>342</v>
      </c>
      <c r="M37" s="96"/>
      <c r="N37" s="1"/>
    </row>
    <row r="38" ht="15.75" customHeight="1">
      <c r="A38" s="1"/>
      <c r="B38" s="113" t="s">
        <v>248</v>
      </c>
      <c r="D38" s="104" t="s">
        <v>343</v>
      </c>
      <c r="E38" s="104" t="s">
        <v>293</v>
      </c>
      <c r="F38" s="105" t="s">
        <v>322</v>
      </c>
      <c r="K38" s="57"/>
      <c r="L38" s="130" t="s">
        <v>344</v>
      </c>
      <c r="M38" s="96"/>
      <c r="N38" s="1"/>
    </row>
    <row r="39" ht="15.75" customHeight="1">
      <c r="A39" s="1"/>
      <c r="B39" s="103" t="s">
        <v>267</v>
      </c>
      <c r="D39" s="104" t="s">
        <v>267</v>
      </c>
      <c r="E39" s="104" t="s">
        <v>287</v>
      </c>
      <c r="F39" s="105" t="s">
        <v>319</v>
      </c>
      <c r="K39" s="57"/>
      <c r="L39" s="96"/>
      <c r="M39" s="96"/>
      <c r="N39" s="1"/>
    </row>
    <row r="40" ht="15.75" customHeight="1">
      <c r="A40" s="1"/>
      <c r="B40" s="113" t="s">
        <v>345</v>
      </c>
      <c r="D40" s="117" t="s">
        <v>346</v>
      </c>
      <c r="E40" s="117" t="s">
        <v>287</v>
      </c>
      <c r="F40" s="105" t="s">
        <v>288</v>
      </c>
      <c r="K40" s="57"/>
      <c r="L40" s="121" t="s">
        <v>347</v>
      </c>
      <c r="M40" s="96"/>
      <c r="N40" s="1"/>
    </row>
    <row r="41" ht="15.75" customHeight="1">
      <c r="A41" s="1"/>
      <c r="B41" s="113" t="s">
        <v>348</v>
      </c>
      <c r="D41" s="104" t="s">
        <v>349</v>
      </c>
      <c r="E41" s="104" t="s">
        <v>281</v>
      </c>
      <c r="F41" s="105" t="s">
        <v>350</v>
      </c>
      <c r="K41" s="57"/>
      <c r="L41" s="123" t="s">
        <v>351</v>
      </c>
      <c r="M41" s="121" t="s">
        <v>270</v>
      </c>
      <c r="N41" s="1"/>
    </row>
    <row r="42" ht="15.75" customHeight="1">
      <c r="A42" s="1"/>
      <c r="B42" s="103" t="s">
        <v>352</v>
      </c>
      <c r="D42" s="104" t="s">
        <v>353</v>
      </c>
      <c r="E42" s="104" t="s">
        <v>287</v>
      </c>
      <c r="F42" s="105" t="s">
        <v>354</v>
      </c>
      <c r="K42" s="57"/>
      <c r="L42" s="121" t="s">
        <v>355</v>
      </c>
      <c r="M42" s="130" t="s">
        <v>356</v>
      </c>
      <c r="N42" s="1"/>
    </row>
    <row r="43" ht="15.75" customHeight="1">
      <c r="A43" s="1"/>
      <c r="B43" s="103" t="s">
        <v>357</v>
      </c>
      <c r="D43" s="104" t="s">
        <v>358</v>
      </c>
      <c r="E43" s="104" t="s">
        <v>314</v>
      </c>
      <c r="F43" s="105" t="s">
        <v>359</v>
      </c>
      <c r="K43" s="57"/>
      <c r="L43" s="121" t="s">
        <v>360</v>
      </c>
      <c r="M43" s="121" t="s">
        <v>264</v>
      </c>
      <c r="N43" s="1"/>
    </row>
    <row r="44" ht="15.75" customHeight="1">
      <c r="A44" s="1"/>
      <c r="B44" s="103" t="s">
        <v>261</v>
      </c>
      <c r="D44" s="104" t="s">
        <v>261</v>
      </c>
      <c r="E44" s="104" t="s">
        <v>281</v>
      </c>
      <c r="F44" s="127" t="s">
        <v>305</v>
      </c>
      <c r="K44" s="57"/>
      <c r="L44" s="123" t="s">
        <v>351</v>
      </c>
      <c r="M44" s="96"/>
      <c r="N44" s="1"/>
    </row>
    <row r="45" ht="15.75" customHeight="1">
      <c r="A45" s="1"/>
      <c r="B45" s="103" t="s">
        <v>254</v>
      </c>
      <c r="D45" s="104" t="s">
        <v>254</v>
      </c>
      <c r="E45" s="104" t="s">
        <v>287</v>
      </c>
      <c r="F45" s="105" t="s">
        <v>294</v>
      </c>
      <c r="K45" s="57"/>
      <c r="L45" s="122" t="s">
        <v>361</v>
      </c>
      <c r="M45" s="121" t="s">
        <v>302</v>
      </c>
      <c r="N45" s="1"/>
    </row>
    <row r="46" ht="15.75" customHeight="1">
      <c r="A46" s="1"/>
      <c r="B46" s="103" t="s">
        <v>362</v>
      </c>
      <c r="D46" s="104" t="s">
        <v>362</v>
      </c>
      <c r="E46" s="104" t="s">
        <v>287</v>
      </c>
      <c r="F46" s="105" t="s">
        <v>322</v>
      </c>
      <c r="K46" s="57"/>
      <c r="L46" s="130" t="s">
        <v>363</v>
      </c>
      <c r="M46" s="130" t="s">
        <v>356</v>
      </c>
      <c r="N46" s="1"/>
    </row>
    <row r="47" ht="15.75" customHeight="1">
      <c r="A47" s="1"/>
      <c r="B47" s="124" t="s">
        <v>237</v>
      </c>
      <c r="D47" s="126" t="s">
        <v>237</v>
      </c>
      <c r="E47" s="126" t="s">
        <v>281</v>
      </c>
      <c r="F47" s="127" t="s">
        <v>305</v>
      </c>
      <c r="K47" s="57"/>
      <c r="L47" s="123" t="s">
        <v>351</v>
      </c>
      <c r="M47" s="121" t="s">
        <v>267</v>
      </c>
      <c r="N47" s="1"/>
    </row>
    <row r="48" ht="15.75" customHeight="1">
      <c r="A48" s="1"/>
      <c r="B48" s="124"/>
      <c r="C48" s="124"/>
      <c r="D48" s="126"/>
      <c r="E48" s="126"/>
      <c r="F48" s="127"/>
      <c r="K48" s="57"/>
      <c r="L48" s="122" t="s">
        <v>364</v>
      </c>
      <c r="M48" s="96"/>
      <c r="N48" s="1"/>
    </row>
    <row r="49" ht="15.75" customHeight="1">
      <c r="A49" s="1"/>
      <c r="B49" s="124"/>
      <c r="C49" s="124"/>
      <c r="D49" s="126"/>
      <c r="E49" s="126"/>
      <c r="F49" s="127"/>
      <c r="K49" s="57"/>
      <c r="L49" s="96"/>
      <c r="M49" s="96"/>
      <c r="N49" s="1"/>
    </row>
    <row r="50" ht="15.75" customHeight="1">
      <c r="A50" s="1"/>
      <c r="B50" s="124"/>
      <c r="C50" s="124"/>
      <c r="D50" s="126"/>
      <c r="E50" s="126"/>
      <c r="F50" s="127"/>
      <c r="K50" s="57"/>
      <c r="L50" s="96"/>
      <c r="M50" s="96"/>
      <c r="N50" s="1"/>
    </row>
    <row r="51" ht="16.5" customHeight="1">
      <c r="A51" s="1"/>
      <c r="B51" s="131"/>
      <c r="D51" s="132"/>
      <c r="E51" s="132"/>
      <c r="F51" s="133"/>
      <c r="G51" s="132"/>
      <c r="K51" s="57"/>
      <c r="L51" s="134"/>
      <c r="M51" s="1"/>
      <c r="N51" s="1"/>
      <c r="O51" s="1"/>
      <c r="P51" s="1"/>
      <c r="Q51" s="1"/>
      <c r="R51" s="1"/>
    </row>
    <row r="52" hidden="1">
      <c r="A52" s="1"/>
      <c r="B52" s="135"/>
      <c r="D52" s="136"/>
      <c r="E52" s="137"/>
      <c r="F52" s="138"/>
      <c r="G52" s="139"/>
      <c r="K52" s="57"/>
      <c r="N52" s="1"/>
    </row>
    <row r="53" hidden="1">
      <c r="A53" s="1"/>
      <c r="B53" s="140"/>
      <c r="D53" s="141"/>
      <c r="E53" s="141"/>
      <c r="F53" s="142"/>
      <c r="G53" s="139"/>
      <c r="K53" s="57"/>
      <c r="N53" s="1"/>
    </row>
    <row r="54" ht="16.5" hidden="1" customHeight="1">
      <c r="A54" s="1"/>
      <c r="B54" s="143"/>
      <c r="D54" s="144"/>
      <c r="E54" s="144"/>
      <c r="F54" s="145"/>
      <c r="G54" s="139"/>
      <c r="K54" s="57"/>
      <c r="N54" s="1"/>
    </row>
    <row r="55" hidden="1">
      <c r="A55" s="1"/>
      <c r="B55" s="146"/>
      <c r="D55" s="147"/>
      <c r="E55" s="147"/>
      <c r="F55" s="145"/>
      <c r="G55" s="139"/>
      <c r="K55" s="57"/>
      <c r="N55" s="1"/>
    </row>
    <row r="56" hidden="1">
      <c r="A56" s="1"/>
      <c r="B56" s="148"/>
      <c r="D56" s="139"/>
      <c r="E56" s="139"/>
      <c r="F56" s="149"/>
      <c r="G56" s="139"/>
      <c r="K56" s="57"/>
      <c r="N56" s="1"/>
    </row>
    <row r="57" hidden="1">
      <c r="A57" s="1"/>
      <c r="B57" s="148"/>
      <c r="D57" s="139"/>
      <c r="E57" s="139"/>
      <c r="F57" s="149"/>
      <c r="G57" s="139"/>
      <c r="K57" s="57"/>
      <c r="N57" s="1"/>
    </row>
    <row r="58" hidden="1">
      <c r="A58" s="1"/>
      <c r="B58" s="140"/>
      <c r="D58" s="150"/>
      <c r="E58" s="150"/>
      <c r="F58" s="151"/>
      <c r="G58" s="139"/>
      <c r="K58" s="57"/>
      <c r="N58" s="1"/>
    </row>
    <row r="59" hidden="1">
      <c r="A59" s="1"/>
      <c r="B59" s="140"/>
      <c r="D59" s="150"/>
      <c r="E59" s="150"/>
      <c r="F59" s="151"/>
      <c r="G59" s="139"/>
      <c r="K59" s="57"/>
      <c r="N59" s="1"/>
    </row>
    <row r="60" hidden="1">
      <c r="A60" s="1"/>
      <c r="B60" s="140"/>
      <c r="D60" s="150"/>
      <c r="E60" s="150"/>
      <c r="F60" s="151"/>
      <c r="G60" s="139"/>
      <c r="K60" s="57"/>
      <c r="N60" s="1"/>
    </row>
    <row r="61" hidden="1">
      <c r="A61" s="1"/>
      <c r="B61" s="140"/>
      <c r="D61" s="150"/>
      <c r="E61" s="150"/>
      <c r="F61" s="151"/>
      <c r="G61" s="139"/>
      <c r="K61" s="57"/>
      <c r="N61" s="1"/>
    </row>
    <row r="62" hidden="1">
      <c r="A62" s="1"/>
      <c r="B62" s="140"/>
      <c r="D62" s="150"/>
      <c r="E62" s="150"/>
      <c r="F62" s="151"/>
      <c r="G62" s="139"/>
      <c r="K62" s="57"/>
      <c r="N62" s="1"/>
    </row>
    <row r="63" hidden="1">
      <c r="A63" s="1"/>
      <c r="B63" s="140"/>
      <c r="D63" s="150"/>
      <c r="E63" s="150"/>
      <c r="F63" s="151"/>
      <c r="G63" s="139"/>
      <c r="K63" s="57"/>
      <c r="N63" s="1"/>
    </row>
    <row r="64" hidden="1">
      <c r="A64" s="1"/>
      <c r="B64" s="140"/>
      <c r="D64" s="150"/>
      <c r="E64" s="150"/>
      <c r="F64" s="151"/>
      <c r="G64" s="139"/>
      <c r="K64" s="57"/>
      <c r="N64" s="1"/>
    </row>
    <row r="65" hidden="1">
      <c r="A65" s="1"/>
      <c r="B65" s="140"/>
      <c r="D65" s="150"/>
      <c r="E65" s="150"/>
      <c r="F65" s="151"/>
      <c r="G65" s="139"/>
      <c r="K65" s="57"/>
      <c r="N65" s="1"/>
    </row>
    <row r="66" hidden="1">
      <c r="A66" s="1"/>
      <c r="B66" s="140"/>
      <c r="D66" s="150"/>
      <c r="E66" s="150"/>
      <c r="F66" s="151"/>
      <c r="G66" s="139"/>
      <c r="K66" s="57"/>
      <c r="N66" s="1"/>
    </row>
    <row r="67" hidden="1">
      <c r="A67" s="1"/>
      <c r="B67" s="140"/>
      <c r="D67" s="150"/>
      <c r="E67" s="150"/>
      <c r="F67" s="151"/>
      <c r="G67" s="150"/>
      <c r="N67" s="1"/>
    </row>
    <row r="68" hidden="1">
      <c r="A68" s="1"/>
      <c r="B68" s="140"/>
      <c r="D68" s="150"/>
      <c r="E68" s="150"/>
      <c r="F68" s="151"/>
      <c r="G68" s="150"/>
      <c r="N68" s="1"/>
    </row>
    <row r="69" hidden="1">
      <c r="A69" s="1"/>
      <c r="B69" s="140"/>
      <c r="N69" s="1"/>
    </row>
    <row r="70" hidden="1">
      <c r="A70" s="1"/>
      <c r="B70" s="140"/>
      <c r="N70" s="1"/>
    </row>
    <row r="71" hidden="1">
      <c r="A71" s="1"/>
      <c r="B71" s="140"/>
      <c r="N71" s="1"/>
    </row>
    <row r="72" hidden="1">
      <c r="A72" s="1"/>
      <c r="B72" s="140"/>
      <c r="N72" s="1"/>
    </row>
    <row r="73" hidden="1">
      <c r="A73" s="1"/>
      <c r="B73" s="140"/>
      <c r="N73" s="1"/>
    </row>
    <row r="74" hidden="1">
      <c r="A74" s="1"/>
      <c r="B74" s="140"/>
      <c r="N74" s="1"/>
    </row>
    <row r="75" hidden="1">
      <c r="A75" s="1"/>
      <c r="B75" s="140"/>
      <c r="N75" s="1"/>
    </row>
    <row r="76" hidden="1">
      <c r="A76" s="1"/>
      <c r="B76" s="140"/>
      <c r="N76" s="1"/>
    </row>
    <row r="77" hidden="1">
      <c r="A77" s="1"/>
      <c r="B77" s="140"/>
      <c r="N77" s="1"/>
    </row>
    <row r="78" hidden="1">
      <c r="A78" s="1"/>
      <c r="B78" s="140"/>
      <c r="N78" s="1"/>
    </row>
    <row r="79" hidden="1">
      <c r="A79" s="1"/>
      <c r="B79" s="140"/>
      <c r="N79" s="1"/>
    </row>
    <row r="80" hidden="1">
      <c r="A80" s="1"/>
      <c r="B80" s="140"/>
      <c r="N80" s="1"/>
    </row>
    <row r="81" hidden="1">
      <c r="A81" s="1"/>
      <c r="B81" s="140"/>
      <c r="N81" s="1"/>
    </row>
    <row r="82" hidden="1">
      <c r="A82" s="1"/>
      <c r="B82" s="140"/>
      <c r="N82" s="1"/>
    </row>
    <row r="83" hidden="1">
      <c r="A83" s="1"/>
      <c r="B83" s="140"/>
      <c r="N83" s="1"/>
    </row>
    <row r="84" hidden="1">
      <c r="A84" s="1"/>
      <c r="B84" s="140"/>
      <c r="N84" s="1"/>
    </row>
    <row r="85" hidden="1">
      <c r="A85" s="1"/>
      <c r="B85" s="140"/>
      <c r="N85" s="1"/>
    </row>
    <row r="86" hidden="1">
      <c r="A86" s="1"/>
      <c r="B86" s="140"/>
      <c r="N86" s="1"/>
    </row>
    <row r="87" hidden="1">
      <c r="A87" s="1"/>
      <c r="N87" s="1"/>
    </row>
    <row r="88" hidden="1">
      <c r="A88" s="1"/>
      <c r="N88" s="1"/>
    </row>
    <row r="89" hidden="1">
      <c r="A89" s="1"/>
      <c r="N89" s="1"/>
    </row>
    <row r="90" hidden="1">
      <c r="A90" s="1"/>
      <c r="N90" s="1"/>
    </row>
    <row r="91" hidden="1">
      <c r="A91" s="1"/>
      <c r="N91" s="1"/>
    </row>
    <row r="92" hidden="1">
      <c r="A92" s="1"/>
      <c r="N92" s="1"/>
    </row>
    <row r="93" hidden="1">
      <c r="A93" s="1"/>
      <c r="N93" s="1"/>
    </row>
    <row r="94" hidden="1">
      <c r="A94" s="1"/>
      <c r="N94" s="1"/>
    </row>
    <row r="95" hidden="1">
      <c r="A95" s="1"/>
      <c r="N95" s="1"/>
    </row>
    <row r="96" hidden="1">
      <c r="A96" s="1"/>
      <c r="N96" s="1"/>
    </row>
    <row r="97" hidden="1">
      <c r="A97" s="1"/>
      <c r="N97" s="1"/>
    </row>
    <row r="98" hidden="1">
      <c r="A98" s="1"/>
      <c r="N98" s="1"/>
    </row>
    <row r="99" hidden="1">
      <c r="A99" s="1"/>
      <c r="N99" s="1"/>
    </row>
    <row r="100" hidden="1">
      <c r="A100" s="1"/>
      <c r="N100" s="1"/>
    </row>
    <row r="101" hidden="1">
      <c r="A101" s="1"/>
      <c r="N101" s="1"/>
    </row>
    <row r="102" hidden="1">
      <c r="A102" s="1"/>
      <c r="N102" s="1"/>
    </row>
    <row r="103" hidden="1">
      <c r="A103" s="1"/>
      <c r="N103" s="1"/>
    </row>
    <row r="104" hidden="1">
      <c r="A104" s="1"/>
      <c r="N104" s="1"/>
    </row>
    <row r="105" hidden="1">
      <c r="A105" s="1"/>
      <c r="N105" s="1"/>
    </row>
    <row r="106" hidden="1">
      <c r="A106" s="1"/>
      <c r="N106" s="1"/>
    </row>
    <row r="107" hidden="1">
      <c r="A107" s="1"/>
      <c r="N107" s="1"/>
    </row>
    <row r="108" hidden="1">
      <c r="A108" s="1"/>
      <c r="N108" s="1"/>
    </row>
    <row r="109" hidden="1">
      <c r="A109" s="1"/>
      <c r="N109" s="1"/>
    </row>
    <row r="110" hidden="1">
      <c r="A110" s="1"/>
      <c r="N110" s="1"/>
    </row>
    <row r="111" hidden="1">
      <c r="A111" s="1"/>
      <c r="N111" s="1"/>
    </row>
    <row r="112" hidden="1">
      <c r="A112" s="1"/>
      <c r="N112" s="1"/>
    </row>
    <row r="113" hidden="1">
      <c r="A113" s="1"/>
      <c r="N113" s="1"/>
    </row>
    <row r="114" hidden="1">
      <c r="A114" s="1"/>
      <c r="N114" s="1"/>
    </row>
    <row r="115" hidden="1">
      <c r="A115" s="1"/>
      <c r="N115" s="1"/>
    </row>
    <row r="116" hidden="1">
      <c r="A116" s="1"/>
      <c r="N116" s="1"/>
    </row>
    <row r="117" hidden="1">
      <c r="A117" s="1"/>
      <c r="N117" s="1"/>
    </row>
    <row r="118" hidden="1">
      <c r="A118" s="1"/>
      <c r="N118" s="1"/>
    </row>
    <row r="119" hidden="1">
      <c r="A119" s="1"/>
      <c r="N119" s="1"/>
    </row>
    <row r="120" hidden="1">
      <c r="A120" s="1"/>
      <c r="N120" s="1"/>
    </row>
    <row r="121" hidden="1">
      <c r="A121" s="1"/>
      <c r="N121" s="1"/>
    </row>
    <row r="122" hidden="1">
      <c r="A122" s="1"/>
      <c r="N122" s="1"/>
    </row>
    <row r="123" hidden="1">
      <c r="A123" s="1"/>
      <c r="N123" s="1"/>
    </row>
    <row r="124" hidden="1">
      <c r="A124" s="1"/>
      <c r="N124" s="1"/>
    </row>
    <row r="125" hidden="1">
      <c r="A125" s="1"/>
      <c r="N125" s="1"/>
    </row>
    <row r="126" hidden="1">
      <c r="A126" s="1"/>
      <c r="N126" s="1"/>
    </row>
    <row r="127" hidden="1">
      <c r="A127" s="1"/>
      <c r="N127" s="1"/>
    </row>
    <row r="128" hidden="1">
      <c r="A128" s="1"/>
      <c r="N128" s="1"/>
    </row>
    <row r="129" hidden="1">
      <c r="A129" s="1"/>
      <c r="N129" s="1"/>
    </row>
    <row r="130" hidden="1">
      <c r="A130" s="1"/>
      <c r="N130" s="1"/>
    </row>
    <row r="131" hidden="1">
      <c r="A131" s="1"/>
      <c r="N131" s="1"/>
    </row>
    <row r="132" hidden="1">
      <c r="A132" s="1"/>
      <c r="N132" s="1"/>
    </row>
    <row r="133" hidden="1">
      <c r="A133" s="1"/>
      <c r="N133" s="1"/>
    </row>
    <row r="134" hidden="1">
      <c r="A134" s="1"/>
      <c r="N134" s="1"/>
    </row>
    <row r="135" hidden="1">
      <c r="A135" s="1"/>
      <c r="N135" s="1"/>
    </row>
    <row r="136" hidden="1">
      <c r="A136" s="1"/>
      <c r="N136" s="1"/>
    </row>
    <row r="137" hidden="1">
      <c r="A137" s="1"/>
      <c r="N137" s="1"/>
    </row>
    <row r="138" hidden="1">
      <c r="A138" s="1"/>
      <c r="N138" s="1"/>
    </row>
    <row r="139" hidden="1">
      <c r="A139" s="1"/>
      <c r="N139" s="1"/>
    </row>
    <row r="140" hidden="1">
      <c r="A140" s="1"/>
      <c r="N140" s="1"/>
    </row>
    <row r="141" hidden="1">
      <c r="A141" s="1"/>
      <c r="N141" s="1"/>
    </row>
    <row r="142" hidden="1">
      <c r="A142" s="1"/>
      <c r="N142" s="1"/>
    </row>
    <row r="143" hidden="1">
      <c r="A143" s="1"/>
      <c r="N143" s="1"/>
    </row>
    <row r="144" hidden="1">
      <c r="A144" s="1"/>
      <c r="N144" s="1"/>
    </row>
    <row r="145" hidden="1">
      <c r="A145" s="1"/>
      <c r="N145" s="1"/>
    </row>
    <row r="146" hidden="1">
      <c r="A146" s="1"/>
      <c r="N146" s="1"/>
    </row>
    <row r="147" hidden="1">
      <c r="A147" s="1"/>
      <c r="N147" s="1"/>
    </row>
    <row r="148" hidden="1">
      <c r="A148" s="1"/>
      <c r="N148" s="1"/>
    </row>
    <row r="149" hidden="1">
      <c r="A149" s="1"/>
      <c r="N149" s="1"/>
    </row>
    <row r="150" hidden="1">
      <c r="A150" s="1"/>
      <c r="N150" s="1"/>
    </row>
    <row r="151" hidden="1">
      <c r="A151" s="1"/>
      <c r="N151" s="1"/>
    </row>
    <row r="152" hidden="1">
      <c r="A152" s="1"/>
      <c r="N152" s="1"/>
    </row>
    <row r="153" hidden="1">
      <c r="A153" s="1"/>
      <c r="N153" s="1"/>
    </row>
    <row r="154" hidden="1">
      <c r="A154" s="1"/>
      <c r="N154" s="1"/>
    </row>
    <row r="155" hidden="1">
      <c r="A155" s="1"/>
      <c r="N155" s="1"/>
    </row>
    <row r="156" hidden="1">
      <c r="A156" s="1"/>
      <c r="N156" s="1"/>
    </row>
    <row r="157" hidden="1">
      <c r="A157" s="1"/>
      <c r="N157" s="1"/>
    </row>
    <row r="158" hidden="1">
      <c r="A158" s="1"/>
      <c r="N158" s="1"/>
    </row>
    <row r="159" hidden="1">
      <c r="A159" s="1"/>
      <c r="N159" s="1"/>
    </row>
    <row r="160" hidden="1">
      <c r="A160" s="1"/>
      <c r="N160" s="1"/>
    </row>
    <row r="161" hidden="1">
      <c r="A161" s="1"/>
      <c r="N161" s="1"/>
    </row>
    <row r="162" hidden="1">
      <c r="A162" s="1"/>
      <c r="N162" s="1"/>
    </row>
    <row r="163" hidden="1">
      <c r="A163" s="1"/>
      <c r="N163" s="1"/>
    </row>
    <row r="164" hidden="1">
      <c r="A164" s="1"/>
      <c r="N164" s="1"/>
    </row>
    <row r="165" hidden="1">
      <c r="A165" s="1"/>
      <c r="N165" s="1"/>
    </row>
    <row r="166" hidden="1">
      <c r="A166" s="1"/>
      <c r="N166" s="1"/>
    </row>
    <row r="167" hidden="1">
      <c r="A167" s="1"/>
      <c r="N167" s="1"/>
    </row>
    <row r="168" hidden="1">
      <c r="A168" s="1"/>
      <c r="N168" s="1"/>
    </row>
    <row r="169" hidden="1">
      <c r="A169" s="1"/>
      <c r="N169" s="1"/>
    </row>
    <row r="170" hidden="1">
      <c r="A170" s="1"/>
      <c r="N170" s="1"/>
    </row>
    <row r="171" hidden="1">
      <c r="A171" s="1"/>
      <c r="N171" s="1"/>
    </row>
    <row r="172" hidden="1">
      <c r="A172" s="1"/>
      <c r="N172" s="1"/>
    </row>
    <row r="173" hidden="1">
      <c r="A173" s="1"/>
      <c r="N173" s="1"/>
    </row>
    <row r="174" hidden="1">
      <c r="A174" s="1"/>
      <c r="N174" s="1"/>
    </row>
    <row r="175" hidden="1">
      <c r="A175" s="1"/>
      <c r="N175" s="1"/>
    </row>
    <row r="176" hidden="1">
      <c r="A176" s="1"/>
      <c r="N176" s="1"/>
    </row>
    <row r="177" hidden="1">
      <c r="A177" s="1"/>
      <c r="N177" s="1"/>
    </row>
    <row r="178" hidden="1">
      <c r="A178" s="1"/>
      <c r="N178" s="1"/>
    </row>
    <row r="179" hidden="1">
      <c r="A179" s="1"/>
      <c r="N179" s="1"/>
    </row>
    <row r="180" hidden="1">
      <c r="A180" s="1"/>
      <c r="N180" s="1"/>
    </row>
    <row r="181" hidden="1">
      <c r="A181" s="1"/>
      <c r="N181" s="1"/>
    </row>
    <row r="182" hidden="1">
      <c r="A182" s="1"/>
      <c r="N182" s="1"/>
    </row>
    <row r="183" hidden="1">
      <c r="A183" s="1"/>
      <c r="N183" s="1"/>
    </row>
    <row r="184" hidden="1">
      <c r="A184" s="1"/>
      <c r="N184" s="1"/>
    </row>
    <row r="185" hidden="1">
      <c r="A185" s="1"/>
      <c r="N185" s="1"/>
    </row>
    <row r="186" hidden="1">
      <c r="A186" s="1"/>
      <c r="N186" s="1"/>
    </row>
    <row r="187" hidden="1">
      <c r="A187" s="1"/>
      <c r="N187" s="1"/>
    </row>
    <row r="188" hidden="1">
      <c r="A188" s="1"/>
      <c r="N188" s="1"/>
    </row>
    <row r="189" hidden="1">
      <c r="A189" s="1"/>
      <c r="N189" s="1"/>
    </row>
    <row r="190" hidden="1">
      <c r="A190" s="1"/>
      <c r="N190" s="1"/>
    </row>
    <row r="191" hidden="1">
      <c r="A191" s="1"/>
      <c r="N191" s="1"/>
    </row>
    <row r="192" hidden="1">
      <c r="A192" s="1"/>
      <c r="N192" s="1"/>
    </row>
    <row r="193" hidden="1">
      <c r="A193" s="1"/>
      <c r="N193" s="1"/>
    </row>
    <row r="194" hidden="1">
      <c r="A194" s="1"/>
      <c r="N194" s="1"/>
    </row>
    <row r="195" hidden="1">
      <c r="A195" s="1"/>
      <c r="N195" s="1"/>
    </row>
    <row r="196" hidden="1">
      <c r="A196" s="1"/>
      <c r="N196" s="1"/>
    </row>
    <row r="197" hidden="1">
      <c r="A197" s="1"/>
      <c r="N197" s="1"/>
    </row>
    <row r="198" hidden="1">
      <c r="A198" s="1"/>
      <c r="N198" s="1"/>
    </row>
    <row r="199" hidden="1">
      <c r="A199" s="1"/>
      <c r="N199" s="1"/>
    </row>
    <row r="200" hidden="1">
      <c r="A200" s="1"/>
      <c r="N200" s="1"/>
    </row>
    <row r="201" hidden="1">
      <c r="A201" s="1"/>
      <c r="N201" s="1"/>
    </row>
    <row r="202" hidden="1">
      <c r="A202" s="1"/>
      <c r="N202" s="1"/>
    </row>
    <row r="203" hidden="1">
      <c r="A203" s="1"/>
      <c r="N203" s="1"/>
    </row>
    <row r="204" hidden="1">
      <c r="A204" s="1"/>
      <c r="N204" s="1"/>
    </row>
    <row r="205" hidden="1">
      <c r="A205" s="1"/>
      <c r="N205" s="1"/>
    </row>
    <row r="206" hidden="1">
      <c r="A206" s="1"/>
      <c r="N206" s="1"/>
    </row>
    <row r="207" hidden="1">
      <c r="A207" s="1"/>
      <c r="N207" s="1"/>
    </row>
    <row r="208" hidden="1">
      <c r="A208" s="1"/>
      <c r="N208" s="1"/>
    </row>
    <row r="209" hidden="1">
      <c r="A209" s="1"/>
      <c r="N209" s="1"/>
    </row>
    <row r="210" hidden="1">
      <c r="A210" s="1"/>
      <c r="N210" s="1"/>
    </row>
    <row r="211" hidden="1">
      <c r="A211" s="1"/>
      <c r="N211" s="1"/>
    </row>
    <row r="212" hidden="1">
      <c r="A212" s="1"/>
      <c r="N212" s="1"/>
    </row>
    <row r="213" hidden="1">
      <c r="A213" s="1"/>
      <c r="N213" s="1"/>
    </row>
    <row r="214" hidden="1">
      <c r="A214" s="1"/>
      <c r="N214" s="1"/>
    </row>
    <row r="215" hidden="1">
      <c r="A215" s="1"/>
      <c r="N215" s="1"/>
    </row>
    <row r="216" hidden="1">
      <c r="A216" s="1"/>
      <c r="N216" s="1"/>
    </row>
    <row r="217" hidden="1">
      <c r="A217" s="1"/>
      <c r="N217" s="1"/>
    </row>
    <row r="218" hidden="1">
      <c r="A218" s="1"/>
      <c r="N218" s="1"/>
    </row>
    <row r="219" hidden="1">
      <c r="A219" s="1"/>
      <c r="N219" s="1"/>
    </row>
    <row r="220" hidden="1">
      <c r="A220" s="1"/>
      <c r="N220" s="1"/>
    </row>
    <row r="221" hidden="1">
      <c r="A221" s="1"/>
      <c r="N221" s="1"/>
    </row>
    <row r="222" hidden="1">
      <c r="A222" s="1"/>
      <c r="N222" s="1"/>
    </row>
    <row r="223" hidden="1">
      <c r="A223" s="1"/>
      <c r="N223" s="1"/>
    </row>
    <row r="224" hidden="1">
      <c r="A224" s="1"/>
      <c r="N224" s="1"/>
    </row>
    <row r="225" hidden="1">
      <c r="A225" s="1"/>
      <c r="N225" s="1"/>
    </row>
    <row r="226" hidden="1">
      <c r="A226" s="1"/>
      <c r="N226" s="1"/>
    </row>
    <row r="227" hidden="1">
      <c r="A227" s="1"/>
      <c r="N227" s="1"/>
    </row>
    <row r="228" hidden="1">
      <c r="A228" s="1"/>
      <c r="N228" s="1"/>
    </row>
    <row r="229" hidden="1">
      <c r="A229" s="1"/>
      <c r="N229" s="1"/>
    </row>
    <row r="230" hidden="1">
      <c r="A230" s="1"/>
      <c r="N230" s="1"/>
    </row>
    <row r="231" hidden="1">
      <c r="A231" s="1"/>
      <c r="N231" s="1"/>
    </row>
    <row r="232" hidden="1">
      <c r="A232" s="1"/>
      <c r="N232" s="1"/>
    </row>
    <row r="233" hidden="1">
      <c r="A233" s="1"/>
      <c r="N233" s="1"/>
    </row>
    <row r="234" hidden="1">
      <c r="A234" s="1"/>
      <c r="N234" s="1"/>
    </row>
    <row r="235" hidden="1">
      <c r="A235" s="1"/>
      <c r="N235" s="1"/>
    </row>
    <row r="236" hidden="1">
      <c r="A236" s="1"/>
      <c r="N236" s="1"/>
    </row>
    <row r="237" hidden="1">
      <c r="A237" s="1"/>
      <c r="N237" s="1"/>
    </row>
    <row r="238" hidden="1">
      <c r="A238" s="1"/>
      <c r="N238" s="1"/>
    </row>
    <row r="239" hidden="1">
      <c r="A239" s="1"/>
      <c r="N239" s="1"/>
    </row>
    <row r="240" hidden="1">
      <c r="A240" s="1"/>
      <c r="N240" s="1"/>
    </row>
    <row r="241" hidden="1">
      <c r="A241" s="1"/>
      <c r="N241" s="1"/>
    </row>
    <row r="242" hidden="1">
      <c r="A242" s="1"/>
      <c r="N242" s="1"/>
    </row>
    <row r="243" hidden="1">
      <c r="A243" s="1"/>
      <c r="N243" s="1"/>
    </row>
    <row r="244" hidden="1">
      <c r="A244" s="1"/>
      <c r="N244" s="1"/>
    </row>
    <row r="245" hidden="1">
      <c r="A245" s="1"/>
      <c r="N245" s="1"/>
    </row>
    <row r="246" hidden="1">
      <c r="A246" s="1"/>
      <c r="N246" s="1"/>
    </row>
    <row r="247" hidden="1">
      <c r="A247" s="1"/>
      <c r="N247" s="1"/>
    </row>
    <row r="248" hidden="1">
      <c r="A248" s="1"/>
      <c r="N248" s="1"/>
    </row>
    <row r="249" hidden="1">
      <c r="A249" s="1"/>
      <c r="N249" s="1"/>
    </row>
    <row r="250" hidden="1">
      <c r="A250" s="1"/>
      <c r="N250" s="1"/>
    </row>
    <row r="251" hidden="1">
      <c r="A251" s="1"/>
      <c r="N251" s="1"/>
    </row>
    <row r="252" hidden="1">
      <c r="A252" s="1"/>
      <c r="N252" s="1"/>
    </row>
    <row r="253" hidden="1">
      <c r="A253" s="1"/>
      <c r="N253" s="1"/>
    </row>
    <row r="254" hidden="1">
      <c r="A254" s="1"/>
      <c r="N254" s="1"/>
    </row>
    <row r="255" hidden="1">
      <c r="A255" s="1"/>
      <c r="N255" s="1"/>
    </row>
    <row r="256" hidden="1">
      <c r="A256" s="1"/>
      <c r="N256" s="1"/>
    </row>
    <row r="257" hidden="1">
      <c r="A257" s="1"/>
      <c r="N257" s="1"/>
    </row>
    <row r="258" hidden="1">
      <c r="A258" s="1"/>
      <c r="N258" s="1"/>
    </row>
    <row r="259" hidden="1">
      <c r="A259" s="1"/>
      <c r="N259" s="1"/>
    </row>
    <row r="260" hidden="1">
      <c r="A260" s="1"/>
      <c r="N260" s="1"/>
    </row>
    <row r="261" hidden="1">
      <c r="A261" s="1"/>
      <c r="N261" s="1"/>
    </row>
    <row r="262" hidden="1">
      <c r="A262" s="1"/>
      <c r="N262" s="1"/>
    </row>
    <row r="263" hidden="1">
      <c r="A263" s="1"/>
      <c r="N263" s="1"/>
    </row>
    <row r="264" hidden="1">
      <c r="A264" s="1"/>
      <c r="N264" s="1"/>
    </row>
    <row r="265" hidden="1">
      <c r="A265" s="1"/>
      <c r="N265" s="1"/>
    </row>
    <row r="266" hidden="1">
      <c r="A266" s="1"/>
      <c r="N266" s="1"/>
    </row>
    <row r="267" hidden="1">
      <c r="A267" s="1"/>
      <c r="N267" s="1"/>
    </row>
    <row r="268" hidden="1">
      <c r="A268" s="1"/>
      <c r="N268" s="1"/>
    </row>
    <row r="269" hidden="1">
      <c r="A269" s="1"/>
      <c r="N269" s="1"/>
    </row>
    <row r="270" hidden="1">
      <c r="A270" s="1"/>
      <c r="N270" s="1"/>
    </row>
    <row r="271" hidden="1">
      <c r="A271" s="1"/>
      <c r="N271" s="1"/>
    </row>
    <row r="272" hidden="1">
      <c r="A272" s="1"/>
      <c r="N272" s="1"/>
    </row>
    <row r="273" hidden="1">
      <c r="A273" s="1"/>
      <c r="N273" s="1"/>
    </row>
    <row r="274" hidden="1">
      <c r="A274" s="1"/>
      <c r="N274" s="1"/>
    </row>
    <row r="275" hidden="1">
      <c r="A275" s="1"/>
      <c r="N275" s="1"/>
    </row>
    <row r="276" hidden="1">
      <c r="A276" s="1"/>
      <c r="N276" s="1"/>
    </row>
    <row r="277" hidden="1">
      <c r="A277" s="1"/>
      <c r="N277" s="1"/>
    </row>
    <row r="278" hidden="1">
      <c r="A278" s="1"/>
      <c r="N278" s="1"/>
    </row>
    <row r="279" hidden="1">
      <c r="A279" s="1"/>
      <c r="N279" s="1"/>
    </row>
    <row r="280" hidden="1">
      <c r="A280" s="1"/>
      <c r="N280" s="1"/>
    </row>
    <row r="281" hidden="1">
      <c r="A281" s="1"/>
      <c r="N281" s="1"/>
    </row>
    <row r="282" hidden="1">
      <c r="A282" s="1"/>
      <c r="N282" s="1"/>
    </row>
    <row r="283" hidden="1">
      <c r="A283" s="1"/>
      <c r="N283" s="1"/>
    </row>
    <row r="284" hidden="1">
      <c r="A284" s="1"/>
      <c r="N284" s="1"/>
    </row>
    <row r="285" hidden="1">
      <c r="A285" s="1"/>
      <c r="N285" s="1"/>
    </row>
    <row r="286" hidden="1">
      <c r="A286" s="1"/>
      <c r="N286" s="1"/>
    </row>
    <row r="287" hidden="1">
      <c r="A287" s="1"/>
      <c r="N287" s="1"/>
    </row>
    <row r="288" hidden="1">
      <c r="A288" s="1"/>
      <c r="N288" s="1"/>
    </row>
    <row r="289" hidden="1">
      <c r="A289" s="1"/>
      <c r="N289" s="1"/>
    </row>
    <row r="290" hidden="1">
      <c r="A290" s="1"/>
      <c r="N290" s="1"/>
    </row>
    <row r="291" hidden="1">
      <c r="A291" s="1"/>
      <c r="N291" s="1"/>
    </row>
    <row r="292" hidden="1">
      <c r="A292" s="1"/>
      <c r="N292" s="1"/>
    </row>
    <row r="293" hidden="1">
      <c r="A293" s="1"/>
      <c r="N293" s="1"/>
    </row>
    <row r="294" hidden="1">
      <c r="A294" s="1"/>
      <c r="N294" s="1"/>
    </row>
    <row r="295" hidden="1">
      <c r="A295" s="1"/>
      <c r="N295" s="1"/>
    </row>
    <row r="296" hidden="1">
      <c r="A296" s="1"/>
      <c r="N296" s="1"/>
    </row>
    <row r="297" hidden="1">
      <c r="A297" s="1"/>
      <c r="N297" s="1"/>
    </row>
    <row r="298" hidden="1">
      <c r="A298" s="1"/>
      <c r="N298" s="1"/>
    </row>
    <row r="299" hidden="1">
      <c r="A299" s="1"/>
      <c r="N299" s="1"/>
    </row>
    <row r="300" hidden="1">
      <c r="A300" s="1"/>
      <c r="N300" s="1"/>
    </row>
    <row r="301" hidden="1">
      <c r="A301" s="1"/>
      <c r="N301" s="1"/>
    </row>
    <row r="302" hidden="1">
      <c r="A302" s="1"/>
      <c r="N302" s="1"/>
    </row>
    <row r="303" hidden="1">
      <c r="A303" s="1"/>
      <c r="N303" s="1"/>
    </row>
    <row r="304" hidden="1">
      <c r="A304" s="1"/>
      <c r="N304" s="1"/>
    </row>
    <row r="305" hidden="1">
      <c r="A305" s="1"/>
      <c r="N305" s="1"/>
    </row>
    <row r="306" hidden="1">
      <c r="A306" s="1"/>
      <c r="N306" s="1"/>
    </row>
    <row r="307" hidden="1">
      <c r="A307" s="1"/>
      <c r="N307" s="1"/>
    </row>
    <row r="308" hidden="1">
      <c r="A308" s="1"/>
      <c r="N308" s="1"/>
    </row>
    <row r="309" hidden="1">
      <c r="A309" s="1"/>
      <c r="N309" s="1"/>
    </row>
    <row r="310" hidden="1">
      <c r="A310" s="1"/>
      <c r="N310" s="1"/>
    </row>
    <row r="311" hidden="1">
      <c r="A311" s="1"/>
      <c r="N311" s="1"/>
    </row>
    <row r="312" hidden="1">
      <c r="A312" s="1"/>
      <c r="N312" s="1"/>
    </row>
    <row r="313" hidden="1">
      <c r="A313" s="1"/>
      <c r="N313" s="1"/>
    </row>
    <row r="314" hidden="1">
      <c r="A314" s="1"/>
      <c r="N314" s="1"/>
    </row>
    <row r="315" hidden="1">
      <c r="A315" s="1"/>
      <c r="N315" s="1"/>
    </row>
    <row r="316" hidden="1">
      <c r="A316" s="1"/>
      <c r="N316" s="1"/>
    </row>
    <row r="317" hidden="1">
      <c r="A317" s="1"/>
      <c r="N317" s="1"/>
    </row>
    <row r="318" hidden="1">
      <c r="A318" s="1"/>
      <c r="N318" s="1"/>
    </row>
    <row r="319" hidden="1">
      <c r="A319" s="1"/>
      <c r="N319" s="1"/>
    </row>
    <row r="320" hidden="1">
      <c r="A320" s="1"/>
      <c r="N320" s="1"/>
    </row>
    <row r="321" hidden="1">
      <c r="A321" s="1"/>
      <c r="N321" s="1"/>
    </row>
    <row r="322" hidden="1">
      <c r="A322" s="1"/>
      <c r="N322" s="1"/>
    </row>
    <row r="323" hidden="1">
      <c r="A323" s="1"/>
      <c r="N323" s="1"/>
    </row>
    <row r="324" hidden="1">
      <c r="A324" s="1"/>
      <c r="N324" s="1"/>
    </row>
    <row r="325" hidden="1">
      <c r="A325" s="1"/>
      <c r="N325" s="1"/>
    </row>
    <row r="326" hidden="1">
      <c r="A326" s="1"/>
      <c r="N326" s="1"/>
    </row>
    <row r="327" hidden="1">
      <c r="A327" s="1"/>
      <c r="N327" s="1"/>
    </row>
    <row r="328" hidden="1">
      <c r="A328" s="1"/>
      <c r="N328" s="1"/>
    </row>
    <row r="329" hidden="1">
      <c r="A329" s="1"/>
      <c r="N329" s="1"/>
    </row>
    <row r="330" hidden="1">
      <c r="A330" s="1"/>
      <c r="N330" s="1"/>
    </row>
    <row r="331" hidden="1">
      <c r="A331" s="1"/>
      <c r="N331" s="1"/>
    </row>
    <row r="332" hidden="1">
      <c r="A332" s="1"/>
      <c r="N332" s="1"/>
    </row>
    <row r="333" hidden="1">
      <c r="A333" s="1"/>
      <c r="N333" s="1"/>
    </row>
    <row r="334" hidden="1">
      <c r="A334" s="1"/>
      <c r="N334" s="1"/>
    </row>
    <row r="335" hidden="1">
      <c r="A335" s="1"/>
      <c r="N335" s="1"/>
    </row>
    <row r="336" hidden="1">
      <c r="A336" s="1"/>
      <c r="N336" s="1"/>
    </row>
    <row r="337" hidden="1">
      <c r="A337" s="1"/>
      <c r="N337" s="1"/>
    </row>
    <row r="338" hidden="1">
      <c r="A338" s="1"/>
      <c r="N338" s="1"/>
    </row>
    <row r="339" hidden="1">
      <c r="A339" s="1"/>
      <c r="N339" s="1"/>
    </row>
    <row r="340" hidden="1">
      <c r="A340" s="1"/>
      <c r="N340" s="1"/>
    </row>
    <row r="341" hidden="1">
      <c r="A341" s="1"/>
      <c r="N341" s="1"/>
    </row>
    <row r="342" hidden="1">
      <c r="A342" s="1"/>
      <c r="N342" s="1"/>
    </row>
    <row r="343" hidden="1">
      <c r="A343" s="1"/>
      <c r="N343" s="1"/>
    </row>
    <row r="344" hidden="1">
      <c r="A344" s="1"/>
      <c r="N344" s="1"/>
    </row>
    <row r="345" hidden="1">
      <c r="A345" s="1"/>
      <c r="N345" s="1"/>
    </row>
    <row r="346" hidden="1">
      <c r="A346" s="1"/>
      <c r="N346" s="1"/>
    </row>
    <row r="347" hidden="1">
      <c r="A347" s="1"/>
      <c r="N347" s="1"/>
    </row>
    <row r="348" hidden="1">
      <c r="A348" s="1"/>
      <c r="N348" s="1"/>
    </row>
    <row r="349" hidden="1">
      <c r="A349" s="1"/>
      <c r="N349" s="1"/>
    </row>
    <row r="350" hidden="1">
      <c r="A350" s="1"/>
      <c r="N350" s="1"/>
    </row>
    <row r="351" hidden="1">
      <c r="A351" s="1"/>
      <c r="N351" s="1"/>
    </row>
    <row r="352" hidden="1">
      <c r="A352" s="1"/>
      <c r="N352" s="1"/>
    </row>
    <row r="353" hidden="1">
      <c r="A353" s="1"/>
      <c r="N353" s="1"/>
    </row>
    <row r="354" hidden="1">
      <c r="A354" s="1"/>
      <c r="N354" s="1"/>
    </row>
    <row r="355" hidden="1">
      <c r="A355" s="1"/>
      <c r="N355" s="1"/>
    </row>
    <row r="356" hidden="1">
      <c r="A356" s="1"/>
      <c r="N356" s="1"/>
    </row>
    <row r="357" hidden="1">
      <c r="A357" s="1"/>
      <c r="N357" s="1"/>
    </row>
    <row r="358" hidden="1">
      <c r="A358" s="1"/>
      <c r="N358" s="1"/>
    </row>
    <row r="359" hidden="1">
      <c r="A359" s="1"/>
      <c r="N359" s="1"/>
    </row>
    <row r="360" hidden="1">
      <c r="A360" s="1"/>
      <c r="N360" s="1"/>
    </row>
    <row r="361" hidden="1">
      <c r="A361" s="1"/>
      <c r="N361" s="1"/>
    </row>
    <row r="362" hidden="1">
      <c r="A362" s="1"/>
      <c r="N362" s="1"/>
    </row>
    <row r="363" hidden="1">
      <c r="A363" s="1"/>
      <c r="N363" s="1"/>
    </row>
    <row r="364" hidden="1">
      <c r="A364" s="1"/>
      <c r="N364" s="1"/>
    </row>
    <row r="365" hidden="1">
      <c r="A365" s="1"/>
      <c r="N365" s="1"/>
    </row>
    <row r="366" hidden="1">
      <c r="A366" s="1"/>
      <c r="N366" s="1"/>
    </row>
    <row r="367" hidden="1">
      <c r="A367" s="1"/>
      <c r="N367" s="1"/>
    </row>
    <row r="368" hidden="1">
      <c r="A368" s="1"/>
      <c r="N368" s="1"/>
    </row>
    <row r="369" hidden="1">
      <c r="A369" s="1"/>
      <c r="N369" s="1"/>
    </row>
    <row r="370" hidden="1">
      <c r="A370" s="1"/>
      <c r="N370" s="1"/>
    </row>
    <row r="371" hidden="1">
      <c r="A371" s="1"/>
      <c r="N371" s="1"/>
    </row>
    <row r="372" hidden="1">
      <c r="A372" s="1"/>
      <c r="N372" s="1"/>
    </row>
    <row r="373" hidden="1">
      <c r="A373" s="1"/>
      <c r="N373" s="1"/>
    </row>
    <row r="374" hidden="1">
      <c r="A374" s="1"/>
      <c r="N374" s="1"/>
    </row>
    <row r="375" hidden="1">
      <c r="A375" s="1"/>
      <c r="N375" s="1"/>
    </row>
    <row r="376" hidden="1">
      <c r="A376" s="1"/>
      <c r="N376" s="1"/>
    </row>
    <row r="377" hidden="1">
      <c r="A377" s="1"/>
      <c r="N377" s="1"/>
    </row>
    <row r="378" hidden="1">
      <c r="A378" s="1"/>
      <c r="N378" s="1"/>
    </row>
    <row r="379" hidden="1">
      <c r="A379" s="1"/>
      <c r="N379" s="1"/>
    </row>
    <row r="380" hidden="1">
      <c r="A380" s="1"/>
      <c r="N380" s="1"/>
    </row>
    <row r="381" hidden="1">
      <c r="A381" s="1"/>
      <c r="N381" s="1"/>
    </row>
    <row r="382" hidden="1">
      <c r="A382" s="1"/>
      <c r="N382" s="1"/>
    </row>
    <row r="383" hidden="1">
      <c r="A383" s="1"/>
      <c r="N383" s="1"/>
    </row>
    <row r="384" hidden="1">
      <c r="A384" s="1"/>
      <c r="N384" s="1"/>
    </row>
    <row r="385" hidden="1">
      <c r="A385" s="1"/>
      <c r="N385" s="1"/>
    </row>
    <row r="386" hidden="1">
      <c r="A386" s="1"/>
      <c r="N386" s="1"/>
    </row>
    <row r="387" hidden="1">
      <c r="A387" s="1"/>
      <c r="N387" s="1"/>
    </row>
    <row r="388" hidden="1">
      <c r="A388" s="1"/>
      <c r="N388" s="1"/>
    </row>
    <row r="389" hidden="1">
      <c r="A389" s="1"/>
      <c r="N389" s="1"/>
    </row>
    <row r="390" hidden="1">
      <c r="A390" s="1"/>
      <c r="N390" s="1"/>
    </row>
    <row r="391" hidden="1">
      <c r="A391" s="1"/>
      <c r="N391" s="1"/>
    </row>
    <row r="392" hidden="1">
      <c r="A392" s="1"/>
      <c r="N392" s="1"/>
    </row>
    <row r="393" hidden="1">
      <c r="A393" s="1"/>
      <c r="N393" s="1"/>
    </row>
    <row r="394" hidden="1">
      <c r="A394" s="1"/>
      <c r="N394" s="1"/>
    </row>
    <row r="395" hidden="1">
      <c r="A395" s="1"/>
      <c r="N395" s="1"/>
    </row>
    <row r="396" hidden="1">
      <c r="A396" s="1"/>
      <c r="N396" s="1"/>
    </row>
    <row r="397" hidden="1">
      <c r="A397" s="1"/>
      <c r="N397" s="1"/>
    </row>
    <row r="398" hidden="1">
      <c r="A398" s="1"/>
      <c r="N398" s="1"/>
    </row>
    <row r="399" hidden="1">
      <c r="A399" s="1"/>
      <c r="N399" s="1"/>
    </row>
    <row r="400" hidden="1">
      <c r="A400" s="1"/>
      <c r="N400" s="1"/>
    </row>
    <row r="401" hidden="1">
      <c r="A401" s="1"/>
      <c r="N401" s="1"/>
    </row>
    <row r="402" hidden="1">
      <c r="A402" s="1"/>
      <c r="N402" s="1"/>
    </row>
    <row r="403" hidden="1">
      <c r="A403" s="1"/>
      <c r="N403" s="1"/>
    </row>
    <row r="404" hidden="1">
      <c r="A404" s="1"/>
      <c r="N404" s="1"/>
    </row>
    <row r="405" hidden="1">
      <c r="A405" s="1"/>
      <c r="N405" s="1"/>
    </row>
    <row r="406" hidden="1">
      <c r="A406" s="1"/>
      <c r="N406" s="1"/>
    </row>
    <row r="407" hidden="1">
      <c r="A407" s="1"/>
      <c r="N407" s="1"/>
    </row>
    <row r="408" hidden="1">
      <c r="A408" s="1"/>
      <c r="N408" s="1"/>
    </row>
    <row r="409" hidden="1">
      <c r="A409" s="1"/>
      <c r="N409" s="1"/>
    </row>
    <row r="410" hidden="1">
      <c r="A410" s="1"/>
      <c r="N410" s="1"/>
    </row>
    <row r="411" hidden="1">
      <c r="A411" s="1"/>
      <c r="N411" s="1"/>
    </row>
    <row r="412" hidden="1">
      <c r="A412" s="1"/>
      <c r="N412" s="1"/>
    </row>
    <row r="413" hidden="1">
      <c r="A413" s="1"/>
      <c r="N413" s="1"/>
    </row>
    <row r="414" hidden="1">
      <c r="A414" s="1"/>
      <c r="N414" s="1"/>
    </row>
    <row r="415" hidden="1">
      <c r="A415" s="1"/>
      <c r="N415" s="1"/>
    </row>
    <row r="416" hidden="1">
      <c r="A416" s="1"/>
      <c r="N416" s="1"/>
    </row>
    <row r="417" hidden="1">
      <c r="A417" s="1"/>
      <c r="N417" s="1"/>
    </row>
    <row r="418" hidden="1">
      <c r="A418" s="1"/>
      <c r="N418" s="1"/>
    </row>
    <row r="419" hidden="1">
      <c r="A419" s="1"/>
      <c r="N419" s="1"/>
    </row>
    <row r="420" hidden="1">
      <c r="A420" s="1"/>
      <c r="N420" s="1"/>
    </row>
    <row r="421" hidden="1">
      <c r="A421" s="1"/>
      <c r="N421" s="1"/>
    </row>
    <row r="422" hidden="1">
      <c r="A422" s="1"/>
      <c r="N422" s="1"/>
    </row>
    <row r="423" hidden="1">
      <c r="A423" s="1"/>
      <c r="N423" s="1"/>
    </row>
    <row r="424" hidden="1">
      <c r="A424" s="1"/>
      <c r="N424" s="1"/>
    </row>
    <row r="425" hidden="1">
      <c r="A425" s="1"/>
      <c r="N425" s="1"/>
    </row>
    <row r="426" hidden="1">
      <c r="A426" s="1"/>
      <c r="N426" s="1"/>
    </row>
    <row r="427" hidden="1">
      <c r="A427" s="1"/>
      <c r="N427" s="1"/>
    </row>
    <row r="428" hidden="1">
      <c r="A428" s="1"/>
      <c r="N428" s="1"/>
    </row>
    <row r="429" hidden="1">
      <c r="A429" s="1"/>
      <c r="N429" s="1"/>
    </row>
    <row r="430" hidden="1">
      <c r="A430" s="1"/>
      <c r="N430" s="1"/>
    </row>
    <row r="431" hidden="1">
      <c r="A431" s="1"/>
      <c r="N431" s="1"/>
    </row>
    <row r="432" hidden="1">
      <c r="A432" s="1"/>
      <c r="N432" s="1"/>
    </row>
    <row r="433" hidden="1">
      <c r="A433" s="1"/>
      <c r="N433" s="1"/>
    </row>
    <row r="434" hidden="1">
      <c r="A434" s="1"/>
      <c r="N434" s="1"/>
    </row>
    <row r="435" hidden="1">
      <c r="A435" s="1"/>
      <c r="N435" s="1"/>
    </row>
    <row r="436" hidden="1">
      <c r="A436" s="1"/>
      <c r="N436" s="1"/>
    </row>
    <row r="437" hidden="1">
      <c r="A437" s="1"/>
      <c r="N437" s="1"/>
    </row>
    <row r="438" hidden="1">
      <c r="A438" s="1"/>
      <c r="N438" s="1"/>
    </row>
    <row r="439" hidden="1">
      <c r="A439" s="1"/>
      <c r="N439" s="1"/>
    </row>
    <row r="440" hidden="1">
      <c r="A440" s="1"/>
      <c r="N440" s="1"/>
    </row>
    <row r="441" hidden="1">
      <c r="A441" s="1"/>
      <c r="N441" s="1"/>
    </row>
    <row r="442" hidden="1">
      <c r="A442" s="1"/>
      <c r="N442" s="1"/>
    </row>
    <row r="443" hidden="1">
      <c r="A443" s="1"/>
      <c r="N443" s="1"/>
    </row>
    <row r="444" hidden="1">
      <c r="A444" s="1"/>
      <c r="N444" s="1"/>
    </row>
    <row r="445" hidden="1">
      <c r="A445" s="1"/>
      <c r="N445" s="1"/>
    </row>
    <row r="446" hidden="1">
      <c r="A446" s="1"/>
      <c r="N446" s="1"/>
    </row>
    <row r="447" hidden="1">
      <c r="A447" s="1"/>
      <c r="N447" s="1"/>
    </row>
    <row r="448" hidden="1">
      <c r="A448" s="1"/>
      <c r="N448" s="1"/>
    </row>
    <row r="449" hidden="1">
      <c r="A449" s="1"/>
      <c r="N449" s="1"/>
    </row>
    <row r="450" hidden="1">
      <c r="A450" s="1"/>
      <c r="N450" s="1"/>
    </row>
    <row r="451" hidden="1">
      <c r="A451" s="1"/>
      <c r="N451" s="1"/>
    </row>
    <row r="452" hidden="1">
      <c r="A452" s="1"/>
      <c r="N452" s="1"/>
    </row>
    <row r="453" hidden="1">
      <c r="A453" s="1"/>
      <c r="N453" s="1"/>
    </row>
    <row r="454" hidden="1">
      <c r="A454" s="1"/>
      <c r="N454" s="1"/>
    </row>
    <row r="455" hidden="1">
      <c r="A455" s="1"/>
      <c r="N455" s="1"/>
    </row>
    <row r="456" hidden="1">
      <c r="A456" s="1"/>
      <c r="N456" s="1"/>
    </row>
    <row r="457" hidden="1">
      <c r="A457" s="1"/>
      <c r="N457" s="1"/>
    </row>
    <row r="458" hidden="1">
      <c r="A458" s="1"/>
      <c r="N458" s="1"/>
    </row>
    <row r="459" hidden="1">
      <c r="A459" s="1"/>
      <c r="N459" s="1"/>
    </row>
    <row r="460" hidden="1">
      <c r="A460" s="1"/>
      <c r="N460" s="1"/>
    </row>
    <row r="461" hidden="1">
      <c r="A461" s="1"/>
      <c r="N461" s="1"/>
    </row>
    <row r="462" hidden="1">
      <c r="A462" s="1"/>
      <c r="N462" s="1"/>
    </row>
    <row r="463" hidden="1">
      <c r="A463" s="1"/>
      <c r="N463" s="1"/>
    </row>
    <row r="464" hidden="1">
      <c r="A464" s="1"/>
      <c r="N464" s="1"/>
    </row>
    <row r="465" hidden="1">
      <c r="A465" s="1"/>
      <c r="N465" s="1"/>
    </row>
    <row r="466" hidden="1">
      <c r="A466" s="1"/>
      <c r="N466" s="1"/>
    </row>
    <row r="467" hidden="1">
      <c r="A467" s="1"/>
      <c r="N467" s="1"/>
    </row>
    <row r="468" hidden="1">
      <c r="A468" s="1"/>
      <c r="N468" s="1"/>
    </row>
    <row r="469" hidden="1">
      <c r="A469" s="1"/>
      <c r="N469" s="1"/>
    </row>
    <row r="470" hidden="1">
      <c r="A470" s="1"/>
      <c r="N470" s="1"/>
    </row>
    <row r="471" hidden="1">
      <c r="A471" s="1"/>
      <c r="N471" s="1"/>
    </row>
    <row r="472" hidden="1">
      <c r="A472" s="1"/>
      <c r="N472" s="1"/>
    </row>
    <row r="473" hidden="1">
      <c r="A473" s="1"/>
      <c r="N473" s="1"/>
    </row>
    <row r="474" hidden="1">
      <c r="A474" s="1"/>
      <c r="N474" s="1"/>
    </row>
    <row r="475" hidden="1">
      <c r="A475" s="1"/>
      <c r="N475" s="1"/>
    </row>
    <row r="476" hidden="1">
      <c r="A476" s="1"/>
      <c r="N476" s="1"/>
    </row>
    <row r="477" hidden="1">
      <c r="A477" s="1"/>
      <c r="N477" s="1"/>
    </row>
    <row r="478" hidden="1">
      <c r="A478" s="1"/>
      <c r="N478" s="1"/>
    </row>
    <row r="479" hidden="1">
      <c r="A479" s="1"/>
      <c r="N479" s="1"/>
    </row>
    <row r="480" hidden="1">
      <c r="A480" s="1"/>
      <c r="N480" s="1"/>
    </row>
    <row r="481" hidden="1">
      <c r="A481" s="1"/>
      <c r="N481" s="1"/>
    </row>
    <row r="482" hidden="1">
      <c r="A482" s="1"/>
      <c r="N482" s="1"/>
    </row>
    <row r="483" hidden="1">
      <c r="A483" s="1"/>
      <c r="N483" s="1"/>
    </row>
    <row r="484" hidden="1">
      <c r="A484" s="1"/>
      <c r="N484" s="1"/>
    </row>
    <row r="485" hidden="1">
      <c r="A485" s="1"/>
      <c r="N485" s="1"/>
    </row>
    <row r="486" hidden="1">
      <c r="A486" s="1"/>
      <c r="N486" s="1"/>
    </row>
    <row r="487" hidden="1">
      <c r="A487" s="1"/>
      <c r="N487" s="1"/>
    </row>
    <row r="488" hidden="1">
      <c r="A488" s="1"/>
      <c r="N488" s="1"/>
    </row>
    <row r="489" hidden="1">
      <c r="A489" s="1"/>
      <c r="N489" s="1"/>
    </row>
    <row r="490" hidden="1">
      <c r="A490" s="1"/>
      <c r="N490" s="1"/>
    </row>
    <row r="491" hidden="1">
      <c r="A491" s="1"/>
      <c r="N491" s="1"/>
    </row>
    <row r="492" hidden="1">
      <c r="A492" s="1"/>
      <c r="N492" s="1"/>
    </row>
    <row r="493" hidden="1">
      <c r="A493" s="1"/>
      <c r="N493" s="1"/>
    </row>
    <row r="494" hidden="1">
      <c r="A494" s="1"/>
      <c r="N494" s="1"/>
    </row>
    <row r="495" hidden="1">
      <c r="A495" s="1"/>
      <c r="N495" s="1"/>
    </row>
    <row r="496" hidden="1">
      <c r="A496" s="1"/>
      <c r="N496" s="1"/>
    </row>
    <row r="497" hidden="1">
      <c r="A497" s="1"/>
      <c r="N497" s="1"/>
    </row>
    <row r="498" hidden="1">
      <c r="A498" s="1"/>
      <c r="N498" s="1"/>
    </row>
    <row r="499" hidden="1">
      <c r="A499" s="1"/>
      <c r="N499" s="1"/>
    </row>
    <row r="500" hidden="1">
      <c r="A500" s="1"/>
      <c r="N500" s="1"/>
    </row>
    <row r="501" hidden="1">
      <c r="A501" s="1"/>
      <c r="N501" s="1"/>
    </row>
    <row r="502" hidden="1">
      <c r="A502" s="1"/>
      <c r="N502" s="1"/>
    </row>
    <row r="503" hidden="1">
      <c r="A503" s="1"/>
      <c r="N503" s="1"/>
    </row>
    <row r="504" hidden="1">
      <c r="A504" s="1"/>
      <c r="N504" s="1"/>
    </row>
    <row r="505" hidden="1">
      <c r="A505" s="1"/>
      <c r="N505" s="1"/>
    </row>
    <row r="506" hidden="1">
      <c r="A506" s="1"/>
      <c r="N506" s="1"/>
    </row>
    <row r="507" hidden="1">
      <c r="A507" s="1"/>
      <c r="N507" s="1"/>
    </row>
    <row r="508" hidden="1">
      <c r="A508" s="1"/>
      <c r="N508" s="1"/>
    </row>
    <row r="509" hidden="1">
      <c r="A509" s="1"/>
      <c r="N509" s="1"/>
    </row>
    <row r="510" hidden="1">
      <c r="A510" s="1"/>
      <c r="N510" s="1"/>
    </row>
    <row r="511" hidden="1">
      <c r="A511" s="1"/>
      <c r="N511" s="1"/>
    </row>
    <row r="512" hidden="1">
      <c r="A512" s="1"/>
      <c r="N512" s="1"/>
    </row>
    <row r="513" hidden="1">
      <c r="A513" s="1"/>
      <c r="N513" s="1"/>
    </row>
    <row r="514" hidden="1">
      <c r="A514" s="1"/>
      <c r="N514" s="1"/>
    </row>
    <row r="515" hidden="1">
      <c r="A515" s="1"/>
      <c r="N515" s="1"/>
    </row>
    <row r="516" hidden="1">
      <c r="A516" s="1"/>
      <c r="N516" s="1"/>
    </row>
    <row r="517" hidden="1">
      <c r="A517" s="1"/>
      <c r="N517" s="1"/>
    </row>
    <row r="518" hidden="1">
      <c r="A518" s="1"/>
      <c r="N518" s="1"/>
    </row>
    <row r="519" hidden="1">
      <c r="A519" s="1"/>
      <c r="N519" s="1"/>
    </row>
    <row r="520" hidden="1">
      <c r="A520" s="1"/>
      <c r="N520" s="1"/>
    </row>
    <row r="521" hidden="1">
      <c r="A521" s="1"/>
      <c r="N521" s="1"/>
    </row>
    <row r="522" hidden="1">
      <c r="A522" s="1"/>
      <c r="N522" s="1"/>
    </row>
    <row r="523" hidden="1">
      <c r="A523" s="1"/>
      <c r="N523" s="1"/>
    </row>
    <row r="524" hidden="1">
      <c r="A524" s="1"/>
      <c r="N524" s="1"/>
    </row>
    <row r="525" hidden="1">
      <c r="A525" s="1"/>
      <c r="N525" s="1"/>
    </row>
    <row r="526" hidden="1">
      <c r="A526" s="1"/>
      <c r="N526" s="1"/>
    </row>
    <row r="527" hidden="1">
      <c r="A527" s="1"/>
      <c r="N527" s="1"/>
    </row>
    <row r="528" hidden="1">
      <c r="A528" s="1"/>
      <c r="N528" s="1"/>
    </row>
    <row r="529" hidden="1">
      <c r="A529" s="1"/>
      <c r="N529" s="1"/>
    </row>
    <row r="530" hidden="1">
      <c r="A530" s="1"/>
      <c r="N530" s="1"/>
    </row>
    <row r="531" hidden="1">
      <c r="A531" s="1"/>
      <c r="N531" s="1"/>
    </row>
    <row r="532" hidden="1">
      <c r="A532" s="1"/>
      <c r="N532" s="1"/>
    </row>
    <row r="533" hidden="1">
      <c r="A533" s="1"/>
      <c r="N533" s="1"/>
    </row>
    <row r="534" hidden="1">
      <c r="A534" s="1"/>
      <c r="N534" s="1"/>
    </row>
    <row r="535" hidden="1">
      <c r="A535" s="1"/>
      <c r="N535" s="1"/>
    </row>
    <row r="536" hidden="1">
      <c r="A536" s="1"/>
      <c r="N536" s="1"/>
    </row>
    <row r="537" hidden="1">
      <c r="A537" s="1"/>
      <c r="N537" s="1"/>
    </row>
    <row r="538" hidden="1">
      <c r="A538" s="1"/>
      <c r="N538" s="1"/>
    </row>
    <row r="539" hidden="1">
      <c r="A539" s="1"/>
      <c r="N539" s="1"/>
    </row>
    <row r="540" hidden="1">
      <c r="A540" s="1"/>
      <c r="N540" s="1"/>
    </row>
    <row r="541" hidden="1">
      <c r="A541" s="1"/>
      <c r="N541" s="1"/>
    </row>
    <row r="542" hidden="1">
      <c r="A542" s="1"/>
      <c r="N542" s="1"/>
    </row>
    <row r="543" hidden="1">
      <c r="A543" s="1"/>
      <c r="N543" s="1"/>
    </row>
    <row r="544" hidden="1">
      <c r="A544" s="1"/>
      <c r="N544" s="1"/>
    </row>
    <row r="545" hidden="1">
      <c r="A545" s="1"/>
      <c r="N545" s="1"/>
    </row>
    <row r="546" hidden="1">
      <c r="A546" s="1"/>
      <c r="N546" s="1"/>
    </row>
    <row r="547" hidden="1">
      <c r="A547" s="1"/>
      <c r="N547" s="1"/>
    </row>
    <row r="548" hidden="1">
      <c r="A548" s="1"/>
      <c r="N548" s="1"/>
    </row>
    <row r="549" hidden="1">
      <c r="A549" s="1"/>
      <c r="N549" s="1"/>
    </row>
    <row r="550" hidden="1">
      <c r="A550" s="1"/>
      <c r="N550" s="1"/>
    </row>
    <row r="551" hidden="1">
      <c r="A551" s="1"/>
      <c r="N551" s="1"/>
    </row>
    <row r="552" hidden="1">
      <c r="A552" s="1"/>
      <c r="N552" s="1"/>
    </row>
    <row r="553" hidden="1">
      <c r="A553" s="1"/>
      <c r="N553" s="1"/>
    </row>
    <row r="554" hidden="1">
      <c r="A554" s="1"/>
      <c r="N554" s="1"/>
    </row>
    <row r="555" hidden="1">
      <c r="A555" s="1"/>
      <c r="N555" s="1"/>
    </row>
    <row r="556" hidden="1">
      <c r="A556" s="1"/>
      <c r="N556" s="1"/>
    </row>
    <row r="557" hidden="1">
      <c r="A557" s="1"/>
      <c r="N557" s="1"/>
    </row>
    <row r="558" hidden="1">
      <c r="A558" s="1"/>
      <c r="N558" s="1"/>
    </row>
    <row r="559" hidden="1">
      <c r="A559" s="1"/>
      <c r="N559" s="1"/>
    </row>
    <row r="560" hidden="1">
      <c r="A560" s="1"/>
      <c r="N560" s="1"/>
    </row>
    <row r="561" hidden="1">
      <c r="A561" s="1"/>
      <c r="N561" s="1"/>
    </row>
    <row r="562" hidden="1">
      <c r="A562" s="1"/>
      <c r="N562" s="1"/>
    </row>
    <row r="563" hidden="1">
      <c r="A563" s="1"/>
      <c r="N563" s="1"/>
    </row>
    <row r="564" hidden="1">
      <c r="A564" s="1"/>
      <c r="N564" s="1"/>
    </row>
    <row r="565" hidden="1">
      <c r="A565" s="1"/>
      <c r="N565" s="1"/>
    </row>
    <row r="566" hidden="1">
      <c r="A566" s="1"/>
      <c r="N566" s="1"/>
    </row>
    <row r="567" hidden="1">
      <c r="A567" s="1"/>
      <c r="N567" s="1"/>
    </row>
    <row r="568" hidden="1">
      <c r="A568" s="1"/>
      <c r="N568" s="1"/>
    </row>
    <row r="569" hidden="1">
      <c r="A569" s="1"/>
      <c r="N569" s="1"/>
    </row>
    <row r="570" hidden="1">
      <c r="A570" s="1"/>
      <c r="N570" s="1"/>
    </row>
    <row r="571" hidden="1">
      <c r="A571" s="1"/>
      <c r="N571" s="1"/>
    </row>
    <row r="572" hidden="1">
      <c r="A572" s="1"/>
      <c r="N572" s="1"/>
    </row>
    <row r="573" hidden="1">
      <c r="A573" s="1"/>
      <c r="N573" s="1"/>
    </row>
    <row r="574" hidden="1">
      <c r="A574" s="1"/>
      <c r="N574" s="1"/>
    </row>
    <row r="575" hidden="1">
      <c r="A575" s="1"/>
      <c r="N575" s="1"/>
    </row>
    <row r="576" hidden="1">
      <c r="A576" s="1"/>
      <c r="N576" s="1"/>
    </row>
    <row r="577" hidden="1">
      <c r="A577" s="1"/>
      <c r="N577" s="1"/>
    </row>
    <row r="578" hidden="1">
      <c r="A578" s="1"/>
      <c r="N578" s="1"/>
    </row>
    <row r="579" hidden="1">
      <c r="A579" s="1"/>
      <c r="N579" s="1"/>
    </row>
    <row r="580" hidden="1">
      <c r="A580" s="1"/>
      <c r="N580" s="1"/>
    </row>
    <row r="581" hidden="1">
      <c r="A581" s="1"/>
      <c r="N581" s="1"/>
    </row>
    <row r="582" hidden="1">
      <c r="A582" s="1"/>
      <c r="N582" s="1"/>
    </row>
    <row r="583" hidden="1">
      <c r="A583" s="1"/>
      <c r="N583" s="1"/>
    </row>
    <row r="584" hidden="1">
      <c r="A584" s="1"/>
      <c r="N584" s="1"/>
    </row>
    <row r="585" hidden="1">
      <c r="A585" s="1"/>
      <c r="N585" s="1"/>
    </row>
    <row r="586" hidden="1">
      <c r="A586" s="1"/>
      <c r="N586" s="1"/>
    </row>
    <row r="587" hidden="1">
      <c r="A587" s="1"/>
      <c r="N587" s="1"/>
    </row>
    <row r="588" hidden="1">
      <c r="A588" s="1"/>
      <c r="N588" s="1"/>
    </row>
    <row r="589" hidden="1">
      <c r="A589" s="1"/>
      <c r="N589" s="1"/>
    </row>
    <row r="590" hidden="1">
      <c r="A590" s="1"/>
      <c r="N590" s="1"/>
    </row>
    <row r="591" hidden="1">
      <c r="A591" s="1"/>
      <c r="N591" s="1"/>
    </row>
    <row r="592" hidden="1">
      <c r="A592" s="1"/>
      <c r="N592" s="1"/>
    </row>
    <row r="593" hidden="1">
      <c r="A593" s="1"/>
      <c r="N593" s="1"/>
    </row>
    <row r="594" hidden="1">
      <c r="A594" s="1"/>
      <c r="N594" s="1"/>
    </row>
    <row r="595" hidden="1">
      <c r="A595" s="1"/>
      <c r="N595" s="1"/>
    </row>
    <row r="596" hidden="1">
      <c r="A596" s="1"/>
      <c r="N596" s="1"/>
    </row>
    <row r="597" hidden="1">
      <c r="A597" s="1"/>
      <c r="N597" s="1"/>
    </row>
    <row r="598" hidden="1">
      <c r="A598" s="1"/>
      <c r="N598" s="1"/>
    </row>
    <row r="599" hidden="1">
      <c r="A599" s="1"/>
      <c r="N599" s="1"/>
    </row>
    <row r="600" hidden="1">
      <c r="A600" s="1"/>
      <c r="N600" s="1"/>
    </row>
    <row r="601" hidden="1">
      <c r="A601" s="1"/>
      <c r="N601" s="1"/>
    </row>
    <row r="602" hidden="1">
      <c r="A602" s="1"/>
      <c r="N602" s="1"/>
    </row>
    <row r="603" hidden="1">
      <c r="A603" s="1"/>
      <c r="N603" s="1"/>
    </row>
    <row r="604" hidden="1">
      <c r="A604" s="1"/>
      <c r="N604" s="1"/>
    </row>
    <row r="605" hidden="1">
      <c r="A605" s="1"/>
      <c r="N605" s="1"/>
    </row>
    <row r="606" hidden="1">
      <c r="A606" s="1"/>
      <c r="N606" s="1"/>
    </row>
    <row r="607" hidden="1">
      <c r="A607" s="1"/>
      <c r="N607" s="1"/>
    </row>
    <row r="608" hidden="1">
      <c r="A608" s="1"/>
      <c r="N608" s="1"/>
    </row>
    <row r="609" hidden="1">
      <c r="A609" s="1"/>
      <c r="N609" s="1"/>
    </row>
    <row r="610" hidden="1">
      <c r="A610" s="1"/>
      <c r="N610" s="1"/>
    </row>
    <row r="611" hidden="1">
      <c r="A611" s="1"/>
      <c r="N611" s="1"/>
    </row>
    <row r="612" hidden="1">
      <c r="A612" s="1"/>
      <c r="N612" s="1"/>
    </row>
    <row r="613" hidden="1">
      <c r="A613" s="1"/>
      <c r="N613" s="1"/>
    </row>
    <row r="614" hidden="1">
      <c r="A614" s="1"/>
      <c r="N614" s="1"/>
    </row>
    <row r="615" hidden="1">
      <c r="A615" s="1"/>
      <c r="N615" s="1"/>
    </row>
    <row r="616" hidden="1">
      <c r="A616" s="1"/>
      <c r="N616" s="1"/>
    </row>
    <row r="617" hidden="1">
      <c r="A617" s="1"/>
      <c r="N617" s="1"/>
    </row>
    <row r="618" hidden="1">
      <c r="A618" s="1"/>
      <c r="N618" s="1"/>
    </row>
    <row r="619" hidden="1">
      <c r="A619" s="1"/>
      <c r="N619" s="1"/>
    </row>
    <row r="620" hidden="1">
      <c r="A620" s="1"/>
      <c r="N620" s="1"/>
    </row>
    <row r="621" hidden="1">
      <c r="A621" s="1"/>
      <c r="N621" s="1"/>
    </row>
    <row r="622" hidden="1">
      <c r="A622" s="1"/>
      <c r="N622" s="1"/>
    </row>
    <row r="623" hidden="1">
      <c r="A623" s="1"/>
      <c r="N623" s="1"/>
    </row>
    <row r="624" hidden="1">
      <c r="A624" s="1"/>
      <c r="N624" s="1"/>
    </row>
    <row r="625" hidden="1">
      <c r="A625" s="1"/>
      <c r="N625" s="1"/>
    </row>
    <row r="626" hidden="1">
      <c r="A626" s="1"/>
      <c r="N626" s="1"/>
    </row>
    <row r="627" hidden="1">
      <c r="A627" s="1"/>
      <c r="N627" s="1"/>
    </row>
    <row r="628" hidden="1">
      <c r="A628" s="1"/>
      <c r="N628" s="1"/>
    </row>
    <row r="629" hidden="1">
      <c r="A629" s="1"/>
      <c r="N629" s="1"/>
    </row>
    <row r="630" hidden="1">
      <c r="A630" s="1"/>
      <c r="N630" s="1"/>
    </row>
    <row r="631" hidden="1">
      <c r="A631" s="1"/>
      <c r="N631" s="1"/>
    </row>
    <row r="632" hidden="1">
      <c r="A632" s="1"/>
      <c r="N632" s="1"/>
    </row>
    <row r="633" hidden="1">
      <c r="A633" s="1"/>
      <c r="N633" s="1"/>
    </row>
    <row r="634" hidden="1">
      <c r="A634" s="1"/>
      <c r="N634" s="1"/>
    </row>
    <row r="635" hidden="1">
      <c r="A635" s="1"/>
      <c r="N635" s="1"/>
    </row>
    <row r="636" hidden="1">
      <c r="A636" s="1"/>
      <c r="N636" s="1"/>
    </row>
    <row r="637" hidden="1">
      <c r="A637" s="1"/>
      <c r="N637" s="1"/>
    </row>
    <row r="638" hidden="1">
      <c r="A638" s="1"/>
      <c r="N638" s="1"/>
    </row>
    <row r="639" hidden="1">
      <c r="A639" s="1"/>
      <c r="N639" s="1"/>
    </row>
    <row r="640" hidden="1">
      <c r="A640" s="1"/>
      <c r="N640" s="1"/>
    </row>
    <row r="641" hidden="1">
      <c r="A641" s="1"/>
      <c r="N641" s="1"/>
    </row>
    <row r="642" hidden="1">
      <c r="A642" s="1"/>
      <c r="N642" s="1"/>
    </row>
    <row r="643" hidden="1">
      <c r="A643" s="1"/>
      <c r="N643" s="1"/>
    </row>
    <row r="644" hidden="1">
      <c r="A644" s="1"/>
      <c r="N644" s="1"/>
    </row>
    <row r="645" hidden="1">
      <c r="A645" s="1"/>
      <c r="N645" s="1"/>
    </row>
    <row r="646" hidden="1">
      <c r="A646" s="1"/>
      <c r="N646" s="1"/>
    </row>
    <row r="647" hidden="1">
      <c r="A647" s="1"/>
      <c r="N647" s="1"/>
    </row>
    <row r="648" hidden="1">
      <c r="A648" s="1"/>
      <c r="N648" s="1"/>
    </row>
    <row r="649" hidden="1">
      <c r="A649" s="1"/>
      <c r="N649" s="1"/>
    </row>
    <row r="650" hidden="1">
      <c r="A650" s="1"/>
      <c r="N650" s="1"/>
    </row>
    <row r="651" hidden="1">
      <c r="A651" s="1"/>
      <c r="N651" s="1"/>
    </row>
    <row r="652" hidden="1">
      <c r="A652" s="1"/>
      <c r="N652" s="1"/>
    </row>
    <row r="653" hidden="1">
      <c r="A653" s="1"/>
      <c r="N653" s="1"/>
    </row>
    <row r="654" hidden="1">
      <c r="A654" s="1"/>
      <c r="N654" s="1"/>
    </row>
    <row r="655" hidden="1">
      <c r="A655" s="1"/>
      <c r="N655" s="1"/>
    </row>
    <row r="656" hidden="1">
      <c r="A656" s="1"/>
      <c r="N656" s="1"/>
    </row>
    <row r="657" hidden="1">
      <c r="A657" s="1"/>
      <c r="N657" s="1"/>
    </row>
    <row r="658" hidden="1">
      <c r="A658" s="1"/>
      <c r="N658" s="1"/>
    </row>
    <row r="659" hidden="1">
      <c r="A659" s="1"/>
      <c r="N659" s="1"/>
    </row>
    <row r="660" hidden="1">
      <c r="A660" s="1"/>
      <c r="N660" s="1"/>
    </row>
    <row r="661" hidden="1">
      <c r="A661" s="1"/>
      <c r="N661" s="1"/>
    </row>
    <row r="662" hidden="1">
      <c r="A662" s="1"/>
      <c r="N662" s="1"/>
    </row>
    <row r="663" hidden="1">
      <c r="A663" s="1"/>
      <c r="N663" s="1"/>
    </row>
    <row r="664" hidden="1">
      <c r="A664" s="1"/>
      <c r="N664" s="1"/>
    </row>
    <row r="665" hidden="1">
      <c r="A665" s="1"/>
      <c r="N665" s="1"/>
    </row>
    <row r="666" hidden="1">
      <c r="A666" s="1"/>
      <c r="N666" s="1"/>
    </row>
    <row r="667" hidden="1">
      <c r="A667" s="1"/>
      <c r="N667" s="1"/>
    </row>
    <row r="668" hidden="1">
      <c r="A668" s="1"/>
      <c r="N668" s="1"/>
    </row>
    <row r="669" hidden="1">
      <c r="A669" s="1"/>
      <c r="N669" s="1"/>
    </row>
    <row r="670" hidden="1">
      <c r="A670" s="1"/>
      <c r="N670" s="1"/>
    </row>
    <row r="671" hidden="1">
      <c r="A671" s="1"/>
      <c r="N671" s="1"/>
    </row>
    <row r="672" hidden="1">
      <c r="A672" s="1"/>
      <c r="N672" s="1"/>
    </row>
    <row r="673" hidden="1">
      <c r="A673" s="1"/>
      <c r="N673" s="1"/>
    </row>
    <row r="674" hidden="1">
      <c r="A674" s="1"/>
      <c r="N674" s="1"/>
    </row>
    <row r="675" hidden="1">
      <c r="A675" s="1"/>
      <c r="N675" s="1"/>
    </row>
    <row r="676" hidden="1">
      <c r="A676" s="1"/>
      <c r="N676" s="1"/>
    </row>
    <row r="677" hidden="1">
      <c r="A677" s="1"/>
      <c r="N677" s="1"/>
    </row>
    <row r="678" hidden="1">
      <c r="A678" s="1"/>
      <c r="N678" s="1"/>
    </row>
    <row r="679" hidden="1">
      <c r="A679" s="1"/>
      <c r="N679" s="1"/>
    </row>
    <row r="680" hidden="1">
      <c r="A680" s="1"/>
      <c r="N680" s="1"/>
    </row>
    <row r="681" hidden="1">
      <c r="A681" s="1"/>
      <c r="N681" s="1"/>
    </row>
    <row r="682" hidden="1">
      <c r="A682" s="1"/>
      <c r="N682" s="1"/>
    </row>
    <row r="683" hidden="1">
      <c r="A683" s="1"/>
      <c r="N683" s="1"/>
    </row>
    <row r="684" hidden="1">
      <c r="A684" s="1"/>
      <c r="N684" s="1"/>
    </row>
    <row r="685" hidden="1">
      <c r="A685" s="1"/>
      <c r="N685" s="1"/>
    </row>
    <row r="686" hidden="1">
      <c r="A686" s="1"/>
      <c r="N686" s="1"/>
    </row>
    <row r="687" hidden="1">
      <c r="A687" s="1"/>
      <c r="N687" s="1"/>
    </row>
    <row r="688" hidden="1">
      <c r="A688" s="1"/>
      <c r="N688" s="1"/>
    </row>
    <row r="689" hidden="1">
      <c r="A689" s="1"/>
      <c r="N689" s="1"/>
    </row>
    <row r="690" hidden="1">
      <c r="A690" s="1"/>
      <c r="N690" s="1"/>
    </row>
    <row r="691" hidden="1">
      <c r="A691" s="1"/>
      <c r="N691" s="1"/>
    </row>
    <row r="692" hidden="1">
      <c r="A692" s="1"/>
      <c r="N692" s="1"/>
    </row>
    <row r="693" hidden="1">
      <c r="A693" s="1"/>
      <c r="N693" s="1"/>
    </row>
    <row r="694" hidden="1">
      <c r="A694" s="1"/>
      <c r="N694" s="1"/>
    </row>
    <row r="695" hidden="1">
      <c r="A695" s="1"/>
      <c r="N695" s="1"/>
    </row>
    <row r="696" hidden="1">
      <c r="A696" s="1"/>
      <c r="N696" s="1"/>
    </row>
    <row r="697" hidden="1">
      <c r="A697" s="1"/>
      <c r="N697" s="1"/>
    </row>
    <row r="698" hidden="1">
      <c r="A698" s="1"/>
      <c r="N698" s="1"/>
    </row>
    <row r="699" hidden="1">
      <c r="A699" s="1"/>
      <c r="N699" s="1"/>
    </row>
    <row r="700" hidden="1">
      <c r="A700" s="1"/>
      <c r="N700" s="1"/>
    </row>
    <row r="701" hidden="1">
      <c r="A701" s="1"/>
      <c r="N701" s="1"/>
    </row>
    <row r="702" hidden="1">
      <c r="A702" s="1"/>
      <c r="N702" s="1"/>
    </row>
    <row r="703" hidden="1">
      <c r="A703" s="1"/>
      <c r="N703" s="1"/>
    </row>
    <row r="704" hidden="1">
      <c r="A704" s="1"/>
      <c r="N704" s="1"/>
    </row>
    <row r="705" hidden="1">
      <c r="A705" s="1"/>
      <c r="N705" s="1"/>
    </row>
    <row r="706" hidden="1">
      <c r="A706" s="1"/>
      <c r="N706" s="1"/>
    </row>
    <row r="707" hidden="1">
      <c r="A707" s="1"/>
      <c r="N707" s="1"/>
    </row>
    <row r="708" hidden="1">
      <c r="A708" s="1"/>
      <c r="N708" s="1"/>
    </row>
    <row r="709" hidden="1">
      <c r="A709" s="1"/>
      <c r="N709" s="1"/>
    </row>
    <row r="710" hidden="1">
      <c r="A710" s="1"/>
      <c r="N710" s="1"/>
    </row>
    <row r="711" hidden="1">
      <c r="A711" s="1"/>
      <c r="N711" s="1"/>
    </row>
    <row r="712" hidden="1">
      <c r="A712" s="1"/>
      <c r="N712" s="1"/>
    </row>
    <row r="713" hidden="1">
      <c r="A713" s="1"/>
      <c r="N713" s="1"/>
    </row>
    <row r="714" hidden="1">
      <c r="A714" s="1"/>
      <c r="N714" s="1"/>
    </row>
    <row r="715" hidden="1">
      <c r="A715" s="1"/>
      <c r="N715" s="1"/>
    </row>
    <row r="716" hidden="1">
      <c r="A716" s="1"/>
      <c r="N716" s="1"/>
    </row>
    <row r="717" hidden="1">
      <c r="A717" s="1"/>
      <c r="N717" s="1"/>
    </row>
    <row r="718" hidden="1">
      <c r="A718" s="1"/>
      <c r="N718" s="1"/>
    </row>
    <row r="719" hidden="1">
      <c r="A719" s="1"/>
      <c r="N719" s="1"/>
    </row>
    <row r="720" hidden="1">
      <c r="A720" s="1"/>
      <c r="N720" s="1"/>
    </row>
    <row r="721" hidden="1">
      <c r="A721" s="1"/>
      <c r="N721" s="1"/>
    </row>
    <row r="722" hidden="1">
      <c r="A722" s="1"/>
      <c r="N722" s="1"/>
    </row>
    <row r="723" hidden="1">
      <c r="A723" s="1"/>
      <c r="N723" s="1"/>
    </row>
    <row r="724" hidden="1">
      <c r="A724" s="1"/>
      <c r="N724" s="1"/>
    </row>
    <row r="725" hidden="1">
      <c r="A725" s="1"/>
      <c r="N725" s="1"/>
    </row>
    <row r="726" hidden="1">
      <c r="A726" s="1"/>
      <c r="N726" s="1"/>
    </row>
    <row r="727" hidden="1">
      <c r="A727" s="1"/>
      <c r="N727" s="1"/>
    </row>
    <row r="728" hidden="1">
      <c r="A728" s="1"/>
      <c r="N728" s="1"/>
    </row>
    <row r="729" hidden="1">
      <c r="A729" s="1"/>
      <c r="N729" s="1"/>
    </row>
    <row r="730" hidden="1">
      <c r="A730" s="1"/>
      <c r="N730" s="1"/>
    </row>
    <row r="731" hidden="1">
      <c r="A731" s="1"/>
      <c r="N731" s="1"/>
    </row>
    <row r="732" hidden="1">
      <c r="A732" s="1"/>
      <c r="N732" s="1"/>
    </row>
    <row r="733" hidden="1">
      <c r="A733" s="1"/>
      <c r="N733" s="1"/>
    </row>
    <row r="734" hidden="1">
      <c r="A734" s="1"/>
      <c r="N734" s="1"/>
    </row>
    <row r="735" hidden="1">
      <c r="A735" s="1"/>
      <c r="N735" s="1"/>
    </row>
    <row r="736" hidden="1">
      <c r="A736" s="1"/>
      <c r="N736" s="1"/>
    </row>
    <row r="737" hidden="1">
      <c r="A737" s="1"/>
      <c r="N737" s="1"/>
    </row>
    <row r="738" hidden="1">
      <c r="A738" s="1"/>
      <c r="N738" s="1"/>
    </row>
    <row r="739" hidden="1">
      <c r="A739" s="1"/>
      <c r="N739" s="1"/>
    </row>
    <row r="740" hidden="1">
      <c r="A740" s="1"/>
      <c r="N740" s="1"/>
    </row>
    <row r="741" hidden="1">
      <c r="A741" s="1"/>
      <c r="N741" s="1"/>
    </row>
    <row r="742" hidden="1">
      <c r="A742" s="1"/>
      <c r="N742" s="1"/>
    </row>
    <row r="743" hidden="1">
      <c r="A743" s="1"/>
      <c r="N743" s="1"/>
    </row>
    <row r="744" hidden="1">
      <c r="A744" s="1"/>
      <c r="N744" s="1"/>
    </row>
    <row r="745" hidden="1">
      <c r="A745" s="1"/>
      <c r="N745" s="1"/>
    </row>
    <row r="746" hidden="1">
      <c r="A746" s="1"/>
      <c r="N746" s="1"/>
    </row>
    <row r="747" hidden="1">
      <c r="A747" s="1"/>
      <c r="N747" s="1"/>
    </row>
    <row r="748" hidden="1">
      <c r="A748" s="1"/>
      <c r="N748" s="1"/>
    </row>
    <row r="749" hidden="1">
      <c r="A749" s="1"/>
      <c r="N749" s="1"/>
    </row>
    <row r="750" hidden="1">
      <c r="A750" s="1"/>
      <c r="N750" s="1"/>
    </row>
    <row r="751" hidden="1">
      <c r="A751" s="1"/>
      <c r="N751" s="1"/>
    </row>
    <row r="752" hidden="1">
      <c r="A752" s="1"/>
      <c r="N752" s="1"/>
    </row>
    <row r="753" hidden="1">
      <c r="A753" s="1"/>
      <c r="N753" s="1"/>
    </row>
    <row r="754" hidden="1">
      <c r="A754" s="1"/>
      <c r="N754" s="1"/>
    </row>
    <row r="755" hidden="1">
      <c r="A755" s="1"/>
      <c r="N755" s="1"/>
    </row>
    <row r="756" hidden="1">
      <c r="A756" s="1"/>
      <c r="N756" s="1"/>
    </row>
    <row r="757" hidden="1">
      <c r="A757" s="1"/>
      <c r="N757" s="1"/>
    </row>
    <row r="758" hidden="1">
      <c r="A758" s="1"/>
      <c r="N758" s="1"/>
    </row>
    <row r="759" hidden="1">
      <c r="A759" s="1"/>
      <c r="N759" s="1"/>
    </row>
    <row r="760" hidden="1">
      <c r="A760" s="1"/>
      <c r="N760" s="1"/>
    </row>
    <row r="761" hidden="1">
      <c r="A761" s="1"/>
      <c r="N761" s="1"/>
    </row>
    <row r="762" hidden="1">
      <c r="A762" s="1"/>
      <c r="N762" s="1"/>
    </row>
    <row r="763" hidden="1">
      <c r="A763" s="1"/>
      <c r="N763" s="1"/>
    </row>
    <row r="764" hidden="1">
      <c r="A764" s="1"/>
      <c r="N764" s="1"/>
    </row>
    <row r="765" hidden="1">
      <c r="A765" s="1"/>
      <c r="N765" s="1"/>
    </row>
    <row r="766" hidden="1">
      <c r="A766" s="1"/>
      <c r="N766" s="1"/>
    </row>
    <row r="767" hidden="1">
      <c r="A767" s="1"/>
      <c r="N767" s="1"/>
    </row>
    <row r="768" hidden="1">
      <c r="A768" s="1"/>
      <c r="N768" s="1"/>
    </row>
    <row r="769" hidden="1">
      <c r="A769" s="1"/>
      <c r="N769" s="1"/>
    </row>
    <row r="770" hidden="1">
      <c r="A770" s="1"/>
      <c r="N770" s="1"/>
    </row>
    <row r="771" hidden="1">
      <c r="A771" s="1"/>
      <c r="N771" s="1"/>
    </row>
    <row r="772" hidden="1">
      <c r="A772" s="1"/>
      <c r="N772" s="1"/>
    </row>
    <row r="773" hidden="1">
      <c r="A773" s="1"/>
      <c r="N773" s="1"/>
    </row>
    <row r="774" hidden="1">
      <c r="A774" s="1"/>
      <c r="N774" s="1"/>
    </row>
    <row r="775" hidden="1">
      <c r="A775" s="1"/>
      <c r="N775" s="1"/>
    </row>
    <row r="776" hidden="1">
      <c r="A776" s="1"/>
      <c r="N776" s="1"/>
    </row>
    <row r="777" hidden="1">
      <c r="A777" s="1"/>
      <c r="N777" s="1"/>
    </row>
    <row r="778" hidden="1">
      <c r="A778" s="1"/>
      <c r="N778" s="1"/>
    </row>
    <row r="779" hidden="1">
      <c r="A779" s="1"/>
      <c r="N779" s="1"/>
    </row>
    <row r="780" hidden="1">
      <c r="A780" s="1"/>
      <c r="N780" s="1"/>
    </row>
    <row r="781" hidden="1">
      <c r="A781" s="1"/>
      <c r="N781" s="1"/>
    </row>
    <row r="782" hidden="1">
      <c r="A782" s="1"/>
      <c r="N782" s="1"/>
    </row>
    <row r="783" hidden="1">
      <c r="A783" s="1"/>
      <c r="N783" s="1"/>
    </row>
    <row r="784" hidden="1">
      <c r="A784" s="1"/>
      <c r="N784" s="1"/>
    </row>
    <row r="785" hidden="1">
      <c r="A785" s="1"/>
      <c r="N785" s="1"/>
    </row>
    <row r="786" hidden="1">
      <c r="A786" s="1"/>
      <c r="N786" s="1"/>
    </row>
    <row r="787" hidden="1">
      <c r="A787" s="1"/>
      <c r="N787" s="1"/>
    </row>
    <row r="788" hidden="1">
      <c r="A788" s="1"/>
      <c r="N788" s="1"/>
    </row>
    <row r="789" hidden="1">
      <c r="A789" s="1"/>
      <c r="N789" s="1"/>
    </row>
    <row r="790" hidden="1">
      <c r="A790" s="1"/>
      <c r="N790" s="1"/>
    </row>
    <row r="791" hidden="1">
      <c r="A791" s="1"/>
      <c r="N791" s="1"/>
    </row>
    <row r="792" hidden="1">
      <c r="A792" s="1"/>
      <c r="N792" s="1"/>
    </row>
    <row r="793" hidden="1">
      <c r="A793" s="1"/>
      <c r="N793" s="1"/>
    </row>
    <row r="794" hidden="1">
      <c r="A794" s="1"/>
      <c r="N794" s="1"/>
    </row>
    <row r="795" hidden="1">
      <c r="A795" s="1"/>
      <c r="N795" s="1"/>
    </row>
    <row r="796" hidden="1">
      <c r="A796" s="1"/>
      <c r="N796" s="1"/>
    </row>
    <row r="797" hidden="1">
      <c r="A797" s="1"/>
      <c r="N797" s="1"/>
    </row>
    <row r="798" hidden="1">
      <c r="A798" s="1"/>
      <c r="N798" s="1"/>
    </row>
    <row r="799" hidden="1">
      <c r="A799" s="1"/>
      <c r="N799" s="1"/>
    </row>
    <row r="800" hidden="1">
      <c r="A800" s="1"/>
      <c r="N800" s="1"/>
    </row>
    <row r="801" hidden="1">
      <c r="A801" s="1"/>
      <c r="N801" s="1"/>
    </row>
    <row r="802" hidden="1">
      <c r="A802" s="1"/>
      <c r="N802" s="1"/>
    </row>
    <row r="803" hidden="1">
      <c r="A803" s="1"/>
      <c r="N803" s="1"/>
    </row>
    <row r="804" hidden="1">
      <c r="A804" s="1"/>
      <c r="N804" s="1"/>
    </row>
    <row r="805" hidden="1">
      <c r="A805" s="1"/>
      <c r="N805" s="1"/>
    </row>
    <row r="806" hidden="1">
      <c r="A806" s="1"/>
      <c r="N806" s="1"/>
    </row>
    <row r="807" hidden="1">
      <c r="A807" s="1"/>
      <c r="N807" s="1"/>
    </row>
    <row r="808" hidden="1">
      <c r="A808" s="1"/>
      <c r="N808" s="1"/>
    </row>
    <row r="809" hidden="1">
      <c r="A809" s="1"/>
      <c r="N809" s="1"/>
    </row>
    <row r="810" hidden="1">
      <c r="A810" s="1"/>
      <c r="N810" s="1"/>
    </row>
    <row r="811" hidden="1">
      <c r="A811" s="1"/>
      <c r="N811" s="1"/>
    </row>
    <row r="812" hidden="1">
      <c r="A812" s="1"/>
      <c r="N812" s="1"/>
    </row>
    <row r="813" hidden="1">
      <c r="A813" s="1"/>
      <c r="N813" s="1"/>
    </row>
    <row r="814" hidden="1">
      <c r="A814" s="1"/>
      <c r="N814" s="1"/>
    </row>
    <row r="815" hidden="1">
      <c r="A815" s="1"/>
      <c r="N815" s="1"/>
    </row>
    <row r="816" hidden="1">
      <c r="A816" s="1"/>
      <c r="N816" s="1"/>
    </row>
    <row r="817" hidden="1">
      <c r="A817" s="1"/>
      <c r="N817" s="1"/>
    </row>
    <row r="818" hidden="1">
      <c r="A818" s="1"/>
      <c r="N818" s="1"/>
    </row>
    <row r="819" hidden="1">
      <c r="A819" s="1"/>
      <c r="N819" s="1"/>
    </row>
    <row r="820" hidden="1">
      <c r="A820" s="1"/>
      <c r="N820" s="1"/>
    </row>
    <row r="821" hidden="1">
      <c r="A821" s="1"/>
      <c r="N821" s="1"/>
    </row>
    <row r="822" hidden="1">
      <c r="A822" s="1"/>
      <c r="N822" s="1"/>
    </row>
    <row r="823" hidden="1">
      <c r="A823" s="1"/>
      <c r="N823" s="1"/>
    </row>
    <row r="824" hidden="1">
      <c r="A824" s="1"/>
      <c r="N824" s="1"/>
    </row>
    <row r="825" hidden="1">
      <c r="A825" s="1"/>
      <c r="N825" s="1"/>
    </row>
    <row r="826" hidden="1">
      <c r="A826" s="1"/>
      <c r="N826" s="1"/>
    </row>
    <row r="827" hidden="1">
      <c r="A827" s="1"/>
      <c r="N827" s="1"/>
    </row>
    <row r="828" hidden="1">
      <c r="A828" s="1"/>
      <c r="N828" s="1"/>
    </row>
    <row r="829" hidden="1">
      <c r="A829" s="1"/>
      <c r="N829" s="1"/>
    </row>
    <row r="830" hidden="1">
      <c r="A830" s="1"/>
      <c r="N830" s="1"/>
    </row>
    <row r="831" hidden="1">
      <c r="A831" s="1"/>
      <c r="N831" s="1"/>
    </row>
    <row r="832" hidden="1">
      <c r="A832" s="1"/>
      <c r="N832" s="1"/>
    </row>
    <row r="833" hidden="1">
      <c r="A833" s="1"/>
      <c r="N833" s="1"/>
    </row>
    <row r="834" hidden="1">
      <c r="A834" s="1"/>
      <c r="N834" s="1"/>
    </row>
    <row r="835" hidden="1">
      <c r="A835" s="1"/>
      <c r="N835" s="1"/>
    </row>
    <row r="836" hidden="1">
      <c r="A836" s="1"/>
      <c r="N836" s="1"/>
    </row>
    <row r="837" hidden="1">
      <c r="A837" s="1"/>
      <c r="N837" s="1"/>
    </row>
    <row r="838" hidden="1">
      <c r="A838" s="1"/>
      <c r="N838" s="1"/>
    </row>
    <row r="839" hidden="1">
      <c r="A839" s="1"/>
      <c r="N839" s="1"/>
    </row>
    <row r="840" hidden="1">
      <c r="A840" s="1"/>
      <c r="N840" s="1"/>
    </row>
    <row r="841" hidden="1">
      <c r="A841" s="1"/>
      <c r="N841" s="1"/>
    </row>
    <row r="842" hidden="1">
      <c r="A842" s="1"/>
      <c r="N842" s="1"/>
    </row>
    <row r="843" hidden="1">
      <c r="A843" s="1"/>
      <c r="N843" s="1"/>
    </row>
    <row r="844" hidden="1">
      <c r="A844" s="1"/>
      <c r="N844" s="1"/>
    </row>
    <row r="845" hidden="1">
      <c r="A845" s="1"/>
      <c r="N845" s="1"/>
    </row>
    <row r="846" hidden="1">
      <c r="A846" s="1"/>
      <c r="N846" s="1"/>
    </row>
    <row r="847" hidden="1">
      <c r="A847" s="1"/>
      <c r="N847" s="1"/>
    </row>
    <row r="848" hidden="1">
      <c r="A848" s="1"/>
      <c r="N848" s="1"/>
    </row>
    <row r="849" hidden="1">
      <c r="A849" s="1"/>
      <c r="N849" s="1"/>
    </row>
    <row r="850" hidden="1">
      <c r="A850" s="1"/>
      <c r="N850" s="1"/>
    </row>
    <row r="851" hidden="1">
      <c r="A851" s="1"/>
      <c r="N851" s="1"/>
    </row>
    <row r="852" hidden="1">
      <c r="A852" s="1"/>
      <c r="N852" s="1"/>
    </row>
    <row r="853" hidden="1">
      <c r="A853" s="1"/>
      <c r="N853" s="1"/>
    </row>
    <row r="854" hidden="1">
      <c r="A854" s="1"/>
      <c r="N854" s="1"/>
    </row>
    <row r="855" hidden="1">
      <c r="A855" s="1"/>
      <c r="N855" s="1"/>
    </row>
    <row r="856" hidden="1">
      <c r="A856" s="1"/>
      <c r="N856" s="1"/>
    </row>
    <row r="857" hidden="1">
      <c r="A857" s="1"/>
      <c r="N857" s="1"/>
    </row>
    <row r="858" hidden="1">
      <c r="A858" s="1"/>
      <c r="N858" s="1"/>
    </row>
    <row r="859" hidden="1">
      <c r="A859" s="1"/>
      <c r="N859" s="1"/>
    </row>
    <row r="860" hidden="1">
      <c r="A860" s="1"/>
      <c r="N860" s="1"/>
    </row>
    <row r="861" hidden="1">
      <c r="A861" s="1"/>
      <c r="N861" s="1"/>
    </row>
    <row r="862" hidden="1">
      <c r="A862" s="1"/>
      <c r="N862" s="1"/>
    </row>
    <row r="863" hidden="1">
      <c r="A863" s="1"/>
      <c r="N863" s="1"/>
    </row>
    <row r="864" hidden="1">
      <c r="A864" s="1"/>
      <c r="N864" s="1"/>
    </row>
    <row r="865" hidden="1">
      <c r="A865" s="1"/>
      <c r="N865" s="1"/>
    </row>
    <row r="866" hidden="1">
      <c r="A866" s="1"/>
      <c r="N866" s="1"/>
    </row>
    <row r="867" hidden="1">
      <c r="A867" s="1"/>
      <c r="N867" s="1"/>
    </row>
    <row r="868" hidden="1">
      <c r="A868" s="1"/>
      <c r="N868" s="1"/>
    </row>
    <row r="869" hidden="1">
      <c r="A869" s="1"/>
      <c r="N869" s="1"/>
    </row>
    <row r="870" hidden="1">
      <c r="A870" s="1"/>
      <c r="N870" s="1"/>
    </row>
    <row r="871" hidden="1">
      <c r="A871" s="1"/>
      <c r="N871" s="1"/>
    </row>
    <row r="872" hidden="1">
      <c r="A872" s="1"/>
      <c r="N872" s="1"/>
    </row>
    <row r="873" hidden="1">
      <c r="A873" s="1"/>
      <c r="N873" s="1"/>
    </row>
    <row r="874" hidden="1">
      <c r="A874" s="1"/>
      <c r="N874" s="1"/>
    </row>
    <row r="875" hidden="1">
      <c r="A875" s="1"/>
      <c r="N875" s="1"/>
    </row>
    <row r="876" hidden="1">
      <c r="A876" s="1"/>
      <c r="N876" s="1"/>
    </row>
    <row r="877" hidden="1">
      <c r="A877" s="1"/>
      <c r="N877" s="1"/>
    </row>
    <row r="878" hidden="1">
      <c r="A878" s="1"/>
      <c r="N878" s="1"/>
    </row>
    <row r="879" hidden="1">
      <c r="A879" s="1"/>
      <c r="N879" s="1"/>
    </row>
    <row r="880" hidden="1">
      <c r="A880" s="1"/>
      <c r="N880" s="1"/>
    </row>
    <row r="881" hidden="1">
      <c r="A881" s="1"/>
      <c r="N881" s="1"/>
    </row>
    <row r="882" hidden="1">
      <c r="A882" s="1"/>
      <c r="N882" s="1"/>
    </row>
    <row r="883" hidden="1">
      <c r="A883" s="1"/>
      <c r="N883" s="1"/>
    </row>
    <row r="884" hidden="1">
      <c r="A884" s="1"/>
      <c r="N884" s="1"/>
    </row>
    <row r="885" hidden="1">
      <c r="A885" s="1"/>
      <c r="N885" s="1"/>
    </row>
    <row r="886" hidden="1">
      <c r="A886" s="1"/>
      <c r="N886" s="1"/>
    </row>
    <row r="887" hidden="1">
      <c r="A887" s="1"/>
      <c r="N887" s="1"/>
    </row>
    <row r="888" hidden="1">
      <c r="A888" s="1"/>
      <c r="N888" s="1"/>
    </row>
    <row r="889" hidden="1">
      <c r="A889" s="1"/>
      <c r="N889" s="1"/>
    </row>
    <row r="890" hidden="1">
      <c r="A890" s="1"/>
      <c r="N890" s="1"/>
    </row>
    <row r="891" hidden="1">
      <c r="A891" s="1"/>
      <c r="N891" s="1"/>
    </row>
    <row r="892" hidden="1">
      <c r="A892" s="1"/>
      <c r="N892" s="1"/>
    </row>
    <row r="893" hidden="1">
      <c r="A893" s="1"/>
      <c r="N893" s="1"/>
    </row>
    <row r="894" hidden="1">
      <c r="A894" s="1"/>
      <c r="N894" s="1"/>
    </row>
    <row r="895" hidden="1">
      <c r="A895" s="1"/>
      <c r="N895" s="1"/>
    </row>
    <row r="896" hidden="1">
      <c r="A896" s="1"/>
      <c r="N896" s="1"/>
    </row>
    <row r="897" hidden="1">
      <c r="A897" s="1"/>
      <c r="N897" s="1"/>
    </row>
    <row r="898" hidden="1">
      <c r="A898" s="1"/>
      <c r="N898" s="1"/>
    </row>
    <row r="899" hidden="1">
      <c r="A899" s="1"/>
      <c r="N899" s="1"/>
    </row>
    <row r="900" hidden="1">
      <c r="A900" s="1"/>
      <c r="N900" s="1"/>
    </row>
    <row r="901" hidden="1">
      <c r="A901" s="1"/>
      <c r="N901" s="1"/>
    </row>
    <row r="902" hidden="1">
      <c r="A902" s="1"/>
      <c r="N902" s="1"/>
    </row>
    <row r="903" hidden="1">
      <c r="A903" s="1"/>
      <c r="N903" s="1"/>
    </row>
    <row r="904" hidden="1">
      <c r="A904" s="1"/>
      <c r="N904" s="1"/>
    </row>
    <row r="905" hidden="1">
      <c r="A905" s="1"/>
      <c r="N905" s="1"/>
    </row>
    <row r="906" hidden="1">
      <c r="A906" s="1"/>
      <c r="N906" s="1"/>
    </row>
    <row r="907" hidden="1">
      <c r="A907" s="1"/>
      <c r="N907" s="1"/>
    </row>
    <row r="908" hidden="1">
      <c r="A908" s="1"/>
      <c r="N908" s="1"/>
    </row>
    <row r="909" hidden="1">
      <c r="A909" s="1"/>
      <c r="N909" s="1"/>
    </row>
    <row r="910" hidden="1">
      <c r="A910" s="1"/>
      <c r="N910" s="1"/>
    </row>
    <row r="911" hidden="1">
      <c r="A911" s="1"/>
      <c r="N911" s="1"/>
    </row>
    <row r="912" hidden="1">
      <c r="A912" s="1"/>
      <c r="N912" s="1"/>
    </row>
    <row r="913" hidden="1">
      <c r="A913" s="1"/>
      <c r="N913" s="1"/>
    </row>
    <row r="914" hidden="1">
      <c r="A914" s="1"/>
      <c r="N914" s="1"/>
    </row>
    <row r="915" hidden="1">
      <c r="A915" s="1"/>
      <c r="N915" s="1"/>
    </row>
    <row r="916" hidden="1">
      <c r="A916" s="1"/>
      <c r="N916" s="1"/>
    </row>
    <row r="917" hidden="1">
      <c r="A917" s="1"/>
      <c r="N917" s="1"/>
    </row>
    <row r="918" hidden="1">
      <c r="A918" s="1"/>
      <c r="N918" s="1"/>
    </row>
    <row r="919" hidden="1">
      <c r="A919" s="1"/>
      <c r="N919" s="1"/>
    </row>
    <row r="920" hidden="1">
      <c r="A920" s="1"/>
      <c r="N920" s="1"/>
    </row>
    <row r="921" hidden="1">
      <c r="A921" s="1"/>
      <c r="N921" s="1"/>
    </row>
    <row r="922" hidden="1">
      <c r="A922" s="1"/>
      <c r="N922" s="1"/>
    </row>
    <row r="923" hidden="1">
      <c r="A923" s="1"/>
      <c r="N923" s="1"/>
    </row>
    <row r="924" hidden="1">
      <c r="A924" s="1"/>
      <c r="N924" s="1"/>
    </row>
    <row r="925" hidden="1">
      <c r="A925" s="1"/>
      <c r="N925" s="1"/>
    </row>
    <row r="926" hidden="1">
      <c r="A926" s="1"/>
      <c r="N926" s="1"/>
    </row>
    <row r="927" hidden="1">
      <c r="A927" s="1"/>
      <c r="N927" s="1"/>
    </row>
    <row r="928" hidden="1">
      <c r="A928" s="1"/>
      <c r="N928" s="1"/>
    </row>
    <row r="929" hidden="1">
      <c r="A929" s="1"/>
      <c r="N929" s="1"/>
    </row>
    <row r="930" hidden="1">
      <c r="A930" s="1"/>
      <c r="N930" s="1"/>
    </row>
    <row r="931" hidden="1">
      <c r="A931" s="1"/>
      <c r="N931" s="1"/>
    </row>
    <row r="932" hidden="1">
      <c r="A932" s="1"/>
      <c r="N932" s="1"/>
    </row>
    <row r="933" hidden="1">
      <c r="A933" s="1"/>
      <c r="N933" s="1"/>
    </row>
    <row r="934" hidden="1">
      <c r="A934" s="1"/>
      <c r="N934" s="1"/>
    </row>
    <row r="935" hidden="1">
      <c r="A935" s="1"/>
      <c r="N935" s="1"/>
    </row>
    <row r="936" hidden="1">
      <c r="A936" s="1"/>
      <c r="N936" s="1"/>
    </row>
    <row r="937" hidden="1">
      <c r="A937" s="1"/>
      <c r="N937" s="1"/>
    </row>
    <row r="938" hidden="1">
      <c r="A938" s="1"/>
      <c r="N938" s="1"/>
    </row>
    <row r="939" hidden="1">
      <c r="A939" s="1"/>
      <c r="N939" s="1"/>
    </row>
    <row r="940" hidden="1">
      <c r="A940" s="1"/>
      <c r="N940" s="1"/>
    </row>
    <row r="941" hidden="1">
      <c r="A941" s="1"/>
      <c r="N941" s="1"/>
    </row>
    <row r="942" hidden="1">
      <c r="A942" s="1"/>
      <c r="N942" s="1"/>
    </row>
    <row r="943" hidden="1">
      <c r="A943" s="1"/>
      <c r="N943" s="1"/>
    </row>
    <row r="944" hidden="1">
      <c r="A944" s="1"/>
      <c r="N944" s="1"/>
    </row>
    <row r="945" hidden="1">
      <c r="A945" s="1"/>
      <c r="N945" s="1"/>
    </row>
    <row r="946" hidden="1">
      <c r="A946" s="1"/>
      <c r="N946" s="1"/>
    </row>
    <row r="947" hidden="1">
      <c r="A947" s="1"/>
      <c r="N947" s="1"/>
    </row>
    <row r="948" hidden="1">
      <c r="A948" s="1"/>
      <c r="N948" s="1"/>
    </row>
    <row r="949" hidden="1">
      <c r="A949" s="1"/>
      <c r="N949" s="1"/>
    </row>
    <row r="950" hidden="1">
      <c r="A950" s="1"/>
      <c r="N950" s="1"/>
    </row>
    <row r="951" hidden="1">
      <c r="A951" s="1"/>
      <c r="N951" s="1"/>
    </row>
    <row r="952" hidden="1">
      <c r="A952" s="1"/>
      <c r="N952" s="1"/>
    </row>
    <row r="953" hidden="1">
      <c r="A953" s="1"/>
      <c r="N953" s="1"/>
    </row>
    <row r="954" hidden="1">
      <c r="A954" s="1"/>
      <c r="N954" s="1"/>
    </row>
    <row r="955" hidden="1">
      <c r="A955" s="1"/>
      <c r="N955" s="1"/>
    </row>
    <row r="956" hidden="1">
      <c r="A956" s="1"/>
      <c r="N956" s="1"/>
    </row>
    <row r="957" hidden="1">
      <c r="A957" s="1"/>
      <c r="N957" s="1"/>
    </row>
    <row r="958" hidden="1">
      <c r="A958" s="1"/>
      <c r="N958" s="1"/>
    </row>
    <row r="959" hidden="1">
      <c r="A959" s="1"/>
      <c r="N959" s="1"/>
    </row>
    <row r="960" hidden="1">
      <c r="A960" s="1"/>
      <c r="N960" s="1"/>
    </row>
    <row r="961" hidden="1">
      <c r="A961" s="1"/>
      <c r="N961" s="1"/>
    </row>
    <row r="962" hidden="1">
      <c r="A962" s="1"/>
      <c r="N962" s="1"/>
    </row>
    <row r="963" hidden="1">
      <c r="A963" s="1"/>
      <c r="N963" s="1"/>
    </row>
    <row r="964" hidden="1">
      <c r="A964" s="1"/>
      <c r="N964" s="1"/>
    </row>
    <row r="965" hidden="1">
      <c r="A965" s="1"/>
      <c r="N965" s="1"/>
    </row>
    <row r="966" hidden="1">
      <c r="A966" s="1"/>
      <c r="N966" s="1"/>
    </row>
    <row r="967" hidden="1">
      <c r="A967" s="1"/>
      <c r="N967" s="1"/>
    </row>
    <row r="968" hidden="1">
      <c r="A968" s="1"/>
      <c r="N968" s="1"/>
    </row>
    <row r="969" hidden="1">
      <c r="A969" s="1"/>
      <c r="N969" s="1"/>
    </row>
    <row r="970" hidden="1">
      <c r="A970" s="1"/>
      <c r="N970" s="1"/>
    </row>
    <row r="971" hidden="1">
      <c r="A971" s="1"/>
      <c r="N971" s="1"/>
    </row>
    <row r="972" hidden="1">
      <c r="A972" s="1"/>
      <c r="N972" s="1"/>
    </row>
    <row r="973" hidden="1">
      <c r="A973" s="1"/>
      <c r="N973" s="1"/>
    </row>
    <row r="974" hidden="1">
      <c r="A974" s="1"/>
      <c r="N974" s="1"/>
    </row>
    <row r="975" hidden="1">
      <c r="A975" s="1"/>
      <c r="N975" s="1"/>
    </row>
    <row r="976" hidden="1">
      <c r="A976" s="1"/>
      <c r="N976" s="1"/>
    </row>
    <row r="977" hidden="1">
      <c r="A977" s="1"/>
      <c r="N977" s="1"/>
    </row>
    <row r="978" hidden="1">
      <c r="A978" s="1"/>
      <c r="N978" s="1"/>
    </row>
    <row r="979" hidden="1">
      <c r="A979" s="1"/>
      <c r="N979" s="1"/>
    </row>
    <row r="980" hidden="1">
      <c r="A980" s="1"/>
      <c r="N980" s="1"/>
    </row>
    <row r="981" hidden="1">
      <c r="A981" s="1"/>
      <c r="N981" s="1"/>
    </row>
    <row r="982" hidden="1">
      <c r="A982" s="1"/>
      <c r="N982" s="1"/>
    </row>
    <row r="983" hidden="1">
      <c r="A983" s="1"/>
      <c r="N983" s="1"/>
    </row>
    <row r="984" hidden="1">
      <c r="A984" s="1"/>
      <c r="N984" s="1"/>
    </row>
    <row r="985" hidden="1">
      <c r="A985" s="1"/>
      <c r="N985" s="1"/>
    </row>
    <row r="986" hidden="1">
      <c r="A986" s="1"/>
      <c r="N986" s="1"/>
    </row>
    <row r="987" hidden="1">
      <c r="A987" s="1"/>
      <c r="N987" s="1"/>
    </row>
    <row r="988" hidden="1">
      <c r="A988" s="1"/>
      <c r="N988" s="1"/>
    </row>
    <row r="989" hidden="1">
      <c r="A989" s="1"/>
      <c r="N989" s="1"/>
    </row>
    <row r="990" hidden="1">
      <c r="A990" s="1"/>
      <c r="N990" s="1"/>
    </row>
    <row r="991" hidden="1">
      <c r="A991" s="1"/>
      <c r="N991" s="1"/>
    </row>
    <row r="992" hidden="1">
      <c r="A992" s="1"/>
      <c r="N992" s="1"/>
    </row>
    <row r="993" hidden="1">
      <c r="A993" s="1"/>
      <c r="N993" s="1"/>
    </row>
    <row r="994" hidden="1">
      <c r="A994" s="1"/>
      <c r="N994" s="1"/>
    </row>
    <row r="995" hidden="1">
      <c r="A995" s="1"/>
      <c r="N995" s="1"/>
    </row>
    <row r="996" hidden="1">
      <c r="A996" s="1"/>
      <c r="N996" s="1"/>
    </row>
    <row r="997" hidden="1">
      <c r="A997" s="1"/>
      <c r="N997" s="1"/>
    </row>
    <row r="998" hidden="1">
      <c r="A998" s="1"/>
      <c r="N998" s="1"/>
    </row>
    <row r="999" hidden="1">
      <c r="A999" s="1"/>
      <c r="N999" s="1"/>
    </row>
    <row r="1000" hidden="1">
      <c r="A1000" s="1"/>
      <c r="N1000" s="1"/>
    </row>
    <row r="1001" hidden="1">
      <c r="A1001" s="1"/>
      <c r="N1001" s="1"/>
    </row>
    <row r="1002" hidden="1">
      <c r="A1002" s="1"/>
      <c r="N1002" s="1"/>
    </row>
    <row r="1003" hidden="1">
      <c r="A1003" s="1"/>
      <c r="N1003" s="1"/>
    </row>
    <row r="1004" hidden="1">
      <c r="A1004" s="1"/>
      <c r="N1004" s="1"/>
    </row>
  </sheetData>
  <mergeCells count="116">
    <mergeCell ref="B40:C40"/>
    <mergeCell ref="B41:C41"/>
    <mergeCell ref="B33:C33"/>
    <mergeCell ref="B34:C34"/>
    <mergeCell ref="B35:C35"/>
    <mergeCell ref="B36:C36"/>
    <mergeCell ref="B37:C37"/>
    <mergeCell ref="B38:C38"/>
    <mergeCell ref="B39:C39"/>
    <mergeCell ref="B42:C42"/>
    <mergeCell ref="B43:C43"/>
    <mergeCell ref="B44:C44"/>
    <mergeCell ref="B45:C45"/>
    <mergeCell ref="B46:C46"/>
    <mergeCell ref="B47:C47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80:C80"/>
    <mergeCell ref="B81:C81"/>
    <mergeCell ref="B82:C82"/>
    <mergeCell ref="B83:C83"/>
    <mergeCell ref="B84:C84"/>
    <mergeCell ref="B85:C85"/>
    <mergeCell ref="B86:C86"/>
    <mergeCell ref="B73:C73"/>
    <mergeCell ref="B74:C74"/>
    <mergeCell ref="B75:C75"/>
    <mergeCell ref="B76:C76"/>
    <mergeCell ref="B77:C77"/>
    <mergeCell ref="B78:C78"/>
    <mergeCell ref="B79:C79"/>
    <mergeCell ref="G55:K55"/>
    <mergeCell ref="G56:K56"/>
    <mergeCell ref="G57:K57"/>
    <mergeCell ref="G58:K58"/>
    <mergeCell ref="G59:K59"/>
    <mergeCell ref="G60:K60"/>
    <mergeCell ref="G61:K61"/>
    <mergeCell ref="G69:K69"/>
    <mergeCell ref="G70:K70"/>
    <mergeCell ref="G71:K71"/>
    <mergeCell ref="G72:K72"/>
    <mergeCell ref="G73:K73"/>
    <mergeCell ref="G62:K62"/>
    <mergeCell ref="G63:K63"/>
    <mergeCell ref="G64:K64"/>
    <mergeCell ref="G65:K65"/>
    <mergeCell ref="G66:K66"/>
    <mergeCell ref="G67:K67"/>
    <mergeCell ref="G68:K68"/>
    <mergeCell ref="L6:L7"/>
    <mergeCell ref="M6:M7"/>
    <mergeCell ref="M12:M14"/>
    <mergeCell ref="B2:M5"/>
    <mergeCell ref="B6:B7"/>
    <mergeCell ref="C6:C7"/>
    <mergeCell ref="D6:D7"/>
    <mergeCell ref="E6:E7"/>
    <mergeCell ref="F6:F7"/>
    <mergeCell ref="G6:G7"/>
    <mergeCell ref="H6:H7"/>
    <mergeCell ref="I6:I7"/>
    <mergeCell ref="B12:J13"/>
    <mergeCell ref="K12:K13"/>
    <mergeCell ref="L12:L13"/>
    <mergeCell ref="B14:C14"/>
    <mergeCell ref="G14:K14"/>
    <mergeCell ref="B15:C15"/>
    <mergeCell ref="B16:C16"/>
    <mergeCell ref="O16:P17"/>
    <mergeCell ref="B17:C17"/>
    <mergeCell ref="B18:C18"/>
    <mergeCell ref="O18:P18"/>
    <mergeCell ref="O19:P19"/>
    <mergeCell ref="O20:P2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J6:J7"/>
    <mergeCell ref="K6:K7"/>
    <mergeCell ref="G15:K50"/>
    <mergeCell ref="G51:K51"/>
    <mergeCell ref="G52:K52"/>
    <mergeCell ref="G53:K53"/>
    <mergeCell ref="G54:K54"/>
  </mergeCells>
  <conditionalFormatting sqref="L26:L38 L40:L48 M41:M43 M45:M47">
    <cfRule type="notContainsBlanks" dxfId="0" priority="1">
      <formula>LEN(TRIM(L26))&gt;0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27.0"/>
    <col customWidth="1" min="3" max="3" width="1.75"/>
    <col customWidth="1" min="4" max="4" width="27.13"/>
    <col customWidth="1" min="5" max="5" width="21.88"/>
    <col customWidth="1" min="6" max="6" width="2.75"/>
    <col customWidth="1" min="7" max="7" width="36.38"/>
    <col customWidth="1" min="8" max="8" width="7.0"/>
    <col customWidth="1" min="9" max="9" width="6.88"/>
    <col customWidth="1" min="10" max="10" width="9.38"/>
    <col customWidth="1" min="11" max="12" width="2.38"/>
    <col customWidth="1" hidden="1" min="13" max="13" width="11.13"/>
    <col customWidth="1" hidden="1" min="14" max="14" width="23.88"/>
    <col customWidth="1" hidden="1" min="15" max="15" width="11.38"/>
    <col customWidth="1" hidden="1" min="16" max="16" width="21.75"/>
    <col customWidth="1" hidden="1" min="17" max="17" width="11.25"/>
    <col customWidth="1" hidden="1" min="18" max="18" width="23.13"/>
    <col customWidth="1" hidden="1" min="19" max="19" width="11.25"/>
    <col customWidth="1" hidden="1" min="20" max="20" width="20.75"/>
    <col customWidth="1" hidden="1" min="21" max="21" width="11.38"/>
    <col customWidth="1" hidden="1" min="22" max="22" width="24.13"/>
    <col customWidth="1" hidden="1" min="23" max="23" width="11.38"/>
    <col customWidth="1" hidden="1" min="24" max="24" width="24.75"/>
    <col customWidth="1" hidden="1" min="25" max="25" width="10.75"/>
    <col customWidth="1" hidden="1" min="26" max="26" width="25.13"/>
    <col customWidth="1" hidden="1" min="27" max="27" width="10.88"/>
    <col customWidth="1" hidden="1" min="28" max="28" width="24.38"/>
    <col customWidth="1" hidden="1" min="29" max="29" width="11.38"/>
    <col customWidth="1" hidden="1" min="30" max="30" width="25.0"/>
    <col customWidth="1" hidden="1" min="31" max="31" width="11.38"/>
    <col customWidth="1" hidden="1" min="32" max="32" width="23.5"/>
  </cols>
  <sheetData>
    <row r="1">
      <c r="A1" s="152" t="s">
        <v>365</v>
      </c>
      <c r="B1" s="153" t="s">
        <v>366</v>
      </c>
      <c r="C1" s="153"/>
      <c r="D1" s="153"/>
      <c r="E1" s="154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</row>
    <row r="2">
      <c r="A2" s="155"/>
      <c r="B2" s="156" t="s">
        <v>367</v>
      </c>
      <c r="C2" s="1"/>
      <c r="D2" s="157" t="s">
        <v>368</v>
      </c>
      <c r="E2" s="158"/>
      <c r="F2" s="1"/>
      <c r="G2" s="159" t="s">
        <v>369</v>
      </c>
      <c r="H2" s="160" t="s">
        <v>370</v>
      </c>
      <c r="I2" s="160" t="s">
        <v>371</v>
      </c>
      <c r="J2" s="161" t="s">
        <v>372</v>
      </c>
      <c r="K2" s="162"/>
      <c r="L2" s="163"/>
      <c r="M2" s="164"/>
      <c r="N2" s="165" t="s">
        <v>224</v>
      </c>
      <c r="O2" s="166"/>
      <c r="P2" s="165" t="s">
        <v>225</v>
      </c>
      <c r="Q2" s="166"/>
      <c r="R2" s="165" t="s">
        <v>226</v>
      </c>
      <c r="S2" s="166"/>
      <c r="T2" s="165" t="s">
        <v>227</v>
      </c>
      <c r="U2" s="166"/>
      <c r="V2" s="165" t="s">
        <v>373</v>
      </c>
      <c r="W2" s="166"/>
      <c r="X2" s="165" t="s">
        <v>230</v>
      </c>
      <c r="Y2" s="166"/>
      <c r="Z2" s="165" t="s">
        <v>231</v>
      </c>
      <c r="AA2" s="166"/>
      <c r="AB2" s="165" t="s">
        <v>374</v>
      </c>
      <c r="AC2" s="166"/>
      <c r="AD2" s="165" t="s">
        <v>375</v>
      </c>
      <c r="AE2" s="166"/>
      <c r="AF2" s="167" t="s">
        <v>234</v>
      </c>
    </row>
    <row r="3">
      <c r="A3" s="168" t="s">
        <v>376</v>
      </c>
      <c r="B3" s="169" t="s">
        <v>377</v>
      </c>
      <c r="C3" s="1"/>
      <c r="D3" s="170"/>
      <c r="E3" s="171" t="s">
        <v>2</v>
      </c>
      <c r="F3" s="1"/>
      <c r="G3" s="172" t="s">
        <v>378</v>
      </c>
      <c r="H3" s="173">
        <v>16.0</v>
      </c>
      <c r="I3" s="173">
        <v>4.0</v>
      </c>
      <c r="J3" s="174">
        <f t="shared" ref="J3:J13" si="1">20-SUM(H3,I3)</f>
        <v>0</v>
      </c>
      <c r="K3" s="175"/>
      <c r="L3" s="163"/>
      <c r="M3" s="176" t="s">
        <v>365</v>
      </c>
      <c r="N3" s="177" t="s">
        <v>379</v>
      </c>
      <c r="O3" s="178" t="s">
        <v>365</v>
      </c>
      <c r="P3" s="177" t="s">
        <v>379</v>
      </c>
      <c r="Q3" s="179" t="s">
        <v>380</v>
      </c>
      <c r="R3" s="180" t="s">
        <v>381</v>
      </c>
      <c r="S3" s="181" t="s">
        <v>382</v>
      </c>
      <c r="T3" s="182" t="s">
        <v>383</v>
      </c>
      <c r="U3" s="183" t="s">
        <v>384</v>
      </c>
      <c r="V3" s="184" t="s">
        <v>385</v>
      </c>
      <c r="W3" s="181" t="s">
        <v>382</v>
      </c>
      <c r="X3" s="182" t="s">
        <v>383</v>
      </c>
      <c r="Y3" s="185" t="s">
        <v>386</v>
      </c>
      <c r="Z3" s="186" t="s">
        <v>387</v>
      </c>
      <c r="AA3" s="187" t="s">
        <v>388</v>
      </c>
      <c r="AB3" s="188" t="s">
        <v>389</v>
      </c>
      <c r="AC3" s="185" t="s">
        <v>386</v>
      </c>
      <c r="AD3" s="186" t="s">
        <v>390</v>
      </c>
      <c r="AE3" s="185" t="s">
        <v>386</v>
      </c>
      <c r="AF3" s="189" t="s">
        <v>391</v>
      </c>
    </row>
    <row r="4">
      <c r="A4" s="190"/>
      <c r="B4" s="156" t="s">
        <v>392</v>
      </c>
      <c r="C4" s="1"/>
      <c r="D4" s="191" t="s">
        <v>392</v>
      </c>
      <c r="E4" s="192" t="s">
        <v>3</v>
      </c>
      <c r="F4" s="1"/>
      <c r="G4" s="193" t="s">
        <v>393</v>
      </c>
      <c r="H4" s="194">
        <v>14.0</v>
      </c>
      <c r="I4" s="194">
        <v>4.0</v>
      </c>
      <c r="J4" s="195">
        <f t="shared" si="1"/>
        <v>2</v>
      </c>
      <c r="K4" s="175"/>
      <c r="L4" s="196"/>
      <c r="M4" s="168" t="s">
        <v>380</v>
      </c>
      <c r="N4" s="197" t="s">
        <v>381</v>
      </c>
      <c r="O4" s="198" t="s">
        <v>384</v>
      </c>
      <c r="P4" s="199" t="s">
        <v>394</v>
      </c>
      <c r="Q4" s="200" t="s">
        <v>395</v>
      </c>
      <c r="R4" s="201" t="s">
        <v>396</v>
      </c>
      <c r="S4" s="202" t="s">
        <v>397</v>
      </c>
      <c r="T4" s="203" t="s">
        <v>398</v>
      </c>
      <c r="U4" s="204" t="s">
        <v>388</v>
      </c>
      <c r="V4" s="205" t="s">
        <v>399</v>
      </c>
      <c r="W4" s="198" t="s">
        <v>384</v>
      </c>
      <c r="X4" s="206" t="s">
        <v>400</v>
      </c>
      <c r="Y4" s="204" t="s">
        <v>388</v>
      </c>
      <c r="Z4" s="205" t="s">
        <v>401</v>
      </c>
      <c r="AA4" s="207" t="s">
        <v>380</v>
      </c>
      <c r="AB4" s="197" t="s">
        <v>402</v>
      </c>
      <c r="AC4" s="208"/>
      <c r="AD4" s="209" t="s">
        <v>391</v>
      </c>
      <c r="AE4" s="198" t="s">
        <v>384</v>
      </c>
      <c r="AF4" s="210" t="s">
        <v>400</v>
      </c>
    </row>
    <row r="5">
      <c r="A5" s="211" t="s">
        <v>403</v>
      </c>
      <c r="B5" s="212" t="s">
        <v>404</v>
      </c>
      <c r="C5" s="213"/>
      <c r="D5" s="214" t="s">
        <v>405</v>
      </c>
      <c r="E5" s="215" t="s">
        <v>4</v>
      </c>
      <c r="F5" s="1"/>
      <c r="G5" s="216" t="s">
        <v>406</v>
      </c>
      <c r="H5" s="217">
        <v>15.0</v>
      </c>
      <c r="I5" s="217">
        <v>2.0</v>
      </c>
      <c r="J5" s="218">
        <f t="shared" si="1"/>
        <v>3</v>
      </c>
      <c r="K5" s="175"/>
      <c r="L5" s="196"/>
      <c r="M5" s="168"/>
      <c r="N5" s="197" t="s">
        <v>407</v>
      </c>
      <c r="O5" s="204" t="s">
        <v>388</v>
      </c>
      <c r="P5" s="205" t="s">
        <v>389</v>
      </c>
      <c r="Q5" s="219" t="s">
        <v>408</v>
      </c>
      <c r="R5" s="220" t="s">
        <v>409</v>
      </c>
      <c r="S5" s="204" t="s">
        <v>388</v>
      </c>
      <c r="T5" s="205" t="s">
        <v>399</v>
      </c>
      <c r="U5" s="198" t="s">
        <v>410</v>
      </c>
      <c r="V5" s="206" t="s">
        <v>385</v>
      </c>
      <c r="W5" s="204" t="s">
        <v>388</v>
      </c>
      <c r="X5" s="205" t="s">
        <v>411</v>
      </c>
      <c r="Y5" s="208" t="s">
        <v>412</v>
      </c>
      <c r="Z5" s="221" t="s">
        <v>413</v>
      </c>
      <c r="AA5" s="207"/>
      <c r="AB5" s="197" t="s">
        <v>414</v>
      </c>
      <c r="AC5" s="198" t="s">
        <v>384</v>
      </c>
      <c r="AD5" s="199" t="s">
        <v>385</v>
      </c>
      <c r="AE5" s="198"/>
      <c r="AF5" s="210" t="s">
        <v>415</v>
      </c>
    </row>
    <row r="6">
      <c r="A6" s="222" t="s">
        <v>416</v>
      </c>
      <c r="B6" s="223" t="s">
        <v>417</v>
      </c>
      <c r="D6" s="1"/>
      <c r="E6" s="224" t="s">
        <v>5</v>
      </c>
      <c r="F6" s="1"/>
      <c r="G6" s="225" t="s">
        <v>418</v>
      </c>
      <c r="H6" s="226">
        <v>12.0</v>
      </c>
      <c r="I6" s="226">
        <v>4.0</v>
      </c>
      <c r="J6" s="227">
        <f t="shared" si="1"/>
        <v>4</v>
      </c>
      <c r="K6" s="175"/>
      <c r="L6" s="196"/>
      <c r="M6" s="228" t="s">
        <v>395</v>
      </c>
      <c r="N6" s="201" t="s">
        <v>419</v>
      </c>
      <c r="O6" s="207" t="s">
        <v>380</v>
      </c>
      <c r="P6" s="29" t="s">
        <v>420</v>
      </c>
      <c r="Q6" s="202" t="s">
        <v>421</v>
      </c>
      <c r="R6" s="203" t="s">
        <v>422</v>
      </c>
      <c r="S6" s="207" t="s">
        <v>380</v>
      </c>
      <c r="T6" s="197" t="s">
        <v>414</v>
      </c>
      <c r="U6" s="204" t="s">
        <v>423</v>
      </c>
      <c r="V6" s="205" t="s">
        <v>399</v>
      </c>
      <c r="W6" s="219" t="s">
        <v>408</v>
      </c>
      <c r="X6" s="220" t="s">
        <v>424</v>
      </c>
      <c r="Y6" s="229"/>
      <c r="Z6" s="221" t="s">
        <v>425</v>
      </c>
      <c r="AA6" s="200" t="s">
        <v>395</v>
      </c>
      <c r="AB6" s="201" t="s">
        <v>426</v>
      </c>
      <c r="AC6" s="202" t="s">
        <v>397</v>
      </c>
      <c r="AD6" s="230" t="s">
        <v>398</v>
      </c>
      <c r="AE6" s="207" t="s">
        <v>380</v>
      </c>
      <c r="AF6" s="231" t="s">
        <v>420</v>
      </c>
    </row>
    <row r="7">
      <c r="A7" s="168" t="s">
        <v>427</v>
      </c>
      <c r="B7" s="169" t="s">
        <v>428</v>
      </c>
      <c r="D7" s="1"/>
      <c r="E7" s="232" t="s">
        <v>6</v>
      </c>
      <c r="F7" s="1"/>
      <c r="G7" s="233" t="s">
        <v>429</v>
      </c>
      <c r="H7" s="234">
        <v>11.0</v>
      </c>
      <c r="I7" s="234">
        <v>9.0</v>
      </c>
      <c r="J7" s="235">
        <f t="shared" si="1"/>
        <v>0</v>
      </c>
      <c r="K7" s="175"/>
      <c r="L7" s="196"/>
      <c r="M7" s="236"/>
      <c r="N7" s="201" t="s">
        <v>426</v>
      </c>
      <c r="O7" s="200" t="s">
        <v>395</v>
      </c>
      <c r="P7" s="201" t="s">
        <v>396</v>
      </c>
      <c r="Q7" s="200" t="s">
        <v>403</v>
      </c>
      <c r="R7" s="201" t="s">
        <v>430</v>
      </c>
      <c r="S7" s="200" t="s">
        <v>395</v>
      </c>
      <c r="T7" s="201" t="s">
        <v>431</v>
      </c>
      <c r="U7" s="198" t="s">
        <v>432</v>
      </c>
      <c r="V7" s="206" t="s">
        <v>433</v>
      </c>
      <c r="W7" s="198" t="s">
        <v>410</v>
      </c>
      <c r="X7" s="206" t="s">
        <v>434</v>
      </c>
      <c r="Y7" s="202" t="s">
        <v>421</v>
      </c>
      <c r="Z7" s="203" t="s">
        <v>422</v>
      </c>
      <c r="AA7" s="204" t="s">
        <v>423</v>
      </c>
      <c r="AB7" s="205" t="s">
        <v>435</v>
      </c>
      <c r="AC7" s="204" t="s">
        <v>388</v>
      </c>
      <c r="AD7" s="205" t="s">
        <v>411</v>
      </c>
      <c r="AE7" s="207"/>
      <c r="AF7" s="237" t="s">
        <v>402</v>
      </c>
    </row>
    <row r="8">
      <c r="A8" s="190"/>
      <c r="B8" s="156" t="s">
        <v>436</v>
      </c>
      <c r="C8" s="1"/>
      <c r="D8" s="238" t="s">
        <v>436</v>
      </c>
      <c r="E8" s="239" t="s">
        <v>437</v>
      </c>
      <c r="F8" s="1"/>
      <c r="G8" s="240" t="s">
        <v>438</v>
      </c>
      <c r="H8" s="241">
        <v>8.0</v>
      </c>
      <c r="I8" s="241">
        <v>11.0</v>
      </c>
      <c r="J8" s="242">
        <f t="shared" si="1"/>
        <v>1</v>
      </c>
      <c r="K8" s="175"/>
      <c r="L8" s="196"/>
      <c r="M8" s="168" t="s">
        <v>376</v>
      </c>
      <c r="N8" s="197" t="s">
        <v>439</v>
      </c>
      <c r="O8" s="219" t="s">
        <v>408</v>
      </c>
      <c r="P8" s="220" t="s">
        <v>424</v>
      </c>
      <c r="Q8" s="219" t="s">
        <v>416</v>
      </c>
      <c r="R8" s="220" t="s">
        <v>409</v>
      </c>
      <c r="S8" s="208" t="s">
        <v>412</v>
      </c>
      <c r="T8" s="221" t="s">
        <v>440</v>
      </c>
      <c r="U8" s="198" t="s">
        <v>441</v>
      </c>
      <c r="V8" s="206" t="s">
        <v>442</v>
      </c>
      <c r="W8" s="204" t="s">
        <v>423</v>
      </c>
      <c r="X8" s="205" t="s">
        <v>443</v>
      </c>
      <c r="Y8" s="204" t="s">
        <v>423</v>
      </c>
      <c r="Z8" s="205" t="s">
        <v>444</v>
      </c>
      <c r="AA8" s="243"/>
      <c r="AB8" s="205" t="s">
        <v>445</v>
      </c>
      <c r="AC8" s="200" t="s">
        <v>395</v>
      </c>
      <c r="AD8" s="201" t="s">
        <v>419</v>
      </c>
      <c r="AE8" s="208" t="s">
        <v>412</v>
      </c>
      <c r="AF8" s="244" t="s">
        <v>440</v>
      </c>
    </row>
    <row r="9">
      <c r="A9" s="211" t="s">
        <v>446</v>
      </c>
      <c r="B9" s="245" t="s">
        <v>396</v>
      </c>
      <c r="C9" s="1"/>
      <c r="D9" s="246" t="s">
        <v>447</v>
      </c>
      <c r="E9" s="247" t="s">
        <v>8</v>
      </c>
      <c r="F9" s="1"/>
      <c r="G9" s="248" t="s">
        <v>448</v>
      </c>
      <c r="H9" s="249">
        <v>8.0</v>
      </c>
      <c r="I9" s="249">
        <v>12.0</v>
      </c>
      <c r="J9" s="250">
        <f t="shared" si="1"/>
        <v>0</v>
      </c>
      <c r="K9" s="175"/>
      <c r="L9" s="196"/>
      <c r="M9" s="251"/>
      <c r="N9" s="197" t="s">
        <v>377</v>
      </c>
      <c r="O9" s="208" t="s">
        <v>412</v>
      </c>
      <c r="P9" s="221" t="s">
        <v>449</v>
      </c>
      <c r="Q9" s="208" t="s">
        <v>450</v>
      </c>
      <c r="R9" s="221" t="s">
        <v>451</v>
      </c>
      <c r="S9" s="202" t="s">
        <v>421</v>
      </c>
      <c r="T9" s="203" t="s">
        <v>452</v>
      </c>
      <c r="U9" s="204" t="s">
        <v>453</v>
      </c>
      <c r="V9" s="205" t="s">
        <v>454</v>
      </c>
      <c r="W9" s="207" t="s">
        <v>376</v>
      </c>
      <c r="X9" s="197" t="s">
        <v>377</v>
      </c>
      <c r="Y9" s="208" t="s">
        <v>450</v>
      </c>
      <c r="Z9" s="221" t="s">
        <v>451</v>
      </c>
      <c r="AA9" s="207" t="s">
        <v>376</v>
      </c>
      <c r="AB9" s="197" t="s">
        <v>455</v>
      </c>
      <c r="AC9" s="219" t="s">
        <v>408</v>
      </c>
      <c r="AD9" s="220" t="s">
        <v>409</v>
      </c>
      <c r="AE9" s="229"/>
      <c r="AF9" s="244" t="s">
        <v>425</v>
      </c>
    </row>
    <row r="10">
      <c r="A10" s="236"/>
      <c r="B10" s="212" t="s">
        <v>456</v>
      </c>
      <c r="C10" s="1"/>
      <c r="D10" s="252"/>
      <c r="E10" s="253" t="s">
        <v>457</v>
      </c>
      <c r="F10" s="1"/>
      <c r="G10" s="254" t="s">
        <v>458</v>
      </c>
      <c r="H10" s="255">
        <v>7.0</v>
      </c>
      <c r="I10" s="255">
        <v>9.0</v>
      </c>
      <c r="J10" s="256">
        <f t="shared" si="1"/>
        <v>4</v>
      </c>
      <c r="K10" s="175"/>
      <c r="L10" s="196"/>
      <c r="M10" s="228" t="s">
        <v>403</v>
      </c>
      <c r="N10" s="201" t="s">
        <v>404</v>
      </c>
      <c r="O10" s="198" t="s">
        <v>410</v>
      </c>
      <c r="P10" s="206" t="s">
        <v>459</v>
      </c>
      <c r="Q10" s="198" t="s">
        <v>432</v>
      </c>
      <c r="R10" s="206" t="s">
        <v>433</v>
      </c>
      <c r="S10" s="204" t="s">
        <v>423</v>
      </c>
      <c r="T10" s="205" t="s">
        <v>399</v>
      </c>
      <c r="U10" s="198" t="s">
        <v>460</v>
      </c>
      <c r="V10" s="206" t="s">
        <v>461</v>
      </c>
      <c r="W10" s="219" t="s">
        <v>416</v>
      </c>
      <c r="X10" s="220" t="s">
        <v>462</v>
      </c>
      <c r="Y10" s="229"/>
      <c r="Z10" s="221" t="s">
        <v>463</v>
      </c>
      <c r="AA10" s="204" t="s">
        <v>464</v>
      </c>
      <c r="AB10" s="205" t="s">
        <v>465</v>
      </c>
      <c r="AC10" s="208" t="s">
        <v>412</v>
      </c>
      <c r="AD10" s="221" t="s">
        <v>449</v>
      </c>
      <c r="AE10" s="198" t="s">
        <v>410</v>
      </c>
      <c r="AF10" s="257" t="s">
        <v>459</v>
      </c>
    </row>
    <row r="11">
      <c r="A11" s="236"/>
      <c r="B11" s="212" t="s">
        <v>426</v>
      </c>
      <c r="C11" s="1"/>
      <c r="D11" s="252"/>
      <c r="E11" s="258" t="s">
        <v>466</v>
      </c>
      <c r="F11" s="259" t="s">
        <v>467</v>
      </c>
      <c r="G11" s="260" t="s">
        <v>468</v>
      </c>
      <c r="H11" s="261">
        <v>4.0</v>
      </c>
      <c r="I11" s="261">
        <v>16.0</v>
      </c>
      <c r="J11" s="262">
        <f t="shared" si="1"/>
        <v>0</v>
      </c>
      <c r="K11" s="175"/>
      <c r="L11" s="196"/>
      <c r="M11" s="236"/>
      <c r="N11" s="201" t="s">
        <v>469</v>
      </c>
      <c r="O11" s="202" t="s">
        <v>421</v>
      </c>
      <c r="P11" s="203" t="s">
        <v>452</v>
      </c>
      <c r="Q11" s="263"/>
      <c r="R11" s="206" t="s">
        <v>470</v>
      </c>
      <c r="S11" s="243"/>
      <c r="T11" s="205" t="s">
        <v>445</v>
      </c>
      <c r="U11" s="263"/>
      <c r="V11" s="206" t="s">
        <v>471</v>
      </c>
      <c r="W11" s="198" t="s">
        <v>432</v>
      </c>
      <c r="X11" s="206" t="s">
        <v>470</v>
      </c>
      <c r="Y11" s="204" t="s">
        <v>464</v>
      </c>
      <c r="Z11" s="205" t="s">
        <v>401</v>
      </c>
      <c r="AA11" s="207" t="s">
        <v>427</v>
      </c>
      <c r="AB11" s="197" t="s">
        <v>472</v>
      </c>
      <c r="AC11" s="229"/>
      <c r="AD11" s="221" t="s">
        <v>413</v>
      </c>
      <c r="AE11" s="202" t="s">
        <v>421</v>
      </c>
      <c r="AF11" s="264" t="s">
        <v>447</v>
      </c>
    </row>
    <row r="12">
      <c r="A12" s="190"/>
      <c r="B12" s="156" t="s">
        <v>473</v>
      </c>
      <c r="C12" s="1"/>
      <c r="D12" s="238" t="s">
        <v>473</v>
      </c>
      <c r="E12" s="265" t="s">
        <v>474</v>
      </c>
      <c r="F12" s="259" t="s">
        <v>467</v>
      </c>
      <c r="G12" s="266" t="s">
        <v>228</v>
      </c>
      <c r="H12" s="267">
        <v>2.0</v>
      </c>
      <c r="I12" s="267">
        <v>16.0</v>
      </c>
      <c r="J12" s="268">
        <f t="shared" si="1"/>
        <v>2</v>
      </c>
      <c r="K12" s="175"/>
      <c r="L12" s="196"/>
      <c r="M12" s="168" t="s">
        <v>427</v>
      </c>
      <c r="N12" s="197" t="s">
        <v>475</v>
      </c>
      <c r="O12" s="204" t="s">
        <v>423</v>
      </c>
      <c r="P12" s="205" t="s">
        <v>444</v>
      </c>
      <c r="Q12" s="207" t="s">
        <v>427</v>
      </c>
      <c r="R12" s="197" t="s">
        <v>472</v>
      </c>
      <c r="S12" s="207" t="s">
        <v>376</v>
      </c>
      <c r="T12" s="197" t="s">
        <v>439</v>
      </c>
      <c r="U12" s="198" t="s">
        <v>476</v>
      </c>
      <c r="V12" s="206" t="s">
        <v>477</v>
      </c>
      <c r="W12" s="207" t="s">
        <v>427</v>
      </c>
      <c r="X12" s="197" t="s">
        <v>377</v>
      </c>
      <c r="Y12" s="208" t="s">
        <v>478</v>
      </c>
      <c r="Z12" s="221" t="s">
        <v>479</v>
      </c>
      <c r="AA12" s="200" t="s">
        <v>446</v>
      </c>
      <c r="AB12" s="201" t="s">
        <v>426</v>
      </c>
      <c r="AC12" s="198" t="s">
        <v>410</v>
      </c>
      <c r="AD12" s="206" t="s">
        <v>385</v>
      </c>
      <c r="AE12" s="207" t="s">
        <v>427</v>
      </c>
      <c r="AF12" s="237" t="s">
        <v>480</v>
      </c>
    </row>
    <row r="13">
      <c r="A13" s="269" t="s">
        <v>460</v>
      </c>
      <c r="B13" s="270" t="s">
        <v>461</v>
      </c>
      <c r="C13" s="271"/>
      <c r="D13" s="272" t="s">
        <v>422</v>
      </c>
      <c r="F13" s="259" t="s">
        <v>467</v>
      </c>
      <c r="G13" s="273" t="s">
        <v>481</v>
      </c>
      <c r="H13" s="274">
        <v>0.0</v>
      </c>
      <c r="I13" s="274">
        <v>12.0</v>
      </c>
      <c r="J13" s="275">
        <f t="shared" si="1"/>
        <v>8</v>
      </c>
      <c r="K13" s="175"/>
      <c r="L13" s="196"/>
      <c r="M13" s="251"/>
      <c r="N13" s="197" t="s">
        <v>377</v>
      </c>
      <c r="O13" s="200" t="s">
        <v>403</v>
      </c>
      <c r="P13" s="201" t="s">
        <v>404</v>
      </c>
      <c r="Q13" s="200" t="s">
        <v>446</v>
      </c>
      <c r="R13" s="201" t="s">
        <v>396</v>
      </c>
      <c r="S13" s="200" t="s">
        <v>403</v>
      </c>
      <c r="T13" s="201" t="s">
        <v>430</v>
      </c>
      <c r="U13" s="204" t="s">
        <v>482</v>
      </c>
      <c r="V13" s="205" t="s">
        <v>483</v>
      </c>
      <c r="W13" s="219" t="s">
        <v>484</v>
      </c>
      <c r="X13" s="220" t="s">
        <v>485</v>
      </c>
      <c r="Y13" s="229"/>
      <c r="Z13" s="221" t="s">
        <v>425</v>
      </c>
      <c r="AA13" s="204" t="s">
        <v>453</v>
      </c>
      <c r="AB13" s="205" t="s">
        <v>486</v>
      </c>
      <c r="AC13" s="202" t="s">
        <v>421</v>
      </c>
      <c r="AD13" s="203" t="s">
        <v>447</v>
      </c>
      <c r="AE13" s="208" t="s">
        <v>478</v>
      </c>
      <c r="AF13" s="244" t="s">
        <v>425</v>
      </c>
    </row>
    <row r="14">
      <c r="A14" s="190"/>
      <c r="B14" s="156" t="s">
        <v>487</v>
      </c>
      <c r="C14" s="1"/>
      <c r="D14" s="238" t="s">
        <v>487</v>
      </c>
      <c r="E14" s="276"/>
      <c r="F14" s="1"/>
      <c r="G14" s="277"/>
      <c r="H14" s="277"/>
      <c r="I14" s="277"/>
      <c r="J14" s="277"/>
      <c r="K14" s="175"/>
      <c r="L14" s="196"/>
      <c r="M14" s="228" t="s">
        <v>446</v>
      </c>
      <c r="N14" s="278" t="s">
        <v>419</v>
      </c>
      <c r="O14" s="219" t="s">
        <v>416</v>
      </c>
      <c r="P14" s="220" t="s">
        <v>417</v>
      </c>
      <c r="Q14" s="204" t="s">
        <v>453</v>
      </c>
      <c r="R14" s="205" t="s">
        <v>454</v>
      </c>
      <c r="S14" s="219" t="s">
        <v>416</v>
      </c>
      <c r="T14" s="220" t="s">
        <v>462</v>
      </c>
      <c r="U14" s="219" t="s">
        <v>488</v>
      </c>
      <c r="V14" s="220" t="s">
        <v>489</v>
      </c>
      <c r="W14" s="198" t="s">
        <v>441</v>
      </c>
      <c r="X14" s="206" t="s">
        <v>490</v>
      </c>
      <c r="Y14" s="204" t="s">
        <v>453</v>
      </c>
      <c r="Z14" s="205" t="s">
        <v>491</v>
      </c>
      <c r="AA14" s="207" t="s">
        <v>492</v>
      </c>
      <c r="AB14" s="197" t="s">
        <v>455</v>
      </c>
      <c r="AC14" s="204" t="s">
        <v>423</v>
      </c>
      <c r="AD14" s="205" t="s">
        <v>443</v>
      </c>
      <c r="AE14" s="198" t="s">
        <v>441</v>
      </c>
      <c r="AF14" s="257" t="s">
        <v>490</v>
      </c>
    </row>
    <row r="15">
      <c r="A15" s="279" t="s">
        <v>482</v>
      </c>
      <c r="B15" s="280" t="s">
        <v>483</v>
      </c>
      <c r="C15" s="271"/>
      <c r="D15" s="272" t="s">
        <v>493</v>
      </c>
      <c r="E15" s="276"/>
      <c r="F15" s="1"/>
      <c r="G15" s="281" t="s">
        <v>494</v>
      </c>
      <c r="H15" s="281"/>
      <c r="I15" s="281"/>
      <c r="J15" s="281"/>
      <c r="K15" s="175"/>
      <c r="L15" s="196"/>
      <c r="M15" s="236"/>
      <c r="N15" s="278" t="s">
        <v>426</v>
      </c>
      <c r="O15" s="198" t="s">
        <v>432</v>
      </c>
      <c r="P15" s="206" t="s">
        <v>495</v>
      </c>
      <c r="Q15" s="207" t="s">
        <v>492</v>
      </c>
      <c r="R15" s="197" t="s">
        <v>381</v>
      </c>
      <c r="S15" s="202" t="s">
        <v>496</v>
      </c>
      <c r="T15" s="203" t="s">
        <v>497</v>
      </c>
      <c r="U15" s="198" t="s">
        <v>498</v>
      </c>
      <c r="V15" s="206" t="s">
        <v>499</v>
      </c>
      <c r="W15" s="263"/>
      <c r="X15" s="206" t="s">
        <v>500</v>
      </c>
      <c r="Y15" s="204" t="s">
        <v>501</v>
      </c>
      <c r="Z15" s="205" t="s">
        <v>502</v>
      </c>
      <c r="AA15" s="204" t="s">
        <v>501</v>
      </c>
      <c r="AB15" s="205" t="s">
        <v>503</v>
      </c>
      <c r="AC15" s="243"/>
      <c r="AD15" s="205" t="s">
        <v>435</v>
      </c>
      <c r="AE15" s="263"/>
      <c r="AF15" s="257" t="s">
        <v>504</v>
      </c>
    </row>
    <row r="16">
      <c r="A16" s="190"/>
      <c r="B16" s="156" t="s">
        <v>505</v>
      </c>
      <c r="C16" s="1"/>
      <c r="D16" s="238" t="s">
        <v>505</v>
      </c>
      <c r="E16" s="276"/>
      <c r="F16" s="1"/>
      <c r="G16" s="281"/>
      <c r="H16" s="281"/>
      <c r="I16" s="281"/>
      <c r="J16" s="281"/>
      <c r="K16" s="175"/>
      <c r="L16" s="196"/>
      <c r="M16" s="168" t="s">
        <v>492</v>
      </c>
      <c r="N16" s="197" t="s">
        <v>381</v>
      </c>
      <c r="O16" s="202" t="s">
        <v>496</v>
      </c>
      <c r="P16" s="203" t="s">
        <v>497</v>
      </c>
      <c r="Q16" s="198" t="s">
        <v>460</v>
      </c>
      <c r="R16" s="206" t="s">
        <v>506</v>
      </c>
      <c r="S16" s="207" t="s">
        <v>427</v>
      </c>
      <c r="T16" s="197" t="s">
        <v>475</v>
      </c>
      <c r="U16" s="198" t="s">
        <v>507</v>
      </c>
      <c r="V16" s="206" t="s">
        <v>471</v>
      </c>
      <c r="W16" s="204" t="s">
        <v>453</v>
      </c>
      <c r="X16" s="205" t="s">
        <v>491</v>
      </c>
      <c r="Y16" s="204" t="s">
        <v>482</v>
      </c>
      <c r="Z16" s="205" t="s">
        <v>508</v>
      </c>
      <c r="AA16" s="207" t="s">
        <v>509</v>
      </c>
      <c r="AB16" s="197" t="s">
        <v>510</v>
      </c>
      <c r="AC16" s="219" t="s">
        <v>416</v>
      </c>
      <c r="AD16" s="220" t="s">
        <v>409</v>
      </c>
      <c r="AE16" s="198" t="s">
        <v>476</v>
      </c>
      <c r="AF16" s="257" t="s">
        <v>477</v>
      </c>
    </row>
    <row r="17">
      <c r="A17" s="211" t="s">
        <v>511</v>
      </c>
      <c r="B17" s="282" t="s">
        <v>512</v>
      </c>
      <c r="C17" s="1"/>
      <c r="D17" s="283"/>
      <c r="E17" s="24" t="s">
        <v>513</v>
      </c>
      <c r="F17" s="1"/>
      <c r="G17" s="284" t="s">
        <v>514</v>
      </c>
      <c r="H17" s="277"/>
      <c r="I17" s="277"/>
      <c r="J17" s="277"/>
      <c r="K17" s="175"/>
      <c r="L17" s="196"/>
      <c r="M17" s="168" t="s">
        <v>492</v>
      </c>
      <c r="N17" s="197" t="s">
        <v>381</v>
      </c>
      <c r="O17" s="204" t="s">
        <v>464</v>
      </c>
      <c r="P17" s="205" t="s">
        <v>465</v>
      </c>
      <c r="Q17" s="207" t="s">
        <v>509</v>
      </c>
      <c r="R17" s="197" t="s">
        <v>515</v>
      </c>
      <c r="S17" s="200" t="s">
        <v>446</v>
      </c>
      <c r="T17" s="201" t="s">
        <v>516</v>
      </c>
      <c r="W17" s="198" t="s">
        <v>460</v>
      </c>
      <c r="X17" s="206" t="s">
        <v>506</v>
      </c>
      <c r="Y17" s="208" t="s">
        <v>517</v>
      </c>
      <c r="Z17" s="221" t="s">
        <v>479</v>
      </c>
      <c r="AA17" s="204" t="s">
        <v>482</v>
      </c>
      <c r="AB17" s="205" t="s">
        <v>508</v>
      </c>
      <c r="AC17" s="285"/>
      <c r="AD17" s="220" t="s">
        <v>417</v>
      </c>
      <c r="AE17" s="263"/>
      <c r="AF17" s="257" t="s">
        <v>518</v>
      </c>
    </row>
    <row r="18">
      <c r="A18" s="286" t="s">
        <v>488</v>
      </c>
      <c r="B18" s="287" t="s">
        <v>489</v>
      </c>
      <c r="C18" s="1"/>
      <c r="D18" s="288" t="s">
        <v>519</v>
      </c>
      <c r="E18" s="289" t="s">
        <v>377</v>
      </c>
      <c r="F18" s="1"/>
      <c r="G18" s="284"/>
      <c r="H18" s="277"/>
      <c r="I18" s="277"/>
      <c r="J18" s="277"/>
      <c r="K18" s="175"/>
      <c r="L18" s="196"/>
      <c r="M18" s="290"/>
      <c r="O18" s="200" t="s">
        <v>446</v>
      </c>
      <c r="P18" s="201" t="s">
        <v>396</v>
      </c>
      <c r="Q18" s="291"/>
      <c r="R18" s="197" t="s">
        <v>510</v>
      </c>
      <c r="S18" s="208" t="s">
        <v>478</v>
      </c>
      <c r="T18" s="221" t="s">
        <v>479</v>
      </c>
      <c r="W18" s="204" t="s">
        <v>501</v>
      </c>
      <c r="X18" s="205" t="s">
        <v>502</v>
      </c>
      <c r="Y18" s="207" t="s">
        <v>520</v>
      </c>
      <c r="Z18" s="197" t="s">
        <v>521</v>
      </c>
      <c r="AA18" s="207" t="s">
        <v>522</v>
      </c>
      <c r="AB18" s="197" t="s">
        <v>523</v>
      </c>
      <c r="AC18" s="208" t="s">
        <v>450</v>
      </c>
      <c r="AD18" s="221" t="s">
        <v>463</v>
      </c>
      <c r="AE18" s="207" t="s">
        <v>522</v>
      </c>
      <c r="AF18" s="237" t="s">
        <v>523</v>
      </c>
    </row>
    <row r="19">
      <c r="A19" s="292" t="s">
        <v>517</v>
      </c>
      <c r="B19" s="293" t="s">
        <v>479</v>
      </c>
      <c r="C19" s="1"/>
      <c r="D19" s="215" t="s">
        <v>524</v>
      </c>
      <c r="E19" s="289" t="s">
        <v>404</v>
      </c>
      <c r="F19" s="158"/>
      <c r="G19" s="284" t="s">
        <v>525</v>
      </c>
      <c r="H19" s="277"/>
      <c r="I19" s="277"/>
      <c r="J19" s="277"/>
      <c r="K19" s="175"/>
      <c r="L19" s="276"/>
      <c r="O19" s="219" t="s">
        <v>484</v>
      </c>
      <c r="P19" s="220" t="s">
        <v>485</v>
      </c>
      <c r="Q19" s="198" t="s">
        <v>476</v>
      </c>
      <c r="R19" s="206" t="s">
        <v>518</v>
      </c>
      <c r="S19" s="198" t="s">
        <v>441</v>
      </c>
      <c r="T19" s="206" t="s">
        <v>504</v>
      </c>
      <c r="W19" s="243"/>
      <c r="X19" s="205" t="s">
        <v>503</v>
      </c>
      <c r="AA19" s="207" t="s">
        <v>520</v>
      </c>
      <c r="AB19" s="197" t="s">
        <v>521</v>
      </c>
      <c r="AC19" s="198" t="s">
        <v>432</v>
      </c>
      <c r="AD19" s="206" t="s">
        <v>526</v>
      </c>
      <c r="AE19" s="198" t="s">
        <v>498</v>
      </c>
      <c r="AF19" s="257" t="s">
        <v>499</v>
      </c>
    </row>
    <row r="20">
      <c r="A20" s="292"/>
      <c r="B20" s="293"/>
      <c r="C20" s="1"/>
      <c r="D20" s="215"/>
      <c r="E20" s="294" t="s">
        <v>417</v>
      </c>
      <c r="F20" s="158"/>
      <c r="G20" s="284"/>
      <c r="H20" s="277"/>
      <c r="I20" s="277"/>
      <c r="J20" s="277"/>
      <c r="K20" s="175"/>
      <c r="L20" s="196"/>
      <c r="M20" s="295"/>
      <c r="O20" s="198" t="s">
        <v>441</v>
      </c>
      <c r="P20" s="206" t="s">
        <v>442</v>
      </c>
      <c r="Q20" s="207" t="s">
        <v>522</v>
      </c>
      <c r="R20" s="197" t="s">
        <v>527</v>
      </c>
      <c r="S20" s="202" t="s">
        <v>528</v>
      </c>
      <c r="T20" s="203" t="s">
        <v>398</v>
      </c>
      <c r="W20" s="204" t="s">
        <v>482</v>
      </c>
      <c r="X20" s="205" t="s">
        <v>483</v>
      </c>
      <c r="AA20" s="204" t="s">
        <v>529</v>
      </c>
      <c r="AB20" s="205" t="s">
        <v>530</v>
      </c>
      <c r="AC20" s="200" t="s">
        <v>446</v>
      </c>
      <c r="AD20" s="201" t="s">
        <v>419</v>
      </c>
      <c r="AE20" s="202" t="s">
        <v>531</v>
      </c>
      <c r="AF20" s="264" t="s">
        <v>532</v>
      </c>
    </row>
    <row r="21">
      <c r="A21" s="296" t="s">
        <v>498</v>
      </c>
      <c r="B21" s="297" t="s">
        <v>499</v>
      </c>
      <c r="C21" s="1"/>
      <c r="D21" s="224"/>
      <c r="E21" s="289" t="s">
        <v>428</v>
      </c>
      <c r="F21" s="158"/>
      <c r="G21" s="284" t="s">
        <v>533</v>
      </c>
      <c r="H21" s="277"/>
      <c r="I21" s="277"/>
      <c r="J21" s="277"/>
      <c r="K21" s="175"/>
      <c r="L21" s="196"/>
      <c r="M21" s="295"/>
      <c r="O21" s="198" t="s">
        <v>460</v>
      </c>
      <c r="P21" s="206" t="s">
        <v>461</v>
      </c>
      <c r="Q21" s="202" t="s">
        <v>531</v>
      </c>
      <c r="R21" s="203" t="s">
        <v>532</v>
      </c>
      <c r="S21" s="208" t="s">
        <v>517</v>
      </c>
      <c r="T21" s="221" t="s">
        <v>479</v>
      </c>
      <c r="W21" s="219" t="s">
        <v>488</v>
      </c>
      <c r="X21" s="220" t="s">
        <v>489</v>
      </c>
      <c r="AC21" s="202" t="s">
        <v>528</v>
      </c>
      <c r="AD21" s="230" t="s">
        <v>398</v>
      </c>
      <c r="AF21" s="298"/>
    </row>
    <row r="22">
      <c r="A22" s="299" t="s">
        <v>531</v>
      </c>
      <c r="B22" s="300" t="s">
        <v>532</v>
      </c>
      <c r="C22" s="1"/>
      <c r="D22" s="232"/>
      <c r="E22" s="294" t="s">
        <v>396</v>
      </c>
      <c r="F22" s="158"/>
      <c r="G22" s="284"/>
      <c r="H22" s="277"/>
      <c r="I22" s="277"/>
      <c r="J22" s="277"/>
      <c r="K22" s="175"/>
      <c r="L22" s="276"/>
      <c r="W22" s="301" t="s">
        <v>529</v>
      </c>
      <c r="X22" s="302" t="s">
        <v>530</v>
      </c>
      <c r="Y22" s="303"/>
      <c r="Z22" s="303"/>
      <c r="AA22" s="303"/>
      <c r="AB22" s="303"/>
      <c r="AC22" s="301" t="s">
        <v>453</v>
      </c>
      <c r="AD22" s="302" t="s">
        <v>486</v>
      </c>
    </row>
    <row r="23">
      <c r="A23" s="304" t="s">
        <v>534</v>
      </c>
      <c r="B23" s="305" t="s">
        <v>512</v>
      </c>
      <c r="C23" s="1"/>
      <c r="D23" s="306" t="s">
        <v>535</v>
      </c>
      <c r="E23" s="289" t="s">
        <v>456</v>
      </c>
      <c r="F23" s="158"/>
      <c r="G23" s="277"/>
      <c r="H23" s="277"/>
      <c r="I23" s="277"/>
      <c r="J23" s="277"/>
      <c r="K23" s="175"/>
      <c r="L23" s="276"/>
    </row>
    <row r="24">
      <c r="A24" s="304"/>
      <c r="B24" s="305"/>
      <c r="C24" s="1"/>
      <c r="D24" s="306" t="s">
        <v>536</v>
      </c>
      <c r="E24" s="289"/>
      <c r="F24" s="158"/>
      <c r="G24" s="277"/>
      <c r="H24" s="277"/>
      <c r="I24" s="277"/>
      <c r="J24" s="277"/>
      <c r="K24" s="175"/>
      <c r="L24" s="276"/>
    </row>
    <row r="25">
      <c r="A25" s="304"/>
      <c r="B25" s="305"/>
      <c r="C25" s="1"/>
      <c r="D25" s="306" t="s">
        <v>537</v>
      </c>
      <c r="E25" s="289"/>
      <c r="F25" s="158"/>
      <c r="G25" s="277"/>
      <c r="H25" s="277"/>
      <c r="I25" s="277"/>
      <c r="J25" s="277"/>
      <c r="K25" s="307"/>
      <c r="L25" s="308"/>
      <c r="M25" s="309"/>
      <c r="N25" s="303"/>
      <c r="O25" s="310"/>
      <c r="P25" s="303"/>
      <c r="Q25" s="310"/>
      <c r="R25" s="303"/>
      <c r="S25" s="303"/>
      <c r="T25" s="303"/>
      <c r="U25" s="303"/>
      <c r="V25" s="303"/>
      <c r="AE25" s="303"/>
      <c r="AF25" s="311"/>
    </row>
    <row r="26">
      <c r="A26" s="304"/>
      <c r="B26" s="305"/>
      <c r="C26" s="1"/>
      <c r="D26" s="306" t="s">
        <v>538</v>
      </c>
      <c r="E26" s="289"/>
      <c r="F26" s="276"/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  <c r="AA26" s="276"/>
      <c r="AB26" s="276"/>
      <c r="AC26" s="276"/>
      <c r="AD26" s="276"/>
      <c r="AE26" s="276"/>
      <c r="AF26" s="276"/>
    </row>
    <row r="27">
      <c r="A27" s="304"/>
      <c r="B27" s="305"/>
      <c r="C27" s="1"/>
      <c r="D27" s="306" t="s">
        <v>539</v>
      </c>
      <c r="E27" s="289"/>
      <c r="F27" s="276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  <c r="AA27" s="276"/>
      <c r="AB27" s="276"/>
      <c r="AC27" s="276"/>
      <c r="AD27" s="276"/>
      <c r="AE27" s="276"/>
      <c r="AF27" s="276"/>
    </row>
    <row r="28">
      <c r="A28" s="304"/>
      <c r="B28" s="305"/>
      <c r="C28" s="1"/>
      <c r="D28" s="306" t="s">
        <v>506</v>
      </c>
      <c r="E28" s="289"/>
      <c r="F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76"/>
      <c r="AA28" s="276"/>
      <c r="AB28" s="276"/>
      <c r="AC28" s="276"/>
      <c r="AD28" s="276"/>
      <c r="AE28" s="276"/>
      <c r="AF28" s="276"/>
    </row>
    <row r="29">
      <c r="A29" s="304"/>
      <c r="B29" s="305"/>
      <c r="C29" s="1"/>
      <c r="D29" s="306" t="s">
        <v>540</v>
      </c>
      <c r="E29" s="289" t="s">
        <v>426</v>
      </c>
      <c r="F29" s="276"/>
      <c r="G29" s="276"/>
      <c r="H29" s="276"/>
      <c r="I29" s="276"/>
      <c r="J29" s="276"/>
      <c r="K29" s="276"/>
      <c r="L29" s="276"/>
      <c r="M29" s="276"/>
      <c r="N29" s="276"/>
      <c r="O29" s="276"/>
      <c r="P29" s="276"/>
      <c r="Q29" s="276"/>
      <c r="R29" s="276"/>
      <c r="S29" s="276"/>
      <c r="T29" s="276"/>
      <c r="U29" s="276"/>
      <c r="V29" s="276"/>
      <c r="W29" s="276"/>
      <c r="X29" s="276"/>
      <c r="Y29" s="276"/>
      <c r="Z29" s="276"/>
      <c r="AA29" s="276"/>
      <c r="AB29" s="276"/>
      <c r="AC29" s="276"/>
      <c r="AD29" s="276"/>
      <c r="AE29" s="276"/>
      <c r="AF29" s="276"/>
    </row>
    <row r="30">
      <c r="A30" s="304"/>
      <c r="B30" s="305"/>
      <c r="C30" s="1"/>
      <c r="D30" s="306" t="s">
        <v>541</v>
      </c>
      <c r="E30" s="294" t="s">
        <v>485</v>
      </c>
      <c r="F30" s="276"/>
      <c r="G30" s="276"/>
      <c r="H30" s="276"/>
      <c r="I30" s="276"/>
      <c r="J30" s="276"/>
      <c r="K30" s="276"/>
      <c r="L30" s="276"/>
      <c r="M30" s="276"/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  <c r="AA30" s="276"/>
      <c r="AB30" s="276"/>
      <c r="AC30" s="276"/>
      <c r="AD30" s="276"/>
      <c r="AE30" s="276"/>
      <c r="AF30" s="276"/>
    </row>
    <row r="31">
      <c r="A31" s="304"/>
      <c r="B31" s="305"/>
      <c r="C31" s="1"/>
      <c r="D31" s="306" t="s">
        <v>542</v>
      </c>
      <c r="E31" s="294" t="s">
        <v>444</v>
      </c>
      <c r="F31" s="276"/>
      <c r="G31" s="276"/>
      <c r="H31" s="276"/>
      <c r="I31" s="276"/>
      <c r="J31" s="276"/>
      <c r="K31" s="276"/>
      <c r="L31" s="276"/>
      <c r="M31" s="276"/>
      <c r="N31" s="276"/>
      <c r="O31" s="276"/>
      <c r="P31" s="276"/>
      <c r="Q31" s="276"/>
      <c r="R31" s="276"/>
      <c r="S31" s="276"/>
      <c r="T31" s="276"/>
      <c r="U31" s="276"/>
      <c r="V31" s="276"/>
      <c r="W31" s="276"/>
      <c r="X31" s="276"/>
      <c r="Y31" s="276"/>
      <c r="Z31" s="276"/>
      <c r="AA31" s="276"/>
      <c r="AB31" s="276"/>
      <c r="AC31" s="276"/>
      <c r="AD31" s="276"/>
      <c r="AE31" s="276"/>
      <c r="AF31" s="276"/>
    </row>
    <row r="32">
      <c r="A32" s="304"/>
      <c r="B32" s="305"/>
      <c r="C32" s="1"/>
      <c r="D32" s="306" t="s">
        <v>543</v>
      </c>
      <c r="E32" s="294"/>
      <c r="F32" s="276"/>
      <c r="G32" s="276"/>
      <c r="H32" s="276"/>
      <c r="I32" s="276"/>
      <c r="J32" s="276"/>
      <c r="K32" s="276"/>
      <c r="L32" s="276"/>
      <c r="M32" s="276"/>
      <c r="N32" s="276"/>
      <c r="O32" s="276"/>
      <c r="P32" s="276"/>
      <c r="Q32" s="276"/>
      <c r="R32" s="276"/>
      <c r="S32" s="276"/>
      <c r="T32" s="276"/>
      <c r="U32" s="276"/>
      <c r="V32" s="276"/>
      <c r="W32" s="276"/>
      <c r="X32" s="276"/>
      <c r="Y32" s="276"/>
      <c r="Z32" s="276"/>
      <c r="AA32" s="276"/>
      <c r="AB32" s="276"/>
      <c r="AC32" s="276"/>
      <c r="AD32" s="276"/>
      <c r="AE32" s="276"/>
      <c r="AF32" s="276"/>
    </row>
    <row r="33">
      <c r="A33" s="312" t="s">
        <v>520</v>
      </c>
      <c r="B33" s="313" t="s">
        <v>544</v>
      </c>
      <c r="C33" s="1"/>
      <c r="D33" s="314"/>
      <c r="E33" s="289" t="s">
        <v>442</v>
      </c>
      <c r="F33" s="276"/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6"/>
      <c r="R33" s="276"/>
      <c r="S33" s="276"/>
      <c r="T33" s="276"/>
      <c r="U33" s="276"/>
      <c r="V33" s="276"/>
      <c r="W33" s="276"/>
      <c r="X33" s="276"/>
      <c r="Y33" s="276"/>
      <c r="Z33" s="276"/>
      <c r="AA33" s="276"/>
      <c r="AB33" s="276"/>
      <c r="AC33" s="276"/>
      <c r="AD33" s="276"/>
      <c r="AE33" s="276"/>
      <c r="AF33" s="276"/>
    </row>
    <row r="34">
      <c r="A34" s="190"/>
      <c r="B34" s="156" t="s">
        <v>545</v>
      </c>
      <c r="C34" s="1"/>
      <c r="D34" s="238" t="s">
        <v>545</v>
      </c>
      <c r="E34" s="294" t="s">
        <v>490</v>
      </c>
      <c r="F34" s="276"/>
      <c r="G34" s="276"/>
      <c r="H34" s="276"/>
      <c r="I34" s="276"/>
      <c r="J34" s="276"/>
      <c r="K34" s="276"/>
      <c r="L34" s="276"/>
      <c r="M34" s="276"/>
      <c r="N34" s="276"/>
      <c r="O34" s="276"/>
      <c r="P34" s="276"/>
      <c r="Q34" s="276"/>
      <c r="R34" s="276"/>
      <c r="S34" s="276"/>
      <c r="T34" s="276"/>
      <c r="U34" s="276"/>
      <c r="V34" s="276"/>
      <c r="W34" s="276"/>
      <c r="X34" s="276"/>
      <c r="Y34" s="276"/>
      <c r="Z34" s="276"/>
      <c r="AA34" s="276"/>
      <c r="AB34" s="276"/>
      <c r="AC34" s="276"/>
      <c r="AD34" s="276"/>
      <c r="AE34" s="276"/>
      <c r="AF34" s="276"/>
    </row>
    <row r="35">
      <c r="A35" s="211" t="s">
        <v>546</v>
      </c>
      <c r="B35" s="282" t="s">
        <v>512</v>
      </c>
      <c r="C35" s="1"/>
      <c r="D35" s="283" t="s">
        <v>396</v>
      </c>
      <c r="E35" s="294" t="s">
        <v>503</v>
      </c>
      <c r="F35" s="276"/>
      <c r="G35" s="276"/>
      <c r="H35" s="276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Y35" s="276"/>
      <c r="Z35" s="276"/>
      <c r="AA35" s="276"/>
      <c r="AB35" s="276"/>
      <c r="AC35" s="276"/>
      <c r="AD35" s="276"/>
      <c r="AE35" s="276"/>
      <c r="AF35" s="276"/>
    </row>
    <row r="36">
      <c r="A36" s="228"/>
      <c r="B36" s="315"/>
      <c r="C36" s="1"/>
      <c r="D36" s="283" t="s">
        <v>547</v>
      </c>
      <c r="E36" s="294"/>
      <c r="F36" s="276"/>
      <c r="G36" s="276"/>
      <c r="H36" s="276"/>
      <c r="I36" s="276"/>
      <c r="J36" s="276"/>
      <c r="K36" s="276"/>
      <c r="L36" s="276"/>
      <c r="M36" s="276"/>
      <c r="N36" s="276"/>
      <c r="O36" s="276"/>
      <c r="P36" s="276"/>
      <c r="Q36" s="276"/>
      <c r="R36" s="276"/>
      <c r="S36" s="276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6"/>
      <c r="AF36" s="276"/>
    </row>
    <row r="37">
      <c r="A37" s="286" t="s">
        <v>548</v>
      </c>
      <c r="B37" s="316" t="s">
        <v>512</v>
      </c>
      <c r="C37" s="1"/>
      <c r="D37" s="192"/>
      <c r="E37" s="294" t="s">
        <v>549</v>
      </c>
      <c r="F37" s="276"/>
      <c r="G37" s="276"/>
      <c r="H37" s="276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Y37" s="276"/>
      <c r="Z37" s="276"/>
      <c r="AA37" s="276"/>
      <c r="AB37" s="276"/>
      <c r="AC37" s="276"/>
      <c r="AD37" s="276"/>
      <c r="AE37" s="276"/>
      <c r="AF37" s="276"/>
    </row>
    <row r="38">
      <c r="A38" s="292" t="s">
        <v>550</v>
      </c>
      <c r="B38" s="244" t="s">
        <v>512</v>
      </c>
      <c r="C38" s="1"/>
      <c r="D38" s="215"/>
      <c r="E38" s="294" t="s">
        <v>551</v>
      </c>
      <c r="F38" s="276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  <c r="AA38" s="276"/>
      <c r="AB38" s="276"/>
      <c r="AC38" s="276"/>
      <c r="AD38" s="276"/>
      <c r="AE38" s="276"/>
      <c r="AF38" s="276"/>
    </row>
    <row r="39">
      <c r="A39" s="296" t="s">
        <v>507</v>
      </c>
      <c r="B39" s="317" t="s">
        <v>471</v>
      </c>
      <c r="C39" s="1"/>
      <c r="D39" s="224"/>
      <c r="E39" s="318" t="s">
        <v>506</v>
      </c>
      <c r="F39" s="276"/>
      <c r="G39" s="276"/>
      <c r="H39" s="276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Y39" s="276"/>
      <c r="Z39" s="276"/>
      <c r="AA39" s="276"/>
      <c r="AB39" s="276"/>
      <c r="AC39" s="276"/>
      <c r="AD39" s="276"/>
      <c r="AE39" s="276"/>
      <c r="AF39" s="276"/>
    </row>
    <row r="40">
      <c r="A40" s="299" t="s">
        <v>552</v>
      </c>
      <c r="B40" s="264" t="s">
        <v>512</v>
      </c>
      <c r="C40" s="1"/>
      <c r="D40" s="232"/>
      <c r="E40" s="294" t="s">
        <v>477</v>
      </c>
      <c r="F40" s="276"/>
      <c r="G40" s="276"/>
      <c r="H40" s="276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Y40" s="276"/>
      <c r="Z40" s="276"/>
      <c r="AA40" s="276"/>
      <c r="AB40" s="276"/>
      <c r="AC40" s="276"/>
      <c r="AD40" s="276"/>
      <c r="AE40" s="276"/>
      <c r="AF40" s="276"/>
    </row>
    <row r="41">
      <c r="A41" s="304" t="s">
        <v>529</v>
      </c>
      <c r="B41" s="305" t="s">
        <v>530</v>
      </c>
      <c r="C41" s="1"/>
      <c r="D41" s="239" t="s">
        <v>553</v>
      </c>
      <c r="E41" s="289" t="s">
        <v>499</v>
      </c>
      <c r="F41" s="276"/>
      <c r="G41" s="276"/>
      <c r="H41" s="276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  <c r="AA41" s="276"/>
      <c r="AB41" s="276"/>
      <c r="AC41" s="276"/>
      <c r="AD41" s="276"/>
      <c r="AE41" s="276"/>
      <c r="AF41" s="276"/>
    </row>
    <row r="42">
      <c r="A42" s="304"/>
      <c r="B42" s="305"/>
      <c r="C42" s="1"/>
      <c r="D42" s="239" t="s">
        <v>554</v>
      </c>
      <c r="E42" s="294" t="s">
        <v>483</v>
      </c>
      <c r="F42" s="276"/>
      <c r="G42" s="276"/>
      <c r="H42" s="276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Y42" s="276"/>
      <c r="Z42" s="276"/>
      <c r="AA42" s="276"/>
      <c r="AB42" s="276"/>
      <c r="AC42" s="276"/>
      <c r="AD42" s="276"/>
      <c r="AE42" s="276"/>
      <c r="AF42" s="276"/>
    </row>
    <row r="43">
      <c r="A43" s="312" t="s">
        <v>555</v>
      </c>
      <c r="B43" s="319" t="s">
        <v>512</v>
      </c>
      <c r="C43" s="1"/>
      <c r="D43" s="247"/>
      <c r="E43" s="1"/>
      <c r="F43" s="276"/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  <c r="AA43" s="276"/>
      <c r="AB43" s="276"/>
      <c r="AC43" s="276"/>
      <c r="AD43" s="276"/>
      <c r="AE43" s="276"/>
      <c r="AF43" s="276"/>
    </row>
    <row r="44" hidden="1">
      <c r="F44" s="276"/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6"/>
      <c r="AC44" s="276"/>
      <c r="AD44" s="276"/>
      <c r="AE44" s="276"/>
      <c r="AF44" s="276"/>
    </row>
    <row r="45" hidden="1">
      <c r="E45" s="1"/>
      <c r="F45" s="276"/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  <c r="AA45" s="276"/>
      <c r="AB45" s="276"/>
      <c r="AC45" s="276"/>
      <c r="AD45" s="276"/>
      <c r="AE45" s="276"/>
      <c r="AF45" s="276"/>
    </row>
    <row r="46" hidden="1">
      <c r="E46" s="276"/>
      <c r="F46" s="276"/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  <c r="AA46" s="276"/>
      <c r="AB46" s="276"/>
      <c r="AC46" s="276"/>
      <c r="AD46" s="276"/>
      <c r="AE46" s="276"/>
      <c r="AF46" s="276"/>
    </row>
    <row r="47" hidden="1">
      <c r="E47" s="276"/>
      <c r="F47" s="276"/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  <c r="AA47" s="276"/>
      <c r="AB47" s="276"/>
      <c r="AC47" s="276"/>
      <c r="AD47" s="276"/>
      <c r="AE47" s="276"/>
      <c r="AF47" s="276"/>
    </row>
    <row r="48" hidden="1">
      <c r="E48" s="276"/>
      <c r="F48" s="276"/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  <c r="AA48" s="276"/>
      <c r="AB48" s="276"/>
      <c r="AC48" s="276"/>
      <c r="AD48" s="276"/>
      <c r="AE48" s="276"/>
      <c r="AF48" s="276"/>
    </row>
    <row r="49" hidden="1">
      <c r="E49" s="276"/>
      <c r="F49" s="276"/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  <c r="AA49" s="276"/>
      <c r="AB49" s="276"/>
      <c r="AC49" s="276"/>
      <c r="AD49" s="276"/>
      <c r="AE49" s="276"/>
      <c r="AF49" s="276"/>
    </row>
    <row r="50" hidden="1">
      <c r="E50" s="276"/>
      <c r="F50" s="276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  <c r="AB50" s="276"/>
      <c r="AC50" s="276"/>
      <c r="AD50" s="276"/>
      <c r="AE50" s="276"/>
      <c r="AF50" s="276"/>
    </row>
    <row r="51" hidden="1">
      <c r="E51" s="276"/>
      <c r="F51" s="276"/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  <c r="AA51" s="276"/>
      <c r="AB51" s="276"/>
      <c r="AC51" s="276"/>
      <c r="AD51" s="276"/>
      <c r="AE51" s="276"/>
      <c r="AF51" s="276"/>
    </row>
    <row r="52" hidden="1">
      <c r="E52" s="276"/>
      <c r="F52" s="276"/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  <c r="AA52" s="276"/>
      <c r="AB52" s="276"/>
      <c r="AC52" s="276"/>
      <c r="AD52" s="276"/>
      <c r="AE52" s="276"/>
      <c r="AF52" s="276"/>
    </row>
    <row r="53" hidden="1">
      <c r="E53" s="276"/>
      <c r="F53" s="276"/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  <c r="AA53" s="276"/>
      <c r="AB53" s="276"/>
      <c r="AC53" s="276"/>
      <c r="AD53" s="276"/>
      <c r="AE53" s="276"/>
      <c r="AF53" s="276"/>
    </row>
    <row r="54" hidden="1">
      <c r="E54" s="276"/>
      <c r="F54" s="276"/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</row>
    <row r="55" hidden="1">
      <c r="E55" s="276"/>
      <c r="F55" s="276"/>
      <c r="G55" s="276"/>
      <c r="H55" s="276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Y55" s="276"/>
      <c r="Z55" s="276"/>
      <c r="AA55" s="276"/>
      <c r="AB55" s="276"/>
      <c r="AC55" s="276"/>
      <c r="AD55" s="276"/>
      <c r="AE55" s="276"/>
      <c r="AF55" s="276"/>
    </row>
    <row r="56" hidden="1">
      <c r="E56" s="276"/>
      <c r="F56" s="276"/>
      <c r="G56" s="276"/>
      <c r="H56" s="276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Y56" s="276"/>
      <c r="Z56" s="276"/>
      <c r="AA56" s="276"/>
      <c r="AB56" s="276"/>
      <c r="AC56" s="276"/>
      <c r="AD56" s="276"/>
      <c r="AE56" s="276"/>
      <c r="AF56" s="276"/>
    </row>
    <row r="57" hidden="1">
      <c r="E57" s="276"/>
      <c r="F57" s="276"/>
      <c r="G57" s="276"/>
      <c r="H57" s="276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Y57" s="276"/>
      <c r="Z57" s="276"/>
      <c r="AA57" s="276"/>
      <c r="AB57" s="276"/>
      <c r="AC57" s="276"/>
      <c r="AD57" s="276"/>
      <c r="AE57" s="276"/>
      <c r="AF57" s="276"/>
    </row>
    <row r="58" hidden="1">
      <c r="E58" s="276"/>
      <c r="F58" s="276"/>
      <c r="G58" s="276"/>
      <c r="H58" s="276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Y58" s="276"/>
      <c r="Z58" s="276"/>
      <c r="AA58" s="276"/>
      <c r="AB58" s="276"/>
      <c r="AC58" s="276"/>
      <c r="AD58" s="276"/>
      <c r="AE58" s="276"/>
      <c r="AF58" s="276"/>
    </row>
    <row r="59" hidden="1"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Y59" s="276"/>
      <c r="Z59" s="276"/>
      <c r="AA59" s="276"/>
      <c r="AB59" s="276"/>
      <c r="AC59" s="276"/>
      <c r="AD59" s="276"/>
      <c r="AE59" s="276"/>
      <c r="AF59" s="276"/>
    </row>
    <row r="60" hidden="1">
      <c r="E60" s="276"/>
      <c r="F60" s="276"/>
      <c r="G60" s="276"/>
      <c r="H60" s="276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Y60" s="276"/>
      <c r="Z60" s="276"/>
      <c r="AA60" s="276"/>
      <c r="AB60" s="276"/>
      <c r="AC60" s="276"/>
      <c r="AD60" s="276"/>
      <c r="AE60" s="276"/>
      <c r="AF60" s="276"/>
    </row>
    <row r="61" hidden="1"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  <c r="AA61" s="276"/>
      <c r="AB61" s="276"/>
      <c r="AC61" s="276"/>
      <c r="AD61" s="276"/>
      <c r="AE61" s="276"/>
      <c r="AF61" s="276"/>
    </row>
    <row r="62" hidden="1"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  <c r="AD62" s="276"/>
      <c r="AE62" s="276"/>
      <c r="AF62" s="276"/>
    </row>
    <row r="63" hidden="1"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Y63" s="276"/>
      <c r="Z63" s="276"/>
      <c r="AA63" s="276"/>
      <c r="AB63" s="276"/>
      <c r="AC63" s="276"/>
      <c r="AD63" s="276"/>
      <c r="AE63" s="276"/>
      <c r="AF63" s="276"/>
    </row>
    <row r="64" hidden="1"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Y64" s="276"/>
      <c r="Z64" s="276"/>
      <c r="AA64" s="276"/>
      <c r="AB64" s="276"/>
      <c r="AC64" s="276"/>
      <c r="AD64" s="276"/>
      <c r="AE64" s="276"/>
      <c r="AF64" s="276"/>
    </row>
    <row r="65" hidden="1"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6"/>
      <c r="Q65" s="276"/>
      <c r="R65" s="276"/>
      <c r="S65" s="276"/>
      <c r="T65" s="276"/>
      <c r="U65" s="276"/>
      <c r="V65" s="276"/>
      <c r="W65" s="276"/>
      <c r="X65" s="276"/>
      <c r="Y65" s="276"/>
      <c r="Z65" s="276"/>
      <c r="AA65" s="276"/>
      <c r="AB65" s="276"/>
      <c r="AC65" s="276"/>
      <c r="AD65" s="276"/>
      <c r="AE65" s="276"/>
      <c r="AF65" s="276"/>
    </row>
    <row r="66" hidden="1">
      <c r="E66" s="276"/>
      <c r="F66" s="276"/>
      <c r="G66" s="276"/>
      <c r="H66" s="276"/>
      <c r="I66" s="276"/>
      <c r="J66" s="276"/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6"/>
      <c r="V66" s="276"/>
      <c r="W66" s="276"/>
      <c r="X66" s="276"/>
      <c r="Y66" s="276"/>
      <c r="Z66" s="276"/>
      <c r="AA66" s="276"/>
      <c r="AB66" s="276"/>
      <c r="AC66" s="276"/>
      <c r="AD66" s="276"/>
      <c r="AE66" s="276"/>
      <c r="AF66" s="276"/>
    </row>
    <row r="67" hidden="1">
      <c r="E67" s="276"/>
      <c r="F67" s="276"/>
      <c r="G67" s="276"/>
      <c r="H67" s="276"/>
      <c r="I67" s="276"/>
      <c r="J67" s="276"/>
      <c r="K67" s="276"/>
      <c r="L67" s="276"/>
      <c r="M67" s="276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  <c r="AF67" s="276"/>
    </row>
    <row r="68" hidden="1">
      <c r="E68" s="276"/>
      <c r="F68" s="276"/>
      <c r="G68" s="276"/>
      <c r="H68" s="276"/>
      <c r="I68" s="276"/>
      <c r="J68" s="276"/>
      <c r="K68" s="276"/>
      <c r="L68" s="276"/>
      <c r="M68" s="276"/>
      <c r="N68" s="276"/>
      <c r="O68" s="276"/>
      <c r="P68" s="276"/>
      <c r="Q68" s="276"/>
      <c r="R68" s="276"/>
      <c r="S68" s="276"/>
      <c r="T68" s="276"/>
      <c r="U68" s="276"/>
      <c r="V68" s="276"/>
      <c r="W68" s="276"/>
      <c r="X68" s="276"/>
      <c r="Y68" s="276"/>
      <c r="Z68" s="276"/>
      <c r="AA68" s="276"/>
      <c r="AB68" s="276"/>
      <c r="AC68" s="276"/>
      <c r="AD68" s="276"/>
      <c r="AE68" s="276"/>
      <c r="AF68" s="276"/>
    </row>
    <row r="69" hidden="1">
      <c r="E69" s="276"/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276"/>
      <c r="Q69" s="276"/>
      <c r="R69" s="276"/>
      <c r="S69" s="276"/>
      <c r="T69" s="276"/>
      <c r="U69" s="276"/>
      <c r="V69" s="276"/>
      <c r="W69" s="276"/>
      <c r="X69" s="276"/>
      <c r="Y69" s="276"/>
      <c r="Z69" s="276"/>
      <c r="AA69" s="276"/>
      <c r="AB69" s="276"/>
      <c r="AC69" s="276"/>
      <c r="AD69" s="276"/>
      <c r="AE69" s="276"/>
      <c r="AF69" s="276"/>
    </row>
    <row r="70" hidden="1">
      <c r="E70" s="276"/>
      <c r="F70" s="276"/>
      <c r="G70" s="276"/>
      <c r="H70" s="276"/>
      <c r="I70" s="276"/>
      <c r="J70" s="276"/>
      <c r="K70" s="276"/>
      <c r="L70" s="276"/>
      <c r="M70" s="276"/>
      <c r="N70" s="276"/>
      <c r="O70" s="276"/>
      <c r="P70" s="276"/>
      <c r="Q70" s="276"/>
      <c r="R70" s="276"/>
      <c r="S70" s="276"/>
      <c r="T70" s="276"/>
      <c r="U70" s="276"/>
      <c r="V70" s="276"/>
      <c r="W70" s="276"/>
      <c r="X70" s="276"/>
      <c r="Y70" s="276"/>
      <c r="Z70" s="276"/>
      <c r="AA70" s="276"/>
      <c r="AB70" s="276"/>
      <c r="AC70" s="276"/>
      <c r="AD70" s="276"/>
      <c r="AE70" s="276"/>
      <c r="AF70" s="276"/>
    </row>
    <row r="71" hidden="1"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6"/>
      <c r="X71" s="276"/>
      <c r="Y71" s="276"/>
      <c r="Z71" s="276"/>
      <c r="AA71" s="276"/>
      <c r="AB71" s="276"/>
      <c r="AC71" s="276"/>
      <c r="AD71" s="276"/>
      <c r="AE71" s="276"/>
      <c r="AF71" s="276"/>
    </row>
    <row r="72" hidden="1"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76"/>
      <c r="V72" s="276"/>
      <c r="W72" s="276"/>
      <c r="X72" s="276"/>
      <c r="Y72" s="276"/>
      <c r="Z72" s="276"/>
      <c r="AA72" s="276"/>
      <c r="AB72" s="276"/>
      <c r="AC72" s="276"/>
      <c r="AD72" s="276"/>
      <c r="AE72" s="276"/>
      <c r="AF72" s="276"/>
    </row>
    <row r="73" hidden="1">
      <c r="E73" s="276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276"/>
      <c r="V73" s="276"/>
      <c r="W73" s="276"/>
      <c r="X73" s="276"/>
      <c r="Y73" s="276"/>
      <c r="Z73" s="276"/>
      <c r="AA73" s="276"/>
      <c r="AB73" s="276"/>
      <c r="AC73" s="276"/>
      <c r="AD73" s="276"/>
      <c r="AE73" s="276"/>
      <c r="AF73" s="276"/>
    </row>
    <row r="74" hidden="1"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276"/>
      <c r="T74" s="276"/>
      <c r="U74" s="276"/>
      <c r="V74" s="276"/>
      <c r="W74" s="276"/>
      <c r="X74" s="276"/>
      <c r="Y74" s="276"/>
      <c r="Z74" s="276"/>
      <c r="AA74" s="276"/>
      <c r="AB74" s="276"/>
      <c r="AC74" s="276"/>
      <c r="AD74" s="276"/>
      <c r="AE74" s="276"/>
      <c r="AF74" s="276"/>
    </row>
    <row r="75" hidden="1">
      <c r="E75" s="276"/>
      <c r="F75" s="276"/>
      <c r="G75" s="276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  <c r="U75" s="276"/>
      <c r="V75" s="276"/>
      <c r="W75" s="276"/>
      <c r="X75" s="276"/>
      <c r="Y75" s="276"/>
      <c r="Z75" s="276"/>
      <c r="AA75" s="276"/>
      <c r="AB75" s="276"/>
      <c r="AC75" s="276"/>
      <c r="AD75" s="276"/>
      <c r="AE75" s="276"/>
      <c r="AF75" s="276"/>
    </row>
    <row r="76" hidden="1">
      <c r="E76" s="276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76"/>
      <c r="W76" s="276"/>
      <c r="X76" s="276"/>
      <c r="Y76" s="276"/>
      <c r="Z76" s="276"/>
      <c r="AA76" s="276"/>
      <c r="AB76" s="276"/>
      <c r="AC76" s="276"/>
      <c r="AD76" s="276"/>
      <c r="AE76" s="276"/>
      <c r="AF76" s="276"/>
    </row>
    <row r="77" hidden="1">
      <c r="E77" s="276"/>
      <c r="F77" s="276"/>
      <c r="G77" s="276"/>
      <c r="H77" s="276"/>
      <c r="I77" s="276"/>
      <c r="J77" s="276"/>
      <c r="K77" s="276"/>
      <c r="L77" s="276"/>
      <c r="M77" s="276"/>
      <c r="N77" s="276"/>
      <c r="O77" s="276"/>
      <c r="P77" s="276"/>
      <c r="Q77" s="276"/>
      <c r="R77" s="276"/>
      <c r="S77" s="276"/>
      <c r="T77" s="276"/>
      <c r="U77" s="276"/>
      <c r="V77" s="276"/>
      <c r="W77" s="276"/>
      <c r="X77" s="276"/>
      <c r="Y77" s="276"/>
      <c r="Z77" s="276"/>
      <c r="AA77" s="276"/>
      <c r="AB77" s="276"/>
      <c r="AC77" s="276"/>
      <c r="AD77" s="276"/>
      <c r="AE77" s="276"/>
      <c r="AF77" s="276"/>
    </row>
    <row r="78" hidden="1">
      <c r="E78" s="276"/>
      <c r="F78" s="276"/>
      <c r="G78" s="276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276"/>
      <c r="T78" s="276"/>
      <c r="U78" s="276"/>
      <c r="V78" s="276"/>
      <c r="W78" s="276"/>
      <c r="X78" s="276"/>
      <c r="Y78" s="276"/>
      <c r="Z78" s="276"/>
      <c r="AA78" s="276"/>
      <c r="AB78" s="276"/>
      <c r="AC78" s="276"/>
      <c r="AD78" s="276"/>
      <c r="AE78" s="276"/>
      <c r="AF78" s="276"/>
    </row>
    <row r="79" hidden="1">
      <c r="E79" s="276"/>
      <c r="F79" s="276"/>
      <c r="G79" s="276"/>
      <c r="H79" s="276"/>
      <c r="I79" s="276"/>
      <c r="J79" s="276"/>
      <c r="K79" s="276"/>
      <c r="L79" s="276"/>
      <c r="M79" s="276"/>
      <c r="N79" s="276"/>
      <c r="O79" s="276"/>
      <c r="P79" s="276"/>
      <c r="Q79" s="276"/>
      <c r="R79" s="276"/>
      <c r="S79" s="276"/>
      <c r="T79" s="276"/>
      <c r="U79" s="276"/>
      <c r="V79" s="276"/>
      <c r="W79" s="276"/>
      <c r="X79" s="276"/>
      <c r="Y79" s="276"/>
      <c r="Z79" s="276"/>
      <c r="AA79" s="276"/>
      <c r="AB79" s="276"/>
      <c r="AC79" s="276"/>
      <c r="AD79" s="276"/>
      <c r="AE79" s="276"/>
      <c r="AF79" s="276"/>
    </row>
    <row r="80" hidden="1"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</row>
    <row r="81" hidden="1">
      <c r="E81" s="276"/>
      <c r="F81" s="276"/>
      <c r="G81" s="276"/>
      <c r="H81" s="276"/>
      <c r="I81" s="276"/>
      <c r="J81" s="276"/>
      <c r="K81" s="276"/>
      <c r="L81" s="276"/>
      <c r="M81" s="276"/>
      <c r="N81" s="276"/>
      <c r="O81" s="276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276"/>
      <c r="AA81" s="276"/>
      <c r="AB81" s="276"/>
      <c r="AC81" s="276"/>
      <c r="AD81" s="276"/>
      <c r="AE81" s="276"/>
      <c r="AF81" s="276"/>
    </row>
    <row r="82" hidden="1">
      <c r="E82" s="276"/>
      <c r="F82" s="276"/>
      <c r="G82" s="276"/>
      <c r="H82" s="276"/>
      <c r="I82" s="276"/>
      <c r="J82" s="276"/>
      <c r="K82" s="276"/>
      <c r="L82" s="276"/>
      <c r="M82" s="276"/>
      <c r="N82" s="276"/>
      <c r="O82" s="276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276"/>
      <c r="AA82" s="276"/>
      <c r="AB82" s="276"/>
      <c r="AC82" s="276"/>
      <c r="AD82" s="276"/>
      <c r="AE82" s="276"/>
      <c r="AF82" s="276"/>
    </row>
    <row r="83" hidden="1">
      <c r="E83" s="276"/>
      <c r="F83" s="276"/>
      <c r="G83" s="276"/>
      <c r="H83" s="276"/>
      <c r="I83" s="276"/>
      <c r="J83" s="276"/>
      <c r="K83" s="276"/>
      <c r="L83" s="276"/>
      <c r="M83" s="276"/>
      <c r="N83" s="276"/>
      <c r="O83" s="276"/>
      <c r="P83" s="276"/>
      <c r="Q83" s="276"/>
      <c r="R83" s="276"/>
      <c r="S83" s="276"/>
      <c r="T83" s="276"/>
      <c r="U83" s="276"/>
      <c r="V83" s="276"/>
      <c r="W83" s="276"/>
      <c r="X83" s="276"/>
      <c r="Y83" s="276"/>
      <c r="Z83" s="276"/>
      <c r="AA83" s="276"/>
      <c r="AB83" s="276"/>
      <c r="AC83" s="276"/>
      <c r="AD83" s="276"/>
      <c r="AE83" s="276"/>
      <c r="AF83" s="276"/>
    </row>
    <row r="84" hidden="1"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6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276"/>
      <c r="AA84" s="276"/>
      <c r="AB84" s="276"/>
      <c r="AC84" s="276"/>
      <c r="AD84" s="276"/>
      <c r="AE84" s="276"/>
      <c r="AF84" s="276"/>
    </row>
    <row r="85" hidden="1">
      <c r="E85" s="276"/>
      <c r="F85" s="276"/>
      <c r="G85" s="276"/>
      <c r="H85" s="276"/>
      <c r="I85" s="276"/>
      <c r="J85" s="276"/>
      <c r="K85" s="276"/>
      <c r="L85" s="276"/>
      <c r="M85" s="276"/>
      <c r="N85" s="276"/>
      <c r="O85" s="276"/>
      <c r="P85" s="276"/>
      <c r="Q85" s="276"/>
      <c r="R85" s="276"/>
      <c r="S85" s="276"/>
      <c r="T85" s="276"/>
      <c r="U85" s="276"/>
      <c r="V85" s="276"/>
      <c r="W85" s="276"/>
      <c r="X85" s="276"/>
      <c r="Y85" s="276"/>
      <c r="Z85" s="276"/>
      <c r="AA85" s="276"/>
      <c r="AB85" s="276"/>
      <c r="AC85" s="276"/>
      <c r="AD85" s="276"/>
      <c r="AE85" s="276"/>
      <c r="AF85" s="276"/>
    </row>
    <row r="86" hidden="1">
      <c r="E86" s="276"/>
      <c r="F86" s="276"/>
      <c r="G86" s="276"/>
      <c r="H86" s="276"/>
      <c r="I86" s="276"/>
      <c r="J86" s="276"/>
      <c r="K86" s="276"/>
      <c r="L86" s="276"/>
      <c r="M86" s="276"/>
      <c r="N86" s="276"/>
      <c r="O86" s="276"/>
      <c r="P86" s="276"/>
      <c r="Q86" s="276"/>
      <c r="R86" s="276"/>
      <c r="S86" s="276"/>
      <c r="T86" s="276"/>
      <c r="U86" s="276"/>
      <c r="V86" s="276"/>
      <c r="W86" s="276"/>
      <c r="X86" s="276"/>
      <c r="Y86" s="276"/>
      <c r="Z86" s="276"/>
      <c r="AA86" s="276"/>
      <c r="AB86" s="276"/>
      <c r="AC86" s="276"/>
      <c r="AD86" s="276"/>
      <c r="AE86" s="276"/>
      <c r="AF86" s="276"/>
    </row>
    <row r="87" hidden="1">
      <c r="E87" s="276"/>
      <c r="F87" s="276"/>
      <c r="G87" s="276"/>
      <c r="H87" s="276"/>
      <c r="I87" s="276"/>
      <c r="J87" s="276"/>
      <c r="K87" s="276"/>
      <c r="L87" s="276"/>
      <c r="M87" s="276"/>
      <c r="N87" s="276"/>
      <c r="O87" s="276"/>
      <c r="P87" s="276"/>
      <c r="Q87" s="276"/>
      <c r="R87" s="276"/>
      <c r="S87" s="276"/>
      <c r="T87" s="276"/>
      <c r="U87" s="276"/>
      <c r="V87" s="276"/>
      <c r="W87" s="276"/>
      <c r="X87" s="276"/>
      <c r="Y87" s="276"/>
      <c r="Z87" s="276"/>
      <c r="AA87" s="276"/>
      <c r="AB87" s="276"/>
      <c r="AC87" s="276"/>
      <c r="AD87" s="276"/>
      <c r="AE87" s="276"/>
      <c r="AF87" s="276"/>
    </row>
    <row r="88" hidden="1">
      <c r="E88" s="276"/>
      <c r="F88" s="276"/>
      <c r="G88" s="276"/>
      <c r="H88" s="276"/>
      <c r="I88" s="276"/>
      <c r="J88" s="276"/>
      <c r="K88" s="276"/>
      <c r="L88" s="276"/>
      <c r="M88" s="276"/>
      <c r="N88" s="276"/>
      <c r="O88" s="276"/>
      <c r="P88" s="276"/>
      <c r="Q88" s="276"/>
      <c r="R88" s="276"/>
      <c r="S88" s="276"/>
      <c r="T88" s="276"/>
      <c r="U88" s="276"/>
      <c r="V88" s="276"/>
      <c r="W88" s="276"/>
      <c r="X88" s="276"/>
      <c r="Y88" s="276"/>
      <c r="Z88" s="276"/>
      <c r="AA88" s="276"/>
      <c r="AB88" s="276"/>
      <c r="AC88" s="276"/>
      <c r="AD88" s="276"/>
      <c r="AE88" s="276"/>
      <c r="AF88" s="276"/>
    </row>
    <row r="89" hidden="1">
      <c r="E89" s="276"/>
      <c r="F89" s="276"/>
      <c r="G89" s="276"/>
      <c r="H89" s="276"/>
      <c r="I89" s="276"/>
      <c r="J89" s="276"/>
      <c r="K89" s="276"/>
      <c r="L89" s="276"/>
      <c r="M89" s="276"/>
      <c r="N89" s="276"/>
      <c r="O89" s="276"/>
      <c r="P89" s="276"/>
      <c r="Q89" s="276"/>
      <c r="R89" s="276"/>
      <c r="S89" s="276"/>
      <c r="T89" s="276"/>
      <c r="U89" s="276"/>
      <c r="V89" s="276"/>
      <c r="W89" s="276"/>
      <c r="X89" s="276"/>
      <c r="Y89" s="276"/>
      <c r="Z89" s="276"/>
      <c r="AA89" s="276"/>
      <c r="AB89" s="276"/>
      <c r="AC89" s="276"/>
      <c r="AD89" s="276"/>
      <c r="AE89" s="276"/>
      <c r="AF89" s="276"/>
    </row>
    <row r="90" hidden="1">
      <c r="E90" s="276"/>
      <c r="F90" s="276"/>
      <c r="G90" s="276"/>
      <c r="H90" s="276"/>
      <c r="I90" s="276"/>
      <c r="J90" s="276"/>
      <c r="K90" s="276"/>
      <c r="L90" s="276"/>
      <c r="M90" s="276"/>
      <c r="N90" s="276"/>
      <c r="O90" s="276"/>
      <c r="P90" s="276"/>
      <c r="Q90" s="276"/>
      <c r="R90" s="276"/>
      <c r="S90" s="276"/>
      <c r="T90" s="276"/>
      <c r="U90" s="276"/>
      <c r="V90" s="276"/>
      <c r="W90" s="276"/>
      <c r="X90" s="276"/>
      <c r="Y90" s="276"/>
      <c r="Z90" s="276"/>
      <c r="AA90" s="276"/>
      <c r="AB90" s="276"/>
      <c r="AC90" s="276"/>
      <c r="AD90" s="276"/>
      <c r="AE90" s="276"/>
      <c r="AF90" s="276"/>
    </row>
    <row r="91" hidden="1">
      <c r="E91" s="276"/>
      <c r="F91" s="276"/>
      <c r="G91" s="276"/>
      <c r="H91" s="276"/>
      <c r="I91" s="276"/>
      <c r="J91" s="276"/>
      <c r="K91" s="276"/>
      <c r="L91" s="276"/>
      <c r="M91" s="276"/>
      <c r="N91" s="276"/>
      <c r="O91" s="276"/>
      <c r="P91" s="276"/>
      <c r="Q91" s="276"/>
      <c r="R91" s="276"/>
      <c r="S91" s="276"/>
      <c r="T91" s="276"/>
      <c r="U91" s="276"/>
      <c r="V91" s="276"/>
      <c r="W91" s="276"/>
      <c r="X91" s="276"/>
      <c r="Y91" s="276"/>
      <c r="Z91" s="276"/>
      <c r="AA91" s="276"/>
      <c r="AB91" s="276"/>
      <c r="AC91" s="276"/>
      <c r="AD91" s="276"/>
      <c r="AE91" s="276"/>
      <c r="AF91" s="276"/>
    </row>
    <row r="92" hidden="1">
      <c r="E92" s="276"/>
      <c r="F92" s="276"/>
      <c r="G92" s="276"/>
      <c r="H92" s="276"/>
      <c r="I92" s="276"/>
      <c r="J92" s="276"/>
      <c r="K92" s="276"/>
      <c r="L92" s="276"/>
      <c r="M92" s="276"/>
      <c r="N92" s="276"/>
      <c r="O92" s="276"/>
      <c r="P92" s="276"/>
      <c r="Q92" s="276"/>
      <c r="R92" s="276"/>
      <c r="S92" s="276"/>
      <c r="T92" s="276"/>
      <c r="U92" s="276"/>
      <c r="V92" s="276"/>
      <c r="W92" s="276"/>
      <c r="X92" s="276"/>
      <c r="Y92" s="276"/>
      <c r="Z92" s="276"/>
      <c r="AA92" s="276"/>
      <c r="AB92" s="276"/>
      <c r="AC92" s="276"/>
      <c r="AD92" s="276"/>
      <c r="AE92" s="276"/>
      <c r="AF92" s="276"/>
    </row>
    <row r="93" hidden="1">
      <c r="E93" s="276"/>
      <c r="F93" s="276"/>
      <c r="G93" s="276"/>
      <c r="H93" s="276"/>
      <c r="I93" s="276"/>
      <c r="J93" s="276"/>
      <c r="K93" s="276"/>
      <c r="L93" s="276"/>
      <c r="M93" s="276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  <c r="AA93" s="276"/>
      <c r="AB93" s="276"/>
      <c r="AC93" s="276"/>
      <c r="AD93" s="276"/>
      <c r="AE93" s="276"/>
      <c r="AF93" s="276"/>
    </row>
    <row r="94" hidden="1"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6"/>
      <c r="P94" s="276"/>
      <c r="Q94" s="276"/>
      <c r="R94" s="276"/>
      <c r="S94" s="276"/>
      <c r="T94" s="276"/>
      <c r="U94" s="276"/>
      <c r="V94" s="276"/>
      <c r="W94" s="276"/>
      <c r="X94" s="276"/>
      <c r="Y94" s="276"/>
      <c r="Z94" s="276"/>
      <c r="AA94" s="276"/>
      <c r="AB94" s="276"/>
      <c r="AC94" s="276"/>
      <c r="AD94" s="276"/>
      <c r="AE94" s="276"/>
      <c r="AF94" s="276"/>
    </row>
    <row r="95" hidden="1">
      <c r="E95" s="276"/>
      <c r="F95" s="276"/>
      <c r="G95" s="276"/>
      <c r="H95" s="276"/>
      <c r="I95" s="276"/>
      <c r="J95" s="276"/>
      <c r="K95" s="276"/>
      <c r="L95" s="276"/>
      <c r="M95" s="276"/>
      <c r="N95" s="276"/>
      <c r="O95" s="276"/>
      <c r="P95" s="276"/>
      <c r="Q95" s="276"/>
      <c r="R95" s="276"/>
      <c r="S95" s="276"/>
      <c r="T95" s="276"/>
      <c r="U95" s="276"/>
      <c r="V95" s="276"/>
      <c r="W95" s="276"/>
      <c r="X95" s="276"/>
      <c r="Y95" s="276"/>
      <c r="Z95" s="276"/>
      <c r="AA95" s="276"/>
      <c r="AB95" s="276"/>
      <c r="AC95" s="276"/>
      <c r="AD95" s="276"/>
      <c r="AE95" s="276"/>
      <c r="AF95" s="276"/>
    </row>
    <row r="96" hidden="1">
      <c r="E96" s="276"/>
      <c r="F96" s="276"/>
      <c r="G96" s="276"/>
      <c r="H96" s="276"/>
      <c r="I96" s="276"/>
      <c r="J96" s="276"/>
      <c r="K96" s="276"/>
      <c r="L96" s="276"/>
      <c r="M96" s="276"/>
      <c r="N96" s="276"/>
      <c r="O96" s="276"/>
      <c r="P96" s="276"/>
      <c r="Q96" s="276"/>
      <c r="R96" s="276"/>
      <c r="S96" s="276"/>
      <c r="T96" s="276"/>
      <c r="U96" s="276"/>
      <c r="V96" s="276"/>
      <c r="W96" s="276"/>
      <c r="X96" s="276"/>
      <c r="Y96" s="276"/>
      <c r="Z96" s="276"/>
      <c r="AA96" s="276"/>
      <c r="AB96" s="276"/>
      <c r="AC96" s="276"/>
      <c r="AD96" s="276"/>
      <c r="AE96" s="276"/>
      <c r="AF96" s="276"/>
    </row>
    <row r="97" hidden="1"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</row>
    <row r="98" hidden="1">
      <c r="E98" s="276"/>
      <c r="F98" s="276"/>
      <c r="G98" s="276"/>
      <c r="H98" s="276"/>
      <c r="I98" s="276"/>
      <c r="J98" s="276"/>
      <c r="K98" s="276"/>
      <c r="L98" s="276"/>
      <c r="M98" s="276"/>
      <c r="N98" s="276"/>
      <c r="O98" s="276"/>
      <c r="P98" s="276"/>
      <c r="Q98" s="276"/>
      <c r="R98" s="276"/>
      <c r="S98" s="276"/>
      <c r="T98" s="276"/>
      <c r="U98" s="276"/>
      <c r="V98" s="276"/>
      <c r="W98" s="276"/>
      <c r="X98" s="276"/>
      <c r="Y98" s="276"/>
      <c r="Z98" s="276"/>
      <c r="AA98" s="276"/>
      <c r="AB98" s="276"/>
      <c r="AC98" s="276"/>
      <c r="AD98" s="276"/>
      <c r="AE98" s="276"/>
      <c r="AF98" s="276"/>
    </row>
    <row r="99" hidden="1">
      <c r="E99" s="276"/>
      <c r="F99" s="276"/>
      <c r="G99" s="276"/>
      <c r="H99" s="276"/>
      <c r="I99" s="276"/>
      <c r="J99" s="276"/>
      <c r="K99" s="276"/>
      <c r="L99" s="276"/>
      <c r="M99" s="276"/>
      <c r="N99" s="276"/>
      <c r="O99" s="276"/>
      <c r="P99" s="276"/>
      <c r="Q99" s="276"/>
      <c r="R99" s="276"/>
      <c r="S99" s="276"/>
      <c r="T99" s="276"/>
      <c r="U99" s="276"/>
      <c r="V99" s="276"/>
      <c r="W99" s="276"/>
      <c r="X99" s="276"/>
      <c r="Y99" s="276"/>
      <c r="Z99" s="276"/>
      <c r="AA99" s="276"/>
      <c r="AB99" s="276"/>
      <c r="AC99" s="276"/>
      <c r="AD99" s="276"/>
      <c r="AE99" s="276"/>
      <c r="AF99" s="276"/>
    </row>
    <row r="100" hidden="1">
      <c r="E100" s="276"/>
      <c r="F100" s="276"/>
      <c r="G100" s="276"/>
      <c r="H100" s="276"/>
      <c r="I100" s="276"/>
      <c r="J100" s="276"/>
      <c r="K100" s="276"/>
      <c r="L100" s="276"/>
      <c r="M100" s="276"/>
      <c r="N100" s="276"/>
      <c r="O100" s="276"/>
      <c r="P100" s="276"/>
      <c r="Q100" s="276"/>
      <c r="R100" s="276"/>
      <c r="S100" s="276"/>
      <c r="T100" s="276"/>
      <c r="U100" s="276"/>
      <c r="V100" s="276"/>
      <c r="W100" s="276"/>
      <c r="X100" s="276"/>
      <c r="Y100" s="276"/>
      <c r="Z100" s="276"/>
      <c r="AA100" s="276"/>
      <c r="AB100" s="276"/>
      <c r="AC100" s="276"/>
      <c r="AD100" s="276"/>
      <c r="AE100" s="276"/>
      <c r="AF100" s="276"/>
    </row>
    <row r="101" hidden="1">
      <c r="E101" s="276"/>
      <c r="F101" s="276"/>
      <c r="G101" s="276"/>
      <c r="H101" s="276"/>
      <c r="I101" s="276"/>
      <c r="J101" s="276"/>
      <c r="K101" s="276"/>
      <c r="L101" s="276"/>
      <c r="M101" s="276"/>
      <c r="N101" s="276"/>
      <c r="O101" s="276"/>
      <c r="P101" s="276"/>
      <c r="Q101" s="276"/>
      <c r="R101" s="276"/>
      <c r="S101" s="276"/>
      <c r="T101" s="276"/>
      <c r="U101" s="276"/>
      <c r="V101" s="276"/>
      <c r="W101" s="276"/>
      <c r="X101" s="276"/>
      <c r="Y101" s="276"/>
      <c r="Z101" s="276"/>
      <c r="AA101" s="276"/>
      <c r="AB101" s="276"/>
      <c r="AC101" s="276"/>
      <c r="AD101" s="276"/>
      <c r="AE101" s="276"/>
      <c r="AF101" s="276"/>
    </row>
    <row r="102" hidden="1">
      <c r="E102" s="276"/>
      <c r="F102" s="276"/>
      <c r="G102" s="276"/>
      <c r="H102" s="276"/>
      <c r="I102" s="276"/>
      <c r="J102" s="276"/>
      <c r="K102" s="276"/>
      <c r="L102" s="276"/>
      <c r="M102" s="276"/>
      <c r="N102" s="276"/>
      <c r="O102" s="276"/>
      <c r="P102" s="276"/>
      <c r="Q102" s="276"/>
      <c r="R102" s="276"/>
      <c r="S102" s="276"/>
      <c r="T102" s="276"/>
      <c r="U102" s="276"/>
      <c r="V102" s="276"/>
      <c r="W102" s="276"/>
      <c r="X102" s="276"/>
      <c r="Y102" s="276"/>
      <c r="Z102" s="276"/>
      <c r="AA102" s="276"/>
      <c r="AB102" s="276"/>
      <c r="AC102" s="276"/>
      <c r="AD102" s="276"/>
      <c r="AE102" s="276"/>
      <c r="AF102" s="276"/>
    </row>
    <row r="103" hidden="1"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6"/>
      <c r="P103" s="276"/>
      <c r="Q103" s="276"/>
      <c r="R103" s="276"/>
      <c r="S103" s="276"/>
      <c r="T103" s="276"/>
      <c r="U103" s="276"/>
      <c r="V103" s="276"/>
      <c r="W103" s="276"/>
      <c r="X103" s="276"/>
      <c r="Y103" s="276"/>
      <c r="Z103" s="276"/>
      <c r="AA103" s="276"/>
      <c r="AB103" s="276"/>
      <c r="AC103" s="276"/>
      <c r="AD103" s="276"/>
      <c r="AE103" s="276"/>
      <c r="AF103" s="276"/>
    </row>
    <row r="104" hidden="1">
      <c r="E104" s="276"/>
      <c r="F104" s="276"/>
      <c r="G104" s="276"/>
      <c r="H104" s="276"/>
      <c r="I104" s="276"/>
      <c r="J104" s="276"/>
      <c r="K104" s="276"/>
      <c r="L104" s="276"/>
      <c r="M104" s="276"/>
      <c r="N104" s="276"/>
      <c r="O104" s="276"/>
      <c r="P104" s="276"/>
      <c r="Q104" s="276"/>
      <c r="R104" s="276"/>
      <c r="S104" s="276"/>
      <c r="T104" s="276"/>
      <c r="U104" s="276"/>
      <c r="V104" s="276"/>
      <c r="W104" s="276"/>
      <c r="X104" s="276"/>
      <c r="Y104" s="276"/>
      <c r="Z104" s="276"/>
      <c r="AA104" s="276"/>
      <c r="AB104" s="276"/>
      <c r="AC104" s="276"/>
      <c r="AD104" s="276"/>
      <c r="AE104" s="276"/>
      <c r="AF104" s="276"/>
    </row>
    <row r="105" hidden="1"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6"/>
      <c r="P105" s="276"/>
      <c r="Q105" s="276"/>
      <c r="R105" s="276"/>
      <c r="S105" s="276"/>
      <c r="T105" s="276"/>
      <c r="U105" s="276"/>
      <c r="V105" s="276"/>
      <c r="W105" s="276"/>
      <c r="X105" s="276"/>
      <c r="Y105" s="276"/>
      <c r="Z105" s="276"/>
      <c r="AA105" s="276"/>
      <c r="AB105" s="276"/>
      <c r="AC105" s="276"/>
      <c r="AD105" s="276"/>
      <c r="AE105" s="276"/>
      <c r="AF105" s="276"/>
    </row>
    <row r="106" hidden="1"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  <c r="X106" s="276"/>
      <c r="Y106" s="276"/>
      <c r="Z106" s="276"/>
      <c r="AA106" s="276"/>
      <c r="AB106" s="276"/>
      <c r="AC106" s="276"/>
      <c r="AD106" s="276"/>
      <c r="AE106" s="276"/>
      <c r="AF106" s="276"/>
    </row>
    <row r="107" hidden="1">
      <c r="E107" s="276"/>
      <c r="F107" s="276"/>
      <c r="G107" s="276"/>
      <c r="H107" s="276"/>
      <c r="I107" s="276"/>
      <c r="J107" s="276"/>
      <c r="K107" s="276"/>
      <c r="L107" s="276"/>
      <c r="M107" s="276"/>
      <c r="N107" s="276"/>
      <c r="O107" s="276"/>
      <c r="P107" s="276"/>
      <c r="Q107" s="276"/>
      <c r="R107" s="276"/>
      <c r="S107" s="276"/>
      <c r="T107" s="276"/>
      <c r="U107" s="276"/>
      <c r="V107" s="276"/>
      <c r="W107" s="276"/>
      <c r="X107" s="276"/>
      <c r="Y107" s="276"/>
      <c r="Z107" s="276"/>
      <c r="AA107" s="276"/>
      <c r="AB107" s="276"/>
      <c r="AC107" s="276"/>
      <c r="AD107" s="276"/>
      <c r="AE107" s="276"/>
      <c r="AF107" s="276"/>
    </row>
    <row r="108" hidden="1">
      <c r="E108" s="276"/>
      <c r="F108" s="276"/>
      <c r="G108" s="276"/>
      <c r="H108" s="276"/>
      <c r="I108" s="276"/>
      <c r="J108" s="276"/>
      <c r="K108" s="276"/>
      <c r="L108" s="276"/>
      <c r="M108" s="276"/>
      <c r="N108" s="276"/>
      <c r="O108" s="276"/>
      <c r="P108" s="276"/>
      <c r="Q108" s="276"/>
      <c r="R108" s="276"/>
      <c r="S108" s="276"/>
      <c r="T108" s="276"/>
      <c r="U108" s="276"/>
      <c r="V108" s="276"/>
      <c r="W108" s="276"/>
      <c r="X108" s="276"/>
      <c r="Y108" s="276"/>
      <c r="Z108" s="276"/>
      <c r="AA108" s="276"/>
      <c r="AB108" s="276"/>
      <c r="AC108" s="276"/>
      <c r="AD108" s="276"/>
      <c r="AE108" s="276"/>
      <c r="AF108" s="276"/>
    </row>
    <row r="109" hidden="1">
      <c r="E109" s="320"/>
      <c r="F109" s="276"/>
      <c r="G109" s="276"/>
      <c r="H109" s="276"/>
      <c r="I109" s="276"/>
      <c r="J109" s="276"/>
      <c r="K109" s="276"/>
      <c r="L109" s="276"/>
      <c r="M109" s="276"/>
      <c r="N109" s="276"/>
      <c r="O109" s="276"/>
      <c r="P109" s="276"/>
      <c r="Q109" s="276"/>
      <c r="R109" s="276"/>
      <c r="S109" s="276"/>
      <c r="T109" s="276"/>
      <c r="U109" s="276"/>
      <c r="V109" s="276"/>
      <c r="W109" s="276"/>
      <c r="X109" s="276"/>
      <c r="Y109" s="276"/>
      <c r="Z109" s="276"/>
      <c r="AA109" s="276"/>
      <c r="AB109" s="276"/>
      <c r="AC109" s="276"/>
      <c r="AD109" s="276"/>
      <c r="AE109" s="276"/>
      <c r="AF109" s="276"/>
    </row>
    <row r="110" hidden="1">
      <c r="E110" s="320"/>
      <c r="F110" s="276"/>
      <c r="G110" s="276"/>
      <c r="H110" s="276"/>
      <c r="I110" s="276"/>
      <c r="J110" s="276"/>
      <c r="K110" s="276"/>
      <c r="L110" s="276"/>
      <c r="M110" s="276"/>
      <c r="N110" s="276"/>
      <c r="O110" s="276"/>
      <c r="P110" s="276"/>
      <c r="Q110" s="276"/>
      <c r="R110" s="276"/>
      <c r="S110" s="276"/>
      <c r="T110" s="276"/>
      <c r="U110" s="276"/>
      <c r="V110" s="276"/>
      <c r="W110" s="276"/>
      <c r="X110" s="276"/>
      <c r="Y110" s="276"/>
      <c r="Z110" s="276"/>
      <c r="AA110" s="276"/>
      <c r="AB110" s="276"/>
      <c r="AC110" s="276"/>
      <c r="AD110" s="276"/>
      <c r="AE110" s="276"/>
      <c r="AF110" s="276"/>
    </row>
    <row r="111" hidden="1">
      <c r="E111" s="320"/>
      <c r="F111" s="276"/>
      <c r="G111" s="276"/>
      <c r="H111" s="276"/>
      <c r="I111" s="276"/>
      <c r="J111" s="276"/>
      <c r="K111" s="276"/>
      <c r="L111" s="276"/>
      <c r="M111" s="276"/>
      <c r="N111" s="276"/>
      <c r="O111" s="276"/>
      <c r="P111" s="276"/>
      <c r="Q111" s="276"/>
      <c r="R111" s="276"/>
      <c r="S111" s="276"/>
      <c r="T111" s="276"/>
      <c r="U111" s="276"/>
      <c r="V111" s="276"/>
      <c r="W111" s="276"/>
      <c r="X111" s="276"/>
      <c r="Y111" s="276"/>
      <c r="Z111" s="276"/>
      <c r="AA111" s="276"/>
      <c r="AB111" s="276"/>
      <c r="AC111" s="276"/>
      <c r="AD111" s="276"/>
      <c r="AE111" s="276"/>
      <c r="AF111" s="276"/>
    </row>
    <row r="112" hidden="1">
      <c r="E112" s="320"/>
      <c r="F112" s="276"/>
      <c r="G112" s="276"/>
      <c r="H112" s="276"/>
      <c r="I112" s="276"/>
      <c r="J112" s="276"/>
      <c r="K112" s="276"/>
      <c r="L112" s="276"/>
      <c r="M112" s="276"/>
      <c r="N112" s="276"/>
      <c r="O112" s="276"/>
      <c r="P112" s="276"/>
      <c r="Q112" s="276"/>
      <c r="R112" s="276"/>
      <c r="S112" s="276"/>
      <c r="T112" s="276"/>
      <c r="U112" s="276"/>
      <c r="V112" s="276"/>
      <c r="W112" s="276"/>
      <c r="X112" s="276"/>
      <c r="Y112" s="276"/>
      <c r="Z112" s="276"/>
      <c r="AA112" s="276"/>
      <c r="AB112" s="276"/>
      <c r="AC112" s="276"/>
      <c r="AD112" s="276"/>
      <c r="AE112" s="276"/>
      <c r="AF112" s="276"/>
    </row>
    <row r="113" hidden="1">
      <c r="E113" s="320"/>
      <c r="F113" s="276"/>
      <c r="G113" s="276"/>
      <c r="H113" s="276"/>
      <c r="I113" s="276"/>
      <c r="J113" s="276"/>
      <c r="K113" s="276"/>
      <c r="L113" s="276"/>
      <c r="M113" s="276"/>
      <c r="N113" s="276"/>
      <c r="O113" s="276"/>
      <c r="P113" s="276"/>
      <c r="Q113" s="276"/>
      <c r="R113" s="276"/>
      <c r="S113" s="276"/>
      <c r="T113" s="276"/>
      <c r="U113" s="276"/>
      <c r="V113" s="276"/>
      <c r="W113" s="276"/>
      <c r="X113" s="276"/>
      <c r="Y113" s="276"/>
      <c r="Z113" s="276"/>
      <c r="AA113" s="276"/>
      <c r="AB113" s="276"/>
      <c r="AC113" s="276"/>
      <c r="AD113" s="276"/>
      <c r="AE113" s="276"/>
      <c r="AF113" s="276"/>
    </row>
    <row r="114" hidden="1">
      <c r="E114" s="320"/>
      <c r="F114" s="276"/>
      <c r="G114" s="276"/>
      <c r="H114" s="276"/>
      <c r="I114" s="276"/>
      <c r="J114" s="276"/>
      <c r="K114" s="276"/>
      <c r="L114" s="276"/>
      <c r="M114" s="276"/>
      <c r="N114" s="276"/>
      <c r="O114" s="276"/>
      <c r="P114" s="276"/>
      <c r="Q114" s="276"/>
      <c r="R114" s="276"/>
      <c r="S114" s="276"/>
      <c r="T114" s="276"/>
      <c r="U114" s="276"/>
      <c r="V114" s="276"/>
      <c r="W114" s="276"/>
      <c r="X114" s="276"/>
      <c r="Y114" s="276"/>
      <c r="Z114" s="276"/>
      <c r="AA114" s="276"/>
      <c r="AB114" s="276"/>
      <c r="AC114" s="276"/>
      <c r="AD114" s="276"/>
      <c r="AE114" s="276"/>
      <c r="AF114" s="276"/>
    </row>
    <row r="115" hidden="1">
      <c r="E115" s="320"/>
      <c r="F115" s="276"/>
      <c r="G115" s="276"/>
      <c r="H115" s="276"/>
      <c r="I115" s="276"/>
      <c r="J115" s="276"/>
      <c r="K115" s="276"/>
      <c r="L115" s="276"/>
      <c r="M115" s="276"/>
      <c r="N115" s="276"/>
      <c r="O115" s="276"/>
      <c r="P115" s="276"/>
      <c r="Q115" s="276"/>
      <c r="R115" s="276"/>
      <c r="S115" s="276"/>
      <c r="T115" s="276"/>
      <c r="U115" s="276"/>
      <c r="V115" s="276"/>
      <c r="W115" s="276"/>
      <c r="X115" s="276"/>
      <c r="Y115" s="276"/>
      <c r="Z115" s="276"/>
      <c r="AA115" s="276"/>
      <c r="AB115" s="276"/>
      <c r="AC115" s="276"/>
      <c r="AD115" s="276"/>
      <c r="AE115" s="276"/>
      <c r="AF115" s="276"/>
    </row>
    <row r="116" hidden="1">
      <c r="E116" s="320"/>
      <c r="F116" s="276"/>
      <c r="G116" s="276"/>
      <c r="H116" s="276"/>
      <c r="I116" s="276"/>
      <c r="J116" s="276"/>
      <c r="K116" s="276"/>
      <c r="L116" s="276"/>
      <c r="M116" s="276"/>
      <c r="N116" s="276"/>
      <c r="O116" s="276"/>
      <c r="P116" s="276"/>
      <c r="Q116" s="276"/>
      <c r="R116" s="276"/>
      <c r="S116" s="276"/>
      <c r="T116" s="276"/>
      <c r="U116" s="276"/>
      <c r="V116" s="276"/>
      <c r="W116" s="276"/>
      <c r="X116" s="276"/>
      <c r="Y116" s="276"/>
      <c r="Z116" s="276"/>
      <c r="AA116" s="276"/>
      <c r="AB116" s="276"/>
      <c r="AC116" s="276"/>
      <c r="AD116" s="276"/>
      <c r="AE116" s="276"/>
      <c r="AF116" s="276"/>
    </row>
    <row r="117" hidden="1">
      <c r="E117" s="320"/>
      <c r="F117" s="276"/>
      <c r="G117" s="276"/>
      <c r="H117" s="276"/>
      <c r="I117" s="276"/>
      <c r="J117" s="276"/>
      <c r="K117" s="276"/>
      <c r="L117" s="276"/>
      <c r="M117" s="276"/>
      <c r="N117" s="276"/>
      <c r="O117" s="276"/>
      <c r="P117" s="276"/>
      <c r="Q117" s="276"/>
      <c r="R117" s="276"/>
      <c r="S117" s="276"/>
      <c r="T117" s="276"/>
      <c r="U117" s="276"/>
      <c r="V117" s="276"/>
      <c r="W117" s="276"/>
      <c r="X117" s="276"/>
      <c r="Y117" s="276"/>
      <c r="Z117" s="276"/>
      <c r="AA117" s="276"/>
      <c r="AB117" s="276"/>
      <c r="AC117" s="276"/>
      <c r="AD117" s="276"/>
      <c r="AE117" s="276"/>
      <c r="AF117" s="276"/>
    </row>
    <row r="118" hidden="1">
      <c r="E118" s="320"/>
      <c r="F118" s="276"/>
      <c r="G118" s="276"/>
      <c r="H118" s="276"/>
      <c r="I118" s="276"/>
      <c r="J118" s="276"/>
      <c r="K118" s="276"/>
      <c r="L118" s="276"/>
      <c r="M118" s="276"/>
      <c r="N118" s="276"/>
      <c r="O118" s="276"/>
      <c r="P118" s="276"/>
      <c r="Q118" s="276"/>
      <c r="R118" s="276"/>
      <c r="S118" s="276"/>
      <c r="T118" s="276"/>
      <c r="U118" s="276"/>
      <c r="V118" s="276"/>
      <c r="W118" s="276"/>
      <c r="X118" s="276"/>
      <c r="Y118" s="276"/>
      <c r="Z118" s="276"/>
      <c r="AA118" s="276"/>
      <c r="AB118" s="276"/>
      <c r="AC118" s="276"/>
      <c r="AD118" s="276"/>
      <c r="AE118" s="276"/>
      <c r="AF118" s="276"/>
    </row>
    <row r="119" hidden="1">
      <c r="E119" s="320"/>
      <c r="F119" s="276"/>
      <c r="G119" s="276"/>
      <c r="H119" s="276"/>
      <c r="I119" s="276"/>
      <c r="J119" s="276"/>
      <c r="K119" s="276"/>
      <c r="L119" s="276"/>
      <c r="M119" s="276"/>
      <c r="N119" s="276"/>
      <c r="O119" s="276"/>
      <c r="P119" s="276"/>
      <c r="Q119" s="276"/>
      <c r="R119" s="276"/>
      <c r="S119" s="276"/>
      <c r="T119" s="276"/>
      <c r="U119" s="276"/>
      <c r="V119" s="276"/>
      <c r="W119" s="276"/>
      <c r="X119" s="276"/>
      <c r="Y119" s="276"/>
      <c r="Z119" s="276"/>
      <c r="AA119" s="276"/>
      <c r="AB119" s="276"/>
      <c r="AC119" s="276"/>
      <c r="AD119" s="276"/>
      <c r="AE119" s="276"/>
      <c r="AF119" s="276"/>
    </row>
    <row r="120" hidden="1">
      <c r="E120" s="320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6"/>
      <c r="T120" s="276"/>
      <c r="U120" s="276"/>
      <c r="V120" s="276"/>
      <c r="W120" s="276"/>
      <c r="X120" s="276"/>
      <c r="Y120" s="276"/>
      <c r="Z120" s="276"/>
      <c r="AA120" s="276"/>
      <c r="AB120" s="276"/>
      <c r="AC120" s="276"/>
      <c r="AD120" s="276"/>
      <c r="AE120" s="276"/>
      <c r="AF120" s="276"/>
    </row>
    <row r="121" hidden="1">
      <c r="E121" s="320"/>
      <c r="F121" s="276"/>
      <c r="G121" s="276"/>
      <c r="H121" s="276"/>
      <c r="I121" s="276"/>
      <c r="J121" s="276"/>
      <c r="K121" s="276"/>
      <c r="L121" s="276"/>
      <c r="M121" s="276"/>
      <c r="N121" s="276"/>
      <c r="O121" s="276"/>
      <c r="P121" s="276"/>
      <c r="Q121" s="276"/>
      <c r="R121" s="276"/>
      <c r="S121" s="276"/>
      <c r="T121" s="276"/>
      <c r="U121" s="276"/>
      <c r="V121" s="276"/>
      <c r="W121" s="276"/>
      <c r="X121" s="276"/>
      <c r="Y121" s="276"/>
      <c r="Z121" s="276"/>
      <c r="AA121" s="276"/>
      <c r="AB121" s="276"/>
      <c r="AC121" s="276"/>
      <c r="AD121" s="276"/>
      <c r="AE121" s="276"/>
      <c r="AF121" s="276"/>
    </row>
    <row r="122" hidden="1">
      <c r="E122" s="320"/>
      <c r="F122" s="276"/>
      <c r="G122" s="276"/>
      <c r="H122" s="276"/>
      <c r="I122" s="276"/>
      <c r="J122" s="276"/>
      <c r="K122" s="276"/>
      <c r="L122" s="276"/>
      <c r="M122" s="276"/>
      <c r="N122" s="276"/>
      <c r="O122" s="276"/>
      <c r="P122" s="276"/>
      <c r="Q122" s="276"/>
      <c r="R122" s="276"/>
      <c r="S122" s="276"/>
      <c r="T122" s="276"/>
      <c r="U122" s="276"/>
      <c r="V122" s="276"/>
      <c r="W122" s="276"/>
      <c r="X122" s="276"/>
      <c r="Y122" s="276"/>
      <c r="Z122" s="276"/>
      <c r="AA122" s="276"/>
      <c r="AB122" s="276"/>
      <c r="AC122" s="276"/>
      <c r="AD122" s="276"/>
      <c r="AE122" s="276"/>
      <c r="AF122" s="276"/>
    </row>
    <row r="123" hidden="1">
      <c r="E123" s="320"/>
      <c r="F123" s="276"/>
      <c r="G123" s="276"/>
      <c r="H123" s="276"/>
      <c r="I123" s="276"/>
      <c r="J123" s="276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6"/>
      <c r="X123" s="276"/>
      <c r="Y123" s="276"/>
      <c r="Z123" s="276"/>
      <c r="AA123" s="276"/>
      <c r="AB123" s="276"/>
      <c r="AC123" s="276"/>
      <c r="AD123" s="276"/>
      <c r="AE123" s="276"/>
      <c r="AF123" s="276"/>
    </row>
    <row r="124" hidden="1">
      <c r="E124" s="320"/>
      <c r="F124" s="276"/>
      <c r="G124" s="276"/>
      <c r="H124" s="276"/>
      <c r="I124" s="276"/>
      <c r="J124" s="276"/>
      <c r="K124" s="276"/>
      <c r="L124" s="276"/>
      <c r="M124" s="276"/>
      <c r="N124" s="276"/>
      <c r="O124" s="276"/>
      <c r="P124" s="276"/>
      <c r="Q124" s="276"/>
      <c r="R124" s="276"/>
      <c r="S124" s="276"/>
      <c r="T124" s="276"/>
      <c r="U124" s="276"/>
      <c r="V124" s="276"/>
      <c r="W124" s="276"/>
      <c r="X124" s="276"/>
      <c r="Y124" s="276"/>
      <c r="Z124" s="276"/>
      <c r="AA124" s="276"/>
      <c r="AB124" s="276"/>
      <c r="AC124" s="276"/>
      <c r="AD124" s="276"/>
      <c r="AE124" s="276"/>
      <c r="AF124" s="276"/>
    </row>
    <row r="125" hidden="1">
      <c r="E125" s="320"/>
      <c r="F125" s="276"/>
      <c r="G125" s="276"/>
      <c r="H125" s="276"/>
      <c r="I125" s="276"/>
      <c r="J125" s="276"/>
      <c r="K125" s="276"/>
      <c r="L125" s="276"/>
      <c r="M125" s="276"/>
      <c r="N125" s="276"/>
      <c r="O125" s="276"/>
      <c r="P125" s="276"/>
      <c r="Q125" s="276"/>
      <c r="R125" s="276"/>
      <c r="S125" s="276"/>
      <c r="T125" s="276"/>
      <c r="U125" s="276"/>
      <c r="V125" s="276"/>
      <c r="W125" s="276"/>
      <c r="X125" s="276"/>
      <c r="Y125" s="276"/>
      <c r="Z125" s="276"/>
      <c r="AA125" s="276"/>
      <c r="AB125" s="276"/>
      <c r="AC125" s="276"/>
      <c r="AD125" s="276"/>
      <c r="AE125" s="276"/>
      <c r="AF125" s="276"/>
    </row>
    <row r="126" hidden="1">
      <c r="E126" s="320"/>
      <c r="F126" s="276"/>
      <c r="G126" s="276"/>
      <c r="H126" s="276"/>
      <c r="I126" s="276"/>
      <c r="J126" s="276"/>
      <c r="K126" s="276"/>
      <c r="L126" s="276"/>
      <c r="M126" s="276"/>
      <c r="N126" s="276"/>
      <c r="O126" s="276"/>
      <c r="P126" s="276"/>
      <c r="Q126" s="276"/>
      <c r="R126" s="276"/>
      <c r="S126" s="276"/>
      <c r="T126" s="276"/>
      <c r="U126" s="276"/>
      <c r="V126" s="276"/>
      <c r="W126" s="276"/>
      <c r="X126" s="276"/>
      <c r="Y126" s="276"/>
      <c r="Z126" s="276"/>
      <c r="AA126" s="276"/>
      <c r="AB126" s="276"/>
      <c r="AC126" s="276"/>
      <c r="AD126" s="276"/>
      <c r="AE126" s="276"/>
      <c r="AF126" s="276"/>
    </row>
    <row r="127" hidden="1">
      <c r="E127" s="320"/>
      <c r="F127" s="276"/>
      <c r="G127" s="276"/>
      <c r="H127" s="276"/>
      <c r="I127" s="276"/>
      <c r="J127" s="276"/>
      <c r="K127" s="276"/>
      <c r="L127" s="276"/>
      <c r="M127" s="276"/>
      <c r="N127" s="276"/>
      <c r="O127" s="276"/>
      <c r="P127" s="276"/>
      <c r="Q127" s="276"/>
      <c r="R127" s="276"/>
      <c r="S127" s="276"/>
      <c r="T127" s="276"/>
      <c r="U127" s="276"/>
      <c r="V127" s="276"/>
      <c r="W127" s="276"/>
      <c r="X127" s="276"/>
      <c r="Y127" s="276"/>
      <c r="Z127" s="276"/>
      <c r="AA127" s="276"/>
      <c r="AB127" s="276"/>
      <c r="AC127" s="276"/>
      <c r="AD127" s="276"/>
      <c r="AE127" s="276"/>
      <c r="AF127" s="276"/>
    </row>
    <row r="128" hidden="1">
      <c r="E128" s="320"/>
      <c r="F128" s="276"/>
      <c r="G128" s="276"/>
      <c r="H128" s="276"/>
      <c r="I128" s="276"/>
      <c r="J128" s="276"/>
      <c r="K128" s="276"/>
      <c r="L128" s="276"/>
      <c r="M128" s="276"/>
      <c r="N128" s="276"/>
      <c r="O128" s="276"/>
      <c r="P128" s="276"/>
      <c r="Q128" s="276"/>
      <c r="R128" s="276"/>
      <c r="S128" s="276"/>
      <c r="T128" s="276"/>
      <c r="U128" s="276"/>
      <c r="V128" s="276"/>
      <c r="W128" s="276"/>
      <c r="X128" s="276"/>
      <c r="Y128" s="276"/>
      <c r="Z128" s="276"/>
      <c r="AA128" s="276"/>
      <c r="AB128" s="276"/>
      <c r="AC128" s="276"/>
      <c r="AD128" s="276"/>
      <c r="AE128" s="276"/>
      <c r="AF128" s="276"/>
    </row>
    <row r="129" hidden="1">
      <c r="E129" s="320"/>
      <c r="F129" s="276"/>
      <c r="G129" s="276"/>
      <c r="H129" s="276"/>
      <c r="I129" s="276"/>
      <c r="J129" s="276"/>
      <c r="K129" s="276"/>
      <c r="L129" s="276"/>
      <c r="M129" s="276"/>
      <c r="N129" s="276"/>
      <c r="O129" s="276"/>
      <c r="P129" s="276"/>
      <c r="Q129" s="276"/>
      <c r="R129" s="276"/>
      <c r="S129" s="276"/>
      <c r="T129" s="276"/>
      <c r="U129" s="276"/>
      <c r="V129" s="276"/>
      <c r="W129" s="276"/>
      <c r="X129" s="276"/>
      <c r="Y129" s="276"/>
      <c r="Z129" s="276"/>
      <c r="AA129" s="276"/>
      <c r="AB129" s="276"/>
      <c r="AC129" s="276"/>
      <c r="AD129" s="276"/>
      <c r="AE129" s="276"/>
      <c r="AF129" s="276"/>
    </row>
    <row r="130" hidden="1">
      <c r="E130" s="320"/>
      <c r="F130" s="276"/>
      <c r="G130" s="276"/>
      <c r="H130" s="276"/>
      <c r="I130" s="276"/>
      <c r="J130" s="276"/>
      <c r="K130" s="276"/>
      <c r="L130" s="276"/>
      <c r="M130" s="276"/>
      <c r="N130" s="276"/>
      <c r="O130" s="276"/>
      <c r="P130" s="276"/>
      <c r="Q130" s="276"/>
      <c r="R130" s="276"/>
      <c r="S130" s="276"/>
      <c r="T130" s="276"/>
      <c r="U130" s="276"/>
      <c r="V130" s="276"/>
      <c r="W130" s="276"/>
      <c r="X130" s="276"/>
      <c r="Y130" s="276"/>
      <c r="Z130" s="276"/>
      <c r="AA130" s="276"/>
      <c r="AB130" s="276"/>
      <c r="AC130" s="276"/>
      <c r="AD130" s="276"/>
      <c r="AE130" s="276"/>
      <c r="AF130" s="276"/>
    </row>
    <row r="131" hidden="1">
      <c r="E131" s="320"/>
      <c r="F131" s="276"/>
      <c r="G131" s="276"/>
      <c r="H131" s="276"/>
      <c r="I131" s="276"/>
      <c r="J131" s="276"/>
      <c r="K131" s="276"/>
      <c r="L131" s="276"/>
      <c r="M131" s="276"/>
      <c r="N131" s="276"/>
      <c r="O131" s="276"/>
      <c r="P131" s="276"/>
      <c r="Q131" s="276"/>
      <c r="R131" s="276"/>
      <c r="S131" s="276"/>
      <c r="T131" s="276"/>
      <c r="U131" s="276"/>
      <c r="V131" s="276"/>
      <c r="W131" s="276"/>
      <c r="X131" s="276"/>
      <c r="Y131" s="276"/>
      <c r="Z131" s="276"/>
      <c r="AA131" s="276"/>
      <c r="AB131" s="276"/>
      <c r="AC131" s="276"/>
      <c r="AD131" s="276"/>
      <c r="AE131" s="276"/>
      <c r="AF131" s="276"/>
    </row>
    <row r="132" hidden="1">
      <c r="E132" s="320"/>
      <c r="F132" s="276"/>
      <c r="G132" s="276"/>
      <c r="H132" s="276"/>
      <c r="I132" s="276"/>
      <c r="J132" s="276"/>
      <c r="K132" s="276"/>
      <c r="L132" s="276"/>
      <c r="M132" s="276"/>
      <c r="N132" s="276"/>
      <c r="O132" s="276"/>
      <c r="P132" s="276"/>
      <c r="Q132" s="276"/>
      <c r="R132" s="276"/>
      <c r="S132" s="276"/>
      <c r="T132" s="276"/>
      <c r="U132" s="276"/>
      <c r="V132" s="276"/>
      <c r="W132" s="276"/>
      <c r="X132" s="276"/>
      <c r="Y132" s="276"/>
      <c r="Z132" s="276"/>
      <c r="AA132" s="276"/>
      <c r="AB132" s="276"/>
      <c r="AC132" s="276"/>
      <c r="AD132" s="276"/>
      <c r="AE132" s="276"/>
      <c r="AF132" s="276"/>
    </row>
    <row r="133" hidden="1">
      <c r="E133" s="320"/>
      <c r="F133" s="276"/>
      <c r="G133" s="276"/>
      <c r="H133" s="276"/>
      <c r="I133" s="276"/>
      <c r="J133" s="276"/>
      <c r="K133" s="276"/>
      <c r="L133" s="276"/>
      <c r="M133" s="276"/>
      <c r="N133" s="276"/>
      <c r="O133" s="276"/>
      <c r="P133" s="276"/>
      <c r="Q133" s="276"/>
      <c r="R133" s="276"/>
      <c r="S133" s="276"/>
      <c r="T133" s="276"/>
      <c r="U133" s="276"/>
      <c r="V133" s="276"/>
      <c r="W133" s="276"/>
      <c r="X133" s="276"/>
      <c r="Y133" s="276"/>
      <c r="Z133" s="276"/>
      <c r="AA133" s="276"/>
      <c r="AB133" s="276"/>
      <c r="AC133" s="276"/>
      <c r="AD133" s="276"/>
      <c r="AE133" s="276"/>
      <c r="AF133" s="276"/>
    </row>
    <row r="134" hidden="1">
      <c r="E134" s="320"/>
      <c r="F134" s="276"/>
      <c r="G134" s="276"/>
      <c r="H134" s="276"/>
      <c r="I134" s="276"/>
      <c r="J134" s="276"/>
      <c r="K134" s="276"/>
      <c r="L134" s="276"/>
      <c r="M134" s="276"/>
      <c r="N134" s="276"/>
      <c r="O134" s="276"/>
      <c r="P134" s="276"/>
      <c r="Q134" s="276"/>
      <c r="R134" s="276"/>
      <c r="S134" s="276"/>
      <c r="T134" s="276"/>
      <c r="U134" s="276"/>
      <c r="V134" s="276"/>
      <c r="W134" s="276"/>
      <c r="X134" s="276"/>
      <c r="Y134" s="276"/>
      <c r="Z134" s="276"/>
      <c r="AA134" s="276"/>
      <c r="AB134" s="276"/>
      <c r="AC134" s="276"/>
      <c r="AD134" s="276"/>
      <c r="AE134" s="276"/>
      <c r="AF134" s="276"/>
    </row>
    <row r="135" hidden="1">
      <c r="E135" s="320"/>
      <c r="F135" s="276"/>
      <c r="G135" s="276"/>
      <c r="H135" s="276"/>
      <c r="I135" s="276"/>
      <c r="J135" s="276"/>
      <c r="K135" s="276"/>
      <c r="L135" s="276"/>
      <c r="M135" s="276"/>
      <c r="N135" s="276"/>
      <c r="O135" s="276"/>
      <c r="P135" s="276"/>
      <c r="Q135" s="276"/>
      <c r="R135" s="276"/>
      <c r="S135" s="276"/>
      <c r="T135" s="276"/>
      <c r="U135" s="276"/>
      <c r="V135" s="276"/>
      <c r="W135" s="276"/>
      <c r="X135" s="276"/>
      <c r="Y135" s="276"/>
      <c r="Z135" s="276"/>
      <c r="AA135" s="276"/>
      <c r="AB135" s="276"/>
      <c r="AC135" s="276"/>
      <c r="AD135" s="276"/>
      <c r="AE135" s="276"/>
      <c r="AF135" s="276"/>
    </row>
    <row r="136" hidden="1">
      <c r="E136" s="320"/>
      <c r="F136" s="276"/>
      <c r="G136" s="276"/>
      <c r="H136" s="276"/>
      <c r="I136" s="276"/>
      <c r="J136" s="276"/>
      <c r="K136" s="276"/>
      <c r="L136" s="276"/>
      <c r="M136" s="276"/>
      <c r="N136" s="276"/>
      <c r="O136" s="276"/>
      <c r="P136" s="276"/>
      <c r="Q136" s="276"/>
      <c r="R136" s="276"/>
      <c r="S136" s="276"/>
      <c r="T136" s="276"/>
      <c r="U136" s="276"/>
      <c r="V136" s="276"/>
      <c r="W136" s="276"/>
      <c r="X136" s="276"/>
      <c r="Y136" s="276"/>
      <c r="Z136" s="276"/>
      <c r="AA136" s="276"/>
      <c r="AB136" s="276"/>
      <c r="AC136" s="276"/>
      <c r="AD136" s="276"/>
      <c r="AE136" s="276"/>
      <c r="AF136" s="276"/>
    </row>
    <row r="137" hidden="1">
      <c r="E137" s="320"/>
      <c r="F137" s="276"/>
      <c r="G137" s="276"/>
      <c r="H137" s="276"/>
      <c r="I137" s="276"/>
      <c r="J137" s="276"/>
      <c r="K137" s="276"/>
      <c r="L137" s="276"/>
      <c r="M137" s="276"/>
      <c r="N137" s="276"/>
      <c r="O137" s="276"/>
      <c r="P137" s="276"/>
      <c r="Q137" s="276"/>
      <c r="R137" s="276"/>
      <c r="S137" s="276"/>
      <c r="T137" s="276"/>
      <c r="U137" s="276"/>
      <c r="V137" s="276"/>
      <c r="W137" s="276"/>
      <c r="X137" s="276"/>
      <c r="Y137" s="276"/>
      <c r="Z137" s="276"/>
      <c r="AA137" s="276"/>
      <c r="AB137" s="276"/>
      <c r="AC137" s="276"/>
      <c r="AD137" s="276"/>
      <c r="AE137" s="276"/>
      <c r="AF137" s="276"/>
    </row>
    <row r="138" hidden="1">
      <c r="E138" s="320"/>
      <c r="F138" s="276"/>
      <c r="G138" s="276"/>
      <c r="H138" s="276"/>
      <c r="I138" s="276"/>
      <c r="J138" s="276"/>
      <c r="K138" s="276"/>
      <c r="L138" s="276"/>
      <c r="M138" s="276"/>
      <c r="N138" s="276"/>
      <c r="O138" s="276"/>
      <c r="P138" s="276"/>
      <c r="Q138" s="276"/>
      <c r="R138" s="276"/>
      <c r="S138" s="276"/>
      <c r="T138" s="276"/>
      <c r="U138" s="276"/>
      <c r="V138" s="276"/>
      <c r="W138" s="276"/>
      <c r="X138" s="276"/>
      <c r="Y138" s="276"/>
      <c r="Z138" s="276"/>
      <c r="AA138" s="276"/>
      <c r="AB138" s="276"/>
      <c r="AC138" s="276"/>
      <c r="AD138" s="276"/>
      <c r="AE138" s="276"/>
      <c r="AF138" s="276"/>
    </row>
    <row r="139" hidden="1">
      <c r="E139" s="320"/>
      <c r="F139" s="276"/>
      <c r="G139" s="276"/>
      <c r="H139" s="276"/>
      <c r="I139" s="276"/>
      <c r="J139" s="276"/>
      <c r="K139" s="276"/>
      <c r="L139" s="276"/>
      <c r="M139" s="276"/>
      <c r="N139" s="276"/>
      <c r="O139" s="276"/>
      <c r="P139" s="276"/>
      <c r="Q139" s="276"/>
      <c r="R139" s="276"/>
      <c r="S139" s="276"/>
      <c r="T139" s="276"/>
      <c r="U139" s="276"/>
      <c r="V139" s="276"/>
      <c r="W139" s="276"/>
      <c r="X139" s="276"/>
      <c r="Y139" s="276"/>
      <c r="Z139" s="276"/>
      <c r="AA139" s="276"/>
      <c r="AB139" s="276"/>
      <c r="AC139" s="276"/>
      <c r="AD139" s="276"/>
      <c r="AE139" s="276"/>
      <c r="AF139" s="276"/>
    </row>
    <row r="140" hidden="1">
      <c r="E140" s="320"/>
      <c r="F140" s="276"/>
      <c r="G140" s="276"/>
      <c r="H140" s="276"/>
      <c r="I140" s="276"/>
      <c r="J140" s="276"/>
      <c r="K140" s="276"/>
      <c r="L140" s="276"/>
      <c r="M140" s="276"/>
      <c r="N140" s="276"/>
      <c r="O140" s="276"/>
      <c r="P140" s="276"/>
      <c r="Q140" s="276"/>
      <c r="R140" s="276"/>
      <c r="S140" s="276"/>
      <c r="T140" s="276"/>
      <c r="U140" s="276"/>
      <c r="V140" s="276"/>
      <c r="W140" s="276"/>
      <c r="X140" s="276"/>
      <c r="Y140" s="276"/>
      <c r="Z140" s="276"/>
      <c r="AA140" s="276"/>
      <c r="AB140" s="276"/>
      <c r="AC140" s="276"/>
      <c r="AD140" s="276"/>
      <c r="AE140" s="276"/>
      <c r="AF140" s="276"/>
    </row>
    <row r="141" hidden="1">
      <c r="E141" s="320"/>
      <c r="F141" s="276"/>
      <c r="G141" s="276"/>
      <c r="H141" s="276"/>
      <c r="I141" s="276"/>
      <c r="J141" s="276"/>
      <c r="K141" s="276"/>
      <c r="L141" s="276"/>
      <c r="M141" s="276"/>
      <c r="N141" s="276"/>
      <c r="O141" s="276"/>
      <c r="P141" s="276"/>
      <c r="Q141" s="276"/>
      <c r="R141" s="276"/>
      <c r="S141" s="276"/>
      <c r="T141" s="276"/>
      <c r="U141" s="276"/>
      <c r="V141" s="276"/>
      <c r="W141" s="276"/>
      <c r="X141" s="276"/>
      <c r="Y141" s="276"/>
      <c r="Z141" s="276"/>
      <c r="AA141" s="276"/>
      <c r="AB141" s="276"/>
      <c r="AC141" s="276"/>
      <c r="AD141" s="276"/>
      <c r="AE141" s="276"/>
      <c r="AF141" s="276"/>
    </row>
    <row r="142" hidden="1">
      <c r="E142" s="320"/>
      <c r="F142" s="276"/>
      <c r="G142" s="276"/>
      <c r="H142" s="276"/>
      <c r="I142" s="276"/>
      <c r="J142" s="276"/>
      <c r="K142" s="276"/>
      <c r="L142" s="276"/>
      <c r="M142" s="276"/>
      <c r="N142" s="276"/>
      <c r="O142" s="276"/>
      <c r="P142" s="276"/>
      <c r="Q142" s="276"/>
      <c r="R142" s="276"/>
      <c r="S142" s="276"/>
      <c r="T142" s="276"/>
      <c r="U142" s="276"/>
      <c r="V142" s="276"/>
      <c r="W142" s="276"/>
      <c r="X142" s="276"/>
      <c r="Y142" s="276"/>
      <c r="Z142" s="276"/>
      <c r="AA142" s="276"/>
      <c r="AB142" s="276"/>
      <c r="AC142" s="276"/>
      <c r="AD142" s="276"/>
      <c r="AE142" s="276"/>
      <c r="AF142" s="276"/>
    </row>
    <row r="143" hidden="1">
      <c r="E143" s="320"/>
      <c r="F143" s="276"/>
      <c r="G143" s="276"/>
      <c r="H143" s="276"/>
      <c r="I143" s="276"/>
      <c r="J143" s="276"/>
      <c r="K143" s="276"/>
      <c r="L143" s="276"/>
      <c r="M143" s="276"/>
      <c r="N143" s="276"/>
      <c r="O143" s="276"/>
      <c r="P143" s="276"/>
      <c r="Q143" s="276"/>
      <c r="R143" s="276"/>
      <c r="S143" s="276"/>
      <c r="T143" s="276"/>
      <c r="U143" s="276"/>
      <c r="V143" s="276"/>
      <c r="W143" s="276"/>
      <c r="X143" s="276"/>
      <c r="Y143" s="276"/>
      <c r="Z143" s="276"/>
      <c r="AA143" s="276"/>
      <c r="AB143" s="276"/>
      <c r="AC143" s="276"/>
      <c r="AD143" s="276"/>
      <c r="AE143" s="276"/>
      <c r="AF143" s="276"/>
    </row>
    <row r="144" hidden="1">
      <c r="E144" s="320"/>
      <c r="F144" s="276"/>
      <c r="G144" s="276"/>
      <c r="H144" s="276"/>
      <c r="I144" s="276"/>
      <c r="J144" s="276"/>
      <c r="K144" s="276"/>
      <c r="L144" s="276"/>
      <c r="M144" s="276"/>
      <c r="N144" s="276"/>
      <c r="O144" s="276"/>
      <c r="P144" s="276"/>
      <c r="Q144" s="276"/>
      <c r="R144" s="276"/>
      <c r="S144" s="276"/>
      <c r="T144" s="276"/>
      <c r="U144" s="276"/>
      <c r="V144" s="276"/>
      <c r="W144" s="276"/>
      <c r="X144" s="276"/>
      <c r="Y144" s="276"/>
      <c r="Z144" s="276"/>
      <c r="AA144" s="276"/>
      <c r="AB144" s="276"/>
      <c r="AC144" s="276"/>
      <c r="AD144" s="276"/>
      <c r="AE144" s="276"/>
      <c r="AF144" s="276"/>
    </row>
    <row r="145" hidden="1">
      <c r="E145" s="320"/>
      <c r="F145" s="276"/>
      <c r="G145" s="276"/>
      <c r="H145" s="276"/>
      <c r="I145" s="276"/>
      <c r="J145" s="276"/>
      <c r="K145" s="276"/>
      <c r="L145" s="276"/>
      <c r="M145" s="276"/>
      <c r="N145" s="276"/>
      <c r="O145" s="276"/>
      <c r="P145" s="276"/>
      <c r="Q145" s="276"/>
      <c r="R145" s="276"/>
      <c r="S145" s="276"/>
      <c r="T145" s="276"/>
      <c r="U145" s="276"/>
      <c r="V145" s="276"/>
      <c r="W145" s="276"/>
      <c r="X145" s="276"/>
      <c r="Y145" s="276"/>
      <c r="Z145" s="276"/>
      <c r="AA145" s="276"/>
      <c r="AB145" s="276"/>
      <c r="AC145" s="276"/>
      <c r="AD145" s="276"/>
      <c r="AE145" s="276"/>
      <c r="AF145" s="276"/>
    </row>
    <row r="146" hidden="1">
      <c r="E146" s="320"/>
      <c r="F146" s="276"/>
      <c r="G146" s="276"/>
      <c r="H146" s="276"/>
      <c r="I146" s="276"/>
      <c r="J146" s="276"/>
      <c r="K146" s="276"/>
      <c r="L146" s="276"/>
      <c r="M146" s="276"/>
      <c r="N146" s="276"/>
      <c r="O146" s="276"/>
      <c r="P146" s="276"/>
      <c r="Q146" s="276"/>
      <c r="R146" s="276"/>
      <c r="S146" s="276"/>
      <c r="T146" s="276"/>
      <c r="U146" s="276"/>
      <c r="V146" s="276"/>
      <c r="W146" s="276"/>
      <c r="X146" s="276"/>
      <c r="Y146" s="276"/>
      <c r="Z146" s="276"/>
      <c r="AA146" s="276"/>
      <c r="AB146" s="276"/>
      <c r="AC146" s="276"/>
      <c r="AD146" s="276"/>
      <c r="AE146" s="276"/>
      <c r="AF146" s="276"/>
    </row>
    <row r="147" hidden="1">
      <c r="E147" s="320"/>
      <c r="F147" s="276"/>
      <c r="G147" s="276"/>
      <c r="H147" s="276"/>
      <c r="I147" s="276"/>
      <c r="J147" s="276"/>
      <c r="K147" s="276"/>
      <c r="L147" s="276"/>
      <c r="M147" s="276"/>
      <c r="N147" s="276"/>
      <c r="O147" s="276"/>
      <c r="P147" s="276"/>
      <c r="Q147" s="276"/>
      <c r="R147" s="276"/>
      <c r="S147" s="276"/>
      <c r="T147" s="276"/>
      <c r="U147" s="276"/>
      <c r="V147" s="276"/>
      <c r="W147" s="276"/>
      <c r="X147" s="276"/>
      <c r="Y147" s="276"/>
      <c r="Z147" s="276"/>
      <c r="AA147" s="276"/>
      <c r="AB147" s="276"/>
      <c r="AC147" s="276"/>
      <c r="AD147" s="276"/>
      <c r="AE147" s="276"/>
      <c r="AF147" s="276"/>
    </row>
    <row r="148" hidden="1">
      <c r="A148" s="321"/>
      <c r="B148" s="158"/>
      <c r="C148" s="1"/>
      <c r="D148" s="322"/>
      <c r="E148" s="276"/>
      <c r="F148" s="276"/>
      <c r="G148" s="276"/>
      <c r="H148" s="276"/>
      <c r="I148" s="276"/>
      <c r="J148" s="276"/>
      <c r="K148" s="276"/>
      <c r="L148" s="276"/>
      <c r="M148" s="276"/>
      <c r="N148" s="276"/>
      <c r="O148" s="276"/>
      <c r="P148" s="276"/>
      <c r="Q148" s="276"/>
      <c r="R148" s="276"/>
      <c r="S148" s="276"/>
      <c r="T148" s="276"/>
      <c r="U148" s="276"/>
      <c r="V148" s="276"/>
      <c r="W148" s="276"/>
      <c r="X148" s="276"/>
      <c r="Y148" s="276"/>
      <c r="Z148" s="276"/>
      <c r="AA148" s="276"/>
      <c r="AB148" s="276"/>
      <c r="AC148" s="276"/>
      <c r="AD148" s="276"/>
      <c r="AE148" s="276"/>
      <c r="AF148" s="276"/>
    </row>
  </sheetData>
  <mergeCells count="1">
    <mergeCell ref="E12:E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3" width="13.0"/>
    <col customWidth="1" min="6" max="6" width="21.75"/>
    <col customWidth="1" min="7" max="7" width="5.63"/>
    <col customWidth="1" min="8" max="8" width="12.5"/>
    <col customWidth="1" min="9" max="9" width="24.13"/>
    <col customWidth="1" hidden="1" min="10" max="10" width="8.63"/>
    <col customWidth="1" hidden="1" min="11" max="11" width="10.75"/>
  </cols>
  <sheetData>
    <row r="1">
      <c r="A1" s="323" t="s">
        <v>273</v>
      </c>
      <c r="B1" s="324" t="s">
        <v>556</v>
      </c>
      <c r="C1" s="325" t="s">
        <v>557</v>
      </c>
      <c r="D1" s="326" t="s">
        <v>558</v>
      </c>
      <c r="E1" s="326" t="s">
        <v>559</v>
      </c>
      <c r="F1" s="327" t="s">
        <v>560</v>
      </c>
      <c r="G1" s="323"/>
      <c r="H1" s="324" t="s">
        <v>561</v>
      </c>
      <c r="I1" s="328"/>
      <c r="J1" s="327"/>
      <c r="K1" s="329"/>
    </row>
    <row r="2">
      <c r="A2" s="323"/>
      <c r="B2" s="276"/>
      <c r="C2" s="330"/>
      <c r="D2" s="331"/>
      <c r="E2" s="332"/>
      <c r="F2" s="333"/>
      <c r="G2" s="323"/>
      <c r="H2" s="334"/>
      <c r="I2" s="334"/>
      <c r="J2" s="334"/>
      <c r="K2" s="335"/>
    </row>
    <row r="3">
      <c r="A3" s="336" t="s">
        <v>562</v>
      </c>
      <c r="B3" s="337" t="s">
        <v>225</v>
      </c>
      <c r="C3" s="338" t="s">
        <v>563</v>
      </c>
      <c r="D3" s="339" t="s">
        <v>564</v>
      </c>
      <c r="E3" s="340" t="s">
        <v>565</v>
      </c>
      <c r="F3" s="341" t="s">
        <v>566</v>
      </c>
      <c r="G3" s="336" t="s">
        <v>562</v>
      </c>
      <c r="H3" s="342"/>
      <c r="I3" s="342"/>
      <c r="J3" s="342"/>
      <c r="K3" s="343"/>
    </row>
    <row r="4">
      <c r="B4" s="344" t="s">
        <v>227</v>
      </c>
      <c r="C4" s="345" t="s">
        <v>567</v>
      </c>
      <c r="D4" s="346" t="s">
        <v>568</v>
      </c>
      <c r="E4" s="340" t="s">
        <v>569</v>
      </c>
      <c r="F4" s="347" t="s">
        <v>570</v>
      </c>
      <c r="H4" s="342"/>
      <c r="I4" s="342"/>
      <c r="J4" s="342">
        <f t="shared" ref="J4:J18" si="1">E4*24*60</f>
        <v>333</v>
      </c>
      <c r="K4" s="343"/>
    </row>
    <row r="5">
      <c r="B5" s="348" t="s">
        <v>567</v>
      </c>
      <c r="C5" s="349" t="s">
        <v>227</v>
      </c>
      <c r="D5" s="346" t="s">
        <v>571</v>
      </c>
      <c r="E5" s="340" t="s">
        <v>572</v>
      </c>
      <c r="F5" s="347" t="s">
        <v>573</v>
      </c>
      <c r="H5" s="350"/>
      <c r="I5" s="350"/>
      <c r="J5" s="342">
        <f t="shared" si="1"/>
        <v>1070</v>
      </c>
      <c r="K5" s="351"/>
    </row>
    <row r="6">
      <c r="B6" s="352" t="s">
        <v>233</v>
      </c>
      <c r="C6" s="353" t="s">
        <v>229</v>
      </c>
      <c r="D6" s="354" t="s">
        <v>564</v>
      </c>
      <c r="E6" s="340" t="s">
        <v>574</v>
      </c>
      <c r="F6" s="347" t="s">
        <v>575</v>
      </c>
      <c r="H6" s="355" t="s">
        <v>576</v>
      </c>
      <c r="I6" s="350"/>
      <c r="J6" s="342">
        <f t="shared" si="1"/>
        <v>371</v>
      </c>
      <c r="K6" s="351"/>
    </row>
    <row r="7">
      <c r="B7" s="344" t="s">
        <v>225</v>
      </c>
      <c r="C7" s="345" t="s">
        <v>231</v>
      </c>
      <c r="D7" s="346" t="s">
        <v>568</v>
      </c>
      <c r="E7" s="340" t="s">
        <v>577</v>
      </c>
      <c r="F7" s="356" t="s">
        <v>578</v>
      </c>
      <c r="H7" s="355" t="s">
        <v>579</v>
      </c>
      <c r="I7" s="357"/>
      <c r="J7" s="342">
        <f t="shared" si="1"/>
        <v>465</v>
      </c>
      <c r="K7" s="358"/>
    </row>
    <row r="8">
      <c r="B8" s="344" t="s">
        <v>225</v>
      </c>
      <c r="C8" s="345" t="s">
        <v>229</v>
      </c>
      <c r="D8" s="346" t="s">
        <v>568</v>
      </c>
      <c r="E8" s="340" t="s">
        <v>580</v>
      </c>
      <c r="F8" s="356" t="s">
        <v>581</v>
      </c>
      <c r="H8" s="355" t="s">
        <v>579</v>
      </c>
      <c r="I8" s="350"/>
      <c r="J8" s="342">
        <f t="shared" si="1"/>
        <v>660</v>
      </c>
      <c r="K8" s="351"/>
    </row>
    <row r="9">
      <c r="B9" s="201" t="s">
        <v>233</v>
      </c>
      <c r="C9" s="359" t="s">
        <v>234</v>
      </c>
      <c r="D9" s="360" t="s">
        <v>582</v>
      </c>
      <c r="E9" s="361" t="s">
        <v>583</v>
      </c>
      <c r="F9" s="362" t="s">
        <v>584</v>
      </c>
      <c r="H9" s="350"/>
      <c r="I9" s="350"/>
      <c r="J9" s="342">
        <f t="shared" si="1"/>
        <v>1554</v>
      </c>
      <c r="K9" s="351"/>
    </row>
    <row r="10">
      <c r="B10" s="363" t="s">
        <v>233</v>
      </c>
      <c r="C10" s="364" t="s">
        <v>228</v>
      </c>
      <c r="D10" s="346" t="s">
        <v>585</v>
      </c>
      <c r="E10" s="340" t="s">
        <v>586</v>
      </c>
      <c r="F10" s="347" t="s">
        <v>587</v>
      </c>
      <c r="H10" s="355" t="s">
        <v>576</v>
      </c>
      <c r="I10" s="355" t="s">
        <v>588</v>
      </c>
      <c r="J10" s="342">
        <f t="shared" si="1"/>
        <v>1080</v>
      </c>
      <c r="K10" s="358"/>
    </row>
    <row r="11">
      <c r="B11" s="344" t="s">
        <v>234</v>
      </c>
      <c r="C11" s="364" t="s">
        <v>230</v>
      </c>
      <c r="D11" s="346" t="s">
        <v>568</v>
      </c>
      <c r="E11" s="340" t="s">
        <v>589</v>
      </c>
      <c r="F11" s="347" t="s">
        <v>590</v>
      </c>
      <c r="H11" s="355" t="s">
        <v>591</v>
      </c>
      <c r="I11" s="350"/>
      <c r="J11" s="342">
        <f t="shared" si="1"/>
        <v>539</v>
      </c>
      <c r="K11" s="351"/>
    </row>
    <row r="12">
      <c r="B12" s="352" t="s">
        <v>234</v>
      </c>
      <c r="C12" s="353" t="s">
        <v>229</v>
      </c>
      <c r="D12" s="354" t="s">
        <v>564</v>
      </c>
      <c r="E12" s="340" t="s">
        <v>592</v>
      </c>
      <c r="F12" s="347" t="s">
        <v>593</v>
      </c>
      <c r="H12" s="355" t="s">
        <v>591</v>
      </c>
      <c r="I12" s="350"/>
      <c r="J12" s="342">
        <f t="shared" si="1"/>
        <v>414</v>
      </c>
      <c r="K12" s="351"/>
    </row>
    <row r="13">
      <c r="B13" s="348" t="s">
        <v>227</v>
      </c>
      <c r="C13" s="365" t="s">
        <v>233</v>
      </c>
      <c r="D13" s="366" t="s">
        <v>594</v>
      </c>
      <c r="E13" s="340" t="s">
        <v>595</v>
      </c>
      <c r="F13" s="347" t="s">
        <v>596</v>
      </c>
      <c r="H13" s="355" t="s">
        <v>588</v>
      </c>
      <c r="I13" s="350"/>
      <c r="J13" s="342">
        <f t="shared" si="1"/>
        <v>546</v>
      </c>
      <c r="K13" s="351"/>
    </row>
    <row r="14">
      <c r="A14" s="336"/>
      <c r="B14" s="367" t="s">
        <v>233</v>
      </c>
      <c r="C14" s="345" t="s">
        <v>227</v>
      </c>
      <c r="D14" s="366" t="s">
        <v>585</v>
      </c>
      <c r="E14" s="340" t="s">
        <v>597</v>
      </c>
      <c r="F14" s="347" t="s">
        <v>598</v>
      </c>
      <c r="H14" s="355" t="s">
        <v>588</v>
      </c>
      <c r="I14" s="350"/>
      <c r="J14" s="342">
        <f t="shared" si="1"/>
        <v>1841</v>
      </c>
      <c r="K14" s="351"/>
    </row>
    <row r="15">
      <c r="A15" s="336"/>
      <c r="B15" s="348" t="s">
        <v>230</v>
      </c>
      <c r="C15" s="365" t="s">
        <v>227</v>
      </c>
      <c r="D15" s="366" t="s">
        <v>599</v>
      </c>
      <c r="E15" s="340" t="s">
        <v>600</v>
      </c>
      <c r="F15" s="368" t="s">
        <v>601</v>
      </c>
      <c r="H15" s="357"/>
      <c r="I15" s="357"/>
      <c r="J15" s="342">
        <f t="shared" si="1"/>
        <v>1594</v>
      </c>
      <c r="K15" s="358"/>
    </row>
    <row r="16">
      <c r="A16" s="336"/>
      <c r="B16" s="348" t="s">
        <v>230</v>
      </c>
      <c r="C16" s="367" t="s">
        <v>233</v>
      </c>
      <c r="D16" s="366" t="s">
        <v>571</v>
      </c>
      <c r="E16" s="340" t="s">
        <v>586</v>
      </c>
      <c r="F16" s="347" t="s">
        <v>602</v>
      </c>
      <c r="H16" s="355" t="s">
        <v>588</v>
      </c>
      <c r="I16" s="350"/>
      <c r="J16" s="342">
        <f t="shared" si="1"/>
        <v>1080</v>
      </c>
      <c r="K16" s="351"/>
    </row>
    <row r="17">
      <c r="A17" s="336"/>
      <c r="B17" s="369" t="s">
        <v>229</v>
      </c>
      <c r="C17" s="370" t="s">
        <v>231</v>
      </c>
      <c r="D17" s="354" t="s">
        <v>582</v>
      </c>
      <c r="E17" s="340" t="s">
        <v>603</v>
      </c>
      <c r="F17" s="347" t="s">
        <v>604</v>
      </c>
      <c r="H17" s="355" t="s">
        <v>576</v>
      </c>
      <c r="I17" s="350"/>
      <c r="J17" s="342">
        <f t="shared" si="1"/>
        <v>818</v>
      </c>
      <c r="K17" s="351"/>
    </row>
    <row r="18">
      <c r="A18" s="323"/>
      <c r="B18" s="367" t="s">
        <v>234</v>
      </c>
      <c r="C18" s="345" t="s">
        <v>225</v>
      </c>
      <c r="D18" s="366" t="s">
        <v>605</v>
      </c>
      <c r="E18" s="340" t="s">
        <v>606</v>
      </c>
      <c r="F18" s="356" t="s">
        <v>607</v>
      </c>
      <c r="G18" s="1"/>
      <c r="H18" s="355" t="s">
        <v>591</v>
      </c>
      <c r="I18" s="371"/>
      <c r="J18" s="342">
        <f t="shared" si="1"/>
        <v>1674</v>
      </c>
      <c r="K18" s="372"/>
    </row>
    <row r="19">
      <c r="A19" s="323" t="s">
        <v>608</v>
      </c>
      <c r="B19" s="373"/>
      <c r="C19" s="374"/>
      <c r="D19" s="375"/>
      <c r="E19" s="376"/>
      <c r="F19" s="377"/>
      <c r="G19" s="1"/>
      <c r="H19" s="334"/>
      <c r="I19" s="334"/>
      <c r="J19" s="334"/>
      <c r="K19" s="335"/>
    </row>
    <row r="20">
      <c r="B20" s="367" t="s">
        <v>227</v>
      </c>
      <c r="C20" s="345" t="s">
        <v>229</v>
      </c>
      <c r="D20" s="366" t="s">
        <v>568</v>
      </c>
      <c r="E20" s="340" t="s">
        <v>609</v>
      </c>
      <c r="F20" s="378" t="s">
        <v>610</v>
      </c>
      <c r="G20" s="323" t="s">
        <v>608</v>
      </c>
      <c r="H20" s="371"/>
      <c r="I20" s="371"/>
      <c r="J20" s="342">
        <f t="shared" ref="J20:J49" si="2">E20*24*60</f>
        <v>375</v>
      </c>
      <c r="K20" s="372"/>
    </row>
    <row r="21">
      <c r="B21" s="345" t="s">
        <v>229</v>
      </c>
      <c r="C21" s="367" t="s">
        <v>227</v>
      </c>
      <c r="D21" s="366" t="s">
        <v>568</v>
      </c>
      <c r="E21" s="340" t="s">
        <v>611</v>
      </c>
      <c r="F21" s="378" t="s">
        <v>612</v>
      </c>
      <c r="H21" s="371"/>
      <c r="I21" s="371"/>
      <c r="J21" s="342">
        <f t="shared" si="2"/>
        <v>934</v>
      </c>
      <c r="K21" s="372"/>
    </row>
    <row r="22">
      <c r="B22" s="370" t="s">
        <v>229</v>
      </c>
      <c r="C22" s="379" t="s">
        <v>224</v>
      </c>
      <c r="D22" s="354" t="s">
        <v>605</v>
      </c>
      <c r="E22" s="340" t="s">
        <v>613</v>
      </c>
      <c r="F22" s="378" t="s">
        <v>614</v>
      </c>
      <c r="H22" s="355" t="s">
        <v>576</v>
      </c>
      <c r="I22" s="350"/>
      <c r="J22" s="342">
        <f t="shared" si="2"/>
        <v>1047</v>
      </c>
      <c r="K22" s="351"/>
    </row>
    <row r="23">
      <c r="B23" s="379" t="s">
        <v>224</v>
      </c>
      <c r="C23" s="370" t="s">
        <v>229</v>
      </c>
      <c r="D23" s="380" t="s">
        <v>582</v>
      </c>
      <c r="E23" s="340" t="s">
        <v>615</v>
      </c>
      <c r="F23" s="378" t="s">
        <v>616</v>
      </c>
      <c r="H23" s="355" t="s">
        <v>576</v>
      </c>
      <c r="I23" s="350"/>
      <c r="J23" s="342">
        <f t="shared" si="2"/>
        <v>722</v>
      </c>
      <c r="K23" s="351"/>
    </row>
    <row r="24">
      <c r="B24" s="381" t="s">
        <v>225</v>
      </c>
      <c r="C24" s="379" t="s">
        <v>233</v>
      </c>
      <c r="D24" s="354" t="s">
        <v>585</v>
      </c>
      <c r="E24" s="340" t="s">
        <v>617</v>
      </c>
      <c r="F24" s="378" t="s">
        <v>618</v>
      </c>
      <c r="H24" s="355" t="s">
        <v>591</v>
      </c>
      <c r="I24" s="355" t="s">
        <v>588</v>
      </c>
      <c r="J24" s="342">
        <f t="shared" si="2"/>
        <v>651</v>
      </c>
      <c r="K24" s="358"/>
    </row>
    <row r="25">
      <c r="B25" s="382" t="s">
        <v>231</v>
      </c>
      <c r="C25" s="383" t="s">
        <v>233</v>
      </c>
      <c r="D25" s="384" t="s">
        <v>582</v>
      </c>
      <c r="E25" s="340" t="s">
        <v>619</v>
      </c>
      <c r="F25" s="378" t="s">
        <v>620</v>
      </c>
      <c r="H25" s="355" t="s">
        <v>588</v>
      </c>
      <c r="I25" s="350"/>
      <c r="J25" s="342">
        <f t="shared" si="2"/>
        <v>975</v>
      </c>
      <c r="K25" s="351"/>
    </row>
    <row r="26">
      <c r="B26" s="385" t="s">
        <v>234</v>
      </c>
      <c r="C26" s="379" t="s">
        <v>231</v>
      </c>
      <c r="D26" s="354" t="s">
        <v>568</v>
      </c>
      <c r="E26" s="340" t="s">
        <v>621</v>
      </c>
      <c r="F26" s="378" t="s">
        <v>622</v>
      </c>
      <c r="H26" s="355" t="s">
        <v>591</v>
      </c>
      <c r="I26" s="350"/>
      <c r="J26" s="342">
        <f t="shared" si="2"/>
        <v>723</v>
      </c>
      <c r="K26" s="351"/>
    </row>
    <row r="27">
      <c r="B27" s="369" t="s">
        <v>231</v>
      </c>
      <c r="C27" s="370" t="s">
        <v>234</v>
      </c>
      <c r="D27" s="354" t="s">
        <v>594</v>
      </c>
      <c r="E27" s="340" t="s">
        <v>623</v>
      </c>
      <c r="F27" s="378" t="s">
        <v>624</v>
      </c>
      <c r="H27" s="355" t="s">
        <v>591</v>
      </c>
      <c r="I27" s="350"/>
      <c r="J27" s="342">
        <f t="shared" si="2"/>
        <v>655</v>
      </c>
      <c r="K27" s="351"/>
    </row>
    <row r="28">
      <c r="B28" s="201" t="s">
        <v>228</v>
      </c>
      <c r="C28" s="231" t="s">
        <v>233</v>
      </c>
      <c r="D28" s="386" t="s">
        <v>594</v>
      </c>
      <c r="E28" s="340" t="s">
        <v>625</v>
      </c>
      <c r="F28" s="378" t="s">
        <v>626</v>
      </c>
      <c r="H28" s="355" t="s">
        <v>588</v>
      </c>
      <c r="I28" s="350"/>
      <c r="J28" s="342">
        <f t="shared" si="2"/>
        <v>447</v>
      </c>
      <c r="K28" s="351"/>
    </row>
    <row r="29">
      <c r="B29" s="387" t="s">
        <v>230</v>
      </c>
      <c r="C29" s="345" t="s">
        <v>229</v>
      </c>
      <c r="D29" s="366" t="s">
        <v>605</v>
      </c>
      <c r="E29" s="340" t="s">
        <v>627</v>
      </c>
      <c r="F29" s="378" t="s">
        <v>628</v>
      </c>
      <c r="H29" s="355" t="s">
        <v>576</v>
      </c>
      <c r="I29" s="350"/>
      <c r="J29" s="342">
        <f t="shared" si="2"/>
        <v>692</v>
      </c>
      <c r="K29" s="351"/>
    </row>
    <row r="30">
      <c r="B30" s="364" t="s">
        <v>229</v>
      </c>
      <c r="C30" s="231" t="s">
        <v>230</v>
      </c>
      <c r="D30" s="386" t="s">
        <v>594</v>
      </c>
      <c r="E30" s="340" t="s">
        <v>629</v>
      </c>
      <c r="F30" s="378" t="s">
        <v>630</v>
      </c>
      <c r="H30" s="355" t="s">
        <v>576</v>
      </c>
      <c r="I30" s="350"/>
      <c r="J30" s="342">
        <f t="shared" si="2"/>
        <v>591</v>
      </c>
      <c r="K30" s="351"/>
    </row>
    <row r="31">
      <c r="B31" s="388" t="s">
        <v>227</v>
      </c>
      <c r="C31" s="379" t="s">
        <v>225</v>
      </c>
      <c r="D31" s="354" t="s">
        <v>631</v>
      </c>
      <c r="E31" s="340" t="s">
        <v>632</v>
      </c>
      <c r="F31" s="378" t="s">
        <v>633</v>
      </c>
      <c r="H31" s="350"/>
      <c r="I31" s="350"/>
      <c r="J31" s="342">
        <f t="shared" si="2"/>
        <v>853</v>
      </c>
      <c r="K31" s="351"/>
    </row>
    <row r="32">
      <c r="B32" s="389" t="s">
        <v>225</v>
      </c>
      <c r="C32" s="381" t="s">
        <v>227</v>
      </c>
      <c r="D32" s="384" t="s">
        <v>582</v>
      </c>
      <c r="E32" s="340" t="s">
        <v>634</v>
      </c>
      <c r="F32" s="378" t="s">
        <v>635</v>
      </c>
      <c r="H32" s="350"/>
      <c r="I32" s="350"/>
      <c r="J32" s="342">
        <f t="shared" si="2"/>
        <v>1698</v>
      </c>
      <c r="K32" s="351"/>
    </row>
    <row r="33">
      <c r="B33" s="390" t="s">
        <v>227</v>
      </c>
      <c r="C33" s="370" t="s">
        <v>234</v>
      </c>
      <c r="D33" s="354" t="s">
        <v>571</v>
      </c>
      <c r="E33" s="340" t="s">
        <v>636</v>
      </c>
      <c r="F33" s="378" t="s">
        <v>637</v>
      </c>
      <c r="H33" s="355" t="s">
        <v>591</v>
      </c>
      <c r="I33" s="350"/>
      <c r="J33" s="342">
        <f t="shared" si="2"/>
        <v>611</v>
      </c>
      <c r="K33" s="351"/>
    </row>
    <row r="34">
      <c r="B34" s="352" t="s">
        <v>234</v>
      </c>
      <c r="C34" s="379" t="s">
        <v>227</v>
      </c>
      <c r="D34" s="354" t="s">
        <v>568</v>
      </c>
      <c r="E34" s="340" t="s">
        <v>638</v>
      </c>
      <c r="F34" s="378" t="s">
        <v>639</v>
      </c>
      <c r="H34" s="355" t="s">
        <v>591</v>
      </c>
      <c r="I34" s="350"/>
      <c r="J34" s="342">
        <f t="shared" si="2"/>
        <v>567</v>
      </c>
      <c r="K34" s="351"/>
    </row>
    <row r="35">
      <c r="A35" s="323"/>
      <c r="B35" s="367" t="s">
        <v>567</v>
      </c>
      <c r="C35" s="345" t="s">
        <v>224</v>
      </c>
      <c r="D35" s="366" t="s">
        <v>605</v>
      </c>
      <c r="E35" s="340" t="s">
        <v>640</v>
      </c>
      <c r="F35" s="378" t="s">
        <v>641</v>
      </c>
      <c r="G35" s="323"/>
      <c r="H35" s="350" t="s">
        <v>642</v>
      </c>
      <c r="I35" s="350"/>
      <c r="J35" s="342">
        <f t="shared" si="2"/>
        <v>708</v>
      </c>
      <c r="K35" s="351"/>
    </row>
    <row r="36">
      <c r="A36" s="323"/>
      <c r="B36" s="348" t="s">
        <v>224</v>
      </c>
      <c r="C36" s="365" t="s">
        <v>227</v>
      </c>
      <c r="D36" s="366" t="s">
        <v>594</v>
      </c>
      <c r="E36" s="340" t="s">
        <v>643</v>
      </c>
      <c r="F36" s="378" t="s">
        <v>644</v>
      </c>
      <c r="G36" s="323"/>
      <c r="H36" s="350" t="s">
        <v>642</v>
      </c>
      <c r="I36" s="350"/>
      <c r="J36" s="342">
        <f t="shared" si="2"/>
        <v>305</v>
      </c>
      <c r="K36" s="351"/>
    </row>
    <row r="37">
      <c r="A37" s="323"/>
      <c r="B37" s="352" t="s">
        <v>227</v>
      </c>
      <c r="C37" s="379" t="s">
        <v>228</v>
      </c>
      <c r="D37" s="354" t="s">
        <v>564</v>
      </c>
      <c r="E37" s="340" t="s">
        <v>645</v>
      </c>
      <c r="F37" s="378" t="s">
        <v>646</v>
      </c>
      <c r="G37" s="323"/>
      <c r="H37" s="350" t="s">
        <v>642</v>
      </c>
      <c r="I37" s="350"/>
      <c r="J37" s="342">
        <f t="shared" si="2"/>
        <v>1000</v>
      </c>
      <c r="K37" s="351"/>
    </row>
    <row r="38">
      <c r="A38" s="323"/>
      <c r="B38" s="197" t="s">
        <v>228</v>
      </c>
      <c r="C38" s="23" t="s">
        <v>227</v>
      </c>
      <c r="D38" s="391">
        <v>44931.0</v>
      </c>
      <c r="E38" s="340" t="s">
        <v>647</v>
      </c>
      <c r="F38" s="392" t="s">
        <v>648</v>
      </c>
      <c r="G38" s="323"/>
      <c r="H38" s="350" t="s">
        <v>642</v>
      </c>
      <c r="I38" s="350"/>
      <c r="J38" s="342">
        <f t="shared" si="2"/>
        <v>781</v>
      </c>
      <c r="K38" s="351"/>
    </row>
    <row r="39">
      <c r="A39" s="323"/>
      <c r="B39" s="367" t="s">
        <v>233</v>
      </c>
      <c r="C39" s="345" t="s">
        <v>224</v>
      </c>
      <c r="D39" s="366" t="s">
        <v>568</v>
      </c>
      <c r="E39" s="340" t="s">
        <v>649</v>
      </c>
      <c r="F39" s="378" t="s">
        <v>650</v>
      </c>
      <c r="G39" s="323"/>
      <c r="H39" s="355" t="s">
        <v>651</v>
      </c>
      <c r="I39" s="350"/>
      <c r="J39" s="342">
        <f t="shared" si="2"/>
        <v>402</v>
      </c>
      <c r="K39" s="351"/>
    </row>
    <row r="40">
      <c r="A40" s="323"/>
      <c r="B40" s="367" t="s">
        <v>227</v>
      </c>
      <c r="C40" s="345" t="s">
        <v>231</v>
      </c>
      <c r="D40" s="366" t="s">
        <v>564</v>
      </c>
      <c r="E40" s="340" t="s">
        <v>652</v>
      </c>
      <c r="F40" s="378" t="s">
        <v>653</v>
      </c>
      <c r="G40" s="323"/>
      <c r="H40" s="350" t="s">
        <v>642</v>
      </c>
      <c r="I40" s="350"/>
      <c r="J40" s="342">
        <f t="shared" si="2"/>
        <v>510</v>
      </c>
      <c r="K40" s="351"/>
    </row>
    <row r="41">
      <c r="A41" s="323"/>
      <c r="B41" s="348" t="s">
        <v>231</v>
      </c>
      <c r="C41" s="365" t="s">
        <v>227</v>
      </c>
      <c r="D41" s="366" t="s">
        <v>571</v>
      </c>
      <c r="E41" s="340" t="s">
        <v>654</v>
      </c>
      <c r="F41" s="378" t="s">
        <v>655</v>
      </c>
      <c r="G41" s="323"/>
      <c r="H41" s="350" t="s">
        <v>642</v>
      </c>
      <c r="I41" s="350"/>
      <c r="J41" s="342">
        <f t="shared" si="2"/>
        <v>432</v>
      </c>
      <c r="K41" s="351"/>
    </row>
    <row r="42">
      <c r="A42" s="323"/>
      <c r="B42" s="352" t="s">
        <v>233</v>
      </c>
      <c r="C42" s="379" t="s">
        <v>567</v>
      </c>
      <c r="D42" s="354" t="s">
        <v>605</v>
      </c>
      <c r="E42" s="340" t="s">
        <v>656</v>
      </c>
      <c r="F42" s="378" t="s">
        <v>657</v>
      </c>
      <c r="G42" s="323"/>
      <c r="H42" s="355" t="s">
        <v>651</v>
      </c>
      <c r="I42" s="350"/>
      <c r="J42" s="342">
        <f t="shared" si="2"/>
        <v>959</v>
      </c>
      <c r="K42" s="351"/>
    </row>
    <row r="43">
      <c r="A43" s="323"/>
      <c r="B43" s="197" t="s">
        <v>567</v>
      </c>
      <c r="C43" s="23" t="s">
        <v>233</v>
      </c>
      <c r="D43" s="393" t="s">
        <v>594</v>
      </c>
      <c r="E43" s="340" t="s">
        <v>658</v>
      </c>
      <c r="F43" s="392" t="s">
        <v>659</v>
      </c>
      <c r="G43" s="323"/>
      <c r="H43" s="355" t="s">
        <v>651</v>
      </c>
      <c r="I43" s="350"/>
      <c r="J43" s="342">
        <f t="shared" si="2"/>
        <v>427</v>
      </c>
      <c r="K43" s="351"/>
    </row>
    <row r="44">
      <c r="A44" s="323"/>
      <c r="B44" s="23" t="s">
        <v>233</v>
      </c>
      <c r="C44" s="197" t="s">
        <v>230</v>
      </c>
      <c r="D44" s="391">
        <v>45047.0</v>
      </c>
      <c r="E44" s="340" t="s">
        <v>660</v>
      </c>
      <c r="F44" s="392" t="s">
        <v>661</v>
      </c>
      <c r="G44" s="323"/>
      <c r="H44" s="355" t="s">
        <v>651</v>
      </c>
      <c r="I44" s="350"/>
      <c r="J44" s="342">
        <f t="shared" si="2"/>
        <v>924</v>
      </c>
      <c r="K44" s="351"/>
    </row>
    <row r="45">
      <c r="A45" s="323"/>
      <c r="B45" s="29" t="s">
        <v>228</v>
      </c>
      <c r="C45" s="201" t="s">
        <v>231</v>
      </c>
      <c r="D45" s="394">
        <v>45049.0</v>
      </c>
      <c r="E45" s="340" t="s">
        <v>662</v>
      </c>
      <c r="F45" s="392" t="s">
        <v>663</v>
      </c>
      <c r="G45" s="323"/>
      <c r="H45" s="350" t="s">
        <v>642</v>
      </c>
      <c r="I45" s="350"/>
      <c r="J45" s="342">
        <f t="shared" si="2"/>
        <v>1029</v>
      </c>
      <c r="K45" s="351"/>
    </row>
    <row r="46">
      <c r="A46" s="323"/>
      <c r="B46" s="23" t="s">
        <v>231</v>
      </c>
      <c r="C46" s="197" t="s">
        <v>228</v>
      </c>
      <c r="D46" s="391">
        <v>45050.0</v>
      </c>
      <c r="E46" s="395" t="s">
        <v>664</v>
      </c>
      <c r="F46" s="392" t="s">
        <v>665</v>
      </c>
      <c r="G46" s="323"/>
      <c r="H46" s="350" t="s">
        <v>642</v>
      </c>
      <c r="I46" s="350"/>
      <c r="J46" s="342">
        <f t="shared" si="2"/>
        <v>1007</v>
      </c>
      <c r="K46" s="351"/>
    </row>
    <row r="47">
      <c r="A47" s="323"/>
      <c r="B47" s="23" t="s">
        <v>227</v>
      </c>
      <c r="C47" s="197" t="s">
        <v>666</v>
      </c>
      <c r="D47" s="391">
        <v>45048.0</v>
      </c>
      <c r="E47" s="395" t="s">
        <v>667</v>
      </c>
      <c r="F47" s="392" t="s">
        <v>668</v>
      </c>
      <c r="G47" s="323"/>
      <c r="H47" s="350" t="s">
        <v>642</v>
      </c>
      <c r="I47" s="350"/>
      <c r="J47" s="342">
        <f t="shared" si="2"/>
        <v>730</v>
      </c>
      <c r="K47" s="351"/>
    </row>
    <row r="48">
      <c r="A48" s="323"/>
      <c r="B48" s="23" t="s">
        <v>229</v>
      </c>
      <c r="C48" s="197" t="s">
        <v>669</v>
      </c>
      <c r="D48" s="391">
        <v>45050.0</v>
      </c>
      <c r="E48" s="395" t="s">
        <v>670</v>
      </c>
      <c r="F48" s="392" t="s">
        <v>671</v>
      </c>
      <c r="G48" s="323"/>
      <c r="H48" s="355" t="s">
        <v>672</v>
      </c>
      <c r="I48" s="350"/>
      <c r="J48" s="342">
        <f t="shared" si="2"/>
        <v>415</v>
      </c>
      <c r="K48" s="351"/>
    </row>
    <row r="49">
      <c r="A49" s="323"/>
      <c r="B49" s="197" t="s">
        <v>669</v>
      </c>
      <c r="C49" s="23" t="s">
        <v>229</v>
      </c>
      <c r="D49" s="391">
        <v>44962.0</v>
      </c>
      <c r="E49" s="395" t="s">
        <v>673</v>
      </c>
      <c r="F49" s="392" t="s">
        <v>674</v>
      </c>
      <c r="G49" s="323"/>
      <c r="H49" s="355" t="s">
        <v>672</v>
      </c>
      <c r="I49" s="350"/>
      <c r="J49" s="342">
        <f t="shared" si="2"/>
        <v>529</v>
      </c>
      <c r="K49" s="351"/>
    </row>
    <row r="50">
      <c r="A50" s="396"/>
      <c r="B50" s="396"/>
      <c r="C50" s="330"/>
      <c r="D50" s="331"/>
      <c r="E50" s="332"/>
      <c r="F50" s="333"/>
      <c r="G50" s="397"/>
      <c r="H50" s="334"/>
      <c r="I50" s="334"/>
      <c r="J50" s="334"/>
      <c r="K50" s="335"/>
    </row>
    <row r="51">
      <c r="A51" s="323" t="s">
        <v>675</v>
      </c>
      <c r="B51" s="367" t="s">
        <v>227</v>
      </c>
      <c r="C51" s="345" t="s">
        <v>669</v>
      </c>
      <c r="D51" s="366" t="s">
        <v>564</v>
      </c>
      <c r="E51" s="340" t="s">
        <v>676</v>
      </c>
      <c r="F51" s="347" t="s">
        <v>677</v>
      </c>
      <c r="G51" s="323" t="s">
        <v>675</v>
      </c>
      <c r="H51" s="350"/>
      <c r="I51" s="350"/>
      <c r="J51" s="342">
        <f t="shared" ref="J51:J57" si="3">E51*24*60</f>
        <v>350</v>
      </c>
      <c r="K51" s="351"/>
    </row>
    <row r="52">
      <c r="B52" s="348" t="s">
        <v>669</v>
      </c>
      <c r="C52" s="365" t="s">
        <v>227</v>
      </c>
      <c r="D52" s="366" t="s">
        <v>594</v>
      </c>
      <c r="E52" s="340" t="s">
        <v>678</v>
      </c>
      <c r="F52" s="347" t="s">
        <v>679</v>
      </c>
      <c r="H52" s="350"/>
      <c r="I52" s="350"/>
      <c r="J52" s="342">
        <f t="shared" si="3"/>
        <v>1687</v>
      </c>
      <c r="K52" s="351"/>
    </row>
    <row r="53">
      <c r="B53" s="348" t="s">
        <v>233</v>
      </c>
      <c r="C53" s="365" t="s">
        <v>231</v>
      </c>
      <c r="D53" s="366" t="s">
        <v>599</v>
      </c>
      <c r="E53" s="340" t="s">
        <v>680</v>
      </c>
      <c r="F53" s="347" t="s">
        <v>681</v>
      </c>
      <c r="H53" s="355" t="s">
        <v>651</v>
      </c>
      <c r="I53" s="350"/>
      <c r="J53" s="342">
        <f t="shared" si="3"/>
        <v>1196</v>
      </c>
      <c r="K53" s="351"/>
    </row>
    <row r="54">
      <c r="B54" s="352" t="s">
        <v>567</v>
      </c>
      <c r="C54" s="379" t="s">
        <v>228</v>
      </c>
      <c r="D54" s="354" t="s">
        <v>568</v>
      </c>
      <c r="E54" s="340" t="s">
        <v>682</v>
      </c>
      <c r="F54" s="347" t="s">
        <v>683</v>
      </c>
      <c r="H54" s="350"/>
      <c r="I54" s="350"/>
      <c r="J54" s="342">
        <f t="shared" si="3"/>
        <v>1416</v>
      </c>
      <c r="K54" s="351"/>
    </row>
    <row r="55">
      <c r="B55" s="369" t="s">
        <v>228</v>
      </c>
      <c r="C55" s="370" t="s">
        <v>567</v>
      </c>
      <c r="D55" s="354" t="s">
        <v>599</v>
      </c>
      <c r="E55" s="340" t="s">
        <v>684</v>
      </c>
      <c r="F55" s="347" t="s">
        <v>685</v>
      </c>
      <c r="H55" s="371"/>
      <c r="I55" s="371"/>
      <c r="J55" s="342">
        <f t="shared" si="3"/>
        <v>1212</v>
      </c>
      <c r="K55" s="372"/>
    </row>
    <row r="56">
      <c r="B56" s="352" t="s">
        <v>567</v>
      </c>
      <c r="C56" s="379" t="s">
        <v>230</v>
      </c>
      <c r="D56" s="354" t="s">
        <v>585</v>
      </c>
      <c r="E56" s="340" t="s">
        <v>686</v>
      </c>
      <c r="F56" s="347" t="s">
        <v>687</v>
      </c>
      <c r="H56" s="371"/>
      <c r="I56" s="371"/>
      <c r="J56" s="342">
        <f t="shared" si="3"/>
        <v>1189</v>
      </c>
      <c r="K56" s="372"/>
    </row>
    <row r="57">
      <c r="B57" s="367" t="s">
        <v>567</v>
      </c>
      <c r="C57" s="345" t="s">
        <v>231</v>
      </c>
      <c r="D57" s="366" t="s">
        <v>605</v>
      </c>
      <c r="E57" s="340" t="s">
        <v>688</v>
      </c>
      <c r="F57" s="347" t="s">
        <v>689</v>
      </c>
      <c r="H57" s="371"/>
      <c r="I57" s="371"/>
      <c r="J57" s="342">
        <f t="shared" si="3"/>
        <v>1030</v>
      </c>
      <c r="K57" s="372"/>
    </row>
    <row r="58">
      <c r="B58" s="337" t="s">
        <v>225</v>
      </c>
      <c r="C58" s="338" t="s">
        <v>229</v>
      </c>
      <c r="D58" s="339" t="s">
        <v>564</v>
      </c>
      <c r="E58" s="340" t="s">
        <v>565</v>
      </c>
      <c r="F58" s="341" t="s">
        <v>566</v>
      </c>
      <c r="H58" s="371"/>
      <c r="I58" s="371"/>
      <c r="J58" s="342"/>
      <c r="K58" s="372"/>
    </row>
    <row r="59">
      <c r="B59" s="352" t="s">
        <v>225</v>
      </c>
      <c r="C59" s="379" t="s">
        <v>567</v>
      </c>
      <c r="D59" s="354" t="s">
        <v>585</v>
      </c>
      <c r="E59" s="340" t="s">
        <v>690</v>
      </c>
      <c r="F59" s="347" t="s">
        <v>691</v>
      </c>
      <c r="H59" s="371"/>
      <c r="I59" s="371"/>
      <c r="J59" s="342">
        <f>E59*24*60</f>
        <v>1078</v>
      </c>
      <c r="K59" s="372"/>
    </row>
    <row r="60">
      <c r="B60" s="398" t="s">
        <v>229</v>
      </c>
      <c r="C60" s="399" t="s">
        <v>233</v>
      </c>
      <c r="D60" s="339" t="s">
        <v>594</v>
      </c>
      <c r="E60" s="340" t="s">
        <v>565</v>
      </c>
      <c r="F60" s="341" t="s">
        <v>566</v>
      </c>
      <c r="H60" s="371"/>
      <c r="I60" s="371"/>
      <c r="J60" s="342"/>
      <c r="K60" s="372"/>
    </row>
    <row r="61">
      <c r="B61" s="369" t="s">
        <v>230</v>
      </c>
      <c r="C61" s="370" t="s">
        <v>225</v>
      </c>
      <c r="D61" s="354" t="s">
        <v>571</v>
      </c>
      <c r="E61" s="340" t="s">
        <v>692</v>
      </c>
      <c r="F61" s="347" t="s">
        <v>693</v>
      </c>
      <c r="H61" s="355" t="s">
        <v>579</v>
      </c>
      <c r="I61" s="355" t="s">
        <v>591</v>
      </c>
      <c r="J61" s="342">
        <f t="shared" ref="J61:J63" si="4">E61*24*60</f>
        <v>752</v>
      </c>
      <c r="K61" s="358"/>
    </row>
    <row r="62">
      <c r="B62" s="352" t="s">
        <v>225</v>
      </c>
      <c r="C62" s="379" t="s">
        <v>669</v>
      </c>
      <c r="D62" s="354" t="s">
        <v>585</v>
      </c>
      <c r="E62" s="340" t="s">
        <v>694</v>
      </c>
      <c r="F62" s="341" t="s">
        <v>695</v>
      </c>
      <c r="H62" s="355" t="s">
        <v>579</v>
      </c>
      <c r="I62" s="350"/>
      <c r="J62" s="342">
        <f t="shared" si="4"/>
        <v>961</v>
      </c>
      <c r="K62" s="351"/>
    </row>
    <row r="63">
      <c r="B63" s="369" t="s">
        <v>669</v>
      </c>
      <c r="C63" s="370" t="s">
        <v>225</v>
      </c>
      <c r="D63" s="354" t="s">
        <v>571</v>
      </c>
      <c r="E63" s="340" t="s">
        <v>696</v>
      </c>
      <c r="F63" s="347" t="s">
        <v>697</v>
      </c>
      <c r="H63" s="355" t="s">
        <v>579</v>
      </c>
      <c r="I63" s="350"/>
      <c r="J63" s="342">
        <f t="shared" si="4"/>
        <v>1553</v>
      </c>
      <c r="K63" s="351"/>
    </row>
    <row r="64">
      <c r="A64" s="158"/>
      <c r="B64" s="398" t="s">
        <v>229</v>
      </c>
      <c r="C64" s="399" t="s">
        <v>231</v>
      </c>
      <c r="D64" s="339" t="s">
        <v>594</v>
      </c>
      <c r="E64" s="340" t="s">
        <v>565</v>
      </c>
      <c r="F64" s="341" t="s">
        <v>566</v>
      </c>
      <c r="G64" s="1"/>
      <c r="H64" s="350"/>
      <c r="I64" s="350"/>
      <c r="J64" s="342"/>
      <c r="K64" s="351"/>
    </row>
    <row r="65">
      <c r="A65" s="158"/>
      <c r="B65" s="398" t="s">
        <v>229</v>
      </c>
      <c r="C65" s="399" t="s">
        <v>234</v>
      </c>
      <c r="D65" s="339" t="s">
        <v>594</v>
      </c>
      <c r="E65" s="340" t="s">
        <v>565</v>
      </c>
      <c r="F65" s="341" t="s">
        <v>566</v>
      </c>
      <c r="G65" s="1"/>
      <c r="H65" s="350"/>
      <c r="I65" s="350"/>
      <c r="J65" s="342"/>
      <c r="K65" s="351"/>
    </row>
    <row r="66">
      <c r="A66" s="158"/>
      <c r="B66" s="367" t="s">
        <v>669</v>
      </c>
      <c r="C66" s="345" t="s">
        <v>567</v>
      </c>
      <c r="D66" s="366" t="s">
        <v>631</v>
      </c>
      <c r="E66" s="340" t="s">
        <v>698</v>
      </c>
      <c r="F66" s="347" t="s">
        <v>699</v>
      </c>
      <c r="G66" s="1"/>
      <c r="H66" s="350" t="s">
        <v>642</v>
      </c>
      <c r="I66" s="350"/>
      <c r="J66" s="342">
        <f t="shared" ref="J66:J67" si="5">E66*24*60</f>
        <v>729</v>
      </c>
      <c r="K66" s="351"/>
    </row>
    <row r="67">
      <c r="A67" s="158"/>
      <c r="B67" s="348" t="s">
        <v>567</v>
      </c>
      <c r="C67" s="365" t="s">
        <v>669</v>
      </c>
      <c r="D67" s="366" t="s">
        <v>582</v>
      </c>
      <c r="E67" s="340" t="s">
        <v>700</v>
      </c>
      <c r="F67" s="347" t="s">
        <v>701</v>
      </c>
      <c r="G67" s="1"/>
      <c r="H67" s="350" t="s">
        <v>642</v>
      </c>
      <c r="I67" s="350"/>
      <c r="J67" s="342">
        <f t="shared" si="5"/>
        <v>963</v>
      </c>
      <c r="K67" s="351"/>
    </row>
    <row r="68">
      <c r="A68" s="396"/>
      <c r="B68" s="396"/>
      <c r="C68" s="330"/>
      <c r="D68" s="331"/>
      <c r="E68" s="332"/>
      <c r="F68" s="333"/>
      <c r="G68" s="397"/>
      <c r="H68" s="334"/>
      <c r="I68" s="334"/>
      <c r="J68" s="334"/>
      <c r="K68" s="335"/>
    </row>
    <row r="69">
      <c r="A69" s="400" t="s">
        <v>702</v>
      </c>
      <c r="B69" s="369" t="s">
        <v>234</v>
      </c>
      <c r="C69" s="370" t="s">
        <v>233</v>
      </c>
      <c r="D69" s="354" t="s">
        <v>703</v>
      </c>
      <c r="E69" s="340" t="s">
        <v>704</v>
      </c>
      <c r="F69" s="347" t="s">
        <v>705</v>
      </c>
      <c r="G69" s="400" t="s">
        <v>702</v>
      </c>
      <c r="H69" s="355" t="s">
        <v>651</v>
      </c>
      <c r="I69" s="350"/>
      <c r="J69" s="342">
        <f t="shared" ref="J69:J74" si="6">E69*24*60</f>
        <v>864</v>
      </c>
      <c r="K69" s="351"/>
    </row>
    <row r="70">
      <c r="B70" s="367" t="s">
        <v>231</v>
      </c>
      <c r="C70" s="345" t="s">
        <v>230</v>
      </c>
      <c r="D70" s="366" t="s">
        <v>568</v>
      </c>
      <c r="E70" s="340" t="s">
        <v>706</v>
      </c>
      <c r="F70" s="347" t="s">
        <v>707</v>
      </c>
      <c r="H70" s="350"/>
      <c r="I70" s="350"/>
      <c r="J70" s="342">
        <f t="shared" si="6"/>
        <v>636</v>
      </c>
      <c r="K70" s="351"/>
    </row>
    <row r="71">
      <c r="B71" s="367" t="s">
        <v>227</v>
      </c>
      <c r="C71" s="345" t="s">
        <v>224</v>
      </c>
      <c r="D71" s="366" t="s">
        <v>582</v>
      </c>
      <c r="E71" s="340" t="s">
        <v>708</v>
      </c>
      <c r="F71" s="347" t="s">
        <v>709</v>
      </c>
      <c r="H71" s="355" t="s">
        <v>651</v>
      </c>
      <c r="I71" s="350"/>
      <c r="J71" s="342">
        <f t="shared" si="6"/>
        <v>757</v>
      </c>
      <c r="K71" s="351"/>
    </row>
    <row r="72">
      <c r="B72" s="367" t="s">
        <v>669</v>
      </c>
      <c r="C72" s="345" t="s">
        <v>233</v>
      </c>
      <c r="D72" s="366" t="s">
        <v>585</v>
      </c>
      <c r="E72" s="340" t="s">
        <v>710</v>
      </c>
      <c r="F72" s="347" t="s">
        <v>711</v>
      </c>
      <c r="H72" s="355" t="s">
        <v>651</v>
      </c>
      <c r="I72" s="350"/>
      <c r="J72" s="342">
        <f t="shared" si="6"/>
        <v>1502</v>
      </c>
      <c r="K72" s="351"/>
    </row>
    <row r="73">
      <c r="B73" s="352" t="s">
        <v>231</v>
      </c>
      <c r="C73" s="379" t="s">
        <v>567</v>
      </c>
      <c r="D73" s="354" t="s">
        <v>631</v>
      </c>
      <c r="E73" s="340" t="s">
        <v>667</v>
      </c>
      <c r="F73" s="347" t="s">
        <v>712</v>
      </c>
      <c r="H73" s="371"/>
      <c r="I73" s="371"/>
      <c r="J73" s="342">
        <f t="shared" si="6"/>
        <v>730</v>
      </c>
      <c r="K73" s="372"/>
    </row>
    <row r="74">
      <c r="B74" s="348" t="s">
        <v>224</v>
      </c>
      <c r="C74" s="365" t="s">
        <v>567</v>
      </c>
      <c r="D74" s="366" t="s">
        <v>571</v>
      </c>
      <c r="E74" s="340" t="s">
        <v>713</v>
      </c>
      <c r="F74" s="347" t="s">
        <v>714</v>
      </c>
      <c r="H74" s="371"/>
      <c r="I74" s="371"/>
      <c r="J74" s="342">
        <f t="shared" si="6"/>
        <v>813</v>
      </c>
      <c r="K74" s="372"/>
    </row>
    <row r="75">
      <c r="A75" s="396"/>
      <c r="B75" s="396"/>
      <c r="C75" s="330"/>
      <c r="D75" s="331"/>
      <c r="E75" s="332"/>
      <c r="F75" s="333"/>
      <c r="G75" s="397"/>
      <c r="H75" s="334"/>
      <c r="I75" s="334"/>
      <c r="J75" s="334"/>
      <c r="K75" s="335"/>
    </row>
    <row r="76">
      <c r="A76" s="323" t="s">
        <v>715</v>
      </c>
      <c r="B76" s="398" t="s">
        <v>229</v>
      </c>
      <c r="C76" s="399" t="s">
        <v>228</v>
      </c>
      <c r="D76" s="339" t="s">
        <v>594</v>
      </c>
      <c r="E76" s="340" t="s">
        <v>565</v>
      </c>
      <c r="F76" s="341" t="s">
        <v>566</v>
      </c>
      <c r="G76" s="323" t="s">
        <v>715</v>
      </c>
      <c r="H76" s="371"/>
      <c r="I76" s="371"/>
      <c r="J76" s="401" t="s">
        <v>716</v>
      </c>
      <c r="K76" s="372">
        <f>AVERAGE(J3:J18,J20:J49,J51:J67,J69:J74)/60</f>
        <v>14.36354167</v>
      </c>
    </row>
    <row r="77">
      <c r="B77" s="398" t="s">
        <v>229</v>
      </c>
      <c r="C77" s="399" t="s">
        <v>567</v>
      </c>
      <c r="D77" s="339" t="s">
        <v>594</v>
      </c>
      <c r="E77" s="340" t="s">
        <v>565</v>
      </c>
      <c r="F77" s="341" t="s">
        <v>566</v>
      </c>
      <c r="H77" s="371"/>
      <c r="I77" s="371"/>
      <c r="J77" s="371"/>
      <c r="K77" s="372">
        <f>MIN(J3:J18,J20:J49,J51:J67,J69:J74)/60</f>
        <v>5.083333333</v>
      </c>
    </row>
    <row r="78">
      <c r="B78" s="352" t="s">
        <v>231</v>
      </c>
      <c r="C78" s="379" t="s">
        <v>230</v>
      </c>
      <c r="D78" s="354" t="s">
        <v>605</v>
      </c>
      <c r="E78" s="340" t="s">
        <v>717</v>
      </c>
      <c r="F78" s="347" t="s">
        <v>718</v>
      </c>
      <c r="H78" s="371"/>
      <c r="I78" s="371"/>
      <c r="J78" s="371"/>
      <c r="K78" s="372">
        <f>MAX(J3:J18,J20:J49,J51:J67,J69:J74)/60</f>
        <v>30.68333333</v>
      </c>
    </row>
    <row r="79">
      <c r="A79" s="158"/>
      <c r="B79" s="402"/>
      <c r="C79" s="403"/>
      <c r="D79" s="404"/>
      <c r="E79" s="405"/>
      <c r="F79" s="406"/>
      <c r="G79" s="1"/>
      <c r="H79" s="1"/>
      <c r="I79" s="1"/>
      <c r="J79" s="1"/>
      <c r="K79" s="407"/>
    </row>
    <row r="80">
      <c r="A80" s="323" t="s">
        <v>719</v>
      </c>
      <c r="B80" s="337" t="s">
        <v>567</v>
      </c>
      <c r="C80" s="338" t="s">
        <v>229</v>
      </c>
      <c r="D80" s="339" t="s">
        <v>564</v>
      </c>
      <c r="E80" s="340" t="s">
        <v>720</v>
      </c>
      <c r="F80" s="341" t="s">
        <v>566</v>
      </c>
      <c r="G80" s="323" t="s">
        <v>719</v>
      </c>
      <c r="H80" s="350"/>
      <c r="I80" s="350"/>
      <c r="J80" s="350"/>
      <c r="K80" s="351"/>
    </row>
    <row r="81">
      <c r="B81" s="398" t="s">
        <v>229</v>
      </c>
      <c r="C81" s="399" t="s">
        <v>228</v>
      </c>
      <c r="D81" s="339" t="s">
        <v>594</v>
      </c>
      <c r="E81" s="340" t="s">
        <v>720</v>
      </c>
      <c r="F81" s="341" t="s">
        <v>566</v>
      </c>
      <c r="H81" s="350"/>
      <c r="I81" s="350"/>
      <c r="J81" s="350"/>
      <c r="K81" s="351"/>
    </row>
    <row r="82">
      <c r="B82" s="352" t="s">
        <v>225</v>
      </c>
      <c r="C82" s="379" t="s">
        <v>234</v>
      </c>
      <c r="D82" s="354" t="s">
        <v>631</v>
      </c>
      <c r="E82" s="340" t="s">
        <v>721</v>
      </c>
      <c r="F82" s="347" t="s">
        <v>722</v>
      </c>
      <c r="H82" s="355" t="s">
        <v>591</v>
      </c>
      <c r="I82" s="350"/>
      <c r="J82" s="350"/>
      <c r="K82" s="351"/>
    </row>
    <row r="83">
      <c r="B83" s="352" t="s">
        <v>231</v>
      </c>
      <c r="C83" s="379" t="s">
        <v>723</v>
      </c>
      <c r="D83" s="354" t="s">
        <v>568</v>
      </c>
      <c r="E83" s="340" t="s">
        <v>724</v>
      </c>
      <c r="F83" s="347" t="s">
        <v>725</v>
      </c>
      <c r="H83" s="371"/>
      <c r="I83" s="371"/>
      <c r="J83" s="371"/>
      <c r="K83" s="372"/>
    </row>
    <row r="84">
      <c r="B84" s="367" t="s">
        <v>723</v>
      </c>
      <c r="C84" s="345" t="s">
        <v>231</v>
      </c>
      <c r="D84" s="366" t="s">
        <v>585</v>
      </c>
      <c r="E84" s="340" t="s">
        <v>726</v>
      </c>
      <c r="F84" s="347" t="s">
        <v>727</v>
      </c>
      <c r="H84" s="371"/>
      <c r="I84" s="371"/>
      <c r="J84" s="371"/>
      <c r="K84" s="372"/>
    </row>
    <row r="85">
      <c r="B85" s="348" t="s">
        <v>224</v>
      </c>
      <c r="C85" s="365" t="s">
        <v>231</v>
      </c>
      <c r="D85" s="366" t="s">
        <v>594</v>
      </c>
      <c r="E85" s="340" t="s">
        <v>728</v>
      </c>
      <c r="F85" s="347" t="s">
        <v>729</v>
      </c>
      <c r="H85" s="371"/>
      <c r="I85" s="371"/>
      <c r="J85" s="371"/>
      <c r="K85" s="372"/>
    </row>
    <row r="86">
      <c r="B86" s="367" t="s">
        <v>231</v>
      </c>
      <c r="C86" s="345" t="s">
        <v>224</v>
      </c>
      <c r="D86" s="366" t="s">
        <v>605</v>
      </c>
      <c r="E86" s="340" t="s">
        <v>730</v>
      </c>
      <c r="F86" s="347" t="s">
        <v>731</v>
      </c>
      <c r="H86" s="371"/>
      <c r="I86" s="371"/>
      <c r="J86" s="371"/>
      <c r="K86" s="372"/>
    </row>
    <row r="87">
      <c r="B87" s="348" t="s">
        <v>224</v>
      </c>
      <c r="C87" s="365" t="s">
        <v>669</v>
      </c>
      <c r="D87" s="366" t="s">
        <v>571</v>
      </c>
      <c r="E87" s="340" t="s">
        <v>732</v>
      </c>
      <c r="F87" s="347" t="s">
        <v>733</v>
      </c>
      <c r="H87" s="371"/>
      <c r="I87" s="371"/>
      <c r="J87" s="371"/>
      <c r="K87" s="372"/>
    </row>
    <row r="88">
      <c r="B88" s="367" t="s">
        <v>669</v>
      </c>
      <c r="C88" s="345" t="s">
        <v>224</v>
      </c>
      <c r="D88" s="366" t="s">
        <v>605</v>
      </c>
      <c r="E88" s="340" t="s">
        <v>734</v>
      </c>
      <c r="F88" s="347" t="s">
        <v>735</v>
      </c>
      <c r="H88" s="371"/>
      <c r="I88" s="371"/>
      <c r="J88" s="408"/>
      <c r="K88" s="409"/>
    </row>
    <row r="89">
      <c r="B89" s="367" t="s">
        <v>233</v>
      </c>
      <c r="C89" s="345" t="s">
        <v>669</v>
      </c>
      <c r="D89" s="366" t="s">
        <v>564</v>
      </c>
      <c r="E89" s="340" t="s">
        <v>736</v>
      </c>
      <c r="F89" s="347" t="s">
        <v>737</v>
      </c>
      <c r="H89" s="355" t="s">
        <v>651</v>
      </c>
      <c r="I89" s="371"/>
      <c r="J89" s="410"/>
      <c r="K89" s="411"/>
    </row>
    <row r="90">
      <c r="B90" s="388" t="s">
        <v>234</v>
      </c>
      <c r="C90" s="412" t="s">
        <v>669</v>
      </c>
      <c r="D90" s="413" t="s">
        <v>585</v>
      </c>
      <c r="E90" s="395"/>
      <c r="F90" s="414"/>
      <c r="H90" s="371"/>
      <c r="I90" s="371"/>
      <c r="J90" s="410"/>
      <c r="K90" s="411"/>
    </row>
    <row r="91">
      <c r="B91" s="415" t="s">
        <v>669</v>
      </c>
      <c r="C91" s="416" t="s">
        <v>234</v>
      </c>
      <c r="D91" s="413" t="s">
        <v>703</v>
      </c>
      <c r="E91" s="395" t="s">
        <v>738</v>
      </c>
      <c r="F91" s="417" t="s">
        <v>739</v>
      </c>
      <c r="H91" s="401" t="s">
        <v>642</v>
      </c>
      <c r="I91" s="371"/>
      <c r="J91" s="410"/>
      <c r="K91" s="411"/>
    </row>
    <row r="92">
      <c r="A92" s="158"/>
      <c r="B92" s="402"/>
      <c r="C92" s="403"/>
      <c r="D92" s="404"/>
      <c r="E92" s="405"/>
      <c r="F92" s="406"/>
      <c r="G92" s="1"/>
      <c r="H92" s="1"/>
      <c r="I92" s="1"/>
      <c r="J92" s="1"/>
      <c r="K92" s="407"/>
    </row>
    <row r="93">
      <c r="A93" s="323" t="s">
        <v>740</v>
      </c>
      <c r="B93" s="352" t="s">
        <v>230</v>
      </c>
      <c r="C93" s="379" t="s">
        <v>228</v>
      </c>
      <c r="D93" s="354" t="s">
        <v>564</v>
      </c>
      <c r="E93" s="340" t="s">
        <v>741</v>
      </c>
      <c r="F93" s="347" t="s">
        <v>742</v>
      </c>
      <c r="G93" s="323" t="s">
        <v>740</v>
      </c>
      <c r="H93" s="350"/>
      <c r="I93" s="350"/>
      <c r="J93" s="350"/>
      <c r="K93" s="351"/>
    </row>
    <row r="94">
      <c r="B94" s="369" t="s">
        <v>228</v>
      </c>
      <c r="C94" s="370" t="s">
        <v>230</v>
      </c>
      <c r="D94" s="354" t="s">
        <v>594</v>
      </c>
      <c r="E94" s="340" t="s">
        <v>743</v>
      </c>
      <c r="F94" s="347" t="s">
        <v>744</v>
      </c>
      <c r="H94" s="371"/>
      <c r="I94" s="371"/>
      <c r="J94" s="371"/>
      <c r="K94" s="372"/>
    </row>
    <row r="95">
      <c r="B95" s="348" t="s">
        <v>228</v>
      </c>
      <c r="C95" s="365" t="s">
        <v>234</v>
      </c>
      <c r="D95" s="366" t="s">
        <v>594</v>
      </c>
      <c r="E95" s="340" t="s">
        <v>745</v>
      </c>
      <c r="F95" s="368"/>
      <c r="H95" s="371"/>
      <c r="I95" s="371"/>
      <c r="J95" s="371"/>
      <c r="K95" s="372"/>
    </row>
    <row r="96">
      <c r="B96" s="418" t="s">
        <v>234</v>
      </c>
      <c r="C96" s="419" t="s">
        <v>228</v>
      </c>
      <c r="D96" s="366" t="s">
        <v>564</v>
      </c>
      <c r="E96" s="340" t="s">
        <v>577</v>
      </c>
      <c r="F96" s="368"/>
      <c r="H96" s="371"/>
      <c r="I96" s="371"/>
      <c r="J96" s="371"/>
      <c r="K96" s="372"/>
    </row>
    <row r="97">
      <c r="B97" s="29" t="s">
        <v>669</v>
      </c>
      <c r="C97" s="315" t="s">
        <v>228</v>
      </c>
      <c r="D97" s="420" t="s">
        <v>564</v>
      </c>
      <c r="E97" s="340" t="s">
        <v>746</v>
      </c>
      <c r="F97" s="368"/>
      <c r="H97" s="371"/>
      <c r="I97" s="371"/>
      <c r="J97" s="371"/>
      <c r="K97" s="372"/>
    </row>
    <row r="98">
      <c r="B98" s="201" t="s">
        <v>228</v>
      </c>
      <c r="C98" s="231" t="s">
        <v>669</v>
      </c>
      <c r="D98" s="420" t="s">
        <v>703</v>
      </c>
      <c r="E98" s="340" t="s">
        <v>747</v>
      </c>
      <c r="F98" s="368"/>
      <c r="H98" s="371"/>
      <c r="I98" s="371"/>
      <c r="J98" s="371"/>
      <c r="K98" s="372"/>
    </row>
    <row r="99">
      <c r="B99" s="421" t="s">
        <v>231</v>
      </c>
      <c r="C99" s="422" t="s">
        <v>225</v>
      </c>
      <c r="D99" s="366" t="s">
        <v>605</v>
      </c>
      <c r="E99" s="340" t="s">
        <v>748</v>
      </c>
      <c r="F99" s="368"/>
      <c r="H99" s="371"/>
      <c r="I99" s="371"/>
      <c r="J99" s="371"/>
      <c r="K99" s="372"/>
    </row>
    <row r="100">
      <c r="B100" s="352" t="s">
        <v>225</v>
      </c>
      <c r="C100" s="379" t="s">
        <v>228</v>
      </c>
      <c r="D100" s="354" t="s">
        <v>568</v>
      </c>
      <c r="E100" s="340" t="s">
        <v>749</v>
      </c>
      <c r="F100" s="368"/>
      <c r="H100" s="371"/>
      <c r="I100" s="371"/>
      <c r="J100" s="371"/>
      <c r="K100" s="372"/>
    </row>
    <row r="101">
      <c r="B101" s="369" t="s">
        <v>228</v>
      </c>
      <c r="C101" s="370" t="s">
        <v>225</v>
      </c>
      <c r="D101" s="354" t="s">
        <v>571</v>
      </c>
      <c r="E101" s="340" t="s">
        <v>747</v>
      </c>
      <c r="F101" s="368"/>
      <c r="H101" s="371"/>
      <c r="I101" s="371"/>
      <c r="J101" s="371"/>
      <c r="K101" s="372"/>
    </row>
    <row r="102">
      <c r="B102" s="348" t="s">
        <v>567</v>
      </c>
      <c r="C102" s="365" t="s">
        <v>234</v>
      </c>
      <c r="D102" s="366" t="s">
        <v>571</v>
      </c>
      <c r="E102" s="340" t="s">
        <v>750</v>
      </c>
      <c r="F102" s="368"/>
      <c r="H102" s="371"/>
      <c r="I102" s="371"/>
      <c r="J102" s="371"/>
      <c r="K102" s="372"/>
    </row>
    <row r="103">
      <c r="B103" s="367" t="s">
        <v>234</v>
      </c>
      <c r="C103" s="345" t="s">
        <v>567</v>
      </c>
      <c r="D103" s="366" t="s">
        <v>568</v>
      </c>
      <c r="E103" s="340" t="s">
        <v>751</v>
      </c>
      <c r="F103" s="368"/>
      <c r="H103" s="371"/>
      <c r="I103" s="371"/>
      <c r="J103" s="371"/>
      <c r="K103" s="372"/>
    </row>
    <row r="104">
      <c r="B104" s="352" t="s">
        <v>230</v>
      </c>
      <c r="C104" s="379" t="s">
        <v>567</v>
      </c>
      <c r="D104" s="354" t="s">
        <v>568</v>
      </c>
      <c r="E104" s="340" t="s">
        <v>752</v>
      </c>
      <c r="F104" s="368"/>
      <c r="H104" s="371"/>
      <c r="I104" s="371"/>
      <c r="J104" s="371"/>
      <c r="K104" s="372"/>
    </row>
    <row r="105">
      <c r="B105" s="352" t="s">
        <v>230</v>
      </c>
      <c r="C105" s="379" t="s">
        <v>669</v>
      </c>
      <c r="D105" s="354" t="s">
        <v>585</v>
      </c>
      <c r="E105" s="340" t="s">
        <v>753</v>
      </c>
      <c r="F105" s="368"/>
      <c r="H105" s="371"/>
      <c r="I105" s="371"/>
      <c r="J105" s="371"/>
      <c r="K105" s="372"/>
    </row>
    <row r="106">
      <c r="B106" s="369" t="s">
        <v>669</v>
      </c>
      <c r="C106" s="370" t="s">
        <v>230</v>
      </c>
      <c r="D106" s="354" t="s">
        <v>571</v>
      </c>
      <c r="E106" s="340" t="s">
        <v>754</v>
      </c>
      <c r="F106" s="368"/>
      <c r="H106" s="371"/>
      <c r="I106" s="371"/>
      <c r="J106" s="371"/>
      <c r="K106" s="372"/>
    </row>
    <row r="107">
      <c r="B107" s="398"/>
      <c r="C107" s="338"/>
      <c r="D107" s="339"/>
      <c r="E107" s="340"/>
      <c r="F107" s="368"/>
      <c r="H107" s="371"/>
      <c r="I107" s="371"/>
      <c r="J107" s="371"/>
      <c r="K107" s="372"/>
    </row>
    <row r="108">
      <c r="B108" s="398"/>
      <c r="C108" s="338"/>
      <c r="D108" s="339"/>
      <c r="E108" s="340"/>
      <c r="F108" s="368"/>
      <c r="H108" s="371"/>
      <c r="I108" s="371"/>
      <c r="J108" s="371"/>
      <c r="K108" s="372"/>
    </row>
    <row r="109">
      <c r="B109" s="398"/>
      <c r="C109" s="338"/>
      <c r="D109" s="339"/>
      <c r="E109" s="340"/>
      <c r="F109" s="368"/>
      <c r="H109" s="371"/>
      <c r="I109" s="371"/>
      <c r="J109" s="371"/>
      <c r="K109" s="372"/>
    </row>
    <row r="110">
      <c r="B110" s="398"/>
      <c r="C110" s="338"/>
      <c r="D110" s="339"/>
      <c r="E110" s="340"/>
      <c r="F110" s="368"/>
      <c r="H110" s="371"/>
      <c r="I110" s="371"/>
      <c r="J110" s="371"/>
      <c r="K110" s="372"/>
    </row>
    <row r="111">
      <c r="B111" s="398"/>
      <c r="C111" s="338"/>
      <c r="D111" s="339"/>
      <c r="E111" s="340"/>
      <c r="F111" s="368"/>
      <c r="H111" s="371"/>
      <c r="I111" s="371"/>
      <c r="J111" s="371"/>
      <c r="K111" s="372"/>
    </row>
    <row r="112">
      <c r="B112" s="398"/>
      <c r="C112" s="338"/>
      <c r="D112" s="339"/>
      <c r="E112" s="340"/>
      <c r="F112" s="368"/>
      <c r="H112" s="371"/>
      <c r="I112" s="371"/>
      <c r="J112" s="371"/>
      <c r="K112" s="372"/>
    </row>
    <row r="113">
      <c r="B113" s="398"/>
      <c r="C113" s="338"/>
      <c r="D113" s="339"/>
      <c r="E113" s="340"/>
      <c r="F113" s="368"/>
      <c r="H113" s="371"/>
      <c r="I113" s="371"/>
      <c r="J113" s="371"/>
      <c r="K113" s="372"/>
    </row>
    <row r="114">
      <c r="B114" s="398"/>
      <c r="C114" s="338"/>
      <c r="D114" s="339"/>
      <c r="E114" s="340"/>
      <c r="F114" s="368"/>
      <c r="H114" s="371"/>
      <c r="I114" s="371"/>
      <c r="J114" s="371"/>
      <c r="K114" s="372"/>
    </row>
    <row r="115">
      <c r="B115" s="402"/>
      <c r="C115" s="403"/>
      <c r="D115" s="404"/>
      <c r="E115" s="405"/>
      <c r="F115" s="406"/>
      <c r="H115" s="1"/>
      <c r="I115" s="1"/>
      <c r="J115" s="1"/>
      <c r="K115" s="407"/>
    </row>
  </sheetData>
  <mergeCells count="20">
    <mergeCell ref="A19:A34"/>
    <mergeCell ref="A51:A63"/>
    <mergeCell ref="A69:A74"/>
    <mergeCell ref="A76:A78"/>
    <mergeCell ref="A80:A91"/>
    <mergeCell ref="A93:A115"/>
    <mergeCell ref="C50:D50"/>
    <mergeCell ref="C68:D68"/>
    <mergeCell ref="G69:G74"/>
    <mergeCell ref="C75:D75"/>
    <mergeCell ref="G76:G78"/>
    <mergeCell ref="G80:G91"/>
    <mergeCell ref="G93:G115"/>
    <mergeCell ref="H1:I1"/>
    <mergeCell ref="C2:D2"/>
    <mergeCell ref="A3:A13"/>
    <mergeCell ref="G3:G17"/>
    <mergeCell ref="C19:D19"/>
    <mergeCell ref="G20:G34"/>
    <mergeCell ref="G51:G63"/>
  </mergeCells>
  <conditionalFormatting sqref="F1:F19 F50:F115">
    <cfRule type="cellIs" dxfId="1" priority="1" operator="equal">
      <formula>"Sandbox"</formula>
    </cfRule>
  </conditionalFormatting>
  <conditionalFormatting sqref="F1:F19 F50:F115">
    <cfRule type="cellIs" dxfId="2" priority="2" operator="equal">
      <formula>"Foundry"</formula>
    </cfRule>
  </conditionalFormatting>
  <hyperlinks>
    <hyperlink r:id="rId1" ref="F4"/>
    <hyperlink r:id="rId2" ref="F5"/>
    <hyperlink r:id="rId3" ref="F6"/>
    <hyperlink r:id="rId4" ref="H6"/>
    <hyperlink r:id="rId5" ref="F7"/>
    <hyperlink r:id="rId6" ref="H7"/>
    <hyperlink r:id="rId7" ref="F8"/>
    <hyperlink r:id="rId8" ref="H8"/>
    <hyperlink r:id="rId9" ref="F9"/>
    <hyperlink r:id="rId10" ref="F10"/>
    <hyperlink r:id="rId11" ref="H10"/>
    <hyperlink r:id="rId12" ref="I10"/>
    <hyperlink r:id="rId13" ref="F11"/>
    <hyperlink r:id="rId14" ref="H11"/>
    <hyperlink r:id="rId15" ref="F12"/>
    <hyperlink r:id="rId16" ref="H12"/>
    <hyperlink r:id="rId17" ref="F13"/>
    <hyperlink r:id="rId18" ref="H13"/>
    <hyperlink r:id="rId19" ref="F14"/>
    <hyperlink r:id="rId20" ref="H14"/>
    <hyperlink r:id="rId21" ref="F16"/>
    <hyperlink r:id="rId22" ref="H16"/>
    <hyperlink r:id="rId23" ref="F17"/>
    <hyperlink r:id="rId24" ref="H17"/>
    <hyperlink r:id="rId25" ref="F18"/>
    <hyperlink r:id="rId26" ref="H18"/>
    <hyperlink r:id="rId27" ref="F20"/>
    <hyperlink r:id="rId28" ref="F21"/>
    <hyperlink r:id="rId29" ref="F22"/>
    <hyperlink r:id="rId30" ref="H22"/>
    <hyperlink r:id="rId31" ref="F23"/>
    <hyperlink r:id="rId32" ref="H23"/>
    <hyperlink r:id="rId33" ref="F24"/>
    <hyperlink r:id="rId34" ref="H24"/>
    <hyperlink r:id="rId35" ref="I24"/>
    <hyperlink r:id="rId36" ref="F25"/>
    <hyperlink r:id="rId37" ref="H25"/>
    <hyperlink r:id="rId38" ref="F26"/>
    <hyperlink r:id="rId39" ref="H26"/>
    <hyperlink r:id="rId40" ref="F27"/>
    <hyperlink r:id="rId41" ref="H27"/>
    <hyperlink r:id="rId42" ref="F28"/>
    <hyperlink r:id="rId43" ref="H28"/>
    <hyperlink r:id="rId44" ref="F29"/>
    <hyperlink r:id="rId45" ref="H29"/>
    <hyperlink r:id="rId46" ref="F30"/>
    <hyperlink r:id="rId47" ref="H30"/>
    <hyperlink r:id="rId48" ref="F31"/>
    <hyperlink r:id="rId49" ref="F32"/>
    <hyperlink r:id="rId50" ref="F33"/>
    <hyperlink r:id="rId51" ref="H33"/>
    <hyperlink r:id="rId52" ref="F34"/>
    <hyperlink r:id="rId53" ref="H34"/>
    <hyperlink r:id="rId54" ref="F35"/>
    <hyperlink r:id="rId55" ref="F36"/>
    <hyperlink r:id="rId56" ref="F37"/>
    <hyperlink r:id="rId57" ref="F38"/>
    <hyperlink r:id="rId58" ref="F39"/>
    <hyperlink r:id="rId59" ref="H39"/>
    <hyperlink r:id="rId60" ref="F40"/>
    <hyperlink r:id="rId61" ref="F41"/>
    <hyperlink r:id="rId62" ref="F42"/>
    <hyperlink r:id="rId63" ref="H42"/>
    <hyperlink r:id="rId64" ref="F43"/>
    <hyperlink r:id="rId65" ref="H43"/>
    <hyperlink r:id="rId66" ref="F44"/>
    <hyperlink r:id="rId67" ref="H44"/>
    <hyperlink r:id="rId68" ref="F45"/>
    <hyperlink r:id="rId69" ref="F46"/>
    <hyperlink r:id="rId70" ref="F47"/>
    <hyperlink r:id="rId71" ref="F48"/>
    <hyperlink r:id="rId72" ref="H48"/>
    <hyperlink r:id="rId73" ref="F49"/>
    <hyperlink r:id="rId74" ref="H49"/>
    <hyperlink r:id="rId75" ref="F51"/>
    <hyperlink r:id="rId76" ref="F52"/>
    <hyperlink r:id="rId77" ref="F53"/>
    <hyperlink r:id="rId78" ref="H53"/>
    <hyperlink r:id="rId79" ref="F54"/>
    <hyperlink r:id="rId80" ref="F55"/>
    <hyperlink r:id="rId81" ref="F56"/>
    <hyperlink r:id="rId82" ref="F57"/>
    <hyperlink r:id="rId83" ref="F59"/>
    <hyperlink r:id="rId84" ref="F61"/>
    <hyperlink r:id="rId85" ref="H61"/>
    <hyperlink r:id="rId86" ref="I61"/>
    <hyperlink r:id="rId87" ref="H62"/>
    <hyperlink r:id="rId88" ref="F63"/>
    <hyperlink r:id="rId89" ref="H63"/>
    <hyperlink r:id="rId90" ref="F66"/>
    <hyperlink r:id="rId91" ref="F67"/>
    <hyperlink r:id="rId92" ref="F69"/>
    <hyperlink r:id="rId93" ref="H69"/>
    <hyperlink r:id="rId94" ref="F70"/>
    <hyperlink r:id="rId95" ref="F71"/>
    <hyperlink r:id="rId96" ref="H71"/>
    <hyperlink r:id="rId97" ref="F72"/>
    <hyperlink r:id="rId98" ref="H72"/>
    <hyperlink r:id="rId99" ref="F73"/>
    <hyperlink r:id="rId100" ref="F74"/>
    <hyperlink r:id="rId101" ref="F78"/>
    <hyperlink r:id="rId102" ref="F82"/>
    <hyperlink r:id="rId103" ref="H82"/>
    <hyperlink r:id="rId104" ref="F83"/>
    <hyperlink r:id="rId105" ref="F84"/>
    <hyperlink r:id="rId106" ref="F85"/>
    <hyperlink r:id="rId107" ref="F86"/>
    <hyperlink r:id="rId108" ref="F87"/>
    <hyperlink r:id="rId109" ref="F88"/>
    <hyperlink r:id="rId110" ref="F89"/>
    <hyperlink r:id="rId111" ref="H89"/>
    <hyperlink r:id="rId112" ref="F91"/>
    <hyperlink r:id="rId113" ref="F93"/>
    <hyperlink r:id="rId114" ref="F94"/>
  </hyperlinks>
  <drawing r:id="rId11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2" width="5.88"/>
    <col customWidth="1" min="7" max="7" width="15.5"/>
    <col customWidth="1" min="8" max="8" width="14.38"/>
    <col customWidth="1" min="9" max="9" width="12.63"/>
    <col customWidth="1" min="10" max="10" width="12.5"/>
    <col customWidth="1" min="11" max="11" width="12.63"/>
    <col customWidth="1" min="12" max="12" width="7.5"/>
    <col customWidth="1" min="13" max="13" width="8.25"/>
    <col customWidth="1" min="14" max="14" width="6.75"/>
    <col customWidth="1" min="15" max="17" width="5.5"/>
  </cols>
  <sheetData>
    <row r="1">
      <c r="A1" s="158"/>
      <c r="B1" s="423" t="s">
        <v>755</v>
      </c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</row>
    <row r="2">
      <c r="A2" s="424" t="s">
        <v>756</v>
      </c>
      <c r="B2" s="425" t="str">
        <f>CONCATENATE(C35," / ",C36)</f>
        <v>Mystery Heroes (Holy Morals) / Quit Fuckin Betrayin’ Me (MysticalNovice)</v>
      </c>
      <c r="C2" s="426"/>
      <c r="D2" s="427"/>
      <c r="E2" s="427"/>
      <c r="F2" s="427"/>
      <c r="G2" s="427"/>
      <c r="H2" s="427"/>
      <c r="I2" s="427"/>
      <c r="J2" s="158"/>
      <c r="K2" s="320"/>
      <c r="L2" s="320"/>
      <c r="M2" s="320"/>
      <c r="N2" s="320"/>
      <c r="O2" s="320"/>
      <c r="P2" s="320"/>
      <c r="Q2" s="158"/>
    </row>
    <row r="3" ht="28.5" customHeight="1">
      <c r="A3" s="428"/>
      <c r="B3" s="429"/>
      <c r="C3" s="71"/>
      <c r="D3" s="430"/>
      <c r="E3" s="427"/>
      <c r="F3" s="427"/>
      <c r="G3" s="427"/>
      <c r="H3" s="427"/>
      <c r="I3" s="427"/>
      <c r="J3" s="158"/>
      <c r="K3" s="320"/>
      <c r="L3" s="431" t="s">
        <v>437</v>
      </c>
      <c r="M3" s="431" t="s">
        <v>167</v>
      </c>
      <c r="N3" s="431" t="s">
        <v>2</v>
      </c>
      <c r="O3" s="320"/>
      <c r="P3" s="320"/>
      <c r="Q3" s="158"/>
    </row>
    <row r="4">
      <c r="A4" s="158"/>
      <c r="B4" s="432" t="s">
        <v>757</v>
      </c>
      <c r="D4" s="433" t="s">
        <v>758</v>
      </c>
      <c r="E4" s="427"/>
      <c r="F4" s="427"/>
      <c r="G4" s="427"/>
      <c r="H4" s="427"/>
      <c r="I4" s="427"/>
      <c r="J4" s="158"/>
      <c r="K4" s="320"/>
      <c r="L4" s="431" t="s">
        <v>759</v>
      </c>
      <c r="M4" s="431" t="s">
        <v>760</v>
      </c>
      <c r="N4" s="320"/>
      <c r="O4" s="320"/>
      <c r="P4" s="320"/>
      <c r="Q4" s="158"/>
    </row>
    <row r="5">
      <c r="A5" s="424" t="s">
        <v>761</v>
      </c>
      <c r="B5" s="434" t="str">
        <f>C42</f>
        <v>Ram Ranch (MuNgO PuNgO)</v>
      </c>
      <c r="C5" s="426"/>
      <c r="D5" s="435"/>
      <c r="E5" s="436" t="s">
        <v>762</v>
      </c>
      <c r="F5" s="427"/>
      <c r="G5" s="427"/>
      <c r="H5" s="427"/>
      <c r="I5" s="427"/>
      <c r="J5" s="158"/>
      <c r="K5" s="431" t="s">
        <v>757</v>
      </c>
      <c r="L5" s="431" t="s">
        <v>763</v>
      </c>
      <c r="M5" s="431" t="s">
        <v>764</v>
      </c>
      <c r="N5" s="320"/>
      <c r="O5" s="320"/>
      <c r="P5" s="320"/>
      <c r="Q5" s="158"/>
    </row>
    <row r="6">
      <c r="A6" s="428"/>
      <c r="B6" s="429"/>
      <c r="C6" s="71"/>
      <c r="D6" s="437"/>
      <c r="E6" s="70"/>
      <c r="F6" s="427"/>
      <c r="G6" s="427"/>
      <c r="H6" s="427"/>
      <c r="I6" s="427"/>
      <c r="J6" s="158"/>
      <c r="K6" s="431" t="s">
        <v>765</v>
      </c>
      <c r="L6" s="431" t="s">
        <v>766</v>
      </c>
      <c r="M6" s="431" t="s">
        <v>767</v>
      </c>
      <c r="N6" s="320"/>
      <c r="O6" s="320"/>
      <c r="P6" s="320"/>
      <c r="Q6" s="158"/>
    </row>
    <row r="7">
      <c r="A7" s="158"/>
      <c r="B7" s="158"/>
      <c r="C7" s="438"/>
      <c r="D7" s="205" t="s">
        <v>768</v>
      </c>
      <c r="E7" s="439" t="s">
        <v>757</v>
      </c>
      <c r="F7" s="205" t="s">
        <v>769</v>
      </c>
      <c r="G7" s="427"/>
      <c r="H7" s="427"/>
      <c r="I7" s="427"/>
      <c r="J7" s="158"/>
      <c r="K7" s="320"/>
      <c r="L7" s="320"/>
      <c r="M7" s="320"/>
      <c r="N7" s="320"/>
      <c r="O7" s="320"/>
      <c r="P7" s="320"/>
      <c r="Q7" s="158"/>
    </row>
    <row r="8">
      <c r="A8" s="424" t="s">
        <v>770</v>
      </c>
      <c r="B8" s="434" t="str">
        <f>C38</f>
        <v>The Crawller Death Squad (Deathcrawller)</v>
      </c>
      <c r="C8" s="426"/>
      <c r="D8" s="427"/>
      <c r="E8" s="436" t="s">
        <v>762</v>
      </c>
      <c r="F8" s="427"/>
      <c r="G8" s="427"/>
      <c r="H8" s="427"/>
      <c r="I8" s="427"/>
      <c r="J8" s="158"/>
      <c r="K8" s="320"/>
      <c r="L8" s="431" t="s">
        <v>771</v>
      </c>
      <c r="M8" s="431" t="s">
        <v>771</v>
      </c>
      <c r="N8" s="320"/>
      <c r="O8" s="320"/>
      <c r="P8" s="320"/>
      <c r="Q8" s="158"/>
    </row>
    <row r="9">
      <c r="A9" s="428"/>
      <c r="B9" s="429"/>
      <c r="C9" s="71"/>
      <c r="D9" s="430"/>
      <c r="E9" s="70"/>
      <c r="F9" s="430"/>
      <c r="G9" s="427"/>
      <c r="H9" s="427"/>
      <c r="I9" s="427"/>
      <c r="J9" s="158"/>
      <c r="K9" s="431" t="s">
        <v>757</v>
      </c>
      <c r="L9" s="431" t="s">
        <v>772</v>
      </c>
      <c r="M9" s="431" t="s">
        <v>773</v>
      </c>
      <c r="N9" s="320"/>
      <c r="O9" s="320"/>
      <c r="P9" s="320"/>
      <c r="Q9" s="158"/>
    </row>
    <row r="10">
      <c r="A10" s="158"/>
      <c r="B10" s="432" t="s">
        <v>757</v>
      </c>
      <c r="D10" s="433" t="s">
        <v>774</v>
      </c>
      <c r="E10" s="427"/>
      <c r="F10" s="435"/>
      <c r="G10" s="427"/>
      <c r="H10" s="427"/>
      <c r="I10" s="427"/>
      <c r="J10" s="158"/>
      <c r="K10" s="431" t="s">
        <v>765</v>
      </c>
      <c r="L10" s="431" t="s">
        <v>775</v>
      </c>
      <c r="M10" s="431" t="s">
        <v>775</v>
      </c>
      <c r="N10" s="320"/>
      <c r="O10" s="320"/>
      <c r="P10" s="320"/>
      <c r="Q10" s="158"/>
    </row>
    <row r="11">
      <c r="A11" s="440" t="s">
        <v>776</v>
      </c>
      <c r="B11" s="434" t="str">
        <f>C39</f>
        <v>MenZ's Grossly Large Backpack (Scullen cx)</v>
      </c>
      <c r="C11" s="426"/>
      <c r="D11" s="435"/>
      <c r="E11" s="427"/>
      <c r="F11" s="427"/>
      <c r="G11" s="436" t="s">
        <v>762</v>
      </c>
      <c r="H11" s="427"/>
      <c r="I11" s="427"/>
      <c r="J11" s="158"/>
      <c r="K11" s="320"/>
      <c r="L11" s="320"/>
      <c r="M11" s="320"/>
      <c r="N11" s="320"/>
      <c r="O11" s="320"/>
      <c r="P11" s="320"/>
      <c r="Q11" s="158"/>
    </row>
    <row r="12">
      <c r="A12" s="158"/>
      <c r="B12" s="429"/>
      <c r="C12" s="71"/>
      <c r="D12" s="437"/>
      <c r="E12" s="427"/>
      <c r="F12" s="427"/>
      <c r="G12" s="70"/>
      <c r="H12" s="430"/>
      <c r="I12" s="427"/>
      <c r="J12" s="158"/>
      <c r="K12" s="320"/>
      <c r="L12" s="431" t="s">
        <v>437</v>
      </c>
      <c r="M12" s="431" t="s">
        <v>167</v>
      </c>
      <c r="N12" s="431" t="s">
        <v>2</v>
      </c>
      <c r="O12" s="320"/>
      <c r="P12" s="320"/>
      <c r="Q12" s="158"/>
    </row>
    <row r="13">
      <c r="A13" s="158"/>
      <c r="B13" s="158"/>
      <c r="C13" s="438"/>
      <c r="D13" s="158"/>
      <c r="E13" s="158"/>
      <c r="F13" s="158"/>
      <c r="G13" s="220" t="s">
        <v>757</v>
      </c>
      <c r="H13" s="433" t="s">
        <v>777</v>
      </c>
      <c r="I13" s="441" t="s">
        <v>778</v>
      </c>
      <c r="J13" s="158"/>
      <c r="K13" s="320"/>
      <c r="L13" s="431" t="s">
        <v>779</v>
      </c>
      <c r="M13" s="431" t="s">
        <v>780</v>
      </c>
      <c r="N13" s="320"/>
      <c r="O13" s="320"/>
      <c r="P13" s="320"/>
      <c r="Q13" s="158"/>
    </row>
    <row r="14">
      <c r="A14" s="440" t="s">
        <v>781</v>
      </c>
      <c r="B14" s="434" t="str">
        <f>C37</f>
        <v>Glory 2 God (ASpence501)</v>
      </c>
      <c r="C14" s="426"/>
      <c r="D14" s="427"/>
      <c r="E14" s="427"/>
      <c r="F14" s="427"/>
      <c r="G14" s="436" t="s">
        <v>762</v>
      </c>
      <c r="H14" s="442"/>
      <c r="I14" s="427"/>
      <c r="J14" s="158"/>
      <c r="K14" s="431" t="s">
        <v>757</v>
      </c>
      <c r="L14" s="431" t="s">
        <v>782</v>
      </c>
      <c r="M14" s="431" t="s">
        <v>783</v>
      </c>
      <c r="N14" s="320"/>
      <c r="O14" s="320"/>
      <c r="P14" s="320"/>
      <c r="Q14" s="158"/>
    </row>
    <row r="15">
      <c r="A15" s="158"/>
      <c r="B15" s="429"/>
      <c r="C15" s="71"/>
      <c r="D15" s="430"/>
      <c r="E15" s="427"/>
      <c r="F15" s="435"/>
      <c r="G15" s="70"/>
      <c r="H15" s="427"/>
      <c r="I15" s="427"/>
      <c r="J15" s="158"/>
      <c r="K15" s="431" t="s">
        <v>765</v>
      </c>
      <c r="L15" s="431" t="s">
        <v>766</v>
      </c>
      <c r="M15" s="431" t="s">
        <v>775</v>
      </c>
      <c r="N15" s="320"/>
      <c r="O15" s="320"/>
      <c r="P15" s="320"/>
      <c r="Q15" s="158"/>
    </row>
    <row r="16">
      <c r="A16" s="158"/>
      <c r="B16" s="432" t="s">
        <v>757</v>
      </c>
      <c r="D16" s="433" t="s">
        <v>774</v>
      </c>
      <c r="E16" s="427"/>
      <c r="F16" s="435"/>
      <c r="G16" s="443"/>
      <c r="H16" s="427"/>
      <c r="I16" s="427"/>
      <c r="J16" s="158"/>
      <c r="K16" s="320"/>
      <c r="L16" s="320"/>
      <c r="M16" s="320"/>
      <c r="N16" s="320"/>
      <c r="O16" s="320"/>
      <c r="P16" s="320"/>
      <c r="Q16" s="158"/>
    </row>
    <row r="17">
      <c r="A17" s="440" t="s">
        <v>784</v>
      </c>
      <c r="B17" s="434" t="str">
        <f>C40</f>
        <v>The Grif S.A.G.A. (Amnatu)</v>
      </c>
      <c r="C17" s="426"/>
      <c r="D17" s="435"/>
      <c r="E17" s="436" t="s">
        <v>762</v>
      </c>
      <c r="F17" s="442"/>
      <c r="G17" s="427"/>
      <c r="H17" s="427"/>
      <c r="I17" s="427"/>
      <c r="J17" s="158"/>
      <c r="K17" s="320"/>
      <c r="L17" s="431" t="s">
        <v>785</v>
      </c>
      <c r="M17" s="320"/>
      <c r="N17" s="431" t="s">
        <v>786</v>
      </c>
      <c r="O17" s="320"/>
      <c r="P17" s="320"/>
      <c r="Q17" s="158"/>
    </row>
    <row r="18">
      <c r="A18" s="158"/>
      <c r="B18" s="429"/>
      <c r="C18" s="71"/>
      <c r="D18" s="437"/>
      <c r="E18" s="70"/>
      <c r="F18" s="427"/>
      <c r="G18" s="427"/>
      <c r="H18" s="427"/>
      <c r="I18" s="427"/>
      <c r="J18" s="158"/>
      <c r="K18" s="431" t="s">
        <v>757</v>
      </c>
      <c r="L18" s="431" t="s">
        <v>787</v>
      </c>
      <c r="M18" s="320"/>
      <c r="N18" s="431" t="s">
        <v>788</v>
      </c>
      <c r="O18" s="320"/>
      <c r="P18" s="320"/>
      <c r="Q18" s="158"/>
    </row>
    <row r="19">
      <c r="A19" s="158"/>
      <c r="B19" s="158"/>
      <c r="C19" s="438"/>
      <c r="D19" s="205" t="s">
        <v>768</v>
      </c>
      <c r="E19" s="439" t="s">
        <v>757</v>
      </c>
      <c r="F19" s="205" t="s">
        <v>769</v>
      </c>
      <c r="G19" s="427"/>
      <c r="H19" s="427"/>
      <c r="I19" s="427"/>
      <c r="J19" s="158"/>
      <c r="K19" s="431" t="s">
        <v>765</v>
      </c>
      <c r="L19" s="431" t="s">
        <v>775</v>
      </c>
      <c r="M19" s="320"/>
      <c r="N19" s="431" t="s">
        <v>789</v>
      </c>
      <c r="O19" s="320"/>
      <c r="P19" s="320"/>
      <c r="Q19" s="158"/>
    </row>
    <row r="20">
      <c r="A20" s="440" t="s">
        <v>790</v>
      </c>
      <c r="B20" s="434" t="str">
        <f>C41</f>
        <v>USURPER SZN (Spank)</v>
      </c>
      <c r="C20" s="426"/>
      <c r="D20" s="427"/>
      <c r="E20" s="436" t="s">
        <v>762</v>
      </c>
      <c r="F20" s="427"/>
      <c r="G20" s="427"/>
      <c r="H20" s="427"/>
      <c r="I20" s="427"/>
      <c r="J20" s="158"/>
      <c r="K20" s="320"/>
      <c r="L20" s="320"/>
      <c r="M20" s="320"/>
      <c r="N20" s="431" t="s">
        <v>791</v>
      </c>
      <c r="O20" s="320"/>
      <c r="P20" s="320"/>
      <c r="Q20" s="158"/>
    </row>
    <row r="21">
      <c r="A21" s="158"/>
      <c r="B21" s="429"/>
      <c r="C21" s="71"/>
      <c r="D21" s="430"/>
      <c r="E21" s="70"/>
      <c r="F21" s="427"/>
      <c r="G21" s="427"/>
      <c r="H21" s="427"/>
      <c r="I21" s="427"/>
      <c r="J21" s="158"/>
      <c r="K21" s="320"/>
      <c r="L21" s="320"/>
      <c r="M21" s="320"/>
      <c r="N21" s="431" t="s">
        <v>792</v>
      </c>
      <c r="O21" s="320"/>
      <c r="P21" s="320"/>
      <c r="Q21" s="158"/>
    </row>
    <row r="22">
      <c r="A22" s="158"/>
      <c r="B22" s="432" t="s">
        <v>757</v>
      </c>
      <c r="D22" s="433" t="s">
        <v>758</v>
      </c>
      <c r="E22" s="427"/>
      <c r="F22" s="427"/>
      <c r="G22" s="427"/>
      <c r="H22" s="427"/>
      <c r="I22" s="427"/>
      <c r="J22" s="158"/>
      <c r="K22" s="320"/>
      <c r="L22" s="320"/>
      <c r="M22" s="320"/>
      <c r="N22" s="431" t="s">
        <v>793</v>
      </c>
      <c r="O22" s="320"/>
      <c r="P22" s="320"/>
      <c r="Q22" s="158"/>
    </row>
    <row r="23">
      <c r="A23" s="440" t="s">
        <v>756</v>
      </c>
      <c r="B23" s="425" t="str">
        <f>CONCATENATE(C35," / ",C36)</f>
        <v>Mystery Heroes (Holy Morals) / Quit Fuckin Betrayin’ Me (MysticalNovice)</v>
      </c>
      <c r="C23" s="426"/>
      <c r="D23" s="435"/>
      <c r="E23" s="427"/>
      <c r="F23" s="427"/>
      <c r="G23" s="427"/>
      <c r="H23" s="427"/>
      <c r="I23" s="427"/>
      <c r="J23" s="158"/>
      <c r="K23" s="320"/>
      <c r="L23" s="320"/>
      <c r="M23" s="320"/>
      <c r="N23" s="320"/>
      <c r="O23" s="320"/>
      <c r="P23" s="320"/>
      <c r="Q23" s="158"/>
    </row>
    <row r="24" ht="33.75" customHeight="1">
      <c r="A24" s="158"/>
      <c r="B24" s="429"/>
      <c r="C24" s="71"/>
      <c r="D24" s="437"/>
      <c r="E24" s="427"/>
      <c r="F24" s="427"/>
      <c r="G24" s="427"/>
      <c r="H24" s="427"/>
      <c r="I24" s="427"/>
      <c r="J24" s="158"/>
      <c r="K24" s="320"/>
      <c r="L24" s="320"/>
      <c r="M24" s="320"/>
      <c r="N24" s="320"/>
      <c r="O24" s="320"/>
      <c r="P24" s="320"/>
      <c r="Q24" s="158"/>
    </row>
    <row r="25">
      <c r="A25" s="158"/>
      <c r="B25" s="158"/>
      <c r="C25" s="43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</row>
    <row r="26">
      <c r="A26" s="158"/>
      <c r="B26" s="158"/>
      <c r="C26" s="444" t="s">
        <v>794</v>
      </c>
      <c r="D26" s="445"/>
      <c r="E26" s="445"/>
      <c r="F26" s="445"/>
      <c r="G26" s="445"/>
      <c r="H26" s="445"/>
      <c r="I26" s="445"/>
      <c r="J26" s="445"/>
      <c r="K26" s="445"/>
      <c r="L26" s="445"/>
      <c r="M26" s="445"/>
      <c r="N26" s="445"/>
      <c r="O26" s="445"/>
      <c r="P26" s="445"/>
      <c r="Q26" s="158"/>
    </row>
    <row r="27">
      <c r="A27" s="158"/>
      <c r="B27" s="158"/>
      <c r="C27" s="432" t="s">
        <v>795</v>
      </c>
      <c r="D27" s="24" t="s">
        <v>227</v>
      </c>
      <c r="E27" s="24" t="s">
        <v>233</v>
      </c>
      <c r="F27" s="24" t="s">
        <v>796</v>
      </c>
      <c r="G27" s="24" t="s">
        <v>234</v>
      </c>
      <c r="H27" s="24" t="s">
        <v>567</v>
      </c>
      <c r="I27" s="24" t="s">
        <v>231</v>
      </c>
      <c r="J27" s="24" t="s">
        <v>232</v>
      </c>
      <c r="K27" s="24" t="s">
        <v>230</v>
      </c>
      <c r="L27" s="445"/>
      <c r="M27" s="445"/>
      <c r="N27" s="445"/>
      <c r="O27" s="445"/>
      <c r="P27" s="445"/>
      <c r="Q27" s="158"/>
    </row>
    <row r="28">
      <c r="A28" s="158"/>
      <c r="B28" s="158"/>
      <c r="C28" s="432" t="s">
        <v>797</v>
      </c>
      <c r="D28" s="220" t="s">
        <v>239</v>
      </c>
      <c r="E28" s="220" t="s">
        <v>798</v>
      </c>
      <c r="F28" s="220" t="s">
        <v>237</v>
      </c>
      <c r="G28" s="220" t="s">
        <v>333</v>
      </c>
      <c r="H28" s="220" t="s">
        <v>238</v>
      </c>
      <c r="I28" s="220" t="s">
        <v>243</v>
      </c>
      <c r="J28" s="446" t="s">
        <v>799</v>
      </c>
      <c r="K28" s="220" t="s">
        <v>242</v>
      </c>
      <c r="L28" s="445"/>
      <c r="M28" s="445"/>
      <c r="N28" s="445"/>
      <c r="O28" s="445"/>
      <c r="P28" s="445"/>
      <c r="Q28" s="158"/>
    </row>
    <row r="29">
      <c r="A29" s="158"/>
      <c r="B29" s="158"/>
      <c r="C29" s="432" t="s">
        <v>800</v>
      </c>
      <c r="D29" s="446" t="s">
        <v>799</v>
      </c>
      <c r="E29" s="220" t="s">
        <v>338</v>
      </c>
      <c r="F29" s="220" t="s">
        <v>249</v>
      </c>
      <c r="G29" s="220" t="s">
        <v>291</v>
      </c>
      <c r="H29" s="220" t="s">
        <v>250</v>
      </c>
      <c r="I29" s="220" t="s">
        <v>255</v>
      </c>
      <c r="J29" s="220" t="s">
        <v>256</v>
      </c>
      <c r="K29" s="220" t="s">
        <v>254</v>
      </c>
      <c r="L29" s="445"/>
      <c r="M29" s="445"/>
      <c r="N29" s="445"/>
      <c r="O29" s="445"/>
      <c r="P29" s="445"/>
      <c r="Q29" s="158"/>
    </row>
    <row r="30">
      <c r="A30" s="158"/>
      <c r="B30" s="158"/>
      <c r="C30" s="432" t="s">
        <v>801</v>
      </c>
      <c r="D30" s="220" t="s">
        <v>263</v>
      </c>
      <c r="E30" s="220" t="s">
        <v>327</v>
      </c>
      <c r="F30" s="220" t="s">
        <v>261</v>
      </c>
      <c r="G30" s="220" t="s">
        <v>270</v>
      </c>
      <c r="H30" s="446" t="s">
        <v>799</v>
      </c>
      <c r="I30" s="220" t="s">
        <v>267</v>
      </c>
      <c r="J30" s="220" t="s">
        <v>268</v>
      </c>
      <c r="K30" s="220" t="s">
        <v>266</v>
      </c>
      <c r="L30" s="445"/>
      <c r="M30" s="445"/>
      <c r="N30" s="445"/>
      <c r="O30" s="445"/>
      <c r="P30" s="445"/>
      <c r="Q30" s="158"/>
    </row>
    <row r="31">
      <c r="A31" s="158"/>
      <c r="B31" s="447"/>
      <c r="C31" s="448" t="s">
        <v>802</v>
      </c>
      <c r="D31" s="449" t="s">
        <v>803</v>
      </c>
      <c r="E31" s="450"/>
      <c r="F31" s="450"/>
      <c r="G31" s="450"/>
      <c r="H31" s="449" t="s">
        <v>256</v>
      </c>
      <c r="I31" s="450"/>
      <c r="J31" s="451" t="s">
        <v>243</v>
      </c>
      <c r="K31" s="450"/>
      <c r="L31" s="450"/>
      <c r="M31" s="450"/>
      <c r="N31" s="450"/>
      <c r="O31" s="450"/>
      <c r="P31" s="450"/>
      <c r="Q31" s="447"/>
    </row>
    <row r="32">
      <c r="A32" s="158"/>
      <c r="B32" s="158"/>
      <c r="C32" s="432" t="s">
        <v>804</v>
      </c>
      <c r="D32" s="289" t="s">
        <v>250</v>
      </c>
      <c r="E32" s="445"/>
      <c r="F32" s="445"/>
      <c r="G32" s="445"/>
      <c r="H32" s="289" t="s">
        <v>229</v>
      </c>
      <c r="I32" s="445"/>
      <c r="J32" s="445"/>
      <c r="K32" s="445"/>
      <c r="L32" s="445"/>
      <c r="M32" s="445"/>
      <c r="N32" s="445"/>
      <c r="O32" s="445"/>
      <c r="P32" s="445"/>
      <c r="Q32" s="158"/>
    </row>
    <row r="33">
      <c r="A33" s="158"/>
      <c r="B33" s="158"/>
      <c r="C33" s="43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</row>
    <row r="34" hidden="1">
      <c r="A34" s="158"/>
      <c r="B34" s="158"/>
      <c r="C34" s="43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</row>
    <row r="35" hidden="1">
      <c r="A35" s="158"/>
      <c r="B35" s="158"/>
      <c r="C35" s="452" t="str">
        <f>IFERROR(__xludf.DUMMYFUNCTION("QUERY('Schedule ListStandings'!G3:J13, ""Select G,H,I order by H Desc"")"),"Mystery Heroes (Holy Morals)")</f>
        <v>Mystery Heroes (Holy Morals)</v>
      </c>
      <c r="D35" s="453">
        <f>IFERROR(__xludf.DUMMYFUNCTION("""COMPUTED_VALUE"""),16.0)</f>
        <v>16</v>
      </c>
      <c r="E35" s="454">
        <f>IFERROR(__xludf.DUMMYFUNCTION("""COMPUTED_VALUE"""),4.0)</f>
        <v>4</v>
      </c>
      <c r="F35" s="455">
        <f t="shared" ref="F35:F45" si="1">D35/20</f>
        <v>0.8</v>
      </c>
      <c r="G35" s="456" t="s">
        <v>805</v>
      </c>
      <c r="H35" s="158"/>
      <c r="I35" s="158"/>
      <c r="J35" s="158"/>
      <c r="K35" s="158"/>
      <c r="L35" s="158"/>
      <c r="M35" s="158"/>
      <c r="N35" s="158"/>
      <c r="O35" s="158"/>
      <c r="P35" s="158"/>
      <c r="Q35" s="158"/>
    </row>
    <row r="36" hidden="1">
      <c r="A36" s="158"/>
      <c r="B36" s="158"/>
      <c r="C36" s="452" t="str">
        <f>IFERROR(__xludf.DUMMYFUNCTION("""COMPUTED_VALUE"""),"Quit Fuckin Betrayin’ Me (MysticalNovice)")</f>
        <v>Quit Fuckin Betrayin’ Me (MysticalNovice)</v>
      </c>
      <c r="D36" s="453">
        <f>IFERROR(__xludf.DUMMYFUNCTION("""COMPUTED_VALUE"""),15.0)</f>
        <v>15</v>
      </c>
      <c r="E36" s="454">
        <f>IFERROR(__xludf.DUMMYFUNCTION("""COMPUTED_VALUE"""),2.0)</f>
        <v>2</v>
      </c>
      <c r="F36" s="455">
        <f t="shared" si="1"/>
        <v>0.75</v>
      </c>
      <c r="G36" s="456" t="s">
        <v>806</v>
      </c>
      <c r="H36" s="158"/>
      <c r="I36" s="158"/>
      <c r="J36" s="158"/>
      <c r="K36" s="158"/>
      <c r="L36" s="158"/>
      <c r="M36" s="158"/>
      <c r="N36" s="158"/>
      <c r="O36" s="158"/>
      <c r="P36" s="158"/>
      <c r="Q36" s="158"/>
    </row>
    <row r="37" hidden="1">
      <c r="A37" s="158"/>
      <c r="B37" s="158"/>
      <c r="C37" s="452" t="str">
        <f>IFERROR(__xludf.DUMMYFUNCTION("""COMPUTED_VALUE"""),"Glory 2 God (ASpence501)")</f>
        <v>Glory 2 God (ASpence501)</v>
      </c>
      <c r="D37" s="453">
        <f>IFERROR(__xludf.DUMMYFUNCTION("""COMPUTED_VALUE"""),14.0)</f>
        <v>14</v>
      </c>
      <c r="E37" s="454">
        <f>IFERROR(__xludf.DUMMYFUNCTION("""COMPUTED_VALUE"""),4.0)</f>
        <v>4</v>
      </c>
      <c r="F37" s="455">
        <f t="shared" si="1"/>
        <v>0.7</v>
      </c>
      <c r="G37" s="456" t="s">
        <v>807</v>
      </c>
      <c r="H37" s="158"/>
      <c r="I37" s="158"/>
      <c r="J37" s="158"/>
      <c r="K37" s="158"/>
      <c r="L37" s="158"/>
      <c r="M37" s="158"/>
      <c r="N37" s="158"/>
      <c r="O37" s="158"/>
      <c r="P37" s="158"/>
      <c r="Q37" s="158"/>
    </row>
    <row r="38" hidden="1">
      <c r="A38" s="158"/>
      <c r="B38" s="158"/>
      <c r="C38" s="452" t="str">
        <f>IFERROR(__xludf.DUMMYFUNCTION("""COMPUTED_VALUE"""),"The Crawller Death Squad (Deathcrawller)")</f>
        <v>The Crawller Death Squad (Deathcrawller)</v>
      </c>
      <c r="D38" s="453">
        <f>IFERROR(__xludf.DUMMYFUNCTION("""COMPUTED_VALUE"""),12.0)</f>
        <v>12</v>
      </c>
      <c r="E38" s="454">
        <f>IFERROR(__xludf.DUMMYFUNCTION("""COMPUTED_VALUE"""),4.0)</f>
        <v>4</v>
      </c>
      <c r="F38" s="455">
        <f t="shared" si="1"/>
        <v>0.6</v>
      </c>
      <c r="G38" s="456" t="s">
        <v>808</v>
      </c>
      <c r="H38" s="158"/>
      <c r="I38" s="158"/>
      <c r="J38" s="158"/>
      <c r="K38" s="158"/>
      <c r="L38" s="158"/>
      <c r="M38" s="158"/>
      <c r="N38" s="158"/>
      <c r="O38" s="158"/>
      <c r="P38" s="158"/>
      <c r="Q38" s="158"/>
    </row>
    <row r="39" hidden="1">
      <c r="A39" s="158"/>
      <c r="B39" s="158"/>
      <c r="C39" s="452" t="str">
        <f>IFERROR(__xludf.DUMMYFUNCTION("""COMPUTED_VALUE"""),"MenZ's Grossly Large Backpack (Scullen cx)")</f>
        <v>MenZ's Grossly Large Backpack (Scullen cx)</v>
      </c>
      <c r="D39" s="453">
        <f>IFERROR(__xludf.DUMMYFUNCTION("""COMPUTED_VALUE"""),11.0)</f>
        <v>11</v>
      </c>
      <c r="E39" s="454">
        <f>IFERROR(__xludf.DUMMYFUNCTION("""COMPUTED_VALUE"""),9.0)</f>
        <v>9</v>
      </c>
      <c r="F39" s="455">
        <f t="shared" si="1"/>
        <v>0.55</v>
      </c>
      <c r="G39" s="456" t="s">
        <v>809</v>
      </c>
      <c r="H39" s="158"/>
      <c r="I39" s="158"/>
      <c r="J39" s="158"/>
      <c r="K39" s="158"/>
      <c r="L39" s="158"/>
      <c r="M39" s="158"/>
      <c r="N39" s="158"/>
      <c r="O39" s="158"/>
      <c r="P39" s="158"/>
      <c r="Q39" s="158"/>
    </row>
    <row r="40" hidden="1">
      <c r="A40" s="158"/>
      <c r="B40" s="158"/>
      <c r="C40" s="452" t="str">
        <f>IFERROR(__xludf.DUMMYFUNCTION("""COMPUTED_VALUE"""),"The Grif S.A.G.A. (Amnatu)")</f>
        <v>The Grif S.A.G.A. (Amnatu)</v>
      </c>
      <c r="D40" s="453">
        <f>IFERROR(__xludf.DUMMYFUNCTION("""COMPUTED_VALUE"""),8.0)</f>
        <v>8</v>
      </c>
      <c r="E40" s="454">
        <f>IFERROR(__xludf.DUMMYFUNCTION("""COMPUTED_VALUE"""),11.0)</f>
        <v>11</v>
      </c>
      <c r="F40" s="455">
        <f t="shared" si="1"/>
        <v>0.4</v>
      </c>
      <c r="G40" s="456" t="s">
        <v>810</v>
      </c>
      <c r="H40" s="158"/>
      <c r="I40" s="158"/>
      <c r="J40" s="158"/>
      <c r="K40" s="158"/>
      <c r="L40" s="158"/>
      <c r="M40" s="158"/>
      <c r="N40" s="158"/>
      <c r="O40" s="158"/>
      <c r="P40" s="158"/>
      <c r="Q40" s="158"/>
    </row>
    <row r="41" hidden="1">
      <c r="A41" s="158"/>
      <c r="B41" s="158"/>
      <c r="C41" s="452" t="str">
        <f>IFERROR(__xludf.DUMMYFUNCTION("""COMPUTED_VALUE"""),"USURPER SZN (Spank)")</f>
        <v>USURPER SZN (Spank)</v>
      </c>
      <c r="D41" s="453">
        <f>IFERROR(__xludf.DUMMYFUNCTION("""COMPUTED_VALUE"""),8.0)</f>
        <v>8</v>
      </c>
      <c r="E41" s="454">
        <f>IFERROR(__xludf.DUMMYFUNCTION("""COMPUTED_VALUE"""),12.0)</f>
        <v>12</v>
      </c>
      <c r="F41" s="455">
        <f t="shared" si="1"/>
        <v>0.4</v>
      </c>
      <c r="G41" s="456" t="s">
        <v>811</v>
      </c>
      <c r="H41" s="158"/>
      <c r="I41" s="158"/>
      <c r="J41" s="158"/>
      <c r="K41" s="158"/>
      <c r="L41" s="158"/>
      <c r="M41" s="158"/>
      <c r="N41" s="158"/>
      <c r="O41" s="158"/>
      <c r="P41" s="158"/>
      <c r="Q41" s="158"/>
    </row>
    <row r="42" hidden="1">
      <c r="A42" s="158"/>
      <c r="B42" s="158"/>
      <c r="C42" s="452" t="str">
        <f>IFERROR(__xludf.DUMMYFUNCTION("""COMPUTED_VALUE"""),"Ram Ranch (MuNgO PuNgO)")</f>
        <v>Ram Ranch (MuNgO PuNgO)</v>
      </c>
      <c r="D42" s="453">
        <f>IFERROR(__xludf.DUMMYFUNCTION("""COMPUTED_VALUE"""),7.0)</f>
        <v>7</v>
      </c>
      <c r="E42" s="454">
        <f>IFERROR(__xludf.DUMMYFUNCTION("""COMPUTED_VALUE"""),9.0)</f>
        <v>9</v>
      </c>
      <c r="F42" s="455">
        <f t="shared" si="1"/>
        <v>0.35</v>
      </c>
      <c r="G42" s="456" t="s">
        <v>812</v>
      </c>
      <c r="H42" s="158"/>
      <c r="I42" s="158"/>
      <c r="J42" s="158"/>
      <c r="K42" s="158"/>
      <c r="L42" s="158"/>
      <c r="M42" s="158"/>
      <c r="N42" s="158"/>
      <c r="O42" s="158"/>
      <c r="P42" s="158"/>
      <c r="Q42" s="158"/>
    </row>
    <row r="43" hidden="1">
      <c r="A43" s="158"/>
      <c r="B43" s="158"/>
      <c r="C43" s="457" t="str">
        <f>IFERROR(__xludf.DUMMYFUNCTION("""COMPUTED_VALUE"""),"Off in the Shower (Doerstopper)")</f>
        <v>Off in the Shower (Doerstopper)</v>
      </c>
      <c r="D43" s="458">
        <f>IFERROR(__xludf.DUMMYFUNCTION("""COMPUTED_VALUE"""),4.0)</f>
        <v>4</v>
      </c>
      <c r="E43" s="458">
        <f>IFERROR(__xludf.DUMMYFUNCTION("""COMPUTED_VALUE"""),16.0)</f>
        <v>16</v>
      </c>
      <c r="F43" s="459">
        <f t="shared" si="1"/>
        <v>0.2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</row>
    <row r="44" hidden="1">
      <c r="A44" s="158"/>
      <c r="B44" s="158"/>
      <c r="C44" s="457" t="str">
        <f>IFERROR(__xludf.DUMMYFUNCTION("""COMPUTED_VALUE"""),"Trespa5s")</f>
        <v>Trespa5s</v>
      </c>
      <c r="D44" s="458">
        <f>IFERROR(__xludf.DUMMYFUNCTION("""COMPUTED_VALUE"""),2.0)</f>
        <v>2</v>
      </c>
      <c r="E44" s="458">
        <f>IFERROR(__xludf.DUMMYFUNCTION("""COMPUTED_VALUE"""),16.0)</f>
        <v>16</v>
      </c>
      <c r="F44" s="459">
        <f t="shared" si="1"/>
        <v>0.1</v>
      </c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</row>
    <row r="45" hidden="1">
      <c r="A45" s="158"/>
      <c r="B45" s="158"/>
      <c r="C45" s="457" t="str">
        <f>IFERROR(__xludf.DUMMYFUNCTION("""COMPUTED_VALUE"""),"THE WINNERS TEAM (OREOTHECAT)")</f>
        <v>THE WINNERS TEAM (OREOTHECAT)</v>
      </c>
      <c r="D45" s="458">
        <f>IFERROR(__xludf.DUMMYFUNCTION("""COMPUTED_VALUE"""),0.0)</f>
        <v>0</v>
      </c>
      <c r="E45" s="458">
        <f>IFERROR(__xludf.DUMMYFUNCTION("""COMPUTED_VALUE"""),12.0)</f>
        <v>12</v>
      </c>
      <c r="F45" s="459">
        <f t="shared" si="1"/>
        <v>0</v>
      </c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</row>
    <row r="46" hidden="1">
      <c r="A46" s="158"/>
      <c r="B46" s="158"/>
      <c r="C46" s="43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</row>
    <row r="47" hidden="1">
      <c r="A47" s="158"/>
      <c r="B47" s="158"/>
      <c r="C47" s="43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</row>
    <row r="48" hidden="1">
      <c r="A48" s="158"/>
      <c r="B48" s="158"/>
      <c r="C48" s="43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</row>
    <row r="49" hidden="1">
      <c r="A49" s="158"/>
      <c r="B49" s="158"/>
      <c r="C49" s="43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</row>
  </sheetData>
  <mergeCells count="19">
    <mergeCell ref="B1:C1"/>
    <mergeCell ref="B2:C3"/>
    <mergeCell ref="B4:C4"/>
    <mergeCell ref="B5:C6"/>
    <mergeCell ref="E5:E6"/>
    <mergeCell ref="B8:C9"/>
    <mergeCell ref="E8:E9"/>
    <mergeCell ref="B17:C18"/>
    <mergeCell ref="B20:C21"/>
    <mergeCell ref="E20:E21"/>
    <mergeCell ref="B22:C22"/>
    <mergeCell ref="B23:C24"/>
    <mergeCell ref="B10:C10"/>
    <mergeCell ref="B11:C12"/>
    <mergeCell ref="G11:G12"/>
    <mergeCell ref="B14:C15"/>
    <mergeCell ref="G14:G15"/>
    <mergeCell ref="B16:C16"/>
    <mergeCell ref="E17:E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  <col customWidth="1" min="2" max="2" width="12.38"/>
    <col customWidth="1" min="3" max="3" width="6.63"/>
    <col customWidth="1" min="4" max="4" width="8.5"/>
    <col customWidth="1" min="5" max="5" width="8.0"/>
    <col customWidth="1" min="6" max="7" width="9.38"/>
    <col customWidth="1" min="8" max="8" width="6.88"/>
    <col customWidth="1" min="9" max="9" width="6.13"/>
    <col customWidth="1" min="10" max="10" width="8.5"/>
    <col customWidth="1" min="11" max="11" width="9.25"/>
    <col customWidth="1" min="12" max="12" width="10.0"/>
    <col customWidth="1" min="13" max="13" width="11.0"/>
    <col customWidth="1" min="14" max="14" width="9.63"/>
    <col customWidth="1" min="15" max="15" width="10.75"/>
    <col customWidth="1" min="16" max="16" width="13.63"/>
    <col customWidth="1" min="17" max="17" width="13.38"/>
    <col customWidth="1" min="18" max="18" width="12.38"/>
    <col customWidth="1" min="19" max="19" width="9.38"/>
    <col customWidth="1" min="20" max="20" width="13.75"/>
    <col customWidth="1" min="21" max="21" width="12.13"/>
    <col customWidth="1" min="22" max="22" width="10.63"/>
    <col customWidth="1" min="23" max="23" width="9.38"/>
    <col customWidth="1" min="24" max="24" width="8.0"/>
    <col customWidth="1" min="25" max="25" width="10.0"/>
    <col customWidth="1" min="26" max="26" width="10.13"/>
    <col customWidth="1" min="27" max="27" width="11.88"/>
    <col customWidth="1" min="28" max="28" width="11.13"/>
    <col customWidth="1" min="29" max="29" width="12.63"/>
    <col customWidth="1" min="30" max="30" width="9.0"/>
    <col customWidth="1" min="31" max="31" width="7.63"/>
    <col customWidth="1" min="32" max="32" width="8.25"/>
    <col customWidth="1" min="33" max="33" width="13.25"/>
    <col customWidth="1" min="34" max="34" width="8.5"/>
    <col customWidth="1" min="35" max="35" width="8.88"/>
    <col customWidth="1" min="36" max="36" width="9.75"/>
    <col customWidth="1" hidden="1" min="37" max="37" width="7.38"/>
  </cols>
  <sheetData>
    <row r="1">
      <c r="A1" s="460" t="s">
        <v>813</v>
      </c>
      <c r="B1" s="461" t="s">
        <v>814</v>
      </c>
      <c r="C1" s="460" t="s">
        <v>370</v>
      </c>
      <c r="D1" s="460" t="s">
        <v>815</v>
      </c>
      <c r="E1" s="460" t="s">
        <v>816</v>
      </c>
      <c r="F1" s="460" t="s">
        <v>817</v>
      </c>
      <c r="G1" s="460" t="s">
        <v>818</v>
      </c>
      <c r="H1" s="460" t="s">
        <v>819</v>
      </c>
      <c r="I1" s="460" t="s">
        <v>820</v>
      </c>
      <c r="J1" s="460" t="s">
        <v>821</v>
      </c>
      <c r="K1" s="460" t="s">
        <v>822</v>
      </c>
      <c r="L1" s="460" t="s">
        <v>823</v>
      </c>
      <c r="M1" s="460" t="s">
        <v>824</v>
      </c>
      <c r="N1" s="460" t="s">
        <v>825</v>
      </c>
      <c r="O1" s="460" t="s">
        <v>826</v>
      </c>
      <c r="P1" s="460" t="s">
        <v>827</v>
      </c>
      <c r="Q1" s="460" t="s">
        <v>828</v>
      </c>
      <c r="R1" s="460" t="s">
        <v>829</v>
      </c>
      <c r="S1" s="460" t="s">
        <v>830</v>
      </c>
      <c r="T1" s="460" t="s">
        <v>831</v>
      </c>
      <c r="U1" s="460" t="s">
        <v>832</v>
      </c>
      <c r="V1" s="460" t="s">
        <v>833</v>
      </c>
      <c r="W1" s="460" t="s">
        <v>834</v>
      </c>
      <c r="X1" s="460" t="s">
        <v>835</v>
      </c>
      <c r="Y1" s="460" t="s">
        <v>836</v>
      </c>
      <c r="Z1" s="460" t="s">
        <v>837</v>
      </c>
      <c r="AA1" s="460" t="s">
        <v>838</v>
      </c>
      <c r="AB1" s="460" t="s">
        <v>839</v>
      </c>
      <c r="AC1" s="460" t="s">
        <v>840</v>
      </c>
      <c r="AD1" s="460" t="s">
        <v>841</v>
      </c>
      <c r="AE1" s="460" t="s">
        <v>842</v>
      </c>
      <c r="AF1" s="460" t="s">
        <v>843</v>
      </c>
      <c r="AG1" s="460" t="s">
        <v>844</v>
      </c>
      <c r="AH1" s="460" t="s">
        <v>845</v>
      </c>
      <c r="AI1" s="460" t="s">
        <v>846</v>
      </c>
      <c r="AJ1" s="460" t="s">
        <v>847</v>
      </c>
      <c r="AK1" s="460" t="s">
        <v>848</v>
      </c>
    </row>
    <row r="2">
      <c r="A2" s="462" t="s">
        <v>849</v>
      </c>
      <c r="B2" s="462">
        <v>2.0</v>
      </c>
      <c r="C2" s="462">
        <v>0.0</v>
      </c>
      <c r="D2" s="462">
        <v>2.0</v>
      </c>
      <c r="AK2" s="463">
        <v>1.0</v>
      </c>
    </row>
    <row r="3">
      <c r="A3" s="464" t="s">
        <v>226</v>
      </c>
      <c r="B3" s="464">
        <v>2.0</v>
      </c>
      <c r="C3" s="464">
        <v>0.0</v>
      </c>
      <c r="D3" s="464">
        <v>2.0</v>
      </c>
      <c r="AK3" s="465">
        <v>1.0</v>
      </c>
    </row>
    <row r="4">
      <c r="A4" s="462" t="s">
        <v>233</v>
      </c>
      <c r="B4" s="462">
        <v>2.0</v>
      </c>
      <c r="C4" s="462">
        <v>2.0</v>
      </c>
      <c r="D4" s="462">
        <v>0.0</v>
      </c>
      <c r="AK4" s="463">
        <v>1.0</v>
      </c>
    </row>
    <row r="5">
      <c r="A5" s="464" t="s">
        <v>250</v>
      </c>
      <c r="B5" s="464">
        <v>2.0</v>
      </c>
      <c r="C5" s="464">
        <v>0.0</v>
      </c>
      <c r="D5" s="464">
        <v>2.0</v>
      </c>
      <c r="AK5" s="465">
        <v>1.0</v>
      </c>
    </row>
    <row r="6">
      <c r="A6" s="462" t="s">
        <v>227</v>
      </c>
      <c r="B6" s="462">
        <v>2.0</v>
      </c>
      <c r="C6" s="462">
        <v>2.0</v>
      </c>
      <c r="D6" s="462">
        <v>0.0</v>
      </c>
      <c r="AK6" s="463">
        <v>0.0</v>
      </c>
    </row>
    <row r="7">
      <c r="A7" s="464" t="s">
        <v>333</v>
      </c>
      <c r="B7" s="464">
        <v>2.0</v>
      </c>
      <c r="C7" s="464">
        <v>0.0</v>
      </c>
      <c r="D7" s="464">
        <v>2.0</v>
      </c>
      <c r="AK7" s="465">
        <v>0.0</v>
      </c>
    </row>
    <row r="8">
      <c r="A8" s="462" t="s">
        <v>239</v>
      </c>
      <c r="B8" s="462">
        <v>2.0</v>
      </c>
      <c r="C8" s="462">
        <v>2.0</v>
      </c>
      <c r="D8" s="462">
        <v>0.0</v>
      </c>
      <c r="AK8" s="463">
        <v>0.0</v>
      </c>
    </row>
    <row r="9">
      <c r="A9" s="464" t="s">
        <v>230</v>
      </c>
      <c r="B9" s="464">
        <v>2.0</v>
      </c>
      <c r="C9" s="464">
        <v>2.0</v>
      </c>
      <c r="D9" s="464">
        <v>0.0</v>
      </c>
      <c r="AK9" s="465">
        <v>1.0</v>
      </c>
    </row>
    <row r="10">
      <c r="AK10" s="463">
        <v>0.0</v>
      </c>
    </row>
    <row r="11">
      <c r="AK11" s="465">
        <v>1.0</v>
      </c>
    </row>
    <row r="12">
      <c r="AK12" s="463">
        <v>1.0</v>
      </c>
    </row>
    <row r="13">
      <c r="AK13" s="465">
        <v>0.0</v>
      </c>
    </row>
    <row r="14">
      <c r="AK14" s="463">
        <v>1.0</v>
      </c>
    </row>
    <row r="15">
      <c r="AK15" s="465">
        <v>1.0</v>
      </c>
    </row>
    <row r="16">
      <c r="AK16" s="463">
        <v>1.0</v>
      </c>
    </row>
    <row r="17">
      <c r="AK17" s="465">
        <v>0.0</v>
      </c>
    </row>
    <row r="18">
      <c r="AK18" s="463">
        <v>0.0</v>
      </c>
    </row>
    <row r="19">
      <c r="AK19" s="465">
        <v>0.0</v>
      </c>
    </row>
    <row r="20">
      <c r="AK20" s="463">
        <v>1.0</v>
      </c>
    </row>
    <row r="21">
      <c r="AK21" s="465">
        <v>0.0</v>
      </c>
    </row>
    <row r="22">
      <c r="AK22" s="463">
        <v>1.0</v>
      </c>
    </row>
    <row r="23">
      <c r="AK23" s="465">
        <v>0.0</v>
      </c>
    </row>
    <row r="24">
      <c r="AK24" s="463">
        <v>0.0</v>
      </c>
    </row>
    <row r="25">
      <c r="AK25" s="465">
        <v>1.0</v>
      </c>
    </row>
    <row r="26">
      <c r="AK26" s="463">
        <v>1.0</v>
      </c>
    </row>
    <row r="27">
      <c r="AK27" s="465">
        <v>0.0</v>
      </c>
    </row>
    <row r="28">
      <c r="AK28" s="463">
        <v>1.0</v>
      </c>
    </row>
    <row r="29">
      <c r="AK29" s="465">
        <v>1.0</v>
      </c>
    </row>
    <row r="30">
      <c r="A30" s="466"/>
      <c r="B30" s="467"/>
      <c r="C30" s="467"/>
      <c r="D30" s="467"/>
      <c r="E30" s="468"/>
      <c r="F30" s="467"/>
      <c r="G30" s="467"/>
      <c r="H30" s="467"/>
      <c r="I30" s="467"/>
      <c r="J30" s="467"/>
      <c r="K30" s="467"/>
      <c r="L30" s="467"/>
      <c r="M30" s="467"/>
      <c r="N30" s="467"/>
      <c r="O30" s="467"/>
      <c r="P30" s="467"/>
      <c r="Q30" s="467"/>
      <c r="R30" s="467"/>
      <c r="S30" s="467"/>
      <c r="T30" s="467"/>
      <c r="U30" s="467"/>
      <c r="V30" s="467"/>
      <c r="W30" s="467"/>
      <c r="X30" s="467"/>
      <c r="Y30" s="467"/>
      <c r="Z30" s="467"/>
      <c r="AA30" s="467"/>
      <c r="AB30" s="467"/>
      <c r="AC30" s="467"/>
      <c r="AD30" s="467"/>
      <c r="AE30" s="467"/>
      <c r="AF30" s="467"/>
      <c r="AG30" s="467"/>
      <c r="AH30" s="462"/>
      <c r="AI30" s="462"/>
      <c r="AJ30" s="462"/>
      <c r="AK30" s="462">
        <v>0.0</v>
      </c>
    </row>
    <row r="31">
      <c r="A31" s="464"/>
      <c r="B31" s="464"/>
      <c r="C31" s="464"/>
      <c r="D31" s="464"/>
      <c r="E31" s="464"/>
      <c r="F31" s="464"/>
      <c r="G31" s="464"/>
      <c r="H31" s="464"/>
      <c r="I31" s="464"/>
      <c r="J31" s="464"/>
      <c r="K31" s="464"/>
      <c r="L31" s="464"/>
      <c r="M31" s="464"/>
      <c r="N31" s="464"/>
      <c r="O31" s="464"/>
      <c r="P31" s="464"/>
      <c r="Q31" s="464"/>
      <c r="R31" s="464"/>
      <c r="S31" s="464"/>
      <c r="T31" s="464"/>
      <c r="U31" s="464"/>
      <c r="V31" s="464"/>
      <c r="W31" s="464"/>
      <c r="X31" s="464"/>
      <c r="Y31" s="464"/>
      <c r="Z31" s="464"/>
      <c r="AA31" s="464"/>
      <c r="AB31" s="464"/>
      <c r="AC31" s="464"/>
      <c r="AD31" s="464"/>
      <c r="AE31" s="464"/>
      <c r="AF31" s="464"/>
      <c r="AG31" s="464"/>
      <c r="AH31" s="464"/>
      <c r="AI31" s="464"/>
      <c r="AJ31" s="464"/>
      <c r="AK31" s="464">
        <v>1.0</v>
      </c>
    </row>
    <row r="32">
      <c r="AK32" s="463">
        <v>0.0</v>
      </c>
    </row>
    <row r="33">
      <c r="AK33" s="465">
        <v>1.0</v>
      </c>
    </row>
    <row r="34">
      <c r="B34" s="469"/>
      <c r="C34" s="469"/>
      <c r="D34" s="469"/>
      <c r="E34" s="469"/>
      <c r="F34" s="469"/>
      <c r="G34" s="469"/>
      <c r="H34" s="469"/>
      <c r="I34" s="469"/>
      <c r="J34" s="469"/>
      <c r="K34" s="469"/>
      <c r="L34" s="469"/>
      <c r="M34" s="469"/>
      <c r="N34" s="469"/>
      <c r="O34" s="469"/>
      <c r="P34" s="469"/>
      <c r="Q34" s="469"/>
      <c r="R34" s="469"/>
      <c r="S34" s="469"/>
      <c r="T34" s="469"/>
      <c r="U34" s="469"/>
      <c r="V34" s="469"/>
      <c r="W34" s="469"/>
      <c r="X34" s="469"/>
      <c r="Y34" s="469"/>
      <c r="Z34" s="469"/>
      <c r="AA34" s="469"/>
      <c r="AB34" s="469"/>
      <c r="AC34" s="469"/>
      <c r="AD34" s="469"/>
      <c r="AE34" s="469"/>
      <c r="AF34" s="469"/>
      <c r="AG34" s="469"/>
      <c r="AH34" s="469"/>
      <c r="AI34" s="469"/>
      <c r="AJ34" s="469"/>
      <c r="AK34" s="470">
        <v>1.0</v>
      </c>
    </row>
    <row r="35">
      <c r="AK35" s="465">
        <v>0.0</v>
      </c>
    </row>
    <row r="36">
      <c r="AK36" s="463">
        <v>1.0</v>
      </c>
    </row>
    <row r="37">
      <c r="AK37" s="465">
        <v>0.0</v>
      </c>
    </row>
    <row r="38">
      <c r="AK38" s="463">
        <v>0.0</v>
      </c>
    </row>
    <row r="39">
      <c r="AK39" s="465">
        <v>1.0</v>
      </c>
    </row>
  </sheetData>
  <autoFilter ref="$A$1:$AK$47">
    <sortState ref="A1:AK47">
      <sortCondition ref="A1:A47"/>
    </sortState>
  </autoFilter>
  <drawing r:id="rId1"/>
</worksheet>
</file>