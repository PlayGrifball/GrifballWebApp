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Halo4" sheetId="1" r:id="rId4"/>
    <sheet state="visible" name="Player Comparison" sheetId="2" r:id="rId5"/>
    <sheet state="hidden" name="LL_Data_Aggregate" sheetId="3" r:id="rId6"/>
    <sheet state="visible" name="Signed" sheetId="4" r:id="rId7"/>
    <sheet state="visible" name="Bid Values" sheetId="5" r:id="rId8"/>
    <sheet state="visible" name="Potential Scheduling" sheetId="6" r:id="rId9"/>
    <sheet state="hidden" name="Mock2 Page" sheetId="7" r:id="rId10"/>
    <sheet state="hidden" name="Mock3 Page" sheetId="8" r:id="rId11"/>
    <sheet state="visible" name="H4 Bidding Page" sheetId="9" r:id="rId12"/>
    <sheet state="hidden" name="Round 1" sheetId="10" r:id="rId13"/>
    <sheet state="hidden" name="Round 2" sheetId="11" r:id="rId14"/>
    <sheet state="hidden" name="Round 3" sheetId="12" r:id="rId15"/>
    <sheet state="hidden" name="Round 4" sheetId="13" r:id="rId16"/>
    <sheet state="hidden" name="MockTrial" sheetId="14" r:id="rId17"/>
    <sheet state="hidden" name="(SCRAP) Captain Drafting" sheetId="15" r:id="rId18"/>
    <sheet state="hidden" name="AGLA Ammy Season Raw Data" sheetId="16" r:id="rId19"/>
    <sheet state="hidden" name="ammy stats" sheetId="17" r:id="rId20"/>
    <sheet state="hidden" name="ProStats" sheetId="18" r:id="rId21"/>
    <sheet state="hidden" name="ApgS" sheetId="19" r:id="rId22"/>
    <sheet state="hidden" name="amy pg" sheetId="20" r:id="rId23"/>
    <sheet state="hidden" name="AGLA Pro Season Raw Data" sheetId="21" r:id="rId24"/>
    <sheet state="hidden" name="combo" sheetId="22" r:id="rId25"/>
    <sheet state="hidden" name="PpgS" sheetId="23" r:id="rId26"/>
    <sheet state="hidden" name="CpgS" sheetId="24" r:id="rId27"/>
    <sheet state="hidden" name="pro pg" sheetId="25" r:id="rId28"/>
    <sheet state="hidden" name="Combo pg" sheetId="26" r:id="rId29"/>
    <sheet state="hidden" name="HistoryHalo3" sheetId="27" r:id="rId30"/>
    <sheet state="hidden" name="HistoryReach" sheetId="28" r:id="rId31"/>
  </sheets>
  <definedNames>
    <definedName name="LL_S7">LL_Data_Aggregate!$A$1:$S$79</definedName>
    <definedName name="LL_S6">LL_Data_Aggregate!$A$81:$S$139</definedName>
    <definedName name="Grade_Num">'Player Comparison'!$U$17:$V$23</definedName>
    <definedName name="Signed">Signed!$A$1:$C$44</definedName>
    <definedName hidden="1" localSheetId="3" name="_xlnm._FilterDatabase">Signed!$A$1:$N$1000</definedName>
  </definedNames>
  <calcPr/>
  <pivotCaches>
    <pivotCache cacheId="0" r:id="rId32"/>
    <pivotCache cacheId="1" r:id="rId33"/>
    <pivotCache cacheId="2" r:id="rId34"/>
  </pivotCaches>
  <extLst>
    <ext uri="GoogleSheetsCustomDataVersion2">
      <go:sheetsCustomData xmlns:go="http://customooxmlschemas.google.com/" r:id="rId35" roundtripDataChecksum="T2t8UgKbwvgARxhLwmIkpHoAoMY2deXUiN3lIQUkjlQ="/>
    </ext>
  </extLst>
</workbook>
</file>

<file path=xl/sharedStrings.xml><?xml version="1.0" encoding="utf-8"?>
<sst xmlns="http://schemas.openxmlformats.org/spreadsheetml/2006/main" count="5628" uniqueCount="428">
  <si>
    <t>DJ Tourny 12/04</t>
  </si>
  <si>
    <t>DJ Tourny 11/13</t>
  </si>
  <si>
    <t>DJ Tourny 10/23</t>
  </si>
  <si>
    <t>LL Season 7</t>
  </si>
  <si>
    <t>LL Season 6</t>
  </si>
  <si>
    <t>AGLA Ammy Trio Season</t>
  </si>
  <si>
    <t>AGLA Pro Trio Season</t>
  </si>
  <si>
    <t>AGLA Combined Season</t>
  </si>
  <si>
    <t>Averaged Rank</t>
  </si>
  <si>
    <t>Player</t>
  </si>
  <si>
    <t>Player Efficiency (All vs Top Player)</t>
  </si>
  <si>
    <t>Player Efficiency (All vs God Player)</t>
  </si>
  <si>
    <t>Hexas</t>
  </si>
  <si>
    <t>Player Grade</t>
  </si>
  <si>
    <t>Player Grade Math</t>
  </si>
  <si>
    <t>ACE B S1lentND1</t>
  </si>
  <si>
    <t>B</t>
  </si>
  <si>
    <t>A</t>
  </si>
  <si>
    <t>S</t>
  </si>
  <si>
    <t>A-S</t>
  </si>
  <si>
    <t>ActiveHate</t>
  </si>
  <si>
    <t>ADhillyy</t>
  </si>
  <si>
    <t>AdminSharky</t>
  </si>
  <si>
    <t>D</t>
  </si>
  <si>
    <t>AJ DaJuiceMayne</t>
  </si>
  <si>
    <t>E</t>
  </si>
  <si>
    <t>AKAShadowFax</t>
  </si>
  <si>
    <t>Almighty Tycoon</t>
  </si>
  <si>
    <t>C</t>
  </si>
  <si>
    <t>Amnatu</t>
  </si>
  <si>
    <t>Armanama</t>
  </si>
  <si>
    <t>ASpence501</t>
  </si>
  <si>
    <t>B-A</t>
  </si>
  <si>
    <t>AtoneMilitant</t>
  </si>
  <si>
    <t>AwareMosquito</t>
  </si>
  <si>
    <t>C-B</t>
  </si>
  <si>
    <t>BeaM1n1</t>
  </si>
  <si>
    <t>Bear is Clutch</t>
  </si>
  <si>
    <t>BLOODEN NICK</t>
  </si>
  <si>
    <t>BowerPowerHour</t>
  </si>
  <si>
    <t>CaptainSev004</t>
  </si>
  <si>
    <t>Conra4859</t>
  </si>
  <si>
    <t>cxrnchip</t>
  </si>
  <si>
    <t>Dabb</t>
  </si>
  <si>
    <t>Dat Twinkie</t>
  </si>
  <si>
    <t>DCleak</t>
  </si>
  <si>
    <t>DlGITAL PAIN</t>
  </si>
  <si>
    <t>Doerstopper</t>
  </si>
  <si>
    <t>drez</t>
  </si>
  <si>
    <t>Eastbrookk</t>
  </si>
  <si>
    <t>Edle 6</t>
  </si>
  <si>
    <t>elementary</t>
  </si>
  <si>
    <t>EllisGotMyPills</t>
  </si>
  <si>
    <t>eTazedd</t>
  </si>
  <si>
    <t>F-Ed Boy</t>
  </si>
  <si>
    <t>Fanciest Pants</t>
  </si>
  <si>
    <t>Frnzh</t>
  </si>
  <si>
    <t>G3Ohh</t>
  </si>
  <si>
    <t>66.21.%</t>
  </si>
  <si>
    <t>gaebpls</t>
  </si>
  <si>
    <t>Galvann</t>
  </si>
  <si>
    <t>GodSnipezX</t>
  </si>
  <si>
    <t>Goldenstunfisk</t>
  </si>
  <si>
    <t>Grimm SZN</t>
  </si>
  <si>
    <t>Grunt Padre</t>
  </si>
  <si>
    <t>Haha Real Funny</t>
  </si>
  <si>
    <t>F</t>
  </si>
  <si>
    <t>Halfbreed</t>
  </si>
  <si>
    <t>Halo3Dragon5</t>
  </si>
  <si>
    <t>Havoc Puppies</t>
  </si>
  <si>
    <t>HumanKite187</t>
  </si>
  <si>
    <t>HyunA x</t>
  </si>
  <si>
    <t>I robot9000</t>
  </si>
  <si>
    <t>Icey Tanker</t>
  </si>
  <si>
    <t>Imperator Romeo</t>
  </si>
  <si>
    <t>imShad</t>
  </si>
  <si>
    <t>iNF3ktioN</t>
  </si>
  <si>
    <t>D-C</t>
  </si>
  <si>
    <t>InfiniteRainge</t>
  </si>
  <si>
    <t>Into Sublime</t>
  </si>
  <si>
    <t>Invayda Zim</t>
  </si>
  <si>
    <t>IronboundMoon</t>
  </si>
  <si>
    <t>Its bck</t>
  </si>
  <si>
    <t>Its Low Mane</t>
  </si>
  <si>
    <t>ixGingy</t>
  </si>
  <si>
    <t>ixjaga</t>
  </si>
  <si>
    <t>ixLiono</t>
  </si>
  <si>
    <t>ixSnarf</t>
  </si>
  <si>
    <t>ixSqueeps</t>
  </si>
  <si>
    <t>JelloWitch</t>
  </si>
  <si>
    <t>JLen Glass</t>
  </si>
  <si>
    <t>JollyJhadIst</t>
  </si>
  <si>
    <t>juc</t>
  </si>
  <si>
    <t>Judasey</t>
  </si>
  <si>
    <t>Kapier9392</t>
  </si>
  <si>
    <t>KDSkill</t>
  </si>
  <si>
    <t>kev1897</t>
  </si>
  <si>
    <t>KillerDj Demon</t>
  </si>
  <si>
    <t>Killerz Legit</t>
  </si>
  <si>
    <t>LaMeowlla</t>
  </si>
  <si>
    <t>LilSkelR1926</t>
  </si>
  <si>
    <t>Lmao Ninj0</t>
  </si>
  <si>
    <t>ManCanonPls</t>
  </si>
  <si>
    <t>Martialelder</t>
  </si>
  <si>
    <t>Mavbrid</t>
  </si>
  <si>
    <t>MenZ</t>
  </si>
  <si>
    <t>MF JOE187</t>
  </si>
  <si>
    <t>Ming Crusader</t>
  </si>
  <si>
    <t>MoldyVolts</t>
  </si>
  <si>
    <t>Mr Epic Beast</t>
  </si>
  <si>
    <t>MSSR MaRtin</t>
  </si>
  <si>
    <t>mstell96</t>
  </si>
  <si>
    <t>MsWolv3rine</t>
  </si>
  <si>
    <t>MuNgO PuNgO</t>
  </si>
  <si>
    <t>Myst the Cold</t>
  </si>
  <si>
    <t>MysticalNovice</t>
  </si>
  <si>
    <t>NetsPride15</t>
  </si>
  <si>
    <t>Nihilus</t>
  </si>
  <si>
    <t>NKOTB4evah</t>
  </si>
  <si>
    <t>nukiey</t>
  </si>
  <si>
    <t>o Veli oo</t>
  </si>
  <si>
    <t>oDhmon</t>
  </si>
  <si>
    <t>Óðinn Æsir</t>
  </si>
  <si>
    <t>Ouglaf</t>
  </si>
  <si>
    <t>OVERweightGOAT</t>
  </si>
  <si>
    <t>PoisonxPoptart</t>
  </si>
  <si>
    <t>Priest XYZ</t>
  </si>
  <si>
    <t>QueOtaSaintz</t>
  </si>
  <si>
    <t>R24</t>
  </si>
  <si>
    <t>Rage More Nerd</t>
  </si>
  <si>
    <t>Ranked Customs Bot</t>
  </si>
  <si>
    <t>RDG NHL</t>
  </si>
  <si>
    <t>RECEPTOR 17</t>
  </si>
  <si>
    <t>Regresser</t>
  </si>
  <si>
    <t>Reyas</t>
  </si>
  <si>
    <t>Rudly</t>
  </si>
  <si>
    <t>Sabasauros rex</t>
  </si>
  <si>
    <t>Sauted Smurf</t>
  </si>
  <si>
    <t>ScarHead1995</t>
  </si>
  <si>
    <t>Scomancer</t>
  </si>
  <si>
    <t>Scullen75</t>
  </si>
  <si>
    <t>Sherbski</t>
  </si>
  <si>
    <t>Silva</t>
  </si>
  <si>
    <t>Slayers0n</t>
  </si>
  <si>
    <t>Solace VIII</t>
  </si>
  <si>
    <t>StarvinMarvin45</t>
  </si>
  <si>
    <t>STC8</t>
  </si>
  <si>
    <t>StifThickOne</t>
  </si>
  <si>
    <t>Syfloh</t>
  </si>
  <si>
    <t>Tad Neptune</t>
  </si>
  <si>
    <t>TcT AVENGER</t>
  </si>
  <si>
    <t>TcT J Bomb</t>
  </si>
  <si>
    <t>The Grim Dealer</t>
  </si>
  <si>
    <t>The Piggies</t>
  </si>
  <si>
    <t>The Scet</t>
  </si>
  <si>
    <t>TheAlphaTurtle</t>
  </si>
  <si>
    <t>TheNobleTV</t>
  </si>
  <si>
    <t>TommyWstSide</t>
  </si>
  <si>
    <t>TrueFlyingCow</t>
  </si>
  <si>
    <t>TTJinx</t>
  </si>
  <si>
    <t>V4lhalla7</t>
  </si>
  <si>
    <t>Valatino</t>
  </si>
  <si>
    <t>Vex Loxodrome</t>
  </si>
  <si>
    <t>VinnyHaw</t>
  </si>
  <si>
    <t>Wrecking Nerds</t>
  </si>
  <si>
    <t>x Greenthumb</t>
  </si>
  <si>
    <t>x iTz BananaZz</t>
  </si>
  <si>
    <t>x Zeg x</t>
  </si>
  <si>
    <t>Yejis Aegyo</t>
  </si>
  <si>
    <t>yLuxe</t>
  </si>
  <si>
    <t>You Are A Plant</t>
  </si>
  <si>
    <t>You heard of us</t>
  </si>
  <si>
    <t>Zavi</t>
  </si>
  <si>
    <t>Player 1</t>
  </si>
  <si>
    <t>Against-Player 2</t>
  </si>
  <si>
    <t>Late League</t>
  </si>
  <si>
    <t>Goals PM</t>
  </si>
  <si>
    <t>KD PM</t>
  </si>
  <si>
    <t>Stops PM</t>
  </si>
  <si>
    <t>Sprees PM</t>
  </si>
  <si>
    <t>Doubles PM</t>
  </si>
  <si>
    <t>Triples PM</t>
  </si>
  <si>
    <t>Defense</t>
  </si>
  <si>
    <t>PlayMaking</t>
  </si>
  <si>
    <t>Grade AVG</t>
  </si>
  <si>
    <t>gAVGmath</t>
  </si>
  <si>
    <t>Season 8</t>
  </si>
  <si>
    <t>Change</t>
  </si>
  <si>
    <t>Season 7</t>
  </si>
  <si>
    <t>Season 6</t>
  </si>
  <si>
    <t>Player 2</t>
  </si>
  <si>
    <t>Players</t>
  </si>
  <si>
    <t>ArmanMaNarma</t>
  </si>
  <si>
    <t>Eternlx</t>
  </si>
  <si>
    <t>Hells Angel cx</t>
  </si>
  <si>
    <t>JKJWL2819</t>
  </si>
  <si>
    <t>KING RICKXL</t>
  </si>
  <si>
    <t>slayers0n</t>
  </si>
  <si>
    <t>SlR LagsAIot</t>
  </si>
  <si>
    <t>Solarcores</t>
  </si>
  <si>
    <t>GamerTag</t>
  </si>
  <si>
    <t>Grade</t>
  </si>
  <si>
    <t>Bid Value</t>
  </si>
  <si>
    <t>Captain Pool</t>
  </si>
  <si>
    <t>Location</t>
  </si>
  <si>
    <t>Sun</t>
  </si>
  <si>
    <t>Mon</t>
  </si>
  <si>
    <t>Tue</t>
  </si>
  <si>
    <t>Wed</t>
  </si>
  <si>
    <t>Thu</t>
  </si>
  <si>
    <t>Fri</t>
  </si>
  <si>
    <t>Sat</t>
  </si>
  <si>
    <t>East</t>
  </si>
  <si>
    <t>7-9:30</t>
  </si>
  <si>
    <t>#</t>
  </si>
  <si>
    <t>per round</t>
  </si>
  <si>
    <t>North Central</t>
  </si>
  <si>
    <t>Godsnipezx</t>
  </si>
  <si>
    <t>South Central</t>
  </si>
  <si>
    <t>West</t>
  </si>
  <si>
    <t>8:30-11</t>
  </si>
  <si>
    <t>7-10:30</t>
  </si>
  <si>
    <t>NA</t>
  </si>
  <si>
    <t>7:30-11</t>
  </si>
  <si>
    <t>10:30-11</t>
  </si>
  <si>
    <t>EU</t>
  </si>
  <si>
    <t>Beam1n1</t>
  </si>
  <si>
    <t>7-8:30</t>
  </si>
  <si>
    <t>8:30-10:30</t>
  </si>
  <si>
    <t>10-10:30</t>
  </si>
  <si>
    <t>9:30-11</t>
  </si>
  <si>
    <t>Central</t>
  </si>
  <si>
    <t>8-8:30</t>
  </si>
  <si>
    <t>8:30-9</t>
  </si>
  <si>
    <t>8-10:30</t>
  </si>
  <si>
    <t>8-9:30</t>
  </si>
  <si>
    <t>Player Names</t>
  </si>
  <si>
    <t>Perceived Grade</t>
  </si>
  <si>
    <t>Console/XBOX</t>
  </si>
  <si>
    <t>Captain Starting Pool</t>
  </si>
  <si>
    <t>Stage</t>
  </si>
  <si>
    <t>Mixed Stage</t>
  </si>
  <si>
    <t>Percentage of base credits</t>
  </si>
  <si>
    <t>Base Credits</t>
  </si>
  <si>
    <t>Stage 1</t>
  </si>
  <si>
    <t>Time</t>
  </si>
  <si>
    <t>Estimated Base Credit Value</t>
  </si>
  <si>
    <t>1 day</t>
  </si>
  <si>
    <t>Stage 2</t>
  </si>
  <si>
    <t>Stage 3</t>
  </si>
  <si>
    <t>6+5+4+3</t>
  </si>
  <si>
    <t>Stage 4</t>
  </si>
  <si>
    <t>xbox</t>
  </si>
  <si>
    <t>8-11 (7-9)</t>
  </si>
  <si>
    <t>8-11 (7-11)</t>
  </si>
  <si>
    <t>no</t>
  </si>
  <si>
    <t>No</t>
  </si>
  <si>
    <t>8:30-9:30</t>
  </si>
  <si>
    <t>9-10:30</t>
  </si>
  <si>
    <t>Solace</t>
  </si>
  <si>
    <t>7 (2nd)</t>
  </si>
  <si>
    <t>7 (3rd)</t>
  </si>
  <si>
    <t>7 (9th)</t>
  </si>
  <si>
    <t>7 (10th)</t>
  </si>
  <si>
    <t>mon/tue/fri/sat</t>
  </si>
  <si>
    <t>Check</t>
  </si>
  <si>
    <t>Changed</t>
  </si>
  <si>
    <t>7:30-8:30</t>
  </si>
  <si>
    <t>7:30-10</t>
  </si>
  <si>
    <t>Round 1</t>
  </si>
  <si>
    <t>Captain</t>
  </si>
  <si>
    <t>Pool Total</t>
  </si>
  <si>
    <t>Round Credit Ended</t>
  </si>
  <si>
    <t>You need this left</t>
  </si>
  <si>
    <t>Base Value</t>
  </si>
  <si>
    <t>Player Name</t>
  </si>
  <si>
    <t>Player 3</t>
  </si>
  <si>
    <t>Highest Bid</t>
  </si>
  <si>
    <t>Highest Bidder</t>
  </si>
  <si>
    <t>Captain Bid List</t>
  </si>
  <si>
    <t>Captains who bid</t>
  </si>
  <si>
    <t>Max Spend Guide</t>
  </si>
  <si>
    <t>Amount needed to safely get a B &amp; C/D player for 3rd &amp; 4th</t>
  </si>
  <si>
    <t>Amount needed to safely get three E/F players</t>
  </si>
  <si>
    <t>All names must match above</t>
  </si>
  <si>
    <t>Monitor your Pool Total. If you go into the red, all your bids for the round will be invalidated. Make sure you have enough credits for each round.</t>
  </si>
  <si>
    <t>Captain Draft Order</t>
  </si>
  <si>
    <t>All bids are unique. Only bids equal to OR above the base value of a player will count and show up above.</t>
  </si>
  <si>
    <t>Round 2</t>
  </si>
  <si>
    <t>Prev Rnd</t>
  </si>
  <si>
    <t>Round 3</t>
  </si>
  <si>
    <t>Round 4</t>
  </si>
  <si>
    <t>Round 5</t>
  </si>
  <si>
    <t>Spend Watcher</t>
  </si>
  <si>
    <t>Spillover Draft</t>
  </si>
  <si>
    <t>Timestamp</t>
  </si>
  <si>
    <t>Captain's Name (Use the exact same name each time)</t>
  </si>
  <si>
    <t>Maverick</t>
  </si>
  <si>
    <t>Cell</t>
  </si>
  <si>
    <t xml:space="preserve">Eternlx </t>
  </si>
  <si>
    <t>Max # Needed</t>
  </si>
  <si>
    <t>Max bid win round</t>
  </si>
  <si>
    <t>Dabb Bid</t>
  </si>
  <si>
    <t>Digi Bid</t>
  </si>
  <si>
    <t>buidd</t>
  </si>
  <si>
    <t>bid</t>
  </si>
  <si>
    <t>lol</t>
  </si>
  <si>
    <t>jersy</t>
  </si>
  <si>
    <t>ace</t>
  </si>
  <si>
    <t>rage</t>
  </si>
  <si>
    <t>mav</t>
  </si>
  <si>
    <t>solace</t>
  </si>
  <si>
    <t>dj</t>
  </si>
  <si>
    <t>Captain 8</t>
  </si>
  <si>
    <t>Captain 9</t>
  </si>
  <si>
    <t>Captain 10</t>
  </si>
  <si>
    <t>Captain 11</t>
  </si>
  <si>
    <t>Captain 12</t>
  </si>
  <si>
    <t>Captain 13</t>
  </si>
  <si>
    <t>Captain 14</t>
  </si>
  <si>
    <t>Captain 15</t>
  </si>
  <si>
    <t>Round1 Form</t>
  </si>
  <si>
    <t>Round 2 Form</t>
  </si>
  <si>
    <t>Round 3 Form</t>
  </si>
  <si>
    <t>Cxrnchip</t>
  </si>
  <si>
    <t>dCleak</t>
  </si>
  <si>
    <t>QueQtaSaintz</t>
  </si>
  <si>
    <t>Halo 4</t>
  </si>
  <si>
    <t>System</t>
  </si>
  <si>
    <t>Region</t>
  </si>
  <si>
    <t>efficiency (all vs perfect player)</t>
  </si>
  <si>
    <t>efficiency (top vs bottom)</t>
  </si>
  <si>
    <t>player grades</t>
  </si>
  <si>
    <t>player grade math</t>
  </si>
  <si>
    <t>hexas</t>
  </si>
  <si>
    <t>win loss percentage</t>
  </si>
  <si>
    <t>PC</t>
  </si>
  <si>
    <t>XBOX</t>
  </si>
  <si>
    <t>Europe</t>
  </si>
  <si>
    <t>Mr_Epic_Beast</t>
  </si>
  <si>
    <t>Bot</t>
  </si>
  <si>
    <t>Team</t>
  </si>
  <si>
    <t>GamesPlayed</t>
  </si>
  <si>
    <t>GamesHosted</t>
  </si>
  <si>
    <t>Wins</t>
  </si>
  <si>
    <t>Loses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</si>
  <si>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</si>
  <si>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</si>
  <si>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</si>
  <si>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</si>
  <si>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</si>
  <si>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</si>
  <si>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</si>
  <si>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</si>
  <si>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</si>
  <si>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</si>
  <si>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</si>
  <si>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DoubleKills</t>
  </si>
  <si>
    <t>TripleKills</t>
  </si>
  <si>
    <t>Overkills+</t>
  </si>
  <si>
    <t>Sprees</t>
  </si>
  <si>
    <t>Exterms</t>
  </si>
  <si>
    <t>SwordSprees</t>
  </si>
  <si>
    <t>Overkills</t>
  </si>
  <si>
    <t>KillingSprees</t>
  </si>
  <si>
    <t>KillingFrenzies</t>
  </si>
  <si>
    <t>RunningRiots</t>
  </si>
  <si>
    <t>Rampages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</si>
  <si>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</si>
  <si>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</si>
  <si>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</si>
  <si>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</si>
  <si>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</si>
  <si>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</si>
  <si>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</si>
  <si>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HammerSprees</t>
  </si>
  <si>
    <t>GrifHost</t>
  </si>
  <si>
    <t>RandyJacksonBK</t>
  </si>
  <si>
    <t>Grifball NH</t>
  </si>
  <si>
    <t>Trespa5s</t>
  </si>
  <si>
    <t>SightedMovie771</t>
  </si>
  <si>
    <t>LENH5440</t>
  </si>
  <si>
    <t>halfbreed105</t>
  </si>
  <si>
    <t>SUM of GPM</t>
  </si>
  <si>
    <t>SUM of KDPM</t>
  </si>
  <si>
    <t>SUM of STPM</t>
  </si>
  <si>
    <t>SUM of SPM</t>
  </si>
  <si>
    <t>SUM of DPM</t>
  </si>
  <si>
    <t>SUM of TPM</t>
  </si>
  <si>
    <t>SUM of Goals</t>
  </si>
  <si>
    <t>SUM of BombStops</t>
  </si>
  <si>
    <t>SUM of Sprees</t>
  </si>
  <si>
    <t>SUM of DoubleKills</t>
  </si>
  <si>
    <t>SUM of TripleKills</t>
  </si>
  <si>
    <t>Value</t>
  </si>
  <si>
    <t>A(TOP)</t>
  </si>
  <si>
    <t>A(Q3/Q1)</t>
  </si>
  <si>
    <t>A(BOT)</t>
  </si>
  <si>
    <t>B(TOP)</t>
  </si>
  <si>
    <t>B(MED-A/C)</t>
  </si>
  <si>
    <t>B(BOT)</t>
  </si>
  <si>
    <t>C(TOP)</t>
  </si>
  <si>
    <t>C(Q2)</t>
  </si>
  <si>
    <t>C(BOTTOM)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</si>
  <si>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</si>
  <si>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</si>
  <si>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</si>
  <si>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</si>
  <si>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</si>
  <si>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</si>
  <si>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</si>
  <si>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</si>
  <si>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</si>
  <si>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</si>
  <si>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</si>
  <si>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</si>
  <si>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t>E BOT/F TOP</t>
  </si>
  <si>
    <t>GPM</t>
  </si>
  <si>
    <t>KDPM</t>
  </si>
  <si>
    <t>STPM</t>
  </si>
  <si>
    <t>SPM</t>
  </si>
  <si>
    <t>DPM</t>
  </si>
  <si>
    <t>TPM</t>
  </si>
  <si>
    <t>Weighting</t>
  </si>
  <si>
    <t>Halo 3 - Player Grade (LL Season 7)</t>
  </si>
  <si>
    <t>Halo 3 - Player Grade Math (LL Season 7)</t>
  </si>
  <si>
    <t>Halo 3 - Player Grade (LL Season 6)</t>
  </si>
  <si>
    <t>Halo 3 - Player Grade Math (LL Season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</si>
</sst>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m-d"/>
    <numFmt numFmtId="166" formatCode="m/d/yyyy h:mm:ss"/>
    <numFmt numFmtId="167" formatCode="0.0000"/>
  </numFmts>
  <fonts count="38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color rgb="FFFF0000"/>
      <name val="Arial"/>
    </font>
    <font>
      <i/>
      <color theme="1"/>
      <name val="Arial"/>
    </font>
    <font>
      <sz val="11.0"/>
      <color rgb="FFFF0000"/>
      <name val="Inconsolata"/>
    </font>
    <font>
      <sz val="11.0"/>
      <color rgb="FF000000"/>
      <name val="Inconsolata"/>
    </font>
    <font>
      <b/>
      <sz val="12.0"/>
      <color theme="1"/>
      <name val="Arial"/>
    </font>
    <font>
      <sz val="10.0"/>
      <color theme="1"/>
      <name val="Arial"/>
    </font>
    <font>
      <b/>
      <sz val="50.0"/>
      <color theme="1"/>
      <name val="Arial"/>
    </font>
    <font/>
    <font>
      <b/>
      <color rgb="FFFF0000"/>
      <name val="Arial"/>
    </font>
    <font>
      <sz val="25.0"/>
      <color theme="1"/>
      <name val="Arial"/>
    </font>
    <font>
      <color rgb="FFFF9900"/>
      <name val="Arial"/>
    </font>
    <font>
      <sz val="12.0"/>
      <color theme="1"/>
      <name val="Arial"/>
    </font>
    <font>
      <i/>
      <sz val="10.0"/>
      <color theme="1"/>
      <name val="Arial"/>
    </font>
    <font>
      <u/>
      <color rgb="FF1155CC"/>
      <name val="Arial"/>
    </font>
    <font>
      <u/>
      <color rgb="FF1155CC"/>
    </font>
    <font>
      <b/>
      <sz val="18.0"/>
      <color theme="1"/>
      <name val="Arial"/>
    </font>
    <font>
      <u/>
      <color rgb="FF1155CC"/>
      <name val="Arial"/>
    </font>
    <font>
      <color rgb="FFFCFCFC"/>
      <name val="Arial"/>
    </font>
    <font>
      <sz val="12.0"/>
      <color rgb="FFFCFCFC"/>
      <name val="Arial"/>
    </font>
    <font>
      <color rgb="FF777777"/>
      <name val="Open Sans"/>
    </font>
    <font>
      <sz val="20.0"/>
      <color theme="1"/>
      <name val="Arial"/>
    </font>
    <font>
      <u/>
      <color rgb="FF1155CC"/>
      <name val="Arial"/>
    </font>
    <font>
      <strike/>
      <color rgb="FF000000"/>
      <name val="Arial"/>
    </font>
    <font>
      <strike/>
      <sz val="12.0"/>
      <color theme="1"/>
      <name val="Arial"/>
    </font>
    <font>
      <strike/>
      <color theme="1"/>
      <name val="Arial"/>
    </font>
    <font>
      <i/>
      <strike/>
      <color theme="1"/>
      <name val="Arial"/>
    </font>
    <font>
      <u/>
      <color rgb="FF1155CC"/>
    </font>
    <font>
      <color theme="1"/>
      <name val="Arial"/>
      <scheme val="minor"/>
    </font>
    <font>
      <b/>
      <color rgb="FFFFFFFF"/>
      <name val="Arial"/>
    </font>
    <font>
      <color rgb="FFFFFFFF"/>
      <name val="Arial"/>
    </font>
    <font>
      <b/>
      <sz val="11.0"/>
      <color rgb="FF000000"/>
      <name val="Inconsolata"/>
    </font>
    <font>
      <i/>
      <color rgb="FF000000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CFCFC"/>
        <bgColor rgb="FFFCFCFC"/>
      </patternFill>
    </fill>
    <fill>
      <patternFill patternType="solid">
        <fgColor rgb="FFFFD700"/>
        <bgColor rgb="FFFFD700"/>
      </patternFill>
    </fill>
    <fill>
      <patternFill patternType="solid">
        <fgColor rgb="FF980000"/>
        <bgColor rgb="FF980000"/>
      </patternFill>
    </fill>
    <fill>
      <patternFill patternType="solid">
        <fgColor rgb="FFA61C00"/>
        <bgColor rgb="FFA61C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6D01"/>
        <bgColor rgb="FFFF6D01"/>
      </patternFill>
    </fill>
  </fills>
  <borders count="38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10" xfId="0" applyAlignment="1" applyFill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2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/>
    </xf>
    <xf borderId="0" fillId="2" fontId="3" numFmtId="0" xfId="0" applyAlignment="1" applyFon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4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4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4" numFmtId="0" xfId="0" applyFont="1"/>
    <xf borderId="0" fillId="5" fontId="4" numFmtId="0" xfId="0" applyAlignment="1" applyFill="1" applyFont="1">
      <alignment horizontal="center" vertical="bottom"/>
    </xf>
    <xf borderId="0" fillId="5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6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5" fontId="2" numFmtId="0" xfId="0" applyAlignment="1" applyFont="1">
      <alignment horizontal="center" vertical="bottom"/>
    </xf>
    <xf borderId="0" fillId="9" fontId="2" numFmtId="0" xfId="0" applyAlignment="1" applyFill="1" applyFont="1">
      <alignment horizontal="center" vertical="bottom"/>
    </xf>
    <xf borderId="0" fillId="10" fontId="4" numFmtId="0" xfId="0" applyAlignment="1" applyFill="1" applyFont="1">
      <alignment horizontal="center"/>
    </xf>
    <xf borderId="0" fillId="11" fontId="4" numFmtId="0" xfId="0" applyAlignment="1" applyFill="1" applyFont="1">
      <alignment horizontal="left" shrinkToFit="0" wrapText="1"/>
    </xf>
    <xf borderId="0" fillId="0" fontId="3" numFmtId="0" xfId="0" applyAlignment="1" applyFont="1">
      <alignment horizontal="left" vertical="bottom"/>
    </xf>
    <xf borderId="0" fillId="10" fontId="4" numFmtId="0" xfId="0" applyAlignment="1" applyFont="1">
      <alignment horizontal="center" vertical="bottom"/>
    </xf>
    <xf borderId="0" fillId="12" fontId="2" numFmtId="0" xfId="0" applyAlignment="1" applyFill="1" applyFont="1">
      <alignment horizontal="center" vertical="bottom"/>
    </xf>
    <xf borderId="0" fillId="13" fontId="2" numFmtId="0" xfId="0" applyAlignment="1" applyFill="1" applyFont="1">
      <alignment horizontal="center" vertical="bottom"/>
    </xf>
    <xf borderId="0" fillId="9" fontId="4" numFmtId="0" xfId="0" applyAlignment="1" applyFont="1">
      <alignment horizontal="center"/>
    </xf>
    <xf borderId="0" fillId="10" fontId="2" numFmtId="0" xfId="0" applyAlignment="1" applyFont="1">
      <alignment horizontal="center" vertical="bottom"/>
    </xf>
    <xf borderId="0" fillId="7" fontId="2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13" fontId="4" numFmtId="0" xfId="0" applyAlignment="1" applyFont="1">
      <alignment horizontal="center"/>
    </xf>
    <xf borderId="0" fillId="8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14" fontId="4" numFmtId="0" xfId="0" applyAlignment="1" applyFill="1" applyFont="1">
      <alignment horizontal="center"/>
    </xf>
    <xf borderId="0" fillId="15" fontId="4" numFmtId="0" xfId="0" applyAlignment="1" applyFill="1" applyFont="1">
      <alignment horizontal="center"/>
    </xf>
    <xf borderId="0" fillId="13" fontId="4" numFmtId="0" xfId="0" applyAlignment="1" applyFont="1">
      <alignment horizontal="center" vertical="bottom"/>
    </xf>
    <xf borderId="0" fillId="13" fontId="1" numFmtId="0" xfId="0" applyAlignment="1" applyFont="1">
      <alignment horizontal="center"/>
    </xf>
    <xf borderId="0" fillId="13" fontId="4" numFmtId="0" xfId="0" applyFont="1"/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shrinkToFit="0" vertical="center" wrapText="1"/>
    </xf>
    <xf borderId="0" fillId="15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0" fillId="14" fontId="2" numFmtId="0" xfId="0" applyAlignment="1" applyFont="1">
      <alignment horizontal="center" vertical="bottom"/>
    </xf>
    <xf borderId="0" fillId="17" fontId="4" numFmtId="0" xfId="0" applyFill="1" applyFont="1"/>
    <xf borderId="0" fillId="18" fontId="4" numFmtId="0" xfId="0" applyFill="1" applyFont="1"/>
    <xf borderId="0" fillId="12" fontId="2" numFmtId="0" xfId="0" applyAlignment="1" applyFont="1">
      <alignment horizontal="center" shrinkToFit="0" vertical="center" wrapText="1"/>
    </xf>
    <xf borderId="0" fillId="12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17" fontId="1" numFmtId="0" xfId="0" applyAlignment="1" applyFont="1">
      <alignment horizontal="center" shrinkToFit="0" vertical="center" wrapText="1"/>
    </xf>
    <xf borderId="0" fillId="19" fontId="1" numFmtId="0" xfId="0" applyAlignment="1" applyFill="1" applyFont="1">
      <alignment horizontal="center"/>
    </xf>
    <xf borderId="0" fillId="18" fontId="3" numFmtId="0" xfId="0" applyFont="1"/>
    <xf borderId="0" fillId="20" fontId="4" numFmtId="0" xfId="0" applyFill="1" applyFont="1"/>
    <xf borderId="0" fillId="18" fontId="6" numFmtId="0" xfId="0" applyFont="1"/>
    <xf borderId="1" fillId="0" fontId="1" numFmtId="0" xfId="0" applyAlignment="1" applyBorder="1" applyFont="1">
      <alignment horizontal="center"/>
    </xf>
    <xf borderId="2" fillId="18" fontId="4" numFmtId="0" xfId="0" applyBorder="1" applyFont="1"/>
    <xf borderId="2" fillId="17" fontId="4" numFmtId="0" xfId="0" applyBorder="1" applyFont="1"/>
    <xf borderId="3" fillId="17" fontId="4" numFmtId="0" xfId="0" applyBorder="1" applyFont="1"/>
    <xf borderId="4" fillId="0" fontId="1" numFmtId="0" xfId="0" applyAlignment="1" applyBorder="1" applyFont="1">
      <alignment horizontal="center"/>
    </xf>
    <xf borderId="0" fillId="18" fontId="1" numFmtId="0" xfId="0" applyFont="1"/>
    <xf borderId="0" fillId="17" fontId="2" numFmtId="0" xfId="0" applyAlignment="1" applyFont="1">
      <alignment horizontal="center" vertical="bottom"/>
    </xf>
    <xf borderId="5" fillId="17" fontId="2" numFmtId="0" xfId="0" applyAlignment="1" applyBorder="1" applyFont="1">
      <alignment horizontal="center" vertical="bottom"/>
    </xf>
    <xf borderId="5" fillId="12" fontId="2" numFmtId="0" xfId="0" applyAlignment="1" applyBorder="1" applyFont="1">
      <alignment horizontal="center" vertical="bottom"/>
    </xf>
    <xf borderId="4" fillId="0" fontId="1" numFmtId="0" xfId="0" applyBorder="1" applyFont="1"/>
    <xf borderId="5" fillId="0" fontId="4" numFmtId="0" xfId="0" applyAlignment="1" applyBorder="1" applyFont="1">
      <alignment horizontal="center"/>
    </xf>
    <xf borderId="4" fillId="0" fontId="7" numFmtId="0" xfId="0" applyAlignment="1" applyBorder="1" applyFont="1">
      <alignment horizontal="right"/>
    </xf>
    <xf borderId="0" fillId="0" fontId="4" numFmtId="10" xfId="0" applyAlignment="1" applyFont="1" applyNumberFormat="1">
      <alignment horizontal="right"/>
    </xf>
    <xf borderId="0" fillId="18" fontId="8" numFmtId="0" xfId="0" applyFont="1"/>
    <xf borderId="0" fillId="0" fontId="4" numFmtId="49" xfId="0" applyAlignment="1" applyFont="1" applyNumberFormat="1">
      <alignment horizontal="center"/>
    </xf>
    <xf borderId="5" fillId="0" fontId="4" numFmtId="10" xfId="0" applyAlignment="1" applyBorder="1" applyFont="1" applyNumberFormat="1">
      <alignment horizontal="right"/>
    </xf>
    <xf borderId="6" fillId="14" fontId="1" numFmtId="0" xfId="0" applyAlignment="1" applyBorder="1" applyFont="1">
      <alignment horizontal="center" vertical="bottom"/>
    </xf>
    <xf borderId="7" fillId="14" fontId="1" numFmtId="0" xfId="0" applyAlignment="1" applyBorder="1" applyFont="1">
      <alignment horizontal="center" vertical="bottom"/>
    </xf>
    <xf borderId="0" fillId="17" fontId="6" numFmtId="0" xfId="0" applyFont="1"/>
    <xf borderId="6" fillId="3" fontId="1" numFmtId="0" xfId="0" applyAlignment="1" applyBorder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4" fillId="17" fontId="4" numFmtId="0" xfId="0" applyBorder="1" applyFont="1"/>
    <xf borderId="0" fillId="17" fontId="4" numFmtId="0" xfId="0" applyAlignment="1" applyFont="1">
      <alignment horizontal="center"/>
    </xf>
    <xf borderId="5" fillId="17" fontId="4" numFmtId="0" xfId="0" applyAlignment="1" applyBorder="1" applyFont="1">
      <alignment horizontal="center"/>
    </xf>
    <xf borderId="6" fillId="10" fontId="1" numFmtId="0" xfId="0" applyAlignment="1" applyBorder="1" applyFont="1">
      <alignment horizontal="center" vertical="bottom"/>
    </xf>
    <xf borderId="7" fillId="10" fontId="1" numFmtId="0" xfId="0" applyAlignment="1" applyBorder="1" applyFont="1">
      <alignment horizontal="center" vertical="bottom"/>
    </xf>
    <xf borderId="6" fillId="9" fontId="1" numFmtId="0" xfId="0" applyAlignment="1" applyBorder="1" applyFont="1">
      <alignment horizontal="center" vertical="bottom"/>
    </xf>
    <xf borderId="7" fillId="9" fontId="1" numFmtId="0" xfId="0" applyAlignment="1" applyBorder="1" applyFont="1">
      <alignment horizontal="center" vertical="bottom"/>
    </xf>
    <xf borderId="6" fillId="5" fontId="1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vertical="bottom"/>
    </xf>
    <xf borderId="6" fillId="7" fontId="1" numFmtId="0" xfId="0" applyAlignment="1" applyBorder="1" applyFont="1">
      <alignment horizontal="center" vertical="bottom"/>
    </xf>
    <xf borderId="7" fillId="7" fontId="1" numFmtId="0" xfId="0" applyAlignment="1" applyBorder="1" applyFont="1">
      <alignment horizontal="center" vertical="bottom"/>
    </xf>
    <xf borderId="0" fillId="0" fontId="4" numFmtId="10" xfId="0" applyFont="1" applyNumberFormat="1"/>
    <xf borderId="6" fillId="16" fontId="1" numFmtId="0" xfId="0" applyAlignment="1" applyBorder="1" applyFont="1">
      <alignment horizontal="center" vertical="bottom"/>
    </xf>
    <xf borderId="7" fillId="16" fontId="1" numFmtId="0" xfId="0" applyAlignment="1" applyBorder="1" applyFont="1">
      <alignment horizontal="center" vertical="bottom"/>
    </xf>
    <xf borderId="0" fillId="17" fontId="8" numFmtId="0" xfId="0" applyFont="1"/>
    <xf borderId="5" fillId="0" fontId="4" numFmtId="10" xfId="0" applyBorder="1" applyFont="1" applyNumberFormat="1"/>
    <xf borderId="8" fillId="0" fontId="1" numFmtId="0" xfId="0" applyBorder="1" applyFont="1"/>
    <xf borderId="9" fillId="18" fontId="6" numFmtId="0" xfId="0" applyBorder="1" applyFont="1"/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7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0" fillId="21" fontId="3" numFmtId="0" xfId="0" applyAlignment="1" applyFill="1" applyFont="1">
      <alignment vertical="bottom"/>
    </xf>
    <xf borderId="0" fillId="2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13" fillId="10" fontId="2" numFmtId="0" xfId="0" applyAlignment="1" applyBorder="1" applyFont="1">
      <alignment horizontal="center" vertical="bottom"/>
    </xf>
    <xf borderId="7" fillId="14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13" fillId="12" fontId="2" numFmtId="0" xfId="0" applyAlignment="1" applyBorder="1" applyFont="1">
      <alignment horizontal="center" vertical="bottom"/>
    </xf>
    <xf borderId="13" fillId="5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3" fillId="14" fontId="2" numFmtId="0" xfId="0" applyAlignment="1" applyBorder="1" applyFont="1">
      <alignment horizontal="center" vertical="bottom"/>
    </xf>
    <xf borderId="13" fillId="7" fontId="2" numFmtId="0" xfId="0" applyAlignment="1" applyBorder="1" applyFont="1">
      <alignment horizontal="center" vertical="bottom"/>
    </xf>
    <xf borderId="13" fillId="16" fontId="2" numFmtId="0" xfId="0" applyAlignment="1" applyBorder="1" applyFont="1">
      <alignment horizontal="center" vertical="bottom"/>
    </xf>
    <xf borderId="13" fillId="9" fontId="2" numFmtId="0" xfId="0" applyAlignment="1" applyBorder="1" applyFont="1">
      <alignment horizontal="center" vertical="bottom"/>
    </xf>
    <xf borderId="14" fillId="5" fontId="2" numFmtId="0" xfId="0" applyAlignment="1" applyBorder="1" applyFont="1">
      <alignment horizontal="center" vertical="bottom"/>
    </xf>
    <xf borderId="7" fillId="10" fontId="2" numFmtId="0" xfId="0" applyAlignment="1" applyBorder="1" applyFont="1">
      <alignment horizontal="center" vertical="bottom"/>
    </xf>
    <xf borderId="7" fillId="9" fontId="2" numFmtId="0" xfId="0" applyAlignment="1" applyBorder="1" applyFont="1">
      <alignment horizontal="center" vertical="bottom"/>
    </xf>
    <xf borderId="7" fillId="12" fontId="2" numFmtId="0" xfId="0" applyAlignment="1" applyBorder="1" applyFont="1">
      <alignment horizontal="center" vertical="bottom"/>
    </xf>
    <xf borderId="14" fillId="9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vertical="bottom"/>
    </xf>
    <xf borderId="7" fillId="7" fontId="2" numFmtId="0" xfId="0" applyAlignment="1" applyBorder="1" applyFont="1">
      <alignment horizontal="center" vertical="bottom"/>
    </xf>
    <xf borderId="0" fillId="17" fontId="3" numFmtId="0" xfId="0" applyAlignment="1" applyFont="1">
      <alignment vertical="bottom"/>
    </xf>
    <xf borderId="13" fillId="17" fontId="2" numFmtId="0" xfId="0" applyAlignment="1" applyBorder="1" applyFont="1">
      <alignment horizontal="center" vertical="bottom"/>
    </xf>
    <xf borderId="7" fillId="17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0" fillId="18" fontId="10" numFmtId="0" xfId="0" applyAlignment="1" applyFont="1">
      <alignment horizontal="center"/>
    </xf>
    <xf borderId="0" fillId="12" fontId="10" numFmtId="0" xfId="0" applyAlignment="1" applyFont="1">
      <alignment horizontal="center"/>
    </xf>
    <xf borderId="0" fillId="11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vertical="center"/>
    </xf>
    <xf borderId="0" fillId="12" fontId="12" numFmtId="0" xfId="0" applyAlignment="1" applyFont="1">
      <alignment textRotation="255" vertic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22" fontId="4" numFmtId="0" xfId="0" applyAlignment="1" applyFill="1" applyFont="1">
      <alignment horizontal="center"/>
    </xf>
    <xf borderId="0" fillId="22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23" fontId="4" numFmtId="0" xfId="0" applyAlignment="1" applyFill="1" applyFont="1">
      <alignment horizontal="center"/>
    </xf>
    <xf borderId="0" fillId="2" fontId="4" numFmtId="0" xfId="0" applyAlignment="1" applyFont="1">
      <alignment horizontal="center" shrinkToFit="0" wrapText="1"/>
    </xf>
    <xf borderId="0" fillId="11" fontId="4" numFmtId="0" xfId="0" applyAlignment="1" applyFont="1">
      <alignment horizontal="center"/>
    </xf>
    <xf borderId="0" fillId="0" fontId="4" numFmtId="20" xfId="0" applyAlignment="1" applyFont="1" applyNumberFormat="1">
      <alignment horizontal="center"/>
    </xf>
    <xf borderId="15" fillId="3" fontId="1" numFmtId="0" xfId="0" applyAlignment="1" applyBorder="1" applyFont="1">
      <alignment horizontal="center" shrinkToFit="0" vertical="center" wrapText="1"/>
    </xf>
    <xf borderId="15" fillId="10" fontId="4" numFmtId="0" xfId="0" applyBorder="1" applyFont="1"/>
    <xf borderId="16" fillId="24" fontId="4" numFmtId="0" xfId="0" applyAlignment="1" applyBorder="1" applyFill="1" applyFont="1">
      <alignment horizontal="center"/>
    </xf>
    <xf borderId="17" fillId="24" fontId="4" numFmtId="0" xfId="0" applyAlignment="1" applyBorder="1" applyFont="1">
      <alignment horizontal="center"/>
    </xf>
    <xf borderId="16" fillId="25" fontId="4" numFmtId="0" xfId="0" applyAlignment="1" applyBorder="1" applyFill="1" applyFont="1">
      <alignment horizontal="center" shrinkToFit="0" vertical="center" wrapText="1"/>
    </xf>
    <xf borderId="17" fillId="25" fontId="4" numFmtId="0" xfId="0" applyAlignment="1" applyBorder="1" applyFont="1">
      <alignment horizontal="center"/>
    </xf>
    <xf borderId="18" fillId="25" fontId="4" numFmtId="0" xfId="0" applyAlignment="1" applyBorder="1" applyFont="1">
      <alignment horizontal="center"/>
    </xf>
    <xf borderId="13" fillId="3" fontId="4" numFmtId="0" xfId="0" applyBorder="1" applyFont="1"/>
    <xf borderId="19" fillId="10" fontId="4" numFmtId="0" xfId="0" applyBorder="1" applyFont="1"/>
    <xf borderId="20" fillId="24" fontId="4" numFmtId="0" xfId="0" applyBorder="1" applyFont="1"/>
    <xf borderId="0" fillId="24" fontId="4" numFmtId="0" xfId="0" applyFont="1"/>
    <xf borderId="20" fillId="0" fontId="13" numFmtId="0" xfId="0" applyBorder="1" applyFont="1"/>
    <xf borderId="0" fillId="25" fontId="4" numFmtId="0" xfId="0" applyAlignment="1" applyFont="1">
      <alignment horizontal="center"/>
    </xf>
    <xf borderId="13" fillId="25" fontId="4" numFmtId="0" xfId="0" applyAlignment="1" applyBorder="1" applyFont="1">
      <alignment horizontal="center"/>
    </xf>
    <xf borderId="13" fillId="3" fontId="4" numFmtId="2" xfId="0" applyBorder="1" applyFont="1" applyNumberFormat="1"/>
    <xf borderId="21" fillId="24" fontId="4" numFmtId="0" xfId="0" applyBorder="1" applyFont="1"/>
    <xf borderId="12" fillId="24" fontId="4" numFmtId="0" xfId="0" applyBorder="1" applyFont="1"/>
    <xf borderId="21" fillId="0" fontId="13" numFmtId="0" xfId="0" applyBorder="1" applyFont="1"/>
    <xf borderId="12" fillId="25" fontId="4" numFmtId="0" xfId="0" applyAlignment="1" applyBorder="1" applyFont="1">
      <alignment horizontal="center"/>
    </xf>
    <xf borderId="14" fillId="25" fontId="4" numFmtId="0" xfId="0" applyAlignment="1" applyBorder="1" applyFont="1">
      <alignment horizontal="center"/>
    </xf>
    <xf borderId="14" fillId="3" fontId="4" numFmtId="0" xfId="0" applyBorder="1" applyFont="1"/>
    <xf borderId="2" fillId="26" fontId="1" numFmtId="0" xfId="0" applyAlignment="1" applyBorder="1" applyFill="1" applyFont="1">
      <alignment horizontal="center"/>
    </xf>
    <xf borderId="22" fillId="0" fontId="4" numFmtId="0" xfId="0" applyBorder="1" applyFont="1"/>
    <xf borderId="23" fillId="21" fontId="3" numFmtId="0" xfId="0" applyAlignment="1" applyBorder="1" applyFont="1">
      <alignment horizontal="center"/>
    </xf>
    <xf borderId="2" fillId="0" fontId="4" numFmtId="165" xfId="0" applyAlignment="1" applyBorder="1" applyFont="1" applyNumberFormat="1">
      <alignment horizontal="center" vertical="bottom"/>
    </xf>
    <xf borderId="3" fillId="27" fontId="4" numFmtId="0" xfId="0" applyBorder="1" applyFill="1" applyFont="1"/>
    <xf borderId="22" fillId="21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3" fillId="28" fontId="4" numFmtId="0" xfId="0" applyBorder="1" applyFill="1" applyFont="1"/>
    <xf borderId="24" fillId="25" fontId="2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center" vertical="bottom"/>
    </xf>
    <xf borderId="5" fillId="27" fontId="4" numFmtId="0" xfId="0" applyBorder="1" applyFont="1"/>
    <xf borderId="22" fillId="25" fontId="2" numFmtId="0" xfId="0" applyAlignment="1" applyBorder="1" applyFont="1">
      <alignment horizontal="center" shrinkToFit="0" vertical="center" wrapText="1"/>
    </xf>
    <xf borderId="5" fillId="28" fontId="4" numFmtId="0" xfId="0" applyBorder="1" applyFont="1"/>
    <xf borderId="4" fillId="25" fontId="2" numFmtId="0" xfId="0" applyAlignment="1" applyBorder="1" applyFont="1">
      <alignment horizontal="center" shrinkToFit="0" vertical="center" wrapText="1"/>
    </xf>
    <xf borderId="0" fillId="28" fontId="4" numFmtId="0" xfId="0" applyAlignment="1" applyFont="1">
      <alignment horizontal="center" vertical="bottom"/>
    </xf>
    <xf borderId="8" fillId="0" fontId="4" numFmtId="0" xfId="0" applyAlignment="1" applyBorder="1" applyFont="1">
      <alignment horizontal="center"/>
    </xf>
    <xf borderId="9" fillId="18" fontId="4" numFmtId="0" xfId="0" applyAlignment="1" applyBorder="1" applyFont="1">
      <alignment horizontal="right"/>
    </xf>
    <xf borderId="9" fillId="22" fontId="4" numFmtId="165" xfId="0" applyAlignment="1" applyBorder="1" applyFont="1" applyNumberFormat="1">
      <alignment horizontal="right"/>
    </xf>
    <xf borderId="10" fillId="27" fontId="4" numFmtId="0" xfId="0" applyBorder="1" applyFont="1"/>
    <xf borderId="9" fillId="11" fontId="1" numFmtId="0" xfId="0" applyAlignment="1" applyBorder="1" applyFont="1">
      <alignment horizontal="right"/>
    </xf>
    <xf borderId="9" fillId="11" fontId="1" numFmtId="165" xfId="0" applyAlignment="1" applyBorder="1" applyFont="1" applyNumberFormat="1">
      <alignment horizontal="right"/>
    </xf>
    <xf borderId="9" fillId="18" fontId="14" numFmtId="0" xfId="0" applyAlignment="1" applyBorder="1" applyFont="1">
      <alignment horizontal="right"/>
    </xf>
    <xf borderId="9" fillId="18" fontId="14" numFmtId="165" xfId="0" applyAlignment="1" applyBorder="1" applyFont="1" applyNumberFormat="1">
      <alignment horizontal="right"/>
    </xf>
    <xf borderId="10" fillId="28" fontId="4" numFmtId="0" xfId="0" applyBorder="1" applyFont="1"/>
    <xf borderId="24" fillId="25" fontId="1" numFmtId="0" xfId="0" applyAlignment="1" applyBorder="1" applyFont="1">
      <alignment horizontal="center" shrinkToFit="0" vertical="center" wrapText="1"/>
    </xf>
    <xf borderId="22" fillId="25" fontId="1" numFmtId="0" xfId="0" applyAlignment="1" applyBorder="1" applyFont="1">
      <alignment horizontal="center" shrinkToFit="0" vertical="center" wrapText="1"/>
    </xf>
    <xf borderId="9" fillId="18" fontId="6" numFmtId="165" xfId="0" applyAlignment="1" applyBorder="1" applyFont="1" applyNumberFormat="1">
      <alignment horizontal="right"/>
    </xf>
    <xf borderId="9" fillId="22" fontId="4" numFmtId="0" xfId="0" applyAlignment="1" applyBorder="1" applyFont="1">
      <alignment horizontal="right"/>
    </xf>
    <xf borderId="9" fillId="28" fontId="6" numFmtId="0" xfId="0" applyAlignment="1" applyBorder="1" applyFont="1">
      <alignment horizontal="right"/>
    </xf>
    <xf borderId="9" fillId="28" fontId="6" numFmtId="165" xfId="0" applyAlignment="1" applyBorder="1" applyFont="1" applyNumberFormat="1">
      <alignment horizontal="right"/>
    </xf>
    <xf borderId="9" fillId="18" fontId="1" numFmtId="0" xfId="0" applyAlignment="1" applyBorder="1" applyFont="1">
      <alignment horizontal="right"/>
    </xf>
    <xf borderId="9" fillId="11" fontId="2" numFmtId="0" xfId="0" applyAlignment="1" applyBorder="1" applyFont="1">
      <alignment horizontal="right" shrinkToFit="0" vertical="center" wrapText="1"/>
    </xf>
    <xf borderId="3" fillId="29" fontId="4" numFmtId="0" xfId="0" applyBorder="1" applyFill="1" applyFont="1"/>
    <xf borderId="5" fillId="29" fontId="4" numFmtId="0" xfId="0" applyBorder="1" applyFont="1"/>
    <xf borderId="0" fillId="0" fontId="6" numFmtId="0" xfId="0" applyAlignment="1" applyFont="1">
      <alignment horizontal="center" vertical="bottom"/>
    </xf>
    <xf borderId="0" fillId="0" fontId="4" numFmtId="20" xfId="0" applyAlignment="1" applyFont="1" applyNumberFormat="1">
      <alignment horizontal="center" vertical="bottom"/>
    </xf>
    <xf borderId="8" fillId="0" fontId="4" numFmtId="0" xfId="0" applyBorder="1" applyFont="1"/>
    <xf borderId="9" fillId="18" fontId="6" numFmtId="0" xfId="0" applyAlignment="1" applyBorder="1" applyFont="1">
      <alignment horizontal="right"/>
    </xf>
    <xf borderId="10" fillId="29" fontId="4" numFmtId="0" xfId="0" applyBorder="1" applyFont="1"/>
    <xf borderId="4" fillId="21" fontId="3" numFmtId="0" xfId="0" applyAlignment="1" applyBorder="1" applyFont="1">
      <alignment horizontal="center"/>
    </xf>
    <xf borderId="9" fillId="11" fontId="4" numFmtId="165" xfId="0" applyBorder="1" applyFont="1" applyNumberFormat="1"/>
    <xf borderId="9" fillId="11" fontId="6" numFmtId="0" xfId="0" applyBorder="1" applyFont="1"/>
    <xf borderId="0" fillId="11" fontId="4" numFmtId="0" xfId="0" applyFont="1"/>
    <xf borderId="0" fillId="11" fontId="4" numFmtId="165" xfId="0" applyAlignment="1" applyFont="1" applyNumberFormat="1">
      <alignment horizontal="center"/>
    </xf>
    <xf borderId="4" fillId="25" fontId="1" numFmtId="0" xfId="0" applyAlignment="1" applyBorder="1" applyFont="1">
      <alignment horizontal="center" shrinkToFit="0" vertical="center" wrapText="1"/>
    </xf>
    <xf borderId="0" fillId="28" fontId="4" numFmtId="0" xfId="0" applyFont="1"/>
    <xf borderId="9" fillId="17" fontId="14" numFmtId="0" xfId="0" applyAlignment="1" applyBorder="1" applyFont="1">
      <alignment horizontal="right"/>
    </xf>
    <xf borderId="9" fillId="28" fontId="14" numFmtId="0" xfId="0" applyAlignment="1" applyBorder="1" applyFont="1">
      <alignment horizontal="right"/>
    </xf>
    <xf borderId="9" fillId="22" fontId="1" numFmtId="0" xfId="0" applyAlignment="1" applyBorder="1" applyFont="1">
      <alignment horizontal="right"/>
    </xf>
    <xf borderId="9" fillId="22" fontId="1" numFmtId="165" xfId="0" applyAlignment="1" applyBorder="1" applyFont="1" applyNumberFormat="1">
      <alignment horizontal="right"/>
    </xf>
    <xf borderId="9" fillId="17" fontId="1" numFmtId="0" xfId="0" applyAlignment="1" applyBorder="1" applyFont="1">
      <alignment horizontal="right"/>
    </xf>
    <xf borderId="9" fillId="0" fontId="1" numFmtId="165" xfId="0" applyAlignment="1" applyBorder="1" applyFont="1" applyNumberFormat="1">
      <alignment horizontal="right"/>
    </xf>
    <xf borderId="22" fillId="18" fontId="15" numFmtId="0" xfId="0" applyAlignment="1" applyBorder="1" applyFont="1">
      <alignment horizontal="center" shrinkToFit="0" vertical="center" wrapText="1"/>
    </xf>
    <xf borderId="2" fillId="18" fontId="15" numFmtId="0" xfId="0" applyAlignment="1" applyBorder="1" applyFont="1">
      <alignment horizontal="center" shrinkToFit="0" vertical="center" wrapText="1"/>
    </xf>
    <xf borderId="22" fillId="12" fontId="15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2" fillId="12" fontId="15" numFmtId="0" xfId="0" applyAlignment="1" applyBorder="1" applyFont="1">
      <alignment horizontal="center" shrinkToFit="0" vertical="center" wrapText="1"/>
    </xf>
    <xf borderId="4" fillId="18" fontId="15" numFmtId="0" xfId="0" applyAlignment="1" applyBorder="1" applyFont="1">
      <alignment horizontal="center" shrinkToFit="0" vertical="center" wrapText="1"/>
    </xf>
    <xf borderId="0" fillId="18" fontId="15" numFmtId="0" xfId="0" applyAlignment="1" applyFont="1">
      <alignment horizontal="center" shrinkToFit="0" vertical="center" wrapText="1"/>
    </xf>
    <xf borderId="4" fillId="0" fontId="13" numFmtId="0" xfId="0" applyBorder="1" applyFont="1"/>
    <xf borderId="0" fillId="12" fontId="15" numFmtId="0" xfId="0" applyAlignment="1" applyFont="1">
      <alignment horizontal="center" shrinkToFit="0" vertical="center" wrapText="1"/>
    </xf>
    <xf borderId="25" fillId="26" fontId="1" numFmtId="0" xfId="0" applyAlignment="1" applyBorder="1" applyFont="1">
      <alignment horizontal="center" shrinkToFit="0" vertical="center" wrapText="1"/>
    </xf>
    <xf borderId="26" fillId="26" fontId="1" numFmtId="0" xfId="0" applyAlignment="1" applyBorder="1" applyFont="1">
      <alignment horizontal="center" shrinkToFit="0" vertical="center" wrapText="1"/>
    </xf>
    <xf borderId="27" fillId="11" fontId="14" numFmtId="0" xfId="0" applyAlignment="1" applyBorder="1" applyFont="1">
      <alignment horizontal="center" shrinkToFit="0" vertical="center" wrapText="1"/>
    </xf>
    <xf borderId="27" fillId="26" fontId="1" numFmtId="0" xfId="0" applyAlignment="1" applyBorder="1" applyFont="1">
      <alignment horizontal="center" shrinkToFit="0" vertical="center" wrapText="1"/>
    </xf>
    <xf borderId="22" fillId="12" fontId="1" numFmtId="0" xfId="0" applyAlignment="1" applyBorder="1" applyFont="1">
      <alignment horizontal="center" shrinkToFit="0" vertical="center" wrapText="1"/>
    </xf>
    <xf borderId="2" fillId="25" fontId="2" numFmtId="0" xfId="0" applyAlignment="1" applyBorder="1" applyFont="1">
      <alignment horizontal="center" shrinkToFit="0" vertical="center" wrapText="1"/>
    </xf>
    <xf borderId="2" fillId="17" fontId="2" numFmtId="0" xfId="0" applyAlignment="1" applyBorder="1" applyFont="1">
      <alignment horizontal="center" shrinkToFit="0" vertical="center" wrapText="1"/>
    </xf>
    <xf borderId="28" fillId="26" fontId="1" numFmtId="0" xfId="0" applyAlignment="1" applyBorder="1" applyFont="1">
      <alignment horizontal="center" shrinkToFit="0" vertical="center" wrapText="1"/>
    </xf>
    <xf borderId="29" fillId="21" fontId="16" numFmtId="0" xfId="0" applyBorder="1" applyFont="1"/>
    <xf borderId="5" fillId="0" fontId="17" numFmtId="0" xfId="0" applyBorder="1" applyFont="1"/>
    <xf borderId="0" fillId="11" fontId="17" numFmtId="0" xfId="0" applyAlignment="1" applyFont="1">
      <alignment horizontal="center"/>
    </xf>
    <xf borderId="0" fillId="0" fontId="18" numFmtId="0" xfId="0" applyFont="1"/>
    <xf borderId="4" fillId="12" fontId="1" numFmtId="0" xfId="0" applyAlignment="1" applyBorder="1" applyFont="1">
      <alignment horizontal="center" shrinkToFit="0" vertical="center" wrapText="1"/>
    </xf>
    <xf borderId="30" fillId="30" fontId="4" numFmtId="0" xfId="0" applyAlignment="1" applyBorder="1" applyFill="1" applyFont="1">
      <alignment horizontal="right"/>
    </xf>
    <xf borderId="0" fillId="30" fontId="4" numFmtId="0" xfId="0" applyAlignment="1" applyFont="1">
      <alignment horizontal="right"/>
    </xf>
    <xf borderId="0" fillId="17" fontId="4" numFmtId="0" xfId="0" applyAlignment="1" applyFont="1">
      <alignment horizontal="right"/>
    </xf>
    <xf borderId="29" fillId="21" fontId="4" numFmtId="0" xfId="0" applyBorder="1" applyFont="1"/>
    <xf borderId="0" fillId="25" fontId="2" numFmtId="0" xfId="0" applyAlignment="1" applyFont="1">
      <alignment horizontal="center" shrinkToFit="0" vertical="center" wrapText="1"/>
    </xf>
    <xf borderId="25" fillId="12" fontId="1" numFmtId="0" xfId="0" applyAlignment="1" applyBorder="1" applyFont="1">
      <alignment horizontal="center" shrinkToFit="0" vertical="center" wrapText="1"/>
    </xf>
    <xf borderId="28" fillId="30" fontId="17" numFmtId="0" xfId="0" applyAlignment="1" applyBorder="1" applyFont="1">
      <alignment horizontal="center"/>
    </xf>
    <xf borderId="27" fillId="30" fontId="10" numFmtId="1" xfId="0" applyAlignment="1" applyBorder="1" applyFont="1" applyNumberFormat="1">
      <alignment horizontal="center"/>
    </xf>
    <xf borderId="27" fillId="30" fontId="17" numFmtId="1" xfId="0" applyAlignment="1" applyBorder="1" applyFont="1" applyNumberFormat="1">
      <alignment horizontal="center"/>
    </xf>
    <xf borderId="27" fillId="30" fontId="17" numFmtId="0" xfId="0" applyAlignment="1" applyBorder="1" applyFont="1">
      <alignment horizontal="center"/>
    </xf>
    <xf borderId="27" fillId="17" fontId="17" numFmtId="1" xfId="0" applyAlignment="1" applyBorder="1" applyFont="1" applyNumberFormat="1">
      <alignment horizontal="center"/>
    </xf>
    <xf borderId="8" fillId="12" fontId="1" numFmtId="0" xfId="0" applyAlignment="1" applyBorder="1" applyFont="1">
      <alignment horizontal="center" shrinkToFit="0" vertical="center" wrapText="1"/>
    </xf>
    <xf borderId="31" fillId="30" fontId="10" numFmtId="0" xfId="0" applyAlignment="1" applyBorder="1" applyFont="1">
      <alignment horizontal="center" vertical="center"/>
    </xf>
    <xf borderId="9" fillId="30" fontId="10" numFmtId="0" xfId="0" applyAlignment="1" applyBorder="1" applyFont="1">
      <alignment horizontal="center" vertical="center"/>
    </xf>
    <xf borderId="9" fillId="17" fontId="10" numFmtId="0" xfId="0" applyAlignment="1" applyBorder="1" applyFont="1">
      <alignment horizontal="center" vertical="center"/>
    </xf>
    <xf borderId="0" fillId="17" fontId="17" numFmtId="0" xfId="0" applyAlignment="1" applyFont="1">
      <alignment horizontal="center" vertical="center"/>
    </xf>
    <xf borderId="32" fillId="31" fontId="1" numFmtId="0" xfId="0" applyAlignment="1" applyBorder="1" applyFill="1" applyFont="1">
      <alignment horizontal="center" shrinkToFit="0" vertical="center" wrapText="1"/>
    </xf>
    <xf borderId="33" fillId="0" fontId="13" numFmtId="0" xfId="0" applyBorder="1" applyFont="1"/>
    <xf borderId="33" fillId="31" fontId="1" numFmtId="0" xfId="0" applyAlignment="1" applyBorder="1" applyFont="1">
      <alignment horizontal="center" shrinkToFit="0" vertical="center" wrapText="1"/>
    </xf>
    <xf borderId="4" fillId="31" fontId="1" numFmtId="0" xfId="0" applyAlignment="1" applyBorder="1" applyFont="1">
      <alignment horizontal="center" shrinkToFit="0" vertical="center" wrapText="1"/>
    </xf>
    <xf borderId="30" fillId="18" fontId="1" numFmtId="0" xfId="0" applyAlignment="1" applyBorder="1" applyFont="1">
      <alignment horizontal="center" vertical="center"/>
    </xf>
    <xf borderId="0" fillId="18" fontId="1" numFmtId="0" xfId="0" applyAlignment="1" applyFont="1">
      <alignment horizontal="center" vertical="center"/>
    </xf>
    <xf borderId="0" fillId="18" fontId="9" numFmtId="0" xfId="0" applyFont="1"/>
    <xf borderId="24" fillId="0" fontId="4" numFmtId="0" xfId="0" applyAlignment="1" applyBorder="1" applyFont="1">
      <alignment horizontal="center" vertical="center"/>
    </xf>
    <xf borderId="0" fillId="32" fontId="4" numFmtId="0" xfId="0" applyAlignment="1" applyFill="1" applyFont="1">
      <alignment horizontal="center" vertical="center"/>
    </xf>
    <xf borderId="0" fillId="32" fontId="4" numFmtId="0" xfId="0" applyAlignment="1" applyFont="1">
      <alignment horizontal="center"/>
    </xf>
    <xf borderId="24" fillId="0" fontId="4" numFmtId="0" xfId="0" applyAlignment="1" applyBorder="1" applyFont="1">
      <alignment horizontal="center"/>
    </xf>
    <xf borderId="24" fillId="13" fontId="4" numFmtId="0" xfId="0" applyAlignment="1" applyBorder="1" applyFont="1">
      <alignment horizontal="center"/>
    </xf>
    <xf borderId="0" fillId="33" fontId="4" numFmtId="0" xfId="0" applyAlignment="1" applyFill="1" applyFont="1">
      <alignment horizontal="center"/>
    </xf>
    <xf borderId="2" fillId="25" fontId="1" numFmtId="0" xfId="0" applyAlignment="1" applyBorder="1" applyFont="1">
      <alignment horizontal="center" shrinkToFit="0" vertical="center" wrapText="1"/>
    </xf>
    <xf borderId="34" fillId="11" fontId="17" numFmtId="0" xfId="0" applyAlignment="1" applyBorder="1" applyFont="1">
      <alignment horizontal="center"/>
    </xf>
    <xf borderId="30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/>
    </xf>
    <xf borderId="30" fillId="13" fontId="4" numFmtId="0" xfId="0" applyAlignment="1" applyBorder="1" applyFont="1">
      <alignment horizontal="center"/>
    </xf>
    <xf borderId="0" fillId="32" fontId="9" numFmtId="0" xfId="0" applyAlignment="1" applyFont="1">
      <alignment horizontal="center"/>
    </xf>
    <xf borderId="29" fillId="21" fontId="6" numFmtId="0" xfId="0" applyBorder="1" applyFont="1"/>
    <xf borderId="35" fillId="21" fontId="4" numFmtId="0" xfId="0" applyBorder="1" applyFont="1"/>
    <xf borderId="0" fillId="0" fontId="19" numFmtId="0" xfId="0" applyFont="1"/>
    <xf borderId="22" fillId="34" fontId="1" numFmtId="0" xfId="0" applyAlignment="1" applyBorder="1" applyFill="1" applyFont="1">
      <alignment horizontal="center"/>
    </xf>
    <xf borderId="3" fillId="0" fontId="13" numFmtId="0" xfId="0" applyBorder="1" applyFont="1"/>
    <xf borderId="4" fillId="34" fontId="4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4" fillId="17" fontId="1" numFmtId="0" xfId="0" applyAlignment="1" applyBorder="1" applyFont="1">
      <alignment horizontal="center" vertical="center"/>
    </xf>
    <xf borderId="30" fillId="2" fontId="9" numFmtId="0" xfId="0" applyAlignment="1" applyBorder="1" applyFont="1">
      <alignment horizontal="center"/>
    </xf>
    <xf borderId="0" fillId="17" fontId="1" numFmtId="0" xfId="0" applyAlignment="1" applyFont="1">
      <alignment horizontal="center" vertical="center"/>
    </xf>
    <xf borderId="8" fillId="0" fontId="13" numFmtId="0" xfId="0" applyBorder="1" applyFont="1"/>
    <xf borderId="10" fillId="0" fontId="13" numFmtId="0" xfId="0" applyBorder="1" applyFont="1"/>
    <xf borderId="0" fillId="13" fontId="20" numFmtId="0" xfId="0" applyFont="1"/>
    <xf borderId="0" fillId="34" fontId="4" numFmtId="0" xfId="0" applyFont="1"/>
    <xf borderId="30" fillId="13" fontId="9" numFmtId="0" xfId="0" applyAlignment="1" applyBorder="1" applyFont="1">
      <alignment horizontal="center"/>
    </xf>
    <xf borderId="0" fillId="33" fontId="9" numFmtId="0" xfId="0" applyAlignment="1" applyFont="1">
      <alignment horizontal="center"/>
    </xf>
    <xf borderId="0" fillId="17" fontId="9" numFmtId="0" xfId="0" applyAlignment="1" applyFont="1">
      <alignment shrinkToFit="0" vertical="bottom" wrapText="0"/>
    </xf>
    <xf borderId="0" fillId="17" fontId="4" numFmtId="0" xfId="0" applyAlignment="1" applyFont="1">
      <alignment vertical="bottom"/>
    </xf>
    <xf borderId="0" fillId="3" fontId="21" numFmtId="0" xfId="0" applyAlignment="1" applyFont="1">
      <alignment horizontal="center" shrinkToFit="0" wrapText="1"/>
    </xf>
    <xf borderId="0" fillId="17" fontId="1" numFmtId="0" xfId="0" applyAlignment="1" applyFont="1">
      <alignment shrinkToFit="0" vertical="bottom" wrapText="0"/>
    </xf>
    <xf borderId="0" fillId="26" fontId="1" numFmtId="0" xfId="0" applyAlignment="1" applyFont="1">
      <alignment horizontal="center" vertical="center"/>
    </xf>
    <xf borderId="0" fillId="26" fontId="1" numFmtId="0" xfId="0" applyAlignment="1" applyFont="1">
      <alignment horizontal="center" shrinkToFit="0" vertical="center" wrapText="1"/>
    </xf>
    <xf borderId="29" fillId="21" fontId="4" numFmtId="0" xfId="0" applyAlignment="1" applyBorder="1" applyFont="1">
      <alignment horizontal="center" vertical="center"/>
    </xf>
    <xf borderId="0" fillId="20" fontId="21" numFmtId="0" xfId="0" applyAlignment="1" applyFont="1">
      <alignment horizontal="center" shrinkToFit="0" vertical="center" wrapText="1"/>
    </xf>
    <xf borderId="0" fillId="25" fontId="1" numFmtId="0" xfId="0" applyAlignment="1" applyFont="1">
      <alignment horizontal="center" shrinkToFit="0" vertical="center" wrapText="1"/>
    </xf>
    <xf borderId="0" fillId="11" fontId="2" numFmtId="0" xfId="0" applyAlignment="1" applyFont="1">
      <alignment horizontal="center" shrinkToFit="0" vertical="center" wrapText="1"/>
    </xf>
    <xf borderId="36" fillId="0" fontId="13" numFmtId="0" xfId="0" applyBorder="1" applyFont="1"/>
    <xf borderId="0" fillId="17" fontId="17" numFmtId="0" xfId="0" applyFont="1"/>
    <xf borderId="0" fillId="17" fontId="18" numFmtId="0" xfId="0" applyFont="1"/>
    <xf borderId="0" fillId="17" fontId="22" numFmtId="0" xfId="0" applyFont="1"/>
    <xf borderId="0" fillId="17" fontId="23" numFmtId="0" xfId="0" applyFont="1"/>
    <xf borderId="0" fillId="17" fontId="24" numFmtId="0" xfId="0" applyFont="1"/>
    <xf borderId="3" fillId="12" fontId="15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2" fillId="25" fontId="1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bottom"/>
    </xf>
    <xf borderId="27" fillId="17" fontId="17" numFmtId="0" xfId="0" applyAlignment="1" applyBorder="1" applyFont="1">
      <alignment horizontal="center"/>
    </xf>
    <xf borderId="0" fillId="35" fontId="4" numFmtId="0" xfId="0" applyAlignment="1" applyFill="1" applyFont="1">
      <alignment horizontal="center"/>
    </xf>
    <xf borderId="22" fillId="17" fontId="15" numFmtId="0" xfId="0" applyAlignment="1" applyBorder="1" applyFont="1">
      <alignment horizontal="center" shrinkToFit="0" vertical="center" wrapText="1"/>
    </xf>
    <xf borderId="2" fillId="17" fontId="15" numFmtId="0" xfId="0" applyAlignment="1" applyBorder="1" applyFont="1">
      <alignment horizontal="center" shrinkToFit="0" vertical="center" wrapText="1"/>
    </xf>
    <xf borderId="4" fillId="17" fontId="15" numFmtId="0" xfId="0" applyAlignment="1" applyBorder="1" applyFont="1">
      <alignment horizontal="center" shrinkToFit="0" vertical="center" wrapText="1"/>
    </xf>
    <xf borderId="0" fillId="17" fontId="15" numFmtId="0" xfId="0" applyAlignment="1" applyFont="1">
      <alignment horizontal="center" shrinkToFit="0" vertical="center" wrapText="1"/>
    </xf>
    <xf borderId="30" fillId="13" fontId="25" numFmtId="0" xfId="0" applyAlignment="1" applyBorder="1" applyFont="1">
      <alignment horizontal="center"/>
    </xf>
    <xf borderId="24" fillId="25" fontId="14" numFmtId="0" xfId="0" applyAlignment="1" applyBorder="1" applyFont="1">
      <alignment horizontal="center" shrinkToFit="0" vertical="center" wrapText="1"/>
    </xf>
    <xf borderId="0" fillId="25" fontId="14" numFmtId="0" xfId="0" applyAlignment="1" applyFont="1">
      <alignment horizontal="center" shrinkToFit="0" vertical="center" wrapText="1"/>
    </xf>
    <xf borderId="0" fillId="30" fontId="17" numFmtId="0" xfId="0" applyAlignment="1" applyFont="1">
      <alignment horizontal="center"/>
    </xf>
    <xf borderId="0" fillId="30" fontId="10" numFmtId="0" xfId="0" applyAlignment="1" applyFont="1">
      <alignment horizontal="center" vertical="center"/>
    </xf>
    <xf borderId="0" fillId="31" fontId="1" numFmtId="0" xfId="0" applyAlignment="1" applyFont="1">
      <alignment horizontal="center" shrinkToFit="0" vertical="center" wrapText="1"/>
    </xf>
    <xf borderId="30" fillId="18" fontId="9" numFmtId="0" xfId="0" applyBorder="1" applyFont="1"/>
    <xf borderId="0" fillId="2" fontId="9" numFmtId="0" xfId="0" applyAlignment="1" applyFont="1">
      <alignment horizontal="center"/>
    </xf>
    <xf borderId="0" fillId="27" fontId="15" numFmtId="0" xfId="0" applyAlignment="1" applyFont="1">
      <alignment horizontal="center" shrinkToFit="0" vertical="center" wrapText="1"/>
    </xf>
    <xf borderId="26" fillId="10" fontId="1" numFmtId="0" xfId="0" applyAlignment="1" applyBorder="1" applyFont="1">
      <alignment horizontal="center" shrinkToFit="0" vertical="center" wrapText="1"/>
    </xf>
    <xf borderId="26" fillId="31" fontId="1" numFmtId="0" xfId="0" applyAlignment="1" applyBorder="1" applyFont="1">
      <alignment horizontal="center" shrinkToFit="0" vertical="center" wrapText="1"/>
    </xf>
    <xf borderId="2" fillId="17" fontId="1" numFmtId="0" xfId="0" applyAlignment="1" applyBorder="1" applyFont="1">
      <alignment horizontal="center" shrinkToFit="0" vertical="center" wrapText="1"/>
    </xf>
    <xf borderId="2" fillId="18" fontId="2" numFmtId="0" xfId="0" applyAlignment="1" applyBorder="1" applyFont="1">
      <alignment horizontal="center" shrinkToFit="0" vertical="center" wrapText="1"/>
    </xf>
    <xf borderId="29" fillId="21" fontId="3" numFmtId="0" xfId="0" applyBorder="1" applyFont="1"/>
    <xf borderId="5" fillId="10" fontId="11" numFmtId="0" xfId="0" applyBorder="1" applyFont="1"/>
    <xf borderId="0" fillId="31" fontId="17" numFmtId="0" xfId="0" applyAlignment="1" applyFont="1">
      <alignment horizontal="center"/>
    </xf>
    <xf borderId="0" fillId="18" fontId="4" numFmtId="0" xfId="0" applyAlignment="1" applyFont="1">
      <alignment horizontal="right"/>
    </xf>
    <xf borderId="27" fillId="17" fontId="10" numFmtId="1" xfId="0" applyAlignment="1" applyBorder="1" applyFont="1" applyNumberFormat="1">
      <alignment horizontal="center"/>
    </xf>
    <xf borderId="27" fillId="18" fontId="10" numFmtId="1" xfId="0" applyAlignment="1" applyBorder="1" applyFont="1" applyNumberFormat="1">
      <alignment horizontal="center"/>
    </xf>
    <xf borderId="27" fillId="18" fontId="17" numFmtId="1" xfId="0" applyAlignment="1" applyBorder="1" applyFont="1" applyNumberFormat="1">
      <alignment horizontal="center"/>
    </xf>
    <xf borderId="27" fillId="18" fontId="17" numFmtId="0" xfId="0" applyAlignment="1" applyBorder="1" applyFont="1">
      <alignment horizontal="center"/>
    </xf>
    <xf borderId="9" fillId="18" fontId="10" numFmtId="0" xfId="0" applyAlignment="1" applyBorder="1" applyFont="1">
      <alignment horizontal="center" vertical="center"/>
    </xf>
    <xf borderId="33" fillId="18" fontId="1" numFmtId="0" xfId="0" applyAlignment="1" applyBorder="1" applyFont="1">
      <alignment horizontal="center" shrinkToFit="0" vertical="center" wrapText="1"/>
    </xf>
    <xf borderId="0" fillId="17" fontId="4" numFmtId="0" xfId="0" applyAlignment="1" applyFont="1">
      <alignment horizontal="center" vertical="center"/>
    </xf>
    <xf borderId="0" fillId="18" fontId="4" numFmtId="0" xfId="0" applyAlignment="1" applyFont="1">
      <alignment horizontal="center"/>
    </xf>
    <xf borderId="0" fillId="18" fontId="9" numFmtId="0" xfId="0" applyAlignment="1" applyFont="1">
      <alignment horizontal="center"/>
    </xf>
    <xf borderId="0" fillId="28" fontId="17" numFmtId="0" xfId="0" applyFont="1"/>
    <xf borderId="0" fillId="18" fontId="4" numFmtId="0" xfId="0" applyAlignment="1" applyFont="1">
      <alignment horizontal="center" vertical="center"/>
    </xf>
    <xf borderId="0" fillId="20" fontId="26" numFmtId="0" xfId="0" applyAlignment="1" applyFont="1">
      <alignment horizontal="center"/>
    </xf>
    <xf borderId="0" fillId="17" fontId="21" numFmtId="0" xfId="0" applyAlignment="1" applyFont="1">
      <alignment horizontal="center" shrinkToFit="0" wrapText="1"/>
    </xf>
    <xf borderId="0" fillId="18" fontId="21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11" fontId="4" numFmtId="0" xfId="0" applyAlignment="1" applyFont="1">
      <alignment horizontal="center" vertical="center"/>
    </xf>
    <xf borderId="0" fillId="21" fontId="4" numFmtId="0" xfId="0" applyFont="1"/>
    <xf borderId="5" fillId="10" fontId="17" numFmtId="0" xfId="0" applyBorder="1" applyFont="1"/>
    <xf borderId="0" fillId="31" fontId="17" numFmtId="0" xfId="0" applyFont="1"/>
    <xf borderId="2" fillId="18" fontId="14" numFmtId="0" xfId="0" applyAlignment="1" applyBorder="1" applyFont="1">
      <alignment horizontal="center" shrinkToFit="0" vertical="center" wrapText="1"/>
    </xf>
    <xf borderId="2" fillId="18" fontId="1" numFmtId="0" xfId="0" applyAlignment="1" applyBorder="1" applyFont="1">
      <alignment horizontal="center" shrinkToFit="0" vertical="center" wrapText="1"/>
    </xf>
    <xf borderId="0" fillId="18" fontId="14" numFmtId="0" xfId="0" applyAlignment="1" applyFont="1">
      <alignment horizontal="center" shrinkToFit="0" vertical="center" wrapText="1"/>
    </xf>
    <xf borderId="0" fillId="18" fontId="17" numFmtId="0" xfId="0" applyAlignment="1" applyFont="1">
      <alignment horizontal="center"/>
    </xf>
    <xf borderId="0" fillId="18" fontId="10" numFmtId="0" xfId="0" applyAlignment="1" applyFont="1">
      <alignment horizontal="center" vertical="center"/>
    </xf>
    <xf borderId="0" fillId="18" fontId="1" numFmtId="0" xfId="0" applyAlignment="1" applyFont="1">
      <alignment horizontal="center" shrinkToFit="0" vertical="center" wrapText="1"/>
    </xf>
    <xf borderId="35" fillId="17" fontId="4" numFmtId="0" xfId="0" applyBorder="1" applyFont="1"/>
    <xf borderId="5" fillId="17" fontId="17" numFmtId="0" xfId="0" applyBorder="1" applyFont="1"/>
    <xf borderId="0" fillId="17" fontId="17" numFmtId="0" xfId="0" applyAlignment="1" applyFont="1">
      <alignment horizontal="center"/>
    </xf>
    <xf borderId="4" fillId="34" fontId="1" numFmtId="0" xfId="0" applyAlignment="1" applyBorder="1" applyFont="1">
      <alignment horizontal="center"/>
    </xf>
    <xf borderId="0" fillId="13" fontId="27" numFmtId="0" xfId="0" applyFont="1"/>
    <xf borderId="5" fillId="0" fontId="4" numFmtId="0" xfId="0" applyBorder="1" applyFont="1"/>
    <xf borderId="0" fillId="26" fontId="4" numFmtId="0" xfId="0" applyAlignment="1" applyFont="1">
      <alignment horizontal="center" vertical="center"/>
    </xf>
    <xf borderId="0" fillId="26" fontId="4" numFmtId="0" xfId="0" applyAlignment="1" applyFont="1">
      <alignment horizontal="center"/>
    </xf>
    <xf borderId="0" fillId="26" fontId="16" numFmtId="0" xfId="0" applyAlignment="1" applyFont="1">
      <alignment horizontal="center"/>
    </xf>
    <xf borderId="0" fillId="26" fontId="2" numFmtId="0" xfId="0" applyAlignment="1" applyFont="1">
      <alignment horizontal="center" shrinkToFit="0" vertical="center" wrapText="1"/>
    </xf>
    <xf borderId="0" fillId="26" fontId="4" numFmtId="0" xfId="0" applyFont="1"/>
    <xf borderId="29" fillId="35" fontId="3" numFmtId="0" xfId="0" applyBorder="1" applyFont="1"/>
    <xf borderId="5" fillId="35" fontId="17" numFmtId="0" xfId="0" applyBorder="1" applyFont="1"/>
    <xf borderId="0" fillId="35" fontId="17" numFmtId="0" xfId="0" applyFont="1"/>
    <xf borderId="0" fillId="35" fontId="4" numFmtId="0" xfId="0" applyFont="1"/>
    <xf borderId="0" fillId="35" fontId="17" numFmtId="0" xfId="0" applyAlignment="1" applyFont="1">
      <alignment horizontal="center"/>
    </xf>
    <xf borderId="0" fillId="35" fontId="7" numFmtId="0" xfId="0" applyAlignment="1" applyFont="1">
      <alignment horizontal="right" vertical="bottom"/>
    </xf>
    <xf borderId="29" fillId="36" fontId="28" numFmtId="0" xfId="0" applyBorder="1" applyFill="1" applyFont="1"/>
    <xf borderId="5" fillId="36" fontId="29" numFmtId="0" xfId="0" applyBorder="1" applyFont="1"/>
    <xf borderId="0" fillId="36" fontId="29" numFmtId="0" xfId="0" applyFont="1"/>
    <xf borderId="0" fillId="36" fontId="30" numFmtId="0" xfId="0" applyFont="1"/>
    <xf borderId="0" fillId="36" fontId="29" numFmtId="0" xfId="0" applyAlignment="1" applyFont="1">
      <alignment horizontal="center"/>
    </xf>
    <xf borderId="0" fillId="36" fontId="31" numFmtId="0" xfId="0" applyAlignment="1" applyFont="1">
      <alignment horizontal="right" vertical="bottom"/>
    </xf>
    <xf borderId="2" fillId="17" fontId="14" numFmtId="0" xfId="0" applyAlignment="1" applyBorder="1" applyFont="1">
      <alignment horizontal="center" shrinkToFit="0" vertical="center" wrapText="1"/>
    </xf>
    <xf borderId="0" fillId="0" fontId="4" numFmtId="166" xfId="0" applyFont="1" applyNumberFormat="1"/>
    <xf borderId="0" fillId="33" fontId="4" numFmtId="0" xfId="0" applyFont="1"/>
    <xf borderId="0" fillId="33" fontId="3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0" fillId="0" fontId="17" numFmtId="1" xfId="0" applyAlignment="1" applyFont="1" applyNumberFormat="1">
      <alignment horizontal="center"/>
    </xf>
    <xf borderId="28" fillId="30" fontId="17" numFmtId="1" xfId="0" applyAlignment="1" applyBorder="1" applyFont="1" applyNumberFormat="1">
      <alignment horizontal="center"/>
    </xf>
    <xf borderId="0" fillId="33" fontId="17" numFmtId="0" xfId="0" applyFont="1"/>
    <xf borderId="0" fillId="0" fontId="17" numFmtId="0" xfId="0" applyAlignment="1" applyFont="1">
      <alignment horizontal="center" vertical="center"/>
    </xf>
    <xf borderId="0" fillId="33" fontId="1" numFmtId="0" xfId="0" applyAlignment="1" applyFont="1">
      <alignment horizontal="center" shrinkToFit="0" vertical="center" wrapText="1"/>
    </xf>
    <xf borderId="0" fillId="33" fontId="1" numFmtId="0" xfId="0" applyAlignment="1" applyFont="1">
      <alignment horizontal="center" vertical="center"/>
    </xf>
    <xf borderId="30" fillId="0" fontId="4" numFmtId="0" xfId="0" applyAlignment="1" applyBorder="1" applyFont="1">
      <alignment horizontal="center" shrinkToFit="0" vertical="center" wrapText="0"/>
    </xf>
    <xf borderId="0" fillId="32" fontId="4" numFmtId="0" xfId="0" applyAlignment="1" applyFont="1">
      <alignment horizontal="center" shrinkToFit="0" vertical="center" wrapText="0"/>
    </xf>
    <xf borderId="0" fillId="33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37" fillId="21" fontId="4" numFmtId="0" xfId="0" applyBorder="1" applyFont="1"/>
    <xf borderId="10" fillId="0" fontId="17" numFmtId="0" xfId="0" applyBorder="1" applyFont="1"/>
    <xf borderId="9" fillId="0" fontId="17" numFmtId="0" xfId="0" applyAlignment="1" applyBorder="1" applyFont="1">
      <alignment horizontal="center"/>
    </xf>
    <xf borderId="9" fillId="0" fontId="18" numFmtId="0" xfId="0" applyBorder="1" applyFont="1"/>
    <xf borderId="0" fillId="21" fontId="4" numFmtId="0" xfId="0" applyAlignment="1" applyFont="1">
      <alignment vertical="bottom"/>
    </xf>
    <xf borderId="0" fillId="0" fontId="17" numFmtId="0" xfId="0" applyFont="1"/>
    <xf borderId="0" fillId="0" fontId="32" numFmtId="0" xfId="0" applyFont="1"/>
    <xf borderId="22" fillId="0" fontId="1" numFmtId="0" xfId="0" applyAlignment="1" applyBorder="1" applyFont="1">
      <alignment horizontal="center"/>
    </xf>
    <xf borderId="8" fillId="17" fontId="4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0" fillId="2" fontId="9" numFmtId="0" xfId="0" applyFont="1"/>
    <xf borderId="30" fillId="0" fontId="21" numFmtId="0" xfId="0" applyAlignment="1" applyBorder="1" applyFont="1">
      <alignment horizontal="center" shrinkToFit="0" wrapText="1"/>
    </xf>
    <xf borderId="0" fillId="0" fontId="21" numFmtId="0" xfId="0" applyAlignment="1" applyFont="1">
      <alignment horizontal="center" shrinkToFit="0" wrapText="1"/>
    </xf>
    <xf borderId="31" fillId="0" fontId="21" numFmtId="0" xfId="0" applyAlignment="1" applyBorder="1" applyFont="1">
      <alignment horizontal="center" shrinkToFit="0" wrapText="1"/>
    </xf>
    <xf borderId="9" fillId="0" fontId="4" numFmtId="0" xfId="0" applyBorder="1" applyFont="1"/>
    <xf borderId="0" fillId="32" fontId="4" numFmtId="0" xfId="0" applyFont="1"/>
    <xf borderId="0" fillId="17" fontId="1" numFmtId="0" xfId="0" applyAlignment="1" applyFont="1">
      <alignment horizontal="left"/>
    </xf>
    <xf borderId="0" fillId="25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5" fontId="1" numFmtId="10" xfId="0" applyAlignment="1" applyFont="1" applyNumberFormat="1">
      <alignment horizontal="left"/>
    </xf>
    <xf borderId="0" fillId="25" fontId="1" numFmtId="0" xfId="0" applyAlignment="1" applyFont="1">
      <alignment horizontal="left"/>
    </xf>
    <xf borderId="0" fillId="25" fontId="1" numFmtId="164" xfId="0" applyAlignment="1" applyFont="1" applyNumberFormat="1">
      <alignment horizontal="left"/>
    </xf>
    <xf borderId="0" fillId="2" fontId="9" numFmtId="164" xfId="0" applyFont="1" applyNumberFormat="1"/>
    <xf borderId="0" fillId="0" fontId="4" numFmtId="164" xfId="0" applyFont="1" applyNumberFormat="1"/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right" vertical="bottom"/>
    </xf>
    <xf borderId="0" fillId="2" fontId="4" numFmtId="0" xfId="0" applyAlignment="1" applyFont="1">
      <alignment vertical="bottom"/>
    </xf>
    <xf borderId="7" fillId="2" fontId="4" numFmtId="0" xfId="0" applyAlignment="1" applyBorder="1" applyFont="1">
      <alignment vertical="bottom"/>
    </xf>
    <xf borderId="0" fillId="28" fontId="4" numFmtId="0" xfId="0" applyAlignment="1" applyFont="1">
      <alignment vertical="bottom"/>
    </xf>
    <xf borderId="0" fillId="37" fontId="4" numFmtId="0" xfId="0" applyAlignment="1" applyFill="1" applyFont="1">
      <alignment vertical="bottom"/>
    </xf>
    <xf borderId="0" fillId="37" fontId="4" numFmtId="0" xfId="0" applyAlignment="1" applyFont="1">
      <alignment horizontal="right" vertical="bottom"/>
    </xf>
    <xf borderId="7" fillId="37" fontId="4" numFmtId="0" xfId="0" applyAlignment="1" applyBorder="1" applyFont="1">
      <alignment vertical="bottom"/>
    </xf>
    <xf borderId="7" fillId="37" fontId="4" numFmtId="0" xfId="0" applyAlignment="1" applyBorder="1" applyFont="1">
      <alignment horizontal="right" vertical="bottom"/>
    </xf>
    <xf borderId="0" fillId="0" fontId="1" numFmtId="0" xfId="0" applyFont="1"/>
    <xf borderId="0" fillId="0" fontId="33" numFmtId="0" xfId="0" applyFont="1"/>
    <xf borderId="0" fillId="31" fontId="2" numFmtId="164" xfId="0" applyAlignment="1" applyFont="1" applyNumberFormat="1">
      <alignment horizontal="center"/>
    </xf>
    <xf borderId="0" fillId="36" fontId="34" numFmtId="164" xfId="0" applyAlignment="1" applyFont="1" applyNumberFormat="1">
      <alignment horizontal="center"/>
    </xf>
    <xf borderId="0" fillId="36" fontId="35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31" fontId="4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center"/>
    </xf>
    <xf borderId="7" fillId="0" fontId="1" numFmtId="164" xfId="0" applyAlignment="1" applyBorder="1" applyFont="1" applyNumberFormat="1">
      <alignment vertical="bottom"/>
    </xf>
    <xf borderId="7" fillId="18" fontId="4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1" numFmtId="167" xfId="0" applyAlignment="1" applyBorder="1" applyFont="1" applyNumberFormat="1">
      <alignment vertical="bottom"/>
    </xf>
    <xf borderId="0" fillId="21" fontId="3" numFmtId="164" xfId="0" applyAlignment="1" applyFont="1" applyNumberFormat="1">
      <alignment vertical="bottom"/>
    </xf>
    <xf borderId="0" fillId="2" fontId="9" numFmtId="164" xfId="0" applyAlignment="1" applyFont="1" applyNumberFormat="1">
      <alignment horizontal="center" vertical="bottom"/>
    </xf>
    <xf borderId="0" fillId="18" fontId="4" numFmtId="0" xfId="0" applyAlignment="1" applyFont="1">
      <alignment vertical="bottom"/>
    </xf>
    <xf borderId="0" fillId="14" fontId="1" numFmtId="0" xfId="0" applyAlignment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7" fillId="19" fontId="1" numFmtId="0" xfId="0" applyAlignment="1" applyBorder="1" applyFont="1">
      <alignment horizontal="center" vertical="bottom"/>
    </xf>
    <xf borderId="7" fillId="14" fontId="1" numFmtId="0" xfId="0" applyAlignment="1" applyBorder="1" applyFont="1">
      <alignment horizontal="right" vertical="bottom"/>
    </xf>
    <xf borderId="7" fillId="14" fontId="1" numFmtId="167" xfId="0" applyAlignment="1" applyBorder="1" applyFont="1" applyNumberFormat="1">
      <alignment horizontal="center" vertical="bottom"/>
    </xf>
    <xf borderId="0" fillId="16" fontId="1" numFmtId="0" xfId="0" applyAlignment="1" applyFont="1">
      <alignment horizontal="center" vertical="bottom"/>
    </xf>
    <xf borderId="0" fillId="9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7" fillId="3" fontId="9" numFmtId="167" xfId="0" applyAlignment="1" applyBorder="1" applyFont="1" applyNumberFormat="1">
      <alignment horizontal="right" vertical="bottom"/>
    </xf>
    <xf borderId="0" fillId="10" fontId="1" numFmtId="0" xfId="0" applyAlignment="1" applyFont="1">
      <alignment horizontal="center" vertical="bottom"/>
    </xf>
    <xf borderId="0" fillId="3" fontId="1" numFmtId="0" xfId="0" applyAlignment="1" applyFont="1">
      <alignment horizontal="right" vertical="bottom"/>
    </xf>
    <xf borderId="7" fillId="3" fontId="36" numFmtId="167" xfId="0" applyAlignment="1" applyBorder="1" applyFont="1" applyNumberFormat="1">
      <alignment vertical="bottom"/>
    </xf>
    <xf borderId="7" fillId="3" fontId="7" numFmtId="0" xfId="0" applyAlignment="1" applyBorder="1" applyFont="1">
      <alignment vertical="bottom"/>
    </xf>
    <xf borderId="0" fillId="10" fontId="7" numFmtId="0" xfId="0" applyAlignment="1" applyFont="1">
      <alignment vertical="bottom"/>
    </xf>
    <xf borderId="7" fillId="10" fontId="7" numFmtId="167" xfId="0" applyAlignment="1" applyBorder="1" applyFont="1" applyNumberFormat="1">
      <alignment horizontal="right" vertical="bottom"/>
    </xf>
    <xf borderId="0" fillId="12" fontId="1" numFmtId="0" xfId="0" applyAlignment="1" applyFont="1">
      <alignment horizontal="center" vertical="bottom"/>
    </xf>
    <xf borderId="7" fillId="10" fontId="4" numFmtId="167" xfId="0" applyAlignment="1" applyBorder="1" applyFont="1" applyNumberFormat="1">
      <alignment horizontal="center" vertical="bottom"/>
    </xf>
    <xf borderId="7" fillId="10" fontId="7" numFmtId="0" xfId="0" applyAlignment="1" applyBorder="1" applyFont="1">
      <alignment vertical="bottom"/>
    </xf>
    <xf borderId="0" fillId="9" fontId="7" numFmtId="0" xfId="0" applyAlignment="1" applyFont="1">
      <alignment vertical="bottom"/>
    </xf>
    <xf borderId="7" fillId="9" fontId="9" numFmtId="167" xfId="0" applyAlignment="1" applyBorder="1" applyFont="1" applyNumberFormat="1">
      <alignment horizontal="right" vertical="bottom"/>
    </xf>
    <xf borderId="0" fillId="9" fontId="1" numFmtId="0" xfId="0" applyAlignment="1" applyFont="1">
      <alignment horizontal="right" vertical="bottom"/>
    </xf>
    <xf borderId="7" fillId="9" fontId="36" numFmtId="167" xfId="0" applyAlignment="1" applyBorder="1" applyFont="1" applyNumberFormat="1">
      <alignment vertical="bottom"/>
    </xf>
    <xf borderId="7" fillId="9" fontId="7" numFmtId="0" xfId="0" applyAlignment="1" applyBorder="1" applyFont="1">
      <alignment vertical="bottom"/>
    </xf>
    <xf borderId="7" fillId="14" fontId="1" numFmtId="2" xfId="0" applyAlignment="1" applyBorder="1" applyFont="1" applyNumberFormat="1">
      <alignment horizontal="center" vertical="bottom"/>
    </xf>
    <xf borderId="0" fillId="5" fontId="37" numFmtId="0" xfId="0" applyAlignment="1" applyFont="1">
      <alignment vertical="bottom"/>
    </xf>
    <xf borderId="7" fillId="5" fontId="7" numFmtId="167" xfId="0" applyAlignment="1" applyBorder="1" applyFont="1" applyNumberFormat="1">
      <alignment horizontal="right" vertical="bottom"/>
    </xf>
    <xf borderId="7" fillId="3" fontId="9" numFmtId="2" xfId="0" applyAlignment="1" applyBorder="1" applyFont="1" applyNumberFormat="1">
      <alignment horizontal="right" vertical="bottom"/>
    </xf>
    <xf borderId="7" fillId="5" fontId="4" numFmtId="167" xfId="0" applyAlignment="1" applyBorder="1" applyFont="1" applyNumberFormat="1">
      <alignment horizontal="center" vertical="bottom"/>
    </xf>
    <xf borderId="7" fillId="3" fontId="36" numFmtId="2" xfId="0" applyAlignment="1" applyBorder="1" applyFont="1" applyNumberFormat="1">
      <alignment vertical="bottom"/>
    </xf>
    <xf borderId="7" fillId="5" fontId="7" numFmtId="0" xfId="0" applyAlignment="1" applyBorder="1" applyFont="1">
      <alignment vertical="bottom"/>
    </xf>
    <xf borderId="0" fillId="7" fontId="37" numFmtId="11" xfId="0" applyAlignment="1" applyFont="1" applyNumberFormat="1">
      <alignment vertical="bottom"/>
    </xf>
    <xf borderId="7" fillId="7" fontId="9" numFmtId="167" xfId="0" applyAlignment="1" applyBorder="1" applyFont="1" applyNumberFormat="1">
      <alignment horizontal="right" vertical="bottom"/>
    </xf>
    <xf borderId="7" fillId="10" fontId="1" numFmtId="2" xfId="0" applyAlignment="1" applyBorder="1" applyFont="1" applyNumberFormat="1">
      <alignment horizontal="center" vertical="bottom"/>
    </xf>
    <xf borderId="0" fillId="7" fontId="1" numFmtId="0" xfId="0" applyAlignment="1" applyFont="1">
      <alignment horizontal="right" vertical="bottom"/>
    </xf>
    <xf borderId="7" fillId="7" fontId="36" numFmtId="167" xfId="0" applyAlignment="1" applyBorder="1" applyFont="1" applyNumberFormat="1">
      <alignment vertical="bottom"/>
    </xf>
    <xf borderId="7" fillId="10" fontId="7" numFmtId="2" xfId="0" applyAlignment="1" applyBorder="1" applyFont="1" applyNumberFormat="1">
      <alignment horizontal="right" vertical="bottom"/>
    </xf>
    <xf borderId="7" fillId="7" fontId="7" numFmtId="0" xfId="0" applyAlignment="1" applyBorder="1" applyFont="1">
      <alignment vertical="bottom"/>
    </xf>
    <xf borderId="7" fillId="9" fontId="36" numFmtId="2" xfId="0" applyAlignment="1" applyBorder="1" applyFont="1" applyNumberFormat="1">
      <alignment vertical="bottom"/>
    </xf>
    <xf borderId="7" fillId="16" fontId="1" numFmtId="0" xfId="0" applyAlignment="1" applyBorder="1" applyFont="1">
      <alignment horizontal="right" vertical="bottom"/>
    </xf>
    <xf borderId="7" fillId="16" fontId="1" numFmtId="167" xfId="0" applyAlignment="1" applyBorder="1" applyFont="1" applyNumberFormat="1">
      <alignment horizontal="center" vertical="bottom"/>
    </xf>
    <xf borderId="7" fillId="9" fontId="9" numFmtId="2" xfId="0" applyAlignment="1" applyBorder="1" applyFont="1" applyNumberFormat="1">
      <alignment horizontal="right" vertical="bottom"/>
    </xf>
    <xf borderId="0" fillId="18" fontId="4" numFmtId="167" xfId="0" applyAlignment="1" applyFont="1" applyNumberFormat="1">
      <alignment vertical="bottom"/>
    </xf>
    <xf borderId="0" fillId="18" fontId="4" numFmtId="0" xfId="0" applyAlignment="1" applyFont="1">
      <alignment horizontal="center" vertical="bottom"/>
    </xf>
    <xf borderId="7" fillId="5" fontId="1" numFmtId="2" xfId="0" applyAlignment="1" applyBorder="1" applyFont="1" applyNumberFormat="1">
      <alignment horizontal="center" vertical="bottom"/>
    </xf>
    <xf borderId="0" fillId="5" fontId="7" numFmtId="0" xfId="0" applyAlignment="1" applyFont="1">
      <alignment vertical="bottom"/>
    </xf>
    <xf borderId="7" fillId="5" fontId="7" numFmtId="2" xfId="0" applyAlignment="1" applyBorder="1" applyFont="1" applyNumberFormat="1">
      <alignment horizontal="right" vertical="bottom"/>
    </xf>
    <xf borderId="7" fillId="7" fontId="36" numFmtId="2" xfId="0" applyAlignment="1" applyBorder="1" applyFont="1" applyNumberFormat="1">
      <alignment vertical="bottom"/>
    </xf>
    <xf borderId="7" fillId="7" fontId="9" numFmtId="2" xfId="0" applyAlignment="1" applyBorder="1" applyFont="1" applyNumberFormat="1">
      <alignment horizontal="right" vertical="bottom"/>
    </xf>
    <xf borderId="7" fillId="16" fontId="2" numFmtId="0" xfId="0" applyAlignment="1" applyBorder="1" applyFont="1">
      <alignment horizontal="center" vertical="bottom"/>
    </xf>
    <xf borderId="7" fillId="16" fontId="1" numFmtId="2" xfId="0" applyAlignment="1" applyBorder="1" applyFont="1" applyNumberFormat="1">
      <alignment horizontal="center" vertical="bottom"/>
    </xf>
    <xf borderId="0" fillId="21" fontId="1" numFmtId="0" xfId="0" applyAlignment="1" applyFont="1">
      <alignment vertical="bottom"/>
    </xf>
    <xf borderId="7" fillId="21" fontId="1" numFmtId="0" xfId="0" applyAlignment="1" applyBorder="1" applyFont="1">
      <alignment horizontal="right" vertical="bottom"/>
    </xf>
    <xf borderId="7" fillId="21" fontId="1" numFmtId="0" xfId="0" applyAlignment="1" applyBorder="1" applyFont="1">
      <alignment vertical="bottom"/>
    </xf>
    <xf borderId="0" fillId="33" fontId="1" numFmtId="0" xfId="0" applyAlignment="1" applyFont="1">
      <alignment horizontal="center"/>
    </xf>
    <xf borderId="0" fillId="0" fontId="3" numFmtId="0" xfId="0" applyAlignment="1" applyFont="1">
      <alignment horizontal="right" vertical="bottom"/>
    </xf>
    <xf borderId="0" fillId="36" fontId="34" numFmtId="164" xfId="0" applyFont="1" applyNumberFormat="1"/>
    <xf borderId="0" fillId="36" fontId="35" numFmtId="0" xfId="0" applyFont="1"/>
    <xf borderId="0" fillId="2" fontId="4" numFmtId="164" xfId="0" applyFont="1" applyNumberFormat="1"/>
    <xf borderId="0" fillId="21" fontId="1" numFmtId="0" xfId="0" applyAlignment="1" applyFont="1">
      <alignment horizontal="right" vertical="bottom"/>
    </xf>
  </cellXfs>
  <cellStyles count="1">
    <cellStyle xfId="0" name="Normal" builtinId="0"/>
  </cellStyles>
  <dxfs count="15"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7.xml"/><Relationship Id="rId32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pivotCacheDefinition" Target="pivotCache/pivotCacheDefinition3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9" sheet="ammy stats"/>
  </cacheSource>
  <cacheFields>
    <cacheField name="Player" numFmtId="0">
      <sharedItems>
        <s v="AJ DaJuiceMayne"/>
        <s v="ASpence501"/>
        <s v="AtoneMilitant"/>
        <s v="AwareMosquito"/>
        <s v="BeaM1n1"/>
        <s v="CaptainSev004"/>
        <s v="Conra4859"/>
        <s v="Dabb"/>
        <s v="Dat Twinkie"/>
        <s v="Doerstopper"/>
        <s v="EllisGotMyPills"/>
        <s v="Frnzh"/>
        <s v="GrifHost"/>
        <s v="Grifball NH"/>
        <s v="Havoc Puppies"/>
        <s v="Its bck"/>
        <s v="KING RICKXL"/>
        <s v="LaMeowlla"/>
        <s v="LilSkelR1926"/>
        <s v="Lmao Ninj0"/>
        <s v="Mavbrid"/>
        <s v="MoldyVolts"/>
        <s v="Mr Epic Beast"/>
        <s v="MuNgO PuNgO"/>
        <s v="Myst the Cold"/>
        <s v="MysticalNovice"/>
        <s v="NKOTB4evah"/>
        <s v="Nihilus"/>
        <s v="Priest XYZ"/>
        <s v="RDG NHL"/>
        <s v="RandyJacksonBK"/>
        <s v="Reyas"/>
        <s v="ScarHead1995"/>
        <s v="Scomancer"/>
        <s v="SightedMovie771"/>
        <s v="The Piggies"/>
        <s v="The Scet"/>
        <s v="TheAlphaTurtle"/>
        <s v="TheNobleTV"/>
        <s v="TommyWstSide"/>
        <s v="Trespa5s"/>
        <s v="Wrecking Nerds"/>
        <s v="Yejis Aegyo"/>
        <s v="cxrnchip"/>
        <s v="ixSqueeps"/>
        <s v="ixjaga"/>
        <s v="mstell96"/>
        <s v="x Zeg x"/>
      </sharedItems>
    </cacheField>
    <cacheField name="Goals" numFmtId="0">
      <sharedItems containsSemiMixedTypes="0" containsString="0" containsNumber="1" containsInteger="1">
        <n v="0.0"/>
        <n v="1.0"/>
        <n v="11.0"/>
        <n v="6.0"/>
        <n v="3.0"/>
        <n v="9.0"/>
        <n v="5.0"/>
        <n v="2.0"/>
        <n v="4.0"/>
      </sharedItems>
    </cacheField>
    <cacheField name="Kills" numFmtId="0">
      <sharedItems containsSemiMixedTypes="0" containsString="0" containsNumber="1" containsInteger="1">
        <n v="0.0"/>
        <n v="546.0"/>
        <n v="137.0"/>
        <n v="165.0"/>
        <n v="200.0"/>
        <n v="639.0"/>
        <n v="104.0"/>
        <n v="423.0"/>
        <n v="93.0"/>
        <n v="266.0"/>
        <n v="38.0"/>
        <n v="90.0"/>
        <n v="18.0"/>
        <n v="14.0"/>
        <n v="289.0"/>
        <n v="16.0"/>
        <n v="62.0"/>
        <n v="459.0"/>
        <n v="198.0"/>
        <n v="543.0"/>
        <n v="71.0"/>
        <n v="91.0"/>
        <n v="126.0"/>
        <n v="136.0"/>
        <n v="156.0"/>
        <n v="144.0"/>
        <n v="160.0"/>
        <n v="186.0"/>
        <n v="1.0"/>
        <n v="233.0"/>
        <n v="759.0"/>
        <n v="191.0"/>
        <n v="182.0"/>
        <n v="206.0"/>
        <n v="102.0"/>
        <n v="73.0"/>
        <n v="386.0"/>
        <n v="120.0"/>
        <n v="121.0"/>
      </sharedItems>
    </cacheField>
    <cacheField name="Assists" numFmtId="0">
      <sharedItems containsSemiMixedTypes="0" containsString="0" containsNumber="1" containsInteger="1">
        <n v="0.0"/>
        <n v="12.0"/>
        <n v="6.0"/>
        <n v="4.0"/>
        <n v="3.0"/>
        <n v="17.0"/>
        <n v="15.0"/>
        <n v="1.0"/>
        <n v="16.0"/>
        <n v="9.0"/>
        <n v="11.0"/>
        <n v="5.0"/>
        <n v="8.0"/>
        <n v="23.0"/>
        <n v="2.0"/>
        <n v="7.0"/>
      </sharedItems>
    </cacheField>
    <cacheField name="Deaths" numFmtId="0">
      <sharedItems containsSemiMixedTypes="0" containsString="0" containsNumber="1" containsInteger="1">
        <n v="0.0"/>
        <n v="482.0"/>
        <n v="128.0"/>
        <n v="183.0"/>
        <n v="191.0"/>
        <n v="637.0"/>
        <n v="207.0"/>
        <n v="267.0"/>
        <n v="127.0"/>
        <n v="331.0"/>
        <n v="33.0"/>
        <n v="105.0"/>
        <n v="14.0"/>
        <n v="326.0"/>
        <n v="10.0"/>
        <n v="126.0"/>
        <n v="490.0"/>
        <n v="240.0"/>
        <n v="607.0"/>
        <n v="93.0"/>
        <n v="84.0"/>
        <n v="136.0"/>
        <n v="144.0"/>
        <n v="173.0"/>
        <n v="189.0"/>
        <n v="154.0"/>
        <n v="193.0"/>
        <n v="17.0"/>
        <n v="179.0"/>
        <n v="694.0"/>
        <n v="190.0"/>
        <n v="168.0"/>
        <n v="236.0"/>
        <n v="77.0"/>
        <n v="71.0"/>
        <n v="380.0"/>
        <n v="152.0"/>
      </sharedItems>
    </cacheField>
    <cacheField name="Spread" numFmtId="0">
      <sharedItems containsSemiMixedTypes="0" containsString="0" containsNumber="1" containsInteger="1">
        <n v="0.0"/>
        <n v="64.0"/>
        <n v="9.0"/>
        <n v="-18.0"/>
        <n v="2.0"/>
        <n v="-103.0"/>
        <n v="156.0"/>
        <n v="-34.0"/>
        <n v="-65.0"/>
        <n v="5.0"/>
        <n v="-15.0"/>
        <n v="4.0"/>
        <n v="-37.0"/>
        <n v="6.0"/>
        <n v="-64.0"/>
        <n v="-31.0"/>
        <n v="-42.0"/>
        <n v="-22.0"/>
        <n v="7.0"/>
        <n v="-10.0"/>
        <n v="-8.0"/>
        <n v="-17.0"/>
        <n v="-45.0"/>
        <n v="-7.0"/>
        <n v="-16.0"/>
        <n v="54.0"/>
        <n v="65.0"/>
        <n v="1.0"/>
        <n v="14.0"/>
        <n v="-30.0"/>
        <n v="25.0"/>
        <n v="-24.0"/>
      </sharedItems>
    </cacheField>
    <cacheField name="Streak" numFmtId="0">
      <sharedItems containsSemiMixedTypes="0" containsString="0" containsNumber="1" containsInteger="1">
        <n v="0.0"/>
        <n v="30.0"/>
        <n v="14.0"/>
        <n v="15.0"/>
        <n v="42.0"/>
        <n v="13.0"/>
        <n v="36.0"/>
        <n v="8.0"/>
        <n v="17.0"/>
        <n v="3.0"/>
        <n v="12.0"/>
        <n v="4.0"/>
        <n v="24.0"/>
        <n v="9.0"/>
        <n v="25.0"/>
        <n v="21.0"/>
        <n v="5.0"/>
        <n v="11.0"/>
        <n v="19.0"/>
        <n v="10.0"/>
        <n v="1.0"/>
        <n v="29.0"/>
        <n v="7.0"/>
        <n v="16.0"/>
      </sharedItems>
    </cacheField>
    <cacheField name="Betrayals" numFmtId="0">
      <sharedItems containsSemiMixedTypes="0" containsString="0" containsNumber="1" containsInteger="1">
        <n v="0.0"/>
        <n v="17.0"/>
        <n v="10.0"/>
        <n v="7.0"/>
        <n v="9.0"/>
        <n v="1.0"/>
        <n v="2.0"/>
        <n v="8.0"/>
        <n v="4.0"/>
        <n v="11.0"/>
        <n v="20.0"/>
        <n v="6.0"/>
        <n v="3.0"/>
        <n v="5.0"/>
        <n v="14.0"/>
        <n v="12.0"/>
      </sharedItems>
    </cacheField>
    <cacheField name="GameTime" numFmtId="0">
      <sharedItems containsSemiMixedTypes="0" containsString="0" containsNumber="1" containsInteger="1">
        <n v="0.0"/>
        <n v="6474.0"/>
        <n v="1974.0"/>
        <n v="2941.0"/>
        <n v="2943.0"/>
        <n v="11646.0"/>
        <n v="3042.0"/>
        <n v="1798.0"/>
        <n v="5189.0"/>
        <n v="883.0"/>
        <n v="274.0"/>
        <n v="5407.0"/>
        <n v="2160.0"/>
        <n v="9049.0"/>
        <n v="3926.0"/>
        <n v="10127.0"/>
        <n v="1453.0"/>
        <n v="1452.0"/>
        <n v="2161.0"/>
        <n v="3387.0"/>
        <n v="2886.0"/>
        <n v="3338.0"/>
        <n v="186.0"/>
        <n v="3388.0"/>
        <n v="11651.0"/>
      </sharedItems>
    </cacheField>
    <cacheField name="BombStops" numFmtId="0">
      <sharedItems containsSemiMixedTypes="0" containsString="0" containsNumber="1" containsInteger="1">
        <n v="0.0"/>
        <n v="16.0"/>
        <n v="4.0"/>
        <n v="1.0"/>
        <n v="30.0"/>
        <n v="12.0"/>
        <n v="2.0"/>
        <n v="8.0"/>
        <n v="10.0"/>
        <n v="5.0"/>
        <n v="9.0"/>
        <n v="6.0"/>
        <n v="17.0"/>
      </sharedItems>
    </cacheField>
    <cacheField name="DoubleKills" numFmtId="0">
      <sharedItems containsSemiMixedTypes="0" containsString="0" containsNumber="1" containsInteger="1">
        <n v="0.0"/>
        <n v="112.0"/>
        <n v="25.0"/>
        <n v="23.0"/>
        <n v="41.0"/>
        <n v="122.0"/>
        <n v="14.0"/>
        <n v="64.0"/>
        <n v="13.0"/>
        <n v="7.0"/>
        <n v="9.0"/>
        <n v="3.0"/>
        <n v="2.0"/>
        <n v="49.0"/>
        <n v="74.0"/>
        <n v="33.0"/>
        <n v="85.0"/>
        <n v="11.0"/>
        <n v="16.0"/>
        <n v="24.0"/>
        <n v="21.0"/>
        <n v="29.0"/>
        <n v="19.0"/>
        <n v="38.0"/>
        <n v="37.0"/>
        <n v="145.0"/>
        <n v="32.0"/>
        <n v="26.0"/>
        <n v="20.0"/>
        <n v="70.0"/>
        <n v="15.0"/>
      </sharedItems>
    </cacheField>
    <cacheField name="TripleKills" numFmtId="0">
      <sharedItems containsSemiMixedTypes="0" containsString="0" containsNumber="1" containsInteger="1">
        <n v="0.0"/>
        <n v="21.0"/>
        <n v="5.0"/>
        <n v="6.0"/>
        <n v="8.0"/>
        <n v="23.0"/>
        <n v="3.0"/>
        <n v="20.0"/>
        <n v="2.0"/>
        <n v="1.0"/>
        <n v="11.0"/>
        <n v="14.0"/>
        <n v="15.0"/>
        <n v="4.0"/>
        <n v="7.0"/>
        <n v="12.0"/>
        <n v="27.0"/>
        <n v="18.0"/>
      </sharedItems>
    </cacheField>
    <cacheField name="Overkills+" numFmtId="0">
      <sharedItems containsSemiMixedTypes="0" containsString="0" containsNumber="1" containsInteger="1">
        <n v="0.0"/>
        <n v="8.0"/>
        <n v="1.0"/>
        <n v="2.0"/>
        <n v="5.0"/>
        <n v="14.0"/>
        <n v="3.0"/>
        <n v="6.0"/>
        <n v="4.0"/>
        <n v="7.0"/>
        <n v="16.0"/>
      </sharedItems>
    </cacheField>
    <cacheField name="Sprees" numFmtId="0">
      <sharedItems containsSemiMixedTypes="0" containsString="0" containsNumber="1" containsInteger="1">
        <n v="0.0"/>
        <n v="8.0"/>
        <n v="2.0"/>
        <n v="1.0"/>
        <n v="3.0"/>
        <n v="10.0"/>
        <n v="12.0"/>
        <n v="4.0"/>
        <n v="5.0"/>
        <n v="11.0"/>
      </sharedItems>
    </cacheField>
    <cacheField name="Exterm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Overkills" numFmtId="0">
      <sharedItems containsSemiMixedTypes="0" containsString="0" containsNumber="1" containsInteger="1">
        <n v="0.0"/>
        <n v="5.0"/>
        <n v="1.0"/>
        <n v="2.0"/>
        <n v="8.0"/>
        <n v="3.0"/>
        <n v="4.0"/>
        <n v="10.0"/>
        <n v="7.0"/>
        <n v="9.0"/>
      </sharedItems>
    </cacheField>
    <cacheField name="KillingSprees" numFmtId="0">
      <sharedItems containsSemiMixedTypes="0" containsString="0" containsNumber="1" containsInteger="1">
        <n v="0.0"/>
        <n v="8.0"/>
        <n v="2.0"/>
        <n v="1.0"/>
        <n v="3.0"/>
        <n v="10.0"/>
        <n v="12.0"/>
        <n v="4.0"/>
        <n v="5.0"/>
        <n v="11.0"/>
      </sharedItems>
    </cacheField>
    <cacheField name="KillingFrenzies" numFmtId="0">
      <sharedItems containsSemiMixedTypes="0" containsString="0" containsNumber="1" containsInteger="1">
        <n v="0.0"/>
        <n v="1.0"/>
      </sharedItems>
    </cacheField>
    <cacheField name="Running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Killtaculars" numFmtId="0">
      <sharedItems containsSemiMixedTypes="0" containsString="0" containsNumber="1" containsInteger="1">
        <n v="0.0"/>
        <n v="1.0"/>
        <n v="2.0"/>
        <n v="3.0"/>
        <n v="5.0"/>
        <n v="4.0"/>
      </sharedItems>
    </cacheField>
    <cacheField name="Killtrocities" numFmtId="0">
      <sharedItems containsSemiMixedTypes="0" containsString="0" containsNumber="1" containsInteger="1">
        <n v="0.0"/>
        <n v="1.0"/>
        <n v="2.0"/>
      </sharedItems>
    </cacheField>
    <cacheField name="Killamanjaros" numFmtId="0">
      <sharedItems containsSemiMixedTypes="0" containsString="0" containsNumber="1" containsInteger="1">
        <n v="0.0"/>
        <n v="1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0.0"/>
        <n v="4.0"/>
        <n v="5.0"/>
        <n v="3.0"/>
        <n v="7.0"/>
        <n v="12.0"/>
        <n v="2.0"/>
        <n v="8.0"/>
        <n v="1.0"/>
        <n v="13.0"/>
        <n v="16.0"/>
        <n v="6.0"/>
        <n v="10.0"/>
      </sharedItems>
    </cacheField>
    <cacheField name="HammerSprees" numFmtId="0">
      <sharedItems containsSemiMixedTypes="0" containsString="0" containsNumber="1" containsInteger="1">
        <n v="0.0"/>
      </sharedItems>
    </cacheField>
    <cacheField name="SUM of GPM" formula="Goals/(GameTime/60)" databaseField="0"/>
    <cacheField name="SUM of KDPM" formula="Spread/(GameTime/60)" databaseField="0"/>
    <cacheField name="SUM of STPM" formula="BombStops/(GameTime/60)" databaseField="0"/>
    <cacheField name="SUM of SPM" formula="Sprees/(GameTime/60)" databaseField="0"/>
    <cacheField name="SUM of DPM" formula="DoubleKills/(GameTime/60)" databaseField="0"/>
    <cacheField name="SUM of TPM" formula="TripleKills/(GameTime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37" sheet="ProStats"/>
  </cacheSource>
  <cacheFields>
    <cacheField name="Player" numFmtId="0">
      <sharedItems>
        <s v="ACE B S1lentND1"/>
        <s v="AJ DaJuiceMayne"/>
        <s v="DCleak"/>
        <s v="DlGITAL PAIN"/>
        <s v="Doerstopper"/>
        <s v="Fanciest Pants"/>
        <s v="Frnzh"/>
        <s v="Galvann"/>
        <s v="GodSnipezX"/>
        <s v="Icey Tanker"/>
        <s v="Invayda Zim"/>
        <s v="Killerz Legit"/>
        <s v="LENH5440"/>
        <s v="ManCanonPls"/>
        <s v="Mavbrid"/>
        <s v="Ming Crusader"/>
        <s v="MysticalNovice"/>
        <s v="NetsPride15"/>
        <s v="OVERweightGOAT"/>
        <s v="QueOtaSaintz"/>
        <s v="Rage More Nerd"/>
        <s v="RandyJacksonBK"/>
        <s v="Regresser"/>
        <s v="Sabasauros rex"/>
        <s v="Silva"/>
        <s v="Solace VIII"/>
        <s v="The Piggies"/>
        <s v="The Scet"/>
        <s v="Yejis Aegyo"/>
        <s v="cxrnchip"/>
        <s v="eTazedd"/>
        <s v="halfbreed105"/>
        <s v="ixGingy"/>
        <s v="ixjaga"/>
        <s v="oDhmon"/>
        <s v="yLuxe"/>
      </sharedItems>
    </cacheField>
    <cacheField name="Goals" numFmtId="0">
      <sharedItems containsSemiMixedTypes="0" containsString="0" containsNumber="1" containsInteger="1">
        <n v="0.0"/>
        <n v="2.0"/>
        <n v="6.0"/>
        <n v="1.0"/>
        <n v="3.0"/>
        <n v="13.0"/>
        <n v="9.0"/>
        <n v="7.0"/>
        <n v="18.0"/>
        <n v="4.0"/>
      </sharedItems>
    </cacheField>
    <cacheField name="Kills" numFmtId="0">
      <sharedItems containsSemiMixedTypes="0" containsString="0" containsNumber="1" containsInteger="1">
        <n v="0.0"/>
        <n v="223.0"/>
        <n v="94.0"/>
        <n v="633.0"/>
        <n v="64.0"/>
        <n v="50.0"/>
        <n v="39.0"/>
        <n v="598.0"/>
        <n v="415.0"/>
        <n v="436.0"/>
        <n v="500.0"/>
        <n v="409.0"/>
        <n v="287.0"/>
        <n v="37.0"/>
        <n v="395.0"/>
        <n v="38.0"/>
        <n v="479.0"/>
        <n v="29.0"/>
        <n v="434.0"/>
        <n v="462.0"/>
        <n v="442.0"/>
        <n v="261.0"/>
        <n v="271.0"/>
        <n v="10.0"/>
        <n v="443.0"/>
        <n v="18.0"/>
        <n v="330.0"/>
        <n v="62.0"/>
        <n v="537.0"/>
        <n v="300.0"/>
        <n v="393.0"/>
      </sharedItems>
    </cacheField>
    <cacheField name="Assists" numFmtId="0">
      <sharedItems containsSemiMixedTypes="0" containsString="0" containsNumber="1" containsInteger="1">
        <n v="0.0"/>
        <n v="13.0"/>
        <n v="2.0"/>
        <n v="11.0"/>
        <n v="3.0"/>
        <n v="1.0"/>
        <n v="14.0"/>
        <n v="21.0"/>
        <n v="4.0"/>
        <n v="8.0"/>
        <n v="12.0"/>
        <n v="15.0"/>
        <n v="10.0"/>
        <n v="16.0"/>
        <n v="7.0"/>
        <n v="6.0"/>
      </sharedItems>
    </cacheField>
    <cacheField name="Deaths" numFmtId="0">
      <sharedItems containsSemiMixedTypes="0" containsString="0" containsNumber="1" containsInteger="1">
        <n v="0.0"/>
        <n v="254.0"/>
        <n v="77.0"/>
        <n v="572.0"/>
        <n v="95.0"/>
        <n v="64.0"/>
        <n v="33.0"/>
        <n v="591.0"/>
        <n v="339.0"/>
        <n v="335.0"/>
        <n v="547.0"/>
        <n v="431.0"/>
        <n v="368.0"/>
        <n v="40.0"/>
        <n v="454.0"/>
        <n v="50.0"/>
        <n v="559.0"/>
        <n v="84.0"/>
        <n v="420.0"/>
        <n v="540.0"/>
        <n v="255.0"/>
        <n v="17.0"/>
        <n v="372.0"/>
        <n v="25.0"/>
        <n v="321.0"/>
        <n v="98.0"/>
        <n v="492.0"/>
        <n v="337.0"/>
        <n v="445.0"/>
      </sharedItems>
    </cacheField>
    <cacheField name="Spread" numFmtId="0">
      <sharedItems containsSemiMixedTypes="0" containsString="0" containsNumber="1" containsInteger="1">
        <n v="0.0"/>
        <n v="-31.0"/>
        <n v="17.0"/>
        <n v="61.0"/>
        <n v="-14.0"/>
        <n v="6.0"/>
        <n v="7.0"/>
        <n v="76.0"/>
        <n v="101.0"/>
        <n v="-47.0"/>
        <n v="-22.0"/>
        <n v="-81.0"/>
        <n v="-3.0"/>
        <n v="-59.0"/>
        <n v="-12.0"/>
        <n v="-80.0"/>
        <n v="-55.0"/>
        <n v="14.0"/>
        <n v="-78.0"/>
        <n v="-7.0"/>
        <n v="71.0"/>
        <n v="9.0"/>
        <n v="-36.0"/>
        <n v="45.0"/>
        <n v="-37.0"/>
        <n v="-52.0"/>
      </sharedItems>
    </cacheField>
    <cacheField name="Streak" numFmtId="0">
      <sharedItems containsSemiMixedTypes="0" containsString="0" containsNumber="1" containsInteger="1">
        <n v="0.0"/>
        <n v="19.0"/>
        <n v="11.0"/>
        <n v="49.0"/>
        <n v="9.0"/>
        <n v="6.0"/>
        <n v="7.0"/>
        <n v="38.0"/>
        <n v="36.0"/>
        <n v="27.0"/>
        <n v="32.0"/>
        <n v="31.0"/>
        <n v="22.0"/>
        <n v="3.0"/>
        <n v="33.0"/>
        <n v="4.0"/>
        <n v="30.0"/>
        <n v="25.0"/>
        <n v="23.0"/>
        <n v="8.0"/>
        <n v="44.0"/>
        <n v="26.0"/>
      </sharedItems>
    </cacheField>
    <cacheField name="Betrayals" numFmtId="0">
      <sharedItems containsSemiMixedTypes="0" containsString="0" containsNumber="1" containsInteger="1">
        <n v="0.0"/>
        <n v="7.0"/>
        <n v="19.0"/>
        <n v="2.0"/>
        <n v="23.0"/>
        <n v="11.0"/>
        <n v="16.0"/>
        <n v="5.0"/>
        <n v="4.0"/>
        <n v="3.0"/>
        <n v="12.0"/>
        <n v="18.0"/>
        <n v="8.0"/>
        <n v="6.0"/>
        <n v="1.0"/>
      </sharedItems>
    </cacheField>
    <cacheField name="GameTime" numFmtId="0">
      <sharedItems containsSemiMixedTypes="0" containsString="0" containsNumber="1" containsInteger="1">
        <n v="0.0"/>
        <n v="4402.0"/>
        <n v="1322.0"/>
        <n v="9253.0"/>
        <n v="1686.0"/>
        <n v="870.0"/>
        <n v="663.0"/>
        <n v="9134.0"/>
        <n v="5559.0"/>
        <n v="5806.0"/>
        <n v="8503.0"/>
        <n v="6982.0"/>
        <n v="7568.0"/>
        <n v="7645.0"/>
        <n v="7653.0"/>
        <n v="6991.0"/>
        <n v="7654.0"/>
        <n v="4809.0"/>
        <n v="5807.0"/>
        <n v="407.0"/>
        <n v="452.0"/>
        <n v="5805.0"/>
        <n v="6990.0"/>
      </sharedItems>
    </cacheField>
    <cacheField name="BombStops" numFmtId="0">
      <sharedItems containsSemiMixedTypes="0" containsString="0" containsNumber="1" containsInteger="1">
        <n v="0.0"/>
        <n v="12.0"/>
        <n v="6.0"/>
        <n v="11.0"/>
        <n v="1.0"/>
        <n v="9.0"/>
        <n v="16.0"/>
        <n v="3.0"/>
        <n v="13.0"/>
        <n v="10.0"/>
        <n v="8.0"/>
        <n v="7.0"/>
        <n v="5.0"/>
        <n v="4.0"/>
        <n v="2.0"/>
        <n v="17.0"/>
      </sharedItems>
    </cacheField>
    <cacheField name="DoubleKills" numFmtId="0">
      <sharedItems containsSemiMixedTypes="0" containsString="0" containsNumber="1" containsInteger="1">
        <n v="0.0"/>
        <n v="33.0"/>
        <n v="17.0"/>
        <n v="113.0"/>
        <n v="12.0"/>
        <n v="8.0"/>
        <n v="5.0"/>
        <n v="106.0"/>
        <n v="77.0"/>
        <n v="90.0"/>
        <n v="89.0"/>
        <n v="74.0"/>
        <n v="28.0"/>
        <n v="63.0"/>
        <n v="7.0"/>
        <n v="71.0"/>
        <n v="3.0"/>
        <n v="67.0"/>
        <n v="78.0"/>
        <n v="39.0"/>
        <n v="47.0"/>
        <n v="2.0"/>
        <n v="88.0"/>
        <n v="1.0"/>
        <n v="70.0"/>
        <n v="87.0"/>
        <n v="41.0"/>
      </sharedItems>
    </cacheField>
    <cacheField name="TripleKills" numFmtId="0">
      <sharedItems containsSemiMixedTypes="0" containsString="0" containsNumber="1" containsInteger="1">
        <n v="0.0"/>
        <n v="8.0"/>
        <n v="3.0"/>
        <n v="31.0"/>
        <n v="2.0"/>
        <n v="4.0"/>
        <n v="20.0"/>
        <n v="21.0"/>
        <n v="38.0"/>
        <n v="23.0"/>
        <n v="16.0"/>
        <n v="17.0"/>
        <n v="1.0"/>
        <n v="13.0"/>
        <n v="15.0"/>
        <n v="14.0"/>
        <n v="7.0"/>
        <n v="27.0"/>
        <n v="12.0"/>
        <n v="19.0"/>
      </sharedItems>
    </cacheField>
    <cacheField name="Overkills+" numFmtId="0">
      <sharedItems containsSemiMixedTypes="0" containsString="0" containsNumber="1" containsInteger="1">
        <n v="0.0"/>
        <n v="2.0"/>
        <n v="13.0"/>
        <n v="9.0"/>
        <n v="15.0"/>
        <n v="12.0"/>
        <n v="3.0"/>
        <n v="7.0"/>
        <n v="1.0"/>
        <n v="6.0"/>
        <n v="8.0"/>
        <n v="18.0"/>
        <n v="4.0"/>
      </sharedItems>
    </cacheField>
    <cacheField name="Sprees" numFmtId="0">
      <sharedItems containsSemiMixedTypes="0" containsString="0" containsNumber="1" containsInteger="1">
        <n v="0.0"/>
        <n v="3.0"/>
        <n v="2.0"/>
        <n v="16.0"/>
        <n v="1.0"/>
        <n v="6.0"/>
        <n v="12.0"/>
        <n v="11.0"/>
        <n v="7.0"/>
        <n v="4.0"/>
        <n v="5.0"/>
        <n v="9.0"/>
      </sharedItems>
    </cacheField>
    <cacheField name="Exterm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Overkills" numFmtId="0">
      <sharedItems containsSemiMixedTypes="0" containsString="0" containsNumber="1" containsInteger="1">
        <n v="0.0"/>
        <n v="2.0"/>
        <n v="9.0"/>
        <n v="6.0"/>
        <n v="7.0"/>
        <n v="13.0"/>
        <n v="8.0"/>
        <n v="1.0"/>
        <n v="4.0"/>
        <n v="5.0"/>
        <n v="11.0"/>
        <n v="3.0"/>
      </sharedItems>
    </cacheField>
    <cacheField name="KillingSprees" numFmtId="0">
      <sharedItems containsSemiMixedTypes="0" containsString="0" containsNumber="1" containsInteger="1">
        <n v="0.0"/>
        <n v="3.0"/>
        <n v="2.0"/>
        <n v="16.0"/>
        <n v="1.0"/>
        <n v="6.0"/>
        <n v="12.0"/>
        <n v="11.0"/>
        <n v="7.0"/>
        <n v="4.0"/>
        <n v="5.0"/>
        <n v="9.0"/>
      </sharedItems>
    </cacheField>
    <cacheField name="KillingFrenzies" numFmtId="0">
      <sharedItems containsSemiMixedTypes="0" containsString="0" containsNumber="1" containsInteger="1">
        <n v="0.0"/>
      </sharedItems>
    </cacheField>
    <cacheField name="Running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Killtaculars" numFmtId="0">
      <sharedItems containsSemiMixedTypes="0" containsString="0" containsNumber="1" containsInteger="1">
        <n v="0.0"/>
        <n v="3.0"/>
        <n v="2.0"/>
        <n v="1.0"/>
      </sharedItems>
    </cacheField>
    <cacheField name="Killtrocities" numFmtId="0">
      <sharedItems containsSemiMixedTypes="0" containsString="0" containsNumber="1" containsInteger="1">
        <n v="0.0"/>
        <n v="1.0"/>
        <n v="2.0"/>
      </sharedItems>
    </cacheField>
    <cacheField name="Killamanjaros" numFmtId="0">
      <sharedItems containsSemiMixedTypes="0" containsString="0" containsNumber="1" containsInteger="1">
        <n v="0.0"/>
        <n v="1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0.0"/>
        <n v="20.0"/>
        <n v="6.0"/>
        <n v="4.0"/>
        <n v="2.0"/>
        <n v="5.0"/>
        <n v="13.0"/>
        <n v="8.0"/>
        <n v="7.0"/>
        <n v="9.0"/>
        <n v="10.0"/>
        <n v="1.0"/>
        <n v="11.0"/>
        <n v="12.0"/>
        <n v="18.0"/>
        <n v="3.0"/>
      </sharedItems>
    </cacheField>
    <cacheField name="HammerSprees" numFmtId="0">
      <sharedItems containsSemiMixedTypes="0" containsString="0" containsNumber="1" containsInteger="1">
        <n v="0.0"/>
      </sharedItems>
    </cacheField>
    <cacheField name="SUM of GPM" formula="Goals/(GameTime/60)" databaseField="0"/>
    <cacheField name="SUM of KDPM" formula="Spread/(GameTime/60)" databaseField="0"/>
    <cacheField name="SUM of STPM" formula="BombStops/(GameTime/60)" databaseField="0"/>
    <cacheField name="SUM of SPM" formula="Sprees/(GameTime/60)" databaseField="0"/>
    <cacheField name="SUM of DPM" formula="DoubleKills/(GameTime/60)" databaseField="0"/>
    <cacheField name="SUM of TPM" formula="TripleKills/(GameTime/60)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63" sheet="combo"/>
  </cacheSource>
  <cacheFields>
    <cacheField name="Player" numFmtId="0">
      <sharedItems>
        <s v="AJ DaJuiceMayne"/>
        <s v="ASpence501"/>
        <s v="AtoneMilitant"/>
        <s v="AwareMosquito"/>
        <s v="BeaM1n1"/>
        <s v="CaptainSev004"/>
        <s v="Conra4859"/>
        <s v="cxrnchip"/>
        <s v="Dabb"/>
        <s v="Dat Twinkie"/>
        <s v="DCleak"/>
        <s v="DlGITAL PAIN"/>
        <s v="Doerstopper"/>
        <s v="EllisGotMyPills"/>
        <s v="eTazedd"/>
        <s v="Fanciest Pants"/>
        <s v="Frnzh"/>
        <s v="Galvann"/>
        <s v="GodSnipezX"/>
        <s v="halfbreed105"/>
        <s v="Havoc Puppies"/>
        <s v="Icey Tanker"/>
        <s v="Invayda Zim"/>
        <s v="ixGingy"/>
        <s v="ixjaga"/>
        <s v="ixSqueeps"/>
        <s v="Killerz Legit"/>
        <s v="KING RICKXL"/>
        <s v="LaMeowlla"/>
        <s v="LilSkelR1926"/>
        <s v="Lmao Ninj0"/>
        <s v="ManCanonPls"/>
        <s v="Mavbrid"/>
        <s v="Ming Crusader"/>
        <s v="MoldyVolts"/>
        <s v="Mr Epic Beast"/>
        <s v="mstell96"/>
        <s v="MuNgO PuNgO"/>
        <s v="Myst the Cold"/>
        <s v="MysticalNovice"/>
        <s v="NetsPride15"/>
        <s v="Nihilus"/>
        <s v="NKOTB4evah"/>
        <s v="oDhmon"/>
        <s v="OVERweightGOAT"/>
        <s v="Priest XYZ"/>
        <s v="QueOtaSaintz"/>
        <s v="Rage More Nerd"/>
        <s v="RDG NHL"/>
        <s v="Reyas"/>
        <s v="Sabasauros rex"/>
        <s v="ScarHead1995"/>
        <s v="Scomancer"/>
        <s v="Silva"/>
        <s v="Solace VIII"/>
        <s v="The Piggies"/>
        <s v="The Scet"/>
        <s v="TheAlphaTurtle"/>
        <s v="TommyWstSide"/>
        <s v="Wrecking Nerds"/>
        <s v="Yejis Aegyo"/>
        <s v="yLuxe"/>
      </sharedItems>
    </cacheField>
    <cacheField name="Goals" numFmtId="0">
      <sharedItems containsSemiMixedTypes="0" containsString="0" containsNumber="1" containsInteger="1">
        <n v="2.0"/>
        <n v="1.0"/>
        <n v="0.0"/>
        <n v="11.0"/>
        <n v="5.0"/>
        <n v="6.0"/>
        <n v="12.0"/>
        <n v="3.0"/>
        <n v="4.0"/>
        <n v="13.0"/>
        <n v="9.0"/>
        <n v="7.0"/>
        <n v="18.0"/>
      </sharedItems>
    </cacheField>
    <cacheField name="Kills" numFmtId="0">
      <sharedItems containsSemiMixedTypes="0" containsString="0" containsNumber="1" containsInteger="1">
        <n v="223.0"/>
        <n v="546.0"/>
        <n v="137.0"/>
        <n v="165.0"/>
        <n v="200.0"/>
        <n v="639.0"/>
        <n v="104.0"/>
        <n v="91.0"/>
        <n v="423.0"/>
        <n v="93.0"/>
        <n v="94.0"/>
        <n v="633.0"/>
        <n v="330.0"/>
        <n v="38.0"/>
        <n v="50.0"/>
        <n v="129.0"/>
        <n v="598.0"/>
        <n v="415.0"/>
        <n v="62.0"/>
        <n v="18.0"/>
        <n v="436.0"/>
        <n v="500.0"/>
        <n v="537.0"/>
        <n v="120.0"/>
        <n v="386.0"/>
        <n v="409.0"/>
        <n v="14.0"/>
        <n v="289.0"/>
        <n v="16.0"/>
        <n v="287.0"/>
        <n v="496.0"/>
        <n v="395.0"/>
        <n v="198.0"/>
        <n v="543.0"/>
        <n v="121.0"/>
        <n v="71.0"/>
        <n v="164.0"/>
        <n v="479.0"/>
        <n v="156.0"/>
        <n v="136.0"/>
        <n v="300.0"/>
        <n v="29.0"/>
        <n v="144.0"/>
        <n v="434.0"/>
        <n v="462.0"/>
        <n v="160.0"/>
        <n v="186.0"/>
        <n v="442.0"/>
        <n v="1.0"/>
        <n v="233.0"/>
        <n v="261.0"/>
        <n v="271.0"/>
        <n v="759.0"/>
        <n v="201.0"/>
        <n v="182.0"/>
        <n v="206.0"/>
        <n v="102.0"/>
        <n v="443.0"/>
        <n v="393.0"/>
      </sharedItems>
    </cacheField>
    <cacheField name="Assists" numFmtId="0">
      <sharedItems containsSemiMixedTypes="0" containsString="0" containsNumber="1" containsInteger="1">
        <n v="13.0"/>
        <n v="12.0"/>
        <n v="6.0"/>
        <n v="4.0"/>
        <n v="3.0"/>
        <n v="17.0"/>
        <n v="0.0"/>
        <n v="1.0"/>
        <n v="15.0"/>
        <n v="2.0"/>
        <n v="11.0"/>
        <n v="7.0"/>
        <n v="14.0"/>
        <n v="21.0"/>
        <n v="16.0"/>
        <n v="8.0"/>
        <n v="9.0"/>
        <n v="5.0"/>
        <n v="23.0"/>
        <n v="10.0"/>
      </sharedItems>
    </cacheField>
    <cacheField name="Deaths" numFmtId="0">
      <sharedItems containsSemiMixedTypes="0" containsString="0" containsNumber="1" containsInteger="1">
        <n v="254.0"/>
        <n v="482.0"/>
        <n v="128.0"/>
        <n v="183.0"/>
        <n v="191.0"/>
        <n v="637.0"/>
        <n v="207.0"/>
        <n v="96.0"/>
        <n v="267.0"/>
        <n v="127.0"/>
        <n v="77.0"/>
        <n v="572.0"/>
        <n v="426.0"/>
        <n v="33.0"/>
        <n v="321.0"/>
        <n v="64.0"/>
        <n v="138.0"/>
        <n v="591.0"/>
        <n v="339.0"/>
        <n v="98.0"/>
        <n v="14.0"/>
        <n v="335.0"/>
        <n v="547.0"/>
        <n v="492.0"/>
        <n v="144.0"/>
        <n v="380.0"/>
        <n v="431.0"/>
        <n v="326.0"/>
        <n v="10.0"/>
        <n v="126.0"/>
        <n v="368.0"/>
        <n v="530.0"/>
        <n v="454.0"/>
        <n v="240.0"/>
        <n v="607.0"/>
        <n v="152.0"/>
        <n v="93.0"/>
        <n v="84.0"/>
        <n v="186.0"/>
        <n v="559.0"/>
        <n v="173.0"/>
        <n v="337.0"/>
        <n v="189.0"/>
        <n v="420.0"/>
        <n v="540.0"/>
        <n v="154.0"/>
        <n v="193.0"/>
        <n v="17.0"/>
        <n v="179.0"/>
        <n v="255.0"/>
        <n v="694.0"/>
        <n v="168.0"/>
        <n v="236.0"/>
        <n v="372.0"/>
        <n v="445.0"/>
      </sharedItems>
    </cacheField>
    <cacheField name="Spread" numFmtId="0">
      <sharedItems containsSemiMixedTypes="0" containsString="0" containsNumber="1" containsInteger="1">
        <n v="-31.0"/>
        <n v="64.0"/>
        <n v="9.0"/>
        <n v="-18.0"/>
        <n v="2.0"/>
        <n v="-103.0"/>
        <n v="-5.0"/>
        <n v="156.0"/>
        <n v="-34.0"/>
        <n v="17.0"/>
        <n v="61.0"/>
        <n v="-96.0"/>
        <n v="5.0"/>
        <n v="-14.0"/>
        <n v="-9.0"/>
        <n v="7.0"/>
        <n v="76.0"/>
        <n v="-36.0"/>
        <n v="4.0"/>
        <n v="101.0"/>
        <n v="-47.0"/>
        <n v="45.0"/>
        <n v="-24.0"/>
        <n v="6.0"/>
        <n v="-22.0"/>
        <n v="0.0"/>
        <n v="-37.0"/>
        <n v="-64.0"/>
        <n v="-81.0"/>
        <n v="-59.0"/>
        <n v="-42.0"/>
        <n v="-80.0"/>
        <n v="-17.0"/>
        <n v="-8.0"/>
        <n v="-55.0"/>
        <n v="-45.0"/>
        <n v="14.0"/>
        <n v="-78.0"/>
        <n v="-7.0"/>
        <n v="-12.0"/>
        <n v="-16.0"/>
        <n v="54.0"/>
        <n v="65.0"/>
        <n v="-6.0"/>
        <n v="-30.0"/>
        <n v="25.0"/>
        <n v="71.0"/>
        <n v="-52.0"/>
      </sharedItems>
    </cacheField>
    <cacheField name="Streak" numFmtId="0">
      <sharedItems containsSemiMixedTypes="0" containsString="0" containsNumber="1" containsInteger="1">
        <n v="19.0"/>
        <n v="30.0"/>
        <n v="14.0"/>
        <n v="15.0"/>
        <n v="42.0"/>
        <n v="13.0"/>
        <n v="36.0"/>
        <n v="8.0"/>
        <n v="11.0"/>
        <n v="49.0"/>
        <n v="26.0"/>
        <n v="3.0"/>
        <n v="23.0"/>
        <n v="6.0"/>
        <n v="38.0"/>
        <n v="4.0"/>
        <n v="27.0"/>
        <n v="32.0"/>
        <n v="44.0"/>
        <n v="7.0"/>
        <n v="29.0"/>
        <n v="31.0"/>
        <n v="24.0"/>
        <n v="9.0"/>
        <n v="22.0"/>
        <n v="28.0"/>
        <n v="33.0"/>
        <n v="21.0"/>
        <n v="16.0"/>
        <n v="5.0"/>
        <n v="12.0"/>
        <n v="10.0"/>
        <n v="1.0"/>
        <n v="25.0"/>
        <n v="17.0"/>
      </sharedItems>
    </cacheField>
    <cacheField name="Betrayals" numFmtId="0">
      <sharedItems containsSemiMixedTypes="0" containsString="0" containsNumber="1" containsInteger="1">
        <n v="7.0"/>
        <n v="17.0"/>
        <n v="10.0"/>
        <n v="9.0"/>
        <n v="1.0"/>
        <n v="3.0"/>
        <n v="2.0"/>
        <n v="0.0"/>
        <n v="19.0"/>
        <n v="16.0"/>
        <n v="11.0"/>
        <n v="23.0"/>
        <n v="8.0"/>
        <n v="12.0"/>
        <n v="4.0"/>
        <n v="5.0"/>
        <n v="13.0"/>
        <n v="20.0"/>
        <n v="6.0"/>
        <n v="18.0"/>
        <n v="14.0"/>
      </sharedItems>
    </cacheField>
    <cacheField name="GameTime" numFmtId="0">
      <sharedItems containsSemiMixedTypes="0" containsString="0" containsNumber="1" containsInteger="1">
        <n v="4402.0"/>
        <n v="6474.0"/>
        <n v="1974.0"/>
        <n v="2941.0"/>
        <n v="2943.0"/>
        <n v="11646.0"/>
        <n v="3042.0"/>
        <n v="1905.0"/>
        <n v="1798.0"/>
        <n v="1322.0"/>
        <n v="9253.0"/>
        <n v="6875.0"/>
        <n v="883.0"/>
        <n v="4809.0"/>
        <n v="870.0"/>
        <n v="2461.0"/>
        <n v="9134.0"/>
        <n v="5559.0"/>
        <n v="274.0"/>
        <n v="5806.0"/>
        <n v="8503.0"/>
        <n v="7645.0"/>
        <n v="6982.0"/>
        <n v="5407.0"/>
        <n v="2160.0"/>
        <n v="7568.0"/>
        <n v="9712.0"/>
        <n v="3926.0"/>
        <n v="10127.0"/>
        <n v="2161.0"/>
        <n v="1453.0"/>
        <n v="1452.0"/>
        <n v="7653.0"/>
        <n v="5805.0"/>
        <n v="3387.0"/>
        <n v="6991.0"/>
        <n v="7654.0"/>
        <n v="2886.0"/>
        <n v="3338.0"/>
        <n v="186.0"/>
        <n v="3388.0"/>
        <n v="5807.0"/>
        <n v="11651.0"/>
        <n v="3795.0"/>
        <n v="6990.0"/>
      </sharedItems>
    </cacheField>
    <cacheField name="BombStops" numFmtId="0">
      <sharedItems containsSemiMixedTypes="0" containsString="0" containsNumber="1" containsInteger="1">
        <n v="12.0"/>
        <n v="16.0"/>
        <n v="4.0"/>
        <n v="1.0"/>
        <n v="30.0"/>
        <n v="2.0"/>
        <n v="6.0"/>
        <n v="11.0"/>
        <n v="9.0"/>
        <n v="5.0"/>
        <n v="3.0"/>
        <n v="0.0"/>
        <n v="13.0"/>
        <n v="8.0"/>
        <n v="15.0"/>
        <n v="10.0"/>
        <n v="7.0"/>
        <n v="17.0"/>
      </sharedItems>
    </cacheField>
    <cacheField name="DoubleKills" numFmtId="0">
      <sharedItems containsSemiMixedTypes="0" containsString="0" containsNumber="1" containsInteger="1">
        <n v="33.0"/>
        <n v="112.0"/>
        <n v="25.0"/>
        <n v="23.0"/>
        <n v="41.0"/>
        <n v="122.0"/>
        <n v="14.0"/>
        <n v="64.0"/>
        <n v="13.0"/>
        <n v="17.0"/>
        <n v="113.0"/>
        <n v="53.0"/>
        <n v="7.0"/>
        <n v="70.0"/>
        <n v="8.0"/>
        <n v="106.0"/>
        <n v="77.0"/>
        <n v="3.0"/>
        <n v="90.0"/>
        <n v="89.0"/>
        <n v="87.0"/>
        <n v="20.0"/>
        <n v="74.0"/>
        <n v="2.0"/>
        <n v="49.0"/>
        <n v="28.0"/>
        <n v="82.0"/>
        <n v="63.0"/>
        <n v="85.0"/>
        <n v="15.0"/>
        <n v="11.0"/>
        <n v="16.0"/>
        <n v="31.0"/>
        <n v="71.0"/>
        <n v="21.0"/>
        <n v="29.0"/>
        <n v="67.0"/>
        <n v="78.0"/>
        <n v="19.0"/>
        <n v="38.0"/>
        <n v="0.0"/>
        <n v="37.0"/>
        <n v="39.0"/>
        <n v="47.0"/>
        <n v="145.0"/>
        <n v="34.0"/>
        <n v="26.0"/>
        <n v="88.0"/>
      </sharedItems>
    </cacheField>
    <cacheField name="TripleKills" numFmtId="0">
      <sharedItems containsSemiMixedTypes="0" containsString="0" containsNumber="1" containsInteger="1">
        <n v="8.0"/>
        <n v="21.0"/>
        <n v="5.0"/>
        <n v="6.0"/>
        <n v="23.0"/>
        <n v="3.0"/>
        <n v="20.0"/>
        <n v="2.0"/>
        <n v="31.0"/>
        <n v="7.0"/>
        <n v="0.0"/>
        <n v="15.0"/>
        <n v="4.0"/>
        <n v="1.0"/>
        <n v="38.0"/>
        <n v="17.0"/>
        <n v="18.0"/>
        <n v="16.0"/>
        <n v="11.0"/>
        <n v="14.0"/>
        <n v="13.0"/>
        <n v="12.0"/>
        <n v="27.0"/>
        <n v="19.0"/>
      </sharedItems>
    </cacheField>
    <cacheField name="Overkills+" numFmtId="0">
      <sharedItems containsSemiMixedTypes="0" containsString="0" containsNumber="1" containsInteger="1">
        <n v="2.0"/>
        <n v="8.0"/>
        <n v="1.0"/>
        <n v="5.0"/>
        <n v="14.0"/>
        <n v="0.0"/>
        <n v="3.0"/>
        <n v="13.0"/>
        <n v="4.0"/>
        <n v="9.0"/>
        <n v="15.0"/>
        <n v="12.0"/>
        <n v="6.0"/>
        <n v="7.0"/>
        <n v="16.0"/>
        <n v="18.0"/>
      </sharedItems>
    </cacheField>
    <cacheField name="Sprees" numFmtId="0">
      <sharedItems containsSemiMixedTypes="0" containsString="0" containsNumber="1" containsInteger="1">
        <n v="3.0"/>
        <n v="8.0"/>
        <n v="2.0"/>
        <n v="1.0"/>
        <n v="10.0"/>
        <n v="12.0"/>
        <n v="16.0"/>
        <n v="0.0"/>
        <n v="5.0"/>
        <n v="6.0"/>
        <n v="11.0"/>
        <n v="7.0"/>
        <n v="4.0"/>
        <n v="9.0"/>
      </sharedItems>
    </cacheField>
    <cacheField name="Exterm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Overkills" numFmtId="0">
      <sharedItems containsSemiMixedTypes="0" containsString="0" containsNumber="1" containsInteger="1">
        <n v="2.0"/>
        <n v="5.0"/>
        <n v="1.0"/>
        <n v="8.0"/>
        <n v="0.0"/>
        <n v="3.0"/>
        <n v="9.0"/>
        <n v="6.0"/>
        <n v="7.0"/>
        <n v="13.0"/>
        <n v="4.0"/>
        <n v="10.0"/>
        <n v="11.0"/>
      </sharedItems>
    </cacheField>
    <cacheField name="KillingSprees" numFmtId="0">
      <sharedItems containsSemiMixedTypes="0" containsString="0" containsNumber="1" containsInteger="1">
        <n v="3.0"/>
        <n v="8.0"/>
        <n v="2.0"/>
        <n v="1.0"/>
        <n v="10.0"/>
        <n v="12.0"/>
        <n v="16.0"/>
        <n v="0.0"/>
        <n v="5.0"/>
        <n v="6.0"/>
        <n v="11.0"/>
        <n v="7.0"/>
        <n v="4.0"/>
        <n v="9.0"/>
      </sharedItems>
    </cacheField>
    <cacheField name="KillingFrenzies" numFmtId="0">
      <sharedItems containsSemiMixedTypes="0" containsString="0" containsNumber="1" containsInteger="1">
        <n v="0.0"/>
        <n v="1.0"/>
      </sharedItems>
    </cacheField>
    <cacheField name="Running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Killtaculars" numFmtId="0">
      <sharedItems containsSemiMixedTypes="0" containsString="0" containsNumber="1" containsInteger="1">
        <n v="0.0"/>
        <n v="1.0"/>
        <n v="2.0"/>
        <n v="3.0"/>
        <n v="5.0"/>
        <n v="4.0"/>
      </sharedItems>
    </cacheField>
    <cacheField name="Killtrocities" numFmtId="0">
      <sharedItems containsSemiMixedTypes="0" containsString="0" containsNumber="1" containsInteger="1">
        <n v="0.0"/>
        <n v="1.0"/>
        <n v="2.0"/>
      </sharedItems>
    </cacheField>
    <cacheField name="Killamanjaros" numFmtId="0">
      <sharedItems containsSemiMixedTypes="0" containsString="0" containsNumber="1" containsInteger="1">
        <n v="0.0"/>
        <n v="1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20.0"/>
        <n v="4.0"/>
        <n v="5.0"/>
        <n v="3.0"/>
        <n v="7.0"/>
        <n v="2.0"/>
        <n v="12.0"/>
        <n v="0.0"/>
        <n v="6.0"/>
        <n v="8.0"/>
        <n v="13.0"/>
        <n v="1.0"/>
        <n v="10.0"/>
        <n v="9.0"/>
        <n v="14.0"/>
        <n v="16.0"/>
        <n v="11.0"/>
        <n v="18.0"/>
      </sharedItems>
    </cacheField>
    <cacheField name="HammerSprees" numFmtId="0">
      <sharedItems containsSemiMixedTypes="0" containsString="0" containsNumber="1" containsInteger="1">
        <n v="0.0"/>
      </sharedItems>
    </cacheField>
    <cacheField name="SUM of GPM" formula="Goals/(GameTime/60)" databaseField="0"/>
    <cacheField name="SUM of KDPM" formula="Spread/(GameTime/60)" databaseField="0"/>
    <cacheField name="SUM of STPM" formula="BombStops/(GameTime/60)" databaseField="0"/>
    <cacheField name="SUM of SPM" formula="Sprees/(GameTime/60)" databaseField="0"/>
    <cacheField name="SUM of DPM" formula="DoubleKills/(GameTime/60)" databaseField="0"/>
    <cacheField name="SUM of TPM" formula="TripleKills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pgS" cacheId="0" dataCaption="" rowGrandTotals="0" compact="0" compactData="0">
  <location ref="A1:M39" firstHeaderRow="0" firstDataRow="2" firstDataCol="0"/>
  <pivotFields>
    <pivotField name="Player" axis="axisRow" compact="0" outline="0" multipleItemSelectionAllowed="1" showAll="0" sortType="ascending">
      <items>
        <item h="1" x="0"/>
        <item x="1"/>
        <item x="2"/>
        <item x="3"/>
        <item x="4"/>
        <item x="5"/>
        <item x="6"/>
        <item x="43"/>
        <item x="7"/>
        <item x="8"/>
        <item x="9"/>
        <item x="10"/>
        <item x="11"/>
        <item h="1" x="13"/>
        <item h="1" x="12"/>
        <item x="14"/>
        <item h="1" x="15"/>
        <item x="45"/>
        <item x="44"/>
        <item x="16"/>
        <item x="17"/>
        <item x="18"/>
        <item x="19"/>
        <item x="20"/>
        <item x="21"/>
        <item x="22"/>
        <item x="46"/>
        <item x="23"/>
        <item x="24"/>
        <item x="25"/>
        <item x="27"/>
        <item x="26"/>
        <item x="28"/>
        <item h="1" x="30"/>
        <item x="29"/>
        <item x="31"/>
        <item x="32"/>
        <item x="33"/>
        <item h="1" x="34"/>
        <item x="35"/>
        <item x="36"/>
        <item x="37"/>
        <item h="1" x="38"/>
        <item x="39"/>
        <item h="1" x="40"/>
        <item x="41"/>
        <item h="1" x="47"/>
        <item h="1" x="42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verkills+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ing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ingFrenzies" compact="0" outline="0" multipleItemSelectionAllowed="1" showAll="0">
      <items>
        <item x="0"/>
        <item x="1"/>
        <item t="default"/>
      </items>
    </pivotField>
    <pivotField name="Running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compact="0" outline="0" multipleItemSelectionAllowed="1" showAll="0">
      <items>
        <item x="0"/>
        <item x="1"/>
        <item x="2"/>
        <item t="default"/>
      </items>
    </pivotField>
    <pivotField name="Killamanjaros" compact="0" outline="0" multipleItemSelectionAllowed="1" showAll="0">
      <items>
        <item x="0"/>
        <item x="1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ammerSprees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PM" fld="29" baseField="0"/>
    <dataField name="SUM of SUM of KDPM" fld="30" baseField="0"/>
    <dataField name="SUM of SUM of STPM" fld="31" baseField="0"/>
    <dataField name="SUM of SUM of SPM" fld="32" baseField="0"/>
    <dataField name="SUM of SUM of DPM" fld="33" baseField="0"/>
    <dataField name="SUM of SUM of TPM" fld="34" baseField="0"/>
    <dataField name="GameTime" fld="8" baseField="0"/>
    <dataField name="SUM of Goals" fld="1" baseField="0"/>
    <dataField name="SUM of BombStops" fld="9" baseField="0"/>
    <dataField name="SUM of Sprees" fld="13" baseField="0"/>
    <dataField name="SUM of DoubleKills" fld="10" baseField="0"/>
    <dataField name="SUM of TripleKills" fld="11" baseField="0"/>
  </dataFields>
</pivotTableDefinition>
</file>

<file path=xl/pivotTables/pivotTable2.xml><?xml version="1.0" encoding="utf-8"?>
<pivotTableDefinition xmlns="http://schemas.openxmlformats.org/spreadsheetml/2006/main" name="PpgS" cacheId="1" dataCaption="" rowGrandTotals="0" compact="0" compactData="0">
  <location ref="A1:M31" firstHeaderRow="0" firstDataRow="2" firstDataCol="0"/>
  <pivotFields>
    <pivotField name="Player" axis="axisRow" compact="0" outline="0" multipleItemSelectionAllowed="1" showAll="0" sortType="ascending">
      <items>
        <item h="1" x="0"/>
        <item x="1"/>
        <item x="29"/>
        <item x="2"/>
        <item x="3"/>
        <item x="4"/>
        <item x="30"/>
        <item x="5"/>
        <item x="6"/>
        <item x="7"/>
        <item x="8"/>
        <item x="31"/>
        <item x="9"/>
        <item x="10"/>
        <item x="32"/>
        <item h="1" x="33"/>
        <item x="11"/>
        <item h="1" x="12"/>
        <item x="13"/>
        <item x="14"/>
        <item x="15"/>
        <item x="16"/>
        <item x="17"/>
        <item x="34"/>
        <item x="18"/>
        <item x="19"/>
        <item x="20"/>
        <item h="1" x="21"/>
        <item h="1" x="22"/>
        <item x="23"/>
        <item x="24"/>
        <item x="25"/>
        <item h="1" x="26"/>
        <item x="27"/>
        <item x="28"/>
        <item x="3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verkills+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compact="0" outline="0" multipleItemSelectionAllowed="1" showAll="0">
      <items>
        <item x="0"/>
        <item t="default"/>
      </items>
    </pivotField>
    <pivotField name="Running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t="default"/>
      </items>
    </pivotField>
    <pivotField name="Killtrocities" compact="0" outline="0" multipleItemSelectionAllowed="1" showAll="0">
      <items>
        <item x="0"/>
        <item x="1"/>
        <item x="2"/>
        <item t="default"/>
      </items>
    </pivotField>
    <pivotField name="Killamanjaros" compact="0" outline="0" multipleItemSelectionAllowed="1" showAll="0">
      <items>
        <item x="0"/>
        <item x="1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mmerSprees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PM" fld="29" baseField="0"/>
    <dataField name="SUM of SUM of KDPM" fld="30" baseField="0"/>
    <dataField name="SUM of SUM of STPM" fld="31" baseField="0"/>
    <dataField name="SUM of SUM of SPM" fld="32" baseField="0"/>
    <dataField name="SUM of SUM of DPM" fld="33" baseField="0"/>
    <dataField name="SUM of SUM of TPM" fld="34" baseField="0"/>
    <dataField name="GameTime" fld="8" baseField="0"/>
    <dataField name="SUM of Goals" fld="1" baseField="0"/>
    <dataField name="SUM of BombStops" fld="9" baseField="0"/>
    <dataField name="SUM of Sprees" fld="13" baseField="0"/>
    <dataField name="SUM of DoubleKills" fld="10" baseField="0"/>
    <dataField name="SUM of TripleKills" fld="11" baseField="0"/>
  </dataFields>
</pivotTableDefinition>
</file>

<file path=xl/pivotTables/pivotTable3.xml><?xml version="1.0" encoding="utf-8"?>
<pivotTableDefinition xmlns="http://schemas.openxmlformats.org/spreadsheetml/2006/main" name="CpgS" cacheId="2" dataCaption="" rowGrandTotals="0" compact="0" compactData="0">
  <location ref="A1:M63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verkills+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ing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Frenzies" compact="0" outline="0" multipleItemSelectionAllowed="1" showAll="0">
      <items>
        <item x="0"/>
        <item x="1"/>
        <item t="default"/>
      </items>
    </pivotField>
    <pivotField name="Running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compact="0" outline="0" multipleItemSelectionAllowed="1" showAll="0">
      <items>
        <item x="0"/>
        <item x="1"/>
        <item x="2"/>
        <item t="default"/>
      </items>
    </pivotField>
    <pivotField name="Killamanjaros" compact="0" outline="0" multipleItemSelectionAllowed="1" showAll="0">
      <items>
        <item x="0"/>
        <item x="1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ammerSprees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PM" fld="29" baseField="0"/>
    <dataField name="SUM of SUM of KDPM" fld="30" baseField="0"/>
    <dataField name="SUM of SUM of STPM" fld="31" baseField="0"/>
    <dataField name="SUM of SUM of SPM" fld="32" baseField="0"/>
    <dataField name="SUM of SUM of DPM" fld="33" baseField="0"/>
    <dataField name="SUM of SUM of TPM" fld="34" baseField="0"/>
    <dataField name="GameTime" fld="8" baseField="0"/>
    <dataField name="SUM of Goals" fld="1" baseField="0"/>
    <dataField name="SUM of BombStops" fld="9" baseField="0"/>
    <dataField name="SUM of Sprees" fld="13" baseField="0"/>
    <dataField name="SUM of DoubleKills" fld="10" baseField="0"/>
    <dataField name="SUM of TripleKill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UofxQDbMUMmobMYe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UofxQDbMUMmobMYe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AcKSmUFLVNqzWzeR7" TargetMode="External"/><Relationship Id="rId2" Type="http://schemas.openxmlformats.org/officeDocument/2006/relationships/hyperlink" Target="https://forms.gle/Zp6pyRBwrtJrhWhf9" TargetMode="External"/><Relationship Id="rId3" Type="http://schemas.openxmlformats.org/officeDocument/2006/relationships/hyperlink" Target="https://forms.gle/8KMQpgW1qAypJ4Lv8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4.38"/>
    <col customWidth="1" min="2" max="3" width="13.5"/>
    <col customWidth="1" min="4" max="4" width="12.75"/>
    <col customWidth="1" min="5" max="6" width="13.38"/>
    <col customWidth="1" min="7" max="7" width="13.25"/>
    <col customWidth="1" min="8" max="10" width="9.63"/>
    <col customWidth="1" min="11" max="12" width="9.5"/>
    <col customWidth="1" min="13" max="13" width="9.75"/>
    <col customWidth="1" min="14" max="15" width="9.13"/>
    <col customWidth="1" min="16" max="16" width="10.0"/>
    <col customWidth="1" min="17" max="18" width="8.88"/>
    <col customWidth="1" min="19" max="19" width="8.63"/>
    <col customWidth="1" min="20" max="20" width="8.25"/>
    <col customWidth="1" min="21" max="21" width="11.38"/>
    <col customWidth="1" min="22" max="22" width="11.5"/>
    <col customWidth="1" min="23" max="23" width="11.0"/>
    <col customWidth="1" min="24" max="24" width="10.38"/>
    <col customWidth="1" min="25" max="26" width="9.5"/>
    <col customWidth="1" min="27" max="27" width="8.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0</v>
      </c>
      <c r="F1" s="2" t="s">
        <v>1</v>
      </c>
      <c r="G1" s="2" t="s">
        <v>2</v>
      </c>
      <c r="H1" s="3" t="s">
        <v>0</v>
      </c>
      <c r="I1" s="3" t="s">
        <v>1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1" t="s">
        <v>3</v>
      </c>
      <c r="R1" s="1" t="s">
        <v>4</v>
      </c>
      <c r="S1" s="1" t="s">
        <v>3</v>
      </c>
      <c r="T1" s="1" t="s">
        <v>4</v>
      </c>
      <c r="U1" s="1" t="s">
        <v>5</v>
      </c>
      <c r="V1" s="1" t="s">
        <v>5</v>
      </c>
      <c r="W1" s="1" t="s">
        <v>6</v>
      </c>
      <c r="X1" s="1" t="s">
        <v>6</v>
      </c>
      <c r="Y1" s="1" t="s">
        <v>7</v>
      </c>
      <c r="Z1" s="1" t="s">
        <v>7</v>
      </c>
      <c r="AA1" s="1" t="s">
        <v>8</v>
      </c>
    </row>
    <row r="2" ht="15.75" customHeight="1">
      <c r="A2" s="1" t="s">
        <v>9</v>
      </c>
      <c r="B2" s="4" t="s">
        <v>10</v>
      </c>
      <c r="C2" s="4" t="s">
        <v>10</v>
      </c>
      <c r="D2" s="4" t="s">
        <v>10</v>
      </c>
      <c r="E2" s="1" t="s">
        <v>11</v>
      </c>
      <c r="F2" s="4" t="s">
        <v>11</v>
      </c>
      <c r="G2" s="4" t="s">
        <v>11</v>
      </c>
      <c r="H2" s="1" t="s">
        <v>12</v>
      </c>
      <c r="I2" s="1" t="s">
        <v>12</v>
      </c>
      <c r="J2" s="1" t="s">
        <v>12</v>
      </c>
      <c r="K2" s="1" t="s">
        <v>13</v>
      </c>
      <c r="L2" s="1" t="s">
        <v>13</v>
      </c>
      <c r="M2" s="1" t="s">
        <v>13</v>
      </c>
      <c r="N2" s="1" t="s">
        <v>14</v>
      </c>
      <c r="O2" s="1" t="s">
        <v>14</v>
      </c>
      <c r="P2" s="1" t="s">
        <v>14</v>
      </c>
      <c r="Q2" s="1" t="s">
        <v>13</v>
      </c>
      <c r="R2" s="1" t="s">
        <v>13</v>
      </c>
      <c r="S2" s="1" t="s">
        <v>14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  <c r="Z2" s="1" t="s">
        <v>14</v>
      </c>
      <c r="AA2" s="1"/>
    </row>
    <row r="3" ht="15.75" customHeight="1">
      <c r="A3" s="5" t="s">
        <v>15</v>
      </c>
      <c r="B3" s="6">
        <v>0.8481</v>
      </c>
      <c r="C3" s="6">
        <v>0.8769</v>
      </c>
      <c r="D3" s="7">
        <v>0.98</v>
      </c>
      <c r="E3" s="8"/>
      <c r="F3" s="8">
        <v>0.7613</v>
      </c>
      <c r="G3" s="9">
        <v>0.7994</v>
      </c>
      <c r="H3" s="10">
        <v>2.079</v>
      </c>
      <c r="I3" s="10">
        <v>4.371</v>
      </c>
      <c r="J3" s="11">
        <v>2.685421166306696</v>
      </c>
      <c r="K3" s="12" t="s">
        <v>16</v>
      </c>
      <c r="L3" s="12" t="s">
        <v>17</v>
      </c>
      <c r="M3" s="13" t="s">
        <v>17</v>
      </c>
      <c r="N3" s="14">
        <v>18.9</v>
      </c>
      <c r="O3" s="14">
        <v>23.4</v>
      </c>
      <c r="P3" s="15">
        <v>22.3</v>
      </c>
      <c r="Q3" s="16" t="s">
        <v>17</v>
      </c>
      <c r="R3" s="17" t="s">
        <v>18</v>
      </c>
      <c r="S3" s="15">
        <v>22.8</v>
      </c>
      <c r="T3" s="17">
        <v>15.5</v>
      </c>
      <c r="AA3" s="18" t="s">
        <v>19</v>
      </c>
    </row>
    <row r="4" ht="15.75" customHeight="1">
      <c r="A4" s="19" t="s">
        <v>20</v>
      </c>
      <c r="B4" s="20"/>
      <c r="C4" s="20"/>
      <c r="D4" s="7"/>
      <c r="E4" s="18"/>
      <c r="F4" s="20"/>
      <c r="G4" s="20"/>
      <c r="H4" s="18"/>
      <c r="I4" s="18"/>
      <c r="J4" s="18"/>
      <c r="K4" s="18"/>
      <c r="L4" s="18"/>
      <c r="M4" s="21"/>
      <c r="N4" s="18"/>
      <c r="O4" s="18"/>
      <c r="P4" s="18"/>
      <c r="Q4" s="18"/>
      <c r="R4" s="18"/>
      <c r="S4" s="18"/>
      <c r="T4" s="18"/>
    </row>
    <row r="5" ht="15.75" customHeight="1">
      <c r="A5" s="22" t="s">
        <v>21</v>
      </c>
      <c r="B5" s="20"/>
      <c r="C5" s="20"/>
      <c r="D5" s="7"/>
      <c r="E5" s="18"/>
      <c r="F5" s="20"/>
      <c r="G5" s="20"/>
      <c r="H5" s="18"/>
      <c r="I5" s="18"/>
      <c r="J5" s="18"/>
      <c r="K5" s="18"/>
      <c r="L5" s="18"/>
      <c r="M5" s="21"/>
      <c r="N5" s="18"/>
      <c r="O5" s="18"/>
      <c r="P5" s="18"/>
      <c r="Q5" s="18"/>
      <c r="R5" s="18"/>
      <c r="S5" s="18"/>
      <c r="T5" s="18"/>
    </row>
    <row r="6" ht="15.75" customHeight="1">
      <c r="A6" s="23" t="s">
        <v>22</v>
      </c>
      <c r="B6" s="20"/>
      <c r="C6" s="20"/>
      <c r="D6" s="7">
        <v>0.4931</v>
      </c>
      <c r="E6" s="21"/>
      <c r="F6" s="7"/>
      <c r="G6" s="20">
        <v>0.5757</v>
      </c>
      <c r="H6" s="21"/>
      <c r="I6" s="21"/>
      <c r="J6" s="11">
        <v>1.1204894327030033</v>
      </c>
      <c r="K6" s="18"/>
      <c r="L6" s="18"/>
      <c r="M6" s="24" t="s">
        <v>23</v>
      </c>
      <c r="N6" s="18"/>
      <c r="O6" s="18"/>
      <c r="P6" s="25">
        <v>11.1</v>
      </c>
      <c r="Q6" s="26"/>
      <c r="R6" s="18"/>
      <c r="S6" s="18"/>
      <c r="T6" s="18"/>
      <c r="AA6" s="18" t="s">
        <v>23</v>
      </c>
    </row>
    <row r="7" ht="15.75" customHeight="1">
      <c r="A7" s="5" t="s">
        <v>24</v>
      </c>
      <c r="B7" s="20"/>
      <c r="C7" s="20"/>
      <c r="D7" s="7">
        <v>0.3221</v>
      </c>
      <c r="E7" s="21"/>
      <c r="F7" s="7"/>
      <c r="G7" s="20">
        <v>0.6985</v>
      </c>
      <c r="H7" s="21"/>
      <c r="I7" s="21"/>
      <c r="J7" s="11">
        <v>0.1794616151545364</v>
      </c>
      <c r="K7" s="18"/>
      <c r="L7" s="18"/>
      <c r="M7" s="27" t="s">
        <v>25</v>
      </c>
      <c r="N7" s="18"/>
      <c r="O7" s="18"/>
      <c r="P7" s="28">
        <v>7.9</v>
      </c>
      <c r="Q7" s="29" t="s">
        <v>23</v>
      </c>
      <c r="R7" s="15" t="s">
        <v>17</v>
      </c>
      <c r="S7" s="25">
        <v>11.2</v>
      </c>
      <c r="T7" s="15">
        <v>13.2</v>
      </c>
      <c r="W7" s="30" t="s">
        <v>23</v>
      </c>
      <c r="X7" s="14">
        <v>7.9</v>
      </c>
      <c r="Y7" s="30" t="s">
        <v>23</v>
      </c>
      <c r="Z7" s="14">
        <v>7.1</v>
      </c>
      <c r="AA7" s="18" t="s">
        <v>23</v>
      </c>
    </row>
    <row r="8" ht="15.75" customHeight="1">
      <c r="A8" s="19" t="s">
        <v>26</v>
      </c>
      <c r="B8" s="20"/>
      <c r="C8" s="20"/>
      <c r="D8" s="7"/>
      <c r="E8" s="21"/>
      <c r="F8" s="7"/>
      <c r="G8" s="20"/>
      <c r="H8" s="21"/>
      <c r="I8" s="21"/>
      <c r="J8" s="18"/>
      <c r="K8" s="18"/>
      <c r="L8" s="18"/>
      <c r="M8" s="21"/>
      <c r="N8" s="18"/>
      <c r="O8" s="18"/>
      <c r="P8" s="18"/>
      <c r="Q8" s="18"/>
      <c r="R8" s="18"/>
      <c r="S8" s="18"/>
      <c r="T8" s="18"/>
    </row>
    <row r="9" ht="15.75" customHeight="1">
      <c r="A9" s="22" t="s">
        <v>27</v>
      </c>
      <c r="B9" s="6">
        <v>0.5178</v>
      </c>
      <c r="C9" s="6">
        <v>0.603</v>
      </c>
      <c r="D9" s="7"/>
      <c r="E9" s="8"/>
      <c r="F9" s="8">
        <v>0.6625</v>
      </c>
      <c r="G9" s="20"/>
      <c r="H9" s="10">
        <v>0.432</v>
      </c>
      <c r="I9" s="10">
        <v>0.983</v>
      </c>
      <c r="J9" s="18"/>
      <c r="K9" s="31" t="s">
        <v>28</v>
      </c>
      <c r="L9" s="31" t="s">
        <v>28</v>
      </c>
      <c r="M9" s="21"/>
      <c r="N9" s="14">
        <v>16.1</v>
      </c>
      <c r="O9" s="14">
        <v>16.3</v>
      </c>
      <c r="P9" s="18"/>
      <c r="Q9" s="32" t="s">
        <v>16</v>
      </c>
      <c r="R9" s="18"/>
      <c r="S9" s="32">
        <v>17.1</v>
      </c>
      <c r="T9" s="18"/>
      <c r="AA9" s="18" t="s">
        <v>28</v>
      </c>
    </row>
    <row r="10" ht="15.75" customHeight="1">
      <c r="A10" s="33" t="s">
        <v>29</v>
      </c>
      <c r="B10" s="20"/>
      <c r="C10" s="20"/>
      <c r="D10" s="20"/>
      <c r="E10" s="18"/>
      <c r="F10" s="20"/>
      <c r="G10" s="20"/>
      <c r="H10" s="18"/>
      <c r="I10" s="18"/>
      <c r="J10" s="18"/>
      <c r="K10" s="18"/>
      <c r="L10" s="18"/>
      <c r="M10" s="18"/>
      <c r="N10" s="18"/>
      <c r="O10" s="18"/>
      <c r="P10" s="18"/>
      <c r="Q10" s="26"/>
      <c r="R10" s="18"/>
      <c r="S10" s="18"/>
      <c r="T10" s="18"/>
      <c r="AA10" s="18"/>
    </row>
    <row r="11" ht="15.75" customHeight="1">
      <c r="A11" s="5" t="s">
        <v>30</v>
      </c>
      <c r="B11" s="20">
        <v>0.5603</v>
      </c>
      <c r="C11" s="20"/>
      <c r="D11" s="7"/>
      <c r="E11" s="21"/>
      <c r="F11" s="7"/>
      <c r="G11" s="20"/>
      <c r="H11" s="21"/>
      <c r="I11" s="21"/>
      <c r="J11" s="18"/>
      <c r="K11" s="18" t="s">
        <v>25</v>
      </c>
      <c r="L11" s="18"/>
      <c r="M11" s="21"/>
      <c r="N11" s="18">
        <v>9.0</v>
      </c>
      <c r="O11" s="18"/>
      <c r="P11" s="18"/>
      <c r="Q11" s="18"/>
      <c r="R11" s="18"/>
      <c r="S11" s="18"/>
      <c r="T11" s="18"/>
    </row>
    <row r="12" ht="15.75" customHeight="1">
      <c r="A12" s="34" t="s">
        <v>31</v>
      </c>
      <c r="B12" s="20">
        <v>0.7497</v>
      </c>
      <c r="C12" s="20"/>
      <c r="D12" s="7">
        <v>0.6831</v>
      </c>
      <c r="E12" s="18"/>
      <c r="F12" s="20"/>
      <c r="G12" s="20">
        <v>0.6338</v>
      </c>
      <c r="H12" s="18">
        <v>3.179</v>
      </c>
      <c r="I12" s="18"/>
      <c r="J12" s="11">
        <v>4.004315906562847</v>
      </c>
      <c r="K12" s="18" t="s">
        <v>16</v>
      </c>
      <c r="L12" s="18"/>
      <c r="M12" s="35" t="s">
        <v>16</v>
      </c>
      <c r="N12" s="18">
        <v>18.5</v>
      </c>
      <c r="O12" s="18"/>
      <c r="P12" s="32">
        <v>20.1</v>
      </c>
      <c r="Q12" s="16" t="s">
        <v>17</v>
      </c>
      <c r="R12" s="32" t="s">
        <v>16</v>
      </c>
      <c r="S12" s="15">
        <v>23.0</v>
      </c>
      <c r="T12" s="32">
        <v>10.5</v>
      </c>
      <c r="U12" s="36" t="s">
        <v>17</v>
      </c>
      <c r="V12" s="14">
        <v>15.7</v>
      </c>
      <c r="Y12" s="36" t="s">
        <v>17</v>
      </c>
      <c r="Z12" s="14">
        <v>14.2</v>
      </c>
      <c r="AA12" s="18" t="s">
        <v>32</v>
      </c>
    </row>
    <row r="13" ht="15.75" customHeight="1">
      <c r="A13" s="5" t="s">
        <v>33</v>
      </c>
      <c r="B13" s="6"/>
      <c r="C13" s="6">
        <v>0.6926</v>
      </c>
      <c r="D13" s="7">
        <v>0.4196</v>
      </c>
      <c r="E13" s="8"/>
      <c r="F13" s="8">
        <v>0.6948</v>
      </c>
      <c r="G13" s="20">
        <v>0.6089</v>
      </c>
      <c r="H13" s="10"/>
      <c r="I13" s="10">
        <v>1.16</v>
      </c>
      <c r="J13" s="11">
        <v>1.2942191544434858</v>
      </c>
      <c r="K13" s="37"/>
      <c r="L13" s="31" t="s">
        <v>28</v>
      </c>
      <c r="M13" s="21" t="s">
        <v>28</v>
      </c>
      <c r="N13" s="14"/>
      <c r="O13" s="14">
        <v>15.7</v>
      </c>
      <c r="P13" s="38">
        <v>16.2</v>
      </c>
      <c r="Q13" s="29" t="s">
        <v>23</v>
      </c>
      <c r="R13" s="18" t="s">
        <v>16</v>
      </c>
      <c r="S13" s="25">
        <v>11.8</v>
      </c>
      <c r="T13" s="32">
        <v>11.6</v>
      </c>
      <c r="U13" s="39" t="s">
        <v>16</v>
      </c>
      <c r="V13" s="14">
        <v>13.1</v>
      </c>
      <c r="Y13" s="39" t="s">
        <v>16</v>
      </c>
      <c r="Z13" s="14">
        <v>12.6</v>
      </c>
      <c r="AA13" s="18" t="s">
        <v>28</v>
      </c>
    </row>
    <row r="14" ht="15.75" customHeight="1">
      <c r="A14" s="34" t="s">
        <v>34</v>
      </c>
      <c r="B14" s="6">
        <v>0.8458</v>
      </c>
      <c r="C14" s="6">
        <v>0.6527</v>
      </c>
      <c r="D14" s="7"/>
      <c r="E14" s="8"/>
      <c r="F14" s="8">
        <v>0.6805</v>
      </c>
      <c r="G14" s="20"/>
      <c r="H14" s="10">
        <v>1.019</v>
      </c>
      <c r="I14" s="10">
        <v>0.244</v>
      </c>
      <c r="J14" s="18"/>
      <c r="K14" s="30" t="s">
        <v>28</v>
      </c>
      <c r="L14" s="30" t="s">
        <v>23</v>
      </c>
      <c r="M14" s="21"/>
      <c r="N14" s="14">
        <v>16.6</v>
      </c>
      <c r="O14" s="14">
        <v>9.8</v>
      </c>
      <c r="P14" s="18"/>
      <c r="Q14" s="18" t="s">
        <v>16</v>
      </c>
      <c r="R14" s="18" t="s">
        <v>23</v>
      </c>
      <c r="S14" s="32">
        <v>18.6</v>
      </c>
      <c r="T14" s="25">
        <v>6.8</v>
      </c>
      <c r="U14" s="30" t="s">
        <v>23</v>
      </c>
      <c r="V14" s="14">
        <v>7.2</v>
      </c>
      <c r="Y14" s="40" t="s">
        <v>25</v>
      </c>
      <c r="Z14" s="14">
        <v>5.7</v>
      </c>
      <c r="AA14" s="18" t="s">
        <v>35</v>
      </c>
    </row>
    <row r="15" ht="15.75" customHeight="1">
      <c r="A15" s="34" t="s">
        <v>36</v>
      </c>
      <c r="B15" s="6"/>
      <c r="C15" s="6">
        <v>0.7577</v>
      </c>
      <c r="D15" s="7">
        <v>0.5285</v>
      </c>
      <c r="E15" s="8"/>
      <c r="F15" s="8">
        <v>0.7183</v>
      </c>
      <c r="G15" s="20">
        <v>0.6459</v>
      </c>
      <c r="H15" s="10"/>
      <c r="I15" s="10">
        <v>0.156</v>
      </c>
      <c r="J15" s="11">
        <v>1.1178621659634318</v>
      </c>
      <c r="K15" s="37"/>
      <c r="L15" s="40" t="s">
        <v>25</v>
      </c>
      <c r="M15" s="21" t="s">
        <v>28</v>
      </c>
      <c r="N15" s="14"/>
      <c r="O15" s="14">
        <v>9.0</v>
      </c>
      <c r="P15" s="38">
        <v>15.5</v>
      </c>
      <c r="Q15" s="29" t="s">
        <v>23</v>
      </c>
      <c r="R15" s="18"/>
      <c r="S15" s="25">
        <v>10.7</v>
      </c>
      <c r="T15" s="18"/>
      <c r="U15" s="39" t="s">
        <v>16</v>
      </c>
      <c r="V15" s="14">
        <v>11.9</v>
      </c>
      <c r="Y15" s="39" t="s">
        <v>16</v>
      </c>
      <c r="Z15" s="14">
        <v>11.5</v>
      </c>
      <c r="AA15" s="18" t="s">
        <v>28</v>
      </c>
    </row>
    <row r="16" ht="15.75" customHeight="1">
      <c r="A16" s="19" t="s">
        <v>37</v>
      </c>
      <c r="B16" s="20">
        <v>0.4363</v>
      </c>
      <c r="C16" s="20"/>
      <c r="D16" s="20"/>
      <c r="E16" s="18"/>
      <c r="F16" s="20"/>
      <c r="G16" s="20"/>
      <c r="H16" s="18">
        <v>-0.214</v>
      </c>
      <c r="I16" s="18"/>
      <c r="J16" s="41"/>
      <c r="K16" s="18" t="s">
        <v>25</v>
      </c>
      <c r="L16" s="18"/>
      <c r="M16" s="18"/>
      <c r="N16" s="18">
        <v>6.6</v>
      </c>
      <c r="O16" s="18"/>
      <c r="P16" s="18"/>
      <c r="Q16" s="26"/>
      <c r="R16" s="18"/>
      <c r="S16" s="18"/>
      <c r="T16" s="18"/>
      <c r="AA16" s="18"/>
    </row>
    <row r="17" ht="15.75" customHeight="1">
      <c r="A17" s="34" t="s">
        <v>38</v>
      </c>
      <c r="B17" s="6">
        <v>0.707</v>
      </c>
      <c r="C17" s="6">
        <v>0.418</v>
      </c>
      <c r="D17" s="7">
        <v>0.5559</v>
      </c>
      <c r="E17" s="8"/>
      <c r="F17" s="8">
        <v>0.5958</v>
      </c>
      <c r="G17" s="20">
        <v>0.6552</v>
      </c>
      <c r="H17" s="10">
        <v>1.312</v>
      </c>
      <c r="I17" s="10">
        <v>0.897</v>
      </c>
      <c r="J17" s="11">
        <v>0.7057377049180328</v>
      </c>
      <c r="K17" s="39" t="s">
        <v>17</v>
      </c>
      <c r="L17" s="39" t="s">
        <v>16</v>
      </c>
      <c r="M17" s="21" t="s">
        <v>28</v>
      </c>
      <c r="N17" s="39">
        <v>20.9</v>
      </c>
      <c r="O17" s="14">
        <v>18.0</v>
      </c>
      <c r="P17" s="38">
        <v>14.4</v>
      </c>
      <c r="Q17" s="26" t="s">
        <v>28</v>
      </c>
      <c r="R17" s="18" t="s">
        <v>23</v>
      </c>
      <c r="S17" s="38">
        <v>13.3</v>
      </c>
      <c r="T17" s="25">
        <v>6.7</v>
      </c>
      <c r="AA17" s="18" t="s">
        <v>28</v>
      </c>
    </row>
    <row r="18" ht="15.75" customHeight="1">
      <c r="A18" s="22" t="s">
        <v>39</v>
      </c>
      <c r="B18" s="20"/>
      <c r="C18" s="20"/>
      <c r="D18" s="7"/>
      <c r="E18" s="18"/>
      <c r="F18" s="20"/>
      <c r="G18" s="20"/>
      <c r="H18" s="18"/>
      <c r="I18" s="18"/>
      <c r="J18" s="18"/>
      <c r="K18" s="18"/>
      <c r="L18" s="18"/>
      <c r="M18" s="21"/>
      <c r="N18" s="18"/>
      <c r="O18" s="18"/>
      <c r="P18" s="18"/>
      <c r="Q18" s="18"/>
      <c r="R18" s="18"/>
      <c r="S18" s="18"/>
      <c r="T18" s="18"/>
      <c r="AA18" s="18"/>
    </row>
    <row r="19" ht="15.75" customHeight="1">
      <c r="A19" s="5" t="s">
        <v>40</v>
      </c>
      <c r="B19" s="6">
        <v>0.6349</v>
      </c>
      <c r="C19" s="6">
        <v>0.6035</v>
      </c>
      <c r="D19" s="7">
        <v>0.4856</v>
      </c>
      <c r="E19" s="8"/>
      <c r="F19" s="8">
        <v>0.6627</v>
      </c>
      <c r="G19" s="20">
        <v>0.6313</v>
      </c>
      <c r="H19" s="10">
        <v>1.558</v>
      </c>
      <c r="I19" s="10">
        <v>0.449</v>
      </c>
      <c r="J19" s="11">
        <v>0.5449660466489519</v>
      </c>
      <c r="K19" s="31" t="s">
        <v>28</v>
      </c>
      <c r="L19" s="31" t="s">
        <v>28</v>
      </c>
      <c r="M19" s="21" t="s">
        <v>16</v>
      </c>
      <c r="N19" s="14">
        <v>16.5</v>
      </c>
      <c r="O19" s="14">
        <v>15.0</v>
      </c>
      <c r="P19" s="32">
        <v>19.1</v>
      </c>
      <c r="Q19" s="26" t="s">
        <v>28</v>
      </c>
      <c r="R19" s="18" t="s">
        <v>23</v>
      </c>
      <c r="S19" s="38">
        <v>15.7</v>
      </c>
      <c r="T19" s="25">
        <v>7.4</v>
      </c>
      <c r="U19" s="39" t="s">
        <v>16</v>
      </c>
      <c r="V19" s="14">
        <v>12.2</v>
      </c>
      <c r="Y19" s="31" t="s">
        <v>28</v>
      </c>
      <c r="Z19" s="14">
        <v>9.6</v>
      </c>
      <c r="AA19" s="18" t="s">
        <v>28</v>
      </c>
    </row>
    <row r="20" ht="15.75" customHeight="1">
      <c r="A20" s="5" t="s">
        <v>41</v>
      </c>
      <c r="B20" s="20"/>
      <c r="C20" s="20"/>
      <c r="D20" s="7"/>
      <c r="E20" s="42"/>
      <c r="F20" s="43"/>
      <c r="G20" s="20"/>
      <c r="H20" s="42"/>
      <c r="I20" s="42"/>
      <c r="J20" s="18"/>
      <c r="K20" s="18"/>
      <c r="L20" s="18"/>
      <c r="M20" s="21"/>
      <c r="N20" s="18"/>
      <c r="O20" s="18"/>
      <c r="P20" s="18"/>
      <c r="Q20" s="18" t="s">
        <v>28</v>
      </c>
      <c r="R20" s="18" t="s">
        <v>25</v>
      </c>
      <c r="S20" s="38">
        <v>16.1</v>
      </c>
      <c r="T20" s="28">
        <v>5.1</v>
      </c>
      <c r="U20" s="40" t="s">
        <v>25</v>
      </c>
      <c r="V20" s="14">
        <v>4.4</v>
      </c>
      <c r="Y20" s="40" t="s">
        <v>25</v>
      </c>
      <c r="Z20" s="14">
        <v>4.0</v>
      </c>
      <c r="AA20" s="18" t="s">
        <v>23</v>
      </c>
    </row>
    <row r="21" ht="15.75" customHeight="1">
      <c r="A21" s="34" t="s">
        <v>42</v>
      </c>
      <c r="B21" s="6">
        <v>0.6568</v>
      </c>
      <c r="C21" s="6">
        <v>0.5858</v>
      </c>
      <c r="D21" s="7">
        <v>0.6968</v>
      </c>
      <c r="E21" s="8"/>
      <c r="F21" s="8">
        <v>0.6563</v>
      </c>
      <c r="G21" s="20">
        <v>0.7031</v>
      </c>
      <c r="H21" s="10">
        <v>1.417</v>
      </c>
      <c r="I21" s="10">
        <v>1.915</v>
      </c>
      <c r="J21" s="11">
        <v>1.8104671735284272</v>
      </c>
      <c r="K21" s="39" t="s">
        <v>16</v>
      </c>
      <c r="L21" s="39" t="s">
        <v>16</v>
      </c>
      <c r="M21" s="21" t="s">
        <v>17</v>
      </c>
      <c r="N21" s="14">
        <v>17.6</v>
      </c>
      <c r="O21" s="14">
        <v>17.9</v>
      </c>
      <c r="P21" s="15">
        <v>22.4</v>
      </c>
      <c r="Q21" s="26" t="s">
        <v>16</v>
      </c>
      <c r="R21" s="18" t="s">
        <v>23</v>
      </c>
      <c r="S21" s="32">
        <v>17.4</v>
      </c>
      <c r="T21" s="25">
        <v>7.1</v>
      </c>
      <c r="U21" s="36" t="s">
        <v>17</v>
      </c>
      <c r="V21" s="14">
        <v>14.7</v>
      </c>
      <c r="W21" s="40" t="s">
        <v>25</v>
      </c>
      <c r="X21" s="14">
        <v>4.8</v>
      </c>
      <c r="Y21" s="39" t="s">
        <v>16</v>
      </c>
      <c r="Z21" s="14">
        <v>12.0</v>
      </c>
      <c r="AA21" s="18" t="s">
        <v>16</v>
      </c>
    </row>
    <row r="22" ht="15.75" customHeight="1">
      <c r="A22" s="5" t="s">
        <v>43</v>
      </c>
      <c r="B22" s="6">
        <v>0.7755</v>
      </c>
      <c r="C22" s="6">
        <v>0.7803</v>
      </c>
      <c r="D22" s="7"/>
      <c r="E22" s="8"/>
      <c r="F22" s="8">
        <v>0.7265</v>
      </c>
      <c r="G22" s="20"/>
      <c r="H22" s="10">
        <v>2.604</v>
      </c>
      <c r="I22" s="10">
        <v>2.684</v>
      </c>
      <c r="J22" s="18"/>
      <c r="K22" s="12" t="s">
        <v>17</v>
      </c>
      <c r="L22" s="12" t="s">
        <v>17</v>
      </c>
      <c r="M22" s="18"/>
      <c r="N22" s="14">
        <v>22.0</v>
      </c>
      <c r="O22" s="14">
        <v>23.3</v>
      </c>
      <c r="P22" s="18"/>
      <c r="Q22" s="18" t="s">
        <v>16</v>
      </c>
      <c r="R22" s="18" t="s">
        <v>17</v>
      </c>
      <c r="S22" s="32">
        <v>18.6</v>
      </c>
      <c r="T22" s="15">
        <v>13.7</v>
      </c>
      <c r="U22" s="36" t="s">
        <v>17</v>
      </c>
      <c r="V22" s="14">
        <v>15.7</v>
      </c>
      <c r="Y22" s="36" t="s">
        <v>17</v>
      </c>
      <c r="Z22" s="14">
        <v>14.9</v>
      </c>
      <c r="AA22" s="18" t="s">
        <v>17</v>
      </c>
    </row>
    <row r="23" ht="15.75" customHeight="1">
      <c r="A23" s="19" t="s">
        <v>44</v>
      </c>
      <c r="B23" s="20"/>
      <c r="C23" s="20"/>
      <c r="D23" s="7"/>
      <c r="E23" s="18"/>
      <c r="F23" s="20"/>
      <c r="G23" s="20"/>
      <c r="H23" s="18"/>
      <c r="I23" s="18"/>
      <c r="J23" s="18"/>
      <c r="K23" s="18"/>
      <c r="L23" s="18"/>
      <c r="M23" s="44"/>
      <c r="N23" s="18"/>
      <c r="O23" s="18"/>
      <c r="P23" s="18"/>
      <c r="Q23" s="18" t="s">
        <v>25</v>
      </c>
      <c r="R23" s="18" t="s">
        <v>23</v>
      </c>
      <c r="S23" s="28">
        <v>7.7</v>
      </c>
      <c r="T23" s="25">
        <v>6.3</v>
      </c>
      <c r="U23" s="40" t="s">
        <v>25</v>
      </c>
      <c r="V23" s="14">
        <v>5.3</v>
      </c>
      <c r="Y23" s="40" t="s">
        <v>25</v>
      </c>
      <c r="Z23" s="14">
        <v>4.1</v>
      </c>
      <c r="AA23" s="18" t="s">
        <v>25</v>
      </c>
    </row>
    <row r="24" ht="15.75" customHeight="1">
      <c r="A24" s="5" t="s">
        <v>45</v>
      </c>
      <c r="B24" s="6"/>
      <c r="C24" s="6">
        <v>0.6806</v>
      </c>
      <c r="D24" s="7">
        <v>0.4989</v>
      </c>
      <c r="E24" s="8"/>
      <c r="F24" s="8">
        <v>0.6905</v>
      </c>
      <c r="G24" s="20">
        <v>0.6358</v>
      </c>
      <c r="H24" s="10"/>
      <c r="I24" s="10">
        <v>1.062</v>
      </c>
      <c r="J24" s="11">
        <v>0.6813736574335783</v>
      </c>
      <c r="K24" s="37"/>
      <c r="L24" s="39" t="s">
        <v>16</v>
      </c>
      <c r="M24" s="18" t="s">
        <v>28</v>
      </c>
      <c r="N24" s="14"/>
      <c r="O24" s="14">
        <v>19.1</v>
      </c>
      <c r="P24" s="38">
        <v>16.2</v>
      </c>
      <c r="Q24" s="26" t="s">
        <v>28</v>
      </c>
      <c r="R24" s="18" t="s">
        <v>28</v>
      </c>
      <c r="S24" s="38">
        <v>16.6</v>
      </c>
      <c r="T24" s="38">
        <v>8.2</v>
      </c>
      <c r="W24" s="36" t="s">
        <v>17</v>
      </c>
      <c r="X24" s="14">
        <v>15.3</v>
      </c>
      <c r="Y24" s="36" t="s">
        <v>17</v>
      </c>
      <c r="Z24" s="14">
        <v>13.9</v>
      </c>
      <c r="AA24" s="18" t="s">
        <v>16</v>
      </c>
    </row>
    <row r="25" ht="15.75" customHeight="1">
      <c r="A25" s="5" t="s">
        <v>46</v>
      </c>
      <c r="B25" s="20"/>
      <c r="C25" s="20"/>
      <c r="D25" s="7"/>
      <c r="E25" s="18"/>
      <c r="F25" s="20"/>
      <c r="G25" s="20"/>
      <c r="H25" s="18"/>
      <c r="I25" s="18"/>
      <c r="J25" s="18"/>
      <c r="K25" s="18"/>
      <c r="L25" s="18"/>
      <c r="M25" s="18"/>
      <c r="N25" s="18"/>
      <c r="O25" s="18"/>
      <c r="P25" s="18"/>
      <c r="Q25" s="18" t="s">
        <v>17</v>
      </c>
      <c r="R25" s="18" t="s">
        <v>16</v>
      </c>
      <c r="S25" s="15">
        <v>20.7</v>
      </c>
      <c r="T25" s="32">
        <v>12.0</v>
      </c>
      <c r="W25" s="36" t="s">
        <v>17</v>
      </c>
      <c r="X25" s="14">
        <v>14.8</v>
      </c>
      <c r="Y25" s="36" t="s">
        <v>17</v>
      </c>
      <c r="Z25" s="14">
        <v>14.4</v>
      </c>
      <c r="AA25" s="18" t="s">
        <v>17</v>
      </c>
    </row>
    <row r="26" ht="15.75" customHeight="1">
      <c r="A26" s="34" t="s">
        <v>47</v>
      </c>
      <c r="B26" s="6"/>
      <c r="C26" s="6">
        <v>0.4542</v>
      </c>
      <c r="D26" s="7">
        <v>0.3493</v>
      </c>
      <c r="E26" s="8"/>
      <c r="F26" s="8">
        <v>0.6089</v>
      </c>
      <c r="G26" s="20">
        <v>0.5849</v>
      </c>
      <c r="H26" s="10"/>
      <c r="I26" s="10">
        <v>-0.28</v>
      </c>
      <c r="J26" s="11">
        <v>0.11964107676969093</v>
      </c>
      <c r="K26" s="37"/>
      <c r="L26" s="30" t="s">
        <v>23</v>
      </c>
      <c r="M26" s="18" t="s">
        <v>28</v>
      </c>
      <c r="N26" s="14"/>
      <c r="O26" s="14">
        <v>12.2</v>
      </c>
      <c r="P26" s="38">
        <v>15.8</v>
      </c>
      <c r="Q26" s="29" t="s">
        <v>23</v>
      </c>
      <c r="R26" s="18" t="s">
        <v>23</v>
      </c>
      <c r="S26" s="25">
        <v>10.0</v>
      </c>
      <c r="T26" s="25">
        <v>5.9</v>
      </c>
      <c r="U26" s="30" t="s">
        <v>23</v>
      </c>
      <c r="V26" s="14">
        <v>7.7</v>
      </c>
      <c r="W26" s="40" t="s">
        <v>25</v>
      </c>
      <c r="X26" s="14">
        <v>5.3</v>
      </c>
      <c r="Y26" s="40" t="s">
        <v>25</v>
      </c>
      <c r="Z26" s="14">
        <v>5.8</v>
      </c>
      <c r="AA26" s="18" t="s">
        <v>23</v>
      </c>
    </row>
    <row r="27" ht="15.75" customHeight="1">
      <c r="A27" s="22" t="s">
        <v>48</v>
      </c>
      <c r="B27" s="20"/>
      <c r="C27" s="20"/>
      <c r="D27" s="7"/>
      <c r="E27" s="18"/>
      <c r="F27" s="20"/>
      <c r="G27" s="2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15.75" customHeight="1">
      <c r="A28" s="19" t="s">
        <v>49</v>
      </c>
      <c r="B28" s="20"/>
      <c r="C28" s="20"/>
      <c r="D28" s="7"/>
      <c r="E28" s="18"/>
      <c r="F28" s="20"/>
      <c r="G28" s="20"/>
      <c r="H28" s="18"/>
      <c r="I28" s="18"/>
      <c r="J28" s="18"/>
      <c r="K28" s="18"/>
      <c r="L28" s="18"/>
      <c r="M28" s="18"/>
      <c r="N28" s="18"/>
      <c r="O28" s="18"/>
      <c r="P28" s="18"/>
      <c r="Q28" s="45" t="s">
        <v>23</v>
      </c>
      <c r="R28" s="18"/>
      <c r="S28" s="25">
        <v>10.2</v>
      </c>
      <c r="T28" s="18"/>
      <c r="AA28" s="18" t="s">
        <v>23</v>
      </c>
    </row>
    <row r="29" ht="15.75" customHeight="1">
      <c r="A29" s="19" t="s">
        <v>50</v>
      </c>
      <c r="B29" s="20"/>
      <c r="C29" s="20"/>
      <c r="D29" s="7"/>
      <c r="E29" s="18"/>
      <c r="F29" s="20"/>
      <c r="G29" s="2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ht="15.75" customHeight="1">
      <c r="A30" s="5" t="s">
        <v>51</v>
      </c>
      <c r="B30" s="20"/>
      <c r="C30" s="20"/>
      <c r="D30" s="7"/>
      <c r="E30" s="18"/>
      <c r="F30" s="20"/>
      <c r="G30" s="2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75" customHeight="1">
      <c r="A31" s="5" t="s">
        <v>52</v>
      </c>
      <c r="B31" s="20"/>
      <c r="C31" s="20"/>
      <c r="D31" s="7"/>
      <c r="E31" s="18"/>
      <c r="F31" s="20"/>
      <c r="G31" s="2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 t="s">
        <v>17</v>
      </c>
      <c r="S31" s="18"/>
      <c r="T31" s="15">
        <v>12.8</v>
      </c>
      <c r="U31" s="30" t="s">
        <v>23</v>
      </c>
      <c r="V31" s="14">
        <v>6.5</v>
      </c>
      <c r="Y31" s="40" t="s">
        <v>25</v>
      </c>
      <c r="Z31" s="14">
        <v>5.1</v>
      </c>
      <c r="AA31" s="18" t="s">
        <v>23</v>
      </c>
    </row>
    <row r="32" ht="15.75" customHeight="1">
      <c r="A32" s="5" t="s">
        <v>53</v>
      </c>
      <c r="B32" s="6"/>
      <c r="C32" s="6">
        <v>0.6137</v>
      </c>
      <c r="D32" s="7"/>
      <c r="E32" s="8"/>
      <c r="F32" s="8">
        <v>0.6664</v>
      </c>
      <c r="G32" s="20"/>
      <c r="H32" s="10"/>
      <c r="I32" s="10">
        <v>2.102</v>
      </c>
      <c r="J32" s="18"/>
      <c r="K32" s="37"/>
      <c r="L32" s="39" t="s">
        <v>16</v>
      </c>
      <c r="M32" s="44"/>
      <c r="N32" s="14"/>
      <c r="O32" s="14">
        <v>17.3</v>
      </c>
      <c r="P32" s="18"/>
      <c r="Q32" s="45" t="s">
        <v>23</v>
      </c>
      <c r="R32" s="18" t="s">
        <v>17</v>
      </c>
      <c r="S32" s="25">
        <v>12.1</v>
      </c>
      <c r="T32" s="15">
        <v>13.0</v>
      </c>
      <c r="W32" s="39" t="s">
        <v>16</v>
      </c>
      <c r="X32" s="14">
        <v>11.7</v>
      </c>
      <c r="Y32" s="39" t="s">
        <v>16</v>
      </c>
      <c r="Z32" s="14">
        <v>11.4</v>
      </c>
      <c r="AA32" s="18" t="s">
        <v>16</v>
      </c>
    </row>
    <row r="33" ht="15.75" customHeight="1">
      <c r="A33" s="5" t="s">
        <v>54</v>
      </c>
      <c r="B33" s="20"/>
      <c r="C33" s="20"/>
      <c r="D33" s="7"/>
      <c r="E33" s="18"/>
      <c r="F33" s="20"/>
      <c r="G33" s="2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ht="15.75" customHeight="1">
      <c r="A34" s="5" t="s">
        <v>55</v>
      </c>
      <c r="B34" s="6">
        <v>0.6137</v>
      </c>
      <c r="C34" s="6">
        <v>0.642</v>
      </c>
      <c r="D34" s="7"/>
      <c r="E34" s="8"/>
      <c r="F34" s="8">
        <v>0.6766</v>
      </c>
      <c r="G34" s="20"/>
      <c r="H34" s="10">
        <v>1.365</v>
      </c>
      <c r="I34" s="10">
        <v>0.726</v>
      </c>
      <c r="J34" s="18"/>
      <c r="K34" s="31" t="s">
        <v>16</v>
      </c>
      <c r="L34" s="31" t="s">
        <v>28</v>
      </c>
      <c r="M34" s="18"/>
      <c r="N34" s="14">
        <v>16.7</v>
      </c>
      <c r="O34" s="14">
        <v>15.0</v>
      </c>
      <c r="P34" s="18"/>
      <c r="Q34" s="45" t="s">
        <v>23</v>
      </c>
      <c r="R34" s="18" t="s">
        <v>16</v>
      </c>
      <c r="S34" s="25">
        <v>12.6</v>
      </c>
      <c r="T34" s="32">
        <v>10.5</v>
      </c>
      <c r="W34" s="31" t="s">
        <v>28</v>
      </c>
      <c r="X34" s="14">
        <v>11.2</v>
      </c>
      <c r="Y34" s="31" t="s">
        <v>28</v>
      </c>
      <c r="Z34" s="14">
        <v>10.1</v>
      </c>
      <c r="AA34" s="18" t="s">
        <v>35</v>
      </c>
    </row>
    <row r="35" ht="15.75" customHeight="1">
      <c r="A35" s="5" t="s">
        <v>56</v>
      </c>
      <c r="B35" s="6">
        <v>0.6888</v>
      </c>
      <c r="C35" s="6">
        <v>0.7455</v>
      </c>
      <c r="D35" s="7">
        <v>0.4334</v>
      </c>
      <c r="E35" s="8"/>
      <c r="F35" s="8">
        <v>0.7139</v>
      </c>
      <c r="G35" s="20">
        <v>0.6135</v>
      </c>
      <c r="H35" s="10">
        <v>1.173</v>
      </c>
      <c r="I35" s="10">
        <v>0.89</v>
      </c>
      <c r="J35" s="11">
        <v>0.560747829957712</v>
      </c>
      <c r="K35" s="39" t="s">
        <v>16</v>
      </c>
      <c r="L35" s="39" t="s">
        <v>16</v>
      </c>
      <c r="M35" s="18" t="s">
        <v>28</v>
      </c>
      <c r="N35" s="14">
        <v>18.7</v>
      </c>
      <c r="O35" s="14">
        <v>20.0</v>
      </c>
      <c r="P35" s="38">
        <v>15.3</v>
      </c>
      <c r="Q35" s="26" t="s">
        <v>28</v>
      </c>
      <c r="R35" s="18" t="s">
        <v>28</v>
      </c>
      <c r="S35" s="38">
        <v>13.7</v>
      </c>
      <c r="T35" s="38">
        <v>9.9</v>
      </c>
      <c r="U35" s="30" t="s">
        <v>23</v>
      </c>
      <c r="V35" s="14">
        <v>7.8</v>
      </c>
      <c r="W35" s="36" t="s">
        <v>17</v>
      </c>
      <c r="X35" s="14">
        <v>14.5</v>
      </c>
      <c r="Y35" s="30" t="s">
        <v>23</v>
      </c>
      <c r="Z35" s="14">
        <v>8.3</v>
      </c>
      <c r="AA35" s="18" t="s">
        <v>35</v>
      </c>
    </row>
    <row r="36" ht="15.75" customHeight="1">
      <c r="A36" s="22" t="s">
        <v>57</v>
      </c>
      <c r="B36" s="18" t="s">
        <v>58</v>
      </c>
      <c r="C36" s="20"/>
      <c r="D36" s="7"/>
      <c r="E36" s="18"/>
      <c r="F36" s="20"/>
      <c r="G36" s="20"/>
      <c r="H36" s="18">
        <v>0.39</v>
      </c>
      <c r="I36" s="18"/>
      <c r="J36" s="18"/>
      <c r="K36" s="18" t="s">
        <v>16</v>
      </c>
      <c r="L36" s="18"/>
      <c r="M36" s="18"/>
      <c r="N36" s="18">
        <v>17.2</v>
      </c>
      <c r="O36" s="18"/>
      <c r="P36" s="18"/>
      <c r="Q36" s="18"/>
      <c r="R36" s="18"/>
      <c r="S36" s="18"/>
      <c r="T36" s="18"/>
      <c r="AA36" s="18"/>
    </row>
    <row r="37" ht="15.75" customHeight="1">
      <c r="A37" s="46" t="s">
        <v>59</v>
      </c>
      <c r="B37" s="20">
        <v>0.4415</v>
      </c>
      <c r="C37" s="20"/>
      <c r="D37" s="20"/>
      <c r="E37" s="18"/>
      <c r="F37" s="20"/>
      <c r="G37" s="20"/>
      <c r="H37" s="18">
        <v>-1.393</v>
      </c>
      <c r="I37" s="18"/>
      <c r="J37" s="18"/>
      <c r="K37" s="18" t="s">
        <v>25</v>
      </c>
      <c r="L37" s="18"/>
      <c r="M37" s="18"/>
      <c r="N37" s="18">
        <v>6.1</v>
      </c>
      <c r="O37" s="18"/>
      <c r="P37" s="18"/>
      <c r="Q37" s="26"/>
      <c r="R37" s="18"/>
      <c r="S37" s="18"/>
      <c r="T37" s="18"/>
      <c r="AA37" s="18"/>
    </row>
    <row r="38" ht="15.75" customHeight="1">
      <c r="A38" s="5" t="s">
        <v>60</v>
      </c>
      <c r="B38" s="20"/>
      <c r="C38" s="20"/>
      <c r="D38" s="20">
        <v>0.8447</v>
      </c>
      <c r="E38" s="18"/>
      <c r="F38" s="20"/>
      <c r="G38" s="20">
        <v>0.7534</v>
      </c>
      <c r="H38" s="18"/>
      <c r="I38" s="18"/>
      <c r="J38" s="11">
        <v>3.5997991679816383</v>
      </c>
      <c r="K38" s="18"/>
      <c r="L38" s="18"/>
      <c r="M38" s="18" t="s">
        <v>17</v>
      </c>
      <c r="N38" s="18"/>
      <c r="O38" s="18"/>
      <c r="P38" s="15">
        <v>23.6</v>
      </c>
      <c r="Q38" s="26" t="s">
        <v>18</v>
      </c>
      <c r="R38" s="18" t="s">
        <v>18</v>
      </c>
      <c r="S38" s="47">
        <v>24.4</v>
      </c>
      <c r="T38" s="47">
        <v>15.7</v>
      </c>
      <c r="W38" s="31" t="s">
        <v>28</v>
      </c>
      <c r="X38" s="14">
        <v>10.1</v>
      </c>
      <c r="Y38" s="31" t="s">
        <v>28</v>
      </c>
      <c r="Z38" s="14">
        <v>9.3</v>
      </c>
      <c r="AA38" s="18" t="s">
        <v>19</v>
      </c>
    </row>
    <row r="39" ht="15.75" customHeight="1">
      <c r="A39" s="34" t="s">
        <v>61</v>
      </c>
      <c r="B39" s="6">
        <v>0.98</v>
      </c>
      <c r="C39" s="6">
        <v>0.6383</v>
      </c>
      <c r="D39" s="20">
        <v>0.7236</v>
      </c>
      <c r="E39" s="8"/>
      <c r="F39" s="8">
        <v>0.6753</v>
      </c>
      <c r="G39" s="20">
        <v>0.7122</v>
      </c>
      <c r="H39" s="10">
        <v>3.384</v>
      </c>
      <c r="I39" s="10">
        <v>1.722</v>
      </c>
      <c r="J39" s="11">
        <v>1.997533908754624</v>
      </c>
      <c r="K39" s="39" t="s">
        <v>17</v>
      </c>
      <c r="L39" s="39" t="s">
        <v>16</v>
      </c>
      <c r="M39" s="18" t="s">
        <v>16</v>
      </c>
      <c r="N39" s="14">
        <v>23.3</v>
      </c>
      <c r="O39" s="14">
        <v>17.4</v>
      </c>
      <c r="P39" s="32">
        <v>18.3</v>
      </c>
      <c r="Q39" s="26" t="s">
        <v>17</v>
      </c>
      <c r="R39" s="18" t="s">
        <v>17</v>
      </c>
      <c r="S39" s="15">
        <v>21.8</v>
      </c>
      <c r="T39" s="15">
        <v>14.1</v>
      </c>
      <c r="W39" s="36" t="s">
        <v>17</v>
      </c>
      <c r="X39" s="14">
        <v>15.6</v>
      </c>
      <c r="Y39" s="36" t="s">
        <v>17</v>
      </c>
      <c r="Z39" s="14">
        <v>15.0</v>
      </c>
      <c r="AA39" s="18" t="s">
        <v>32</v>
      </c>
    </row>
    <row r="40" ht="15.75" customHeight="1">
      <c r="A40" s="23" t="s">
        <v>62</v>
      </c>
      <c r="B40" s="20">
        <v>0.4507</v>
      </c>
      <c r="C40" s="20"/>
      <c r="D40" s="20"/>
      <c r="E40" s="18"/>
      <c r="F40" s="20"/>
      <c r="G40" s="20"/>
      <c r="H40" s="18">
        <v>-2.0</v>
      </c>
      <c r="I40" s="18"/>
      <c r="J40" s="18"/>
      <c r="K40" s="18" t="s">
        <v>25</v>
      </c>
      <c r="L40" s="18"/>
      <c r="M40" s="18"/>
      <c r="N40" s="18">
        <v>6.9</v>
      </c>
      <c r="O40" s="18"/>
      <c r="P40" s="18"/>
      <c r="Q40" s="26"/>
      <c r="R40" s="18"/>
      <c r="S40" s="18"/>
      <c r="T40" s="18"/>
      <c r="AA40" s="18"/>
    </row>
    <row r="41" ht="15.75" customHeight="1">
      <c r="A41" s="22" t="s">
        <v>63</v>
      </c>
      <c r="B41" s="20"/>
      <c r="C41" s="20"/>
      <c r="D41" s="20"/>
      <c r="E41" s="18"/>
      <c r="F41" s="20"/>
      <c r="G41" s="2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ht="15.75" customHeight="1">
      <c r="A42" s="19" t="s">
        <v>64</v>
      </c>
      <c r="B42" s="20"/>
      <c r="C42" s="20"/>
      <c r="D42" s="20"/>
      <c r="E42" s="18"/>
      <c r="F42" s="20"/>
      <c r="G42" s="2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ht="15.75" customHeight="1">
      <c r="A43" s="19" t="s">
        <v>65</v>
      </c>
      <c r="B43" s="20"/>
      <c r="C43" s="20"/>
      <c r="D43" s="20"/>
      <c r="E43" s="18"/>
      <c r="F43" s="20"/>
      <c r="G43" s="20"/>
      <c r="H43" s="18"/>
      <c r="I43" s="18"/>
      <c r="J43" s="18"/>
      <c r="K43" s="18"/>
      <c r="L43" s="18"/>
      <c r="M43" s="44"/>
      <c r="N43" s="18"/>
      <c r="O43" s="18"/>
      <c r="P43" s="18"/>
      <c r="Q43" s="18" t="s">
        <v>66</v>
      </c>
      <c r="R43" s="18"/>
      <c r="S43" s="48">
        <v>5.0</v>
      </c>
      <c r="T43" s="18"/>
      <c r="AA43" s="18" t="s">
        <v>66</v>
      </c>
    </row>
    <row r="44" ht="15.75" customHeight="1">
      <c r="A44" s="5" t="s">
        <v>67</v>
      </c>
      <c r="B44" s="20"/>
      <c r="C44" s="20"/>
      <c r="D44" s="20"/>
      <c r="E44" s="18"/>
      <c r="F44" s="20"/>
      <c r="G44" s="2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W44" s="30" t="s">
        <v>23</v>
      </c>
      <c r="X44" s="14">
        <v>6.3</v>
      </c>
      <c r="Y44" s="30" t="s">
        <v>23</v>
      </c>
      <c r="Z44" s="14">
        <v>6.3</v>
      </c>
      <c r="AA44" s="18" t="s">
        <v>35</v>
      </c>
    </row>
    <row r="45" ht="15.75" customHeight="1">
      <c r="A45" s="22" t="s">
        <v>68</v>
      </c>
      <c r="B45" s="20"/>
      <c r="C45" s="20"/>
      <c r="D45" s="20"/>
      <c r="E45" s="18"/>
      <c r="F45" s="20"/>
      <c r="G45" s="2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ht="15.75" customHeight="1">
      <c r="A46" s="19" t="s">
        <v>69</v>
      </c>
      <c r="B46" s="6">
        <v>0.7468</v>
      </c>
      <c r="C46" s="6">
        <v>0.7601</v>
      </c>
      <c r="D46" s="20">
        <v>0.551</v>
      </c>
      <c r="E46" s="8"/>
      <c r="F46" s="8">
        <v>0.7192</v>
      </c>
      <c r="G46" s="20">
        <v>0.6535</v>
      </c>
      <c r="H46" s="10">
        <v>1.904</v>
      </c>
      <c r="I46" s="10">
        <v>1.246</v>
      </c>
      <c r="J46" s="11">
        <v>0.7891491985203453</v>
      </c>
      <c r="K46" s="39" t="s">
        <v>16</v>
      </c>
      <c r="L46" s="39" t="s">
        <v>16</v>
      </c>
      <c r="M46" s="18" t="s">
        <v>28</v>
      </c>
      <c r="N46" s="14">
        <v>18.7</v>
      </c>
      <c r="O46" s="14">
        <v>17.0</v>
      </c>
      <c r="P46" s="38">
        <v>13.1</v>
      </c>
      <c r="Q46" s="26" t="s">
        <v>28</v>
      </c>
      <c r="R46" s="18"/>
      <c r="S46" s="38">
        <v>14.4</v>
      </c>
      <c r="T46" s="18"/>
      <c r="U46" s="39" t="s">
        <v>16</v>
      </c>
      <c r="V46" s="14">
        <v>12.9</v>
      </c>
      <c r="Y46" s="39" t="s">
        <v>16</v>
      </c>
      <c r="Z46" s="14">
        <v>11.5</v>
      </c>
      <c r="AA46" s="18" t="s">
        <v>28</v>
      </c>
    </row>
    <row r="47" ht="15.75" customHeight="1">
      <c r="A47" s="5" t="s">
        <v>70</v>
      </c>
      <c r="B47" s="20"/>
      <c r="C47" s="20"/>
      <c r="D47" s="20"/>
      <c r="E47" s="18"/>
      <c r="F47" s="20"/>
      <c r="G47" s="20"/>
      <c r="H47" s="18"/>
      <c r="I47" s="18"/>
      <c r="J47" s="18"/>
      <c r="K47" s="18"/>
      <c r="L47" s="18"/>
      <c r="M47" s="21"/>
      <c r="N47" s="18"/>
      <c r="O47" s="18"/>
      <c r="P47" s="18"/>
      <c r="Q47" s="18"/>
      <c r="R47" s="18"/>
      <c r="S47" s="18"/>
      <c r="T47" s="18"/>
    </row>
    <row r="48" ht="15.75" customHeight="1">
      <c r="A48" s="19" t="s">
        <v>71</v>
      </c>
      <c r="B48" s="20"/>
      <c r="C48" s="20"/>
      <c r="D48" s="20"/>
      <c r="E48" s="18"/>
      <c r="F48" s="20"/>
      <c r="G48" s="20"/>
      <c r="H48" s="18"/>
      <c r="I48" s="18"/>
      <c r="J48" s="18"/>
      <c r="K48" s="18"/>
      <c r="L48" s="18"/>
      <c r="M48" s="21"/>
      <c r="N48" s="18"/>
      <c r="O48" s="18"/>
      <c r="P48" s="18"/>
      <c r="Q48" s="18"/>
      <c r="R48" s="18"/>
      <c r="S48" s="18"/>
      <c r="T48" s="18"/>
    </row>
    <row r="49" ht="15.75" customHeight="1">
      <c r="A49" s="5" t="s">
        <v>72</v>
      </c>
      <c r="B49" s="20"/>
      <c r="C49" s="20"/>
      <c r="D49" s="20"/>
      <c r="E49" s="18"/>
      <c r="F49" s="20"/>
      <c r="G49" s="20"/>
      <c r="H49" s="18"/>
      <c r="I49" s="18"/>
      <c r="J49" s="18"/>
      <c r="K49" s="18"/>
      <c r="L49" s="18"/>
      <c r="M49" s="21"/>
      <c r="N49" s="18"/>
      <c r="O49" s="18"/>
      <c r="P49" s="18"/>
      <c r="Q49" s="18"/>
      <c r="R49" s="18" t="s">
        <v>25</v>
      </c>
      <c r="S49" s="18"/>
      <c r="T49" s="28">
        <v>3.8</v>
      </c>
      <c r="AA49" s="18" t="s">
        <v>23</v>
      </c>
    </row>
    <row r="50" ht="15.75" customHeight="1">
      <c r="A50" s="5" t="s">
        <v>73</v>
      </c>
      <c r="B50" s="6">
        <v>0.9661</v>
      </c>
      <c r="C50" s="6">
        <v>0.98</v>
      </c>
      <c r="D50" s="20">
        <v>0.6828</v>
      </c>
      <c r="E50" s="8"/>
      <c r="F50" s="8">
        <v>0.7984</v>
      </c>
      <c r="G50" s="20">
        <v>0.6984</v>
      </c>
      <c r="H50" s="10">
        <v>3.24</v>
      </c>
      <c r="I50" s="10">
        <v>3.742</v>
      </c>
      <c r="J50" s="11">
        <v>4.658375973303671</v>
      </c>
      <c r="K50" s="12" t="s">
        <v>17</v>
      </c>
      <c r="L50" s="12" t="s">
        <v>17</v>
      </c>
      <c r="M50" s="21" t="s">
        <v>17</v>
      </c>
      <c r="N50" s="14">
        <v>23.3</v>
      </c>
      <c r="O50" s="14">
        <v>23.6</v>
      </c>
      <c r="P50" s="15">
        <v>21.3</v>
      </c>
      <c r="Q50" s="26" t="s">
        <v>17</v>
      </c>
      <c r="R50" s="18" t="s">
        <v>16</v>
      </c>
      <c r="S50" s="15">
        <v>22.1</v>
      </c>
      <c r="T50" s="32">
        <v>11.9</v>
      </c>
      <c r="W50" s="36" t="s">
        <v>17</v>
      </c>
      <c r="X50" s="14">
        <v>15.1</v>
      </c>
      <c r="Y50" s="36" t="s">
        <v>17</v>
      </c>
      <c r="Z50" s="14">
        <v>15.4</v>
      </c>
      <c r="AA50" s="18" t="s">
        <v>17</v>
      </c>
    </row>
    <row r="51" ht="15.75" customHeight="1">
      <c r="A51" s="23" t="s">
        <v>74</v>
      </c>
      <c r="B51" s="6">
        <v>0.5813</v>
      </c>
      <c r="C51" s="6">
        <v>0.3901</v>
      </c>
      <c r="D51" s="20"/>
      <c r="E51" s="8"/>
      <c r="F51" s="8">
        <v>0.5858</v>
      </c>
      <c r="G51" s="20"/>
      <c r="H51" s="10">
        <v>-1.276</v>
      </c>
      <c r="I51" s="10">
        <v>-1.39</v>
      </c>
      <c r="J51" s="18"/>
      <c r="K51" s="40" t="s">
        <v>25</v>
      </c>
      <c r="L51" s="40" t="s">
        <v>25</v>
      </c>
      <c r="M51" s="18"/>
      <c r="N51" s="14">
        <v>6.4</v>
      </c>
      <c r="O51" s="14">
        <v>6.4</v>
      </c>
      <c r="P51" s="18"/>
      <c r="Q51" s="26"/>
      <c r="R51" s="18"/>
      <c r="S51" s="18"/>
      <c r="T51" s="18"/>
      <c r="AA51" s="18" t="s">
        <v>25</v>
      </c>
    </row>
    <row r="52" ht="15.75" customHeight="1">
      <c r="A52" s="5" t="s">
        <v>75</v>
      </c>
      <c r="B52" s="20"/>
      <c r="C52" s="20"/>
      <c r="D52" s="20"/>
      <c r="E52" s="18"/>
      <c r="F52" s="20"/>
      <c r="G52" s="20"/>
      <c r="H52" s="18"/>
      <c r="I52" s="18"/>
      <c r="J52" s="18"/>
      <c r="K52" s="18"/>
      <c r="L52" s="18"/>
      <c r="M52" s="21"/>
      <c r="N52" s="18"/>
      <c r="O52" s="18"/>
      <c r="P52" s="18"/>
      <c r="Q52" s="18"/>
      <c r="R52" s="18" t="s">
        <v>16</v>
      </c>
      <c r="S52" s="18"/>
      <c r="T52" s="32">
        <v>10.7</v>
      </c>
      <c r="AA52" s="18" t="s">
        <v>28</v>
      </c>
    </row>
    <row r="53" ht="15.75" customHeight="1">
      <c r="A53" s="23" t="s">
        <v>76</v>
      </c>
      <c r="B53" s="6"/>
      <c r="C53" s="6">
        <v>0.5043</v>
      </c>
      <c r="D53" s="20"/>
      <c r="E53" s="8"/>
      <c r="F53" s="8">
        <v>0.627</v>
      </c>
      <c r="G53" s="20"/>
      <c r="H53" s="10"/>
      <c r="I53" s="10">
        <v>0.884</v>
      </c>
      <c r="J53" s="18"/>
      <c r="K53" s="37"/>
      <c r="L53" s="30" t="s">
        <v>23</v>
      </c>
      <c r="M53" s="18"/>
      <c r="N53" s="14"/>
      <c r="O53" s="14">
        <v>12.1</v>
      </c>
      <c r="P53" s="18"/>
      <c r="Q53" s="26"/>
      <c r="R53" s="18"/>
      <c r="S53" s="18"/>
      <c r="T53" s="18"/>
      <c r="AA53" s="18" t="s">
        <v>77</v>
      </c>
    </row>
    <row r="54" ht="15.75" customHeight="1">
      <c r="A54" s="19" t="s">
        <v>78</v>
      </c>
      <c r="B54" s="20"/>
      <c r="C54" s="20"/>
      <c r="D54" s="20"/>
      <c r="E54" s="18"/>
      <c r="F54" s="20"/>
      <c r="G54" s="20"/>
      <c r="H54" s="18"/>
      <c r="I54" s="18"/>
      <c r="J54" s="18"/>
      <c r="K54" s="18"/>
      <c r="L54" s="18"/>
      <c r="M54" s="49"/>
      <c r="N54" s="18"/>
      <c r="O54" s="18"/>
      <c r="P54" s="18"/>
      <c r="Q54" s="45" t="s">
        <v>23</v>
      </c>
      <c r="R54" s="18"/>
      <c r="S54" s="25">
        <v>11.9</v>
      </c>
      <c r="T54" s="18"/>
      <c r="AA54" s="18" t="s">
        <v>23</v>
      </c>
    </row>
    <row r="55" ht="15.75" customHeight="1">
      <c r="A55" s="34" t="s">
        <v>79</v>
      </c>
      <c r="B55" s="6">
        <v>0.5828</v>
      </c>
      <c r="C55" s="6">
        <v>0.8046</v>
      </c>
      <c r="D55" s="20">
        <v>0.4989</v>
      </c>
      <c r="E55" s="8"/>
      <c r="F55" s="8">
        <v>0.7352</v>
      </c>
      <c r="G55" s="20">
        <v>0.6358</v>
      </c>
      <c r="H55" s="10">
        <v>2.586</v>
      </c>
      <c r="I55" s="10">
        <v>1.114</v>
      </c>
      <c r="J55" s="11">
        <v>0.222609923356192</v>
      </c>
      <c r="K55" s="39" t="s">
        <v>16</v>
      </c>
      <c r="L55" s="39" t="s">
        <v>16</v>
      </c>
      <c r="M55" s="21" t="s">
        <v>28</v>
      </c>
      <c r="N55" s="14">
        <v>18.5</v>
      </c>
      <c r="O55" s="14">
        <v>18.1</v>
      </c>
      <c r="P55" s="38">
        <v>14.6</v>
      </c>
      <c r="Q55" s="29" t="s">
        <v>23</v>
      </c>
      <c r="R55" s="18" t="s">
        <v>28</v>
      </c>
      <c r="S55" s="25">
        <v>8.95</v>
      </c>
      <c r="T55" s="38">
        <v>10.3</v>
      </c>
      <c r="U55" s="39" t="s">
        <v>16</v>
      </c>
      <c r="V55" s="14">
        <v>11.5</v>
      </c>
      <c r="Y55" s="31" t="s">
        <v>28</v>
      </c>
      <c r="Z55" s="14">
        <v>9.9</v>
      </c>
      <c r="AA55" s="18" t="s">
        <v>28</v>
      </c>
    </row>
    <row r="56" ht="15.75" customHeight="1">
      <c r="A56" s="5" t="s">
        <v>80</v>
      </c>
      <c r="B56" s="20"/>
      <c r="C56" s="20"/>
      <c r="D56" s="20"/>
      <c r="E56" s="18"/>
      <c r="F56" s="20"/>
      <c r="G56" s="20"/>
      <c r="H56" s="18"/>
      <c r="I56" s="18"/>
      <c r="J56" s="18"/>
      <c r="K56" s="18"/>
      <c r="L56" s="18"/>
      <c r="M56" s="21"/>
      <c r="N56" s="18"/>
      <c r="O56" s="18"/>
      <c r="P56" s="18"/>
      <c r="Q56" s="18" t="s">
        <v>17</v>
      </c>
      <c r="R56" s="18" t="s">
        <v>28</v>
      </c>
      <c r="S56" s="15">
        <v>22.9</v>
      </c>
      <c r="T56" s="38">
        <v>8.8</v>
      </c>
      <c r="W56" s="31" t="s">
        <v>28</v>
      </c>
      <c r="X56" s="14">
        <v>10.4</v>
      </c>
      <c r="Y56" s="30" t="s">
        <v>23</v>
      </c>
      <c r="Z56" s="14">
        <v>8.4</v>
      </c>
      <c r="AA56" s="18" t="s">
        <v>16</v>
      </c>
    </row>
    <row r="57" ht="15.75" customHeight="1">
      <c r="A57" s="19" t="s">
        <v>81</v>
      </c>
      <c r="B57" s="20"/>
      <c r="C57" s="20"/>
      <c r="D57" s="20"/>
      <c r="E57" s="18"/>
      <c r="F57" s="20"/>
      <c r="G57" s="20"/>
      <c r="H57" s="18"/>
      <c r="I57" s="18"/>
      <c r="J57" s="18"/>
      <c r="K57" s="18"/>
      <c r="L57" s="18"/>
      <c r="M57" s="21"/>
      <c r="N57" s="18"/>
      <c r="O57" s="18"/>
      <c r="P57" s="18"/>
      <c r="Q57" s="18"/>
      <c r="R57" s="18"/>
      <c r="S57" s="18"/>
      <c r="T57" s="18"/>
    </row>
    <row r="58" ht="15.75" customHeight="1">
      <c r="A58" s="5" t="s">
        <v>82</v>
      </c>
      <c r="B58" s="20"/>
      <c r="C58" s="20"/>
      <c r="D58" s="20"/>
      <c r="E58" s="18"/>
      <c r="F58" s="20"/>
      <c r="G58" s="20"/>
      <c r="H58" s="18"/>
      <c r="I58" s="18"/>
      <c r="J58" s="18"/>
      <c r="K58" s="18"/>
      <c r="L58" s="18"/>
      <c r="M58" s="21"/>
      <c r="N58" s="18"/>
      <c r="O58" s="18"/>
      <c r="P58" s="18"/>
      <c r="Q58" s="18"/>
      <c r="R58" s="18"/>
      <c r="S58" s="18"/>
      <c r="T58" s="18"/>
    </row>
    <row r="59" ht="15.75" customHeight="1">
      <c r="A59" s="19" t="s">
        <v>83</v>
      </c>
      <c r="B59" s="20">
        <v>0.488</v>
      </c>
      <c r="C59" s="20"/>
      <c r="D59" s="20"/>
      <c r="E59" s="18"/>
      <c r="F59" s="20"/>
      <c r="G59" s="20"/>
      <c r="H59" s="18">
        <v>-0.225</v>
      </c>
      <c r="I59" s="18"/>
      <c r="J59" s="18"/>
      <c r="K59" s="18" t="s">
        <v>25</v>
      </c>
      <c r="L59" s="18"/>
      <c r="M59" s="44"/>
      <c r="N59" s="18">
        <v>8.4</v>
      </c>
      <c r="O59" s="18"/>
      <c r="P59" s="18"/>
      <c r="Q59" s="18" t="s">
        <v>25</v>
      </c>
      <c r="R59" s="18"/>
      <c r="S59" s="28">
        <v>8.5</v>
      </c>
      <c r="T59" s="18"/>
      <c r="AA59" s="18" t="s">
        <v>25</v>
      </c>
    </row>
    <row r="60" ht="15.75" customHeight="1">
      <c r="A60" s="5" t="s">
        <v>84</v>
      </c>
      <c r="B60" s="20">
        <v>0.7414</v>
      </c>
      <c r="C60" s="20"/>
      <c r="D60" s="20"/>
      <c r="E60" s="18"/>
      <c r="F60" s="20"/>
      <c r="G60" s="20"/>
      <c r="H60" s="18">
        <v>2.54</v>
      </c>
      <c r="I60" s="18"/>
      <c r="J60" s="18"/>
      <c r="K60" s="18" t="s">
        <v>17</v>
      </c>
      <c r="L60" s="18"/>
      <c r="M60" s="18"/>
      <c r="N60" s="18">
        <v>22.1</v>
      </c>
      <c r="O60" s="18"/>
      <c r="P60" s="18"/>
      <c r="Q60" s="18" t="s">
        <v>18</v>
      </c>
      <c r="R60" s="18" t="s">
        <v>17</v>
      </c>
      <c r="S60" s="47">
        <v>24.3</v>
      </c>
      <c r="T60" s="15">
        <v>14.6</v>
      </c>
      <c r="W60" s="39" t="s">
        <v>16</v>
      </c>
      <c r="X60" s="14">
        <v>13.2</v>
      </c>
      <c r="Y60" s="39" t="s">
        <v>16</v>
      </c>
      <c r="Z60" s="14">
        <v>11.5</v>
      </c>
      <c r="AA60" s="18" t="s">
        <v>17</v>
      </c>
    </row>
    <row r="61" ht="15.75" customHeight="1">
      <c r="A61" s="5" t="s">
        <v>85</v>
      </c>
      <c r="B61" s="20"/>
      <c r="C61" s="20"/>
      <c r="D61" s="20">
        <v>0.4299</v>
      </c>
      <c r="E61" s="18"/>
      <c r="F61" s="20"/>
      <c r="G61" s="20">
        <v>0.6123</v>
      </c>
      <c r="H61" s="18"/>
      <c r="I61" s="18"/>
      <c r="J61" s="11">
        <v>-0.07988505747126437</v>
      </c>
      <c r="K61" s="18"/>
      <c r="L61" s="18"/>
      <c r="M61" s="18" t="s">
        <v>23</v>
      </c>
      <c r="N61" s="18"/>
      <c r="O61" s="18"/>
      <c r="P61" s="25">
        <v>10.1</v>
      </c>
      <c r="Q61" s="29" t="s">
        <v>23</v>
      </c>
      <c r="R61" s="18" t="s">
        <v>25</v>
      </c>
      <c r="S61" s="25">
        <v>9.4</v>
      </c>
      <c r="T61" s="28">
        <v>4.3</v>
      </c>
      <c r="U61" s="30" t="s">
        <v>23</v>
      </c>
      <c r="V61" s="14">
        <v>8.2</v>
      </c>
      <c r="Y61" s="30" t="s">
        <v>23</v>
      </c>
      <c r="Z61" s="14">
        <v>7.3</v>
      </c>
      <c r="AA61" s="18" t="s">
        <v>23</v>
      </c>
    </row>
    <row r="62" ht="15.75" customHeight="1">
      <c r="A62" s="5" t="s">
        <v>86</v>
      </c>
      <c r="B62" s="20"/>
      <c r="C62" s="20"/>
      <c r="D62" s="20"/>
      <c r="E62" s="18"/>
      <c r="F62" s="20"/>
      <c r="G62" s="2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ht="15.75" customHeight="1">
      <c r="A63" s="5" t="s">
        <v>87</v>
      </c>
      <c r="B63" s="20"/>
      <c r="C63" s="20"/>
      <c r="D63" s="20"/>
      <c r="E63" s="18"/>
      <c r="F63" s="20"/>
      <c r="G63" s="2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ht="15.75" customHeight="1">
      <c r="A64" s="5" t="s">
        <v>88</v>
      </c>
      <c r="B64" s="20"/>
      <c r="C64" s="20"/>
      <c r="D64" s="7"/>
      <c r="E64" s="18"/>
      <c r="F64" s="20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 t="s">
        <v>28</v>
      </c>
      <c r="R64" s="18" t="s">
        <v>23</v>
      </c>
      <c r="S64" s="38">
        <v>15.6</v>
      </c>
      <c r="T64" s="25">
        <v>7.3</v>
      </c>
      <c r="U64" s="39" t="s">
        <v>16</v>
      </c>
      <c r="V64" s="14">
        <v>13.1</v>
      </c>
      <c r="Y64" s="39" t="s">
        <v>16</v>
      </c>
      <c r="Z64" s="14">
        <v>11.3</v>
      </c>
      <c r="AA64" s="18" t="s">
        <v>28</v>
      </c>
    </row>
    <row r="65" ht="15.75" customHeight="1">
      <c r="A65" s="34" t="s">
        <v>89</v>
      </c>
      <c r="B65" s="6"/>
      <c r="C65" s="6"/>
      <c r="D65" s="20"/>
      <c r="E65" s="8"/>
      <c r="F65" s="8"/>
      <c r="G65" s="20"/>
      <c r="H65" s="10"/>
      <c r="I65" s="10"/>
      <c r="J65" s="11"/>
      <c r="K65" s="37"/>
      <c r="L65" s="37"/>
      <c r="M65" s="44"/>
      <c r="N65" s="37"/>
      <c r="O65" s="37"/>
      <c r="P65" s="44"/>
      <c r="Q65" s="50"/>
      <c r="R65" s="44"/>
      <c r="S65" s="44"/>
      <c r="T65" s="44"/>
      <c r="U65" s="37"/>
      <c r="V65" s="37"/>
      <c r="W65" s="51"/>
      <c r="X65" s="51"/>
      <c r="Y65" s="37"/>
      <c r="Z65" s="37"/>
      <c r="AA65" s="44"/>
    </row>
    <row r="66" ht="15.75" customHeight="1">
      <c r="A66" s="22" t="s">
        <v>90</v>
      </c>
      <c r="B66" s="20"/>
      <c r="C66" s="20"/>
      <c r="D66" s="7"/>
      <c r="E66" s="18"/>
      <c r="F66" s="20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ht="15.75" customHeight="1">
      <c r="A67" s="33" t="s">
        <v>91</v>
      </c>
      <c r="B67" s="20"/>
      <c r="C67" s="20"/>
      <c r="D67" s="20"/>
      <c r="E67" s="18"/>
      <c r="F67" s="20"/>
      <c r="G67" s="20"/>
      <c r="H67" s="18"/>
      <c r="I67" s="18"/>
      <c r="J67" s="18"/>
      <c r="K67" s="18"/>
      <c r="L67" s="18"/>
      <c r="M67" s="18"/>
      <c r="N67" s="18"/>
      <c r="O67" s="18"/>
      <c r="P67" s="18"/>
      <c r="Q67" s="26"/>
      <c r="R67" s="18"/>
      <c r="S67" s="18"/>
      <c r="T67" s="18"/>
      <c r="AA67" s="18"/>
    </row>
    <row r="68" ht="15.75" customHeight="1">
      <c r="A68" s="5" t="s">
        <v>92</v>
      </c>
      <c r="B68" s="20"/>
      <c r="C68" s="20"/>
      <c r="D68" s="7"/>
      <c r="E68" s="18"/>
      <c r="F68" s="20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5.75" customHeight="1">
      <c r="A69" s="5" t="s">
        <v>93</v>
      </c>
      <c r="B69" s="20"/>
      <c r="C69" s="20"/>
      <c r="D69" s="7"/>
      <c r="E69" s="18"/>
      <c r="F69" s="20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 t="s">
        <v>16</v>
      </c>
      <c r="S69" s="18"/>
      <c r="T69" s="32">
        <v>11.1</v>
      </c>
      <c r="AA69" s="18" t="s">
        <v>77</v>
      </c>
    </row>
    <row r="70" ht="15.75" customHeight="1">
      <c r="A70" s="5" t="s">
        <v>94</v>
      </c>
      <c r="B70" s="20"/>
      <c r="C70" s="20"/>
      <c r="D70" s="7"/>
      <c r="E70" s="18"/>
      <c r="F70" s="20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 t="s">
        <v>25</v>
      </c>
      <c r="S70" s="18"/>
      <c r="T70" s="28">
        <v>5.1</v>
      </c>
      <c r="AA70" s="18" t="s">
        <v>25</v>
      </c>
    </row>
    <row r="71" ht="15.75" customHeight="1">
      <c r="A71" s="5" t="s">
        <v>95</v>
      </c>
      <c r="B71" s="20">
        <v>0.5963</v>
      </c>
      <c r="C71" s="20"/>
      <c r="D71" s="7"/>
      <c r="E71" s="18"/>
      <c r="F71" s="20"/>
      <c r="G71" s="20"/>
      <c r="H71" s="18">
        <v>-0.328</v>
      </c>
      <c r="I71" s="18"/>
      <c r="J71" s="18"/>
      <c r="K71" s="18" t="s">
        <v>28</v>
      </c>
      <c r="L71" s="18"/>
      <c r="M71" s="18"/>
      <c r="N71" s="18">
        <v>15.4</v>
      </c>
      <c r="O71" s="18"/>
      <c r="P71" s="18"/>
      <c r="Q71" s="18"/>
      <c r="R71" s="18" t="s">
        <v>16</v>
      </c>
      <c r="S71" s="18"/>
      <c r="T71" s="32">
        <v>12.4</v>
      </c>
      <c r="AA71" s="18" t="s">
        <v>77</v>
      </c>
    </row>
    <row r="72" ht="15.75" customHeight="1">
      <c r="A72" s="33" t="s">
        <v>96</v>
      </c>
      <c r="B72" s="20"/>
      <c r="C72" s="20"/>
      <c r="D72" s="20"/>
      <c r="E72" s="18"/>
      <c r="F72" s="20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26"/>
      <c r="R72" s="18"/>
      <c r="S72" s="18"/>
      <c r="T72" s="18"/>
      <c r="AA72" s="18"/>
    </row>
    <row r="73" ht="15.75" customHeight="1">
      <c r="A73" s="5" t="s">
        <v>97</v>
      </c>
      <c r="B73" s="20"/>
      <c r="C73" s="20"/>
      <c r="D73" s="7"/>
      <c r="E73" s="18"/>
      <c r="F73" s="20"/>
      <c r="G73" s="2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5.75" customHeight="1">
      <c r="A74" s="19" t="s">
        <v>98</v>
      </c>
      <c r="B74" s="20"/>
      <c r="C74" s="20"/>
      <c r="D74" s="7"/>
      <c r="E74" s="18"/>
      <c r="F74" s="20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 t="s">
        <v>28</v>
      </c>
      <c r="R74" s="18"/>
      <c r="S74" s="38">
        <v>14.0</v>
      </c>
      <c r="T74" s="18"/>
      <c r="W74" s="39" t="s">
        <v>16</v>
      </c>
      <c r="X74" s="14">
        <v>12.0</v>
      </c>
      <c r="Y74" s="31" t="s">
        <v>28</v>
      </c>
      <c r="Z74" s="14">
        <v>10.5</v>
      </c>
      <c r="AA74" s="18" t="s">
        <v>28</v>
      </c>
    </row>
    <row r="75" ht="15.75" customHeight="1">
      <c r="A75" s="5" t="s">
        <v>99</v>
      </c>
      <c r="B75" s="20">
        <v>0.4597</v>
      </c>
      <c r="C75" s="20"/>
      <c r="D75" s="7"/>
      <c r="E75" s="18"/>
      <c r="F75" s="20"/>
      <c r="G75" s="20"/>
      <c r="H75" s="18">
        <v>0.086</v>
      </c>
      <c r="I75" s="18"/>
      <c r="J75" s="18"/>
      <c r="K75" s="18" t="s">
        <v>25</v>
      </c>
      <c r="L75" s="18"/>
      <c r="M75" s="18"/>
      <c r="N75" s="18">
        <v>9.2</v>
      </c>
      <c r="O75" s="18"/>
      <c r="P75" s="18"/>
      <c r="Q75" s="45" t="s">
        <v>23</v>
      </c>
      <c r="R75" s="18" t="s">
        <v>28</v>
      </c>
      <c r="S75" s="25">
        <v>12.6</v>
      </c>
      <c r="T75" s="38">
        <v>8.1</v>
      </c>
      <c r="U75" s="31" t="s">
        <v>28</v>
      </c>
      <c r="V75" s="14">
        <v>9.4</v>
      </c>
      <c r="Y75" s="30" t="s">
        <v>23</v>
      </c>
      <c r="Z75" s="14">
        <v>7.6</v>
      </c>
      <c r="AA75" s="18" t="s">
        <v>77</v>
      </c>
    </row>
    <row r="76" ht="15.75" customHeight="1">
      <c r="A76" s="52" t="s">
        <v>100</v>
      </c>
      <c r="B76" s="6">
        <v>0.5662</v>
      </c>
      <c r="C76" s="6">
        <v>0.5581</v>
      </c>
      <c r="D76" s="7">
        <v>0.3961</v>
      </c>
      <c r="E76" s="8"/>
      <c r="F76" s="8">
        <v>0.6464</v>
      </c>
      <c r="G76" s="20">
        <v>0.6009</v>
      </c>
      <c r="H76" s="10">
        <v>0.049</v>
      </c>
      <c r="I76" s="10">
        <v>0.379</v>
      </c>
      <c r="J76" s="11">
        <v>-0.22601626016260162</v>
      </c>
      <c r="K76" s="31" t="s">
        <v>23</v>
      </c>
      <c r="L76" s="31" t="s">
        <v>28</v>
      </c>
      <c r="M76" s="18" t="s">
        <v>23</v>
      </c>
      <c r="N76" s="14">
        <v>9.7</v>
      </c>
      <c r="O76" s="14">
        <v>15.7</v>
      </c>
      <c r="P76" s="25">
        <v>10.9</v>
      </c>
      <c r="Q76" s="26"/>
      <c r="R76" s="18"/>
      <c r="S76" s="18"/>
      <c r="T76" s="18"/>
      <c r="U76" s="31" t="s">
        <v>28</v>
      </c>
      <c r="V76" s="14">
        <v>10.5</v>
      </c>
      <c r="Y76" s="31" t="s">
        <v>28</v>
      </c>
      <c r="Z76" s="14">
        <v>9.7</v>
      </c>
      <c r="AA76" s="18" t="s">
        <v>77</v>
      </c>
    </row>
    <row r="77" ht="15.75" customHeight="1">
      <c r="A77" s="53" t="s">
        <v>101</v>
      </c>
      <c r="B77" s="4"/>
      <c r="C77" s="4"/>
      <c r="D77" s="4"/>
      <c r="E77" s="1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40" t="s">
        <v>25</v>
      </c>
      <c r="V77" s="14">
        <v>5.1</v>
      </c>
      <c r="W77" s="1"/>
      <c r="X77" s="1"/>
      <c r="Y77" s="40" t="s">
        <v>25</v>
      </c>
      <c r="Z77" s="14">
        <v>4.8</v>
      </c>
      <c r="AA77" s="1" t="s">
        <v>25</v>
      </c>
    </row>
    <row r="78" ht="15.75" customHeight="1">
      <c r="A78" s="5" t="s">
        <v>102</v>
      </c>
      <c r="B78" s="6">
        <v>0.5501</v>
      </c>
      <c r="C78" s="6">
        <v>0.459</v>
      </c>
      <c r="D78" s="7">
        <v>0.5096</v>
      </c>
      <c r="E78" s="8"/>
      <c r="F78" s="8">
        <v>0.6106</v>
      </c>
      <c r="G78" s="20">
        <v>0.6394</v>
      </c>
      <c r="H78" s="10">
        <v>0.8</v>
      </c>
      <c r="I78" s="10">
        <v>0.228</v>
      </c>
      <c r="J78" s="11">
        <v>1.1809646082081569</v>
      </c>
      <c r="K78" s="30" t="s">
        <v>23</v>
      </c>
      <c r="L78" s="30" t="s">
        <v>23</v>
      </c>
      <c r="M78" s="18" t="s">
        <v>28</v>
      </c>
      <c r="N78" s="14">
        <v>11.5</v>
      </c>
      <c r="O78" s="14">
        <v>11.3</v>
      </c>
      <c r="P78" s="38">
        <v>15.7</v>
      </c>
      <c r="Q78" s="26"/>
      <c r="R78" s="18"/>
      <c r="S78" s="18"/>
      <c r="T78" s="18"/>
      <c r="W78" s="40" t="s">
        <v>25</v>
      </c>
      <c r="X78" s="14">
        <v>4.5</v>
      </c>
      <c r="Y78" s="54" t="s">
        <v>66</v>
      </c>
      <c r="Z78" s="14">
        <v>3.7</v>
      </c>
      <c r="AA78" s="18" t="s">
        <v>28</v>
      </c>
    </row>
    <row r="79" ht="15.75" customHeight="1">
      <c r="A79" s="19" t="s">
        <v>103</v>
      </c>
      <c r="B79" s="20"/>
      <c r="C79" s="20"/>
      <c r="D79" s="7"/>
      <c r="E79" s="18"/>
      <c r="F79" s="20"/>
      <c r="G79" s="2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AA79" s="18"/>
    </row>
    <row r="80" ht="15.75" customHeight="1">
      <c r="A80" s="5" t="s">
        <v>104</v>
      </c>
      <c r="B80" s="6">
        <v>0.7168</v>
      </c>
      <c r="C80" s="6">
        <v>0.5735</v>
      </c>
      <c r="D80" s="7">
        <v>0.5143</v>
      </c>
      <c r="E80" s="8"/>
      <c r="F80" s="8">
        <v>0.6519</v>
      </c>
      <c r="G80" s="20">
        <v>0.6411</v>
      </c>
      <c r="H80" s="10">
        <v>0.387</v>
      </c>
      <c r="I80" s="10">
        <v>0.222</v>
      </c>
      <c r="J80" s="11">
        <v>-0.40558766859344897</v>
      </c>
      <c r="K80" s="30" t="s">
        <v>28</v>
      </c>
      <c r="L80" s="30" t="s">
        <v>23</v>
      </c>
      <c r="M80" s="18" t="s">
        <v>23</v>
      </c>
      <c r="N80" s="14">
        <v>15.3</v>
      </c>
      <c r="O80" s="14">
        <v>10.9</v>
      </c>
      <c r="P80" s="25">
        <v>10.1</v>
      </c>
      <c r="Q80" s="29" t="s">
        <v>23</v>
      </c>
      <c r="R80" s="18" t="s">
        <v>23</v>
      </c>
      <c r="S80" s="25">
        <v>12.3</v>
      </c>
      <c r="T80" s="25">
        <v>6.5</v>
      </c>
      <c r="U80" s="30" t="s">
        <v>23</v>
      </c>
      <c r="V80" s="14">
        <v>8.1</v>
      </c>
      <c r="W80" s="30" t="s">
        <v>23</v>
      </c>
      <c r="X80" s="14">
        <v>7.2</v>
      </c>
      <c r="Y80" s="30" t="s">
        <v>23</v>
      </c>
      <c r="Z80" s="14">
        <v>7.9</v>
      </c>
      <c r="AA80" s="18" t="s">
        <v>23</v>
      </c>
    </row>
    <row r="81" ht="15.75" customHeight="1">
      <c r="A81" s="19" t="s">
        <v>105</v>
      </c>
      <c r="B81" s="20"/>
      <c r="C81" s="20"/>
      <c r="D81" s="7"/>
      <c r="E81" s="18"/>
      <c r="F81" s="20"/>
      <c r="G81" s="2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AA81" s="18"/>
    </row>
    <row r="82" ht="15.75" customHeight="1">
      <c r="A82" s="23" t="s">
        <v>106</v>
      </c>
      <c r="B82" s="6">
        <v>0.5401</v>
      </c>
      <c r="C82" s="6">
        <v>0.4792</v>
      </c>
      <c r="D82" s="7">
        <v>0.4183</v>
      </c>
      <c r="E82" s="8"/>
      <c r="F82" s="8">
        <v>0.6179</v>
      </c>
      <c r="G82" s="20">
        <v>0.6084</v>
      </c>
      <c r="H82" s="10"/>
      <c r="I82" s="10">
        <v>0.282</v>
      </c>
      <c r="J82" s="11">
        <v>-0.246642701245346</v>
      </c>
      <c r="K82" s="30" t="s">
        <v>28</v>
      </c>
      <c r="L82" s="30" t="s">
        <v>23</v>
      </c>
      <c r="M82" s="21" t="s">
        <v>25</v>
      </c>
      <c r="N82" s="14">
        <v>13.3</v>
      </c>
      <c r="O82" s="14">
        <v>12.6</v>
      </c>
      <c r="P82" s="28">
        <v>9.2</v>
      </c>
      <c r="Q82" s="26"/>
      <c r="R82" s="18"/>
      <c r="S82" s="18"/>
      <c r="T82" s="18"/>
      <c r="AA82" s="18" t="s">
        <v>25</v>
      </c>
    </row>
    <row r="83" ht="15.75" customHeight="1">
      <c r="A83" s="19" t="s">
        <v>107</v>
      </c>
      <c r="B83" s="20"/>
      <c r="C83" s="20"/>
      <c r="D83" s="7"/>
      <c r="E83" s="18"/>
      <c r="F83" s="20"/>
      <c r="G83" s="20"/>
      <c r="H83" s="18"/>
      <c r="I83" s="18"/>
      <c r="J83" s="18"/>
      <c r="K83" s="18"/>
      <c r="L83" s="18"/>
      <c r="M83" s="18"/>
      <c r="N83" s="18"/>
      <c r="O83" s="18"/>
      <c r="P83" s="18"/>
      <c r="Q83" s="18" t="s">
        <v>16</v>
      </c>
      <c r="R83" s="18"/>
      <c r="S83" s="32">
        <v>18.6</v>
      </c>
      <c r="T83" s="18"/>
      <c r="W83" s="31" t="s">
        <v>28</v>
      </c>
      <c r="X83" s="14">
        <v>9.6</v>
      </c>
      <c r="Y83" s="30" t="s">
        <v>23</v>
      </c>
      <c r="Z83" s="14">
        <v>8.0</v>
      </c>
      <c r="AA83" s="18" t="s">
        <v>35</v>
      </c>
    </row>
    <row r="84" ht="15.75" customHeight="1">
      <c r="A84" s="52" t="s">
        <v>108</v>
      </c>
      <c r="B84" s="6">
        <v>0.5615</v>
      </c>
      <c r="C84" s="6">
        <v>0.498</v>
      </c>
      <c r="D84" s="7"/>
      <c r="E84" s="8"/>
      <c r="F84" s="8">
        <v>0.6247</v>
      </c>
      <c r="G84" s="20"/>
      <c r="H84" s="10">
        <v>-0.261</v>
      </c>
      <c r="I84" s="10">
        <v>-0.19</v>
      </c>
      <c r="J84" s="18"/>
      <c r="K84" s="30" t="s">
        <v>23</v>
      </c>
      <c r="L84" s="30" t="s">
        <v>23</v>
      </c>
      <c r="M84" s="21"/>
      <c r="N84" s="14">
        <v>10.7</v>
      </c>
      <c r="O84" s="14">
        <v>9.7</v>
      </c>
      <c r="P84" s="18"/>
      <c r="Q84" s="18" t="s">
        <v>16</v>
      </c>
      <c r="R84" s="18"/>
      <c r="S84" s="32">
        <v>18.5</v>
      </c>
      <c r="T84" s="18"/>
      <c r="U84" s="40" t="s">
        <v>25</v>
      </c>
      <c r="V84" s="14">
        <v>6.0</v>
      </c>
      <c r="Y84" s="40" t="s">
        <v>25</v>
      </c>
      <c r="Z84" s="14">
        <v>4.5</v>
      </c>
      <c r="AA84" s="18" t="s">
        <v>23</v>
      </c>
    </row>
    <row r="85" ht="15.75" customHeight="1">
      <c r="A85" s="52" t="s">
        <v>109</v>
      </c>
      <c r="B85" s="6">
        <v>0.6315</v>
      </c>
      <c r="C85" s="6">
        <v>0.4763</v>
      </c>
      <c r="D85" s="7">
        <v>0.4837</v>
      </c>
      <c r="E85" s="8"/>
      <c r="F85" s="8">
        <v>0.6169</v>
      </c>
      <c r="G85" s="20">
        <v>0.6306</v>
      </c>
      <c r="H85" s="10">
        <v>1.003</v>
      </c>
      <c r="I85" s="10">
        <v>0.411</v>
      </c>
      <c r="J85" s="11">
        <v>0.0</v>
      </c>
      <c r="K85" s="31" t="s">
        <v>28</v>
      </c>
      <c r="L85" s="31" t="s">
        <v>28</v>
      </c>
      <c r="M85" s="21" t="s">
        <v>23</v>
      </c>
      <c r="N85" s="14">
        <v>14.5</v>
      </c>
      <c r="O85" s="14">
        <v>14.6</v>
      </c>
      <c r="P85" s="25">
        <v>9.3</v>
      </c>
      <c r="Q85" s="29" t="s">
        <v>23</v>
      </c>
      <c r="R85" s="18"/>
      <c r="S85" s="25">
        <v>10.4</v>
      </c>
      <c r="T85" s="18"/>
      <c r="U85" s="30" t="s">
        <v>23</v>
      </c>
      <c r="V85" s="14">
        <v>8.3</v>
      </c>
      <c r="Y85" s="30" t="s">
        <v>23</v>
      </c>
      <c r="Z85" s="14">
        <v>6.6</v>
      </c>
      <c r="AA85" s="18" t="s">
        <v>77</v>
      </c>
    </row>
    <row r="86" ht="15.75" customHeight="1">
      <c r="A86" s="19" t="s">
        <v>110</v>
      </c>
      <c r="B86" s="20"/>
      <c r="C86" s="20"/>
      <c r="D86" s="7"/>
      <c r="E86" s="18"/>
      <c r="F86" s="20"/>
      <c r="G86" s="20"/>
      <c r="H86" s="18"/>
      <c r="I86" s="18"/>
      <c r="J86" s="18"/>
      <c r="K86" s="18"/>
      <c r="L86" s="18"/>
      <c r="M86" s="21"/>
      <c r="N86" s="18"/>
      <c r="O86" s="18"/>
      <c r="P86" s="18"/>
      <c r="Q86" s="18"/>
      <c r="R86" s="18"/>
      <c r="S86" s="18"/>
      <c r="T86" s="18"/>
    </row>
    <row r="87" ht="15.75" customHeight="1">
      <c r="A87" s="34" t="s">
        <v>111</v>
      </c>
      <c r="B87" s="20">
        <v>0.5996</v>
      </c>
      <c r="C87" s="20"/>
      <c r="D87" s="7">
        <v>0.3933</v>
      </c>
      <c r="E87" s="18"/>
      <c r="F87" s="20"/>
      <c r="G87" s="20">
        <v>0.5999</v>
      </c>
      <c r="H87" s="18">
        <v>0.795</v>
      </c>
      <c r="I87" s="18"/>
      <c r="J87" s="11">
        <v>-0.37856430707876376</v>
      </c>
      <c r="K87" s="18" t="s">
        <v>28</v>
      </c>
      <c r="L87" s="18"/>
      <c r="M87" s="21" t="s">
        <v>28</v>
      </c>
      <c r="N87" s="18">
        <v>14.9</v>
      </c>
      <c r="O87" s="18"/>
      <c r="P87" s="38">
        <v>14.7</v>
      </c>
      <c r="Q87" s="26"/>
      <c r="R87" s="18" t="s">
        <v>66</v>
      </c>
      <c r="S87" s="18"/>
      <c r="T87" s="48">
        <v>3.3</v>
      </c>
      <c r="U87" s="30" t="s">
        <v>23</v>
      </c>
      <c r="V87" s="14">
        <v>6.7</v>
      </c>
      <c r="Y87" s="40" t="s">
        <v>25</v>
      </c>
      <c r="Z87" s="14">
        <v>5.6</v>
      </c>
      <c r="AA87" s="18" t="s">
        <v>77</v>
      </c>
    </row>
    <row r="88" ht="15.75" customHeight="1">
      <c r="A88" s="5" t="s">
        <v>112</v>
      </c>
      <c r="B88" s="20">
        <v>0.4695</v>
      </c>
      <c r="C88" s="20"/>
      <c r="D88" s="7"/>
      <c r="E88" s="18"/>
      <c r="F88" s="20"/>
      <c r="G88" s="20"/>
      <c r="H88" s="18">
        <v>-0.428</v>
      </c>
      <c r="I88" s="18"/>
      <c r="J88" s="18"/>
      <c r="K88" s="18" t="s">
        <v>25</v>
      </c>
      <c r="L88" s="18"/>
      <c r="M88" s="21"/>
      <c r="N88" s="18">
        <v>7.6</v>
      </c>
      <c r="O88" s="18"/>
      <c r="P88" s="18"/>
      <c r="Q88" s="18"/>
      <c r="R88" s="18"/>
      <c r="S88" s="18"/>
      <c r="T88" s="18"/>
    </row>
    <row r="89" ht="15.75" customHeight="1">
      <c r="A89" s="34" t="s">
        <v>113</v>
      </c>
      <c r="B89" s="6">
        <v>0.409</v>
      </c>
      <c r="C89" s="6">
        <v>0.7214</v>
      </c>
      <c r="D89" s="7">
        <v>0.4564</v>
      </c>
      <c r="E89" s="8"/>
      <c r="F89" s="8">
        <v>0.7052</v>
      </c>
      <c r="G89" s="20">
        <v>0.6214</v>
      </c>
      <c r="H89" s="10">
        <v>-0.814</v>
      </c>
      <c r="I89" s="10">
        <v>0.137</v>
      </c>
      <c r="J89" s="11">
        <v>-0.24927404718693283</v>
      </c>
      <c r="K89" s="30" t="s">
        <v>25</v>
      </c>
      <c r="L89" s="30" t="s">
        <v>23</v>
      </c>
      <c r="M89" s="21" t="s">
        <v>23</v>
      </c>
      <c r="N89" s="14">
        <v>6.7</v>
      </c>
      <c r="O89" s="14">
        <v>11.3</v>
      </c>
      <c r="P89" s="25">
        <v>12.1</v>
      </c>
      <c r="Q89" s="26" t="s">
        <v>66</v>
      </c>
      <c r="R89" s="18" t="s">
        <v>23</v>
      </c>
      <c r="S89" s="48">
        <v>4.1</v>
      </c>
      <c r="T89" s="25">
        <v>6.0</v>
      </c>
      <c r="U89" s="30" t="s">
        <v>23</v>
      </c>
      <c r="V89" s="14">
        <v>6.4</v>
      </c>
      <c r="Y89" s="40" t="s">
        <v>25</v>
      </c>
      <c r="Z89" s="14">
        <v>5.3</v>
      </c>
      <c r="AA89" s="18" t="s">
        <v>23</v>
      </c>
    </row>
    <row r="90" ht="15.75" customHeight="1">
      <c r="A90" s="34" t="s">
        <v>114</v>
      </c>
      <c r="B90" s="6">
        <v>0.8109</v>
      </c>
      <c r="C90" s="6">
        <v>0.4853</v>
      </c>
      <c r="D90" s="7">
        <v>0.4564</v>
      </c>
      <c r="E90" s="8"/>
      <c r="F90" s="8">
        <v>0.6201</v>
      </c>
      <c r="G90" s="20">
        <v>0.6703</v>
      </c>
      <c r="H90" s="10">
        <v>1.473</v>
      </c>
      <c r="I90" s="10">
        <v>0.516</v>
      </c>
      <c r="J90" s="11">
        <v>0.983067782878747</v>
      </c>
      <c r="K90" s="30" t="s">
        <v>28</v>
      </c>
      <c r="L90" s="30" t="s">
        <v>23</v>
      </c>
      <c r="M90" s="21" t="s">
        <v>28</v>
      </c>
      <c r="N90" s="14">
        <v>16.3</v>
      </c>
      <c r="O90" s="14">
        <v>9.8</v>
      </c>
      <c r="P90" s="38">
        <v>13.6</v>
      </c>
      <c r="Q90" s="29" t="s">
        <v>23</v>
      </c>
      <c r="R90" s="18" t="s">
        <v>28</v>
      </c>
      <c r="S90" s="25">
        <v>11.2</v>
      </c>
      <c r="T90" s="38">
        <v>8.3</v>
      </c>
      <c r="U90" s="39" t="s">
        <v>16</v>
      </c>
      <c r="V90" s="14">
        <v>13.6</v>
      </c>
      <c r="Y90" s="39" t="s">
        <v>16</v>
      </c>
      <c r="Z90" s="14">
        <v>11.9</v>
      </c>
      <c r="AA90" s="18" t="s">
        <v>28</v>
      </c>
    </row>
    <row r="91" ht="15.75" customHeight="1">
      <c r="A91" s="34" t="s">
        <v>115</v>
      </c>
      <c r="B91" s="6">
        <v>0.6554</v>
      </c>
      <c r="C91" s="6">
        <v>0.6619</v>
      </c>
      <c r="D91" s="20">
        <v>0.6153</v>
      </c>
      <c r="E91" s="8"/>
      <c r="F91" s="8">
        <v>0.6838</v>
      </c>
      <c r="G91" s="20">
        <v>0.6754</v>
      </c>
      <c r="H91" s="10">
        <v>2.74</v>
      </c>
      <c r="I91" s="10">
        <v>1.317</v>
      </c>
      <c r="J91" s="11">
        <v>1.6503024803387778</v>
      </c>
      <c r="K91" s="39" t="s">
        <v>16</v>
      </c>
      <c r="L91" s="39" t="s">
        <v>16</v>
      </c>
      <c r="M91" s="21" t="s">
        <v>17</v>
      </c>
      <c r="N91" s="14">
        <v>17.6</v>
      </c>
      <c r="O91" s="14">
        <v>19.1</v>
      </c>
      <c r="P91" s="15">
        <v>21.0</v>
      </c>
      <c r="Q91" s="26" t="s">
        <v>16</v>
      </c>
      <c r="R91" s="18" t="s">
        <v>17</v>
      </c>
      <c r="S91" s="32">
        <v>19.9</v>
      </c>
      <c r="T91" s="15">
        <v>12.9</v>
      </c>
      <c r="U91" s="39" t="s">
        <v>16</v>
      </c>
      <c r="V91" s="14">
        <v>12.7</v>
      </c>
      <c r="W91" s="40" t="s">
        <v>25</v>
      </c>
      <c r="X91" s="14">
        <v>5.9</v>
      </c>
      <c r="Y91" s="31" t="s">
        <v>28</v>
      </c>
      <c r="Z91" s="14">
        <v>9.0</v>
      </c>
      <c r="AA91" s="18" t="s">
        <v>32</v>
      </c>
    </row>
    <row r="92" ht="15.75" customHeight="1">
      <c r="A92" s="19" t="s">
        <v>116</v>
      </c>
      <c r="B92" s="20"/>
      <c r="C92" s="20"/>
      <c r="D92" s="20"/>
      <c r="E92" s="18"/>
      <c r="F92" s="20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W92" s="30" t="s">
        <v>23</v>
      </c>
      <c r="X92" s="14">
        <v>7.3</v>
      </c>
      <c r="Y92" s="30" t="s">
        <v>23</v>
      </c>
      <c r="Z92" s="14">
        <v>6.3</v>
      </c>
      <c r="AA92" s="18" t="s">
        <v>23</v>
      </c>
    </row>
    <row r="93" ht="15.75" customHeight="1">
      <c r="A93" s="5" t="s">
        <v>117</v>
      </c>
      <c r="B93" s="20"/>
      <c r="C93" s="20"/>
      <c r="D93" s="20"/>
      <c r="E93" s="18"/>
      <c r="F93" s="20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 t="s">
        <v>28</v>
      </c>
      <c r="S93" s="18"/>
      <c r="T93" s="38">
        <v>8.8</v>
      </c>
      <c r="U93" s="31" t="s">
        <v>28</v>
      </c>
      <c r="V93" s="14">
        <v>10.3</v>
      </c>
      <c r="Y93" s="31" t="s">
        <v>28</v>
      </c>
      <c r="Z93" s="14">
        <v>9.2</v>
      </c>
      <c r="AA93" s="18" t="s">
        <v>28</v>
      </c>
    </row>
    <row r="94" ht="15.75" customHeight="1">
      <c r="A94" s="5" t="s">
        <v>118</v>
      </c>
      <c r="B94" s="20"/>
      <c r="C94" s="20"/>
      <c r="D94" s="20"/>
      <c r="E94" s="18"/>
      <c r="F94" s="20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 t="s">
        <v>66</v>
      </c>
      <c r="R94" s="18"/>
      <c r="S94" s="48">
        <v>5.5</v>
      </c>
      <c r="T94" s="18"/>
      <c r="U94" s="31" t="s">
        <v>28</v>
      </c>
      <c r="V94" s="14">
        <v>9.6</v>
      </c>
      <c r="Y94" s="31" t="s">
        <v>28</v>
      </c>
      <c r="Z94" s="14">
        <v>8.8</v>
      </c>
      <c r="AA94" s="18" t="s">
        <v>23</v>
      </c>
    </row>
    <row r="95" ht="15.75" customHeight="1">
      <c r="A95" s="5" t="s">
        <v>119</v>
      </c>
      <c r="B95" s="20"/>
      <c r="C95" s="20"/>
      <c r="D95" s="20"/>
      <c r="E95" s="18"/>
      <c r="F95" s="20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AA95" s="18"/>
    </row>
    <row r="96" ht="15.75" customHeight="1">
      <c r="A96" s="19" t="s">
        <v>120</v>
      </c>
      <c r="B96" s="20"/>
      <c r="C96" s="20"/>
      <c r="D96" s="20"/>
      <c r="E96" s="18"/>
      <c r="F96" s="20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45" t="s">
        <v>23</v>
      </c>
      <c r="R96" s="18"/>
      <c r="S96" s="25">
        <v>10.0</v>
      </c>
      <c r="T96" s="18"/>
      <c r="AA96" s="18" t="s">
        <v>23</v>
      </c>
    </row>
    <row r="97" ht="15.75" customHeight="1">
      <c r="A97" s="5" t="s">
        <v>121</v>
      </c>
      <c r="B97" s="20"/>
      <c r="C97" s="20"/>
      <c r="D97" s="20">
        <v>0.432</v>
      </c>
      <c r="E97" s="18"/>
      <c r="F97" s="20"/>
      <c r="G97" s="20">
        <v>0.613</v>
      </c>
      <c r="H97" s="18"/>
      <c r="I97" s="18"/>
      <c r="J97" s="11">
        <v>1.5012942191544436</v>
      </c>
      <c r="K97" s="18"/>
      <c r="L97" s="18"/>
      <c r="M97" s="18" t="s">
        <v>16</v>
      </c>
      <c r="N97" s="18"/>
      <c r="O97" s="18"/>
      <c r="P97" s="32">
        <v>18.9</v>
      </c>
      <c r="Q97" s="26" t="s">
        <v>28</v>
      </c>
      <c r="R97" s="18" t="s">
        <v>16</v>
      </c>
      <c r="S97" s="38">
        <v>16.1</v>
      </c>
      <c r="T97" s="32">
        <v>12.6</v>
      </c>
      <c r="W97" s="30" t="s">
        <v>23</v>
      </c>
      <c r="X97" s="14">
        <v>6.9</v>
      </c>
      <c r="Y97" s="30" t="s">
        <v>23</v>
      </c>
      <c r="Z97" s="14">
        <v>6.4</v>
      </c>
      <c r="AA97" s="18" t="s">
        <v>35</v>
      </c>
    </row>
    <row r="98" ht="15.75" customHeight="1">
      <c r="A98" s="33" t="s">
        <v>122</v>
      </c>
      <c r="B98" s="20"/>
      <c r="C98" s="20"/>
      <c r="D98" s="20"/>
      <c r="E98" s="18"/>
      <c r="F98" s="20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26"/>
      <c r="R98" s="18"/>
      <c r="S98" s="18"/>
      <c r="T98" s="18"/>
      <c r="AA98" s="18"/>
    </row>
    <row r="99" ht="15.75" customHeight="1">
      <c r="A99" s="5" t="s">
        <v>123</v>
      </c>
      <c r="B99" s="20"/>
      <c r="C99" s="20"/>
      <c r="D99" s="20"/>
      <c r="E99" s="18"/>
      <c r="F99" s="20"/>
      <c r="G99" s="2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ht="15.75" customHeight="1">
      <c r="A100" s="5" t="s">
        <v>124</v>
      </c>
      <c r="B100" s="20"/>
      <c r="C100" s="20"/>
      <c r="D100" s="20"/>
      <c r="E100" s="18"/>
      <c r="F100" s="20"/>
      <c r="G100" s="2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W100" s="54" t="s">
        <v>66</v>
      </c>
      <c r="X100" s="14">
        <v>3.7</v>
      </c>
      <c r="Y100" s="54" t="s">
        <v>66</v>
      </c>
      <c r="Z100" s="14">
        <v>3.7</v>
      </c>
      <c r="AA100" s="18" t="s">
        <v>77</v>
      </c>
    </row>
    <row r="101" ht="15.75" customHeight="1">
      <c r="A101" s="19" t="s">
        <v>125</v>
      </c>
      <c r="B101" s="20"/>
      <c r="C101" s="20"/>
      <c r="D101" s="20"/>
      <c r="E101" s="18"/>
      <c r="F101" s="20"/>
      <c r="G101" s="20"/>
      <c r="H101" s="18"/>
      <c r="I101" s="18"/>
      <c r="J101" s="18"/>
      <c r="K101" s="18"/>
      <c r="L101" s="18"/>
      <c r="M101" s="18"/>
      <c r="N101" s="18"/>
      <c r="O101" s="18"/>
      <c r="P101" s="18"/>
      <c r="Q101" s="18" t="s">
        <v>25</v>
      </c>
      <c r="R101" s="18"/>
      <c r="S101" s="28">
        <v>9.0</v>
      </c>
      <c r="T101" s="18"/>
      <c r="AA101" s="18" t="s">
        <v>25</v>
      </c>
    </row>
    <row r="102" ht="15.75" customHeight="1">
      <c r="A102" s="5" t="s">
        <v>126</v>
      </c>
      <c r="B102" s="6">
        <v>0.5723</v>
      </c>
      <c r="C102" s="6">
        <v>0.4263</v>
      </c>
      <c r="D102" s="20">
        <v>0.469</v>
      </c>
      <c r="E102" s="8"/>
      <c r="F102" s="8">
        <v>0.5988</v>
      </c>
      <c r="G102" s="20">
        <v>0.6256</v>
      </c>
      <c r="H102" s="10">
        <v>0.104</v>
      </c>
      <c r="I102" s="10">
        <v>0.09</v>
      </c>
      <c r="J102" s="11">
        <v>0.3388330942132951</v>
      </c>
      <c r="K102" s="40" t="s">
        <v>23</v>
      </c>
      <c r="L102" s="40" t="s">
        <v>25</v>
      </c>
      <c r="M102" s="18" t="s">
        <v>23</v>
      </c>
      <c r="N102" s="14">
        <v>9.4</v>
      </c>
      <c r="O102" s="14">
        <v>8.8</v>
      </c>
      <c r="P102" s="25">
        <v>12.9</v>
      </c>
      <c r="Q102" s="26" t="s">
        <v>16</v>
      </c>
      <c r="R102" s="18" t="s">
        <v>25</v>
      </c>
      <c r="S102" s="32">
        <v>18.0</v>
      </c>
      <c r="T102" s="28">
        <v>4.3</v>
      </c>
      <c r="U102" s="40" t="s">
        <v>25</v>
      </c>
      <c r="V102" s="14">
        <v>4.7</v>
      </c>
      <c r="Y102" s="40" t="s">
        <v>25</v>
      </c>
      <c r="Z102" s="14">
        <v>3.8</v>
      </c>
      <c r="AA102" s="18" t="s">
        <v>23</v>
      </c>
    </row>
    <row r="103" ht="15.75" customHeight="1">
      <c r="A103" s="5" t="s">
        <v>127</v>
      </c>
      <c r="B103" s="20"/>
      <c r="C103" s="20"/>
      <c r="D103" s="20"/>
      <c r="E103" s="18"/>
      <c r="F103" s="20"/>
      <c r="G103" s="2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W103" s="39" t="s">
        <v>16</v>
      </c>
      <c r="X103" s="14">
        <v>12.2</v>
      </c>
      <c r="Y103" s="31" t="s">
        <v>28</v>
      </c>
      <c r="Z103" s="14">
        <v>11.2</v>
      </c>
      <c r="AA103" s="18" t="s">
        <v>35</v>
      </c>
    </row>
    <row r="104" ht="15.75" customHeight="1">
      <c r="A104" s="19" t="s">
        <v>128</v>
      </c>
      <c r="B104" s="20"/>
      <c r="C104" s="20"/>
      <c r="D104" s="20"/>
      <c r="E104" s="18"/>
      <c r="F104" s="20"/>
      <c r="G104" s="2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ht="15.75" customHeight="1">
      <c r="A105" s="34" t="s">
        <v>129</v>
      </c>
      <c r="B105" s="20"/>
      <c r="C105" s="20"/>
      <c r="D105" s="20"/>
      <c r="E105" s="18"/>
      <c r="F105" s="20"/>
      <c r="G105" s="20"/>
      <c r="H105" s="18"/>
      <c r="I105" s="18"/>
      <c r="J105" s="18"/>
      <c r="K105" s="18"/>
      <c r="L105" s="18"/>
      <c r="M105" s="18"/>
      <c r="N105" s="18"/>
      <c r="O105" s="18"/>
      <c r="P105" s="18"/>
      <c r="Q105" s="18" t="s">
        <v>16</v>
      </c>
      <c r="R105" s="18" t="s">
        <v>28</v>
      </c>
      <c r="S105" s="32">
        <v>20.2</v>
      </c>
      <c r="T105" s="38">
        <v>9.4</v>
      </c>
      <c r="W105" s="30" t="s">
        <v>23</v>
      </c>
      <c r="X105" s="14">
        <v>8.4</v>
      </c>
      <c r="Y105" s="30" t="s">
        <v>23</v>
      </c>
      <c r="Z105" s="14">
        <v>7.1</v>
      </c>
      <c r="AA105" s="18" t="s">
        <v>35</v>
      </c>
    </row>
    <row r="106" ht="15.75" customHeight="1">
      <c r="A106" s="19" t="s">
        <v>130</v>
      </c>
      <c r="B106" s="20"/>
      <c r="C106" s="20"/>
      <c r="D106" s="20"/>
      <c r="E106" s="18"/>
      <c r="F106" s="20"/>
      <c r="G106" s="2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AA106" s="18"/>
    </row>
    <row r="107" ht="15.75" customHeight="1">
      <c r="A107" s="5" t="s">
        <v>131</v>
      </c>
      <c r="B107" s="20"/>
      <c r="C107" s="20"/>
      <c r="D107" s="20">
        <v>0.5329</v>
      </c>
      <c r="E107" s="18"/>
      <c r="F107" s="20"/>
      <c r="G107" s="20">
        <v>0.6474</v>
      </c>
      <c r="H107" s="18"/>
      <c r="I107" s="18"/>
      <c r="J107" s="11">
        <v>0.3411777292763299</v>
      </c>
      <c r="K107" s="18"/>
      <c r="L107" s="18"/>
      <c r="M107" s="18" t="s">
        <v>28</v>
      </c>
      <c r="N107" s="18"/>
      <c r="O107" s="18"/>
      <c r="P107" s="38">
        <v>14.5</v>
      </c>
      <c r="Q107" s="26"/>
      <c r="R107" s="18"/>
      <c r="S107" s="18"/>
      <c r="T107" s="18"/>
      <c r="U107" s="31" t="s">
        <v>28</v>
      </c>
      <c r="V107" s="14">
        <v>9.5</v>
      </c>
      <c r="Y107" s="31" t="s">
        <v>28</v>
      </c>
      <c r="Z107" s="14">
        <v>8.9</v>
      </c>
      <c r="AA107" s="18" t="s">
        <v>28</v>
      </c>
    </row>
    <row r="108" ht="15.75" customHeight="1">
      <c r="A108" s="19" t="s">
        <v>132</v>
      </c>
      <c r="B108" s="6">
        <v>0.4786</v>
      </c>
      <c r="C108" s="6">
        <v>0.3954</v>
      </c>
      <c r="D108" s="20">
        <v>0.3</v>
      </c>
      <c r="E108" s="8"/>
      <c r="F108" s="8">
        <v>0.5877</v>
      </c>
      <c r="G108" s="20">
        <v>0.5682</v>
      </c>
      <c r="H108" s="10">
        <v>-1.163</v>
      </c>
      <c r="I108" s="10">
        <v>-2.48</v>
      </c>
      <c r="J108" s="11">
        <v>-2.150863213811421</v>
      </c>
      <c r="K108" s="30" t="s">
        <v>25</v>
      </c>
      <c r="L108" s="30" t="s">
        <v>23</v>
      </c>
      <c r="M108" s="18" t="s">
        <v>25</v>
      </c>
      <c r="N108" s="14">
        <v>7.1</v>
      </c>
      <c r="O108" s="14">
        <v>11.1</v>
      </c>
      <c r="P108" s="28">
        <v>8.0</v>
      </c>
      <c r="Q108" s="26" t="s">
        <v>25</v>
      </c>
      <c r="R108" s="18"/>
      <c r="S108" s="28">
        <v>8.8</v>
      </c>
      <c r="T108" s="18"/>
      <c r="AA108" s="18" t="s">
        <v>23</v>
      </c>
    </row>
    <row r="109" ht="15.75" customHeight="1">
      <c r="A109" s="19" t="s">
        <v>133</v>
      </c>
      <c r="B109" s="6">
        <v>0.8185</v>
      </c>
      <c r="C109" s="6">
        <v>0.6652</v>
      </c>
      <c r="D109" s="20">
        <v>0.3824</v>
      </c>
      <c r="E109" s="8"/>
      <c r="F109" s="8">
        <v>0.6849</v>
      </c>
      <c r="G109" s="20">
        <v>0.5962</v>
      </c>
      <c r="H109" s="10">
        <v>1.101</v>
      </c>
      <c r="I109" s="10">
        <v>1.35</v>
      </c>
      <c r="J109" s="11">
        <v>1.4424503882657462</v>
      </c>
      <c r="K109" s="12" t="s">
        <v>28</v>
      </c>
      <c r="L109" s="12" t="s">
        <v>17</v>
      </c>
      <c r="M109" s="18" t="s">
        <v>28</v>
      </c>
      <c r="N109" s="14">
        <v>15.8</v>
      </c>
      <c r="O109" s="14">
        <v>22.2</v>
      </c>
      <c r="P109" s="38">
        <v>15.8</v>
      </c>
      <c r="Q109" s="26" t="s">
        <v>28</v>
      </c>
      <c r="R109" s="18"/>
      <c r="S109" s="38">
        <v>15.9</v>
      </c>
      <c r="T109" s="18"/>
      <c r="AA109" s="18" t="s">
        <v>16</v>
      </c>
    </row>
    <row r="110" ht="15.75" customHeight="1">
      <c r="A110" s="46" t="s">
        <v>134</v>
      </c>
      <c r="B110" s="6"/>
      <c r="C110" s="6"/>
      <c r="D110" s="20"/>
      <c r="E110" s="6"/>
      <c r="F110" s="6"/>
      <c r="G110" s="20"/>
      <c r="H110" s="55"/>
      <c r="I110" s="55"/>
      <c r="J110" s="18"/>
      <c r="K110" s="14"/>
      <c r="L110" s="14"/>
      <c r="M110" s="18"/>
      <c r="N110" s="14"/>
      <c r="O110" s="14"/>
      <c r="P110" s="18"/>
      <c r="Q110" s="26"/>
      <c r="R110" s="18"/>
      <c r="S110" s="18"/>
      <c r="T110" s="18"/>
      <c r="U110" s="39" t="s">
        <v>16</v>
      </c>
      <c r="V110" s="14">
        <v>11.4</v>
      </c>
      <c r="Y110" s="31" t="s">
        <v>28</v>
      </c>
      <c r="Z110" s="14">
        <v>9.6</v>
      </c>
      <c r="AA110" s="18" t="s">
        <v>28</v>
      </c>
    </row>
    <row r="111" ht="15.75" customHeight="1">
      <c r="A111" s="23" t="s">
        <v>135</v>
      </c>
      <c r="B111" s="6"/>
      <c r="C111" s="6">
        <v>0.3</v>
      </c>
      <c r="D111" s="20"/>
      <c r="E111" s="8"/>
      <c r="F111" s="8">
        <v>0.5533</v>
      </c>
      <c r="G111" s="20"/>
      <c r="H111" s="10"/>
      <c r="I111" s="10">
        <v>-2.25</v>
      </c>
      <c r="J111" s="18"/>
      <c r="K111" s="56"/>
      <c r="L111" s="56" t="s">
        <v>66</v>
      </c>
      <c r="M111" s="18"/>
      <c r="N111" s="14"/>
      <c r="O111" s="14">
        <v>4.7</v>
      </c>
      <c r="P111" s="18"/>
      <c r="Q111" s="26"/>
      <c r="R111" s="18"/>
      <c r="S111" s="18"/>
      <c r="T111" s="18"/>
      <c r="AA111" s="18" t="s">
        <v>66</v>
      </c>
    </row>
    <row r="112" ht="15.75" customHeight="1">
      <c r="A112" s="5" t="s">
        <v>136</v>
      </c>
      <c r="B112" s="6">
        <v>0.5995</v>
      </c>
      <c r="C112" s="6">
        <v>0.4623</v>
      </c>
      <c r="D112" s="7">
        <v>0.6919</v>
      </c>
      <c r="E112" s="8"/>
      <c r="F112" s="8">
        <v>0.6118</v>
      </c>
      <c r="G112" s="20">
        <v>0.7014</v>
      </c>
      <c r="H112" s="10">
        <v>2.243</v>
      </c>
      <c r="I112" s="10">
        <v>1.85</v>
      </c>
      <c r="J112" s="11">
        <v>1.8341040462427747</v>
      </c>
      <c r="K112" s="39" t="s">
        <v>16</v>
      </c>
      <c r="L112" s="39" t="s">
        <v>16</v>
      </c>
      <c r="M112" s="21" t="s">
        <v>16</v>
      </c>
      <c r="N112" s="14">
        <v>20.1</v>
      </c>
      <c r="O112" s="14">
        <v>19.5</v>
      </c>
      <c r="P112" s="32">
        <v>17.7</v>
      </c>
      <c r="Q112" s="26" t="s">
        <v>17</v>
      </c>
      <c r="R112" s="18" t="s">
        <v>17</v>
      </c>
      <c r="S112" s="15">
        <v>21.0</v>
      </c>
      <c r="T112" s="15">
        <v>14.1</v>
      </c>
      <c r="W112" s="31" t="s">
        <v>28</v>
      </c>
      <c r="X112" s="14">
        <v>10.9</v>
      </c>
      <c r="Y112" s="30" t="s">
        <v>23</v>
      </c>
      <c r="Z112" s="14">
        <v>8.4</v>
      </c>
      <c r="AA112" s="18" t="s">
        <v>32</v>
      </c>
    </row>
    <row r="113" ht="15.75" customHeight="1">
      <c r="A113" s="5" t="s">
        <v>137</v>
      </c>
      <c r="B113" s="6"/>
      <c r="C113" s="6">
        <v>0.7525</v>
      </c>
      <c r="D113" s="7"/>
      <c r="E113" s="8"/>
      <c r="F113" s="8">
        <v>0.7164</v>
      </c>
      <c r="G113" s="20"/>
      <c r="H113" s="10"/>
      <c r="I113" s="10">
        <v>1.665</v>
      </c>
      <c r="J113" s="18"/>
      <c r="K113" s="39"/>
      <c r="L113" s="39" t="s">
        <v>16</v>
      </c>
      <c r="M113" s="21"/>
      <c r="N113" s="14"/>
      <c r="O113" s="14">
        <v>17.4</v>
      </c>
      <c r="P113" s="18"/>
      <c r="Q113" s="18"/>
      <c r="R113" s="18" t="s">
        <v>25</v>
      </c>
      <c r="S113" s="18"/>
      <c r="T113" s="28">
        <v>4.9</v>
      </c>
      <c r="AA113" s="18" t="s">
        <v>28</v>
      </c>
    </row>
    <row r="114" ht="15.75" customHeight="1">
      <c r="A114" s="5" t="s">
        <v>138</v>
      </c>
      <c r="B114" s="20"/>
      <c r="C114" s="20"/>
      <c r="D114" s="7"/>
      <c r="E114" s="18"/>
      <c r="F114" s="20"/>
      <c r="G114" s="20"/>
      <c r="H114" s="18"/>
      <c r="I114" s="18"/>
      <c r="J114" s="18"/>
      <c r="K114" s="18"/>
      <c r="L114" s="18"/>
      <c r="M114" s="21"/>
      <c r="N114" s="18"/>
      <c r="O114" s="18"/>
      <c r="P114" s="18"/>
      <c r="Q114" s="18"/>
      <c r="R114" s="18"/>
      <c r="S114" s="18"/>
      <c r="T114" s="18"/>
      <c r="U114" s="54" t="s">
        <v>66</v>
      </c>
      <c r="V114" s="14">
        <v>2.5</v>
      </c>
      <c r="Y114" s="54" t="s">
        <v>66</v>
      </c>
      <c r="Z114" s="14">
        <v>2.5</v>
      </c>
      <c r="AA114" s="18" t="s">
        <v>66</v>
      </c>
    </row>
    <row r="115" ht="15.75" customHeight="1">
      <c r="A115" s="52" t="s">
        <v>139</v>
      </c>
      <c r="B115" s="20"/>
      <c r="C115" s="20"/>
      <c r="D115" s="7">
        <v>0.5802</v>
      </c>
      <c r="E115" s="18"/>
      <c r="F115" s="20"/>
      <c r="G115" s="20">
        <v>0.6635</v>
      </c>
      <c r="H115" s="18"/>
      <c r="I115" s="18"/>
      <c r="J115" s="11">
        <v>-0.7494145199063231</v>
      </c>
      <c r="K115" s="18"/>
      <c r="L115" s="18"/>
      <c r="M115" s="21" t="s">
        <v>23</v>
      </c>
      <c r="N115" s="18"/>
      <c r="O115" s="18"/>
      <c r="P115" s="25">
        <v>12.3</v>
      </c>
      <c r="Q115" s="26" t="s">
        <v>28</v>
      </c>
      <c r="R115" s="18" t="s">
        <v>23</v>
      </c>
      <c r="S115" s="38">
        <v>15.5</v>
      </c>
      <c r="T115" s="25">
        <v>5.9</v>
      </c>
      <c r="U115" s="36" t="s">
        <v>17</v>
      </c>
      <c r="V115" s="14">
        <v>15.3</v>
      </c>
      <c r="Y115" s="39" t="s">
        <v>16</v>
      </c>
      <c r="Z115" s="14">
        <v>13.7</v>
      </c>
      <c r="AA115" s="18" t="s">
        <v>35</v>
      </c>
    </row>
    <row r="116" ht="15.75" customHeight="1">
      <c r="A116" s="5" t="s">
        <v>140</v>
      </c>
      <c r="B116" s="6"/>
      <c r="C116" s="6">
        <v>0.4923</v>
      </c>
      <c r="D116" s="7">
        <v>0.4724</v>
      </c>
      <c r="E116" s="8"/>
      <c r="F116" s="8">
        <v>0.6227</v>
      </c>
      <c r="G116" s="20">
        <v>0.6268</v>
      </c>
      <c r="H116" s="10">
        <v>0.246</v>
      </c>
      <c r="I116" s="10">
        <v>-0.35</v>
      </c>
      <c r="J116" s="11">
        <v>-0.17611644997173542</v>
      </c>
      <c r="K116" s="30" t="s">
        <v>23</v>
      </c>
      <c r="L116" s="30" t="s">
        <v>23</v>
      </c>
      <c r="M116" s="21" t="s">
        <v>23</v>
      </c>
      <c r="N116" s="14">
        <v>11.8</v>
      </c>
      <c r="O116" s="14">
        <v>10.7</v>
      </c>
      <c r="P116" s="25">
        <v>11.9</v>
      </c>
      <c r="Q116" s="26"/>
      <c r="R116" s="18" t="s">
        <v>25</v>
      </c>
      <c r="S116" s="18"/>
      <c r="T116" s="28">
        <v>5.0</v>
      </c>
      <c r="AA116" s="18" t="s">
        <v>23</v>
      </c>
    </row>
    <row r="117" ht="15.75" customHeight="1">
      <c r="A117" s="33" t="s">
        <v>141</v>
      </c>
      <c r="B117" s="20"/>
      <c r="C117" s="20"/>
      <c r="D117" s="20"/>
      <c r="E117" s="18"/>
      <c r="F117" s="20"/>
      <c r="G117" s="20"/>
      <c r="H117" s="18"/>
      <c r="I117" s="18"/>
      <c r="J117" s="18"/>
      <c r="K117" s="18"/>
      <c r="L117" s="18"/>
      <c r="M117" s="18"/>
      <c r="N117" s="18"/>
      <c r="O117" s="18"/>
      <c r="P117" s="18"/>
      <c r="Q117" s="26"/>
      <c r="R117" s="18"/>
      <c r="S117" s="18"/>
      <c r="T117" s="18"/>
      <c r="AA117" s="18"/>
    </row>
    <row r="118" ht="15.75" customHeight="1">
      <c r="A118" s="5" t="s">
        <v>142</v>
      </c>
      <c r="B118" s="20"/>
      <c r="C118" s="20"/>
      <c r="D118" s="7"/>
      <c r="E118" s="18"/>
      <c r="F118" s="20"/>
      <c r="G118" s="20"/>
      <c r="H118" s="18"/>
      <c r="I118" s="18"/>
      <c r="J118" s="18"/>
      <c r="K118" s="18"/>
      <c r="L118" s="18"/>
      <c r="M118" s="21"/>
      <c r="N118" s="18"/>
      <c r="O118" s="18"/>
      <c r="P118" s="18"/>
      <c r="Q118" s="18" t="s">
        <v>16</v>
      </c>
      <c r="R118" s="18" t="s">
        <v>23</v>
      </c>
      <c r="S118" s="32">
        <v>18.8</v>
      </c>
      <c r="T118" s="25">
        <v>6.8</v>
      </c>
      <c r="W118" s="31" t="s">
        <v>28</v>
      </c>
      <c r="X118" s="14">
        <v>11.1</v>
      </c>
      <c r="Y118" s="31" t="s">
        <v>28</v>
      </c>
      <c r="Z118" s="14">
        <v>9.8</v>
      </c>
      <c r="AA118" s="18" t="s">
        <v>35</v>
      </c>
    </row>
    <row r="119" ht="15.75" customHeight="1">
      <c r="A119" s="46" t="s">
        <v>143</v>
      </c>
      <c r="B119" s="20">
        <v>0.677</v>
      </c>
      <c r="C119" s="20"/>
      <c r="D119" s="20"/>
      <c r="E119" s="18"/>
      <c r="F119" s="20"/>
      <c r="G119" s="20"/>
      <c r="H119" s="18">
        <v>0.758</v>
      </c>
      <c r="I119" s="18"/>
      <c r="J119" s="18"/>
      <c r="K119" s="18" t="s">
        <v>28</v>
      </c>
      <c r="L119" s="18"/>
      <c r="M119" s="18"/>
      <c r="N119" s="18">
        <v>13.7</v>
      </c>
      <c r="O119" s="18"/>
      <c r="P119" s="18"/>
      <c r="Q119" s="26"/>
      <c r="R119" s="18"/>
      <c r="S119" s="18"/>
      <c r="T119" s="18"/>
      <c r="AA119" s="18"/>
    </row>
    <row r="120" ht="15.75" customHeight="1">
      <c r="A120" s="5" t="s">
        <v>144</v>
      </c>
      <c r="B120" s="6">
        <v>0.896</v>
      </c>
      <c r="C120" s="6">
        <v>0.6808</v>
      </c>
      <c r="D120" s="7">
        <v>0.7824</v>
      </c>
      <c r="E120" s="8"/>
      <c r="F120" s="8">
        <v>0.6906</v>
      </c>
      <c r="G120" s="20">
        <v>0.7322</v>
      </c>
      <c r="H120" s="10">
        <v>3.326</v>
      </c>
      <c r="I120" s="10">
        <v>1.866</v>
      </c>
      <c r="J120" s="11">
        <v>2.8267813583258445</v>
      </c>
      <c r="K120" s="12" t="s">
        <v>18</v>
      </c>
      <c r="L120" s="12" t="s">
        <v>17</v>
      </c>
      <c r="M120" s="21" t="s">
        <v>17</v>
      </c>
      <c r="N120" s="14">
        <v>25.6</v>
      </c>
      <c r="O120" s="14">
        <v>21.7</v>
      </c>
      <c r="P120" s="15">
        <v>23.0</v>
      </c>
      <c r="Q120" s="26" t="s">
        <v>17</v>
      </c>
      <c r="R120" s="18" t="s">
        <v>17</v>
      </c>
      <c r="S120" s="15">
        <v>23.4</v>
      </c>
      <c r="T120" s="15">
        <v>13.4</v>
      </c>
      <c r="W120" s="31" t="s">
        <v>28</v>
      </c>
      <c r="X120" s="14">
        <v>10.2</v>
      </c>
      <c r="Y120" s="31" t="s">
        <v>28</v>
      </c>
      <c r="Z120" s="14">
        <v>9.1</v>
      </c>
      <c r="AA120" s="18" t="s">
        <v>17</v>
      </c>
    </row>
    <row r="121" ht="15.75" customHeight="1">
      <c r="A121" s="19" t="s">
        <v>145</v>
      </c>
      <c r="B121" s="20"/>
      <c r="C121" s="20"/>
      <c r="D121" s="20"/>
      <c r="E121" s="18"/>
      <c r="F121" s="20"/>
      <c r="G121" s="2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ht="15.75" customHeight="1">
      <c r="A122" s="5" t="s">
        <v>146</v>
      </c>
      <c r="B122" s="20"/>
      <c r="C122" s="20"/>
      <c r="D122" s="20"/>
      <c r="E122" s="18"/>
      <c r="F122" s="20"/>
      <c r="G122" s="2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ht="15.75" customHeight="1">
      <c r="A123" s="19" t="s">
        <v>147</v>
      </c>
      <c r="B123" s="20"/>
      <c r="C123" s="20"/>
      <c r="D123" s="20"/>
      <c r="E123" s="18"/>
      <c r="F123" s="20"/>
      <c r="G123" s="2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ht="15.75" customHeight="1">
      <c r="A124" s="5" t="s">
        <v>148</v>
      </c>
      <c r="B124" s="20"/>
      <c r="C124" s="20"/>
      <c r="D124" s="20"/>
      <c r="E124" s="18"/>
      <c r="F124" s="20"/>
      <c r="G124" s="2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75" customHeight="1">
      <c r="A125" s="5" t="s">
        <v>149</v>
      </c>
      <c r="B125" s="20"/>
      <c r="C125" s="20"/>
      <c r="D125" s="20"/>
      <c r="E125" s="18"/>
      <c r="F125" s="20"/>
      <c r="G125" s="2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 t="s">
        <v>25</v>
      </c>
      <c r="S125" s="18"/>
      <c r="T125" s="28">
        <v>5.4</v>
      </c>
      <c r="AA125" s="18" t="s">
        <v>25</v>
      </c>
    </row>
    <row r="126" ht="15.75" customHeight="1">
      <c r="A126" s="19" t="s">
        <v>150</v>
      </c>
      <c r="B126" s="20"/>
      <c r="C126" s="20"/>
      <c r="D126" s="20">
        <v>0.3093</v>
      </c>
      <c r="E126" s="18"/>
      <c r="F126" s="20"/>
      <c r="G126" s="20">
        <v>0.5713</v>
      </c>
      <c r="H126" s="18"/>
      <c r="I126" s="18"/>
      <c r="J126" s="11">
        <v>-0.4672009864364982</v>
      </c>
      <c r="K126" s="18"/>
      <c r="L126" s="18"/>
      <c r="M126" s="18" t="s">
        <v>25</v>
      </c>
      <c r="N126" s="18"/>
      <c r="O126" s="18"/>
      <c r="P126" s="28">
        <v>5.8</v>
      </c>
      <c r="Q126" s="26" t="s">
        <v>25</v>
      </c>
      <c r="R126" s="18"/>
      <c r="S126" s="28">
        <v>6.4</v>
      </c>
      <c r="T126" s="18"/>
      <c r="AA126" s="18" t="s">
        <v>25</v>
      </c>
    </row>
    <row r="127" ht="15.75" customHeight="1">
      <c r="A127" s="5" t="s">
        <v>151</v>
      </c>
      <c r="B127" s="20"/>
      <c r="C127" s="20"/>
      <c r="D127" s="20"/>
      <c r="E127" s="18"/>
      <c r="F127" s="20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 t="s">
        <v>25</v>
      </c>
      <c r="S127" s="18"/>
      <c r="T127" s="28">
        <v>4.4</v>
      </c>
      <c r="AA127" s="18" t="s">
        <v>25</v>
      </c>
    </row>
    <row r="128" ht="15.75" customHeight="1">
      <c r="A128" s="19" t="s">
        <v>152</v>
      </c>
      <c r="B128" s="20"/>
      <c r="C128" s="20"/>
      <c r="D128" s="20"/>
      <c r="E128" s="18"/>
      <c r="F128" s="20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AA128" s="18"/>
    </row>
    <row r="129" ht="15.75" customHeight="1">
      <c r="A129" s="19" t="s">
        <v>153</v>
      </c>
      <c r="B129" s="20"/>
      <c r="C129" s="20"/>
      <c r="D129" s="20">
        <v>0.4551</v>
      </c>
      <c r="E129" s="18"/>
      <c r="F129" s="20"/>
      <c r="G129" s="20">
        <v>0.6209</v>
      </c>
      <c r="H129" s="18"/>
      <c r="I129" s="18"/>
      <c r="J129" s="11">
        <v>-0.25205843293492697</v>
      </c>
      <c r="K129" s="18"/>
      <c r="L129" s="18"/>
      <c r="M129" s="18" t="s">
        <v>28</v>
      </c>
      <c r="N129" s="18"/>
      <c r="O129" s="18"/>
      <c r="P129" s="38">
        <v>15.1</v>
      </c>
      <c r="Q129" s="29" t="s">
        <v>23</v>
      </c>
      <c r="R129" s="18" t="s">
        <v>28</v>
      </c>
      <c r="S129" s="25">
        <v>11.5</v>
      </c>
      <c r="T129" s="38">
        <v>8.9</v>
      </c>
      <c r="U129" s="39" t="s">
        <v>16</v>
      </c>
      <c r="V129" s="14">
        <v>12.8</v>
      </c>
      <c r="Y129" s="31" t="s">
        <v>28</v>
      </c>
      <c r="Z129" s="14">
        <v>11.2</v>
      </c>
      <c r="AA129" s="18" t="s">
        <v>77</v>
      </c>
    </row>
    <row r="130" ht="15.75" customHeight="1">
      <c r="A130" s="5" t="s">
        <v>154</v>
      </c>
      <c r="B130" s="6">
        <v>0.7042</v>
      </c>
      <c r="C130" s="6">
        <v>0.5484</v>
      </c>
      <c r="D130" s="20">
        <v>0.3398</v>
      </c>
      <c r="E130" s="8"/>
      <c r="F130" s="8">
        <v>0.6429</v>
      </c>
      <c r="G130" s="20">
        <v>0.5817</v>
      </c>
      <c r="H130" s="10"/>
      <c r="I130" s="10">
        <v>-0.26</v>
      </c>
      <c r="J130" s="11">
        <v>-1.0767696909272184</v>
      </c>
      <c r="K130" s="30" t="s">
        <v>23</v>
      </c>
      <c r="L130" s="30" t="s">
        <v>23</v>
      </c>
      <c r="M130" s="18" t="s">
        <v>23</v>
      </c>
      <c r="N130" s="14">
        <v>12.0</v>
      </c>
      <c r="O130" s="14">
        <v>10.4</v>
      </c>
      <c r="P130" s="25">
        <v>11.7</v>
      </c>
      <c r="Q130" s="26"/>
      <c r="R130" s="18"/>
      <c r="S130" s="18"/>
      <c r="T130" s="18"/>
      <c r="U130" s="39" t="s">
        <v>16</v>
      </c>
      <c r="V130" s="14">
        <v>13.5</v>
      </c>
      <c r="W130" s="54" t="s">
        <v>66</v>
      </c>
      <c r="X130" s="14">
        <v>2.9</v>
      </c>
      <c r="Y130" s="31" t="s">
        <v>28</v>
      </c>
      <c r="Z130" s="14">
        <v>10.1</v>
      </c>
      <c r="AA130" s="18" t="s">
        <v>23</v>
      </c>
    </row>
    <row r="131" ht="15.75" customHeight="1">
      <c r="A131" s="5" t="s">
        <v>155</v>
      </c>
      <c r="B131" s="6"/>
      <c r="C131" s="6">
        <v>0.5903</v>
      </c>
      <c r="D131" s="20">
        <v>0.5273</v>
      </c>
      <c r="E131" s="8"/>
      <c r="F131" s="8">
        <v>0.658</v>
      </c>
      <c r="G131" s="20">
        <v>0.6455</v>
      </c>
      <c r="H131" s="18"/>
      <c r="I131" s="18">
        <v>0.79</v>
      </c>
      <c r="J131" s="11">
        <v>0.6535048049745619</v>
      </c>
      <c r="K131" s="31"/>
      <c r="L131" s="31" t="s">
        <v>28</v>
      </c>
      <c r="M131" s="18" t="s">
        <v>28</v>
      </c>
      <c r="N131" s="14"/>
      <c r="O131" s="14">
        <v>16.1</v>
      </c>
      <c r="P131" s="38">
        <v>13.4</v>
      </c>
      <c r="Q131" s="26" t="s">
        <v>16</v>
      </c>
      <c r="R131" s="18"/>
      <c r="S131" s="32">
        <v>17.2</v>
      </c>
      <c r="T131" s="18"/>
      <c r="U131" s="31" t="s">
        <v>28</v>
      </c>
      <c r="V131" s="14">
        <v>9.4</v>
      </c>
      <c r="Y131" s="31" t="s">
        <v>28</v>
      </c>
      <c r="Z131" s="14">
        <v>9.4</v>
      </c>
      <c r="AA131" s="18" t="s">
        <v>28</v>
      </c>
    </row>
    <row r="132" ht="15.75" customHeight="1">
      <c r="A132" s="23" t="s">
        <v>156</v>
      </c>
      <c r="B132" s="6">
        <v>0.5709</v>
      </c>
      <c r="C132" s="6">
        <v>0.3355</v>
      </c>
      <c r="D132" s="20">
        <v>0.4484</v>
      </c>
      <c r="E132" s="8"/>
      <c r="F132" s="8">
        <v>0.5661</v>
      </c>
      <c r="G132" s="20">
        <v>0.6186</v>
      </c>
      <c r="H132" s="10">
        <v>-0.351</v>
      </c>
      <c r="I132" s="10">
        <v>-0.95</v>
      </c>
      <c r="J132" s="11">
        <v>-0.5046436285097191</v>
      </c>
      <c r="K132" s="56" t="s">
        <v>28</v>
      </c>
      <c r="L132" s="56" t="s">
        <v>66</v>
      </c>
      <c r="M132" s="18" t="s">
        <v>25</v>
      </c>
      <c r="N132" s="14">
        <v>13.3</v>
      </c>
      <c r="O132" s="14">
        <v>4.7</v>
      </c>
      <c r="P132" s="28">
        <v>8.7</v>
      </c>
      <c r="Q132" s="26"/>
      <c r="R132" s="18"/>
      <c r="S132" s="18"/>
      <c r="T132" s="18"/>
      <c r="AA132" s="18" t="s">
        <v>25</v>
      </c>
    </row>
    <row r="133" ht="15.75" customHeight="1">
      <c r="A133" s="34" t="s">
        <v>157</v>
      </c>
      <c r="B133" s="6">
        <v>0.6447</v>
      </c>
      <c r="C133" s="6">
        <v>0.5875</v>
      </c>
      <c r="D133" s="20">
        <v>0.733</v>
      </c>
      <c r="E133" s="8"/>
      <c r="F133" s="8">
        <v>0.6569</v>
      </c>
      <c r="G133" s="20">
        <v>0.7154</v>
      </c>
      <c r="H133" s="10">
        <v>1.33</v>
      </c>
      <c r="I133" s="10">
        <v>0.505</v>
      </c>
      <c r="J133" s="11">
        <v>0.9585313174946004</v>
      </c>
      <c r="K133" s="31" t="s">
        <v>16</v>
      </c>
      <c r="L133" s="31" t="s">
        <v>28</v>
      </c>
      <c r="M133" s="18" t="s">
        <v>16</v>
      </c>
      <c r="N133" s="14">
        <v>16.7</v>
      </c>
      <c r="O133" s="14">
        <v>13.7</v>
      </c>
      <c r="P133" s="32">
        <v>18.0</v>
      </c>
      <c r="Q133" s="26" t="s">
        <v>16</v>
      </c>
      <c r="R133" s="18"/>
      <c r="S133" s="32">
        <v>19.6</v>
      </c>
      <c r="T133" s="18"/>
      <c r="U133" s="30" t="s">
        <v>23</v>
      </c>
      <c r="V133" s="14">
        <v>7.3</v>
      </c>
      <c r="Y133" s="40" t="s">
        <v>25</v>
      </c>
      <c r="Z133" s="14">
        <v>6.2</v>
      </c>
      <c r="AA133" s="18" t="s">
        <v>28</v>
      </c>
    </row>
    <row r="134" ht="15.75" customHeight="1">
      <c r="A134" s="23" t="s">
        <v>158</v>
      </c>
      <c r="B134" s="6"/>
      <c r="C134" s="6">
        <v>0.4956</v>
      </c>
      <c r="D134" s="20"/>
      <c r="E134" s="8"/>
      <c r="F134" s="8">
        <v>0.6238</v>
      </c>
      <c r="G134" s="20"/>
      <c r="H134" s="10"/>
      <c r="I134" s="10">
        <v>-0.87</v>
      </c>
      <c r="J134" s="18"/>
      <c r="K134" s="30"/>
      <c r="L134" s="30" t="s">
        <v>23</v>
      </c>
      <c r="M134" s="18"/>
      <c r="N134" s="14"/>
      <c r="O134" s="14">
        <v>10.5</v>
      </c>
      <c r="P134" s="18"/>
      <c r="Q134" s="26"/>
      <c r="R134" s="18"/>
      <c r="S134" s="18"/>
      <c r="T134" s="18"/>
      <c r="AA134" s="18" t="s">
        <v>23</v>
      </c>
    </row>
    <row r="135" ht="15.75" customHeight="1">
      <c r="A135" s="5" t="s">
        <v>159</v>
      </c>
      <c r="B135" s="20"/>
      <c r="C135" s="20"/>
      <c r="D135" s="20"/>
      <c r="E135" s="18"/>
      <c r="F135" s="20"/>
      <c r="G135" s="2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 t="s">
        <v>23</v>
      </c>
      <c r="S135" s="18"/>
      <c r="T135" s="25">
        <v>6.1</v>
      </c>
      <c r="AA135" s="18" t="s">
        <v>23</v>
      </c>
    </row>
    <row r="136" ht="15.75" customHeight="1">
      <c r="A136" s="22" t="s">
        <v>160</v>
      </c>
      <c r="B136" s="20"/>
      <c r="C136" s="20"/>
      <c r="D136" s="20"/>
      <c r="E136" s="18"/>
      <c r="F136" s="20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5.75" customHeight="1">
      <c r="A137" s="34" t="s">
        <v>161</v>
      </c>
      <c r="B137" s="6"/>
      <c r="C137" s="6"/>
      <c r="D137" s="20"/>
      <c r="E137" s="8"/>
      <c r="F137" s="8"/>
      <c r="G137" s="20"/>
      <c r="H137" s="10"/>
      <c r="I137" s="10"/>
      <c r="J137" s="11"/>
      <c r="K137" s="37"/>
      <c r="L137" s="37"/>
      <c r="M137" s="44"/>
      <c r="N137" s="37"/>
      <c r="O137" s="37"/>
      <c r="P137" s="44"/>
      <c r="Q137" s="50"/>
      <c r="R137" s="44"/>
      <c r="S137" s="44"/>
      <c r="T137" s="44"/>
      <c r="U137" s="37"/>
      <c r="V137" s="37"/>
      <c r="W137" s="51"/>
      <c r="X137" s="51"/>
      <c r="Y137" s="37"/>
      <c r="Z137" s="37"/>
      <c r="AA137" s="44"/>
    </row>
    <row r="138" ht="15.75" customHeight="1">
      <c r="A138" s="5" t="s">
        <v>162</v>
      </c>
      <c r="B138" s="20"/>
      <c r="C138" s="20"/>
      <c r="D138" s="20"/>
      <c r="E138" s="18"/>
      <c r="F138" s="20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 t="s">
        <v>28</v>
      </c>
      <c r="S138" s="18"/>
      <c r="T138" s="38">
        <v>8.4</v>
      </c>
      <c r="AA138" s="18" t="s">
        <v>28</v>
      </c>
    </row>
    <row r="139" ht="15.75" customHeight="1">
      <c r="A139" s="19" t="s">
        <v>163</v>
      </c>
      <c r="B139" s="20"/>
      <c r="C139" s="20"/>
      <c r="D139" s="20"/>
      <c r="E139" s="18"/>
      <c r="F139" s="20"/>
      <c r="G139" s="2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ht="15.75" customHeight="1">
      <c r="A140" s="5" t="s">
        <v>164</v>
      </c>
      <c r="B140" s="6"/>
      <c r="C140" s="6">
        <v>0.6014</v>
      </c>
      <c r="D140" s="20"/>
      <c r="E140" s="8"/>
      <c r="F140" s="8">
        <v>0.662</v>
      </c>
      <c r="G140" s="20"/>
      <c r="H140" s="10"/>
      <c r="I140" s="10">
        <v>1.321</v>
      </c>
      <c r="J140" s="18"/>
      <c r="K140" s="39"/>
      <c r="L140" s="39" t="s">
        <v>16</v>
      </c>
      <c r="M140" s="18"/>
      <c r="N140" s="14"/>
      <c r="O140" s="14">
        <v>17.0</v>
      </c>
      <c r="P140" s="18"/>
      <c r="Q140" s="18" t="s">
        <v>16</v>
      </c>
      <c r="R140" s="18" t="s">
        <v>17</v>
      </c>
      <c r="S140" s="32">
        <v>16.9</v>
      </c>
      <c r="T140" s="15">
        <v>13.0</v>
      </c>
      <c r="U140" s="36" t="s">
        <v>17</v>
      </c>
      <c r="V140" s="14">
        <v>15.1</v>
      </c>
      <c r="Y140" s="36" t="s">
        <v>17</v>
      </c>
      <c r="Z140" s="14">
        <v>13.9</v>
      </c>
      <c r="AA140" s="18" t="s">
        <v>32</v>
      </c>
    </row>
    <row r="141" ht="15.75" customHeight="1">
      <c r="A141" s="34" t="s">
        <v>165</v>
      </c>
      <c r="B141" s="6"/>
      <c r="C141" s="6"/>
      <c r="D141" s="20"/>
      <c r="E141" s="8"/>
      <c r="F141" s="8"/>
      <c r="G141" s="20"/>
      <c r="H141" s="10"/>
      <c r="I141" s="10"/>
      <c r="J141" s="11"/>
      <c r="K141" s="37"/>
      <c r="L141" s="37"/>
      <c r="M141" s="44"/>
      <c r="N141" s="37"/>
      <c r="O141" s="37"/>
      <c r="P141" s="44"/>
      <c r="Q141" s="50"/>
      <c r="R141" s="44"/>
      <c r="S141" s="44"/>
      <c r="T141" s="44"/>
      <c r="U141" s="37"/>
      <c r="V141" s="37"/>
      <c r="W141" s="51"/>
      <c r="X141" s="51"/>
      <c r="Y141" s="37"/>
      <c r="Z141" s="37"/>
      <c r="AA141" s="44"/>
    </row>
    <row r="142" ht="15.75" customHeight="1">
      <c r="A142" s="22" t="s">
        <v>166</v>
      </c>
      <c r="B142" s="20"/>
      <c r="C142" s="20"/>
      <c r="D142" s="20"/>
      <c r="E142" s="18"/>
      <c r="F142" s="20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AA142" s="18"/>
    </row>
    <row r="143" ht="15.75" customHeight="1">
      <c r="A143" s="5" t="s">
        <v>167</v>
      </c>
      <c r="B143" s="20"/>
      <c r="C143" s="20"/>
      <c r="D143" s="20">
        <v>0.3081</v>
      </c>
      <c r="E143" s="18"/>
      <c r="F143" s="20"/>
      <c r="G143" s="20">
        <v>0.5709</v>
      </c>
      <c r="H143" s="18"/>
      <c r="I143" s="18"/>
      <c r="J143" s="11">
        <v>0.2553062985332183</v>
      </c>
      <c r="K143" s="18"/>
      <c r="L143" s="18"/>
      <c r="M143" s="18" t="s">
        <v>23</v>
      </c>
      <c r="N143" s="18"/>
      <c r="O143" s="18"/>
      <c r="P143" s="25">
        <v>10.6</v>
      </c>
      <c r="Q143" s="29" t="s">
        <v>23</v>
      </c>
      <c r="R143" s="18"/>
      <c r="S143" s="25">
        <v>12.8</v>
      </c>
      <c r="T143" s="18"/>
      <c r="AA143" s="18" t="s">
        <v>23</v>
      </c>
    </row>
    <row r="144" ht="15.75" customHeight="1">
      <c r="A144" s="5" t="s">
        <v>168</v>
      </c>
      <c r="B144" s="20"/>
      <c r="C144" s="20"/>
      <c r="D144" s="20"/>
      <c r="E144" s="18"/>
      <c r="F144" s="20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 t="s">
        <v>16</v>
      </c>
      <c r="R144" s="18" t="s">
        <v>16</v>
      </c>
      <c r="S144" s="32">
        <v>16.7</v>
      </c>
      <c r="T144" s="32">
        <v>12.0</v>
      </c>
      <c r="W144" s="36" t="s">
        <v>17</v>
      </c>
      <c r="X144" s="14">
        <v>14.9</v>
      </c>
      <c r="Y144" s="36" t="s">
        <v>17</v>
      </c>
      <c r="Z144" s="14">
        <v>14.2</v>
      </c>
      <c r="AA144" s="18" t="s">
        <v>32</v>
      </c>
    </row>
    <row r="145" ht="15.75" customHeight="1">
      <c r="A145" s="5" t="s">
        <v>169</v>
      </c>
      <c r="B145" s="6">
        <v>0.8425</v>
      </c>
      <c r="C145" s="6">
        <v>0.6746</v>
      </c>
      <c r="D145" s="20">
        <v>0.5777</v>
      </c>
      <c r="E145" s="8"/>
      <c r="F145" s="8">
        <v>0.6884</v>
      </c>
      <c r="G145" s="20">
        <v>0.6626</v>
      </c>
      <c r="H145" s="10">
        <v>2.718</v>
      </c>
      <c r="I145" s="10">
        <v>2.625</v>
      </c>
      <c r="J145" s="11">
        <v>1.1290836653386453</v>
      </c>
      <c r="K145" s="57" t="s">
        <v>18</v>
      </c>
      <c r="L145" s="12" t="s">
        <v>17</v>
      </c>
      <c r="M145" s="15" t="s">
        <v>17</v>
      </c>
      <c r="N145" s="14">
        <v>24.3</v>
      </c>
      <c r="O145" s="14">
        <v>21.7</v>
      </c>
      <c r="P145" s="15">
        <v>21.5</v>
      </c>
      <c r="Q145" s="16" t="s">
        <v>17</v>
      </c>
      <c r="R145" s="47" t="s">
        <v>18</v>
      </c>
      <c r="S145" s="15">
        <v>22.0</v>
      </c>
      <c r="T145" s="47">
        <v>15.1</v>
      </c>
      <c r="W145" s="39" t="s">
        <v>16</v>
      </c>
      <c r="X145" s="14">
        <v>11.6</v>
      </c>
      <c r="Y145" s="31" t="s">
        <v>28</v>
      </c>
      <c r="Z145" s="14">
        <v>9.9</v>
      </c>
      <c r="AA145" s="18" t="s">
        <v>17</v>
      </c>
    </row>
    <row r="146" ht="15.75" customHeight="1">
      <c r="A146" s="19" t="s">
        <v>170</v>
      </c>
      <c r="B146" s="20"/>
      <c r="C146" s="20"/>
      <c r="D146" s="20"/>
      <c r="E146" s="18"/>
      <c r="F146" s="20"/>
      <c r="G146" s="20"/>
      <c r="H146" s="18"/>
      <c r="I146" s="18"/>
      <c r="J146" s="18"/>
      <c r="K146" s="18"/>
      <c r="L146" s="18"/>
      <c r="M146" s="18"/>
      <c r="N146" s="18"/>
      <c r="O146" s="18"/>
      <c r="P146" s="18"/>
      <c r="Q146" s="26"/>
      <c r="R146" s="18"/>
      <c r="S146" s="18"/>
      <c r="T146" s="18"/>
    </row>
    <row r="147" ht="15.75" customHeight="1">
      <c r="A147" s="5" t="s">
        <v>171</v>
      </c>
      <c r="B147" s="20"/>
      <c r="C147" s="20"/>
      <c r="D147" s="20"/>
      <c r="E147" s="18"/>
      <c r="F147" s="20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26"/>
      <c r="R147" s="28" t="s">
        <v>25</v>
      </c>
      <c r="S147" s="18"/>
      <c r="T147" s="28">
        <v>4.1</v>
      </c>
      <c r="AA147" s="18" t="s">
        <v>25</v>
      </c>
    </row>
    <row r="148" ht="15.75" customHeight="1">
      <c r="A148" s="34" t="s">
        <v>172</v>
      </c>
      <c r="B148" s="6"/>
      <c r="C148" s="6"/>
      <c r="D148" s="20"/>
      <c r="E148" s="8"/>
      <c r="F148" s="8"/>
      <c r="G148" s="20"/>
      <c r="H148" s="10"/>
      <c r="I148" s="10"/>
      <c r="J148" s="11"/>
      <c r="K148" s="37"/>
      <c r="L148" s="37"/>
      <c r="M148" s="44"/>
      <c r="N148" s="37"/>
      <c r="O148" s="37"/>
      <c r="P148" s="44"/>
      <c r="Q148" s="50"/>
      <c r="R148" s="44"/>
      <c r="S148" s="44"/>
      <c r="T148" s="44"/>
      <c r="U148" s="37"/>
      <c r="V148" s="37"/>
      <c r="W148" s="51"/>
      <c r="X148" s="51"/>
      <c r="Y148" s="37"/>
      <c r="Z148" s="37"/>
      <c r="AA148" s="44"/>
    </row>
    <row r="149" ht="15.75" customHeight="1">
      <c r="A149" s="34"/>
      <c r="B149" s="6"/>
      <c r="C149" s="6"/>
      <c r="D149" s="20"/>
      <c r="E149" s="8"/>
      <c r="F149" s="8"/>
      <c r="G149" s="20"/>
      <c r="H149" s="10"/>
      <c r="I149" s="10"/>
      <c r="J149" s="11"/>
      <c r="K149" s="37"/>
      <c r="L149" s="37"/>
      <c r="M149" s="44"/>
      <c r="N149" s="37"/>
      <c r="O149" s="37"/>
      <c r="P149" s="44"/>
      <c r="Q149" s="50"/>
      <c r="R149" s="44"/>
      <c r="S149" s="44"/>
      <c r="T149" s="44"/>
      <c r="U149" s="37"/>
      <c r="V149" s="37"/>
      <c r="W149" s="51"/>
      <c r="X149" s="51"/>
      <c r="Y149" s="37"/>
      <c r="Z149" s="37"/>
      <c r="AA149" s="44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R4:R128">
    <cfRule type="containsText" dxfId="0" priority="1" operator="containsText" text="F">
      <formula>NOT(ISERROR(SEARCH(("F"),(R4))))</formula>
    </cfRule>
  </conditionalFormatting>
  <conditionalFormatting sqref="R4:R128">
    <cfRule type="containsText" dxfId="1" priority="2" operator="containsText" text="E">
      <formula>NOT(ISERROR(SEARCH(("E"),(R4))))</formula>
    </cfRule>
  </conditionalFormatting>
  <conditionalFormatting sqref="R4:R128">
    <cfRule type="containsText" dxfId="2" priority="3" operator="containsText" text="D">
      <formula>NOT(ISERROR(SEARCH(("D"),(R4))))</formula>
    </cfRule>
  </conditionalFormatting>
  <conditionalFormatting sqref="M4:M128 Q4:R128">
    <cfRule type="containsText" dxfId="3" priority="4" operator="containsText" text="S">
      <formula>NOT(ISERROR(SEARCH(("S"),(M4))))</formula>
    </cfRule>
  </conditionalFormatting>
  <conditionalFormatting sqref="M4:M128 Q4:R128">
    <cfRule type="containsText" dxfId="4" priority="5" operator="containsText" text="A">
      <formula>NOT(ISERROR(SEARCH(("A"),(M4))))</formula>
    </cfRule>
  </conditionalFormatting>
  <conditionalFormatting sqref="M4:M128 Q4:R128">
    <cfRule type="containsText" dxfId="5" priority="6" operator="containsText" text="B">
      <formula>NOT(ISERROR(SEARCH(("B"),(M4))))</formula>
    </cfRule>
  </conditionalFormatting>
  <conditionalFormatting sqref="M4:M128 Q4:R128">
    <cfRule type="containsText" dxfId="6" priority="7" operator="containsText" text="C">
      <formula>NOT(ISERROR(SEARCH(("C"),(M4))))</formula>
    </cfRule>
  </conditionalFormatting>
  <conditionalFormatting sqref="M4:M128 Q4:Q128">
    <cfRule type="containsText" dxfId="2" priority="8" operator="containsText" text="D">
      <formula>NOT(ISERROR(SEARCH(("D"),(M4))))</formula>
    </cfRule>
  </conditionalFormatting>
  <conditionalFormatting sqref="M4:M128 Q4:Q128">
    <cfRule type="containsText" dxfId="1" priority="9" operator="containsText" text="E">
      <formula>NOT(ISERROR(SEARCH(("E"),(M4))))</formula>
    </cfRule>
  </conditionalFormatting>
  <conditionalFormatting sqref="M4:M128 Q4:Q128">
    <cfRule type="containsText" dxfId="0" priority="10" operator="containsText" text="F">
      <formula>NOT(ISERROR(SEARCH(("F"),(M4))))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.75"/>
    <col customWidth="1" min="3" max="5" width="12.25"/>
    <col customWidth="1" min="6" max="8" width="12.63"/>
    <col customWidth="1" min="9" max="9" width="9.13"/>
    <col customWidth="1" min="10" max="10" width="10.13"/>
    <col customWidth="1" min="11" max="11" width="9.13"/>
    <col customWidth="1" min="12" max="23" width="11.25"/>
    <col customWidth="1" min="24" max="25" width="12.5"/>
    <col customWidth="1" min="26" max="27" width="11.25"/>
    <col customWidth="1" min="28" max="28" width="8.5"/>
  </cols>
  <sheetData>
    <row r="1" ht="15.75" customHeight="1">
      <c r="A1" s="58"/>
      <c r="B1" s="59"/>
      <c r="C1" s="60" t="s">
        <v>0</v>
      </c>
      <c r="D1" s="60" t="s">
        <v>1</v>
      </c>
      <c r="E1" s="60" t="s">
        <v>2</v>
      </c>
      <c r="F1" s="60" t="s">
        <v>0</v>
      </c>
      <c r="G1" s="60" t="s">
        <v>1</v>
      </c>
      <c r="H1" s="60" t="s">
        <v>2</v>
      </c>
      <c r="I1" s="60" t="s">
        <v>0</v>
      </c>
      <c r="J1" s="60" t="s">
        <v>1</v>
      </c>
      <c r="K1" s="60" t="s">
        <v>2</v>
      </c>
      <c r="L1" s="60" t="s">
        <v>0</v>
      </c>
      <c r="M1" s="60" t="s">
        <v>1</v>
      </c>
      <c r="N1" s="60" t="s">
        <v>2</v>
      </c>
      <c r="O1" s="60" t="s">
        <v>0</v>
      </c>
      <c r="P1" s="60" t="s">
        <v>1</v>
      </c>
      <c r="Q1" s="60" t="s">
        <v>2</v>
      </c>
      <c r="R1" s="61" t="s">
        <v>3</v>
      </c>
      <c r="S1" s="61" t="s">
        <v>4</v>
      </c>
      <c r="T1" s="61" t="s">
        <v>3</v>
      </c>
      <c r="U1" s="61" t="s">
        <v>4</v>
      </c>
      <c r="V1" s="61" t="s">
        <v>5</v>
      </c>
      <c r="W1" s="61" t="s">
        <v>5</v>
      </c>
      <c r="X1" s="61" t="s">
        <v>6</v>
      </c>
      <c r="Y1" s="61" t="s">
        <v>6</v>
      </c>
      <c r="Z1" s="61" t="s">
        <v>7</v>
      </c>
      <c r="AA1" s="61" t="s">
        <v>7</v>
      </c>
      <c r="AB1" s="61" t="s">
        <v>8</v>
      </c>
    </row>
    <row r="2" ht="15.75" customHeight="1">
      <c r="A2" s="58"/>
      <c r="B2" s="59"/>
      <c r="C2" s="62" t="s">
        <v>10</v>
      </c>
      <c r="D2" s="62" t="s">
        <v>10</v>
      </c>
      <c r="E2" s="62" t="s">
        <v>10</v>
      </c>
      <c r="F2" s="62" t="s">
        <v>11</v>
      </c>
      <c r="G2" s="62" t="s">
        <v>11</v>
      </c>
      <c r="H2" s="62" t="s">
        <v>11</v>
      </c>
      <c r="I2" s="62" t="s">
        <v>12</v>
      </c>
      <c r="J2" s="62" t="s">
        <v>12</v>
      </c>
      <c r="K2" s="62" t="s">
        <v>12</v>
      </c>
      <c r="L2" s="62" t="s">
        <v>13</v>
      </c>
      <c r="M2" s="62" t="s">
        <v>13</v>
      </c>
      <c r="N2" s="62" t="s">
        <v>13</v>
      </c>
      <c r="O2" s="62" t="s">
        <v>14</v>
      </c>
      <c r="P2" s="62" t="s">
        <v>14</v>
      </c>
      <c r="Q2" s="62" t="s">
        <v>14</v>
      </c>
      <c r="R2" s="62" t="s">
        <v>13</v>
      </c>
      <c r="S2" s="62" t="s">
        <v>13</v>
      </c>
      <c r="T2" s="62" t="s">
        <v>14</v>
      </c>
      <c r="U2" s="62" t="s">
        <v>14</v>
      </c>
      <c r="V2" s="62" t="s">
        <v>13</v>
      </c>
      <c r="W2" s="62" t="s">
        <v>14</v>
      </c>
      <c r="X2" s="62" t="s">
        <v>13</v>
      </c>
      <c r="Y2" s="62" t="s">
        <v>14</v>
      </c>
      <c r="Z2" s="62" t="s">
        <v>13</v>
      </c>
      <c r="AA2" s="62" t="s">
        <v>14</v>
      </c>
      <c r="AB2" s="63"/>
    </row>
    <row r="3" ht="15.75" customHeight="1">
      <c r="A3" s="64" t="s">
        <v>173</v>
      </c>
      <c r="B3" s="65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ht="15.75" customHeight="1">
      <c r="A4" s="66" t="s">
        <v>91</v>
      </c>
      <c r="B4" s="67" t="str">
        <f t="array" ref="B4:AB4">INDEX(HistoryHalo4!$A$1:$AA$148,Match(A4,HistoryHalo4!A:A,0),0)</f>
        <v>JollyJhadIst</v>
      </c>
      <c r="C4" s="20"/>
      <c r="D4" s="20"/>
      <c r="E4" s="20"/>
      <c r="F4" s="18"/>
      <c r="G4" s="20"/>
      <c r="H4" s="2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15.75" customHeight="1">
      <c r="A5" s="64" t="s">
        <v>174</v>
      </c>
      <c r="B5" s="65"/>
      <c r="C5" s="20" t="str">
        <f t="shared" ref="C5:K5" si="1">IFERROR(IfS(AND(C4&lt;0,C6&lt;0),UMINUS((C4-C6)/C6),C6&lt;0,UMINUS((C4-C6)/C6),C4&lt;0,UMINUS((C4-C6)/C6),AND(C4&gt;0,C6&gt;0),(C4-C6)/C6),)</f>
        <v/>
      </c>
      <c r="D5" s="20" t="str">
        <f t="shared" si="1"/>
        <v/>
      </c>
      <c r="E5" s="20" t="str">
        <f t="shared" si="1"/>
        <v/>
      </c>
      <c r="F5" s="20" t="str">
        <f t="shared" si="1"/>
        <v/>
      </c>
      <c r="G5" s="20" t="str">
        <f t="shared" si="1"/>
        <v/>
      </c>
      <c r="H5" s="20" t="str">
        <f t="shared" si="1"/>
        <v/>
      </c>
      <c r="I5" s="20" t="str">
        <f t="shared" si="1"/>
        <v/>
      </c>
      <c r="J5" s="20" t="str">
        <f t="shared" si="1"/>
        <v/>
      </c>
      <c r="K5" s="20" t="str">
        <f t="shared" si="1"/>
        <v/>
      </c>
      <c r="L5" s="20" t="str">
        <f t="array" ref="L5">IFERROR(Ifs(INDEX(Grade_Num,Match(L4,$U$17:$U$23,1),2)&gt;INDEX(Grade_Num,Match(L6,$U$17:$U$23,1),2),"+",INDEX(Grade_Num,Match(L4,$U17:$U23,1),2)&lt;INDEX(Grade_Num,Match(L6,$U$17:$U$23,1),2),"-",INDEX(Grade_Num,Match(L4,$U$17:$U$23,1),2)=INDEX(Grade_Num,Match(L6,$U$17:$U$23,1),2),"="),)</f>
        <v/>
      </c>
      <c r="M5" s="20" t="str">
        <f t="array" ref="M5">IFERROR(Ifs(INDEX(Grade_Num,Match(M4,$U$17:$U$23,1),2)&gt;INDEX(Grade_Num,Match(M6,$U$17:$U$23,1),2),"+",INDEX(Grade_Num,Match(M4,$U17:$U23,1),2)&lt;INDEX(Grade_Num,Match(M6,$U$17:$U$23,1),2),"-",INDEX(Grade_Num,Match(M4,$U$17:$U$23,1),2)=INDEX(Grade_Num,Match(M6,$U$17:$U$23,1),2),"="),)</f>
        <v/>
      </c>
      <c r="N5" s="20" t="str">
        <f t="array" ref="N5">IFERROR(Ifs(INDEX(Grade_Num,Match(N4,$U$17:$U$23,1),2)&gt;INDEX(Grade_Num,Match(N6,$U$17:$U$23,1),2),"+",INDEX(Grade_Num,Match(N4,$U17:$U23,1),2)&lt;INDEX(Grade_Num,Match(N6,$U$17:$U$23,1),2),"-",INDEX(Grade_Num,Match(N4,$U$17:$U$23,1),2)=INDEX(Grade_Num,Match(N6,$U$17:$U$23,1),2),"="),)</f>
        <v/>
      </c>
      <c r="O5" s="20" t="str">
        <f t="shared" ref="O5:Q5" si="2">IFERROR(IfS(AND(O4&lt;0,O6&lt;0),UMINUS((O4-O6)/O6),O6&lt;0,UMINUS((O4-O6)/O6),O4&lt;0,UMINUS((O4-O6)/O6),AND(O4&gt;0,O6&gt;0),(O4-O6)/O6),)</f>
        <v/>
      </c>
      <c r="P5" s="20" t="str">
        <f t="shared" si="2"/>
        <v/>
      </c>
      <c r="Q5" s="20" t="str">
        <f t="shared" si="2"/>
        <v/>
      </c>
      <c r="R5" s="20" t="str">
        <f t="array" ref="R5">IFERROR(Ifs(INDEX(Grade_Num,Match(R4,$U$17:$U$23,1),2)&gt;INDEX(Grade_Num,Match(R6,$U$17:$U$23,1),2),"+",INDEX(Grade_Num,Match(R4,$U17:$U23,1),2)&lt;INDEX(Grade_Num,Match(R6,$U$17:$U$23,1),2),"-",INDEX(Grade_Num,Match(R4,$U$17:$U$23,1),2)=INDEX(Grade_Num,Match(R6,$U$17:$U$23,1),2),"="),)</f>
        <v/>
      </c>
      <c r="S5" s="20" t="str">
        <f t="array" ref="S5">IFERROR(Ifs(INDEX(Grade_Num,Match(S4,$U$17:$U$23,1),2)&gt;INDEX(Grade_Num,Match(S6,$U$17:$U$23,1),2),"+",INDEX(Grade_Num,Match(S4,$U17:$U23,1),2)&lt;INDEX(Grade_Num,Match(S6,$U$17:$U$23,1),2),"-",INDEX(Grade_Num,Match(S4,$U$17:$U$23,1),2)=INDEX(Grade_Num,Match(S6,$U$17:$U$23,1),2),"="),)</f>
        <v/>
      </c>
      <c r="T5" s="20" t="str">
        <f t="shared" ref="T5:U5" si="3">IFERROR(IfS(AND(T4&lt;0,T6&lt;0),UMINUS((T4-T6)/T6),T6&lt;0,UMINUS((T4-T6)/T6),T4&lt;0,UMINUS((T4-T6)/T6),AND(T4&gt;0,T6&gt;0),(T4-T6)/T6),)</f>
        <v/>
      </c>
      <c r="U5" s="20" t="str">
        <f t="shared" si="3"/>
        <v/>
      </c>
      <c r="V5" s="20" t="str">
        <f t="array" ref="V5">IFERROR(Ifs(INDEX(Grade_Num,Match(V4,$U$17:$U$23,1),2)&gt;INDEX(Grade_Num,Match(V6,$U$17:$U$23,1),2),"+",INDEX(Grade_Num,Match(V4,$U17:$U23,1),2)&lt;INDEX(Grade_Num,Match(V6,$U$17:$U$23,1),2),"-",INDEX(Grade_Num,Match(V4,$U$17:$U$23,1),2)=INDEX(Grade_Num,Match(V6,$U$17:$U$23,1),2),"="),)</f>
        <v/>
      </c>
      <c r="W5" s="20" t="str">
        <f>IFERROR(IfS(AND(W4&lt;0,W6&lt;0),UMINUS((W4-W6)/W6),W6&lt;0,UMINUS((W4-W6)/W6),W4&lt;0,UMINUS((W4-W6)/W6),AND(W4&gt;0,W6&gt;0),(W4-W6)/W6),)</f>
        <v/>
      </c>
      <c r="X5" s="20" t="str">
        <f t="array" ref="X5">IFERROR(Ifs(INDEX(Grade_Num,Match(X4,$U$17:$U$23,1),2)&gt;INDEX(Grade_Num,Match(X6,$U$17:$U$23,1),2),"+",INDEX(Grade_Num,Match(X4,$U17:$U23,1),2)&lt;INDEX(Grade_Num,Match(X6,$U$17:$U$23,1),2),"-",INDEX(Grade_Num,Match(X4,$U$17:$U$23,1),2)=INDEX(Grade_Num,Match(X6,$U$17:$U$23,1),2),"="),)</f>
        <v/>
      </c>
      <c r="Y5" s="20" t="str">
        <f>IFERROR(IfS(AND(Y4&lt;0,Y6&lt;0),UMINUS((Y4-Y6)/Y6),Y6&lt;0,UMINUS((Y4-Y6)/Y6),Y4&lt;0,UMINUS((Y4-Y6)/Y6),AND(Y4&gt;0,Y6&gt;0),(Y4-Y6)/Y6),)</f>
        <v/>
      </c>
      <c r="Z5" s="20" t="str">
        <f t="array" ref="Z5">IFERROR(Ifs(INDEX(Grade_Num,Match(Z4,$U$17:$U$23,1),2)&gt;INDEX(Grade_Num,Match(Z6,$U$17:$U$23,1),2),"+",INDEX(Grade_Num,Match(Z4,$U17:$U23,1),2)&lt;INDEX(Grade_Num,Match(Z6,$U$17:$U$23,1),2),"-",INDEX(Grade_Num,Match(Z4,$U$17:$U$23,1),2)=INDEX(Grade_Num,Match(Z6,$U$17:$U$23,1),2),"="),)</f>
        <v/>
      </c>
      <c r="AA5" s="20" t="str">
        <f>IFERROR(IfS(AND(AA4&lt;0,AA6&lt;0),UMINUS((AA4-AA6)/AA6),AA6&lt;0,UMINUS((AA4-AA6)/AA6),AA4&lt;0,UMINUS((AA4-AA6)/AA6),AND(AA4&gt;0,AA6&gt;0),(AA4-AA6)/AA6),)</f>
        <v/>
      </c>
      <c r="AB5" s="18"/>
    </row>
    <row r="6" ht="15.75" customHeight="1">
      <c r="A6" s="66" t="s">
        <v>29</v>
      </c>
      <c r="B6" s="67" t="str">
        <f t="array" ref="B6:AB6">INDEX(HistoryHalo4!$A$1:$AA$148,Match(A6,HistoryHalo4!A:A,0),0)</f>
        <v>Amnatu</v>
      </c>
      <c r="C6" s="20"/>
      <c r="D6" s="20"/>
      <c r="E6" s="20"/>
      <c r="F6" s="18"/>
      <c r="G6" s="20"/>
      <c r="H6" s="2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15.75" customHeight="1">
      <c r="B7" s="59"/>
    </row>
    <row r="8" ht="15.75" customHeight="1">
      <c r="B8" s="59"/>
    </row>
    <row r="9" ht="15.75" customHeight="1">
      <c r="B9" s="59"/>
    </row>
    <row r="10" ht="15.75" customHeight="1">
      <c r="B10" s="59"/>
    </row>
    <row r="11" ht="15.75" customHeight="1">
      <c r="A11" s="68" t="s">
        <v>175</v>
      </c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1"/>
    </row>
    <row r="12" ht="15.75" customHeight="1">
      <c r="A12" s="72" t="s">
        <v>173</v>
      </c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</row>
    <row r="13" ht="15.75" customHeight="1">
      <c r="A13" s="66" t="s">
        <v>59</v>
      </c>
      <c r="B13" s="59"/>
      <c r="C13" s="36" t="s">
        <v>176</v>
      </c>
      <c r="D13" s="36" t="s">
        <v>177</v>
      </c>
      <c r="E13" s="36" t="s">
        <v>178</v>
      </c>
      <c r="F13" s="36" t="s">
        <v>179</v>
      </c>
      <c r="G13" s="36" t="s">
        <v>180</v>
      </c>
      <c r="H13" s="36" t="s">
        <v>181</v>
      </c>
      <c r="I13" s="36" t="s">
        <v>182</v>
      </c>
      <c r="J13" s="36" t="s">
        <v>183</v>
      </c>
      <c r="K13" s="36" t="s">
        <v>176</v>
      </c>
      <c r="L13" s="36" t="s">
        <v>177</v>
      </c>
      <c r="M13" s="36" t="s">
        <v>178</v>
      </c>
      <c r="N13" s="36" t="s">
        <v>179</v>
      </c>
      <c r="O13" s="36" t="s">
        <v>180</v>
      </c>
      <c r="P13" s="36" t="s">
        <v>181</v>
      </c>
      <c r="Q13" s="36" t="s">
        <v>182</v>
      </c>
      <c r="R13" s="36" t="s">
        <v>183</v>
      </c>
      <c r="S13" s="36" t="s">
        <v>184</v>
      </c>
      <c r="T13" s="76" t="s">
        <v>185</v>
      </c>
    </row>
    <row r="14" ht="15.75" customHeight="1">
      <c r="A14" s="77" t="s">
        <v>186</v>
      </c>
      <c r="B14" s="59" t="str">
        <f>INDEX(LL_S8,Match(A13,LL_Data_Aggregate!,0))</f>
        <v>#ERROR!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78"/>
    </row>
    <row r="15" ht="15.75" customHeight="1">
      <c r="A15" s="79" t="s">
        <v>187</v>
      </c>
      <c r="B15" s="59"/>
      <c r="C15" s="80" t="str">
        <f t="shared" ref="C15:J15" si="4">IFERROR(IfS(AND(C14&lt;0,C16&lt;0),UMINUS((C14-C16)/C16),C16&lt;0,UMINUS((C14-C16)/C16),C14&lt;0,UMINUS((C14-C16)/C16),AND(C14&gt;0,C16&gt;0),(C14-C16)/C16),)</f>
        <v/>
      </c>
      <c r="D15" s="80" t="str">
        <f t="shared" si="4"/>
        <v/>
      </c>
      <c r="E15" s="80" t="str">
        <f t="shared" si="4"/>
        <v/>
      </c>
      <c r="F15" s="80" t="str">
        <f t="shared" si="4"/>
        <v/>
      </c>
      <c r="G15" s="80" t="str">
        <f t="shared" si="4"/>
        <v/>
      </c>
      <c r="H15" s="80" t="str">
        <f t="shared" si="4"/>
        <v/>
      </c>
      <c r="I15" s="80" t="str">
        <f t="shared" si="4"/>
        <v/>
      </c>
      <c r="J15" s="80" t="str">
        <f t="shared" si="4"/>
        <v/>
      </c>
      <c r="K15" s="18"/>
      <c r="L15" s="18"/>
      <c r="M15" s="18"/>
      <c r="N15" s="18"/>
      <c r="O15" s="18"/>
      <c r="P15" s="18"/>
      <c r="Q15" s="18"/>
      <c r="R15" s="18"/>
      <c r="S15" s="18"/>
      <c r="T15" s="78"/>
    </row>
    <row r="16" ht="15.75" customHeight="1">
      <c r="A16" s="77" t="s">
        <v>188</v>
      </c>
      <c r="B16" s="81" t="str">
        <f t="array" ref="B16">INDEX(LL_S7,Match(A13,LL_Data_Aggregate!A1:A79,0))</f>
        <v>#N/A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78"/>
    </row>
    <row r="17" ht="15.75" customHeight="1">
      <c r="A17" s="79" t="s">
        <v>187</v>
      </c>
      <c r="B17" s="58"/>
      <c r="C17" s="80" t="str">
        <f t="shared" ref="C17:J17" si="5">IFERROR(IfS(AND(C16&lt;0,C18&lt;0),UMINUS((C16-C18)/C18),C18&lt;0,UMINUS((C16-C18)/C18),C16&lt;0,UMINUS((C16-C18)/C18),AND(C16&gt;0,C18&gt;0),(C16-C18)/C18),)</f>
        <v/>
      </c>
      <c r="D17" s="80" t="str">
        <f t="shared" si="5"/>
        <v/>
      </c>
      <c r="E17" s="80" t="str">
        <f t="shared" si="5"/>
        <v/>
      </c>
      <c r="F17" s="80" t="str">
        <f t="shared" si="5"/>
        <v/>
      </c>
      <c r="G17" s="80" t="str">
        <f t="shared" si="5"/>
        <v/>
      </c>
      <c r="H17" s="80" t="str">
        <f t="shared" si="5"/>
        <v/>
      </c>
      <c r="I17" s="80" t="str">
        <f t="shared" si="5"/>
        <v/>
      </c>
      <c r="J17" s="80" t="str">
        <f t="shared" si="5"/>
        <v/>
      </c>
      <c r="K17" s="82" t="str">
        <f t="array" ref="K17">IFERROR(Ifs(INDEX(Grade_Num,Match(K16,$U$17:$U$23,0),2)&gt;INDEX(Grade_Num,Match(K18,$U$17:$U$23,0),2),"+",INDEX(Grade_Num,Match(K16,$U17:$U23,0),2)&lt;INDEX(Grade_Num,Match(K18,$U$17:$U$23,0),2),"-",INDEX(Grade_Num,Match(K16,$U$17:$U$23,0),2)=INDEX(Grade_Num,Match(K18,$U$17:$U$23,0),2),"="),)</f>
        <v/>
      </c>
      <c r="L17" s="82" t="str">
        <f t="array" ref="L17">IFERROR(Ifs(INDEX(Grade_Num,Match(L16,$U$17:$U$23,0),2)&gt;INDEX(Grade_Num,Match(L18,$U$17:$U$23,0),2),"+",INDEX(Grade_Num,Match(L16,$U17:$U23,0),2)&lt;INDEX(Grade_Num,Match(L18,$U$17:$U$23,0),2),"-",INDEX(Grade_Num,Match(L16,$U$17:$U$23,0),2)=INDEX(Grade_Num,Match(L18,$U$17:$U$23,0),2),"="),)</f>
        <v/>
      </c>
      <c r="M17" s="82" t="str">
        <f t="array" ref="M17">IFERROR(Ifs(INDEX(Grade_Num,Match(M16,$U$17:$U$23,0),2)&gt;INDEX(Grade_Num,Match(M18,$U$17:$U$23,0),2),"+",INDEX(Grade_Num,Match(M16,$U17:$U23,0),2)&lt;INDEX(Grade_Num,Match(M18,$U$17:$U$23,0),2),"-",INDEX(Grade_Num,Match(M16,$U$17:$U$23,0),2)=INDEX(Grade_Num,Match(M18,$U$17:$U$23,0),2),"="),)</f>
        <v/>
      </c>
      <c r="N17" s="82" t="str">
        <f t="array" ref="N17">IFERROR(Ifs(INDEX(Grade_Num,Match(N16,$U$17:$U$23,0),2)&gt;INDEX(Grade_Num,Match(N18,$U$17:$U$23,0),2),"+",INDEX(Grade_Num,Match(N16,$U17:$U23,0),2)&lt;INDEX(Grade_Num,Match(N18,$U$17:$U$23,0),2),"-",INDEX(Grade_Num,Match(N16,$U$17:$U$23,0),2)=INDEX(Grade_Num,Match(N18,$U$17:$U$23,0),2),"="),)</f>
        <v/>
      </c>
      <c r="O17" s="82" t="str">
        <f t="array" ref="O17">IFERROR(Ifs(INDEX(Grade_Num,Match(O16,$U$17:$U$23,0),2)&gt;INDEX(Grade_Num,Match(O18,$U$17:$U$23,0),2),"+",INDEX(Grade_Num,Match(O16,$U17:$U23,0),2)&lt;INDEX(Grade_Num,Match(O18,$U$17:$U$23,0),2),"-",INDEX(Grade_Num,Match(O16,$U$17:$U$23,0),2)=INDEX(Grade_Num,Match(O18,$U$17:$U$23,0),2),"="),)</f>
        <v/>
      </c>
      <c r="P17" s="82" t="str">
        <f t="array" ref="P17">IFERROR(Ifs(INDEX(Grade_Num,Match(P16,$U$17:$U$23,0),2)&gt;INDEX(Grade_Num,Match(P18,$U$17:$U$23,0),2),"+",INDEX(Grade_Num,Match(P16,$U17:$U23,0),2)&lt;INDEX(Grade_Num,Match(P18,$U$17:$U$23,0),2),"-",INDEX(Grade_Num,Match(P16,$U$17:$U$23,0),2)=INDEX(Grade_Num,Match(P18,$U$17:$U$23,0),2),"="),)</f>
        <v/>
      </c>
      <c r="Q17" s="82" t="str">
        <f t="array" ref="Q17">IFERROR(Ifs(INDEX(Grade_Num,Match(Q16,$U$17:$U$23,0),2)&gt;INDEX(Grade_Num,Match(Q18,$U$17:$U$23,0),2),"+",INDEX(Grade_Num,Match(Q16,$U17:$U23,0),2)&lt;INDEX(Grade_Num,Match(Q18,$U$17:$U$23,0),2),"-",INDEX(Grade_Num,Match(Q16,$U$17:$U$23,0),2)=INDEX(Grade_Num,Match(Q18,$U$17:$U$23,0),2),"="),)</f>
        <v/>
      </c>
      <c r="R17" s="82" t="str">
        <f t="array" ref="R17">IFERROR(Ifs(INDEX(Grade_Num,Match(R16,$U$17:$U$23,0),2)&gt;INDEX(Grade_Num,Match(R18,$U$17:$U$23,0),2),"+",INDEX(Grade_Num,Match(R16,$U17:$U23,0),2)&lt;INDEX(Grade_Num,Match(R18,$U$17:$U$23,0),2),"-",INDEX(Grade_Num,Match(R16,$U$17:$U$23,0),2)=INDEX(Grade_Num,Match(R18,$U$17:$U$23,0),2),"="),)</f>
        <v/>
      </c>
      <c r="S17" s="82" t="str">
        <f t="array" ref="S17">IFERROR(Ifs(INDEX(Grade_Num,Match(S16,$U$17:$U$23,0),2)&gt;INDEX(Grade_Num,Match(S18,$U$17:$U$23,0),2),"+",INDEX(Grade_Num,Match(S16,$U17:$U23,0),2)&lt;INDEX(Grade_Num,Match(S18,$U$17:$U$23,0),2),"-",INDEX(Grade_Num,Match(S16,$U$17:$U$23,0),2)=INDEX(Grade_Num,Match(S18,$U$17:$U$23,0),2),"="),)</f>
        <v/>
      </c>
      <c r="T17" s="83" t="str">
        <f>IfS(AND(T16&lt;0,T18&lt;0),UMINUS((T16-T18)/T18),T18&lt;0,UMINUS((T16-T18)/T18),T16&lt;0,UMINUS((T16-T18)/T18),AND(T16&gt;0,T18&gt;0),(T16-T18)/T18)</f>
        <v>#N/A</v>
      </c>
      <c r="U17" s="84" t="s">
        <v>18</v>
      </c>
      <c r="V17" s="85">
        <v>7.0</v>
      </c>
    </row>
    <row r="18" ht="15.75" customHeight="1">
      <c r="A18" s="77" t="s">
        <v>189</v>
      </c>
      <c r="B18" s="86" t="str">
        <f t="array" ref="B18">INDEX(LL_S6,Match(A13,LL_Data_Aggregate!A81:A138,0))</f>
        <v>#N/A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78"/>
      <c r="U18" s="87" t="s">
        <v>17</v>
      </c>
      <c r="V18" s="88">
        <v>6.0</v>
      </c>
    </row>
    <row r="19" ht="15.75" customHeight="1">
      <c r="A19" s="89"/>
      <c r="B19" s="58"/>
      <c r="C19" s="90"/>
      <c r="D19" s="90"/>
      <c r="E19" s="90"/>
      <c r="F19" s="90"/>
      <c r="G19" s="90"/>
      <c r="H19" s="90"/>
      <c r="I19" s="90"/>
      <c r="J19" s="90"/>
      <c r="K19" s="90">
        <f t="array" ref="K19">INDEX(Grade_Num,Match(A16,U17:U23,1),2)</f>
        <v>1</v>
      </c>
      <c r="L19" s="90"/>
      <c r="M19" s="90"/>
      <c r="N19" s="90"/>
      <c r="O19" s="90"/>
      <c r="P19" s="90"/>
      <c r="Q19" s="90"/>
      <c r="R19" s="90"/>
      <c r="S19" s="90"/>
      <c r="T19" s="91"/>
      <c r="U19" s="92" t="s">
        <v>16</v>
      </c>
      <c r="V19" s="93">
        <v>5.0</v>
      </c>
    </row>
    <row r="20" ht="15.75" customHeight="1">
      <c r="A20" s="72" t="s">
        <v>190</v>
      </c>
      <c r="B20" s="58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1"/>
      <c r="U20" s="94" t="s">
        <v>28</v>
      </c>
      <c r="V20" s="95">
        <v>4.0</v>
      </c>
    </row>
    <row r="21" ht="15.75" customHeight="1">
      <c r="A21" s="66" t="s">
        <v>91</v>
      </c>
      <c r="B21" s="58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1"/>
      <c r="U21" s="96" t="s">
        <v>23</v>
      </c>
      <c r="V21" s="97">
        <v>3.0</v>
      </c>
    </row>
    <row r="22" ht="15.75" customHeight="1">
      <c r="A22" s="77" t="s">
        <v>186</v>
      </c>
      <c r="B22" s="58" t="str">
        <f>INDEX(LL_S8,Match(A21,LL_Data_Aggregate!,0))</f>
        <v>#ERROR!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78"/>
      <c r="U22" s="98" t="s">
        <v>25</v>
      </c>
      <c r="V22" s="99">
        <v>2.0</v>
      </c>
    </row>
    <row r="23" ht="15.75" customHeight="1">
      <c r="A23" s="79" t="s">
        <v>187</v>
      </c>
      <c r="B23" s="58"/>
      <c r="C23" s="100" t="str">
        <f t="shared" ref="C23:J23" si="6">IFERROR(IfS(AND(C22&lt;0,C24&lt;0),UMINUS((C22-C24)/C24),C24&lt;0,UMINUS((C22-C24)/C24),C22&lt;0,UMINUS((C22-C24)/C24),AND(C22&gt;0,C24&gt;0),(C22-C24)/C24),)</f>
        <v/>
      </c>
      <c r="D23" s="100" t="str">
        <f t="shared" si="6"/>
        <v/>
      </c>
      <c r="E23" s="100" t="str">
        <f t="shared" si="6"/>
        <v/>
      </c>
      <c r="F23" s="100" t="str">
        <f t="shared" si="6"/>
        <v/>
      </c>
      <c r="G23" s="100" t="str">
        <f t="shared" si="6"/>
        <v/>
      </c>
      <c r="H23" s="100" t="str">
        <f t="shared" si="6"/>
        <v/>
      </c>
      <c r="I23" s="100" t="str">
        <f t="shared" si="6"/>
        <v/>
      </c>
      <c r="J23" s="100" t="str">
        <f t="shared" si="6"/>
        <v/>
      </c>
      <c r="K23" s="18"/>
      <c r="L23" s="18"/>
      <c r="M23" s="18"/>
      <c r="N23" s="18"/>
      <c r="O23" s="18"/>
      <c r="P23" s="18"/>
      <c r="Q23" s="18"/>
      <c r="R23" s="18"/>
      <c r="S23" s="18"/>
      <c r="T23" s="78"/>
      <c r="U23" s="101" t="s">
        <v>66</v>
      </c>
      <c r="V23" s="102">
        <v>1.0</v>
      </c>
    </row>
    <row r="24" ht="15.75" customHeight="1">
      <c r="A24" s="77" t="s">
        <v>188</v>
      </c>
      <c r="B24" s="103" t="str">
        <f t="array" ref="B24">INDEX(LL_S7,Match(A21,LL_Data_Aggregate!A1:A79,0))</f>
        <v>#N/A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78"/>
    </row>
    <row r="25" ht="15.75" customHeight="1">
      <c r="A25" s="79" t="s">
        <v>187</v>
      </c>
      <c r="B25" s="58"/>
      <c r="C25" s="100" t="str">
        <f t="shared" ref="C25:J25" si="7">IFERROR(IfS(AND(C24&lt;0,C26&lt;0),UMINUS((C24-C26)/C26),C26&lt;0,UMINUS((C24-C26)/C26),C24&lt;0,UMINUS((C24-C26)/C26),AND(C24&gt;0,C26&gt;0),(C24-C26)/C26),)</f>
        <v/>
      </c>
      <c r="D25" s="100" t="str">
        <f t="shared" si="7"/>
        <v/>
      </c>
      <c r="E25" s="100" t="str">
        <f t="shared" si="7"/>
        <v/>
      </c>
      <c r="F25" s="100" t="str">
        <f t="shared" si="7"/>
        <v/>
      </c>
      <c r="G25" s="100" t="str">
        <f t="shared" si="7"/>
        <v/>
      </c>
      <c r="H25" s="100" t="str">
        <f t="shared" si="7"/>
        <v/>
      </c>
      <c r="I25" s="100" t="str">
        <f t="shared" si="7"/>
        <v/>
      </c>
      <c r="J25" s="100" t="str">
        <f t="shared" si="7"/>
        <v/>
      </c>
      <c r="K25" s="20" t="str">
        <f t="array" ref="K25">IFERROR(Ifs(INDEX(Grade_Num,Match(K24,$U$17:$U$23,0),2)&gt;INDEX(Grade_Num,Match(K26,$U$17:$U$23,0),2),"+",INDEX(Grade_Num,Match(K24,$U17:$U23,0),2)&lt;INDEX(Grade_Num,Match(K26,$U$17:$U$23,0),2),"-",INDEX(Grade_Num,Match(K24,$U$17:$U$23,0),2)=INDEX(Grade_Num,Match(K26,$U$17:$U$23,0),2),"="),)</f>
        <v/>
      </c>
      <c r="L25" s="20" t="str">
        <f t="array" ref="L25">IFERROR(Ifs(INDEX(Grade_Num,Match(L24,$U$17:$U$23,0),2)&gt;INDEX(Grade_Num,Match(L26,$U$17:$U$23,0),2),"+",INDEX(Grade_Num,Match(L24,$U17:$U23,0),2)&lt;INDEX(Grade_Num,Match(L26,$U$17:$U$23,0),2),"-",INDEX(Grade_Num,Match(L24,$U$17:$U$23,0),2)=INDEX(Grade_Num,Match(L26,$U$17:$U$23,0),2),"="),)</f>
        <v/>
      </c>
      <c r="M25" s="20" t="str">
        <f t="array" ref="M25">IFERROR(Ifs(INDEX(Grade_Num,Match(M24,$U$17:$U$23,0),2)&gt;INDEX(Grade_Num,Match(M26,$U$17:$U$23,0),2),"+",INDEX(Grade_Num,Match(M24,$U17:$U23,0),2)&lt;INDEX(Grade_Num,Match(M26,$U$17:$U$23,0),2),"-",INDEX(Grade_Num,Match(M24,$U$17:$U$23,0),2)=INDEX(Grade_Num,Match(M26,$U$17:$U$23,0),2),"="),)</f>
        <v/>
      </c>
      <c r="N25" s="20" t="str">
        <f t="array" ref="N25">IFERROR(Ifs(INDEX(Grade_Num,Match(N24,$U$17:$U$23,0),2)&gt;INDEX(Grade_Num,Match(N26,$U$17:$U$23,0),2),"+",INDEX(Grade_Num,Match(N24,$U17:$U23,0),2)&lt;INDEX(Grade_Num,Match(N26,$U$17:$U$23,0),2),"-",INDEX(Grade_Num,Match(N24,$U$17:$U$23,0),2)=INDEX(Grade_Num,Match(N26,$U$17:$U$23,0),2),"="),)</f>
        <v/>
      </c>
      <c r="O25" s="20" t="str">
        <f t="array" ref="O25">IFERROR(Ifs(INDEX(Grade_Num,Match(O24,$U$17:$U$23,0),2)&gt;INDEX(Grade_Num,Match(O26,$U$17:$U$23,0),2),"+",INDEX(Grade_Num,Match(O24,$U17:$U23,0),2)&lt;INDEX(Grade_Num,Match(O26,$U$17:$U$23,0),2),"-",INDEX(Grade_Num,Match(O24,$U$17:$U$23,0),2)=INDEX(Grade_Num,Match(O26,$U$17:$U$23,0),2),"="),)</f>
        <v/>
      </c>
      <c r="P25" s="20" t="str">
        <f t="array" ref="P25">IFERROR(Ifs(INDEX(Grade_Num,Match(P24,$U$17:$U$23,0),2)&gt;INDEX(Grade_Num,Match(P26,$U$17:$U$23,0),2),"+",INDEX(Grade_Num,Match(P24,$U17:$U23,0),2)&lt;INDEX(Grade_Num,Match(P26,$U$17:$U$23,0),2),"-",INDEX(Grade_Num,Match(P24,$U$17:$U$23,0),2)=INDEX(Grade_Num,Match(P26,$U$17:$U$23,0),2),"="),)</f>
        <v/>
      </c>
      <c r="Q25" s="20" t="str">
        <f t="array" ref="Q25">IFERROR(Ifs(INDEX(Grade_Num,Match(Q24,$U$17:$U$23,0),2)&gt;INDEX(Grade_Num,Match(Q26,$U$17:$U$23,0),2),"+",INDEX(Grade_Num,Match(Q24,$U17:$U23,0),2)&lt;INDEX(Grade_Num,Match(Q26,$U$17:$U$23,0),2),"-",INDEX(Grade_Num,Match(Q24,$U$17:$U$23,0),2)=INDEX(Grade_Num,Match(Q26,$U$17:$U$23,0),2),"="),)</f>
        <v/>
      </c>
      <c r="R25" s="20" t="str">
        <f t="array" ref="R25">IFERROR(Ifs(INDEX(Grade_Num,Match(R24,$U$17:$U$23,0),2)&gt;INDEX(Grade_Num,Match(R26,$U$17:$U$23,0),2),"+",INDEX(Grade_Num,Match(R24,$U17:$U23,0),2)&lt;INDEX(Grade_Num,Match(R26,$U$17:$U$23,0),2),"-",INDEX(Grade_Num,Match(R24,$U$17:$U$23,0),2)=INDEX(Grade_Num,Match(R26,$U$17:$U$23,0),2),"="),)</f>
        <v/>
      </c>
      <c r="S25" s="20" t="str">
        <f t="array" ref="S25">IFERROR(Ifs(INDEX(Grade_Num,Match(S24,$U$17:$U$23,0),2)&gt;INDEX(Grade_Num,Match(S26,$U$17:$U$23,0),2),"+",INDEX(Grade_Num,Match(S24,$U17:$U23,0),2)&lt;INDEX(Grade_Num,Match(S26,$U$17:$U$23,0),2),"-",INDEX(Grade_Num,Match(S24,$U$17:$U$23,0),2)=INDEX(Grade_Num,Match(S26,$U$17:$U$23,0),2),"="),)</f>
        <v/>
      </c>
      <c r="T25" s="104" t="str">
        <f>IfS(AND(T24&lt;0,T26&lt;0),UMINUS((T24-T26)/T26),T26&lt;0,UMINUS((T24-T26)/T26),T24&lt;0,UMINUS((T24-T26)/T26),AND(T24&gt;0,T26&gt;0),(T24-T26)/T26)</f>
        <v>#N/A</v>
      </c>
    </row>
    <row r="26" ht="15.75" customHeight="1">
      <c r="A26" s="105" t="s">
        <v>189</v>
      </c>
      <c r="B26" s="106" t="str">
        <f t="array" ref="B26">INDEX(LL_S6,Match(A21,LL_Data_Aggregate!A81:A138,0))</f>
        <v>#N/A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8"/>
    </row>
    <row r="27" ht="15.75" customHeight="1">
      <c r="B27" s="59"/>
    </row>
    <row r="28" ht="15.75" customHeight="1">
      <c r="B28" s="59"/>
    </row>
    <row r="29" ht="15.75" customHeight="1">
      <c r="B29" s="59"/>
    </row>
    <row r="30" ht="15.75" customHeight="1">
      <c r="B30" s="59"/>
    </row>
    <row r="31" ht="15.75" customHeight="1">
      <c r="B31" s="59"/>
    </row>
    <row r="32" ht="15.75" customHeight="1">
      <c r="B32" s="59"/>
    </row>
    <row r="33" ht="15.75" customHeight="1">
      <c r="B33" s="59"/>
    </row>
    <row r="34" ht="15.75" customHeight="1">
      <c r="B34" s="59"/>
    </row>
    <row r="35" ht="15.75" customHeight="1">
      <c r="B35" s="59"/>
    </row>
    <row r="36" ht="15.75" customHeight="1">
      <c r="B36" s="59"/>
    </row>
    <row r="37" ht="15.75" customHeight="1">
      <c r="B37" s="59"/>
    </row>
    <row r="38" ht="15.75" customHeight="1">
      <c r="B38" s="59"/>
    </row>
    <row r="39" ht="15.75" customHeight="1">
      <c r="B39" s="59"/>
    </row>
    <row r="40" ht="15.75" customHeight="1">
      <c r="B40" s="59"/>
    </row>
    <row r="41" ht="15.75" customHeight="1">
      <c r="B41" s="59"/>
    </row>
    <row r="42" ht="15.75" customHeight="1">
      <c r="B42" s="59"/>
    </row>
    <row r="43" ht="15.75" customHeight="1">
      <c r="B43" s="59"/>
    </row>
    <row r="44" ht="15.75" customHeight="1">
      <c r="B44" s="59"/>
    </row>
    <row r="45" ht="15.75" customHeight="1">
      <c r="B45" s="59"/>
    </row>
    <row r="46" ht="15.75" customHeight="1">
      <c r="B46" s="59"/>
    </row>
    <row r="47" ht="15.75" customHeight="1">
      <c r="B47" s="59"/>
    </row>
    <row r="48" ht="15.75" customHeight="1">
      <c r="B48" s="59"/>
    </row>
    <row r="49" ht="15.75" customHeight="1">
      <c r="B49" s="59"/>
    </row>
    <row r="50" ht="15.75" customHeight="1">
      <c r="B50" s="59"/>
    </row>
    <row r="51" ht="15.75" customHeight="1">
      <c r="B51" s="59"/>
    </row>
    <row r="52" ht="15.75" customHeight="1">
      <c r="B52" s="59"/>
    </row>
    <row r="53" ht="15.75" customHeight="1">
      <c r="B53" s="59"/>
    </row>
    <row r="54" ht="15.75" customHeight="1">
      <c r="B54" s="59"/>
    </row>
    <row r="55" ht="15.75" customHeight="1">
      <c r="B55" s="59"/>
    </row>
    <row r="56" ht="15.75" customHeight="1">
      <c r="B56" s="59"/>
    </row>
    <row r="57" ht="15.75" customHeight="1">
      <c r="B57" s="59"/>
    </row>
    <row r="58" ht="15.75" customHeight="1">
      <c r="B58" s="59"/>
    </row>
    <row r="59" ht="15.75" customHeight="1">
      <c r="B59" s="59"/>
    </row>
    <row r="60" ht="15.75" customHeight="1">
      <c r="B60" s="59"/>
    </row>
    <row r="61" ht="15.75" customHeight="1">
      <c r="B61" s="59"/>
    </row>
    <row r="62" ht="15.75" customHeight="1">
      <c r="B62" s="59"/>
    </row>
    <row r="63" ht="15.75" customHeight="1">
      <c r="B63" s="59"/>
    </row>
    <row r="64" ht="15.75" customHeight="1">
      <c r="B64" s="59"/>
    </row>
    <row r="65" ht="15.75" customHeight="1">
      <c r="B65" s="59"/>
    </row>
    <row r="66" ht="15.75" customHeight="1">
      <c r="B66" s="59"/>
    </row>
    <row r="67" ht="15.75" customHeight="1">
      <c r="B67" s="59"/>
    </row>
    <row r="68" ht="15.75" customHeight="1">
      <c r="B68" s="59"/>
    </row>
    <row r="69" ht="15.75" customHeight="1">
      <c r="B69" s="59"/>
    </row>
    <row r="70" ht="15.75" customHeight="1">
      <c r="B70" s="59"/>
    </row>
    <row r="71" ht="15.75" customHeight="1">
      <c r="B71" s="59"/>
    </row>
    <row r="72" ht="15.75" customHeight="1">
      <c r="B72" s="59"/>
    </row>
    <row r="73" ht="15.75" customHeight="1">
      <c r="B73" s="59"/>
    </row>
    <row r="74" ht="15.75" customHeight="1">
      <c r="B74" s="59"/>
    </row>
    <row r="75" ht="15.75" customHeight="1">
      <c r="B75" s="59"/>
    </row>
    <row r="76" ht="15.75" customHeight="1">
      <c r="B76" s="59"/>
    </row>
    <row r="77" ht="15.75" customHeight="1">
      <c r="B77" s="59"/>
    </row>
    <row r="78" ht="15.75" customHeight="1">
      <c r="B78" s="59"/>
    </row>
    <row r="79" ht="15.75" customHeight="1">
      <c r="B79" s="59"/>
    </row>
    <row r="80" ht="15.75" customHeight="1">
      <c r="B80" s="59"/>
    </row>
    <row r="81" ht="15.75" customHeight="1">
      <c r="B81" s="59"/>
    </row>
    <row r="82" ht="15.75" customHeight="1">
      <c r="B82" s="59"/>
    </row>
    <row r="83" ht="15.75" customHeight="1">
      <c r="B83" s="59"/>
    </row>
    <row r="84" ht="15.75" customHeight="1">
      <c r="B84" s="59"/>
    </row>
    <row r="85" ht="15.75" customHeight="1">
      <c r="B85" s="59"/>
    </row>
    <row r="86" ht="15.75" customHeight="1">
      <c r="B86" s="59"/>
    </row>
    <row r="87" ht="15.75" customHeight="1">
      <c r="B87" s="59"/>
    </row>
    <row r="88" ht="15.75" customHeight="1">
      <c r="B88" s="59"/>
    </row>
    <row r="89" ht="15.75" customHeight="1">
      <c r="B89" s="59"/>
    </row>
    <row r="90" ht="15.75" customHeight="1">
      <c r="B90" s="59"/>
    </row>
    <row r="91" ht="15.75" customHeight="1">
      <c r="B91" s="59"/>
    </row>
    <row r="92" ht="15.75" customHeight="1">
      <c r="B92" s="59"/>
    </row>
    <row r="93" ht="15.75" customHeight="1">
      <c r="B93" s="59"/>
    </row>
    <row r="94" ht="15.75" customHeight="1">
      <c r="B94" s="59"/>
    </row>
    <row r="95" ht="15.75" customHeight="1">
      <c r="B95" s="59"/>
    </row>
    <row r="96" ht="15.75" customHeight="1">
      <c r="B96" s="59"/>
    </row>
    <row r="97" ht="15.75" customHeight="1">
      <c r="B97" s="59"/>
    </row>
    <row r="98" ht="15.75" customHeight="1">
      <c r="B98" s="59"/>
    </row>
    <row r="99" ht="15.75" customHeight="1">
      <c r="B99" s="59"/>
    </row>
    <row r="100" ht="15.75" customHeight="1">
      <c r="B100" s="59"/>
    </row>
    <row r="101" ht="15.75" customHeight="1">
      <c r="B101" s="59"/>
    </row>
    <row r="102" ht="15.75" customHeight="1">
      <c r="B102" s="59"/>
    </row>
    <row r="103" ht="15.75" customHeight="1">
      <c r="B103" s="59"/>
    </row>
    <row r="104" ht="15.75" customHeight="1">
      <c r="B104" s="59"/>
    </row>
    <row r="105" ht="15.75" customHeight="1">
      <c r="B105" s="59"/>
    </row>
    <row r="106" ht="15.75" customHeight="1">
      <c r="B106" s="59"/>
    </row>
    <row r="107" ht="15.75" customHeight="1">
      <c r="B107" s="59"/>
    </row>
    <row r="108" ht="15.75" customHeight="1">
      <c r="B108" s="59"/>
    </row>
    <row r="109" ht="15.75" customHeight="1">
      <c r="B109" s="59"/>
    </row>
    <row r="110" ht="15.75" customHeight="1">
      <c r="B110" s="59"/>
    </row>
    <row r="111" ht="15.75" customHeight="1">
      <c r="B111" s="59"/>
    </row>
    <row r="112" ht="15.75" customHeight="1">
      <c r="B112" s="59"/>
    </row>
    <row r="113" ht="15.75" customHeight="1">
      <c r="B113" s="59"/>
    </row>
    <row r="114" ht="15.75" customHeight="1">
      <c r="B114" s="59"/>
    </row>
    <row r="115" ht="15.75" customHeight="1">
      <c r="B115" s="59"/>
    </row>
    <row r="116" ht="15.75" customHeight="1">
      <c r="B116" s="59"/>
    </row>
    <row r="117" ht="15.75" customHeight="1">
      <c r="B117" s="59"/>
    </row>
    <row r="118" ht="15.75" customHeight="1">
      <c r="B118" s="59"/>
    </row>
    <row r="119" ht="15.75" customHeight="1">
      <c r="B119" s="59"/>
    </row>
    <row r="120" ht="15.75" customHeight="1">
      <c r="B120" s="59"/>
    </row>
    <row r="121" ht="15.75" customHeight="1">
      <c r="B121" s="59"/>
    </row>
    <row r="122" ht="15.75" customHeight="1">
      <c r="B122" s="59"/>
    </row>
    <row r="123" ht="15.75" customHeight="1">
      <c r="B123" s="59"/>
    </row>
    <row r="124" ht="15.75" customHeight="1">
      <c r="B124" s="59"/>
    </row>
    <row r="125" ht="15.75" customHeight="1">
      <c r="B125" s="59"/>
    </row>
    <row r="126" ht="15.75" customHeight="1">
      <c r="B126" s="59"/>
    </row>
    <row r="127" ht="15.75" customHeight="1">
      <c r="B127" s="59"/>
    </row>
    <row r="128" ht="15.75" customHeight="1">
      <c r="B128" s="59"/>
    </row>
    <row r="129" ht="15.75" customHeight="1">
      <c r="B129" s="59"/>
    </row>
    <row r="130" ht="15.75" customHeight="1">
      <c r="B130" s="59"/>
    </row>
    <row r="131" ht="15.75" customHeight="1">
      <c r="B131" s="59"/>
    </row>
    <row r="132" ht="15.75" customHeight="1">
      <c r="B132" s="59"/>
    </row>
    <row r="133" ht="15.75" customHeight="1">
      <c r="B133" s="59"/>
    </row>
    <row r="134" ht="15.75" customHeight="1">
      <c r="B134" s="59"/>
    </row>
    <row r="135" ht="15.75" customHeight="1">
      <c r="B135" s="59"/>
    </row>
    <row r="136" ht="15.75" customHeight="1">
      <c r="B136" s="59"/>
    </row>
    <row r="137" ht="15.75" customHeight="1">
      <c r="B137" s="59"/>
    </row>
    <row r="138" ht="15.75" customHeight="1">
      <c r="B138" s="59"/>
    </row>
    <row r="139" ht="15.75" customHeight="1">
      <c r="B139" s="59"/>
    </row>
    <row r="140" ht="15.75" customHeight="1">
      <c r="B140" s="59"/>
    </row>
    <row r="141" ht="15.75" customHeight="1">
      <c r="B141" s="59"/>
    </row>
    <row r="142" ht="15.75" customHeight="1">
      <c r="B142" s="59"/>
    </row>
    <row r="143" ht="15.75" customHeight="1">
      <c r="B143" s="59"/>
    </row>
    <row r="144" ht="15.75" customHeight="1">
      <c r="B144" s="59"/>
    </row>
    <row r="145" ht="15.75" customHeight="1">
      <c r="B145" s="59"/>
    </row>
    <row r="146" ht="15.75" customHeight="1">
      <c r="B146" s="59"/>
    </row>
    <row r="147" ht="15.75" customHeight="1">
      <c r="B147" s="59"/>
    </row>
    <row r="148" ht="15.75" customHeight="1">
      <c r="B148" s="59"/>
    </row>
    <row r="149" ht="15.75" customHeight="1">
      <c r="B149" s="59"/>
    </row>
    <row r="150" ht="15.75" customHeight="1">
      <c r="B150" s="59"/>
    </row>
    <row r="151" ht="15.75" customHeight="1">
      <c r="B151" s="59"/>
    </row>
    <row r="152" ht="15.75" customHeight="1">
      <c r="B152" s="59"/>
    </row>
    <row r="153" ht="15.75" customHeight="1">
      <c r="B153" s="59"/>
    </row>
    <row r="154" ht="15.75" customHeight="1">
      <c r="B154" s="59"/>
    </row>
    <row r="155" ht="15.75" customHeight="1">
      <c r="B155" s="59"/>
    </row>
    <row r="156" ht="15.75" customHeight="1">
      <c r="B156" s="59"/>
    </row>
    <row r="157" ht="15.75" customHeight="1">
      <c r="B157" s="59"/>
    </row>
    <row r="158" ht="15.75" customHeight="1">
      <c r="B158" s="59"/>
    </row>
    <row r="159" ht="15.75" customHeight="1">
      <c r="B159" s="59"/>
    </row>
    <row r="160" ht="15.75" customHeight="1">
      <c r="B160" s="59"/>
    </row>
    <row r="161" ht="15.75" customHeight="1">
      <c r="B161" s="59"/>
    </row>
    <row r="162" ht="15.75" customHeight="1">
      <c r="B162" s="59"/>
    </row>
    <row r="163" ht="15.75" customHeight="1">
      <c r="B163" s="59"/>
    </row>
    <row r="164" ht="15.75" customHeight="1">
      <c r="B164" s="59"/>
    </row>
    <row r="165" ht="15.75" customHeight="1">
      <c r="B165" s="59"/>
    </row>
    <row r="166" ht="15.75" customHeight="1">
      <c r="B166" s="59"/>
    </row>
    <row r="167" ht="15.75" customHeight="1">
      <c r="B167" s="59"/>
    </row>
    <row r="168" ht="15.75" customHeight="1">
      <c r="B168" s="59"/>
    </row>
    <row r="169" ht="15.75" customHeight="1">
      <c r="B169" s="59"/>
    </row>
    <row r="170" ht="15.75" customHeight="1">
      <c r="B170" s="59"/>
    </row>
    <row r="171" ht="15.75" customHeight="1">
      <c r="B171" s="59"/>
    </row>
    <row r="172" ht="15.75" customHeight="1">
      <c r="B172" s="59"/>
    </row>
    <row r="173" ht="15.75" customHeight="1">
      <c r="B173" s="59"/>
    </row>
    <row r="174" ht="15.75" customHeight="1">
      <c r="B174" s="59"/>
    </row>
    <row r="175" ht="15.75" customHeight="1">
      <c r="B175" s="59"/>
    </row>
    <row r="176" ht="15.75" customHeight="1">
      <c r="B176" s="59"/>
    </row>
    <row r="177" ht="15.75" customHeight="1">
      <c r="B177" s="59"/>
    </row>
    <row r="178" ht="15.75" customHeight="1">
      <c r="B178" s="59"/>
    </row>
    <row r="179" ht="15.75" customHeight="1">
      <c r="B179" s="59"/>
    </row>
    <row r="180" ht="15.75" customHeight="1">
      <c r="B180" s="59"/>
    </row>
    <row r="181" ht="15.75" customHeight="1">
      <c r="B181" s="59"/>
    </row>
    <row r="182" ht="15.75" customHeight="1">
      <c r="B182" s="59"/>
    </row>
    <row r="183" ht="15.75" customHeight="1">
      <c r="B183" s="59"/>
    </row>
    <row r="184" ht="15.75" customHeight="1">
      <c r="B184" s="59"/>
    </row>
    <row r="185" ht="15.75" customHeight="1">
      <c r="B185" s="59"/>
    </row>
    <row r="186" ht="15.75" customHeight="1">
      <c r="B186" s="59"/>
    </row>
    <row r="187" ht="15.75" customHeight="1">
      <c r="B187" s="59"/>
    </row>
    <row r="188" ht="15.75" customHeight="1">
      <c r="B188" s="59"/>
    </row>
    <row r="189" ht="15.75" customHeight="1">
      <c r="B189" s="59"/>
    </row>
    <row r="190" ht="15.75" customHeight="1">
      <c r="B190" s="59"/>
    </row>
    <row r="191" ht="15.75" customHeight="1">
      <c r="B191" s="59"/>
    </row>
    <row r="192" ht="15.75" customHeight="1">
      <c r="B192" s="59"/>
    </row>
    <row r="193" ht="15.75" customHeight="1">
      <c r="B193" s="59"/>
    </row>
    <row r="194" ht="15.75" customHeight="1">
      <c r="B194" s="59"/>
    </row>
    <row r="195" ht="15.75" customHeight="1">
      <c r="B195" s="59"/>
    </row>
    <row r="196" ht="15.75" customHeight="1">
      <c r="B196" s="59"/>
    </row>
    <row r="197" ht="15.75" customHeight="1">
      <c r="B197" s="59"/>
    </row>
    <row r="198" ht="15.75" customHeight="1">
      <c r="B198" s="59"/>
    </row>
    <row r="199" ht="15.75" customHeight="1">
      <c r="B199" s="59"/>
    </row>
    <row r="200" ht="15.75" customHeight="1">
      <c r="B200" s="59"/>
    </row>
    <row r="201" ht="15.75" customHeight="1">
      <c r="B201" s="59"/>
    </row>
    <row r="202" ht="15.75" customHeight="1">
      <c r="B202" s="59"/>
    </row>
    <row r="203" ht="15.75" customHeight="1">
      <c r="B203" s="59"/>
    </row>
    <row r="204" ht="15.75" customHeight="1">
      <c r="B204" s="59"/>
    </row>
    <row r="205" ht="15.75" customHeight="1">
      <c r="B205" s="59"/>
    </row>
    <row r="206" ht="15.75" customHeight="1">
      <c r="B206" s="59"/>
    </row>
    <row r="207" ht="15.75" customHeight="1">
      <c r="B207" s="59"/>
    </row>
    <row r="208" ht="15.75" customHeight="1">
      <c r="B208" s="59"/>
    </row>
    <row r="209" ht="15.75" customHeight="1">
      <c r="B209" s="59"/>
    </row>
    <row r="210" ht="15.75" customHeight="1">
      <c r="B210" s="59"/>
    </row>
    <row r="211" ht="15.75" customHeight="1">
      <c r="B211" s="59"/>
    </row>
    <row r="212" ht="15.75" customHeight="1">
      <c r="B212" s="59"/>
    </row>
    <row r="213" ht="15.75" customHeight="1">
      <c r="B213" s="59"/>
    </row>
    <row r="214" ht="15.75" customHeight="1">
      <c r="B214" s="59"/>
    </row>
    <row r="215" ht="15.75" customHeight="1">
      <c r="B215" s="59"/>
    </row>
    <row r="216" ht="15.75" customHeight="1">
      <c r="B216" s="59"/>
    </row>
    <row r="217" ht="15.75" customHeight="1">
      <c r="B217" s="59"/>
    </row>
    <row r="218" ht="15.75" customHeight="1">
      <c r="B218" s="59"/>
    </row>
    <row r="219" ht="15.75" customHeight="1">
      <c r="B219" s="59"/>
    </row>
    <row r="220" ht="15.75" customHeight="1">
      <c r="B220" s="59"/>
    </row>
    <row r="221" ht="15.75" customHeight="1">
      <c r="B221" s="59"/>
    </row>
    <row r="222" ht="15.75" customHeight="1">
      <c r="B222" s="59"/>
    </row>
    <row r="223" ht="15.75" customHeight="1">
      <c r="B223" s="59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5:J15 C17:T17">
    <cfRule type="cellIs" dxfId="7" priority="1" operator="greaterThan">
      <formula>0</formula>
    </cfRule>
  </conditionalFormatting>
  <conditionalFormatting sqref="C15:J15 C17:T17">
    <cfRule type="cellIs" dxfId="8" priority="2" operator="lessThan">
      <formula>0</formula>
    </cfRule>
  </conditionalFormatting>
  <conditionalFormatting sqref="C23:J23 C25:T25">
    <cfRule type="cellIs" dxfId="7" priority="3" operator="greaterThan">
      <formula>0</formula>
    </cfRule>
  </conditionalFormatting>
  <conditionalFormatting sqref="C23:J23 C25:T25">
    <cfRule type="cellIs" dxfId="8" priority="4" operator="lessThan">
      <formula>0</formula>
    </cfRule>
  </conditionalFormatting>
  <conditionalFormatting sqref="K17:S17">
    <cfRule type="containsText" dxfId="7" priority="5" operator="containsText" text="+">
      <formula>NOT(ISERROR(SEARCH(("+"),(K17))))</formula>
    </cfRule>
  </conditionalFormatting>
  <conditionalFormatting sqref="K17:S17">
    <cfRule type="containsText" dxfId="8" priority="6" operator="containsText" text="-">
      <formula>NOT(ISERROR(SEARCH(("-"),(K17))))</formula>
    </cfRule>
  </conditionalFormatting>
  <conditionalFormatting sqref="K17:S17">
    <cfRule type="containsText" dxfId="9" priority="7" operator="containsText" text="=">
      <formula>NOT(ISERROR(SEARCH(("="),(K17))))</formula>
    </cfRule>
  </conditionalFormatting>
  <conditionalFormatting sqref="K25:S25">
    <cfRule type="containsText" dxfId="7" priority="8" operator="containsText" text="+">
      <formula>NOT(ISERROR(SEARCH(("+"),(K25))))</formula>
    </cfRule>
  </conditionalFormatting>
  <conditionalFormatting sqref="K25:S25">
    <cfRule type="containsText" dxfId="8" priority="9" operator="containsText" text="-">
      <formula>NOT(ISERROR(SEARCH(("-"),(K25))))</formula>
    </cfRule>
  </conditionalFormatting>
  <conditionalFormatting sqref="K25:S25">
    <cfRule type="containsText" dxfId="9" priority="10" operator="containsText" text="=">
      <formula>NOT(ISERROR(SEARCH(("="),(K25))))</formula>
    </cfRule>
  </conditionalFormatting>
  <conditionalFormatting sqref="C5:AA5">
    <cfRule type="cellIs" dxfId="7" priority="11" operator="greaterThan">
      <formula>0</formula>
    </cfRule>
  </conditionalFormatting>
  <conditionalFormatting sqref="C5:AA5">
    <cfRule type="cellIs" dxfId="8" priority="12" operator="lessThan">
      <formula>0</formula>
    </cfRule>
  </conditionalFormatting>
  <conditionalFormatting sqref="C5:AA5">
    <cfRule type="containsText" dxfId="7" priority="13" operator="containsText" text="+">
      <formula>NOT(ISERROR(SEARCH(("+"),(C5))))</formula>
    </cfRule>
  </conditionalFormatting>
  <conditionalFormatting sqref="C5:AA5">
    <cfRule type="containsText" dxfId="8" priority="14" operator="containsText" text="-">
      <formula>NOT(ISERROR(SEARCH(("-"),(C5))))</formula>
    </cfRule>
  </conditionalFormatting>
  <conditionalFormatting sqref="C5:AA5">
    <cfRule type="containsText" dxfId="10" priority="15" operator="containsText" text="=">
      <formula>NOT(ISERROR(SEARCH(("="),(C5))))</formula>
    </cfRule>
  </conditionalFormatting>
  <conditionalFormatting sqref="C14:T14">
    <cfRule type="containsBlanks" dxfId="11" priority="16">
      <formula>LEN(TRIM(C14))=0</formula>
    </cfRule>
  </conditionalFormatting>
  <conditionalFormatting sqref="C15:T15">
    <cfRule type="containsBlanks" dxfId="11" priority="17">
      <formula>LEN(TRIM(C15))=0</formula>
    </cfRule>
  </conditionalFormatting>
  <conditionalFormatting sqref="C16:T18">
    <cfRule type="containsBlanks" dxfId="11" priority="18">
      <formula>LEN(TRIM(C16))=0</formula>
    </cfRule>
  </conditionalFormatting>
  <conditionalFormatting sqref="C3:AB6">
    <cfRule type="containsBlanks" dxfId="11" priority="19">
      <formula>LEN(TRIM(C3))=0</formula>
    </cfRule>
  </conditionalFormatting>
  <conditionalFormatting sqref="C22:T26">
    <cfRule type="containsBlanks" dxfId="11" priority="20">
      <formula>LEN(TRIM(C22))=0</formula>
    </cfRule>
  </conditionalFormatting>
  <dataValidations>
    <dataValidation type="list" allowBlank="1" sqref="B12">
      <formula1>HistoryHalo4!$A$9:$A$147</formula1>
    </dataValidation>
    <dataValidation type="list" allowBlank="1" sqref="A4">
      <formula1>Signed!A2:A44</formula1>
    </dataValidation>
    <dataValidation type="list" allowBlank="1" sqref="A13">
      <formula1>Signed!$A$2:$A$44</formula1>
    </dataValidation>
    <dataValidation type="list" allowBlank="1" sqref="A6">
      <formula1>Signed!A2:A44</formula1>
    </dataValidation>
    <dataValidation type="list" allowBlank="1" sqref="A21">
      <formula1>Signed!A2:A44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8.63"/>
    <col customWidth="1" min="11" max="11" width="6.38"/>
    <col customWidth="1" min="12" max="12" width="8.63"/>
    <col customWidth="1" min="13" max="13" width="9.5"/>
    <col customWidth="1" min="14" max="14" width="10.5"/>
    <col customWidth="1" min="15" max="15" width="9.38"/>
    <col customWidth="1" min="16" max="16" width="7.5"/>
    <col customWidth="1" min="17" max="17" width="10.13"/>
    <col customWidth="1" min="18" max="18" width="9.75"/>
    <col customWidth="1" min="19" max="19" width="9.5"/>
  </cols>
  <sheetData>
    <row r="1" ht="15.75" customHeight="1">
      <c r="A1" s="109" t="s">
        <v>191</v>
      </c>
      <c r="B1" s="110" t="s">
        <v>176</v>
      </c>
      <c r="C1" s="110" t="s">
        <v>177</v>
      </c>
      <c r="D1" s="110" t="s">
        <v>178</v>
      </c>
      <c r="E1" s="110" t="s">
        <v>179</v>
      </c>
      <c r="F1" s="110" t="s">
        <v>180</v>
      </c>
      <c r="G1" s="110" t="s">
        <v>181</v>
      </c>
      <c r="H1" s="110" t="s">
        <v>182</v>
      </c>
      <c r="I1" s="110" t="s">
        <v>183</v>
      </c>
      <c r="J1" s="110" t="s">
        <v>176</v>
      </c>
      <c r="K1" s="110" t="s">
        <v>177</v>
      </c>
      <c r="L1" s="110" t="s">
        <v>178</v>
      </c>
      <c r="M1" s="110" t="s">
        <v>179</v>
      </c>
      <c r="N1" s="110" t="s">
        <v>180</v>
      </c>
      <c r="O1" s="110" t="s">
        <v>181</v>
      </c>
      <c r="P1" s="110" t="s">
        <v>182</v>
      </c>
      <c r="Q1" s="110" t="s">
        <v>183</v>
      </c>
      <c r="R1" s="111" t="s">
        <v>184</v>
      </c>
      <c r="S1" s="111" t="s">
        <v>185</v>
      </c>
    </row>
    <row r="2" ht="15.75" customHeight="1">
      <c r="A2" s="112" t="s">
        <v>15</v>
      </c>
      <c r="B2" s="113">
        <v>0.09</v>
      </c>
      <c r="C2" s="113">
        <v>0.698</v>
      </c>
      <c r="D2" s="113">
        <v>0.224</v>
      </c>
      <c r="E2" s="113">
        <v>0.09</v>
      </c>
      <c r="F2" s="113">
        <v>0.767</v>
      </c>
      <c r="G2" s="113">
        <v>0.175</v>
      </c>
      <c r="H2" s="113">
        <v>0.375</v>
      </c>
      <c r="I2" s="114">
        <v>0.037</v>
      </c>
      <c r="J2" s="57" t="s">
        <v>18</v>
      </c>
      <c r="K2" s="57" t="s">
        <v>18</v>
      </c>
      <c r="L2" s="57" t="s">
        <v>18</v>
      </c>
      <c r="M2" s="57" t="s">
        <v>18</v>
      </c>
      <c r="N2" s="57" t="s">
        <v>18</v>
      </c>
      <c r="O2" s="57" t="s">
        <v>18</v>
      </c>
      <c r="P2" s="57" t="s">
        <v>18</v>
      </c>
      <c r="Q2" s="115" t="s">
        <v>16</v>
      </c>
      <c r="R2" s="116" t="s">
        <v>18</v>
      </c>
      <c r="S2" s="117">
        <v>24.7</v>
      </c>
    </row>
    <row r="3" ht="15.75" customHeight="1">
      <c r="A3" s="112" t="s">
        <v>24</v>
      </c>
      <c r="B3" s="113">
        <v>0.0</v>
      </c>
      <c r="C3" s="113">
        <v>-0.182</v>
      </c>
      <c r="D3" s="113">
        <v>0.084</v>
      </c>
      <c r="E3" s="113">
        <v>0.028</v>
      </c>
      <c r="F3" s="113">
        <v>0.505</v>
      </c>
      <c r="G3" s="113">
        <v>0.098</v>
      </c>
      <c r="H3" s="113">
        <v>0.126</v>
      </c>
      <c r="I3" s="114">
        <v>0.042</v>
      </c>
      <c r="J3" s="56" t="s">
        <v>66</v>
      </c>
      <c r="K3" s="31" t="s">
        <v>28</v>
      </c>
      <c r="L3" s="56" t="s">
        <v>66</v>
      </c>
      <c r="M3" s="30" t="s">
        <v>23</v>
      </c>
      <c r="N3" s="31" t="s">
        <v>28</v>
      </c>
      <c r="O3" s="31" t="s">
        <v>28</v>
      </c>
      <c r="P3" s="56" t="s">
        <v>66</v>
      </c>
      <c r="Q3" s="118" t="s">
        <v>17</v>
      </c>
      <c r="R3" s="119" t="s">
        <v>23</v>
      </c>
      <c r="S3" s="120">
        <v>12.2</v>
      </c>
    </row>
    <row r="4" ht="15.75" customHeight="1">
      <c r="A4" s="112" t="s">
        <v>27</v>
      </c>
      <c r="B4" s="113">
        <v>0.054</v>
      </c>
      <c r="C4" s="113">
        <v>-0.387</v>
      </c>
      <c r="D4" s="113">
        <v>0.142</v>
      </c>
      <c r="E4" s="113">
        <v>0.042</v>
      </c>
      <c r="F4" s="113">
        <v>0.486</v>
      </c>
      <c r="G4" s="113">
        <v>0.123</v>
      </c>
      <c r="H4" s="113">
        <v>0.276</v>
      </c>
      <c r="I4" s="114">
        <v>0.05</v>
      </c>
      <c r="J4" s="39" t="s">
        <v>16</v>
      </c>
      <c r="K4" s="30" t="s">
        <v>23</v>
      </c>
      <c r="L4" s="31" t="s">
        <v>28</v>
      </c>
      <c r="M4" s="31" t="s">
        <v>28</v>
      </c>
      <c r="N4" s="31" t="s">
        <v>28</v>
      </c>
      <c r="O4" s="39" t="s">
        <v>16</v>
      </c>
      <c r="P4" s="39" t="s">
        <v>16</v>
      </c>
      <c r="Q4" s="121" t="s">
        <v>18</v>
      </c>
      <c r="R4" s="115" t="s">
        <v>16</v>
      </c>
      <c r="S4" s="120">
        <v>17.6</v>
      </c>
    </row>
    <row r="5" ht="15.75" customHeight="1">
      <c r="A5" s="112" t="s">
        <v>192</v>
      </c>
      <c r="B5" s="113">
        <v>0.067</v>
      </c>
      <c r="C5" s="113">
        <v>-1.646</v>
      </c>
      <c r="D5" s="113">
        <v>0.117</v>
      </c>
      <c r="E5" s="113">
        <v>0.003</v>
      </c>
      <c r="F5" s="113">
        <v>0.28</v>
      </c>
      <c r="G5" s="113">
        <v>0.027</v>
      </c>
      <c r="H5" s="113">
        <v>0.213</v>
      </c>
      <c r="I5" s="114">
        <v>0.027</v>
      </c>
      <c r="J5" s="39" t="s">
        <v>16</v>
      </c>
      <c r="K5" s="56" t="s">
        <v>66</v>
      </c>
      <c r="L5" s="30" t="s">
        <v>23</v>
      </c>
      <c r="M5" s="56" t="s">
        <v>66</v>
      </c>
      <c r="N5" s="40" t="s">
        <v>25</v>
      </c>
      <c r="O5" s="56" t="s">
        <v>66</v>
      </c>
      <c r="P5" s="30" t="s">
        <v>23</v>
      </c>
      <c r="Q5" s="119" t="s">
        <v>23</v>
      </c>
      <c r="R5" s="122" t="s">
        <v>25</v>
      </c>
      <c r="S5" s="120">
        <v>8.1</v>
      </c>
    </row>
    <row r="6" ht="15.75" customHeight="1">
      <c r="A6" s="112" t="s">
        <v>31</v>
      </c>
      <c r="B6" s="113">
        <v>0.038</v>
      </c>
      <c r="C6" s="113">
        <v>0.635</v>
      </c>
      <c r="D6" s="113">
        <v>0.197</v>
      </c>
      <c r="E6" s="113">
        <v>0.096</v>
      </c>
      <c r="F6" s="113">
        <v>0.918</v>
      </c>
      <c r="G6" s="113">
        <v>0.26</v>
      </c>
      <c r="H6" s="113">
        <v>0.318</v>
      </c>
      <c r="I6" s="114">
        <v>0.034</v>
      </c>
      <c r="J6" s="31" t="s">
        <v>28</v>
      </c>
      <c r="K6" s="57" t="s">
        <v>18</v>
      </c>
      <c r="L6" s="36" t="s">
        <v>17</v>
      </c>
      <c r="M6" s="57" t="s">
        <v>18</v>
      </c>
      <c r="N6" s="57" t="s">
        <v>18</v>
      </c>
      <c r="O6" s="57" t="s">
        <v>18</v>
      </c>
      <c r="P6" s="36" t="s">
        <v>17</v>
      </c>
      <c r="Q6" s="115" t="s">
        <v>16</v>
      </c>
      <c r="R6" s="118" t="s">
        <v>17</v>
      </c>
      <c r="S6" s="120">
        <v>23.0</v>
      </c>
    </row>
    <row r="7" ht="15.75" customHeight="1">
      <c r="A7" s="112" t="s">
        <v>33</v>
      </c>
      <c r="B7" s="113">
        <v>0.03</v>
      </c>
      <c r="C7" s="113">
        <v>-0.746</v>
      </c>
      <c r="D7" s="113">
        <v>0.15</v>
      </c>
      <c r="E7" s="113">
        <v>0.032</v>
      </c>
      <c r="F7" s="113">
        <v>0.428</v>
      </c>
      <c r="G7" s="113">
        <v>0.091</v>
      </c>
      <c r="H7" s="113">
        <v>0.258</v>
      </c>
      <c r="I7" s="114">
        <v>0.028</v>
      </c>
      <c r="J7" s="30" t="s">
        <v>23</v>
      </c>
      <c r="K7" s="40" t="s">
        <v>25</v>
      </c>
      <c r="L7" s="39" t="s">
        <v>16</v>
      </c>
      <c r="M7" s="30" t="s">
        <v>23</v>
      </c>
      <c r="N7" s="40" t="s">
        <v>25</v>
      </c>
      <c r="O7" s="30" t="s">
        <v>23</v>
      </c>
      <c r="P7" s="39" t="s">
        <v>16</v>
      </c>
      <c r="Q7" s="119" t="s">
        <v>23</v>
      </c>
      <c r="R7" s="119" t="s">
        <v>23</v>
      </c>
      <c r="S7" s="120">
        <v>11.8</v>
      </c>
    </row>
    <row r="8" ht="15.75" customHeight="1">
      <c r="A8" s="112" t="s">
        <v>34</v>
      </c>
      <c r="B8" s="113">
        <v>0.036</v>
      </c>
      <c r="C8" s="113">
        <v>0.071</v>
      </c>
      <c r="D8" s="113">
        <v>0.284</v>
      </c>
      <c r="E8" s="113">
        <v>0.071</v>
      </c>
      <c r="F8" s="113">
        <v>0.639</v>
      </c>
      <c r="G8" s="113">
        <v>0.071</v>
      </c>
      <c r="H8" s="113">
        <v>0.426</v>
      </c>
      <c r="I8" s="114">
        <v>0.036</v>
      </c>
      <c r="J8" s="30" t="s">
        <v>23</v>
      </c>
      <c r="K8" s="57" t="s">
        <v>18</v>
      </c>
      <c r="L8" s="57" t="s">
        <v>18</v>
      </c>
      <c r="M8" s="57" t="s">
        <v>18</v>
      </c>
      <c r="N8" s="36" t="s">
        <v>17</v>
      </c>
      <c r="O8" s="40" t="s">
        <v>25</v>
      </c>
      <c r="P8" s="57" t="s">
        <v>18</v>
      </c>
      <c r="Q8" s="115" t="s">
        <v>16</v>
      </c>
      <c r="R8" s="115" t="s">
        <v>16</v>
      </c>
      <c r="S8" s="120">
        <v>20.1</v>
      </c>
    </row>
    <row r="9" ht="15.75" customHeight="1">
      <c r="A9" s="112" t="s">
        <v>36</v>
      </c>
      <c r="B9" s="113">
        <v>0.03</v>
      </c>
      <c r="C9" s="113">
        <v>-0.585</v>
      </c>
      <c r="D9" s="113">
        <v>0.09</v>
      </c>
      <c r="E9" s="113">
        <v>0.015</v>
      </c>
      <c r="F9" s="113">
        <v>0.555</v>
      </c>
      <c r="G9" s="113">
        <v>0.09</v>
      </c>
      <c r="H9" s="113">
        <v>0.225</v>
      </c>
      <c r="I9" s="114">
        <v>0.015</v>
      </c>
      <c r="J9" s="30" t="s">
        <v>23</v>
      </c>
      <c r="K9" s="30" t="s">
        <v>23</v>
      </c>
      <c r="L9" s="56" t="s">
        <v>66</v>
      </c>
      <c r="M9" s="40" t="s">
        <v>25</v>
      </c>
      <c r="N9" s="39" t="s">
        <v>16</v>
      </c>
      <c r="O9" s="30" t="s">
        <v>23</v>
      </c>
      <c r="P9" s="30" t="s">
        <v>23</v>
      </c>
      <c r="Q9" s="122" t="s">
        <v>25</v>
      </c>
      <c r="R9" s="119" t="s">
        <v>23</v>
      </c>
      <c r="S9" s="120">
        <v>10.4</v>
      </c>
    </row>
    <row r="10" ht="15.75" customHeight="1">
      <c r="A10" s="112" t="s">
        <v>37</v>
      </c>
      <c r="B10" s="113">
        <v>0.0</v>
      </c>
      <c r="C10" s="113">
        <v>-0.519</v>
      </c>
      <c r="D10" s="113">
        <v>0.065</v>
      </c>
      <c r="E10" s="113">
        <v>0.029</v>
      </c>
      <c r="F10" s="113">
        <v>0.466</v>
      </c>
      <c r="G10" s="113">
        <v>0.106</v>
      </c>
      <c r="H10" s="113">
        <v>0.115</v>
      </c>
      <c r="I10" s="114">
        <v>0.0</v>
      </c>
      <c r="J10" s="56" t="s">
        <v>66</v>
      </c>
      <c r="K10" s="30" t="s">
        <v>23</v>
      </c>
      <c r="L10" s="56" t="s">
        <v>66</v>
      </c>
      <c r="M10" s="30" t="s">
        <v>23</v>
      </c>
      <c r="N10" s="30" t="s">
        <v>23</v>
      </c>
      <c r="O10" s="31" t="s">
        <v>28</v>
      </c>
      <c r="P10" s="56" t="s">
        <v>66</v>
      </c>
      <c r="Q10" s="123" t="s">
        <v>66</v>
      </c>
      <c r="R10" s="122" t="s">
        <v>25</v>
      </c>
      <c r="S10" s="14">
        <v>8.3</v>
      </c>
    </row>
    <row r="11" ht="15.75" customHeight="1">
      <c r="A11" s="112" t="s">
        <v>38</v>
      </c>
      <c r="B11" s="113">
        <v>0.006</v>
      </c>
      <c r="C11" s="113">
        <v>-1.057</v>
      </c>
      <c r="D11" s="113">
        <v>0.206</v>
      </c>
      <c r="E11" s="113">
        <v>0.013</v>
      </c>
      <c r="F11" s="113">
        <v>0.601</v>
      </c>
      <c r="G11" s="113">
        <v>0.131</v>
      </c>
      <c r="H11" s="113">
        <v>0.325</v>
      </c>
      <c r="I11" s="114">
        <v>0.013</v>
      </c>
      <c r="J11" s="56" t="s">
        <v>66</v>
      </c>
      <c r="K11" s="40" t="s">
        <v>25</v>
      </c>
      <c r="L11" s="57" t="s">
        <v>18</v>
      </c>
      <c r="M11" s="40" t="s">
        <v>25</v>
      </c>
      <c r="N11" s="36" t="s">
        <v>17</v>
      </c>
      <c r="O11" s="39" t="s">
        <v>16</v>
      </c>
      <c r="P11" s="36" t="s">
        <v>17</v>
      </c>
      <c r="Q11" s="123" t="s">
        <v>66</v>
      </c>
      <c r="R11" s="124" t="s">
        <v>28</v>
      </c>
      <c r="S11" s="14">
        <v>13.3</v>
      </c>
    </row>
    <row r="12" ht="15.75" customHeight="1">
      <c r="A12" s="112" t="s">
        <v>40</v>
      </c>
      <c r="B12" s="113">
        <v>0.055</v>
      </c>
      <c r="C12" s="113">
        <v>-0.244</v>
      </c>
      <c r="D12" s="113">
        <v>0.206</v>
      </c>
      <c r="E12" s="113">
        <v>0.032</v>
      </c>
      <c r="F12" s="113">
        <v>0.447</v>
      </c>
      <c r="G12" s="113">
        <v>0.072</v>
      </c>
      <c r="H12" s="113">
        <v>0.371</v>
      </c>
      <c r="I12" s="114">
        <v>0.032</v>
      </c>
      <c r="J12" s="39" t="s">
        <v>16</v>
      </c>
      <c r="K12" s="31" t="s">
        <v>28</v>
      </c>
      <c r="L12" s="36" t="s">
        <v>17</v>
      </c>
      <c r="M12" s="30" t="s">
        <v>23</v>
      </c>
      <c r="N12" s="30" t="s">
        <v>23</v>
      </c>
      <c r="O12" s="40" t="s">
        <v>25</v>
      </c>
      <c r="P12" s="57" t="s">
        <v>18</v>
      </c>
      <c r="Q12" s="124" t="s">
        <v>28</v>
      </c>
      <c r="R12" s="124" t="s">
        <v>28</v>
      </c>
      <c r="S12" s="120">
        <v>15.2</v>
      </c>
    </row>
    <row r="13" ht="15.75" customHeight="1">
      <c r="A13" s="112" t="s">
        <v>41</v>
      </c>
      <c r="B13" s="113">
        <v>0.038</v>
      </c>
      <c r="C13" s="113">
        <v>-1.99</v>
      </c>
      <c r="D13" s="113">
        <v>0.188</v>
      </c>
      <c r="E13" s="113">
        <v>0.0</v>
      </c>
      <c r="F13" s="113">
        <v>0.526</v>
      </c>
      <c r="G13" s="113">
        <v>0.188</v>
      </c>
      <c r="H13" s="113">
        <v>0.375</v>
      </c>
      <c r="I13" s="114">
        <v>0.038</v>
      </c>
      <c r="J13" s="31" t="s">
        <v>28</v>
      </c>
      <c r="K13" s="56" t="s">
        <v>66</v>
      </c>
      <c r="L13" s="36" t="s">
        <v>17</v>
      </c>
      <c r="M13" s="56" t="s">
        <v>66</v>
      </c>
      <c r="N13" s="31" t="s">
        <v>28</v>
      </c>
      <c r="O13" s="57" t="s">
        <v>18</v>
      </c>
      <c r="P13" s="57" t="s">
        <v>18</v>
      </c>
      <c r="Q13" s="115" t="s">
        <v>16</v>
      </c>
      <c r="R13" s="124" t="s">
        <v>28</v>
      </c>
      <c r="S13" s="120">
        <v>16.4</v>
      </c>
    </row>
    <row r="14" ht="15.75" customHeight="1">
      <c r="A14" s="112" t="s">
        <v>42</v>
      </c>
      <c r="B14" s="113">
        <v>0.116</v>
      </c>
      <c r="C14" s="113">
        <v>-0.065</v>
      </c>
      <c r="D14" s="113">
        <v>0.167</v>
      </c>
      <c r="E14" s="113">
        <v>0.025</v>
      </c>
      <c r="F14" s="113">
        <v>0.417</v>
      </c>
      <c r="G14" s="113">
        <v>0.076</v>
      </c>
      <c r="H14" s="113">
        <v>0.317</v>
      </c>
      <c r="I14" s="114">
        <v>0.039</v>
      </c>
      <c r="J14" s="57" t="s">
        <v>18</v>
      </c>
      <c r="K14" s="39" t="s">
        <v>16</v>
      </c>
      <c r="L14" s="39" t="s">
        <v>16</v>
      </c>
      <c r="M14" s="30" t="s">
        <v>23</v>
      </c>
      <c r="N14" s="40" t="s">
        <v>25</v>
      </c>
      <c r="O14" s="40" t="s">
        <v>25</v>
      </c>
      <c r="P14" s="36" t="s">
        <v>17</v>
      </c>
      <c r="Q14" s="115" t="s">
        <v>16</v>
      </c>
      <c r="R14" s="124" t="s">
        <v>28</v>
      </c>
      <c r="S14" s="120">
        <v>15.7</v>
      </c>
    </row>
    <row r="15" ht="15.75" customHeight="1">
      <c r="A15" s="112" t="s">
        <v>43</v>
      </c>
      <c r="B15" s="113">
        <v>0.067</v>
      </c>
      <c r="C15" s="113">
        <v>0.548</v>
      </c>
      <c r="D15" s="113">
        <v>0.195</v>
      </c>
      <c r="E15" s="113">
        <v>0.08</v>
      </c>
      <c r="F15" s="113">
        <v>0.541</v>
      </c>
      <c r="G15" s="113">
        <v>0.131</v>
      </c>
      <c r="H15" s="113">
        <v>0.332</v>
      </c>
      <c r="I15" s="114">
        <v>0.035</v>
      </c>
      <c r="J15" s="39" t="s">
        <v>16</v>
      </c>
      <c r="K15" s="57" t="s">
        <v>18</v>
      </c>
      <c r="L15" s="36" t="s">
        <v>17</v>
      </c>
      <c r="M15" s="57" t="s">
        <v>18</v>
      </c>
      <c r="N15" s="39" t="s">
        <v>16</v>
      </c>
      <c r="O15" s="39" t="s">
        <v>16</v>
      </c>
      <c r="P15" s="36" t="s">
        <v>17</v>
      </c>
      <c r="Q15" s="115" t="s">
        <v>16</v>
      </c>
      <c r="R15" s="118" t="s">
        <v>17</v>
      </c>
      <c r="S15" s="120">
        <v>21.3</v>
      </c>
    </row>
    <row r="16" ht="15.75" customHeight="1">
      <c r="A16" s="112" t="s">
        <v>44</v>
      </c>
      <c r="B16" s="113">
        <v>0.0</v>
      </c>
      <c r="C16" s="113">
        <v>-1.98</v>
      </c>
      <c r="D16" s="113">
        <v>0.0</v>
      </c>
      <c r="E16" s="113">
        <v>0.0</v>
      </c>
      <c r="F16" s="113">
        <v>0.268</v>
      </c>
      <c r="G16" s="113">
        <v>0.0</v>
      </c>
      <c r="H16" s="113">
        <v>0.0</v>
      </c>
      <c r="I16" s="114">
        <v>0.054</v>
      </c>
      <c r="J16" s="56" t="s">
        <v>66</v>
      </c>
      <c r="K16" s="56" t="s">
        <v>66</v>
      </c>
      <c r="L16" s="56" t="s">
        <v>66</v>
      </c>
      <c r="M16" s="56" t="s">
        <v>66</v>
      </c>
      <c r="N16" s="40" t="s">
        <v>25</v>
      </c>
      <c r="O16" s="56" t="s">
        <v>66</v>
      </c>
      <c r="P16" s="56" t="s">
        <v>66</v>
      </c>
      <c r="Q16" s="121" t="s">
        <v>18</v>
      </c>
      <c r="R16" s="122" t="s">
        <v>25</v>
      </c>
      <c r="S16" s="120">
        <v>7.7</v>
      </c>
    </row>
    <row r="17" ht="15.75" customHeight="1">
      <c r="A17" s="112" t="s">
        <v>45</v>
      </c>
      <c r="B17" s="113">
        <v>0.074</v>
      </c>
      <c r="C17" s="113">
        <v>-0.354</v>
      </c>
      <c r="D17" s="113">
        <v>0.211</v>
      </c>
      <c r="E17" s="113">
        <v>0.041</v>
      </c>
      <c r="F17" s="113">
        <v>0.587</v>
      </c>
      <c r="G17" s="113">
        <v>0.122</v>
      </c>
      <c r="H17" s="113">
        <v>0.351</v>
      </c>
      <c r="I17" s="114">
        <v>0.032</v>
      </c>
      <c r="J17" s="36" t="s">
        <v>17</v>
      </c>
      <c r="K17" s="31" t="s">
        <v>28</v>
      </c>
      <c r="L17" s="57" t="s">
        <v>18</v>
      </c>
      <c r="M17" s="31" t="s">
        <v>28</v>
      </c>
      <c r="N17" s="36" t="s">
        <v>17</v>
      </c>
      <c r="O17" s="39" t="s">
        <v>16</v>
      </c>
      <c r="P17" s="57" t="s">
        <v>18</v>
      </c>
      <c r="Q17" s="124" t="s">
        <v>28</v>
      </c>
      <c r="R17" s="115" t="s">
        <v>16</v>
      </c>
      <c r="S17" s="120">
        <v>19.2</v>
      </c>
    </row>
    <row r="18" ht="15.75" customHeight="1">
      <c r="A18" s="112" t="s">
        <v>46</v>
      </c>
      <c r="B18" s="113">
        <v>0.098</v>
      </c>
      <c r="C18" s="113">
        <v>0.94</v>
      </c>
      <c r="D18" s="113">
        <v>0.163</v>
      </c>
      <c r="E18" s="113">
        <v>0.12</v>
      </c>
      <c r="F18" s="113">
        <v>0.853</v>
      </c>
      <c r="G18" s="113">
        <v>0.25</v>
      </c>
      <c r="H18" s="113">
        <v>0.25</v>
      </c>
      <c r="I18" s="114">
        <v>0.005</v>
      </c>
      <c r="J18" s="57" t="s">
        <v>18</v>
      </c>
      <c r="K18" s="57" t="s">
        <v>18</v>
      </c>
      <c r="L18" s="39" t="s">
        <v>16</v>
      </c>
      <c r="M18" s="57" t="s">
        <v>18</v>
      </c>
      <c r="N18" s="57" t="s">
        <v>18</v>
      </c>
      <c r="O18" s="57" t="s">
        <v>18</v>
      </c>
      <c r="P18" s="31" t="s">
        <v>28</v>
      </c>
      <c r="Q18" s="123" t="s">
        <v>66</v>
      </c>
      <c r="R18" s="115" t="s">
        <v>16</v>
      </c>
      <c r="S18" s="120">
        <v>20.1</v>
      </c>
    </row>
    <row r="19" ht="15.75" customHeight="1">
      <c r="A19" s="112" t="s">
        <v>47</v>
      </c>
      <c r="B19" s="113">
        <v>0.076</v>
      </c>
      <c r="C19" s="113">
        <v>-1.468</v>
      </c>
      <c r="D19" s="113">
        <v>0.144</v>
      </c>
      <c r="E19" s="113">
        <v>0.004</v>
      </c>
      <c r="F19" s="113">
        <v>0.382</v>
      </c>
      <c r="G19" s="113">
        <v>0.081</v>
      </c>
      <c r="H19" s="113">
        <v>0.233</v>
      </c>
      <c r="I19" s="114">
        <v>0.03</v>
      </c>
      <c r="J19" s="36" t="s">
        <v>17</v>
      </c>
      <c r="K19" s="56" t="s">
        <v>66</v>
      </c>
      <c r="L19" s="31" t="s">
        <v>28</v>
      </c>
      <c r="M19" s="56" t="s">
        <v>66</v>
      </c>
      <c r="N19" s="40" t="s">
        <v>25</v>
      </c>
      <c r="O19" s="30" t="s">
        <v>23</v>
      </c>
      <c r="P19" s="31" t="s">
        <v>28</v>
      </c>
      <c r="Q19" s="124" t="s">
        <v>28</v>
      </c>
      <c r="R19" s="119" t="s">
        <v>23</v>
      </c>
      <c r="S19" s="120">
        <v>11.0</v>
      </c>
    </row>
    <row r="20" ht="15.75" customHeight="1">
      <c r="A20" s="112" t="s">
        <v>49</v>
      </c>
      <c r="B20" s="113">
        <v>0.078</v>
      </c>
      <c r="C20" s="113">
        <v>-1.249</v>
      </c>
      <c r="D20" s="113">
        <v>0.085</v>
      </c>
      <c r="E20" s="113">
        <v>0.0</v>
      </c>
      <c r="F20" s="113">
        <v>0.171</v>
      </c>
      <c r="G20" s="113">
        <v>0.008</v>
      </c>
      <c r="H20" s="113">
        <v>0.202</v>
      </c>
      <c r="I20" s="114">
        <v>0.109</v>
      </c>
      <c r="J20" s="36" t="s">
        <v>17</v>
      </c>
      <c r="K20" s="40" t="s">
        <v>25</v>
      </c>
      <c r="L20" s="56" t="s">
        <v>66</v>
      </c>
      <c r="M20" s="56" t="s">
        <v>66</v>
      </c>
      <c r="N20" s="56" t="s">
        <v>66</v>
      </c>
      <c r="O20" s="56" t="s">
        <v>66</v>
      </c>
      <c r="P20" s="40" t="s">
        <v>25</v>
      </c>
      <c r="Q20" s="121" t="s">
        <v>18</v>
      </c>
      <c r="R20" s="119" t="s">
        <v>23</v>
      </c>
      <c r="S20" s="120">
        <v>9.9</v>
      </c>
    </row>
    <row r="21" ht="15.75" customHeight="1">
      <c r="A21" s="112" t="s">
        <v>53</v>
      </c>
      <c r="B21" s="113">
        <v>0.0</v>
      </c>
      <c r="C21" s="113">
        <v>0.0</v>
      </c>
      <c r="D21" s="113">
        <v>0.082</v>
      </c>
      <c r="E21" s="113">
        <v>0.059</v>
      </c>
      <c r="F21" s="113">
        <v>0.495</v>
      </c>
      <c r="G21" s="113">
        <v>0.106</v>
      </c>
      <c r="H21" s="113">
        <v>0.2</v>
      </c>
      <c r="I21" s="114">
        <v>0.012</v>
      </c>
      <c r="J21" s="56" t="s">
        <v>66</v>
      </c>
      <c r="K21" s="39" t="s">
        <v>16</v>
      </c>
      <c r="L21" s="56" t="s">
        <v>66</v>
      </c>
      <c r="M21" s="39" t="s">
        <v>16</v>
      </c>
      <c r="N21" s="31" t="s">
        <v>28</v>
      </c>
      <c r="O21" s="31" t="s">
        <v>28</v>
      </c>
      <c r="P21" s="40" t="s">
        <v>25</v>
      </c>
      <c r="Q21" s="123" t="s">
        <v>66</v>
      </c>
      <c r="R21" s="119" t="s">
        <v>23</v>
      </c>
      <c r="S21" s="120">
        <v>11.3</v>
      </c>
    </row>
    <row r="22" ht="15.75" customHeight="1">
      <c r="A22" s="112" t="s">
        <v>193</v>
      </c>
      <c r="B22" s="113">
        <v>0.101</v>
      </c>
      <c r="C22" s="113">
        <v>-0.189</v>
      </c>
      <c r="D22" s="113">
        <v>0.351</v>
      </c>
      <c r="E22" s="113">
        <v>0.034</v>
      </c>
      <c r="F22" s="113">
        <v>0.593</v>
      </c>
      <c r="G22" s="113">
        <v>0.148</v>
      </c>
      <c r="H22" s="113">
        <v>0.553</v>
      </c>
      <c r="I22" s="114">
        <v>0.027</v>
      </c>
      <c r="J22" s="57" t="s">
        <v>18</v>
      </c>
      <c r="K22" s="31" t="s">
        <v>28</v>
      </c>
      <c r="L22" s="57" t="s">
        <v>18</v>
      </c>
      <c r="M22" s="30" t="s">
        <v>23</v>
      </c>
      <c r="N22" s="36" t="s">
        <v>17</v>
      </c>
      <c r="O22" s="36" t="s">
        <v>17</v>
      </c>
      <c r="P22" s="57" t="s">
        <v>18</v>
      </c>
      <c r="Q22" s="119" t="s">
        <v>23</v>
      </c>
      <c r="R22" s="115" t="s">
        <v>16</v>
      </c>
      <c r="S22" s="120">
        <v>19.0</v>
      </c>
    </row>
    <row r="23" ht="15.75" customHeight="1">
      <c r="A23" s="112" t="s">
        <v>55</v>
      </c>
      <c r="B23" s="113">
        <v>0.016</v>
      </c>
      <c r="C23" s="113">
        <v>-0.227</v>
      </c>
      <c r="D23" s="113">
        <v>0.099</v>
      </c>
      <c r="E23" s="113">
        <v>0.029</v>
      </c>
      <c r="F23" s="113">
        <v>0.675</v>
      </c>
      <c r="G23" s="113">
        <v>0.15</v>
      </c>
      <c r="H23" s="113">
        <v>0.192</v>
      </c>
      <c r="I23" s="114">
        <v>0.013</v>
      </c>
      <c r="J23" s="40" t="s">
        <v>25</v>
      </c>
      <c r="K23" s="31" t="s">
        <v>28</v>
      </c>
      <c r="L23" s="40" t="s">
        <v>25</v>
      </c>
      <c r="M23" s="30" t="s">
        <v>23</v>
      </c>
      <c r="N23" s="36" t="s">
        <v>17</v>
      </c>
      <c r="O23" s="36" t="s">
        <v>17</v>
      </c>
      <c r="P23" s="40" t="s">
        <v>25</v>
      </c>
      <c r="Q23" s="123" t="s">
        <v>66</v>
      </c>
      <c r="R23" s="119" t="s">
        <v>23</v>
      </c>
      <c r="S23" s="120">
        <v>12.3</v>
      </c>
    </row>
    <row r="24" ht="15.75" customHeight="1">
      <c r="A24" s="112" t="s">
        <v>56</v>
      </c>
      <c r="B24" s="113">
        <v>0.081</v>
      </c>
      <c r="C24" s="113">
        <v>-0.863</v>
      </c>
      <c r="D24" s="113">
        <v>0.206</v>
      </c>
      <c r="E24" s="113">
        <v>0.025</v>
      </c>
      <c r="F24" s="113">
        <v>0.425</v>
      </c>
      <c r="G24" s="113">
        <v>0.091</v>
      </c>
      <c r="H24" s="113">
        <v>0.334</v>
      </c>
      <c r="I24" s="114">
        <v>0.029</v>
      </c>
      <c r="J24" s="36" t="s">
        <v>17</v>
      </c>
      <c r="K24" s="40" t="s">
        <v>25</v>
      </c>
      <c r="L24" s="36" t="s">
        <v>17</v>
      </c>
      <c r="M24" s="30" t="s">
        <v>23</v>
      </c>
      <c r="N24" s="40" t="s">
        <v>25</v>
      </c>
      <c r="O24" s="30" t="s">
        <v>23</v>
      </c>
      <c r="P24" s="36" t="s">
        <v>17</v>
      </c>
      <c r="Q24" s="119" t="s">
        <v>23</v>
      </c>
      <c r="R24" s="124" t="s">
        <v>28</v>
      </c>
      <c r="S24" s="120">
        <v>13.5</v>
      </c>
    </row>
    <row r="25" ht="15.75" customHeight="1">
      <c r="A25" s="112" t="s">
        <v>57</v>
      </c>
      <c r="B25" s="113">
        <v>0.049</v>
      </c>
      <c r="C25" s="113">
        <v>-0.721</v>
      </c>
      <c r="D25" s="113">
        <v>0.168</v>
      </c>
      <c r="E25" s="113">
        <v>0.0</v>
      </c>
      <c r="F25" s="113">
        <v>0.454</v>
      </c>
      <c r="G25" s="113">
        <v>0.089</v>
      </c>
      <c r="H25" s="113">
        <v>0.237</v>
      </c>
      <c r="I25" s="114">
        <v>0.04</v>
      </c>
      <c r="J25" s="39" t="s">
        <v>16</v>
      </c>
      <c r="K25" s="40" t="s">
        <v>25</v>
      </c>
      <c r="L25" s="39" t="s">
        <v>16</v>
      </c>
      <c r="M25" s="56" t="s">
        <v>66</v>
      </c>
      <c r="N25" s="30" t="s">
        <v>23</v>
      </c>
      <c r="O25" s="30" t="s">
        <v>23</v>
      </c>
      <c r="P25" s="31" t="s">
        <v>28</v>
      </c>
      <c r="Q25" s="115" t="s">
        <v>16</v>
      </c>
      <c r="R25" s="119" t="s">
        <v>23</v>
      </c>
      <c r="S25" s="14">
        <v>12.4</v>
      </c>
    </row>
    <row r="26" ht="15.75" customHeight="1">
      <c r="A26" s="112" t="s">
        <v>60</v>
      </c>
      <c r="B26" s="113">
        <v>0.079</v>
      </c>
      <c r="C26" s="113">
        <v>0.587</v>
      </c>
      <c r="D26" s="113">
        <v>0.198</v>
      </c>
      <c r="E26" s="113">
        <v>0.102</v>
      </c>
      <c r="F26" s="113">
        <v>0.791</v>
      </c>
      <c r="G26" s="113">
        <v>0.205</v>
      </c>
      <c r="H26" s="113">
        <v>0.312</v>
      </c>
      <c r="I26" s="114">
        <v>0.046</v>
      </c>
      <c r="J26" s="36" t="s">
        <v>17</v>
      </c>
      <c r="K26" s="57" t="s">
        <v>18</v>
      </c>
      <c r="L26" s="36" t="s">
        <v>17</v>
      </c>
      <c r="M26" s="57" t="s">
        <v>18</v>
      </c>
      <c r="N26" s="57" t="s">
        <v>18</v>
      </c>
      <c r="O26" s="57" t="s">
        <v>18</v>
      </c>
      <c r="P26" s="36" t="s">
        <v>17</v>
      </c>
      <c r="Q26" s="118" t="s">
        <v>17</v>
      </c>
      <c r="R26" s="121" t="s">
        <v>18</v>
      </c>
      <c r="S26" s="120">
        <v>24.2</v>
      </c>
    </row>
    <row r="27" ht="15.75" customHeight="1">
      <c r="A27" s="112" t="s">
        <v>61</v>
      </c>
      <c r="B27" s="113">
        <v>0.055</v>
      </c>
      <c r="C27" s="113">
        <v>0.278</v>
      </c>
      <c r="D27" s="113">
        <v>0.185</v>
      </c>
      <c r="E27" s="113">
        <v>0.075</v>
      </c>
      <c r="F27" s="113">
        <v>0.684</v>
      </c>
      <c r="G27" s="113">
        <v>0.15</v>
      </c>
      <c r="H27" s="113">
        <v>0.325</v>
      </c>
      <c r="I27" s="114">
        <v>0.033</v>
      </c>
      <c r="J27" s="39" t="s">
        <v>16</v>
      </c>
      <c r="K27" s="57" t="s">
        <v>18</v>
      </c>
      <c r="L27" s="36" t="s">
        <v>17</v>
      </c>
      <c r="M27" s="57" t="s">
        <v>18</v>
      </c>
      <c r="N27" s="36" t="s">
        <v>17</v>
      </c>
      <c r="O27" s="36" t="s">
        <v>17</v>
      </c>
      <c r="P27" s="36" t="s">
        <v>17</v>
      </c>
      <c r="Q27" s="115" t="s">
        <v>16</v>
      </c>
      <c r="R27" s="118" t="s">
        <v>17</v>
      </c>
      <c r="S27" s="120">
        <v>22.3</v>
      </c>
    </row>
    <row r="28" ht="15.75" customHeight="1">
      <c r="A28" s="112" t="s">
        <v>65</v>
      </c>
      <c r="B28" s="113">
        <v>0.015</v>
      </c>
      <c r="C28" s="113">
        <v>-2.16</v>
      </c>
      <c r="D28" s="113">
        <v>0.123</v>
      </c>
      <c r="E28" s="113">
        <v>0.0</v>
      </c>
      <c r="F28" s="113">
        <v>0.17</v>
      </c>
      <c r="G28" s="113">
        <v>0.031</v>
      </c>
      <c r="H28" s="113">
        <v>0.17</v>
      </c>
      <c r="I28" s="114">
        <v>0.0</v>
      </c>
      <c r="J28" s="40" t="s">
        <v>25</v>
      </c>
      <c r="K28" s="56" t="s">
        <v>66</v>
      </c>
      <c r="L28" s="30" t="s">
        <v>23</v>
      </c>
      <c r="M28" s="56" t="s">
        <v>66</v>
      </c>
      <c r="N28" s="56" t="s">
        <v>66</v>
      </c>
      <c r="O28" s="56" t="s">
        <v>66</v>
      </c>
      <c r="P28" s="40" t="s">
        <v>25</v>
      </c>
      <c r="Q28" s="123" t="s">
        <v>66</v>
      </c>
      <c r="R28" s="123" t="s">
        <v>66</v>
      </c>
      <c r="S28" s="120">
        <v>5.0</v>
      </c>
    </row>
    <row r="29" ht="15.75" customHeight="1">
      <c r="A29" s="112" t="s">
        <v>69</v>
      </c>
      <c r="B29" s="113">
        <v>0.018</v>
      </c>
      <c r="C29" s="113">
        <v>-0.583</v>
      </c>
      <c r="D29" s="113">
        <v>0.124</v>
      </c>
      <c r="E29" s="113">
        <v>0.053</v>
      </c>
      <c r="F29" s="113">
        <v>0.636</v>
      </c>
      <c r="G29" s="113">
        <v>0.15</v>
      </c>
      <c r="H29" s="113">
        <v>0.185</v>
      </c>
      <c r="I29" s="114">
        <v>0.026</v>
      </c>
      <c r="J29" s="40" t="s">
        <v>25</v>
      </c>
      <c r="K29" s="30" t="s">
        <v>23</v>
      </c>
      <c r="L29" s="30" t="s">
        <v>23</v>
      </c>
      <c r="M29" s="39" t="s">
        <v>16</v>
      </c>
      <c r="N29" s="36" t="s">
        <v>17</v>
      </c>
      <c r="O29" s="36" t="s">
        <v>17</v>
      </c>
      <c r="P29" s="40" t="s">
        <v>25</v>
      </c>
      <c r="Q29" s="119" t="s">
        <v>23</v>
      </c>
      <c r="R29" s="124" t="s">
        <v>28</v>
      </c>
      <c r="S29" s="120">
        <v>14.2</v>
      </c>
    </row>
    <row r="30" ht="15.75" customHeight="1">
      <c r="A30" s="112" t="s">
        <v>194</v>
      </c>
      <c r="B30" s="113">
        <v>0.099</v>
      </c>
      <c r="C30" s="113">
        <v>-0.791</v>
      </c>
      <c r="D30" s="113">
        <v>0.099</v>
      </c>
      <c r="E30" s="113">
        <v>0.099</v>
      </c>
      <c r="F30" s="113">
        <v>0.0</v>
      </c>
      <c r="G30" s="113">
        <v>0.0</v>
      </c>
      <c r="H30" s="113">
        <v>0.099</v>
      </c>
      <c r="I30" s="114">
        <v>0.0</v>
      </c>
      <c r="J30" s="57" t="s">
        <v>18</v>
      </c>
      <c r="K30" s="40" t="s">
        <v>25</v>
      </c>
      <c r="L30" s="40" t="s">
        <v>25</v>
      </c>
      <c r="M30" s="57" t="s">
        <v>18</v>
      </c>
      <c r="N30" s="56" t="s">
        <v>66</v>
      </c>
      <c r="O30" s="56" t="s">
        <v>66</v>
      </c>
      <c r="P30" s="56" t="s">
        <v>66</v>
      </c>
      <c r="Q30" s="123" t="s">
        <v>66</v>
      </c>
      <c r="R30" s="122" t="s">
        <v>25</v>
      </c>
      <c r="S30" s="120">
        <v>9.2</v>
      </c>
    </row>
    <row r="31" ht="15.75" customHeight="1">
      <c r="A31" s="112" t="s">
        <v>73</v>
      </c>
      <c r="B31" s="113">
        <v>0.056</v>
      </c>
      <c r="C31" s="113">
        <v>1.06</v>
      </c>
      <c r="D31" s="113">
        <v>0.187</v>
      </c>
      <c r="E31" s="113">
        <v>0.12</v>
      </c>
      <c r="F31" s="113">
        <v>0.863</v>
      </c>
      <c r="G31" s="113">
        <v>0.265</v>
      </c>
      <c r="H31" s="113">
        <v>0.319</v>
      </c>
      <c r="I31" s="114">
        <v>0.029</v>
      </c>
      <c r="J31" s="39" t="s">
        <v>16</v>
      </c>
      <c r="K31" s="57" t="s">
        <v>18</v>
      </c>
      <c r="L31" s="36" t="s">
        <v>17</v>
      </c>
      <c r="M31" s="57" t="s">
        <v>18</v>
      </c>
      <c r="N31" s="57" t="s">
        <v>18</v>
      </c>
      <c r="O31" s="57" t="s">
        <v>18</v>
      </c>
      <c r="P31" s="36" t="s">
        <v>17</v>
      </c>
      <c r="Q31" s="119" t="s">
        <v>23</v>
      </c>
      <c r="R31" s="118" t="s">
        <v>17</v>
      </c>
      <c r="S31" s="120">
        <v>22.1</v>
      </c>
    </row>
    <row r="32" ht="15.75" customHeight="1">
      <c r="A32" s="112" t="s">
        <v>76</v>
      </c>
      <c r="B32" s="113">
        <v>0.036</v>
      </c>
      <c r="C32" s="113">
        <v>-0.143</v>
      </c>
      <c r="D32" s="113">
        <v>0.169</v>
      </c>
      <c r="E32" s="113">
        <v>0.039</v>
      </c>
      <c r="F32" s="113">
        <v>0.57</v>
      </c>
      <c r="G32" s="113">
        <v>0.107</v>
      </c>
      <c r="H32" s="113">
        <v>0.315</v>
      </c>
      <c r="I32" s="114">
        <v>0.024</v>
      </c>
      <c r="J32" s="30" t="s">
        <v>23</v>
      </c>
      <c r="K32" s="31" t="s">
        <v>28</v>
      </c>
      <c r="L32" s="39" t="s">
        <v>16</v>
      </c>
      <c r="M32" s="30" t="s">
        <v>23</v>
      </c>
      <c r="N32" s="36" t="s">
        <v>17</v>
      </c>
      <c r="O32" s="31" t="s">
        <v>28</v>
      </c>
      <c r="P32" s="36" t="s">
        <v>17</v>
      </c>
      <c r="Q32" s="119" t="s">
        <v>23</v>
      </c>
      <c r="R32" s="124" t="s">
        <v>28</v>
      </c>
      <c r="S32" s="120">
        <v>15.6</v>
      </c>
    </row>
    <row r="33" ht="15.75" customHeight="1">
      <c r="A33" s="112" t="s">
        <v>78</v>
      </c>
      <c r="B33" s="113">
        <v>0.066</v>
      </c>
      <c r="C33" s="113">
        <v>-0.272</v>
      </c>
      <c r="D33" s="113">
        <v>0.175</v>
      </c>
      <c r="E33" s="113">
        <v>0.042</v>
      </c>
      <c r="F33" s="113">
        <v>0.49</v>
      </c>
      <c r="G33" s="113">
        <v>0.1</v>
      </c>
      <c r="H33" s="113">
        <v>0.309</v>
      </c>
      <c r="I33" s="114">
        <v>0.03</v>
      </c>
      <c r="J33" s="39" t="s">
        <v>16</v>
      </c>
      <c r="K33" s="31" t="s">
        <v>28</v>
      </c>
      <c r="L33" s="39" t="s">
        <v>16</v>
      </c>
      <c r="M33" s="31" t="s">
        <v>28</v>
      </c>
      <c r="N33" s="31" t="s">
        <v>28</v>
      </c>
      <c r="O33" s="31" t="s">
        <v>28</v>
      </c>
      <c r="P33" s="36" t="s">
        <v>17</v>
      </c>
      <c r="Q33" s="124" t="s">
        <v>28</v>
      </c>
      <c r="R33" s="124" t="s">
        <v>28</v>
      </c>
      <c r="S33" s="120">
        <v>16.5</v>
      </c>
    </row>
    <row r="34" ht="15.75" customHeight="1">
      <c r="A34" s="112" t="s">
        <v>79</v>
      </c>
      <c r="B34" s="113">
        <v>0.058</v>
      </c>
      <c r="C34" s="113">
        <v>0.137</v>
      </c>
      <c r="D34" s="113">
        <v>0.192</v>
      </c>
      <c r="E34" s="113">
        <v>0.058</v>
      </c>
      <c r="F34" s="113">
        <v>0.582</v>
      </c>
      <c r="G34" s="113">
        <v>0.144</v>
      </c>
      <c r="H34" s="113">
        <v>0.344</v>
      </c>
      <c r="I34" s="114">
        <v>0.033</v>
      </c>
      <c r="J34" s="39" t="s">
        <v>16</v>
      </c>
      <c r="K34" s="57" t="s">
        <v>18</v>
      </c>
      <c r="L34" s="36" t="s">
        <v>17</v>
      </c>
      <c r="M34" s="39" t="s">
        <v>16</v>
      </c>
      <c r="N34" s="36" t="s">
        <v>17</v>
      </c>
      <c r="O34" s="36" t="s">
        <v>17</v>
      </c>
      <c r="P34" s="36" t="s">
        <v>17</v>
      </c>
      <c r="Q34" s="115" t="s">
        <v>16</v>
      </c>
      <c r="R34" s="118" t="s">
        <v>17</v>
      </c>
      <c r="S34" s="14">
        <v>21.3</v>
      </c>
    </row>
    <row r="35" ht="15.75" customHeight="1">
      <c r="A35" s="112" t="s">
        <v>80</v>
      </c>
      <c r="B35" s="113">
        <v>0.086</v>
      </c>
      <c r="C35" s="113">
        <v>0.365</v>
      </c>
      <c r="D35" s="113">
        <v>0.193</v>
      </c>
      <c r="E35" s="113">
        <v>0.043</v>
      </c>
      <c r="F35" s="113">
        <v>0.644</v>
      </c>
      <c r="G35" s="113">
        <v>0.279</v>
      </c>
      <c r="H35" s="113">
        <v>0.3</v>
      </c>
      <c r="I35" s="114">
        <v>0.064</v>
      </c>
      <c r="J35" s="57" t="s">
        <v>18</v>
      </c>
      <c r="K35" s="57" t="s">
        <v>18</v>
      </c>
      <c r="L35" s="36" t="s">
        <v>17</v>
      </c>
      <c r="M35" s="31" t="s">
        <v>28</v>
      </c>
      <c r="N35" s="36" t="s">
        <v>17</v>
      </c>
      <c r="O35" s="57" t="s">
        <v>18</v>
      </c>
      <c r="P35" s="39" t="s">
        <v>16</v>
      </c>
      <c r="Q35" s="121" t="s">
        <v>18</v>
      </c>
      <c r="R35" s="118" t="s">
        <v>17</v>
      </c>
      <c r="S35" s="14">
        <v>22.6</v>
      </c>
    </row>
    <row r="36" ht="15.75" customHeight="1">
      <c r="A36" s="112" t="s">
        <v>83</v>
      </c>
      <c r="B36" s="113">
        <v>0.029</v>
      </c>
      <c r="C36" s="113">
        <v>-1.494</v>
      </c>
      <c r="D36" s="113">
        <v>0.096</v>
      </c>
      <c r="E36" s="113">
        <v>0.015</v>
      </c>
      <c r="F36" s="113">
        <v>0.243</v>
      </c>
      <c r="G36" s="113">
        <v>0.029</v>
      </c>
      <c r="H36" s="113">
        <v>0.236</v>
      </c>
      <c r="I36" s="114">
        <v>0.059</v>
      </c>
      <c r="J36" s="30" t="s">
        <v>23</v>
      </c>
      <c r="K36" s="56" t="s">
        <v>66</v>
      </c>
      <c r="L36" s="40" t="s">
        <v>25</v>
      </c>
      <c r="M36" s="40" t="s">
        <v>25</v>
      </c>
      <c r="N36" s="40" t="s">
        <v>25</v>
      </c>
      <c r="O36" s="56" t="s">
        <v>66</v>
      </c>
      <c r="P36" s="31" t="s">
        <v>28</v>
      </c>
      <c r="Q36" s="121" t="s">
        <v>18</v>
      </c>
      <c r="R36" s="119" t="s">
        <v>23</v>
      </c>
      <c r="S36" s="14">
        <v>10.8</v>
      </c>
    </row>
    <row r="37" ht="15.75" customHeight="1">
      <c r="A37" s="112" t="s">
        <v>84</v>
      </c>
      <c r="B37" s="113">
        <v>0.107</v>
      </c>
      <c r="C37" s="113">
        <v>0.622</v>
      </c>
      <c r="D37" s="113">
        <v>0.236</v>
      </c>
      <c r="E37" s="113">
        <v>0.075</v>
      </c>
      <c r="F37" s="113">
        <v>0.644</v>
      </c>
      <c r="G37" s="113">
        <v>0.161</v>
      </c>
      <c r="H37" s="113">
        <v>0.365</v>
      </c>
      <c r="I37" s="114">
        <v>0.043</v>
      </c>
      <c r="J37" s="57" t="s">
        <v>18</v>
      </c>
      <c r="K37" s="57" t="s">
        <v>18</v>
      </c>
      <c r="L37" s="57" t="s">
        <v>18</v>
      </c>
      <c r="M37" s="57" t="s">
        <v>18</v>
      </c>
      <c r="N37" s="36" t="s">
        <v>17</v>
      </c>
      <c r="O37" s="36" t="s">
        <v>17</v>
      </c>
      <c r="P37" s="57" t="s">
        <v>18</v>
      </c>
      <c r="Q37" s="118" t="s">
        <v>17</v>
      </c>
      <c r="R37" s="121" t="s">
        <v>18</v>
      </c>
      <c r="S37" s="14">
        <v>24.3</v>
      </c>
    </row>
    <row r="38" ht="15.75" customHeight="1">
      <c r="A38" s="112" t="s">
        <v>85</v>
      </c>
      <c r="B38" s="113">
        <v>0.031</v>
      </c>
      <c r="C38" s="113">
        <v>-1.347</v>
      </c>
      <c r="D38" s="113">
        <v>0.021</v>
      </c>
      <c r="E38" s="113">
        <v>0.01</v>
      </c>
      <c r="F38" s="113">
        <v>0.397</v>
      </c>
      <c r="G38" s="113">
        <v>0.063</v>
      </c>
      <c r="H38" s="113">
        <v>0.063</v>
      </c>
      <c r="I38" s="114">
        <v>0.063</v>
      </c>
      <c r="J38" s="30" t="s">
        <v>23</v>
      </c>
      <c r="K38" s="40" t="s">
        <v>25</v>
      </c>
      <c r="L38" s="56" t="s">
        <v>66</v>
      </c>
      <c r="M38" s="40" t="s">
        <v>25</v>
      </c>
      <c r="N38" s="40" t="s">
        <v>25</v>
      </c>
      <c r="O38" s="40" t="s">
        <v>25</v>
      </c>
      <c r="P38" s="56" t="s">
        <v>66</v>
      </c>
      <c r="Q38" s="121" t="s">
        <v>18</v>
      </c>
      <c r="R38" s="119" t="s">
        <v>23</v>
      </c>
      <c r="S38" s="14">
        <v>9.9</v>
      </c>
    </row>
    <row r="39" ht="15.75" customHeight="1">
      <c r="A39" s="112" t="s">
        <v>88</v>
      </c>
      <c r="B39" s="113">
        <v>0.023</v>
      </c>
      <c r="C39" s="113">
        <v>-0.284</v>
      </c>
      <c r="D39" s="113">
        <v>0.14</v>
      </c>
      <c r="E39" s="113">
        <v>0.056</v>
      </c>
      <c r="F39" s="113">
        <v>0.577</v>
      </c>
      <c r="G39" s="113">
        <v>0.121</v>
      </c>
      <c r="H39" s="113">
        <v>0.242</v>
      </c>
      <c r="I39" s="114">
        <v>0.023</v>
      </c>
      <c r="J39" s="40" t="s">
        <v>25</v>
      </c>
      <c r="K39" s="31" t="s">
        <v>28</v>
      </c>
      <c r="L39" s="31" t="s">
        <v>28</v>
      </c>
      <c r="M39" s="39" t="s">
        <v>16</v>
      </c>
      <c r="N39" s="36" t="s">
        <v>17</v>
      </c>
      <c r="O39" s="39" t="s">
        <v>16</v>
      </c>
      <c r="P39" s="31" t="s">
        <v>28</v>
      </c>
      <c r="Q39" s="119" t="s">
        <v>23</v>
      </c>
      <c r="R39" s="124" t="s">
        <v>28</v>
      </c>
      <c r="S39" s="14">
        <v>15.5</v>
      </c>
    </row>
    <row r="40" ht="15.75" customHeight="1">
      <c r="A40" s="112" t="s">
        <v>195</v>
      </c>
      <c r="B40" s="113">
        <v>0.0</v>
      </c>
      <c r="C40" s="113">
        <v>-2.699</v>
      </c>
      <c r="D40" s="113">
        <v>0.059</v>
      </c>
      <c r="E40" s="113">
        <v>0.0</v>
      </c>
      <c r="F40" s="113">
        <v>0.235</v>
      </c>
      <c r="G40" s="113">
        <v>0.0</v>
      </c>
      <c r="H40" s="113">
        <v>0.117</v>
      </c>
      <c r="I40" s="114">
        <v>0.0</v>
      </c>
      <c r="J40" s="56" t="s">
        <v>66</v>
      </c>
      <c r="K40" s="56" t="s">
        <v>66</v>
      </c>
      <c r="L40" s="56" t="s">
        <v>66</v>
      </c>
      <c r="M40" s="56" t="s">
        <v>66</v>
      </c>
      <c r="N40" s="40" t="s">
        <v>25</v>
      </c>
      <c r="O40" s="56" t="s">
        <v>66</v>
      </c>
      <c r="P40" s="56" t="s">
        <v>66</v>
      </c>
      <c r="Q40" s="123" t="s">
        <v>66</v>
      </c>
      <c r="R40" s="123" t="s">
        <v>66</v>
      </c>
      <c r="S40" s="14">
        <v>4.1</v>
      </c>
    </row>
    <row r="41" ht="15.75" customHeight="1">
      <c r="A41" s="112" t="s">
        <v>95</v>
      </c>
      <c r="B41" s="113">
        <v>0.089</v>
      </c>
      <c r="C41" s="113">
        <v>-0.239</v>
      </c>
      <c r="D41" s="113">
        <v>0.131</v>
      </c>
      <c r="E41" s="113">
        <v>0.023</v>
      </c>
      <c r="F41" s="113">
        <v>0.577</v>
      </c>
      <c r="G41" s="113">
        <v>0.098</v>
      </c>
      <c r="H41" s="113">
        <v>0.249</v>
      </c>
      <c r="I41" s="114">
        <v>0.052</v>
      </c>
      <c r="J41" s="57" t="s">
        <v>18</v>
      </c>
      <c r="K41" s="31" t="s">
        <v>28</v>
      </c>
      <c r="L41" s="30" t="s">
        <v>23</v>
      </c>
      <c r="M41" s="30" t="s">
        <v>23</v>
      </c>
      <c r="N41" s="36" t="s">
        <v>17</v>
      </c>
      <c r="O41" s="31" t="s">
        <v>28</v>
      </c>
      <c r="P41" s="31" t="s">
        <v>28</v>
      </c>
      <c r="Q41" s="121" t="s">
        <v>18</v>
      </c>
      <c r="R41" s="115" t="s">
        <v>16</v>
      </c>
      <c r="S41" s="14">
        <v>17.6</v>
      </c>
    </row>
    <row r="42" ht="15.75" customHeight="1">
      <c r="A42" s="112" t="s">
        <v>98</v>
      </c>
      <c r="B42" s="113">
        <v>0.094</v>
      </c>
      <c r="C42" s="113">
        <v>0.047</v>
      </c>
      <c r="D42" s="113">
        <v>0.191</v>
      </c>
      <c r="E42" s="113">
        <v>0.059</v>
      </c>
      <c r="F42" s="113">
        <v>0.576</v>
      </c>
      <c r="G42" s="113">
        <v>0.103</v>
      </c>
      <c r="H42" s="113">
        <v>0.35</v>
      </c>
      <c r="I42" s="114">
        <v>0.038</v>
      </c>
      <c r="J42" s="57" t="s">
        <v>18</v>
      </c>
      <c r="K42" s="36" t="s">
        <v>17</v>
      </c>
      <c r="L42" s="36" t="s">
        <v>17</v>
      </c>
      <c r="M42" s="39" t="s">
        <v>16</v>
      </c>
      <c r="N42" s="36" t="s">
        <v>17</v>
      </c>
      <c r="O42" s="31" t="s">
        <v>28</v>
      </c>
      <c r="P42" s="36" t="s">
        <v>17</v>
      </c>
      <c r="Q42" s="115" t="s">
        <v>16</v>
      </c>
      <c r="R42" s="115" t="s">
        <v>16</v>
      </c>
      <c r="S42" s="14">
        <v>20.2</v>
      </c>
    </row>
    <row r="43" ht="15.75" customHeight="1">
      <c r="A43" s="112" t="s">
        <v>196</v>
      </c>
      <c r="B43" s="113">
        <v>0.089</v>
      </c>
      <c r="C43" s="113">
        <v>-0.357</v>
      </c>
      <c r="D43" s="113">
        <v>0.089</v>
      </c>
      <c r="E43" s="113">
        <v>0.0</v>
      </c>
      <c r="F43" s="113">
        <v>0.476</v>
      </c>
      <c r="G43" s="113">
        <v>0.06</v>
      </c>
      <c r="H43" s="113">
        <v>0.208</v>
      </c>
      <c r="I43" s="114">
        <v>0.0</v>
      </c>
      <c r="J43" s="57" t="s">
        <v>18</v>
      </c>
      <c r="K43" s="31" t="s">
        <v>28</v>
      </c>
      <c r="L43" s="56" t="s">
        <v>66</v>
      </c>
      <c r="M43" s="56" t="s">
        <v>66</v>
      </c>
      <c r="N43" s="30" t="s">
        <v>23</v>
      </c>
      <c r="O43" s="40" t="s">
        <v>25</v>
      </c>
      <c r="P43" s="30" t="s">
        <v>23</v>
      </c>
      <c r="Q43" s="123" t="s">
        <v>66</v>
      </c>
      <c r="R43" s="119" t="s">
        <v>23</v>
      </c>
      <c r="S43" s="14">
        <v>9.6</v>
      </c>
    </row>
    <row r="44" ht="15.75" customHeight="1">
      <c r="A44" s="112" t="s">
        <v>99</v>
      </c>
      <c r="B44" s="113">
        <v>0.012</v>
      </c>
      <c r="C44" s="113">
        <v>-0.416</v>
      </c>
      <c r="D44" s="113">
        <v>0.117</v>
      </c>
      <c r="E44" s="113">
        <v>0.06</v>
      </c>
      <c r="F44" s="113">
        <v>0.593</v>
      </c>
      <c r="G44" s="113">
        <v>0.136</v>
      </c>
      <c r="H44" s="113">
        <v>0.198</v>
      </c>
      <c r="I44" s="114">
        <v>0.006</v>
      </c>
      <c r="J44" s="56" t="s">
        <v>66</v>
      </c>
      <c r="K44" s="30" t="s">
        <v>23</v>
      </c>
      <c r="L44" s="30" t="s">
        <v>23</v>
      </c>
      <c r="M44" s="39" t="s">
        <v>16</v>
      </c>
      <c r="N44" s="36" t="s">
        <v>17</v>
      </c>
      <c r="O44" s="36" t="s">
        <v>17</v>
      </c>
      <c r="P44" s="40" t="s">
        <v>25</v>
      </c>
      <c r="Q44" s="123" t="s">
        <v>66</v>
      </c>
      <c r="R44" s="119" t="s">
        <v>23</v>
      </c>
      <c r="S44" s="14">
        <v>12.7</v>
      </c>
    </row>
    <row r="45" ht="15.75" customHeight="1">
      <c r="A45" s="112" t="s">
        <v>100</v>
      </c>
      <c r="B45" s="113">
        <v>0.031</v>
      </c>
      <c r="C45" s="113">
        <v>-0.809</v>
      </c>
      <c r="D45" s="113">
        <v>0.145</v>
      </c>
      <c r="E45" s="113">
        <v>0.037</v>
      </c>
      <c r="F45" s="113">
        <v>0.498</v>
      </c>
      <c r="G45" s="113">
        <v>0.102</v>
      </c>
      <c r="H45" s="113">
        <v>0.274</v>
      </c>
      <c r="I45" s="114">
        <v>0.034</v>
      </c>
      <c r="J45" s="30" t="s">
        <v>23</v>
      </c>
      <c r="K45" s="40" t="s">
        <v>25</v>
      </c>
      <c r="L45" s="31" t="s">
        <v>28</v>
      </c>
      <c r="M45" s="30" t="s">
        <v>23</v>
      </c>
      <c r="N45" s="31" t="s">
        <v>28</v>
      </c>
      <c r="O45" s="31" t="s">
        <v>28</v>
      </c>
      <c r="P45" s="39" t="s">
        <v>16</v>
      </c>
      <c r="Q45" s="115" t="s">
        <v>16</v>
      </c>
      <c r="R45" s="124" t="s">
        <v>28</v>
      </c>
      <c r="S45" s="14">
        <v>14.2</v>
      </c>
    </row>
    <row r="46" ht="15.75" customHeight="1">
      <c r="A46" s="112" t="s">
        <v>102</v>
      </c>
      <c r="B46" s="113">
        <v>0.04</v>
      </c>
      <c r="C46" s="113">
        <v>-0.709</v>
      </c>
      <c r="D46" s="113">
        <v>0.12</v>
      </c>
      <c r="E46" s="113">
        <v>0.008</v>
      </c>
      <c r="F46" s="113">
        <v>0.215</v>
      </c>
      <c r="G46" s="113">
        <v>0.064</v>
      </c>
      <c r="H46" s="113">
        <v>0.191</v>
      </c>
      <c r="I46" s="114">
        <v>0.064</v>
      </c>
      <c r="J46" s="31" t="s">
        <v>28</v>
      </c>
      <c r="K46" s="40" t="s">
        <v>25</v>
      </c>
      <c r="L46" s="30" t="s">
        <v>23</v>
      </c>
      <c r="M46" s="56" t="s">
        <v>66</v>
      </c>
      <c r="N46" s="56" t="s">
        <v>66</v>
      </c>
      <c r="O46" s="40" t="s">
        <v>25</v>
      </c>
      <c r="P46" s="40" t="s">
        <v>25</v>
      </c>
      <c r="Q46" s="121" t="s">
        <v>18</v>
      </c>
      <c r="R46" s="119" t="s">
        <v>23</v>
      </c>
      <c r="S46" s="14">
        <v>10.3</v>
      </c>
    </row>
    <row r="47" ht="15.75" customHeight="1">
      <c r="A47" s="112" t="s">
        <v>104</v>
      </c>
      <c r="B47" s="113">
        <v>0.053</v>
      </c>
      <c r="C47" s="113">
        <v>-0.865</v>
      </c>
      <c r="D47" s="113">
        <v>0.14</v>
      </c>
      <c r="E47" s="113">
        <v>0.027</v>
      </c>
      <c r="F47" s="113">
        <v>0.363</v>
      </c>
      <c r="G47" s="113">
        <v>0.074</v>
      </c>
      <c r="H47" s="113">
        <v>0.245</v>
      </c>
      <c r="I47" s="114">
        <v>0.045</v>
      </c>
      <c r="J47" s="39" t="s">
        <v>16</v>
      </c>
      <c r="K47" s="40" t="s">
        <v>25</v>
      </c>
      <c r="L47" s="31" t="s">
        <v>28</v>
      </c>
      <c r="M47" s="30" t="s">
        <v>23</v>
      </c>
      <c r="N47" s="40" t="s">
        <v>25</v>
      </c>
      <c r="O47" s="40" t="s">
        <v>25</v>
      </c>
      <c r="P47" s="31" t="s">
        <v>28</v>
      </c>
      <c r="Q47" s="118" t="s">
        <v>17</v>
      </c>
      <c r="R47" s="119" t="s">
        <v>23</v>
      </c>
      <c r="S47" s="14">
        <v>12.8</v>
      </c>
    </row>
    <row r="48" ht="15.75" customHeight="1">
      <c r="A48" s="112" t="s">
        <v>107</v>
      </c>
      <c r="B48" s="113">
        <v>0.088</v>
      </c>
      <c r="C48" s="113">
        <v>-0.377</v>
      </c>
      <c r="D48" s="113">
        <v>0.182</v>
      </c>
      <c r="E48" s="113">
        <v>0.044</v>
      </c>
      <c r="F48" s="113">
        <v>0.502</v>
      </c>
      <c r="G48" s="113">
        <v>0.108</v>
      </c>
      <c r="H48" s="113">
        <v>0.33</v>
      </c>
      <c r="I48" s="114">
        <v>0.071</v>
      </c>
      <c r="J48" s="57" t="s">
        <v>18</v>
      </c>
      <c r="K48" s="31" t="s">
        <v>28</v>
      </c>
      <c r="L48" s="36" t="s">
        <v>17</v>
      </c>
      <c r="M48" s="31" t="s">
        <v>28</v>
      </c>
      <c r="N48" s="31" t="s">
        <v>28</v>
      </c>
      <c r="O48" s="39" t="s">
        <v>16</v>
      </c>
      <c r="P48" s="36" t="s">
        <v>17</v>
      </c>
      <c r="Q48" s="121" t="s">
        <v>18</v>
      </c>
      <c r="R48" s="115" t="s">
        <v>16</v>
      </c>
      <c r="S48" s="14">
        <v>19.7</v>
      </c>
    </row>
    <row r="49" ht="15.75" customHeight="1">
      <c r="A49" s="112" t="s">
        <v>108</v>
      </c>
      <c r="B49" s="113">
        <v>0.0</v>
      </c>
      <c r="C49" s="113">
        <v>0.826</v>
      </c>
      <c r="D49" s="113">
        <v>0.113</v>
      </c>
      <c r="E49" s="113">
        <v>0.113</v>
      </c>
      <c r="F49" s="113">
        <v>0.826</v>
      </c>
      <c r="G49" s="113">
        <v>0.188</v>
      </c>
      <c r="H49" s="113">
        <v>0.263</v>
      </c>
      <c r="I49" s="114">
        <v>0.0</v>
      </c>
      <c r="J49" s="56" t="s">
        <v>66</v>
      </c>
      <c r="K49" s="57" t="s">
        <v>18</v>
      </c>
      <c r="L49" s="30" t="s">
        <v>23</v>
      </c>
      <c r="M49" s="57" t="s">
        <v>18</v>
      </c>
      <c r="N49" s="57" t="s">
        <v>18</v>
      </c>
      <c r="O49" s="57" t="s">
        <v>18</v>
      </c>
      <c r="P49" s="39" t="s">
        <v>16</v>
      </c>
      <c r="Q49" s="123" t="s">
        <v>66</v>
      </c>
      <c r="R49" s="115" t="s">
        <v>16</v>
      </c>
      <c r="S49" s="14">
        <v>18.5</v>
      </c>
    </row>
    <row r="50" ht="15.75" customHeight="1">
      <c r="A50" s="112" t="s">
        <v>109</v>
      </c>
      <c r="B50" s="113">
        <v>0.061</v>
      </c>
      <c r="C50" s="113">
        <v>-0.476</v>
      </c>
      <c r="D50" s="113">
        <v>0.112</v>
      </c>
      <c r="E50" s="113">
        <v>0.036</v>
      </c>
      <c r="F50" s="113">
        <v>0.444</v>
      </c>
      <c r="G50" s="113">
        <v>0.077</v>
      </c>
      <c r="H50" s="113">
        <v>0.212</v>
      </c>
      <c r="I50" s="114">
        <v>0.029</v>
      </c>
      <c r="J50" s="39" t="s">
        <v>16</v>
      </c>
      <c r="K50" s="30" t="s">
        <v>23</v>
      </c>
      <c r="L50" s="30" t="s">
        <v>23</v>
      </c>
      <c r="M50" s="30" t="s">
        <v>23</v>
      </c>
      <c r="N50" s="30" t="s">
        <v>23</v>
      </c>
      <c r="O50" s="30" t="s">
        <v>23</v>
      </c>
      <c r="P50" s="30" t="s">
        <v>23</v>
      </c>
      <c r="Q50" s="119" t="s">
        <v>23</v>
      </c>
      <c r="R50" s="119" t="s">
        <v>23</v>
      </c>
      <c r="S50" s="14">
        <v>11.7</v>
      </c>
    </row>
    <row r="51" ht="15.75" customHeight="1">
      <c r="A51" s="112" t="s">
        <v>112</v>
      </c>
      <c r="B51" s="113">
        <v>0.0</v>
      </c>
      <c r="C51" s="113">
        <v>-1.587</v>
      </c>
      <c r="D51" s="113">
        <v>0.216</v>
      </c>
      <c r="E51" s="113">
        <v>0.0</v>
      </c>
      <c r="F51" s="113">
        <v>0.288</v>
      </c>
      <c r="G51" s="113">
        <v>0.0</v>
      </c>
      <c r="H51" s="113">
        <v>0.216</v>
      </c>
      <c r="I51" s="114">
        <v>0.072</v>
      </c>
      <c r="J51" s="56" t="s">
        <v>66</v>
      </c>
      <c r="K51" s="56" t="s">
        <v>66</v>
      </c>
      <c r="L51" s="57" t="s">
        <v>18</v>
      </c>
      <c r="M51" s="56" t="s">
        <v>66</v>
      </c>
      <c r="N51" s="40" t="s">
        <v>25</v>
      </c>
      <c r="O51" s="56" t="s">
        <v>66</v>
      </c>
      <c r="P51" s="30" t="s">
        <v>23</v>
      </c>
      <c r="Q51" s="121" t="s">
        <v>18</v>
      </c>
      <c r="R51" s="119" t="s">
        <v>23</v>
      </c>
      <c r="S51" s="14">
        <v>10.1</v>
      </c>
    </row>
    <row r="52" ht="15.75" customHeight="1">
      <c r="A52" s="112" t="s">
        <v>113</v>
      </c>
      <c r="B52" s="113">
        <v>0.031</v>
      </c>
      <c r="C52" s="113">
        <v>-1.333</v>
      </c>
      <c r="D52" s="113">
        <v>0.113</v>
      </c>
      <c r="E52" s="113">
        <v>0.01</v>
      </c>
      <c r="F52" s="113">
        <v>0.371</v>
      </c>
      <c r="G52" s="113">
        <v>0.062</v>
      </c>
      <c r="H52" s="113">
        <v>0.196</v>
      </c>
      <c r="I52" s="114">
        <v>0.046</v>
      </c>
      <c r="J52" s="30" t="s">
        <v>23</v>
      </c>
      <c r="K52" s="40" t="s">
        <v>25</v>
      </c>
      <c r="L52" s="30" t="s">
        <v>23</v>
      </c>
      <c r="M52" s="40" t="s">
        <v>25</v>
      </c>
      <c r="N52" s="40" t="s">
        <v>25</v>
      </c>
      <c r="O52" s="40" t="s">
        <v>25</v>
      </c>
      <c r="P52" s="40" t="s">
        <v>25</v>
      </c>
      <c r="Q52" s="118" t="s">
        <v>17</v>
      </c>
      <c r="R52" s="119" t="s">
        <v>23</v>
      </c>
      <c r="S52" s="14">
        <v>10.3</v>
      </c>
    </row>
    <row r="53" ht="15.75" customHeight="1">
      <c r="A53" s="112" t="s">
        <v>114</v>
      </c>
      <c r="B53" s="113">
        <v>0.027</v>
      </c>
      <c r="C53" s="113">
        <v>-0.462</v>
      </c>
      <c r="D53" s="113">
        <v>0.154</v>
      </c>
      <c r="E53" s="113">
        <v>0.02</v>
      </c>
      <c r="F53" s="113">
        <v>0.519</v>
      </c>
      <c r="G53" s="113">
        <v>0.087</v>
      </c>
      <c r="H53" s="113">
        <v>0.272</v>
      </c>
      <c r="I53" s="114">
        <v>0.016</v>
      </c>
      <c r="J53" s="40" t="s">
        <v>25</v>
      </c>
      <c r="K53" s="30" t="s">
        <v>23</v>
      </c>
      <c r="L53" s="39" t="s">
        <v>16</v>
      </c>
      <c r="M53" s="30" t="s">
        <v>23</v>
      </c>
      <c r="N53" s="31" t="s">
        <v>28</v>
      </c>
      <c r="O53" s="30" t="s">
        <v>23</v>
      </c>
      <c r="P53" s="39" t="s">
        <v>16</v>
      </c>
      <c r="Q53" s="122" t="s">
        <v>25</v>
      </c>
      <c r="R53" s="119" t="s">
        <v>23</v>
      </c>
      <c r="S53" s="14">
        <v>12.2</v>
      </c>
    </row>
    <row r="54" ht="15.75" customHeight="1">
      <c r="A54" s="112" t="s">
        <v>115</v>
      </c>
      <c r="B54" s="113">
        <v>0.038</v>
      </c>
      <c r="C54" s="113">
        <v>0.078</v>
      </c>
      <c r="D54" s="113">
        <v>0.21</v>
      </c>
      <c r="E54" s="113">
        <v>0.045</v>
      </c>
      <c r="F54" s="113">
        <v>0.808</v>
      </c>
      <c r="G54" s="113">
        <v>0.186</v>
      </c>
      <c r="H54" s="113">
        <v>0.345</v>
      </c>
      <c r="I54" s="114">
        <v>0.031</v>
      </c>
      <c r="J54" s="31" t="s">
        <v>28</v>
      </c>
      <c r="K54" s="57" t="s">
        <v>18</v>
      </c>
      <c r="L54" s="57" t="s">
        <v>18</v>
      </c>
      <c r="M54" s="31" t="s">
        <v>28</v>
      </c>
      <c r="N54" s="57" t="s">
        <v>18</v>
      </c>
      <c r="O54" s="57" t="s">
        <v>18</v>
      </c>
      <c r="P54" s="36" t="s">
        <v>17</v>
      </c>
      <c r="Q54" s="124" t="s">
        <v>28</v>
      </c>
      <c r="R54" s="118" t="s">
        <v>17</v>
      </c>
      <c r="S54" s="14">
        <v>21.1</v>
      </c>
    </row>
    <row r="55" ht="15.75" customHeight="1">
      <c r="A55" s="112" t="s">
        <v>118</v>
      </c>
      <c r="B55" s="113">
        <v>0.0</v>
      </c>
      <c r="C55" s="113">
        <v>-2.254</v>
      </c>
      <c r="D55" s="113">
        <v>0.0</v>
      </c>
      <c r="E55" s="113">
        <v>0.0</v>
      </c>
      <c r="F55" s="113">
        <v>0.215</v>
      </c>
      <c r="G55" s="113">
        <v>0.107</v>
      </c>
      <c r="H55" s="113">
        <v>0.107</v>
      </c>
      <c r="I55" s="114">
        <v>0.0</v>
      </c>
      <c r="J55" s="56" t="s">
        <v>66</v>
      </c>
      <c r="K55" s="56" t="s">
        <v>66</v>
      </c>
      <c r="L55" s="56" t="s">
        <v>66</v>
      </c>
      <c r="M55" s="56" t="s">
        <v>66</v>
      </c>
      <c r="N55" s="56" t="s">
        <v>66</v>
      </c>
      <c r="O55" s="31" t="s">
        <v>28</v>
      </c>
      <c r="P55" s="56" t="s">
        <v>66</v>
      </c>
      <c r="Q55" s="123" t="s">
        <v>66</v>
      </c>
      <c r="R55" s="123" t="s">
        <v>66</v>
      </c>
      <c r="S55" s="14">
        <v>5.5</v>
      </c>
    </row>
    <row r="56" ht="15.75" customHeight="1">
      <c r="A56" s="112" t="s">
        <v>120</v>
      </c>
      <c r="B56" s="113">
        <v>0.0</v>
      </c>
      <c r="C56" s="113">
        <v>0.0</v>
      </c>
      <c r="D56" s="113">
        <v>0.066</v>
      </c>
      <c r="E56" s="113">
        <v>0.066</v>
      </c>
      <c r="F56" s="113">
        <v>0.529</v>
      </c>
      <c r="G56" s="113">
        <v>0.0</v>
      </c>
      <c r="H56" s="113">
        <v>0.132</v>
      </c>
      <c r="I56" s="114">
        <v>0.0</v>
      </c>
      <c r="J56" s="56" t="s">
        <v>66</v>
      </c>
      <c r="K56" s="39" t="s">
        <v>16</v>
      </c>
      <c r="L56" s="56" t="s">
        <v>66</v>
      </c>
      <c r="M56" s="36" t="s">
        <v>17</v>
      </c>
      <c r="N56" s="31" t="s">
        <v>28</v>
      </c>
      <c r="O56" s="56" t="s">
        <v>66</v>
      </c>
      <c r="P56" s="56" t="s">
        <v>66</v>
      </c>
      <c r="Q56" s="123" t="s">
        <v>66</v>
      </c>
      <c r="R56" s="119" t="s">
        <v>23</v>
      </c>
      <c r="S56" s="14">
        <v>9.4</v>
      </c>
    </row>
    <row r="57" ht="15.75" customHeight="1">
      <c r="A57" s="112" t="s">
        <v>121</v>
      </c>
      <c r="B57" s="113">
        <v>0.058</v>
      </c>
      <c r="C57" s="113">
        <v>0.12</v>
      </c>
      <c r="D57" s="113">
        <v>0.126</v>
      </c>
      <c r="E57" s="113">
        <v>0.044</v>
      </c>
      <c r="F57" s="113">
        <v>0.532</v>
      </c>
      <c r="G57" s="113">
        <v>0.109</v>
      </c>
      <c r="H57" s="113">
        <v>0.232</v>
      </c>
      <c r="I57" s="114">
        <v>0.03</v>
      </c>
      <c r="J57" s="39" t="s">
        <v>16</v>
      </c>
      <c r="K57" s="57" t="s">
        <v>18</v>
      </c>
      <c r="L57" s="30" t="s">
        <v>23</v>
      </c>
      <c r="M57" s="31" t="s">
        <v>28</v>
      </c>
      <c r="N57" s="39" t="s">
        <v>16</v>
      </c>
      <c r="O57" s="39" t="s">
        <v>16</v>
      </c>
      <c r="P57" s="31" t="s">
        <v>28</v>
      </c>
      <c r="Q57" s="124" t="s">
        <v>28</v>
      </c>
      <c r="R57" s="115" t="s">
        <v>16</v>
      </c>
      <c r="S57" s="14">
        <v>17.4</v>
      </c>
    </row>
    <row r="58" ht="15.75" customHeight="1">
      <c r="A58" s="112" t="s">
        <v>125</v>
      </c>
      <c r="B58" s="113">
        <v>0.041</v>
      </c>
      <c r="C58" s="113">
        <v>-1.103</v>
      </c>
      <c r="D58" s="113">
        <v>0.11</v>
      </c>
      <c r="E58" s="113">
        <v>0.017</v>
      </c>
      <c r="F58" s="113">
        <v>0.308</v>
      </c>
      <c r="G58" s="113">
        <v>0.044</v>
      </c>
      <c r="H58" s="113">
        <v>0.193</v>
      </c>
      <c r="I58" s="114">
        <v>0.019</v>
      </c>
      <c r="J58" s="31" t="s">
        <v>28</v>
      </c>
      <c r="K58" s="40" t="s">
        <v>25</v>
      </c>
      <c r="L58" s="40" t="s">
        <v>25</v>
      </c>
      <c r="M58" s="30" t="s">
        <v>23</v>
      </c>
      <c r="N58" s="40" t="s">
        <v>25</v>
      </c>
      <c r="O58" s="40" t="s">
        <v>25</v>
      </c>
      <c r="P58" s="40" t="s">
        <v>25</v>
      </c>
      <c r="Q58" s="122" t="s">
        <v>25</v>
      </c>
      <c r="R58" s="122" t="s">
        <v>25</v>
      </c>
      <c r="S58" s="14">
        <v>8.5</v>
      </c>
    </row>
    <row r="59" ht="15.75" customHeight="1">
      <c r="A59" s="112" t="s">
        <v>126</v>
      </c>
      <c r="B59" s="113">
        <v>0.031</v>
      </c>
      <c r="C59" s="113">
        <v>-0.465</v>
      </c>
      <c r="D59" s="113">
        <v>0.116</v>
      </c>
      <c r="E59" s="113">
        <v>0.039</v>
      </c>
      <c r="F59" s="113">
        <v>0.434</v>
      </c>
      <c r="G59" s="113">
        <v>0.07</v>
      </c>
      <c r="H59" s="113">
        <v>0.24</v>
      </c>
      <c r="I59" s="114">
        <v>0.039</v>
      </c>
      <c r="J59" s="30" t="s">
        <v>23</v>
      </c>
      <c r="K59" s="30" t="s">
        <v>23</v>
      </c>
      <c r="L59" s="30" t="s">
        <v>23</v>
      </c>
      <c r="M59" s="30" t="s">
        <v>23</v>
      </c>
      <c r="N59" s="40" t="s">
        <v>25</v>
      </c>
      <c r="O59" s="40" t="s">
        <v>25</v>
      </c>
      <c r="P59" s="31" t="s">
        <v>28</v>
      </c>
      <c r="Q59" s="115" t="s">
        <v>16</v>
      </c>
      <c r="R59" s="119" t="s">
        <v>23</v>
      </c>
      <c r="S59" s="14">
        <v>11.9</v>
      </c>
    </row>
    <row r="60" ht="15.75" customHeight="1">
      <c r="A60" s="112" t="s">
        <v>129</v>
      </c>
      <c r="B60" s="113">
        <v>0.1</v>
      </c>
      <c r="C60" s="113">
        <v>0.285</v>
      </c>
      <c r="D60" s="113">
        <v>0.171</v>
      </c>
      <c r="E60" s="113">
        <v>0.097</v>
      </c>
      <c r="F60" s="113">
        <v>0.715</v>
      </c>
      <c r="G60" s="113">
        <v>0.168</v>
      </c>
      <c r="H60" s="113">
        <v>0.317</v>
      </c>
      <c r="I60" s="114">
        <v>0.072</v>
      </c>
      <c r="J60" s="57" t="s">
        <v>18</v>
      </c>
      <c r="K60" s="57" t="s">
        <v>18</v>
      </c>
      <c r="L60" s="39" t="s">
        <v>16</v>
      </c>
      <c r="M60" s="57" t="s">
        <v>18</v>
      </c>
      <c r="N60" s="57" t="s">
        <v>18</v>
      </c>
      <c r="O60" s="36" t="s">
        <v>17</v>
      </c>
      <c r="P60" s="36" t="s">
        <v>17</v>
      </c>
      <c r="Q60" s="121" t="s">
        <v>18</v>
      </c>
      <c r="R60" s="121" t="s">
        <v>18</v>
      </c>
      <c r="S60" s="14">
        <v>24.3</v>
      </c>
    </row>
    <row r="61" ht="15.75" customHeight="1">
      <c r="A61" s="112" t="s">
        <v>132</v>
      </c>
      <c r="B61" s="113">
        <v>0.01</v>
      </c>
      <c r="C61" s="113">
        <v>-1.95</v>
      </c>
      <c r="D61" s="113">
        <v>0.094</v>
      </c>
      <c r="E61" s="113">
        <v>0.01</v>
      </c>
      <c r="F61" s="113">
        <v>0.282</v>
      </c>
      <c r="G61" s="113">
        <v>0.052</v>
      </c>
      <c r="H61" s="113">
        <v>0.156</v>
      </c>
      <c r="I61" s="114">
        <v>0.021</v>
      </c>
      <c r="J61" s="56" t="s">
        <v>66</v>
      </c>
      <c r="K61" s="56" t="s">
        <v>66</v>
      </c>
      <c r="L61" s="40" t="s">
        <v>25</v>
      </c>
      <c r="M61" s="40" t="s">
        <v>25</v>
      </c>
      <c r="N61" s="40" t="s">
        <v>25</v>
      </c>
      <c r="O61" s="40" t="s">
        <v>25</v>
      </c>
      <c r="P61" s="40" t="s">
        <v>25</v>
      </c>
      <c r="Q61" s="122" t="s">
        <v>25</v>
      </c>
      <c r="R61" s="122" t="s">
        <v>25</v>
      </c>
      <c r="S61" s="14">
        <v>6.6</v>
      </c>
    </row>
    <row r="62" ht="15.75" customHeight="1">
      <c r="A62" s="112" t="s">
        <v>133</v>
      </c>
      <c r="B62" s="113">
        <v>0.053</v>
      </c>
      <c r="C62" s="113">
        <v>-0.489</v>
      </c>
      <c r="D62" s="113">
        <v>0.171</v>
      </c>
      <c r="E62" s="113">
        <v>0.056</v>
      </c>
      <c r="F62" s="113">
        <v>0.56</v>
      </c>
      <c r="G62" s="113">
        <v>0.121</v>
      </c>
      <c r="H62" s="113">
        <v>0.278</v>
      </c>
      <c r="I62" s="114">
        <v>0.054</v>
      </c>
      <c r="J62" s="39" t="s">
        <v>16</v>
      </c>
      <c r="K62" s="30" t="s">
        <v>23</v>
      </c>
      <c r="L62" s="39" t="s">
        <v>16</v>
      </c>
      <c r="M62" s="39" t="s">
        <v>16</v>
      </c>
      <c r="N62" s="39" t="s">
        <v>16</v>
      </c>
      <c r="O62" s="39" t="s">
        <v>16</v>
      </c>
      <c r="P62" s="39" t="s">
        <v>16</v>
      </c>
      <c r="Q62" s="121" t="s">
        <v>18</v>
      </c>
      <c r="R62" s="115" t="s">
        <v>16</v>
      </c>
      <c r="S62" s="14">
        <v>18.7</v>
      </c>
    </row>
    <row r="63" ht="15.75" customHeight="1">
      <c r="A63" s="112" t="s">
        <v>135</v>
      </c>
      <c r="B63" s="113">
        <v>0.0</v>
      </c>
      <c r="C63" s="113">
        <v>-2.173</v>
      </c>
      <c r="D63" s="113">
        <v>0.0</v>
      </c>
      <c r="E63" s="113">
        <v>0.0</v>
      </c>
      <c r="F63" s="113">
        <v>0.31</v>
      </c>
      <c r="G63" s="113">
        <v>0.0</v>
      </c>
      <c r="H63" s="113">
        <v>0.0</v>
      </c>
      <c r="I63" s="114">
        <v>0.0</v>
      </c>
      <c r="J63" s="56" t="s">
        <v>66</v>
      </c>
      <c r="K63" s="56" t="s">
        <v>66</v>
      </c>
      <c r="L63" s="56" t="s">
        <v>66</v>
      </c>
      <c r="M63" s="56" t="s">
        <v>66</v>
      </c>
      <c r="N63" s="40" t="s">
        <v>25</v>
      </c>
      <c r="O63" s="56" t="s">
        <v>66</v>
      </c>
      <c r="P63" s="56" t="s">
        <v>66</v>
      </c>
      <c r="Q63" s="123" t="s">
        <v>66</v>
      </c>
      <c r="R63" s="123" t="s">
        <v>66</v>
      </c>
      <c r="S63" s="14">
        <v>4.1</v>
      </c>
    </row>
    <row r="64" ht="15.75" customHeight="1">
      <c r="A64" s="112" t="s">
        <v>136</v>
      </c>
      <c r="B64" s="113">
        <v>0.1</v>
      </c>
      <c r="C64" s="113">
        <v>0.0</v>
      </c>
      <c r="D64" s="113">
        <v>0.206</v>
      </c>
      <c r="E64" s="113">
        <v>0.057</v>
      </c>
      <c r="F64" s="113">
        <v>0.509</v>
      </c>
      <c r="G64" s="113">
        <v>0.087</v>
      </c>
      <c r="H64" s="113">
        <v>0.343</v>
      </c>
      <c r="I64" s="114">
        <v>0.083</v>
      </c>
      <c r="J64" s="57" t="s">
        <v>18</v>
      </c>
      <c r="K64" s="39" t="s">
        <v>16</v>
      </c>
      <c r="L64" s="36" t="s">
        <v>17</v>
      </c>
      <c r="M64" s="39" t="s">
        <v>16</v>
      </c>
      <c r="N64" s="31" t="s">
        <v>28</v>
      </c>
      <c r="O64" s="30" t="s">
        <v>23</v>
      </c>
      <c r="P64" s="36" t="s">
        <v>17</v>
      </c>
      <c r="Q64" s="121" t="s">
        <v>18</v>
      </c>
      <c r="R64" s="115" t="s">
        <v>16</v>
      </c>
      <c r="S64" s="14">
        <v>19.5</v>
      </c>
    </row>
    <row r="65" ht="15.75" customHeight="1">
      <c r="A65" s="112" t="s">
        <v>137</v>
      </c>
      <c r="B65" s="113">
        <v>0.03</v>
      </c>
      <c r="C65" s="113">
        <v>-0.389</v>
      </c>
      <c r="D65" s="113">
        <v>0.09</v>
      </c>
      <c r="E65" s="113">
        <v>0.09</v>
      </c>
      <c r="F65" s="113">
        <v>0.883</v>
      </c>
      <c r="G65" s="113">
        <v>0.269</v>
      </c>
      <c r="H65" s="113">
        <v>0.165</v>
      </c>
      <c r="I65" s="114">
        <v>0.0</v>
      </c>
      <c r="J65" s="30" t="s">
        <v>23</v>
      </c>
      <c r="K65" s="30" t="s">
        <v>23</v>
      </c>
      <c r="L65" s="56" t="s">
        <v>66</v>
      </c>
      <c r="M65" s="57" t="s">
        <v>18</v>
      </c>
      <c r="N65" s="57" t="s">
        <v>18</v>
      </c>
      <c r="O65" s="57" t="s">
        <v>18</v>
      </c>
      <c r="P65" s="40" t="s">
        <v>25</v>
      </c>
      <c r="Q65" s="123" t="s">
        <v>66</v>
      </c>
      <c r="R65" s="124" t="s">
        <v>28</v>
      </c>
      <c r="S65" s="14">
        <v>14.9</v>
      </c>
    </row>
    <row r="66" ht="15.75" customHeight="1">
      <c r="A66" s="112" t="s">
        <v>139</v>
      </c>
      <c r="B66" s="113">
        <v>0.043</v>
      </c>
      <c r="C66" s="113">
        <v>-0.095</v>
      </c>
      <c r="D66" s="113">
        <v>0.145</v>
      </c>
      <c r="E66" s="113">
        <v>0.052</v>
      </c>
      <c r="F66" s="113">
        <v>0.506</v>
      </c>
      <c r="G66" s="113">
        <v>0.108</v>
      </c>
      <c r="H66" s="113">
        <v>0.27</v>
      </c>
      <c r="I66" s="114">
        <v>0.032</v>
      </c>
      <c r="J66" s="31" t="s">
        <v>28</v>
      </c>
      <c r="K66" s="39" t="s">
        <v>16</v>
      </c>
      <c r="L66" s="31" t="s">
        <v>28</v>
      </c>
      <c r="M66" s="39" t="s">
        <v>16</v>
      </c>
      <c r="N66" s="31" t="s">
        <v>28</v>
      </c>
      <c r="O66" s="39" t="s">
        <v>16</v>
      </c>
      <c r="P66" s="39" t="s">
        <v>16</v>
      </c>
      <c r="Q66" s="124" t="s">
        <v>28</v>
      </c>
      <c r="R66" s="115" t="s">
        <v>16</v>
      </c>
      <c r="S66" s="14">
        <v>17.0</v>
      </c>
    </row>
    <row r="67" ht="15.75" customHeight="1">
      <c r="A67" s="112" t="s">
        <v>140</v>
      </c>
      <c r="B67" s="113">
        <v>0.036</v>
      </c>
      <c r="C67" s="113">
        <v>-0.573</v>
      </c>
      <c r="D67" s="113">
        <v>0.141</v>
      </c>
      <c r="E67" s="113">
        <v>0.042</v>
      </c>
      <c r="F67" s="113">
        <v>0.474</v>
      </c>
      <c r="G67" s="113">
        <v>0.109</v>
      </c>
      <c r="H67" s="113">
        <v>0.235</v>
      </c>
      <c r="I67" s="114">
        <v>0.042</v>
      </c>
      <c r="J67" s="30" t="s">
        <v>23</v>
      </c>
      <c r="K67" s="30" t="s">
        <v>23</v>
      </c>
      <c r="L67" s="31" t="s">
        <v>28</v>
      </c>
      <c r="M67" s="31" t="s">
        <v>28</v>
      </c>
      <c r="N67" s="30" t="s">
        <v>23</v>
      </c>
      <c r="O67" s="39" t="s">
        <v>16</v>
      </c>
      <c r="P67" s="31" t="s">
        <v>28</v>
      </c>
      <c r="Q67" s="118" t="s">
        <v>17</v>
      </c>
      <c r="R67" s="124" t="s">
        <v>28</v>
      </c>
      <c r="S67" s="14">
        <v>15.4</v>
      </c>
    </row>
    <row r="68" ht="15.75" customHeight="1">
      <c r="A68" s="112" t="s">
        <v>142</v>
      </c>
      <c r="B68" s="113">
        <v>0.076</v>
      </c>
      <c r="C68" s="113">
        <v>0.275</v>
      </c>
      <c r="D68" s="113">
        <v>0.076</v>
      </c>
      <c r="E68" s="113">
        <v>0.092</v>
      </c>
      <c r="F68" s="113">
        <v>0.58</v>
      </c>
      <c r="G68" s="113">
        <v>0.122</v>
      </c>
      <c r="H68" s="113">
        <v>0.137</v>
      </c>
      <c r="I68" s="114">
        <v>0.046</v>
      </c>
      <c r="J68" s="36" t="s">
        <v>17</v>
      </c>
      <c r="K68" s="57" t="s">
        <v>18</v>
      </c>
      <c r="L68" s="56" t="s">
        <v>66</v>
      </c>
      <c r="M68" s="57" t="s">
        <v>18</v>
      </c>
      <c r="N68" s="36" t="s">
        <v>17</v>
      </c>
      <c r="O68" s="39" t="s">
        <v>16</v>
      </c>
      <c r="P68" s="40" t="s">
        <v>25</v>
      </c>
      <c r="Q68" s="118" t="s">
        <v>17</v>
      </c>
      <c r="R68" s="115" t="s">
        <v>16</v>
      </c>
      <c r="S68" s="14">
        <v>19.2</v>
      </c>
    </row>
    <row r="69" ht="15.75" customHeight="1">
      <c r="A69" s="112" t="s">
        <v>197</v>
      </c>
      <c r="B69" s="113">
        <v>0.012</v>
      </c>
      <c r="C69" s="113">
        <v>-0.136</v>
      </c>
      <c r="D69" s="113">
        <v>0.105</v>
      </c>
      <c r="E69" s="113">
        <v>0.049</v>
      </c>
      <c r="F69" s="113">
        <v>0.419</v>
      </c>
      <c r="G69" s="113">
        <v>0.103</v>
      </c>
      <c r="H69" s="113">
        <v>0.22</v>
      </c>
      <c r="I69" s="114">
        <v>0.019</v>
      </c>
      <c r="J69" s="56" t="s">
        <v>66</v>
      </c>
      <c r="K69" s="31" t="s">
        <v>28</v>
      </c>
      <c r="L69" s="40" t="s">
        <v>25</v>
      </c>
      <c r="M69" s="39" t="s">
        <v>16</v>
      </c>
      <c r="N69" s="40" t="s">
        <v>25</v>
      </c>
      <c r="O69" s="31" t="s">
        <v>28</v>
      </c>
      <c r="P69" s="30" t="s">
        <v>23</v>
      </c>
      <c r="Q69" s="122" t="s">
        <v>25</v>
      </c>
      <c r="R69" s="119" t="s">
        <v>23</v>
      </c>
      <c r="S69" s="14">
        <v>11.4</v>
      </c>
    </row>
    <row r="70" ht="15.75" customHeight="1">
      <c r="A70" s="112" t="s">
        <v>198</v>
      </c>
      <c r="B70" s="113">
        <v>0.0</v>
      </c>
      <c r="C70" s="113">
        <v>-0.241</v>
      </c>
      <c r="D70" s="113">
        <v>0.027</v>
      </c>
      <c r="E70" s="113">
        <v>0.08</v>
      </c>
      <c r="F70" s="113">
        <v>0.509</v>
      </c>
      <c r="G70" s="113">
        <v>0.107</v>
      </c>
      <c r="H70" s="113">
        <v>0.08</v>
      </c>
      <c r="I70" s="114">
        <v>0.0</v>
      </c>
      <c r="J70" s="56" t="s">
        <v>66</v>
      </c>
      <c r="K70" s="31" t="s">
        <v>28</v>
      </c>
      <c r="L70" s="56" t="s">
        <v>66</v>
      </c>
      <c r="M70" s="57" t="s">
        <v>18</v>
      </c>
      <c r="N70" s="31" t="s">
        <v>28</v>
      </c>
      <c r="O70" s="31" t="s">
        <v>28</v>
      </c>
      <c r="P70" s="56" t="s">
        <v>66</v>
      </c>
      <c r="Q70" s="123" t="s">
        <v>66</v>
      </c>
      <c r="R70" s="119" t="s">
        <v>23</v>
      </c>
      <c r="S70" s="14">
        <v>11.2</v>
      </c>
    </row>
    <row r="71" ht="15.75" customHeight="1">
      <c r="A71" s="112" t="s">
        <v>144</v>
      </c>
      <c r="B71" s="113">
        <v>0.091</v>
      </c>
      <c r="C71" s="113">
        <v>0.488</v>
      </c>
      <c r="D71" s="113">
        <v>0.171</v>
      </c>
      <c r="E71" s="113">
        <v>0.066</v>
      </c>
      <c r="F71" s="113">
        <v>0.674</v>
      </c>
      <c r="G71" s="113">
        <v>0.199</v>
      </c>
      <c r="H71" s="113">
        <v>0.309</v>
      </c>
      <c r="I71" s="114">
        <v>0.057</v>
      </c>
      <c r="J71" s="57" t="s">
        <v>18</v>
      </c>
      <c r="K71" s="57" t="s">
        <v>18</v>
      </c>
      <c r="L71" s="39" t="s">
        <v>16</v>
      </c>
      <c r="M71" s="36" t="s">
        <v>17</v>
      </c>
      <c r="N71" s="36" t="s">
        <v>17</v>
      </c>
      <c r="O71" s="57" t="s">
        <v>18</v>
      </c>
      <c r="P71" s="36" t="s">
        <v>17</v>
      </c>
      <c r="Q71" s="121" t="s">
        <v>18</v>
      </c>
      <c r="R71" s="118" t="s">
        <v>17</v>
      </c>
      <c r="S71" s="14">
        <v>24.0</v>
      </c>
    </row>
    <row r="72" ht="15.75" customHeight="1">
      <c r="A72" s="112" t="s">
        <v>150</v>
      </c>
      <c r="B72" s="113">
        <v>0.014</v>
      </c>
      <c r="C72" s="113">
        <v>-2.027</v>
      </c>
      <c r="D72" s="113">
        <v>0.056</v>
      </c>
      <c r="E72" s="113">
        <v>0.005</v>
      </c>
      <c r="F72" s="113">
        <v>0.193</v>
      </c>
      <c r="G72" s="113">
        <v>0.024</v>
      </c>
      <c r="H72" s="113">
        <v>0.16</v>
      </c>
      <c r="I72" s="114">
        <v>0.033</v>
      </c>
      <c r="J72" s="56" t="s">
        <v>66</v>
      </c>
      <c r="K72" s="56" t="s">
        <v>66</v>
      </c>
      <c r="L72" s="56" t="s">
        <v>66</v>
      </c>
      <c r="M72" s="56" t="s">
        <v>66</v>
      </c>
      <c r="N72" s="56" t="s">
        <v>66</v>
      </c>
      <c r="O72" s="56" t="s">
        <v>66</v>
      </c>
      <c r="P72" s="40" t="s">
        <v>25</v>
      </c>
      <c r="Q72" s="124" t="s">
        <v>28</v>
      </c>
      <c r="R72" s="122" t="s">
        <v>25</v>
      </c>
      <c r="S72" s="14">
        <v>6.1</v>
      </c>
    </row>
    <row r="73" ht="15.75" customHeight="1">
      <c r="A73" s="112" t="s">
        <v>153</v>
      </c>
      <c r="B73" s="113">
        <v>0.044</v>
      </c>
      <c r="C73" s="113">
        <v>-0.584</v>
      </c>
      <c r="D73" s="113">
        <v>0.105</v>
      </c>
      <c r="E73" s="113">
        <v>0.035</v>
      </c>
      <c r="F73" s="113">
        <v>0.471</v>
      </c>
      <c r="G73" s="113">
        <v>0.094</v>
      </c>
      <c r="H73" s="113">
        <v>0.192</v>
      </c>
      <c r="I73" s="114">
        <v>0.039</v>
      </c>
      <c r="J73" s="31" t="s">
        <v>28</v>
      </c>
      <c r="K73" s="30" t="s">
        <v>23</v>
      </c>
      <c r="L73" s="40" t="s">
        <v>25</v>
      </c>
      <c r="M73" s="30" t="s">
        <v>23</v>
      </c>
      <c r="N73" s="30" t="s">
        <v>23</v>
      </c>
      <c r="O73" s="30" t="s">
        <v>23</v>
      </c>
      <c r="P73" s="40" t="s">
        <v>25</v>
      </c>
      <c r="Q73" s="115" t="s">
        <v>16</v>
      </c>
      <c r="R73" s="125" t="s">
        <v>23</v>
      </c>
      <c r="S73" s="14">
        <v>11.8</v>
      </c>
    </row>
    <row r="74" ht="15.75" customHeight="1">
      <c r="A74" s="112" t="s">
        <v>155</v>
      </c>
      <c r="B74" s="113">
        <v>0.076</v>
      </c>
      <c r="C74" s="113">
        <v>0.153</v>
      </c>
      <c r="D74" s="113">
        <v>0.188</v>
      </c>
      <c r="E74" s="113">
        <v>0.049</v>
      </c>
      <c r="F74" s="113">
        <v>0.424</v>
      </c>
      <c r="G74" s="113">
        <v>0.069</v>
      </c>
      <c r="H74" s="113">
        <v>0.361</v>
      </c>
      <c r="I74" s="114">
        <v>0.028</v>
      </c>
      <c r="J74" s="36" t="s">
        <v>17</v>
      </c>
      <c r="K74" s="57" t="s">
        <v>18</v>
      </c>
      <c r="L74" s="36" t="s">
        <v>17</v>
      </c>
      <c r="M74" s="39" t="s">
        <v>16</v>
      </c>
      <c r="N74" s="40" t="s">
        <v>25</v>
      </c>
      <c r="O74" s="40" t="s">
        <v>25</v>
      </c>
      <c r="P74" s="57" t="s">
        <v>18</v>
      </c>
      <c r="Q74" s="119" t="s">
        <v>23</v>
      </c>
      <c r="R74" s="126" t="s">
        <v>16</v>
      </c>
      <c r="S74" s="14">
        <v>17.0</v>
      </c>
    </row>
    <row r="75" ht="15.75" customHeight="1">
      <c r="A75" s="112" t="s">
        <v>157</v>
      </c>
      <c r="B75" s="113">
        <v>0.034</v>
      </c>
      <c r="C75" s="113">
        <v>-0.444</v>
      </c>
      <c r="D75" s="113">
        <v>0.285</v>
      </c>
      <c r="E75" s="113">
        <v>0.068</v>
      </c>
      <c r="F75" s="113">
        <v>0.455</v>
      </c>
      <c r="G75" s="113">
        <v>0.091</v>
      </c>
      <c r="H75" s="113">
        <v>0.455</v>
      </c>
      <c r="I75" s="114">
        <v>0.034</v>
      </c>
      <c r="J75" s="30" t="s">
        <v>23</v>
      </c>
      <c r="K75" s="30" t="s">
        <v>23</v>
      </c>
      <c r="L75" s="57" t="s">
        <v>18</v>
      </c>
      <c r="M75" s="36" t="s">
        <v>17</v>
      </c>
      <c r="N75" s="30" t="s">
        <v>23</v>
      </c>
      <c r="O75" s="30" t="s">
        <v>23</v>
      </c>
      <c r="P75" s="57" t="s">
        <v>18</v>
      </c>
      <c r="Q75" s="115" t="s">
        <v>16</v>
      </c>
      <c r="R75" s="126" t="s">
        <v>16</v>
      </c>
      <c r="S75" s="14">
        <v>17.0</v>
      </c>
    </row>
    <row r="76" ht="15.75" customHeight="1">
      <c r="A76" s="112" t="s">
        <v>164</v>
      </c>
      <c r="B76" s="113">
        <v>0.041</v>
      </c>
      <c r="C76" s="113">
        <v>0.479</v>
      </c>
      <c r="D76" s="113">
        <v>0.112</v>
      </c>
      <c r="E76" s="113">
        <v>0.067</v>
      </c>
      <c r="F76" s="113">
        <v>0.574</v>
      </c>
      <c r="G76" s="113">
        <v>0.124</v>
      </c>
      <c r="H76" s="113">
        <v>0.195</v>
      </c>
      <c r="I76" s="114">
        <v>0.019</v>
      </c>
      <c r="J76" s="31" t="s">
        <v>28</v>
      </c>
      <c r="K76" s="57" t="s">
        <v>18</v>
      </c>
      <c r="L76" s="30" t="s">
        <v>23</v>
      </c>
      <c r="M76" s="36" t="s">
        <v>17</v>
      </c>
      <c r="N76" s="36" t="s">
        <v>17</v>
      </c>
      <c r="O76" s="39" t="s">
        <v>16</v>
      </c>
      <c r="P76" s="40" t="s">
        <v>25</v>
      </c>
      <c r="Q76" s="122" t="s">
        <v>25</v>
      </c>
      <c r="R76" s="127" t="s">
        <v>28</v>
      </c>
      <c r="S76" s="14">
        <v>16.1</v>
      </c>
    </row>
    <row r="77" ht="15.75" customHeight="1">
      <c r="A77" s="112" t="s">
        <v>167</v>
      </c>
      <c r="B77" s="113">
        <v>0.052</v>
      </c>
      <c r="C77" s="113">
        <v>-1.216</v>
      </c>
      <c r="D77" s="113">
        <v>0.177</v>
      </c>
      <c r="E77" s="113">
        <v>0.059</v>
      </c>
      <c r="F77" s="113">
        <v>0.42</v>
      </c>
      <c r="G77" s="113">
        <v>0.088</v>
      </c>
      <c r="H77" s="113">
        <v>0.317</v>
      </c>
      <c r="I77" s="114">
        <v>0.015</v>
      </c>
      <c r="J77" s="39" t="s">
        <v>16</v>
      </c>
      <c r="K77" s="40" t="s">
        <v>25</v>
      </c>
      <c r="L77" s="39" t="s">
        <v>16</v>
      </c>
      <c r="M77" s="39" t="s">
        <v>16</v>
      </c>
      <c r="N77" s="40" t="s">
        <v>25</v>
      </c>
      <c r="O77" s="30" t="s">
        <v>23</v>
      </c>
      <c r="P77" s="36" t="s">
        <v>17</v>
      </c>
      <c r="Q77" s="122" t="s">
        <v>25</v>
      </c>
      <c r="R77" s="127" t="s">
        <v>28</v>
      </c>
      <c r="S77" s="14">
        <v>13.4</v>
      </c>
    </row>
    <row r="78" ht="15.75" customHeight="1">
      <c r="A78" s="112" t="s">
        <v>168</v>
      </c>
      <c r="B78" s="113">
        <v>0.033</v>
      </c>
      <c r="C78" s="113">
        <v>0.042</v>
      </c>
      <c r="D78" s="113">
        <v>0.166</v>
      </c>
      <c r="E78" s="113">
        <v>0.049</v>
      </c>
      <c r="F78" s="113">
        <v>0.701</v>
      </c>
      <c r="G78" s="113">
        <v>0.186</v>
      </c>
      <c r="H78" s="113">
        <v>0.222</v>
      </c>
      <c r="I78" s="114">
        <v>0.029</v>
      </c>
      <c r="J78" s="30" t="s">
        <v>23</v>
      </c>
      <c r="K78" s="39" t="s">
        <v>16</v>
      </c>
      <c r="L78" s="39" t="s">
        <v>16</v>
      </c>
      <c r="M78" s="39" t="s">
        <v>16</v>
      </c>
      <c r="N78" s="36" t="s">
        <v>17</v>
      </c>
      <c r="O78" s="57" t="s">
        <v>18</v>
      </c>
      <c r="P78" s="30" t="s">
        <v>23</v>
      </c>
      <c r="Q78" s="119" t="s">
        <v>23</v>
      </c>
      <c r="R78" s="126" t="s">
        <v>16</v>
      </c>
      <c r="S78" s="14">
        <v>17.1</v>
      </c>
    </row>
    <row r="79" ht="15.75" customHeight="1">
      <c r="A79" s="112" t="s">
        <v>169</v>
      </c>
      <c r="B79" s="113">
        <v>0.104</v>
      </c>
      <c r="C79" s="113">
        <v>-0.05</v>
      </c>
      <c r="D79" s="113">
        <v>0.241</v>
      </c>
      <c r="E79" s="113">
        <v>0.068</v>
      </c>
      <c r="F79" s="113">
        <v>0.578</v>
      </c>
      <c r="G79" s="113">
        <v>0.159</v>
      </c>
      <c r="H79" s="113">
        <v>0.414</v>
      </c>
      <c r="I79" s="114">
        <v>0.061</v>
      </c>
      <c r="J79" s="57" t="s">
        <v>18</v>
      </c>
      <c r="K79" s="39" t="s">
        <v>16</v>
      </c>
      <c r="L79" s="57" t="s">
        <v>18</v>
      </c>
      <c r="M79" s="36" t="s">
        <v>17</v>
      </c>
      <c r="N79" s="36" t="s">
        <v>17</v>
      </c>
      <c r="O79" s="36" t="s">
        <v>17</v>
      </c>
      <c r="P79" s="57" t="s">
        <v>18</v>
      </c>
      <c r="Q79" s="121" t="s">
        <v>18</v>
      </c>
      <c r="R79" s="128" t="s">
        <v>17</v>
      </c>
      <c r="S79" s="14">
        <v>23.4</v>
      </c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109" t="s">
        <v>191</v>
      </c>
      <c r="B81" s="110" t="s">
        <v>176</v>
      </c>
      <c r="C81" s="110" t="s">
        <v>177</v>
      </c>
      <c r="D81" s="110" t="s">
        <v>178</v>
      </c>
      <c r="E81" s="110" t="s">
        <v>179</v>
      </c>
      <c r="F81" s="110" t="s">
        <v>180</v>
      </c>
      <c r="G81" s="110" t="s">
        <v>181</v>
      </c>
      <c r="H81" s="110" t="s">
        <v>182</v>
      </c>
      <c r="I81" s="110" t="s">
        <v>183</v>
      </c>
      <c r="J81" s="110" t="s">
        <v>176</v>
      </c>
      <c r="K81" s="110" t="s">
        <v>177</v>
      </c>
      <c r="L81" s="110" t="s">
        <v>178</v>
      </c>
      <c r="M81" s="110" t="s">
        <v>179</v>
      </c>
      <c r="N81" s="110" t="s">
        <v>180</v>
      </c>
      <c r="O81" s="110" t="s">
        <v>181</v>
      </c>
      <c r="P81" s="110" t="s">
        <v>182</v>
      </c>
      <c r="Q81" s="110" t="s">
        <v>183</v>
      </c>
      <c r="R81" s="111" t="s">
        <v>184</v>
      </c>
      <c r="S81" s="111" t="s">
        <v>185</v>
      </c>
    </row>
    <row r="82" ht="15.75" customHeight="1">
      <c r="A82" s="112" t="s">
        <v>15</v>
      </c>
      <c r="B82" s="113">
        <v>0.113</v>
      </c>
      <c r="C82" s="113">
        <v>0.872</v>
      </c>
      <c r="D82" s="113">
        <v>0.048</v>
      </c>
      <c r="E82" s="113">
        <v>0.084</v>
      </c>
      <c r="F82" s="113">
        <v>0.836</v>
      </c>
      <c r="G82" s="113">
        <v>0.191</v>
      </c>
      <c r="H82" s="113">
        <v>0.084</v>
      </c>
      <c r="I82" s="114">
        <v>0.018</v>
      </c>
      <c r="J82" s="57" t="s">
        <v>18</v>
      </c>
      <c r="K82" s="57" t="s">
        <v>18</v>
      </c>
      <c r="L82" s="36" t="s">
        <v>17</v>
      </c>
      <c r="M82" s="57" t="s">
        <v>18</v>
      </c>
      <c r="N82" s="57" t="s">
        <v>18</v>
      </c>
      <c r="O82" s="36" t="s">
        <v>17</v>
      </c>
      <c r="P82" s="36" t="s">
        <v>17</v>
      </c>
      <c r="Q82" s="121" t="s">
        <v>18</v>
      </c>
      <c r="R82" s="116" t="s">
        <v>18</v>
      </c>
      <c r="S82" s="117">
        <v>15.5</v>
      </c>
    </row>
    <row r="83" ht="15.75" customHeight="1">
      <c r="A83" s="112" t="s">
        <v>24</v>
      </c>
      <c r="B83" s="113">
        <v>0.049</v>
      </c>
      <c r="C83" s="113">
        <v>0.114</v>
      </c>
      <c r="D83" s="113">
        <v>0.0</v>
      </c>
      <c r="E83" s="113">
        <v>0.131</v>
      </c>
      <c r="F83" s="113">
        <v>0.784</v>
      </c>
      <c r="G83" s="113">
        <v>0.294</v>
      </c>
      <c r="H83" s="113">
        <v>0.0</v>
      </c>
      <c r="I83" s="114">
        <v>0.0</v>
      </c>
      <c r="J83" s="31" t="s">
        <v>28</v>
      </c>
      <c r="K83" s="39" t="s">
        <v>16</v>
      </c>
      <c r="L83" s="56" t="s">
        <v>66</v>
      </c>
      <c r="M83" s="57" t="s">
        <v>18</v>
      </c>
      <c r="N83" s="36" t="s">
        <v>17</v>
      </c>
      <c r="O83" s="57" t="s">
        <v>18</v>
      </c>
      <c r="P83" s="56" t="s">
        <v>66</v>
      </c>
      <c r="Q83" s="123" t="s">
        <v>66</v>
      </c>
      <c r="R83" s="118" t="s">
        <v>17</v>
      </c>
      <c r="S83" s="120">
        <v>13.2</v>
      </c>
    </row>
    <row r="84" ht="15.75" customHeight="1">
      <c r="A84" s="112" t="s">
        <v>31</v>
      </c>
      <c r="B84" s="113">
        <v>0.014</v>
      </c>
      <c r="C84" s="113">
        <v>-0.201</v>
      </c>
      <c r="D84" s="113">
        <v>0.023</v>
      </c>
      <c r="E84" s="113">
        <v>0.056</v>
      </c>
      <c r="F84" s="113">
        <v>0.708</v>
      </c>
      <c r="G84" s="113">
        <v>0.19</v>
      </c>
      <c r="H84" s="113">
        <v>0.044</v>
      </c>
      <c r="I84" s="114">
        <v>0.009</v>
      </c>
      <c r="J84" s="56" t="s">
        <v>66</v>
      </c>
      <c r="K84" s="39" t="s">
        <v>16</v>
      </c>
      <c r="L84" s="31" t="s">
        <v>28</v>
      </c>
      <c r="M84" s="39" t="s">
        <v>16</v>
      </c>
      <c r="N84" s="36" t="s">
        <v>17</v>
      </c>
      <c r="O84" s="36" t="s">
        <v>17</v>
      </c>
      <c r="P84" s="31" t="s">
        <v>28</v>
      </c>
      <c r="Q84" s="115" t="s">
        <v>16</v>
      </c>
      <c r="R84" s="115" t="s">
        <v>16</v>
      </c>
      <c r="S84" s="120">
        <v>10.5</v>
      </c>
    </row>
    <row r="85" ht="15.75" customHeight="1">
      <c r="A85" s="112" t="s">
        <v>33</v>
      </c>
      <c r="B85" s="113">
        <v>0.044</v>
      </c>
      <c r="C85" s="113">
        <v>0.166</v>
      </c>
      <c r="D85" s="113">
        <v>0.14</v>
      </c>
      <c r="E85" s="113">
        <v>0.044</v>
      </c>
      <c r="F85" s="113">
        <v>0.665</v>
      </c>
      <c r="G85" s="113">
        <v>0.123</v>
      </c>
      <c r="H85" s="113">
        <v>0.21</v>
      </c>
      <c r="I85" s="114">
        <v>0.026</v>
      </c>
      <c r="J85" s="31" t="s">
        <v>28</v>
      </c>
      <c r="K85" s="36" t="s">
        <v>17</v>
      </c>
      <c r="L85" s="57" t="s">
        <v>18</v>
      </c>
      <c r="M85" s="31" t="s">
        <v>28</v>
      </c>
      <c r="N85" s="36" t="s">
        <v>17</v>
      </c>
      <c r="O85" s="39" t="s">
        <v>16</v>
      </c>
      <c r="P85" s="57" t="s">
        <v>18</v>
      </c>
      <c r="Q85" s="121" t="s">
        <v>18</v>
      </c>
      <c r="R85" s="115" t="s">
        <v>16</v>
      </c>
      <c r="S85" s="120">
        <v>11.6</v>
      </c>
    </row>
    <row r="86" ht="15.75" customHeight="1">
      <c r="A86" s="112" t="s">
        <v>34</v>
      </c>
      <c r="B86" s="113">
        <v>0.028</v>
      </c>
      <c r="C86" s="113">
        <v>-0.289</v>
      </c>
      <c r="D86" s="113">
        <v>0.048</v>
      </c>
      <c r="E86" s="113">
        <v>0.034</v>
      </c>
      <c r="F86" s="113">
        <v>0.529</v>
      </c>
      <c r="G86" s="113">
        <v>0.091</v>
      </c>
      <c r="H86" s="113">
        <v>0.085</v>
      </c>
      <c r="I86" s="114">
        <v>0.002</v>
      </c>
      <c r="J86" s="40" t="s">
        <v>25</v>
      </c>
      <c r="K86" s="30" t="s">
        <v>23</v>
      </c>
      <c r="L86" s="36" t="s">
        <v>17</v>
      </c>
      <c r="M86" s="30" t="s">
        <v>23</v>
      </c>
      <c r="N86" s="31" t="s">
        <v>28</v>
      </c>
      <c r="O86" s="30" t="s">
        <v>23</v>
      </c>
      <c r="P86" s="36" t="s">
        <v>17</v>
      </c>
      <c r="Q86" s="119" t="s">
        <v>23</v>
      </c>
      <c r="R86" s="119" t="s">
        <v>23</v>
      </c>
      <c r="S86" s="120">
        <v>6.8</v>
      </c>
    </row>
    <row r="87" ht="15.75" customHeight="1">
      <c r="A87" s="112" t="s">
        <v>38</v>
      </c>
      <c r="B87" s="113">
        <v>0.048</v>
      </c>
      <c r="C87" s="113">
        <v>-1.116</v>
      </c>
      <c r="D87" s="113">
        <v>0.0</v>
      </c>
      <c r="E87" s="113">
        <v>0.038</v>
      </c>
      <c r="F87" s="113">
        <v>0.505</v>
      </c>
      <c r="G87" s="113">
        <v>0.067</v>
      </c>
      <c r="H87" s="113">
        <v>0.0</v>
      </c>
      <c r="I87" s="114">
        <v>0.0</v>
      </c>
      <c r="J87" s="31" t="s">
        <v>28</v>
      </c>
      <c r="K87" s="40" t="s">
        <v>25</v>
      </c>
      <c r="L87" s="56" t="s">
        <v>66</v>
      </c>
      <c r="M87" s="30" t="s">
        <v>23</v>
      </c>
      <c r="N87" s="31" t="s">
        <v>28</v>
      </c>
      <c r="O87" s="40" t="s">
        <v>25</v>
      </c>
      <c r="P87" s="56" t="s">
        <v>66</v>
      </c>
      <c r="Q87" s="123" t="s">
        <v>66</v>
      </c>
      <c r="R87" s="119" t="s">
        <v>23</v>
      </c>
      <c r="S87" s="120">
        <v>6.7</v>
      </c>
    </row>
    <row r="88" ht="15.75" customHeight="1">
      <c r="A88" s="112" t="s">
        <v>40</v>
      </c>
      <c r="B88" s="113">
        <v>0.071</v>
      </c>
      <c r="C88" s="113">
        <v>-0.509</v>
      </c>
      <c r="D88" s="113">
        <v>0.0</v>
      </c>
      <c r="E88" s="113">
        <v>0.021</v>
      </c>
      <c r="F88" s="113">
        <v>0.36</v>
      </c>
      <c r="G88" s="113">
        <v>0.064</v>
      </c>
      <c r="H88" s="113">
        <v>0.0</v>
      </c>
      <c r="I88" s="114">
        <v>0.0</v>
      </c>
      <c r="J88" s="36" t="s">
        <v>17</v>
      </c>
      <c r="K88" s="30" t="s">
        <v>23</v>
      </c>
      <c r="L88" s="56" t="s">
        <v>66</v>
      </c>
      <c r="M88" s="30" t="s">
        <v>23</v>
      </c>
      <c r="N88" s="40" t="s">
        <v>25</v>
      </c>
      <c r="O88" s="40" t="s">
        <v>25</v>
      </c>
      <c r="P88" s="56" t="s">
        <v>66</v>
      </c>
      <c r="Q88" s="123" t="s">
        <v>66</v>
      </c>
      <c r="R88" s="119" t="s">
        <v>23</v>
      </c>
      <c r="S88" s="120">
        <v>7.4</v>
      </c>
    </row>
    <row r="89" ht="15.75" customHeight="1">
      <c r="A89" s="112" t="s">
        <v>41</v>
      </c>
      <c r="B89" s="113">
        <v>0.032</v>
      </c>
      <c r="C89" s="113">
        <v>-1.409</v>
      </c>
      <c r="D89" s="113">
        <v>0.007</v>
      </c>
      <c r="E89" s="113">
        <v>0.013</v>
      </c>
      <c r="F89" s="113">
        <v>0.374</v>
      </c>
      <c r="G89" s="113">
        <v>0.046</v>
      </c>
      <c r="H89" s="113">
        <v>0.011</v>
      </c>
      <c r="I89" s="114">
        <v>0.001</v>
      </c>
      <c r="J89" s="30" t="s">
        <v>23</v>
      </c>
      <c r="K89" s="40" t="s">
        <v>25</v>
      </c>
      <c r="L89" s="30" t="s">
        <v>23</v>
      </c>
      <c r="M89" s="40" t="s">
        <v>25</v>
      </c>
      <c r="N89" s="40" t="s">
        <v>25</v>
      </c>
      <c r="O89" s="40" t="s">
        <v>25</v>
      </c>
      <c r="P89" s="30" t="s">
        <v>23</v>
      </c>
      <c r="Q89" s="119" t="s">
        <v>23</v>
      </c>
      <c r="R89" s="122" t="s">
        <v>25</v>
      </c>
      <c r="S89" s="120">
        <v>5.1</v>
      </c>
    </row>
    <row r="90" ht="15.75" customHeight="1">
      <c r="A90" s="112" t="s">
        <v>42</v>
      </c>
      <c r="B90" s="113">
        <v>0.076</v>
      </c>
      <c r="C90" s="113">
        <v>-0.436</v>
      </c>
      <c r="D90" s="113">
        <v>0.083</v>
      </c>
      <c r="E90" s="113">
        <v>0.016</v>
      </c>
      <c r="F90" s="113">
        <v>0.446</v>
      </c>
      <c r="G90" s="113">
        <v>0.057</v>
      </c>
      <c r="H90" s="113">
        <v>0.143</v>
      </c>
      <c r="I90" s="114">
        <v>0.025</v>
      </c>
      <c r="J90" s="36" t="s">
        <v>17</v>
      </c>
      <c r="K90" s="30" t="s">
        <v>23</v>
      </c>
      <c r="L90" s="57" t="s">
        <v>18</v>
      </c>
      <c r="M90" s="40" t="s">
        <v>25</v>
      </c>
      <c r="N90" s="40" t="s">
        <v>25</v>
      </c>
      <c r="O90" s="40" t="s">
        <v>25</v>
      </c>
      <c r="P90" s="57" t="s">
        <v>18</v>
      </c>
      <c r="Q90" s="121" t="s">
        <v>18</v>
      </c>
      <c r="R90" s="119" t="s">
        <v>23</v>
      </c>
      <c r="S90" s="14">
        <v>7.1</v>
      </c>
    </row>
    <row r="91" ht="15.75" customHeight="1">
      <c r="A91" s="112" t="s">
        <v>43</v>
      </c>
      <c r="B91" s="113">
        <v>0.127</v>
      </c>
      <c r="C91" s="113">
        <v>0.818</v>
      </c>
      <c r="D91" s="113">
        <v>0.0</v>
      </c>
      <c r="E91" s="113">
        <v>0.105</v>
      </c>
      <c r="F91" s="113">
        <v>0.594</v>
      </c>
      <c r="G91" s="113">
        <v>0.119</v>
      </c>
      <c r="H91" s="113">
        <v>0.0</v>
      </c>
      <c r="I91" s="114">
        <v>0.0</v>
      </c>
      <c r="J91" s="57" t="s">
        <v>18</v>
      </c>
      <c r="K91" s="57" t="s">
        <v>18</v>
      </c>
      <c r="L91" s="56" t="s">
        <v>66</v>
      </c>
      <c r="M91" s="57" t="s">
        <v>18</v>
      </c>
      <c r="N91" s="31" t="s">
        <v>28</v>
      </c>
      <c r="O91" s="39" t="s">
        <v>16</v>
      </c>
      <c r="P91" s="56" t="s">
        <v>66</v>
      </c>
      <c r="Q91" s="123" t="s">
        <v>66</v>
      </c>
      <c r="R91" s="118" t="s">
        <v>17</v>
      </c>
      <c r="S91" s="14">
        <v>13.7</v>
      </c>
    </row>
    <row r="92" ht="15.75" customHeight="1">
      <c r="A92" s="112" t="s">
        <v>44</v>
      </c>
      <c r="B92" s="113">
        <v>0.055</v>
      </c>
      <c r="C92" s="113">
        <v>-0.766</v>
      </c>
      <c r="D92" s="113">
        <v>0.164</v>
      </c>
      <c r="E92" s="113">
        <v>0.0</v>
      </c>
      <c r="F92" s="113">
        <v>0.328</v>
      </c>
      <c r="G92" s="113">
        <v>0.055</v>
      </c>
      <c r="H92" s="113">
        <v>0.219</v>
      </c>
      <c r="I92" s="114">
        <v>0.0</v>
      </c>
      <c r="J92" s="39" t="s">
        <v>16</v>
      </c>
      <c r="K92" s="30" t="s">
        <v>23</v>
      </c>
      <c r="L92" s="57" t="s">
        <v>18</v>
      </c>
      <c r="M92" s="56" t="s">
        <v>66</v>
      </c>
      <c r="N92" s="40" t="s">
        <v>25</v>
      </c>
      <c r="O92" s="40" t="s">
        <v>25</v>
      </c>
      <c r="P92" s="57" t="s">
        <v>18</v>
      </c>
      <c r="Q92" s="123" t="s">
        <v>66</v>
      </c>
      <c r="R92" s="119" t="s">
        <v>23</v>
      </c>
      <c r="S92" s="120">
        <v>6.3</v>
      </c>
    </row>
    <row r="93" ht="15.75" customHeight="1">
      <c r="A93" s="112" t="s">
        <v>45</v>
      </c>
      <c r="B93" s="113">
        <v>0.081</v>
      </c>
      <c r="C93" s="113">
        <v>-0.666</v>
      </c>
      <c r="D93" s="113">
        <v>0.026</v>
      </c>
      <c r="E93" s="113">
        <v>0.01</v>
      </c>
      <c r="F93" s="113">
        <v>0.501</v>
      </c>
      <c r="G93" s="113">
        <v>0.103</v>
      </c>
      <c r="H93" s="113">
        <v>0.055</v>
      </c>
      <c r="I93" s="114">
        <v>0.013</v>
      </c>
      <c r="J93" s="36" t="s">
        <v>17</v>
      </c>
      <c r="K93" s="30" t="s">
        <v>23</v>
      </c>
      <c r="L93" s="39" t="s">
        <v>16</v>
      </c>
      <c r="M93" s="56" t="s">
        <v>66</v>
      </c>
      <c r="N93" s="31" t="s">
        <v>28</v>
      </c>
      <c r="O93" s="30" t="s">
        <v>23</v>
      </c>
      <c r="P93" s="39" t="s">
        <v>16</v>
      </c>
      <c r="Q93" s="115" t="s">
        <v>16</v>
      </c>
      <c r="R93" s="124" t="s">
        <v>28</v>
      </c>
      <c r="S93" s="120">
        <v>8.2</v>
      </c>
    </row>
    <row r="94" ht="15.75" customHeight="1">
      <c r="A94" s="112" t="s">
        <v>46</v>
      </c>
      <c r="B94" s="113">
        <v>0.022</v>
      </c>
      <c r="C94" s="113">
        <v>0.737</v>
      </c>
      <c r="D94" s="113">
        <v>0.0</v>
      </c>
      <c r="E94" s="113">
        <v>0.108</v>
      </c>
      <c r="F94" s="113">
        <v>0.737</v>
      </c>
      <c r="G94" s="113">
        <v>0.141</v>
      </c>
      <c r="H94" s="113">
        <v>0.0</v>
      </c>
      <c r="I94" s="114">
        <v>0.0</v>
      </c>
      <c r="J94" s="40" t="s">
        <v>25</v>
      </c>
      <c r="K94" s="57" t="s">
        <v>18</v>
      </c>
      <c r="L94" s="56" t="s">
        <v>66</v>
      </c>
      <c r="M94" s="57" t="s">
        <v>18</v>
      </c>
      <c r="N94" s="36" t="s">
        <v>17</v>
      </c>
      <c r="O94" s="39" t="s">
        <v>16</v>
      </c>
      <c r="P94" s="56" t="s">
        <v>66</v>
      </c>
      <c r="Q94" s="123" t="s">
        <v>66</v>
      </c>
      <c r="R94" s="115" t="s">
        <v>16</v>
      </c>
      <c r="S94" s="120">
        <v>12.0</v>
      </c>
    </row>
    <row r="95" ht="15.75" customHeight="1">
      <c r="A95" s="112" t="s">
        <v>47</v>
      </c>
      <c r="B95" s="113">
        <v>0.047</v>
      </c>
      <c r="C95" s="113">
        <v>-1.322</v>
      </c>
      <c r="D95" s="113">
        <v>0.0</v>
      </c>
      <c r="E95" s="113">
        <v>0.012</v>
      </c>
      <c r="F95" s="113">
        <v>0.386</v>
      </c>
      <c r="G95" s="113">
        <v>0.094</v>
      </c>
      <c r="H95" s="113">
        <v>0.012</v>
      </c>
      <c r="I95" s="114">
        <v>0.0</v>
      </c>
      <c r="J95" s="31" t="s">
        <v>28</v>
      </c>
      <c r="K95" s="40" t="s">
        <v>25</v>
      </c>
      <c r="L95" s="56" t="s">
        <v>66</v>
      </c>
      <c r="M95" s="56" t="s">
        <v>66</v>
      </c>
      <c r="N95" s="40" t="s">
        <v>25</v>
      </c>
      <c r="O95" s="30" t="s">
        <v>23</v>
      </c>
      <c r="P95" s="30" t="s">
        <v>23</v>
      </c>
      <c r="Q95" s="123" t="s">
        <v>66</v>
      </c>
      <c r="R95" s="119" t="s">
        <v>23</v>
      </c>
      <c r="S95" s="120">
        <v>5.9</v>
      </c>
    </row>
    <row r="96" ht="15.75" customHeight="1">
      <c r="A96" s="112" t="s">
        <v>52</v>
      </c>
      <c r="B96" s="113">
        <v>0.049</v>
      </c>
      <c r="C96" s="113">
        <v>0.296</v>
      </c>
      <c r="D96" s="113">
        <v>0.0</v>
      </c>
      <c r="E96" s="113">
        <v>0.049</v>
      </c>
      <c r="F96" s="113">
        <v>0.592</v>
      </c>
      <c r="G96" s="113">
        <v>0.247</v>
      </c>
      <c r="H96" s="113">
        <v>0.0</v>
      </c>
      <c r="I96" s="114">
        <v>0.0</v>
      </c>
      <c r="J96" s="31" t="s">
        <v>28</v>
      </c>
      <c r="K96" s="57" t="s">
        <v>18</v>
      </c>
      <c r="L96" s="56" t="s">
        <v>66</v>
      </c>
      <c r="M96" s="39" t="s">
        <v>16</v>
      </c>
      <c r="N96" s="31" t="s">
        <v>28</v>
      </c>
      <c r="O96" s="57" t="s">
        <v>18</v>
      </c>
      <c r="P96" s="56" t="s">
        <v>66</v>
      </c>
      <c r="Q96" s="123" t="s">
        <v>66</v>
      </c>
      <c r="R96" s="118" t="s">
        <v>17</v>
      </c>
      <c r="S96" s="120">
        <v>12.8</v>
      </c>
    </row>
    <row r="97" ht="15.75" customHeight="1">
      <c r="A97" s="112" t="s">
        <v>53</v>
      </c>
      <c r="B97" s="113">
        <v>0.018</v>
      </c>
      <c r="C97" s="113">
        <v>0.825</v>
      </c>
      <c r="D97" s="113">
        <v>0.005</v>
      </c>
      <c r="E97" s="113">
        <v>0.11</v>
      </c>
      <c r="F97" s="113">
        <v>0.834</v>
      </c>
      <c r="G97" s="113">
        <v>0.207</v>
      </c>
      <c r="H97" s="113">
        <v>0.005</v>
      </c>
      <c r="I97" s="114">
        <v>0.0</v>
      </c>
      <c r="J97" s="40" t="s">
        <v>25</v>
      </c>
      <c r="K97" s="57" t="s">
        <v>18</v>
      </c>
      <c r="L97" s="30" t="s">
        <v>23</v>
      </c>
      <c r="M97" s="57" t="s">
        <v>18</v>
      </c>
      <c r="N97" s="57" t="s">
        <v>18</v>
      </c>
      <c r="O97" s="36" t="s">
        <v>17</v>
      </c>
      <c r="P97" s="30" t="s">
        <v>23</v>
      </c>
      <c r="Q97" s="123" t="s">
        <v>66</v>
      </c>
      <c r="R97" s="118" t="s">
        <v>17</v>
      </c>
      <c r="S97" s="120">
        <v>13.0</v>
      </c>
    </row>
    <row r="98" ht="15.75" customHeight="1">
      <c r="A98" s="112" t="s">
        <v>55</v>
      </c>
      <c r="B98" s="113">
        <v>0.01</v>
      </c>
      <c r="C98" s="113">
        <v>-0.186</v>
      </c>
      <c r="D98" s="113">
        <v>0.016</v>
      </c>
      <c r="E98" s="113">
        <v>0.052</v>
      </c>
      <c r="F98" s="113">
        <v>0.765</v>
      </c>
      <c r="G98" s="113">
        <v>0.173</v>
      </c>
      <c r="H98" s="113">
        <v>0.029</v>
      </c>
      <c r="I98" s="114">
        <v>0.0</v>
      </c>
      <c r="J98" s="56" t="s">
        <v>66</v>
      </c>
      <c r="K98" s="39" t="s">
        <v>16</v>
      </c>
      <c r="L98" s="30" t="s">
        <v>23</v>
      </c>
      <c r="M98" s="39" t="s">
        <v>16</v>
      </c>
      <c r="N98" s="36" t="s">
        <v>17</v>
      </c>
      <c r="O98" s="36" t="s">
        <v>17</v>
      </c>
      <c r="P98" s="30" t="s">
        <v>23</v>
      </c>
      <c r="Q98" s="123" t="s">
        <v>66</v>
      </c>
      <c r="R98" s="115" t="s">
        <v>16</v>
      </c>
      <c r="S98" s="120">
        <v>10.5</v>
      </c>
    </row>
    <row r="99" ht="15.75" customHeight="1">
      <c r="A99" s="112" t="s">
        <v>56</v>
      </c>
      <c r="B99" s="113">
        <v>0.106</v>
      </c>
      <c r="C99" s="113">
        <v>-0.676</v>
      </c>
      <c r="D99" s="113">
        <v>0.041</v>
      </c>
      <c r="E99" s="113">
        <v>0.035</v>
      </c>
      <c r="F99" s="113">
        <v>0.501</v>
      </c>
      <c r="G99" s="113">
        <v>0.113</v>
      </c>
      <c r="H99" s="113">
        <v>0.065</v>
      </c>
      <c r="I99" s="114">
        <v>0.009</v>
      </c>
      <c r="J99" s="57" t="s">
        <v>18</v>
      </c>
      <c r="K99" s="30" t="s">
        <v>23</v>
      </c>
      <c r="L99" s="39" t="s">
        <v>16</v>
      </c>
      <c r="M99" s="30" t="s">
        <v>23</v>
      </c>
      <c r="N99" s="31" t="s">
        <v>28</v>
      </c>
      <c r="O99" s="31" t="s">
        <v>28</v>
      </c>
      <c r="P99" s="39" t="s">
        <v>16</v>
      </c>
      <c r="Q99" s="115" t="s">
        <v>16</v>
      </c>
      <c r="R99" s="124" t="s">
        <v>28</v>
      </c>
      <c r="S99" s="120">
        <v>9.9</v>
      </c>
    </row>
    <row r="100" ht="15.75" customHeight="1">
      <c r="A100" s="112" t="s">
        <v>60</v>
      </c>
      <c r="B100" s="113">
        <v>0.147</v>
      </c>
      <c r="C100" s="113">
        <v>0.789</v>
      </c>
      <c r="D100" s="113">
        <v>0.091</v>
      </c>
      <c r="E100" s="113">
        <v>0.104</v>
      </c>
      <c r="F100" s="113">
        <v>0.805</v>
      </c>
      <c r="G100" s="113">
        <v>0.223</v>
      </c>
      <c r="H100" s="113">
        <v>0.16</v>
      </c>
      <c r="I100" s="114">
        <v>0.027</v>
      </c>
      <c r="J100" s="57" t="s">
        <v>18</v>
      </c>
      <c r="K100" s="57" t="s">
        <v>18</v>
      </c>
      <c r="L100" s="57" t="s">
        <v>18</v>
      </c>
      <c r="M100" s="57" t="s">
        <v>18</v>
      </c>
      <c r="N100" s="36" t="s">
        <v>17</v>
      </c>
      <c r="O100" s="57" t="s">
        <v>18</v>
      </c>
      <c r="P100" s="57" t="s">
        <v>18</v>
      </c>
      <c r="Q100" s="121" t="s">
        <v>18</v>
      </c>
      <c r="R100" s="121" t="s">
        <v>18</v>
      </c>
      <c r="S100" s="120">
        <v>15.7</v>
      </c>
    </row>
    <row r="101" ht="15.75" customHeight="1">
      <c r="A101" s="112" t="s">
        <v>61</v>
      </c>
      <c r="B101" s="113">
        <v>0.058</v>
      </c>
      <c r="C101" s="113">
        <v>0.518</v>
      </c>
      <c r="D101" s="113">
        <v>0.067</v>
      </c>
      <c r="E101" s="113">
        <v>0.075</v>
      </c>
      <c r="F101" s="113">
        <v>0.719</v>
      </c>
      <c r="G101" s="113">
        <v>0.178</v>
      </c>
      <c r="H101" s="113">
        <v>0.154</v>
      </c>
      <c r="I101" s="114">
        <v>0.017</v>
      </c>
      <c r="J101" s="39" t="s">
        <v>16</v>
      </c>
      <c r="K101" s="57" t="s">
        <v>18</v>
      </c>
      <c r="L101" s="57" t="s">
        <v>18</v>
      </c>
      <c r="M101" s="57" t="s">
        <v>18</v>
      </c>
      <c r="N101" s="36" t="s">
        <v>17</v>
      </c>
      <c r="O101" s="36" t="s">
        <v>17</v>
      </c>
      <c r="P101" s="57" t="s">
        <v>18</v>
      </c>
      <c r="Q101" s="121" t="s">
        <v>18</v>
      </c>
      <c r="R101" s="118" t="s">
        <v>17</v>
      </c>
      <c r="S101" s="120">
        <v>14.1</v>
      </c>
    </row>
    <row r="102" ht="15.75" customHeight="1">
      <c r="A102" s="112" t="s">
        <v>72</v>
      </c>
      <c r="B102" s="113">
        <v>0.0</v>
      </c>
      <c r="C102" s="113">
        <v>-1.885</v>
      </c>
      <c r="D102" s="113">
        <v>0.0</v>
      </c>
      <c r="E102" s="113">
        <v>0.045</v>
      </c>
      <c r="F102" s="113">
        <v>0.18</v>
      </c>
      <c r="G102" s="113">
        <v>0.045</v>
      </c>
      <c r="H102" s="113">
        <v>0.0</v>
      </c>
      <c r="I102" s="114">
        <v>0.0</v>
      </c>
      <c r="J102" s="56" t="s">
        <v>66</v>
      </c>
      <c r="K102" s="56" t="s">
        <v>66</v>
      </c>
      <c r="L102" s="56" t="s">
        <v>66</v>
      </c>
      <c r="M102" s="31" t="s">
        <v>28</v>
      </c>
      <c r="N102" s="56" t="s">
        <v>66</v>
      </c>
      <c r="O102" s="40" t="s">
        <v>25</v>
      </c>
      <c r="P102" s="56" t="s">
        <v>66</v>
      </c>
      <c r="Q102" s="123" t="s">
        <v>66</v>
      </c>
      <c r="R102" s="122" t="s">
        <v>25</v>
      </c>
      <c r="S102" s="120">
        <v>3.8</v>
      </c>
    </row>
    <row r="103" ht="15.75" customHeight="1">
      <c r="A103" s="112" t="s">
        <v>73</v>
      </c>
      <c r="B103" s="113">
        <v>0.033</v>
      </c>
      <c r="C103" s="113">
        <v>0.318</v>
      </c>
      <c r="D103" s="113">
        <v>0.0</v>
      </c>
      <c r="E103" s="113">
        <v>0.075</v>
      </c>
      <c r="F103" s="113">
        <v>0.703</v>
      </c>
      <c r="G103" s="113">
        <v>0.117</v>
      </c>
      <c r="H103" s="113">
        <v>0.0</v>
      </c>
      <c r="I103" s="114">
        <v>0.0</v>
      </c>
      <c r="J103" s="30" t="s">
        <v>23</v>
      </c>
      <c r="K103" s="57" t="s">
        <v>18</v>
      </c>
      <c r="L103" s="56" t="s">
        <v>66</v>
      </c>
      <c r="M103" s="57" t="s">
        <v>18</v>
      </c>
      <c r="N103" s="36" t="s">
        <v>17</v>
      </c>
      <c r="O103" s="31" t="s">
        <v>28</v>
      </c>
      <c r="P103" s="56" t="s">
        <v>66</v>
      </c>
      <c r="Q103" s="123" t="s">
        <v>66</v>
      </c>
      <c r="R103" s="115" t="s">
        <v>16</v>
      </c>
      <c r="S103" s="120">
        <v>11.9</v>
      </c>
    </row>
    <row r="104" ht="15.75" customHeight="1">
      <c r="A104" s="112" t="s">
        <v>75</v>
      </c>
      <c r="B104" s="113">
        <v>0.094</v>
      </c>
      <c r="C104" s="113">
        <v>-0.222</v>
      </c>
      <c r="D104" s="113">
        <v>0.014</v>
      </c>
      <c r="E104" s="113">
        <v>0.031</v>
      </c>
      <c r="F104" s="113">
        <v>0.434</v>
      </c>
      <c r="G104" s="113">
        <v>0.121</v>
      </c>
      <c r="H104" s="113">
        <v>0.046</v>
      </c>
      <c r="I104" s="114">
        <v>0.012</v>
      </c>
      <c r="J104" s="57" t="s">
        <v>18</v>
      </c>
      <c r="K104" s="39" t="s">
        <v>16</v>
      </c>
      <c r="L104" s="30" t="s">
        <v>23</v>
      </c>
      <c r="M104" s="30" t="s">
        <v>23</v>
      </c>
      <c r="N104" s="40" t="s">
        <v>25</v>
      </c>
      <c r="O104" s="39" t="s">
        <v>16</v>
      </c>
      <c r="P104" s="39" t="s">
        <v>16</v>
      </c>
      <c r="Q104" s="115" t="s">
        <v>16</v>
      </c>
      <c r="R104" s="115" t="s">
        <v>16</v>
      </c>
      <c r="S104" s="120">
        <v>10.7</v>
      </c>
    </row>
    <row r="105" ht="15.75" customHeight="1">
      <c r="A105" s="112" t="s">
        <v>80</v>
      </c>
      <c r="B105" s="113">
        <v>0.019</v>
      </c>
      <c r="C105" s="113">
        <v>-0.095</v>
      </c>
      <c r="D105" s="113">
        <v>0.152</v>
      </c>
      <c r="E105" s="113">
        <v>0.057</v>
      </c>
      <c r="F105" s="113">
        <v>0.626</v>
      </c>
      <c r="G105" s="113">
        <v>0.095</v>
      </c>
      <c r="H105" s="113">
        <v>0.246</v>
      </c>
      <c r="I105" s="114">
        <v>0.038</v>
      </c>
      <c r="J105" s="40" t="s">
        <v>25</v>
      </c>
      <c r="K105" s="39" t="s">
        <v>16</v>
      </c>
      <c r="L105" s="57" t="s">
        <v>18</v>
      </c>
      <c r="M105" s="39" t="s">
        <v>16</v>
      </c>
      <c r="N105" s="39" t="s">
        <v>16</v>
      </c>
      <c r="O105" s="30" t="s">
        <v>23</v>
      </c>
      <c r="P105" s="57" t="s">
        <v>18</v>
      </c>
      <c r="Q105" s="121" t="s">
        <v>18</v>
      </c>
      <c r="R105" s="124" t="s">
        <v>28</v>
      </c>
      <c r="S105" s="14">
        <v>8.8</v>
      </c>
    </row>
    <row r="106" ht="15.75" customHeight="1">
      <c r="A106" s="112" t="s">
        <v>84</v>
      </c>
      <c r="B106" s="113">
        <v>0.073</v>
      </c>
      <c r="C106" s="113">
        <v>0.84</v>
      </c>
      <c r="D106" s="113">
        <v>0.024</v>
      </c>
      <c r="E106" s="113">
        <v>0.096</v>
      </c>
      <c r="F106" s="113">
        <v>0.753</v>
      </c>
      <c r="G106" s="113">
        <v>0.186</v>
      </c>
      <c r="H106" s="113">
        <v>0.039</v>
      </c>
      <c r="I106" s="114">
        <v>0.006</v>
      </c>
      <c r="J106" s="36" t="s">
        <v>17</v>
      </c>
      <c r="K106" s="57" t="s">
        <v>18</v>
      </c>
      <c r="L106" s="39" t="s">
        <v>16</v>
      </c>
      <c r="M106" s="57" t="s">
        <v>18</v>
      </c>
      <c r="N106" s="36" t="s">
        <v>17</v>
      </c>
      <c r="O106" s="36" t="s">
        <v>17</v>
      </c>
      <c r="P106" s="30" t="s">
        <v>23</v>
      </c>
      <c r="Q106" s="115" t="s">
        <v>16</v>
      </c>
      <c r="R106" s="118" t="s">
        <v>17</v>
      </c>
      <c r="S106" s="120">
        <v>14.6</v>
      </c>
    </row>
    <row r="107" ht="15.75" customHeight="1">
      <c r="A107" s="112" t="s">
        <v>85</v>
      </c>
      <c r="B107" s="113">
        <v>0.027</v>
      </c>
      <c r="C107" s="113">
        <v>-1.251</v>
      </c>
      <c r="D107" s="113">
        <v>0.0</v>
      </c>
      <c r="E107" s="113">
        <v>0.009</v>
      </c>
      <c r="F107" s="113">
        <v>0.345</v>
      </c>
      <c r="G107" s="113">
        <v>0.063</v>
      </c>
      <c r="H107" s="113">
        <v>0.0</v>
      </c>
      <c r="I107" s="114">
        <v>0.0</v>
      </c>
      <c r="J107" s="40" t="s">
        <v>25</v>
      </c>
      <c r="K107" s="40" t="s">
        <v>25</v>
      </c>
      <c r="L107" s="56" t="s">
        <v>66</v>
      </c>
      <c r="M107" s="56" t="s">
        <v>66</v>
      </c>
      <c r="N107" s="40" t="s">
        <v>25</v>
      </c>
      <c r="O107" s="40" t="s">
        <v>25</v>
      </c>
      <c r="P107" s="56" t="s">
        <v>66</v>
      </c>
      <c r="Q107" s="123" t="s">
        <v>66</v>
      </c>
      <c r="R107" s="122" t="s">
        <v>25</v>
      </c>
      <c r="S107" s="120">
        <v>4.3</v>
      </c>
    </row>
    <row r="108" ht="15.75" customHeight="1">
      <c r="A108" s="112" t="s">
        <v>88</v>
      </c>
      <c r="B108" s="113">
        <v>0.043</v>
      </c>
      <c r="C108" s="113">
        <v>-0.375</v>
      </c>
      <c r="D108" s="113">
        <v>0.024</v>
      </c>
      <c r="E108" s="113">
        <v>0.042</v>
      </c>
      <c r="F108" s="113">
        <v>0.482</v>
      </c>
      <c r="G108" s="113">
        <v>0.098</v>
      </c>
      <c r="H108" s="113">
        <v>0.049</v>
      </c>
      <c r="I108" s="114">
        <v>0.004</v>
      </c>
      <c r="J108" s="31" t="s">
        <v>28</v>
      </c>
      <c r="K108" s="30" t="s">
        <v>23</v>
      </c>
      <c r="L108" s="39" t="s">
        <v>16</v>
      </c>
      <c r="M108" s="31" t="s">
        <v>28</v>
      </c>
      <c r="N108" s="40" t="s">
        <v>25</v>
      </c>
      <c r="O108" s="30" t="s">
        <v>23</v>
      </c>
      <c r="P108" s="39" t="s">
        <v>16</v>
      </c>
      <c r="Q108" s="115" t="s">
        <v>16</v>
      </c>
      <c r="R108" s="119" t="s">
        <v>23</v>
      </c>
      <c r="S108" s="120">
        <v>7.3</v>
      </c>
    </row>
    <row r="109" ht="15.75" customHeight="1">
      <c r="A109" s="112" t="s">
        <v>93</v>
      </c>
      <c r="B109" s="113">
        <v>0.008</v>
      </c>
      <c r="C109" s="113">
        <v>0.108</v>
      </c>
      <c r="D109" s="113">
        <v>0.008</v>
      </c>
      <c r="E109" s="113">
        <v>0.077</v>
      </c>
      <c r="F109" s="113">
        <v>0.658</v>
      </c>
      <c r="G109" s="113">
        <v>0.192</v>
      </c>
      <c r="H109" s="113">
        <v>0.012</v>
      </c>
      <c r="I109" s="114">
        <v>0.008</v>
      </c>
      <c r="J109" s="56" t="s">
        <v>66</v>
      </c>
      <c r="K109" s="39" t="s">
        <v>16</v>
      </c>
      <c r="L109" s="30" t="s">
        <v>23</v>
      </c>
      <c r="M109" s="57" t="s">
        <v>18</v>
      </c>
      <c r="N109" s="36" t="s">
        <v>17</v>
      </c>
      <c r="O109" s="36" t="s">
        <v>17</v>
      </c>
      <c r="P109" s="30" t="s">
        <v>23</v>
      </c>
      <c r="Q109" s="115" t="s">
        <v>16</v>
      </c>
      <c r="R109" s="115" t="s">
        <v>16</v>
      </c>
      <c r="S109" s="120">
        <v>11.1</v>
      </c>
    </row>
    <row r="110" ht="15.75" customHeight="1">
      <c r="A110" s="112" t="s">
        <v>94</v>
      </c>
      <c r="B110" s="113">
        <v>0.0</v>
      </c>
      <c r="C110" s="113">
        <v>-2.473</v>
      </c>
      <c r="D110" s="113">
        <v>0.0</v>
      </c>
      <c r="E110" s="113">
        <v>0.022</v>
      </c>
      <c r="F110" s="113">
        <v>0.323</v>
      </c>
      <c r="G110" s="113">
        <v>0.108</v>
      </c>
      <c r="H110" s="113">
        <v>0.0</v>
      </c>
      <c r="I110" s="114">
        <v>0.0</v>
      </c>
      <c r="J110" s="56" t="s">
        <v>66</v>
      </c>
      <c r="K110" s="56" t="s">
        <v>66</v>
      </c>
      <c r="L110" s="56" t="s">
        <v>66</v>
      </c>
      <c r="M110" s="30" t="s">
        <v>23</v>
      </c>
      <c r="N110" s="40" t="s">
        <v>25</v>
      </c>
      <c r="O110" s="31" t="s">
        <v>28</v>
      </c>
      <c r="P110" s="56" t="s">
        <v>66</v>
      </c>
      <c r="Q110" s="123" t="s">
        <v>66</v>
      </c>
      <c r="R110" s="122" t="s">
        <v>25</v>
      </c>
      <c r="S110" s="120">
        <v>5.1</v>
      </c>
    </row>
    <row r="111" ht="15.75" customHeight="1">
      <c r="A111" s="112" t="s">
        <v>95</v>
      </c>
      <c r="B111" s="113">
        <v>0.097</v>
      </c>
      <c r="C111" s="113">
        <v>-0.069</v>
      </c>
      <c r="D111" s="113">
        <v>0.028</v>
      </c>
      <c r="E111" s="113">
        <v>0.061</v>
      </c>
      <c r="F111" s="113">
        <v>0.556</v>
      </c>
      <c r="G111" s="113">
        <v>0.138</v>
      </c>
      <c r="H111" s="113">
        <v>0.065</v>
      </c>
      <c r="I111" s="114">
        <v>0.02</v>
      </c>
      <c r="J111" s="57" t="s">
        <v>18</v>
      </c>
      <c r="K111" s="39" t="s">
        <v>16</v>
      </c>
      <c r="L111" s="39" t="s">
        <v>16</v>
      </c>
      <c r="M111" s="36" t="s">
        <v>17</v>
      </c>
      <c r="N111" s="31" t="s">
        <v>28</v>
      </c>
      <c r="O111" s="39" t="s">
        <v>16</v>
      </c>
      <c r="P111" s="39" t="s">
        <v>16</v>
      </c>
      <c r="Q111" s="121" t="s">
        <v>18</v>
      </c>
      <c r="R111" s="115" t="s">
        <v>16</v>
      </c>
      <c r="S111" s="120">
        <v>12.4</v>
      </c>
    </row>
    <row r="112" ht="15.75" customHeight="1">
      <c r="A112" s="112" t="s">
        <v>196</v>
      </c>
      <c r="B112" s="113">
        <v>0.067</v>
      </c>
      <c r="C112" s="113">
        <v>-0.293</v>
      </c>
      <c r="D112" s="113">
        <v>0.025</v>
      </c>
      <c r="E112" s="113">
        <v>0.041</v>
      </c>
      <c r="F112" s="113">
        <v>0.544</v>
      </c>
      <c r="G112" s="113">
        <v>0.126</v>
      </c>
      <c r="H112" s="113">
        <v>0.04</v>
      </c>
      <c r="I112" s="114">
        <v>0.003</v>
      </c>
      <c r="J112" s="36" t="s">
        <v>17</v>
      </c>
      <c r="K112" s="30" t="s">
        <v>23</v>
      </c>
      <c r="L112" s="39" t="s">
        <v>16</v>
      </c>
      <c r="M112" s="31" t="s">
        <v>28</v>
      </c>
      <c r="N112" s="31" t="s">
        <v>28</v>
      </c>
      <c r="O112" s="39" t="s">
        <v>16</v>
      </c>
      <c r="P112" s="30" t="s">
        <v>23</v>
      </c>
      <c r="Q112" s="124" t="s">
        <v>28</v>
      </c>
      <c r="R112" s="124" t="s">
        <v>28</v>
      </c>
      <c r="S112" s="120">
        <v>10.3</v>
      </c>
    </row>
    <row r="113" ht="15.75" customHeight="1">
      <c r="A113" s="112" t="s">
        <v>99</v>
      </c>
      <c r="B113" s="113">
        <v>0.0</v>
      </c>
      <c r="C113" s="113">
        <v>-0.375</v>
      </c>
      <c r="D113" s="113">
        <v>0.043</v>
      </c>
      <c r="E113" s="113">
        <v>0.049</v>
      </c>
      <c r="F113" s="113">
        <v>0.598</v>
      </c>
      <c r="G113" s="113">
        <v>0.13</v>
      </c>
      <c r="H113" s="113">
        <v>0.071</v>
      </c>
      <c r="I113" s="114">
        <v>0.0</v>
      </c>
      <c r="J113" s="56" t="s">
        <v>66</v>
      </c>
      <c r="K113" s="30" t="s">
        <v>23</v>
      </c>
      <c r="L113" s="39" t="s">
        <v>16</v>
      </c>
      <c r="M113" s="39" t="s">
        <v>16</v>
      </c>
      <c r="N113" s="31" t="s">
        <v>28</v>
      </c>
      <c r="O113" s="39" t="s">
        <v>16</v>
      </c>
      <c r="P113" s="39" t="s">
        <v>16</v>
      </c>
      <c r="Q113" s="123" t="s">
        <v>66</v>
      </c>
      <c r="R113" s="124" t="s">
        <v>28</v>
      </c>
      <c r="S113" s="120">
        <v>8.1</v>
      </c>
    </row>
    <row r="114" ht="15.75" customHeight="1">
      <c r="A114" s="112" t="s">
        <v>104</v>
      </c>
      <c r="B114" s="113">
        <v>0.053</v>
      </c>
      <c r="C114" s="113">
        <v>-0.896</v>
      </c>
      <c r="D114" s="113">
        <v>0.039</v>
      </c>
      <c r="E114" s="113">
        <v>0.024</v>
      </c>
      <c r="F114" s="113">
        <v>0.423</v>
      </c>
      <c r="G114" s="113">
        <v>0.07</v>
      </c>
      <c r="H114" s="113">
        <v>0.066</v>
      </c>
      <c r="I114" s="114">
        <v>0.005</v>
      </c>
      <c r="J114" s="31" t="s">
        <v>28</v>
      </c>
      <c r="K114" s="40" t="s">
        <v>25</v>
      </c>
      <c r="L114" s="39" t="s">
        <v>16</v>
      </c>
      <c r="M114" s="30" t="s">
        <v>23</v>
      </c>
      <c r="N114" s="40" t="s">
        <v>25</v>
      </c>
      <c r="O114" s="30" t="s">
        <v>23</v>
      </c>
      <c r="P114" s="39" t="s">
        <v>16</v>
      </c>
      <c r="Q114" s="115" t="s">
        <v>16</v>
      </c>
      <c r="R114" s="119" t="s">
        <v>23</v>
      </c>
      <c r="S114" s="14">
        <v>6.5</v>
      </c>
    </row>
    <row r="115" ht="15.75" customHeight="1">
      <c r="A115" s="112" t="s">
        <v>111</v>
      </c>
      <c r="B115" s="113">
        <v>0.0</v>
      </c>
      <c r="C115" s="113">
        <v>-1.863</v>
      </c>
      <c r="D115" s="113">
        <v>0.143</v>
      </c>
      <c r="E115" s="113">
        <v>0.0</v>
      </c>
      <c r="F115" s="113">
        <v>0.43</v>
      </c>
      <c r="G115" s="113">
        <v>0.048</v>
      </c>
      <c r="H115" s="113">
        <v>0.143</v>
      </c>
      <c r="I115" s="114">
        <v>0.048</v>
      </c>
      <c r="J115" s="56" t="s">
        <v>66</v>
      </c>
      <c r="K115" s="56" t="s">
        <v>66</v>
      </c>
      <c r="L115" s="57" t="s">
        <v>18</v>
      </c>
      <c r="M115" s="56" t="s">
        <v>66</v>
      </c>
      <c r="N115" s="40" t="s">
        <v>25</v>
      </c>
      <c r="O115" s="40" t="s">
        <v>25</v>
      </c>
      <c r="P115" s="57" t="s">
        <v>18</v>
      </c>
      <c r="Q115" s="121" t="s">
        <v>18</v>
      </c>
      <c r="R115" s="123" t="s">
        <v>66</v>
      </c>
      <c r="S115" s="14">
        <v>3.3</v>
      </c>
    </row>
    <row r="116" ht="15.75" customHeight="1">
      <c r="A116" s="112" t="s">
        <v>113</v>
      </c>
      <c r="B116" s="113">
        <v>0.031</v>
      </c>
      <c r="C116" s="113">
        <v>-1.186</v>
      </c>
      <c r="D116" s="113">
        <v>0.0</v>
      </c>
      <c r="E116" s="113">
        <v>0.031</v>
      </c>
      <c r="F116" s="113">
        <v>0.472</v>
      </c>
      <c r="G116" s="113">
        <v>0.099</v>
      </c>
      <c r="H116" s="113">
        <v>0.012</v>
      </c>
      <c r="I116" s="114">
        <v>0.006</v>
      </c>
      <c r="J116" s="30" t="s">
        <v>23</v>
      </c>
      <c r="K116" s="40" t="s">
        <v>25</v>
      </c>
      <c r="L116" s="56" t="s">
        <v>66</v>
      </c>
      <c r="M116" s="30" t="s">
        <v>23</v>
      </c>
      <c r="N116" s="40" t="s">
        <v>25</v>
      </c>
      <c r="O116" s="30" t="s">
        <v>23</v>
      </c>
      <c r="P116" s="30" t="s">
        <v>23</v>
      </c>
      <c r="Q116" s="115" t="s">
        <v>16</v>
      </c>
      <c r="R116" s="119" t="s">
        <v>23</v>
      </c>
      <c r="S116" s="14">
        <v>6.0</v>
      </c>
    </row>
    <row r="117" ht="15.75" customHeight="1">
      <c r="A117" s="112" t="s">
        <v>114</v>
      </c>
      <c r="B117" s="113">
        <v>0.016</v>
      </c>
      <c r="C117" s="113">
        <v>-0.496</v>
      </c>
      <c r="D117" s="113">
        <v>0.037</v>
      </c>
      <c r="E117" s="113">
        <v>0.044</v>
      </c>
      <c r="F117" s="113">
        <v>0.53</v>
      </c>
      <c r="G117" s="113">
        <v>0.128</v>
      </c>
      <c r="H117" s="113">
        <v>0.056</v>
      </c>
      <c r="I117" s="114">
        <v>0.0</v>
      </c>
      <c r="J117" s="40" t="s">
        <v>25</v>
      </c>
      <c r="K117" s="30" t="s">
        <v>23</v>
      </c>
      <c r="L117" s="39" t="s">
        <v>16</v>
      </c>
      <c r="M117" s="31" t="s">
        <v>28</v>
      </c>
      <c r="N117" s="31" t="s">
        <v>28</v>
      </c>
      <c r="O117" s="39" t="s">
        <v>16</v>
      </c>
      <c r="P117" s="39" t="s">
        <v>16</v>
      </c>
      <c r="Q117" s="123" t="s">
        <v>66</v>
      </c>
      <c r="R117" s="124" t="s">
        <v>28</v>
      </c>
      <c r="S117" s="14">
        <v>8.3</v>
      </c>
    </row>
    <row r="118" ht="15.75" customHeight="1">
      <c r="A118" s="112" t="s">
        <v>115</v>
      </c>
      <c r="B118" s="113">
        <v>0.059</v>
      </c>
      <c r="C118" s="113">
        <v>0.12</v>
      </c>
      <c r="D118" s="113">
        <v>0.04</v>
      </c>
      <c r="E118" s="113">
        <v>0.047</v>
      </c>
      <c r="F118" s="113">
        <v>0.829</v>
      </c>
      <c r="G118" s="113">
        <v>0.187</v>
      </c>
      <c r="H118" s="113">
        <v>0.061</v>
      </c>
      <c r="I118" s="114">
        <v>0.012</v>
      </c>
      <c r="J118" s="39" t="s">
        <v>16</v>
      </c>
      <c r="K118" s="39" t="s">
        <v>16</v>
      </c>
      <c r="L118" s="39" t="s">
        <v>16</v>
      </c>
      <c r="M118" s="39" t="s">
        <v>16</v>
      </c>
      <c r="N118" s="57" t="s">
        <v>18</v>
      </c>
      <c r="O118" s="36" t="s">
        <v>17</v>
      </c>
      <c r="P118" s="39" t="s">
        <v>16</v>
      </c>
      <c r="Q118" s="115" t="s">
        <v>16</v>
      </c>
      <c r="R118" s="118" t="s">
        <v>17</v>
      </c>
      <c r="S118" s="14">
        <v>12.9</v>
      </c>
    </row>
    <row r="119" ht="15.75" customHeight="1">
      <c r="A119" s="112" t="s">
        <v>117</v>
      </c>
      <c r="B119" s="113">
        <v>0.049</v>
      </c>
      <c r="C119" s="113">
        <v>-0.648</v>
      </c>
      <c r="D119" s="113">
        <v>0.047</v>
      </c>
      <c r="E119" s="113">
        <v>0.06</v>
      </c>
      <c r="F119" s="113">
        <v>0.476</v>
      </c>
      <c r="G119" s="113">
        <v>0.123</v>
      </c>
      <c r="H119" s="113">
        <v>0.066</v>
      </c>
      <c r="I119" s="114">
        <v>0.0</v>
      </c>
      <c r="J119" s="31" t="s">
        <v>28</v>
      </c>
      <c r="K119" s="30" t="s">
        <v>23</v>
      </c>
      <c r="L119" s="36" t="s">
        <v>17</v>
      </c>
      <c r="M119" s="39" t="s">
        <v>16</v>
      </c>
      <c r="N119" s="40" t="s">
        <v>25</v>
      </c>
      <c r="O119" s="39" t="s">
        <v>16</v>
      </c>
      <c r="P119" s="39" t="s">
        <v>16</v>
      </c>
      <c r="Q119" s="123" t="s">
        <v>66</v>
      </c>
      <c r="R119" s="124" t="s">
        <v>28</v>
      </c>
      <c r="S119" s="14">
        <v>8.8</v>
      </c>
    </row>
    <row r="120" ht="15.75" customHeight="1">
      <c r="A120" s="112" t="s">
        <v>121</v>
      </c>
      <c r="B120" s="113">
        <v>0.022</v>
      </c>
      <c r="C120" s="113">
        <v>0.346</v>
      </c>
      <c r="D120" s="113">
        <v>0.023</v>
      </c>
      <c r="E120" s="113">
        <v>0.072</v>
      </c>
      <c r="F120" s="113">
        <v>0.729</v>
      </c>
      <c r="G120" s="113">
        <v>0.19</v>
      </c>
      <c r="H120" s="113">
        <v>0.035</v>
      </c>
      <c r="I120" s="114">
        <v>0.005</v>
      </c>
      <c r="J120" s="40" t="s">
        <v>25</v>
      </c>
      <c r="K120" s="57" t="s">
        <v>18</v>
      </c>
      <c r="L120" s="39" t="s">
        <v>16</v>
      </c>
      <c r="M120" s="57" t="s">
        <v>18</v>
      </c>
      <c r="N120" s="36" t="s">
        <v>17</v>
      </c>
      <c r="O120" s="36" t="s">
        <v>17</v>
      </c>
      <c r="P120" s="30" t="s">
        <v>23</v>
      </c>
      <c r="Q120" s="115" t="s">
        <v>16</v>
      </c>
      <c r="R120" s="115" t="s">
        <v>16</v>
      </c>
      <c r="S120" s="14">
        <v>12.6</v>
      </c>
    </row>
    <row r="121" ht="15.75" customHeight="1">
      <c r="A121" s="112" t="s">
        <v>126</v>
      </c>
      <c r="B121" s="113">
        <v>0.028</v>
      </c>
      <c r="C121" s="113">
        <v>-1.322</v>
      </c>
      <c r="D121" s="113">
        <v>0.0</v>
      </c>
      <c r="E121" s="113">
        <v>0.0</v>
      </c>
      <c r="F121" s="113">
        <v>0.358</v>
      </c>
      <c r="G121" s="113">
        <v>0.041</v>
      </c>
      <c r="H121" s="113">
        <v>0.0</v>
      </c>
      <c r="I121" s="114">
        <v>0.0</v>
      </c>
      <c r="J121" s="40" t="s">
        <v>25</v>
      </c>
      <c r="K121" s="40" t="s">
        <v>25</v>
      </c>
      <c r="L121" s="56" t="s">
        <v>66</v>
      </c>
      <c r="M121" s="56" t="s">
        <v>66</v>
      </c>
      <c r="N121" s="40" t="s">
        <v>25</v>
      </c>
      <c r="O121" s="40" t="s">
        <v>25</v>
      </c>
      <c r="P121" s="56" t="s">
        <v>66</v>
      </c>
      <c r="Q121" s="123" t="s">
        <v>66</v>
      </c>
      <c r="R121" s="122" t="s">
        <v>25</v>
      </c>
      <c r="S121" s="14">
        <v>4.3</v>
      </c>
    </row>
    <row r="122" ht="15.75" customHeight="1">
      <c r="A122" s="112" t="s">
        <v>129</v>
      </c>
      <c r="B122" s="113">
        <v>0.099</v>
      </c>
      <c r="C122" s="113">
        <v>-0.132</v>
      </c>
      <c r="D122" s="113">
        <v>0.053</v>
      </c>
      <c r="E122" s="113">
        <v>0.02</v>
      </c>
      <c r="F122" s="113">
        <v>0.495</v>
      </c>
      <c r="G122" s="113">
        <v>0.066</v>
      </c>
      <c r="H122" s="113">
        <v>0.073</v>
      </c>
      <c r="I122" s="114">
        <v>0.046</v>
      </c>
      <c r="J122" s="57" t="s">
        <v>18</v>
      </c>
      <c r="K122" s="39" t="s">
        <v>16</v>
      </c>
      <c r="L122" s="36" t="s">
        <v>17</v>
      </c>
      <c r="M122" s="40" t="s">
        <v>25</v>
      </c>
      <c r="N122" s="31" t="s">
        <v>28</v>
      </c>
      <c r="O122" s="40" t="s">
        <v>25</v>
      </c>
      <c r="P122" s="39" t="s">
        <v>16</v>
      </c>
      <c r="Q122" s="121" t="s">
        <v>18</v>
      </c>
      <c r="R122" s="124" t="s">
        <v>28</v>
      </c>
      <c r="S122" s="14">
        <v>9.4</v>
      </c>
    </row>
    <row r="123" ht="15.75" customHeight="1">
      <c r="A123" s="112" t="s">
        <v>136</v>
      </c>
      <c r="B123" s="113">
        <v>0.096</v>
      </c>
      <c r="C123" s="113">
        <v>0.248</v>
      </c>
      <c r="D123" s="113">
        <v>0.0</v>
      </c>
      <c r="E123" s="113">
        <v>0.072</v>
      </c>
      <c r="F123" s="113">
        <v>0.633</v>
      </c>
      <c r="G123" s="113">
        <v>0.144</v>
      </c>
      <c r="H123" s="113">
        <v>0.0</v>
      </c>
      <c r="I123" s="114">
        <v>0.0</v>
      </c>
      <c r="J123" s="57" t="s">
        <v>18</v>
      </c>
      <c r="K123" s="57" t="s">
        <v>18</v>
      </c>
      <c r="L123" s="56" t="s">
        <v>66</v>
      </c>
      <c r="M123" s="57" t="s">
        <v>18</v>
      </c>
      <c r="N123" s="39" t="s">
        <v>16</v>
      </c>
      <c r="O123" s="39" t="s">
        <v>16</v>
      </c>
      <c r="P123" s="56" t="s">
        <v>66</v>
      </c>
      <c r="Q123" s="123" t="s">
        <v>66</v>
      </c>
      <c r="R123" s="118" t="s">
        <v>17</v>
      </c>
      <c r="S123" s="14">
        <v>14.1</v>
      </c>
    </row>
    <row r="124" ht="15.75" customHeight="1">
      <c r="A124" s="112" t="s">
        <v>137</v>
      </c>
      <c r="B124" s="113">
        <v>0.027</v>
      </c>
      <c r="C124" s="113">
        <v>-1.099</v>
      </c>
      <c r="D124" s="113">
        <v>0.022</v>
      </c>
      <c r="E124" s="113">
        <v>0.022</v>
      </c>
      <c r="F124" s="113">
        <v>0.292</v>
      </c>
      <c r="G124" s="113">
        <v>0.049</v>
      </c>
      <c r="H124" s="113">
        <v>0.053</v>
      </c>
      <c r="I124" s="114">
        <v>0.004</v>
      </c>
      <c r="J124" s="40" t="s">
        <v>25</v>
      </c>
      <c r="K124" s="40" t="s">
        <v>25</v>
      </c>
      <c r="L124" s="31" t="s">
        <v>28</v>
      </c>
      <c r="M124" s="30" t="s">
        <v>23</v>
      </c>
      <c r="N124" s="40" t="s">
        <v>25</v>
      </c>
      <c r="O124" s="40" t="s">
        <v>25</v>
      </c>
      <c r="P124" s="39" t="s">
        <v>16</v>
      </c>
      <c r="Q124" s="115" t="s">
        <v>16</v>
      </c>
      <c r="R124" s="122" t="s">
        <v>25</v>
      </c>
      <c r="S124" s="14">
        <v>4.9</v>
      </c>
    </row>
    <row r="125" ht="15.75" customHeight="1">
      <c r="A125" s="112" t="s">
        <v>139</v>
      </c>
      <c r="B125" s="113">
        <v>0.0</v>
      </c>
      <c r="C125" s="113">
        <v>-0.101</v>
      </c>
      <c r="D125" s="113">
        <v>0.117</v>
      </c>
      <c r="E125" s="113">
        <v>0.0</v>
      </c>
      <c r="F125" s="113">
        <v>0.352</v>
      </c>
      <c r="G125" s="113">
        <v>0.101</v>
      </c>
      <c r="H125" s="113">
        <v>0.201</v>
      </c>
      <c r="I125" s="114">
        <v>0.017</v>
      </c>
      <c r="J125" s="56" t="s">
        <v>66</v>
      </c>
      <c r="K125" s="39" t="s">
        <v>16</v>
      </c>
      <c r="L125" s="57" t="s">
        <v>18</v>
      </c>
      <c r="M125" s="56" t="s">
        <v>66</v>
      </c>
      <c r="N125" s="40" t="s">
        <v>25</v>
      </c>
      <c r="O125" s="30" t="s">
        <v>23</v>
      </c>
      <c r="P125" s="57" t="s">
        <v>18</v>
      </c>
      <c r="Q125" s="121" t="s">
        <v>18</v>
      </c>
      <c r="R125" s="119" t="s">
        <v>23</v>
      </c>
      <c r="S125" s="14">
        <v>5.9</v>
      </c>
    </row>
    <row r="126" ht="15.75" customHeight="1">
      <c r="A126" s="112" t="s">
        <v>140</v>
      </c>
      <c r="B126" s="113">
        <v>0.043</v>
      </c>
      <c r="C126" s="113">
        <v>-1.236</v>
      </c>
      <c r="D126" s="113">
        <v>0.057</v>
      </c>
      <c r="E126" s="113">
        <v>0.014</v>
      </c>
      <c r="F126" s="113">
        <v>0.341</v>
      </c>
      <c r="G126" s="113">
        <v>0.028</v>
      </c>
      <c r="H126" s="113">
        <v>0.114</v>
      </c>
      <c r="I126" s="114">
        <v>0.014</v>
      </c>
      <c r="J126" s="31" t="s">
        <v>28</v>
      </c>
      <c r="K126" s="40" t="s">
        <v>25</v>
      </c>
      <c r="L126" s="57" t="s">
        <v>18</v>
      </c>
      <c r="M126" s="40" t="s">
        <v>25</v>
      </c>
      <c r="N126" s="40" t="s">
        <v>25</v>
      </c>
      <c r="O126" s="56" t="s">
        <v>66</v>
      </c>
      <c r="P126" s="57" t="s">
        <v>18</v>
      </c>
      <c r="Q126" s="118" t="s">
        <v>17</v>
      </c>
      <c r="R126" s="122" t="s">
        <v>25</v>
      </c>
      <c r="S126" s="14">
        <v>5.0</v>
      </c>
    </row>
    <row r="127" ht="15.75" customHeight="1">
      <c r="A127" s="112" t="s">
        <v>142</v>
      </c>
      <c r="B127" s="113">
        <v>0.077</v>
      </c>
      <c r="C127" s="113">
        <v>-0.538</v>
      </c>
      <c r="D127" s="113">
        <v>0.0</v>
      </c>
      <c r="E127" s="113">
        <v>0.038</v>
      </c>
      <c r="F127" s="113">
        <v>0.461</v>
      </c>
      <c r="G127" s="113">
        <v>0.0</v>
      </c>
      <c r="H127" s="113">
        <v>0.0</v>
      </c>
      <c r="I127" s="114">
        <v>0.0</v>
      </c>
      <c r="J127" s="36" t="s">
        <v>17</v>
      </c>
      <c r="K127" s="30" t="s">
        <v>23</v>
      </c>
      <c r="L127" s="56" t="s">
        <v>66</v>
      </c>
      <c r="M127" s="30" t="s">
        <v>23</v>
      </c>
      <c r="N127" s="40" t="s">
        <v>25</v>
      </c>
      <c r="O127" s="56" t="s">
        <v>66</v>
      </c>
      <c r="P127" s="56" t="s">
        <v>66</v>
      </c>
      <c r="Q127" s="123" t="s">
        <v>66</v>
      </c>
      <c r="R127" s="119" t="s">
        <v>23</v>
      </c>
      <c r="S127" s="14">
        <v>6.8</v>
      </c>
    </row>
    <row r="128" ht="15.75" customHeight="1">
      <c r="A128" s="112" t="s">
        <v>144</v>
      </c>
      <c r="B128" s="113">
        <v>0.08</v>
      </c>
      <c r="C128" s="113">
        <v>0.661</v>
      </c>
      <c r="D128" s="113">
        <v>0.096</v>
      </c>
      <c r="E128" s="113">
        <v>0.055</v>
      </c>
      <c r="F128" s="113">
        <v>0.683</v>
      </c>
      <c r="G128" s="113">
        <v>0.16</v>
      </c>
      <c r="H128" s="113">
        <v>0.174</v>
      </c>
      <c r="I128" s="114">
        <v>0.041</v>
      </c>
      <c r="J128" s="36" t="s">
        <v>17</v>
      </c>
      <c r="K128" s="57" t="s">
        <v>18</v>
      </c>
      <c r="L128" s="57" t="s">
        <v>18</v>
      </c>
      <c r="M128" s="39" t="s">
        <v>16</v>
      </c>
      <c r="N128" s="36" t="s">
        <v>17</v>
      </c>
      <c r="O128" s="39" t="s">
        <v>16</v>
      </c>
      <c r="P128" s="57" t="s">
        <v>18</v>
      </c>
      <c r="Q128" s="121" t="s">
        <v>18</v>
      </c>
      <c r="R128" s="118" t="s">
        <v>17</v>
      </c>
      <c r="S128" s="14">
        <v>13.4</v>
      </c>
    </row>
    <row r="129" ht="15.75" customHeight="1">
      <c r="A129" s="112" t="s">
        <v>199</v>
      </c>
      <c r="B129" s="113">
        <v>0.05</v>
      </c>
      <c r="C129" s="113">
        <v>-0.995</v>
      </c>
      <c r="D129" s="113">
        <v>0.0</v>
      </c>
      <c r="E129" s="113">
        <v>0.029</v>
      </c>
      <c r="F129" s="113">
        <v>0.421</v>
      </c>
      <c r="G129" s="113">
        <v>0.054</v>
      </c>
      <c r="H129" s="113">
        <v>0.0</v>
      </c>
      <c r="I129" s="114">
        <v>0.0</v>
      </c>
      <c r="J129" s="31" t="s">
        <v>28</v>
      </c>
      <c r="K129" s="40" t="s">
        <v>25</v>
      </c>
      <c r="L129" s="56" t="s">
        <v>66</v>
      </c>
      <c r="M129" s="30" t="s">
        <v>23</v>
      </c>
      <c r="N129" s="40" t="s">
        <v>25</v>
      </c>
      <c r="O129" s="40" t="s">
        <v>25</v>
      </c>
      <c r="P129" s="56" t="s">
        <v>66</v>
      </c>
      <c r="Q129" s="123" t="s">
        <v>66</v>
      </c>
      <c r="R129" s="119" t="s">
        <v>23</v>
      </c>
      <c r="S129" s="14">
        <v>5.9</v>
      </c>
    </row>
    <row r="130" ht="15.75" customHeight="1">
      <c r="A130" s="112" t="s">
        <v>149</v>
      </c>
      <c r="B130" s="113">
        <v>0.033</v>
      </c>
      <c r="C130" s="113">
        <v>-1.085</v>
      </c>
      <c r="D130" s="113">
        <v>0.0</v>
      </c>
      <c r="E130" s="113">
        <v>0.011</v>
      </c>
      <c r="F130" s="113">
        <v>0.434</v>
      </c>
      <c r="G130" s="113">
        <v>0.087</v>
      </c>
      <c r="H130" s="113">
        <v>0.0</v>
      </c>
      <c r="I130" s="114">
        <v>0.0</v>
      </c>
      <c r="J130" s="30" t="s">
        <v>23</v>
      </c>
      <c r="K130" s="40" t="s">
        <v>25</v>
      </c>
      <c r="L130" s="56" t="s">
        <v>66</v>
      </c>
      <c r="M130" s="56" t="s">
        <v>66</v>
      </c>
      <c r="N130" s="40" t="s">
        <v>25</v>
      </c>
      <c r="O130" s="30" t="s">
        <v>23</v>
      </c>
      <c r="P130" s="56" t="s">
        <v>66</v>
      </c>
      <c r="Q130" s="123" t="s">
        <v>66</v>
      </c>
      <c r="R130" s="122" t="s">
        <v>25</v>
      </c>
      <c r="S130" s="14">
        <v>5.4</v>
      </c>
    </row>
    <row r="131" ht="15.75" customHeight="1">
      <c r="A131" s="112" t="s">
        <v>151</v>
      </c>
      <c r="B131" s="113">
        <v>0.0</v>
      </c>
      <c r="C131" s="113">
        <v>-1.445</v>
      </c>
      <c r="D131" s="113">
        <v>0.018</v>
      </c>
      <c r="E131" s="113">
        <v>0.0</v>
      </c>
      <c r="F131" s="113">
        <v>0.307</v>
      </c>
      <c r="G131" s="113">
        <v>0.072</v>
      </c>
      <c r="H131" s="113">
        <v>0.054</v>
      </c>
      <c r="I131" s="114">
        <v>0.036</v>
      </c>
      <c r="J131" s="56" t="s">
        <v>66</v>
      </c>
      <c r="K131" s="40" t="s">
        <v>25</v>
      </c>
      <c r="L131" s="30" t="s">
        <v>23</v>
      </c>
      <c r="M131" s="56" t="s">
        <v>66</v>
      </c>
      <c r="N131" s="40" t="s">
        <v>25</v>
      </c>
      <c r="O131" s="30" t="s">
        <v>23</v>
      </c>
      <c r="P131" s="39" t="s">
        <v>16</v>
      </c>
      <c r="Q131" s="121" t="s">
        <v>18</v>
      </c>
      <c r="R131" s="122" t="s">
        <v>25</v>
      </c>
      <c r="S131" s="14">
        <v>4.4</v>
      </c>
    </row>
    <row r="132" ht="15.75" customHeight="1">
      <c r="A132" s="112" t="s">
        <v>153</v>
      </c>
      <c r="B132" s="113">
        <v>0.026</v>
      </c>
      <c r="C132" s="113">
        <v>-0.383</v>
      </c>
      <c r="D132" s="113">
        <v>0.14</v>
      </c>
      <c r="E132" s="113">
        <v>0.064</v>
      </c>
      <c r="F132" s="113">
        <v>0.536</v>
      </c>
      <c r="G132" s="113">
        <v>0.153</v>
      </c>
      <c r="H132" s="113">
        <v>0.242</v>
      </c>
      <c r="I132" s="114">
        <v>0.038</v>
      </c>
      <c r="J132" s="40" t="s">
        <v>25</v>
      </c>
      <c r="K132" s="30" t="s">
        <v>23</v>
      </c>
      <c r="L132" s="57" t="s">
        <v>18</v>
      </c>
      <c r="M132" s="36" t="s">
        <v>17</v>
      </c>
      <c r="N132" s="31" t="s">
        <v>28</v>
      </c>
      <c r="O132" s="39" t="s">
        <v>16</v>
      </c>
      <c r="P132" s="57" t="s">
        <v>18</v>
      </c>
      <c r="Q132" s="121" t="s">
        <v>18</v>
      </c>
      <c r="R132" s="129" t="s">
        <v>28</v>
      </c>
      <c r="S132" s="14">
        <v>8.9</v>
      </c>
    </row>
    <row r="133" ht="15.75" customHeight="1">
      <c r="A133" s="112" t="s">
        <v>159</v>
      </c>
      <c r="B133" s="113">
        <v>0.062</v>
      </c>
      <c r="C133" s="113">
        <v>-0.936</v>
      </c>
      <c r="D133" s="113">
        <v>0.0</v>
      </c>
      <c r="E133" s="113">
        <v>0.014</v>
      </c>
      <c r="F133" s="113">
        <v>0.351</v>
      </c>
      <c r="G133" s="113">
        <v>0.041</v>
      </c>
      <c r="H133" s="113">
        <v>0.0</v>
      </c>
      <c r="I133" s="114">
        <v>0.0</v>
      </c>
      <c r="J133" s="39" t="s">
        <v>16</v>
      </c>
      <c r="K133" s="40" t="s">
        <v>25</v>
      </c>
      <c r="L133" s="56" t="s">
        <v>66</v>
      </c>
      <c r="M133" s="40" t="s">
        <v>25</v>
      </c>
      <c r="N133" s="40" t="s">
        <v>25</v>
      </c>
      <c r="O133" s="40" t="s">
        <v>25</v>
      </c>
      <c r="P133" s="56" t="s">
        <v>66</v>
      </c>
      <c r="Q133" s="123" t="s">
        <v>66</v>
      </c>
      <c r="R133" s="130" t="s">
        <v>23</v>
      </c>
      <c r="S133" s="14">
        <v>6.1</v>
      </c>
    </row>
    <row r="134" ht="15.75" customHeight="1">
      <c r="A134" s="112" t="s">
        <v>162</v>
      </c>
      <c r="B134" s="113">
        <v>0.073</v>
      </c>
      <c r="C134" s="113">
        <v>-0.168</v>
      </c>
      <c r="D134" s="113">
        <v>0.107</v>
      </c>
      <c r="E134" s="113">
        <v>0.027</v>
      </c>
      <c r="F134" s="113">
        <v>0.413</v>
      </c>
      <c r="G134" s="113">
        <v>0.069</v>
      </c>
      <c r="H134" s="113">
        <v>0.161</v>
      </c>
      <c r="I134" s="114">
        <v>0.046</v>
      </c>
      <c r="J134" s="36" t="s">
        <v>17</v>
      </c>
      <c r="K134" s="39" t="s">
        <v>16</v>
      </c>
      <c r="L134" s="57" t="s">
        <v>18</v>
      </c>
      <c r="M134" s="30" t="s">
        <v>23</v>
      </c>
      <c r="N134" s="40" t="s">
        <v>25</v>
      </c>
      <c r="O134" s="40" t="s">
        <v>25</v>
      </c>
      <c r="P134" s="57" t="s">
        <v>18</v>
      </c>
      <c r="Q134" s="121" t="s">
        <v>18</v>
      </c>
      <c r="R134" s="127" t="s">
        <v>28</v>
      </c>
      <c r="S134" s="14">
        <v>8.4</v>
      </c>
    </row>
    <row r="135" ht="15.75" customHeight="1">
      <c r="A135" s="112" t="s">
        <v>164</v>
      </c>
      <c r="B135" s="113">
        <v>0.027</v>
      </c>
      <c r="C135" s="113">
        <v>0.655</v>
      </c>
      <c r="D135" s="113">
        <v>0.0</v>
      </c>
      <c r="E135" s="113">
        <v>0.136</v>
      </c>
      <c r="F135" s="113">
        <v>0.9</v>
      </c>
      <c r="G135" s="113">
        <v>0.191</v>
      </c>
      <c r="H135" s="113">
        <v>0.0</v>
      </c>
      <c r="I135" s="114">
        <v>0.0</v>
      </c>
      <c r="J135" s="40" t="s">
        <v>25</v>
      </c>
      <c r="K135" s="57" t="s">
        <v>18</v>
      </c>
      <c r="L135" s="56" t="s">
        <v>66</v>
      </c>
      <c r="M135" s="57" t="s">
        <v>18</v>
      </c>
      <c r="N135" s="57" t="s">
        <v>18</v>
      </c>
      <c r="O135" s="36" t="s">
        <v>17</v>
      </c>
      <c r="P135" s="56" t="s">
        <v>66</v>
      </c>
      <c r="Q135" s="123" t="s">
        <v>66</v>
      </c>
      <c r="R135" s="128" t="s">
        <v>17</v>
      </c>
      <c r="S135" s="14">
        <v>13.0</v>
      </c>
    </row>
    <row r="136" ht="15.75" customHeight="1">
      <c r="A136" s="112" t="s">
        <v>168</v>
      </c>
      <c r="B136" s="113">
        <v>0.047</v>
      </c>
      <c r="C136" s="113">
        <v>0.04</v>
      </c>
      <c r="D136" s="113">
        <v>0.007</v>
      </c>
      <c r="E136" s="113">
        <v>0.06</v>
      </c>
      <c r="F136" s="113">
        <v>0.719</v>
      </c>
      <c r="G136" s="113">
        <v>0.188</v>
      </c>
      <c r="H136" s="113">
        <v>0.013</v>
      </c>
      <c r="I136" s="114">
        <v>0.0</v>
      </c>
      <c r="J136" s="31" t="s">
        <v>28</v>
      </c>
      <c r="K136" s="39" t="s">
        <v>16</v>
      </c>
      <c r="L136" s="30" t="s">
        <v>23</v>
      </c>
      <c r="M136" s="39" t="s">
        <v>16</v>
      </c>
      <c r="N136" s="36" t="s">
        <v>17</v>
      </c>
      <c r="O136" s="36" t="s">
        <v>17</v>
      </c>
      <c r="P136" s="30" t="s">
        <v>23</v>
      </c>
      <c r="Q136" s="123" t="s">
        <v>66</v>
      </c>
      <c r="R136" s="126" t="s">
        <v>16</v>
      </c>
      <c r="S136" s="14">
        <v>12.0</v>
      </c>
    </row>
    <row r="137" ht="15.75" customHeight="1">
      <c r="A137" s="112" t="s">
        <v>169</v>
      </c>
      <c r="B137" s="113">
        <v>0.1</v>
      </c>
      <c r="C137" s="113">
        <v>0.43</v>
      </c>
      <c r="D137" s="113">
        <v>0.062</v>
      </c>
      <c r="E137" s="113">
        <v>0.088</v>
      </c>
      <c r="F137" s="113">
        <v>0.653</v>
      </c>
      <c r="G137" s="113">
        <v>0.18</v>
      </c>
      <c r="H137" s="113">
        <v>0.102</v>
      </c>
      <c r="I137" s="114">
        <v>0.009</v>
      </c>
      <c r="J137" s="57" t="s">
        <v>18</v>
      </c>
      <c r="K137" s="57" t="s">
        <v>18</v>
      </c>
      <c r="L137" s="57" t="s">
        <v>18</v>
      </c>
      <c r="M137" s="57" t="s">
        <v>18</v>
      </c>
      <c r="N137" s="36" t="s">
        <v>17</v>
      </c>
      <c r="O137" s="36" t="s">
        <v>17</v>
      </c>
      <c r="P137" s="57" t="s">
        <v>18</v>
      </c>
      <c r="Q137" s="115" t="s">
        <v>16</v>
      </c>
      <c r="R137" s="116" t="s">
        <v>18</v>
      </c>
      <c r="S137" s="14">
        <v>15.1</v>
      </c>
    </row>
    <row r="138" ht="15.75" customHeight="1">
      <c r="A138" s="112" t="s">
        <v>171</v>
      </c>
      <c r="B138" s="113">
        <v>0.027</v>
      </c>
      <c r="C138" s="113">
        <v>-1.609</v>
      </c>
      <c r="D138" s="113">
        <v>0.0</v>
      </c>
      <c r="E138" s="113">
        <v>0.013</v>
      </c>
      <c r="F138" s="113">
        <v>0.362</v>
      </c>
      <c r="G138" s="113">
        <v>0.04</v>
      </c>
      <c r="H138" s="113">
        <v>0.0</v>
      </c>
      <c r="I138" s="114">
        <v>0.0</v>
      </c>
      <c r="J138" s="40" t="s">
        <v>25</v>
      </c>
      <c r="K138" s="56" t="s">
        <v>66</v>
      </c>
      <c r="L138" s="56" t="s">
        <v>66</v>
      </c>
      <c r="M138" s="40" t="s">
        <v>25</v>
      </c>
      <c r="N138" s="40" t="s">
        <v>25</v>
      </c>
      <c r="O138" s="40" t="s">
        <v>25</v>
      </c>
      <c r="P138" s="56" t="s">
        <v>66</v>
      </c>
      <c r="Q138" s="123" t="s">
        <v>66</v>
      </c>
      <c r="R138" s="131" t="s">
        <v>25</v>
      </c>
      <c r="S138" s="14">
        <v>4.1</v>
      </c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74"/>
      <c r="K139" s="74"/>
      <c r="L139" s="74"/>
      <c r="M139" s="74"/>
      <c r="N139" s="74"/>
      <c r="O139" s="74"/>
      <c r="P139" s="74"/>
      <c r="Q139" s="133"/>
      <c r="R139" s="134"/>
      <c r="S139" s="74"/>
      <c r="T139" s="58"/>
      <c r="U139" s="58"/>
      <c r="V139" s="58"/>
      <c r="W139" s="58"/>
      <c r="X139" s="58"/>
      <c r="Y139" s="58"/>
      <c r="Z139" s="58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63"/>
    <col customWidth="1" min="2" max="2" width="9.25"/>
    <col customWidth="1" min="3" max="3" width="13.75"/>
    <col customWidth="1" hidden="1" min="4" max="4" width="14.5"/>
    <col customWidth="1" min="5" max="5" width="0.75"/>
    <col customWidth="1" min="6" max="6" width="11.25"/>
    <col customWidth="1" min="7" max="7" width="9.5"/>
    <col customWidth="1" min="16" max="16" width="5.25"/>
    <col customWidth="1" min="17" max="17" width="5.5"/>
    <col customWidth="1" min="18" max="18" width="9.88"/>
  </cols>
  <sheetData>
    <row r="1" ht="15.75" customHeight="1">
      <c r="A1" s="135" t="s">
        <v>200</v>
      </c>
      <c r="B1" s="135" t="s">
        <v>201</v>
      </c>
      <c r="C1" s="135" t="s">
        <v>202</v>
      </c>
      <c r="D1" s="135" t="s">
        <v>203</v>
      </c>
      <c r="E1" s="136"/>
      <c r="F1" s="135" t="s">
        <v>204</v>
      </c>
      <c r="G1" s="137"/>
      <c r="H1" s="135" t="s">
        <v>205</v>
      </c>
      <c r="I1" s="135" t="s">
        <v>206</v>
      </c>
      <c r="J1" s="135" t="s">
        <v>207</v>
      </c>
      <c r="K1" s="135" t="s">
        <v>208</v>
      </c>
      <c r="L1" s="135" t="s">
        <v>209</v>
      </c>
      <c r="M1" s="135" t="s">
        <v>210</v>
      </c>
      <c r="N1" s="135" t="s">
        <v>211</v>
      </c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</row>
    <row r="2" ht="15.75" customHeight="1">
      <c r="A2" s="138" t="s">
        <v>31</v>
      </c>
      <c r="B2" s="18" t="str">
        <f>IFERROR(VLOOKUP(A2,'Bid Values'!A:F,2,0),)</f>
        <v>A</v>
      </c>
      <c r="C2" s="18">
        <f>IFERROR(VLOOKUP(A2,'Bid Values'!A:F,3,0),)</f>
        <v>198</v>
      </c>
      <c r="D2" s="18">
        <f t="shared" ref="D2:D44" si="1">600-C2</f>
        <v>402</v>
      </c>
      <c r="E2" s="59"/>
      <c r="F2" s="139" t="s">
        <v>212</v>
      </c>
      <c r="G2" s="140"/>
      <c r="H2" s="141">
        <v>44750.0</v>
      </c>
      <c r="I2" s="141">
        <v>44750.0</v>
      </c>
      <c r="J2" s="141">
        <v>44750.0</v>
      </c>
      <c r="K2" s="141">
        <v>44750.0</v>
      </c>
      <c r="L2" s="141">
        <v>44750.0</v>
      </c>
      <c r="M2" s="18" t="s">
        <v>213</v>
      </c>
      <c r="N2" s="18" t="s">
        <v>213</v>
      </c>
      <c r="Q2" s="23" t="s">
        <v>214</v>
      </c>
      <c r="R2" s="23" t="s">
        <v>215</v>
      </c>
    </row>
    <row r="3" ht="15.75" customHeight="1">
      <c r="A3" s="18" t="s">
        <v>43</v>
      </c>
      <c r="B3" s="18" t="str">
        <f>IFERROR(VLOOKUP(A3,'Bid Values'!A:F,2,0),)</f>
        <v>A</v>
      </c>
      <c r="C3" s="18">
        <f>IFERROR(VLOOKUP(A3,'Bid Values'!A:F,3,0),)</f>
        <v>198</v>
      </c>
      <c r="D3" s="18">
        <f t="shared" si="1"/>
        <v>402</v>
      </c>
      <c r="E3" s="59"/>
      <c r="F3" s="142" t="s">
        <v>216</v>
      </c>
      <c r="G3" s="140"/>
      <c r="H3" s="141">
        <v>44750.0</v>
      </c>
      <c r="I3" s="141">
        <v>44750.0</v>
      </c>
      <c r="J3" s="141">
        <v>44750.0</v>
      </c>
      <c r="K3" s="141">
        <v>44750.0</v>
      </c>
      <c r="L3" s="141">
        <v>44750.0</v>
      </c>
      <c r="M3" s="141">
        <v>44750.0</v>
      </c>
      <c r="N3" s="141">
        <v>44750.0</v>
      </c>
      <c r="P3" s="23" t="s">
        <v>17</v>
      </c>
      <c r="Q3" s="23">
        <v>4.0</v>
      </c>
      <c r="R3" s="23">
        <v>1.0</v>
      </c>
    </row>
    <row r="4" ht="15.75" customHeight="1">
      <c r="A4" s="138" t="s">
        <v>217</v>
      </c>
      <c r="B4" s="18" t="str">
        <f>IFERROR(VLOOKUP(A4,'Bid Values'!A:F,2,0),)</f>
        <v>A</v>
      </c>
      <c r="C4" s="18">
        <f>IFERROR(VLOOKUP(A4,'Bid Values'!A:F,3,0),)</f>
        <v>198</v>
      </c>
      <c r="D4" s="18">
        <f t="shared" si="1"/>
        <v>402</v>
      </c>
      <c r="E4" s="59"/>
      <c r="F4" s="142" t="s">
        <v>218</v>
      </c>
      <c r="G4" s="140"/>
      <c r="H4" s="18">
        <v>8.0</v>
      </c>
      <c r="I4" s="18">
        <v>8.0</v>
      </c>
      <c r="J4" s="18">
        <v>8.0</v>
      </c>
      <c r="K4" s="18">
        <v>8.0</v>
      </c>
      <c r="L4" s="18">
        <v>8.0</v>
      </c>
      <c r="M4" s="18">
        <v>8.0</v>
      </c>
      <c r="N4" s="18">
        <v>8.0</v>
      </c>
      <c r="P4" s="23" t="s">
        <v>16</v>
      </c>
      <c r="Q4" s="23">
        <v>2.0</v>
      </c>
      <c r="R4" s="23">
        <v>1.0</v>
      </c>
    </row>
    <row r="5" ht="15.75" customHeight="1">
      <c r="A5" s="138" t="s">
        <v>115</v>
      </c>
      <c r="B5" s="18" t="str">
        <f>IFERROR(VLOOKUP(A5,'Bid Values'!A:F,2,0),)</f>
        <v>A</v>
      </c>
      <c r="C5" s="18">
        <f>IFERROR(VLOOKUP(A5,'Bid Values'!A:F,3,0),)</f>
        <v>198</v>
      </c>
      <c r="D5" s="18">
        <f t="shared" si="1"/>
        <v>402</v>
      </c>
      <c r="E5" s="59"/>
      <c r="F5" s="142" t="s">
        <v>219</v>
      </c>
      <c r="G5" s="140"/>
      <c r="H5" s="18" t="s">
        <v>220</v>
      </c>
      <c r="I5" s="18" t="s">
        <v>220</v>
      </c>
      <c r="J5" s="18" t="s">
        <v>220</v>
      </c>
      <c r="K5" s="18" t="s">
        <v>220</v>
      </c>
      <c r="L5" s="18" t="s">
        <v>220</v>
      </c>
      <c r="M5" s="18" t="s">
        <v>220</v>
      </c>
      <c r="N5" s="18" t="s">
        <v>220</v>
      </c>
      <c r="P5" s="23" t="s">
        <v>28</v>
      </c>
      <c r="Q5" s="23">
        <v>9.0</v>
      </c>
      <c r="R5" s="23">
        <v>2.0</v>
      </c>
    </row>
    <row r="6" ht="15.75" customHeight="1">
      <c r="A6" s="143" t="s">
        <v>144</v>
      </c>
      <c r="B6" s="18" t="str">
        <f>IFERROR(VLOOKUP(A6,'Bid Values'!A:F,2,0),)</f>
        <v>A</v>
      </c>
      <c r="C6" s="18">
        <f>IFERROR(VLOOKUP(A6,'Bid Values'!A:F,3,0),)</f>
        <v>198</v>
      </c>
      <c r="D6" s="18">
        <f t="shared" si="1"/>
        <v>402</v>
      </c>
      <c r="E6" s="59"/>
      <c r="F6" s="142" t="s">
        <v>216</v>
      </c>
      <c r="G6" s="140"/>
      <c r="H6" s="18" t="s">
        <v>221</v>
      </c>
      <c r="I6" s="18" t="s">
        <v>221</v>
      </c>
      <c r="J6" s="18" t="s">
        <v>222</v>
      </c>
      <c r="K6" s="18" t="s">
        <v>222</v>
      </c>
      <c r="L6" s="18" t="s">
        <v>222</v>
      </c>
      <c r="M6" s="18" t="s">
        <v>222</v>
      </c>
      <c r="N6" s="18" t="s">
        <v>221</v>
      </c>
      <c r="P6" s="23" t="s">
        <v>23</v>
      </c>
      <c r="Q6" s="23">
        <v>11.0</v>
      </c>
      <c r="R6" s="23">
        <v>3.0</v>
      </c>
    </row>
    <row r="7" ht="15.75" customHeight="1">
      <c r="A7" s="144" t="s">
        <v>169</v>
      </c>
      <c r="B7" s="18" t="str">
        <f>IFERROR(VLOOKUP(A7,'Bid Values'!A:F,2,0),)</f>
        <v>A</v>
      </c>
      <c r="C7" s="18">
        <f>IFERROR(VLOOKUP(A7,'Bid Values'!A:F,3,0),)</f>
        <v>198</v>
      </c>
      <c r="D7" s="18">
        <f t="shared" si="1"/>
        <v>402</v>
      </c>
      <c r="E7" s="59"/>
      <c r="F7" s="145" t="s">
        <v>212</v>
      </c>
      <c r="G7" s="140"/>
      <c r="H7" s="18" t="s">
        <v>223</v>
      </c>
      <c r="I7" s="18" t="s">
        <v>223</v>
      </c>
      <c r="J7" s="18" t="s">
        <v>223</v>
      </c>
      <c r="K7" s="18" t="s">
        <v>223</v>
      </c>
      <c r="L7" s="18" t="s">
        <v>223</v>
      </c>
      <c r="M7" s="18" t="s">
        <v>223</v>
      </c>
      <c r="N7" s="18" t="s">
        <v>223</v>
      </c>
      <c r="P7" s="23" t="s">
        <v>25</v>
      </c>
      <c r="Q7" s="23">
        <v>7.0</v>
      </c>
      <c r="R7" s="23">
        <v>2.0</v>
      </c>
    </row>
    <row r="8" ht="15.75" customHeight="1">
      <c r="A8" s="138" t="s">
        <v>38</v>
      </c>
      <c r="B8" s="146" t="s">
        <v>16</v>
      </c>
      <c r="C8" s="18">
        <v>150.0</v>
      </c>
      <c r="D8" s="18">
        <f t="shared" si="1"/>
        <v>450</v>
      </c>
      <c r="E8" s="59"/>
      <c r="F8" s="142" t="s">
        <v>216</v>
      </c>
      <c r="G8" s="140"/>
      <c r="H8" s="141">
        <v>44753.0</v>
      </c>
      <c r="I8" s="141">
        <v>44815.0</v>
      </c>
      <c r="J8" s="141">
        <v>44815.0</v>
      </c>
      <c r="K8" s="141">
        <v>44815.0</v>
      </c>
      <c r="L8" s="18">
        <v>911.0</v>
      </c>
      <c r="M8" s="141">
        <v>44815.0</v>
      </c>
      <c r="N8" s="141">
        <v>44815.0</v>
      </c>
    </row>
    <row r="9" ht="15.75" customHeight="1">
      <c r="A9" s="144" t="s">
        <v>42</v>
      </c>
      <c r="B9" s="18" t="str">
        <f>IFERROR(VLOOKUP(A9,'Bid Values'!A:F,2,0),)</f>
        <v>B</v>
      </c>
      <c r="C9" s="18">
        <f>IFERROR(VLOOKUP(A9,'Bid Values'!A:F,3,0),)</f>
        <v>150</v>
      </c>
      <c r="D9" s="18">
        <f t="shared" si="1"/>
        <v>450</v>
      </c>
      <c r="E9" s="59"/>
      <c r="F9" s="142" t="s">
        <v>219</v>
      </c>
      <c r="G9" s="140"/>
      <c r="H9" s="141">
        <v>44753.0</v>
      </c>
      <c r="I9" s="141">
        <v>44753.0</v>
      </c>
      <c r="J9" s="141">
        <v>44753.0</v>
      </c>
      <c r="K9" s="141">
        <v>44753.0</v>
      </c>
      <c r="L9" s="141">
        <v>44753.0</v>
      </c>
      <c r="M9" s="141">
        <v>44753.0</v>
      </c>
      <c r="N9" s="141">
        <v>44753.0</v>
      </c>
    </row>
    <row r="10" ht="15.75" customHeight="1">
      <c r="A10" s="18" t="s">
        <v>121</v>
      </c>
      <c r="B10" s="18" t="s">
        <v>16</v>
      </c>
      <c r="C10" s="18">
        <v>150.0</v>
      </c>
      <c r="D10" s="18">
        <f t="shared" si="1"/>
        <v>450</v>
      </c>
      <c r="E10" s="59"/>
      <c r="F10" s="142" t="s">
        <v>212</v>
      </c>
      <c r="G10" s="140"/>
      <c r="H10" s="141">
        <v>44784.0</v>
      </c>
      <c r="I10" s="141">
        <v>44784.0</v>
      </c>
      <c r="J10" s="141">
        <v>44750.0</v>
      </c>
      <c r="K10" s="141">
        <v>44750.0</v>
      </c>
      <c r="L10" s="141">
        <v>44750.0</v>
      </c>
      <c r="M10" s="141">
        <v>44750.0</v>
      </c>
      <c r="N10" s="141">
        <v>44751.0</v>
      </c>
    </row>
    <row r="11" ht="15.75" customHeight="1">
      <c r="A11" s="144" t="s">
        <v>129</v>
      </c>
      <c r="B11" s="18" t="str">
        <f>IFERROR(VLOOKUP(A11,'Bid Values'!A:F,2,0),)</f>
        <v>B</v>
      </c>
      <c r="C11" s="18">
        <f>IFERROR(VLOOKUP(A11,'Bid Values'!A:F,3,0),)</f>
        <v>150</v>
      </c>
      <c r="D11" s="18">
        <f t="shared" si="1"/>
        <v>450</v>
      </c>
      <c r="E11" s="59"/>
      <c r="F11" s="142" t="s">
        <v>219</v>
      </c>
      <c r="G11" s="140"/>
      <c r="H11" s="18" t="s">
        <v>222</v>
      </c>
      <c r="I11" s="18" t="s">
        <v>222</v>
      </c>
      <c r="J11" s="18" t="s">
        <v>222</v>
      </c>
      <c r="K11" s="18">
        <v>9.0</v>
      </c>
      <c r="L11" s="18">
        <v>9.0</v>
      </c>
      <c r="M11" s="18">
        <v>9.0</v>
      </c>
      <c r="N11" s="18">
        <v>7.0</v>
      </c>
    </row>
    <row r="12" ht="15.75" customHeight="1">
      <c r="A12" s="147" t="s">
        <v>139</v>
      </c>
      <c r="B12" s="18" t="str">
        <f>IFERROR(VLOOKUP(A12,'Bid Values'!A:F,2,0),)</f>
        <v>B</v>
      </c>
      <c r="C12" s="18">
        <f>IFERROR(VLOOKUP(A12,'Bid Values'!A:F,3,0),)</f>
        <v>150</v>
      </c>
      <c r="D12" s="18">
        <f t="shared" si="1"/>
        <v>450</v>
      </c>
      <c r="E12" s="59"/>
      <c r="F12" s="142" t="s">
        <v>212</v>
      </c>
      <c r="G12" s="140"/>
      <c r="H12" s="141">
        <v>44753.0</v>
      </c>
      <c r="I12" s="141">
        <v>44753.0</v>
      </c>
      <c r="J12" s="18" t="s">
        <v>224</v>
      </c>
      <c r="K12" s="141">
        <v>44753.0</v>
      </c>
      <c r="L12" s="141">
        <v>44753.0</v>
      </c>
      <c r="M12" s="141">
        <v>44753.0</v>
      </c>
      <c r="N12" s="18" t="s">
        <v>224</v>
      </c>
    </row>
    <row r="13" ht="15.75" customHeight="1">
      <c r="A13" s="138" t="s">
        <v>27</v>
      </c>
      <c r="B13" s="18" t="str">
        <f>IFERROR(VLOOKUP(A13,'Bid Values'!A:F,2,0),)</f>
        <v>C</v>
      </c>
      <c r="C13" s="18">
        <f>IFERROR(VLOOKUP(A13,'Bid Values'!A:F,3,0),)</f>
        <v>60</v>
      </c>
      <c r="D13" s="18">
        <f t="shared" si="1"/>
        <v>540</v>
      </c>
      <c r="E13" s="59"/>
      <c r="F13" s="18" t="s">
        <v>219</v>
      </c>
      <c r="G13" s="140"/>
      <c r="H13" s="141">
        <v>44750.0</v>
      </c>
      <c r="I13" s="18">
        <v>7.0</v>
      </c>
      <c r="J13" s="141">
        <v>44750.0</v>
      </c>
      <c r="K13" s="18">
        <v>7.0</v>
      </c>
      <c r="L13" s="141">
        <v>44750.0</v>
      </c>
      <c r="M13" s="18">
        <v>7.0</v>
      </c>
      <c r="N13" s="141">
        <v>44750.0</v>
      </c>
    </row>
    <row r="14" ht="15.75" customHeight="1">
      <c r="A14" s="138" t="s">
        <v>34</v>
      </c>
      <c r="B14" s="18" t="str">
        <f>IFERROR(VLOOKUP(A14,'Bid Values'!A:F,2,0),)</f>
        <v>C</v>
      </c>
      <c r="C14" s="18">
        <f>IFERROR(VLOOKUP(A14,'Bid Values'!A:F,3,0),)</f>
        <v>60</v>
      </c>
      <c r="D14" s="18">
        <f t="shared" si="1"/>
        <v>540</v>
      </c>
      <c r="E14" s="59"/>
      <c r="F14" s="139" t="s">
        <v>225</v>
      </c>
      <c r="G14" s="140"/>
      <c r="H14" s="141">
        <v>44750.0</v>
      </c>
      <c r="I14" s="141">
        <v>44750.0</v>
      </c>
      <c r="J14" s="141">
        <v>44750.0</v>
      </c>
      <c r="K14" s="141">
        <v>44750.0</v>
      </c>
      <c r="L14" s="141">
        <v>44750.0</v>
      </c>
      <c r="M14" s="141">
        <v>44752.0</v>
      </c>
      <c r="N14" s="141">
        <v>44752.0</v>
      </c>
    </row>
    <row r="15" ht="15.75" customHeight="1">
      <c r="A15" s="138" t="s">
        <v>226</v>
      </c>
      <c r="B15" s="18" t="str">
        <f>IFERROR(VLOOKUP(A15,'Bid Values'!A:F,2,0),)</f>
        <v>C</v>
      </c>
      <c r="C15" s="18">
        <f>IFERROR(VLOOKUP(A15,'Bid Values'!A:F,3,0),)</f>
        <v>60</v>
      </c>
      <c r="D15" s="18">
        <f t="shared" si="1"/>
        <v>540</v>
      </c>
      <c r="E15" s="59"/>
      <c r="F15" s="139" t="s">
        <v>212</v>
      </c>
      <c r="G15" s="140"/>
      <c r="H15" s="18" t="s">
        <v>227</v>
      </c>
      <c r="I15" s="18" t="s">
        <v>227</v>
      </c>
      <c r="J15" s="18" t="s">
        <v>227</v>
      </c>
      <c r="K15" s="18" t="s">
        <v>227</v>
      </c>
      <c r="L15" s="18" t="s">
        <v>227</v>
      </c>
      <c r="M15" s="18" t="s">
        <v>227</v>
      </c>
      <c r="N15" s="18" t="s">
        <v>227</v>
      </c>
    </row>
    <row r="16" ht="15.75" customHeight="1">
      <c r="A16" s="144" t="s">
        <v>40</v>
      </c>
      <c r="B16" s="18" t="str">
        <f>IFERROR(VLOOKUP(A16,'Bid Values'!A:F,2,0),)</f>
        <v>C</v>
      </c>
      <c r="C16" s="18">
        <f>IFERROR(VLOOKUP(A16,'Bid Values'!A:F,3,0),)</f>
        <v>60</v>
      </c>
      <c r="D16" s="18">
        <f t="shared" si="1"/>
        <v>540</v>
      </c>
      <c r="E16" s="59"/>
      <c r="F16" s="142" t="s">
        <v>225</v>
      </c>
      <c r="G16" s="140"/>
      <c r="H16" s="18" t="s">
        <v>213</v>
      </c>
      <c r="I16" s="18" t="s">
        <v>213</v>
      </c>
      <c r="J16" s="18" t="s">
        <v>213</v>
      </c>
      <c r="K16" s="18" t="s">
        <v>213</v>
      </c>
      <c r="L16" s="18" t="s">
        <v>213</v>
      </c>
      <c r="M16" s="18" t="s">
        <v>222</v>
      </c>
      <c r="N16" s="18" t="s">
        <v>222</v>
      </c>
    </row>
    <row r="17" ht="15.75" customHeight="1">
      <c r="A17" s="143" t="s">
        <v>193</v>
      </c>
      <c r="B17" s="18" t="str">
        <f>IFERROR(VLOOKUP(A17,'Bid Values'!A:F,2,0),)</f>
        <v>C</v>
      </c>
      <c r="C17" s="18">
        <f>IFERROR(VLOOKUP(A17,'Bid Values'!A:F,3,0),)</f>
        <v>60</v>
      </c>
      <c r="D17" s="18">
        <f t="shared" si="1"/>
        <v>540</v>
      </c>
      <c r="E17" s="59"/>
      <c r="F17" s="142" t="s">
        <v>225</v>
      </c>
      <c r="G17" s="140"/>
      <c r="H17" s="18">
        <v>7.0</v>
      </c>
      <c r="I17" s="18">
        <v>7.0</v>
      </c>
      <c r="J17" s="18">
        <v>7.0</v>
      </c>
      <c r="K17" s="141">
        <v>44750.0</v>
      </c>
      <c r="L17" s="18">
        <v>7.0</v>
      </c>
      <c r="M17" s="141">
        <v>44750.0</v>
      </c>
      <c r="N17" s="18">
        <v>7.0</v>
      </c>
    </row>
    <row r="18" ht="15.75" customHeight="1">
      <c r="A18" s="144" t="s">
        <v>57</v>
      </c>
      <c r="B18" s="18" t="str">
        <f>IFERROR(VLOOKUP(A18,'Bid Values'!A:F,2,0),)</f>
        <v>C</v>
      </c>
      <c r="C18" s="18">
        <f>IFERROR(VLOOKUP(A18,'Bid Values'!A:F,3,0),)</f>
        <v>60</v>
      </c>
      <c r="D18" s="18">
        <f t="shared" si="1"/>
        <v>540</v>
      </c>
      <c r="E18" s="59"/>
      <c r="F18" s="142" t="s">
        <v>219</v>
      </c>
      <c r="G18" s="140"/>
      <c r="H18" s="141">
        <v>44753.0</v>
      </c>
      <c r="I18" s="141">
        <v>44753.0</v>
      </c>
      <c r="J18" s="141">
        <v>44753.0</v>
      </c>
      <c r="K18" s="141">
        <v>44753.0</v>
      </c>
      <c r="L18" s="141">
        <v>44753.0</v>
      </c>
      <c r="M18" s="141">
        <v>44753.0</v>
      </c>
      <c r="N18" s="141">
        <v>44753.0</v>
      </c>
    </row>
    <row r="19" ht="15.75" customHeight="1">
      <c r="A19" s="18" t="s">
        <v>69</v>
      </c>
      <c r="B19" s="18" t="str">
        <f>IFERROR(VLOOKUP(A19,'Bid Values'!A:F,2,0),)</f>
        <v>C</v>
      </c>
      <c r="C19" s="18">
        <f>IFERROR(VLOOKUP(A19,'Bid Values'!A:F,3,0),)</f>
        <v>60</v>
      </c>
      <c r="D19" s="18">
        <f t="shared" si="1"/>
        <v>540</v>
      </c>
      <c r="E19" s="59"/>
      <c r="F19" s="142" t="s">
        <v>219</v>
      </c>
      <c r="G19" s="140"/>
      <c r="H19" s="18" t="s">
        <v>222</v>
      </c>
      <c r="I19" s="141">
        <v>44753.0</v>
      </c>
      <c r="J19" s="141">
        <v>44753.0</v>
      </c>
      <c r="K19" s="141">
        <v>44753.0</v>
      </c>
      <c r="L19" s="141">
        <v>44753.0</v>
      </c>
      <c r="M19" s="141">
        <v>44753.0</v>
      </c>
      <c r="N19" s="141">
        <v>44753.0</v>
      </c>
    </row>
    <row r="20" ht="15.75" customHeight="1">
      <c r="A20" s="138" t="s">
        <v>79</v>
      </c>
      <c r="B20" s="18" t="str">
        <f>IFERROR(VLOOKUP(A20,'Bid Values'!A:F,2,0),)</f>
        <v>C</v>
      </c>
      <c r="C20" s="18">
        <f>IFERROR(VLOOKUP(A20,'Bid Values'!A:F,3,0),)</f>
        <v>60</v>
      </c>
      <c r="D20" s="18">
        <f t="shared" si="1"/>
        <v>540</v>
      </c>
      <c r="E20" s="59"/>
      <c r="F20" s="142" t="s">
        <v>212</v>
      </c>
      <c r="G20" s="140"/>
      <c r="H20" s="18" t="s">
        <v>228</v>
      </c>
      <c r="I20" s="18" t="s">
        <v>228</v>
      </c>
      <c r="J20" s="18" t="s">
        <v>228</v>
      </c>
      <c r="K20" s="18" t="s">
        <v>228</v>
      </c>
      <c r="L20" s="18" t="s">
        <v>228</v>
      </c>
      <c r="M20" s="18" t="s">
        <v>228</v>
      </c>
      <c r="N20" s="18" t="s">
        <v>228</v>
      </c>
    </row>
    <row r="21" ht="15.75" customHeight="1">
      <c r="A21" s="138" t="s">
        <v>114</v>
      </c>
      <c r="B21" s="18" t="str">
        <f>IFERROR(VLOOKUP(A21,'Bid Values'!A:F,2,0),)</f>
        <v>C</v>
      </c>
      <c r="C21" s="18">
        <f>IFERROR(VLOOKUP(A21,'Bid Values'!A:F,3,0),)</f>
        <v>60</v>
      </c>
      <c r="D21" s="18">
        <f t="shared" si="1"/>
        <v>540</v>
      </c>
      <c r="E21" s="59"/>
      <c r="F21" s="142" t="s">
        <v>218</v>
      </c>
      <c r="G21" s="140"/>
      <c r="H21" s="18">
        <v>8.0</v>
      </c>
      <c r="I21" s="18">
        <v>8.0</v>
      </c>
      <c r="J21" s="18">
        <v>8.0</v>
      </c>
      <c r="K21" s="18">
        <v>8.0</v>
      </c>
      <c r="L21" s="18">
        <v>8.0</v>
      </c>
      <c r="M21" s="18">
        <v>8.0</v>
      </c>
      <c r="N21" s="18">
        <v>8.0</v>
      </c>
    </row>
    <row r="22" ht="15.75" customHeight="1">
      <c r="A22" s="138" t="s">
        <v>134</v>
      </c>
      <c r="B22" s="18" t="str">
        <f>IFERROR(VLOOKUP(A22,'Bid Values'!A:F,2,0),)</f>
        <v>C</v>
      </c>
      <c r="C22" s="18">
        <f>IFERROR(VLOOKUP(A22,'Bid Values'!A:F,3,0),)</f>
        <v>60</v>
      </c>
      <c r="D22" s="18">
        <f t="shared" si="1"/>
        <v>540</v>
      </c>
      <c r="E22" s="59"/>
      <c r="F22" s="142" t="s">
        <v>225</v>
      </c>
      <c r="G22" s="140"/>
      <c r="H22" s="141">
        <v>44753.0</v>
      </c>
      <c r="I22" s="141">
        <v>44753.0</v>
      </c>
      <c r="J22" s="141">
        <v>44750.0</v>
      </c>
      <c r="K22" s="141">
        <v>44750.0</v>
      </c>
      <c r="L22" s="141">
        <v>44750.0</v>
      </c>
      <c r="M22" s="141">
        <v>44750.0</v>
      </c>
      <c r="N22" s="141">
        <v>44751.0</v>
      </c>
    </row>
    <row r="23" ht="15.75" customHeight="1">
      <c r="A23" s="138" t="s">
        <v>197</v>
      </c>
      <c r="B23" s="18" t="str">
        <f>IFERROR(VLOOKUP(A23,'Bid Values'!A:F,2,0),)</f>
        <v>C</v>
      </c>
      <c r="C23" s="18">
        <f>IFERROR(VLOOKUP(A23,'Bid Values'!A:F,3,0),)</f>
        <v>60</v>
      </c>
      <c r="D23" s="18">
        <f t="shared" si="1"/>
        <v>540</v>
      </c>
      <c r="E23" s="59"/>
      <c r="F23" s="142" t="s">
        <v>218</v>
      </c>
      <c r="G23" s="140"/>
      <c r="H23" s="141">
        <v>44753.0</v>
      </c>
      <c r="I23" s="18" t="s">
        <v>222</v>
      </c>
      <c r="J23" s="141">
        <v>44815.0</v>
      </c>
      <c r="K23" s="18" t="s">
        <v>222</v>
      </c>
      <c r="L23" s="141">
        <v>44815.0</v>
      </c>
      <c r="M23" s="18" t="s">
        <v>222</v>
      </c>
      <c r="N23" s="141">
        <v>44753.0</v>
      </c>
    </row>
    <row r="24" ht="15.75" customHeight="1">
      <c r="A24" s="143" t="s">
        <v>155</v>
      </c>
      <c r="B24" s="18" t="str">
        <f>IFERROR(VLOOKUP(A24,'Bid Values'!A:F,2,0),)</f>
        <v>C</v>
      </c>
      <c r="C24" s="18">
        <f>IFERROR(VLOOKUP(A24,'Bid Values'!A:F,3,0),)</f>
        <v>60</v>
      </c>
      <c r="D24" s="18">
        <f t="shared" si="1"/>
        <v>540</v>
      </c>
      <c r="E24" s="59"/>
      <c r="F24" s="142" t="s">
        <v>212</v>
      </c>
      <c r="G24" s="140"/>
      <c r="H24" s="18" t="s">
        <v>221</v>
      </c>
      <c r="I24" s="18" t="s">
        <v>229</v>
      </c>
      <c r="J24" s="18" t="s">
        <v>221</v>
      </c>
      <c r="K24" s="18" t="s">
        <v>228</v>
      </c>
      <c r="L24" s="18" t="s">
        <v>221</v>
      </c>
      <c r="M24" s="141">
        <v>44751.0</v>
      </c>
      <c r="N24" s="18" t="s">
        <v>221</v>
      </c>
    </row>
    <row r="25" ht="15.75" customHeight="1">
      <c r="A25" s="138" t="s">
        <v>157</v>
      </c>
      <c r="B25" s="18" t="str">
        <f>IFERROR(VLOOKUP(A25,'Bid Values'!A:F,2,0),)</f>
        <v>C</v>
      </c>
      <c r="C25" s="18">
        <f>IFERROR(VLOOKUP(A25,'Bid Values'!A:F,3,0),)</f>
        <v>60</v>
      </c>
      <c r="D25" s="18">
        <f t="shared" si="1"/>
        <v>540</v>
      </c>
      <c r="E25" s="59"/>
      <c r="F25" s="142" t="s">
        <v>216</v>
      </c>
      <c r="G25" s="140"/>
      <c r="H25" s="141">
        <v>44751.0</v>
      </c>
      <c r="I25" s="141">
        <v>44751.0</v>
      </c>
      <c r="J25" s="141">
        <v>44751.0</v>
      </c>
      <c r="K25" s="141">
        <v>44751.0</v>
      </c>
      <c r="L25" s="141">
        <v>44751.0</v>
      </c>
      <c r="M25" s="141">
        <v>44751.0</v>
      </c>
      <c r="N25" s="141">
        <v>44751.0</v>
      </c>
    </row>
    <row r="26" ht="15.75" customHeight="1">
      <c r="A26" s="138" t="s">
        <v>47</v>
      </c>
      <c r="B26" s="18" t="str">
        <f>IFERROR(VLOOKUP(A26,'Bid Values'!A:F,2,0),)</f>
        <v>D</v>
      </c>
      <c r="C26" s="18">
        <f>IFERROR(VLOOKUP(A26,'Bid Values'!A:F,3,0),)</f>
        <v>60</v>
      </c>
      <c r="D26" s="18">
        <f t="shared" si="1"/>
        <v>540</v>
      </c>
      <c r="E26" s="59"/>
      <c r="F26" s="142" t="s">
        <v>216</v>
      </c>
      <c r="G26" s="140"/>
      <c r="H26" s="18" t="s">
        <v>230</v>
      </c>
      <c r="I26" s="18" t="s">
        <v>230</v>
      </c>
      <c r="J26" s="18" t="s">
        <v>230</v>
      </c>
      <c r="K26" s="18" t="s">
        <v>230</v>
      </c>
      <c r="L26" s="18" t="s">
        <v>230</v>
      </c>
      <c r="M26" s="18" t="s">
        <v>230</v>
      </c>
      <c r="N26" s="18" t="s">
        <v>230</v>
      </c>
    </row>
    <row r="27" ht="15.75" customHeight="1">
      <c r="A27" s="138" t="s">
        <v>100</v>
      </c>
      <c r="B27" s="18" t="str">
        <f>IFERROR(VLOOKUP(A27,'Bid Values'!A:F,2,0),)</f>
        <v>D</v>
      </c>
      <c r="C27" s="18">
        <f>IFERROR(VLOOKUP(A27,'Bid Values'!A:F,3,0),)</f>
        <v>60</v>
      </c>
      <c r="D27" s="18">
        <f t="shared" si="1"/>
        <v>540</v>
      </c>
      <c r="E27" s="59"/>
      <c r="F27" s="142" t="s">
        <v>212</v>
      </c>
      <c r="G27" s="140"/>
      <c r="H27" s="18">
        <v>11.0</v>
      </c>
      <c r="I27" s="18">
        <v>7.0</v>
      </c>
      <c r="J27" s="18">
        <v>7.0</v>
      </c>
      <c r="K27" s="18">
        <v>11.0</v>
      </c>
      <c r="L27" s="18">
        <v>11.0</v>
      </c>
      <c r="M27" s="18">
        <v>11.0</v>
      </c>
      <c r="N27" s="141">
        <v>44753.0</v>
      </c>
    </row>
    <row r="28" ht="15.75" customHeight="1">
      <c r="A28" s="144" t="s">
        <v>104</v>
      </c>
      <c r="B28" s="18" t="str">
        <f>IFERROR(VLOOKUP(A28,'Bid Values'!A:F,2,0),)</f>
        <v>D</v>
      </c>
      <c r="C28" s="18">
        <f>IFERROR(VLOOKUP(A28,'Bid Values'!A:F,3,0),)</f>
        <v>60</v>
      </c>
      <c r="D28" s="18">
        <f t="shared" si="1"/>
        <v>540</v>
      </c>
      <c r="E28" s="59"/>
      <c r="F28" s="142" t="s">
        <v>212</v>
      </c>
      <c r="G28" s="140"/>
      <c r="H28" s="141">
        <v>44753.0</v>
      </c>
      <c r="I28" s="141">
        <v>44753.0</v>
      </c>
      <c r="J28" s="141">
        <v>44753.0</v>
      </c>
      <c r="K28" s="141">
        <v>44753.0</v>
      </c>
      <c r="L28" s="141">
        <v>44753.0</v>
      </c>
      <c r="M28" s="141">
        <v>44753.0</v>
      </c>
      <c r="N28" s="141">
        <v>44753.0</v>
      </c>
    </row>
    <row r="29" ht="15.75" customHeight="1">
      <c r="A29" s="138" t="s">
        <v>108</v>
      </c>
      <c r="B29" s="18" t="str">
        <f>IFERROR(VLOOKUP(A29,'Bid Values'!A:F,2,0),)</f>
        <v>D</v>
      </c>
      <c r="C29" s="18">
        <f>IFERROR(VLOOKUP(A29,'Bid Values'!A:F,3,0),)</f>
        <v>60</v>
      </c>
      <c r="D29" s="18">
        <f t="shared" si="1"/>
        <v>540</v>
      </c>
      <c r="E29" s="59"/>
      <c r="F29" s="142" t="s">
        <v>216</v>
      </c>
      <c r="G29" s="140"/>
      <c r="H29" s="141">
        <v>44751.0</v>
      </c>
      <c r="I29" s="141">
        <v>44751.0</v>
      </c>
      <c r="J29" s="141">
        <v>44751.0</v>
      </c>
      <c r="K29" s="141">
        <v>44751.0</v>
      </c>
      <c r="L29" s="141">
        <v>44751.0</v>
      </c>
      <c r="M29" s="141">
        <v>44751.0</v>
      </c>
      <c r="N29" s="141">
        <v>44753.0</v>
      </c>
    </row>
    <row r="30" ht="15.75" customHeight="1">
      <c r="A30" s="138" t="s">
        <v>109</v>
      </c>
      <c r="B30" s="18" t="str">
        <f>IFERROR(VLOOKUP(A30,'Bid Values'!A:F,2,0),)</f>
        <v>D</v>
      </c>
      <c r="C30" s="18">
        <f>IFERROR(VLOOKUP(A30,'Bid Values'!A:F,3,0),)</f>
        <v>60</v>
      </c>
      <c r="D30" s="18">
        <f t="shared" si="1"/>
        <v>540</v>
      </c>
      <c r="E30" s="59"/>
      <c r="F30" s="142" t="s">
        <v>219</v>
      </c>
      <c r="G30" s="140"/>
      <c r="H30" s="141">
        <v>44753.0</v>
      </c>
      <c r="I30" s="18" t="s">
        <v>220</v>
      </c>
      <c r="J30" s="18" t="s">
        <v>220</v>
      </c>
      <c r="K30" s="18" t="s">
        <v>220</v>
      </c>
      <c r="L30" s="18" t="s">
        <v>220</v>
      </c>
      <c r="M30" s="18" t="s">
        <v>220</v>
      </c>
      <c r="N30" s="141">
        <v>44753.0</v>
      </c>
    </row>
    <row r="31" ht="15.75" customHeight="1">
      <c r="A31" s="138" t="s">
        <v>111</v>
      </c>
      <c r="B31" s="18" t="str">
        <f>IFERROR(VLOOKUP(A31,'Bid Values'!A:F,2,0),)</f>
        <v>D</v>
      </c>
      <c r="C31" s="18">
        <f>IFERROR(VLOOKUP(A31,'Bid Values'!A:F,3,0),)</f>
        <v>60</v>
      </c>
      <c r="D31" s="18">
        <f t="shared" si="1"/>
        <v>540</v>
      </c>
      <c r="E31" s="59"/>
      <c r="F31" s="142" t="s">
        <v>216</v>
      </c>
      <c r="G31" s="140"/>
      <c r="H31" s="141">
        <v>44753.0</v>
      </c>
      <c r="I31" s="141">
        <v>44815.0</v>
      </c>
      <c r="J31" s="141">
        <v>44815.0</v>
      </c>
      <c r="K31" s="141">
        <v>44815.0</v>
      </c>
      <c r="L31" s="141">
        <v>44815.0</v>
      </c>
      <c r="M31" s="141">
        <v>44815.0</v>
      </c>
      <c r="N31" s="141">
        <v>44753.0</v>
      </c>
    </row>
    <row r="32" ht="15.75" customHeight="1">
      <c r="A32" s="138" t="s">
        <v>113</v>
      </c>
      <c r="B32" s="18" t="str">
        <f>IFERROR(VLOOKUP(A32,'Bid Values'!A:F,2,0),)</f>
        <v>D</v>
      </c>
      <c r="C32" s="18">
        <f>IFERROR(VLOOKUP(A32,'Bid Values'!A:F,3,0),)</f>
        <v>60</v>
      </c>
      <c r="D32" s="18">
        <f t="shared" si="1"/>
        <v>540</v>
      </c>
      <c r="E32" s="59"/>
      <c r="F32" s="142" t="s">
        <v>212</v>
      </c>
      <c r="G32" s="140"/>
      <c r="H32" s="141">
        <v>44753.0</v>
      </c>
      <c r="I32" s="18" t="s">
        <v>222</v>
      </c>
      <c r="J32" s="18" t="s">
        <v>222</v>
      </c>
      <c r="K32" s="18" t="s">
        <v>222</v>
      </c>
      <c r="L32" s="18" t="s">
        <v>222</v>
      </c>
      <c r="M32" s="141">
        <v>44753.0</v>
      </c>
      <c r="N32" s="141">
        <v>44753.0</v>
      </c>
    </row>
    <row r="33" ht="15.75" customHeight="1">
      <c r="A33" s="18" t="s">
        <v>126</v>
      </c>
      <c r="B33" s="18" t="str">
        <f>IFERROR(VLOOKUP(A33,'Bid Values'!A:F,2,0),)</f>
        <v>D</v>
      </c>
      <c r="C33" s="18">
        <f>IFERROR(VLOOKUP(A33,'Bid Values'!A:F,3,0),)</f>
        <v>60</v>
      </c>
      <c r="D33" s="18">
        <f t="shared" si="1"/>
        <v>540</v>
      </c>
      <c r="E33" s="59"/>
      <c r="F33" s="18" t="s">
        <v>231</v>
      </c>
      <c r="G33" s="140"/>
      <c r="H33" s="18" t="s">
        <v>221</v>
      </c>
      <c r="I33" s="141">
        <v>44814.0</v>
      </c>
      <c r="J33" s="18" t="s">
        <v>222</v>
      </c>
      <c r="K33" s="18" t="s">
        <v>222</v>
      </c>
      <c r="L33" s="18" t="s">
        <v>222</v>
      </c>
      <c r="M33" s="18" t="s">
        <v>222</v>
      </c>
      <c r="N33" s="18" t="s">
        <v>221</v>
      </c>
    </row>
    <row r="34" ht="15.75" customHeight="1">
      <c r="A34" s="18" t="s">
        <v>161</v>
      </c>
      <c r="B34" s="146" t="s">
        <v>23</v>
      </c>
      <c r="C34" s="18">
        <v>60.0</v>
      </c>
      <c r="D34" s="18">
        <f t="shared" si="1"/>
        <v>540</v>
      </c>
      <c r="E34" s="59"/>
      <c r="F34" s="145" t="s">
        <v>218</v>
      </c>
      <c r="G34" s="140"/>
      <c r="H34" s="18">
        <v>9.0</v>
      </c>
      <c r="I34" s="18" t="s">
        <v>232</v>
      </c>
      <c r="J34" s="18" t="s">
        <v>232</v>
      </c>
      <c r="K34" s="18" t="s">
        <v>232</v>
      </c>
      <c r="L34" s="18" t="s">
        <v>232</v>
      </c>
      <c r="M34" s="18" t="s">
        <v>232</v>
      </c>
      <c r="N34" s="18" t="s">
        <v>233</v>
      </c>
    </row>
    <row r="35" ht="15.75" customHeight="1">
      <c r="A35" s="148" t="s">
        <v>165</v>
      </c>
      <c r="B35" s="146" t="s">
        <v>23</v>
      </c>
      <c r="C35" s="18">
        <v>60.0</v>
      </c>
      <c r="D35" s="18">
        <f t="shared" si="1"/>
        <v>540</v>
      </c>
      <c r="E35" s="59"/>
      <c r="F35" s="145" t="s">
        <v>212</v>
      </c>
      <c r="G35" s="140"/>
      <c r="H35" s="18" t="s">
        <v>230</v>
      </c>
      <c r="I35" s="18" t="s">
        <v>230</v>
      </c>
      <c r="J35" s="18" t="s">
        <v>230</v>
      </c>
      <c r="K35" s="18" t="s">
        <v>230</v>
      </c>
      <c r="L35" s="18" t="s">
        <v>230</v>
      </c>
      <c r="M35" s="18" t="s">
        <v>230</v>
      </c>
      <c r="N35" s="18" t="s">
        <v>230</v>
      </c>
    </row>
    <row r="36" ht="15.75" customHeight="1">
      <c r="A36" s="18" t="s">
        <v>172</v>
      </c>
      <c r="B36" s="146" t="s">
        <v>23</v>
      </c>
      <c r="C36" s="18">
        <v>60.0</v>
      </c>
      <c r="D36" s="18">
        <f t="shared" si="1"/>
        <v>540</v>
      </c>
      <c r="E36" s="59"/>
      <c r="F36" s="145" t="s">
        <v>225</v>
      </c>
      <c r="G36" s="140"/>
      <c r="H36" s="141">
        <v>44753.0</v>
      </c>
      <c r="I36" s="18" t="s">
        <v>222</v>
      </c>
      <c r="J36" s="18" t="s">
        <v>222</v>
      </c>
      <c r="K36" s="18" t="s">
        <v>222</v>
      </c>
      <c r="L36" s="18" t="s">
        <v>222</v>
      </c>
      <c r="M36" s="18" t="s">
        <v>221</v>
      </c>
      <c r="N36" s="141">
        <v>44751.0</v>
      </c>
    </row>
    <row r="37" ht="15.75" customHeight="1">
      <c r="A37" s="138" t="s">
        <v>29</v>
      </c>
      <c r="B37" s="146" t="str">
        <f>IFERROR(VLOOKUP(A37,'Bid Values'!A:F,2,0),)</f>
        <v>E</v>
      </c>
      <c r="C37" s="18">
        <f>IFERROR(VLOOKUP(A37,'Bid Values'!A:F,3,0),)</f>
        <v>30</v>
      </c>
      <c r="D37" s="18">
        <f t="shared" si="1"/>
        <v>570</v>
      </c>
      <c r="E37" s="59"/>
      <c r="F37" s="18" t="s">
        <v>219</v>
      </c>
      <c r="G37" s="140"/>
      <c r="H37" s="141">
        <v>44750.0</v>
      </c>
      <c r="I37" s="141">
        <v>44750.0</v>
      </c>
      <c r="J37" s="18" t="s">
        <v>222</v>
      </c>
      <c r="K37" s="18" t="s">
        <v>222</v>
      </c>
      <c r="L37" s="18" t="s">
        <v>222</v>
      </c>
      <c r="M37" s="18" t="s">
        <v>222</v>
      </c>
      <c r="N37" s="18" t="s">
        <v>222</v>
      </c>
    </row>
    <row r="38" ht="15.75" customHeight="1">
      <c r="A38" s="144" t="s">
        <v>37</v>
      </c>
      <c r="B38" s="18" t="str">
        <f>IFERROR(VLOOKUP(A38,'Bid Values'!A:F,2,0),)</f>
        <v>E</v>
      </c>
      <c r="C38" s="18">
        <f>IFERROR(VLOOKUP(A38,'Bid Values'!A:F,3,0),)</f>
        <v>30</v>
      </c>
      <c r="D38" s="18">
        <f t="shared" si="1"/>
        <v>570</v>
      </c>
      <c r="E38" s="59"/>
      <c r="F38" s="139" t="s">
        <v>219</v>
      </c>
      <c r="G38" s="140"/>
      <c r="H38" s="141">
        <v>44845.0</v>
      </c>
      <c r="I38" s="141">
        <v>44845.0</v>
      </c>
      <c r="J38" s="141">
        <v>44845.0</v>
      </c>
      <c r="K38" s="141">
        <v>44845.0</v>
      </c>
      <c r="L38" s="141">
        <v>44845.0</v>
      </c>
      <c r="M38" s="141">
        <v>44845.0</v>
      </c>
      <c r="N38" s="141">
        <v>44845.0</v>
      </c>
    </row>
    <row r="39" ht="15.75" customHeight="1">
      <c r="A39" s="138" t="s">
        <v>59</v>
      </c>
      <c r="B39" s="18" t="str">
        <f>IFERROR(VLOOKUP(A39,'Bid Values'!A:F,2,0),)</f>
        <v>E</v>
      </c>
      <c r="C39" s="18">
        <f>IFERROR(VLOOKUP(A39,'Bid Values'!A:F,3,0),)</f>
        <v>30</v>
      </c>
      <c r="D39" s="18">
        <f t="shared" si="1"/>
        <v>570</v>
      </c>
      <c r="E39" s="59"/>
      <c r="F39" s="142" t="s">
        <v>225</v>
      </c>
      <c r="G39" s="140"/>
      <c r="H39" s="18" t="s">
        <v>213</v>
      </c>
      <c r="I39" s="18" t="s">
        <v>213</v>
      </c>
      <c r="J39" s="18" t="s">
        <v>213</v>
      </c>
      <c r="K39" s="18" t="s">
        <v>213</v>
      </c>
      <c r="L39" s="18" t="s">
        <v>213</v>
      </c>
      <c r="M39" s="141">
        <v>44753.0</v>
      </c>
      <c r="N39" s="141">
        <v>44753.0</v>
      </c>
    </row>
    <row r="40" ht="15.75" customHeight="1">
      <c r="A40" s="138" t="s">
        <v>91</v>
      </c>
      <c r="B40" s="146" t="str">
        <f>IFERROR(VLOOKUP(A40,'Bid Values'!A:F,2,0),)</f>
        <v>E</v>
      </c>
      <c r="C40" s="18">
        <f>IFERROR(VLOOKUP(A40,'Bid Values'!A:F,3,0),)</f>
        <v>30</v>
      </c>
      <c r="D40" s="18">
        <f t="shared" si="1"/>
        <v>570</v>
      </c>
      <c r="E40" s="59"/>
      <c r="F40" s="142" t="s">
        <v>219</v>
      </c>
      <c r="G40" s="140"/>
      <c r="H40" s="149">
        <v>0.3125</v>
      </c>
      <c r="I40" s="149">
        <v>0.3125</v>
      </c>
      <c r="J40" s="149">
        <v>0.3125</v>
      </c>
      <c r="K40" s="149">
        <v>0.3125</v>
      </c>
      <c r="L40" s="149">
        <v>0.3125</v>
      </c>
      <c r="M40" s="149">
        <v>0.3125</v>
      </c>
      <c r="N40" s="149">
        <v>0.3125</v>
      </c>
    </row>
    <row r="41" ht="15.75" customHeight="1">
      <c r="A41" s="138" t="s">
        <v>96</v>
      </c>
      <c r="B41" s="146" t="str">
        <f>IFERROR(VLOOKUP(A41,'Bid Values'!A:F,2,0),)</f>
        <v>E</v>
      </c>
      <c r="C41" s="18">
        <f>IFERROR(VLOOKUP(A41,'Bid Values'!A:F,3,0),)</f>
        <v>30</v>
      </c>
      <c r="D41" s="18">
        <f t="shared" si="1"/>
        <v>570</v>
      </c>
      <c r="E41" s="59"/>
      <c r="F41" s="142" t="s">
        <v>212</v>
      </c>
      <c r="G41" s="140"/>
      <c r="H41" s="141">
        <v>44784.0</v>
      </c>
      <c r="I41" s="141">
        <v>44784.0</v>
      </c>
      <c r="J41" s="141">
        <v>44784.0</v>
      </c>
      <c r="K41" s="141">
        <v>44784.0</v>
      </c>
      <c r="L41" s="141">
        <v>44784.0</v>
      </c>
      <c r="M41" s="141">
        <v>44784.0</v>
      </c>
      <c r="N41" s="18" t="s">
        <v>234</v>
      </c>
    </row>
    <row r="42" ht="15.75" customHeight="1">
      <c r="A42" s="138" t="s">
        <v>122</v>
      </c>
      <c r="B42" s="18" t="str">
        <f>IFERROR(VLOOKUP(A42,'Bid Values'!A:F,2,0),)</f>
        <v>E</v>
      </c>
      <c r="C42" s="18">
        <f>IFERROR(VLOOKUP(A42,'Bid Values'!A:F,3,0),)</f>
        <v>30</v>
      </c>
      <c r="D42" s="18">
        <f t="shared" si="1"/>
        <v>570</v>
      </c>
      <c r="E42" s="59"/>
      <c r="F42" s="145" t="s">
        <v>219</v>
      </c>
      <c r="G42" s="140"/>
      <c r="H42" s="141">
        <v>44750.0</v>
      </c>
      <c r="I42" s="141">
        <v>44750.0</v>
      </c>
      <c r="J42" s="141">
        <v>44750.0</v>
      </c>
      <c r="K42" s="141">
        <v>44750.0</v>
      </c>
      <c r="L42" s="141">
        <v>44750.0</v>
      </c>
      <c r="M42" s="141">
        <v>44750.0</v>
      </c>
      <c r="N42" s="141">
        <v>44750.0</v>
      </c>
    </row>
    <row r="43" ht="15.75" customHeight="1">
      <c r="A43" s="18" t="s">
        <v>125</v>
      </c>
      <c r="B43" s="18" t="str">
        <f>IFERROR(VLOOKUP(A43,'Bid Values'!A:F,2,0),)</f>
        <v>E</v>
      </c>
      <c r="C43" s="18">
        <f>IFERROR(VLOOKUP(A43,'Bid Values'!A:F,3,0),)</f>
        <v>30</v>
      </c>
      <c r="D43" s="18">
        <f t="shared" si="1"/>
        <v>570</v>
      </c>
      <c r="E43" s="59"/>
      <c r="F43" s="142" t="s">
        <v>212</v>
      </c>
      <c r="G43" s="140"/>
      <c r="H43" s="18" t="s">
        <v>222</v>
      </c>
      <c r="I43" s="18" t="s">
        <v>235</v>
      </c>
      <c r="J43" s="18" t="s">
        <v>235</v>
      </c>
      <c r="K43" s="18" t="s">
        <v>235</v>
      </c>
      <c r="L43" s="18" t="s">
        <v>235</v>
      </c>
      <c r="M43" s="18" t="s">
        <v>235</v>
      </c>
      <c r="N43" s="18" t="s">
        <v>222</v>
      </c>
    </row>
    <row r="44" ht="15.75" customHeight="1">
      <c r="A44" s="138" t="s">
        <v>141</v>
      </c>
      <c r="B44" s="18" t="str">
        <f>IFERROR(VLOOKUP(A44,'Bid Values'!A:F,2,0),)</f>
        <v>E</v>
      </c>
      <c r="C44" s="18">
        <f>IFERROR(VLOOKUP(A44,'Bid Values'!A:F,3,0),)</f>
        <v>30</v>
      </c>
      <c r="D44" s="18">
        <f t="shared" si="1"/>
        <v>570</v>
      </c>
      <c r="E44" s="59"/>
      <c r="F44" s="142" t="s">
        <v>219</v>
      </c>
      <c r="G44" s="140"/>
      <c r="H44" s="141">
        <v>44753.0</v>
      </c>
      <c r="I44" s="141">
        <v>44784.0</v>
      </c>
      <c r="J44" s="141">
        <v>44815.0</v>
      </c>
      <c r="K44" s="141">
        <v>44784.0</v>
      </c>
      <c r="L44" s="141">
        <v>44815.0</v>
      </c>
      <c r="M44" s="141">
        <v>44753.0</v>
      </c>
      <c r="N44" s="141">
        <v>44753.0</v>
      </c>
    </row>
    <row r="45" ht="15.75" customHeight="1">
      <c r="A45" s="18"/>
      <c r="B45" s="18"/>
      <c r="C45" s="18"/>
      <c r="D45" s="18"/>
      <c r="E45" s="59"/>
      <c r="F45" s="18"/>
      <c r="H45" s="18"/>
      <c r="I45" s="18"/>
      <c r="J45" s="18"/>
      <c r="K45" s="18"/>
      <c r="L45" s="18"/>
      <c r="M45" s="18"/>
      <c r="N45" s="18"/>
    </row>
    <row r="46" ht="15.75" customHeight="1">
      <c r="A46" s="18"/>
      <c r="B46" s="18"/>
      <c r="C46" s="18"/>
      <c r="D46" s="18"/>
      <c r="E46" s="59"/>
      <c r="F46" s="18"/>
      <c r="H46" s="18"/>
      <c r="I46" s="18"/>
      <c r="J46" s="18"/>
      <c r="K46" s="18"/>
      <c r="L46" s="18"/>
      <c r="M46" s="18"/>
      <c r="N46" s="18"/>
    </row>
    <row r="47" ht="15.75" customHeight="1">
      <c r="A47" s="18"/>
      <c r="B47" s="18"/>
      <c r="C47" s="18"/>
      <c r="D47" s="18"/>
      <c r="E47" s="59"/>
      <c r="F47" s="18"/>
      <c r="H47" s="18"/>
      <c r="I47" s="18"/>
      <c r="J47" s="18"/>
      <c r="K47" s="18"/>
      <c r="L47" s="18"/>
      <c r="M47" s="18"/>
      <c r="N47" s="18"/>
    </row>
    <row r="48" ht="15.75" customHeight="1">
      <c r="A48" s="18"/>
      <c r="B48" s="18"/>
      <c r="C48" s="18"/>
      <c r="D48" s="18"/>
      <c r="E48" s="59"/>
      <c r="F48" s="18"/>
      <c r="H48" s="18"/>
      <c r="I48" s="18"/>
      <c r="J48" s="18"/>
      <c r="K48" s="18"/>
      <c r="L48" s="18"/>
      <c r="M48" s="18"/>
      <c r="N48" s="18"/>
    </row>
    <row r="49" ht="15.75" customHeight="1">
      <c r="A49" s="18"/>
      <c r="B49" s="18"/>
      <c r="C49" s="18"/>
      <c r="D49" s="18"/>
      <c r="E49" s="59"/>
      <c r="F49" s="18"/>
      <c r="H49" s="18"/>
      <c r="I49" s="18"/>
      <c r="J49" s="18"/>
      <c r="K49" s="18"/>
      <c r="L49" s="18"/>
      <c r="M49" s="18"/>
      <c r="N49" s="18"/>
    </row>
    <row r="50" ht="15.75" customHeight="1">
      <c r="A50" s="18"/>
      <c r="B50" s="18"/>
      <c r="C50" s="18"/>
      <c r="D50" s="18"/>
      <c r="E50" s="59"/>
      <c r="F50" s="18"/>
      <c r="H50" s="18"/>
      <c r="I50" s="18"/>
      <c r="J50" s="18"/>
      <c r="K50" s="18"/>
      <c r="L50" s="18"/>
      <c r="M50" s="18"/>
      <c r="N50" s="18"/>
    </row>
    <row r="51" ht="15.75" customHeight="1">
      <c r="A51" s="18"/>
      <c r="B51" s="18"/>
      <c r="C51" s="18"/>
      <c r="D51" s="18"/>
      <c r="E51" s="59"/>
      <c r="F51" s="18"/>
      <c r="H51" s="18"/>
      <c r="I51" s="18"/>
      <c r="J51" s="18"/>
      <c r="K51" s="18"/>
      <c r="L51" s="18"/>
      <c r="M51" s="18"/>
      <c r="N51" s="18"/>
    </row>
    <row r="52" ht="15.75" customHeight="1">
      <c r="A52" s="18"/>
      <c r="B52" s="18"/>
      <c r="C52" s="18"/>
      <c r="D52" s="18"/>
      <c r="E52" s="59"/>
      <c r="F52" s="18"/>
      <c r="H52" s="18"/>
      <c r="I52" s="18"/>
      <c r="J52" s="18"/>
      <c r="K52" s="18"/>
      <c r="L52" s="18"/>
      <c r="M52" s="18"/>
      <c r="N52" s="18"/>
    </row>
    <row r="53" ht="15.75" customHeight="1">
      <c r="A53" s="18"/>
      <c r="B53" s="18"/>
      <c r="C53" s="18"/>
      <c r="D53" s="18"/>
      <c r="E53" s="59"/>
      <c r="F53" s="18"/>
      <c r="H53" s="18"/>
      <c r="I53" s="18"/>
      <c r="J53" s="18"/>
      <c r="K53" s="18"/>
      <c r="L53" s="18"/>
      <c r="M53" s="18"/>
      <c r="N53" s="18"/>
    </row>
    <row r="54" ht="15.75" customHeight="1">
      <c r="A54" s="18"/>
      <c r="B54" s="18"/>
      <c r="C54" s="18"/>
      <c r="D54" s="18"/>
      <c r="E54" s="59"/>
      <c r="F54" s="18"/>
      <c r="H54" s="18"/>
      <c r="I54" s="18"/>
      <c r="J54" s="18"/>
      <c r="K54" s="18"/>
      <c r="L54" s="18"/>
      <c r="M54" s="18"/>
      <c r="N54" s="18"/>
    </row>
    <row r="55" ht="15.75" customHeight="1">
      <c r="A55" s="18"/>
      <c r="B55" s="18"/>
      <c r="C55" s="18"/>
      <c r="D55" s="18"/>
      <c r="E55" s="59"/>
      <c r="F55" s="18"/>
      <c r="H55" s="18"/>
      <c r="I55" s="18"/>
      <c r="J55" s="18"/>
      <c r="K55" s="18"/>
      <c r="L55" s="18"/>
      <c r="M55" s="18"/>
      <c r="N55" s="18"/>
    </row>
    <row r="56" ht="15.75" customHeight="1">
      <c r="A56" s="18"/>
      <c r="B56" s="18"/>
      <c r="C56" s="18"/>
      <c r="D56" s="18"/>
      <c r="E56" s="59"/>
      <c r="F56" s="18"/>
      <c r="H56" s="18"/>
      <c r="I56" s="18"/>
      <c r="J56" s="18"/>
      <c r="K56" s="18"/>
      <c r="L56" s="18"/>
      <c r="M56" s="18"/>
      <c r="N56" s="18"/>
    </row>
    <row r="57" ht="15.75" customHeight="1">
      <c r="A57" s="18"/>
      <c r="B57" s="18"/>
      <c r="C57" s="18"/>
      <c r="D57" s="18"/>
      <c r="E57" s="59"/>
      <c r="F57" s="18"/>
      <c r="H57" s="18"/>
      <c r="I57" s="18"/>
      <c r="J57" s="18"/>
      <c r="K57" s="18"/>
      <c r="L57" s="18"/>
      <c r="M57" s="18"/>
      <c r="N57" s="18"/>
    </row>
    <row r="58" ht="15.75" customHeight="1">
      <c r="A58" s="18"/>
      <c r="B58" s="18"/>
      <c r="C58" s="18"/>
      <c r="D58" s="18"/>
      <c r="E58" s="59"/>
      <c r="F58" s="18"/>
      <c r="H58" s="18"/>
      <c r="I58" s="18"/>
      <c r="J58" s="18"/>
      <c r="K58" s="18"/>
      <c r="L58" s="18"/>
      <c r="M58" s="18"/>
      <c r="N58" s="18"/>
    </row>
    <row r="59" ht="15.75" customHeight="1">
      <c r="A59" s="18"/>
      <c r="B59" s="18"/>
      <c r="C59" s="18"/>
      <c r="D59" s="18"/>
      <c r="E59" s="59"/>
      <c r="F59" s="18"/>
      <c r="H59" s="18"/>
      <c r="I59" s="18"/>
      <c r="J59" s="18"/>
      <c r="K59" s="18"/>
      <c r="L59" s="18"/>
      <c r="M59" s="18"/>
      <c r="N59" s="18"/>
    </row>
    <row r="60" ht="15.75" customHeight="1">
      <c r="A60" s="18"/>
      <c r="B60" s="18"/>
      <c r="C60" s="18"/>
      <c r="D60" s="18"/>
      <c r="E60" s="59"/>
      <c r="F60" s="18"/>
      <c r="H60" s="18"/>
      <c r="I60" s="18"/>
      <c r="J60" s="18"/>
      <c r="K60" s="18"/>
      <c r="L60" s="18"/>
      <c r="M60" s="18"/>
      <c r="N60" s="18"/>
    </row>
    <row r="61" ht="15.75" customHeight="1">
      <c r="A61" s="18"/>
      <c r="B61" s="18"/>
      <c r="C61" s="18"/>
      <c r="D61" s="18"/>
      <c r="E61" s="59"/>
      <c r="F61" s="18"/>
      <c r="H61" s="18"/>
      <c r="I61" s="18"/>
      <c r="J61" s="18"/>
      <c r="K61" s="18"/>
      <c r="L61" s="18"/>
      <c r="M61" s="18"/>
      <c r="N61" s="18"/>
    </row>
    <row r="62" ht="15.75" customHeight="1">
      <c r="A62" s="18"/>
      <c r="B62" s="18"/>
      <c r="C62" s="18"/>
      <c r="D62" s="18"/>
      <c r="E62" s="59"/>
      <c r="F62" s="18"/>
      <c r="H62" s="18"/>
      <c r="I62" s="18"/>
      <c r="J62" s="18"/>
      <c r="K62" s="18"/>
      <c r="L62" s="18"/>
      <c r="M62" s="18"/>
      <c r="N62" s="18"/>
    </row>
    <row r="63" ht="15.75" customHeight="1">
      <c r="A63" s="18"/>
      <c r="B63" s="18"/>
      <c r="C63" s="18"/>
      <c r="D63" s="18"/>
      <c r="E63" s="59"/>
      <c r="F63" s="18"/>
      <c r="H63" s="18"/>
      <c r="I63" s="18"/>
      <c r="J63" s="18"/>
      <c r="K63" s="18"/>
      <c r="L63" s="18"/>
      <c r="M63" s="18"/>
      <c r="N63" s="18"/>
    </row>
    <row r="64" ht="15.75" customHeight="1">
      <c r="A64" s="18"/>
      <c r="B64" s="18"/>
      <c r="C64" s="18"/>
      <c r="D64" s="18"/>
      <c r="E64" s="59"/>
      <c r="F64" s="18"/>
      <c r="H64" s="18"/>
      <c r="I64" s="18"/>
      <c r="J64" s="18"/>
      <c r="K64" s="18"/>
      <c r="L64" s="18"/>
      <c r="M64" s="18"/>
      <c r="N64" s="18"/>
    </row>
    <row r="65" ht="15.75" customHeight="1">
      <c r="A65" s="18"/>
      <c r="B65" s="18"/>
      <c r="C65" s="18"/>
      <c r="D65" s="18"/>
      <c r="E65" s="59"/>
      <c r="F65" s="18"/>
      <c r="H65" s="18"/>
      <c r="I65" s="18"/>
      <c r="J65" s="18"/>
      <c r="K65" s="18"/>
      <c r="L65" s="18"/>
      <c r="M65" s="18"/>
      <c r="N65" s="18"/>
    </row>
    <row r="66" ht="15.75" customHeight="1">
      <c r="A66" s="18"/>
      <c r="B66" s="18"/>
      <c r="C66" s="18"/>
      <c r="D66" s="18"/>
      <c r="E66" s="59"/>
      <c r="F66" s="18"/>
      <c r="H66" s="18"/>
      <c r="I66" s="18"/>
      <c r="J66" s="18"/>
      <c r="K66" s="18"/>
      <c r="L66" s="18"/>
      <c r="M66" s="18"/>
      <c r="N66" s="18"/>
    </row>
    <row r="67" ht="15.75" customHeight="1">
      <c r="A67" s="18"/>
      <c r="B67" s="18"/>
      <c r="C67" s="18"/>
      <c r="D67" s="18"/>
      <c r="E67" s="59"/>
      <c r="F67" s="18"/>
      <c r="H67" s="18"/>
      <c r="I67" s="18"/>
      <c r="J67" s="18"/>
      <c r="K67" s="18"/>
      <c r="L67" s="18"/>
      <c r="M67" s="18"/>
      <c r="N67" s="18"/>
    </row>
    <row r="68" ht="15.75" customHeight="1">
      <c r="A68" s="18"/>
      <c r="B68" s="18"/>
      <c r="C68" s="18"/>
      <c r="D68" s="18"/>
      <c r="E68" s="59"/>
      <c r="F68" s="18"/>
      <c r="H68" s="18"/>
      <c r="I68" s="18"/>
      <c r="J68" s="18"/>
      <c r="K68" s="18"/>
      <c r="L68" s="18"/>
      <c r="M68" s="18"/>
      <c r="N68" s="18"/>
    </row>
    <row r="69" ht="15.75" customHeight="1">
      <c r="A69" s="18"/>
      <c r="B69" s="18"/>
      <c r="C69" s="18"/>
      <c r="D69" s="18"/>
      <c r="E69" s="59"/>
      <c r="F69" s="18"/>
      <c r="H69" s="18"/>
      <c r="I69" s="18"/>
      <c r="J69" s="18"/>
      <c r="K69" s="18"/>
      <c r="L69" s="18"/>
      <c r="M69" s="18"/>
      <c r="N69" s="18"/>
    </row>
    <row r="70" ht="15.75" customHeight="1">
      <c r="A70" s="18"/>
      <c r="B70" s="18"/>
      <c r="C70" s="18"/>
      <c r="D70" s="18"/>
      <c r="E70" s="59"/>
      <c r="F70" s="18"/>
      <c r="H70" s="18"/>
      <c r="I70" s="18"/>
      <c r="J70" s="18"/>
      <c r="K70" s="18"/>
      <c r="L70" s="18"/>
      <c r="M70" s="18"/>
      <c r="N70" s="18"/>
    </row>
    <row r="71" ht="15.75" customHeight="1">
      <c r="A71" s="18"/>
      <c r="B71" s="18"/>
      <c r="C71" s="18"/>
      <c r="D71" s="18"/>
      <c r="E71" s="59"/>
      <c r="F71" s="18"/>
      <c r="H71" s="18"/>
      <c r="I71" s="18"/>
      <c r="J71" s="18"/>
      <c r="K71" s="18"/>
      <c r="L71" s="18"/>
      <c r="M71" s="18"/>
      <c r="N71" s="18"/>
    </row>
    <row r="72" ht="15.75" customHeight="1">
      <c r="A72" s="18"/>
      <c r="B72" s="18"/>
      <c r="C72" s="18"/>
      <c r="D72" s="18"/>
      <c r="E72" s="59"/>
      <c r="F72" s="18"/>
      <c r="H72" s="18"/>
      <c r="I72" s="18"/>
      <c r="J72" s="18"/>
      <c r="K72" s="18"/>
      <c r="L72" s="18"/>
      <c r="M72" s="18"/>
      <c r="N72" s="18"/>
    </row>
    <row r="73" ht="15.75" customHeight="1">
      <c r="A73" s="18"/>
      <c r="B73" s="18"/>
      <c r="C73" s="18"/>
      <c r="D73" s="18"/>
      <c r="E73" s="59"/>
      <c r="F73" s="18"/>
      <c r="H73" s="18"/>
      <c r="I73" s="18"/>
      <c r="J73" s="18"/>
      <c r="K73" s="18"/>
      <c r="L73" s="18"/>
      <c r="M73" s="18"/>
      <c r="N73" s="18"/>
    </row>
    <row r="74" ht="15.75" customHeight="1">
      <c r="A74" s="18"/>
      <c r="B74" s="18"/>
      <c r="C74" s="18"/>
      <c r="D74" s="18"/>
      <c r="E74" s="59"/>
      <c r="F74" s="18"/>
      <c r="H74" s="18"/>
      <c r="I74" s="18"/>
      <c r="J74" s="18"/>
      <c r="K74" s="18"/>
      <c r="L74" s="18"/>
      <c r="M74" s="18"/>
      <c r="N74" s="18"/>
    </row>
    <row r="75" ht="15.75" customHeight="1">
      <c r="A75" s="18"/>
      <c r="B75" s="18"/>
      <c r="C75" s="18"/>
      <c r="D75" s="18"/>
      <c r="E75" s="59"/>
      <c r="F75" s="18"/>
      <c r="H75" s="18"/>
      <c r="I75" s="18"/>
      <c r="J75" s="18"/>
      <c r="K75" s="18"/>
      <c r="L75" s="18"/>
      <c r="M75" s="18"/>
      <c r="N75" s="18"/>
    </row>
    <row r="76" ht="15.75" customHeight="1">
      <c r="A76" s="18"/>
      <c r="B76" s="18"/>
      <c r="C76" s="18"/>
      <c r="D76" s="18"/>
      <c r="E76" s="59"/>
      <c r="F76" s="18"/>
      <c r="H76" s="18"/>
      <c r="I76" s="18"/>
      <c r="J76" s="18"/>
      <c r="K76" s="18"/>
      <c r="L76" s="18"/>
      <c r="M76" s="18"/>
      <c r="N76" s="18"/>
    </row>
    <row r="77" ht="15.75" customHeight="1">
      <c r="A77" s="18"/>
      <c r="B77" s="18"/>
      <c r="C77" s="18"/>
      <c r="D77" s="18"/>
      <c r="E77" s="59"/>
      <c r="F77" s="18"/>
      <c r="H77" s="18"/>
      <c r="I77" s="18"/>
      <c r="J77" s="18"/>
      <c r="K77" s="18"/>
      <c r="L77" s="18"/>
      <c r="M77" s="18"/>
      <c r="N77" s="18"/>
    </row>
    <row r="78" ht="15.75" customHeight="1">
      <c r="A78" s="18"/>
      <c r="B78" s="18"/>
      <c r="C78" s="18"/>
      <c r="D78" s="18"/>
      <c r="E78" s="59"/>
      <c r="F78" s="18"/>
      <c r="H78" s="18"/>
      <c r="I78" s="18"/>
      <c r="J78" s="18"/>
      <c r="K78" s="18"/>
      <c r="L78" s="18"/>
      <c r="M78" s="18"/>
      <c r="N78" s="18"/>
    </row>
    <row r="79" ht="15.75" customHeight="1">
      <c r="A79" s="18"/>
      <c r="B79" s="18"/>
      <c r="C79" s="18"/>
      <c r="D79" s="18"/>
      <c r="E79" s="59"/>
      <c r="F79" s="18"/>
      <c r="H79" s="18"/>
      <c r="I79" s="18"/>
      <c r="J79" s="18"/>
      <c r="K79" s="18"/>
      <c r="L79" s="18"/>
      <c r="M79" s="18"/>
      <c r="N79" s="18"/>
    </row>
    <row r="80" ht="15.75" customHeight="1">
      <c r="A80" s="18"/>
      <c r="B80" s="18"/>
      <c r="C80" s="18"/>
      <c r="D80" s="18"/>
      <c r="E80" s="59"/>
      <c r="F80" s="18"/>
      <c r="H80" s="18"/>
      <c r="I80" s="18"/>
      <c r="J80" s="18"/>
      <c r="K80" s="18"/>
      <c r="L80" s="18"/>
      <c r="M80" s="18"/>
      <c r="N80" s="18"/>
    </row>
    <row r="81" ht="15.75" customHeight="1">
      <c r="A81" s="18"/>
      <c r="B81" s="18"/>
      <c r="C81" s="18"/>
      <c r="D81" s="18"/>
      <c r="E81" s="59"/>
      <c r="F81" s="18"/>
      <c r="H81" s="18"/>
      <c r="I81" s="18"/>
      <c r="J81" s="18"/>
      <c r="K81" s="18"/>
      <c r="L81" s="18"/>
      <c r="M81" s="18"/>
      <c r="N81" s="18"/>
    </row>
    <row r="82" ht="15.75" customHeight="1">
      <c r="A82" s="18"/>
      <c r="B82" s="18"/>
      <c r="C82" s="18"/>
      <c r="D82" s="18"/>
      <c r="E82" s="59"/>
      <c r="F82" s="18"/>
      <c r="H82" s="18"/>
      <c r="I82" s="18"/>
      <c r="J82" s="18"/>
      <c r="K82" s="18"/>
      <c r="L82" s="18"/>
      <c r="M82" s="18"/>
      <c r="N82" s="18"/>
    </row>
    <row r="83" ht="15.75" customHeight="1">
      <c r="A83" s="18"/>
      <c r="B83" s="18"/>
      <c r="C83" s="18"/>
      <c r="D83" s="18"/>
      <c r="E83" s="59"/>
      <c r="F83" s="18"/>
      <c r="H83" s="18"/>
      <c r="I83" s="18"/>
      <c r="J83" s="18"/>
      <c r="K83" s="18"/>
      <c r="L83" s="18"/>
      <c r="M83" s="18"/>
      <c r="N83" s="18"/>
    </row>
    <row r="84" ht="15.75" customHeight="1">
      <c r="A84" s="18"/>
      <c r="B84" s="18"/>
      <c r="C84" s="18"/>
      <c r="D84" s="18"/>
      <c r="E84" s="59"/>
      <c r="F84" s="18"/>
      <c r="H84" s="18"/>
      <c r="I84" s="18"/>
      <c r="J84" s="18"/>
      <c r="K84" s="18"/>
      <c r="L84" s="18"/>
      <c r="M84" s="18"/>
      <c r="N84" s="18"/>
    </row>
    <row r="85" ht="15.75" customHeight="1">
      <c r="A85" s="18"/>
      <c r="B85" s="18"/>
      <c r="C85" s="18"/>
      <c r="D85" s="18"/>
      <c r="E85" s="59"/>
      <c r="F85" s="18"/>
      <c r="H85" s="18"/>
      <c r="I85" s="18"/>
      <c r="J85" s="18"/>
      <c r="K85" s="18"/>
      <c r="L85" s="18"/>
      <c r="M85" s="18"/>
      <c r="N85" s="18"/>
    </row>
    <row r="86" ht="15.75" customHeight="1">
      <c r="A86" s="18"/>
      <c r="B86" s="18"/>
      <c r="C86" s="18"/>
      <c r="D86" s="18"/>
      <c r="E86" s="59"/>
      <c r="F86" s="18"/>
      <c r="H86" s="18"/>
      <c r="I86" s="18"/>
      <c r="J86" s="18"/>
      <c r="K86" s="18"/>
      <c r="L86" s="18"/>
      <c r="M86" s="18"/>
      <c r="N86" s="18"/>
    </row>
    <row r="87" ht="15.75" customHeight="1">
      <c r="A87" s="18"/>
      <c r="B87" s="18"/>
      <c r="C87" s="18"/>
      <c r="D87" s="18"/>
      <c r="E87" s="59"/>
      <c r="F87" s="18"/>
      <c r="H87" s="18"/>
      <c r="I87" s="18"/>
      <c r="J87" s="18"/>
      <c r="K87" s="18"/>
      <c r="L87" s="18"/>
      <c r="M87" s="18"/>
      <c r="N87" s="18"/>
    </row>
    <row r="88" ht="15.75" customHeight="1">
      <c r="A88" s="18"/>
      <c r="B88" s="18"/>
      <c r="C88" s="18"/>
      <c r="D88" s="18"/>
      <c r="E88" s="59"/>
      <c r="F88" s="18"/>
      <c r="H88" s="18"/>
      <c r="I88" s="18"/>
      <c r="J88" s="18"/>
      <c r="K88" s="18"/>
      <c r="L88" s="18"/>
      <c r="M88" s="18"/>
      <c r="N88" s="18"/>
    </row>
    <row r="89" ht="15.75" customHeight="1">
      <c r="A89" s="18"/>
      <c r="B89" s="18"/>
      <c r="C89" s="18"/>
      <c r="D89" s="18"/>
      <c r="E89" s="59"/>
      <c r="F89" s="18"/>
      <c r="H89" s="18"/>
      <c r="I89" s="18"/>
      <c r="J89" s="18"/>
      <c r="K89" s="18"/>
      <c r="L89" s="18"/>
      <c r="M89" s="18"/>
      <c r="N89" s="18"/>
    </row>
    <row r="90" ht="15.75" customHeight="1">
      <c r="A90" s="18"/>
      <c r="B90" s="18"/>
      <c r="C90" s="18"/>
      <c r="D90" s="18"/>
      <c r="E90" s="59"/>
      <c r="F90" s="18"/>
      <c r="H90" s="18"/>
      <c r="I90" s="18"/>
      <c r="J90" s="18"/>
      <c r="K90" s="18"/>
      <c r="L90" s="18"/>
      <c r="M90" s="18"/>
      <c r="N90" s="18"/>
    </row>
    <row r="91" ht="15.75" customHeight="1">
      <c r="A91" s="18"/>
      <c r="B91" s="18"/>
      <c r="C91" s="18"/>
      <c r="D91" s="18"/>
      <c r="E91" s="59"/>
      <c r="F91" s="18"/>
      <c r="H91" s="18"/>
      <c r="I91" s="18"/>
      <c r="J91" s="18"/>
      <c r="K91" s="18"/>
      <c r="L91" s="18"/>
      <c r="M91" s="18"/>
      <c r="N91" s="18"/>
    </row>
    <row r="92" ht="15.75" customHeight="1">
      <c r="A92" s="18"/>
      <c r="B92" s="18"/>
      <c r="C92" s="18"/>
      <c r="D92" s="18"/>
      <c r="E92" s="59"/>
      <c r="F92" s="18"/>
      <c r="H92" s="18"/>
      <c r="I92" s="18"/>
      <c r="J92" s="18"/>
      <c r="K92" s="18"/>
      <c r="L92" s="18"/>
      <c r="M92" s="18"/>
      <c r="N92" s="18"/>
    </row>
    <row r="93" ht="15.75" customHeight="1">
      <c r="A93" s="18"/>
      <c r="B93" s="18"/>
      <c r="C93" s="18"/>
      <c r="D93" s="18"/>
      <c r="E93" s="59"/>
      <c r="F93" s="18"/>
      <c r="H93" s="18"/>
      <c r="I93" s="18"/>
      <c r="J93" s="18"/>
      <c r="K93" s="18"/>
      <c r="L93" s="18"/>
      <c r="M93" s="18"/>
      <c r="N93" s="18"/>
    </row>
    <row r="94" ht="15.75" customHeight="1">
      <c r="A94" s="18"/>
      <c r="B94" s="18"/>
      <c r="C94" s="18"/>
      <c r="D94" s="18"/>
      <c r="E94" s="59"/>
      <c r="F94" s="18"/>
      <c r="H94" s="18"/>
      <c r="I94" s="18"/>
      <c r="J94" s="18"/>
      <c r="K94" s="18"/>
      <c r="L94" s="18"/>
      <c r="M94" s="18"/>
      <c r="N94" s="18"/>
    </row>
    <row r="95" ht="15.75" customHeight="1">
      <c r="A95" s="18"/>
      <c r="B95" s="18"/>
      <c r="C95" s="18"/>
      <c r="D95" s="18"/>
      <c r="E95" s="59"/>
      <c r="F95" s="18"/>
      <c r="H95" s="18"/>
      <c r="I95" s="18"/>
      <c r="J95" s="18"/>
      <c r="K95" s="18"/>
      <c r="L95" s="18"/>
      <c r="M95" s="18"/>
      <c r="N95" s="18"/>
    </row>
    <row r="96" ht="15.75" customHeight="1">
      <c r="A96" s="18"/>
      <c r="B96" s="18"/>
      <c r="C96" s="18"/>
      <c r="D96" s="18"/>
      <c r="E96" s="59"/>
      <c r="F96" s="18"/>
      <c r="H96" s="18"/>
      <c r="I96" s="18"/>
      <c r="J96" s="18"/>
      <c r="K96" s="18"/>
      <c r="L96" s="18"/>
      <c r="M96" s="18"/>
      <c r="N96" s="18"/>
    </row>
    <row r="97" ht="15.75" customHeight="1">
      <c r="A97" s="18"/>
      <c r="B97" s="18"/>
      <c r="C97" s="18"/>
      <c r="D97" s="18"/>
      <c r="E97" s="59"/>
      <c r="F97" s="18"/>
      <c r="H97" s="18"/>
      <c r="I97" s="18"/>
      <c r="J97" s="18"/>
      <c r="K97" s="18"/>
      <c r="L97" s="18"/>
      <c r="M97" s="18"/>
      <c r="N97" s="18"/>
    </row>
    <row r="98" ht="15.75" customHeight="1">
      <c r="A98" s="18"/>
      <c r="B98" s="18"/>
      <c r="C98" s="18"/>
      <c r="D98" s="18"/>
      <c r="E98" s="59"/>
      <c r="F98" s="18"/>
      <c r="H98" s="18"/>
      <c r="I98" s="18"/>
      <c r="J98" s="18"/>
      <c r="K98" s="18"/>
      <c r="L98" s="18"/>
      <c r="M98" s="18"/>
      <c r="N98" s="18"/>
    </row>
    <row r="99" ht="15.75" customHeight="1">
      <c r="A99" s="18"/>
      <c r="B99" s="18"/>
      <c r="C99" s="18"/>
      <c r="D99" s="18"/>
      <c r="E99" s="59"/>
      <c r="F99" s="18"/>
      <c r="H99" s="18"/>
      <c r="I99" s="18"/>
      <c r="J99" s="18"/>
      <c r="K99" s="18"/>
      <c r="L99" s="18"/>
      <c r="M99" s="18"/>
      <c r="N99" s="18"/>
    </row>
    <row r="100" ht="15.75" customHeight="1">
      <c r="A100" s="18"/>
      <c r="B100" s="18"/>
      <c r="C100" s="18"/>
      <c r="D100" s="18"/>
      <c r="E100" s="59"/>
      <c r="F100" s="18"/>
      <c r="H100" s="18"/>
      <c r="I100" s="18"/>
      <c r="J100" s="18"/>
      <c r="K100" s="18"/>
      <c r="L100" s="18"/>
      <c r="M100" s="18"/>
      <c r="N100" s="18"/>
    </row>
    <row r="101" ht="15.75" customHeight="1">
      <c r="A101" s="18"/>
      <c r="B101" s="18"/>
      <c r="C101" s="18"/>
      <c r="D101" s="18"/>
      <c r="E101" s="59"/>
      <c r="F101" s="18"/>
      <c r="H101" s="18"/>
      <c r="I101" s="18"/>
      <c r="J101" s="18"/>
      <c r="K101" s="18"/>
      <c r="L101" s="18"/>
      <c r="M101" s="18"/>
      <c r="N101" s="18"/>
    </row>
    <row r="102" ht="15.75" customHeight="1">
      <c r="A102" s="18"/>
      <c r="B102" s="18"/>
      <c r="C102" s="18"/>
      <c r="D102" s="18"/>
      <c r="E102" s="59"/>
      <c r="F102" s="18"/>
      <c r="H102" s="18"/>
      <c r="I102" s="18"/>
      <c r="J102" s="18"/>
      <c r="K102" s="18"/>
      <c r="L102" s="18"/>
      <c r="M102" s="18"/>
      <c r="N102" s="18"/>
    </row>
    <row r="103" ht="15.75" customHeight="1">
      <c r="A103" s="18"/>
      <c r="B103" s="18"/>
      <c r="C103" s="18"/>
      <c r="D103" s="18"/>
      <c r="E103" s="59"/>
      <c r="F103" s="18"/>
      <c r="H103" s="18"/>
      <c r="I103" s="18"/>
      <c r="J103" s="18"/>
      <c r="K103" s="18"/>
      <c r="L103" s="18"/>
      <c r="M103" s="18"/>
      <c r="N103" s="18"/>
    </row>
    <row r="104" ht="15.75" customHeight="1">
      <c r="A104" s="18"/>
      <c r="B104" s="18"/>
      <c r="C104" s="18"/>
      <c r="D104" s="18"/>
      <c r="E104" s="59"/>
      <c r="F104" s="18"/>
      <c r="H104" s="18"/>
      <c r="I104" s="18"/>
      <c r="J104" s="18"/>
      <c r="K104" s="18"/>
      <c r="L104" s="18"/>
      <c r="M104" s="18"/>
      <c r="N104" s="18"/>
    </row>
    <row r="105" ht="15.75" customHeight="1">
      <c r="A105" s="18"/>
      <c r="B105" s="18"/>
      <c r="C105" s="18"/>
      <c r="D105" s="18"/>
      <c r="E105" s="59"/>
      <c r="F105" s="18"/>
      <c r="H105" s="18"/>
      <c r="I105" s="18"/>
      <c r="J105" s="18"/>
      <c r="K105" s="18"/>
      <c r="L105" s="18"/>
      <c r="M105" s="18"/>
      <c r="N105" s="18"/>
    </row>
    <row r="106" ht="15.75" customHeight="1">
      <c r="A106" s="18"/>
      <c r="B106" s="18"/>
      <c r="C106" s="18"/>
      <c r="D106" s="18"/>
      <c r="E106" s="59"/>
      <c r="F106" s="18"/>
      <c r="H106" s="18"/>
      <c r="I106" s="18"/>
      <c r="J106" s="18"/>
      <c r="K106" s="18"/>
      <c r="L106" s="18"/>
      <c r="M106" s="18"/>
      <c r="N106" s="18"/>
    </row>
    <row r="107" ht="15.75" customHeight="1">
      <c r="A107" s="18"/>
      <c r="B107" s="18"/>
      <c r="C107" s="18"/>
      <c r="D107" s="18"/>
      <c r="E107" s="59"/>
      <c r="F107" s="18"/>
      <c r="H107" s="18"/>
      <c r="I107" s="18"/>
      <c r="J107" s="18"/>
      <c r="K107" s="18"/>
      <c r="L107" s="18"/>
      <c r="M107" s="18"/>
      <c r="N107" s="18"/>
    </row>
    <row r="108" ht="15.75" customHeight="1">
      <c r="A108" s="18"/>
      <c r="B108" s="18"/>
      <c r="C108" s="18"/>
      <c r="D108" s="18"/>
      <c r="E108" s="59"/>
      <c r="F108" s="18"/>
      <c r="H108" s="18"/>
      <c r="I108" s="18"/>
      <c r="J108" s="18"/>
      <c r="K108" s="18"/>
      <c r="L108" s="18"/>
      <c r="M108" s="18"/>
      <c r="N108" s="18"/>
    </row>
    <row r="109" ht="15.75" customHeight="1">
      <c r="A109" s="18"/>
      <c r="B109" s="18"/>
      <c r="C109" s="18"/>
      <c r="D109" s="18"/>
      <c r="E109" s="59"/>
      <c r="F109" s="18"/>
      <c r="H109" s="18"/>
      <c r="I109" s="18"/>
      <c r="J109" s="18"/>
      <c r="K109" s="18"/>
      <c r="L109" s="18"/>
      <c r="M109" s="18"/>
      <c r="N109" s="18"/>
    </row>
    <row r="110" ht="15.75" customHeight="1">
      <c r="A110" s="18"/>
      <c r="B110" s="18"/>
      <c r="C110" s="18"/>
      <c r="D110" s="18"/>
      <c r="E110" s="59"/>
      <c r="F110" s="18"/>
      <c r="H110" s="18"/>
      <c r="I110" s="18"/>
      <c r="J110" s="18"/>
      <c r="K110" s="18"/>
      <c r="L110" s="18"/>
      <c r="M110" s="18"/>
      <c r="N110" s="18"/>
    </row>
    <row r="111" ht="15.75" customHeight="1">
      <c r="A111" s="18"/>
      <c r="B111" s="18"/>
      <c r="C111" s="18"/>
      <c r="D111" s="18"/>
      <c r="E111" s="59"/>
      <c r="F111" s="18"/>
      <c r="H111" s="18"/>
      <c r="I111" s="18"/>
      <c r="J111" s="18"/>
      <c r="K111" s="18"/>
      <c r="L111" s="18"/>
      <c r="M111" s="18"/>
      <c r="N111" s="18"/>
    </row>
    <row r="112" ht="15.75" customHeight="1">
      <c r="A112" s="18"/>
      <c r="B112" s="18"/>
      <c r="C112" s="18"/>
      <c r="D112" s="18"/>
      <c r="E112" s="59"/>
      <c r="F112" s="18"/>
      <c r="H112" s="18"/>
      <c r="I112" s="18"/>
      <c r="J112" s="18"/>
      <c r="K112" s="18"/>
      <c r="L112" s="18"/>
      <c r="M112" s="18"/>
      <c r="N112" s="18"/>
    </row>
    <row r="113" ht="15.75" customHeight="1">
      <c r="A113" s="18"/>
      <c r="B113" s="18"/>
      <c r="C113" s="18"/>
      <c r="D113" s="18"/>
      <c r="E113" s="59"/>
      <c r="F113" s="18"/>
      <c r="H113" s="18"/>
      <c r="I113" s="18"/>
      <c r="J113" s="18"/>
      <c r="K113" s="18"/>
      <c r="L113" s="18"/>
      <c r="M113" s="18"/>
      <c r="N113" s="18"/>
    </row>
    <row r="114" ht="15.75" customHeight="1">
      <c r="A114" s="18"/>
      <c r="B114" s="18"/>
      <c r="C114" s="18"/>
      <c r="D114" s="18"/>
      <c r="E114" s="59"/>
      <c r="F114" s="18"/>
      <c r="H114" s="18"/>
      <c r="I114" s="18"/>
      <c r="J114" s="18"/>
      <c r="K114" s="18"/>
      <c r="L114" s="18"/>
      <c r="M114" s="18"/>
      <c r="N114" s="18"/>
    </row>
    <row r="115" ht="15.75" customHeight="1">
      <c r="A115" s="18"/>
      <c r="B115" s="18"/>
      <c r="C115" s="18"/>
      <c r="D115" s="18"/>
      <c r="E115" s="59"/>
      <c r="F115" s="18"/>
      <c r="H115" s="18"/>
      <c r="I115" s="18"/>
      <c r="J115" s="18"/>
      <c r="K115" s="18"/>
      <c r="L115" s="18"/>
      <c r="M115" s="18"/>
      <c r="N115" s="18"/>
    </row>
    <row r="116" ht="15.75" customHeight="1">
      <c r="A116" s="18"/>
      <c r="B116" s="18"/>
      <c r="C116" s="18"/>
      <c r="D116" s="18"/>
      <c r="E116" s="59"/>
      <c r="F116" s="18"/>
      <c r="H116" s="18"/>
      <c r="I116" s="18"/>
      <c r="J116" s="18"/>
      <c r="K116" s="18"/>
      <c r="L116" s="18"/>
      <c r="M116" s="18"/>
      <c r="N116" s="18"/>
    </row>
    <row r="117" ht="15.75" customHeight="1">
      <c r="A117" s="18"/>
      <c r="B117" s="18"/>
      <c r="C117" s="18"/>
      <c r="D117" s="18"/>
      <c r="E117" s="59"/>
      <c r="F117" s="18"/>
      <c r="H117" s="18"/>
      <c r="I117" s="18"/>
      <c r="J117" s="18"/>
      <c r="K117" s="18"/>
      <c r="L117" s="18"/>
      <c r="M117" s="18"/>
      <c r="N117" s="18"/>
    </row>
    <row r="118" ht="15.75" customHeight="1">
      <c r="A118" s="18"/>
      <c r="B118" s="18"/>
      <c r="C118" s="18"/>
      <c r="D118" s="18"/>
      <c r="E118" s="59"/>
      <c r="F118" s="18"/>
      <c r="H118" s="18"/>
      <c r="I118" s="18"/>
      <c r="J118" s="18"/>
      <c r="K118" s="18"/>
      <c r="L118" s="18"/>
      <c r="M118" s="18"/>
      <c r="N118" s="18"/>
    </row>
    <row r="119" ht="15.75" customHeight="1">
      <c r="A119" s="18"/>
      <c r="B119" s="18"/>
      <c r="C119" s="18"/>
      <c r="D119" s="18"/>
      <c r="E119" s="59"/>
      <c r="F119" s="18"/>
      <c r="H119" s="18"/>
      <c r="I119" s="18"/>
      <c r="J119" s="18"/>
      <c r="K119" s="18"/>
      <c r="L119" s="18"/>
      <c r="M119" s="18"/>
      <c r="N119" s="18"/>
    </row>
    <row r="120" ht="15.75" customHeight="1">
      <c r="A120" s="18"/>
      <c r="B120" s="18"/>
      <c r="C120" s="18"/>
      <c r="D120" s="18"/>
      <c r="E120" s="59"/>
      <c r="F120" s="18"/>
      <c r="H120" s="18"/>
      <c r="I120" s="18"/>
      <c r="J120" s="18"/>
      <c r="K120" s="18"/>
      <c r="L120" s="18"/>
      <c r="M120" s="18"/>
      <c r="N120" s="18"/>
    </row>
    <row r="121" ht="15.75" customHeight="1">
      <c r="A121" s="18"/>
      <c r="B121" s="18"/>
      <c r="C121" s="18"/>
      <c r="D121" s="18"/>
      <c r="E121" s="59"/>
      <c r="F121" s="18"/>
      <c r="H121" s="18"/>
      <c r="I121" s="18"/>
      <c r="J121" s="18"/>
      <c r="K121" s="18"/>
      <c r="L121" s="18"/>
      <c r="M121" s="18"/>
      <c r="N121" s="18"/>
    </row>
    <row r="122" ht="15.75" customHeight="1">
      <c r="A122" s="18"/>
      <c r="B122" s="18"/>
      <c r="C122" s="18"/>
      <c r="D122" s="18"/>
      <c r="E122" s="59"/>
      <c r="F122" s="18"/>
      <c r="H122" s="18"/>
      <c r="I122" s="18"/>
      <c r="J122" s="18"/>
      <c r="K122" s="18"/>
      <c r="L122" s="18"/>
      <c r="M122" s="18"/>
      <c r="N122" s="18"/>
    </row>
    <row r="123" ht="15.75" customHeight="1">
      <c r="A123" s="18"/>
      <c r="B123" s="18"/>
      <c r="C123" s="18"/>
      <c r="D123" s="18"/>
      <c r="E123" s="59"/>
      <c r="F123" s="18"/>
      <c r="H123" s="18"/>
      <c r="I123" s="18"/>
      <c r="J123" s="18"/>
      <c r="K123" s="18"/>
      <c r="L123" s="18"/>
      <c r="M123" s="18"/>
      <c r="N123" s="18"/>
    </row>
    <row r="124" ht="15.75" customHeight="1">
      <c r="A124" s="18"/>
      <c r="B124" s="18"/>
      <c r="C124" s="18"/>
      <c r="D124" s="18"/>
      <c r="E124" s="59"/>
      <c r="F124" s="18"/>
      <c r="H124" s="18"/>
      <c r="I124" s="18"/>
      <c r="J124" s="18"/>
      <c r="K124" s="18"/>
      <c r="L124" s="18"/>
      <c r="M124" s="18"/>
      <c r="N124" s="18"/>
    </row>
    <row r="125" ht="15.75" customHeight="1">
      <c r="A125" s="18"/>
      <c r="B125" s="18"/>
      <c r="C125" s="18"/>
      <c r="D125" s="18"/>
      <c r="E125" s="59"/>
      <c r="F125" s="18"/>
      <c r="H125" s="18"/>
      <c r="I125" s="18"/>
      <c r="J125" s="18"/>
      <c r="K125" s="18"/>
      <c r="L125" s="18"/>
      <c r="M125" s="18"/>
      <c r="N125" s="18"/>
    </row>
    <row r="126" ht="15.75" customHeight="1">
      <c r="A126" s="18"/>
      <c r="B126" s="18"/>
      <c r="C126" s="18"/>
      <c r="D126" s="18"/>
      <c r="E126" s="59"/>
      <c r="F126" s="18"/>
      <c r="H126" s="18"/>
      <c r="I126" s="18"/>
      <c r="J126" s="18"/>
      <c r="K126" s="18"/>
      <c r="L126" s="18"/>
      <c r="M126" s="18"/>
      <c r="N126" s="18"/>
    </row>
    <row r="127" ht="15.75" customHeight="1">
      <c r="A127" s="18"/>
      <c r="B127" s="18"/>
      <c r="C127" s="18"/>
      <c r="D127" s="18"/>
      <c r="E127" s="59"/>
      <c r="F127" s="18"/>
      <c r="H127" s="18"/>
      <c r="I127" s="18"/>
      <c r="J127" s="18"/>
      <c r="K127" s="18"/>
      <c r="L127" s="18"/>
      <c r="M127" s="18"/>
      <c r="N127" s="18"/>
    </row>
    <row r="128" ht="15.75" customHeight="1">
      <c r="A128" s="18"/>
      <c r="B128" s="18"/>
      <c r="C128" s="18"/>
      <c r="D128" s="18"/>
      <c r="E128" s="59"/>
      <c r="F128" s="18"/>
      <c r="H128" s="18"/>
      <c r="I128" s="18"/>
      <c r="J128" s="18"/>
      <c r="K128" s="18"/>
      <c r="L128" s="18"/>
      <c r="M128" s="18"/>
      <c r="N128" s="18"/>
    </row>
    <row r="129" ht="15.75" customHeight="1">
      <c r="A129" s="18"/>
      <c r="B129" s="18"/>
      <c r="C129" s="18"/>
      <c r="D129" s="18"/>
      <c r="E129" s="59"/>
      <c r="F129" s="18"/>
      <c r="H129" s="18"/>
      <c r="I129" s="18"/>
      <c r="J129" s="18"/>
      <c r="K129" s="18"/>
      <c r="L129" s="18"/>
      <c r="M129" s="18"/>
      <c r="N129" s="18"/>
    </row>
    <row r="130" ht="15.75" customHeight="1">
      <c r="A130" s="18"/>
      <c r="B130" s="18"/>
      <c r="C130" s="18"/>
      <c r="D130" s="18"/>
      <c r="E130" s="59"/>
      <c r="F130" s="18"/>
      <c r="H130" s="18"/>
      <c r="I130" s="18"/>
      <c r="J130" s="18"/>
      <c r="K130" s="18"/>
      <c r="L130" s="18"/>
      <c r="M130" s="18"/>
      <c r="N130" s="18"/>
    </row>
    <row r="131" ht="15.75" customHeight="1">
      <c r="A131" s="18"/>
      <c r="B131" s="18"/>
      <c r="C131" s="18"/>
      <c r="D131" s="18"/>
      <c r="E131" s="59"/>
      <c r="F131" s="18"/>
      <c r="H131" s="18"/>
      <c r="I131" s="18"/>
      <c r="J131" s="18"/>
      <c r="K131" s="18"/>
      <c r="L131" s="18"/>
      <c r="M131" s="18"/>
      <c r="N131" s="18"/>
    </row>
    <row r="132" ht="15.75" customHeight="1">
      <c r="A132" s="18"/>
      <c r="B132" s="18"/>
      <c r="C132" s="18"/>
      <c r="D132" s="18"/>
      <c r="E132" s="59"/>
      <c r="F132" s="18"/>
      <c r="H132" s="18"/>
      <c r="I132" s="18"/>
      <c r="J132" s="18"/>
      <c r="K132" s="18"/>
      <c r="L132" s="18"/>
      <c r="M132" s="18"/>
      <c r="N132" s="18"/>
    </row>
    <row r="133" ht="15.75" customHeight="1">
      <c r="A133" s="18"/>
      <c r="B133" s="18"/>
      <c r="C133" s="18"/>
      <c r="D133" s="18"/>
      <c r="E133" s="59"/>
      <c r="F133" s="18"/>
      <c r="H133" s="18"/>
      <c r="I133" s="18"/>
      <c r="J133" s="18"/>
      <c r="K133" s="18"/>
      <c r="L133" s="18"/>
      <c r="M133" s="18"/>
      <c r="N133" s="18"/>
    </row>
    <row r="134" ht="15.75" customHeight="1">
      <c r="A134" s="18"/>
      <c r="B134" s="18"/>
      <c r="C134" s="18"/>
      <c r="D134" s="18"/>
      <c r="E134" s="59"/>
      <c r="F134" s="18"/>
      <c r="H134" s="18"/>
      <c r="I134" s="18"/>
      <c r="J134" s="18"/>
      <c r="K134" s="18"/>
      <c r="L134" s="18"/>
      <c r="M134" s="18"/>
      <c r="N134" s="18"/>
    </row>
    <row r="135" ht="15.75" customHeight="1">
      <c r="A135" s="18"/>
      <c r="B135" s="18"/>
      <c r="C135" s="18"/>
      <c r="D135" s="18"/>
      <c r="E135" s="59"/>
      <c r="F135" s="18"/>
      <c r="H135" s="18"/>
      <c r="I135" s="18"/>
      <c r="J135" s="18"/>
      <c r="K135" s="18"/>
      <c r="L135" s="18"/>
      <c r="M135" s="18"/>
      <c r="N135" s="18"/>
    </row>
    <row r="136" ht="15.75" customHeight="1">
      <c r="A136" s="18"/>
      <c r="B136" s="18"/>
      <c r="C136" s="18"/>
      <c r="D136" s="18"/>
      <c r="E136" s="59"/>
      <c r="F136" s="18"/>
      <c r="H136" s="18"/>
      <c r="I136" s="18"/>
      <c r="J136" s="18"/>
      <c r="K136" s="18"/>
      <c r="L136" s="18"/>
      <c r="M136" s="18"/>
      <c r="N136" s="18"/>
    </row>
    <row r="137" ht="15.75" customHeight="1">
      <c r="A137" s="18"/>
      <c r="B137" s="18"/>
      <c r="C137" s="18"/>
      <c r="D137" s="18"/>
      <c r="E137" s="59"/>
      <c r="F137" s="18"/>
      <c r="H137" s="18"/>
      <c r="I137" s="18"/>
      <c r="J137" s="18"/>
      <c r="K137" s="18"/>
      <c r="L137" s="18"/>
      <c r="M137" s="18"/>
      <c r="N137" s="18"/>
    </row>
    <row r="138" ht="15.75" customHeight="1">
      <c r="A138" s="18"/>
      <c r="B138" s="18"/>
      <c r="C138" s="18"/>
      <c r="D138" s="18"/>
      <c r="E138" s="59"/>
      <c r="F138" s="18"/>
      <c r="H138" s="18"/>
      <c r="I138" s="18"/>
      <c r="J138" s="18"/>
      <c r="K138" s="18"/>
      <c r="L138" s="18"/>
      <c r="M138" s="18"/>
      <c r="N138" s="18"/>
    </row>
    <row r="139" ht="15.75" customHeight="1">
      <c r="A139" s="18"/>
      <c r="B139" s="18"/>
      <c r="C139" s="18"/>
      <c r="D139" s="18"/>
      <c r="E139" s="59"/>
      <c r="F139" s="18"/>
      <c r="H139" s="18"/>
      <c r="I139" s="18"/>
      <c r="J139" s="18"/>
      <c r="K139" s="18"/>
      <c r="L139" s="18"/>
      <c r="M139" s="18"/>
      <c r="N139" s="18"/>
    </row>
    <row r="140" ht="15.75" customHeight="1">
      <c r="A140" s="18"/>
      <c r="B140" s="18"/>
      <c r="C140" s="18"/>
      <c r="D140" s="18"/>
      <c r="E140" s="59"/>
      <c r="F140" s="18"/>
      <c r="H140" s="18"/>
      <c r="I140" s="18"/>
      <c r="J140" s="18"/>
      <c r="K140" s="18"/>
      <c r="L140" s="18"/>
      <c r="M140" s="18"/>
      <c r="N140" s="18"/>
    </row>
    <row r="141" ht="15.75" customHeight="1">
      <c r="A141" s="18"/>
      <c r="B141" s="18"/>
      <c r="C141" s="18"/>
      <c r="D141" s="18"/>
      <c r="E141" s="59"/>
      <c r="F141" s="18"/>
      <c r="H141" s="18"/>
      <c r="I141" s="18"/>
      <c r="J141" s="18"/>
      <c r="K141" s="18"/>
      <c r="L141" s="18"/>
      <c r="M141" s="18"/>
      <c r="N141" s="18"/>
    </row>
    <row r="142" ht="15.75" customHeight="1">
      <c r="A142" s="18"/>
      <c r="B142" s="18"/>
      <c r="C142" s="18"/>
      <c r="D142" s="18"/>
      <c r="E142" s="59"/>
      <c r="F142" s="18"/>
      <c r="H142" s="18"/>
      <c r="I142" s="18"/>
      <c r="J142" s="18"/>
      <c r="K142" s="18"/>
      <c r="L142" s="18"/>
      <c r="M142" s="18"/>
      <c r="N142" s="18"/>
    </row>
    <row r="143" ht="15.75" customHeight="1">
      <c r="A143" s="18"/>
      <c r="B143" s="18"/>
      <c r="C143" s="18"/>
      <c r="D143" s="18"/>
      <c r="E143" s="59"/>
      <c r="F143" s="18"/>
      <c r="H143" s="18"/>
      <c r="I143" s="18"/>
      <c r="J143" s="18"/>
      <c r="K143" s="18"/>
      <c r="L143" s="18"/>
      <c r="M143" s="18"/>
      <c r="N143" s="18"/>
    </row>
    <row r="144" ht="15.75" customHeight="1">
      <c r="A144" s="18"/>
      <c r="B144" s="18"/>
      <c r="C144" s="18"/>
      <c r="D144" s="18"/>
      <c r="E144" s="59"/>
      <c r="F144" s="18"/>
      <c r="H144" s="18"/>
      <c r="I144" s="18"/>
      <c r="J144" s="18"/>
      <c r="K144" s="18"/>
      <c r="L144" s="18"/>
      <c r="M144" s="18"/>
      <c r="N144" s="18"/>
    </row>
    <row r="145" ht="15.75" customHeight="1">
      <c r="A145" s="18"/>
      <c r="B145" s="18"/>
      <c r="C145" s="18"/>
      <c r="D145" s="18"/>
      <c r="E145" s="59"/>
      <c r="F145" s="18"/>
      <c r="H145" s="18"/>
      <c r="I145" s="18"/>
      <c r="J145" s="18"/>
      <c r="K145" s="18"/>
      <c r="L145" s="18"/>
      <c r="M145" s="18"/>
      <c r="N145" s="18"/>
    </row>
    <row r="146" ht="15.75" customHeight="1">
      <c r="A146" s="18"/>
      <c r="B146" s="18"/>
      <c r="C146" s="18"/>
      <c r="D146" s="18"/>
      <c r="E146" s="59"/>
      <c r="F146" s="18"/>
      <c r="H146" s="18"/>
      <c r="I146" s="18"/>
      <c r="J146" s="18"/>
      <c r="K146" s="18"/>
      <c r="L146" s="18"/>
      <c r="M146" s="18"/>
      <c r="N146" s="18"/>
    </row>
    <row r="147" ht="15.75" customHeight="1">
      <c r="A147" s="18"/>
      <c r="B147" s="18"/>
      <c r="C147" s="18"/>
      <c r="D147" s="18"/>
      <c r="E147" s="59"/>
      <c r="F147" s="18"/>
      <c r="H147" s="18"/>
      <c r="I147" s="18"/>
      <c r="J147" s="18"/>
      <c r="K147" s="18"/>
      <c r="L147" s="18"/>
      <c r="M147" s="18"/>
      <c r="N147" s="18"/>
    </row>
    <row r="148" ht="15.75" customHeight="1">
      <c r="A148" s="18"/>
      <c r="B148" s="18"/>
      <c r="C148" s="18"/>
      <c r="D148" s="18"/>
      <c r="E148" s="59"/>
      <c r="F148" s="18"/>
      <c r="H148" s="18"/>
      <c r="I148" s="18"/>
      <c r="J148" s="18"/>
      <c r="K148" s="18"/>
      <c r="L148" s="18"/>
      <c r="M148" s="18"/>
      <c r="N148" s="18"/>
    </row>
    <row r="149" ht="15.75" customHeight="1">
      <c r="A149" s="18"/>
      <c r="B149" s="18"/>
      <c r="C149" s="18"/>
      <c r="D149" s="18"/>
      <c r="E149" s="59"/>
      <c r="F149" s="18"/>
      <c r="H149" s="18"/>
      <c r="I149" s="18"/>
      <c r="J149" s="18"/>
      <c r="K149" s="18"/>
      <c r="L149" s="18"/>
      <c r="M149" s="18"/>
      <c r="N149" s="18"/>
    </row>
    <row r="150" ht="15.75" customHeight="1">
      <c r="A150" s="18"/>
      <c r="B150" s="18"/>
      <c r="C150" s="18"/>
      <c r="D150" s="18"/>
      <c r="E150" s="59"/>
      <c r="F150" s="18"/>
      <c r="H150" s="18"/>
      <c r="I150" s="18"/>
      <c r="J150" s="18"/>
      <c r="K150" s="18"/>
      <c r="L150" s="18"/>
      <c r="M150" s="18"/>
      <c r="N150" s="18"/>
    </row>
    <row r="151" ht="15.75" customHeight="1">
      <c r="A151" s="18"/>
      <c r="B151" s="18"/>
      <c r="C151" s="18"/>
      <c r="D151" s="18"/>
      <c r="E151" s="59"/>
      <c r="F151" s="18"/>
      <c r="H151" s="18"/>
      <c r="I151" s="18"/>
      <c r="J151" s="18"/>
      <c r="K151" s="18"/>
      <c r="L151" s="18"/>
      <c r="M151" s="18"/>
      <c r="N151" s="18"/>
    </row>
    <row r="152" ht="15.75" customHeight="1">
      <c r="A152" s="18"/>
      <c r="B152" s="18"/>
      <c r="C152" s="18"/>
      <c r="D152" s="18"/>
      <c r="E152" s="59"/>
      <c r="F152" s="18"/>
      <c r="H152" s="18"/>
      <c r="I152" s="18"/>
      <c r="J152" s="18"/>
      <c r="K152" s="18"/>
      <c r="L152" s="18"/>
      <c r="M152" s="18"/>
      <c r="N152" s="18"/>
    </row>
    <row r="153" ht="15.75" customHeight="1">
      <c r="A153" s="18"/>
      <c r="B153" s="18"/>
      <c r="C153" s="18"/>
      <c r="D153" s="18"/>
      <c r="E153" s="59"/>
      <c r="F153" s="18"/>
      <c r="H153" s="18"/>
      <c r="I153" s="18"/>
      <c r="J153" s="18"/>
      <c r="K153" s="18"/>
      <c r="L153" s="18"/>
      <c r="M153" s="18"/>
      <c r="N153" s="18"/>
    </row>
    <row r="154" ht="15.75" customHeight="1">
      <c r="A154" s="18"/>
      <c r="B154" s="18"/>
      <c r="C154" s="18"/>
      <c r="D154" s="18"/>
      <c r="E154" s="59"/>
      <c r="F154" s="18"/>
      <c r="H154" s="18"/>
      <c r="I154" s="18"/>
      <c r="J154" s="18"/>
      <c r="K154" s="18"/>
      <c r="L154" s="18"/>
      <c r="M154" s="18"/>
      <c r="N154" s="18"/>
    </row>
    <row r="155" ht="15.75" customHeight="1">
      <c r="A155" s="18"/>
      <c r="B155" s="18"/>
      <c r="C155" s="18"/>
      <c r="D155" s="18"/>
      <c r="E155" s="59"/>
      <c r="F155" s="18"/>
      <c r="H155" s="18"/>
      <c r="I155" s="18"/>
      <c r="J155" s="18"/>
      <c r="K155" s="18"/>
      <c r="L155" s="18"/>
      <c r="M155" s="18"/>
      <c r="N155" s="18"/>
    </row>
    <row r="156" ht="15.75" customHeight="1">
      <c r="A156" s="18"/>
      <c r="B156" s="18"/>
      <c r="C156" s="18"/>
      <c r="D156" s="18"/>
      <c r="E156" s="59"/>
      <c r="F156" s="18"/>
      <c r="H156" s="18"/>
      <c r="I156" s="18"/>
      <c r="J156" s="18"/>
      <c r="K156" s="18"/>
      <c r="L156" s="18"/>
      <c r="M156" s="18"/>
      <c r="N156" s="18"/>
    </row>
    <row r="157" ht="15.75" customHeight="1">
      <c r="A157" s="18"/>
      <c r="B157" s="18"/>
      <c r="C157" s="18"/>
      <c r="D157" s="18"/>
      <c r="E157" s="59"/>
      <c r="F157" s="18"/>
      <c r="H157" s="18"/>
      <c r="I157" s="18"/>
      <c r="J157" s="18"/>
      <c r="K157" s="18"/>
      <c r="L157" s="18"/>
      <c r="M157" s="18"/>
      <c r="N157" s="18"/>
    </row>
    <row r="158" ht="15.75" customHeight="1">
      <c r="A158" s="18"/>
      <c r="B158" s="18"/>
      <c r="C158" s="18"/>
      <c r="D158" s="18"/>
      <c r="E158" s="59"/>
      <c r="F158" s="18"/>
      <c r="H158" s="18"/>
      <c r="I158" s="18"/>
      <c r="J158" s="18"/>
      <c r="K158" s="18"/>
      <c r="L158" s="18"/>
      <c r="M158" s="18"/>
      <c r="N158" s="18"/>
    </row>
    <row r="159" ht="15.75" customHeight="1">
      <c r="A159" s="18"/>
      <c r="B159" s="18"/>
      <c r="C159" s="18"/>
      <c r="D159" s="18"/>
      <c r="E159" s="59"/>
      <c r="F159" s="18"/>
      <c r="H159" s="18"/>
      <c r="I159" s="18"/>
      <c r="J159" s="18"/>
      <c r="K159" s="18"/>
      <c r="L159" s="18"/>
      <c r="M159" s="18"/>
      <c r="N159" s="18"/>
    </row>
    <row r="160" ht="15.75" customHeight="1">
      <c r="A160" s="18"/>
      <c r="B160" s="18"/>
      <c r="C160" s="18"/>
      <c r="D160" s="18"/>
      <c r="E160" s="59"/>
      <c r="F160" s="18"/>
      <c r="H160" s="18"/>
      <c r="I160" s="18"/>
      <c r="J160" s="18"/>
      <c r="K160" s="18"/>
      <c r="L160" s="18"/>
      <c r="M160" s="18"/>
      <c r="N160" s="18"/>
    </row>
    <row r="161" ht="15.75" customHeight="1">
      <c r="A161" s="18"/>
      <c r="B161" s="18"/>
      <c r="C161" s="18"/>
      <c r="D161" s="18"/>
      <c r="E161" s="59"/>
      <c r="F161" s="18"/>
      <c r="H161" s="18"/>
      <c r="I161" s="18"/>
      <c r="J161" s="18"/>
      <c r="K161" s="18"/>
      <c r="L161" s="18"/>
      <c r="M161" s="18"/>
      <c r="N161" s="18"/>
    </row>
    <row r="162" ht="15.75" customHeight="1">
      <c r="A162" s="18"/>
      <c r="B162" s="18"/>
      <c r="C162" s="18"/>
      <c r="D162" s="18"/>
      <c r="E162" s="59"/>
      <c r="F162" s="18"/>
      <c r="H162" s="18"/>
      <c r="I162" s="18"/>
      <c r="J162" s="18"/>
      <c r="K162" s="18"/>
      <c r="L162" s="18"/>
      <c r="M162" s="18"/>
      <c r="N162" s="18"/>
    </row>
    <row r="163" ht="15.75" customHeight="1">
      <c r="A163" s="18"/>
      <c r="B163" s="18"/>
      <c r="C163" s="18"/>
      <c r="D163" s="18"/>
      <c r="E163" s="59"/>
      <c r="F163" s="18"/>
      <c r="H163" s="18"/>
      <c r="I163" s="18"/>
      <c r="J163" s="18"/>
      <c r="K163" s="18"/>
      <c r="L163" s="18"/>
      <c r="M163" s="18"/>
      <c r="N163" s="18"/>
    </row>
    <row r="164" ht="15.75" customHeight="1">
      <c r="A164" s="18"/>
      <c r="B164" s="18"/>
      <c r="C164" s="18"/>
      <c r="D164" s="18"/>
      <c r="E164" s="59"/>
      <c r="F164" s="18"/>
      <c r="H164" s="18"/>
      <c r="I164" s="18"/>
      <c r="J164" s="18"/>
      <c r="K164" s="18"/>
      <c r="L164" s="18"/>
      <c r="M164" s="18"/>
      <c r="N164" s="18"/>
    </row>
    <row r="165" ht="15.75" customHeight="1">
      <c r="A165" s="18"/>
      <c r="B165" s="18"/>
      <c r="C165" s="18"/>
      <c r="D165" s="18"/>
      <c r="E165" s="59"/>
      <c r="F165" s="18"/>
      <c r="H165" s="18"/>
      <c r="I165" s="18"/>
      <c r="J165" s="18"/>
      <c r="K165" s="18"/>
      <c r="L165" s="18"/>
      <c r="M165" s="18"/>
      <c r="N165" s="18"/>
    </row>
    <row r="166" ht="15.75" customHeight="1">
      <c r="A166" s="18"/>
      <c r="B166" s="18"/>
      <c r="C166" s="18"/>
      <c r="D166" s="18"/>
      <c r="E166" s="59"/>
      <c r="F166" s="18"/>
      <c r="H166" s="18"/>
      <c r="I166" s="18"/>
      <c r="J166" s="18"/>
      <c r="K166" s="18"/>
      <c r="L166" s="18"/>
      <c r="M166" s="18"/>
      <c r="N166" s="18"/>
    </row>
    <row r="167" ht="15.75" customHeight="1">
      <c r="A167" s="18"/>
      <c r="B167" s="18"/>
      <c r="C167" s="18"/>
      <c r="D167" s="18"/>
      <c r="E167" s="59"/>
      <c r="F167" s="18"/>
      <c r="H167" s="18"/>
      <c r="I167" s="18"/>
      <c r="J167" s="18"/>
      <c r="K167" s="18"/>
      <c r="L167" s="18"/>
      <c r="M167" s="18"/>
      <c r="N167" s="18"/>
    </row>
    <row r="168" ht="15.75" customHeight="1">
      <c r="A168" s="18"/>
      <c r="B168" s="18"/>
      <c r="C168" s="18"/>
      <c r="D168" s="18"/>
      <c r="E168" s="59"/>
      <c r="F168" s="18"/>
      <c r="H168" s="18"/>
      <c r="I168" s="18"/>
      <c r="J168" s="18"/>
      <c r="K168" s="18"/>
      <c r="L168" s="18"/>
      <c r="M168" s="18"/>
      <c r="N168" s="18"/>
    </row>
    <row r="169" ht="15.75" customHeight="1">
      <c r="A169" s="18"/>
      <c r="B169" s="18"/>
      <c r="C169" s="18"/>
      <c r="D169" s="18"/>
      <c r="E169" s="59"/>
      <c r="F169" s="18"/>
      <c r="H169" s="18"/>
      <c r="I169" s="18"/>
      <c r="J169" s="18"/>
      <c r="K169" s="18"/>
      <c r="L169" s="18"/>
      <c r="M169" s="18"/>
      <c r="N169" s="18"/>
    </row>
    <row r="170" ht="15.75" customHeight="1">
      <c r="A170" s="18"/>
      <c r="B170" s="18"/>
      <c r="C170" s="18"/>
      <c r="D170" s="18"/>
      <c r="E170" s="59"/>
      <c r="F170" s="18"/>
      <c r="H170" s="18"/>
      <c r="I170" s="18"/>
      <c r="J170" s="18"/>
      <c r="K170" s="18"/>
      <c r="L170" s="18"/>
      <c r="M170" s="18"/>
      <c r="N170" s="18"/>
    </row>
    <row r="171" ht="15.75" customHeight="1">
      <c r="A171" s="18"/>
      <c r="B171" s="18"/>
      <c r="C171" s="18"/>
      <c r="D171" s="18"/>
      <c r="E171" s="59"/>
      <c r="F171" s="18"/>
      <c r="H171" s="18"/>
      <c r="I171" s="18"/>
      <c r="J171" s="18"/>
      <c r="K171" s="18"/>
      <c r="L171" s="18"/>
      <c r="M171" s="18"/>
      <c r="N171" s="18"/>
    </row>
    <row r="172" ht="15.75" customHeight="1">
      <c r="A172" s="18"/>
      <c r="B172" s="18"/>
      <c r="C172" s="18"/>
      <c r="D172" s="18"/>
      <c r="E172" s="59"/>
      <c r="F172" s="18"/>
      <c r="H172" s="18"/>
      <c r="I172" s="18"/>
      <c r="J172" s="18"/>
      <c r="K172" s="18"/>
      <c r="L172" s="18"/>
      <c r="M172" s="18"/>
      <c r="N172" s="18"/>
    </row>
    <row r="173" ht="15.75" customHeight="1">
      <c r="A173" s="18"/>
      <c r="B173" s="18"/>
      <c r="C173" s="18"/>
      <c r="D173" s="18"/>
      <c r="E173" s="59"/>
      <c r="F173" s="18"/>
      <c r="H173" s="18"/>
      <c r="I173" s="18"/>
      <c r="J173" s="18"/>
      <c r="K173" s="18"/>
      <c r="L173" s="18"/>
      <c r="M173" s="18"/>
      <c r="N173" s="18"/>
    </row>
    <row r="174" ht="15.75" customHeight="1">
      <c r="A174" s="18"/>
      <c r="B174" s="18"/>
      <c r="C174" s="18"/>
      <c r="D174" s="18"/>
      <c r="E174" s="59"/>
      <c r="F174" s="18"/>
      <c r="H174" s="18"/>
      <c r="I174" s="18"/>
      <c r="J174" s="18"/>
      <c r="K174" s="18"/>
      <c r="L174" s="18"/>
      <c r="M174" s="18"/>
      <c r="N174" s="18"/>
    </row>
    <row r="175" ht="15.75" customHeight="1">
      <c r="A175" s="18"/>
      <c r="B175" s="18"/>
      <c r="C175" s="18"/>
      <c r="D175" s="18"/>
      <c r="E175" s="59"/>
      <c r="F175" s="18"/>
      <c r="H175" s="18"/>
      <c r="I175" s="18"/>
      <c r="J175" s="18"/>
      <c r="K175" s="18"/>
      <c r="L175" s="18"/>
      <c r="M175" s="18"/>
      <c r="N175" s="18"/>
    </row>
    <row r="176" ht="15.75" customHeight="1">
      <c r="A176" s="18"/>
      <c r="B176" s="18"/>
      <c r="C176" s="18"/>
      <c r="D176" s="18"/>
      <c r="E176" s="59"/>
      <c r="F176" s="18"/>
      <c r="H176" s="18"/>
      <c r="I176" s="18"/>
      <c r="J176" s="18"/>
      <c r="K176" s="18"/>
      <c r="L176" s="18"/>
      <c r="M176" s="18"/>
      <c r="N176" s="18"/>
    </row>
    <row r="177" ht="15.75" customHeight="1">
      <c r="A177" s="18"/>
      <c r="B177" s="18"/>
      <c r="C177" s="18"/>
      <c r="D177" s="18"/>
      <c r="E177" s="59"/>
      <c r="F177" s="18"/>
      <c r="H177" s="18"/>
      <c r="I177" s="18"/>
      <c r="J177" s="18"/>
      <c r="K177" s="18"/>
      <c r="L177" s="18"/>
      <c r="M177" s="18"/>
      <c r="N177" s="18"/>
    </row>
    <row r="178" ht="15.75" customHeight="1">
      <c r="A178" s="18"/>
      <c r="B178" s="18"/>
      <c r="C178" s="18"/>
      <c r="D178" s="18"/>
      <c r="E178" s="59"/>
      <c r="F178" s="18"/>
      <c r="H178" s="18"/>
      <c r="I178" s="18"/>
      <c r="J178" s="18"/>
      <c r="K178" s="18"/>
      <c r="L178" s="18"/>
      <c r="M178" s="18"/>
      <c r="N178" s="18"/>
    </row>
    <row r="179" ht="15.75" customHeight="1">
      <c r="A179" s="18"/>
      <c r="B179" s="18"/>
      <c r="C179" s="18"/>
      <c r="D179" s="18"/>
      <c r="E179" s="59"/>
      <c r="F179" s="18"/>
      <c r="H179" s="18"/>
      <c r="I179" s="18"/>
      <c r="J179" s="18"/>
      <c r="K179" s="18"/>
      <c r="L179" s="18"/>
      <c r="M179" s="18"/>
      <c r="N179" s="18"/>
    </row>
    <row r="180" ht="15.75" customHeight="1">
      <c r="A180" s="18"/>
      <c r="B180" s="18"/>
      <c r="C180" s="18"/>
      <c r="D180" s="18"/>
      <c r="E180" s="59"/>
      <c r="F180" s="18"/>
      <c r="H180" s="18"/>
      <c r="I180" s="18"/>
      <c r="J180" s="18"/>
      <c r="K180" s="18"/>
      <c r="L180" s="18"/>
      <c r="M180" s="18"/>
      <c r="N180" s="18"/>
    </row>
    <row r="181" ht="15.75" customHeight="1">
      <c r="A181" s="18"/>
      <c r="B181" s="18"/>
      <c r="C181" s="18"/>
      <c r="D181" s="18"/>
      <c r="E181" s="59"/>
      <c r="F181" s="18"/>
      <c r="H181" s="18"/>
      <c r="I181" s="18"/>
      <c r="J181" s="18"/>
      <c r="K181" s="18"/>
      <c r="L181" s="18"/>
      <c r="M181" s="18"/>
      <c r="N181" s="18"/>
    </row>
    <row r="182" ht="15.75" customHeight="1">
      <c r="A182" s="18"/>
      <c r="B182" s="18"/>
      <c r="C182" s="18"/>
      <c r="D182" s="18"/>
      <c r="E182" s="59"/>
      <c r="F182" s="18"/>
      <c r="H182" s="18"/>
      <c r="I182" s="18"/>
      <c r="J182" s="18"/>
      <c r="K182" s="18"/>
      <c r="L182" s="18"/>
      <c r="M182" s="18"/>
      <c r="N182" s="18"/>
    </row>
    <row r="183" ht="15.75" customHeight="1">
      <c r="A183" s="18"/>
      <c r="B183" s="18"/>
      <c r="C183" s="18"/>
      <c r="D183" s="18"/>
      <c r="E183" s="59"/>
      <c r="F183" s="18"/>
      <c r="H183" s="18"/>
      <c r="I183" s="18"/>
      <c r="J183" s="18"/>
      <c r="K183" s="18"/>
      <c r="L183" s="18"/>
      <c r="M183" s="18"/>
      <c r="N183" s="18"/>
    </row>
    <row r="184" ht="15.75" customHeight="1">
      <c r="A184" s="18"/>
      <c r="B184" s="18"/>
      <c r="C184" s="18"/>
      <c r="D184" s="18"/>
      <c r="E184" s="59"/>
      <c r="F184" s="18"/>
      <c r="H184" s="18"/>
      <c r="I184" s="18"/>
      <c r="J184" s="18"/>
      <c r="K184" s="18"/>
      <c r="L184" s="18"/>
      <c r="M184" s="18"/>
      <c r="N184" s="18"/>
    </row>
    <row r="185" ht="15.75" customHeight="1">
      <c r="A185" s="18"/>
      <c r="B185" s="18"/>
      <c r="C185" s="18"/>
      <c r="D185" s="18"/>
      <c r="E185" s="59"/>
      <c r="F185" s="18"/>
      <c r="H185" s="18"/>
      <c r="I185" s="18"/>
      <c r="J185" s="18"/>
      <c r="K185" s="18"/>
      <c r="L185" s="18"/>
      <c r="M185" s="18"/>
      <c r="N185" s="18"/>
    </row>
    <row r="186" ht="15.75" customHeight="1">
      <c r="A186" s="18"/>
      <c r="B186" s="18"/>
      <c r="C186" s="18"/>
      <c r="D186" s="18"/>
      <c r="E186" s="59"/>
      <c r="F186" s="18"/>
      <c r="H186" s="18"/>
      <c r="I186" s="18"/>
      <c r="J186" s="18"/>
      <c r="K186" s="18"/>
      <c r="L186" s="18"/>
      <c r="M186" s="18"/>
      <c r="N186" s="18"/>
    </row>
    <row r="187" ht="15.75" customHeight="1">
      <c r="A187" s="18"/>
      <c r="B187" s="18"/>
      <c r="C187" s="18"/>
      <c r="D187" s="18"/>
      <c r="E187" s="59"/>
      <c r="F187" s="18"/>
      <c r="H187" s="18"/>
      <c r="I187" s="18"/>
      <c r="J187" s="18"/>
      <c r="K187" s="18"/>
      <c r="L187" s="18"/>
      <c r="M187" s="18"/>
      <c r="N187" s="18"/>
    </row>
    <row r="188" ht="15.75" customHeight="1">
      <c r="A188" s="18"/>
      <c r="B188" s="18"/>
      <c r="C188" s="18"/>
      <c r="D188" s="18"/>
      <c r="E188" s="59"/>
      <c r="F188" s="18"/>
      <c r="H188" s="18"/>
      <c r="I188" s="18"/>
      <c r="J188" s="18"/>
      <c r="K188" s="18"/>
      <c r="L188" s="18"/>
      <c r="M188" s="18"/>
      <c r="N188" s="18"/>
    </row>
    <row r="189" ht="15.75" customHeight="1">
      <c r="A189" s="18"/>
      <c r="B189" s="18"/>
      <c r="C189" s="18"/>
      <c r="D189" s="18"/>
      <c r="E189" s="59"/>
      <c r="F189" s="18"/>
      <c r="H189" s="18"/>
      <c r="I189" s="18"/>
      <c r="J189" s="18"/>
      <c r="K189" s="18"/>
      <c r="L189" s="18"/>
      <c r="M189" s="18"/>
      <c r="N189" s="18"/>
    </row>
    <row r="190" ht="15.75" customHeight="1">
      <c r="A190" s="18"/>
      <c r="B190" s="18"/>
      <c r="C190" s="18"/>
      <c r="D190" s="18"/>
      <c r="E190" s="59"/>
      <c r="F190" s="18"/>
      <c r="H190" s="18"/>
      <c r="I190" s="18"/>
      <c r="J190" s="18"/>
      <c r="K190" s="18"/>
      <c r="L190" s="18"/>
      <c r="M190" s="18"/>
      <c r="N190" s="18"/>
    </row>
    <row r="191" ht="15.75" customHeight="1">
      <c r="A191" s="18"/>
      <c r="B191" s="18"/>
      <c r="C191" s="18"/>
      <c r="D191" s="18"/>
      <c r="E191" s="59"/>
      <c r="F191" s="18"/>
      <c r="H191" s="18"/>
      <c r="I191" s="18"/>
      <c r="J191" s="18"/>
      <c r="K191" s="18"/>
      <c r="L191" s="18"/>
      <c r="M191" s="18"/>
      <c r="N191" s="18"/>
    </row>
    <row r="192" ht="15.75" customHeight="1">
      <c r="A192" s="18"/>
      <c r="B192" s="18"/>
      <c r="C192" s="18"/>
      <c r="D192" s="18"/>
      <c r="E192" s="59"/>
      <c r="F192" s="18"/>
      <c r="H192" s="18"/>
      <c r="I192" s="18"/>
      <c r="J192" s="18"/>
      <c r="K192" s="18"/>
      <c r="L192" s="18"/>
      <c r="M192" s="18"/>
      <c r="N192" s="18"/>
    </row>
    <row r="193" ht="15.75" customHeight="1">
      <c r="A193" s="18"/>
      <c r="B193" s="18"/>
      <c r="C193" s="18"/>
      <c r="D193" s="18"/>
      <c r="E193" s="59"/>
      <c r="F193" s="18"/>
      <c r="H193" s="18"/>
      <c r="I193" s="18"/>
      <c r="J193" s="18"/>
      <c r="K193" s="18"/>
      <c r="L193" s="18"/>
      <c r="M193" s="18"/>
      <c r="N193" s="18"/>
    </row>
    <row r="194" ht="15.75" customHeight="1">
      <c r="A194" s="18"/>
      <c r="B194" s="18"/>
      <c r="C194" s="18"/>
      <c r="D194" s="18"/>
      <c r="E194" s="59"/>
      <c r="F194" s="18"/>
      <c r="H194" s="18"/>
      <c r="I194" s="18"/>
      <c r="J194" s="18"/>
      <c r="K194" s="18"/>
      <c r="L194" s="18"/>
      <c r="M194" s="18"/>
      <c r="N194" s="18"/>
    </row>
    <row r="195" ht="15.75" customHeight="1">
      <c r="A195" s="18"/>
      <c r="B195" s="18"/>
      <c r="C195" s="18"/>
      <c r="D195" s="18"/>
      <c r="E195" s="59"/>
      <c r="F195" s="18"/>
      <c r="H195" s="18"/>
      <c r="I195" s="18"/>
      <c r="J195" s="18"/>
      <c r="K195" s="18"/>
      <c r="L195" s="18"/>
      <c r="M195" s="18"/>
      <c r="N195" s="18"/>
    </row>
    <row r="196" ht="15.75" customHeight="1">
      <c r="A196" s="18"/>
      <c r="B196" s="18"/>
      <c r="C196" s="18"/>
      <c r="D196" s="18"/>
      <c r="E196" s="59"/>
      <c r="F196" s="18"/>
      <c r="H196" s="18"/>
      <c r="I196" s="18"/>
      <c r="J196" s="18"/>
      <c r="K196" s="18"/>
      <c r="L196" s="18"/>
      <c r="M196" s="18"/>
      <c r="N196" s="18"/>
    </row>
    <row r="197" ht="15.75" customHeight="1">
      <c r="A197" s="18"/>
      <c r="B197" s="18"/>
      <c r="C197" s="18"/>
      <c r="D197" s="18"/>
      <c r="E197" s="59"/>
      <c r="F197" s="18"/>
      <c r="H197" s="18"/>
      <c r="I197" s="18"/>
      <c r="J197" s="18"/>
      <c r="K197" s="18"/>
      <c r="L197" s="18"/>
      <c r="M197" s="18"/>
      <c r="N197" s="18"/>
    </row>
    <row r="198" ht="15.75" customHeight="1">
      <c r="A198" s="18"/>
      <c r="B198" s="18"/>
      <c r="C198" s="18"/>
      <c r="D198" s="18"/>
      <c r="E198" s="59"/>
      <c r="F198" s="18"/>
      <c r="H198" s="18"/>
      <c r="I198" s="18"/>
      <c r="J198" s="18"/>
      <c r="K198" s="18"/>
      <c r="L198" s="18"/>
      <c r="M198" s="18"/>
      <c r="N198" s="18"/>
    </row>
    <row r="199" ht="15.75" customHeight="1">
      <c r="A199" s="18"/>
      <c r="B199" s="18"/>
      <c r="C199" s="18"/>
      <c r="D199" s="18"/>
      <c r="E199" s="59"/>
      <c r="F199" s="18"/>
      <c r="H199" s="18"/>
      <c r="I199" s="18"/>
      <c r="J199" s="18"/>
      <c r="K199" s="18"/>
      <c r="L199" s="18"/>
      <c r="M199" s="18"/>
      <c r="N199" s="18"/>
    </row>
    <row r="200" ht="15.75" customHeight="1">
      <c r="A200" s="18"/>
      <c r="B200" s="18"/>
      <c r="C200" s="18"/>
      <c r="D200" s="18"/>
      <c r="E200" s="59"/>
      <c r="F200" s="18"/>
      <c r="H200" s="18"/>
      <c r="I200" s="18"/>
      <c r="J200" s="18"/>
      <c r="K200" s="18"/>
      <c r="L200" s="18"/>
      <c r="M200" s="18"/>
      <c r="N200" s="18"/>
    </row>
    <row r="201" ht="15.75" customHeight="1">
      <c r="A201" s="18"/>
      <c r="B201" s="18"/>
      <c r="C201" s="18"/>
      <c r="D201" s="18"/>
      <c r="E201" s="59"/>
      <c r="F201" s="18"/>
      <c r="H201" s="18"/>
      <c r="I201" s="18"/>
      <c r="J201" s="18"/>
      <c r="K201" s="18"/>
      <c r="L201" s="18"/>
      <c r="M201" s="18"/>
      <c r="N201" s="18"/>
    </row>
    <row r="202" ht="15.75" customHeight="1">
      <c r="A202" s="18"/>
      <c r="B202" s="18"/>
      <c r="C202" s="18"/>
      <c r="D202" s="18"/>
      <c r="E202" s="59"/>
      <c r="F202" s="18"/>
      <c r="H202" s="18"/>
      <c r="I202" s="18"/>
      <c r="J202" s="18"/>
      <c r="K202" s="18"/>
      <c r="L202" s="18"/>
      <c r="M202" s="18"/>
      <c r="N202" s="18"/>
    </row>
    <row r="203" ht="15.75" customHeight="1">
      <c r="A203" s="18"/>
      <c r="B203" s="18"/>
      <c r="C203" s="18"/>
      <c r="D203" s="18"/>
      <c r="E203" s="59"/>
      <c r="F203" s="18"/>
      <c r="H203" s="18"/>
      <c r="I203" s="18"/>
      <c r="J203" s="18"/>
      <c r="K203" s="18"/>
      <c r="L203" s="18"/>
      <c r="M203" s="18"/>
      <c r="N203" s="18"/>
    </row>
    <row r="204" ht="15.75" customHeight="1">
      <c r="A204" s="18"/>
      <c r="B204" s="18"/>
      <c r="C204" s="18"/>
      <c r="D204" s="18"/>
      <c r="E204" s="59"/>
      <c r="F204" s="18"/>
      <c r="H204" s="18"/>
      <c r="I204" s="18"/>
      <c r="J204" s="18"/>
      <c r="K204" s="18"/>
      <c r="L204" s="18"/>
      <c r="M204" s="18"/>
      <c r="N204" s="18"/>
    </row>
    <row r="205" ht="15.75" customHeight="1">
      <c r="A205" s="18"/>
      <c r="B205" s="18"/>
      <c r="C205" s="18"/>
      <c r="D205" s="18"/>
      <c r="E205" s="59"/>
      <c r="F205" s="18"/>
      <c r="H205" s="18"/>
      <c r="I205" s="18"/>
      <c r="J205" s="18"/>
      <c r="K205" s="18"/>
      <c r="L205" s="18"/>
      <c r="M205" s="18"/>
      <c r="N205" s="18"/>
    </row>
    <row r="206" ht="15.75" customHeight="1">
      <c r="A206" s="18"/>
      <c r="B206" s="18"/>
      <c r="C206" s="18"/>
      <c r="D206" s="18"/>
      <c r="E206" s="59"/>
      <c r="F206" s="18"/>
      <c r="H206" s="18"/>
      <c r="I206" s="18"/>
      <c r="J206" s="18"/>
      <c r="K206" s="18"/>
      <c r="L206" s="18"/>
      <c r="M206" s="18"/>
      <c r="N206" s="18"/>
    </row>
    <row r="207" ht="15.75" customHeight="1">
      <c r="A207" s="18"/>
      <c r="B207" s="18"/>
      <c r="C207" s="18"/>
      <c r="D207" s="18"/>
      <c r="E207" s="59"/>
      <c r="F207" s="18"/>
      <c r="H207" s="18"/>
      <c r="I207" s="18"/>
      <c r="J207" s="18"/>
      <c r="K207" s="18"/>
      <c r="L207" s="18"/>
      <c r="M207" s="18"/>
      <c r="N207" s="18"/>
    </row>
    <row r="208" ht="15.75" customHeight="1">
      <c r="A208" s="18"/>
      <c r="B208" s="18"/>
      <c r="C208" s="18"/>
      <c r="D208" s="18"/>
      <c r="E208" s="59"/>
      <c r="F208" s="18"/>
      <c r="H208" s="18"/>
      <c r="I208" s="18"/>
      <c r="J208" s="18"/>
      <c r="K208" s="18"/>
      <c r="L208" s="18"/>
      <c r="M208" s="18"/>
      <c r="N208" s="18"/>
    </row>
    <row r="209" ht="15.75" customHeight="1">
      <c r="A209" s="18"/>
      <c r="B209" s="18"/>
      <c r="C209" s="18"/>
      <c r="D209" s="18"/>
      <c r="E209" s="59"/>
      <c r="F209" s="18"/>
      <c r="H209" s="18"/>
      <c r="I209" s="18"/>
      <c r="J209" s="18"/>
      <c r="K209" s="18"/>
      <c r="L209" s="18"/>
      <c r="M209" s="18"/>
      <c r="N209" s="18"/>
    </row>
    <row r="210" ht="15.75" customHeight="1">
      <c r="A210" s="18"/>
      <c r="B210" s="18"/>
      <c r="C210" s="18"/>
      <c r="D210" s="18"/>
      <c r="E210" s="59"/>
      <c r="F210" s="18"/>
      <c r="H210" s="18"/>
      <c r="I210" s="18"/>
      <c r="J210" s="18"/>
      <c r="K210" s="18"/>
      <c r="L210" s="18"/>
      <c r="M210" s="18"/>
      <c r="N210" s="18"/>
    </row>
    <row r="211" ht="15.75" customHeight="1">
      <c r="A211" s="18"/>
      <c r="B211" s="18"/>
      <c r="C211" s="18"/>
      <c r="D211" s="18"/>
      <c r="E211" s="59"/>
      <c r="F211" s="18"/>
      <c r="H211" s="18"/>
      <c r="I211" s="18"/>
      <c r="J211" s="18"/>
      <c r="K211" s="18"/>
      <c r="L211" s="18"/>
      <c r="M211" s="18"/>
      <c r="N211" s="18"/>
    </row>
    <row r="212" ht="15.75" customHeight="1">
      <c r="A212" s="18"/>
      <c r="B212" s="18"/>
      <c r="C212" s="18"/>
      <c r="D212" s="18"/>
      <c r="E212" s="59"/>
      <c r="F212" s="18"/>
      <c r="H212" s="18"/>
      <c r="I212" s="18"/>
      <c r="J212" s="18"/>
      <c r="K212" s="18"/>
      <c r="L212" s="18"/>
      <c r="M212" s="18"/>
      <c r="N212" s="18"/>
    </row>
    <row r="213" ht="15.75" customHeight="1">
      <c r="A213" s="18"/>
      <c r="B213" s="18"/>
      <c r="C213" s="18"/>
      <c r="D213" s="18"/>
      <c r="E213" s="59"/>
      <c r="F213" s="18"/>
      <c r="H213" s="18"/>
      <c r="I213" s="18"/>
      <c r="J213" s="18"/>
      <c r="K213" s="18"/>
      <c r="L213" s="18"/>
      <c r="M213" s="18"/>
      <c r="N213" s="18"/>
    </row>
    <row r="214" ht="15.75" customHeight="1">
      <c r="A214" s="18"/>
      <c r="B214" s="18"/>
      <c r="C214" s="18"/>
      <c r="D214" s="18"/>
      <c r="E214" s="59"/>
      <c r="F214" s="18"/>
      <c r="H214" s="18"/>
      <c r="I214" s="18"/>
      <c r="J214" s="18"/>
      <c r="K214" s="18"/>
      <c r="L214" s="18"/>
      <c r="M214" s="18"/>
      <c r="N214" s="18"/>
    </row>
    <row r="215" ht="15.75" customHeight="1">
      <c r="A215" s="18"/>
      <c r="B215" s="18"/>
      <c r="C215" s="18"/>
      <c r="D215" s="18"/>
      <c r="E215" s="59"/>
      <c r="F215" s="18"/>
      <c r="H215" s="18"/>
      <c r="I215" s="18"/>
      <c r="J215" s="18"/>
      <c r="K215" s="18"/>
      <c r="L215" s="18"/>
      <c r="M215" s="18"/>
      <c r="N215" s="18"/>
    </row>
    <row r="216" ht="15.75" customHeight="1">
      <c r="A216" s="18"/>
      <c r="B216" s="18"/>
      <c r="C216" s="18"/>
      <c r="D216" s="18"/>
      <c r="E216" s="59"/>
      <c r="F216" s="18"/>
      <c r="H216" s="18"/>
      <c r="I216" s="18"/>
      <c r="J216" s="18"/>
      <c r="K216" s="18"/>
      <c r="L216" s="18"/>
      <c r="M216" s="18"/>
      <c r="N216" s="18"/>
    </row>
    <row r="217" ht="15.75" customHeight="1">
      <c r="A217" s="18"/>
      <c r="B217" s="18"/>
      <c r="C217" s="18"/>
      <c r="D217" s="18"/>
      <c r="E217" s="59"/>
      <c r="F217" s="18"/>
      <c r="H217" s="18"/>
      <c r="I217" s="18"/>
      <c r="J217" s="18"/>
      <c r="K217" s="18"/>
      <c r="L217" s="18"/>
      <c r="M217" s="18"/>
      <c r="N217" s="18"/>
    </row>
    <row r="218" ht="15.75" customHeight="1">
      <c r="A218" s="18"/>
      <c r="B218" s="18"/>
      <c r="C218" s="18"/>
      <c r="D218" s="18"/>
      <c r="E218" s="59"/>
      <c r="F218" s="18"/>
      <c r="H218" s="18"/>
      <c r="I218" s="18"/>
      <c r="J218" s="18"/>
      <c r="K218" s="18"/>
      <c r="L218" s="18"/>
      <c r="M218" s="18"/>
      <c r="N218" s="18"/>
    </row>
    <row r="219" ht="15.75" customHeight="1">
      <c r="A219" s="18"/>
      <c r="B219" s="18"/>
      <c r="C219" s="18"/>
      <c r="D219" s="18"/>
      <c r="E219" s="59"/>
      <c r="F219" s="18"/>
      <c r="H219" s="18"/>
      <c r="I219" s="18"/>
      <c r="J219" s="18"/>
      <c r="K219" s="18"/>
      <c r="L219" s="18"/>
      <c r="M219" s="18"/>
      <c r="N219" s="18"/>
    </row>
    <row r="220" ht="15.75" customHeight="1">
      <c r="A220" s="18"/>
      <c r="B220" s="18"/>
      <c r="C220" s="18"/>
      <c r="D220" s="18"/>
      <c r="E220" s="59"/>
      <c r="F220" s="18"/>
      <c r="H220" s="18"/>
      <c r="I220" s="18"/>
      <c r="J220" s="18"/>
      <c r="K220" s="18"/>
      <c r="L220" s="18"/>
      <c r="M220" s="18"/>
      <c r="N220" s="18"/>
    </row>
    <row r="221" ht="15.75" customHeight="1">
      <c r="A221" s="18"/>
      <c r="B221" s="18"/>
      <c r="C221" s="18"/>
      <c r="D221" s="18"/>
      <c r="E221" s="59"/>
      <c r="F221" s="18"/>
      <c r="H221" s="18"/>
      <c r="I221" s="18"/>
      <c r="J221" s="18"/>
      <c r="K221" s="18"/>
      <c r="L221" s="18"/>
      <c r="M221" s="18"/>
      <c r="N221" s="18"/>
    </row>
    <row r="222" ht="15.75" customHeight="1">
      <c r="A222" s="18"/>
      <c r="B222" s="18"/>
      <c r="C222" s="18"/>
      <c r="D222" s="18"/>
      <c r="E222" s="59"/>
      <c r="F222" s="18"/>
      <c r="H222" s="18"/>
      <c r="I222" s="18"/>
      <c r="J222" s="18"/>
      <c r="K222" s="18"/>
      <c r="L222" s="18"/>
      <c r="M222" s="18"/>
      <c r="N222" s="18"/>
    </row>
    <row r="223" ht="15.75" customHeight="1">
      <c r="A223" s="18"/>
      <c r="B223" s="18"/>
      <c r="C223" s="18"/>
      <c r="D223" s="18"/>
      <c r="E223" s="59"/>
      <c r="F223" s="18"/>
      <c r="H223" s="18"/>
      <c r="I223" s="18"/>
      <c r="J223" s="18"/>
      <c r="K223" s="18"/>
      <c r="L223" s="18"/>
      <c r="M223" s="18"/>
      <c r="N223" s="18"/>
    </row>
    <row r="224" ht="15.75" customHeight="1">
      <c r="A224" s="18"/>
      <c r="B224" s="18"/>
      <c r="C224" s="18"/>
      <c r="D224" s="18"/>
      <c r="E224" s="59"/>
      <c r="F224" s="18"/>
      <c r="H224" s="18"/>
      <c r="I224" s="18"/>
      <c r="J224" s="18"/>
      <c r="K224" s="18"/>
      <c r="L224" s="18"/>
      <c r="M224" s="18"/>
      <c r="N224" s="18"/>
    </row>
    <row r="225" ht="15.75" customHeight="1">
      <c r="A225" s="18"/>
      <c r="B225" s="18"/>
      <c r="C225" s="18"/>
      <c r="D225" s="18"/>
      <c r="E225" s="59"/>
      <c r="F225" s="18"/>
      <c r="H225" s="18"/>
      <c r="I225" s="18"/>
      <c r="J225" s="18"/>
      <c r="K225" s="18"/>
      <c r="L225" s="18"/>
      <c r="M225" s="18"/>
      <c r="N225" s="18"/>
    </row>
    <row r="226" ht="15.75" customHeight="1">
      <c r="A226" s="18"/>
      <c r="B226" s="18"/>
      <c r="C226" s="18"/>
      <c r="D226" s="18"/>
      <c r="E226" s="59"/>
      <c r="F226" s="18"/>
      <c r="H226" s="18"/>
      <c r="I226" s="18"/>
      <c r="J226" s="18"/>
      <c r="K226" s="18"/>
      <c r="L226" s="18"/>
      <c r="M226" s="18"/>
      <c r="N226" s="18"/>
    </row>
    <row r="227" ht="15.75" customHeight="1">
      <c r="A227" s="18"/>
      <c r="B227" s="18"/>
      <c r="C227" s="18"/>
      <c r="D227" s="18"/>
      <c r="E227" s="59"/>
      <c r="F227" s="18"/>
      <c r="H227" s="18"/>
      <c r="I227" s="18"/>
      <c r="J227" s="18"/>
      <c r="K227" s="18"/>
      <c r="L227" s="18"/>
      <c r="M227" s="18"/>
      <c r="N227" s="18"/>
    </row>
    <row r="228" ht="15.75" customHeight="1">
      <c r="A228" s="18"/>
      <c r="B228" s="18"/>
      <c r="C228" s="18"/>
      <c r="D228" s="18"/>
      <c r="E228" s="59"/>
      <c r="F228" s="18"/>
      <c r="H228" s="18"/>
      <c r="I228" s="18"/>
      <c r="J228" s="18"/>
      <c r="K228" s="18"/>
      <c r="L228" s="18"/>
      <c r="M228" s="18"/>
      <c r="N228" s="18"/>
    </row>
    <row r="229" ht="15.75" customHeight="1">
      <c r="A229" s="18"/>
      <c r="B229" s="18"/>
      <c r="C229" s="18"/>
      <c r="D229" s="18"/>
      <c r="E229" s="59"/>
      <c r="F229" s="18"/>
      <c r="H229" s="18"/>
      <c r="I229" s="18"/>
      <c r="J229" s="18"/>
      <c r="K229" s="18"/>
      <c r="L229" s="18"/>
      <c r="M229" s="18"/>
      <c r="N229" s="18"/>
    </row>
    <row r="230" ht="15.75" customHeight="1">
      <c r="A230" s="18"/>
      <c r="B230" s="18"/>
      <c r="C230" s="18"/>
      <c r="D230" s="18"/>
      <c r="E230" s="59"/>
      <c r="F230" s="18"/>
      <c r="H230" s="18"/>
      <c r="I230" s="18"/>
      <c r="J230" s="18"/>
      <c r="K230" s="18"/>
      <c r="L230" s="18"/>
      <c r="M230" s="18"/>
      <c r="N230" s="18"/>
    </row>
    <row r="231" ht="15.75" customHeight="1">
      <c r="A231" s="18"/>
      <c r="B231" s="18"/>
      <c r="C231" s="18"/>
      <c r="D231" s="18"/>
      <c r="E231" s="59"/>
      <c r="F231" s="18"/>
      <c r="H231" s="18"/>
      <c r="I231" s="18"/>
      <c r="J231" s="18"/>
      <c r="K231" s="18"/>
      <c r="L231" s="18"/>
      <c r="M231" s="18"/>
      <c r="N231" s="18"/>
    </row>
    <row r="232" ht="15.75" customHeight="1">
      <c r="A232" s="18"/>
      <c r="B232" s="18"/>
      <c r="C232" s="18"/>
      <c r="D232" s="18"/>
      <c r="E232" s="59"/>
      <c r="F232" s="18"/>
      <c r="H232" s="18"/>
      <c r="I232" s="18"/>
      <c r="J232" s="18"/>
      <c r="K232" s="18"/>
      <c r="L232" s="18"/>
      <c r="M232" s="18"/>
      <c r="N232" s="18"/>
    </row>
    <row r="233" ht="15.75" customHeight="1">
      <c r="A233" s="18"/>
      <c r="B233" s="18"/>
      <c r="C233" s="18"/>
      <c r="D233" s="18"/>
      <c r="E233" s="59"/>
      <c r="F233" s="18"/>
      <c r="H233" s="18"/>
      <c r="I233" s="18"/>
      <c r="J233" s="18"/>
      <c r="K233" s="18"/>
      <c r="L233" s="18"/>
      <c r="M233" s="18"/>
      <c r="N233" s="18"/>
    </row>
    <row r="234" ht="15.75" customHeight="1">
      <c r="A234" s="18"/>
      <c r="B234" s="18"/>
      <c r="C234" s="18"/>
      <c r="D234" s="18"/>
      <c r="E234" s="59"/>
      <c r="F234" s="18"/>
      <c r="H234" s="18"/>
      <c r="I234" s="18"/>
      <c r="J234" s="18"/>
      <c r="K234" s="18"/>
      <c r="L234" s="18"/>
      <c r="M234" s="18"/>
      <c r="N234" s="18"/>
    </row>
    <row r="235" ht="15.75" customHeight="1">
      <c r="A235" s="18"/>
      <c r="B235" s="18"/>
      <c r="C235" s="18"/>
      <c r="D235" s="18"/>
      <c r="E235" s="59"/>
      <c r="F235" s="18"/>
      <c r="H235" s="18"/>
      <c r="I235" s="18"/>
      <c r="J235" s="18"/>
      <c r="K235" s="18"/>
      <c r="L235" s="18"/>
      <c r="M235" s="18"/>
      <c r="N235" s="18"/>
    </row>
    <row r="236" ht="15.75" customHeight="1">
      <c r="A236" s="18"/>
      <c r="B236" s="18"/>
      <c r="C236" s="18"/>
      <c r="D236" s="18"/>
      <c r="E236" s="59"/>
      <c r="F236" s="18"/>
      <c r="H236" s="18"/>
      <c r="I236" s="18"/>
      <c r="J236" s="18"/>
      <c r="K236" s="18"/>
      <c r="L236" s="18"/>
      <c r="M236" s="18"/>
      <c r="N236" s="18"/>
    </row>
    <row r="237" ht="15.75" customHeight="1">
      <c r="A237" s="18"/>
      <c r="B237" s="18"/>
      <c r="C237" s="18"/>
      <c r="D237" s="18"/>
      <c r="E237" s="59"/>
      <c r="F237" s="18"/>
      <c r="H237" s="18"/>
      <c r="I237" s="18"/>
      <c r="J237" s="18"/>
      <c r="K237" s="18"/>
      <c r="L237" s="18"/>
      <c r="M237" s="18"/>
      <c r="N237" s="18"/>
    </row>
    <row r="238" ht="15.75" customHeight="1">
      <c r="A238" s="18"/>
      <c r="B238" s="18"/>
      <c r="C238" s="18"/>
      <c r="D238" s="18"/>
      <c r="E238" s="59"/>
      <c r="F238" s="18"/>
      <c r="H238" s="18"/>
      <c r="I238" s="18"/>
      <c r="J238" s="18"/>
      <c r="K238" s="18"/>
      <c r="L238" s="18"/>
      <c r="M238" s="18"/>
      <c r="N238" s="18"/>
    </row>
    <row r="239" ht="15.75" customHeight="1">
      <c r="A239" s="18"/>
      <c r="B239" s="18"/>
      <c r="C239" s="18"/>
      <c r="D239" s="18"/>
      <c r="E239" s="59"/>
      <c r="F239" s="18"/>
      <c r="H239" s="18"/>
      <c r="I239" s="18"/>
      <c r="J239" s="18"/>
      <c r="K239" s="18"/>
      <c r="L239" s="18"/>
      <c r="M239" s="18"/>
      <c r="N239" s="18"/>
    </row>
    <row r="240" ht="15.75" customHeight="1">
      <c r="A240" s="18"/>
      <c r="B240" s="18"/>
      <c r="C240" s="18"/>
      <c r="D240" s="18"/>
      <c r="E240" s="59"/>
      <c r="F240" s="18"/>
      <c r="H240" s="18"/>
      <c r="I240" s="18"/>
      <c r="J240" s="18"/>
      <c r="K240" s="18"/>
      <c r="L240" s="18"/>
      <c r="M240" s="18"/>
      <c r="N240" s="18"/>
    </row>
    <row r="241" ht="15.75" customHeight="1">
      <c r="A241" s="18"/>
      <c r="B241" s="18"/>
      <c r="C241" s="18"/>
      <c r="D241" s="18"/>
      <c r="E241" s="59"/>
      <c r="F241" s="18"/>
      <c r="H241" s="18"/>
      <c r="I241" s="18"/>
      <c r="J241" s="18"/>
      <c r="K241" s="18"/>
      <c r="L241" s="18"/>
      <c r="M241" s="18"/>
      <c r="N241" s="18"/>
    </row>
    <row r="242" ht="15.75" customHeight="1">
      <c r="A242" s="18"/>
      <c r="B242" s="18"/>
      <c r="C242" s="18"/>
      <c r="D242" s="18"/>
      <c r="E242" s="59"/>
      <c r="F242" s="18"/>
      <c r="H242" s="18"/>
      <c r="I242" s="18"/>
      <c r="J242" s="18"/>
      <c r="K242" s="18"/>
      <c r="L242" s="18"/>
      <c r="M242" s="18"/>
      <c r="N242" s="18"/>
    </row>
    <row r="243" ht="15.75" customHeight="1">
      <c r="A243" s="18"/>
      <c r="B243" s="18"/>
      <c r="C243" s="18"/>
      <c r="D243" s="18"/>
      <c r="E243" s="59"/>
      <c r="F243" s="18"/>
      <c r="H243" s="18"/>
      <c r="I243" s="18"/>
      <c r="J243" s="18"/>
      <c r="K243" s="18"/>
      <c r="L243" s="18"/>
      <c r="M243" s="18"/>
      <c r="N243" s="18"/>
    </row>
    <row r="244" ht="15.75" customHeight="1">
      <c r="A244" s="18"/>
      <c r="B244" s="18"/>
      <c r="C244" s="18"/>
      <c r="D244" s="18"/>
      <c r="E244" s="59"/>
      <c r="F244" s="18"/>
      <c r="H244" s="18"/>
      <c r="I244" s="18"/>
      <c r="J244" s="18"/>
      <c r="K244" s="18"/>
      <c r="L244" s="18"/>
      <c r="M244" s="18"/>
      <c r="N244" s="1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000">
    <sortState ref="A1:N1000">
      <sortCondition ref="A1:A1000"/>
      <sortCondition ref="B1:B100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9.25"/>
    <col customWidth="1" min="3" max="3" width="8.75"/>
    <col customWidth="1" min="4" max="4" width="13.0"/>
    <col customWidth="1" min="5" max="5" width="12.0"/>
    <col customWidth="1" min="6" max="6" width="10.25"/>
    <col customWidth="1" min="10" max="10" width="8.38"/>
    <col customWidth="1" min="11" max="11" width="2.88"/>
    <col customWidth="1" min="12" max="12" width="3.63"/>
  </cols>
  <sheetData>
    <row r="1" ht="15.75" customHeight="1">
      <c r="A1" s="1" t="s">
        <v>236</v>
      </c>
      <c r="B1" s="1" t="s">
        <v>237</v>
      </c>
      <c r="C1" s="1" t="s">
        <v>202</v>
      </c>
      <c r="D1" s="1" t="s">
        <v>238</v>
      </c>
      <c r="E1" s="1" t="s">
        <v>239</v>
      </c>
      <c r="F1" s="1" t="s">
        <v>240</v>
      </c>
      <c r="G1" s="1" t="s">
        <v>241</v>
      </c>
      <c r="H1" s="1"/>
      <c r="I1" s="1"/>
      <c r="J1" s="1"/>
      <c r="K1" s="1"/>
      <c r="L1" s="1"/>
      <c r="M1" s="150" t="s">
        <v>242</v>
      </c>
      <c r="N1" s="151" t="s">
        <v>243</v>
      </c>
    </row>
    <row r="2" ht="15.75" customHeight="1">
      <c r="A2" s="5" t="s">
        <v>43</v>
      </c>
      <c r="B2" s="18" t="s">
        <v>17</v>
      </c>
      <c r="C2" s="18">
        <f t="shared" ref="C2:C12" si="1">$L$3</f>
        <v>198</v>
      </c>
      <c r="D2" s="5"/>
      <c r="E2" s="18">
        <f t="shared" ref="E2:E145" si="2">$N$2-C2</f>
        <v>402</v>
      </c>
      <c r="F2" s="23" t="s">
        <v>244</v>
      </c>
      <c r="G2" s="23" t="s">
        <v>244</v>
      </c>
      <c r="H2" s="152" t="s">
        <v>240</v>
      </c>
      <c r="I2" s="153" t="s">
        <v>245</v>
      </c>
      <c r="J2" s="154" t="s">
        <v>246</v>
      </c>
      <c r="K2" s="155" t="s">
        <v>18</v>
      </c>
      <c r="L2" s="156">
        <f t="shared" ref="L2:L8" si="3">$N$2*M2</f>
        <v>198</v>
      </c>
      <c r="M2" s="157">
        <v>0.33</v>
      </c>
      <c r="N2" s="158">
        <v>600.0</v>
      </c>
    </row>
    <row r="3" ht="15.75" customHeight="1">
      <c r="A3" s="5" t="s">
        <v>46</v>
      </c>
      <c r="B3" s="18" t="s">
        <v>17</v>
      </c>
      <c r="C3" s="18">
        <f t="shared" si="1"/>
        <v>198</v>
      </c>
      <c r="D3" s="5"/>
      <c r="E3" s="18">
        <f t="shared" si="2"/>
        <v>402</v>
      </c>
      <c r="F3" s="23" t="s">
        <v>244</v>
      </c>
      <c r="G3" s="23" t="s">
        <v>244</v>
      </c>
      <c r="H3" s="159">
        <v>1.0</v>
      </c>
      <c r="I3" s="160" t="s">
        <v>247</v>
      </c>
      <c r="J3" s="161"/>
      <c r="K3" s="162" t="s">
        <v>17</v>
      </c>
      <c r="L3" s="163">
        <f t="shared" si="3"/>
        <v>198</v>
      </c>
      <c r="M3" s="157">
        <v>0.33</v>
      </c>
    </row>
    <row r="4" ht="15.75" customHeight="1">
      <c r="A4" s="5" t="s">
        <v>73</v>
      </c>
      <c r="B4" s="18" t="s">
        <v>17</v>
      </c>
      <c r="C4" s="18">
        <f t="shared" si="1"/>
        <v>198</v>
      </c>
      <c r="D4" s="5"/>
      <c r="E4" s="18">
        <f t="shared" si="2"/>
        <v>402</v>
      </c>
      <c r="F4" s="23" t="s">
        <v>244</v>
      </c>
      <c r="G4" s="23" t="s">
        <v>244</v>
      </c>
      <c r="H4" s="159">
        <v>2.0</v>
      </c>
      <c r="I4" s="160" t="s">
        <v>247</v>
      </c>
      <c r="J4" s="161"/>
      <c r="K4" s="162" t="s">
        <v>16</v>
      </c>
      <c r="L4" s="163">
        <f t="shared" si="3"/>
        <v>150</v>
      </c>
      <c r="M4" s="157">
        <v>0.25</v>
      </c>
    </row>
    <row r="5" ht="15.75" customHeight="1">
      <c r="A5" s="5" t="s">
        <v>84</v>
      </c>
      <c r="B5" s="18" t="s">
        <v>17</v>
      </c>
      <c r="C5" s="18">
        <f t="shared" si="1"/>
        <v>198</v>
      </c>
      <c r="D5" s="5"/>
      <c r="E5" s="18">
        <f t="shared" si="2"/>
        <v>402</v>
      </c>
      <c r="F5" s="23" t="s">
        <v>244</v>
      </c>
      <c r="G5" s="23" t="s">
        <v>248</v>
      </c>
      <c r="H5" s="159">
        <v>3.0</v>
      </c>
      <c r="I5" s="160" t="s">
        <v>247</v>
      </c>
      <c r="J5" s="161"/>
      <c r="K5" s="162" t="s">
        <v>28</v>
      </c>
      <c r="L5" s="163">
        <f t="shared" si="3"/>
        <v>60</v>
      </c>
      <c r="M5" s="164">
        <v>0.1</v>
      </c>
    </row>
    <row r="6" ht="15.75" customHeight="1">
      <c r="A6" s="5" t="s">
        <v>144</v>
      </c>
      <c r="B6" s="18" t="s">
        <v>17</v>
      </c>
      <c r="C6" s="18">
        <f t="shared" si="1"/>
        <v>198</v>
      </c>
      <c r="D6" s="5"/>
      <c r="E6" s="18">
        <f t="shared" si="2"/>
        <v>402</v>
      </c>
      <c r="F6" s="23" t="s">
        <v>244</v>
      </c>
      <c r="G6" s="23" t="s">
        <v>248</v>
      </c>
      <c r="H6" s="165">
        <v>4.0</v>
      </c>
      <c r="I6" s="166" t="s">
        <v>247</v>
      </c>
      <c r="J6" s="161"/>
      <c r="K6" s="162" t="s">
        <v>23</v>
      </c>
      <c r="L6" s="163">
        <f t="shared" si="3"/>
        <v>60</v>
      </c>
      <c r="M6" s="164">
        <v>0.1</v>
      </c>
    </row>
    <row r="7" ht="15.75" customHeight="1">
      <c r="A7" s="5" t="s">
        <v>169</v>
      </c>
      <c r="B7" s="18" t="s">
        <v>17</v>
      </c>
      <c r="C7" s="18">
        <f t="shared" si="1"/>
        <v>198</v>
      </c>
      <c r="D7" s="5"/>
      <c r="E7" s="18">
        <f t="shared" si="2"/>
        <v>402</v>
      </c>
      <c r="F7" s="23" t="s">
        <v>244</v>
      </c>
      <c r="G7" s="23" t="s">
        <v>248</v>
      </c>
      <c r="J7" s="161"/>
      <c r="K7" s="162" t="s">
        <v>25</v>
      </c>
      <c r="L7" s="163">
        <f t="shared" si="3"/>
        <v>30</v>
      </c>
      <c r="M7" s="157">
        <v>0.05</v>
      </c>
    </row>
    <row r="8" ht="15.75" customHeight="1">
      <c r="A8" s="5" t="s">
        <v>31</v>
      </c>
      <c r="B8" s="18" t="s">
        <v>17</v>
      </c>
      <c r="C8" s="18">
        <f t="shared" si="1"/>
        <v>198</v>
      </c>
      <c r="D8" s="5"/>
      <c r="E8" s="18">
        <f t="shared" si="2"/>
        <v>402</v>
      </c>
      <c r="F8" s="23" t="s">
        <v>244</v>
      </c>
      <c r="G8" s="23" t="s">
        <v>244</v>
      </c>
      <c r="J8" s="167"/>
      <c r="K8" s="168" t="s">
        <v>66</v>
      </c>
      <c r="L8" s="169">
        <f t="shared" si="3"/>
        <v>30</v>
      </c>
      <c r="M8" s="170">
        <v>0.05</v>
      </c>
    </row>
    <row r="9" ht="15.75" customHeight="1">
      <c r="A9" s="5" t="s">
        <v>61</v>
      </c>
      <c r="B9" s="18" t="s">
        <v>17</v>
      </c>
      <c r="C9" s="18">
        <f t="shared" si="1"/>
        <v>198</v>
      </c>
      <c r="D9" s="5"/>
      <c r="E9" s="18">
        <f t="shared" si="2"/>
        <v>402</v>
      </c>
      <c r="F9" s="23" t="s">
        <v>244</v>
      </c>
      <c r="G9" s="23" t="s">
        <v>249</v>
      </c>
      <c r="K9" s="18"/>
      <c r="L9" s="18"/>
    </row>
    <row r="10" ht="15.75" customHeight="1">
      <c r="A10" s="5" t="s">
        <v>115</v>
      </c>
      <c r="B10" s="18" t="s">
        <v>17</v>
      </c>
      <c r="C10" s="18">
        <f t="shared" si="1"/>
        <v>198</v>
      </c>
      <c r="D10" s="5"/>
      <c r="E10" s="18">
        <f t="shared" si="2"/>
        <v>402</v>
      </c>
      <c r="F10" s="23" t="s">
        <v>244</v>
      </c>
      <c r="G10" s="23" t="s">
        <v>249</v>
      </c>
      <c r="K10" s="18"/>
      <c r="L10" s="18"/>
    </row>
    <row r="11" ht="15.75" customHeight="1">
      <c r="A11" s="5" t="s">
        <v>136</v>
      </c>
      <c r="B11" s="18" t="s">
        <v>17</v>
      </c>
      <c r="C11" s="18">
        <f t="shared" si="1"/>
        <v>198</v>
      </c>
      <c r="D11" s="5"/>
      <c r="E11" s="18">
        <f t="shared" si="2"/>
        <v>402</v>
      </c>
      <c r="F11" s="23" t="s">
        <v>244</v>
      </c>
      <c r="G11" s="23" t="s">
        <v>248</v>
      </c>
      <c r="K11" s="18"/>
      <c r="L11" s="18"/>
    </row>
    <row r="12" ht="15.75" customHeight="1">
      <c r="A12" s="5" t="s">
        <v>168</v>
      </c>
      <c r="B12" s="18" t="s">
        <v>17</v>
      </c>
      <c r="C12" s="18">
        <f t="shared" si="1"/>
        <v>198</v>
      </c>
      <c r="D12" s="5"/>
      <c r="E12" s="18">
        <f t="shared" si="2"/>
        <v>402</v>
      </c>
      <c r="F12" s="23" t="s">
        <v>244</v>
      </c>
      <c r="G12" s="23" t="s">
        <v>249</v>
      </c>
      <c r="J12" s="23" t="s">
        <v>250</v>
      </c>
      <c r="K12" s="18"/>
      <c r="L12" s="18"/>
    </row>
    <row r="13" ht="15.75" customHeight="1">
      <c r="A13" s="5" t="s">
        <v>15</v>
      </c>
      <c r="B13" s="18" t="s">
        <v>18</v>
      </c>
      <c r="C13" s="18">
        <f t="shared" ref="C13:C14" si="4">$L$2</f>
        <v>198</v>
      </c>
      <c r="D13" s="5"/>
      <c r="E13" s="18">
        <f t="shared" si="2"/>
        <v>402</v>
      </c>
      <c r="F13" s="23" t="s">
        <v>244</v>
      </c>
      <c r="G13" s="23" t="s">
        <v>251</v>
      </c>
      <c r="K13" s="18"/>
      <c r="L13" s="18"/>
    </row>
    <row r="14" ht="15.75" customHeight="1">
      <c r="A14" s="5" t="s">
        <v>60</v>
      </c>
      <c r="B14" s="18" t="s">
        <v>18</v>
      </c>
      <c r="C14" s="18">
        <f t="shared" si="4"/>
        <v>198</v>
      </c>
      <c r="D14" s="5"/>
      <c r="E14" s="18">
        <f t="shared" si="2"/>
        <v>402</v>
      </c>
      <c r="F14" s="23" t="s">
        <v>244</v>
      </c>
      <c r="G14" s="23" t="s">
        <v>251</v>
      </c>
      <c r="K14" s="18"/>
      <c r="L14" s="18"/>
    </row>
    <row r="15" ht="15.75" customHeight="1">
      <c r="A15" s="5" t="s">
        <v>164</v>
      </c>
      <c r="B15" s="18" t="s">
        <v>16</v>
      </c>
      <c r="C15" s="18">
        <f t="shared" ref="C15:C25" si="5">$L$4</f>
        <v>150</v>
      </c>
      <c r="D15" s="5"/>
      <c r="E15" s="18">
        <f t="shared" si="2"/>
        <v>450</v>
      </c>
      <c r="F15" s="23" t="s">
        <v>248</v>
      </c>
      <c r="G15" s="23" t="s">
        <v>244</v>
      </c>
      <c r="K15" s="18"/>
      <c r="L15" s="18"/>
    </row>
    <row r="16" ht="15.75" customHeight="1">
      <c r="A16" s="5" t="s">
        <v>42</v>
      </c>
      <c r="B16" s="18" t="s">
        <v>16</v>
      </c>
      <c r="C16" s="18">
        <f t="shared" si="5"/>
        <v>150</v>
      </c>
      <c r="D16" s="5"/>
      <c r="E16" s="18">
        <f t="shared" si="2"/>
        <v>450</v>
      </c>
      <c r="F16" s="23" t="s">
        <v>248</v>
      </c>
      <c r="G16" s="23" t="s">
        <v>248</v>
      </c>
      <c r="K16" s="18"/>
      <c r="L16" s="18"/>
    </row>
    <row r="17" ht="15.75" customHeight="1">
      <c r="A17" s="5" t="s">
        <v>45</v>
      </c>
      <c r="B17" s="18" t="s">
        <v>16</v>
      </c>
      <c r="C17" s="18">
        <f t="shared" si="5"/>
        <v>150</v>
      </c>
      <c r="D17" s="5"/>
      <c r="E17" s="18">
        <f t="shared" si="2"/>
        <v>450</v>
      </c>
      <c r="F17" s="23" t="s">
        <v>248</v>
      </c>
      <c r="G17" s="23" t="s">
        <v>249</v>
      </c>
      <c r="K17" s="18"/>
      <c r="L17" s="18"/>
    </row>
    <row r="18" ht="15.75" customHeight="1">
      <c r="A18" s="5" t="s">
        <v>53</v>
      </c>
      <c r="B18" s="18" t="s">
        <v>16</v>
      </c>
      <c r="C18" s="18">
        <f t="shared" si="5"/>
        <v>150</v>
      </c>
      <c r="D18" s="5"/>
      <c r="E18" s="18">
        <f t="shared" si="2"/>
        <v>450</v>
      </c>
      <c r="F18" s="23" t="s">
        <v>248</v>
      </c>
      <c r="G18" s="23" t="s">
        <v>251</v>
      </c>
      <c r="K18" s="18"/>
      <c r="L18" s="18"/>
    </row>
    <row r="19" ht="15.75" customHeight="1">
      <c r="A19" s="5" t="s">
        <v>80</v>
      </c>
      <c r="B19" s="18" t="s">
        <v>16</v>
      </c>
      <c r="C19" s="18">
        <f t="shared" si="5"/>
        <v>150</v>
      </c>
      <c r="D19" s="5"/>
      <c r="E19" s="18">
        <f t="shared" si="2"/>
        <v>450</v>
      </c>
      <c r="F19" s="23" t="s">
        <v>248</v>
      </c>
      <c r="G19" s="23" t="s">
        <v>244</v>
      </c>
      <c r="K19" s="18"/>
      <c r="L19" s="18"/>
    </row>
    <row r="20" ht="15.75" customHeight="1">
      <c r="A20" s="19" t="s">
        <v>133</v>
      </c>
      <c r="B20" s="18" t="s">
        <v>16</v>
      </c>
      <c r="C20" s="18">
        <f t="shared" si="5"/>
        <v>150</v>
      </c>
      <c r="D20" s="19"/>
      <c r="E20" s="18">
        <f t="shared" si="2"/>
        <v>450</v>
      </c>
      <c r="F20" s="23" t="s">
        <v>248</v>
      </c>
      <c r="G20" s="23" t="s">
        <v>248</v>
      </c>
      <c r="K20" s="18"/>
      <c r="L20" s="18"/>
    </row>
    <row r="21" ht="15.75" customHeight="1">
      <c r="A21" s="19" t="s">
        <v>107</v>
      </c>
      <c r="B21" s="18" t="s">
        <v>16</v>
      </c>
      <c r="C21" s="18">
        <f t="shared" si="5"/>
        <v>150</v>
      </c>
      <c r="D21" s="19"/>
      <c r="E21" s="18">
        <f t="shared" si="2"/>
        <v>450</v>
      </c>
      <c r="F21" s="23" t="s">
        <v>248</v>
      </c>
      <c r="G21" s="23" t="s">
        <v>249</v>
      </c>
      <c r="K21" s="18"/>
      <c r="L21" s="18"/>
    </row>
    <row r="22" ht="15.75" customHeight="1">
      <c r="A22" s="5" t="s">
        <v>127</v>
      </c>
      <c r="B22" s="18" t="s">
        <v>16</v>
      </c>
      <c r="C22" s="18">
        <f t="shared" si="5"/>
        <v>150</v>
      </c>
      <c r="D22" s="5"/>
      <c r="E22" s="18">
        <f t="shared" si="2"/>
        <v>450</v>
      </c>
      <c r="F22" s="23" t="s">
        <v>248</v>
      </c>
      <c r="G22" s="23" t="s">
        <v>251</v>
      </c>
      <c r="K22" s="18"/>
      <c r="L22" s="18"/>
    </row>
    <row r="23" ht="15.75" customHeight="1">
      <c r="A23" s="5" t="s">
        <v>129</v>
      </c>
      <c r="B23" s="18" t="s">
        <v>16</v>
      </c>
      <c r="C23" s="18">
        <f t="shared" si="5"/>
        <v>150</v>
      </c>
      <c r="D23" s="5"/>
      <c r="E23" s="18">
        <f t="shared" si="2"/>
        <v>450</v>
      </c>
      <c r="F23" s="23" t="s">
        <v>248</v>
      </c>
      <c r="G23" s="23" t="s">
        <v>244</v>
      </c>
      <c r="K23" s="18"/>
      <c r="L23" s="18"/>
    </row>
    <row r="24" ht="15.75" customHeight="1">
      <c r="A24" s="19" t="s">
        <v>139</v>
      </c>
      <c r="B24" s="18" t="s">
        <v>16</v>
      </c>
      <c r="C24" s="18">
        <f t="shared" si="5"/>
        <v>150</v>
      </c>
      <c r="D24" s="19"/>
      <c r="E24" s="18">
        <f t="shared" si="2"/>
        <v>450</v>
      </c>
      <c r="F24" s="23" t="s">
        <v>248</v>
      </c>
      <c r="G24" s="23" t="s">
        <v>248</v>
      </c>
      <c r="K24" s="18"/>
      <c r="L24" s="18"/>
    </row>
    <row r="25" ht="15.75" customHeight="1">
      <c r="A25" s="5" t="s">
        <v>142</v>
      </c>
      <c r="B25" s="18" t="s">
        <v>16</v>
      </c>
      <c r="C25" s="18">
        <f t="shared" si="5"/>
        <v>150</v>
      </c>
      <c r="D25" s="5"/>
      <c r="E25" s="18">
        <f t="shared" si="2"/>
        <v>450</v>
      </c>
      <c r="F25" s="23" t="s">
        <v>248</v>
      </c>
      <c r="G25" s="23" t="s">
        <v>249</v>
      </c>
      <c r="K25" s="18"/>
      <c r="L25" s="18"/>
    </row>
    <row r="26" ht="15.75" customHeight="1">
      <c r="A26" s="19" t="s">
        <v>153</v>
      </c>
      <c r="B26" s="18" t="s">
        <v>28</v>
      </c>
      <c r="C26" s="18">
        <f t="shared" ref="C26:C51" si="6">$L$5</f>
        <v>60</v>
      </c>
      <c r="D26" s="19"/>
      <c r="E26" s="18">
        <f t="shared" si="2"/>
        <v>540</v>
      </c>
      <c r="F26" s="19" t="s">
        <v>249</v>
      </c>
      <c r="G26" s="23" t="s">
        <v>244</v>
      </c>
      <c r="K26" s="18"/>
      <c r="L26" s="18"/>
    </row>
    <row r="27" ht="15.75" customHeight="1">
      <c r="A27" s="5" t="s">
        <v>34</v>
      </c>
      <c r="B27" s="18" t="s">
        <v>28</v>
      </c>
      <c r="C27" s="18">
        <f t="shared" si="6"/>
        <v>60</v>
      </c>
      <c r="D27" s="5"/>
      <c r="E27" s="18">
        <f t="shared" si="2"/>
        <v>540</v>
      </c>
      <c r="F27" s="23" t="s">
        <v>249</v>
      </c>
      <c r="G27" s="23" t="s">
        <v>248</v>
      </c>
      <c r="K27" s="18"/>
      <c r="L27" s="18"/>
    </row>
    <row r="28" ht="15.75" customHeight="1">
      <c r="A28" s="5" t="s">
        <v>55</v>
      </c>
      <c r="B28" s="18" t="s">
        <v>28</v>
      </c>
      <c r="C28" s="18">
        <f t="shared" si="6"/>
        <v>60</v>
      </c>
      <c r="D28" s="5"/>
      <c r="E28" s="18">
        <f t="shared" si="2"/>
        <v>540</v>
      </c>
      <c r="F28" s="23" t="s">
        <v>249</v>
      </c>
      <c r="G28" s="23" t="s">
        <v>249</v>
      </c>
      <c r="K28" s="18"/>
      <c r="L28" s="18"/>
    </row>
    <row r="29" ht="15.75" customHeight="1">
      <c r="A29" s="5" t="s">
        <v>193</v>
      </c>
      <c r="B29" s="18" t="s">
        <v>28</v>
      </c>
      <c r="C29" s="18">
        <f t="shared" si="6"/>
        <v>60</v>
      </c>
      <c r="D29" s="5"/>
      <c r="E29" s="18">
        <f t="shared" si="2"/>
        <v>540</v>
      </c>
      <c r="F29" s="19" t="s">
        <v>249</v>
      </c>
      <c r="G29" s="23" t="s">
        <v>251</v>
      </c>
      <c r="K29" s="18"/>
      <c r="L29" s="18"/>
    </row>
    <row r="30" ht="15.75" customHeight="1">
      <c r="A30" s="5" t="s">
        <v>67</v>
      </c>
      <c r="B30" s="18" t="s">
        <v>28</v>
      </c>
      <c r="C30" s="18">
        <f t="shared" si="6"/>
        <v>60</v>
      </c>
      <c r="D30" s="5"/>
      <c r="E30" s="18">
        <f t="shared" si="2"/>
        <v>540</v>
      </c>
      <c r="F30" s="19" t="s">
        <v>249</v>
      </c>
      <c r="K30" s="18"/>
      <c r="L30" s="18"/>
    </row>
    <row r="31" ht="15.75" customHeight="1">
      <c r="A31" s="5" t="s">
        <v>121</v>
      </c>
      <c r="B31" s="18" t="s">
        <v>28</v>
      </c>
      <c r="C31" s="18">
        <f t="shared" si="6"/>
        <v>60</v>
      </c>
      <c r="D31" s="5"/>
      <c r="E31" s="18">
        <f t="shared" si="2"/>
        <v>540</v>
      </c>
      <c r="F31" s="19" t="s">
        <v>249</v>
      </c>
      <c r="K31" s="18"/>
      <c r="L31" s="18"/>
    </row>
    <row r="32" ht="15.75" customHeight="1">
      <c r="A32" s="22" t="s">
        <v>27</v>
      </c>
      <c r="B32" s="18" t="s">
        <v>28</v>
      </c>
      <c r="C32" s="18">
        <f t="shared" si="6"/>
        <v>60</v>
      </c>
      <c r="D32" s="22"/>
      <c r="E32" s="18">
        <f t="shared" si="2"/>
        <v>540</v>
      </c>
      <c r="F32" s="19" t="s">
        <v>249</v>
      </c>
      <c r="K32" s="18"/>
      <c r="L32" s="18"/>
    </row>
    <row r="33" ht="15.75" customHeight="1">
      <c r="A33" s="5" t="s">
        <v>33</v>
      </c>
      <c r="B33" s="18" t="s">
        <v>28</v>
      </c>
      <c r="C33" s="18">
        <f t="shared" si="6"/>
        <v>60</v>
      </c>
      <c r="D33" s="5"/>
      <c r="E33" s="18">
        <f t="shared" si="2"/>
        <v>540</v>
      </c>
      <c r="F33" s="19" t="s">
        <v>249</v>
      </c>
      <c r="K33" s="18"/>
      <c r="L33" s="18"/>
    </row>
    <row r="34" ht="15.75" customHeight="1">
      <c r="A34" s="5" t="s">
        <v>36</v>
      </c>
      <c r="B34" s="18" t="s">
        <v>28</v>
      </c>
      <c r="C34" s="18">
        <f t="shared" si="6"/>
        <v>60</v>
      </c>
      <c r="D34" s="5"/>
      <c r="E34" s="18">
        <f t="shared" si="2"/>
        <v>540</v>
      </c>
      <c r="F34" s="19" t="s">
        <v>249</v>
      </c>
      <c r="K34" s="18"/>
      <c r="L34" s="18"/>
    </row>
    <row r="35" ht="15.75" customHeight="1">
      <c r="A35" s="5" t="s">
        <v>38</v>
      </c>
      <c r="B35" s="18" t="s">
        <v>28</v>
      </c>
      <c r="C35" s="18">
        <f t="shared" si="6"/>
        <v>60</v>
      </c>
      <c r="D35" s="5"/>
      <c r="E35" s="18">
        <f t="shared" si="2"/>
        <v>540</v>
      </c>
      <c r="F35" s="19" t="s">
        <v>249</v>
      </c>
      <c r="K35" s="18"/>
      <c r="L35" s="18"/>
    </row>
    <row r="36" ht="15.75" customHeight="1">
      <c r="A36" s="5" t="s">
        <v>40</v>
      </c>
      <c r="B36" s="18" t="s">
        <v>28</v>
      </c>
      <c r="C36" s="18">
        <f t="shared" si="6"/>
        <v>60</v>
      </c>
      <c r="D36" s="5"/>
      <c r="E36" s="18">
        <f t="shared" si="2"/>
        <v>540</v>
      </c>
      <c r="F36" s="19" t="s">
        <v>249</v>
      </c>
      <c r="K36" s="18"/>
      <c r="L36" s="18"/>
    </row>
    <row r="37" ht="15.75" customHeight="1">
      <c r="A37" s="19" t="s">
        <v>69</v>
      </c>
      <c r="B37" s="18" t="s">
        <v>28</v>
      </c>
      <c r="C37" s="18">
        <f t="shared" si="6"/>
        <v>60</v>
      </c>
      <c r="D37" s="19"/>
      <c r="E37" s="18">
        <f t="shared" si="2"/>
        <v>540</v>
      </c>
      <c r="F37" s="19" t="s">
        <v>249</v>
      </c>
      <c r="K37" s="18"/>
      <c r="L37" s="18"/>
    </row>
    <row r="38" ht="15.75" customHeight="1">
      <c r="A38" s="5" t="s">
        <v>75</v>
      </c>
      <c r="B38" s="18" t="s">
        <v>28</v>
      </c>
      <c r="C38" s="18">
        <f t="shared" si="6"/>
        <v>60</v>
      </c>
      <c r="D38" s="5"/>
      <c r="E38" s="18">
        <f t="shared" si="2"/>
        <v>540</v>
      </c>
      <c r="F38" s="23" t="s">
        <v>249</v>
      </c>
      <c r="K38" s="18"/>
      <c r="L38" s="18"/>
    </row>
    <row r="39" ht="15.75" customHeight="1">
      <c r="A39" s="5" t="s">
        <v>79</v>
      </c>
      <c r="B39" s="18" t="s">
        <v>28</v>
      </c>
      <c r="C39" s="18">
        <f t="shared" si="6"/>
        <v>60</v>
      </c>
      <c r="D39" s="5"/>
      <c r="E39" s="18">
        <f t="shared" si="2"/>
        <v>540</v>
      </c>
      <c r="F39" s="23" t="s">
        <v>249</v>
      </c>
      <c r="K39" s="18"/>
      <c r="L39" s="18"/>
    </row>
    <row r="40" ht="15.75" customHeight="1">
      <c r="A40" s="5" t="s">
        <v>88</v>
      </c>
      <c r="B40" s="18" t="s">
        <v>28</v>
      </c>
      <c r="C40" s="18">
        <f t="shared" si="6"/>
        <v>60</v>
      </c>
      <c r="D40" s="5"/>
      <c r="E40" s="18">
        <f t="shared" si="2"/>
        <v>540</v>
      </c>
      <c r="F40" s="19" t="s">
        <v>249</v>
      </c>
      <c r="K40" s="18"/>
      <c r="L40" s="18"/>
    </row>
    <row r="41" ht="15.75" customHeight="1">
      <c r="A41" s="19" t="s">
        <v>98</v>
      </c>
      <c r="B41" s="18" t="s">
        <v>28</v>
      </c>
      <c r="C41" s="18">
        <f t="shared" si="6"/>
        <v>60</v>
      </c>
      <c r="D41" s="19"/>
      <c r="E41" s="18">
        <f t="shared" si="2"/>
        <v>540</v>
      </c>
      <c r="F41" s="19" t="s">
        <v>249</v>
      </c>
      <c r="K41" s="18"/>
      <c r="L41" s="18"/>
    </row>
    <row r="42" ht="15.75" customHeight="1">
      <c r="A42" s="5" t="s">
        <v>102</v>
      </c>
      <c r="B42" s="18" t="s">
        <v>28</v>
      </c>
      <c r="C42" s="18">
        <f t="shared" si="6"/>
        <v>60</v>
      </c>
      <c r="D42" s="5"/>
      <c r="E42" s="18">
        <f t="shared" si="2"/>
        <v>540</v>
      </c>
      <c r="F42" s="19" t="s">
        <v>249</v>
      </c>
      <c r="K42" s="18"/>
      <c r="L42" s="18"/>
    </row>
    <row r="43" ht="15.75" customHeight="1">
      <c r="A43" s="5" t="s">
        <v>114</v>
      </c>
      <c r="B43" s="18" t="s">
        <v>28</v>
      </c>
      <c r="C43" s="18">
        <f t="shared" si="6"/>
        <v>60</v>
      </c>
      <c r="D43" s="5"/>
      <c r="E43" s="18">
        <f t="shared" si="2"/>
        <v>540</v>
      </c>
      <c r="F43" s="19" t="s">
        <v>249</v>
      </c>
      <c r="K43" s="18"/>
      <c r="L43" s="18"/>
    </row>
    <row r="44" ht="15.75" customHeight="1">
      <c r="A44" s="5" t="s">
        <v>117</v>
      </c>
      <c r="B44" s="18" t="s">
        <v>28</v>
      </c>
      <c r="C44" s="18">
        <f t="shared" si="6"/>
        <v>60</v>
      </c>
      <c r="D44" s="5"/>
      <c r="E44" s="18">
        <f t="shared" si="2"/>
        <v>540</v>
      </c>
      <c r="F44" s="19" t="s">
        <v>249</v>
      </c>
      <c r="K44" s="18"/>
      <c r="L44" s="18"/>
    </row>
    <row r="45" ht="15.75" customHeight="1">
      <c r="A45" s="5" t="s">
        <v>131</v>
      </c>
      <c r="B45" s="18" t="s">
        <v>28</v>
      </c>
      <c r="C45" s="18">
        <f t="shared" si="6"/>
        <v>60</v>
      </c>
      <c r="D45" s="5"/>
      <c r="E45" s="18">
        <f t="shared" si="2"/>
        <v>540</v>
      </c>
      <c r="F45" s="19" t="s">
        <v>249</v>
      </c>
      <c r="K45" s="18"/>
      <c r="L45" s="18"/>
    </row>
    <row r="46" ht="15.75" customHeight="1">
      <c r="A46" s="23" t="s">
        <v>134</v>
      </c>
      <c r="B46" s="18" t="s">
        <v>28</v>
      </c>
      <c r="C46" s="18">
        <f t="shared" si="6"/>
        <v>60</v>
      </c>
      <c r="D46" s="23"/>
      <c r="E46" s="18">
        <f t="shared" si="2"/>
        <v>540</v>
      </c>
      <c r="F46" s="19" t="s">
        <v>249</v>
      </c>
      <c r="K46" s="18"/>
      <c r="L46" s="18"/>
    </row>
    <row r="47" ht="15.75" customHeight="1">
      <c r="A47" s="5" t="s">
        <v>137</v>
      </c>
      <c r="B47" s="18" t="s">
        <v>28</v>
      </c>
      <c r="C47" s="18">
        <f t="shared" si="6"/>
        <v>60</v>
      </c>
      <c r="D47" s="5"/>
      <c r="E47" s="18">
        <f t="shared" si="2"/>
        <v>540</v>
      </c>
      <c r="F47" s="19" t="s">
        <v>249</v>
      </c>
      <c r="K47" s="18"/>
      <c r="L47" s="18"/>
    </row>
    <row r="48" ht="15.75" customHeight="1">
      <c r="A48" s="5" t="s">
        <v>155</v>
      </c>
      <c r="B48" s="18" t="s">
        <v>28</v>
      </c>
      <c r="C48" s="18">
        <f t="shared" si="6"/>
        <v>60</v>
      </c>
      <c r="D48" s="5"/>
      <c r="E48" s="18">
        <f t="shared" si="2"/>
        <v>540</v>
      </c>
      <c r="F48" s="19" t="s">
        <v>249</v>
      </c>
      <c r="K48" s="18"/>
      <c r="L48" s="18"/>
    </row>
    <row r="49" ht="15.75" customHeight="1">
      <c r="A49" s="5" t="s">
        <v>157</v>
      </c>
      <c r="B49" s="18" t="s">
        <v>28</v>
      </c>
      <c r="C49" s="18">
        <f t="shared" si="6"/>
        <v>60</v>
      </c>
      <c r="D49" s="5"/>
      <c r="E49" s="18">
        <f t="shared" si="2"/>
        <v>540</v>
      </c>
      <c r="F49" s="19" t="s">
        <v>249</v>
      </c>
      <c r="K49" s="18"/>
      <c r="L49" s="18"/>
    </row>
    <row r="50" ht="15.75" customHeight="1">
      <c r="A50" s="5" t="s">
        <v>162</v>
      </c>
      <c r="B50" s="18" t="s">
        <v>28</v>
      </c>
      <c r="C50" s="18">
        <f t="shared" si="6"/>
        <v>60</v>
      </c>
      <c r="D50" s="5"/>
      <c r="E50" s="18">
        <f t="shared" si="2"/>
        <v>540</v>
      </c>
      <c r="F50" s="19" t="s">
        <v>249</v>
      </c>
      <c r="K50" s="18"/>
      <c r="L50" s="18"/>
    </row>
    <row r="51" ht="15.75" customHeight="1">
      <c r="A51" s="5" t="s">
        <v>124</v>
      </c>
      <c r="B51" s="18" t="s">
        <v>28</v>
      </c>
      <c r="C51" s="18">
        <f t="shared" si="6"/>
        <v>60</v>
      </c>
      <c r="D51" s="5"/>
      <c r="E51" s="18">
        <f t="shared" si="2"/>
        <v>540</v>
      </c>
      <c r="F51" s="19" t="s">
        <v>249</v>
      </c>
      <c r="K51" s="18"/>
      <c r="L51" s="18"/>
    </row>
    <row r="52" ht="15.75" customHeight="1">
      <c r="A52" s="22" t="s">
        <v>57</v>
      </c>
      <c r="B52" s="18" t="s">
        <v>28</v>
      </c>
      <c r="C52" s="18">
        <v>60.0</v>
      </c>
      <c r="D52" s="22"/>
      <c r="E52" s="18">
        <f t="shared" si="2"/>
        <v>540</v>
      </c>
      <c r="F52" s="19" t="s">
        <v>249</v>
      </c>
      <c r="K52" s="18"/>
      <c r="L52" s="18"/>
    </row>
    <row r="53" ht="15.75" customHeight="1">
      <c r="A53" s="23" t="s">
        <v>197</v>
      </c>
      <c r="B53" s="18" t="s">
        <v>28</v>
      </c>
      <c r="C53" s="18">
        <v>60.0</v>
      </c>
      <c r="D53" s="23"/>
      <c r="E53" s="18">
        <f t="shared" si="2"/>
        <v>540</v>
      </c>
      <c r="F53" s="19" t="s">
        <v>249</v>
      </c>
      <c r="K53" s="18"/>
      <c r="L53" s="18"/>
    </row>
    <row r="54" ht="15.75" customHeight="1">
      <c r="A54" s="23" t="s">
        <v>76</v>
      </c>
      <c r="B54" s="18" t="s">
        <v>23</v>
      </c>
      <c r="C54" s="18">
        <f t="shared" ref="C54:C82" si="7">$L$6</f>
        <v>60</v>
      </c>
      <c r="D54" s="23"/>
      <c r="E54" s="18">
        <f t="shared" si="2"/>
        <v>540</v>
      </c>
      <c r="F54" s="23" t="s">
        <v>251</v>
      </c>
      <c r="K54" s="18"/>
      <c r="L54" s="18"/>
    </row>
    <row r="55" ht="15.75" customHeight="1">
      <c r="A55" s="5" t="s">
        <v>99</v>
      </c>
      <c r="B55" s="18" t="s">
        <v>23</v>
      </c>
      <c r="C55" s="18">
        <f t="shared" si="7"/>
        <v>60</v>
      </c>
      <c r="D55" s="5"/>
      <c r="E55" s="18">
        <f t="shared" si="2"/>
        <v>540</v>
      </c>
      <c r="F55" s="23" t="s">
        <v>251</v>
      </c>
      <c r="K55" s="18"/>
      <c r="L55" s="18"/>
    </row>
    <row r="56" ht="15.75" customHeight="1">
      <c r="A56" s="5" t="s">
        <v>111</v>
      </c>
      <c r="B56" s="18" t="s">
        <v>23</v>
      </c>
      <c r="C56" s="18">
        <f t="shared" si="7"/>
        <v>60</v>
      </c>
      <c r="D56" s="5"/>
      <c r="E56" s="18">
        <f t="shared" si="2"/>
        <v>540</v>
      </c>
      <c r="F56" s="23" t="s">
        <v>251</v>
      </c>
      <c r="K56" s="18"/>
      <c r="L56" s="18"/>
    </row>
    <row r="57" ht="15.75" customHeight="1">
      <c r="A57" s="5" t="s">
        <v>93</v>
      </c>
      <c r="B57" s="18" t="s">
        <v>23</v>
      </c>
      <c r="C57" s="18">
        <f t="shared" si="7"/>
        <v>60</v>
      </c>
      <c r="D57" s="5"/>
      <c r="E57" s="18">
        <f t="shared" si="2"/>
        <v>540</v>
      </c>
      <c r="F57" s="23" t="s">
        <v>251</v>
      </c>
      <c r="K57" s="18"/>
      <c r="L57" s="18"/>
    </row>
    <row r="58" ht="15.75" customHeight="1">
      <c r="A58" s="5" t="s">
        <v>95</v>
      </c>
      <c r="B58" s="18" t="s">
        <v>23</v>
      </c>
      <c r="C58" s="18">
        <f t="shared" si="7"/>
        <v>60</v>
      </c>
      <c r="D58" s="5"/>
      <c r="E58" s="18">
        <f t="shared" si="2"/>
        <v>540</v>
      </c>
      <c r="F58" s="23" t="s">
        <v>251</v>
      </c>
      <c r="K58" s="18"/>
      <c r="L58" s="18"/>
    </row>
    <row r="59" ht="15.75" customHeight="1">
      <c r="A59" s="19" t="s">
        <v>100</v>
      </c>
      <c r="B59" s="18" t="s">
        <v>23</v>
      </c>
      <c r="C59" s="18">
        <f t="shared" si="7"/>
        <v>60</v>
      </c>
      <c r="D59" s="19"/>
      <c r="E59" s="18">
        <f t="shared" si="2"/>
        <v>540</v>
      </c>
      <c r="F59" s="23" t="s">
        <v>251</v>
      </c>
      <c r="K59" s="18"/>
      <c r="L59" s="18"/>
    </row>
    <row r="60" ht="15.75" customHeight="1">
      <c r="A60" s="19" t="s">
        <v>109</v>
      </c>
      <c r="B60" s="18" t="s">
        <v>23</v>
      </c>
      <c r="C60" s="18">
        <f t="shared" si="7"/>
        <v>60</v>
      </c>
      <c r="D60" s="19"/>
      <c r="E60" s="18">
        <f t="shared" si="2"/>
        <v>540</v>
      </c>
      <c r="F60" s="23" t="s">
        <v>251</v>
      </c>
      <c r="K60" s="18"/>
      <c r="L60" s="18"/>
    </row>
    <row r="61" ht="15.75" customHeight="1">
      <c r="A61" s="23" t="s">
        <v>22</v>
      </c>
      <c r="B61" s="18" t="s">
        <v>23</v>
      </c>
      <c r="C61" s="18">
        <f t="shared" si="7"/>
        <v>60</v>
      </c>
      <c r="D61" s="23"/>
      <c r="E61" s="18">
        <f t="shared" si="2"/>
        <v>540</v>
      </c>
      <c r="F61" s="23" t="s">
        <v>251</v>
      </c>
      <c r="K61" s="18"/>
      <c r="L61" s="18"/>
    </row>
    <row r="62" ht="15.75" customHeight="1">
      <c r="A62" s="5" t="s">
        <v>24</v>
      </c>
      <c r="B62" s="18" t="s">
        <v>23</v>
      </c>
      <c r="C62" s="18">
        <f t="shared" si="7"/>
        <v>60</v>
      </c>
      <c r="D62" s="5"/>
      <c r="E62" s="18">
        <f t="shared" si="2"/>
        <v>540</v>
      </c>
      <c r="F62" s="23" t="s">
        <v>251</v>
      </c>
      <c r="K62" s="18"/>
      <c r="L62" s="18"/>
    </row>
    <row r="63" ht="15.75" customHeight="1">
      <c r="A63" s="5" t="s">
        <v>41</v>
      </c>
      <c r="B63" s="18" t="s">
        <v>23</v>
      </c>
      <c r="C63" s="18">
        <f t="shared" si="7"/>
        <v>60</v>
      </c>
      <c r="D63" s="5"/>
      <c r="E63" s="18">
        <f t="shared" si="2"/>
        <v>540</v>
      </c>
      <c r="F63" s="23" t="s">
        <v>251</v>
      </c>
      <c r="K63" s="18"/>
      <c r="L63" s="18"/>
    </row>
    <row r="64" ht="15.75" customHeight="1">
      <c r="A64" s="5" t="s">
        <v>47</v>
      </c>
      <c r="B64" s="18" t="s">
        <v>23</v>
      </c>
      <c r="C64" s="18">
        <f t="shared" si="7"/>
        <v>60</v>
      </c>
      <c r="D64" s="5"/>
      <c r="E64" s="18">
        <f t="shared" si="2"/>
        <v>540</v>
      </c>
      <c r="F64" s="23" t="s">
        <v>251</v>
      </c>
      <c r="K64" s="18"/>
      <c r="L64" s="18"/>
    </row>
    <row r="65" ht="15.75" customHeight="1">
      <c r="A65" s="19" t="s">
        <v>49</v>
      </c>
      <c r="B65" s="18" t="s">
        <v>23</v>
      </c>
      <c r="C65" s="18">
        <f t="shared" si="7"/>
        <v>60</v>
      </c>
      <c r="D65" s="19"/>
      <c r="E65" s="18">
        <f t="shared" si="2"/>
        <v>540</v>
      </c>
      <c r="F65" s="23" t="s">
        <v>251</v>
      </c>
      <c r="K65" s="18"/>
      <c r="L65" s="18"/>
    </row>
    <row r="66" ht="15.75" customHeight="1">
      <c r="A66" s="5" t="s">
        <v>52</v>
      </c>
      <c r="B66" s="18" t="s">
        <v>23</v>
      </c>
      <c r="C66" s="18">
        <f t="shared" si="7"/>
        <v>60</v>
      </c>
      <c r="D66" s="5"/>
      <c r="E66" s="18">
        <f t="shared" si="2"/>
        <v>540</v>
      </c>
      <c r="F66" s="23" t="s">
        <v>251</v>
      </c>
      <c r="K66" s="18"/>
      <c r="L66" s="18"/>
    </row>
    <row r="67" ht="15.75" customHeight="1">
      <c r="A67" s="5" t="s">
        <v>72</v>
      </c>
      <c r="B67" s="18" t="s">
        <v>23</v>
      </c>
      <c r="C67" s="18">
        <f t="shared" si="7"/>
        <v>60</v>
      </c>
      <c r="D67" s="5"/>
      <c r="E67" s="18">
        <f t="shared" si="2"/>
        <v>540</v>
      </c>
      <c r="F67" s="23" t="s">
        <v>251</v>
      </c>
      <c r="K67" s="18"/>
      <c r="L67" s="18"/>
    </row>
    <row r="68" ht="15.75" customHeight="1">
      <c r="A68" s="19" t="s">
        <v>78</v>
      </c>
      <c r="B68" s="18" t="s">
        <v>23</v>
      </c>
      <c r="C68" s="18">
        <f t="shared" si="7"/>
        <v>60</v>
      </c>
      <c r="D68" s="19"/>
      <c r="E68" s="18">
        <f t="shared" si="2"/>
        <v>540</v>
      </c>
      <c r="F68" s="23" t="s">
        <v>251</v>
      </c>
      <c r="K68" s="18"/>
      <c r="L68" s="18"/>
    </row>
    <row r="69" ht="15.75" customHeight="1">
      <c r="A69" s="5" t="s">
        <v>85</v>
      </c>
      <c r="B69" s="18" t="s">
        <v>23</v>
      </c>
      <c r="C69" s="18">
        <f t="shared" si="7"/>
        <v>60</v>
      </c>
      <c r="D69" s="5"/>
      <c r="E69" s="18">
        <f t="shared" si="2"/>
        <v>540</v>
      </c>
      <c r="F69" s="23" t="s">
        <v>251</v>
      </c>
      <c r="K69" s="18"/>
      <c r="L69" s="18"/>
    </row>
    <row r="70" ht="15.75" customHeight="1">
      <c r="A70" s="5" t="s">
        <v>104</v>
      </c>
      <c r="B70" s="18" t="s">
        <v>23</v>
      </c>
      <c r="C70" s="18">
        <f t="shared" si="7"/>
        <v>60</v>
      </c>
      <c r="D70" s="5"/>
      <c r="E70" s="18">
        <f t="shared" si="2"/>
        <v>540</v>
      </c>
      <c r="F70" s="23" t="s">
        <v>251</v>
      </c>
      <c r="K70" s="18"/>
      <c r="L70" s="18"/>
    </row>
    <row r="71" ht="15.75" customHeight="1">
      <c r="A71" s="19" t="s">
        <v>108</v>
      </c>
      <c r="B71" s="18" t="s">
        <v>23</v>
      </c>
      <c r="C71" s="18">
        <f t="shared" si="7"/>
        <v>60</v>
      </c>
      <c r="D71" s="19"/>
      <c r="E71" s="18">
        <f t="shared" si="2"/>
        <v>540</v>
      </c>
      <c r="F71" s="23" t="s">
        <v>251</v>
      </c>
      <c r="K71" s="18"/>
      <c r="L71" s="18"/>
    </row>
    <row r="72" ht="15.75" customHeight="1">
      <c r="A72" s="5" t="s">
        <v>113</v>
      </c>
      <c r="B72" s="18" t="s">
        <v>23</v>
      </c>
      <c r="C72" s="18">
        <f t="shared" si="7"/>
        <v>60</v>
      </c>
      <c r="D72" s="5"/>
      <c r="E72" s="18">
        <f t="shared" si="2"/>
        <v>540</v>
      </c>
      <c r="F72" s="23" t="s">
        <v>251</v>
      </c>
      <c r="K72" s="18"/>
      <c r="L72" s="18"/>
    </row>
    <row r="73" ht="15.75" customHeight="1">
      <c r="A73" s="19" t="s">
        <v>116</v>
      </c>
      <c r="B73" s="18" t="s">
        <v>23</v>
      </c>
      <c r="C73" s="18">
        <f t="shared" si="7"/>
        <v>60</v>
      </c>
      <c r="D73" s="19"/>
      <c r="E73" s="18">
        <f t="shared" si="2"/>
        <v>540</v>
      </c>
      <c r="F73" s="23" t="s">
        <v>251</v>
      </c>
      <c r="K73" s="18"/>
      <c r="L73" s="18"/>
    </row>
    <row r="74" ht="15.75" customHeight="1">
      <c r="A74" s="5" t="s">
        <v>118</v>
      </c>
      <c r="B74" s="18" t="s">
        <v>23</v>
      </c>
      <c r="C74" s="18">
        <f t="shared" si="7"/>
        <v>60</v>
      </c>
      <c r="D74" s="5"/>
      <c r="E74" s="18">
        <f t="shared" si="2"/>
        <v>540</v>
      </c>
      <c r="F74" s="23" t="s">
        <v>251</v>
      </c>
      <c r="K74" s="18"/>
      <c r="L74" s="18"/>
    </row>
    <row r="75" ht="15.75" customHeight="1">
      <c r="A75" s="19" t="s">
        <v>120</v>
      </c>
      <c r="B75" s="18" t="s">
        <v>23</v>
      </c>
      <c r="C75" s="18">
        <f t="shared" si="7"/>
        <v>60</v>
      </c>
      <c r="D75" s="19"/>
      <c r="E75" s="18">
        <f t="shared" si="2"/>
        <v>540</v>
      </c>
      <c r="F75" s="23" t="s">
        <v>251</v>
      </c>
      <c r="K75" s="18"/>
      <c r="L75" s="18"/>
    </row>
    <row r="76" ht="15.75" customHeight="1">
      <c r="A76" s="5" t="s">
        <v>126</v>
      </c>
      <c r="B76" s="18" t="s">
        <v>23</v>
      </c>
      <c r="C76" s="18">
        <f t="shared" si="7"/>
        <v>60</v>
      </c>
      <c r="D76" s="5"/>
      <c r="E76" s="18">
        <f t="shared" si="2"/>
        <v>540</v>
      </c>
      <c r="F76" s="23" t="s">
        <v>251</v>
      </c>
      <c r="K76" s="18"/>
      <c r="L76" s="18"/>
    </row>
    <row r="77" ht="15.75" customHeight="1">
      <c r="A77" s="19" t="s">
        <v>132</v>
      </c>
      <c r="B77" s="18" t="s">
        <v>23</v>
      </c>
      <c r="C77" s="18">
        <f t="shared" si="7"/>
        <v>60</v>
      </c>
      <c r="D77" s="19"/>
      <c r="E77" s="18">
        <f t="shared" si="2"/>
        <v>540</v>
      </c>
      <c r="F77" s="23" t="s">
        <v>251</v>
      </c>
      <c r="K77" s="18"/>
      <c r="L77" s="18"/>
    </row>
    <row r="78" ht="15.75" customHeight="1">
      <c r="A78" s="5" t="s">
        <v>140</v>
      </c>
      <c r="B78" s="18" t="s">
        <v>23</v>
      </c>
      <c r="C78" s="18">
        <f t="shared" si="7"/>
        <v>60</v>
      </c>
      <c r="D78" s="5"/>
      <c r="E78" s="18">
        <f t="shared" si="2"/>
        <v>540</v>
      </c>
      <c r="F78" s="23" t="s">
        <v>251</v>
      </c>
      <c r="K78" s="18"/>
      <c r="L78" s="18"/>
    </row>
    <row r="79" ht="15.75" customHeight="1">
      <c r="A79" s="5" t="s">
        <v>154</v>
      </c>
      <c r="B79" s="18" t="s">
        <v>23</v>
      </c>
      <c r="C79" s="18">
        <f t="shared" si="7"/>
        <v>60</v>
      </c>
      <c r="D79" s="5"/>
      <c r="E79" s="18">
        <f t="shared" si="2"/>
        <v>540</v>
      </c>
      <c r="F79" s="23" t="s">
        <v>251</v>
      </c>
      <c r="K79" s="18"/>
      <c r="L79" s="18"/>
    </row>
    <row r="80" ht="15.75" customHeight="1">
      <c r="A80" s="23" t="s">
        <v>158</v>
      </c>
      <c r="B80" s="18" t="s">
        <v>23</v>
      </c>
      <c r="C80" s="18">
        <f t="shared" si="7"/>
        <v>60</v>
      </c>
      <c r="D80" s="23"/>
      <c r="E80" s="18">
        <f t="shared" si="2"/>
        <v>540</v>
      </c>
      <c r="F80" s="23" t="s">
        <v>251</v>
      </c>
      <c r="K80" s="18"/>
      <c r="L80" s="18"/>
    </row>
    <row r="81" ht="15.75" customHeight="1">
      <c r="A81" s="5" t="s">
        <v>159</v>
      </c>
      <c r="B81" s="18" t="s">
        <v>23</v>
      </c>
      <c r="C81" s="18">
        <f t="shared" si="7"/>
        <v>60</v>
      </c>
      <c r="D81" s="5"/>
      <c r="E81" s="18">
        <f t="shared" si="2"/>
        <v>540</v>
      </c>
      <c r="F81" s="23" t="s">
        <v>251</v>
      </c>
      <c r="K81" s="18"/>
      <c r="L81" s="18"/>
    </row>
    <row r="82" ht="15.75" customHeight="1">
      <c r="A82" s="5" t="s">
        <v>167</v>
      </c>
      <c r="B82" s="18" t="s">
        <v>23</v>
      </c>
      <c r="C82" s="18">
        <f t="shared" si="7"/>
        <v>60</v>
      </c>
      <c r="D82" s="5"/>
      <c r="E82" s="18">
        <f t="shared" si="2"/>
        <v>540</v>
      </c>
      <c r="F82" s="23" t="s">
        <v>251</v>
      </c>
      <c r="K82" s="18"/>
      <c r="L82" s="18"/>
    </row>
    <row r="83" ht="15.75" customHeight="1">
      <c r="A83" s="19" t="s">
        <v>44</v>
      </c>
      <c r="B83" s="18" t="s">
        <v>25</v>
      </c>
      <c r="C83" s="18">
        <f t="shared" ref="C83:C94" si="8">$L$7</f>
        <v>30</v>
      </c>
      <c r="D83" s="19"/>
      <c r="E83" s="18">
        <f t="shared" si="2"/>
        <v>570</v>
      </c>
      <c r="F83" s="23" t="s">
        <v>251</v>
      </c>
      <c r="K83" s="18"/>
      <c r="L83" s="18"/>
    </row>
    <row r="84" ht="15.75" customHeight="1">
      <c r="A84" s="23" t="s">
        <v>74</v>
      </c>
      <c r="B84" s="18" t="s">
        <v>25</v>
      </c>
      <c r="C84" s="18">
        <f t="shared" si="8"/>
        <v>30</v>
      </c>
      <c r="D84" s="23"/>
      <c r="E84" s="18">
        <f t="shared" si="2"/>
        <v>570</v>
      </c>
      <c r="F84" s="23" t="s">
        <v>251</v>
      </c>
      <c r="K84" s="18"/>
      <c r="L84" s="18"/>
    </row>
    <row r="85" ht="15.75" customHeight="1">
      <c r="A85" s="19" t="s">
        <v>83</v>
      </c>
      <c r="B85" s="18" t="s">
        <v>25</v>
      </c>
      <c r="C85" s="18">
        <f t="shared" si="8"/>
        <v>30</v>
      </c>
      <c r="D85" s="19"/>
      <c r="E85" s="18">
        <f t="shared" si="2"/>
        <v>570</v>
      </c>
      <c r="F85" s="23" t="s">
        <v>251</v>
      </c>
      <c r="K85" s="18"/>
      <c r="L85" s="18"/>
    </row>
    <row r="86" ht="15.75" customHeight="1">
      <c r="A86" s="5" t="s">
        <v>94</v>
      </c>
      <c r="B86" s="18" t="s">
        <v>25</v>
      </c>
      <c r="C86" s="18">
        <f t="shared" si="8"/>
        <v>30</v>
      </c>
      <c r="D86" s="5"/>
      <c r="E86" s="18">
        <f t="shared" si="2"/>
        <v>570</v>
      </c>
      <c r="F86" s="23" t="s">
        <v>251</v>
      </c>
      <c r="K86" s="18"/>
      <c r="L86" s="18"/>
    </row>
    <row r="87" ht="15.75" customHeight="1">
      <c r="A87" s="53" t="s">
        <v>101</v>
      </c>
      <c r="B87" s="1" t="s">
        <v>25</v>
      </c>
      <c r="C87" s="18">
        <f t="shared" si="8"/>
        <v>30</v>
      </c>
      <c r="D87" s="53"/>
      <c r="E87" s="18">
        <f t="shared" si="2"/>
        <v>570</v>
      </c>
      <c r="F87" s="23" t="s">
        <v>251</v>
      </c>
      <c r="K87" s="18"/>
      <c r="L87" s="18"/>
    </row>
    <row r="88" ht="15.75" customHeight="1">
      <c r="A88" s="23" t="s">
        <v>106</v>
      </c>
      <c r="B88" s="18" t="s">
        <v>25</v>
      </c>
      <c r="C88" s="18">
        <f t="shared" si="8"/>
        <v>30</v>
      </c>
      <c r="D88" s="23"/>
      <c r="E88" s="18">
        <f t="shared" si="2"/>
        <v>570</v>
      </c>
      <c r="F88" s="23" t="s">
        <v>251</v>
      </c>
      <c r="K88" s="18"/>
      <c r="L88" s="18"/>
    </row>
    <row r="89" ht="15.75" customHeight="1">
      <c r="A89" s="19" t="s">
        <v>125</v>
      </c>
      <c r="B89" s="18" t="s">
        <v>25</v>
      </c>
      <c r="C89" s="18">
        <f t="shared" si="8"/>
        <v>30</v>
      </c>
      <c r="D89" s="19"/>
      <c r="E89" s="18">
        <f t="shared" si="2"/>
        <v>570</v>
      </c>
      <c r="F89" s="23" t="s">
        <v>251</v>
      </c>
      <c r="K89" s="18"/>
      <c r="L89" s="18"/>
    </row>
    <row r="90" ht="15.75" customHeight="1">
      <c r="A90" s="5" t="s">
        <v>149</v>
      </c>
      <c r="B90" s="18" t="s">
        <v>25</v>
      </c>
      <c r="C90" s="18">
        <f t="shared" si="8"/>
        <v>30</v>
      </c>
      <c r="D90" s="5"/>
      <c r="E90" s="18">
        <f t="shared" si="2"/>
        <v>570</v>
      </c>
      <c r="F90" s="23" t="s">
        <v>251</v>
      </c>
      <c r="K90" s="18"/>
      <c r="L90" s="18"/>
    </row>
    <row r="91" ht="15.75" customHeight="1">
      <c r="A91" s="19" t="s">
        <v>150</v>
      </c>
      <c r="B91" s="18" t="s">
        <v>25</v>
      </c>
      <c r="C91" s="18">
        <f t="shared" si="8"/>
        <v>30</v>
      </c>
      <c r="D91" s="19"/>
      <c r="E91" s="18">
        <f t="shared" si="2"/>
        <v>570</v>
      </c>
      <c r="F91" s="23" t="s">
        <v>251</v>
      </c>
      <c r="K91" s="18"/>
      <c r="L91" s="18"/>
    </row>
    <row r="92" ht="15.75" customHeight="1">
      <c r="A92" s="5" t="s">
        <v>151</v>
      </c>
      <c r="B92" s="18" t="s">
        <v>25</v>
      </c>
      <c r="C92" s="18">
        <f t="shared" si="8"/>
        <v>30</v>
      </c>
      <c r="D92" s="5"/>
      <c r="E92" s="18">
        <f t="shared" si="2"/>
        <v>570</v>
      </c>
      <c r="F92" s="23" t="s">
        <v>251</v>
      </c>
      <c r="K92" s="18"/>
      <c r="L92" s="18"/>
    </row>
    <row r="93" ht="15.75" customHeight="1">
      <c r="A93" s="23" t="s">
        <v>156</v>
      </c>
      <c r="B93" s="18" t="s">
        <v>25</v>
      </c>
      <c r="C93" s="18">
        <f t="shared" si="8"/>
        <v>30</v>
      </c>
      <c r="D93" s="23"/>
      <c r="E93" s="18">
        <f t="shared" si="2"/>
        <v>570</v>
      </c>
      <c r="F93" s="23" t="s">
        <v>251</v>
      </c>
      <c r="K93" s="18"/>
      <c r="L93" s="18"/>
    </row>
    <row r="94" ht="15.75" customHeight="1">
      <c r="A94" s="5" t="s">
        <v>171</v>
      </c>
      <c r="B94" s="18" t="s">
        <v>25</v>
      </c>
      <c r="C94" s="18">
        <f t="shared" si="8"/>
        <v>30</v>
      </c>
      <c r="D94" s="5"/>
      <c r="E94" s="18">
        <f t="shared" si="2"/>
        <v>570</v>
      </c>
      <c r="F94" s="23" t="s">
        <v>251</v>
      </c>
      <c r="K94" s="18"/>
      <c r="L94" s="18"/>
    </row>
    <row r="95" ht="15.75" customHeight="1">
      <c r="A95" s="23" t="s">
        <v>37</v>
      </c>
      <c r="B95" s="18" t="s">
        <v>25</v>
      </c>
      <c r="C95" s="18">
        <v>30.0</v>
      </c>
      <c r="D95" s="23" t="s">
        <v>252</v>
      </c>
      <c r="E95" s="18">
        <f t="shared" si="2"/>
        <v>570</v>
      </c>
      <c r="F95" s="23" t="s">
        <v>251</v>
      </c>
      <c r="K95" s="18"/>
      <c r="L95" s="18"/>
    </row>
    <row r="96" ht="15.75" customHeight="1">
      <c r="A96" s="23" t="s">
        <v>59</v>
      </c>
      <c r="B96" s="18" t="s">
        <v>25</v>
      </c>
      <c r="C96" s="18">
        <v>30.0</v>
      </c>
      <c r="D96" s="23"/>
      <c r="E96" s="18">
        <f t="shared" si="2"/>
        <v>570</v>
      </c>
      <c r="F96" s="23" t="s">
        <v>251</v>
      </c>
      <c r="K96" s="18"/>
      <c r="L96" s="18"/>
    </row>
    <row r="97" ht="15.75" customHeight="1">
      <c r="A97" s="19" t="s">
        <v>65</v>
      </c>
      <c r="B97" s="18" t="s">
        <v>66</v>
      </c>
      <c r="C97" s="18">
        <f t="shared" ref="C97:C99" si="9">$L$8</f>
        <v>30</v>
      </c>
      <c r="D97" s="19"/>
      <c r="E97" s="18">
        <f t="shared" si="2"/>
        <v>570</v>
      </c>
      <c r="F97" s="23" t="s">
        <v>251</v>
      </c>
      <c r="K97" s="18"/>
      <c r="L97" s="18"/>
    </row>
    <row r="98" ht="15.75" customHeight="1">
      <c r="A98" s="23" t="s">
        <v>135</v>
      </c>
      <c r="B98" s="18" t="s">
        <v>66</v>
      </c>
      <c r="C98" s="18">
        <f t="shared" si="9"/>
        <v>30</v>
      </c>
      <c r="D98" s="23"/>
      <c r="E98" s="18">
        <f t="shared" si="2"/>
        <v>570</v>
      </c>
      <c r="F98" s="23" t="s">
        <v>251</v>
      </c>
      <c r="K98" s="18"/>
      <c r="L98" s="18"/>
    </row>
    <row r="99" ht="15.75" customHeight="1">
      <c r="A99" s="5" t="s">
        <v>138</v>
      </c>
      <c r="B99" s="18" t="s">
        <v>66</v>
      </c>
      <c r="C99" s="18">
        <f t="shared" si="9"/>
        <v>30</v>
      </c>
      <c r="D99" s="5"/>
      <c r="E99" s="18">
        <f t="shared" si="2"/>
        <v>570</v>
      </c>
      <c r="F99" s="23" t="s">
        <v>251</v>
      </c>
      <c r="K99" s="18"/>
      <c r="L99" s="18"/>
    </row>
    <row r="100" ht="15.75" customHeight="1">
      <c r="A100" s="23" t="s">
        <v>172</v>
      </c>
      <c r="B100" s="18" t="s">
        <v>25</v>
      </c>
      <c r="C100" s="18">
        <f t="shared" ref="C100:C107" si="10">$L$7</f>
        <v>30</v>
      </c>
      <c r="D100" s="23"/>
      <c r="E100" s="18">
        <f t="shared" si="2"/>
        <v>570</v>
      </c>
      <c r="F100" s="23" t="s">
        <v>251</v>
      </c>
      <c r="K100" s="18"/>
      <c r="L100" s="18"/>
    </row>
    <row r="101" ht="15.75" customHeight="1">
      <c r="A101" s="23" t="s">
        <v>89</v>
      </c>
      <c r="B101" s="18" t="s">
        <v>25</v>
      </c>
      <c r="C101" s="18">
        <f t="shared" si="10"/>
        <v>30</v>
      </c>
      <c r="D101" s="23"/>
      <c r="E101" s="18">
        <f t="shared" si="2"/>
        <v>570</v>
      </c>
      <c r="F101" s="23" t="s">
        <v>251</v>
      </c>
      <c r="K101" s="18"/>
      <c r="L101" s="18"/>
    </row>
    <row r="102" ht="15.75" customHeight="1">
      <c r="A102" s="23" t="s">
        <v>29</v>
      </c>
      <c r="B102" s="18" t="s">
        <v>25</v>
      </c>
      <c r="C102" s="18">
        <f t="shared" si="10"/>
        <v>30</v>
      </c>
      <c r="D102" s="23"/>
      <c r="E102" s="18">
        <f t="shared" si="2"/>
        <v>570</v>
      </c>
      <c r="F102" s="23" t="s">
        <v>251</v>
      </c>
      <c r="K102" s="18"/>
      <c r="L102" s="18"/>
    </row>
    <row r="103" ht="15.75" customHeight="1">
      <c r="A103" s="23" t="s">
        <v>91</v>
      </c>
      <c r="B103" s="18" t="s">
        <v>25</v>
      </c>
      <c r="C103" s="18">
        <f t="shared" si="10"/>
        <v>30</v>
      </c>
      <c r="D103" s="23"/>
      <c r="E103" s="18">
        <f t="shared" si="2"/>
        <v>570</v>
      </c>
      <c r="F103" s="23" t="s">
        <v>251</v>
      </c>
      <c r="K103" s="18"/>
      <c r="L103" s="18"/>
    </row>
    <row r="104" ht="15.75" customHeight="1">
      <c r="A104" s="23" t="s">
        <v>96</v>
      </c>
      <c r="B104" s="18" t="s">
        <v>25</v>
      </c>
      <c r="C104" s="18">
        <f t="shared" si="10"/>
        <v>30</v>
      </c>
      <c r="D104" s="23"/>
      <c r="E104" s="18">
        <f t="shared" si="2"/>
        <v>570</v>
      </c>
      <c r="F104" s="23" t="s">
        <v>251</v>
      </c>
      <c r="K104" s="18"/>
      <c r="L104" s="18"/>
    </row>
    <row r="105" ht="15.75" customHeight="1">
      <c r="A105" s="23" t="s">
        <v>122</v>
      </c>
      <c r="B105" s="18" t="s">
        <v>25</v>
      </c>
      <c r="C105" s="18">
        <f t="shared" si="10"/>
        <v>30</v>
      </c>
      <c r="D105" s="23"/>
      <c r="E105" s="18">
        <f t="shared" si="2"/>
        <v>570</v>
      </c>
      <c r="F105" s="23" t="s">
        <v>251</v>
      </c>
      <c r="K105" s="18"/>
      <c r="L105" s="18"/>
    </row>
    <row r="106" ht="15.75" customHeight="1">
      <c r="A106" s="23" t="s">
        <v>161</v>
      </c>
      <c r="B106" s="18" t="s">
        <v>25</v>
      </c>
      <c r="C106" s="18">
        <f t="shared" si="10"/>
        <v>30</v>
      </c>
      <c r="D106" s="23"/>
      <c r="E106" s="18">
        <f t="shared" si="2"/>
        <v>570</v>
      </c>
      <c r="F106" s="23" t="s">
        <v>251</v>
      </c>
      <c r="K106" s="18"/>
      <c r="L106" s="18"/>
    </row>
    <row r="107" ht="15.75" customHeight="1">
      <c r="A107" s="23" t="s">
        <v>141</v>
      </c>
      <c r="B107" s="18" t="s">
        <v>25</v>
      </c>
      <c r="C107" s="18">
        <f t="shared" si="10"/>
        <v>30</v>
      </c>
      <c r="D107" s="23"/>
      <c r="E107" s="18">
        <f t="shared" si="2"/>
        <v>570</v>
      </c>
      <c r="F107" s="23" t="s">
        <v>251</v>
      </c>
      <c r="K107" s="18"/>
      <c r="L107" s="18"/>
    </row>
    <row r="108" ht="15.75" customHeight="1">
      <c r="A108" s="19" t="s">
        <v>20</v>
      </c>
      <c r="B108" s="18"/>
      <c r="C108" s="18"/>
      <c r="D108" s="19"/>
      <c r="E108" s="18">
        <f t="shared" si="2"/>
        <v>600</v>
      </c>
      <c r="K108" s="18"/>
      <c r="L108" s="18"/>
    </row>
    <row r="109" ht="15.75" customHeight="1">
      <c r="A109" s="22" t="s">
        <v>21</v>
      </c>
      <c r="B109" s="18"/>
      <c r="C109" s="18"/>
      <c r="D109" s="22"/>
      <c r="E109" s="18">
        <f t="shared" si="2"/>
        <v>600</v>
      </c>
      <c r="K109" s="18"/>
      <c r="L109" s="18"/>
    </row>
    <row r="110" ht="15.75" customHeight="1">
      <c r="A110" s="19" t="s">
        <v>26</v>
      </c>
      <c r="B110" s="18"/>
      <c r="C110" s="18"/>
      <c r="D110" s="19"/>
      <c r="E110" s="18">
        <f t="shared" si="2"/>
        <v>600</v>
      </c>
      <c r="K110" s="18"/>
      <c r="L110" s="18"/>
    </row>
    <row r="111" ht="15.75" customHeight="1">
      <c r="A111" s="5" t="s">
        <v>30</v>
      </c>
      <c r="B111" s="18"/>
      <c r="C111" s="18"/>
      <c r="D111" s="5"/>
      <c r="E111" s="18">
        <f t="shared" si="2"/>
        <v>600</v>
      </c>
      <c r="K111" s="18"/>
      <c r="L111" s="18"/>
    </row>
    <row r="112" ht="15.75" customHeight="1">
      <c r="A112" s="22" t="s">
        <v>39</v>
      </c>
      <c r="B112" s="18"/>
      <c r="C112" s="18"/>
      <c r="D112" s="22"/>
      <c r="E112" s="18">
        <f t="shared" si="2"/>
        <v>600</v>
      </c>
      <c r="K112" s="18"/>
      <c r="L112" s="18"/>
    </row>
    <row r="113" ht="15.75" customHeight="1">
      <c r="A113" s="22" t="s">
        <v>48</v>
      </c>
      <c r="B113" s="18"/>
      <c r="C113" s="18"/>
      <c r="D113" s="22"/>
      <c r="E113" s="18">
        <f t="shared" si="2"/>
        <v>600</v>
      </c>
      <c r="K113" s="18"/>
      <c r="L113" s="18"/>
    </row>
    <row r="114" ht="15.75" customHeight="1">
      <c r="A114" s="19" t="s">
        <v>50</v>
      </c>
      <c r="B114" s="18"/>
      <c r="C114" s="18"/>
      <c r="D114" s="19"/>
      <c r="E114" s="18">
        <f t="shared" si="2"/>
        <v>600</v>
      </c>
      <c r="K114" s="18"/>
      <c r="L114" s="18"/>
    </row>
    <row r="115" ht="15.75" customHeight="1">
      <c r="A115" s="5" t="s">
        <v>51</v>
      </c>
      <c r="B115" s="18"/>
      <c r="C115" s="18"/>
      <c r="D115" s="5"/>
      <c r="E115" s="18">
        <f t="shared" si="2"/>
        <v>600</v>
      </c>
      <c r="K115" s="18"/>
      <c r="L115" s="18"/>
    </row>
    <row r="116" ht="15.75" customHeight="1">
      <c r="A116" s="5" t="s">
        <v>54</v>
      </c>
      <c r="B116" s="18"/>
      <c r="C116" s="18"/>
      <c r="D116" s="5"/>
      <c r="E116" s="18">
        <f t="shared" si="2"/>
        <v>600</v>
      </c>
      <c r="K116" s="18"/>
      <c r="L116" s="18"/>
    </row>
    <row r="117" ht="15.75" customHeight="1">
      <c r="A117" s="22" t="s">
        <v>63</v>
      </c>
      <c r="B117" s="18"/>
      <c r="C117" s="18"/>
      <c r="D117" s="22"/>
      <c r="E117" s="18">
        <f t="shared" si="2"/>
        <v>600</v>
      </c>
      <c r="K117" s="18"/>
      <c r="L117" s="18"/>
    </row>
    <row r="118" ht="15.75" customHeight="1">
      <c r="A118" s="19" t="s">
        <v>64</v>
      </c>
      <c r="B118" s="18"/>
      <c r="C118" s="18"/>
      <c r="D118" s="19"/>
      <c r="E118" s="18">
        <f t="shared" si="2"/>
        <v>600</v>
      </c>
      <c r="K118" s="18"/>
      <c r="L118" s="18"/>
    </row>
    <row r="119" ht="15.75" customHeight="1">
      <c r="A119" s="22" t="s">
        <v>68</v>
      </c>
      <c r="B119" s="18"/>
      <c r="C119" s="18"/>
      <c r="D119" s="22"/>
      <c r="E119" s="18">
        <f t="shared" si="2"/>
        <v>600</v>
      </c>
      <c r="K119" s="18"/>
      <c r="L119" s="18"/>
    </row>
    <row r="120" ht="15.75" customHeight="1">
      <c r="A120" s="5" t="s">
        <v>70</v>
      </c>
      <c r="B120" s="18"/>
      <c r="C120" s="18"/>
      <c r="D120" s="5"/>
      <c r="E120" s="18">
        <f t="shared" si="2"/>
        <v>600</v>
      </c>
      <c r="K120" s="18"/>
      <c r="L120" s="18"/>
    </row>
    <row r="121" ht="15.75" customHeight="1">
      <c r="A121" s="19" t="s">
        <v>71</v>
      </c>
      <c r="B121" s="18"/>
      <c r="C121" s="18"/>
      <c r="D121" s="19"/>
      <c r="E121" s="18">
        <f t="shared" si="2"/>
        <v>600</v>
      </c>
      <c r="K121" s="18"/>
      <c r="L121" s="18"/>
    </row>
    <row r="122" ht="15.75" customHeight="1">
      <c r="A122" s="19" t="s">
        <v>81</v>
      </c>
      <c r="B122" s="18"/>
      <c r="C122" s="18"/>
      <c r="D122" s="19"/>
      <c r="E122" s="18">
        <f t="shared" si="2"/>
        <v>600</v>
      </c>
      <c r="K122" s="18"/>
      <c r="L122" s="18"/>
    </row>
    <row r="123" ht="15.75" customHeight="1">
      <c r="A123" s="5" t="s">
        <v>82</v>
      </c>
      <c r="B123" s="18"/>
      <c r="C123" s="18"/>
      <c r="D123" s="5"/>
      <c r="E123" s="18">
        <f t="shared" si="2"/>
        <v>600</v>
      </c>
      <c r="K123" s="18"/>
      <c r="L123" s="18"/>
    </row>
    <row r="124" ht="15.75" customHeight="1">
      <c r="A124" s="5" t="s">
        <v>86</v>
      </c>
      <c r="B124" s="18"/>
      <c r="C124" s="18"/>
      <c r="D124" s="5"/>
      <c r="E124" s="18">
        <f t="shared" si="2"/>
        <v>600</v>
      </c>
      <c r="K124" s="18"/>
      <c r="L124" s="18"/>
    </row>
    <row r="125" ht="15.75" customHeight="1">
      <c r="A125" s="5" t="s">
        <v>87</v>
      </c>
      <c r="B125" s="18"/>
      <c r="C125" s="18"/>
      <c r="D125" s="5"/>
      <c r="E125" s="18">
        <f t="shared" si="2"/>
        <v>600</v>
      </c>
      <c r="K125" s="18"/>
      <c r="L125" s="18"/>
    </row>
    <row r="126" ht="15.75" customHeight="1">
      <c r="A126" s="22" t="s">
        <v>90</v>
      </c>
      <c r="B126" s="18"/>
      <c r="C126" s="18"/>
      <c r="D126" s="22"/>
      <c r="E126" s="18">
        <f t="shared" si="2"/>
        <v>600</v>
      </c>
      <c r="K126" s="18"/>
      <c r="L126" s="18"/>
    </row>
    <row r="127" ht="15.75" customHeight="1">
      <c r="A127" s="5" t="s">
        <v>92</v>
      </c>
      <c r="B127" s="18"/>
      <c r="C127" s="18"/>
      <c r="D127" s="5"/>
      <c r="E127" s="18">
        <f t="shared" si="2"/>
        <v>600</v>
      </c>
      <c r="K127" s="18"/>
      <c r="L127" s="18"/>
    </row>
    <row r="128" ht="15.75" customHeight="1">
      <c r="A128" s="5" t="s">
        <v>97</v>
      </c>
      <c r="B128" s="18"/>
      <c r="C128" s="18"/>
      <c r="D128" s="5"/>
      <c r="E128" s="18">
        <f t="shared" si="2"/>
        <v>600</v>
      </c>
      <c r="K128" s="18"/>
      <c r="L128" s="18"/>
    </row>
    <row r="129" ht="15.75" customHeight="1">
      <c r="A129" s="19" t="s">
        <v>103</v>
      </c>
      <c r="B129" s="18"/>
      <c r="C129" s="18"/>
      <c r="D129" s="19"/>
      <c r="E129" s="18">
        <f t="shared" si="2"/>
        <v>600</v>
      </c>
      <c r="K129" s="18"/>
      <c r="L129" s="18"/>
    </row>
    <row r="130" ht="15.75" customHeight="1">
      <c r="A130" s="19" t="s">
        <v>105</v>
      </c>
      <c r="B130" s="18"/>
      <c r="C130" s="18"/>
      <c r="D130" s="19"/>
      <c r="E130" s="18">
        <f t="shared" si="2"/>
        <v>600</v>
      </c>
      <c r="K130" s="18"/>
      <c r="L130" s="18"/>
    </row>
    <row r="131" ht="15.75" customHeight="1">
      <c r="A131" s="19" t="s">
        <v>110</v>
      </c>
      <c r="B131" s="18"/>
      <c r="C131" s="18"/>
      <c r="D131" s="19"/>
      <c r="E131" s="18">
        <f t="shared" si="2"/>
        <v>600</v>
      </c>
      <c r="K131" s="18"/>
      <c r="L131" s="18"/>
    </row>
    <row r="132" ht="15.75" customHeight="1">
      <c r="A132" s="5" t="s">
        <v>112</v>
      </c>
      <c r="B132" s="18"/>
      <c r="C132" s="18"/>
      <c r="D132" s="5"/>
      <c r="E132" s="18">
        <f t="shared" si="2"/>
        <v>600</v>
      </c>
      <c r="K132" s="18"/>
      <c r="L132" s="18"/>
    </row>
    <row r="133" ht="15.75" customHeight="1">
      <c r="A133" s="5" t="s">
        <v>119</v>
      </c>
      <c r="B133" s="18"/>
      <c r="C133" s="18"/>
      <c r="D133" s="5"/>
      <c r="E133" s="18">
        <f t="shared" si="2"/>
        <v>600</v>
      </c>
      <c r="K133" s="18"/>
      <c r="L133" s="18"/>
    </row>
    <row r="134" ht="15.75" customHeight="1">
      <c r="A134" s="5" t="s">
        <v>123</v>
      </c>
      <c r="B134" s="18"/>
      <c r="C134" s="18"/>
      <c r="D134" s="5"/>
      <c r="E134" s="18">
        <f t="shared" si="2"/>
        <v>600</v>
      </c>
      <c r="K134" s="18"/>
      <c r="L134" s="18"/>
    </row>
    <row r="135" ht="15.75" customHeight="1">
      <c r="A135" s="19" t="s">
        <v>128</v>
      </c>
      <c r="B135" s="18"/>
      <c r="C135" s="18"/>
      <c r="D135" s="19"/>
      <c r="E135" s="18">
        <f t="shared" si="2"/>
        <v>600</v>
      </c>
      <c r="K135" s="18"/>
      <c r="L135" s="18"/>
    </row>
    <row r="136" ht="15.75" customHeight="1">
      <c r="A136" s="19" t="s">
        <v>130</v>
      </c>
      <c r="B136" s="18"/>
      <c r="C136" s="18"/>
      <c r="D136" s="19"/>
      <c r="E136" s="18">
        <f t="shared" si="2"/>
        <v>600</v>
      </c>
      <c r="K136" s="18"/>
      <c r="L136" s="18"/>
    </row>
    <row r="137" ht="15.75" customHeight="1">
      <c r="A137" s="19" t="s">
        <v>145</v>
      </c>
      <c r="B137" s="18"/>
      <c r="C137" s="18"/>
      <c r="D137" s="19"/>
      <c r="E137" s="18">
        <f t="shared" si="2"/>
        <v>600</v>
      </c>
      <c r="K137" s="18"/>
      <c r="L137" s="18"/>
    </row>
    <row r="138" ht="15.75" customHeight="1">
      <c r="A138" s="5" t="s">
        <v>146</v>
      </c>
      <c r="B138" s="18"/>
      <c r="C138" s="18"/>
      <c r="D138" s="5"/>
      <c r="E138" s="18">
        <f t="shared" si="2"/>
        <v>600</v>
      </c>
      <c r="K138" s="18"/>
      <c r="L138" s="18"/>
    </row>
    <row r="139" ht="15.75" customHeight="1">
      <c r="A139" s="19" t="s">
        <v>147</v>
      </c>
      <c r="B139" s="18"/>
      <c r="C139" s="18"/>
      <c r="D139" s="19"/>
      <c r="E139" s="18">
        <f t="shared" si="2"/>
        <v>600</v>
      </c>
      <c r="K139" s="18"/>
      <c r="L139" s="18"/>
    </row>
    <row r="140" ht="15.75" customHeight="1">
      <c r="A140" s="5" t="s">
        <v>148</v>
      </c>
      <c r="B140" s="18"/>
      <c r="C140" s="18"/>
      <c r="D140" s="5"/>
      <c r="E140" s="18">
        <f t="shared" si="2"/>
        <v>600</v>
      </c>
      <c r="K140" s="18"/>
      <c r="L140" s="18"/>
    </row>
    <row r="141" ht="15.75" customHeight="1">
      <c r="A141" s="19" t="s">
        <v>152</v>
      </c>
      <c r="B141" s="18"/>
      <c r="C141" s="18"/>
      <c r="D141" s="19"/>
      <c r="E141" s="18">
        <f t="shared" si="2"/>
        <v>600</v>
      </c>
      <c r="K141" s="18"/>
      <c r="L141" s="18"/>
    </row>
    <row r="142" ht="15.75" customHeight="1">
      <c r="A142" s="22" t="s">
        <v>160</v>
      </c>
      <c r="B142" s="18"/>
      <c r="C142" s="18"/>
      <c r="D142" s="22"/>
      <c r="E142" s="18">
        <f t="shared" si="2"/>
        <v>600</v>
      </c>
      <c r="K142" s="18"/>
      <c r="L142" s="18"/>
    </row>
    <row r="143" ht="15.75" customHeight="1">
      <c r="A143" s="19" t="s">
        <v>163</v>
      </c>
      <c r="B143" s="18"/>
      <c r="C143" s="18"/>
      <c r="D143" s="19"/>
      <c r="E143" s="18">
        <f t="shared" si="2"/>
        <v>600</v>
      </c>
      <c r="K143" s="18"/>
      <c r="L143" s="18"/>
    </row>
    <row r="144" ht="15.75" customHeight="1">
      <c r="A144" s="22" t="s">
        <v>166</v>
      </c>
      <c r="B144" s="18"/>
      <c r="C144" s="18"/>
      <c r="D144" s="22"/>
      <c r="E144" s="18">
        <f t="shared" si="2"/>
        <v>600</v>
      </c>
      <c r="K144" s="18"/>
      <c r="L144" s="18"/>
    </row>
    <row r="145" ht="15.75" customHeight="1">
      <c r="A145" s="19" t="s">
        <v>170</v>
      </c>
      <c r="B145" s="18"/>
      <c r="C145" s="18"/>
      <c r="D145" s="19"/>
      <c r="E145" s="18">
        <f t="shared" si="2"/>
        <v>600</v>
      </c>
      <c r="K145" s="18"/>
      <c r="L145" s="18"/>
    </row>
    <row r="146" ht="15.75" customHeight="1">
      <c r="A146" s="23" t="s">
        <v>165</v>
      </c>
      <c r="B146" s="18"/>
      <c r="C146" s="18"/>
      <c r="D146" s="23"/>
      <c r="E146" s="18"/>
      <c r="K146" s="18"/>
      <c r="L146" s="1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2:J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8" max="8" width="9.75"/>
    <col customWidth="1" min="9" max="9" width="13.63"/>
    <col customWidth="1" min="10" max="10" width="13.38"/>
    <col customWidth="1" min="17" max="17" width="3.0"/>
    <col customWidth="1" min="18" max="18" width="4.75"/>
    <col customWidth="1" min="19" max="19" width="14.88"/>
    <col customWidth="1" min="20" max="20" width="12.38"/>
    <col customWidth="1" min="21" max="21" width="13.25"/>
    <col customWidth="1" min="22" max="22" width="12.38"/>
    <col customWidth="1" min="27" max="27" width="2.38"/>
  </cols>
  <sheetData>
    <row r="1" ht="15.75" customHeight="1">
      <c r="A1" s="135" t="s">
        <v>205</v>
      </c>
      <c r="B1" s="135" t="s">
        <v>206</v>
      </c>
      <c r="C1" s="135" t="s">
        <v>207</v>
      </c>
      <c r="D1" s="135" t="s">
        <v>208</v>
      </c>
      <c r="E1" s="135" t="s">
        <v>209</v>
      </c>
      <c r="F1" s="135" t="s">
        <v>210</v>
      </c>
      <c r="G1" s="135" t="s">
        <v>211</v>
      </c>
      <c r="J1" s="171" t="s">
        <v>205</v>
      </c>
      <c r="K1" s="171" t="s">
        <v>206</v>
      </c>
      <c r="L1" s="171" t="s">
        <v>207</v>
      </c>
      <c r="M1" s="171" t="s">
        <v>208</v>
      </c>
      <c r="N1" s="171" t="s">
        <v>209</v>
      </c>
      <c r="O1" s="171" t="s">
        <v>210</v>
      </c>
      <c r="P1" s="171" t="s">
        <v>211</v>
      </c>
      <c r="R1" s="71"/>
      <c r="S1" s="172"/>
      <c r="T1" s="171" t="s">
        <v>205</v>
      </c>
      <c r="U1" s="171" t="s">
        <v>206</v>
      </c>
      <c r="V1" s="171" t="s">
        <v>207</v>
      </c>
      <c r="W1" s="171" t="s">
        <v>208</v>
      </c>
      <c r="X1" s="171" t="s">
        <v>209</v>
      </c>
      <c r="Y1" s="171" t="s">
        <v>210</v>
      </c>
      <c r="Z1" s="171" t="s">
        <v>211</v>
      </c>
      <c r="AA1" s="71"/>
    </row>
    <row r="2" ht="15.75" customHeight="1">
      <c r="A2" s="149">
        <v>0.3125</v>
      </c>
      <c r="B2" s="149">
        <v>0.3125</v>
      </c>
      <c r="C2" s="149">
        <v>0.3125</v>
      </c>
      <c r="D2" s="149">
        <v>0.3125</v>
      </c>
      <c r="E2" s="149">
        <v>0.3125</v>
      </c>
      <c r="F2" s="149">
        <v>0.3125</v>
      </c>
      <c r="G2" s="149">
        <v>0.3125</v>
      </c>
      <c r="I2" s="173" t="s">
        <v>104</v>
      </c>
      <c r="J2" s="174">
        <v>44753.0</v>
      </c>
      <c r="K2" s="174">
        <v>44753.0</v>
      </c>
      <c r="L2" s="174">
        <v>44753.0</v>
      </c>
      <c r="M2" s="174">
        <v>44753.0</v>
      </c>
      <c r="N2" s="174">
        <v>44753.0</v>
      </c>
      <c r="O2" s="174">
        <v>44753.0</v>
      </c>
      <c r="P2" s="174">
        <v>44753.0</v>
      </c>
      <c r="Q2" s="175"/>
      <c r="R2" s="141"/>
      <c r="S2" s="176" t="s">
        <v>40</v>
      </c>
      <c r="T2" s="177" t="s">
        <v>221</v>
      </c>
      <c r="U2" s="174">
        <v>44752.0</v>
      </c>
      <c r="V2" s="174">
        <v>44752.0</v>
      </c>
      <c r="W2" s="174">
        <v>44752.0</v>
      </c>
      <c r="X2" s="177" t="s">
        <v>213</v>
      </c>
      <c r="Y2" s="177" t="s">
        <v>222</v>
      </c>
      <c r="Z2" s="177" t="s">
        <v>222</v>
      </c>
      <c r="AA2" s="178"/>
    </row>
    <row r="3" ht="15.75" customHeight="1">
      <c r="A3" s="18">
        <v>7.0</v>
      </c>
      <c r="B3" s="18">
        <v>7.0</v>
      </c>
      <c r="C3" s="18">
        <v>7.0</v>
      </c>
      <c r="D3" s="18">
        <v>7.0</v>
      </c>
      <c r="E3" s="18">
        <v>7.0</v>
      </c>
      <c r="F3" s="18">
        <v>7.0</v>
      </c>
      <c r="G3" s="18">
        <v>7.0</v>
      </c>
      <c r="I3" s="179" t="s">
        <v>157</v>
      </c>
      <c r="J3" s="180">
        <v>44752.0</v>
      </c>
      <c r="K3" s="180">
        <v>44752.0</v>
      </c>
      <c r="L3" s="180">
        <v>44752.0</v>
      </c>
      <c r="M3" s="180">
        <v>44752.0</v>
      </c>
      <c r="N3" s="180">
        <v>44752.0</v>
      </c>
      <c r="O3" s="180">
        <v>44752.0</v>
      </c>
      <c r="P3" s="180">
        <v>44752.0</v>
      </c>
      <c r="Q3" s="181"/>
      <c r="S3" s="182" t="s">
        <v>134</v>
      </c>
      <c r="T3" s="180">
        <v>44753.0</v>
      </c>
      <c r="U3" s="180">
        <v>44753.0</v>
      </c>
      <c r="V3" s="180">
        <v>44751.0</v>
      </c>
      <c r="W3" s="180">
        <v>44751.0</v>
      </c>
      <c r="X3" s="180">
        <v>44751.0</v>
      </c>
      <c r="Y3" s="21" t="s">
        <v>227</v>
      </c>
      <c r="Z3" s="180">
        <v>44751.0</v>
      </c>
      <c r="AA3" s="183"/>
    </row>
    <row r="4" ht="15.75" customHeight="1">
      <c r="A4" s="18">
        <v>8.0</v>
      </c>
      <c r="B4" s="18">
        <v>7.0</v>
      </c>
      <c r="C4" s="18">
        <v>7.0</v>
      </c>
      <c r="D4" s="18">
        <v>8.0</v>
      </c>
      <c r="E4" s="18">
        <v>8.0</v>
      </c>
      <c r="F4" s="18">
        <v>8.0</v>
      </c>
      <c r="G4" s="18">
        <v>7.0</v>
      </c>
      <c r="I4" s="179" t="s">
        <v>69</v>
      </c>
      <c r="J4" s="21" t="s">
        <v>222</v>
      </c>
      <c r="K4" s="180">
        <v>44753.0</v>
      </c>
      <c r="L4" s="180">
        <v>44753.0</v>
      </c>
      <c r="M4" s="180">
        <v>44753.0</v>
      </c>
      <c r="N4" s="180">
        <v>44753.0</v>
      </c>
      <c r="O4" s="180">
        <v>44753.0</v>
      </c>
      <c r="P4" s="180">
        <v>44753.0</v>
      </c>
      <c r="Q4" s="181"/>
      <c r="S4" s="182" t="s">
        <v>217</v>
      </c>
      <c r="T4" s="21">
        <v>8.0</v>
      </c>
      <c r="U4" s="21">
        <v>8.0</v>
      </c>
      <c r="V4" s="21">
        <v>8.0</v>
      </c>
      <c r="W4" s="21">
        <v>8.0</v>
      </c>
      <c r="X4" s="21">
        <v>8.0</v>
      </c>
      <c r="Y4" s="21">
        <v>8.0</v>
      </c>
      <c r="Z4" s="21">
        <v>8.0</v>
      </c>
      <c r="AA4" s="183"/>
    </row>
    <row r="5" ht="15.75" customHeight="1">
      <c r="A5" s="18">
        <v>8.0</v>
      </c>
      <c r="B5" s="18">
        <v>7.0</v>
      </c>
      <c r="C5" s="18">
        <v>8.0</v>
      </c>
      <c r="D5" s="18">
        <v>8.0</v>
      </c>
      <c r="E5" s="18">
        <v>8.0</v>
      </c>
      <c r="F5" s="18">
        <v>8.0</v>
      </c>
      <c r="G5" s="18">
        <v>8.0</v>
      </c>
      <c r="I5" s="184" t="s">
        <v>108</v>
      </c>
      <c r="J5" s="185" t="s">
        <v>253</v>
      </c>
      <c r="K5" s="185" t="s">
        <v>253</v>
      </c>
      <c r="L5" s="185" t="s">
        <v>253</v>
      </c>
      <c r="M5" s="185" t="s">
        <v>253</v>
      </c>
      <c r="N5" s="185" t="s">
        <v>253</v>
      </c>
      <c r="O5" s="185" t="s">
        <v>253</v>
      </c>
      <c r="P5" s="185" t="s">
        <v>254</v>
      </c>
      <c r="Q5" s="181"/>
      <c r="S5" s="184" t="s">
        <v>141</v>
      </c>
      <c r="T5" s="180">
        <v>44753.0</v>
      </c>
      <c r="U5" s="180">
        <v>44784.0</v>
      </c>
      <c r="V5" s="180">
        <v>44815.0</v>
      </c>
      <c r="W5" s="180">
        <v>44784.0</v>
      </c>
      <c r="X5" s="180">
        <v>44815.0</v>
      </c>
      <c r="Y5" s="180">
        <v>44753.0</v>
      </c>
      <c r="Z5" s="180">
        <v>44753.0</v>
      </c>
      <c r="AA5" s="183"/>
    </row>
    <row r="6" ht="15.75" customHeight="1">
      <c r="A6" s="18">
        <v>9.0</v>
      </c>
      <c r="B6" s="18">
        <v>8.0</v>
      </c>
      <c r="C6" s="18">
        <v>8.0</v>
      </c>
      <c r="D6" s="18">
        <v>9.0</v>
      </c>
      <c r="E6" s="18">
        <v>9.0</v>
      </c>
      <c r="F6" s="18">
        <v>9.0</v>
      </c>
      <c r="G6" s="18">
        <v>8.0</v>
      </c>
      <c r="I6" s="186"/>
      <c r="J6" s="187" t="s">
        <v>255</v>
      </c>
      <c r="K6" s="188">
        <v>44783.0</v>
      </c>
      <c r="L6" s="188">
        <v>44783.0</v>
      </c>
      <c r="M6" s="188">
        <v>44783.0</v>
      </c>
      <c r="N6" s="188">
        <v>44783.0</v>
      </c>
      <c r="O6" s="188">
        <v>44783.0</v>
      </c>
      <c r="P6" s="188">
        <v>44783.0</v>
      </c>
      <c r="Q6" s="189"/>
      <c r="S6" s="186"/>
      <c r="T6" s="190" t="s">
        <v>234</v>
      </c>
      <c r="U6" s="191">
        <v>44783.0</v>
      </c>
      <c r="V6" s="191">
        <v>44782.0</v>
      </c>
      <c r="W6" s="191">
        <v>44782.0</v>
      </c>
      <c r="X6" s="191">
        <v>44782.0</v>
      </c>
      <c r="Y6" s="192" t="s">
        <v>232</v>
      </c>
      <c r="Z6" s="193">
        <v>44783.0</v>
      </c>
      <c r="AA6" s="194"/>
    </row>
    <row r="7" ht="15.75" customHeight="1">
      <c r="A7" s="18">
        <v>11.0</v>
      </c>
      <c r="B7" s="18">
        <v>8.0</v>
      </c>
      <c r="C7" s="141">
        <v>44750.0</v>
      </c>
      <c r="D7" s="18">
        <v>11.0</v>
      </c>
      <c r="E7" s="18">
        <v>11.0</v>
      </c>
      <c r="F7" s="18">
        <v>11.0</v>
      </c>
      <c r="G7" s="141">
        <v>44750.0</v>
      </c>
      <c r="I7" s="173" t="s">
        <v>155</v>
      </c>
      <c r="J7" s="177" t="s">
        <v>221</v>
      </c>
      <c r="K7" s="177" t="s">
        <v>222</v>
      </c>
      <c r="L7" s="177" t="s">
        <v>221</v>
      </c>
      <c r="M7" s="177" t="s">
        <v>228</v>
      </c>
      <c r="N7" s="177" t="s">
        <v>221</v>
      </c>
      <c r="O7" s="174">
        <v>44751.0</v>
      </c>
      <c r="P7" s="174">
        <v>44753.0</v>
      </c>
      <c r="Q7" s="175"/>
      <c r="S7" s="176" t="s">
        <v>57</v>
      </c>
      <c r="T7" s="174">
        <v>44753.0</v>
      </c>
      <c r="U7" s="174">
        <v>44753.0</v>
      </c>
      <c r="V7" s="174">
        <v>44753.0</v>
      </c>
      <c r="W7" s="174">
        <v>44753.0</v>
      </c>
      <c r="X7" s="174">
        <v>44753.0</v>
      </c>
      <c r="Y7" s="174">
        <v>44753.0</v>
      </c>
      <c r="Z7" s="174">
        <v>44753.0</v>
      </c>
      <c r="AA7" s="178"/>
    </row>
    <row r="8" ht="15.75" customHeight="1">
      <c r="A8" s="141">
        <v>44750.0</v>
      </c>
      <c r="B8" s="141">
        <v>44750.0</v>
      </c>
      <c r="C8" s="141">
        <v>44750.0</v>
      </c>
      <c r="D8" s="141">
        <v>44750.0</v>
      </c>
      <c r="E8" s="18">
        <v>911.0</v>
      </c>
      <c r="F8" s="141">
        <v>44750.0</v>
      </c>
      <c r="G8" s="141">
        <v>44750.0</v>
      </c>
      <c r="I8" s="179" t="s">
        <v>226</v>
      </c>
      <c r="J8" s="180">
        <v>44753.0</v>
      </c>
      <c r="K8" s="21" t="s">
        <v>222</v>
      </c>
      <c r="L8" s="180">
        <v>44753.0</v>
      </c>
      <c r="M8" s="180">
        <v>44753.0</v>
      </c>
      <c r="N8" s="180">
        <v>44753.0</v>
      </c>
      <c r="O8" s="180">
        <v>44753.0</v>
      </c>
      <c r="P8" s="180">
        <v>44753.0</v>
      </c>
      <c r="Q8" s="181"/>
      <c r="S8" s="182" t="s">
        <v>113</v>
      </c>
      <c r="T8" s="180">
        <v>44753.0</v>
      </c>
      <c r="U8" s="21" t="s">
        <v>222</v>
      </c>
      <c r="V8" s="21" t="s">
        <v>222</v>
      </c>
      <c r="W8" s="21" t="s">
        <v>222</v>
      </c>
      <c r="X8" s="21" t="s">
        <v>222</v>
      </c>
      <c r="Y8" s="180">
        <v>44753.0</v>
      </c>
      <c r="Z8" s="180">
        <v>44753.0</v>
      </c>
      <c r="AA8" s="183"/>
    </row>
    <row r="9" ht="15.75" customHeight="1">
      <c r="A9" s="141">
        <v>44750.0</v>
      </c>
      <c r="B9" s="141">
        <v>44750.0</v>
      </c>
      <c r="C9" s="141">
        <v>44750.0</v>
      </c>
      <c r="D9" s="141">
        <v>44750.0</v>
      </c>
      <c r="E9" s="141">
        <v>44750.0</v>
      </c>
      <c r="F9" s="141">
        <v>44750.0</v>
      </c>
      <c r="G9" s="141">
        <v>44750.0</v>
      </c>
      <c r="I9" s="195" t="s">
        <v>27</v>
      </c>
      <c r="J9" s="180">
        <v>44750.0</v>
      </c>
      <c r="K9" s="21">
        <v>7.0</v>
      </c>
      <c r="L9" s="180">
        <v>44750.0</v>
      </c>
      <c r="M9" s="21">
        <v>7.0</v>
      </c>
      <c r="N9" s="180">
        <v>44750.0</v>
      </c>
      <c r="O9" s="21">
        <v>7.0</v>
      </c>
      <c r="P9" s="180">
        <v>44750.0</v>
      </c>
      <c r="Q9" s="181"/>
      <c r="S9" s="196" t="s">
        <v>79</v>
      </c>
      <c r="T9" s="21" t="s">
        <v>228</v>
      </c>
      <c r="U9" s="21" t="s">
        <v>228</v>
      </c>
      <c r="V9" s="21" t="s">
        <v>228</v>
      </c>
      <c r="W9" s="21" t="s">
        <v>228</v>
      </c>
      <c r="X9" s="21" t="s">
        <v>228</v>
      </c>
      <c r="Y9" s="21" t="s">
        <v>228</v>
      </c>
      <c r="Z9" s="21" t="s">
        <v>228</v>
      </c>
      <c r="AA9" s="183"/>
    </row>
    <row r="10" ht="15.75" customHeight="1">
      <c r="A10" s="141">
        <v>44750.0</v>
      </c>
      <c r="B10" s="141">
        <v>44750.0</v>
      </c>
      <c r="C10" s="141">
        <v>44750.0</v>
      </c>
      <c r="D10" s="141">
        <v>44750.0</v>
      </c>
      <c r="E10" s="141">
        <v>44750.0</v>
      </c>
      <c r="F10" s="141">
        <v>44750.0</v>
      </c>
      <c r="G10" s="141">
        <v>44751.0</v>
      </c>
      <c r="I10" s="195" t="s">
        <v>139</v>
      </c>
      <c r="J10" s="180">
        <v>44753.0</v>
      </c>
      <c r="K10" s="180">
        <v>44753.0</v>
      </c>
      <c r="L10" s="180">
        <v>44845.0</v>
      </c>
      <c r="M10" s="180">
        <v>44753.0</v>
      </c>
      <c r="N10" s="180">
        <v>44753.0</v>
      </c>
      <c r="O10" s="180">
        <v>44753.0</v>
      </c>
      <c r="P10" s="180">
        <v>44845.0</v>
      </c>
      <c r="Q10" s="181"/>
      <c r="S10" s="182" t="s">
        <v>172</v>
      </c>
      <c r="T10" s="180">
        <v>44753.0</v>
      </c>
      <c r="U10" s="21" t="s">
        <v>222</v>
      </c>
      <c r="V10" s="21" t="s">
        <v>222</v>
      </c>
      <c r="W10" s="21" t="s">
        <v>222</v>
      </c>
      <c r="X10" s="21" t="s">
        <v>222</v>
      </c>
      <c r="Y10" s="21" t="s">
        <v>221</v>
      </c>
      <c r="Z10" s="180">
        <v>44751.0</v>
      </c>
      <c r="AA10" s="183"/>
    </row>
    <row r="11" ht="15.75" customHeight="1">
      <c r="A11" s="141">
        <v>44750.0</v>
      </c>
      <c r="B11" s="141">
        <v>44750.0</v>
      </c>
      <c r="C11" s="141">
        <v>44750.0</v>
      </c>
      <c r="D11" s="141">
        <v>44750.0</v>
      </c>
      <c r="E11" s="141">
        <v>44750.0</v>
      </c>
      <c r="F11" s="141">
        <v>44750.0</v>
      </c>
      <c r="G11" s="141">
        <v>44751.0</v>
      </c>
      <c r="I11" s="186"/>
      <c r="J11" s="188">
        <v>44750.0</v>
      </c>
      <c r="K11" s="187" t="s">
        <v>256</v>
      </c>
      <c r="L11" s="197">
        <v>44845.0</v>
      </c>
      <c r="M11" s="198" t="s">
        <v>228</v>
      </c>
      <c r="N11" s="199" t="s">
        <v>221</v>
      </c>
      <c r="O11" s="188">
        <v>44751.0</v>
      </c>
      <c r="P11" s="200">
        <v>44845.0</v>
      </c>
      <c r="Q11" s="189"/>
      <c r="S11" s="186"/>
      <c r="T11" s="190" t="s">
        <v>228</v>
      </c>
      <c r="U11" s="201" t="s">
        <v>255</v>
      </c>
      <c r="V11" s="201" t="s">
        <v>255</v>
      </c>
      <c r="W11" s="201" t="s">
        <v>255</v>
      </c>
      <c r="X11" s="201" t="s">
        <v>255</v>
      </c>
      <c r="Y11" s="202" t="s">
        <v>228</v>
      </c>
      <c r="Z11" s="202" t="s">
        <v>233</v>
      </c>
      <c r="AA11" s="194"/>
    </row>
    <row r="12" ht="15.75" customHeight="1">
      <c r="A12" s="141">
        <v>44750.0</v>
      </c>
      <c r="B12" s="141">
        <v>44750.0</v>
      </c>
      <c r="C12" s="141">
        <v>44750.0</v>
      </c>
      <c r="D12" s="141">
        <v>44750.0</v>
      </c>
      <c r="E12" s="141">
        <v>44750.0</v>
      </c>
      <c r="F12" s="141">
        <v>44750.0</v>
      </c>
      <c r="G12" s="141">
        <v>44751.0</v>
      </c>
      <c r="I12" s="173" t="s">
        <v>42</v>
      </c>
      <c r="J12" s="174">
        <v>44753.0</v>
      </c>
      <c r="K12" s="174">
        <v>44753.0</v>
      </c>
      <c r="L12" s="174">
        <v>44753.0</v>
      </c>
      <c r="M12" s="174">
        <v>44753.0</v>
      </c>
      <c r="N12" s="174">
        <v>44753.0</v>
      </c>
      <c r="O12" s="174">
        <v>44753.0</v>
      </c>
      <c r="P12" s="174">
        <v>44753.0</v>
      </c>
      <c r="Q12" s="203"/>
      <c r="S12" s="176" t="s">
        <v>193</v>
      </c>
      <c r="T12" s="177">
        <v>7.0</v>
      </c>
      <c r="U12" s="177">
        <v>7.0</v>
      </c>
      <c r="V12" s="177">
        <v>7.0</v>
      </c>
      <c r="W12" s="174">
        <v>44750.0</v>
      </c>
      <c r="X12" s="177">
        <v>7.0</v>
      </c>
      <c r="Y12" s="174">
        <v>44750.0</v>
      </c>
      <c r="Z12" s="177">
        <v>7.0</v>
      </c>
      <c r="AA12" s="178"/>
    </row>
    <row r="13" ht="15.75" customHeight="1">
      <c r="A13" s="141">
        <v>44750.0</v>
      </c>
      <c r="B13" s="141">
        <v>44751.0</v>
      </c>
      <c r="C13" s="141">
        <v>44750.0</v>
      </c>
      <c r="D13" s="141">
        <v>44750.0</v>
      </c>
      <c r="E13" s="141">
        <v>44750.0</v>
      </c>
      <c r="F13" s="141">
        <v>44751.0</v>
      </c>
      <c r="G13" s="141">
        <v>44751.0</v>
      </c>
      <c r="I13" s="179" t="s">
        <v>115</v>
      </c>
      <c r="J13" s="21" t="s">
        <v>220</v>
      </c>
      <c r="K13" s="21" t="s">
        <v>220</v>
      </c>
      <c r="L13" s="21" t="s">
        <v>220</v>
      </c>
      <c r="M13" s="21" t="s">
        <v>220</v>
      </c>
      <c r="N13" s="21" t="s">
        <v>220</v>
      </c>
      <c r="O13" s="21" t="s">
        <v>220</v>
      </c>
      <c r="P13" s="21" t="s">
        <v>220</v>
      </c>
      <c r="Q13" s="204"/>
      <c r="R13" s="141"/>
      <c r="S13" s="182" t="s">
        <v>47</v>
      </c>
      <c r="T13" s="180">
        <v>44815.0</v>
      </c>
      <c r="U13" s="180">
        <v>44815.0</v>
      </c>
      <c r="V13" s="180">
        <v>44815.0</v>
      </c>
      <c r="W13" s="180">
        <v>44815.0</v>
      </c>
      <c r="X13" s="180">
        <v>44815.0</v>
      </c>
      <c r="Y13" s="180">
        <v>44815.0</v>
      </c>
      <c r="Z13" s="180">
        <v>44815.0</v>
      </c>
      <c r="AA13" s="183"/>
    </row>
    <row r="14" ht="15.75" customHeight="1">
      <c r="A14" s="141">
        <v>44751.0</v>
      </c>
      <c r="B14" s="141">
        <v>44751.0</v>
      </c>
      <c r="C14" s="141">
        <v>44751.0</v>
      </c>
      <c r="D14" s="141">
        <v>44750.0</v>
      </c>
      <c r="E14" s="141">
        <v>44750.0</v>
      </c>
      <c r="F14" s="141">
        <v>44751.0</v>
      </c>
      <c r="G14" s="141">
        <v>44752.0</v>
      </c>
      <c r="I14" s="179" t="s">
        <v>125</v>
      </c>
      <c r="J14" s="21" t="s">
        <v>222</v>
      </c>
      <c r="K14" s="21" t="s">
        <v>235</v>
      </c>
      <c r="L14" s="21" t="s">
        <v>235</v>
      </c>
      <c r="M14" s="21" t="s">
        <v>235</v>
      </c>
      <c r="N14" s="21" t="s">
        <v>235</v>
      </c>
      <c r="O14" s="21" t="s">
        <v>235</v>
      </c>
      <c r="P14" s="21" t="s">
        <v>222</v>
      </c>
      <c r="Q14" s="204"/>
      <c r="R14" s="141"/>
      <c r="S14" s="182" t="s">
        <v>126</v>
      </c>
      <c r="T14" s="21" t="s">
        <v>221</v>
      </c>
      <c r="U14" s="180">
        <v>44814.0</v>
      </c>
      <c r="V14" s="21" t="s">
        <v>222</v>
      </c>
      <c r="W14" s="21" t="s">
        <v>222</v>
      </c>
      <c r="X14" s="21" t="s">
        <v>222</v>
      </c>
      <c r="Y14" s="21" t="s">
        <v>222</v>
      </c>
      <c r="Z14" s="21" t="s">
        <v>221</v>
      </c>
      <c r="AA14" s="183"/>
    </row>
    <row r="15" ht="15.75" customHeight="1">
      <c r="A15" s="141">
        <v>44751.0</v>
      </c>
      <c r="B15" s="141">
        <v>44753.0</v>
      </c>
      <c r="C15" s="141">
        <v>44751.0</v>
      </c>
      <c r="D15" s="141">
        <v>44751.0</v>
      </c>
      <c r="E15" s="141">
        <v>44750.0</v>
      </c>
      <c r="F15" s="141">
        <v>44751.0</v>
      </c>
      <c r="G15" s="141">
        <v>44753.0</v>
      </c>
      <c r="I15" s="184" t="s">
        <v>165</v>
      </c>
      <c r="J15" s="21" t="s">
        <v>230</v>
      </c>
      <c r="K15" s="205" t="s">
        <v>230</v>
      </c>
      <c r="L15" s="205" t="s">
        <v>230</v>
      </c>
      <c r="M15" s="205" t="s">
        <v>230</v>
      </c>
      <c r="N15" s="205" t="s">
        <v>230</v>
      </c>
      <c r="O15" s="205" t="s">
        <v>230</v>
      </c>
      <c r="P15" s="21" t="s">
        <v>230</v>
      </c>
      <c r="Q15" s="204"/>
      <c r="R15" s="18"/>
      <c r="S15" s="182" t="s">
        <v>91</v>
      </c>
      <c r="T15" s="206">
        <v>0.3125</v>
      </c>
      <c r="U15" s="206">
        <v>0.3125</v>
      </c>
      <c r="V15" s="206">
        <v>0.3125</v>
      </c>
      <c r="W15" s="206">
        <v>0.3125</v>
      </c>
      <c r="X15" s="206">
        <v>0.3125</v>
      </c>
      <c r="Y15" s="206">
        <v>0.3125</v>
      </c>
      <c r="Z15" s="206">
        <v>0.3125</v>
      </c>
      <c r="AA15" s="183"/>
    </row>
    <row r="16" ht="15.75" customHeight="1">
      <c r="A16" s="141">
        <v>44753.0</v>
      </c>
      <c r="B16" s="141">
        <v>44753.0</v>
      </c>
      <c r="C16" s="141">
        <v>44753.0</v>
      </c>
      <c r="D16" s="141">
        <v>44751.0</v>
      </c>
      <c r="E16" s="141">
        <v>44751.0</v>
      </c>
      <c r="F16" s="141">
        <v>44752.0</v>
      </c>
      <c r="G16" s="141">
        <v>44753.0</v>
      </c>
      <c r="I16" s="207"/>
      <c r="J16" s="208" t="s">
        <v>230</v>
      </c>
      <c r="K16" s="199" t="s">
        <v>257</v>
      </c>
      <c r="L16" s="199" t="s">
        <v>257</v>
      </c>
      <c r="M16" s="199" t="s">
        <v>257</v>
      </c>
      <c r="N16" s="199" t="s">
        <v>257</v>
      </c>
      <c r="O16" s="199" t="s">
        <v>257</v>
      </c>
      <c r="P16" s="208" t="s">
        <v>230</v>
      </c>
      <c r="Q16" s="209"/>
      <c r="R16" s="141"/>
      <c r="S16" s="186"/>
      <c r="T16" s="190" t="s">
        <v>258</v>
      </c>
      <c r="U16" s="191">
        <v>44814.0</v>
      </c>
      <c r="V16" s="201" t="s">
        <v>255</v>
      </c>
      <c r="W16" s="201" t="s">
        <v>255</v>
      </c>
      <c r="X16" s="201" t="s">
        <v>255</v>
      </c>
      <c r="Y16" s="201" t="s">
        <v>255</v>
      </c>
      <c r="Z16" s="190" t="s">
        <v>258</v>
      </c>
      <c r="AA16" s="194"/>
    </row>
    <row r="17" ht="15.75" customHeight="1">
      <c r="A17" s="141">
        <v>44753.0</v>
      </c>
      <c r="B17" s="141">
        <v>44753.0</v>
      </c>
      <c r="C17" s="141">
        <v>44753.0</v>
      </c>
      <c r="D17" s="141">
        <v>44753.0</v>
      </c>
      <c r="E17" s="141">
        <v>44751.0</v>
      </c>
      <c r="F17" s="141">
        <v>44753.0</v>
      </c>
      <c r="G17" s="141">
        <v>44753.0</v>
      </c>
      <c r="I17" s="210" t="s">
        <v>37</v>
      </c>
      <c r="J17" s="180">
        <v>44845.0</v>
      </c>
      <c r="K17" s="180">
        <v>44845.0</v>
      </c>
      <c r="L17" s="180">
        <v>44845.0</v>
      </c>
      <c r="M17" s="180">
        <v>44845.0</v>
      </c>
      <c r="N17" s="180">
        <v>44845.0</v>
      </c>
      <c r="O17" s="180">
        <v>44845.0</v>
      </c>
      <c r="P17" s="180">
        <v>44845.0</v>
      </c>
      <c r="Q17" s="203"/>
      <c r="R17" s="18"/>
      <c r="S17" s="176" t="s">
        <v>259</v>
      </c>
      <c r="T17" s="177" t="s">
        <v>221</v>
      </c>
      <c r="U17" s="177" t="s">
        <v>221</v>
      </c>
      <c r="V17" s="177" t="s">
        <v>222</v>
      </c>
      <c r="W17" s="177" t="s">
        <v>222</v>
      </c>
      <c r="X17" s="177" t="s">
        <v>222</v>
      </c>
      <c r="Y17" s="177" t="s">
        <v>222</v>
      </c>
      <c r="Z17" s="177" t="s">
        <v>221</v>
      </c>
      <c r="AA17" s="178"/>
    </row>
    <row r="18" ht="15.75" customHeight="1">
      <c r="A18" s="141">
        <v>44753.0</v>
      </c>
      <c r="B18" s="141">
        <v>44753.0</v>
      </c>
      <c r="C18" s="141">
        <v>44753.0</v>
      </c>
      <c r="D18" s="141">
        <v>44753.0</v>
      </c>
      <c r="E18" s="141">
        <v>44753.0</v>
      </c>
      <c r="F18" s="141">
        <v>44753.0</v>
      </c>
      <c r="G18" s="141">
        <v>44753.0</v>
      </c>
      <c r="I18" s="182" t="s">
        <v>31</v>
      </c>
      <c r="J18" s="141">
        <v>44753.0</v>
      </c>
      <c r="K18" s="180">
        <v>44753.0</v>
      </c>
      <c r="L18" s="180">
        <v>44753.0</v>
      </c>
      <c r="M18" s="180">
        <v>44753.0</v>
      </c>
      <c r="N18" s="180">
        <v>44753.0</v>
      </c>
      <c r="O18" s="180">
        <v>44753.0</v>
      </c>
      <c r="P18" s="180">
        <v>44753.0</v>
      </c>
      <c r="Q18" s="204"/>
      <c r="R18" s="18"/>
      <c r="S18" s="182" t="s">
        <v>114</v>
      </c>
      <c r="T18" s="21">
        <v>8.0</v>
      </c>
      <c r="U18" s="21">
        <v>8.0</v>
      </c>
      <c r="V18" s="21">
        <v>8.0</v>
      </c>
      <c r="W18" s="21">
        <v>8.0</v>
      </c>
      <c r="X18" s="21">
        <v>8.0</v>
      </c>
      <c r="Y18" s="21">
        <v>8.0</v>
      </c>
      <c r="Z18" s="21">
        <v>8.0</v>
      </c>
      <c r="AA18" s="183"/>
    </row>
    <row r="19" ht="15.75" customHeight="1">
      <c r="A19" s="141">
        <v>44753.0</v>
      </c>
      <c r="B19" s="141">
        <v>44753.0</v>
      </c>
      <c r="C19" s="141">
        <v>44753.0</v>
      </c>
      <c r="D19" s="141">
        <v>44753.0</v>
      </c>
      <c r="E19" s="141">
        <v>44753.0</v>
      </c>
      <c r="F19" s="141">
        <v>44753.0</v>
      </c>
      <c r="G19" s="141">
        <v>44753.0</v>
      </c>
      <c r="I19" s="182" t="s">
        <v>109</v>
      </c>
      <c r="J19" s="180">
        <v>44753.0</v>
      </c>
      <c r="K19" s="21" t="s">
        <v>220</v>
      </c>
      <c r="L19" s="21" t="s">
        <v>220</v>
      </c>
      <c r="M19" s="21" t="s">
        <v>220</v>
      </c>
      <c r="N19" s="21" t="s">
        <v>220</v>
      </c>
      <c r="O19" s="21" t="s">
        <v>220</v>
      </c>
      <c r="P19" s="180">
        <v>44753.0</v>
      </c>
      <c r="Q19" s="204"/>
      <c r="R19" s="149"/>
      <c r="S19" s="182" t="s">
        <v>38</v>
      </c>
      <c r="T19" s="180">
        <v>44753.0</v>
      </c>
      <c r="U19" s="180">
        <v>44815.0</v>
      </c>
      <c r="V19" s="180">
        <v>44815.0</v>
      </c>
      <c r="W19" s="180">
        <v>44815.0</v>
      </c>
      <c r="X19" s="21">
        <v>911.0</v>
      </c>
      <c r="Y19" s="180">
        <v>44815.0</v>
      </c>
      <c r="Z19" s="180">
        <v>44815.0</v>
      </c>
      <c r="AA19" s="183"/>
    </row>
    <row r="20" ht="15.75" customHeight="1">
      <c r="A20" s="141">
        <v>44753.0</v>
      </c>
      <c r="B20" s="141">
        <v>44753.0</v>
      </c>
      <c r="C20" s="141">
        <v>44784.0</v>
      </c>
      <c r="D20" s="141">
        <v>44753.0</v>
      </c>
      <c r="E20" s="141">
        <v>44753.0</v>
      </c>
      <c r="F20" s="141">
        <v>44753.0</v>
      </c>
      <c r="G20" s="141">
        <v>44753.0</v>
      </c>
      <c r="I20" s="182" t="s">
        <v>122</v>
      </c>
      <c r="J20" s="21">
        <v>7.0</v>
      </c>
      <c r="K20" s="21">
        <v>7.0</v>
      </c>
      <c r="L20" s="21">
        <v>7.0</v>
      </c>
      <c r="M20" s="21">
        <v>7.0</v>
      </c>
      <c r="N20" s="21">
        <v>7.0</v>
      </c>
      <c r="O20" s="21">
        <v>7.0</v>
      </c>
      <c r="P20" s="21">
        <v>7.0</v>
      </c>
      <c r="Q20" s="204"/>
      <c r="R20" s="18"/>
      <c r="S20" s="182" t="s">
        <v>96</v>
      </c>
      <c r="T20" s="180">
        <v>44784.0</v>
      </c>
      <c r="U20" s="180">
        <v>44784.0</v>
      </c>
      <c r="V20" s="180">
        <v>44784.0</v>
      </c>
      <c r="W20" s="180">
        <v>44784.0</v>
      </c>
      <c r="X20" s="180">
        <v>44784.0</v>
      </c>
      <c r="Y20" s="180">
        <v>44784.0</v>
      </c>
      <c r="Z20" s="21" t="s">
        <v>234</v>
      </c>
      <c r="AA20" s="183"/>
    </row>
    <row r="21" ht="15.75" customHeight="1">
      <c r="A21" s="141">
        <v>44753.0</v>
      </c>
      <c r="B21" s="141">
        <v>44784.0</v>
      </c>
      <c r="C21" s="141">
        <v>44815.0</v>
      </c>
      <c r="D21" s="141">
        <v>44753.0</v>
      </c>
      <c r="E21" s="141">
        <v>44753.0</v>
      </c>
      <c r="F21" s="141">
        <v>44753.0</v>
      </c>
      <c r="G21" s="141">
        <v>44753.0</v>
      </c>
      <c r="I21" s="186"/>
      <c r="J21" s="211">
        <v>44845.0</v>
      </c>
      <c r="K21" s="211">
        <v>44845.0</v>
      </c>
      <c r="L21" s="211">
        <v>44845.0</v>
      </c>
      <c r="M21" s="212" t="s">
        <v>220</v>
      </c>
      <c r="N21" s="212" t="s">
        <v>220</v>
      </c>
      <c r="O21" s="211">
        <v>44845.0</v>
      </c>
      <c r="P21" s="211">
        <v>44845.0</v>
      </c>
      <c r="Q21" s="209"/>
      <c r="R21" s="141"/>
      <c r="S21" s="186"/>
      <c r="T21" s="190" t="s">
        <v>234</v>
      </c>
      <c r="U21" s="190" t="s">
        <v>234</v>
      </c>
      <c r="V21" s="201" t="s">
        <v>255</v>
      </c>
      <c r="W21" s="201" t="s">
        <v>255</v>
      </c>
      <c r="X21" s="201" t="s">
        <v>255</v>
      </c>
      <c r="Y21" s="201" t="s">
        <v>255</v>
      </c>
      <c r="Z21" s="190" t="s">
        <v>234</v>
      </c>
      <c r="AA21" s="194"/>
    </row>
    <row r="22" ht="15.75" customHeight="1">
      <c r="A22" s="141">
        <v>44753.0</v>
      </c>
      <c r="B22" s="141">
        <v>44784.0</v>
      </c>
      <c r="C22" s="141">
        <v>44815.0</v>
      </c>
      <c r="D22" s="141">
        <v>44784.0</v>
      </c>
      <c r="E22" s="141">
        <v>44753.0</v>
      </c>
      <c r="F22" s="141">
        <v>44753.0</v>
      </c>
      <c r="G22" s="141">
        <v>44753.0</v>
      </c>
      <c r="J22" s="213"/>
      <c r="K22" s="213"/>
      <c r="L22" s="214"/>
      <c r="M22" s="148" t="s">
        <v>260</v>
      </c>
      <c r="N22" s="148" t="s">
        <v>261</v>
      </c>
      <c r="O22" s="214"/>
      <c r="P22" s="214"/>
      <c r="Q22" s="214"/>
      <c r="R22" s="141"/>
      <c r="S22" s="176" t="s">
        <v>169</v>
      </c>
      <c r="T22" s="177" t="s">
        <v>223</v>
      </c>
      <c r="U22" s="177" t="s">
        <v>223</v>
      </c>
      <c r="V22" s="177" t="s">
        <v>223</v>
      </c>
      <c r="W22" s="177" t="s">
        <v>223</v>
      </c>
      <c r="X22" s="177" t="s">
        <v>223</v>
      </c>
      <c r="Y22" s="177" t="s">
        <v>223</v>
      </c>
      <c r="Z22" s="177" t="s">
        <v>223</v>
      </c>
      <c r="AA22" s="178"/>
    </row>
    <row r="23" ht="15.75" customHeight="1">
      <c r="A23" s="141">
        <v>44753.0</v>
      </c>
      <c r="B23" s="141">
        <v>44784.0</v>
      </c>
      <c r="C23" s="141">
        <v>44815.0</v>
      </c>
      <c r="D23" s="141">
        <v>44784.0</v>
      </c>
      <c r="E23" s="141">
        <v>44784.0</v>
      </c>
      <c r="F23" s="141">
        <v>44753.0</v>
      </c>
      <c r="G23" s="141">
        <v>44753.0</v>
      </c>
      <c r="J23" s="213"/>
      <c r="K23" s="213"/>
      <c r="L23" s="214"/>
      <c r="M23" s="148" t="s">
        <v>262</v>
      </c>
      <c r="N23" s="148" t="s">
        <v>263</v>
      </c>
      <c r="O23" s="214"/>
      <c r="P23" s="214"/>
      <c r="Q23" s="214"/>
      <c r="R23" s="141"/>
      <c r="S23" s="182" t="s">
        <v>100</v>
      </c>
      <c r="T23" s="21">
        <v>11.0</v>
      </c>
      <c r="U23" s="21">
        <v>7.0</v>
      </c>
      <c r="V23" s="21">
        <v>7.0</v>
      </c>
      <c r="W23" s="21">
        <v>11.0</v>
      </c>
      <c r="X23" s="21">
        <v>11.0</v>
      </c>
      <c r="Y23" s="21">
        <v>11.0</v>
      </c>
      <c r="Z23" s="180">
        <v>44753.0</v>
      </c>
      <c r="AA23" s="183"/>
    </row>
    <row r="24" ht="15.75" customHeight="1">
      <c r="A24" s="141">
        <v>44753.0</v>
      </c>
      <c r="B24" s="141">
        <v>44815.0</v>
      </c>
      <c r="C24" s="141">
        <v>44815.0</v>
      </c>
      <c r="D24" s="141">
        <v>44815.0</v>
      </c>
      <c r="E24" s="141">
        <v>44815.0</v>
      </c>
      <c r="F24" s="141">
        <v>44753.0</v>
      </c>
      <c r="G24" s="141">
        <v>44753.0</v>
      </c>
      <c r="J24" s="213"/>
      <c r="K24" s="213"/>
      <c r="L24" s="214"/>
      <c r="M24" s="148"/>
      <c r="N24" s="148"/>
      <c r="O24" s="148"/>
      <c r="P24" s="148"/>
      <c r="Q24" s="148"/>
      <c r="R24" s="141"/>
      <c r="S24" s="182" t="s">
        <v>121</v>
      </c>
      <c r="T24" s="180">
        <v>44753.0</v>
      </c>
      <c r="U24" s="180">
        <v>44753.0</v>
      </c>
      <c r="V24" s="180">
        <v>44753.0</v>
      </c>
      <c r="W24" s="180">
        <v>44753.0</v>
      </c>
      <c r="X24" s="180">
        <v>44753.0</v>
      </c>
      <c r="Y24" s="180">
        <v>44753.0</v>
      </c>
      <c r="Z24" s="180">
        <v>44753.0</v>
      </c>
      <c r="AA24" s="183"/>
    </row>
    <row r="25" ht="15.75" customHeight="1">
      <c r="A25" s="141">
        <v>44753.0</v>
      </c>
      <c r="B25" s="141">
        <v>44815.0</v>
      </c>
      <c r="C25" s="141">
        <v>44845.0</v>
      </c>
      <c r="D25" s="141">
        <v>44815.0</v>
      </c>
      <c r="E25" s="141">
        <v>44815.0</v>
      </c>
      <c r="F25" s="141">
        <v>44784.0</v>
      </c>
      <c r="G25" s="141">
        <v>44753.0</v>
      </c>
      <c r="J25" s="213"/>
      <c r="K25" s="213"/>
      <c r="L25" s="148" t="s">
        <v>264</v>
      </c>
      <c r="M25" s="214"/>
      <c r="N25" s="214"/>
      <c r="O25" s="214"/>
      <c r="P25" s="214"/>
      <c r="Q25" s="214"/>
      <c r="R25" s="141"/>
      <c r="S25" s="215" t="s">
        <v>34</v>
      </c>
      <c r="T25" s="21" t="s">
        <v>227</v>
      </c>
      <c r="U25" s="21" t="s">
        <v>227</v>
      </c>
      <c r="V25" s="21" t="s">
        <v>227</v>
      </c>
      <c r="W25" s="21" t="s">
        <v>227</v>
      </c>
      <c r="X25" s="21" t="s">
        <v>227</v>
      </c>
      <c r="Y25" s="180">
        <v>44752.0</v>
      </c>
      <c r="Z25" s="180">
        <v>44752.0</v>
      </c>
      <c r="AA25" s="183"/>
    </row>
    <row r="26" ht="15.75" customHeight="1">
      <c r="A26" s="141">
        <v>44753.0</v>
      </c>
      <c r="B26" s="141">
        <v>44845.0</v>
      </c>
      <c r="C26" s="18" t="s">
        <v>224</v>
      </c>
      <c r="D26" s="141">
        <v>44845.0</v>
      </c>
      <c r="E26" s="141">
        <v>44815.0</v>
      </c>
      <c r="F26" s="141">
        <v>44815.0</v>
      </c>
      <c r="G26" s="141">
        <v>44753.0</v>
      </c>
      <c r="J26" s="213"/>
      <c r="K26" s="216" t="s">
        <v>265</v>
      </c>
      <c r="L26" s="143" t="s">
        <v>266</v>
      </c>
      <c r="M26" s="148"/>
      <c r="N26" s="148"/>
      <c r="O26" s="148"/>
      <c r="P26" s="148"/>
      <c r="Q26" s="214"/>
      <c r="R26" s="141"/>
      <c r="S26" s="186"/>
      <c r="T26" s="217" t="s">
        <v>227</v>
      </c>
      <c r="U26" s="218" t="s">
        <v>223</v>
      </c>
      <c r="V26" s="218" t="s">
        <v>223</v>
      </c>
      <c r="W26" s="218" t="s">
        <v>267</v>
      </c>
      <c r="X26" s="218" t="s">
        <v>267</v>
      </c>
      <c r="Y26" s="217" t="s">
        <v>268</v>
      </c>
      <c r="Z26" s="219" t="s">
        <v>268</v>
      </c>
      <c r="AA26" s="194"/>
    </row>
    <row r="27" ht="15.75" customHeight="1">
      <c r="A27" s="141">
        <v>44753.0</v>
      </c>
      <c r="B27" s="18" t="s">
        <v>229</v>
      </c>
      <c r="C27" s="18" t="s">
        <v>221</v>
      </c>
      <c r="D27" s="18" t="s">
        <v>227</v>
      </c>
      <c r="E27" s="141">
        <v>44845.0</v>
      </c>
      <c r="F27" s="141">
        <v>44815.0</v>
      </c>
      <c r="G27" s="141">
        <v>44815.0</v>
      </c>
      <c r="J27" s="213"/>
      <c r="K27" s="213"/>
      <c r="L27" s="148"/>
      <c r="M27" s="148"/>
      <c r="N27" s="148"/>
      <c r="O27" s="148"/>
      <c r="P27" s="148"/>
      <c r="Q27" s="148"/>
      <c r="R27" s="18"/>
      <c r="S27" s="176" t="s">
        <v>129</v>
      </c>
      <c r="T27" s="174">
        <v>44753.0</v>
      </c>
      <c r="U27" s="177" t="s">
        <v>222</v>
      </c>
      <c r="V27" s="177" t="s">
        <v>222</v>
      </c>
      <c r="W27" s="177">
        <v>9.0</v>
      </c>
      <c r="X27" s="177">
        <v>9.0</v>
      </c>
      <c r="Y27" s="177">
        <v>9.0</v>
      </c>
      <c r="Z27" s="177">
        <v>7.0</v>
      </c>
      <c r="AA27" s="178"/>
    </row>
    <row r="28" ht="15.75" customHeight="1">
      <c r="A28" s="141">
        <v>44784.0</v>
      </c>
      <c r="B28" s="18" t="s">
        <v>221</v>
      </c>
      <c r="C28" s="18" t="s">
        <v>227</v>
      </c>
      <c r="D28" s="18" t="s">
        <v>213</v>
      </c>
      <c r="E28" s="18" t="s">
        <v>221</v>
      </c>
      <c r="F28" s="141">
        <v>44845.0</v>
      </c>
      <c r="G28" s="141">
        <v>44845.0</v>
      </c>
      <c r="J28" s="213"/>
      <c r="K28" s="213"/>
      <c r="L28" s="148"/>
      <c r="M28" s="148"/>
      <c r="N28" s="148"/>
      <c r="O28" s="148"/>
      <c r="P28" s="148"/>
      <c r="Q28" s="148"/>
      <c r="R28" s="18"/>
      <c r="S28" s="182" t="s">
        <v>43</v>
      </c>
      <c r="T28" s="180">
        <v>44753.0</v>
      </c>
      <c r="U28" s="180">
        <v>44750.0</v>
      </c>
      <c r="V28" s="180">
        <v>44750.0</v>
      </c>
      <c r="W28" s="180">
        <v>44750.0</v>
      </c>
      <c r="X28" s="180">
        <v>44784.0</v>
      </c>
      <c r="Y28" s="180">
        <v>44784.0</v>
      </c>
      <c r="Z28" s="180">
        <v>44784.0</v>
      </c>
      <c r="AA28" s="183"/>
    </row>
    <row r="29" ht="15.75" customHeight="1">
      <c r="A29" s="141">
        <v>44784.0</v>
      </c>
      <c r="B29" s="18" t="s">
        <v>227</v>
      </c>
      <c r="C29" s="18" t="s">
        <v>213</v>
      </c>
      <c r="D29" s="18" t="s">
        <v>213</v>
      </c>
      <c r="E29" s="18" t="s">
        <v>227</v>
      </c>
      <c r="F29" s="18" t="s">
        <v>221</v>
      </c>
      <c r="G29" s="18" t="s">
        <v>224</v>
      </c>
      <c r="J29" s="213"/>
      <c r="K29" s="213"/>
      <c r="L29" s="214"/>
      <c r="M29" s="214"/>
      <c r="N29" s="214"/>
      <c r="O29" s="214"/>
      <c r="P29" s="214"/>
      <c r="Q29" s="214"/>
      <c r="R29" s="141"/>
      <c r="S29" s="196" t="s">
        <v>197</v>
      </c>
      <c r="T29" s="180">
        <v>44753.0</v>
      </c>
      <c r="U29" s="21" t="s">
        <v>222</v>
      </c>
      <c r="V29" s="180">
        <v>44815.0</v>
      </c>
      <c r="W29" s="21" t="s">
        <v>222</v>
      </c>
      <c r="X29" s="180">
        <v>44815.0</v>
      </c>
      <c r="Y29" s="21" t="s">
        <v>222</v>
      </c>
      <c r="Z29" s="180">
        <v>44753.0</v>
      </c>
      <c r="AA29" s="183"/>
    </row>
    <row r="30" ht="15.75" customHeight="1">
      <c r="A30" s="141">
        <v>44845.0</v>
      </c>
      <c r="B30" s="18" t="s">
        <v>213</v>
      </c>
      <c r="C30" s="18" t="s">
        <v>213</v>
      </c>
      <c r="D30" s="18" t="s">
        <v>223</v>
      </c>
      <c r="E30" s="18" t="s">
        <v>213</v>
      </c>
      <c r="F30" s="18" t="s">
        <v>227</v>
      </c>
      <c r="G30" s="18" t="s">
        <v>221</v>
      </c>
      <c r="J30" s="213"/>
      <c r="K30" s="213"/>
      <c r="L30" s="148"/>
      <c r="M30" s="148"/>
      <c r="N30" s="148"/>
      <c r="O30" s="148"/>
      <c r="P30" s="148"/>
      <c r="Q30" s="148"/>
      <c r="R30" s="18"/>
      <c r="S30" s="215" t="s">
        <v>111</v>
      </c>
      <c r="T30" s="180">
        <v>44753.0</v>
      </c>
      <c r="U30" s="180">
        <v>44815.0</v>
      </c>
      <c r="V30" s="180">
        <v>44815.0</v>
      </c>
      <c r="W30" s="180">
        <v>44815.0</v>
      </c>
      <c r="X30" s="180">
        <v>44815.0</v>
      </c>
      <c r="Y30" s="180">
        <v>44815.0</v>
      </c>
      <c r="Z30" s="180">
        <v>44753.0</v>
      </c>
      <c r="AA30" s="183"/>
    </row>
    <row r="31" ht="15.75" customHeight="1">
      <c r="A31" s="18" t="s">
        <v>221</v>
      </c>
      <c r="B31" s="18" t="s">
        <v>213</v>
      </c>
      <c r="C31" s="18" t="s">
        <v>223</v>
      </c>
      <c r="D31" s="18" t="s">
        <v>232</v>
      </c>
      <c r="E31" s="18" t="s">
        <v>213</v>
      </c>
      <c r="F31" s="18" t="s">
        <v>213</v>
      </c>
      <c r="G31" s="18" t="s">
        <v>221</v>
      </c>
      <c r="J31" s="213"/>
      <c r="K31" s="213"/>
      <c r="L31" s="148"/>
      <c r="M31" s="148"/>
      <c r="N31" s="148"/>
      <c r="O31" s="148"/>
      <c r="P31" s="148"/>
      <c r="Q31" s="148"/>
      <c r="R31" s="18"/>
      <c r="S31" s="186"/>
      <c r="T31" s="220">
        <v>44753.0</v>
      </c>
      <c r="U31" s="221" t="s">
        <v>255</v>
      </c>
      <c r="V31" s="221" t="s">
        <v>255</v>
      </c>
      <c r="W31" s="221" t="s">
        <v>255</v>
      </c>
      <c r="X31" s="222">
        <v>44815.0</v>
      </c>
      <c r="Y31" s="201" t="s">
        <v>255</v>
      </c>
      <c r="Z31" s="222">
        <v>44784.0</v>
      </c>
      <c r="AA31" s="194"/>
    </row>
    <row r="32" ht="15.75" customHeight="1">
      <c r="A32" s="18" t="s">
        <v>221</v>
      </c>
      <c r="B32" s="18" t="s">
        <v>223</v>
      </c>
      <c r="C32" s="18" t="s">
        <v>232</v>
      </c>
      <c r="D32" s="18" t="s">
        <v>235</v>
      </c>
      <c r="E32" s="18" t="s">
        <v>223</v>
      </c>
      <c r="F32" s="18" t="s">
        <v>223</v>
      </c>
      <c r="G32" s="18" t="s">
        <v>227</v>
      </c>
      <c r="J32" s="213"/>
      <c r="K32" s="213"/>
      <c r="L32" s="214"/>
      <c r="M32" s="214"/>
      <c r="N32" s="214"/>
      <c r="O32" s="214"/>
      <c r="P32" s="214"/>
      <c r="Q32" s="214"/>
      <c r="R32" s="141"/>
    </row>
    <row r="33" ht="15.75" customHeight="1">
      <c r="A33" s="18" t="s">
        <v>227</v>
      </c>
      <c r="B33" s="18" t="s">
        <v>232</v>
      </c>
      <c r="C33" s="18" t="s">
        <v>235</v>
      </c>
      <c r="D33" s="18" t="s">
        <v>228</v>
      </c>
      <c r="E33" s="18" t="s">
        <v>232</v>
      </c>
      <c r="F33" s="18" t="s">
        <v>232</v>
      </c>
      <c r="G33" s="18" t="s">
        <v>213</v>
      </c>
      <c r="J33" s="213"/>
      <c r="K33" s="213"/>
      <c r="L33" s="214"/>
      <c r="M33" s="214"/>
      <c r="N33" s="148"/>
      <c r="O33" s="214"/>
      <c r="P33" s="214"/>
      <c r="Q33" s="214"/>
      <c r="R33" s="18"/>
    </row>
    <row r="34" ht="15.75" customHeight="1">
      <c r="A34" s="18" t="s">
        <v>213</v>
      </c>
      <c r="B34" s="18" t="s">
        <v>235</v>
      </c>
      <c r="C34" s="18" t="s">
        <v>228</v>
      </c>
      <c r="D34" s="18" t="s">
        <v>228</v>
      </c>
      <c r="E34" s="18" t="s">
        <v>235</v>
      </c>
      <c r="F34" s="18" t="s">
        <v>235</v>
      </c>
      <c r="G34" s="18" t="s">
        <v>223</v>
      </c>
      <c r="J34" s="213"/>
      <c r="K34" s="213"/>
      <c r="L34" s="214"/>
      <c r="M34" s="214"/>
      <c r="N34" s="214"/>
      <c r="O34" s="214"/>
      <c r="P34" s="214"/>
      <c r="Q34" s="214"/>
      <c r="R34" s="141"/>
    </row>
    <row r="35" ht="15.75" customHeight="1">
      <c r="A35" s="18" t="s">
        <v>213</v>
      </c>
      <c r="B35" s="18" t="s">
        <v>228</v>
      </c>
      <c r="C35" s="18" t="s">
        <v>220</v>
      </c>
      <c r="D35" s="18" t="s">
        <v>220</v>
      </c>
      <c r="E35" s="18" t="s">
        <v>228</v>
      </c>
      <c r="F35" s="18" t="s">
        <v>228</v>
      </c>
      <c r="G35" s="18" t="s">
        <v>234</v>
      </c>
      <c r="J35" s="213"/>
      <c r="K35" s="213"/>
      <c r="L35" s="214"/>
      <c r="M35" s="214"/>
      <c r="N35" s="214"/>
      <c r="O35" s="214"/>
      <c r="P35" s="214"/>
      <c r="Q35" s="214"/>
      <c r="R35" s="141"/>
    </row>
    <row r="36" ht="15.75" customHeight="1">
      <c r="A36" s="18" t="s">
        <v>223</v>
      </c>
      <c r="B36" s="18" t="s">
        <v>220</v>
      </c>
      <c r="C36" s="18" t="s">
        <v>220</v>
      </c>
      <c r="D36" s="18" t="s">
        <v>220</v>
      </c>
      <c r="E36" s="18" t="s">
        <v>220</v>
      </c>
      <c r="F36" s="18" t="s">
        <v>220</v>
      </c>
      <c r="G36" s="18" t="s">
        <v>228</v>
      </c>
      <c r="J36" s="213"/>
      <c r="K36" s="213"/>
      <c r="L36" s="148"/>
      <c r="M36" s="148"/>
      <c r="N36" s="148"/>
      <c r="O36" s="148"/>
      <c r="P36" s="148"/>
      <c r="Q36" s="148"/>
      <c r="R36" s="18"/>
    </row>
    <row r="37" ht="15.75" customHeight="1">
      <c r="A37" s="18" t="s">
        <v>228</v>
      </c>
      <c r="B37" s="18" t="s">
        <v>220</v>
      </c>
      <c r="C37" s="18" t="s">
        <v>230</v>
      </c>
      <c r="D37" s="18" t="s">
        <v>230</v>
      </c>
      <c r="E37" s="18" t="s">
        <v>220</v>
      </c>
      <c r="F37" s="18" t="s">
        <v>220</v>
      </c>
      <c r="G37" s="18" t="s">
        <v>220</v>
      </c>
      <c r="J37" s="213"/>
      <c r="K37" s="213"/>
      <c r="L37" s="214"/>
      <c r="M37" s="214"/>
      <c r="N37" s="214"/>
      <c r="O37" s="214"/>
      <c r="P37" s="214"/>
      <c r="Q37" s="214"/>
      <c r="R37" s="141"/>
    </row>
    <row r="38" ht="15.75" customHeight="1">
      <c r="A38" s="18" t="s">
        <v>220</v>
      </c>
      <c r="B38" s="18" t="s">
        <v>230</v>
      </c>
      <c r="C38" s="18" t="s">
        <v>230</v>
      </c>
      <c r="D38" s="18" t="s">
        <v>230</v>
      </c>
      <c r="E38" s="18" t="s">
        <v>230</v>
      </c>
      <c r="F38" s="18" t="s">
        <v>230</v>
      </c>
      <c r="G38" s="18" t="s">
        <v>233</v>
      </c>
      <c r="J38" s="213"/>
      <c r="K38" s="213"/>
      <c r="L38" s="148"/>
      <c r="M38" s="148"/>
      <c r="N38" s="148"/>
      <c r="O38" s="148"/>
      <c r="P38" s="148"/>
      <c r="Q38" s="148"/>
      <c r="R38" s="18"/>
    </row>
    <row r="39" ht="15.75" customHeight="1">
      <c r="A39" s="18" t="s">
        <v>230</v>
      </c>
      <c r="B39" s="18" t="s">
        <v>230</v>
      </c>
      <c r="C39" s="18" t="s">
        <v>222</v>
      </c>
      <c r="D39" s="18" t="s">
        <v>222</v>
      </c>
      <c r="E39" s="18" t="s">
        <v>230</v>
      </c>
      <c r="F39" s="18" t="s">
        <v>230</v>
      </c>
      <c r="G39" s="18" t="s">
        <v>230</v>
      </c>
      <c r="J39" s="213"/>
      <c r="K39" s="213"/>
      <c r="L39" s="148"/>
      <c r="M39" s="148"/>
      <c r="N39" s="148"/>
      <c r="O39" s="148"/>
      <c r="P39" s="148"/>
      <c r="Q39" s="148"/>
      <c r="R39" s="18"/>
    </row>
    <row r="40" ht="15.75" customHeight="1">
      <c r="A40" s="18" t="s">
        <v>230</v>
      </c>
      <c r="B40" s="18" t="s">
        <v>222</v>
      </c>
      <c r="C40" s="18" t="s">
        <v>222</v>
      </c>
      <c r="D40" s="18" t="s">
        <v>222</v>
      </c>
      <c r="E40" s="18" t="s">
        <v>222</v>
      </c>
      <c r="F40" s="18" t="s">
        <v>222</v>
      </c>
      <c r="G40" s="18" t="s">
        <v>230</v>
      </c>
      <c r="J40" s="213"/>
      <c r="K40" s="213"/>
      <c r="L40" s="214"/>
      <c r="M40" s="148"/>
      <c r="N40" s="148"/>
      <c r="O40" s="148"/>
      <c r="P40" s="148"/>
      <c r="Q40" s="148"/>
      <c r="R40" s="141"/>
    </row>
    <row r="41" ht="15.75" customHeight="1">
      <c r="A41" s="18" t="s">
        <v>222</v>
      </c>
      <c r="B41" s="18" t="s">
        <v>222</v>
      </c>
      <c r="C41" s="18" t="s">
        <v>222</v>
      </c>
      <c r="D41" s="18" t="s">
        <v>222</v>
      </c>
      <c r="E41" s="18" t="s">
        <v>222</v>
      </c>
      <c r="F41" s="18" t="s">
        <v>222</v>
      </c>
      <c r="G41" s="18" t="s">
        <v>222</v>
      </c>
      <c r="J41" s="213"/>
      <c r="K41" s="213"/>
      <c r="L41" s="148"/>
      <c r="M41" s="148"/>
      <c r="N41" s="148"/>
      <c r="O41" s="148"/>
      <c r="P41" s="148"/>
      <c r="Q41" s="148"/>
      <c r="R41" s="18"/>
    </row>
    <row r="42" ht="15.75" customHeight="1">
      <c r="A42" s="18" t="s">
        <v>222</v>
      </c>
      <c r="B42" s="18" t="s">
        <v>222</v>
      </c>
      <c r="C42" s="18" t="s">
        <v>222</v>
      </c>
      <c r="D42" s="18" t="s">
        <v>222</v>
      </c>
      <c r="E42" s="18" t="s">
        <v>222</v>
      </c>
      <c r="F42" s="18" t="s">
        <v>222</v>
      </c>
      <c r="G42" s="18" t="s">
        <v>222</v>
      </c>
      <c r="J42" s="213"/>
      <c r="K42" s="213"/>
      <c r="L42" s="148"/>
      <c r="M42" s="148"/>
      <c r="N42" s="148"/>
      <c r="O42" s="148"/>
      <c r="P42" s="148"/>
      <c r="Q42" s="148"/>
      <c r="R42" s="18"/>
    </row>
    <row r="43" ht="15.75" customHeight="1">
      <c r="A43" s="18" t="s">
        <v>222</v>
      </c>
      <c r="B43" s="18" t="s">
        <v>222</v>
      </c>
      <c r="C43" s="18" t="s">
        <v>222</v>
      </c>
      <c r="D43" s="18" t="s">
        <v>222</v>
      </c>
      <c r="E43" s="18" t="s">
        <v>222</v>
      </c>
      <c r="F43" s="18" t="s">
        <v>222</v>
      </c>
      <c r="G43" s="18" t="s">
        <v>222</v>
      </c>
      <c r="J43" s="213"/>
      <c r="K43" s="213"/>
      <c r="L43" s="148"/>
      <c r="M43" s="148"/>
      <c r="N43" s="148"/>
      <c r="O43" s="148"/>
      <c r="P43" s="148"/>
      <c r="Q43" s="148"/>
      <c r="R43" s="18"/>
    </row>
    <row r="44" ht="15.75" customHeight="1">
      <c r="J44" s="213"/>
      <c r="K44" s="213"/>
      <c r="L44" s="148"/>
      <c r="M44" s="148"/>
      <c r="N44" s="148"/>
      <c r="O44" s="148"/>
      <c r="P44" s="148"/>
      <c r="Q44" s="148"/>
      <c r="R44" s="18"/>
    </row>
    <row r="45" ht="15.75" customHeight="1">
      <c r="J45" s="213"/>
      <c r="K45" s="213"/>
      <c r="L45" s="148"/>
      <c r="M45" s="148"/>
      <c r="N45" s="148"/>
      <c r="O45" s="148"/>
      <c r="P45" s="148"/>
      <c r="Q45" s="148"/>
      <c r="R45" s="18"/>
    </row>
    <row r="46" ht="15.75" customHeight="1">
      <c r="J46" s="213"/>
      <c r="K46" s="213"/>
      <c r="L46" s="148"/>
      <c r="M46" s="148"/>
      <c r="N46" s="148"/>
      <c r="O46" s="148"/>
      <c r="P46" s="148"/>
      <c r="Q46" s="148"/>
      <c r="R46" s="18"/>
    </row>
    <row r="47" ht="15.75" customHeight="1">
      <c r="J47" s="213"/>
      <c r="K47" s="213"/>
      <c r="L47" s="148"/>
      <c r="M47" s="148"/>
      <c r="N47" s="148"/>
      <c r="O47" s="148"/>
      <c r="P47" s="148"/>
      <c r="Q47" s="148"/>
      <c r="R47" s="18"/>
    </row>
    <row r="48" ht="15.75" customHeight="1">
      <c r="J48" s="213"/>
      <c r="K48" s="213"/>
      <c r="L48" s="148"/>
      <c r="M48" s="148"/>
      <c r="N48" s="148"/>
      <c r="O48" s="148"/>
      <c r="P48" s="148"/>
      <c r="Q48" s="148"/>
      <c r="R48" s="18"/>
    </row>
    <row r="49" ht="15.75" customHeight="1">
      <c r="J49" s="213"/>
      <c r="K49" s="213"/>
      <c r="L49" s="148"/>
      <c r="M49" s="148"/>
      <c r="N49" s="148"/>
      <c r="O49" s="148"/>
      <c r="P49" s="148"/>
      <c r="Q49" s="148"/>
      <c r="R49" s="18"/>
    </row>
    <row r="50" ht="15.75" customHeight="1">
      <c r="J50" s="213"/>
      <c r="K50" s="213"/>
      <c r="L50" s="148"/>
      <c r="M50" s="148"/>
      <c r="N50" s="148"/>
      <c r="O50" s="148"/>
      <c r="P50" s="148"/>
      <c r="Q50" s="148"/>
      <c r="R50" s="18"/>
    </row>
    <row r="51" ht="15.75" customHeight="1">
      <c r="J51" s="213"/>
      <c r="K51" s="213"/>
      <c r="L51" s="148"/>
      <c r="M51" s="148"/>
      <c r="N51" s="148"/>
      <c r="O51" s="148"/>
      <c r="P51" s="148"/>
      <c r="Q51" s="148"/>
      <c r="R51" s="18"/>
    </row>
    <row r="52" ht="15.75" customHeight="1">
      <c r="J52" s="213"/>
      <c r="K52" s="213"/>
      <c r="L52" s="148"/>
      <c r="M52" s="148"/>
      <c r="N52" s="148"/>
      <c r="O52" s="148"/>
      <c r="P52" s="148"/>
      <c r="Q52" s="148"/>
      <c r="R52" s="18"/>
    </row>
    <row r="53" ht="15.75" customHeight="1">
      <c r="J53" s="213"/>
      <c r="K53" s="213"/>
      <c r="L53" s="148"/>
      <c r="M53" s="148"/>
      <c r="N53" s="148"/>
      <c r="O53" s="148"/>
      <c r="P53" s="148"/>
      <c r="Q53" s="148"/>
      <c r="R53" s="18"/>
    </row>
    <row r="54" ht="15.75" customHeight="1">
      <c r="J54" s="213"/>
      <c r="K54" s="213"/>
      <c r="L54" s="148"/>
      <c r="M54" s="148"/>
      <c r="N54" s="148"/>
      <c r="O54" s="148"/>
      <c r="P54" s="148"/>
      <c r="Q54" s="148"/>
      <c r="R54" s="18"/>
    </row>
    <row r="55" ht="15.75" customHeight="1">
      <c r="J55" s="213"/>
      <c r="K55" s="213"/>
      <c r="L55" s="148"/>
      <c r="M55" s="148"/>
      <c r="N55" s="148"/>
      <c r="O55" s="148"/>
      <c r="P55" s="148"/>
      <c r="Q55" s="148"/>
      <c r="R55" s="18"/>
    </row>
    <row r="56" ht="15.75" customHeight="1">
      <c r="J56" s="213"/>
      <c r="K56" s="213"/>
      <c r="L56" s="148"/>
      <c r="M56" s="148"/>
      <c r="N56" s="148"/>
      <c r="O56" s="148"/>
      <c r="P56" s="148"/>
      <c r="Q56" s="148"/>
      <c r="R56" s="18"/>
    </row>
    <row r="57" ht="15.75" customHeight="1">
      <c r="J57" s="213"/>
      <c r="K57" s="213"/>
      <c r="L57" s="148"/>
      <c r="M57" s="148"/>
      <c r="N57" s="148"/>
      <c r="O57" s="148"/>
      <c r="P57" s="148"/>
      <c r="Q57" s="148"/>
      <c r="R57" s="18"/>
    </row>
    <row r="58" ht="15.75" customHeight="1">
      <c r="J58" s="213"/>
      <c r="K58" s="213"/>
      <c r="L58" s="148"/>
      <c r="M58" s="148"/>
      <c r="N58" s="148"/>
      <c r="O58" s="148"/>
      <c r="P58" s="148"/>
      <c r="Q58" s="148"/>
      <c r="R58" s="18"/>
    </row>
    <row r="59" ht="15.75" customHeight="1">
      <c r="J59" s="213"/>
      <c r="K59" s="213"/>
      <c r="L59" s="148"/>
      <c r="M59" s="148"/>
      <c r="N59" s="148"/>
      <c r="O59" s="148"/>
      <c r="P59" s="148"/>
      <c r="Q59" s="148"/>
      <c r="R59" s="18"/>
    </row>
    <row r="60" ht="15.75" customHeight="1">
      <c r="J60" s="213"/>
      <c r="K60" s="213"/>
      <c r="L60" s="148"/>
      <c r="M60" s="148"/>
      <c r="N60" s="148"/>
      <c r="O60" s="148"/>
      <c r="P60" s="148"/>
      <c r="Q60" s="148"/>
      <c r="R60" s="18"/>
    </row>
    <row r="61" ht="15.75" customHeight="1">
      <c r="J61" s="213"/>
      <c r="K61" s="213"/>
      <c r="L61" s="148"/>
      <c r="M61" s="148"/>
      <c r="N61" s="148"/>
      <c r="O61" s="148"/>
      <c r="P61" s="148"/>
      <c r="Q61" s="148"/>
      <c r="R61" s="18"/>
    </row>
    <row r="62" ht="15.75" customHeight="1">
      <c r="J62" s="213"/>
      <c r="K62" s="213"/>
      <c r="L62" s="148"/>
      <c r="M62" s="148"/>
      <c r="N62" s="148"/>
      <c r="O62" s="148"/>
      <c r="P62" s="148"/>
      <c r="Q62" s="148"/>
      <c r="R62" s="18"/>
    </row>
    <row r="63" ht="15.75" customHeight="1">
      <c r="J63" s="213"/>
      <c r="K63" s="213"/>
      <c r="L63" s="148"/>
      <c r="M63" s="148"/>
      <c r="N63" s="148"/>
      <c r="O63" s="148"/>
      <c r="P63" s="148"/>
      <c r="Q63" s="148"/>
      <c r="R63" s="18"/>
    </row>
    <row r="64" ht="15.75" customHeight="1">
      <c r="J64" s="213"/>
      <c r="K64" s="213"/>
      <c r="L64" s="148"/>
      <c r="M64" s="148"/>
      <c r="N64" s="148"/>
      <c r="O64" s="148"/>
      <c r="P64" s="148"/>
      <c r="Q64" s="148"/>
      <c r="R64" s="18"/>
    </row>
    <row r="65" ht="15.75" customHeight="1">
      <c r="J65" s="213"/>
      <c r="K65" s="213"/>
      <c r="L65" s="148"/>
      <c r="M65" s="148"/>
      <c r="N65" s="148"/>
      <c r="O65" s="148"/>
      <c r="P65" s="148"/>
      <c r="Q65" s="148"/>
      <c r="R65" s="18"/>
    </row>
    <row r="66" ht="15.75" customHeight="1">
      <c r="J66" s="213"/>
      <c r="K66" s="213"/>
      <c r="L66" s="148"/>
      <c r="M66" s="148"/>
      <c r="N66" s="148"/>
      <c r="O66" s="148"/>
      <c r="P66" s="148"/>
      <c r="Q66" s="148"/>
      <c r="R66" s="18"/>
    </row>
    <row r="67" ht="15.75" customHeight="1">
      <c r="J67" s="213"/>
      <c r="K67" s="213"/>
      <c r="L67" s="148"/>
      <c r="M67" s="148"/>
      <c r="N67" s="148"/>
      <c r="O67" s="148"/>
      <c r="P67" s="148"/>
      <c r="Q67" s="148"/>
      <c r="R67" s="18"/>
    </row>
    <row r="68" ht="15.75" customHeight="1">
      <c r="J68" s="213"/>
      <c r="K68" s="213"/>
      <c r="L68" s="148"/>
      <c r="M68" s="148"/>
      <c r="N68" s="148"/>
      <c r="O68" s="148"/>
      <c r="P68" s="148"/>
      <c r="Q68" s="148"/>
      <c r="R68" s="18"/>
    </row>
    <row r="69" ht="15.75" customHeight="1">
      <c r="J69" s="213"/>
      <c r="K69" s="213"/>
      <c r="L69" s="148"/>
      <c r="M69" s="148"/>
      <c r="N69" s="148"/>
      <c r="O69" s="148"/>
      <c r="P69" s="148"/>
      <c r="Q69" s="148"/>
      <c r="R69" s="18"/>
    </row>
    <row r="70" ht="15.75" customHeight="1">
      <c r="J70" s="213"/>
      <c r="K70" s="213"/>
      <c r="L70" s="148"/>
      <c r="M70" s="148"/>
      <c r="N70" s="148"/>
      <c r="O70" s="148"/>
      <c r="P70" s="148"/>
      <c r="Q70" s="148"/>
      <c r="R70" s="18"/>
    </row>
    <row r="71" ht="15.75" customHeight="1">
      <c r="J71" s="213"/>
      <c r="K71" s="213"/>
      <c r="L71" s="148"/>
      <c r="M71" s="148"/>
      <c r="N71" s="148"/>
      <c r="O71" s="148"/>
      <c r="P71" s="148"/>
      <c r="Q71" s="148"/>
      <c r="R71" s="18"/>
    </row>
    <row r="72" ht="15.75" customHeight="1">
      <c r="J72" s="213"/>
      <c r="K72" s="213"/>
      <c r="L72" s="148"/>
      <c r="M72" s="148"/>
      <c r="N72" s="148"/>
      <c r="O72" s="148"/>
      <c r="P72" s="148"/>
      <c r="Q72" s="148"/>
      <c r="R72" s="18"/>
    </row>
    <row r="73" ht="15.75" customHeight="1">
      <c r="J73" s="213"/>
      <c r="K73" s="213"/>
      <c r="L73" s="148"/>
      <c r="M73" s="148"/>
      <c r="N73" s="148"/>
      <c r="O73" s="148"/>
      <c r="P73" s="148"/>
      <c r="Q73" s="148"/>
      <c r="R73" s="18"/>
    </row>
    <row r="74" ht="15.75" customHeight="1">
      <c r="J74" s="213"/>
      <c r="K74" s="213"/>
      <c r="L74" s="148"/>
      <c r="M74" s="148"/>
      <c r="N74" s="148"/>
      <c r="O74" s="148"/>
      <c r="P74" s="148"/>
      <c r="Q74" s="148"/>
      <c r="R74" s="18"/>
    </row>
    <row r="75" ht="15.75" customHeight="1">
      <c r="J75" s="213"/>
      <c r="K75" s="213"/>
      <c r="L75" s="148"/>
      <c r="M75" s="148"/>
      <c r="N75" s="148"/>
      <c r="O75" s="148"/>
      <c r="P75" s="148"/>
      <c r="Q75" s="148"/>
      <c r="R75" s="18"/>
    </row>
    <row r="76" ht="15.75" customHeight="1">
      <c r="J76" s="213"/>
      <c r="K76" s="213"/>
      <c r="L76" s="148"/>
      <c r="M76" s="148"/>
      <c r="N76" s="148"/>
      <c r="O76" s="148"/>
      <c r="P76" s="148"/>
      <c r="Q76" s="148"/>
      <c r="R76" s="18"/>
    </row>
    <row r="77" ht="15.75" customHeight="1">
      <c r="J77" s="213"/>
      <c r="K77" s="213"/>
      <c r="L77" s="148"/>
      <c r="M77" s="148"/>
      <c r="N77" s="148"/>
      <c r="O77" s="148"/>
      <c r="P77" s="148"/>
      <c r="Q77" s="148"/>
      <c r="R77" s="18"/>
    </row>
    <row r="78" ht="15.75" customHeight="1">
      <c r="J78" s="213"/>
      <c r="K78" s="213"/>
      <c r="L78" s="148"/>
      <c r="M78" s="148"/>
      <c r="N78" s="148"/>
      <c r="O78" s="148"/>
      <c r="P78" s="148"/>
      <c r="Q78" s="148"/>
      <c r="R78" s="18"/>
    </row>
    <row r="79" ht="15.75" customHeight="1">
      <c r="J79" s="213"/>
      <c r="K79" s="213"/>
      <c r="L79" s="148"/>
      <c r="M79" s="148"/>
      <c r="N79" s="148"/>
      <c r="O79" s="148"/>
      <c r="P79" s="148"/>
      <c r="Q79" s="148"/>
      <c r="R79" s="18"/>
    </row>
    <row r="80" ht="15.75" customHeight="1">
      <c r="J80" s="213"/>
      <c r="K80" s="213"/>
      <c r="L80" s="148"/>
      <c r="M80" s="148"/>
      <c r="N80" s="148"/>
      <c r="O80" s="148"/>
      <c r="P80" s="148"/>
      <c r="Q80" s="148"/>
      <c r="R80" s="18"/>
    </row>
    <row r="81" ht="15.75" customHeight="1">
      <c r="J81" s="213"/>
      <c r="K81" s="213"/>
      <c r="L81" s="148"/>
      <c r="M81" s="148"/>
      <c r="N81" s="148"/>
      <c r="O81" s="148"/>
      <c r="P81" s="148"/>
      <c r="Q81" s="148"/>
      <c r="R81" s="18"/>
    </row>
    <row r="82" ht="15.75" customHeight="1">
      <c r="J82" s="213"/>
      <c r="K82" s="213"/>
      <c r="L82" s="148"/>
      <c r="M82" s="148"/>
      <c r="N82" s="148"/>
      <c r="O82" s="148"/>
      <c r="P82" s="148"/>
      <c r="Q82" s="148"/>
      <c r="R82" s="18"/>
    </row>
    <row r="83" ht="15.75" customHeight="1">
      <c r="J83" s="213"/>
      <c r="K83" s="213"/>
      <c r="L83" s="148"/>
      <c r="M83" s="148"/>
      <c r="N83" s="148"/>
      <c r="O83" s="148"/>
      <c r="P83" s="148"/>
      <c r="Q83" s="148"/>
      <c r="R83" s="18"/>
    </row>
    <row r="84" ht="15.75" customHeight="1">
      <c r="J84" s="213"/>
      <c r="K84" s="213"/>
      <c r="L84" s="148"/>
      <c r="M84" s="148"/>
      <c r="N84" s="148"/>
      <c r="O84" s="148"/>
      <c r="P84" s="148"/>
      <c r="Q84" s="148"/>
      <c r="R84" s="18"/>
    </row>
    <row r="85" ht="15.75" customHeight="1">
      <c r="J85" s="213"/>
      <c r="K85" s="213"/>
      <c r="L85" s="148"/>
      <c r="M85" s="148"/>
      <c r="N85" s="148"/>
      <c r="O85" s="148"/>
      <c r="P85" s="148"/>
      <c r="Q85" s="148"/>
      <c r="R85" s="18"/>
    </row>
    <row r="86" ht="15.75" customHeight="1">
      <c r="J86" s="213"/>
      <c r="K86" s="213"/>
      <c r="L86" s="148"/>
      <c r="M86" s="148"/>
      <c r="N86" s="148"/>
      <c r="O86" s="148"/>
      <c r="P86" s="148"/>
      <c r="Q86" s="148"/>
      <c r="R86" s="18"/>
    </row>
    <row r="87" ht="15.75" customHeight="1">
      <c r="J87" s="213"/>
      <c r="K87" s="213"/>
      <c r="L87" s="148"/>
      <c r="M87" s="148"/>
      <c r="N87" s="148"/>
      <c r="O87" s="148"/>
      <c r="P87" s="148"/>
      <c r="Q87" s="148"/>
      <c r="R87" s="18"/>
    </row>
    <row r="88" ht="15.75" customHeight="1">
      <c r="J88" s="213"/>
      <c r="K88" s="213"/>
      <c r="L88" s="148"/>
      <c r="M88" s="148"/>
      <c r="N88" s="148"/>
      <c r="O88" s="148"/>
      <c r="P88" s="148"/>
      <c r="Q88" s="148"/>
      <c r="R88" s="18"/>
    </row>
    <row r="89" ht="15.75" customHeight="1">
      <c r="J89" s="213"/>
      <c r="K89" s="213"/>
      <c r="L89" s="148"/>
      <c r="M89" s="148"/>
      <c r="N89" s="148"/>
      <c r="O89" s="148"/>
      <c r="P89" s="148"/>
      <c r="Q89" s="148"/>
      <c r="R89" s="18"/>
    </row>
    <row r="90" ht="15.75" customHeight="1">
      <c r="J90" s="213"/>
      <c r="K90" s="213"/>
      <c r="L90" s="148"/>
      <c r="M90" s="148"/>
      <c r="N90" s="148"/>
      <c r="O90" s="148"/>
      <c r="P90" s="148"/>
      <c r="Q90" s="148"/>
      <c r="R90" s="18"/>
    </row>
    <row r="91" ht="15.75" customHeight="1">
      <c r="J91" s="213"/>
      <c r="K91" s="213"/>
      <c r="L91" s="148"/>
      <c r="M91" s="148"/>
      <c r="N91" s="148"/>
      <c r="O91" s="148"/>
      <c r="P91" s="148"/>
      <c r="Q91" s="148"/>
      <c r="R91" s="18"/>
    </row>
    <row r="92" ht="15.75" customHeight="1">
      <c r="J92" s="213"/>
      <c r="K92" s="213"/>
      <c r="L92" s="148"/>
      <c r="M92" s="148"/>
      <c r="N92" s="148"/>
      <c r="O92" s="148"/>
      <c r="P92" s="148"/>
      <c r="Q92" s="148"/>
      <c r="R92" s="18"/>
    </row>
    <row r="93" ht="15.75" customHeight="1">
      <c r="J93" s="213"/>
      <c r="K93" s="213"/>
      <c r="L93" s="148"/>
      <c r="M93" s="148"/>
      <c r="N93" s="148"/>
      <c r="O93" s="148"/>
      <c r="P93" s="148"/>
      <c r="Q93" s="148"/>
      <c r="R93" s="18"/>
    </row>
    <row r="94" ht="15.75" customHeight="1">
      <c r="J94" s="213"/>
      <c r="K94" s="213"/>
      <c r="L94" s="148"/>
      <c r="M94" s="148"/>
      <c r="N94" s="148"/>
      <c r="O94" s="148"/>
      <c r="P94" s="148"/>
      <c r="Q94" s="148"/>
      <c r="R94" s="18"/>
    </row>
    <row r="95" ht="15.75" customHeight="1">
      <c r="J95" s="213"/>
      <c r="K95" s="213"/>
      <c r="L95" s="148"/>
      <c r="M95" s="148"/>
      <c r="N95" s="148"/>
      <c r="O95" s="148"/>
      <c r="P95" s="148"/>
      <c r="Q95" s="148"/>
      <c r="R95" s="18"/>
    </row>
    <row r="96" ht="15.75" customHeight="1">
      <c r="J96" s="213"/>
      <c r="K96" s="213"/>
      <c r="L96" s="148"/>
      <c r="M96" s="148"/>
      <c r="N96" s="148"/>
      <c r="O96" s="148"/>
      <c r="P96" s="148"/>
      <c r="Q96" s="148"/>
      <c r="R96" s="18"/>
    </row>
    <row r="97" ht="15.75" customHeight="1">
      <c r="J97" s="213"/>
      <c r="K97" s="213"/>
      <c r="L97" s="148"/>
      <c r="M97" s="148"/>
      <c r="N97" s="148"/>
      <c r="O97" s="148"/>
      <c r="P97" s="148"/>
      <c r="Q97" s="148"/>
      <c r="R97" s="18"/>
    </row>
    <row r="98" ht="15.75" customHeight="1">
      <c r="J98" s="213"/>
      <c r="K98" s="213"/>
      <c r="L98" s="148"/>
      <c r="M98" s="148"/>
      <c r="N98" s="148"/>
      <c r="O98" s="148"/>
      <c r="P98" s="148"/>
      <c r="Q98" s="148"/>
      <c r="R98" s="18"/>
    </row>
    <row r="99" ht="15.75" customHeight="1">
      <c r="J99" s="213"/>
      <c r="K99" s="213"/>
      <c r="L99" s="148"/>
      <c r="M99" s="148"/>
      <c r="N99" s="148"/>
      <c r="O99" s="148"/>
      <c r="P99" s="148"/>
      <c r="Q99" s="148"/>
      <c r="R99" s="18"/>
    </row>
    <row r="100" ht="15.75" customHeight="1">
      <c r="J100" s="213"/>
      <c r="K100" s="213"/>
      <c r="L100" s="148"/>
      <c r="M100" s="148"/>
      <c r="N100" s="148"/>
      <c r="O100" s="148"/>
      <c r="P100" s="148"/>
      <c r="Q100" s="148"/>
      <c r="R100" s="18"/>
    </row>
    <row r="101" ht="15.75" customHeight="1">
      <c r="J101" s="213"/>
      <c r="K101" s="213"/>
      <c r="L101" s="148"/>
      <c r="M101" s="148"/>
      <c r="N101" s="148"/>
      <c r="O101" s="148"/>
      <c r="P101" s="148"/>
      <c r="Q101" s="148"/>
      <c r="R101" s="18"/>
    </row>
    <row r="102" ht="15.75" customHeight="1">
      <c r="J102" s="213"/>
      <c r="K102" s="213"/>
      <c r="L102" s="148"/>
      <c r="M102" s="148"/>
      <c r="N102" s="148"/>
      <c r="O102" s="148"/>
      <c r="P102" s="148"/>
      <c r="Q102" s="148"/>
      <c r="R102" s="18"/>
    </row>
    <row r="103" ht="15.75" customHeight="1">
      <c r="J103" s="213"/>
      <c r="K103" s="213"/>
      <c r="L103" s="148"/>
      <c r="M103" s="148"/>
      <c r="N103" s="148"/>
      <c r="O103" s="148"/>
      <c r="P103" s="148"/>
      <c r="Q103" s="148"/>
      <c r="R103" s="18"/>
    </row>
    <row r="104" ht="15.75" customHeight="1">
      <c r="J104" s="213"/>
      <c r="K104" s="213"/>
      <c r="L104" s="148"/>
      <c r="M104" s="148"/>
      <c r="N104" s="148"/>
      <c r="O104" s="148"/>
      <c r="P104" s="148"/>
      <c r="Q104" s="148"/>
      <c r="R104" s="18"/>
    </row>
    <row r="105" ht="15.75" customHeight="1">
      <c r="J105" s="213"/>
      <c r="K105" s="213"/>
      <c r="L105" s="148"/>
      <c r="M105" s="148"/>
      <c r="N105" s="148"/>
      <c r="O105" s="148"/>
      <c r="P105" s="148"/>
      <c r="Q105" s="148"/>
      <c r="R105" s="18"/>
    </row>
    <row r="106" ht="15.75" customHeight="1">
      <c r="J106" s="213"/>
      <c r="K106" s="213"/>
      <c r="L106" s="148"/>
      <c r="M106" s="148"/>
      <c r="N106" s="148"/>
      <c r="O106" s="148"/>
      <c r="P106" s="148"/>
      <c r="Q106" s="148"/>
      <c r="R106" s="18"/>
    </row>
    <row r="107" ht="15.75" customHeight="1">
      <c r="J107" s="213"/>
      <c r="K107" s="213"/>
      <c r="L107" s="148"/>
      <c r="M107" s="148"/>
      <c r="N107" s="148"/>
      <c r="O107" s="148"/>
      <c r="P107" s="148"/>
      <c r="Q107" s="148"/>
      <c r="R107" s="18"/>
    </row>
    <row r="108" ht="15.75" customHeight="1">
      <c r="J108" s="213"/>
      <c r="K108" s="213"/>
      <c r="L108" s="148"/>
      <c r="M108" s="148"/>
      <c r="N108" s="148"/>
      <c r="O108" s="148"/>
      <c r="P108" s="148"/>
      <c r="Q108" s="148"/>
      <c r="R108" s="18"/>
    </row>
    <row r="109" ht="15.75" customHeight="1">
      <c r="J109" s="213"/>
      <c r="K109" s="213"/>
      <c r="L109" s="148"/>
      <c r="M109" s="148"/>
      <c r="N109" s="148"/>
      <c r="O109" s="148"/>
      <c r="P109" s="148"/>
      <c r="Q109" s="148"/>
      <c r="R109" s="18"/>
    </row>
    <row r="110" ht="15.75" customHeight="1">
      <c r="J110" s="213"/>
      <c r="K110" s="213"/>
      <c r="L110" s="148"/>
      <c r="M110" s="148"/>
      <c r="N110" s="148"/>
      <c r="O110" s="148"/>
      <c r="P110" s="148"/>
      <c r="Q110" s="148"/>
      <c r="R110" s="18"/>
    </row>
    <row r="111" ht="15.75" customHeight="1">
      <c r="J111" s="213"/>
      <c r="K111" s="213"/>
      <c r="L111" s="148"/>
      <c r="M111" s="148"/>
      <c r="N111" s="148"/>
      <c r="O111" s="148"/>
      <c r="P111" s="148"/>
      <c r="Q111" s="148"/>
      <c r="R111" s="18"/>
    </row>
    <row r="112" ht="15.75" customHeight="1">
      <c r="J112" s="213"/>
      <c r="K112" s="213"/>
      <c r="L112" s="148"/>
      <c r="M112" s="148"/>
      <c r="N112" s="148"/>
      <c r="O112" s="148"/>
      <c r="P112" s="148"/>
      <c r="Q112" s="148"/>
      <c r="R112" s="18"/>
    </row>
    <row r="113" ht="15.75" customHeight="1">
      <c r="J113" s="213"/>
      <c r="K113" s="213"/>
      <c r="L113" s="148"/>
      <c r="M113" s="148"/>
      <c r="N113" s="148"/>
      <c r="O113" s="148"/>
      <c r="P113" s="148"/>
      <c r="Q113" s="148"/>
      <c r="R113" s="18"/>
    </row>
    <row r="114" ht="15.75" customHeight="1">
      <c r="J114" s="213"/>
      <c r="K114" s="213"/>
      <c r="L114" s="148"/>
      <c r="M114" s="148"/>
      <c r="N114" s="148"/>
      <c r="O114" s="148"/>
      <c r="P114" s="148"/>
      <c r="Q114" s="148"/>
      <c r="R114" s="18"/>
    </row>
    <row r="115" ht="15.75" customHeight="1">
      <c r="J115" s="213"/>
      <c r="K115" s="213"/>
      <c r="L115" s="148"/>
      <c r="M115" s="148"/>
      <c r="N115" s="148"/>
      <c r="O115" s="148"/>
      <c r="P115" s="148"/>
      <c r="Q115" s="148"/>
      <c r="R115" s="18"/>
    </row>
    <row r="116" ht="15.75" customHeight="1">
      <c r="J116" s="213"/>
      <c r="K116" s="213"/>
      <c r="L116" s="148"/>
      <c r="M116" s="148"/>
      <c r="N116" s="148"/>
      <c r="O116" s="148"/>
      <c r="P116" s="148"/>
      <c r="Q116" s="148"/>
      <c r="R116" s="18"/>
    </row>
    <row r="117" ht="15.75" customHeight="1">
      <c r="J117" s="213"/>
      <c r="K117" s="213"/>
      <c r="L117" s="148"/>
      <c r="M117" s="148"/>
      <c r="N117" s="148"/>
      <c r="O117" s="148"/>
      <c r="P117" s="148"/>
      <c r="Q117" s="148"/>
      <c r="R117" s="18"/>
    </row>
    <row r="118" ht="15.75" customHeight="1">
      <c r="J118" s="213"/>
      <c r="K118" s="213"/>
      <c r="L118" s="148"/>
      <c r="M118" s="148"/>
      <c r="N118" s="148"/>
      <c r="O118" s="148"/>
      <c r="P118" s="148"/>
      <c r="Q118" s="148"/>
      <c r="R118" s="18"/>
    </row>
    <row r="119" ht="15.75" customHeight="1">
      <c r="J119" s="213"/>
      <c r="K119" s="213"/>
      <c r="L119" s="148"/>
      <c r="M119" s="148"/>
      <c r="N119" s="148"/>
      <c r="O119" s="148"/>
      <c r="P119" s="148"/>
      <c r="Q119" s="148"/>
      <c r="R119" s="18"/>
    </row>
    <row r="120" ht="15.75" customHeight="1">
      <c r="J120" s="213"/>
      <c r="K120" s="213"/>
      <c r="L120" s="148"/>
      <c r="M120" s="148"/>
      <c r="N120" s="148"/>
      <c r="O120" s="148"/>
      <c r="P120" s="148"/>
      <c r="Q120" s="148"/>
      <c r="R120" s="18"/>
    </row>
    <row r="121" ht="15.75" customHeight="1">
      <c r="J121" s="213"/>
      <c r="K121" s="213"/>
      <c r="L121" s="148"/>
      <c r="M121" s="148"/>
      <c r="N121" s="148"/>
      <c r="O121" s="148"/>
      <c r="P121" s="148"/>
      <c r="Q121" s="148"/>
      <c r="R121" s="18"/>
    </row>
    <row r="122" ht="15.75" customHeight="1">
      <c r="J122" s="213"/>
      <c r="K122" s="213"/>
      <c r="L122" s="148"/>
      <c r="M122" s="148"/>
      <c r="N122" s="148"/>
      <c r="O122" s="148"/>
      <c r="P122" s="148"/>
      <c r="Q122" s="148"/>
      <c r="R122" s="18"/>
    </row>
    <row r="123" ht="15.75" customHeight="1">
      <c r="J123" s="213"/>
      <c r="K123" s="213"/>
      <c r="L123" s="148"/>
      <c r="M123" s="148"/>
      <c r="N123" s="148"/>
      <c r="O123" s="148"/>
      <c r="P123" s="148"/>
      <c r="Q123" s="148"/>
      <c r="R123" s="18"/>
    </row>
    <row r="124" ht="15.75" customHeight="1">
      <c r="J124" s="213"/>
      <c r="K124" s="213"/>
      <c r="L124" s="148"/>
      <c r="M124" s="148"/>
      <c r="N124" s="148"/>
      <c r="O124" s="148"/>
      <c r="P124" s="148"/>
      <c r="Q124" s="148"/>
      <c r="R124" s="18"/>
    </row>
    <row r="125" ht="15.75" customHeight="1">
      <c r="J125" s="213"/>
      <c r="K125" s="213"/>
      <c r="L125" s="148"/>
      <c r="M125" s="148"/>
      <c r="N125" s="148"/>
      <c r="O125" s="148"/>
      <c r="P125" s="148"/>
      <c r="Q125" s="148"/>
      <c r="R125" s="18"/>
    </row>
    <row r="126" ht="15.75" customHeight="1">
      <c r="J126" s="213"/>
      <c r="K126" s="213"/>
      <c r="L126" s="148"/>
      <c r="M126" s="148"/>
      <c r="N126" s="148"/>
      <c r="O126" s="148"/>
      <c r="P126" s="148"/>
      <c r="Q126" s="148"/>
      <c r="R126" s="18"/>
    </row>
    <row r="127" ht="15.75" customHeight="1">
      <c r="J127" s="213"/>
      <c r="K127" s="213"/>
      <c r="L127" s="148"/>
      <c r="M127" s="148"/>
      <c r="N127" s="148"/>
      <c r="O127" s="148"/>
      <c r="P127" s="148"/>
      <c r="Q127" s="148"/>
      <c r="R127" s="18"/>
    </row>
    <row r="128" ht="15.75" customHeight="1">
      <c r="J128" s="213"/>
      <c r="K128" s="213"/>
      <c r="L128" s="148"/>
      <c r="M128" s="148"/>
      <c r="N128" s="148"/>
      <c r="O128" s="148"/>
      <c r="P128" s="148"/>
      <c r="Q128" s="148"/>
      <c r="R128" s="18"/>
    </row>
    <row r="129" ht="15.75" customHeight="1">
      <c r="J129" s="213"/>
      <c r="K129" s="213"/>
      <c r="L129" s="148"/>
      <c r="M129" s="148"/>
      <c r="N129" s="148"/>
      <c r="O129" s="148"/>
      <c r="P129" s="148"/>
      <c r="Q129" s="148"/>
      <c r="R129" s="18"/>
    </row>
    <row r="130" ht="15.75" customHeight="1">
      <c r="J130" s="213"/>
      <c r="K130" s="213"/>
      <c r="L130" s="148"/>
      <c r="M130" s="148"/>
      <c r="N130" s="148"/>
      <c r="O130" s="148"/>
      <c r="P130" s="148"/>
      <c r="Q130" s="148"/>
      <c r="R130" s="18"/>
    </row>
    <row r="131" ht="15.75" customHeight="1">
      <c r="J131" s="213"/>
      <c r="K131" s="213"/>
      <c r="L131" s="148"/>
      <c r="M131" s="148"/>
      <c r="N131" s="148"/>
      <c r="O131" s="148"/>
      <c r="P131" s="148"/>
      <c r="Q131" s="148"/>
      <c r="R131" s="18"/>
    </row>
    <row r="132" ht="15.75" customHeight="1">
      <c r="J132" s="213"/>
      <c r="K132" s="213"/>
      <c r="L132" s="148"/>
      <c r="M132" s="148"/>
      <c r="N132" s="148"/>
      <c r="O132" s="148"/>
      <c r="P132" s="148"/>
      <c r="Q132" s="148"/>
      <c r="R132" s="18"/>
    </row>
    <row r="133" ht="15.75" customHeight="1">
      <c r="J133" s="213"/>
      <c r="K133" s="213"/>
      <c r="L133" s="148"/>
      <c r="M133" s="148"/>
      <c r="N133" s="148"/>
      <c r="O133" s="148"/>
      <c r="P133" s="148"/>
      <c r="Q133" s="148"/>
      <c r="R133" s="18"/>
    </row>
    <row r="134" ht="15.75" customHeight="1">
      <c r="J134" s="213"/>
      <c r="K134" s="213"/>
      <c r="L134" s="148"/>
      <c r="M134" s="148"/>
      <c r="N134" s="148"/>
      <c r="O134" s="148"/>
      <c r="P134" s="148"/>
      <c r="Q134" s="148"/>
      <c r="R134" s="18"/>
    </row>
    <row r="135" ht="15.75" customHeight="1">
      <c r="J135" s="213"/>
      <c r="K135" s="213"/>
      <c r="L135" s="148"/>
      <c r="M135" s="148"/>
      <c r="N135" s="148"/>
      <c r="O135" s="148"/>
      <c r="P135" s="148"/>
      <c r="Q135" s="148"/>
      <c r="R135" s="18"/>
    </row>
    <row r="136" ht="15.75" customHeight="1">
      <c r="J136" s="213"/>
      <c r="K136" s="213"/>
      <c r="L136" s="148"/>
      <c r="M136" s="148"/>
      <c r="N136" s="148"/>
      <c r="O136" s="148"/>
      <c r="P136" s="148"/>
      <c r="Q136" s="148"/>
      <c r="R136" s="18"/>
    </row>
    <row r="137" ht="15.75" customHeight="1">
      <c r="J137" s="213"/>
      <c r="K137" s="213"/>
      <c r="L137" s="148"/>
      <c r="M137" s="148"/>
      <c r="N137" s="148"/>
      <c r="O137" s="148"/>
      <c r="P137" s="148"/>
      <c r="Q137" s="148"/>
      <c r="R137" s="18"/>
    </row>
    <row r="138" ht="15.75" customHeight="1">
      <c r="J138" s="213"/>
      <c r="K138" s="213"/>
      <c r="L138" s="148"/>
      <c r="M138" s="148"/>
      <c r="N138" s="148"/>
      <c r="O138" s="148"/>
      <c r="P138" s="148"/>
      <c r="Q138" s="148"/>
      <c r="R138" s="18"/>
    </row>
    <row r="139" ht="15.75" customHeight="1">
      <c r="J139" s="213"/>
      <c r="K139" s="213"/>
      <c r="L139" s="148"/>
      <c r="M139" s="148"/>
      <c r="N139" s="148"/>
      <c r="O139" s="148"/>
      <c r="P139" s="148"/>
      <c r="Q139" s="148"/>
      <c r="R139" s="18"/>
    </row>
    <row r="140" ht="15.75" customHeight="1">
      <c r="J140" s="213"/>
      <c r="K140" s="213"/>
      <c r="L140" s="148"/>
      <c r="M140" s="148"/>
      <c r="N140" s="148"/>
      <c r="O140" s="148"/>
      <c r="P140" s="148"/>
      <c r="Q140" s="148"/>
      <c r="R140" s="18"/>
    </row>
    <row r="141" ht="15.75" customHeight="1">
      <c r="J141" s="213"/>
      <c r="K141" s="213"/>
      <c r="L141" s="148"/>
      <c r="M141" s="148"/>
      <c r="N141" s="148"/>
      <c r="O141" s="148"/>
      <c r="P141" s="148"/>
      <c r="Q141" s="148"/>
      <c r="R141" s="18"/>
    </row>
    <row r="142" ht="15.75" customHeight="1">
      <c r="J142" s="213"/>
      <c r="K142" s="213"/>
      <c r="L142" s="148"/>
      <c r="M142" s="148"/>
      <c r="N142" s="148"/>
      <c r="O142" s="148"/>
      <c r="P142" s="148"/>
      <c r="Q142" s="148"/>
      <c r="R142" s="18"/>
    </row>
    <row r="143" ht="15.75" customHeight="1">
      <c r="J143" s="213"/>
      <c r="K143" s="213"/>
      <c r="L143" s="148"/>
      <c r="M143" s="148"/>
      <c r="N143" s="148"/>
      <c r="O143" s="148"/>
      <c r="P143" s="148"/>
      <c r="Q143" s="148"/>
      <c r="R143" s="18"/>
    </row>
    <row r="144" ht="15.75" customHeight="1">
      <c r="J144" s="213"/>
      <c r="K144" s="213"/>
      <c r="L144" s="148"/>
      <c r="M144" s="148"/>
      <c r="N144" s="148"/>
      <c r="O144" s="148"/>
      <c r="P144" s="148"/>
      <c r="Q144" s="148"/>
      <c r="R144" s="18"/>
    </row>
    <row r="145" ht="15.75" customHeight="1">
      <c r="J145" s="213"/>
      <c r="K145" s="213"/>
      <c r="L145" s="148"/>
      <c r="M145" s="148"/>
      <c r="N145" s="148"/>
      <c r="O145" s="148"/>
      <c r="P145" s="148"/>
      <c r="Q145" s="148"/>
      <c r="R145" s="18"/>
    </row>
    <row r="146" ht="15.75" customHeight="1">
      <c r="J146" s="213"/>
      <c r="K146" s="213"/>
      <c r="L146" s="148"/>
      <c r="M146" s="148"/>
      <c r="N146" s="148"/>
      <c r="O146" s="148"/>
      <c r="P146" s="148"/>
      <c r="Q146" s="148"/>
      <c r="R146" s="18"/>
    </row>
    <row r="147" ht="15.75" customHeight="1">
      <c r="J147" s="213"/>
      <c r="K147" s="213"/>
      <c r="L147" s="148"/>
      <c r="M147" s="148"/>
      <c r="N147" s="148"/>
      <c r="O147" s="148"/>
      <c r="P147" s="148"/>
      <c r="Q147" s="148"/>
      <c r="R147" s="18"/>
    </row>
    <row r="148" ht="15.75" customHeight="1">
      <c r="J148" s="213"/>
      <c r="K148" s="213"/>
      <c r="L148" s="148"/>
      <c r="M148" s="148"/>
      <c r="N148" s="148"/>
      <c r="O148" s="148"/>
      <c r="P148" s="148"/>
      <c r="Q148" s="148"/>
      <c r="R148" s="18"/>
    </row>
    <row r="149" ht="15.75" customHeight="1">
      <c r="J149" s="213"/>
      <c r="K149" s="213"/>
      <c r="L149" s="148"/>
      <c r="M149" s="148"/>
      <c r="N149" s="148"/>
      <c r="O149" s="148"/>
      <c r="P149" s="148"/>
      <c r="Q149" s="148"/>
      <c r="R149" s="18"/>
    </row>
    <row r="150" ht="15.75" customHeight="1">
      <c r="J150" s="213"/>
      <c r="K150" s="213"/>
      <c r="L150" s="148"/>
      <c r="M150" s="148"/>
      <c r="N150" s="148"/>
      <c r="O150" s="148"/>
      <c r="P150" s="148"/>
      <c r="Q150" s="148"/>
      <c r="R150" s="18"/>
    </row>
    <row r="151" ht="15.75" customHeight="1">
      <c r="J151" s="213"/>
      <c r="K151" s="213"/>
      <c r="L151" s="148"/>
      <c r="M151" s="148"/>
      <c r="N151" s="148"/>
      <c r="O151" s="148"/>
      <c r="P151" s="148"/>
      <c r="Q151" s="148"/>
      <c r="R151" s="18"/>
    </row>
    <row r="152" ht="15.75" customHeight="1">
      <c r="J152" s="213"/>
      <c r="K152" s="213"/>
      <c r="L152" s="148"/>
      <c r="M152" s="148"/>
      <c r="N152" s="148"/>
      <c r="O152" s="148"/>
      <c r="P152" s="148"/>
      <c r="Q152" s="148"/>
      <c r="R152" s="18"/>
    </row>
    <row r="153" ht="15.75" customHeight="1">
      <c r="J153" s="213"/>
      <c r="K153" s="213"/>
      <c r="L153" s="148"/>
      <c r="M153" s="148"/>
      <c r="N153" s="148"/>
      <c r="O153" s="148"/>
      <c r="P153" s="148"/>
      <c r="Q153" s="148"/>
      <c r="R153" s="18"/>
    </row>
    <row r="154" ht="15.75" customHeight="1">
      <c r="J154" s="213"/>
      <c r="K154" s="213"/>
      <c r="L154" s="148"/>
      <c r="M154" s="148"/>
      <c r="N154" s="148"/>
      <c r="O154" s="148"/>
      <c r="P154" s="148"/>
      <c r="Q154" s="148"/>
      <c r="R154" s="18"/>
    </row>
    <row r="155" ht="15.75" customHeight="1">
      <c r="J155" s="213"/>
      <c r="K155" s="213"/>
      <c r="L155" s="148"/>
      <c r="M155" s="148"/>
      <c r="N155" s="148"/>
      <c r="O155" s="148"/>
      <c r="P155" s="148"/>
      <c r="Q155" s="148"/>
      <c r="R155" s="18"/>
    </row>
    <row r="156" ht="15.75" customHeight="1">
      <c r="J156" s="213"/>
      <c r="K156" s="213"/>
      <c r="L156" s="148"/>
      <c r="M156" s="148"/>
      <c r="N156" s="148"/>
      <c r="O156" s="148"/>
      <c r="P156" s="148"/>
      <c r="Q156" s="148"/>
      <c r="R156" s="18"/>
    </row>
    <row r="157" ht="15.75" customHeight="1">
      <c r="J157" s="213"/>
      <c r="K157" s="213"/>
      <c r="L157" s="148"/>
      <c r="M157" s="148"/>
      <c r="N157" s="148"/>
      <c r="O157" s="148"/>
      <c r="P157" s="148"/>
      <c r="Q157" s="148"/>
      <c r="R157" s="18"/>
    </row>
    <row r="158" ht="15.75" customHeight="1">
      <c r="J158" s="213"/>
      <c r="K158" s="213"/>
      <c r="L158" s="148"/>
      <c r="M158" s="148"/>
      <c r="N158" s="148"/>
      <c r="O158" s="148"/>
      <c r="P158" s="148"/>
      <c r="Q158" s="148"/>
      <c r="R158" s="18"/>
    </row>
    <row r="159" ht="15.75" customHeight="1">
      <c r="J159" s="213"/>
      <c r="K159" s="213"/>
      <c r="L159" s="148"/>
      <c r="M159" s="148"/>
      <c r="N159" s="148"/>
      <c r="O159" s="148"/>
      <c r="P159" s="148"/>
      <c r="Q159" s="148"/>
      <c r="R159" s="18"/>
    </row>
    <row r="160" ht="15.75" customHeight="1">
      <c r="J160" s="213"/>
      <c r="K160" s="213"/>
      <c r="L160" s="148"/>
      <c r="M160" s="148"/>
      <c r="N160" s="148"/>
      <c r="O160" s="148"/>
      <c r="P160" s="148"/>
      <c r="Q160" s="148"/>
      <c r="R160" s="18"/>
    </row>
    <row r="161" ht="15.75" customHeight="1">
      <c r="J161" s="213"/>
      <c r="K161" s="213"/>
      <c r="L161" s="148"/>
      <c r="M161" s="148"/>
      <c r="N161" s="148"/>
      <c r="O161" s="148"/>
      <c r="P161" s="148"/>
      <c r="Q161" s="148"/>
      <c r="R161" s="18"/>
    </row>
    <row r="162" ht="15.75" customHeight="1">
      <c r="J162" s="213"/>
      <c r="K162" s="213"/>
      <c r="L162" s="148"/>
      <c r="M162" s="148"/>
      <c r="N162" s="148"/>
      <c r="O162" s="148"/>
      <c r="P162" s="148"/>
      <c r="Q162" s="148"/>
      <c r="R162" s="18"/>
    </row>
    <row r="163" ht="15.75" customHeight="1">
      <c r="J163" s="213"/>
      <c r="K163" s="213"/>
      <c r="L163" s="148"/>
      <c r="M163" s="148"/>
      <c r="N163" s="148"/>
      <c r="O163" s="148"/>
      <c r="P163" s="148"/>
      <c r="Q163" s="148"/>
      <c r="R163" s="18"/>
    </row>
    <row r="164" ht="15.75" customHeight="1">
      <c r="J164" s="213"/>
      <c r="K164" s="213"/>
      <c r="L164" s="148"/>
      <c r="M164" s="148"/>
      <c r="N164" s="148"/>
      <c r="O164" s="148"/>
      <c r="P164" s="148"/>
      <c r="Q164" s="148"/>
      <c r="R164" s="18"/>
    </row>
    <row r="165" ht="15.75" customHeight="1">
      <c r="J165" s="213"/>
      <c r="K165" s="213"/>
      <c r="L165" s="148"/>
      <c r="M165" s="148"/>
      <c r="N165" s="148"/>
      <c r="O165" s="148"/>
      <c r="P165" s="148"/>
      <c r="Q165" s="148"/>
      <c r="R165" s="18"/>
    </row>
    <row r="166" ht="15.75" customHeight="1">
      <c r="J166" s="213"/>
      <c r="K166" s="213"/>
      <c r="L166" s="148"/>
      <c r="M166" s="148"/>
      <c r="N166" s="148"/>
      <c r="O166" s="148"/>
      <c r="P166" s="148"/>
      <c r="Q166" s="148"/>
      <c r="R166" s="18"/>
    </row>
    <row r="167" ht="15.75" customHeight="1">
      <c r="J167" s="213"/>
      <c r="K167" s="213"/>
      <c r="L167" s="148"/>
      <c r="M167" s="148"/>
      <c r="N167" s="148"/>
      <c r="O167" s="148"/>
      <c r="P167" s="148"/>
      <c r="Q167" s="148"/>
      <c r="R167" s="18"/>
    </row>
    <row r="168" ht="15.75" customHeight="1">
      <c r="J168" s="213"/>
      <c r="K168" s="213"/>
      <c r="L168" s="148"/>
      <c r="M168" s="148"/>
      <c r="N168" s="148"/>
      <c r="O168" s="148"/>
      <c r="P168" s="148"/>
      <c r="Q168" s="148"/>
      <c r="R168" s="18"/>
    </row>
    <row r="169" ht="15.75" customHeight="1">
      <c r="J169" s="213"/>
      <c r="K169" s="213"/>
      <c r="L169" s="148"/>
      <c r="M169" s="148"/>
      <c r="N169" s="148"/>
      <c r="O169" s="148"/>
      <c r="P169" s="148"/>
      <c r="Q169" s="148"/>
      <c r="R169" s="18"/>
    </row>
    <row r="170" ht="15.75" customHeight="1">
      <c r="J170" s="213"/>
      <c r="K170" s="213"/>
      <c r="L170" s="148"/>
      <c r="M170" s="148"/>
      <c r="N170" s="148"/>
      <c r="O170" s="148"/>
      <c r="P170" s="148"/>
      <c r="Q170" s="148"/>
      <c r="R170" s="18"/>
    </row>
    <row r="171" ht="15.75" customHeight="1">
      <c r="J171" s="213"/>
      <c r="K171" s="213"/>
      <c r="L171" s="148"/>
      <c r="M171" s="148"/>
      <c r="N171" s="148"/>
      <c r="O171" s="148"/>
      <c r="P171" s="148"/>
      <c r="Q171" s="148"/>
      <c r="R171" s="18"/>
    </row>
    <row r="172" ht="15.75" customHeight="1">
      <c r="J172" s="213"/>
      <c r="K172" s="213"/>
      <c r="L172" s="148"/>
      <c r="M172" s="148"/>
      <c r="N172" s="148"/>
      <c r="O172" s="148"/>
      <c r="P172" s="148"/>
      <c r="Q172" s="148"/>
      <c r="R172" s="18"/>
    </row>
    <row r="173" ht="15.75" customHeight="1">
      <c r="J173" s="213"/>
      <c r="K173" s="213"/>
      <c r="L173" s="148"/>
      <c r="M173" s="148"/>
      <c r="N173" s="148"/>
      <c r="O173" s="148"/>
      <c r="P173" s="148"/>
      <c r="Q173" s="148"/>
      <c r="R173" s="18"/>
    </row>
    <row r="174" ht="15.75" customHeight="1">
      <c r="J174" s="213"/>
      <c r="K174" s="213"/>
      <c r="L174" s="148"/>
      <c r="M174" s="148"/>
      <c r="N174" s="148"/>
      <c r="O174" s="148"/>
      <c r="P174" s="148"/>
      <c r="Q174" s="148"/>
      <c r="R174" s="18"/>
    </row>
    <row r="175" ht="15.75" customHeight="1">
      <c r="J175" s="213"/>
      <c r="K175" s="213"/>
      <c r="L175" s="148"/>
      <c r="M175" s="148"/>
      <c r="N175" s="148"/>
      <c r="O175" s="148"/>
      <c r="P175" s="148"/>
      <c r="Q175" s="148"/>
      <c r="R175" s="18"/>
    </row>
    <row r="176" ht="15.75" customHeight="1">
      <c r="J176" s="213"/>
      <c r="K176" s="213"/>
      <c r="L176" s="148"/>
      <c r="M176" s="148"/>
      <c r="N176" s="148"/>
      <c r="O176" s="148"/>
      <c r="P176" s="148"/>
      <c r="Q176" s="148"/>
      <c r="R176" s="18"/>
    </row>
    <row r="177" ht="15.75" customHeight="1">
      <c r="J177" s="213"/>
      <c r="K177" s="213"/>
      <c r="L177" s="148"/>
      <c r="M177" s="148"/>
      <c r="N177" s="148"/>
      <c r="O177" s="148"/>
      <c r="P177" s="148"/>
      <c r="Q177" s="148"/>
      <c r="R177" s="18"/>
    </row>
    <row r="178" ht="15.75" customHeight="1">
      <c r="J178" s="213"/>
      <c r="K178" s="213"/>
      <c r="L178" s="148"/>
      <c r="M178" s="148"/>
      <c r="N178" s="148"/>
      <c r="O178" s="148"/>
      <c r="P178" s="148"/>
      <c r="Q178" s="148"/>
      <c r="R178" s="18"/>
    </row>
    <row r="179" ht="15.75" customHeight="1">
      <c r="J179" s="213"/>
      <c r="K179" s="213"/>
      <c r="L179" s="148"/>
      <c r="M179" s="148"/>
      <c r="N179" s="148"/>
      <c r="O179" s="148"/>
      <c r="P179" s="148"/>
      <c r="Q179" s="148"/>
      <c r="R179" s="18"/>
    </row>
    <row r="180" ht="15.75" customHeight="1">
      <c r="J180" s="213"/>
      <c r="K180" s="213"/>
      <c r="L180" s="148"/>
      <c r="M180" s="148"/>
      <c r="N180" s="148"/>
      <c r="O180" s="148"/>
      <c r="P180" s="148"/>
      <c r="Q180" s="148"/>
      <c r="R180" s="18"/>
    </row>
    <row r="181" ht="15.75" customHeight="1">
      <c r="J181" s="213"/>
      <c r="K181" s="213"/>
      <c r="L181" s="148"/>
      <c r="M181" s="148"/>
      <c r="N181" s="148"/>
      <c r="O181" s="148"/>
      <c r="P181" s="148"/>
      <c r="Q181" s="148"/>
      <c r="R181" s="18"/>
    </row>
    <row r="182" ht="15.75" customHeight="1">
      <c r="J182" s="213"/>
      <c r="K182" s="213"/>
      <c r="L182" s="148"/>
      <c r="M182" s="148"/>
      <c r="N182" s="148"/>
      <c r="O182" s="148"/>
      <c r="P182" s="148"/>
      <c r="Q182" s="148"/>
      <c r="R182" s="18"/>
    </row>
    <row r="183" ht="15.75" customHeight="1">
      <c r="J183" s="213"/>
      <c r="K183" s="213"/>
      <c r="L183" s="148"/>
      <c r="M183" s="148"/>
      <c r="N183" s="148"/>
      <c r="O183" s="148"/>
      <c r="P183" s="148"/>
      <c r="Q183" s="148"/>
      <c r="R183" s="18"/>
    </row>
    <row r="184" ht="15.75" customHeight="1">
      <c r="J184" s="213"/>
      <c r="K184" s="213"/>
      <c r="L184" s="148"/>
      <c r="M184" s="148"/>
      <c r="N184" s="148"/>
      <c r="O184" s="148"/>
      <c r="P184" s="148"/>
      <c r="Q184" s="148"/>
      <c r="R184" s="18"/>
    </row>
    <row r="185" ht="15.75" customHeight="1">
      <c r="J185" s="213"/>
      <c r="K185" s="213"/>
      <c r="L185" s="148"/>
      <c r="M185" s="148"/>
      <c r="N185" s="148"/>
      <c r="O185" s="148"/>
      <c r="P185" s="148"/>
      <c r="Q185" s="148"/>
      <c r="R185" s="18"/>
    </row>
    <row r="186" ht="15.75" customHeight="1">
      <c r="J186" s="213"/>
      <c r="K186" s="213"/>
      <c r="L186" s="148"/>
      <c r="M186" s="148"/>
      <c r="N186" s="148"/>
      <c r="O186" s="148"/>
      <c r="P186" s="148"/>
      <c r="Q186" s="148"/>
      <c r="R186" s="18"/>
    </row>
    <row r="187" ht="15.75" customHeight="1">
      <c r="J187" s="213"/>
      <c r="K187" s="213"/>
      <c r="L187" s="148"/>
      <c r="M187" s="148"/>
      <c r="N187" s="148"/>
      <c r="O187" s="148"/>
      <c r="P187" s="148"/>
      <c r="Q187" s="148"/>
      <c r="R187" s="18"/>
    </row>
    <row r="188" ht="15.75" customHeight="1">
      <c r="J188" s="213"/>
      <c r="K188" s="213"/>
      <c r="L188" s="148"/>
      <c r="M188" s="148"/>
      <c r="N188" s="148"/>
      <c r="O188" s="148"/>
      <c r="P188" s="148"/>
      <c r="Q188" s="148"/>
      <c r="R188" s="18"/>
    </row>
    <row r="189" ht="15.75" customHeight="1">
      <c r="J189" s="213"/>
      <c r="K189" s="213"/>
      <c r="L189" s="148"/>
      <c r="M189" s="148"/>
      <c r="N189" s="148"/>
      <c r="O189" s="148"/>
      <c r="P189" s="148"/>
      <c r="Q189" s="148"/>
      <c r="R189" s="18"/>
    </row>
    <row r="190" ht="15.75" customHeight="1">
      <c r="J190" s="213"/>
      <c r="K190" s="213"/>
      <c r="L190" s="148"/>
      <c r="M190" s="148"/>
      <c r="N190" s="148"/>
      <c r="O190" s="148"/>
      <c r="P190" s="148"/>
      <c r="Q190" s="148"/>
      <c r="R190" s="18"/>
    </row>
    <row r="191" ht="15.75" customHeight="1">
      <c r="J191" s="213"/>
      <c r="K191" s="213"/>
      <c r="L191" s="148"/>
      <c r="M191" s="148"/>
      <c r="N191" s="148"/>
      <c r="O191" s="148"/>
      <c r="P191" s="148"/>
      <c r="Q191" s="148"/>
      <c r="R191" s="18"/>
    </row>
    <row r="192" ht="15.75" customHeight="1">
      <c r="J192" s="213"/>
      <c r="K192" s="213"/>
      <c r="L192" s="148"/>
      <c r="M192" s="148"/>
      <c r="N192" s="148"/>
      <c r="O192" s="148"/>
      <c r="P192" s="148"/>
      <c r="Q192" s="148"/>
      <c r="R192" s="18"/>
    </row>
    <row r="193" ht="15.75" customHeight="1">
      <c r="J193" s="213"/>
      <c r="K193" s="213"/>
      <c r="L193" s="148"/>
      <c r="M193" s="148"/>
      <c r="N193" s="148"/>
      <c r="O193" s="148"/>
      <c r="P193" s="148"/>
      <c r="Q193" s="148"/>
      <c r="R193" s="18"/>
    </row>
    <row r="194" ht="15.75" customHeight="1">
      <c r="J194" s="213"/>
      <c r="K194" s="213"/>
      <c r="L194" s="148"/>
      <c r="M194" s="148"/>
      <c r="N194" s="148"/>
      <c r="O194" s="148"/>
      <c r="P194" s="148"/>
      <c r="Q194" s="148"/>
      <c r="R194" s="18"/>
    </row>
    <row r="195" ht="15.75" customHeight="1">
      <c r="J195" s="213"/>
      <c r="K195" s="213"/>
      <c r="L195" s="148"/>
      <c r="M195" s="148"/>
      <c r="N195" s="148"/>
      <c r="O195" s="148"/>
      <c r="P195" s="148"/>
      <c r="Q195" s="148"/>
      <c r="R195" s="18"/>
    </row>
    <row r="196" ht="15.75" customHeight="1">
      <c r="J196" s="213"/>
      <c r="K196" s="213"/>
      <c r="L196" s="148"/>
      <c r="M196" s="148"/>
      <c r="N196" s="148"/>
      <c r="O196" s="148"/>
      <c r="P196" s="148"/>
      <c r="Q196" s="148"/>
      <c r="R196" s="18"/>
    </row>
    <row r="197" ht="15.75" customHeight="1">
      <c r="J197" s="213"/>
      <c r="K197" s="213"/>
      <c r="L197" s="148"/>
      <c r="M197" s="148"/>
      <c r="N197" s="148"/>
      <c r="O197" s="148"/>
      <c r="P197" s="148"/>
      <c r="Q197" s="148"/>
      <c r="R197" s="18"/>
    </row>
    <row r="198" ht="15.75" customHeight="1">
      <c r="J198" s="213"/>
      <c r="K198" s="213"/>
      <c r="L198" s="148"/>
      <c r="M198" s="148"/>
      <c r="N198" s="148"/>
      <c r="O198" s="148"/>
      <c r="P198" s="148"/>
      <c r="Q198" s="148"/>
      <c r="R198" s="18"/>
    </row>
    <row r="199" ht="15.75" customHeight="1">
      <c r="J199" s="213"/>
      <c r="K199" s="213"/>
      <c r="L199" s="148"/>
      <c r="M199" s="148"/>
      <c r="N199" s="148"/>
      <c r="O199" s="148"/>
      <c r="P199" s="148"/>
      <c r="Q199" s="148"/>
      <c r="R199" s="18"/>
    </row>
    <row r="200" ht="15.75" customHeight="1">
      <c r="J200" s="213"/>
      <c r="K200" s="213"/>
      <c r="L200" s="148"/>
      <c r="M200" s="148"/>
      <c r="N200" s="148"/>
      <c r="O200" s="148"/>
      <c r="P200" s="148"/>
      <c r="Q200" s="148"/>
      <c r="R200" s="18"/>
    </row>
    <row r="201" ht="15.75" customHeight="1">
      <c r="J201" s="213"/>
      <c r="K201" s="213"/>
      <c r="L201" s="148"/>
      <c r="M201" s="148"/>
      <c r="N201" s="148"/>
      <c r="O201" s="148"/>
      <c r="P201" s="148"/>
      <c r="Q201" s="148"/>
      <c r="R201" s="18"/>
    </row>
    <row r="202" ht="15.75" customHeight="1">
      <c r="J202" s="213"/>
      <c r="K202" s="213"/>
      <c r="L202" s="148"/>
      <c r="M202" s="148"/>
      <c r="N202" s="148"/>
      <c r="O202" s="148"/>
      <c r="P202" s="148"/>
      <c r="Q202" s="148"/>
      <c r="R202" s="18"/>
    </row>
    <row r="203" ht="15.75" customHeight="1">
      <c r="J203" s="213"/>
      <c r="K203" s="213"/>
      <c r="L203" s="148"/>
      <c r="M203" s="148"/>
      <c r="N203" s="148"/>
      <c r="O203" s="148"/>
      <c r="P203" s="148"/>
      <c r="Q203" s="148"/>
      <c r="R203" s="18"/>
    </row>
    <row r="204" ht="15.75" customHeight="1">
      <c r="J204" s="213"/>
      <c r="K204" s="213"/>
      <c r="L204" s="148"/>
      <c r="M204" s="148"/>
      <c r="N204" s="148"/>
      <c r="O204" s="148"/>
      <c r="P204" s="148"/>
      <c r="Q204" s="148"/>
      <c r="R204" s="18"/>
    </row>
    <row r="205" ht="15.75" customHeight="1">
      <c r="J205" s="213"/>
      <c r="K205" s="213"/>
      <c r="L205" s="148"/>
      <c r="M205" s="148"/>
      <c r="N205" s="148"/>
      <c r="O205" s="148"/>
      <c r="P205" s="148"/>
      <c r="Q205" s="148"/>
      <c r="R205" s="18"/>
    </row>
    <row r="206" ht="15.75" customHeight="1">
      <c r="J206" s="213"/>
      <c r="K206" s="213"/>
      <c r="L206" s="148"/>
      <c r="M206" s="148"/>
      <c r="N206" s="148"/>
      <c r="O206" s="148"/>
      <c r="P206" s="148"/>
      <c r="Q206" s="148"/>
      <c r="R206" s="18"/>
    </row>
    <row r="207" ht="15.75" customHeight="1">
      <c r="J207" s="213"/>
      <c r="K207" s="213"/>
      <c r="L207" s="148"/>
      <c r="M207" s="148"/>
      <c r="N207" s="148"/>
      <c r="O207" s="148"/>
      <c r="P207" s="148"/>
      <c r="Q207" s="148"/>
      <c r="R207" s="18"/>
    </row>
    <row r="208" ht="15.75" customHeight="1">
      <c r="J208" s="213"/>
      <c r="K208" s="213"/>
      <c r="L208" s="148"/>
      <c r="M208" s="148"/>
      <c r="N208" s="148"/>
      <c r="O208" s="148"/>
      <c r="P208" s="148"/>
      <c r="Q208" s="148"/>
      <c r="R208" s="18"/>
    </row>
    <row r="209" ht="15.75" customHeight="1">
      <c r="J209" s="213"/>
      <c r="K209" s="213"/>
      <c r="L209" s="148"/>
      <c r="M209" s="148"/>
      <c r="N209" s="148"/>
      <c r="O209" s="148"/>
      <c r="P209" s="148"/>
      <c r="Q209" s="148"/>
      <c r="R209" s="18"/>
    </row>
    <row r="210" ht="15.75" customHeight="1">
      <c r="J210" s="213"/>
      <c r="K210" s="213"/>
      <c r="L210" s="148"/>
      <c r="M210" s="148"/>
      <c r="N210" s="148"/>
      <c r="O210" s="148"/>
      <c r="P210" s="148"/>
      <c r="Q210" s="148"/>
      <c r="R210" s="18"/>
    </row>
    <row r="211" ht="15.75" customHeight="1">
      <c r="J211" s="213"/>
      <c r="K211" s="213"/>
      <c r="L211" s="148"/>
      <c r="M211" s="148"/>
      <c r="N211" s="148"/>
      <c r="O211" s="148"/>
      <c r="P211" s="148"/>
      <c r="Q211" s="148"/>
      <c r="R211" s="18"/>
    </row>
    <row r="212" ht="15.75" customHeight="1">
      <c r="J212" s="213"/>
      <c r="K212" s="213"/>
      <c r="L212" s="148"/>
      <c r="M212" s="148"/>
      <c r="N212" s="148"/>
      <c r="O212" s="148"/>
      <c r="P212" s="148"/>
      <c r="Q212" s="148"/>
      <c r="R212" s="18"/>
    </row>
    <row r="213" ht="15.75" customHeight="1">
      <c r="J213" s="213"/>
      <c r="K213" s="213"/>
      <c r="L213" s="148"/>
      <c r="M213" s="148"/>
      <c r="N213" s="148"/>
      <c r="O213" s="148"/>
      <c r="P213" s="148"/>
      <c r="Q213" s="148"/>
      <c r="R213" s="18"/>
    </row>
    <row r="214" ht="15.75" customHeight="1">
      <c r="J214" s="213"/>
      <c r="K214" s="213"/>
      <c r="L214" s="148"/>
      <c r="M214" s="148"/>
      <c r="N214" s="148"/>
      <c r="O214" s="148"/>
      <c r="P214" s="148"/>
      <c r="Q214" s="148"/>
      <c r="R214" s="18"/>
    </row>
    <row r="215" ht="15.75" customHeight="1">
      <c r="J215" s="213"/>
      <c r="K215" s="213"/>
      <c r="L215" s="148"/>
      <c r="M215" s="148"/>
      <c r="N215" s="148"/>
      <c r="O215" s="148"/>
      <c r="P215" s="148"/>
      <c r="Q215" s="148"/>
      <c r="R215" s="18"/>
    </row>
    <row r="216" ht="15.75" customHeight="1">
      <c r="J216" s="213"/>
      <c r="K216" s="213"/>
      <c r="L216" s="148"/>
      <c r="M216" s="148"/>
      <c r="N216" s="148"/>
      <c r="O216" s="148"/>
      <c r="P216" s="148"/>
      <c r="Q216" s="148"/>
      <c r="R216" s="18"/>
    </row>
    <row r="217" ht="15.75" customHeight="1">
      <c r="J217" s="213"/>
      <c r="K217" s="213"/>
      <c r="L217" s="148"/>
      <c r="M217" s="148"/>
      <c r="N217" s="148"/>
      <c r="O217" s="148"/>
      <c r="P217" s="148"/>
      <c r="Q217" s="148"/>
      <c r="R217" s="18"/>
    </row>
    <row r="218" ht="15.75" customHeight="1">
      <c r="J218" s="213"/>
      <c r="K218" s="213"/>
      <c r="L218" s="148"/>
      <c r="M218" s="148"/>
      <c r="N218" s="148"/>
      <c r="O218" s="148"/>
      <c r="P218" s="148"/>
      <c r="Q218" s="148"/>
      <c r="R218" s="18"/>
    </row>
    <row r="219" ht="15.75" customHeight="1">
      <c r="J219" s="213"/>
      <c r="K219" s="213"/>
      <c r="L219" s="148"/>
      <c r="M219" s="148"/>
      <c r="N219" s="148"/>
      <c r="O219" s="148"/>
      <c r="P219" s="148"/>
      <c r="Q219" s="148"/>
      <c r="R219" s="18"/>
    </row>
    <row r="220" ht="15.75" customHeight="1">
      <c r="J220" s="213"/>
      <c r="K220" s="213"/>
      <c r="L220" s="148"/>
      <c r="M220" s="148"/>
      <c r="N220" s="148"/>
      <c r="O220" s="148"/>
      <c r="P220" s="148"/>
      <c r="Q220" s="148"/>
      <c r="R220" s="18"/>
    </row>
    <row r="221" ht="15.75" customHeight="1">
      <c r="J221" s="213"/>
      <c r="K221" s="213"/>
      <c r="L221" s="148"/>
      <c r="M221" s="148"/>
      <c r="N221" s="148"/>
      <c r="O221" s="148"/>
      <c r="P221" s="148"/>
      <c r="Q221" s="148"/>
      <c r="R221" s="18"/>
    </row>
    <row r="222" ht="15.75" customHeight="1">
      <c r="J222" s="213"/>
      <c r="K222" s="213"/>
      <c r="L222" s="148"/>
      <c r="M222" s="148"/>
      <c r="N222" s="148"/>
      <c r="O222" s="148"/>
      <c r="P222" s="148"/>
      <c r="Q222" s="148"/>
      <c r="R222" s="18"/>
    </row>
    <row r="223" ht="15.75" customHeight="1">
      <c r="J223" s="213"/>
      <c r="K223" s="213"/>
      <c r="L223" s="148"/>
      <c r="M223" s="148"/>
      <c r="N223" s="148"/>
      <c r="O223" s="148"/>
      <c r="P223" s="148"/>
      <c r="Q223" s="148"/>
      <c r="R223" s="18"/>
    </row>
    <row r="224" ht="15.75" customHeight="1">
      <c r="J224" s="213"/>
      <c r="K224" s="213"/>
      <c r="L224" s="148"/>
      <c r="M224" s="148"/>
      <c r="N224" s="148"/>
      <c r="O224" s="148"/>
      <c r="P224" s="148"/>
      <c r="Q224" s="148"/>
      <c r="R224" s="18"/>
    </row>
    <row r="225" ht="15.75" customHeight="1">
      <c r="J225" s="213"/>
      <c r="K225" s="213"/>
      <c r="L225" s="148"/>
      <c r="M225" s="148"/>
      <c r="N225" s="148"/>
      <c r="O225" s="148"/>
      <c r="P225" s="148"/>
      <c r="Q225" s="148"/>
      <c r="R225" s="18"/>
    </row>
    <row r="226" ht="15.75" customHeight="1">
      <c r="J226" s="213"/>
      <c r="K226" s="213"/>
      <c r="L226" s="148"/>
      <c r="M226" s="148"/>
      <c r="N226" s="148"/>
      <c r="O226" s="148"/>
      <c r="P226" s="148"/>
      <c r="Q226" s="148"/>
      <c r="R226" s="18"/>
    </row>
    <row r="227" ht="15.75" customHeight="1">
      <c r="J227" s="213"/>
      <c r="K227" s="213"/>
      <c r="L227" s="148"/>
      <c r="M227" s="148"/>
      <c r="N227" s="148"/>
      <c r="O227" s="148"/>
      <c r="P227" s="148"/>
      <c r="Q227" s="148"/>
      <c r="R227" s="18"/>
    </row>
    <row r="228" ht="15.75" customHeight="1">
      <c r="J228" s="213"/>
      <c r="K228" s="213"/>
      <c r="L228" s="148"/>
      <c r="M228" s="148"/>
      <c r="N228" s="148"/>
      <c r="O228" s="148"/>
      <c r="P228" s="148"/>
      <c r="Q228" s="148"/>
      <c r="R228" s="18"/>
    </row>
    <row r="229" ht="15.75" customHeight="1">
      <c r="J229" s="213"/>
      <c r="K229" s="213"/>
      <c r="L229" s="148"/>
      <c r="M229" s="148"/>
      <c r="N229" s="148"/>
      <c r="O229" s="148"/>
      <c r="P229" s="148"/>
      <c r="Q229" s="148"/>
      <c r="R229" s="18"/>
    </row>
    <row r="230" ht="15.75" customHeight="1">
      <c r="J230" s="213"/>
      <c r="K230" s="213"/>
      <c r="L230" s="148"/>
      <c r="M230" s="148"/>
      <c r="N230" s="148"/>
      <c r="O230" s="148"/>
      <c r="P230" s="148"/>
      <c r="Q230" s="148"/>
      <c r="R230" s="18"/>
    </row>
    <row r="231" ht="15.75" customHeight="1">
      <c r="J231" s="213"/>
      <c r="K231" s="213"/>
      <c r="L231" s="148"/>
      <c r="M231" s="148"/>
      <c r="N231" s="148"/>
      <c r="O231" s="148"/>
      <c r="P231" s="148"/>
      <c r="Q231" s="148"/>
      <c r="R231" s="18"/>
    </row>
    <row r="232" ht="15.75" customHeight="1">
      <c r="J232" s="213"/>
      <c r="K232" s="213"/>
      <c r="L232" s="148"/>
      <c r="M232" s="148"/>
      <c r="N232" s="148"/>
      <c r="O232" s="148"/>
      <c r="P232" s="148"/>
      <c r="Q232" s="148"/>
      <c r="R232" s="18"/>
    </row>
    <row r="233" ht="15.75" customHeight="1">
      <c r="J233" s="213"/>
      <c r="K233" s="213"/>
      <c r="L233" s="148"/>
      <c r="M233" s="148"/>
      <c r="N233" s="148"/>
      <c r="O233" s="148"/>
      <c r="P233" s="148"/>
      <c r="Q233" s="148"/>
      <c r="R233" s="18"/>
    </row>
    <row r="234" ht="15.75" customHeight="1">
      <c r="J234" s="213"/>
      <c r="K234" s="213"/>
      <c r="L234" s="148"/>
      <c r="M234" s="148"/>
      <c r="N234" s="148"/>
      <c r="O234" s="148"/>
      <c r="P234" s="148"/>
      <c r="Q234" s="148"/>
      <c r="R234" s="18"/>
    </row>
    <row r="235" ht="15.75" customHeight="1">
      <c r="J235" s="213"/>
      <c r="K235" s="213"/>
      <c r="L235" s="148"/>
      <c r="M235" s="148"/>
      <c r="N235" s="148"/>
      <c r="O235" s="148"/>
      <c r="P235" s="148"/>
      <c r="Q235" s="148"/>
      <c r="R235" s="18"/>
    </row>
    <row r="236" ht="15.75" customHeight="1">
      <c r="J236" s="213"/>
      <c r="K236" s="213"/>
      <c r="L236" s="148"/>
      <c r="M236" s="148"/>
      <c r="N236" s="148"/>
      <c r="O236" s="148"/>
      <c r="P236" s="148"/>
      <c r="Q236" s="148"/>
      <c r="R236" s="18"/>
    </row>
    <row r="237" ht="15.75" customHeight="1">
      <c r="J237" s="213"/>
      <c r="K237" s="213"/>
      <c r="L237" s="148"/>
      <c r="M237" s="148"/>
      <c r="N237" s="148"/>
      <c r="O237" s="148"/>
      <c r="P237" s="148"/>
      <c r="Q237" s="148"/>
      <c r="R237" s="18"/>
    </row>
    <row r="238" ht="15.75" customHeight="1">
      <c r="J238" s="213"/>
      <c r="K238" s="213"/>
      <c r="L238" s="148"/>
      <c r="M238" s="148"/>
      <c r="N238" s="148"/>
      <c r="O238" s="148"/>
      <c r="P238" s="148"/>
      <c r="Q238" s="148"/>
      <c r="R238" s="18"/>
    </row>
    <row r="239" ht="15.75" customHeight="1">
      <c r="J239" s="213"/>
      <c r="K239" s="213"/>
      <c r="L239" s="148"/>
      <c r="M239" s="148"/>
      <c r="N239" s="148"/>
      <c r="O239" s="148"/>
      <c r="P239" s="148"/>
      <c r="Q239" s="148"/>
      <c r="R239" s="18"/>
    </row>
    <row r="240" ht="15.75" customHeight="1">
      <c r="J240" s="213"/>
      <c r="K240" s="213"/>
      <c r="L240" s="148"/>
      <c r="M240" s="148"/>
      <c r="N240" s="148"/>
      <c r="O240" s="148"/>
      <c r="P240" s="148"/>
      <c r="Q240" s="148"/>
      <c r="R240" s="18"/>
    </row>
    <row r="241" ht="15.75" customHeight="1">
      <c r="J241" s="213"/>
      <c r="K241" s="213"/>
      <c r="L241" s="148"/>
      <c r="M241" s="148"/>
      <c r="N241" s="148"/>
      <c r="O241" s="148"/>
      <c r="P241" s="148"/>
      <c r="Q241" s="148"/>
      <c r="R241" s="18"/>
    </row>
    <row r="242" ht="15.75" customHeight="1">
      <c r="J242" s="213"/>
      <c r="K242" s="213"/>
      <c r="L242" s="148"/>
      <c r="M242" s="148"/>
      <c r="N242" s="148"/>
      <c r="O242" s="148"/>
      <c r="P242" s="148"/>
      <c r="Q242" s="148"/>
      <c r="R242" s="18"/>
    </row>
    <row r="243" ht="15.75" customHeight="1">
      <c r="J243" s="213"/>
      <c r="K243" s="213"/>
      <c r="L243" s="148"/>
      <c r="M243" s="148"/>
      <c r="N243" s="148"/>
      <c r="O243" s="148"/>
      <c r="P243" s="148"/>
      <c r="Q243" s="148"/>
      <c r="R243" s="18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0"/>
    <col customWidth="1" min="3" max="3" width="8.75"/>
    <col customWidth="1" hidden="1" min="4" max="4" width="6.88"/>
    <col customWidth="1" min="5" max="5" width="5.38"/>
    <col customWidth="1" min="6" max="6" width="2.25"/>
    <col customWidth="1" min="7" max="7" width="13.88"/>
    <col customWidth="1" min="8" max="8" width="15.88"/>
    <col customWidth="1" min="9" max="9" width="3.88"/>
    <col customWidth="1" min="10" max="10" width="17.38"/>
    <col customWidth="1" min="11" max="11" width="4.0"/>
    <col customWidth="1" min="12" max="12" width="16.5"/>
    <col customWidth="1" min="13" max="13" width="3.63"/>
    <col customWidth="1" min="14" max="14" width="17.38"/>
    <col customWidth="1" min="15" max="15" width="3.88"/>
    <col customWidth="1" min="16" max="16" width="16.13"/>
    <col customWidth="1" min="17" max="17" width="3.5"/>
    <col customWidth="1" min="18" max="18" width="16.75"/>
    <col customWidth="1" min="19" max="19" width="4.25"/>
    <col customWidth="1" min="20" max="20" width="9.38"/>
    <col customWidth="1" min="21" max="21" width="4.5"/>
    <col customWidth="1" min="22" max="22" width="13.38"/>
    <col customWidth="1" min="23" max="23" width="3.38"/>
    <col customWidth="1" min="24" max="24" width="13.75"/>
    <col customWidth="1" min="25" max="25" width="2.75"/>
    <col customWidth="1" min="26" max="26" width="13.38"/>
    <col customWidth="1" min="27" max="27" width="3.25"/>
    <col customWidth="1" hidden="1" min="28" max="28" width="10.38"/>
    <col customWidth="1" min="29" max="29" width="5.75"/>
    <col customWidth="1" min="30" max="30" width="13.88"/>
    <col customWidth="1" min="31" max="31" width="17.0"/>
    <col customWidth="1" min="32" max="32" width="13.63"/>
    <col customWidth="1" min="33" max="33" width="14.75"/>
  </cols>
  <sheetData>
    <row r="1" ht="15.75" customHeight="1">
      <c r="A1" s="223"/>
      <c r="B1" s="224"/>
      <c r="C1" s="224"/>
      <c r="D1" s="224"/>
      <c r="E1" s="224"/>
      <c r="F1" s="224"/>
      <c r="G1" s="225" t="s">
        <v>269</v>
      </c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7"/>
      <c r="AC1" s="58"/>
      <c r="AD1" s="58"/>
      <c r="AE1" s="58"/>
      <c r="AF1" s="58"/>
      <c r="AG1" s="58"/>
    </row>
    <row r="2" ht="15.75" customHeight="1">
      <c r="A2" s="228"/>
      <c r="B2" s="229"/>
      <c r="C2" s="229"/>
      <c r="D2" s="229"/>
      <c r="E2" s="229"/>
      <c r="F2" s="229"/>
      <c r="G2" s="230"/>
      <c r="AB2" s="231"/>
      <c r="AC2" s="58"/>
      <c r="AD2" s="58"/>
      <c r="AE2" s="58"/>
      <c r="AF2" s="58"/>
      <c r="AG2" s="58"/>
    </row>
    <row r="3" ht="15.75" customHeight="1">
      <c r="A3" s="228"/>
      <c r="B3" s="229"/>
      <c r="C3" s="229"/>
      <c r="D3" s="229"/>
      <c r="E3" s="229"/>
      <c r="F3" s="229"/>
      <c r="G3" s="230"/>
      <c r="AB3" s="231"/>
      <c r="AC3" s="58"/>
      <c r="AD3" s="58"/>
      <c r="AE3" s="58"/>
      <c r="AF3" s="58"/>
      <c r="AG3" s="58"/>
    </row>
    <row r="4" ht="47.25" customHeight="1">
      <c r="A4" s="232" t="s">
        <v>270</v>
      </c>
      <c r="B4" s="233" t="s">
        <v>271</v>
      </c>
      <c r="C4" s="233" t="s">
        <v>272</v>
      </c>
      <c r="D4" s="234" t="s">
        <v>273</v>
      </c>
      <c r="E4" s="235" t="s">
        <v>274</v>
      </c>
      <c r="F4" s="58"/>
      <c r="G4" s="236" t="s">
        <v>275</v>
      </c>
      <c r="H4" s="179" t="s">
        <v>31</v>
      </c>
      <c r="I4" s="237"/>
      <c r="J4" s="179" t="s">
        <v>29</v>
      </c>
      <c r="K4" s="237"/>
      <c r="L4" s="179" t="s">
        <v>34</v>
      </c>
      <c r="M4" s="237"/>
      <c r="N4" s="179" t="s">
        <v>43</v>
      </c>
      <c r="O4" s="237"/>
      <c r="P4" s="179" t="s">
        <v>27</v>
      </c>
      <c r="Q4" s="237"/>
      <c r="R4" s="195" t="s">
        <v>47</v>
      </c>
      <c r="S4" s="237"/>
      <c r="T4" s="179" t="s">
        <v>42</v>
      </c>
      <c r="U4" s="237"/>
      <c r="V4" s="179" t="s">
        <v>59</v>
      </c>
      <c r="W4" s="237"/>
      <c r="X4" s="237" t="s">
        <v>111</v>
      </c>
      <c r="Y4" s="237"/>
      <c r="Z4" s="237" t="s">
        <v>113</v>
      </c>
      <c r="AA4" s="237"/>
      <c r="AB4" s="238"/>
      <c r="AC4" s="58"/>
      <c r="AD4" s="232" t="s">
        <v>270</v>
      </c>
      <c r="AE4" s="232" t="s">
        <v>173</v>
      </c>
      <c r="AF4" s="232" t="s">
        <v>190</v>
      </c>
      <c r="AG4" s="239" t="s">
        <v>276</v>
      </c>
    </row>
    <row r="5" ht="15.75" customHeight="1">
      <c r="A5" s="240" t="s">
        <v>37</v>
      </c>
      <c r="B5" s="241">
        <f t="shared" ref="B5:B14" si="1">(600-E5)-IFERROR(VLOOKUP(A5,H$11:I$21,2,False),"")-IFERROR(VLOOKUP(A5,J$11:K$21,2,False),"")-IFERROR(VLOOKUP(A5,L$11:M$21,2,False),"")-IFERROR(VLOOKUP(A5,N$11:O$21,2,False),"")-IFERROR(VLOOKUP(A5,P$11:Q$21,2,False),"")-IFERROR(VLOOKUP(A5,R$11:S$21,2,False),"")-IFERROR(VLOOKUP(A5,T$11:U$21,2,False),"")-IFERROR(VLOOKUP(A5,V$11:W$21,2,False),"")-IFERROR(VLOOKUP(A5,X$11:Y$21,2,False),"")-IFERROR(VLOOKUP(A5,Z$11:AA$21,2,False),"")</f>
        <v>570</v>
      </c>
      <c r="C5" s="23">
        <v>570.0</v>
      </c>
      <c r="D5" s="242">
        <v>60.0</v>
      </c>
      <c r="E5" s="243">
        <f>IFERROR(VLOOKUP(A5,'Bid Values'!A:F,3,0),)</f>
        <v>30</v>
      </c>
      <c r="F5" s="58"/>
      <c r="G5" s="244" t="s">
        <v>274</v>
      </c>
      <c r="H5" s="245">
        <f t="array" ref="H5">INDEX(Signed,Match(H4,Signed!$A$1:$A$43,0),3)</f>
        <v>198</v>
      </c>
      <c r="I5" s="246"/>
      <c r="J5" s="245">
        <f t="array" ref="J5">INDEX(Signed,Match(J4,Signed!$A$1:$A$43,0),3)</f>
        <v>30</v>
      </c>
      <c r="K5" s="246"/>
      <c r="L5" s="245">
        <f t="array" ref="L5">INDEX(Signed,Match(L4,Signed!$A$1:$A$43,0),3)</f>
        <v>60</v>
      </c>
      <c r="M5" s="246"/>
      <c r="N5" s="245">
        <f t="array" ref="N5">INDEX(Signed,Match(N4,Signed!$A$1:$A$43,0),3)</f>
        <v>198</v>
      </c>
      <c r="O5" s="246"/>
      <c r="P5" s="245">
        <f t="array" ref="P5">INDEX(Signed,Match(P4,Signed!$A$1:$A$43,0),3)</f>
        <v>60</v>
      </c>
      <c r="Q5" s="246"/>
      <c r="R5" s="245">
        <f t="array" ref="R5">INDEX(Signed,Match(R4,Signed!$A$1:$A$43,0),3)</f>
        <v>60</v>
      </c>
      <c r="S5" s="246"/>
      <c r="T5" s="245">
        <f t="array" ref="T5">INDEX(Signed,Match(T4,Signed!$A$1:$A$43,0),3)</f>
        <v>150</v>
      </c>
      <c r="U5" s="246"/>
      <c r="V5" s="245">
        <f t="array" ref="V5">INDEX(Signed,Match(V4,Signed!$A$1:$A$43,0),3)</f>
        <v>30</v>
      </c>
      <c r="W5" s="246"/>
      <c r="X5" s="245">
        <f t="array" ref="X5">INDEX(Signed,Match(X4,Signed!$A$1:$A$43,0),3)</f>
        <v>60</v>
      </c>
      <c r="Y5" s="246"/>
      <c r="Z5" s="245">
        <f t="array" ref="Z5">INDEX(Signed,Match(Z4,Signed!$A$1:$A$43,0),3)</f>
        <v>60</v>
      </c>
      <c r="AA5" s="246"/>
      <c r="AB5" s="247"/>
      <c r="AC5" s="58"/>
      <c r="AD5" s="248" t="s">
        <v>37</v>
      </c>
      <c r="AE5" s="195" t="s">
        <v>226</v>
      </c>
      <c r="AF5" s="179" t="s">
        <v>47</v>
      </c>
      <c r="AG5" s="237" t="s">
        <v>113</v>
      </c>
    </row>
    <row r="6" ht="15.75" customHeight="1">
      <c r="A6" s="248" t="s">
        <v>40</v>
      </c>
      <c r="B6" s="241">
        <f t="shared" si="1"/>
        <v>540</v>
      </c>
      <c r="C6" s="23">
        <v>279.0</v>
      </c>
      <c r="D6" s="242">
        <v>60.0</v>
      </c>
      <c r="E6" s="243">
        <f>IFERROR(VLOOKUP(A6,'Bid Values'!A:F,3,0),)</f>
        <v>60</v>
      </c>
      <c r="F6" s="58"/>
      <c r="G6" s="244" t="s">
        <v>201</v>
      </c>
      <c r="H6" s="245" t="str">
        <f t="array" ref="H6">INDEX(Signed,Match(H4,Signed!$A$1:$A$43,0),2)</f>
        <v>A</v>
      </c>
      <c r="I6" s="246"/>
      <c r="J6" s="245" t="str">
        <f t="array" ref="J6">INDEX(Signed,Match(J4,Signed!$A$1:$A$43,0),2)</f>
        <v>E</v>
      </c>
      <c r="K6" s="246"/>
      <c r="L6" s="245" t="str">
        <f t="array" ref="L6">INDEX(Signed,Match(L4,Signed!$A$1:$A$43,0),2)</f>
        <v>C</v>
      </c>
      <c r="M6" s="246"/>
      <c r="N6" s="245" t="str">
        <f t="array" ref="N6">INDEX(Signed,Match(N4,Signed!$A$1:$A$43,0),2)</f>
        <v>A</v>
      </c>
      <c r="O6" s="246"/>
      <c r="P6" s="245" t="str">
        <f t="array" ref="P6">INDEX(Signed,Match(P4,Signed!$A$1:$A$43,0),2)</f>
        <v>C</v>
      </c>
      <c r="Q6" s="246"/>
      <c r="R6" s="245" t="str">
        <f t="array" ref="R6">INDEX(Signed,Match(R4,Signed!$A$1:$A$43,0),2)</f>
        <v>D</v>
      </c>
      <c r="S6" s="246"/>
      <c r="T6" s="245" t="str">
        <f t="array" ref="T6">INDEX(Signed,Match(T4,Signed!$A$1:$A$43,0),2)</f>
        <v>B</v>
      </c>
      <c r="U6" s="246"/>
      <c r="V6" s="245" t="str">
        <f t="array" ref="V6">INDEX(Signed,Match(V4,Signed!$A$1:$A$43,0),2)</f>
        <v>E</v>
      </c>
      <c r="W6" s="246"/>
      <c r="X6" s="245" t="str">
        <f t="array" ref="X6">INDEX(Signed,Match(X4,Signed!$A$1:$A$43,0),2)</f>
        <v>D</v>
      </c>
      <c r="Y6" s="246"/>
      <c r="Z6" s="245" t="str">
        <f t="array" ref="Z6">INDEX(Signed,Match(Z4,Signed!$A$1:$A$43,0),2)</f>
        <v>D</v>
      </c>
      <c r="AA6" s="246"/>
      <c r="AB6" s="247"/>
      <c r="AC6" s="58"/>
      <c r="AD6" s="248" t="s">
        <v>40</v>
      </c>
      <c r="AE6" s="179" t="s">
        <v>31</v>
      </c>
      <c r="AF6" s="195" t="s">
        <v>121</v>
      </c>
      <c r="AG6" s="249" t="s">
        <v>59</v>
      </c>
    </row>
    <row r="7" ht="15.75" customHeight="1">
      <c r="A7" s="240" t="s">
        <v>57</v>
      </c>
      <c r="B7" s="241">
        <f t="shared" si="1"/>
        <v>540</v>
      </c>
      <c r="C7" s="23">
        <v>540.0</v>
      </c>
      <c r="D7" s="242">
        <v>60.0</v>
      </c>
      <c r="E7" s="243">
        <f>IFERROR(VLOOKUP(A7,'Bid Values'!A:F,3,0),)</f>
        <v>60</v>
      </c>
      <c r="F7" s="58"/>
      <c r="G7" s="250" t="s">
        <v>277</v>
      </c>
      <c r="H7" s="251" t="str">
        <f>If(MAX('Round 11'!$C:$C)&gt;=H5,MAX('Round 11'!$C:$C),0)</f>
        <v>#REF!</v>
      </c>
      <c r="I7" s="252"/>
      <c r="J7" s="251" t="str">
        <f>If(MAX('Round 11'!$D:$D)&gt;=J5,MAX('Round 11'!$D:$D),0)</f>
        <v>#REF!</v>
      </c>
      <c r="K7" s="252"/>
      <c r="L7" s="251" t="str">
        <f>If(MAX('Round 11'!$E:$E)&gt;=L5,MAX('Round 11'!$E:$E),0)</f>
        <v>#REF!</v>
      </c>
      <c r="M7" s="252"/>
      <c r="N7" s="251" t="str">
        <f>If(MAX('Round 11'!$F:$F)&gt;=N5,MAX('Round 11'!$F:$F),0)</f>
        <v>#REF!</v>
      </c>
      <c r="O7" s="252"/>
      <c r="P7" s="251" t="str">
        <f>If(MAX('Round 11'!$G:$G)&gt;=P5,MAX('Round 11'!$G:$G),0)</f>
        <v>#REF!</v>
      </c>
      <c r="Q7" s="252"/>
      <c r="R7" s="251" t="str">
        <f>If(MAX('Round 11'!$H:$H)&gt;=R5,MAX('Round 11'!$H:$H),0)</f>
        <v>#REF!</v>
      </c>
      <c r="S7" s="253"/>
      <c r="T7" s="251" t="str">
        <f>If(MAX('Round 11'!$I:$I)&gt;=T5,MAX('Round 11'!$I:$I),0)</f>
        <v>#REF!</v>
      </c>
      <c r="U7" s="253"/>
      <c r="V7" s="251" t="str">
        <f>If(MAX('Round 11'!$J:$J)&gt;=V5,MAX('Round 11'!$J:$J),0)</f>
        <v>#REF!</v>
      </c>
      <c r="W7" s="254"/>
      <c r="X7" s="251" t="str">
        <f>If(MAX('Round 11'!$K:$K)&gt;=X5,MAX('Round 11'!$K:$K),0)</f>
        <v>#REF!</v>
      </c>
      <c r="Y7" s="254"/>
      <c r="Z7" s="251" t="str">
        <f>If(MAX('Round 11'!$L:$L)&gt;=Z5,MAX('Round 11'!$L:$L),0)</f>
        <v>#REF!</v>
      </c>
      <c r="AA7" s="254"/>
      <c r="AB7" s="255"/>
      <c r="AC7" s="58"/>
      <c r="AD7" s="248" t="s">
        <v>57</v>
      </c>
      <c r="AE7" s="179" t="s">
        <v>104</v>
      </c>
      <c r="AF7" s="237" t="s">
        <v>134</v>
      </c>
      <c r="AG7" s="179" t="s">
        <v>109</v>
      </c>
    </row>
    <row r="8" ht="21.0" customHeight="1">
      <c r="A8" s="240" t="s">
        <v>193</v>
      </c>
      <c r="B8" s="241">
        <f t="shared" si="1"/>
        <v>540</v>
      </c>
      <c r="C8" s="23">
        <v>540.0</v>
      </c>
      <c r="D8" s="242">
        <v>60.0</v>
      </c>
      <c r="E8" s="243">
        <f>IFERROR(VLOOKUP(A8,'Bid Values'!A:F,3,0),)</f>
        <v>60</v>
      </c>
      <c r="F8" s="58"/>
      <c r="G8" s="256" t="s">
        <v>278</v>
      </c>
      <c r="H8" s="257" t="str">
        <f t="shared" ref="H8:V8" si="2">H11</f>
        <v/>
      </c>
      <c r="I8" s="258" t="str">
        <f t="shared" si="2"/>
        <v/>
      </c>
      <c r="J8" s="257" t="str">
        <f t="shared" si="2"/>
        <v/>
      </c>
      <c r="K8" s="258" t="str">
        <f t="shared" si="2"/>
        <v/>
      </c>
      <c r="L8" s="257" t="str">
        <f t="shared" si="2"/>
        <v/>
      </c>
      <c r="M8" s="258" t="str">
        <f t="shared" si="2"/>
        <v/>
      </c>
      <c r="N8" s="257" t="str">
        <f t="shared" si="2"/>
        <v/>
      </c>
      <c r="O8" s="258" t="str">
        <f t="shared" si="2"/>
        <v/>
      </c>
      <c r="P8" s="257" t="str">
        <f t="shared" si="2"/>
        <v/>
      </c>
      <c r="Q8" s="258" t="str">
        <f t="shared" si="2"/>
        <v/>
      </c>
      <c r="R8" s="257" t="str">
        <f t="shared" si="2"/>
        <v/>
      </c>
      <c r="S8" s="258" t="str">
        <f t="shared" si="2"/>
        <v/>
      </c>
      <c r="T8" s="257" t="str">
        <f t="shared" si="2"/>
        <v/>
      </c>
      <c r="U8" s="258" t="str">
        <f t="shared" si="2"/>
        <v/>
      </c>
      <c r="V8" s="257" t="str">
        <f t="shared" si="2"/>
        <v/>
      </c>
      <c r="W8" s="258"/>
      <c r="X8" s="257" t="str">
        <f>X11</f>
        <v/>
      </c>
      <c r="Y8" s="258"/>
      <c r="Z8" s="257" t="str">
        <f>Z11</f>
        <v/>
      </c>
      <c r="AA8" s="258"/>
      <c r="AB8" s="259"/>
      <c r="AC8" s="260"/>
      <c r="AD8" s="248" t="s">
        <v>193</v>
      </c>
      <c r="AE8" s="195" t="s">
        <v>157</v>
      </c>
      <c r="AF8" s="195" t="s">
        <v>79</v>
      </c>
      <c r="AG8" s="179" t="s">
        <v>100</v>
      </c>
    </row>
    <row r="9" ht="15.75" customHeight="1">
      <c r="A9" s="248" t="s">
        <v>259</v>
      </c>
      <c r="B9" s="241">
        <f t="shared" si="1"/>
        <v>402</v>
      </c>
      <c r="C9" s="23">
        <v>102.0</v>
      </c>
      <c r="D9" s="242">
        <v>60.0</v>
      </c>
      <c r="E9" s="243">
        <v>198.0</v>
      </c>
      <c r="F9" s="58"/>
      <c r="G9" s="261" t="s">
        <v>279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3"/>
      <c r="V9" s="263"/>
      <c r="W9" s="263"/>
      <c r="X9" s="263"/>
      <c r="Y9" s="263"/>
      <c r="Z9" s="263"/>
      <c r="AA9" s="263"/>
      <c r="AB9" s="263"/>
      <c r="AC9" s="58"/>
      <c r="AD9" s="248" t="s">
        <v>259</v>
      </c>
      <c r="AE9" s="195" t="s">
        <v>43</v>
      </c>
      <c r="AF9" s="195" t="s">
        <v>114</v>
      </c>
      <c r="AG9" s="249" t="s">
        <v>91</v>
      </c>
    </row>
    <row r="10" ht="15.75" customHeight="1">
      <c r="A10" s="248" t="s">
        <v>169</v>
      </c>
      <c r="B10" s="241">
        <f t="shared" si="1"/>
        <v>402</v>
      </c>
      <c r="C10" s="23">
        <v>402.0</v>
      </c>
      <c r="D10" s="242">
        <v>60.0</v>
      </c>
      <c r="E10" s="243">
        <f>IFERROR(VLOOKUP(A10,'Bid Values'!A:F,3,0),)</f>
        <v>198</v>
      </c>
      <c r="F10" s="58"/>
      <c r="G10" s="264" t="s">
        <v>280</v>
      </c>
      <c r="H10" s="265" t="str">
        <f>IFERROR(__xludf.DUMMYFUNCTION("Query('Round 11'!$A:$L,""Select B, MAX(C) WHERE C&gt;=198 group by B order by max(C) desc"")"),"#REF!")</f>
        <v>#REF!</v>
      </c>
      <c r="I10" s="266"/>
      <c r="J10" s="265" t="str">
        <f>IFERROR(__xludf.DUMMYFUNCTION("Query('Round 11'!$A:$L,""Select B, MAX(D) WHERE D&gt;=30 group by B order by max(D) desc"")"),"#REF!")</f>
        <v>#REF!</v>
      </c>
      <c r="K10" s="266"/>
      <c r="L10" s="265" t="str">
        <f>IFERROR(__xludf.DUMMYFUNCTION("Query('Round 11'!$A:$L,""Select B, MAX(E) WHERE E&gt;=60 group by B order by max(E) desc"")"),"#REF!")</f>
        <v>#REF!</v>
      </c>
      <c r="M10" s="266"/>
      <c r="N10" s="265" t="str">
        <f>IFERROR(__xludf.DUMMYFUNCTION("Query('Round 11'!$A:$L,""Select B, MAX(F) WHERE F&gt;=198 group by B order by max(F) desc"")"),"#REF!")</f>
        <v>#REF!</v>
      </c>
      <c r="O10" s="266"/>
      <c r="P10" s="265" t="str">
        <f>IFERROR(__xludf.DUMMYFUNCTION("Query('Round 11'!$A:$L,""Select B, MAX(G) WHERE G&gt;=60 group by B order by max(G) desc"")"),"#REF!")</f>
        <v>#REF!</v>
      </c>
      <c r="Q10" s="266"/>
      <c r="R10" s="265" t="str">
        <f>IFERROR(__xludf.DUMMYFUNCTION("Query('Round 11'!$A:$L,""Select B, MAX(H) WHERE H&gt;=60 group by B order by max(H) desc"")"),"#REF!")</f>
        <v>#REF!</v>
      </c>
      <c r="S10" s="266"/>
      <c r="T10" s="265" t="str">
        <f>IFERROR(__xludf.DUMMYFUNCTION("Query('Round 11'!$A:$L,""Select B, MAX(I) WHERE I&gt;=150 group by B order by max(I) desc"")"),"#REF!")</f>
        <v>#REF!</v>
      </c>
      <c r="U10" s="266"/>
      <c r="V10" s="265" t="str">
        <f>IFERROR(__xludf.DUMMYFUNCTION("Query('Round 11'!$A:$L,""Select B, MAX(J) WHERE J&gt;=30 group by B order by max(J) desc"")"),"#REF!")</f>
        <v>#REF!</v>
      </c>
      <c r="W10" s="267"/>
      <c r="X10" s="265" t="str">
        <f>IFERROR(__xludf.DUMMYFUNCTION("Query('Round 11'!$A:$L,""Select B, MAX(K) WHERE K&gt;=60 group by B order by max(K) desc"")"),"#REF!")</f>
        <v>#REF!</v>
      </c>
      <c r="Y10" s="267"/>
      <c r="Z10" s="265" t="str">
        <f>IFERROR(__xludf.DUMMYFUNCTION("Query('Round 11'!$A:$L,""Select B, MAX(L) WHERE L&gt;=60 group by B order by max(L) desc"")"),"#REF!")</f>
        <v>#REF!</v>
      </c>
      <c r="AA10" s="267"/>
      <c r="AB10" s="266"/>
      <c r="AC10" s="58"/>
      <c r="AD10" s="248" t="s">
        <v>169</v>
      </c>
      <c r="AE10" s="195" t="s">
        <v>115</v>
      </c>
      <c r="AF10" s="195" t="s">
        <v>111</v>
      </c>
      <c r="AG10" s="249" t="s">
        <v>96</v>
      </c>
    </row>
    <row r="11" ht="15.75" customHeight="1">
      <c r="A11" s="248" t="s">
        <v>129</v>
      </c>
      <c r="B11" s="241">
        <f t="shared" si="1"/>
        <v>450</v>
      </c>
      <c r="C11" s="23">
        <v>300.0</v>
      </c>
      <c r="D11" s="242">
        <v>60.0</v>
      </c>
      <c r="E11" s="243">
        <f>IFERROR(VLOOKUP(A11,'Bid Values'!A:F,3,0),)</f>
        <v>150</v>
      </c>
      <c r="F11" s="58"/>
      <c r="G11" s="230"/>
      <c r="H11" s="268"/>
      <c r="I11" s="269"/>
      <c r="J11" s="268"/>
      <c r="K11" s="270"/>
      <c r="L11" s="271"/>
      <c r="M11" s="270"/>
      <c r="N11" s="271"/>
      <c r="O11" s="270"/>
      <c r="P11" s="271"/>
      <c r="Q11" s="270"/>
      <c r="R11" s="272"/>
      <c r="S11" s="273"/>
      <c r="T11" s="272"/>
      <c r="U11" s="273"/>
      <c r="V11" s="272"/>
      <c r="W11" s="273"/>
      <c r="X11" s="44"/>
      <c r="Y11" s="273"/>
      <c r="Z11" s="44"/>
      <c r="AA11" s="273"/>
      <c r="AB11" s="90"/>
      <c r="AC11" s="58"/>
      <c r="AD11" s="248" t="s">
        <v>129</v>
      </c>
      <c r="AE11" s="195" t="s">
        <v>27</v>
      </c>
      <c r="AF11" s="274" t="s">
        <v>125</v>
      </c>
      <c r="AG11" s="237" t="s">
        <v>108</v>
      </c>
    </row>
    <row r="12" ht="15.75" customHeight="1">
      <c r="A12" s="248" t="s">
        <v>139</v>
      </c>
      <c r="B12" s="241">
        <f t="shared" si="1"/>
        <v>450</v>
      </c>
      <c r="C12" s="23">
        <v>450.0</v>
      </c>
      <c r="D12" s="275">
        <v>60.0</v>
      </c>
      <c r="E12" s="243">
        <f>IFERROR(VLOOKUP(A12,'Bid Values'!A:F,3,0),)</f>
        <v>150</v>
      </c>
      <c r="F12" s="58"/>
      <c r="G12" s="89"/>
      <c r="H12" s="276"/>
      <c r="I12" s="269"/>
      <c r="J12" s="276"/>
      <c r="K12" s="270"/>
      <c r="L12" s="277"/>
      <c r="M12" s="270"/>
      <c r="N12" s="277"/>
      <c r="O12" s="270"/>
      <c r="P12" s="277"/>
      <c r="Q12" s="270"/>
      <c r="R12" s="278"/>
      <c r="S12" s="273"/>
      <c r="T12" s="278"/>
      <c r="U12" s="273"/>
      <c r="V12" s="278"/>
      <c r="W12" s="273"/>
      <c r="X12" s="44"/>
      <c r="Y12" s="273"/>
      <c r="Z12" s="44"/>
      <c r="AA12" s="273"/>
      <c r="AB12" s="90"/>
      <c r="AC12" s="58"/>
      <c r="AD12" s="248" t="s">
        <v>139</v>
      </c>
      <c r="AE12" s="195" t="s">
        <v>217</v>
      </c>
      <c r="AF12" s="195" t="s">
        <v>29</v>
      </c>
      <c r="AG12" s="249" t="s">
        <v>161</v>
      </c>
    </row>
    <row r="13" ht="15.75" customHeight="1">
      <c r="A13" s="240" t="s">
        <v>155</v>
      </c>
      <c r="B13" s="241">
        <f t="shared" si="1"/>
        <v>540</v>
      </c>
      <c r="C13" s="23">
        <v>540.0</v>
      </c>
      <c r="D13" s="275">
        <v>60.0</v>
      </c>
      <c r="E13" s="243">
        <f>IFERROR(VLOOKUP(A13,'Bid Values'!A:F,3,0),)</f>
        <v>60</v>
      </c>
      <c r="F13" s="58"/>
      <c r="G13" s="89"/>
      <c r="H13" s="276"/>
      <c r="I13" s="269"/>
      <c r="J13" s="276"/>
      <c r="K13" s="279"/>
      <c r="L13" s="277"/>
      <c r="M13" s="270"/>
      <c r="N13" s="277"/>
      <c r="O13" s="270"/>
      <c r="P13" s="277"/>
      <c r="Q13" s="270"/>
      <c r="R13" s="278"/>
      <c r="S13" s="273"/>
      <c r="T13" s="278"/>
      <c r="U13" s="273"/>
      <c r="V13" s="278"/>
      <c r="W13" s="273"/>
      <c r="X13" s="44"/>
      <c r="Y13" s="273"/>
      <c r="Z13" s="44"/>
      <c r="AA13" s="273"/>
      <c r="AB13" s="90"/>
      <c r="AC13" s="58"/>
      <c r="AD13" s="248" t="s">
        <v>155</v>
      </c>
      <c r="AE13" s="195" t="s">
        <v>38</v>
      </c>
      <c r="AF13" s="195" t="s">
        <v>197</v>
      </c>
      <c r="AG13" s="179" t="s">
        <v>165</v>
      </c>
    </row>
    <row r="14" ht="15.75" customHeight="1">
      <c r="A14" s="280" t="s">
        <v>126</v>
      </c>
      <c r="B14" s="241">
        <f t="shared" si="1"/>
        <v>540</v>
      </c>
      <c r="C14" s="23">
        <v>480.0</v>
      </c>
      <c r="D14" s="275">
        <v>60.0</v>
      </c>
      <c r="E14" s="243">
        <f>IFERROR(VLOOKUP(A14,'Bid Values'!A:F,3,0),)</f>
        <v>60</v>
      </c>
      <c r="F14" s="58"/>
      <c r="G14" s="89"/>
      <c r="H14" s="276"/>
      <c r="I14" s="269"/>
      <c r="J14" s="276"/>
      <c r="K14" s="270"/>
      <c r="L14" s="277"/>
      <c r="M14" s="270"/>
      <c r="N14" s="277"/>
      <c r="O14" s="270"/>
      <c r="P14" s="277"/>
      <c r="Q14" s="270"/>
      <c r="R14" s="278"/>
      <c r="S14" s="273"/>
      <c r="T14" s="278"/>
      <c r="U14" s="273"/>
      <c r="V14" s="278"/>
      <c r="W14" s="273"/>
      <c r="X14" s="44"/>
      <c r="Y14" s="273"/>
      <c r="Z14" s="44"/>
      <c r="AA14" s="273"/>
      <c r="AB14" s="90"/>
      <c r="AC14" s="58"/>
      <c r="AD14" s="280" t="s">
        <v>126</v>
      </c>
      <c r="AE14" s="179" t="s">
        <v>34</v>
      </c>
      <c r="AF14" s="179" t="s">
        <v>69</v>
      </c>
      <c r="AG14" s="179" t="s">
        <v>42</v>
      </c>
    </row>
    <row r="15" ht="15.75" customHeight="1">
      <c r="A15" s="281"/>
      <c r="B15" s="241"/>
      <c r="D15" s="275">
        <v>60.0</v>
      </c>
      <c r="E15" s="243" t="str">
        <f>IFERROR(VLOOKUP(A15,'Bid Values'!A:F,3,0),)</f>
        <v/>
      </c>
      <c r="F15" s="58"/>
      <c r="G15" s="89"/>
      <c r="H15" s="276"/>
      <c r="I15" s="269"/>
      <c r="J15" s="276"/>
      <c r="K15" s="270"/>
      <c r="L15" s="277"/>
      <c r="M15" s="270"/>
      <c r="N15" s="277"/>
      <c r="O15" s="270"/>
      <c r="P15" s="277"/>
      <c r="Q15" s="270"/>
      <c r="R15" s="278"/>
      <c r="S15" s="273"/>
      <c r="T15" s="278"/>
      <c r="U15" s="273"/>
      <c r="V15" s="278"/>
      <c r="W15" s="273"/>
      <c r="X15" s="44"/>
      <c r="Y15" s="273"/>
      <c r="Z15" s="44"/>
      <c r="AA15" s="273"/>
      <c r="AB15" s="90"/>
      <c r="AC15" s="58"/>
      <c r="AD15" s="58"/>
      <c r="AE15" s="58"/>
      <c r="AF15" s="58"/>
      <c r="AG15" s="58"/>
    </row>
    <row r="16" ht="15.75" customHeight="1">
      <c r="A16" s="282"/>
      <c r="D16" s="283" t="s">
        <v>281</v>
      </c>
      <c r="E16" s="284"/>
      <c r="F16" s="58"/>
      <c r="G16" s="89"/>
      <c r="H16" s="277"/>
      <c r="I16" s="270"/>
      <c r="J16" s="276"/>
      <c r="K16" s="270"/>
      <c r="L16" s="277"/>
      <c r="M16" s="270"/>
      <c r="N16" s="277"/>
      <c r="O16" s="270"/>
      <c r="P16" s="277"/>
      <c r="Q16" s="270"/>
      <c r="R16" s="278"/>
      <c r="S16" s="273"/>
      <c r="T16" s="278"/>
      <c r="U16" s="273"/>
      <c r="V16" s="278"/>
      <c r="W16" s="273"/>
      <c r="X16" s="44"/>
      <c r="Y16" s="273"/>
      <c r="Z16" s="44"/>
      <c r="AA16" s="273"/>
      <c r="AB16" s="90"/>
      <c r="AC16" s="58"/>
      <c r="AD16" s="58"/>
      <c r="AE16" s="58"/>
      <c r="AF16" s="58"/>
      <c r="AG16" s="58"/>
    </row>
    <row r="17" ht="15.75" customHeight="1">
      <c r="D17" s="285" t="s">
        <v>282</v>
      </c>
      <c r="E17" s="286"/>
      <c r="F17" s="58"/>
      <c r="G17" s="287"/>
      <c r="H17" s="288"/>
      <c r="I17" s="270"/>
      <c r="J17" s="276"/>
      <c r="K17" s="269"/>
      <c r="L17" s="276"/>
      <c r="M17" s="270"/>
      <c r="N17" s="277"/>
      <c r="O17" s="270"/>
      <c r="P17" s="277"/>
      <c r="Q17" s="270"/>
      <c r="R17" s="278"/>
      <c r="S17" s="273"/>
      <c r="T17" s="278"/>
      <c r="U17" s="273"/>
      <c r="V17" s="278"/>
      <c r="W17" s="273"/>
      <c r="X17" s="44"/>
      <c r="Y17" s="273"/>
      <c r="Z17" s="44"/>
      <c r="AA17" s="273"/>
      <c r="AB17" s="90"/>
      <c r="AC17" s="58"/>
      <c r="AD17" s="58"/>
      <c r="AE17" s="58"/>
      <c r="AF17" s="58"/>
      <c r="AG17" s="58"/>
    </row>
    <row r="18" ht="15.75" customHeight="1">
      <c r="D18" s="230"/>
      <c r="E18" s="286"/>
      <c r="F18" s="58"/>
      <c r="G18" s="89"/>
      <c r="H18" s="277"/>
      <c r="I18" s="270"/>
      <c r="J18" s="276"/>
      <c r="K18" s="270"/>
      <c r="L18" s="277"/>
      <c r="M18" s="270"/>
      <c r="N18" s="277"/>
      <c r="O18" s="270"/>
      <c r="P18" s="277"/>
      <c r="Q18" s="270"/>
      <c r="R18" s="278"/>
      <c r="S18" s="273"/>
      <c r="T18" s="278"/>
      <c r="U18" s="273"/>
      <c r="V18" s="278"/>
      <c r="W18" s="273"/>
      <c r="X18" s="44"/>
      <c r="Y18" s="273"/>
      <c r="Z18" s="44"/>
      <c r="AA18" s="273"/>
      <c r="AB18" s="90"/>
      <c r="AC18" s="289"/>
      <c r="AD18" s="289"/>
      <c r="AE18" s="289"/>
      <c r="AF18" s="289"/>
      <c r="AG18" s="289"/>
    </row>
    <row r="19" ht="15.75" customHeight="1">
      <c r="D19" s="290"/>
      <c r="E19" s="291"/>
      <c r="F19" s="58"/>
      <c r="G19" s="89"/>
      <c r="H19" s="277"/>
      <c r="I19" s="270"/>
      <c r="J19" s="276"/>
      <c r="K19" s="270"/>
      <c r="L19" s="277"/>
      <c r="M19" s="270"/>
      <c r="N19" s="277"/>
      <c r="O19" s="270"/>
      <c r="P19" s="277"/>
      <c r="Q19" s="270"/>
      <c r="R19" s="278"/>
      <c r="S19" s="273"/>
      <c r="T19" s="278"/>
      <c r="U19" s="273"/>
      <c r="V19" s="278"/>
      <c r="W19" s="273"/>
      <c r="X19" s="44"/>
      <c r="Y19" s="273"/>
      <c r="Z19" s="44"/>
      <c r="AA19" s="273"/>
      <c r="AB19" s="90"/>
      <c r="AC19" s="58"/>
      <c r="AD19" s="58"/>
      <c r="AE19" s="58"/>
      <c r="AF19" s="58"/>
      <c r="AG19" s="58"/>
    </row>
    <row r="20" ht="15.75" customHeight="1">
      <c r="A20" s="292" t="s">
        <v>269</v>
      </c>
      <c r="D20" s="293">
        <f>(600-E5)-((150+60)+(150*0.2)+(60*0.2))</f>
        <v>318</v>
      </c>
      <c r="E20" s="293"/>
      <c r="F20" s="58"/>
      <c r="G20" s="89"/>
      <c r="H20" s="277"/>
      <c r="I20" s="270"/>
      <c r="J20" s="277"/>
      <c r="K20" s="270"/>
      <c r="L20" s="277"/>
      <c r="M20" s="270"/>
      <c r="N20" s="277"/>
      <c r="O20" s="270"/>
      <c r="P20" s="277"/>
      <c r="Q20" s="270"/>
      <c r="R20" s="278"/>
      <c r="S20" s="273"/>
      <c r="T20" s="294"/>
      <c r="U20" s="295"/>
      <c r="V20" s="278"/>
      <c r="W20" s="273"/>
      <c r="X20" s="44"/>
      <c r="Y20" s="273"/>
      <c r="Z20" s="44"/>
      <c r="AA20" s="273"/>
      <c r="AB20" s="90"/>
      <c r="AC20" s="58"/>
      <c r="AD20" s="58"/>
      <c r="AE20" s="58"/>
      <c r="AF20" s="58"/>
      <c r="AG20" s="58"/>
    </row>
    <row r="21" ht="15.75" customHeight="1">
      <c r="D21" s="285" t="s">
        <v>283</v>
      </c>
      <c r="E21" s="286"/>
      <c r="F21" s="58"/>
      <c r="G21" s="89"/>
      <c r="H21" s="277"/>
      <c r="I21" s="270"/>
      <c r="J21" s="277"/>
      <c r="K21" s="270"/>
      <c r="L21" s="277"/>
      <c r="M21" s="270"/>
      <c r="N21" s="277"/>
      <c r="O21" s="270"/>
      <c r="P21" s="277"/>
      <c r="Q21" s="270"/>
      <c r="R21" s="278"/>
      <c r="S21" s="273"/>
      <c r="T21" s="278"/>
      <c r="U21" s="273"/>
      <c r="V21" s="278"/>
      <c r="W21" s="273"/>
      <c r="X21" s="44"/>
      <c r="Y21" s="273"/>
      <c r="Z21" s="44"/>
      <c r="AA21" s="273"/>
      <c r="AB21" s="90"/>
      <c r="AC21" s="296"/>
      <c r="AD21" s="297"/>
      <c r="AE21" s="297"/>
      <c r="AF21" s="297"/>
      <c r="AG21" s="297"/>
    </row>
    <row r="22" ht="15.75" customHeight="1">
      <c r="A22" s="145" t="s">
        <v>284</v>
      </c>
      <c r="D22" s="230"/>
      <c r="E22" s="286"/>
      <c r="F22" s="58"/>
      <c r="G22" s="58"/>
      <c r="H22" s="298" t="s">
        <v>285</v>
      </c>
      <c r="AB22" s="90"/>
      <c r="AC22" s="299"/>
      <c r="AD22" s="58"/>
      <c r="AE22" s="300" t="s">
        <v>9</v>
      </c>
      <c r="AF22" s="300" t="s">
        <v>201</v>
      </c>
      <c r="AG22" s="301" t="s">
        <v>286</v>
      </c>
    </row>
    <row r="23" ht="15.75" customHeight="1">
      <c r="D23" s="290"/>
      <c r="E23" s="291"/>
      <c r="F23" s="58"/>
      <c r="G23" s="5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90"/>
      <c r="AC23" s="58"/>
      <c r="AD23" s="58"/>
      <c r="AE23" s="249"/>
      <c r="AG23" s="302" t="s">
        <v>129</v>
      </c>
    </row>
    <row r="24" ht="15.75" customHeight="1">
      <c r="A24" s="59"/>
      <c r="B24" s="59"/>
      <c r="C24" s="59"/>
      <c r="D24" s="59"/>
      <c r="E24" s="59"/>
      <c r="F24" s="58"/>
      <c r="G24" s="5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90"/>
      <c r="AC24" s="58"/>
      <c r="AD24" s="58"/>
      <c r="AE24" s="249" t="s">
        <v>122</v>
      </c>
      <c r="AF24" s="23" t="s">
        <v>25</v>
      </c>
      <c r="AG24" s="302" t="s">
        <v>139</v>
      </c>
    </row>
    <row r="25" ht="15.75" customHeight="1">
      <c r="A25" s="59"/>
      <c r="B25" s="59"/>
      <c r="C25" s="59"/>
      <c r="D25" s="59"/>
      <c r="E25" s="59"/>
      <c r="F25" s="58"/>
      <c r="G25" s="58"/>
      <c r="H25" s="303" t="s">
        <v>287</v>
      </c>
      <c r="AB25" s="90"/>
      <c r="AC25" s="58"/>
      <c r="AD25" s="58"/>
      <c r="AE25" s="304" t="s">
        <v>141</v>
      </c>
      <c r="AF25" s="23" t="s">
        <v>25</v>
      </c>
      <c r="AG25" s="302" t="s">
        <v>169</v>
      </c>
    </row>
    <row r="26" ht="15.75" customHeight="1">
      <c r="A26" s="223"/>
      <c r="B26" s="224"/>
      <c r="C26" s="224"/>
      <c r="D26" s="224"/>
      <c r="E26" s="224"/>
      <c r="F26" s="224"/>
      <c r="G26" s="224"/>
      <c r="H26" s="225" t="s">
        <v>288</v>
      </c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7"/>
      <c r="AC26" s="58"/>
      <c r="AD26" s="58"/>
      <c r="AG26" s="302" t="s">
        <v>259</v>
      </c>
    </row>
    <row r="27" ht="15.75" customHeight="1">
      <c r="A27" s="228"/>
      <c r="B27" s="229"/>
      <c r="C27" s="229"/>
      <c r="D27" s="229"/>
      <c r="E27" s="229"/>
      <c r="F27" s="229"/>
      <c r="G27" s="229"/>
      <c r="H27" s="230"/>
      <c r="AB27" s="231"/>
      <c r="AC27" s="58"/>
      <c r="AD27" s="58"/>
      <c r="AG27" s="302" t="s">
        <v>40</v>
      </c>
    </row>
    <row r="28" ht="15.75" customHeight="1">
      <c r="A28" s="228"/>
      <c r="B28" s="229"/>
      <c r="C28" s="229"/>
      <c r="D28" s="229"/>
      <c r="E28" s="229"/>
      <c r="F28" s="229"/>
      <c r="G28" s="229"/>
      <c r="H28" s="230"/>
      <c r="AB28" s="231"/>
      <c r="AC28" s="58"/>
      <c r="AD28" s="58"/>
      <c r="AE28" s="305"/>
      <c r="AF28" s="213"/>
    </row>
    <row r="29" ht="15.75" customHeight="1">
      <c r="A29" s="232" t="s">
        <v>270</v>
      </c>
      <c r="B29" s="233" t="s">
        <v>271</v>
      </c>
      <c r="C29" s="233" t="s">
        <v>272</v>
      </c>
      <c r="E29" s="235" t="s">
        <v>289</v>
      </c>
      <c r="F29" s="58"/>
      <c r="G29" s="236" t="s">
        <v>275</v>
      </c>
      <c r="H29" s="179" t="s">
        <v>38</v>
      </c>
      <c r="I29" s="237"/>
      <c r="J29" s="195" t="s">
        <v>226</v>
      </c>
      <c r="K29" s="237"/>
      <c r="L29" s="179" t="s">
        <v>217</v>
      </c>
      <c r="M29" s="237"/>
      <c r="N29" s="179" t="s">
        <v>104</v>
      </c>
      <c r="O29" s="237"/>
      <c r="P29" s="179" t="s">
        <v>114</v>
      </c>
      <c r="Q29" s="237"/>
      <c r="R29" s="179" t="s">
        <v>69</v>
      </c>
      <c r="S29" s="237"/>
      <c r="T29" s="179" t="s">
        <v>161</v>
      </c>
      <c r="U29" s="237"/>
      <c r="V29" s="179" t="s">
        <v>172</v>
      </c>
      <c r="W29" s="237"/>
      <c r="X29" s="237" t="s">
        <v>134</v>
      </c>
      <c r="Y29" s="237"/>
      <c r="Z29" s="237" t="s">
        <v>125</v>
      </c>
      <c r="AA29" s="237"/>
      <c r="AB29" s="237"/>
      <c r="AC29" s="58"/>
      <c r="AD29" s="58"/>
    </row>
    <row r="30" ht="15.75" customHeight="1">
      <c r="A30" s="240" t="s">
        <v>37</v>
      </c>
      <c r="B30" s="241">
        <f t="shared" ref="B30:B39" si="3">(C5)-IFERROR(VLOOKUP(A30,H$36:I$47,2,False),"")-IFERROR(VLOOKUP(A30,J$36:K$47,2,False),"")-IFERROR(VLOOKUP(A30,L$36:M$47,2,False),"")-IFERROR(VLOOKUP(A30,N$36:O$47,2,False),"")-IFERROR(VLOOKUP(A30,P$36:Q$47,2,False),"")-IFERROR(VLOOKUP(A30,R$36:S$47,2,False),"")-IFERROR(VLOOKUP(A30,T$36:U$47,2,False),"")-IFERROR(VLOOKUP(A30,V$36:W$47,2,False),"")-IFERROR(VLOOKUP(A30,X$36:Y$47,2,False),"")-IFERROR(VLOOKUP(A30,Z$36:AA$47,2,False),"")</f>
        <v>570</v>
      </c>
      <c r="C30" s="23">
        <v>510.0</v>
      </c>
      <c r="E30" s="243">
        <f t="shared" ref="E30:E39" si="4">C5</f>
        <v>570</v>
      </c>
      <c r="F30" s="58"/>
      <c r="G30" s="244" t="s">
        <v>274</v>
      </c>
      <c r="H30" s="245">
        <f t="array" ref="H30">INDEX(Signed,Match(H29,Signed!$A$1:$A$43,0),3)</f>
        <v>150</v>
      </c>
      <c r="I30" s="246"/>
      <c r="J30" s="245">
        <f t="array" ref="J30">INDEX(Signed,Match(J29,Signed!$A$1:$A$43,0),3)</f>
        <v>60</v>
      </c>
      <c r="K30" s="246"/>
      <c r="L30" s="245">
        <f t="array" ref="L30">INDEX(Signed,Match(L29,Signed!$A$1:$A$43,0),3)</f>
        <v>198</v>
      </c>
      <c r="M30" s="246"/>
      <c r="N30" s="245">
        <f t="array" ref="N30">INDEX(Signed,Match(N29,Signed!$A$1:$A$43,0),3)</f>
        <v>60</v>
      </c>
      <c r="O30" s="246"/>
      <c r="P30" s="245">
        <f t="array" ref="P30">INDEX(Signed,Match(P29,Signed!$A$1:$A$43,0),3)</f>
        <v>60</v>
      </c>
      <c r="Q30" s="246"/>
      <c r="R30" s="245">
        <f t="array" ref="R30">INDEX(Signed,Match(R29,Signed!$A$1:$A$43,0),3)</f>
        <v>60</v>
      </c>
      <c r="S30" s="246"/>
      <c r="T30" s="245">
        <f t="array" ref="T30">INDEX(Signed,Match(T29,Signed!$A$1:$A$43,0),3)</f>
        <v>60</v>
      </c>
      <c r="U30" s="246"/>
      <c r="V30" s="245">
        <f t="array" ref="V30">INDEX(Signed,Match(V29,Signed!$A$1:$A$43,0),3)</f>
        <v>60</v>
      </c>
      <c r="W30" s="246"/>
      <c r="X30" s="245">
        <f t="array" ref="X30">INDEX(Signed,Match(X29,Signed!$A$1:$A$43,0),3)</f>
        <v>60</v>
      </c>
      <c r="Y30" s="246"/>
      <c r="Z30" s="245">
        <f t="array" ref="Z30">INDEX(Signed,Match(Z29,Signed!$A$1:$A$43,0),3)</f>
        <v>30</v>
      </c>
      <c r="AA30" s="246"/>
      <c r="AB30" s="246"/>
      <c r="AC30" s="58"/>
      <c r="AD30" s="58"/>
      <c r="AE30" s="305"/>
    </row>
    <row r="31" ht="15.75" customHeight="1">
      <c r="A31" s="248" t="s">
        <v>40</v>
      </c>
      <c r="B31" s="241">
        <f t="shared" si="3"/>
        <v>279</v>
      </c>
      <c r="C31" s="23">
        <v>279.0</v>
      </c>
      <c r="E31" s="243">
        <f t="shared" si="4"/>
        <v>279</v>
      </c>
      <c r="F31" s="58"/>
      <c r="G31" s="244" t="s">
        <v>201</v>
      </c>
      <c r="H31" s="245" t="str">
        <f t="array" ref="H31">INDEX(Signed,Match(H29,Signed!$A$1:$A$43,0),2)</f>
        <v>B</v>
      </c>
      <c r="I31" s="246"/>
      <c r="J31" s="245" t="str">
        <f t="array" ref="J31">INDEX(Signed,Match(J29,Signed!$A$1:$A$43,0),2)</f>
        <v>C</v>
      </c>
      <c r="K31" s="246"/>
      <c r="L31" s="245" t="str">
        <f t="array" ref="L31">INDEX(Signed,Match(L29,Signed!$A$1:$A$43,0),2)</f>
        <v>A</v>
      </c>
      <c r="M31" s="246"/>
      <c r="N31" s="245" t="str">
        <f t="array" ref="N31">INDEX(Signed,Match(N29,Signed!$A$1:$A$43,0),2)</f>
        <v>D</v>
      </c>
      <c r="O31" s="246"/>
      <c r="P31" s="245" t="str">
        <f t="array" ref="P31">INDEX(Signed,Match(P29,Signed!$A$1:$A$43,0),2)</f>
        <v>C</v>
      </c>
      <c r="Q31" s="246"/>
      <c r="R31" s="245" t="str">
        <f t="array" ref="R31">INDEX(Signed,Match(R29,Signed!$A$1:$A$43,0),2)</f>
        <v>C</v>
      </c>
      <c r="S31" s="246"/>
      <c r="T31" s="245" t="str">
        <f t="array" ref="T31">INDEX(Signed,Match(T29,Signed!$A$1:$A$43,0),2)</f>
        <v>D</v>
      </c>
      <c r="U31" s="246"/>
      <c r="V31" s="245" t="str">
        <f t="array" ref="V31">INDEX(Signed,Match(V29,Signed!$A$1:$A$43,0),2)</f>
        <v>D</v>
      </c>
      <c r="W31" s="246"/>
      <c r="X31" s="245" t="str">
        <f t="array" ref="X31">INDEX(Signed,Match(X29,Signed!$A$1:$A$43,0),2)</f>
        <v>C</v>
      </c>
      <c r="Y31" s="246"/>
      <c r="Z31" s="245" t="str">
        <f t="array" ref="Z31">INDEX(Signed,Match(Z29,Signed!$A$1:$A$43,0),2)</f>
        <v>E</v>
      </c>
      <c r="AA31" s="246"/>
      <c r="AB31" s="246"/>
      <c r="AC31" s="58"/>
      <c r="AD31" s="58"/>
      <c r="AE31" s="305"/>
      <c r="AF31" s="213"/>
    </row>
    <row r="32" ht="15.75" customHeight="1">
      <c r="A32" s="240" t="s">
        <v>57</v>
      </c>
      <c r="B32" s="241">
        <f t="shared" si="3"/>
        <v>540</v>
      </c>
      <c r="C32" s="23">
        <v>420.0</v>
      </c>
      <c r="E32" s="243">
        <f t="shared" si="4"/>
        <v>540</v>
      </c>
      <c r="F32" s="58"/>
      <c r="G32" s="250" t="s">
        <v>277</v>
      </c>
      <c r="H32" s="251" t="str">
        <f>If(MAX('Round 22'!$C:$C)&gt;=H30,MAX('Round 22'!$C:$C),0)</f>
        <v>#REF!</v>
      </c>
      <c r="I32" s="252"/>
      <c r="J32" s="251" t="str">
        <f>If(MAX('Round 22'!$D:$D)&gt;=J30,MAX('Round 22'!$D:$D),0)</f>
        <v>#REF!</v>
      </c>
      <c r="K32" s="252"/>
      <c r="L32" s="251" t="str">
        <f>If(MAX('Round 22'!$E:$E)&gt;=L30,MAX('Round 22'!$E:$E),0)</f>
        <v>#REF!</v>
      </c>
      <c r="M32" s="252"/>
      <c r="N32" s="251" t="str">
        <f>If(MAX('Round 22'!$F:$F)&gt;=N30,MAX('Round 22'!$F:$F),0)</f>
        <v>#REF!</v>
      </c>
      <c r="O32" s="252"/>
      <c r="P32" s="251" t="str">
        <f>If(MAX('Round 22'!$G:$G)&gt;=P30,MAX('Round 22'!$G:$G),0)</f>
        <v>#REF!</v>
      </c>
      <c r="Q32" s="252"/>
      <c r="R32" s="251" t="str">
        <f>If(MAX('Round 22'!$H:$H)&gt;=R30,MAX('Round 22'!$H:$H),0)</f>
        <v>#REF!</v>
      </c>
      <c r="S32" s="253"/>
      <c r="T32" s="251" t="str">
        <f>If(MAX('Round 22'!$I:$I)&gt;=T30,MAX('Round 22'!$I:$I),0)</f>
        <v>#REF!</v>
      </c>
      <c r="U32" s="253"/>
      <c r="V32" s="251" t="str">
        <f>If(MAX('Round 22'!$J:$J)&gt;=V30,MAX('Round 22'!$J:$J),0)</f>
        <v>#REF!</v>
      </c>
      <c r="W32" s="254"/>
      <c r="X32" s="251" t="str">
        <f>If(MAX('Round 22'!$K:$K)&gt;=X30,MAX('Round 22'!$K:$K),0)</f>
        <v>#REF!</v>
      </c>
      <c r="Y32" s="254"/>
      <c r="Z32" s="251" t="str">
        <f>If(MAX('Round 22'!$L:$L)&gt;=Z30,MAX('Round 22'!$L:$L),0)</f>
        <v>#REF!</v>
      </c>
      <c r="AA32" s="254"/>
      <c r="AB32" s="254"/>
      <c r="AC32" s="58"/>
      <c r="AD32" s="58"/>
      <c r="AE32" s="305"/>
    </row>
    <row r="33" ht="15.75" customHeight="1">
      <c r="A33" s="240" t="s">
        <v>193</v>
      </c>
      <c r="B33" s="241">
        <f t="shared" si="3"/>
        <v>540</v>
      </c>
      <c r="C33" s="23">
        <v>540.0</v>
      </c>
      <c r="E33" s="243">
        <f t="shared" si="4"/>
        <v>540</v>
      </c>
      <c r="F33" s="58"/>
      <c r="G33" s="256" t="s">
        <v>278</v>
      </c>
      <c r="H33" s="257" t="str">
        <f t="shared" ref="H33:V33" si="5">H36</f>
        <v/>
      </c>
      <c r="I33" s="258" t="str">
        <f t="shared" si="5"/>
        <v/>
      </c>
      <c r="J33" s="257" t="str">
        <f t="shared" si="5"/>
        <v/>
      </c>
      <c r="K33" s="258" t="str">
        <f t="shared" si="5"/>
        <v/>
      </c>
      <c r="L33" s="257" t="str">
        <f t="shared" si="5"/>
        <v/>
      </c>
      <c r="M33" s="258" t="str">
        <f t="shared" si="5"/>
        <v/>
      </c>
      <c r="N33" s="257" t="str">
        <f t="shared" si="5"/>
        <v/>
      </c>
      <c r="O33" s="258" t="str">
        <f t="shared" si="5"/>
        <v/>
      </c>
      <c r="P33" s="257" t="str">
        <f t="shared" si="5"/>
        <v/>
      </c>
      <c r="Q33" s="258" t="str">
        <f t="shared" si="5"/>
        <v/>
      </c>
      <c r="R33" s="257" t="str">
        <f t="shared" si="5"/>
        <v/>
      </c>
      <c r="S33" s="258" t="str">
        <f t="shared" si="5"/>
        <v/>
      </c>
      <c r="T33" s="257" t="str">
        <f t="shared" si="5"/>
        <v/>
      </c>
      <c r="U33" s="258" t="str">
        <f t="shared" si="5"/>
        <v/>
      </c>
      <c r="V33" s="257" t="str">
        <f t="shared" si="5"/>
        <v/>
      </c>
      <c r="W33" s="258"/>
      <c r="X33" s="257" t="str">
        <f>X36</f>
        <v/>
      </c>
      <c r="Y33" s="258"/>
      <c r="Z33" s="257" t="str">
        <f>Z36</f>
        <v/>
      </c>
      <c r="AA33" s="258"/>
      <c r="AB33" s="258"/>
      <c r="AC33" s="58"/>
      <c r="AD33" s="58"/>
    </row>
    <row r="34" ht="15.75" customHeight="1">
      <c r="A34" s="248" t="s">
        <v>259</v>
      </c>
      <c r="B34" s="241">
        <f t="shared" si="3"/>
        <v>102</v>
      </c>
      <c r="C34" s="23">
        <v>41.0</v>
      </c>
      <c r="E34" s="243">
        <f t="shared" si="4"/>
        <v>102</v>
      </c>
      <c r="F34" s="58"/>
      <c r="G34" s="261" t="s">
        <v>279</v>
      </c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306"/>
      <c r="AC34" s="58"/>
      <c r="AD34" s="58"/>
    </row>
    <row r="35" ht="15.75" customHeight="1">
      <c r="A35" s="248" t="s">
        <v>169</v>
      </c>
      <c r="B35" s="241">
        <f t="shared" si="3"/>
        <v>402</v>
      </c>
      <c r="C35" s="23">
        <v>402.0</v>
      </c>
      <c r="E35" s="243">
        <f t="shared" si="4"/>
        <v>402</v>
      </c>
      <c r="F35" s="58"/>
      <c r="G35" s="264" t="s">
        <v>280</v>
      </c>
      <c r="H35" s="265" t="str">
        <f>IFERROR(__xludf.DUMMYFUNCTION("Query('Round 22'!$A:$L,""Select B, MAX(C) WHERE C&gt;=60 group by B order by max(C) desc"")"),"#REF!")</f>
        <v>#REF!</v>
      </c>
      <c r="I35" s="266"/>
      <c r="J35" s="265" t="str">
        <f>IFERROR(__xludf.DUMMYFUNCTION("Query('Round 22'!$A:$L,""Select B, MAX(D) WHERE D&gt;=60 group by B order by max(D) desc"")"),"#REF!")</f>
        <v>#REF!</v>
      </c>
      <c r="K35" s="266"/>
      <c r="L35" s="265" t="str">
        <f>IFERROR(__xludf.DUMMYFUNCTION("Query('Round 22'!$A:$L,""Select B, MAX(E) WHERE E&gt;=198 group by B order by max(E) desc"")"),"#REF!")</f>
        <v>#REF!</v>
      </c>
      <c r="M35" s="266"/>
      <c r="N35" s="265" t="str">
        <f>IFERROR(__xludf.DUMMYFUNCTION("Query('Round 22'!$A:$L,""Select B, MAX(F) WHERE F&gt;=60 group by B order by max(F) desc"")"),"#REF!")</f>
        <v>#REF!</v>
      </c>
      <c r="O35" s="266"/>
      <c r="P35" s="265" t="str">
        <f>IFERROR(__xludf.DUMMYFUNCTION("Query('Round 22'!$A:$L,""Select B, MAX(G) WHERE G&gt;=60 group by B order by max(G) desc"")"),"#REF!")</f>
        <v>#REF!</v>
      </c>
      <c r="Q35" s="266"/>
      <c r="R35" s="265" t="str">
        <f>IFERROR(__xludf.DUMMYFUNCTION("Query('Round 22'!$A:$L,""Select B, MAX(H) WHERE H&gt;=60 group by B order by max(H) desc"")"),"#REF!")</f>
        <v>#REF!</v>
      </c>
      <c r="S35" s="266"/>
      <c r="T35" s="265" t="str">
        <f>IFERROR(__xludf.DUMMYFUNCTION("Query('Round 22'!$A:$L,""Select B, MAX(I) WHERE I&gt;=30 group by B order by max(I) desc"")"),"#REF!")</f>
        <v>#REF!</v>
      </c>
      <c r="U35" s="266"/>
      <c r="V35" s="265" t="str">
        <f>IFERROR(__xludf.DUMMYFUNCTION("Query('Round 22'!$A:$L,""Select B, MAX(J) WHERE J&gt;=30 group by B order by max(J) desc"")"),"#REF!")</f>
        <v>#REF!</v>
      </c>
      <c r="W35" s="267"/>
      <c r="X35" s="265" t="str">
        <f>IFERROR(__xludf.DUMMYFUNCTION("Query('Round 22'!$A:$L,""Select B, MAX(K) WHERE K&gt;=60 group by B order by max(K) desc"")"),"#REF!")</f>
        <v>#REF!</v>
      </c>
      <c r="Y35" s="267"/>
      <c r="Z35" s="265" t="str">
        <f>IFERROR(__xludf.DUMMYFUNCTION("Query('Round 22'!$A:$L,""Select B, MAX(L) WHERE L&gt;=30 group by B order by max(L) desc"")"),"#REF!")</f>
        <v>#REF!</v>
      </c>
      <c r="AA35" s="267"/>
      <c r="AB35" s="266"/>
      <c r="AC35" s="58"/>
      <c r="AD35" s="58"/>
    </row>
    <row r="36" ht="15.75" customHeight="1">
      <c r="A36" s="248" t="s">
        <v>129</v>
      </c>
      <c r="B36" s="241">
        <f t="shared" si="3"/>
        <v>300</v>
      </c>
      <c r="C36" s="23">
        <v>244.0</v>
      </c>
      <c r="E36" s="243">
        <f t="shared" si="4"/>
        <v>300</v>
      </c>
      <c r="F36" s="58"/>
      <c r="G36" s="230"/>
      <c r="H36" s="268"/>
      <c r="I36" s="269"/>
      <c r="J36" s="268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3"/>
      <c r="X36" s="18"/>
      <c r="Y36" s="270"/>
      <c r="Z36" s="18"/>
      <c r="AA36" s="273"/>
      <c r="AB36" s="270"/>
      <c r="AC36" s="58"/>
      <c r="AD36" s="58"/>
    </row>
    <row r="37" ht="15.75" customHeight="1">
      <c r="A37" s="248" t="s">
        <v>139</v>
      </c>
      <c r="B37" s="241">
        <f t="shared" si="3"/>
        <v>450</v>
      </c>
      <c r="C37" s="23">
        <v>150.0</v>
      </c>
      <c r="E37" s="243">
        <f t="shared" si="4"/>
        <v>450</v>
      </c>
      <c r="F37" s="58"/>
      <c r="G37" s="89"/>
      <c r="H37" s="276"/>
      <c r="I37" s="269"/>
      <c r="J37" s="276"/>
      <c r="K37" s="270"/>
      <c r="L37" s="277"/>
      <c r="M37" s="270"/>
      <c r="N37" s="277"/>
      <c r="O37" s="270"/>
      <c r="P37" s="277"/>
      <c r="Q37" s="270"/>
      <c r="R37" s="277"/>
      <c r="S37" s="270"/>
      <c r="T37" s="277"/>
      <c r="U37" s="270"/>
      <c r="V37" s="277"/>
      <c r="W37" s="273"/>
      <c r="X37" s="18"/>
      <c r="Y37" s="270"/>
      <c r="Z37" s="18"/>
      <c r="AA37" s="273"/>
      <c r="AB37" s="270"/>
      <c r="AC37" s="58"/>
      <c r="AD37" s="58"/>
    </row>
    <row r="38" ht="15.75" customHeight="1">
      <c r="A38" s="240" t="s">
        <v>155</v>
      </c>
      <c r="B38" s="241">
        <f t="shared" si="3"/>
        <v>540</v>
      </c>
      <c r="C38" s="23">
        <v>440.0</v>
      </c>
      <c r="E38" s="243">
        <f t="shared" si="4"/>
        <v>540</v>
      </c>
      <c r="F38" s="58"/>
      <c r="G38" s="89"/>
      <c r="H38" s="276"/>
      <c r="I38" s="269"/>
      <c r="J38" s="276"/>
      <c r="K38" s="279"/>
      <c r="L38" s="277"/>
      <c r="M38" s="270"/>
      <c r="N38" s="277"/>
      <c r="O38" s="270"/>
      <c r="P38" s="277"/>
      <c r="Q38" s="270"/>
      <c r="R38" s="277"/>
      <c r="S38" s="270"/>
      <c r="T38" s="277"/>
      <c r="U38" s="270"/>
      <c r="V38" s="277"/>
      <c r="W38" s="273"/>
      <c r="X38" s="18"/>
      <c r="Y38" s="270"/>
      <c r="Z38" s="18"/>
      <c r="AA38" s="273"/>
      <c r="AB38" s="270"/>
      <c r="AC38" s="58"/>
      <c r="AD38" s="58"/>
    </row>
    <row r="39" ht="15.75" customHeight="1">
      <c r="A39" s="280" t="s">
        <v>126</v>
      </c>
      <c r="B39" s="241">
        <f t="shared" si="3"/>
        <v>480</v>
      </c>
      <c r="C39" s="23">
        <v>420.0</v>
      </c>
      <c r="E39" s="243">
        <f t="shared" si="4"/>
        <v>480</v>
      </c>
      <c r="F39" s="58"/>
      <c r="G39" s="89"/>
      <c r="H39" s="276"/>
      <c r="I39" s="269"/>
      <c r="J39" s="276"/>
      <c r="K39" s="270"/>
      <c r="L39" s="277"/>
      <c r="M39" s="270"/>
      <c r="N39" s="277"/>
      <c r="O39" s="270"/>
      <c r="P39" s="277"/>
      <c r="Q39" s="270"/>
      <c r="R39" s="277"/>
      <c r="S39" s="270"/>
      <c r="T39" s="277"/>
      <c r="U39" s="270"/>
      <c r="V39" s="277"/>
      <c r="W39" s="273"/>
      <c r="X39" s="18"/>
      <c r="Y39" s="270"/>
      <c r="Z39" s="18"/>
      <c r="AA39" s="273"/>
      <c r="AB39" s="270"/>
      <c r="AC39" s="58"/>
      <c r="AD39" s="58"/>
    </row>
    <row r="40" ht="15.75" customHeight="1">
      <c r="A40" s="58"/>
      <c r="B40" s="307"/>
      <c r="C40" s="58"/>
      <c r="D40" s="58"/>
      <c r="E40" s="308"/>
      <c r="F40" s="58"/>
      <c r="G40" s="89"/>
      <c r="H40" s="276"/>
      <c r="I40" s="269"/>
      <c r="J40" s="276"/>
      <c r="K40" s="270"/>
      <c r="L40" s="277"/>
      <c r="M40" s="270"/>
      <c r="N40" s="277"/>
      <c r="O40" s="270"/>
      <c r="P40" s="277"/>
      <c r="Q40" s="270"/>
      <c r="R40" s="277"/>
      <c r="S40" s="270"/>
      <c r="T40" s="277"/>
      <c r="U40" s="270"/>
      <c r="V40" s="277"/>
      <c r="W40" s="273"/>
      <c r="X40" s="18"/>
      <c r="Y40" s="270"/>
      <c r="Z40" s="18"/>
      <c r="AA40" s="273"/>
      <c r="AB40" s="270"/>
      <c r="AC40" s="58"/>
      <c r="AD40" s="58"/>
    </row>
    <row r="41" ht="15.75" customHeight="1">
      <c r="A41" s="58"/>
      <c r="B41" s="307"/>
      <c r="C41" s="58"/>
      <c r="D41" s="58"/>
      <c r="E41" s="308"/>
      <c r="F41" s="58"/>
      <c r="G41" s="89"/>
      <c r="H41" s="277"/>
      <c r="I41" s="270"/>
      <c r="J41" s="276"/>
      <c r="K41" s="270"/>
      <c r="L41" s="277"/>
      <c r="M41" s="270"/>
      <c r="N41" s="277"/>
      <c r="O41" s="270"/>
      <c r="P41" s="277"/>
      <c r="Q41" s="270"/>
      <c r="R41" s="277"/>
      <c r="S41" s="270"/>
      <c r="T41" s="277"/>
      <c r="U41" s="270"/>
      <c r="V41" s="277"/>
      <c r="W41" s="273"/>
      <c r="X41" s="18"/>
      <c r="Y41" s="270"/>
      <c r="Z41" s="18"/>
      <c r="AA41" s="273"/>
      <c r="AB41" s="270"/>
      <c r="AC41" s="58"/>
      <c r="AD41" s="58"/>
    </row>
    <row r="42" ht="15.75" customHeight="1">
      <c r="A42" s="309"/>
      <c r="B42" s="307"/>
      <c r="C42" s="58"/>
      <c r="D42" s="58"/>
      <c r="E42" s="308"/>
      <c r="F42" s="58"/>
      <c r="G42" s="287"/>
      <c r="H42" s="288"/>
      <c r="I42" s="270"/>
      <c r="J42" s="276"/>
      <c r="K42" s="269"/>
      <c r="L42" s="276"/>
      <c r="M42" s="270"/>
      <c r="N42" s="277"/>
      <c r="O42" s="270"/>
      <c r="P42" s="277"/>
      <c r="Q42" s="270"/>
      <c r="R42" s="277"/>
      <c r="S42" s="270"/>
      <c r="T42" s="277"/>
      <c r="U42" s="270"/>
      <c r="V42" s="277"/>
      <c r="W42" s="273"/>
      <c r="X42" s="18"/>
      <c r="Y42" s="270"/>
      <c r="Z42" s="18"/>
      <c r="AA42" s="273"/>
      <c r="AB42" s="270"/>
      <c r="AC42" s="58"/>
      <c r="AD42" s="58"/>
    </row>
    <row r="43" ht="15.75" customHeight="1">
      <c r="A43" s="58"/>
      <c r="B43" s="307"/>
      <c r="C43" s="58"/>
      <c r="D43" s="58"/>
      <c r="E43" s="308"/>
      <c r="F43" s="58"/>
      <c r="G43" s="89"/>
      <c r="H43" s="277"/>
      <c r="I43" s="270"/>
      <c r="J43" s="276"/>
      <c r="K43" s="270"/>
      <c r="L43" s="277"/>
      <c r="M43" s="270"/>
      <c r="N43" s="277"/>
      <c r="O43" s="270"/>
      <c r="P43" s="277"/>
      <c r="Q43" s="270"/>
      <c r="R43" s="277"/>
      <c r="S43" s="270"/>
      <c r="T43" s="277"/>
      <c r="U43" s="270"/>
      <c r="V43" s="277"/>
      <c r="W43" s="273"/>
      <c r="X43" s="18"/>
      <c r="Y43" s="270"/>
      <c r="Z43" s="18"/>
      <c r="AA43" s="273"/>
      <c r="AB43" s="270"/>
      <c r="AC43" s="58"/>
      <c r="AD43" s="58"/>
    </row>
    <row r="44" ht="15.75" customHeight="1">
      <c r="A44" s="310"/>
      <c r="B44" s="311"/>
      <c r="C44" s="58"/>
      <c r="D44" s="58"/>
      <c r="E44" s="308"/>
      <c r="F44" s="58"/>
      <c r="G44" s="89"/>
      <c r="H44" s="277"/>
      <c r="I44" s="270"/>
      <c r="J44" s="276"/>
      <c r="K44" s="270"/>
      <c r="L44" s="277"/>
      <c r="M44" s="270"/>
      <c r="N44" s="277"/>
      <c r="O44" s="270"/>
      <c r="P44" s="277"/>
      <c r="Q44" s="270"/>
      <c r="R44" s="277"/>
      <c r="S44" s="270"/>
      <c r="T44" s="277"/>
      <c r="U44" s="270"/>
      <c r="V44" s="277"/>
      <c r="W44" s="273"/>
      <c r="X44" s="18"/>
      <c r="Y44" s="270"/>
      <c r="Z44" s="18"/>
      <c r="AA44" s="273"/>
      <c r="AB44" s="270"/>
      <c r="AC44" s="58"/>
      <c r="AD44" s="58"/>
    </row>
    <row r="45" ht="15.75" customHeight="1">
      <c r="A45" s="310"/>
      <c r="B45" s="310"/>
      <c r="C45" s="58"/>
      <c r="D45" s="58"/>
      <c r="E45" s="58"/>
      <c r="F45" s="58"/>
      <c r="G45" s="89"/>
      <c r="H45" s="277"/>
      <c r="I45" s="270"/>
      <c r="J45" s="277"/>
      <c r="K45" s="270"/>
      <c r="L45" s="277"/>
      <c r="M45" s="270"/>
      <c r="N45" s="277"/>
      <c r="O45" s="270"/>
      <c r="P45" s="277"/>
      <c r="Q45" s="270"/>
      <c r="R45" s="277"/>
      <c r="S45" s="270"/>
      <c r="T45" s="288"/>
      <c r="U45" s="279"/>
      <c r="V45" s="277"/>
      <c r="W45" s="273"/>
      <c r="X45" s="18"/>
      <c r="Y45" s="270"/>
      <c r="Z45" s="18"/>
      <c r="AA45" s="273"/>
      <c r="AB45" s="270"/>
      <c r="AC45" s="58"/>
      <c r="AD45" s="58"/>
    </row>
    <row r="46" ht="15.75" customHeight="1">
      <c r="A46" s="310"/>
      <c r="B46" s="311"/>
      <c r="C46" s="58"/>
      <c r="D46" s="58"/>
      <c r="E46" s="58"/>
      <c r="F46" s="59"/>
      <c r="G46" s="89"/>
      <c r="H46" s="277"/>
      <c r="I46" s="270"/>
      <c r="J46" s="277"/>
      <c r="K46" s="270"/>
      <c r="L46" s="277"/>
      <c r="M46" s="270"/>
      <c r="N46" s="277"/>
      <c r="O46" s="270"/>
      <c r="P46" s="277"/>
      <c r="Q46" s="270"/>
      <c r="R46" s="277"/>
      <c r="S46" s="270"/>
      <c r="T46" s="277"/>
      <c r="U46" s="270"/>
      <c r="V46" s="277"/>
      <c r="W46" s="273"/>
      <c r="X46" s="18"/>
      <c r="Y46" s="270"/>
      <c r="Z46" s="18"/>
      <c r="AA46" s="273"/>
      <c r="AB46" s="270"/>
      <c r="AC46" s="58"/>
      <c r="AD46" s="58"/>
    </row>
    <row r="47" ht="15.75" customHeight="1">
      <c r="A47" s="310"/>
      <c r="B47" s="311"/>
      <c r="C47" s="58"/>
      <c r="D47" s="58"/>
      <c r="E47" s="58"/>
      <c r="F47" s="59"/>
      <c r="G47" s="89"/>
      <c r="H47" s="277"/>
      <c r="I47" s="270"/>
      <c r="J47" s="277"/>
      <c r="K47" s="270"/>
      <c r="L47" s="277"/>
      <c r="M47" s="270"/>
      <c r="N47" s="277"/>
      <c r="O47" s="270"/>
      <c r="P47" s="277"/>
      <c r="Q47" s="270"/>
      <c r="R47" s="277"/>
      <c r="S47" s="270"/>
      <c r="T47" s="277"/>
      <c r="U47" s="270"/>
      <c r="V47" s="277"/>
      <c r="W47" s="273"/>
      <c r="X47" s="18"/>
      <c r="Y47" s="270"/>
      <c r="Z47" s="18"/>
      <c r="AA47" s="273"/>
      <c r="AB47" s="270"/>
      <c r="AC47" s="58"/>
      <c r="AD47" s="58"/>
    </row>
    <row r="48" ht="15.75" customHeight="1">
      <c r="A48" s="223"/>
      <c r="B48" s="224"/>
      <c r="C48" s="224"/>
      <c r="D48" s="224"/>
      <c r="E48" s="224"/>
      <c r="F48" s="224"/>
      <c r="G48" s="225" t="s">
        <v>290</v>
      </c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312"/>
      <c r="AC48" s="58"/>
      <c r="AD48" s="58"/>
    </row>
    <row r="49" ht="15.75" customHeight="1">
      <c r="A49" s="228"/>
      <c r="B49" s="229"/>
      <c r="C49" s="229"/>
      <c r="D49" s="229"/>
      <c r="E49" s="229"/>
      <c r="F49" s="229"/>
      <c r="G49" s="230"/>
      <c r="AB49" s="313"/>
      <c r="AC49" s="58"/>
      <c r="AD49" s="58"/>
    </row>
    <row r="50" ht="15.75" customHeight="1">
      <c r="A50" s="228"/>
      <c r="B50" s="229"/>
      <c r="C50" s="229"/>
      <c r="D50" s="229"/>
      <c r="E50" s="229"/>
      <c r="F50" s="229"/>
      <c r="G50" s="230"/>
      <c r="AB50" s="313"/>
      <c r="AC50" s="58"/>
      <c r="AD50" s="58"/>
    </row>
    <row r="51" ht="15.75" customHeight="1">
      <c r="A51" s="232" t="s">
        <v>270</v>
      </c>
      <c r="B51" s="233" t="s">
        <v>271</v>
      </c>
      <c r="C51" s="233" t="s">
        <v>272</v>
      </c>
      <c r="E51" s="235" t="s">
        <v>289</v>
      </c>
      <c r="F51" s="59"/>
      <c r="G51" s="236" t="s">
        <v>275</v>
      </c>
      <c r="H51" s="179" t="s">
        <v>115</v>
      </c>
      <c r="I51" s="238"/>
      <c r="J51" s="195" t="s">
        <v>121</v>
      </c>
      <c r="K51" s="314"/>
      <c r="L51" s="195" t="s">
        <v>197</v>
      </c>
      <c r="M51" s="274"/>
      <c r="N51" s="195" t="s">
        <v>157</v>
      </c>
      <c r="O51" s="274"/>
      <c r="P51" s="195" t="s">
        <v>141</v>
      </c>
      <c r="Q51" s="237"/>
      <c r="R51" s="179" t="s">
        <v>165</v>
      </c>
      <c r="S51" s="237"/>
      <c r="T51" s="179" t="s">
        <v>111</v>
      </c>
      <c r="U51" s="237"/>
      <c r="V51" s="179" t="s">
        <v>109</v>
      </c>
      <c r="W51" s="237"/>
      <c r="X51" s="237" t="s">
        <v>122</v>
      </c>
      <c r="Y51" s="237"/>
      <c r="Z51" s="237" t="s">
        <v>108</v>
      </c>
      <c r="AA51" s="237"/>
      <c r="AB51" s="237"/>
      <c r="AC51" s="58"/>
      <c r="AD51" s="58"/>
    </row>
    <row r="52" ht="15.75" customHeight="1">
      <c r="A52" s="240" t="s">
        <v>37</v>
      </c>
      <c r="B52" s="241">
        <f t="shared" ref="B52:B61" si="6">(C30)-IFERROR(VLOOKUP(A52,H$58:I$68,2,False),"")-IFERROR(VLOOKUP(A52,J$58:K$68,2,False),"")-IFERROR(VLOOKUP(A52,L$58:M$68,2,False),"")-IFERROR(VLOOKUP(A52,N$58:O$68,2,False),"")-IFERROR(VLOOKUP(A52,P$58:Q$68,2,False),"")-IFERROR(VLOOKUP(A52,R$58:S$68,2,False),"")-IFERROR(VLOOKUP(A52,T$58:U$68,2,False),"")-IFERROR(VLOOKUP(A52,V$58:W$68,2,False),"")-IFERROR(VLOOKUP(A52,X$58:Y$68,2,False),"")-IFERROR(VLOOKUP(A52,Z$58:AA$68,2,False),"")</f>
        <v>510</v>
      </c>
      <c r="C52" s="23">
        <v>510.0</v>
      </c>
      <c r="E52" s="315">
        <f t="shared" ref="E52:E61" si="7">C30</f>
        <v>510</v>
      </c>
      <c r="F52" s="59"/>
      <c r="G52" s="244" t="s">
        <v>274</v>
      </c>
      <c r="H52" s="245">
        <f t="array" ref="H52">INDEX(Signed,Match(H51,Signed!$A$1:$A$43,0),3)</f>
        <v>198</v>
      </c>
      <c r="I52" s="247"/>
      <c r="J52" s="245">
        <f t="array" ref="J52">INDEX(Signed,Match(J51,Signed!$A$1:$A$43,0),3)</f>
        <v>150</v>
      </c>
      <c r="K52" s="246"/>
      <c r="L52" s="245">
        <f t="array" ref="L52">INDEX(Signed,Match(L51,Signed!$A$1:$A$43,0),3)</f>
        <v>60</v>
      </c>
      <c r="M52" s="246"/>
      <c r="N52" s="245">
        <f t="array" ref="N52">INDEX(Signed,Match(N51,Signed!$A$1:$A$43,0),3)</f>
        <v>60</v>
      </c>
      <c r="O52" s="246"/>
      <c r="P52" s="245" t="str">
        <f t="array" ref="P52">INDEX(Signed,Match(P51,Signed!$A$1:$A$43,0),3)</f>
        <v>#N/A</v>
      </c>
      <c r="Q52" s="246"/>
      <c r="R52" s="245">
        <f t="array" ref="R52">INDEX(Signed,Match(R51,Signed!$A$1:$A$43,0),3)</f>
        <v>60</v>
      </c>
      <c r="S52" s="246"/>
      <c r="T52" s="245">
        <f t="array" ref="T52">INDEX(Signed,Match(T51,Signed!$A$1:$A$43,0),3)</f>
        <v>60</v>
      </c>
      <c r="U52" s="246"/>
      <c r="V52" s="245">
        <f t="array" ref="V52">INDEX(Signed,Match(V51,Signed!$A$1:$A$43,0),3)</f>
        <v>60</v>
      </c>
      <c r="W52" s="246"/>
      <c r="X52" s="245">
        <f t="array" ref="X52">INDEX(Signed,Match(X51,Signed!$A$1:$A$43,0),3)</f>
        <v>30</v>
      </c>
      <c r="Y52" s="246"/>
      <c r="Z52" s="245">
        <f t="array" ref="Z52">INDEX(Signed,Match(Z51,Signed!$A$1:$A$43,0),3)</f>
        <v>60</v>
      </c>
      <c r="AA52" s="246"/>
      <c r="AB52" s="246"/>
      <c r="AC52" s="58"/>
      <c r="AD52" s="58"/>
    </row>
    <row r="53" ht="15.75" customHeight="1">
      <c r="A53" s="248" t="s">
        <v>40</v>
      </c>
      <c r="B53" s="241">
        <f t="shared" si="6"/>
        <v>279</v>
      </c>
      <c r="C53" s="23">
        <v>34.0</v>
      </c>
      <c r="E53" s="315">
        <f t="shared" si="7"/>
        <v>279</v>
      </c>
      <c r="F53" s="59"/>
      <c r="G53" s="244" t="s">
        <v>201</v>
      </c>
      <c r="H53" s="245" t="str">
        <f t="array" ref="H53">INDEX(Signed,Match(H51,Signed!$A$1:$A$43,0),2)</f>
        <v>A</v>
      </c>
      <c r="I53" s="247"/>
      <c r="J53" s="245" t="str">
        <f t="array" ref="J53">INDEX(Signed,Match(J51,Signed!$A$1:$A$43,0),2)</f>
        <v>B</v>
      </c>
      <c r="K53" s="246"/>
      <c r="L53" s="245" t="str">
        <f t="array" ref="L53">INDEX(Signed,Match(L51,Signed!$A$1:$A$43,0),2)</f>
        <v>C</v>
      </c>
      <c r="M53" s="246"/>
      <c r="N53" s="245" t="str">
        <f t="array" ref="N53">INDEX(Signed,Match(N51,Signed!$A$1:$A$43,0),2)</f>
        <v>C</v>
      </c>
      <c r="O53" s="246"/>
      <c r="P53" s="245" t="str">
        <f t="array" ref="P53">INDEX(Signed,Match(P51,Signed!$A$1:$A$43,0),2)</f>
        <v>#N/A</v>
      </c>
      <c r="Q53" s="246"/>
      <c r="R53" s="245" t="str">
        <f t="array" ref="R53">INDEX(Signed,Match(R51,Signed!$A$1:$A$43,0),2)</f>
        <v>D</v>
      </c>
      <c r="S53" s="246"/>
      <c r="T53" s="245" t="str">
        <f t="array" ref="T53">INDEX(Signed,Match(T51,Signed!$A$1:$A$43,0),2)</f>
        <v>D</v>
      </c>
      <c r="U53" s="246"/>
      <c r="V53" s="245" t="str">
        <f t="array" ref="V53">INDEX(Signed,Match(V51,Signed!$A$1:$A$43,0),2)</f>
        <v>D</v>
      </c>
      <c r="W53" s="246"/>
      <c r="X53" s="245" t="str">
        <f t="array" ref="X53">INDEX(Signed,Match(X51,Signed!$A$1:$A$43,0),2)</f>
        <v>E</v>
      </c>
      <c r="Y53" s="246"/>
      <c r="Z53" s="245" t="str">
        <f t="array" ref="Z53">INDEX(Signed,Match(Z51,Signed!$A$1:$A$43,0),2)</f>
        <v>D</v>
      </c>
      <c r="AA53" s="246"/>
      <c r="AB53" s="246"/>
      <c r="AC53" s="58"/>
      <c r="AD53" s="58"/>
    </row>
    <row r="54" ht="15.75" customHeight="1">
      <c r="A54" s="240" t="s">
        <v>57</v>
      </c>
      <c r="B54" s="241">
        <f t="shared" si="6"/>
        <v>420</v>
      </c>
      <c r="C54" s="23">
        <v>0.0</v>
      </c>
      <c r="E54" s="315">
        <f t="shared" si="7"/>
        <v>420</v>
      </c>
      <c r="F54" s="59"/>
      <c r="G54" s="250" t="s">
        <v>277</v>
      </c>
      <c r="H54" s="251" t="str">
        <f>If(MAX('Round 33'!$C:$C)&gt;=H52,MAX('Round 33'!$C:$C),0)</f>
        <v>#REF!</v>
      </c>
      <c r="I54" s="316"/>
      <c r="J54" s="251" t="str">
        <f>If(MAX('Round 33'!$D:$D)&gt;=J52,MAX('Round 33'!$D:$D),0)</f>
        <v>#REF!</v>
      </c>
      <c r="K54" s="254"/>
      <c r="L54" s="251" t="str">
        <f>If(MAX('Round 33'!$E:$E)&gt;=L52,MAX('Round 33'!$E:$E),0)</f>
        <v>#REF!</v>
      </c>
      <c r="M54" s="254"/>
      <c r="N54" s="251" t="str">
        <f>If(MAX('Round 33'!$F:$F)&gt;=N52,MAX('Round 33'!$F:$F),0)</f>
        <v>#REF!</v>
      </c>
      <c r="O54" s="254"/>
      <c r="P54" s="251" t="str">
        <f>If(MAX('Round 33'!$G:$G)&gt;=P52,MAX('Round 33'!$G:$G),0)</f>
        <v>#REF!</v>
      </c>
      <c r="Q54" s="254"/>
      <c r="R54" s="251" t="str">
        <f>If(MAX('Round 33'!$H:$H)&gt;=R52,MAX('Round 33'!$H:$H),0)</f>
        <v>#REF!</v>
      </c>
      <c r="S54" s="254"/>
      <c r="T54" s="251" t="str">
        <f>If(MAX('Round 33'!$I:$I)&gt;=T52,MAX('Round 33'!$I:$I),0)</f>
        <v>#REF!</v>
      </c>
      <c r="U54" s="254"/>
      <c r="V54" s="251" t="str">
        <f>If(MAX('Round 33'!$J:$J)&gt;=V52,MAX('Round 33'!$J:$J),0)</f>
        <v>#REF!</v>
      </c>
      <c r="W54" s="254"/>
      <c r="X54" s="251" t="str">
        <f>If(MAX('Round 33'!K:K)&gt;=X52,MAX('Round 33'!$K:$K),0)</f>
        <v>#REF!</v>
      </c>
      <c r="Y54" s="254"/>
      <c r="Z54" s="251" t="str">
        <f>If(MAX('Round 33'!$L:$L)&gt;=Z52,MAX('Round 33'!$L:$L),0)</f>
        <v>#REF!</v>
      </c>
      <c r="AA54" s="254"/>
      <c r="AB54" s="254"/>
      <c r="AC54" s="58"/>
      <c r="AD54" s="58"/>
    </row>
    <row r="55" ht="15.75" customHeight="1">
      <c r="A55" s="240" t="s">
        <v>193</v>
      </c>
      <c r="B55" s="241">
        <f t="shared" si="6"/>
        <v>540</v>
      </c>
      <c r="C55" s="23">
        <v>480.0</v>
      </c>
      <c r="E55" s="315">
        <f t="shared" si="7"/>
        <v>540</v>
      </c>
      <c r="F55" s="59"/>
      <c r="G55" s="256" t="s">
        <v>278</v>
      </c>
      <c r="H55" s="257" t="str">
        <f t="shared" ref="H55:V55" si="8">H58</f>
        <v/>
      </c>
      <c r="I55" s="259" t="str">
        <f t="shared" si="8"/>
        <v/>
      </c>
      <c r="J55" s="257" t="str">
        <f t="shared" si="8"/>
        <v/>
      </c>
      <c r="K55" s="258" t="str">
        <f t="shared" si="8"/>
        <v/>
      </c>
      <c r="L55" s="257" t="str">
        <f t="shared" si="8"/>
        <v/>
      </c>
      <c r="M55" s="258" t="str">
        <f t="shared" si="8"/>
        <v/>
      </c>
      <c r="N55" s="257" t="str">
        <f t="shared" si="8"/>
        <v/>
      </c>
      <c r="O55" s="258" t="str">
        <f t="shared" si="8"/>
        <v/>
      </c>
      <c r="P55" s="257" t="str">
        <f t="shared" si="8"/>
        <v/>
      </c>
      <c r="Q55" s="258" t="str">
        <f t="shared" si="8"/>
        <v/>
      </c>
      <c r="R55" s="257" t="str">
        <f t="shared" si="8"/>
        <v/>
      </c>
      <c r="S55" s="258" t="str">
        <f t="shared" si="8"/>
        <v/>
      </c>
      <c r="T55" s="257" t="str">
        <f t="shared" si="8"/>
        <v/>
      </c>
      <c r="U55" s="258" t="str">
        <f t="shared" si="8"/>
        <v/>
      </c>
      <c r="V55" s="257" t="str">
        <f t="shared" si="8"/>
        <v/>
      </c>
      <c r="W55" s="258"/>
      <c r="X55" s="258"/>
      <c r="Y55" s="258"/>
      <c r="Z55" s="258"/>
      <c r="AA55" s="258"/>
      <c r="AB55" s="258"/>
      <c r="AC55" s="58"/>
      <c r="AD55" s="58"/>
    </row>
    <row r="56" ht="15.75" customHeight="1">
      <c r="A56" s="248" t="s">
        <v>259</v>
      </c>
      <c r="B56" s="241">
        <f t="shared" si="6"/>
        <v>41</v>
      </c>
      <c r="C56" s="23">
        <v>41.0</v>
      </c>
      <c r="E56" s="315">
        <f t="shared" si="7"/>
        <v>41</v>
      </c>
      <c r="F56" s="59"/>
      <c r="G56" s="261" t="s">
        <v>279</v>
      </c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306"/>
      <c r="AC56" s="58"/>
      <c r="AD56" s="58"/>
    </row>
    <row r="57" ht="15.75" customHeight="1">
      <c r="A57" s="248" t="s">
        <v>169</v>
      </c>
      <c r="B57" s="241">
        <f t="shared" si="6"/>
        <v>402</v>
      </c>
      <c r="C57" s="23">
        <v>177.0</v>
      </c>
      <c r="E57" s="315">
        <f t="shared" si="7"/>
        <v>402</v>
      </c>
      <c r="F57" s="59"/>
      <c r="G57" s="264" t="s">
        <v>280</v>
      </c>
      <c r="H57" s="265" t="str">
        <f>IFERROR(__xludf.DUMMYFUNCTION("Query('Round 33'!$A:$L,""Select B, MAX(C) WHERE C&gt;=198 group by B order by max(C) desc"")"),"#REF!")</f>
        <v>#REF!</v>
      </c>
      <c r="I57" s="266"/>
      <c r="J57" s="265" t="str">
        <f>IFERROR(__xludf.DUMMYFUNCTION("Query('Round 33'!$A:$L,""Select B, MAX(D) WHERE D&gt;=60 group by B order by max(D) desc"")"),"#REF!")</f>
        <v>#REF!</v>
      </c>
      <c r="K57" s="266"/>
      <c r="L57" s="265" t="str">
        <f>IFERROR(__xludf.DUMMYFUNCTION("Query('Round 33'!$A:$L,""Select B, MAX(E) WHERE E&gt;=60 group by B order by max(E) desc"")"),"#REF!")</f>
        <v>#REF!</v>
      </c>
      <c r="M57" s="266"/>
      <c r="N57" s="265" t="str">
        <f>IFERROR(__xludf.DUMMYFUNCTION("Query('Round 33'!$A:$L,""Select B, MAX(F) WHERE F&gt;=60 group by B order by max(F) desc"")"),"#REF!")</f>
        <v>#REF!</v>
      </c>
      <c r="O57" s="266"/>
      <c r="P57" s="265" t="str">
        <f>IFERROR(__xludf.DUMMYFUNCTION("Query('Round 33'!$A:$L,""Select B, MAX(G) WHERE G&gt;=30 group by B order by max(G) desc"")"),"#REF!")</f>
        <v>#REF!</v>
      </c>
      <c r="Q57" s="266"/>
      <c r="R57" s="265" t="str">
        <f>IFERROR(__xludf.DUMMYFUNCTION("Query('Round 33'!$A:$L,""Select B, MAX(H) WHERE H&gt;=60 group by B order by max(H) desc"")"),"#REF!")</f>
        <v>#REF!</v>
      </c>
      <c r="S57" s="266"/>
      <c r="T57" s="265" t="str">
        <f>IFERROR(__xludf.DUMMYFUNCTION("Query('Round 33'!$A:$L,""Select B, MAX(I) WHERE I&gt;=60 group by B order by max(I) desc"")"),"#REF!")</f>
        <v>#REF!</v>
      </c>
      <c r="U57" s="266"/>
      <c r="V57" s="265" t="str">
        <f>IFERROR(__xludf.DUMMYFUNCTION("Query('Round 33'!$A:$L,""Select B, MAX(J) WHERE J&gt;=60 group by B order by max(J) desc"")"),"#REF!")</f>
        <v>#REF!</v>
      </c>
      <c r="W57" s="267"/>
      <c r="X57" s="265" t="str">
        <f>IFERROR(__xludf.DUMMYFUNCTION("Query('Round 33'!$A:$L,""Select B, MAX(K) WHERE K&gt;=30 group by B order by max(K) desc"")"),"#REF!")</f>
        <v>#REF!</v>
      </c>
      <c r="Y57" s="267"/>
      <c r="Z57" s="265" t="str">
        <f>IFERROR(__xludf.DUMMYFUNCTION("Query('Round 33'!$A:$L,""Select B, MAX(L) WHERE L&gt;=60 group by B order by max(L) desc"")"),"#REF!")</f>
        <v>#REF!</v>
      </c>
      <c r="AA57" s="267"/>
      <c r="AB57" s="266"/>
      <c r="AC57" s="58"/>
      <c r="AD57" s="58"/>
    </row>
    <row r="58" ht="15.75" customHeight="1">
      <c r="A58" s="248" t="s">
        <v>129</v>
      </c>
      <c r="B58" s="241">
        <f t="shared" si="6"/>
        <v>244</v>
      </c>
      <c r="C58" s="23">
        <v>244.0</v>
      </c>
      <c r="E58" s="315">
        <f t="shared" si="7"/>
        <v>244</v>
      </c>
      <c r="F58" s="59"/>
      <c r="G58" s="230"/>
      <c r="H58" s="268"/>
      <c r="I58" s="269"/>
      <c r="J58" s="268"/>
      <c r="K58" s="270"/>
      <c r="L58" s="271"/>
      <c r="M58" s="270"/>
      <c r="N58" s="271"/>
      <c r="O58" s="270"/>
      <c r="P58" s="271"/>
      <c r="Q58" s="270"/>
      <c r="R58" s="271"/>
      <c r="S58" s="270"/>
      <c r="T58" s="271"/>
      <c r="U58" s="270"/>
      <c r="V58" s="271"/>
      <c r="W58" s="317"/>
      <c r="X58" s="18"/>
      <c r="Y58" s="317"/>
      <c r="Z58" s="18"/>
      <c r="AA58" s="317"/>
      <c r="AB58" s="270"/>
      <c r="AC58" s="58"/>
      <c r="AD58" s="58"/>
    </row>
    <row r="59" ht="15.75" customHeight="1">
      <c r="A59" s="248" t="s">
        <v>139</v>
      </c>
      <c r="B59" s="241">
        <f t="shared" si="6"/>
        <v>150</v>
      </c>
      <c r="C59" s="23">
        <v>150.0</v>
      </c>
      <c r="E59" s="315">
        <f t="shared" si="7"/>
        <v>150</v>
      </c>
      <c r="F59" s="59"/>
      <c r="G59" s="89"/>
      <c r="H59" s="276"/>
      <c r="I59" s="269"/>
      <c r="J59" s="276"/>
      <c r="K59" s="270"/>
      <c r="L59" s="277"/>
      <c r="M59" s="270"/>
      <c r="N59" s="277"/>
      <c r="O59" s="270"/>
      <c r="P59" s="277"/>
      <c r="Q59" s="270"/>
      <c r="R59" s="277"/>
      <c r="S59" s="270"/>
      <c r="T59" s="277"/>
      <c r="U59" s="270"/>
      <c r="V59" s="277"/>
      <c r="W59" s="317"/>
      <c r="X59" s="18"/>
      <c r="Y59" s="317"/>
      <c r="Z59" s="18"/>
      <c r="AA59" s="317"/>
      <c r="AB59" s="270"/>
      <c r="AC59" s="58"/>
      <c r="AD59" s="58"/>
    </row>
    <row r="60" ht="15.75" customHeight="1">
      <c r="A60" s="240" t="s">
        <v>155</v>
      </c>
      <c r="B60" s="241">
        <f t="shared" si="6"/>
        <v>440</v>
      </c>
      <c r="C60" s="23">
        <v>0.0</v>
      </c>
      <c r="E60" s="315">
        <f t="shared" si="7"/>
        <v>440</v>
      </c>
      <c r="F60" s="59"/>
      <c r="G60" s="89"/>
      <c r="H60" s="276"/>
      <c r="I60" s="269"/>
      <c r="J60" s="276"/>
      <c r="K60" s="279"/>
      <c r="L60" s="277"/>
      <c r="M60" s="270"/>
      <c r="N60" s="277"/>
      <c r="O60" s="270"/>
      <c r="P60" s="277"/>
      <c r="Q60" s="270"/>
      <c r="R60" s="277"/>
      <c r="S60" s="270"/>
      <c r="T60" s="277"/>
      <c r="U60" s="270"/>
      <c r="V60" s="277"/>
      <c r="W60" s="317"/>
      <c r="X60" s="18"/>
      <c r="Y60" s="317"/>
      <c r="Z60" s="18"/>
      <c r="AA60" s="317"/>
      <c r="AB60" s="270"/>
      <c r="AC60" s="58"/>
      <c r="AD60" s="58"/>
    </row>
    <row r="61" ht="15.75" customHeight="1">
      <c r="A61" s="280" t="s">
        <v>126</v>
      </c>
      <c r="B61" s="241">
        <f t="shared" si="6"/>
        <v>420</v>
      </c>
      <c r="C61" s="23">
        <v>420.0</v>
      </c>
      <c r="E61" s="315">
        <f t="shared" si="7"/>
        <v>420</v>
      </c>
      <c r="F61" s="59"/>
      <c r="G61" s="89"/>
      <c r="H61" s="276"/>
      <c r="I61" s="269"/>
      <c r="J61" s="276"/>
      <c r="K61" s="270"/>
      <c r="L61" s="277"/>
      <c r="M61" s="270"/>
      <c r="N61" s="277"/>
      <c r="O61" s="270"/>
      <c r="P61" s="277"/>
      <c r="Q61" s="270"/>
      <c r="R61" s="277"/>
      <c r="S61" s="270"/>
      <c r="T61" s="277"/>
      <c r="U61" s="270"/>
      <c r="V61" s="277"/>
      <c r="W61" s="317"/>
      <c r="X61" s="18"/>
      <c r="Y61" s="317"/>
      <c r="Z61" s="18"/>
      <c r="AA61" s="317"/>
      <c r="AB61" s="270"/>
      <c r="AC61" s="58"/>
      <c r="AD61" s="58"/>
    </row>
    <row r="62" ht="15.75" customHeight="1">
      <c r="A62" s="58"/>
      <c r="B62" s="58"/>
      <c r="C62" s="58"/>
      <c r="D62" s="58"/>
      <c r="E62" s="58"/>
      <c r="F62" s="58"/>
      <c r="G62" s="89"/>
      <c r="H62" s="276"/>
      <c r="I62" s="269"/>
      <c r="J62" s="276"/>
      <c r="K62" s="270"/>
      <c r="L62" s="277"/>
      <c r="M62" s="270"/>
      <c r="N62" s="277"/>
      <c r="O62" s="270"/>
      <c r="P62" s="277"/>
      <c r="Q62" s="270"/>
      <c r="R62" s="277"/>
      <c r="S62" s="270"/>
      <c r="T62" s="277"/>
      <c r="U62" s="270"/>
      <c r="V62" s="277"/>
      <c r="W62" s="317"/>
      <c r="X62" s="18"/>
      <c r="Y62" s="317"/>
      <c r="Z62" s="18"/>
      <c r="AA62" s="317"/>
      <c r="AB62" s="270"/>
      <c r="AC62" s="58"/>
      <c r="AD62" s="58"/>
    </row>
    <row r="63" ht="15.75" customHeight="1">
      <c r="A63" s="58"/>
      <c r="B63" s="58"/>
      <c r="C63" s="58"/>
      <c r="D63" s="58"/>
      <c r="E63" s="58"/>
      <c r="F63" s="58"/>
      <c r="G63" s="89"/>
      <c r="H63" s="277"/>
      <c r="I63" s="270"/>
      <c r="J63" s="276"/>
      <c r="K63" s="270"/>
      <c r="L63" s="277"/>
      <c r="M63" s="270"/>
      <c r="N63" s="277"/>
      <c r="O63" s="270"/>
      <c r="P63" s="277"/>
      <c r="Q63" s="270"/>
      <c r="R63" s="277"/>
      <c r="S63" s="270"/>
      <c r="T63" s="277"/>
      <c r="U63" s="270"/>
      <c r="V63" s="277"/>
      <c r="W63" s="317"/>
      <c r="X63" s="18"/>
      <c r="Y63" s="317"/>
      <c r="Z63" s="18"/>
      <c r="AA63" s="317"/>
      <c r="AB63" s="270"/>
      <c r="AC63" s="58"/>
      <c r="AD63" s="58"/>
    </row>
    <row r="64" ht="15.75" customHeight="1">
      <c r="A64" s="58"/>
      <c r="B64" s="58"/>
      <c r="C64" s="58"/>
      <c r="D64" s="58"/>
      <c r="E64" s="58"/>
      <c r="F64" s="58"/>
      <c r="G64" s="287"/>
      <c r="H64" s="288"/>
      <c r="I64" s="270"/>
      <c r="J64" s="276"/>
      <c r="K64" s="269"/>
      <c r="L64" s="276"/>
      <c r="M64" s="270"/>
      <c r="N64" s="277"/>
      <c r="O64" s="270"/>
      <c r="P64" s="277"/>
      <c r="Q64" s="270"/>
      <c r="R64" s="277"/>
      <c r="S64" s="270"/>
      <c r="T64" s="277"/>
      <c r="U64" s="270"/>
      <c r="V64" s="277"/>
      <c r="W64" s="317"/>
      <c r="X64" s="18"/>
      <c r="Y64" s="317"/>
      <c r="Z64" s="18"/>
      <c r="AA64" s="317"/>
      <c r="AB64" s="270"/>
      <c r="AC64" s="58"/>
      <c r="AD64" s="58"/>
    </row>
    <row r="65" ht="15.75" customHeight="1">
      <c r="A65" s="58"/>
      <c r="B65" s="58"/>
      <c r="C65" s="58"/>
      <c r="D65" s="58"/>
      <c r="E65" s="58"/>
      <c r="F65" s="58"/>
      <c r="G65" s="89"/>
      <c r="H65" s="277"/>
      <c r="I65" s="270"/>
      <c r="J65" s="276"/>
      <c r="K65" s="270"/>
      <c r="L65" s="277"/>
      <c r="M65" s="270"/>
      <c r="N65" s="277"/>
      <c r="O65" s="270"/>
      <c r="P65" s="277"/>
      <c r="Q65" s="270"/>
      <c r="R65" s="277"/>
      <c r="S65" s="270"/>
      <c r="T65" s="277"/>
      <c r="U65" s="270"/>
      <c r="V65" s="277"/>
      <c r="W65" s="317"/>
      <c r="X65" s="18"/>
      <c r="Y65" s="317"/>
      <c r="Z65" s="18"/>
      <c r="AA65" s="317"/>
      <c r="AB65" s="270"/>
      <c r="AC65" s="58"/>
      <c r="AD65" s="58"/>
    </row>
    <row r="66" ht="15.75" customHeight="1">
      <c r="A66" s="58"/>
      <c r="B66" s="58"/>
      <c r="C66" s="58"/>
      <c r="D66" s="58"/>
      <c r="E66" s="58"/>
      <c r="F66" s="58"/>
      <c r="G66" s="89"/>
      <c r="H66" s="277"/>
      <c r="I66" s="270"/>
      <c r="J66" s="276"/>
      <c r="K66" s="270"/>
      <c r="L66" s="277"/>
      <c r="M66" s="270"/>
      <c r="N66" s="277"/>
      <c r="O66" s="270"/>
      <c r="P66" s="277"/>
      <c r="Q66" s="270"/>
      <c r="R66" s="277"/>
      <c r="S66" s="270"/>
      <c r="T66" s="277"/>
      <c r="U66" s="270"/>
      <c r="V66" s="277"/>
      <c r="W66" s="317"/>
      <c r="X66" s="18"/>
      <c r="Y66" s="317"/>
      <c r="Z66" s="18"/>
      <c r="AA66" s="317"/>
      <c r="AB66" s="270"/>
      <c r="AC66" s="58"/>
      <c r="AD66" s="58"/>
    </row>
    <row r="67" ht="15.75" customHeight="1">
      <c r="A67" s="58"/>
      <c r="B67" s="58"/>
      <c r="C67" s="58"/>
      <c r="D67" s="58"/>
      <c r="E67" s="58"/>
      <c r="F67" s="58"/>
      <c r="G67" s="89"/>
      <c r="H67" s="277"/>
      <c r="I67" s="270"/>
      <c r="J67" s="277"/>
      <c r="K67" s="270"/>
      <c r="L67" s="277"/>
      <c r="M67" s="270"/>
      <c r="N67" s="277"/>
      <c r="O67" s="270"/>
      <c r="P67" s="277"/>
      <c r="Q67" s="270"/>
      <c r="R67" s="277"/>
      <c r="S67" s="270"/>
      <c r="T67" s="288"/>
      <c r="U67" s="279"/>
      <c r="V67" s="277"/>
      <c r="W67" s="317"/>
      <c r="X67" s="18"/>
      <c r="Y67" s="317"/>
      <c r="Z67" s="18"/>
      <c r="AA67" s="317"/>
      <c r="AB67" s="270"/>
      <c r="AC67" s="58"/>
      <c r="AD67" s="58"/>
    </row>
    <row r="68" ht="15.75" customHeight="1">
      <c r="A68" s="58"/>
      <c r="B68" s="58"/>
      <c r="C68" s="58"/>
      <c r="D68" s="58"/>
      <c r="E68" s="58"/>
      <c r="F68" s="58"/>
      <c r="G68" s="89"/>
      <c r="H68" s="277"/>
      <c r="I68" s="270"/>
      <c r="J68" s="277"/>
      <c r="K68" s="270"/>
      <c r="L68" s="277"/>
      <c r="M68" s="270"/>
      <c r="N68" s="277"/>
      <c r="O68" s="270"/>
      <c r="P68" s="277"/>
      <c r="Q68" s="270"/>
      <c r="R68" s="277"/>
      <c r="S68" s="270"/>
      <c r="T68" s="277"/>
      <c r="U68" s="270"/>
      <c r="V68" s="277"/>
      <c r="W68" s="317"/>
      <c r="X68" s="18"/>
      <c r="Y68" s="317"/>
      <c r="Z68" s="18"/>
      <c r="AA68" s="317"/>
      <c r="AB68" s="270"/>
      <c r="AC68" s="58"/>
      <c r="AD68" s="58"/>
    </row>
    <row r="69" ht="15.75" customHeight="1">
      <c r="A69" s="318"/>
      <c r="B69" s="319"/>
      <c r="C69" s="319"/>
      <c r="D69" s="319"/>
      <c r="E69" s="319"/>
      <c r="F69" s="319"/>
      <c r="G69" s="225" t="s">
        <v>291</v>
      </c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312"/>
      <c r="AC69" s="58"/>
      <c r="AD69" s="58"/>
    </row>
    <row r="70" ht="15.75" customHeight="1">
      <c r="A70" s="320"/>
      <c r="B70" s="321"/>
      <c r="C70" s="321"/>
      <c r="D70" s="321"/>
      <c r="E70" s="321"/>
      <c r="F70" s="321"/>
      <c r="G70" s="230"/>
      <c r="AB70" s="313"/>
      <c r="AC70" s="58"/>
      <c r="AD70" s="58"/>
    </row>
    <row r="71" ht="15.75" customHeight="1">
      <c r="A71" s="320"/>
      <c r="B71" s="321"/>
      <c r="C71" s="321"/>
      <c r="D71" s="321"/>
      <c r="E71" s="321"/>
      <c r="F71" s="321"/>
      <c r="G71" s="230"/>
      <c r="AB71" s="313"/>
      <c r="AC71" s="58"/>
      <c r="AD71" s="58"/>
    </row>
    <row r="72" ht="15.75" customHeight="1">
      <c r="A72" s="232" t="s">
        <v>270</v>
      </c>
      <c r="B72" s="233" t="s">
        <v>271</v>
      </c>
      <c r="C72" s="233" t="s">
        <v>272</v>
      </c>
      <c r="E72" s="235" t="s">
        <v>289</v>
      </c>
      <c r="G72" s="236" t="s">
        <v>275</v>
      </c>
      <c r="H72" s="179" t="s">
        <v>79</v>
      </c>
      <c r="I72" s="237"/>
      <c r="J72" s="179" t="s">
        <v>91</v>
      </c>
      <c r="K72" s="237"/>
      <c r="L72" s="179" t="s">
        <v>96</v>
      </c>
      <c r="M72" s="237"/>
      <c r="N72" s="179" t="s">
        <v>100</v>
      </c>
      <c r="O72" s="237"/>
      <c r="P72" s="179" t="s">
        <v>47</v>
      </c>
      <c r="Q72" s="237"/>
      <c r="R72" s="179" t="s">
        <v>42</v>
      </c>
      <c r="S72" s="237"/>
      <c r="T72" s="179" t="s">
        <v>59</v>
      </c>
      <c r="U72" s="237"/>
      <c r="V72" s="179" t="s">
        <v>111</v>
      </c>
      <c r="W72" s="237"/>
      <c r="X72" s="237" t="s">
        <v>113</v>
      </c>
      <c r="Y72" s="237"/>
      <c r="Z72" s="237" t="s">
        <v>161</v>
      </c>
      <c r="AA72" s="237"/>
      <c r="AB72" s="237"/>
      <c r="AC72" s="58"/>
      <c r="AD72" s="58"/>
    </row>
    <row r="73" ht="15.75" customHeight="1">
      <c r="A73" s="240" t="s">
        <v>37</v>
      </c>
      <c r="B73" s="241">
        <f t="shared" ref="B73:B82" si="9">(C52)-IFERROR(VLOOKUP(A73,H$79:I$91,2,False),"")-IFERROR(VLOOKUP(A73,J$79:K$91,2,False),"")-IFERROR(VLOOKUP(A73,L$79:M$91,2,False),"")-IFERROR(VLOOKUP(A73,N$79:O$91,2,False),"")-IFERROR(VLOOKUP(A73,P$79:Q$91,2,False),"")-IFERROR(VLOOKUP(A73,R$79:S$91,2,False),"")-IFERROR(VLOOKUP(A73,T$79:U$91,2,False),"")-IFERROR(VLOOKUP(A73,V$79:W$91,2,False),"")-IFERROR(VLOOKUP(A73,X$79:Y$91,2,False),"")-IFERROR(VLOOKUP(A73,Z$79:AA$91,2,False),"")</f>
        <v>510</v>
      </c>
      <c r="C73" s="23">
        <v>0.0</v>
      </c>
      <c r="E73" s="315">
        <f t="shared" ref="E73:E82" si="10">C52</f>
        <v>510</v>
      </c>
      <c r="G73" s="244" t="s">
        <v>274</v>
      </c>
      <c r="H73" s="245">
        <f t="array" ref="H73">INDEX(Signed,Match(H72,Signed!$A$1:$A$43,0),3)</f>
        <v>60</v>
      </c>
      <c r="I73" s="246"/>
      <c r="J73" s="245">
        <f t="array" ref="J73">INDEX(Signed,Match(J72,Signed!$A$1:$A$43,0),3)</f>
        <v>30</v>
      </c>
      <c r="K73" s="246"/>
      <c r="L73" s="245">
        <f t="array" ref="L73">INDEX(Signed,Match(L72,Signed!$A$1:$A$43,0),3)</f>
        <v>30</v>
      </c>
      <c r="M73" s="246"/>
      <c r="N73" s="245">
        <f t="array" ref="N73">INDEX(Signed,Match(N72,Signed!$A$1:$A$43,0),3)</f>
        <v>60</v>
      </c>
      <c r="O73" s="246"/>
      <c r="P73" s="245">
        <f t="array" ref="P73">INDEX(Signed,Match(P72,Signed!$A$1:$A$43,0),3)</f>
        <v>60</v>
      </c>
      <c r="Q73" s="246"/>
      <c r="R73" s="245">
        <f t="array" ref="R73">INDEX(Signed,Match(R72,Signed!$A$1:$A$43,0),3)</f>
        <v>150</v>
      </c>
      <c r="S73" s="246"/>
      <c r="T73" s="245">
        <f t="array" ref="T73">INDEX(Signed,Match(T72,Signed!$A$1:$A$43,0),3)</f>
        <v>30</v>
      </c>
      <c r="U73" s="246"/>
      <c r="V73" s="245">
        <f t="array" ref="V73">INDEX(Signed,Match(V72,Signed!$A$1:$A$43,0),3)</f>
        <v>60</v>
      </c>
      <c r="W73" s="246"/>
      <c r="X73" s="245">
        <f t="array" ref="X73">INDEX(Signed,Match(X72,Signed!$A$1:$A$43,0),3)</f>
        <v>60</v>
      </c>
      <c r="Y73" s="246"/>
      <c r="Z73" s="245">
        <f t="array" ref="Z73">INDEX(Signed,Match(Z72,Signed!$A$1:$A$43,0),3)</f>
        <v>60</v>
      </c>
      <c r="AA73" s="246"/>
      <c r="AB73" s="246"/>
      <c r="AC73" s="58"/>
      <c r="AD73" s="58"/>
    </row>
    <row r="74" ht="15.75" customHeight="1">
      <c r="A74" s="248" t="s">
        <v>40</v>
      </c>
      <c r="B74" s="241">
        <f t="shared" si="9"/>
        <v>34</v>
      </c>
      <c r="C74" s="23">
        <v>34.0</v>
      </c>
      <c r="E74" s="315">
        <f t="shared" si="10"/>
        <v>34</v>
      </c>
      <c r="G74" s="244" t="s">
        <v>201</v>
      </c>
      <c r="H74" s="245" t="str">
        <f t="array" ref="H74">INDEX(Signed,Match(H72,Signed!$A$1:$A$43,0),2)</f>
        <v>C</v>
      </c>
      <c r="I74" s="246"/>
      <c r="J74" s="245" t="str">
        <f t="array" ref="J74">INDEX(Signed,Match(J72,Signed!$A$1:$A$43,0),2)</f>
        <v>E</v>
      </c>
      <c r="K74" s="246"/>
      <c r="L74" s="245" t="str">
        <f t="array" ref="L74">INDEX(Signed,Match(L72,Signed!$A$1:$A$43,0),2)</f>
        <v>E</v>
      </c>
      <c r="M74" s="246"/>
      <c r="N74" s="245" t="str">
        <f t="array" ref="N74">INDEX(Signed,Match(N72,Signed!$A$1:$A$43,0),2)</f>
        <v>D</v>
      </c>
      <c r="O74" s="246"/>
      <c r="P74" s="245" t="str">
        <f t="array" ref="P74">INDEX(Signed,Match(P72,Signed!$A$1:$A$43,0),2)</f>
        <v>D</v>
      </c>
      <c r="Q74" s="246"/>
      <c r="R74" s="245" t="str">
        <f t="array" ref="R74">INDEX(Signed,Match(R72,Signed!$A$1:$A$43,0),2)</f>
        <v>B</v>
      </c>
      <c r="S74" s="246"/>
      <c r="T74" s="245" t="str">
        <f t="array" ref="T74">INDEX(Signed,Match(T72,Signed!$A$1:$A$43,0),2)</f>
        <v>E</v>
      </c>
      <c r="U74" s="246"/>
      <c r="V74" s="245" t="str">
        <f t="array" ref="V74">INDEX(Signed,Match(V72,Signed!$A$1:$A$43,0),2)</f>
        <v>D</v>
      </c>
      <c r="W74" s="246"/>
      <c r="X74" s="245" t="str">
        <f t="array" ref="X74">INDEX(Signed,Match(X72,Signed!$A$1:$A$43,0),2)</f>
        <v>D</v>
      </c>
      <c r="Y74" s="246"/>
      <c r="Z74" s="245" t="str">
        <f t="array" ref="Z74">INDEX(Signed,Match(Z72,Signed!$A$1:$A$43,0),2)</f>
        <v>D</v>
      </c>
      <c r="AA74" s="246"/>
      <c r="AB74" s="246"/>
      <c r="AC74" s="58"/>
      <c r="AD74" s="58"/>
    </row>
    <row r="75" ht="15.75" customHeight="1">
      <c r="A75" s="240" t="s">
        <v>57</v>
      </c>
      <c r="B75" s="241">
        <f t="shared" si="9"/>
        <v>0</v>
      </c>
      <c r="C75" s="23">
        <v>0.0</v>
      </c>
      <c r="E75" s="315">
        <f t="shared" si="10"/>
        <v>0</v>
      </c>
      <c r="G75" s="250" t="s">
        <v>277</v>
      </c>
      <c r="H75" s="251" t="str">
        <f>If(MAX('Round 44'!$C:$C)&gt;=H73,MAX('Round 44'!$C:$C),0)</f>
        <v>#REF!</v>
      </c>
      <c r="I75" s="254"/>
      <c r="J75" s="251" t="str">
        <f>If(MAX('Round 44'!$D:$D)&gt;=J73,MAX('Round 44'!$D:$D),0)</f>
        <v>#REF!</v>
      </c>
      <c r="K75" s="254"/>
      <c r="L75" s="251" t="str">
        <f>If(MAX('Round 44'!$E:$E)&gt;=L73,MAX('Round 44'!$E:$E),0)</f>
        <v>#REF!</v>
      </c>
      <c r="M75" s="254"/>
      <c r="N75" s="251" t="str">
        <f>If(MAX('Round 44'!$F:$F)&gt;=N73,MAX('Round 44'!$F:$F),0)</f>
        <v>#REF!</v>
      </c>
      <c r="O75" s="254"/>
      <c r="P75" s="251" t="str">
        <f>If(MAX('Round 44'!$G:$G)&gt;=P73,MAX('Round 44'!$G:$G),0)</f>
        <v>#REF!</v>
      </c>
      <c r="Q75" s="254"/>
      <c r="R75" s="251" t="str">
        <f>If(MAX('Round 44'!$H:$H)&gt;=R73,MAX('Round 44'!$H:$H),0)</f>
        <v>#REF!</v>
      </c>
      <c r="S75" s="254"/>
      <c r="T75" s="251" t="str">
        <f>If(MAX('Round 44'!$I:$I)&gt;=T73,MAX('Round 44'!$I:$I),0)</f>
        <v>#REF!</v>
      </c>
      <c r="U75" s="254"/>
      <c r="V75" s="251" t="str">
        <f>If(MAX('Round 44'!$J:$J)&gt;=V73,MAX('Round 44'!$J:$J),0)</f>
        <v>#REF!</v>
      </c>
      <c r="W75" s="254"/>
      <c r="X75" s="251" t="str">
        <f>If(MAX('Round 44'!K:K)&gt;=X73,MAX('Round 44'!$K:$K),0)</f>
        <v>#REF!</v>
      </c>
      <c r="Y75" s="254"/>
      <c r="Z75" s="251" t="str">
        <f>If(MAX('Round 44'!$L:$L)&gt;=Z73,MAX('Round 44'!$L:$L),0)</f>
        <v>#REF!</v>
      </c>
      <c r="AA75" s="254"/>
      <c r="AB75" s="254"/>
      <c r="AC75" s="58"/>
      <c r="AD75" s="58"/>
    </row>
    <row r="76" ht="15.75" customHeight="1">
      <c r="A76" s="240" t="s">
        <v>193</v>
      </c>
      <c r="B76" s="241">
        <f t="shared" si="9"/>
        <v>480</v>
      </c>
      <c r="C76" s="23">
        <v>0.0</v>
      </c>
      <c r="E76" s="315">
        <f t="shared" si="10"/>
        <v>480</v>
      </c>
      <c r="G76" s="256" t="s">
        <v>278</v>
      </c>
      <c r="H76" s="257" t="str">
        <f t="shared" ref="H76:U76" si="11">H79</f>
        <v/>
      </c>
      <c r="I76" s="258" t="str">
        <f t="shared" si="11"/>
        <v/>
      </c>
      <c r="J76" s="257" t="str">
        <f t="shared" si="11"/>
        <v/>
      </c>
      <c r="K76" s="258" t="str">
        <f t="shared" si="11"/>
        <v/>
      </c>
      <c r="L76" s="257" t="str">
        <f t="shared" si="11"/>
        <v/>
      </c>
      <c r="M76" s="258" t="str">
        <f t="shared" si="11"/>
        <v/>
      </c>
      <c r="N76" s="257" t="str">
        <f t="shared" si="11"/>
        <v/>
      </c>
      <c r="O76" s="258" t="str">
        <f t="shared" si="11"/>
        <v/>
      </c>
      <c r="P76" s="257" t="str">
        <f t="shared" si="11"/>
        <v/>
      </c>
      <c r="Q76" s="258" t="str">
        <f t="shared" si="11"/>
        <v/>
      </c>
      <c r="R76" s="257" t="str">
        <f t="shared" si="11"/>
        <v/>
      </c>
      <c r="S76" s="258" t="str">
        <f t="shared" si="11"/>
        <v/>
      </c>
      <c r="T76" s="257" t="str">
        <f t="shared" si="11"/>
        <v/>
      </c>
      <c r="U76" s="258" t="str">
        <f t="shared" si="11"/>
        <v/>
      </c>
      <c r="V76" s="257"/>
      <c r="W76" s="258"/>
      <c r="X76" s="258"/>
      <c r="Y76" s="258"/>
      <c r="Z76" s="258"/>
      <c r="AA76" s="258"/>
      <c r="AB76" s="258"/>
      <c r="AC76" s="58"/>
      <c r="AD76" s="58"/>
    </row>
    <row r="77" ht="15.75" customHeight="1">
      <c r="A77" s="248" t="s">
        <v>259</v>
      </c>
      <c r="B77" s="241">
        <f t="shared" si="9"/>
        <v>41</v>
      </c>
      <c r="C77" s="23">
        <v>41.0</v>
      </c>
      <c r="E77" s="315">
        <f t="shared" si="10"/>
        <v>41</v>
      </c>
      <c r="G77" s="261" t="s">
        <v>279</v>
      </c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3"/>
      <c r="V77" s="263"/>
      <c r="W77" s="263"/>
      <c r="X77" s="263"/>
      <c r="Y77" s="263"/>
      <c r="Z77" s="263"/>
      <c r="AA77" s="263"/>
      <c r="AB77" s="263"/>
      <c r="AC77" s="58"/>
      <c r="AD77" s="58"/>
    </row>
    <row r="78" ht="15.75" customHeight="1">
      <c r="A78" s="248" t="s">
        <v>169</v>
      </c>
      <c r="B78" s="241">
        <f t="shared" si="9"/>
        <v>177</v>
      </c>
      <c r="C78" s="23">
        <v>117.0</v>
      </c>
      <c r="E78" s="315">
        <f t="shared" si="10"/>
        <v>177</v>
      </c>
      <c r="G78" s="264" t="s">
        <v>280</v>
      </c>
      <c r="H78" s="265" t="str">
        <f>IFERROR(__xludf.DUMMYFUNCTION("Query('Round 44'!$A:$L,""Select B, MAX(C) WHERE C&gt;=60 group by B order by max(C) desc"")"),"#REF!")</f>
        <v>#REF!</v>
      </c>
      <c r="I78" s="266"/>
      <c r="J78" s="265" t="str">
        <f>IFERROR(__xludf.DUMMYFUNCTION("Query('Round 44'!$A:$L,""Select B, MAX(D) WHERE D&gt;=30 group by B order by max(D) desc"")"),"#REF!")</f>
        <v>#REF!</v>
      </c>
      <c r="K78" s="266"/>
      <c r="L78" s="265" t="str">
        <f>IFERROR(__xludf.DUMMYFUNCTION("Query('Round 44'!$A:$L,""Select B, MAX(E) WHERE E&gt;=30 group by B order by max(E) desc"")"),"#REF!")</f>
        <v>#REF!</v>
      </c>
      <c r="M78" s="266"/>
      <c r="N78" s="265" t="str">
        <f>IFERROR(__xludf.DUMMYFUNCTION("Query('Round 44'!$A:$L,""Select B, MAX(F) WHERE F&gt;=60 group by B order by max(F) desc"")"),"#REF!")</f>
        <v>#REF!</v>
      </c>
      <c r="O78" s="266"/>
      <c r="P78" s="265" t="str">
        <f>IFERROR(__xludf.DUMMYFUNCTION("Query('Round 44'!$A:$L,""Select B, MAX(G) WHERE G&gt;=60 group by B order by max(G) desc"")"),"#REF!")</f>
        <v>#REF!</v>
      </c>
      <c r="Q78" s="266"/>
      <c r="R78" s="265" t="str">
        <f>IFERROR(__xludf.DUMMYFUNCTION("Query('Round 44'!$A:$L,""Select B, MAX(H) WHERE H&gt;=60 group by B order by max(H) desc"")"),"#REF!")</f>
        <v>#REF!</v>
      </c>
      <c r="S78" s="266"/>
      <c r="T78" s="265" t="str">
        <f>IFERROR(__xludf.DUMMYFUNCTION("Query('Round 44'!$A:$L,""Select B, MAX(I) WHERE I&gt;=30 group by B order by max(I) desc"")"),"#REF!")</f>
        <v>#REF!</v>
      </c>
      <c r="U78" s="266"/>
      <c r="V78" s="265" t="str">
        <f>IFERROR(__xludf.DUMMYFUNCTION("Query('Round 44'!$A:$L,""Select B, MAX(J) WHERE J&gt;=60 group by B order by max(J) desc"")"),"#REF!")</f>
        <v>#REF!</v>
      </c>
      <c r="W78" s="267"/>
      <c r="X78" s="265" t="str">
        <f>IFERROR(__xludf.DUMMYFUNCTION("Query('Round 44'!$A:$L,""Select B, MAX(K) WHERE K&gt;=60 group by B order by max(K) desc"")"),"#REF!")</f>
        <v>#REF!</v>
      </c>
      <c r="Y78" s="267"/>
      <c r="Z78" s="265" t="str">
        <f>IFERROR(__xludf.DUMMYFUNCTION("Query('Round 44'!$A:$L,""Select B, MAX(L) WHERE L&gt;=30 group by B order by max(L) desc"")"),"#REF!")</f>
        <v>#REF!</v>
      </c>
      <c r="AA78" s="267"/>
      <c r="AB78" s="266"/>
      <c r="AC78" s="58"/>
      <c r="AD78" s="58"/>
    </row>
    <row r="79" ht="15.75" customHeight="1">
      <c r="A79" s="248" t="s">
        <v>129</v>
      </c>
      <c r="B79" s="241">
        <f t="shared" si="9"/>
        <v>244</v>
      </c>
      <c r="C79" s="23">
        <v>244.0</v>
      </c>
      <c r="E79" s="315">
        <f t="shared" si="10"/>
        <v>244</v>
      </c>
      <c r="G79" s="230"/>
      <c r="H79" s="268"/>
      <c r="I79" s="269"/>
      <c r="J79" s="268"/>
      <c r="K79" s="270"/>
      <c r="L79" s="271"/>
      <c r="M79" s="270"/>
      <c r="N79" s="271"/>
      <c r="O79" s="270"/>
      <c r="P79" s="271"/>
      <c r="Q79" s="270"/>
      <c r="R79" s="271"/>
      <c r="S79" s="270"/>
      <c r="T79" s="271"/>
      <c r="U79" s="270"/>
      <c r="V79" s="271"/>
      <c r="W79" s="270"/>
      <c r="X79" s="18"/>
      <c r="Y79" s="273"/>
      <c r="Z79" s="18"/>
      <c r="AA79" s="317"/>
      <c r="AB79" s="270"/>
      <c r="AC79" s="58"/>
      <c r="AD79" s="58"/>
    </row>
    <row r="80" ht="15.75" customHeight="1">
      <c r="A80" s="248" t="s">
        <v>139</v>
      </c>
      <c r="B80" s="241">
        <f t="shared" si="9"/>
        <v>150</v>
      </c>
      <c r="C80" s="23">
        <v>150.0</v>
      </c>
      <c r="E80" s="315">
        <f t="shared" si="10"/>
        <v>150</v>
      </c>
      <c r="G80" s="89"/>
      <c r="H80" s="276"/>
      <c r="I80" s="269"/>
      <c r="J80" s="276"/>
      <c r="K80" s="270"/>
      <c r="L80" s="277"/>
      <c r="M80" s="270"/>
      <c r="N80" s="277"/>
      <c r="O80" s="270"/>
      <c r="P80" s="277"/>
      <c r="Q80" s="270"/>
      <c r="R80" s="277"/>
      <c r="S80" s="270"/>
      <c r="T80" s="277"/>
      <c r="U80" s="270"/>
      <c r="V80" s="277"/>
      <c r="W80" s="270"/>
      <c r="X80" s="18"/>
      <c r="Y80" s="273"/>
      <c r="Z80" s="18"/>
      <c r="AA80" s="317"/>
      <c r="AB80" s="270"/>
      <c r="AC80" s="58"/>
      <c r="AD80" s="58"/>
    </row>
    <row r="81" ht="15.75" customHeight="1">
      <c r="A81" s="240" t="s">
        <v>155</v>
      </c>
      <c r="B81" s="241">
        <f t="shared" si="9"/>
        <v>0</v>
      </c>
      <c r="C81" s="23">
        <v>0.0</v>
      </c>
      <c r="E81" s="315">
        <f t="shared" si="10"/>
        <v>0</v>
      </c>
      <c r="G81" s="89"/>
      <c r="H81" s="276"/>
      <c r="I81" s="269"/>
      <c r="J81" s="276"/>
      <c r="K81" s="279"/>
      <c r="L81" s="277"/>
      <c r="M81" s="270"/>
      <c r="N81" s="277"/>
      <c r="O81" s="270"/>
      <c r="P81" s="277"/>
      <c r="Q81" s="270"/>
      <c r="R81" s="277"/>
      <c r="S81" s="270"/>
      <c r="T81" s="277"/>
      <c r="U81" s="270"/>
      <c r="V81" s="277"/>
      <c r="W81" s="270"/>
      <c r="X81" s="18"/>
      <c r="Y81" s="273"/>
      <c r="Z81" s="18"/>
      <c r="AA81" s="317"/>
      <c r="AB81" s="270"/>
      <c r="AC81" s="58"/>
      <c r="AD81" s="58"/>
    </row>
    <row r="82" ht="15.75" customHeight="1">
      <c r="A82" s="280" t="s">
        <v>126</v>
      </c>
      <c r="B82" s="241">
        <f t="shared" si="9"/>
        <v>420</v>
      </c>
      <c r="C82" s="23">
        <v>0.0</v>
      </c>
      <c r="E82" s="315">
        <f t="shared" si="10"/>
        <v>420</v>
      </c>
      <c r="G82" s="89"/>
      <c r="H82" s="276"/>
      <c r="I82" s="269"/>
      <c r="J82" s="276"/>
      <c r="K82" s="270"/>
      <c r="L82" s="277"/>
      <c r="M82" s="270"/>
      <c r="N82" s="277"/>
      <c r="O82" s="270"/>
      <c r="P82" s="277"/>
      <c r="Q82" s="270"/>
      <c r="R82" s="277"/>
      <c r="S82" s="270"/>
      <c r="T82" s="277"/>
      <c r="U82" s="270"/>
      <c r="V82" s="277"/>
      <c r="W82" s="270"/>
      <c r="X82" s="18"/>
      <c r="Y82" s="273"/>
      <c r="Z82" s="18"/>
      <c r="AA82" s="317"/>
      <c r="AB82" s="270"/>
      <c r="AC82" s="58"/>
      <c r="AD82" s="58"/>
    </row>
    <row r="83" ht="15.75" customHeight="1">
      <c r="A83" s="58"/>
      <c r="B83" s="58"/>
      <c r="C83" s="58"/>
      <c r="D83" s="58"/>
      <c r="E83" s="58"/>
      <c r="F83" s="58"/>
      <c r="G83" s="89"/>
      <c r="H83" s="276"/>
      <c r="I83" s="269"/>
      <c r="J83" s="276"/>
      <c r="K83" s="270"/>
      <c r="L83" s="277"/>
      <c r="M83" s="270"/>
      <c r="N83" s="277"/>
      <c r="O83" s="270"/>
      <c r="P83" s="277"/>
      <c r="Q83" s="270"/>
      <c r="R83" s="277"/>
      <c r="S83" s="270"/>
      <c r="T83" s="277"/>
      <c r="U83" s="270"/>
      <c r="V83" s="277"/>
      <c r="W83" s="270"/>
      <c r="X83" s="18"/>
      <c r="Y83" s="273"/>
      <c r="Z83" s="18"/>
      <c r="AA83" s="317"/>
      <c r="AB83" s="270"/>
      <c r="AC83" s="58"/>
      <c r="AD83" s="58"/>
    </row>
    <row r="84" ht="15.75" customHeight="1">
      <c r="A84" s="58"/>
      <c r="B84" s="58"/>
      <c r="C84" s="58"/>
      <c r="D84" s="58"/>
      <c r="E84" s="58"/>
      <c r="F84" s="58"/>
      <c r="G84" s="89"/>
      <c r="H84" s="277"/>
      <c r="I84" s="270"/>
      <c r="J84" s="276"/>
      <c r="K84" s="270"/>
      <c r="L84" s="277"/>
      <c r="M84" s="270"/>
      <c r="N84" s="277"/>
      <c r="O84" s="270"/>
      <c r="P84" s="277"/>
      <c r="Q84" s="270"/>
      <c r="R84" s="277"/>
      <c r="S84" s="270"/>
      <c r="T84" s="277"/>
      <c r="U84" s="270"/>
      <c r="V84" s="277"/>
      <c r="W84" s="270"/>
      <c r="X84" s="18"/>
      <c r="Y84" s="273"/>
      <c r="Z84" s="18"/>
      <c r="AA84" s="317"/>
      <c r="AB84" s="270"/>
      <c r="AC84" s="58"/>
      <c r="AD84" s="58"/>
    </row>
    <row r="85" ht="15.75" customHeight="1">
      <c r="A85" s="58"/>
      <c r="B85" s="58"/>
      <c r="C85" s="58"/>
      <c r="D85" s="58"/>
      <c r="E85" s="58"/>
      <c r="F85" s="58"/>
      <c r="G85" s="287"/>
      <c r="H85" s="288"/>
      <c r="I85" s="270"/>
      <c r="J85" s="276"/>
      <c r="K85" s="269"/>
      <c r="L85" s="276"/>
      <c r="M85" s="270"/>
      <c r="N85" s="277"/>
      <c r="O85" s="270"/>
      <c r="P85" s="277"/>
      <c r="Q85" s="270"/>
      <c r="R85" s="277"/>
      <c r="S85" s="270"/>
      <c r="T85" s="277"/>
      <c r="U85" s="270"/>
      <c r="V85" s="277"/>
      <c r="W85" s="270"/>
      <c r="X85" s="18"/>
      <c r="Y85" s="273"/>
      <c r="Z85" s="18"/>
      <c r="AA85" s="317"/>
      <c r="AB85" s="270"/>
      <c r="AC85" s="58"/>
      <c r="AD85" s="58"/>
    </row>
    <row r="86" ht="15.75" customHeight="1">
      <c r="A86" s="58"/>
      <c r="B86" s="58"/>
      <c r="C86" s="58"/>
      <c r="D86" s="58"/>
      <c r="E86" s="58"/>
      <c r="F86" s="58"/>
      <c r="G86" s="89"/>
      <c r="H86" s="277"/>
      <c r="I86" s="270"/>
      <c r="J86" s="276"/>
      <c r="K86" s="270"/>
      <c r="L86" s="277"/>
      <c r="M86" s="270"/>
      <c r="N86" s="277"/>
      <c r="O86" s="270"/>
      <c r="P86" s="277"/>
      <c r="Q86" s="270"/>
      <c r="R86" s="277"/>
      <c r="S86" s="270"/>
      <c r="T86" s="277"/>
      <c r="U86" s="270"/>
      <c r="V86" s="277"/>
      <c r="W86" s="270"/>
      <c r="X86" s="18"/>
      <c r="Y86" s="273"/>
      <c r="Z86" s="18"/>
      <c r="AA86" s="317"/>
      <c r="AB86" s="270"/>
      <c r="AC86" s="58"/>
      <c r="AD86" s="58"/>
    </row>
    <row r="87" ht="15.75" customHeight="1">
      <c r="A87" s="58"/>
      <c r="B87" s="58"/>
      <c r="C87" s="58"/>
      <c r="D87" s="58"/>
      <c r="E87" s="58"/>
      <c r="F87" s="58"/>
      <c r="G87" s="89"/>
      <c r="H87" s="277"/>
      <c r="I87" s="270"/>
      <c r="J87" s="276"/>
      <c r="K87" s="270"/>
      <c r="L87" s="277"/>
      <c r="M87" s="270"/>
      <c r="N87" s="277"/>
      <c r="O87" s="270"/>
      <c r="P87" s="277"/>
      <c r="Q87" s="270"/>
      <c r="R87" s="277"/>
      <c r="S87" s="270"/>
      <c r="T87" s="277"/>
      <c r="U87" s="270"/>
      <c r="V87" s="277"/>
      <c r="W87" s="270"/>
      <c r="X87" s="18"/>
      <c r="Y87" s="273"/>
      <c r="Z87" s="18"/>
      <c r="AA87" s="317"/>
      <c r="AB87" s="270"/>
      <c r="AC87" s="58"/>
      <c r="AD87" s="58"/>
    </row>
    <row r="88" ht="15.75" customHeight="1">
      <c r="A88" s="58"/>
      <c r="B88" s="58"/>
      <c r="C88" s="58"/>
      <c r="D88" s="58"/>
      <c r="E88" s="58"/>
      <c r="F88" s="58"/>
      <c r="G88" s="89"/>
      <c r="H88" s="277"/>
      <c r="I88" s="270"/>
      <c r="J88" s="277"/>
      <c r="K88" s="270"/>
      <c r="L88" s="277"/>
      <c r="M88" s="270"/>
      <c r="N88" s="277"/>
      <c r="O88" s="270"/>
      <c r="P88" s="277"/>
      <c r="Q88" s="270"/>
      <c r="R88" s="277"/>
      <c r="S88" s="270"/>
      <c r="T88" s="288"/>
      <c r="U88" s="279"/>
      <c r="V88" s="277"/>
      <c r="W88" s="270"/>
      <c r="X88" s="18"/>
      <c r="Y88" s="273"/>
      <c r="Z88" s="18"/>
      <c r="AA88" s="317"/>
      <c r="AB88" s="270"/>
      <c r="AC88" s="58"/>
      <c r="AD88" s="58"/>
    </row>
    <row r="89" ht="15.75" customHeight="1">
      <c r="A89" s="58"/>
      <c r="B89" s="58"/>
      <c r="C89" s="58"/>
      <c r="D89" s="58"/>
      <c r="E89" s="58"/>
      <c r="F89" s="58"/>
      <c r="G89" s="89"/>
      <c r="H89" s="277"/>
      <c r="I89" s="270"/>
      <c r="J89" s="277"/>
      <c r="K89" s="270"/>
      <c r="L89" s="277"/>
      <c r="M89" s="270"/>
      <c r="N89" s="277"/>
      <c r="O89" s="270"/>
      <c r="P89" s="277"/>
      <c r="Q89" s="270"/>
      <c r="R89" s="277"/>
      <c r="S89" s="270"/>
      <c r="T89" s="277"/>
      <c r="U89" s="270"/>
      <c r="V89" s="277"/>
      <c r="W89" s="270"/>
      <c r="X89" s="18"/>
      <c r="Y89" s="273"/>
      <c r="Z89" s="18"/>
      <c r="AA89" s="317"/>
      <c r="AB89" s="270"/>
      <c r="AC89" s="58"/>
      <c r="AD89" s="58"/>
    </row>
    <row r="90" ht="15.75" customHeight="1">
      <c r="A90" s="58"/>
      <c r="B90" s="58"/>
      <c r="C90" s="58"/>
      <c r="D90" s="58"/>
      <c r="E90" s="58"/>
      <c r="F90" s="58"/>
      <c r="G90" s="89"/>
      <c r="H90" s="277"/>
      <c r="I90" s="270"/>
      <c r="J90" s="277"/>
      <c r="K90" s="270"/>
      <c r="L90" s="277"/>
      <c r="M90" s="270"/>
      <c r="N90" s="277"/>
      <c r="O90" s="270"/>
      <c r="P90" s="277"/>
      <c r="Q90" s="270"/>
      <c r="R90" s="277"/>
      <c r="S90" s="270"/>
      <c r="T90" s="277"/>
      <c r="U90" s="270"/>
      <c r="V90" s="277"/>
      <c r="W90" s="270"/>
      <c r="X90" s="18"/>
      <c r="Y90" s="273"/>
      <c r="Z90" s="18"/>
      <c r="AA90" s="317"/>
      <c r="AB90" s="270"/>
      <c r="AC90" s="58"/>
      <c r="AD90" s="58"/>
    </row>
    <row r="91" ht="15.75" customHeight="1">
      <c r="A91" s="58"/>
      <c r="B91" s="58"/>
      <c r="C91" s="58"/>
      <c r="D91" s="58"/>
      <c r="E91" s="58"/>
      <c r="F91" s="58"/>
      <c r="G91" s="89"/>
      <c r="H91" s="322"/>
      <c r="I91" s="270"/>
      <c r="J91" s="277"/>
      <c r="K91" s="270"/>
      <c r="L91" s="277"/>
      <c r="M91" s="270"/>
      <c r="N91" s="277"/>
      <c r="O91" s="270"/>
      <c r="P91" s="277"/>
      <c r="Q91" s="270"/>
      <c r="R91" s="277"/>
      <c r="S91" s="270"/>
      <c r="T91" s="277"/>
      <c r="U91" s="270"/>
      <c r="V91" s="277"/>
      <c r="W91" s="270"/>
      <c r="X91" s="18"/>
      <c r="Y91" s="273"/>
      <c r="Z91" s="18"/>
      <c r="AA91" s="317"/>
      <c r="AB91" s="270"/>
      <c r="AC91" s="58"/>
      <c r="AD91" s="58"/>
    </row>
    <row r="92" ht="15.75" customHeight="1">
      <c r="A92" s="318"/>
      <c r="B92" s="319"/>
      <c r="C92" s="319"/>
      <c r="D92" s="319"/>
      <c r="E92" s="319"/>
      <c r="F92" s="319"/>
      <c r="G92" s="225" t="s">
        <v>292</v>
      </c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312"/>
      <c r="AC92" s="58"/>
      <c r="AD92" s="58"/>
    </row>
    <row r="93" ht="15.75" customHeight="1">
      <c r="A93" s="320"/>
      <c r="B93" s="321"/>
      <c r="C93" s="321"/>
      <c r="D93" s="321"/>
      <c r="E93" s="321"/>
      <c r="F93" s="321"/>
      <c r="G93" s="230"/>
      <c r="AB93" s="313"/>
      <c r="AC93" s="58"/>
      <c r="AD93" s="58"/>
    </row>
    <row r="94" ht="15.75" customHeight="1">
      <c r="A94" s="320"/>
      <c r="B94" s="321"/>
      <c r="C94" s="321"/>
      <c r="D94" s="321"/>
      <c r="E94" s="321"/>
      <c r="F94" s="321"/>
      <c r="G94" s="230"/>
      <c r="AB94" s="313"/>
      <c r="AC94" s="58"/>
      <c r="AD94" s="58"/>
    </row>
    <row r="95" ht="15.75" customHeight="1">
      <c r="A95" s="232" t="s">
        <v>270</v>
      </c>
      <c r="B95" s="233" t="s">
        <v>271</v>
      </c>
      <c r="C95" s="233" t="s">
        <v>272</v>
      </c>
      <c r="E95" s="235" t="s">
        <v>289</v>
      </c>
      <c r="F95" s="58"/>
      <c r="G95" s="236" t="s">
        <v>275</v>
      </c>
      <c r="H95" s="323"/>
      <c r="I95" s="314"/>
      <c r="J95" s="323"/>
      <c r="K95" s="314"/>
      <c r="L95" s="323"/>
      <c r="M95" s="314"/>
      <c r="N95" s="323"/>
      <c r="P95" s="323"/>
      <c r="R95" s="323"/>
      <c r="T95" s="323"/>
      <c r="V95" s="323"/>
      <c r="W95" s="324"/>
      <c r="X95" s="324"/>
      <c r="Y95" s="324"/>
      <c r="Z95" s="324"/>
      <c r="AA95" s="324"/>
      <c r="AC95" s="58"/>
      <c r="AD95" s="58"/>
    </row>
    <row r="96" ht="15.75" customHeight="1">
      <c r="A96" s="248" t="s">
        <v>37</v>
      </c>
      <c r="F96" s="58"/>
      <c r="G96" s="244" t="s">
        <v>274</v>
      </c>
      <c r="H96" s="245">
        <v>60.0</v>
      </c>
      <c r="I96" s="246"/>
      <c r="J96" s="245">
        <v>60.0</v>
      </c>
      <c r="K96" s="246"/>
      <c r="L96" s="245">
        <v>60.0</v>
      </c>
      <c r="M96" s="246"/>
      <c r="N96" s="245">
        <v>60.0</v>
      </c>
      <c r="P96" s="245">
        <v>30.0</v>
      </c>
      <c r="R96" s="245">
        <v>60.0</v>
      </c>
      <c r="T96" s="245">
        <v>60.0</v>
      </c>
      <c r="V96" s="245">
        <v>60.0</v>
      </c>
      <c r="W96" s="246"/>
      <c r="X96" s="246"/>
      <c r="Y96" s="246"/>
      <c r="Z96" s="246"/>
      <c r="AA96" s="246"/>
      <c r="AC96" s="58"/>
      <c r="AD96" s="58"/>
    </row>
    <row r="97" ht="15.75" customHeight="1">
      <c r="A97" s="248" t="s">
        <v>40</v>
      </c>
      <c r="F97" s="58"/>
      <c r="G97" s="244" t="s">
        <v>201</v>
      </c>
      <c r="H97" s="245" t="s">
        <v>23</v>
      </c>
      <c r="I97" s="246"/>
      <c r="J97" s="245" t="s">
        <v>23</v>
      </c>
      <c r="K97" s="246"/>
      <c r="L97" s="245" t="s">
        <v>23</v>
      </c>
      <c r="M97" s="246"/>
      <c r="N97" s="245" t="s">
        <v>23</v>
      </c>
      <c r="P97" s="245" t="s">
        <v>25</v>
      </c>
      <c r="R97" s="245" t="s">
        <v>23</v>
      </c>
      <c r="T97" s="245" t="s">
        <v>23</v>
      </c>
      <c r="V97" s="245" t="s">
        <v>23</v>
      </c>
      <c r="W97" s="246"/>
      <c r="X97" s="246"/>
      <c r="Y97" s="246"/>
      <c r="Z97" s="246"/>
      <c r="AA97" s="246"/>
      <c r="AC97" s="58"/>
      <c r="AD97" s="58"/>
    </row>
    <row r="98" ht="15.75" customHeight="1">
      <c r="A98" s="248" t="s">
        <v>57</v>
      </c>
      <c r="F98" s="58"/>
      <c r="G98" s="250" t="s">
        <v>277</v>
      </c>
      <c r="H98" s="251" t="str">
        <f>If(MAX('Round 55'!C:C)&gt;=H96,MAX('Round 55'!C:C),0)</f>
        <v>#REF!</v>
      </c>
      <c r="I98" s="254"/>
      <c r="J98" s="251" t="str">
        <f>If(MAX('Round 55'!D:D)&gt;=J96,MAX('Round 55'!D:D),0)</f>
        <v>#REF!</v>
      </c>
      <c r="K98" s="254"/>
      <c r="L98" s="251" t="str">
        <f>If(MAX('Round 55'!E:E)&gt;=L96,MAX('Round 55'!E:E),0)</f>
        <v>#REF!</v>
      </c>
      <c r="M98" s="254"/>
      <c r="N98" s="251" t="str">
        <f>If(MAX('Round 55'!F:F)&gt;=N96,MAX('Round 55'!F:F),0)</f>
        <v>#REF!</v>
      </c>
      <c r="O98" s="254"/>
      <c r="P98" s="251" t="str">
        <f>If(MAX('Round 55'!G:G)&gt;=P96,MAX('Round 55'!G:G),0)</f>
        <v>#REF!</v>
      </c>
      <c r="Q98" s="254"/>
      <c r="R98" s="251" t="str">
        <f>If(MAX('Round 55'!H:H)&gt;=R96,MAX('Round 55'!H:H),0)</f>
        <v>#REF!</v>
      </c>
      <c r="S98" s="254"/>
      <c r="T98" s="251" t="str">
        <f>If(MAX('Round 55'!I:I)&gt;=R96,MAX('Round 55'!I:I),0)</f>
        <v>#REF!</v>
      </c>
      <c r="U98" s="254"/>
      <c r="V98" s="251"/>
      <c r="W98" s="325"/>
      <c r="X98" s="325"/>
      <c r="Y98" s="325"/>
      <c r="Z98" s="325"/>
      <c r="AA98" s="325"/>
      <c r="AC98" s="58"/>
      <c r="AD98" s="58"/>
    </row>
    <row r="99" ht="15.75" customHeight="1">
      <c r="A99" s="248" t="s">
        <v>193</v>
      </c>
      <c r="F99" s="58"/>
      <c r="G99" s="256" t="s">
        <v>278</v>
      </c>
      <c r="H99" s="257" t="str">
        <f t="shared" ref="H99:U99" si="12">H102</f>
        <v/>
      </c>
      <c r="I99" s="258" t="str">
        <f t="shared" si="12"/>
        <v/>
      </c>
      <c r="J99" s="257" t="str">
        <f t="shared" si="12"/>
        <v/>
      </c>
      <c r="K99" s="258" t="str">
        <f t="shared" si="12"/>
        <v/>
      </c>
      <c r="L99" s="257" t="str">
        <f t="shared" si="12"/>
        <v/>
      </c>
      <c r="M99" s="258" t="str">
        <f t="shared" si="12"/>
        <v/>
      </c>
      <c r="N99" s="257" t="str">
        <f t="shared" si="12"/>
        <v/>
      </c>
      <c r="O99" s="258" t="str">
        <f t="shared" si="12"/>
        <v/>
      </c>
      <c r="P99" s="257" t="str">
        <f t="shared" si="12"/>
        <v/>
      </c>
      <c r="Q99" s="258" t="str">
        <f t="shared" si="12"/>
        <v/>
      </c>
      <c r="R99" s="257" t="str">
        <f t="shared" si="12"/>
        <v/>
      </c>
      <c r="S99" s="258" t="str">
        <f t="shared" si="12"/>
        <v/>
      </c>
      <c r="T99" s="257" t="str">
        <f t="shared" si="12"/>
        <v/>
      </c>
      <c r="U99" s="258" t="str">
        <f t="shared" si="12"/>
        <v/>
      </c>
      <c r="V99" s="257"/>
      <c r="W99" s="326"/>
      <c r="X99" s="326"/>
      <c r="Y99" s="326"/>
      <c r="Z99" s="326"/>
      <c r="AA99" s="326"/>
      <c r="AC99" s="58"/>
      <c r="AD99" s="58"/>
    </row>
    <row r="100" ht="15.75" customHeight="1">
      <c r="A100" s="248" t="s">
        <v>259</v>
      </c>
      <c r="F100" s="58"/>
      <c r="G100" s="261" t="s">
        <v>279</v>
      </c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3"/>
      <c r="V100" s="263"/>
      <c r="W100" s="327"/>
      <c r="X100" s="327"/>
      <c r="Y100" s="327"/>
      <c r="Z100" s="327"/>
      <c r="AA100" s="327"/>
      <c r="AC100" s="58"/>
      <c r="AD100" s="58"/>
    </row>
    <row r="101" ht="15.75" customHeight="1">
      <c r="A101" s="248" t="s">
        <v>169</v>
      </c>
      <c r="F101" s="58"/>
      <c r="G101" s="264" t="s">
        <v>280</v>
      </c>
      <c r="H101" s="265" t="str">
        <f>IFERROR(__xludf.DUMMYFUNCTION("Query('Round 55'!$B:$J,""Select B, MAX(C) WHERE C&gt;=198 group by B order by max(C) desc"")"),"#REF!")</f>
        <v>#REF!</v>
      </c>
      <c r="I101" s="266"/>
      <c r="J101" s="265" t="str">
        <f>IFERROR(__xludf.DUMMYFUNCTION("Query('Round 55'!$B:$J,""Select B, MAX(D) WHERE D&gt;=150 group by B order by max(D) desc"")"),"#REF!")</f>
        <v>#REF!</v>
      </c>
      <c r="K101" s="266"/>
      <c r="L101" s="265" t="str">
        <f>IFERROR(__xludf.DUMMYFUNCTION("Query('Round 55'!$B:$J,""Select B, MAX(E) WHERE E&gt;=60 group by B order by max(E) desc"")"),"#REF!")</f>
        <v>#REF!</v>
      </c>
      <c r="M101" s="266"/>
      <c r="N101" s="265" t="str">
        <f>IFERROR(__xludf.DUMMYFUNCTION("Query('Round 55'!$B:$J,""Select B, MAX(F) WHERE F&gt;=150 group by B order by max(F) desc"")"),"#REF!")</f>
        <v>#REF!</v>
      </c>
      <c r="O101" s="266"/>
      <c r="P101" s="265" t="str">
        <f>IFERROR(__xludf.DUMMYFUNCTION("Query('Round 55'!$B:$J,""Select B, MAX(G) WHERE G&gt;=30 group by B order by max(G) desc"")"),"#REF!")</f>
        <v>#REF!</v>
      </c>
      <c r="Q101" s="266"/>
      <c r="R101" s="328" t="str">
        <f>IFERROR(__xludf.DUMMYFUNCTION("Query('Round 55'!$B:$J,""Select B, MAX(H) WHERE H&gt;=60 group by B order by max(H) desc"")"),"#REF!")</f>
        <v>#REF!</v>
      </c>
      <c r="S101" s="266"/>
      <c r="T101" s="328" t="str">
        <f>IFERROR(__xludf.DUMMYFUNCTION("Query('Round 55'!$B:$J,""Select B, MAX(I) WHERE I&gt;=30 group by B order by max(I) desc"")"),"#REF!")</f>
        <v>#REF!</v>
      </c>
      <c r="U101" s="266"/>
      <c r="V101" s="328" t="str">
        <f>IFERROR(__xludf.DUMMYFUNCTION("Query('Round 55'!$B:$I,""Select B, MAX(J) WHERE J&gt;=198 group by B order by max(J) desc"")"),"#REF!")</f>
        <v>#REF!</v>
      </c>
      <c r="W101" s="267"/>
      <c r="X101" s="267"/>
      <c r="Y101" s="267"/>
      <c r="Z101" s="267"/>
      <c r="AA101" s="267"/>
      <c r="AC101" s="58"/>
      <c r="AD101" s="58"/>
    </row>
    <row r="102" ht="15.75" customHeight="1">
      <c r="A102" s="248" t="s">
        <v>129</v>
      </c>
      <c r="F102" s="58"/>
      <c r="G102" s="230"/>
      <c r="H102" s="268"/>
      <c r="I102" s="269"/>
      <c r="J102" s="268"/>
      <c r="K102" s="270"/>
      <c r="L102" s="271"/>
      <c r="M102" s="270"/>
      <c r="N102" s="271"/>
      <c r="O102" s="270"/>
      <c r="P102" s="271"/>
      <c r="Q102" s="270"/>
      <c r="R102" s="271"/>
      <c r="S102" s="270"/>
      <c r="T102" s="271"/>
      <c r="U102" s="270"/>
      <c r="V102" s="271"/>
      <c r="W102" s="18"/>
      <c r="X102" s="18"/>
      <c r="Y102" s="18"/>
      <c r="Z102" s="18"/>
      <c r="AA102" s="18"/>
      <c r="AC102" s="58"/>
      <c r="AD102" s="58"/>
    </row>
    <row r="103" ht="15.75" customHeight="1">
      <c r="A103" s="248" t="s">
        <v>139</v>
      </c>
      <c r="F103" s="58"/>
      <c r="G103" s="89"/>
      <c r="H103" s="276"/>
      <c r="I103" s="269"/>
      <c r="J103" s="276"/>
      <c r="K103" s="270"/>
      <c r="L103" s="277"/>
      <c r="M103" s="270"/>
      <c r="N103" s="277"/>
      <c r="O103" s="270"/>
      <c r="P103" s="277"/>
      <c r="Q103" s="270"/>
      <c r="R103" s="277"/>
      <c r="S103" s="270"/>
      <c r="T103" s="277"/>
      <c r="U103" s="270"/>
      <c r="V103" s="277"/>
      <c r="W103" s="18"/>
      <c r="X103" s="18"/>
      <c r="Y103" s="18"/>
      <c r="Z103" s="18"/>
      <c r="AA103" s="18"/>
      <c r="AC103" s="58"/>
      <c r="AD103" s="58"/>
    </row>
    <row r="104" ht="15.75" customHeight="1">
      <c r="A104" s="248" t="s">
        <v>155</v>
      </c>
      <c r="F104" s="58"/>
      <c r="G104" s="89"/>
      <c r="H104" s="276"/>
      <c r="I104" s="269"/>
      <c r="J104" s="276"/>
      <c r="K104" s="329"/>
      <c r="L104" s="277"/>
      <c r="M104" s="270"/>
      <c r="N104" s="277"/>
      <c r="O104" s="270"/>
      <c r="P104" s="277"/>
      <c r="Q104" s="270"/>
      <c r="R104" s="277"/>
      <c r="S104" s="270"/>
      <c r="T104" s="277"/>
      <c r="U104" s="270"/>
      <c r="V104" s="277"/>
      <c r="W104" s="18"/>
      <c r="X104" s="18"/>
      <c r="Y104" s="18"/>
      <c r="Z104" s="18"/>
      <c r="AA104" s="18"/>
      <c r="AC104" s="58"/>
      <c r="AD104" s="58"/>
    </row>
    <row r="105" ht="15.75" customHeight="1">
      <c r="A105" s="280" t="s">
        <v>126</v>
      </c>
      <c r="F105" s="58"/>
      <c r="G105" s="89"/>
      <c r="H105" s="276"/>
      <c r="I105" s="269"/>
      <c r="J105" s="276"/>
      <c r="K105" s="270"/>
      <c r="L105" s="277"/>
      <c r="M105" s="270"/>
      <c r="N105" s="277"/>
      <c r="O105" s="270"/>
      <c r="P105" s="277"/>
      <c r="Q105" s="270"/>
      <c r="R105" s="277"/>
      <c r="S105" s="270"/>
      <c r="T105" s="277"/>
      <c r="U105" s="270"/>
      <c r="V105" s="277"/>
      <c r="W105" s="18"/>
      <c r="X105" s="18"/>
      <c r="Y105" s="18"/>
      <c r="Z105" s="18"/>
      <c r="AA105" s="18"/>
      <c r="AC105" s="58"/>
      <c r="AD105" s="58"/>
    </row>
    <row r="106" ht="15.75" customHeight="1">
      <c r="A106" s="58"/>
      <c r="B106" s="58"/>
      <c r="C106" s="58"/>
      <c r="D106" s="58"/>
      <c r="E106" s="58"/>
      <c r="F106" s="58"/>
      <c r="G106" s="89"/>
      <c r="H106" s="276"/>
      <c r="I106" s="269"/>
      <c r="J106" s="276"/>
      <c r="K106" s="270"/>
      <c r="L106" s="277"/>
      <c r="M106" s="270"/>
      <c r="N106" s="277"/>
      <c r="O106" s="270"/>
      <c r="P106" s="277"/>
      <c r="Q106" s="270"/>
      <c r="R106" s="277"/>
      <c r="S106" s="270"/>
      <c r="T106" s="277"/>
      <c r="U106" s="270"/>
      <c r="V106" s="277"/>
      <c r="W106" s="18"/>
      <c r="X106" s="18"/>
      <c r="Y106" s="18"/>
      <c r="Z106" s="18"/>
      <c r="AA106" s="18"/>
      <c r="AC106" s="58"/>
      <c r="AD106" s="58"/>
    </row>
    <row r="107" ht="15.75" customHeight="1">
      <c r="A107" s="58"/>
      <c r="B107" s="58"/>
      <c r="C107" s="58"/>
      <c r="D107" s="58"/>
      <c r="E107" s="58"/>
      <c r="F107" s="58"/>
      <c r="G107" s="89"/>
      <c r="H107" s="277"/>
      <c r="I107" s="270"/>
      <c r="J107" s="276"/>
      <c r="K107" s="270"/>
      <c r="L107" s="277"/>
      <c r="M107" s="270"/>
      <c r="N107" s="277"/>
      <c r="O107" s="270"/>
      <c r="P107" s="277"/>
      <c r="Q107" s="270"/>
      <c r="R107" s="277"/>
      <c r="S107" s="270"/>
      <c r="T107" s="277"/>
      <c r="U107" s="270"/>
      <c r="V107" s="277"/>
      <c r="W107" s="18"/>
      <c r="X107" s="18"/>
      <c r="Y107" s="18"/>
      <c r="Z107" s="18"/>
      <c r="AA107" s="18"/>
      <c r="AC107" s="58"/>
      <c r="AD107" s="58"/>
    </row>
    <row r="108" ht="15.75" customHeight="1">
      <c r="A108" s="58"/>
      <c r="B108" s="58"/>
      <c r="C108" s="58"/>
      <c r="D108" s="58"/>
      <c r="E108" s="58"/>
      <c r="F108" s="58"/>
      <c r="G108" s="287"/>
      <c r="H108" s="288"/>
      <c r="I108" s="270"/>
      <c r="J108" s="276"/>
      <c r="K108" s="269"/>
      <c r="L108" s="276"/>
      <c r="M108" s="270"/>
      <c r="N108" s="277"/>
      <c r="O108" s="270"/>
      <c r="P108" s="277"/>
      <c r="Q108" s="270"/>
      <c r="R108" s="277"/>
      <c r="S108" s="270"/>
      <c r="T108" s="277"/>
      <c r="U108" s="270"/>
      <c r="V108" s="277"/>
      <c r="W108" s="18"/>
      <c r="X108" s="18"/>
      <c r="Y108" s="18"/>
      <c r="Z108" s="18"/>
      <c r="AA108" s="18"/>
      <c r="AC108" s="58"/>
      <c r="AD108" s="58"/>
    </row>
    <row r="109" ht="15.75" customHeight="1">
      <c r="A109" s="58"/>
      <c r="B109" s="58"/>
      <c r="C109" s="58"/>
      <c r="D109" s="58"/>
      <c r="E109" s="58"/>
      <c r="F109" s="58"/>
      <c r="G109" s="89"/>
      <c r="H109" s="277"/>
      <c r="I109" s="270"/>
      <c r="J109" s="276"/>
      <c r="K109" s="270"/>
      <c r="L109" s="277"/>
      <c r="M109" s="270"/>
      <c r="N109" s="277"/>
      <c r="O109" s="270"/>
      <c r="P109" s="277"/>
      <c r="Q109" s="270"/>
      <c r="R109" s="277"/>
      <c r="S109" s="270"/>
      <c r="T109" s="277"/>
      <c r="U109" s="270"/>
      <c r="V109" s="277"/>
      <c r="W109" s="18"/>
      <c r="X109" s="18"/>
      <c r="Y109" s="18"/>
      <c r="Z109" s="18"/>
      <c r="AA109" s="18"/>
      <c r="AC109" s="58"/>
      <c r="AD109" s="58"/>
    </row>
    <row r="110" ht="15.75" customHeight="1">
      <c r="A110" s="58"/>
      <c r="B110" s="58"/>
      <c r="C110" s="58"/>
      <c r="D110" s="58"/>
      <c r="E110" s="58"/>
      <c r="F110" s="58"/>
      <c r="G110" s="89"/>
      <c r="H110" s="277"/>
      <c r="I110" s="270"/>
      <c r="J110" s="276"/>
      <c r="K110" s="270"/>
      <c r="L110" s="277"/>
      <c r="M110" s="270"/>
      <c r="N110" s="277"/>
      <c r="O110" s="270"/>
      <c r="P110" s="277"/>
      <c r="Q110" s="270"/>
      <c r="R110" s="277"/>
      <c r="S110" s="270"/>
      <c r="T110" s="277"/>
      <c r="U110" s="270"/>
      <c r="V110" s="277"/>
      <c r="W110" s="18"/>
      <c r="X110" s="18"/>
      <c r="Y110" s="18"/>
      <c r="Z110" s="18"/>
      <c r="AA110" s="18"/>
      <c r="AC110" s="58"/>
      <c r="AD110" s="58"/>
    </row>
    <row r="111" ht="15.75" customHeight="1">
      <c r="A111" s="58"/>
      <c r="B111" s="58"/>
      <c r="C111" s="58"/>
      <c r="D111" s="58"/>
      <c r="E111" s="58"/>
      <c r="F111" s="58"/>
      <c r="G111" s="89"/>
      <c r="H111" s="277"/>
      <c r="I111" s="270"/>
      <c r="J111" s="277"/>
      <c r="K111" s="270"/>
      <c r="L111" s="277"/>
      <c r="M111" s="270"/>
      <c r="N111" s="277"/>
      <c r="O111" s="270"/>
      <c r="P111" s="277"/>
      <c r="Q111" s="270"/>
      <c r="R111" s="277"/>
      <c r="S111" s="270"/>
      <c r="T111" s="288"/>
      <c r="U111" s="279"/>
      <c r="V111" s="277"/>
      <c r="W111" s="18"/>
      <c r="X111" s="18"/>
      <c r="Y111" s="18"/>
      <c r="Z111" s="18"/>
      <c r="AA111" s="18"/>
      <c r="AC111" s="58"/>
      <c r="AD111" s="58"/>
    </row>
    <row r="112" ht="15.75" customHeight="1">
      <c r="A112" s="58"/>
      <c r="B112" s="58"/>
      <c r="C112" s="58"/>
      <c r="D112" s="58"/>
      <c r="E112" s="58"/>
      <c r="F112" s="58"/>
      <c r="G112" s="89"/>
      <c r="H112" s="277"/>
      <c r="I112" s="270"/>
      <c r="J112" s="277"/>
      <c r="K112" s="270"/>
      <c r="L112" s="277"/>
      <c r="M112" s="270"/>
      <c r="N112" s="277"/>
      <c r="O112" s="270"/>
      <c r="P112" s="277"/>
      <c r="Q112" s="270"/>
      <c r="R112" s="277"/>
      <c r="S112" s="270"/>
      <c r="T112" s="277"/>
      <c r="U112" s="270"/>
      <c r="V112" s="277"/>
      <c r="W112" s="18"/>
      <c r="X112" s="18"/>
      <c r="Y112" s="18"/>
      <c r="Z112" s="18"/>
      <c r="AA112" s="18"/>
      <c r="AC112" s="58"/>
      <c r="AD112" s="58"/>
    </row>
    <row r="113" ht="15.75" customHeight="1">
      <c r="AC113" s="58"/>
      <c r="AD113" s="58"/>
    </row>
    <row r="114" ht="15.75" customHeight="1">
      <c r="AC114" s="58"/>
      <c r="AD114" s="58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G1:AA3"/>
    <mergeCell ref="G9:T9"/>
    <mergeCell ref="G10:G11"/>
    <mergeCell ref="D16:E16"/>
    <mergeCell ref="D17:E19"/>
    <mergeCell ref="D21:E23"/>
    <mergeCell ref="H22:AA22"/>
    <mergeCell ref="G69:AA71"/>
    <mergeCell ref="G77:T77"/>
    <mergeCell ref="G78:G79"/>
    <mergeCell ref="G92:AA94"/>
    <mergeCell ref="G100:T100"/>
    <mergeCell ref="G101:G102"/>
    <mergeCell ref="H25:AA25"/>
    <mergeCell ref="H26:AA28"/>
    <mergeCell ref="G34:AB34"/>
    <mergeCell ref="G35:G36"/>
    <mergeCell ref="G48:AA50"/>
    <mergeCell ref="G56:AB56"/>
    <mergeCell ref="G57:G58"/>
  </mergeCells>
  <conditionalFormatting sqref="B5:C21 B29:B47 B51:B68 B72:B91 B95:B99 B103 D5:D23 E16:E23">
    <cfRule type="cellIs" dxfId="12" priority="1" operator="lessThan">
      <formula>0</formula>
    </cfRule>
  </conditionalFormatting>
  <hyperlinks>
    <hyperlink r:id="rId1" ref="A2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hidden="1" min="2" max="2" width="7.88"/>
    <col customWidth="1" min="3" max="3" width="9.25"/>
    <col customWidth="1" min="4" max="4" width="7.13"/>
    <col customWidth="1" min="5" max="5" width="7.88"/>
    <col customWidth="1" min="6" max="6" width="5.38"/>
    <col customWidth="1" min="7" max="7" width="1.63"/>
    <col customWidth="1" min="8" max="8" width="13.88"/>
    <col customWidth="1" min="9" max="9" width="15.88"/>
    <col customWidth="1" min="10" max="10" width="1.5"/>
    <col customWidth="1" min="11" max="11" width="17.38"/>
    <col customWidth="1" min="12" max="12" width="1.38"/>
    <col customWidth="1" min="13" max="13" width="16.5"/>
    <col customWidth="1" min="14" max="14" width="1.38"/>
    <col customWidth="1" min="15" max="15" width="17.38"/>
    <col customWidth="1" min="16" max="16" width="1.38"/>
    <col customWidth="1" min="17" max="17" width="16.13"/>
    <col customWidth="1" min="18" max="18" width="1.38"/>
    <col customWidth="1" min="19" max="19" width="16.75"/>
    <col customWidth="1" min="20" max="20" width="1.38"/>
    <col customWidth="1" min="21" max="21" width="13.5"/>
    <col customWidth="1" min="22" max="22" width="1.38"/>
    <col customWidth="1" min="23" max="23" width="13.38"/>
    <col customWidth="1" min="24" max="24" width="1.38"/>
    <col customWidth="1" min="25" max="25" width="13.75"/>
    <col customWidth="1" min="26" max="26" width="1.38"/>
    <col customWidth="1" min="27" max="27" width="13.38"/>
    <col customWidth="1" hidden="1" min="28" max="28" width="4.13"/>
    <col customWidth="1" hidden="1" min="29" max="29" width="6.0"/>
    <col customWidth="1" min="30" max="30" width="13.88"/>
    <col customWidth="1" min="31" max="31" width="17.0"/>
    <col customWidth="1" min="32" max="32" width="13.63"/>
    <col customWidth="1" min="33" max="33" width="14.75"/>
  </cols>
  <sheetData>
    <row r="1" ht="15.75" customHeight="1">
      <c r="A1" s="223"/>
      <c r="B1" s="224"/>
      <c r="C1" s="224"/>
      <c r="D1" s="224"/>
      <c r="E1" s="224"/>
      <c r="F1" s="224"/>
      <c r="G1" s="224"/>
      <c r="H1" s="225" t="s">
        <v>269</v>
      </c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58"/>
      <c r="AD1" s="58"/>
      <c r="AE1" s="58"/>
      <c r="AF1" s="58"/>
      <c r="AG1" s="58"/>
    </row>
    <row r="2" ht="15.75" customHeight="1">
      <c r="A2" s="228"/>
      <c r="B2" s="229"/>
      <c r="C2" s="229"/>
      <c r="D2" s="229"/>
      <c r="E2" s="229"/>
      <c r="F2" s="229"/>
      <c r="G2" s="229"/>
      <c r="H2" s="230"/>
      <c r="AC2" s="58"/>
      <c r="AD2" s="58"/>
      <c r="AE2" s="58"/>
      <c r="AF2" s="58"/>
      <c r="AG2" s="58"/>
    </row>
    <row r="3" ht="15.75" customHeight="1">
      <c r="A3" s="228"/>
      <c r="B3" s="229"/>
      <c r="C3" s="330"/>
      <c r="D3" s="229"/>
      <c r="E3" s="229"/>
      <c r="F3" s="229"/>
      <c r="G3" s="229"/>
      <c r="H3" s="230"/>
      <c r="AC3" s="58"/>
      <c r="AD3" s="58"/>
      <c r="AE3" s="58"/>
      <c r="AF3" s="58"/>
      <c r="AG3" s="58"/>
    </row>
    <row r="4" ht="47.25" customHeight="1">
      <c r="A4" s="232" t="s">
        <v>270</v>
      </c>
      <c r="B4" s="331" t="s">
        <v>293</v>
      </c>
      <c r="C4" s="332" t="s">
        <v>271</v>
      </c>
      <c r="D4" s="233" t="s">
        <v>272</v>
      </c>
      <c r="E4" s="234" t="s">
        <v>273</v>
      </c>
      <c r="F4" s="235" t="s">
        <v>274</v>
      </c>
      <c r="G4" s="58"/>
      <c r="H4" s="236" t="s">
        <v>275</v>
      </c>
      <c r="I4" s="179" t="s">
        <v>31</v>
      </c>
      <c r="J4" s="333"/>
      <c r="K4" s="179" t="s">
        <v>38</v>
      </c>
      <c r="L4" s="334"/>
      <c r="M4" s="179" t="s">
        <v>226</v>
      </c>
      <c r="N4" s="334"/>
      <c r="O4" s="179" t="s">
        <v>79</v>
      </c>
      <c r="P4" s="334"/>
      <c r="Q4" s="179" t="s">
        <v>47</v>
      </c>
      <c r="R4" s="334"/>
      <c r="S4" s="195" t="s">
        <v>108</v>
      </c>
      <c r="T4" s="334"/>
      <c r="U4" s="179" t="s">
        <v>165</v>
      </c>
      <c r="V4" s="334"/>
      <c r="W4" s="237" t="s">
        <v>96</v>
      </c>
      <c r="X4" s="334"/>
      <c r="Y4" s="237" t="s">
        <v>59</v>
      </c>
      <c r="Z4" s="334"/>
      <c r="AA4" s="237"/>
      <c r="AB4" s="334"/>
      <c r="AC4" s="58"/>
      <c r="AD4" s="232" t="s">
        <v>270</v>
      </c>
      <c r="AE4" s="232" t="s">
        <v>173</v>
      </c>
      <c r="AF4" s="232" t="s">
        <v>190</v>
      </c>
      <c r="AG4" s="239" t="s">
        <v>276</v>
      </c>
    </row>
    <row r="5" ht="15.75" customHeight="1">
      <c r="A5" s="335" t="s">
        <v>37</v>
      </c>
      <c r="B5" s="336">
        <f t="shared" ref="B5:B14" si="1">(600-F5)-IFERROR(VLOOKUP(A5,I$11:J$21,2,False),"")-IFERROR(VLOOKUP(A5,K$11:L$21,2,False),"")-IFERROR(VLOOKUP(A5,M$11:N$21,2,False),"")-IFERROR(VLOOKUP(A5,O$11:P$21,2,False),"")-IFERROR(VLOOKUP(A5,Q$11:R$21,2,False),"")-IFERROR(VLOOKUP(A5,S$11:T$21,2,False),"")-IFERROR(VLOOKUP(A5,U$11:V$21,2,False),"")-IFERROR(VLOOKUP(A5,W$11:X$21,2,False),"")-IFERROR(VLOOKUP(A5,Y$11:Z$21,2,False),"")-IFERROR(VLOOKUP(A5,AA$11:AB$21,2,False),"")</f>
        <v>570</v>
      </c>
      <c r="C5" s="337">
        <f t="shared" ref="C5:C14" si="2">(600-F5)</f>
        <v>570</v>
      </c>
      <c r="D5" s="23">
        <v>570.0</v>
      </c>
      <c r="E5" s="242">
        <v>30.0</v>
      </c>
      <c r="F5" s="243">
        <f>IFERROR(VLOOKUP(A5,'Bid Values'!A:F,3,0),)</f>
        <v>30</v>
      </c>
      <c r="G5" s="58"/>
      <c r="H5" s="244" t="s">
        <v>274</v>
      </c>
      <c r="I5" s="245">
        <f t="array" ref="I5">INDEX(Signed,Match(I4,Signed!$A$1:$A$43,0),3)</f>
        <v>198</v>
      </c>
      <c r="J5" s="247"/>
      <c r="K5" s="245">
        <f t="array" ref="K5">INDEX(Signed,Match(K4,Signed!$A$1:$A$43,0),3)</f>
        <v>150</v>
      </c>
      <c r="L5" s="338"/>
      <c r="M5" s="245">
        <f t="array" ref="M5">INDEX(Signed,Match(M4,Signed!$A$1:$A$43,0),3)</f>
        <v>60</v>
      </c>
      <c r="N5" s="338"/>
      <c r="O5" s="245">
        <f t="array" ref="O5">INDEX(Signed,Match(O4,Signed!$A$1:$A$43,0),3)</f>
        <v>60</v>
      </c>
      <c r="P5" s="338"/>
      <c r="Q5" s="245">
        <f t="array" ref="Q5">INDEX(Signed,Match(Q4,Signed!$A$1:$A$43,0),3)</f>
        <v>60</v>
      </c>
      <c r="R5" s="338"/>
      <c r="S5" s="245">
        <f t="array" ref="S5">INDEX(Signed,Match(S4,Signed!$A$1:$A$43,0),3)</f>
        <v>60</v>
      </c>
      <c r="T5" s="338"/>
      <c r="U5" s="245">
        <f t="array" ref="U5">INDEX(Signed,Match(U4,Signed!$A$1:$A$43,0),3)</f>
        <v>60</v>
      </c>
      <c r="V5" s="338"/>
      <c r="W5" s="245">
        <f t="array" ref="W5">INDEX(Signed,Match(W4,Signed!$A$1:$A$43,0),3)</f>
        <v>30</v>
      </c>
      <c r="X5" s="338"/>
      <c r="Y5" s="245">
        <f t="array" ref="Y5">INDEX(Signed,Match(Y4,Signed!$A$1:$A$43,0),3)</f>
        <v>30</v>
      </c>
      <c r="Z5" s="338"/>
      <c r="AA5" s="245" t="str">
        <f t="array" ref="AA5">INDEX(Signed,Match(AA4,Signed!$A$1:$A$43,0),3)</f>
        <v>#N/A</v>
      </c>
      <c r="AB5" s="338"/>
      <c r="AC5" s="58"/>
      <c r="AD5" s="248" t="s">
        <v>37</v>
      </c>
      <c r="AE5" s="179" t="s">
        <v>69</v>
      </c>
      <c r="AF5" s="179" t="s">
        <v>134</v>
      </c>
      <c r="AG5" s="237" t="s">
        <v>96</v>
      </c>
    </row>
    <row r="6" ht="15.75" customHeight="1">
      <c r="A6" s="335" t="s">
        <v>40</v>
      </c>
      <c r="B6" s="336">
        <f t="shared" si="1"/>
        <v>540</v>
      </c>
      <c r="C6" s="337">
        <f t="shared" si="2"/>
        <v>540</v>
      </c>
      <c r="D6" s="23">
        <v>540.0</v>
      </c>
      <c r="E6" s="242">
        <v>30.0</v>
      </c>
      <c r="F6" s="243">
        <f>IFERROR(VLOOKUP(A6,'Bid Values'!A:F,3,0),)</f>
        <v>60</v>
      </c>
      <c r="G6" s="58"/>
      <c r="H6" s="244" t="s">
        <v>201</v>
      </c>
      <c r="I6" s="245" t="str">
        <f t="array" ref="I6">INDEX(Signed,Match(I4,Signed!$A$1:$A$43,0),2)</f>
        <v>A</v>
      </c>
      <c r="J6" s="247"/>
      <c r="K6" s="245" t="str">
        <f t="array" ref="K6">INDEX(Signed,Match(K4,Signed!$A$1:$A$43,0),2)</f>
        <v>B</v>
      </c>
      <c r="L6" s="338"/>
      <c r="M6" s="245" t="str">
        <f t="array" ref="M6">INDEX(Signed,Match(M4,Signed!$A$1:$A$43,0),2)</f>
        <v>C</v>
      </c>
      <c r="N6" s="338"/>
      <c r="O6" s="245" t="str">
        <f t="array" ref="O6">INDEX(Signed,Match(O4,Signed!$A$1:$A$43,0),2)</f>
        <v>C</v>
      </c>
      <c r="P6" s="338"/>
      <c r="Q6" s="245" t="str">
        <f t="array" ref="Q6">INDEX(Signed,Match(Q4,Signed!$A$1:$A$43,0),2)</f>
        <v>D</v>
      </c>
      <c r="R6" s="338"/>
      <c r="S6" s="245" t="str">
        <f t="array" ref="S6">INDEX(Signed,Match(S4,Signed!$A$1:$A$43,0),2)</f>
        <v>D</v>
      </c>
      <c r="T6" s="338"/>
      <c r="U6" s="245" t="str">
        <f t="array" ref="U6">INDEX(Signed,Match(U4,Signed!$A$1:$A$43,0),2)</f>
        <v>D</v>
      </c>
      <c r="V6" s="338"/>
      <c r="W6" s="245" t="str">
        <f t="array" ref="W6">INDEX(Signed,Match(W4,Signed!$A$1:$A$43,0),2)</f>
        <v>E</v>
      </c>
      <c r="X6" s="338"/>
      <c r="Y6" s="245" t="str">
        <f t="array" ref="Y6">INDEX(Signed,Match(Y4,Signed!$A$1:$A$43,0),2)</f>
        <v>E</v>
      </c>
      <c r="Z6" s="338"/>
      <c r="AA6" s="245" t="str">
        <f t="array" ref="AA6">INDEX(Signed,Match(AA4,Signed!$A$1:$A$43,0),2)</f>
        <v>#N/A</v>
      </c>
      <c r="AB6" s="338"/>
      <c r="AC6" s="58"/>
      <c r="AD6" s="248" t="s">
        <v>40</v>
      </c>
      <c r="AE6" s="179" t="s">
        <v>43</v>
      </c>
      <c r="AF6" s="179" t="s">
        <v>115</v>
      </c>
      <c r="AG6" s="179" t="s">
        <v>172</v>
      </c>
    </row>
    <row r="7" ht="15.75" customHeight="1">
      <c r="A7" s="335" t="s">
        <v>57</v>
      </c>
      <c r="B7" s="336">
        <f t="shared" si="1"/>
        <v>540</v>
      </c>
      <c r="C7" s="337">
        <f t="shared" si="2"/>
        <v>540</v>
      </c>
      <c r="D7" s="23">
        <v>480.0</v>
      </c>
      <c r="E7" s="242">
        <v>30.0</v>
      </c>
      <c r="F7" s="243">
        <f>IFERROR(VLOOKUP(A7,'Bid Values'!A:F,3,0),)</f>
        <v>60</v>
      </c>
      <c r="G7" s="58"/>
      <c r="H7" s="250" t="s">
        <v>277</v>
      </c>
      <c r="I7" s="251" t="str">
        <f>If(MAX(Round1!$C:$C)&gt;=I5,MAX(Round1!$C:$C),0)</f>
        <v>#REF!</v>
      </c>
      <c r="J7" s="339"/>
      <c r="K7" s="251" t="str">
        <f>If(MAX(Round1!$D:$D)&gt;=K5,MAX(Round1!$D:$D),0)</f>
        <v>#REF!</v>
      </c>
      <c r="L7" s="340"/>
      <c r="M7" s="251" t="str">
        <f>If(MAX(Round1!$E:$E)&gt;=M5,MAX(Round1!$E:$E),0)</f>
        <v>#REF!</v>
      </c>
      <c r="N7" s="340"/>
      <c r="O7" s="251" t="str">
        <f>If(MAX(Round1!$F:$F)&gt;=O5,MAX(Round1!$F:$F),0)</f>
        <v>#REF!</v>
      </c>
      <c r="P7" s="340"/>
      <c r="Q7" s="251" t="str">
        <f>If(MAX(Round1!$G:$G)&gt;=Q5,MAX(Round1!$G:$G),0)</f>
        <v>#REF!</v>
      </c>
      <c r="R7" s="340"/>
      <c r="S7" s="251" t="str">
        <f>If(MAX(Round1!$H:$H)&gt;=S5,MAX(Round1!$H:$H),0)</f>
        <v>#REF!</v>
      </c>
      <c r="T7" s="341"/>
      <c r="U7" s="251" t="str">
        <f>If(MAX(Round1!$I:$I)&gt;=U5,MAX(Round1!$I:$I),0)</f>
        <v>#REF!</v>
      </c>
      <c r="V7" s="341"/>
      <c r="W7" s="251" t="str">
        <f>If(MAX(Round1!$J:$J)&gt;=W5,MAX(Round1!$J:$J),0)</f>
        <v>#REF!</v>
      </c>
      <c r="X7" s="342"/>
      <c r="Y7" s="251" t="str">
        <f>If(MAX(Round1!$K:$K)&gt;=Y5,MAX(Round1!$K:$K),0)</f>
        <v>#REF!</v>
      </c>
      <c r="Z7" s="342"/>
      <c r="AA7" s="251" t="str">
        <f>If(MAX(Round1!$L:$L)&gt;=AA5,MAX(Round1!$L:$L),0)</f>
        <v>#REF!</v>
      </c>
      <c r="AB7" s="342"/>
      <c r="AC7" s="58"/>
      <c r="AD7" s="248" t="s">
        <v>57</v>
      </c>
      <c r="AE7" s="179" t="s">
        <v>226</v>
      </c>
      <c r="AF7" s="195" t="s">
        <v>108</v>
      </c>
      <c r="AG7" s="237" t="s">
        <v>29</v>
      </c>
    </row>
    <row r="8" ht="21.0" customHeight="1">
      <c r="A8" s="335" t="s">
        <v>193</v>
      </c>
      <c r="B8" s="336">
        <f t="shared" si="1"/>
        <v>540</v>
      </c>
      <c r="C8" s="337">
        <f t="shared" si="2"/>
        <v>540</v>
      </c>
      <c r="D8" s="23">
        <v>540.0</v>
      </c>
      <c r="E8" s="242">
        <v>30.0</v>
      </c>
      <c r="F8" s="243">
        <f>IFERROR(VLOOKUP(A8,'Bid Values'!A:F,3,0),)</f>
        <v>60</v>
      </c>
      <c r="G8" s="58"/>
      <c r="H8" s="256" t="s">
        <v>278</v>
      </c>
      <c r="I8" s="257" t="str">
        <f t="shared" ref="I8:W8" si="3">I11</f>
        <v/>
      </c>
      <c r="J8" s="259" t="str">
        <f t="shared" si="3"/>
        <v/>
      </c>
      <c r="K8" s="257" t="str">
        <f t="shared" si="3"/>
        <v/>
      </c>
      <c r="L8" s="343" t="str">
        <f t="shared" si="3"/>
        <v/>
      </c>
      <c r="M8" s="257" t="str">
        <f t="shared" si="3"/>
        <v/>
      </c>
      <c r="N8" s="343" t="str">
        <f t="shared" si="3"/>
        <v/>
      </c>
      <c r="O8" s="257" t="str">
        <f t="shared" si="3"/>
        <v/>
      </c>
      <c r="P8" s="343" t="str">
        <f t="shared" si="3"/>
        <v/>
      </c>
      <c r="Q8" s="257" t="str">
        <f t="shared" si="3"/>
        <v/>
      </c>
      <c r="R8" s="343" t="str">
        <f t="shared" si="3"/>
        <v/>
      </c>
      <c r="S8" s="257" t="str">
        <f t="shared" si="3"/>
        <v/>
      </c>
      <c r="T8" s="343" t="str">
        <f t="shared" si="3"/>
        <v/>
      </c>
      <c r="U8" s="257" t="str">
        <f t="shared" si="3"/>
        <v/>
      </c>
      <c r="V8" s="343" t="str">
        <f t="shared" si="3"/>
        <v/>
      </c>
      <c r="W8" s="257" t="str">
        <f t="shared" si="3"/>
        <v/>
      </c>
      <c r="X8" s="343"/>
      <c r="Y8" s="257" t="str">
        <f>Y11</f>
        <v/>
      </c>
      <c r="Z8" s="343"/>
      <c r="AA8" s="257" t="str">
        <f>AA11</f>
        <v/>
      </c>
      <c r="AB8" s="343"/>
      <c r="AC8" s="260"/>
      <c r="AD8" s="248" t="s">
        <v>193</v>
      </c>
      <c r="AE8" s="179" t="s">
        <v>217</v>
      </c>
      <c r="AF8" s="179" t="s">
        <v>109</v>
      </c>
      <c r="AG8" s="179" t="s">
        <v>111</v>
      </c>
    </row>
    <row r="9" ht="15.75" customHeight="1">
      <c r="A9" s="335" t="s">
        <v>259</v>
      </c>
      <c r="B9" s="336">
        <f t="shared" si="1"/>
        <v>402</v>
      </c>
      <c r="C9" s="337">
        <f t="shared" si="2"/>
        <v>402</v>
      </c>
      <c r="D9" s="23">
        <v>402.0</v>
      </c>
      <c r="E9" s="242">
        <v>30.0</v>
      </c>
      <c r="F9" s="243">
        <v>198.0</v>
      </c>
      <c r="G9" s="58"/>
      <c r="H9" s="261" t="s">
        <v>279</v>
      </c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344"/>
      <c r="AC9" s="58"/>
      <c r="AD9" s="248" t="s">
        <v>259</v>
      </c>
      <c r="AE9" s="179" t="s">
        <v>113</v>
      </c>
      <c r="AF9" s="179" t="s">
        <v>161</v>
      </c>
      <c r="AG9" s="237" t="s">
        <v>59</v>
      </c>
    </row>
    <row r="10" ht="15.75" customHeight="1">
      <c r="A10" s="335" t="s">
        <v>169</v>
      </c>
      <c r="B10" s="336">
        <f t="shared" si="1"/>
        <v>402</v>
      </c>
      <c r="C10" s="337">
        <f t="shared" si="2"/>
        <v>402</v>
      </c>
      <c r="D10" s="23">
        <v>112.0</v>
      </c>
      <c r="E10" s="242">
        <v>30.0</v>
      </c>
      <c r="F10" s="243">
        <f>IFERROR(VLOOKUP(A10,'Bid Values'!A:F,3,0),)</f>
        <v>198</v>
      </c>
      <c r="G10" s="58"/>
      <c r="H10" s="264" t="s">
        <v>280</v>
      </c>
      <c r="I10" s="265" t="str">
        <f>IFERROR(__xludf.DUMMYFUNCTION("Query(Round1!$A:$L,""Select B, MAX(C) WHERE C&gt;=198 group by B order by max(C) desc"")"),"#REF!")</f>
        <v>#REF!</v>
      </c>
      <c r="J10" s="289"/>
      <c r="K10" s="265" t="str">
        <f>IFERROR(__xludf.DUMMYFUNCTION("Query(Round1!$A:$L,""Select B, MAX(D) WHERE D&gt;=150 group by B order by max(D) desc"")"),"#REF!")</f>
        <v>#REF!</v>
      </c>
      <c r="L10" s="266"/>
      <c r="M10" s="265" t="str">
        <f>IFERROR(__xludf.DUMMYFUNCTION("Query(Round1!$A:$L,""Select B, MAX(E) WHERE E&gt;=60 group by B order by max(E) desc"")"),"#REF!")</f>
        <v>#REF!</v>
      </c>
      <c r="N10" s="266"/>
      <c r="O10" s="265" t="str">
        <f>IFERROR(__xludf.DUMMYFUNCTION("Query(Round1!$A:$L,""Select B, MAX(F) WHERE F&gt;=60 group by B order by max(F) desc"")"),"#REF!")</f>
        <v>#REF!</v>
      </c>
      <c r="P10" s="266"/>
      <c r="Q10" s="265" t="str">
        <f>IFERROR(__xludf.DUMMYFUNCTION("Query(Round1!$A:$L,""Select B, MAX(G) WHERE G&gt;=60 group by B order by max(G) desc"")"),"#REF!")</f>
        <v>#REF!</v>
      </c>
      <c r="R10" s="266"/>
      <c r="S10" s="265" t="str">
        <f>IFERROR(__xludf.DUMMYFUNCTION("Query(Round1!$A:$L,""Select B, MAX(H) WHERE H&gt;=60 group by B order by max(H) desc"")"),"#REF!")</f>
        <v>#REF!</v>
      </c>
      <c r="T10" s="266"/>
      <c r="U10" s="265" t="str">
        <f>IFERROR(__xludf.DUMMYFUNCTION("Query(Round1!$A:$L,""Select B, MAX(I) WHERE I&gt;=60 group by B order by max(I) desc"")"),"#REF!")</f>
        <v>#REF!</v>
      </c>
      <c r="V10" s="266"/>
      <c r="W10" s="265" t="str">
        <f>IFERROR(__xludf.DUMMYFUNCTION("Query(Round1!$A:$L,""Select B, MAX(J) WHERE J&gt;=30 group by B order by max(J) desc"")"),"#REF!")</f>
        <v>#REF!</v>
      </c>
      <c r="X10" s="267"/>
      <c r="Y10" s="265" t="str">
        <f>IFERROR(__xludf.DUMMYFUNCTION("Query(Round1!$A:$L,""Select B, MAX(K) WHERE K&gt;=30 group by B order by max(K) desc"")"),"#REF!")</f>
        <v>#REF!</v>
      </c>
      <c r="Z10" s="267"/>
      <c r="AA10" s="265" t="str">
        <f>IFERROR(__xludf.DUMMYFUNCTION("Query(Round1!$A:$L,""Select B, MAX(L) WHERE L&gt;=60 group by B order by max(L) desc"")"),"#REF!")</f>
        <v>#REF!</v>
      </c>
      <c r="AB10" s="267"/>
      <c r="AC10" s="58"/>
      <c r="AD10" s="248" t="s">
        <v>169</v>
      </c>
      <c r="AE10" s="179" t="s">
        <v>31</v>
      </c>
      <c r="AF10" s="179" t="s">
        <v>79</v>
      </c>
      <c r="AG10" s="237" t="s">
        <v>125</v>
      </c>
    </row>
    <row r="11" ht="15.75" customHeight="1">
      <c r="A11" s="335" t="s">
        <v>129</v>
      </c>
      <c r="B11" s="336">
        <f t="shared" si="1"/>
        <v>450</v>
      </c>
      <c r="C11" s="337">
        <f t="shared" si="2"/>
        <v>450</v>
      </c>
      <c r="D11" s="23">
        <v>390.0</v>
      </c>
      <c r="E11" s="242">
        <v>30.0</v>
      </c>
      <c r="F11" s="243">
        <f>IFERROR(VLOOKUP(A11,'Bid Values'!A:F,3,0),)</f>
        <v>150</v>
      </c>
      <c r="G11" s="58"/>
      <c r="H11" s="230"/>
      <c r="I11" s="268"/>
      <c r="J11" s="345"/>
      <c r="K11" s="268"/>
      <c r="L11" s="346"/>
      <c r="M11" s="271"/>
      <c r="N11" s="346"/>
      <c r="O11" s="271"/>
      <c r="P11" s="346"/>
      <c r="Q11" s="271"/>
      <c r="R11" s="346"/>
      <c r="S11" s="272"/>
      <c r="T11" s="346"/>
      <c r="U11" s="272"/>
      <c r="V11" s="346"/>
      <c r="W11" s="272"/>
      <c r="X11" s="346"/>
      <c r="Y11" s="44"/>
      <c r="Z11" s="346"/>
      <c r="AA11" s="44"/>
      <c r="AB11" s="346"/>
      <c r="AC11" s="58"/>
      <c r="AD11" s="248" t="s">
        <v>129</v>
      </c>
      <c r="AE11" s="179" t="s">
        <v>47</v>
      </c>
      <c r="AF11" s="195" t="s">
        <v>42</v>
      </c>
      <c r="AG11" s="195" t="s">
        <v>121</v>
      </c>
    </row>
    <row r="12" ht="15.75" customHeight="1">
      <c r="A12" s="335" t="s">
        <v>139</v>
      </c>
      <c r="B12" s="336">
        <f t="shared" si="1"/>
        <v>450</v>
      </c>
      <c r="C12" s="337">
        <f t="shared" si="2"/>
        <v>450</v>
      </c>
      <c r="D12" s="23">
        <v>450.0</v>
      </c>
      <c r="E12" s="275">
        <v>30.0</v>
      </c>
      <c r="F12" s="243">
        <f>IFERROR(VLOOKUP(A12,'Bid Values'!A:F,3,0),)</f>
        <v>150</v>
      </c>
      <c r="G12" s="58"/>
      <c r="H12" s="89"/>
      <c r="I12" s="276"/>
      <c r="J12" s="345"/>
      <c r="K12" s="276"/>
      <c r="L12" s="346"/>
      <c r="M12" s="277"/>
      <c r="N12" s="346"/>
      <c r="O12" s="277"/>
      <c r="P12" s="346"/>
      <c r="Q12" s="277"/>
      <c r="R12" s="346"/>
      <c r="S12" s="278"/>
      <c r="T12" s="346"/>
      <c r="U12" s="278"/>
      <c r="V12" s="346"/>
      <c r="W12" s="278"/>
      <c r="X12" s="346"/>
      <c r="Y12" s="44"/>
      <c r="Z12" s="346"/>
      <c r="AA12" s="44"/>
      <c r="AB12" s="346"/>
      <c r="AC12" s="58"/>
      <c r="AD12" s="248" t="s">
        <v>139</v>
      </c>
      <c r="AE12" s="179" t="s">
        <v>27</v>
      </c>
      <c r="AF12" s="179" t="s">
        <v>100</v>
      </c>
      <c r="AG12" s="237" t="s">
        <v>141</v>
      </c>
    </row>
    <row r="13" ht="15.75" customHeight="1">
      <c r="A13" s="335" t="s">
        <v>155</v>
      </c>
      <c r="B13" s="336">
        <f t="shared" si="1"/>
        <v>540</v>
      </c>
      <c r="C13" s="337">
        <f t="shared" si="2"/>
        <v>540</v>
      </c>
      <c r="D13" s="23">
        <v>540.0</v>
      </c>
      <c r="E13" s="275">
        <v>30.0</v>
      </c>
      <c r="F13" s="243">
        <f>IFERROR(VLOOKUP(A13,'Bid Values'!A:F,3,0),)</f>
        <v>60</v>
      </c>
      <c r="G13" s="58"/>
      <c r="H13" s="89"/>
      <c r="I13" s="276"/>
      <c r="J13" s="345"/>
      <c r="K13" s="276"/>
      <c r="L13" s="347"/>
      <c r="M13" s="277"/>
      <c r="N13" s="346"/>
      <c r="O13" s="277"/>
      <c r="P13" s="346"/>
      <c r="Q13" s="277"/>
      <c r="R13" s="346"/>
      <c r="S13" s="278"/>
      <c r="T13" s="346"/>
      <c r="U13" s="278"/>
      <c r="V13" s="346"/>
      <c r="W13" s="278"/>
      <c r="X13" s="346"/>
      <c r="Y13" s="44"/>
      <c r="Z13" s="346"/>
      <c r="AA13" s="44"/>
      <c r="AB13" s="346"/>
      <c r="AC13" s="58"/>
      <c r="AD13" s="248" t="s">
        <v>155</v>
      </c>
      <c r="AE13" s="179" t="s">
        <v>34</v>
      </c>
      <c r="AF13" s="195" t="s">
        <v>114</v>
      </c>
      <c r="AG13" s="195" t="s">
        <v>197</v>
      </c>
    </row>
    <row r="14" ht="15.75" customHeight="1">
      <c r="A14" s="335" t="s">
        <v>42</v>
      </c>
      <c r="B14" s="336">
        <f t="shared" si="1"/>
        <v>450</v>
      </c>
      <c r="C14" s="337">
        <f t="shared" si="2"/>
        <v>450</v>
      </c>
      <c r="D14" s="23">
        <v>420.0</v>
      </c>
      <c r="E14" s="275">
        <v>30.0</v>
      </c>
      <c r="F14" s="243">
        <f>IFERROR(VLOOKUP(A14,'Bid Values'!A:F,3,0),)</f>
        <v>150</v>
      </c>
      <c r="G14" s="58"/>
      <c r="H14" s="89"/>
      <c r="I14" s="276"/>
      <c r="J14" s="345"/>
      <c r="K14" s="276"/>
      <c r="L14" s="346"/>
      <c r="M14" s="277"/>
      <c r="N14" s="346"/>
      <c r="O14" s="277"/>
      <c r="P14" s="346"/>
      <c r="Q14" s="277"/>
      <c r="R14" s="346"/>
      <c r="S14" s="278"/>
      <c r="T14" s="346"/>
      <c r="U14" s="278"/>
      <c r="V14" s="346"/>
      <c r="W14" s="278"/>
      <c r="X14" s="346"/>
      <c r="Y14" s="44"/>
      <c r="Z14" s="346"/>
      <c r="AA14" s="44"/>
      <c r="AB14" s="346"/>
      <c r="AC14" s="58"/>
      <c r="AD14" s="280" t="s">
        <v>91</v>
      </c>
      <c r="AE14" s="179" t="s">
        <v>38</v>
      </c>
      <c r="AF14" s="179" t="s">
        <v>157</v>
      </c>
      <c r="AG14" s="195" t="s">
        <v>104</v>
      </c>
    </row>
    <row r="15" ht="15.75" customHeight="1">
      <c r="A15" s="281"/>
      <c r="B15" s="241"/>
      <c r="C15" s="348"/>
      <c r="E15" s="275">
        <v>30.0</v>
      </c>
      <c r="F15" s="243" t="str">
        <f>IFERROR(VLOOKUP(A15,'Bid Values'!A:F,3,0),)</f>
        <v/>
      </c>
      <c r="G15" s="58"/>
      <c r="H15" s="89"/>
      <c r="I15" s="276"/>
      <c r="J15" s="345"/>
      <c r="K15" s="276"/>
      <c r="L15" s="346"/>
      <c r="M15" s="277"/>
      <c r="N15" s="346"/>
      <c r="O15" s="277"/>
      <c r="P15" s="346"/>
      <c r="Q15" s="277"/>
      <c r="R15" s="346"/>
      <c r="S15" s="278"/>
      <c r="T15" s="346"/>
      <c r="U15" s="278"/>
      <c r="V15" s="346"/>
      <c r="W15" s="278"/>
      <c r="X15" s="346"/>
      <c r="Y15" s="44"/>
      <c r="Z15" s="346"/>
      <c r="AA15" s="44"/>
      <c r="AB15" s="346"/>
      <c r="AC15" s="58"/>
      <c r="AD15" s="58"/>
      <c r="AE15" s="58"/>
      <c r="AF15" s="58"/>
      <c r="AG15" s="58"/>
    </row>
    <row r="16" ht="15.75" customHeight="1">
      <c r="A16" s="282"/>
      <c r="E16" s="283" t="s">
        <v>281</v>
      </c>
      <c r="F16" s="284"/>
      <c r="G16" s="58"/>
      <c r="H16" s="89"/>
      <c r="I16" s="277"/>
      <c r="J16" s="90"/>
      <c r="K16" s="276"/>
      <c r="L16" s="346"/>
      <c r="M16" s="277"/>
      <c r="N16" s="346"/>
      <c r="O16" s="277"/>
      <c r="P16" s="346"/>
      <c r="Q16" s="277"/>
      <c r="R16" s="346"/>
      <c r="S16" s="278"/>
      <c r="T16" s="346"/>
      <c r="U16" s="278"/>
      <c r="V16" s="346"/>
      <c r="W16" s="278"/>
      <c r="X16" s="346"/>
      <c r="Y16" s="44"/>
      <c r="Z16" s="346"/>
      <c r="AA16" s="44"/>
      <c r="AB16" s="346"/>
      <c r="AC16" s="58"/>
      <c r="AD16" s="58"/>
      <c r="AE16" s="58"/>
      <c r="AF16" s="58"/>
      <c r="AG16" s="58"/>
    </row>
    <row r="17" ht="15.75" customHeight="1">
      <c r="E17" s="285" t="s">
        <v>282</v>
      </c>
      <c r="F17" s="286"/>
      <c r="G17" s="58"/>
      <c r="H17" s="287"/>
      <c r="I17" s="288"/>
      <c r="J17" s="90"/>
      <c r="K17" s="276"/>
      <c r="L17" s="349"/>
      <c r="M17" s="276"/>
      <c r="N17" s="346"/>
      <c r="O17" s="277"/>
      <c r="P17" s="346"/>
      <c r="Q17" s="277"/>
      <c r="R17" s="346"/>
      <c r="S17" s="278"/>
      <c r="T17" s="346"/>
      <c r="U17" s="278"/>
      <c r="V17" s="346"/>
      <c r="W17" s="278"/>
      <c r="X17" s="346"/>
      <c r="Y17" s="44"/>
      <c r="Z17" s="346"/>
      <c r="AA17" s="44"/>
      <c r="AB17" s="346"/>
      <c r="AC17" s="58"/>
      <c r="AD17" s="58"/>
      <c r="AE17" s="58"/>
      <c r="AF17" s="58"/>
      <c r="AG17" s="58"/>
    </row>
    <row r="18" ht="15.75" customHeight="1">
      <c r="E18" s="230"/>
      <c r="F18" s="286"/>
      <c r="G18" s="58"/>
      <c r="H18" s="89"/>
      <c r="I18" s="277"/>
      <c r="J18" s="90"/>
      <c r="K18" s="276"/>
      <c r="L18" s="346"/>
      <c r="M18" s="277"/>
      <c r="N18" s="346"/>
      <c r="O18" s="277"/>
      <c r="P18" s="346"/>
      <c r="Q18" s="277"/>
      <c r="R18" s="346"/>
      <c r="S18" s="278"/>
      <c r="T18" s="346"/>
      <c r="U18" s="278"/>
      <c r="V18" s="346"/>
      <c r="W18" s="278"/>
      <c r="X18" s="346"/>
      <c r="Y18" s="44"/>
      <c r="Z18" s="346"/>
      <c r="AA18" s="44"/>
      <c r="AB18" s="346"/>
      <c r="AC18" s="289"/>
      <c r="AD18" s="289"/>
      <c r="AE18" s="289"/>
      <c r="AF18" s="289"/>
      <c r="AG18" s="289"/>
    </row>
    <row r="19" ht="15.75" customHeight="1">
      <c r="E19" s="290"/>
      <c r="F19" s="291"/>
      <c r="G19" s="58"/>
      <c r="H19" s="89"/>
      <c r="I19" s="277"/>
      <c r="J19" s="90"/>
      <c r="K19" s="276"/>
      <c r="L19" s="346"/>
      <c r="M19" s="277"/>
      <c r="N19" s="346"/>
      <c r="O19" s="277"/>
      <c r="P19" s="346"/>
      <c r="Q19" s="277"/>
      <c r="R19" s="346"/>
      <c r="S19" s="278"/>
      <c r="T19" s="346"/>
      <c r="U19" s="278"/>
      <c r="V19" s="346"/>
      <c r="W19" s="278"/>
      <c r="X19" s="346"/>
      <c r="Y19" s="44"/>
      <c r="Z19" s="346"/>
      <c r="AA19" s="44"/>
      <c r="AB19" s="346"/>
      <c r="AC19" s="58"/>
      <c r="AD19" s="58"/>
      <c r="AE19" s="58"/>
      <c r="AF19" s="58"/>
      <c r="AG19" s="58"/>
    </row>
    <row r="20" ht="15.75" customHeight="1">
      <c r="A20" s="292" t="s">
        <v>269</v>
      </c>
      <c r="E20" s="293">
        <f>(600-F5)-((150+60)+(150*0.2)+(60*0.2))</f>
        <v>318</v>
      </c>
      <c r="F20" s="293"/>
      <c r="G20" s="58"/>
      <c r="H20" s="89"/>
      <c r="I20" s="277"/>
      <c r="J20" s="90"/>
      <c r="K20" s="277"/>
      <c r="L20" s="346"/>
      <c r="M20" s="277"/>
      <c r="N20" s="346"/>
      <c r="O20" s="277"/>
      <c r="P20" s="346"/>
      <c r="Q20" s="277"/>
      <c r="R20" s="346"/>
      <c r="S20" s="278"/>
      <c r="T20" s="346"/>
      <c r="U20" s="294"/>
      <c r="V20" s="347"/>
      <c r="W20" s="278"/>
      <c r="X20" s="346"/>
      <c r="Y20" s="44"/>
      <c r="Z20" s="346"/>
      <c r="AA20" s="44"/>
      <c r="AB20" s="346"/>
      <c r="AC20" s="58"/>
      <c r="AD20" s="58"/>
      <c r="AE20" s="350" t="s">
        <v>294</v>
      </c>
    </row>
    <row r="21" ht="15.75" customHeight="1">
      <c r="E21" s="285" t="s">
        <v>283</v>
      </c>
      <c r="F21" s="286"/>
      <c r="G21" s="58"/>
      <c r="H21" s="89"/>
      <c r="I21" s="277"/>
      <c r="J21" s="90"/>
      <c r="K21" s="277"/>
      <c r="L21" s="346"/>
      <c r="M21" s="277"/>
      <c r="N21" s="346"/>
      <c r="O21" s="277"/>
      <c r="P21" s="346"/>
      <c r="Q21" s="277"/>
      <c r="R21" s="346"/>
      <c r="S21" s="278"/>
      <c r="T21" s="346"/>
      <c r="U21" s="278"/>
      <c r="V21" s="346"/>
      <c r="W21" s="278"/>
      <c r="X21" s="346"/>
      <c r="Y21" s="44"/>
      <c r="Z21" s="346"/>
      <c r="AA21" s="44"/>
      <c r="AB21" s="346"/>
      <c r="AC21" s="296"/>
      <c r="AD21" s="297"/>
    </row>
    <row r="22" ht="15.75" customHeight="1">
      <c r="A22" s="145" t="s">
        <v>284</v>
      </c>
      <c r="E22" s="230"/>
      <c r="F22" s="286"/>
      <c r="G22" s="58"/>
      <c r="H22" s="58"/>
      <c r="I22" s="298" t="s">
        <v>285</v>
      </c>
      <c r="AC22" s="299"/>
      <c r="AD22" s="58"/>
      <c r="AE22" s="300" t="s">
        <v>9</v>
      </c>
      <c r="AF22" s="300" t="s">
        <v>201</v>
      </c>
      <c r="AG22" s="301" t="s">
        <v>286</v>
      </c>
    </row>
    <row r="23" ht="15.75" customHeight="1">
      <c r="E23" s="290"/>
      <c r="F23" s="291"/>
      <c r="G23" s="58"/>
      <c r="H23" s="58"/>
      <c r="I23" s="298"/>
      <c r="J23" s="351"/>
      <c r="K23" s="298"/>
      <c r="L23" s="352"/>
      <c r="M23" s="298"/>
      <c r="N23" s="352"/>
      <c r="O23" s="298"/>
      <c r="P23" s="352"/>
      <c r="Q23" s="298"/>
      <c r="R23" s="352"/>
      <c r="S23" s="298"/>
      <c r="T23" s="352"/>
      <c r="U23" s="298"/>
      <c r="V23" s="352"/>
      <c r="W23" s="298"/>
      <c r="X23" s="352"/>
      <c r="Y23" s="298"/>
      <c r="Z23" s="352"/>
      <c r="AA23" s="298"/>
      <c r="AB23" s="352"/>
      <c r="AC23" s="58"/>
      <c r="AD23" s="58"/>
      <c r="AE23" s="195"/>
      <c r="AF23" s="353"/>
      <c r="AG23" s="248"/>
    </row>
    <row r="24" ht="15.75" customHeight="1">
      <c r="A24" s="59"/>
      <c r="B24" s="59"/>
      <c r="C24" s="59"/>
      <c r="D24" s="59"/>
      <c r="E24" s="59"/>
      <c r="F24" s="59"/>
      <c r="G24" s="58"/>
      <c r="H24" s="58"/>
      <c r="I24" s="298"/>
      <c r="J24" s="351"/>
      <c r="K24" s="298"/>
      <c r="L24" s="352"/>
      <c r="M24" s="298"/>
      <c r="N24" s="352"/>
      <c r="O24" s="298"/>
      <c r="P24" s="352"/>
      <c r="Q24" s="298"/>
      <c r="R24" s="352"/>
      <c r="S24" s="298"/>
      <c r="T24" s="352"/>
      <c r="U24" s="298"/>
      <c r="V24" s="352"/>
      <c r="W24" s="298"/>
      <c r="X24" s="352"/>
      <c r="Y24" s="298"/>
      <c r="Z24" s="352"/>
      <c r="AA24" s="298"/>
      <c r="AB24" s="352"/>
      <c r="AC24" s="58"/>
      <c r="AD24" s="58"/>
      <c r="AE24" s="179" t="s">
        <v>165</v>
      </c>
      <c r="AF24" s="353" t="s">
        <v>23</v>
      </c>
      <c r="AG24" s="240" t="s">
        <v>259</v>
      </c>
    </row>
    <row r="25" ht="15.75" customHeight="1">
      <c r="A25" s="59"/>
      <c r="B25" s="59"/>
      <c r="C25" s="59"/>
      <c r="D25" s="59"/>
      <c r="E25" s="59"/>
      <c r="F25" s="59"/>
      <c r="G25" s="58"/>
      <c r="H25" s="58"/>
      <c r="I25" s="303" t="s">
        <v>287</v>
      </c>
      <c r="AC25" s="58"/>
      <c r="AD25" s="58"/>
      <c r="AE25" s="237"/>
      <c r="AF25" s="354"/>
      <c r="AG25" s="240" t="s">
        <v>139</v>
      </c>
    </row>
    <row r="26" ht="15.75" customHeight="1">
      <c r="A26" s="223"/>
      <c r="B26" s="224"/>
      <c r="C26" s="224"/>
      <c r="D26" s="224"/>
      <c r="E26" s="224"/>
      <c r="F26" s="224"/>
      <c r="G26" s="224"/>
      <c r="H26" s="224"/>
      <c r="I26" s="225" t="s">
        <v>288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58"/>
      <c r="AD26" s="58"/>
      <c r="AE26" s="237" t="s">
        <v>122</v>
      </c>
      <c r="AF26" s="354" t="s">
        <v>25</v>
      </c>
      <c r="AG26" s="248"/>
    </row>
    <row r="27" ht="15.75" customHeight="1">
      <c r="A27" s="228"/>
      <c r="B27" s="229"/>
      <c r="C27" s="229"/>
      <c r="D27" s="229"/>
      <c r="E27" s="229"/>
      <c r="F27" s="229"/>
      <c r="G27" s="229"/>
      <c r="H27" s="229"/>
      <c r="I27" s="230"/>
      <c r="AC27" s="58"/>
      <c r="AD27" s="58"/>
      <c r="AE27" s="237"/>
      <c r="AF27" s="44"/>
      <c r="AG27" s="248"/>
    </row>
    <row r="28" ht="15.75" customHeight="1">
      <c r="A28" s="228"/>
      <c r="B28" s="229"/>
      <c r="C28" s="229"/>
      <c r="D28" s="229"/>
      <c r="E28" s="229"/>
      <c r="F28" s="229"/>
      <c r="G28" s="229"/>
      <c r="H28" s="229"/>
      <c r="I28" s="230"/>
      <c r="AC28" s="58"/>
      <c r="AD28" s="58"/>
    </row>
    <row r="29" ht="15.75" customHeight="1">
      <c r="A29" s="232" t="s">
        <v>270</v>
      </c>
      <c r="B29" s="331" t="s">
        <v>293</v>
      </c>
      <c r="C29" s="332" t="s">
        <v>271</v>
      </c>
      <c r="D29" s="233" t="s">
        <v>272</v>
      </c>
      <c r="F29" s="235" t="s">
        <v>289</v>
      </c>
      <c r="G29" s="58"/>
      <c r="H29" s="236" t="s">
        <v>275</v>
      </c>
      <c r="I29" s="179" t="s">
        <v>43</v>
      </c>
      <c r="J29" s="333"/>
      <c r="K29" s="195" t="s">
        <v>42</v>
      </c>
      <c r="L29" s="334"/>
      <c r="M29" s="179" t="s">
        <v>27</v>
      </c>
      <c r="N29" s="334"/>
      <c r="O29" s="179" t="s">
        <v>34</v>
      </c>
      <c r="P29" s="334"/>
      <c r="Q29" s="179" t="s">
        <v>100</v>
      </c>
      <c r="R29" s="334"/>
      <c r="S29" s="179" t="s">
        <v>111</v>
      </c>
      <c r="T29" s="334"/>
      <c r="U29" s="179" t="s">
        <v>172</v>
      </c>
      <c r="V29" s="334"/>
      <c r="W29" s="237" t="s">
        <v>122</v>
      </c>
      <c r="X29" s="334"/>
      <c r="Y29" s="237" t="s">
        <v>125</v>
      </c>
      <c r="Z29" s="334"/>
      <c r="AA29" s="237"/>
      <c r="AB29" s="334"/>
      <c r="AC29" s="58"/>
      <c r="AD29" s="58"/>
      <c r="AG29" s="355"/>
    </row>
    <row r="30" ht="15.75" customHeight="1">
      <c r="A30" s="240" t="s">
        <v>37</v>
      </c>
      <c r="B30" s="356">
        <f t="shared" ref="B30:B39" si="4">(D5)-IFERROR(VLOOKUP(A30,I$36:J$47,2,False),"")-IFERROR(VLOOKUP(A30,K$36:L$47,2,False),"")-IFERROR(VLOOKUP(A30,M$36:N$47,2,False),"")-IFERROR(VLOOKUP(A30,O$36:P$47,2,False),"")-IFERROR(VLOOKUP(A30,Q$36:R$47,2,False),"")-IFERROR(VLOOKUP(A30,S$36:T$47,2,False),"")-IFERROR(VLOOKUP(A30,U$36:V$47,2,False),"")-IFERROR(VLOOKUP(A30,W$36:X$47,2,False),"")-IFERROR(VLOOKUP(A30,Y$36:Z$47,2,False),"")-IFERROR(VLOOKUP(A30,AA$36:AB$47,2,False),"")</f>
        <v>570</v>
      </c>
      <c r="C30" s="357">
        <f t="shared" ref="C30:C39" si="5">D5</f>
        <v>570</v>
      </c>
      <c r="D30" s="23">
        <v>570.0</v>
      </c>
      <c r="F30" s="243">
        <f t="shared" ref="F30:F39" si="6">D5</f>
        <v>570</v>
      </c>
      <c r="G30" s="58"/>
      <c r="H30" s="244" t="s">
        <v>274</v>
      </c>
      <c r="I30" s="245">
        <f t="array" ref="I30">INDEX(Signed,Match(I29,Signed!$A$1:$A$43,0),3)</f>
        <v>198</v>
      </c>
      <c r="J30" s="247"/>
      <c r="K30" s="245">
        <f t="array" ref="K30">INDEX(Signed,Match(K29,Signed!$A$1:$A$43,0),3)</f>
        <v>150</v>
      </c>
      <c r="L30" s="338"/>
      <c r="M30" s="245">
        <f t="array" ref="M30">INDEX(Signed,Match(M29,Signed!$A$1:$A$43,0),3)</f>
        <v>60</v>
      </c>
      <c r="N30" s="338"/>
      <c r="O30" s="245">
        <f t="array" ref="O30">INDEX(Signed,Match(O29,Signed!$A$1:$A$43,0),3)</f>
        <v>60</v>
      </c>
      <c r="P30" s="338"/>
      <c r="Q30" s="245">
        <f t="array" ref="Q30">INDEX(Signed,Match(Q29,Signed!$A$1:$A$43,0),3)</f>
        <v>60</v>
      </c>
      <c r="R30" s="338"/>
      <c r="S30" s="245">
        <f t="array" ref="S30">INDEX(Signed,Match(S29,Signed!$A$1:$A$43,0),3)</f>
        <v>60</v>
      </c>
      <c r="T30" s="338"/>
      <c r="U30" s="245">
        <f t="array" ref="U30">INDEX(Signed,Match(U29,Signed!$A$1:$A$43,0),3)</f>
        <v>60</v>
      </c>
      <c r="V30" s="338"/>
      <c r="W30" s="245">
        <f t="array" ref="W30">INDEX(Signed,Match(W29,Signed!$A$1:$A$43,0),3)</f>
        <v>30</v>
      </c>
      <c r="X30" s="338"/>
      <c r="Y30" s="245">
        <f t="array" ref="Y30">INDEX(Signed,Match(Y29,Signed!$A$1:$A$43,0),3)</f>
        <v>30</v>
      </c>
      <c r="Z30" s="338"/>
      <c r="AA30" s="245" t="str">
        <f t="array" ref="AA30">INDEX(Signed,Match(AA29,Signed!$A$1:$A$43,0),3)</f>
        <v>#N/A</v>
      </c>
      <c r="AB30" s="338"/>
      <c r="AC30" s="58"/>
      <c r="AD30" s="58"/>
      <c r="AE30" s="237"/>
      <c r="AF30" s="44"/>
      <c r="AG30" s="355"/>
    </row>
    <row r="31" ht="15.75" customHeight="1">
      <c r="A31" s="248" t="s">
        <v>40</v>
      </c>
      <c r="B31" s="356">
        <f t="shared" si="4"/>
        <v>540</v>
      </c>
      <c r="C31" s="357">
        <f t="shared" si="5"/>
        <v>540</v>
      </c>
      <c r="D31" s="23">
        <v>320.0</v>
      </c>
      <c r="F31" s="243">
        <f t="shared" si="6"/>
        <v>540</v>
      </c>
      <c r="G31" s="58"/>
      <c r="H31" s="244" t="s">
        <v>201</v>
      </c>
      <c r="I31" s="245" t="str">
        <f t="array" ref="I31">INDEX(Signed,Match(I29,Signed!$A$1:$A$43,0),2)</f>
        <v>A</v>
      </c>
      <c r="J31" s="247"/>
      <c r="K31" s="245" t="str">
        <f t="array" ref="K31">INDEX(Signed,Match(K29,Signed!$A$1:$A$43,0),2)</f>
        <v>B</v>
      </c>
      <c r="L31" s="338"/>
      <c r="M31" s="245" t="str">
        <f t="array" ref="M31">INDEX(Signed,Match(M29,Signed!$A$1:$A$43,0),2)</f>
        <v>C</v>
      </c>
      <c r="N31" s="338"/>
      <c r="O31" s="245" t="str">
        <f t="array" ref="O31">INDEX(Signed,Match(O29,Signed!$A$1:$A$43,0),2)</f>
        <v>C</v>
      </c>
      <c r="P31" s="338"/>
      <c r="Q31" s="245" t="str">
        <f t="array" ref="Q31">INDEX(Signed,Match(Q29,Signed!$A$1:$A$43,0),2)</f>
        <v>D</v>
      </c>
      <c r="R31" s="338"/>
      <c r="S31" s="245" t="str">
        <f t="array" ref="S31">INDEX(Signed,Match(S29,Signed!$A$1:$A$43,0),2)</f>
        <v>D</v>
      </c>
      <c r="T31" s="338"/>
      <c r="U31" s="245" t="str">
        <f t="array" ref="U31">INDEX(Signed,Match(U29,Signed!$A$1:$A$43,0),2)</f>
        <v>D</v>
      </c>
      <c r="V31" s="338"/>
      <c r="W31" s="245" t="str">
        <f t="array" ref="W31">INDEX(Signed,Match(W29,Signed!$A$1:$A$43,0),2)</f>
        <v>E</v>
      </c>
      <c r="X31" s="338"/>
      <c r="Y31" s="245" t="str">
        <f t="array" ref="Y31">INDEX(Signed,Match(Y29,Signed!$A$1:$A$43,0),2)</f>
        <v>E</v>
      </c>
      <c r="Z31" s="338"/>
      <c r="AA31" s="245" t="str">
        <f t="array" ref="AA31">INDEX(Signed,Match(AA29,Signed!$A$1:$A$43,0),2)</f>
        <v>#N/A</v>
      </c>
      <c r="AB31" s="338"/>
      <c r="AC31" s="58"/>
      <c r="AD31" s="58"/>
      <c r="AG31" s="240"/>
    </row>
    <row r="32" ht="15.75" customHeight="1">
      <c r="A32" s="248" t="s">
        <v>57</v>
      </c>
      <c r="B32" s="356">
        <f t="shared" si="4"/>
        <v>480</v>
      </c>
      <c r="C32" s="357">
        <f t="shared" si="5"/>
        <v>480</v>
      </c>
      <c r="D32" s="23">
        <v>480.0</v>
      </c>
      <c r="F32" s="243">
        <f t="shared" si="6"/>
        <v>480</v>
      </c>
      <c r="G32" s="58"/>
      <c r="H32" s="250" t="s">
        <v>277</v>
      </c>
      <c r="I32" s="251" t="str">
        <f>If(MAX(Round2!$C:$C)&gt;=I30,MAX(Round2!$C:$C),0)</f>
        <v>#REF!</v>
      </c>
      <c r="J32" s="339"/>
      <c r="K32" s="251" t="str">
        <f>If(MAX(Round2!$D:$D)&gt;=K30,MAX(Round2!$D:$D),0)</f>
        <v>#REF!</v>
      </c>
      <c r="L32" s="340"/>
      <c r="M32" s="251" t="str">
        <f>If(MAX(Round2!$E:$E)&gt;=M30,MAX(Round2!$E:$E),0)</f>
        <v>#REF!</v>
      </c>
      <c r="N32" s="340"/>
      <c r="O32" s="251" t="str">
        <f>If(MAX(Round2!$F:$F)&gt;=O30,MAX(Round2!$F:$F),0)</f>
        <v>#REF!</v>
      </c>
      <c r="P32" s="340"/>
      <c r="Q32" s="251" t="str">
        <f>If(MAX(Round2!$G:$G)&gt;=Q30,MAX(Round2!$G:$G),0)</f>
        <v>#REF!</v>
      </c>
      <c r="R32" s="340"/>
      <c r="S32" s="251" t="str">
        <f>If(MAX(Round2!$H:$H)&gt;=S30,MAX(Round2!$H:$H),0)</f>
        <v>#REF!</v>
      </c>
      <c r="T32" s="341"/>
      <c r="U32" s="251" t="str">
        <f>If(MAX(Round2!$I:$I)&gt;=U30,MAX(Round2!$I:$I),0)</f>
        <v>#REF!</v>
      </c>
      <c r="V32" s="341"/>
      <c r="W32" s="251" t="str">
        <f>If(MAX(Round2!$J:$J)&gt;=W30,MAX(Round2!$J:$J),0)</f>
        <v>#REF!</v>
      </c>
      <c r="X32" s="342"/>
      <c r="Y32" s="251" t="str">
        <f>If(MAX(Round2!$K:$K)&gt;=Y30,MAX(Round2!$K:$K),0)</f>
        <v>#REF!</v>
      </c>
      <c r="Z32" s="342"/>
      <c r="AA32" s="251" t="str">
        <f>If(MAX(Round2!$L:$L)&gt;=AA30,MAX(Round2!$L:$L),0)</f>
        <v>#REF!</v>
      </c>
      <c r="AB32" s="342"/>
      <c r="AC32" s="58"/>
      <c r="AD32" s="58"/>
      <c r="AG32" s="59"/>
    </row>
    <row r="33" ht="15.75" customHeight="1">
      <c r="A33" s="240" t="s">
        <v>193</v>
      </c>
      <c r="B33" s="356">
        <f t="shared" si="4"/>
        <v>540</v>
      </c>
      <c r="C33" s="357">
        <f t="shared" si="5"/>
        <v>540</v>
      </c>
      <c r="D33" s="23">
        <v>540.0</v>
      </c>
      <c r="F33" s="243">
        <f t="shared" si="6"/>
        <v>540</v>
      </c>
      <c r="G33" s="58"/>
      <c r="H33" s="256" t="s">
        <v>278</v>
      </c>
      <c r="I33" s="257" t="str">
        <f t="shared" ref="I33:W33" si="7">I36</f>
        <v/>
      </c>
      <c r="J33" s="259" t="str">
        <f t="shared" si="7"/>
        <v/>
      </c>
      <c r="K33" s="257" t="str">
        <f t="shared" si="7"/>
        <v/>
      </c>
      <c r="L33" s="343" t="str">
        <f t="shared" si="7"/>
        <v/>
      </c>
      <c r="M33" s="257" t="str">
        <f t="shared" si="7"/>
        <v/>
      </c>
      <c r="N33" s="343" t="str">
        <f t="shared" si="7"/>
        <v/>
      </c>
      <c r="O33" s="257" t="str">
        <f t="shared" si="7"/>
        <v/>
      </c>
      <c r="P33" s="343" t="str">
        <f t="shared" si="7"/>
        <v/>
      </c>
      <c r="Q33" s="257" t="str">
        <f t="shared" si="7"/>
        <v/>
      </c>
      <c r="R33" s="343" t="str">
        <f t="shared" si="7"/>
        <v/>
      </c>
      <c r="S33" s="257" t="str">
        <f t="shared" si="7"/>
        <v/>
      </c>
      <c r="T33" s="343" t="str">
        <f t="shared" si="7"/>
        <v/>
      </c>
      <c r="U33" s="257" t="str">
        <f t="shared" si="7"/>
        <v/>
      </c>
      <c r="V33" s="343" t="str">
        <f t="shared" si="7"/>
        <v/>
      </c>
      <c r="W33" s="257" t="str">
        <f t="shared" si="7"/>
        <v/>
      </c>
      <c r="X33" s="343"/>
      <c r="Y33" s="257" t="str">
        <f>Y36</f>
        <v/>
      </c>
      <c r="Z33" s="343"/>
      <c r="AA33" s="257" t="str">
        <f>AA36</f>
        <v/>
      </c>
      <c r="AB33" s="343"/>
      <c r="AC33" s="58"/>
      <c r="AD33" s="58"/>
      <c r="AG33" s="59"/>
    </row>
    <row r="34" ht="15.75" customHeight="1">
      <c r="A34" s="248" t="s">
        <v>259</v>
      </c>
      <c r="B34" s="356">
        <f t="shared" si="4"/>
        <v>402</v>
      </c>
      <c r="C34" s="357">
        <f t="shared" si="5"/>
        <v>402</v>
      </c>
      <c r="D34" s="23">
        <v>402.0</v>
      </c>
      <c r="F34" s="243">
        <f t="shared" si="6"/>
        <v>402</v>
      </c>
      <c r="G34" s="58"/>
      <c r="H34" s="261" t="s">
        <v>279</v>
      </c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306"/>
      <c r="AC34" s="58"/>
      <c r="AD34" s="58"/>
      <c r="AG34" s="59"/>
    </row>
    <row r="35" ht="15.75" customHeight="1">
      <c r="A35" s="248" t="s">
        <v>169</v>
      </c>
      <c r="B35" s="356">
        <f t="shared" si="4"/>
        <v>112</v>
      </c>
      <c r="C35" s="357">
        <f t="shared" si="5"/>
        <v>112</v>
      </c>
      <c r="D35" s="23">
        <v>0.0</v>
      </c>
      <c r="F35" s="243">
        <f t="shared" si="6"/>
        <v>112</v>
      </c>
      <c r="G35" s="58"/>
      <c r="H35" s="264" t="s">
        <v>280</v>
      </c>
      <c r="I35" s="265" t="str">
        <f>IFERROR(__xludf.DUMMYFUNCTION("Query(Round2!$A:$L,""Select B, MAX(C) WHERE C&gt;=198 group by B order by max(C) desc"")"),"#REF!")</f>
        <v>#REF!</v>
      </c>
      <c r="J35" s="289"/>
      <c r="K35" s="265" t="str">
        <f>IFERROR(__xludf.DUMMYFUNCTION("Query(Round2!$A:$L,""Select B, MAX(D) WHERE D&gt;=150 group by B order by max(D) desc"")"),"#REF!")</f>
        <v>#REF!</v>
      </c>
      <c r="L35" s="266"/>
      <c r="M35" s="265" t="str">
        <f>IFERROR(__xludf.DUMMYFUNCTION("Query(Round2!$A:$L,""Select B, MAX(E) WHERE E&gt;=60 group by B order by max(E) desc"")"),"#REF!")</f>
        <v>#REF!</v>
      </c>
      <c r="N35" s="266"/>
      <c r="O35" s="265" t="str">
        <f>IFERROR(__xludf.DUMMYFUNCTION("Query(Round2!$A:$L,""Select B, MAX(F) WHERE F&gt;=60 group by B order by max(F) desc"")"),"#REF!")</f>
        <v>#REF!</v>
      </c>
      <c r="P35" s="266"/>
      <c r="Q35" s="265" t="str">
        <f>IFERROR(__xludf.DUMMYFUNCTION("Query(Round2!$A:$L,""Select B, MAX(G) WHERE G&gt;=60 group by B order by max(G) desc"")"),"#REF!")</f>
        <v>#REF!</v>
      </c>
      <c r="R35" s="266"/>
      <c r="S35" s="265" t="str">
        <f>IFERROR(__xludf.DUMMYFUNCTION("Query(Round2!$A:$L,""Select B, MAX(H) WHERE H&gt;=60 group by B order by max(H) desc"")"),"#REF!")</f>
        <v>#REF!</v>
      </c>
      <c r="T35" s="266"/>
      <c r="U35" s="265" t="str">
        <f>IFERROR(__xludf.DUMMYFUNCTION("Query(Round2!$A:$L,""Select B, MAX(I) WHERE I&gt;=60 group by B order by max(I) desc"")"),"#REF!")</f>
        <v>#REF!</v>
      </c>
      <c r="V35" s="266"/>
      <c r="W35" s="265" t="str">
        <f>IFERROR(__xludf.DUMMYFUNCTION("Query(Round2!$A:$L,""Select B, MAX(J) WHERE J&gt;=30 group by B order by max(J) desc"")"),"#REF!")</f>
        <v>#REF!</v>
      </c>
      <c r="X35" s="267"/>
      <c r="Y35" s="265" t="str">
        <f>IFERROR(__xludf.DUMMYFUNCTION("Query(Round2!$A:$L,""Select B, MAX(K) WHERE K&gt;=30 group by B order by max(K) desc"")"),"#REF!")</f>
        <v>#REF!</v>
      </c>
      <c r="Z35" s="267"/>
      <c r="AA35" s="265" t="str">
        <f>IFERROR(__xludf.DUMMYFUNCTION("Query(Round2!$A:$L,""Select B, MAX(L) WHERE L&gt;=30 group by B order by max(L) desc"")"),"#REF!")</f>
        <v>#REF!</v>
      </c>
      <c r="AB35" s="267"/>
      <c r="AC35" s="58"/>
      <c r="AD35" s="58"/>
      <c r="AG35" s="59"/>
    </row>
    <row r="36" ht="15.75" customHeight="1">
      <c r="A36" s="248" t="s">
        <v>129</v>
      </c>
      <c r="B36" s="356">
        <f t="shared" si="4"/>
        <v>390</v>
      </c>
      <c r="C36" s="357">
        <f t="shared" si="5"/>
        <v>390</v>
      </c>
      <c r="D36" s="23">
        <v>220.0</v>
      </c>
      <c r="F36" s="243">
        <f t="shared" si="6"/>
        <v>390</v>
      </c>
      <c r="G36" s="58"/>
      <c r="H36" s="230"/>
      <c r="I36" s="268"/>
      <c r="J36" s="345"/>
      <c r="K36" s="268"/>
      <c r="L36" s="346"/>
      <c r="M36" s="271"/>
      <c r="N36" s="346"/>
      <c r="O36" s="271"/>
      <c r="P36" s="346"/>
      <c r="Q36" s="271"/>
      <c r="R36" s="346"/>
      <c r="S36" s="271"/>
      <c r="T36" s="346"/>
      <c r="U36" s="271"/>
      <c r="V36" s="346"/>
      <c r="W36" s="271"/>
      <c r="X36" s="346"/>
      <c r="Y36" s="18"/>
      <c r="Z36" s="346"/>
      <c r="AA36" s="18"/>
      <c r="AB36" s="346"/>
      <c r="AC36" s="58"/>
      <c r="AD36" s="58"/>
      <c r="AE36" s="179"/>
      <c r="AF36" s="44"/>
      <c r="AG36" s="59"/>
    </row>
    <row r="37" ht="15.75" customHeight="1">
      <c r="A37" s="240" t="s">
        <v>139</v>
      </c>
      <c r="B37" s="356">
        <f t="shared" si="4"/>
        <v>450</v>
      </c>
      <c r="C37" s="357">
        <f t="shared" si="5"/>
        <v>450</v>
      </c>
      <c r="D37" s="23">
        <v>390.0</v>
      </c>
      <c r="F37" s="243">
        <f t="shared" si="6"/>
        <v>450</v>
      </c>
      <c r="G37" s="58"/>
      <c r="H37" s="89"/>
      <c r="I37" s="276"/>
      <c r="J37" s="345"/>
      <c r="K37" s="276"/>
      <c r="L37" s="346"/>
      <c r="M37" s="277"/>
      <c r="N37" s="346"/>
      <c r="O37" s="277"/>
      <c r="P37" s="346"/>
      <c r="Q37" s="277"/>
      <c r="R37" s="346"/>
      <c r="S37" s="277"/>
      <c r="T37" s="346"/>
      <c r="U37" s="277"/>
      <c r="V37" s="346"/>
      <c r="W37" s="277"/>
      <c r="X37" s="346"/>
      <c r="Y37" s="18"/>
      <c r="Z37" s="346"/>
      <c r="AA37" s="18"/>
      <c r="AB37" s="346"/>
      <c r="AC37" s="58"/>
      <c r="AD37" s="58"/>
      <c r="AE37" s="90"/>
      <c r="AF37" s="346"/>
      <c r="AG37" s="59"/>
    </row>
    <row r="38" ht="15.75" customHeight="1">
      <c r="A38" s="240" t="s">
        <v>155</v>
      </c>
      <c r="B38" s="356">
        <f t="shared" si="4"/>
        <v>540</v>
      </c>
      <c r="C38" s="357">
        <f t="shared" si="5"/>
        <v>540</v>
      </c>
      <c r="D38" s="23">
        <v>480.0</v>
      </c>
      <c r="F38" s="243">
        <f t="shared" si="6"/>
        <v>540</v>
      </c>
      <c r="G38" s="58"/>
      <c r="H38" s="89"/>
      <c r="I38" s="276"/>
      <c r="J38" s="345"/>
      <c r="K38" s="276"/>
      <c r="L38" s="347"/>
      <c r="M38" s="277"/>
      <c r="N38" s="346"/>
      <c r="O38" s="277"/>
      <c r="P38" s="346"/>
      <c r="Q38" s="277"/>
      <c r="R38" s="346"/>
      <c r="S38" s="277"/>
      <c r="T38" s="346"/>
      <c r="U38" s="277"/>
      <c r="V38" s="346"/>
      <c r="W38" s="277"/>
      <c r="X38" s="346"/>
      <c r="Y38" s="18"/>
      <c r="Z38" s="346"/>
      <c r="AA38" s="18"/>
      <c r="AB38" s="346"/>
      <c r="AC38" s="58"/>
      <c r="AD38" s="58"/>
      <c r="AE38" s="90"/>
      <c r="AF38" s="346"/>
      <c r="AG38" s="59"/>
    </row>
    <row r="39" ht="15.75" customHeight="1">
      <c r="A39" s="280" t="s">
        <v>91</v>
      </c>
      <c r="B39" s="356">
        <f t="shared" si="4"/>
        <v>420</v>
      </c>
      <c r="C39" s="357">
        <f t="shared" si="5"/>
        <v>420</v>
      </c>
      <c r="D39" s="23">
        <v>420.0</v>
      </c>
      <c r="F39" s="243">
        <f t="shared" si="6"/>
        <v>420</v>
      </c>
      <c r="G39" s="58"/>
      <c r="H39" s="89"/>
      <c r="I39" s="276"/>
      <c r="J39" s="345"/>
      <c r="K39" s="276"/>
      <c r="L39" s="346"/>
      <c r="M39" s="277"/>
      <c r="N39" s="346"/>
      <c r="O39" s="277"/>
      <c r="P39" s="346"/>
      <c r="Q39" s="277"/>
      <c r="R39" s="346"/>
      <c r="S39" s="277"/>
      <c r="T39" s="346"/>
      <c r="U39" s="277"/>
      <c r="V39" s="346"/>
      <c r="W39" s="277"/>
      <c r="X39" s="346"/>
      <c r="Y39" s="18"/>
      <c r="Z39" s="346"/>
      <c r="AA39" s="18"/>
      <c r="AB39" s="346"/>
      <c r="AC39" s="58"/>
      <c r="AD39" s="58"/>
      <c r="AE39" s="90"/>
      <c r="AF39" s="346"/>
      <c r="AG39" s="59"/>
    </row>
    <row r="40" ht="15.75" customHeight="1">
      <c r="A40" s="58"/>
      <c r="B40" s="307"/>
      <c r="C40" s="307"/>
      <c r="D40" s="58"/>
      <c r="E40" s="58"/>
      <c r="F40" s="308"/>
      <c r="G40" s="58"/>
      <c r="H40" s="89"/>
      <c r="I40" s="276"/>
      <c r="J40" s="345"/>
      <c r="K40" s="276"/>
      <c r="L40" s="346"/>
      <c r="M40" s="277"/>
      <c r="N40" s="346"/>
      <c r="O40" s="277"/>
      <c r="P40" s="346"/>
      <c r="Q40" s="277"/>
      <c r="R40" s="346"/>
      <c r="S40" s="277"/>
      <c r="T40" s="346"/>
      <c r="U40" s="277"/>
      <c r="V40" s="346"/>
      <c r="W40" s="277"/>
      <c r="X40" s="346"/>
      <c r="Y40" s="18"/>
      <c r="Z40" s="346"/>
      <c r="AA40" s="18"/>
      <c r="AB40" s="346"/>
      <c r="AC40" s="58"/>
      <c r="AD40" s="58"/>
      <c r="AE40" s="90"/>
      <c r="AF40" s="346"/>
      <c r="AG40" s="59"/>
    </row>
    <row r="41" ht="15.75" customHeight="1">
      <c r="A41" s="58"/>
      <c r="B41" s="307"/>
      <c r="C41" s="307"/>
      <c r="D41" s="58"/>
      <c r="E41" s="58"/>
      <c r="F41" s="308"/>
      <c r="G41" s="58"/>
      <c r="H41" s="89"/>
      <c r="I41" s="277"/>
      <c r="J41" s="90"/>
      <c r="K41" s="276"/>
      <c r="L41" s="346"/>
      <c r="M41" s="277"/>
      <c r="N41" s="346"/>
      <c r="O41" s="277"/>
      <c r="P41" s="346"/>
      <c r="Q41" s="277"/>
      <c r="R41" s="346"/>
      <c r="S41" s="277"/>
      <c r="T41" s="346"/>
      <c r="U41" s="277"/>
      <c r="V41" s="346"/>
      <c r="W41" s="277"/>
      <c r="X41" s="346"/>
      <c r="Y41" s="18"/>
      <c r="Z41" s="346"/>
      <c r="AA41" s="18"/>
      <c r="AB41" s="346"/>
      <c r="AC41" s="58"/>
      <c r="AD41" s="58"/>
      <c r="AE41" s="90"/>
      <c r="AF41" s="346"/>
      <c r="AG41" s="59"/>
    </row>
    <row r="42" ht="15.75" customHeight="1">
      <c r="A42" s="309"/>
      <c r="B42" s="307"/>
      <c r="C42" s="307"/>
      <c r="D42" s="58"/>
      <c r="E42" s="58"/>
      <c r="F42" s="308"/>
      <c r="G42" s="58"/>
      <c r="H42" s="287"/>
      <c r="I42" s="288"/>
      <c r="J42" s="90"/>
      <c r="K42" s="276"/>
      <c r="L42" s="349"/>
      <c r="M42" s="276"/>
      <c r="N42" s="346"/>
      <c r="O42" s="277"/>
      <c r="P42" s="346"/>
      <c r="Q42" s="277"/>
      <c r="R42" s="346"/>
      <c r="S42" s="277"/>
      <c r="T42" s="346"/>
      <c r="U42" s="277"/>
      <c r="V42" s="346"/>
      <c r="W42" s="277"/>
      <c r="X42" s="346"/>
      <c r="Y42" s="18"/>
      <c r="Z42" s="346"/>
      <c r="AA42" s="18"/>
      <c r="AB42" s="346"/>
      <c r="AC42" s="58"/>
      <c r="AD42" s="58"/>
      <c r="AE42" s="90"/>
      <c r="AF42" s="346"/>
      <c r="AG42" s="59"/>
    </row>
    <row r="43" ht="15.75" customHeight="1">
      <c r="A43" s="58"/>
      <c r="B43" s="307"/>
      <c r="C43" s="307"/>
      <c r="D43" s="58"/>
      <c r="E43" s="58"/>
      <c r="F43" s="308"/>
      <c r="G43" s="58"/>
      <c r="H43" s="89"/>
      <c r="I43" s="277"/>
      <c r="J43" s="90"/>
      <c r="K43" s="276"/>
      <c r="L43" s="346"/>
      <c r="M43" s="277"/>
      <c r="N43" s="346"/>
      <c r="O43" s="277"/>
      <c r="P43" s="346"/>
      <c r="Q43" s="277"/>
      <c r="R43" s="346"/>
      <c r="S43" s="277"/>
      <c r="T43" s="346"/>
      <c r="U43" s="277"/>
      <c r="V43" s="346"/>
      <c r="W43" s="277"/>
      <c r="X43" s="346"/>
      <c r="Y43" s="18"/>
      <c r="Z43" s="346"/>
      <c r="AA43" s="18"/>
      <c r="AB43" s="346"/>
      <c r="AC43" s="58"/>
      <c r="AD43" s="58"/>
      <c r="AE43" s="90"/>
      <c r="AF43" s="346"/>
      <c r="AG43" s="59"/>
    </row>
    <row r="44" ht="15.75" customHeight="1">
      <c r="A44" s="310"/>
      <c r="B44" s="311"/>
      <c r="C44" s="311"/>
      <c r="D44" s="58"/>
      <c r="E44" s="58"/>
      <c r="F44" s="308"/>
      <c r="G44" s="58"/>
      <c r="H44" s="89"/>
      <c r="I44" s="277"/>
      <c r="J44" s="90"/>
      <c r="K44" s="276"/>
      <c r="L44" s="346"/>
      <c r="M44" s="277"/>
      <c r="N44" s="346"/>
      <c r="O44" s="277"/>
      <c r="P44" s="346"/>
      <c r="Q44" s="277"/>
      <c r="R44" s="346"/>
      <c r="S44" s="277"/>
      <c r="T44" s="346"/>
      <c r="U44" s="277"/>
      <c r="V44" s="346"/>
      <c r="W44" s="277"/>
      <c r="X44" s="346"/>
      <c r="Y44" s="18"/>
      <c r="Z44" s="346"/>
      <c r="AA44" s="18"/>
      <c r="AB44" s="346"/>
      <c r="AC44" s="58"/>
      <c r="AD44" s="58"/>
      <c r="AE44" s="90"/>
      <c r="AF44" s="346"/>
      <c r="AG44" s="59"/>
    </row>
    <row r="45" ht="15.75" customHeight="1">
      <c r="A45" s="310"/>
      <c r="B45" s="310"/>
      <c r="C45" s="310"/>
      <c r="D45" s="58"/>
      <c r="E45" s="58"/>
      <c r="F45" s="58"/>
      <c r="G45" s="58"/>
      <c r="H45" s="89"/>
      <c r="I45" s="277"/>
      <c r="J45" s="90"/>
      <c r="K45" s="277"/>
      <c r="L45" s="346"/>
      <c r="M45" s="277"/>
      <c r="N45" s="346"/>
      <c r="O45" s="277"/>
      <c r="P45" s="346"/>
      <c r="Q45" s="277"/>
      <c r="R45" s="346"/>
      <c r="S45" s="277"/>
      <c r="T45" s="346"/>
      <c r="U45" s="288"/>
      <c r="V45" s="347"/>
      <c r="W45" s="277"/>
      <c r="X45" s="346"/>
      <c r="Y45" s="18"/>
      <c r="Z45" s="346"/>
      <c r="AA45" s="18"/>
      <c r="AB45" s="346"/>
      <c r="AC45" s="58"/>
      <c r="AD45" s="58"/>
      <c r="AE45" s="90"/>
      <c r="AF45" s="346"/>
      <c r="AG45" s="59"/>
    </row>
    <row r="46" ht="15.75" customHeight="1">
      <c r="A46" s="310"/>
      <c r="B46" s="311"/>
      <c r="C46" s="311"/>
      <c r="D46" s="58"/>
      <c r="E46" s="58"/>
      <c r="F46" s="58"/>
      <c r="G46" s="59"/>
      <c r="H46" s="89"/>
      <c r="I46" s="277"/>
      <c r="J46" s="90"/>
      <c r="K46" s="277"/>
      <c r="L46" s="346"/>
      <c r="M46" s="277"/>
      <c r="N46" s="346"/>
      <c r="O46" s="277"/>
      <c r="P46" s="346"/>
      <c r="Q46" s="277"/>
      <c r="R46" s="346"/>
      <c r="S46" s="277"/>
      <c r="T46" s="346"/>
      <c r="U46" s="277"/>
      <c r="V46" s="346"/>
      <c r="W46" s="277"/>
      <c r="X46" s="346"/>
      <c r="Y46" s="18"/>
      <c r="Z46" s="346"/>
      <c r="AA46" s="18"/>
      <c r="AB46" s="346"/>
      <c r="AC46" s="58"/>
      <c r="AD46" s="58"/>
      <c r="AE46" s="90"/>
      <c r="AF46" s="346"/>
      <c r="AG46" s="59"/>
    </row>
    <row r="47" ht="15.75" customHeight="1">
      <c r="A47" s="310"/>
      <c r="B47" s="311"/>
      <c r="C47" s="311"/>
      <c r="D47" s="58"/>
      <c r="E47" s="58"/>
      <c r="F47" s="58"/>
      <c r="G47" s="59"/>
      <c r="H47" s="89"/>
      <c r="I47" s="277"/>
      <c r="J47" s="90"/>
      <c r="K47" s="277"/>
      <c r="L47" s="346"/>
      <c r="M47" s="277"/>
      <c r="N47" s="346"/>
      <c r="O47" s="277"/>
      <c r="P47" s="346"/>
      <c r="Q47" s="277"/>
      <c r="R47" s="346"/>
      <c r="S47" s="277"/>
      <c r="T47" s="346"/>
      <c r="U47" s="277"/>
      <c r="V47" s="346"/>
      <c r="W47" s="277"/>
      <c r="X47" s="346"/>
      <c r="Y47" s="18"/>
      <c r="Z47" s="346"/>
      <c r="AA47" s="18"/>
      <c r="AB47" s="346"/>
      <c r="AC47" s="58"/>
      <c r="AD47" s="58"/>
      <c r="AE47" s="90"/>
      <c r="AF47" s="346"/>
      <c r="AG47" s="59"/>
    </row>
    <row r="48" ht="15.75" customHeight="1">
      <c r="A48" s="223"/>
      <c r="B48" s="224"/>
      <c r="C48" s="224"/>
      <c r="D48" s="224"/>
      <c r="E48" s="224"/>
      <c r="F48" s="224"/>
      <c r="G48" s="224"/>
      <c r="H48" s="225" t="s">
        <v>290</v>
      </c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58"/>
      <c r="AD48" s="58"/>
      <c r="AE48" s="90"/>
      <c r="AF48" s="346"/>
      <c r="AG48" s="59"/>
    </row>
    <row r="49" ht="15.75" customHeight="1">
      <c r="A49" s="228"/>
      <c r="B49" s="229"/>
      <c r="C49" s="229"/>
      <c r="D49" s="229"/>
      <c r="E49" s="229"/>
      <c r="F49" s="229"/>
      <c r="G49" s="229"/>
      <c r="H49" s="230"/>
      <c r="AC49" s="58"/>
      <c r="AD49" s="58"/>
      <c r="AE49" s="90"/>
      <c r="AF49" s="346"/>
      <c r="AG49" s="59"/>
    </row>
    <row r="50" ht="15.75" customHeight="1">
      <c r="A50" s="228"/>
      <c r="B50" s="229"/>
      <c r="C50" s="229"/>
      <c r="D50" s="229"/>
      <c r="E50" s="229"/>
      <c r="F50" s="229"/>
      <c r="G50" s="229"/>
      <c r="H50" s="230"/>
      <c r="AC50" s="58"/>
      <c r="AD50" s="58"/>
      <c r="AE50" s="90"/>
      <c r="AF50" s="346"/>
      <c r="AG50" s="59"/>
    </row>
    <row r="51" ht="15.75" customHeight="1">
      <c r="A51" s="232" t="s">
        <v>270</v>
      </c>
      <c r="B51" s="331" t="s">
        <v>293</v>
      </c>
      <c r="C51" s="332" t="s">
        <v>271</v>
      </c>
      <c r="D51" s="233" t="s">
        <v>272</v>
      </c>
      <c r="F51" s="235" t="s">
        <v>289</v>
      </c>
      <c r="G51" s="59"/>
      <c r="H51" s="236" t="s">
        <v>275</v>
      </c>
      <c r="I51" s="179" t="s">
        <v>217</v>
      </c>
      <c r="J51" s="333"/>
      <c r="K51" s="195" t="s">
        <v>121</v>
      </c>
      <c r="L51" s="358"/>
      <c r="M51" s="195" t="s">
        <v>114</v>
      </c>
      <c r="N51" s="359"/>
      <c r="O51" s="195" t="s">
        <v>197</v>
      </c>
      <c r="P51" s="359"/>
      <c r="Q51" s="195" t="s">
        <v>104</v>
      </c>
      <c r="R51" s="334"/>
      <c r="S51" s="179" t="s">
        <v>161</v>
      </c>
      <c r="T51" s="334"/>
      <c r="U51" s="237" t="s">
        <v>29</v>
      </c>
      <c r="V51" s="334"/>
      <c r="W51" s="237" t="s">
        <v>141</v>
      </c>
      <c r="X51" s="334"/>
      <c r="Y51" s="237"/>
      <c r="Z51" s="334"/>
      <c r="AA51" s="237"/>
      <c r="AB51" s="334"/>
      <c r="AC51" s="58"/>
      <c r="AD51" s="58"/>
      <c r="AE51" s="58"/>
      <c r="AF51" s="346"/>
      <c r="AG51" s="59"/>
    </row>
    <row r="52" ht="15.75" customHeight="1">
      <c r="A52" s="240" t="s">
        <v>37</v>
      </c>
      <c r="B52" s="356">
        <f t="shared" ref="B52:B61" si="8">(D30)-IFERROR(VLOOKUP(A52,I$58:J$68,2,False),"")-IFERROR(VLOOKUP(A52,K$58:L$68,2,False),"")-IFERROR(VLOOKUP(A52,M$58:N$68,2,False),"")-IFERROR(VLOOKUP(A52,O$58:P$68,2,False),"")-IFERROR(VLOOKUP(A52,Q$58:R$68,2,False),"")-IFERROR(VLOOKUP(A52,S$58:T$68,2,False),"")-IFERROR(VLOOKUP(A52,U$58:V$68,2,False),"")-IFERROR(VLOOKUP(A52,W$58:X$68,2,False),"")-IFERROR(VLOOKUP(A52,Y$58:Z$68,2,False),"")-IFERROR(VLOOKUP(A52,AA$58:AB$68,2,False),"")</f>
        <v>570</v>
      </c>
      <c r="C52" s="357">
        <f t="shared" ref="C52:C61" si="9">D30</f>
        <v>570</v>
      </c>
      <c r="D52" s="23">
        <v>570.0</v>
      </c>
      <c r="F52" s="315">
        <f t="shared" ref="F52:F61" si="10">D30</f>
        <v>570</v>
      </c>
      <c r="G52" s="59"/>
      <c r="H52" s="244" t="s">
        <v>274</v>
      </c>
      <c r="I52" s="245">
        <f t="array" ref="I52">INDEX(Signed,Match(I51,Signed!$A$1:$A$43,0),3)</f>
        <v>198</v>
      </c>
      <c r="J52" s="247"/>
      <c r="K52" s="245">
        <f t="array" ref="K52">INDEX(Signed,Match(K51,Signed!$A$1:$A$43,0),3)</f>
        <v>150</v>
      </c>
      <c r="L52" s="338"/>
      <c r="M52" s="245">
        <f t="array" ref="M52">INDEX(Signed,Match(M51,Signed!$A$1:$A$43,0),3)</f>
        <v>60</v>
      </c>
      <c r="N52" s="338"/>
      <c r="O52" s="245">
        <f t="array" ref="O52">INDEX(Signed,Match(O51,Signed!$A$1:$A$43,0),3)</f>
        <v>60</v>
      </c>
      <c r="P52" s="338"/>
      <c r="Q52" s="245">
        <f t="array" ref="Q52">INDEX(Signed,Match(Q51,Signed!$A$1:$A$43,0),3)</f>
        <v>60</v>
      </c>
      <c r="R52" s="338"/>
      <c r="S52" s="245">
        <f t="array" ref="S52">INDEX(Signed,Match(S51,Signed!$A$1:$A$43,0),3)</f>
        <v>60</v>
      </c>
      <c r="T52" s="338"/>
      <c r="U52" s="245">
        <f t="array" ref="U52">INDEX(Signed,Match(U51,Signed!$A$1:$A$43,0),3)</f>
        <v>30</v>
      </c>
      <c r="V52" s="338"/>
      <c r="W52" s="245" t="str">
        <f t="array" ref="W52">INDEX(Signed,Match(W51,Signed!$A$1:$A$43,0),3)</f>
        <v>#N/A</v>
      </c>
      <c r="X52" s="338"/>
      <c r="Y52" s="245" t="str">
        <f t="array" ref="Y52">INDEX(Signed,Match(Y51,Signed!$A$1:$A$43,0),3)</f>
        <v>#N/A</v>
      </c>
      <c r="Z52" s="338"/>
      <c r="AA52" s="245" t="str">
        <f t="array" ref="AA52">INDEX(Signed,Match(AA51,Signed!$A$1:$A$43,0),3)</f>
        <v>#N/A</v>
      </c>
      <c r="AB52" s="338"/>
      <c r="AC52" s="58"/>
      <c r="AD52" s="58"/>
      <c r="AE52" s="58"/>
      <c r="AF52" s="346"/>
      <c r="AG52" s="59"/>
    </row>
    <row r="53" ht="15.75" customHeight="1">
      <c r="A53" s="248" t="s">
        <v>40</v>
      </c>
      <c r="B53" s="356">
        <f t="shared" si="8"/>
        <v>320</v>
      </c>
      <c r="C53" s="357">
        <f t="shared" si="9"/>
        <v>320</v>
      </c>
      <c r="D53" s="23">
        <v>320.0</v>
      </c>
      <c r="F53" s="315">
        <f t="shared" si="10"/>
        <v>320</v>
      </c>
      <c r="G53" s="59"/>
      <c r="H53" s="244" t="s">
        <v>201</v>
      </c>
      <c r="I53" s="245" t="str">
        <f t="array" ref="I53">INDEX(Signed,Match(I51,Signed!$A$1:$A$43,0),2)</f>
        <v>A</v>
      </c>
      <c r="J53" s="247"/>
      <c r="K53" s="245" t="str">
        <f t="array" ref="K53">INDEX(Signed,Match(K51,Signed!$A$1:$A$43,0),2)</f>
        <v>B</v>
      </c>
      <c r="L53" s="338"/>
      <c r="M53" s="245" t="str">
        <f t="array" ref="M53">INDEX(Signed,Match(M51,Signed!$A$1:$A$43,0),2)</f>
        <v>C</v>
      </c>
      <c r="N53" s="338"/>
      <c r="O53" s="245" t="str">
        <f t="array" ref="O53">INDEX(Signed,Match(O51,Signed!$A$1:$A$43,0),2)</f>
        <v>C</v>
      </c>
      <c r="P53" s="338"/>
      <c r="Q53" s="245" t="str">
        <f t="array" ref="Q53">INDEX(Signed,Match(Q51,Signed!$A$1:$A$43,0),2)</f>
        <v>D</v>
      </c>
      <c r="R53" s="338"/>
      <c r="S53" s="245" t="str">
        <f t="array" ref="S53">INDEX(Signed,Match(S51,Signed!$A$1:$A$43,0),2)</f>
        <v>D</v>
      </c>
      <c r="T53" s="338"/>
      <c r="U53" s="245" t="str">
        <f t="array" ref="U53">INDEX(Signed,Match(U51,Signed!$A$1:$A$43,0),2)</f>
        <v>E</v>
      </c>
      <c r="V53" s="338"/>
      <c r="W53" s="245" t="str">
        <f t="array" ref="W53">INDEX(Signed,Match(W51,Signed!$A$1:$A$43,0),2)</f>
        <v>#N/A</v>
      </c>
      <c r="X53" s="338"/>
      <c r="Y53" s="245" t="str">
        <f t="array" ref="Y53">INDEX(Signed,Match(Y51,Signed!$A$1:$A$43,0),2)</f>
        <v>#N/A</v>
      </c>
      <c r="Z53" s="338"/>
      <c r="AA53" s="245" t="str">
        <f t="array" ref="AA53">INDEX(Signed,Match(AA51,Signed!$A$1:$A$43,0),2)</f>
        <v>#N/A</v>
      </c>
      <c r="AB53" s="338"/>
      <c r="AC53" s="58"/>
      <c r="AD53" s="58"/>
      <c r="AE53" s="58"/>
      <c r="AF53" s="346"/>
      <c r="AG53" s="59"/>
    </row>
    <row r="54" ht="15.75" customHeight="1">
      <c r="A54" s="248" t="s">
        <v>57</v>
      </c>
      <c r="B54" s="356">
        <f t="shared" si="8"/>
        <v>480</v>
      </c>
      <c r="C54" s="357">
        <f t="shared" si="9"/>
        <v>480</v>
      </c>
      <c r="D54" s="23">
        <v>480.0</v>
      </c>
      <c r="F54" s="315">
        <f t="shared" si="10"/>
        <v>480</v>
      </c>
      <c r="G54" s="59"/>
      <c r="H54" s="250" t="s">
        <v>277</v>
      </c>
      <c r="I54" s="251" t="str">
        <f>If(MAX(Round3!$C:$C)&gt;=I52,MAX(Round3!$C:$C),0)</f>
        <v>#REF!</v>
      </c>
      <c r="J54" s="316"/>
      <c r="K54" s="251" t="str">
        <f>If(MAX(Round3!$D:$D)&gt;=K52,MAX(Round3!$D:$D),0)</f>
        <v>#REF!</v>
      </c>
      <c r="L54" s="342"/>
      <c r="M54" s="251" t="str">
        <f>If(MAX(Round3!$E:$E)&gt;=M52,MAX(Round3!$E:$E),0)</f>
        <v>#REF!</v>
      </c>
      <c r="N54" s="342"/>
      <c r="O54" s="251" t="str">
        <f>If(MAX(Round3!$F:$F)&gt;=O52,MAX(Round3!$F:$F),0)</f>
        <v>#REF!</v>
      </c>
      <c r="P54" s="342"/>
      <c r="Q54" s="251" t="str">
        <f>If(MAX(Round3!$G:$G)&gt;=Q52,MAX(Round3!$G:$G),0)</f>
        <v>#REF!</v>
      </c>
      <c r="R54" s="342"/>
      <c r="S54" s="251" t="str">
        <f>If(MAX(Round3!$H:$H)&gt;=S52,MAX(Round3!$H:$H),0)</f>
        <v>#REF!</v>
      </c>
      <c r="T54" s="342"/>
      <c r="U54" s="251" t="str">
        <f>If(MAX(Round3!$I:$I)&gt;=U52,MAX(Round3!$I:$I),0)</f>
        <v>#REF!</v>
      </c>
      <c r="V54" s="342"/>
      <c r="W54" s="251" t="str">
        <f>If(MAX(Round3!$J:$J)&gt;=W52,MAX(Round3!$J:$J),0)</f>
        <v>#REF!</v>
      </c>
      <c r="X54" s="342"/>
      <c r="Y54" s="251" t="str">
        <f>If(MAX(Round3!K:K)&gt;=Y52,MAX(Round3!$K:$K),0)</f>
        <v>#REF!</v>
      </c>
      <c r="Z54" s="342"/>
      <c r="AA54" s="251" t="str">
        <f>If(MAX(Round3!$L:$L)&gt;=AA52,MAX(Round3!$L:$L),0)</f>
        <v>#REF!</v>
      </c>
      <c r="AB54" s="342"/>
      <c r="AC54" s="58"/>
      <c r="AD54" s="58"/>
      <c r="AE54" s="58"/>
      <c r="AF54" s="346"/>
      <c r="AG54" s="59"/>
    </row>
    <row r="55" ht="15.75" customHeight="1">
      <c r="A55" s="240" t="s">
        <v>193</v>
      </c>
      <c r="B55" s="356">
        <f t="shared" si="8"/>
        <v>540</v>
      </c>
      <c r="C55" s="357">
        <f t="shared" si="9"/>
        <v>540</v>
      </c>
      <c r="D55" s="23">
        <v>240.0</v>
      </c>
      <c r="F55" s="315">
        <f t="shared" si="10"/>
        <v>540</v>
      </c>
      <c r="G55" s="59"/>
      <c r="H55" s="256" t="s">
        <v>278</v>
      </c>
      <c r="I55" s="257" t="str">
        <f t="shared" ref="I55:W55" si="11">I58</f>
        <v/>
      </c>
      <c r="J55" s="259" t="str">
        <f t="shared" si="11"/>
        <v/>
      </c>
      <c r="K55" s="257" t="str">
        <f t="shared" si="11"/>
        <v/>
      </c>
      <c r="L55" s="343" t="str">
        <f t="shared" si="11"/>
        <v/>
      </c>
      <c r="M55" s="257" t="str">
        <f t="shared" si="11"/>
        <v/>
      </c>
      <c r="N55" s="343" t="str">
        <f t="shared" si="11"/>
        <v/>
      </c>
      <c r="O55" s="257" t="str">
        <f t="shared" si="11"/>
        <v/>
      </c>
      <c r="P55" s="343" t="str">
        <f t="shared" si="11"/>
        <v/>
      </c>
      <c r="Q55" s="257" t="str">
        <f t="shared" si="11"/>
        <v/>
      </c>
      <c r="R55" s="343" t="str">
        <f t="shared" si="11"/>
        <v/>
      </c>
      <c r="S55" s="257" t="str">
        <f t="shared" si="11"/>
        <v/>
      </c>
      <c r="T55" s="343" t="str">
        <f t="shared" si="11"/>
        <v/>
      </c>
      <c r="U55" s="257" t="str">
        <f t="shared" si="11"/>
        <v/>
      </c>
      <c r="V55" s="343" t="str">
        <f t="shared" si="11"/>
        <v/>
      </c>
      <c r="W55" s="257" t="str">
        <f t="shared" si="11"/>
        <v/>
      </c>
      <c r="X55" s="343"/>
      <c r="Y55" s="258"/>
      <c r="Z55" s="343"/>
      <c r="AA55" s="258"/>
      <c r="AB55" s="343"/>
      <c r="AC55" s="58"/>
      <c r="AD55" s="58"/>
      <c r="AE55" s="58"/>
      <c r="AF55" s="346"/>
      <c r="AG55" s="59"/>
    </row>
    <row r="56" ht="15.75" customHeight="1">
      <c r="A56" s="248" t="s">
        <v>259</v>
      </c>
      <c r="B56" s="356">
        <f t="shared" si="8"/>
        <v>402</v>
      </c>
      <c r="C56" s="357">
        <f t="shared" si="9"/>
        <v>402</v>
      </c>
      <c r="D56" s="23">
        <v>402.0</v>
      </c>
      <c r="F56" s="315">
        <f t="shared" si="10"/>
        <v>402</v>
      </c>
      <c r="G56" s="59"/>
      <c r="H56" s="261" t="s">
        <v>279</v>
      </c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306"/>
      <c r="AC56" s="58"/>
      <c r="AD56" s="58"/>
      <c r="AE56" s="58"/>
      <c r="AF56" s="346"/>
      <c r="AG56" s="59"/>
    </row>
    <row r="57" ht="15.75" customHeight="1">
      <c r="A57" s="248" t="s">
        <v>169</v>
      </c>
      <c r="B57" s="356">
        <f t="shared" si="8"/>
        <v>0</v>
      </c>
      <c r="C57" s="357">
        <f t="shared" si="9"/>
        <v>0</v>
      </c>
      <c r="D57" s="23">
        <v>0.0</v>
      </c>
      <c r="F57" s="315">
        <f t="shared" si="10"/>
        <v>0</v>
      </c>
      <c r="G57" s="59"/>
      <c r="H57" s="264" t="s">
        <v>280</v>
      </c>
      <c r="I57" s="265" t="str">
        <f>IFERROR(__xludf.DUMMYFUNCTION("Query(Round3!$A:$L,""Select B, MAX(C) WHERE C&gt;=198 group by B order by max(C) desc"")"),"#REF!")</f>
        <v>#REF!</v>
      </c>
      <c r="J57" s="289"/>
      <c r="K57" s="265" t="str">
        <f>IFERROR(__xludf.DUMMYFUNCTION("Query(Round3!$A:$L,""Select B, MAX(D) WHERE D&gt;=158 group by B order by max(D) desc"")"),"#REF!")</f>
        <v>#REF!</v>
      </c>
      <c r="L57" s="266"/>
      <c r="M57" s="265" t="str">
        <f>IFERROR(__xludf.DUMMYFUNCTION("Query(Round3!$A:$L,""Select B, MAX(E) WHERE E&gt;=60 group by B order by max(E) desc"")"),"#REF!")</f>
        <v>#REF!</v>
      </c>
      <c r="N57" s="266"/>
      <c r="O57" s="265" t="str">
        <f>IFERROR(__xludf.DUMMYFUNCTION("Query(Round3!$A:$L,""Select B, MAX(F) WHERE F&gt;=60 group by B order by max(F) desc"")"),"#REF!")</f>
        <v>#REF!</v>
      </c>
      <c r="P57" s="266"/>
      <c r="Q57" s="265" t="str">
        <f>IFERROR(__xludf.DUMMYFUNCTION("Query(Round3!$A:$L,""Select B, MAX(G) WHERE G&gt;=60 group by B order by max(G) desc"")"),"#REF!")</f>
        <v>#REF!</v>
      </c>
      <c r="R57" s="266"/>
      <c r="S57" s="265" t="str">
        <f>IFERROR(__xludf.DUMMYFUNCTION("Query(Round3!$A:$L,""Select B, MAX(H) WHERE H&gt;=60 group by B order by max(H) desc"")"),"#REF!")</f>
        <v>#REF!</v>
      </c>
      <c r="T57" s="266"/>
      <c r="U57" s="265" t="str">
        <f>IFERROR(__xludf.DUMMYFUNCTION("Query(Round3!$A:$L,""Select B, MAX(I) WHERE I&gt;=30 group by B order by max(I) desc"")"),"#REF!")</f>
        <v>#REF!</v>
      </c>
      <c r="V57" s="266"/>
      <c r="W57" s="265" t="str">
        <f>IFERROR(__xludf.DUMMYFUNCTION("Query(Round3!$A:$L,""Select B, MAX(J) WHERE J&gt;=30 group by B order by max(J) desc"")"),"#REF!")</f>
        <v>#REF!</v>
      </c>
      <c r="X57" s="267"/>
      <c r="Y57" s="265" t="str">
        <f>IFERROR(__xludf.DUMMYFUNCTION("Query(Round3!$A:$L,""Select B, MAX(K) WHERE K&gt;=30 group by B order by max(K) desc"")"),"#REF!")</f>
        <v>#REF!</v>
      </c>
      <c r="Z57" s="267"/>
      <c r="AA57" s="265" t="str">
        <f>IFERROR(__xludf.DUMMYFUNCTION("Query(Round3!$A:$L,""Select B, MAX(L) WHERE L&gt;=60 group by B order by max(L) desc"")"),"#REF!")</f>
        <v>#REF!</v>
      </c>
      <c r="AB57" s="267"/>
      <c r="AC57" s="58"/>
      <c r="AD57" s="58"/>
      <c r="AE57" s="58"/>
      <c r="AF57" s="346"/>
      <c r="AG57" s="59"/>
    </row>
    <row r="58" ht="15.75" customHeight="1">
      <c r="A58" s="248" t="s">
        <v>129</v>
      </c>
      <c r="B58" s="356">
        <f t="shared" si="8"/>
        <v>220</v>
      </c>
      <c r="C58" s="357">
        <f t="shared" si="9"/>
        <v>220</v>
      </c>
      <c r="D58" s="23">
        <v>0.0</v>
      </c>
      <c r="F58" s="315">
        <f t="shared" si="10"/>
        <v>220</v>
      </c>
      <c r="G58" s="59"/>
      <c r="H58" s="230"/>
      <c r="I58" s="268"/>
      <c r="J58" s="345"/>
      <c r="K58" s="268"/>
      <c r="L58" s="346"/>
      <c r="M58" s="271"/>
      <c r="N58" s="346"/>
      <c r="O58" s="271"/>
      <c r="P58" s="346"/>
      <c r="Q58" s="271"/>
      <c r="R58" s="346"/>
      <c r="S58" s="271"/>
      <c r="T58" s="346"/>
      <c r="U58" s="271"/>
      <c r="V58" s="346"/>
      <c r="W58" s="271"/>
      <c r="X58" s="346"/>
      <c r="Y58" s="18"/>
      <c r="Z58" s="346"/>
      <c r="AA58" s="18"/>
      <c r="AB58" s="346"/>
      <c r="AC58" s="58"/>
      <c r="AD58" s="58"/>
      <c r="AE58" s="58"/>
      <c r="AF58" s="346"/>
      <c r="AG58" s="59"/>
    </row>
    <row r="59" ht="15.75" customHeight="1">
      <c r="A59" s="240" t="s">
        <v>139</v>
      </c>
      <c r="B59" s="356">
        <f t="shared" si="8"/>
        <v>390</v>
      </c>
      <c r="C59" s="357">
        <f t="shared" si="9"/>
        <v>390</v>
      </c>
      <c r="D59" s="23">
        <v>390.0</v>
      </c>
      <c r="F59" s="315">
        <f t="shared" si="10"/>
        <v>390</v>
      </c>
      <c r="G59" s="59"/>
      <c r="H59" s="89"/>
      <c r="I59" s="276"/>
      <c r="J59" s="345"/>
      <c r="K59" s="276"/>
      <c r="L59" s="346"/>
      <c r="M59" s="277"/>
      <c r="N59" s="346"/>
      <c r="O59" s="277"/>
      <c r="P59" s="346"/>
      <c r="Q59" s="277"/>
      <c r="R59" s="346"/>
      <c r="S59" s="277"/>
      <c r="T59" s="346"/>
      <c r="U59" s="277"/>
      <c r="V59" s="346"/>
      <c r="W59" s="277"/>
      <c r="X59" s="346"/>
      <c r="Y59" s="18"/>
      <c r="Z59" s="346"/>
      <c r="AA59" s="18"/>
      <c r="AB59" s="346"/>
      <c r="AC59" s="58"/>
      <c r="AD59" s="58"/>
      <c r="AE59" s="58"/>
      <c r="AF59" s="59"/>
      <c r="AG59" s="59"/>
    </row>
    <row r="60" ht="15.75" customHeight="1">
      <c r="A60" s="240" t="s">
        <v>155</v>
      </c>
      <c r="B60" s="356">
        <f t="shared" si="8"/>
        <v>480</v>
      </c>
      <c r="C60" s="357">
        <f t="shared" si="9"/>
        <v>480</v>
      </c>
      <c r="D60" s="23">
        <v>400.0</v>
      </c>
      <c r="F60" s="315">
        <f t="shared" si="10"/>
        <v>480</v>
      </c>
      <c r="G60" s="59"/>
      <c r="H60" s="89"/>
      <c r="I60" s="276"/>
      <c r="J60" s="345"/>
      <c r="K60" s="276"/>
      <c r="L60" s="347"/>
      <c r="M60" s="277"/>
      <c r="N60" s="346"/>
      <c r="O60" s="277"/>
      <c r="P60" s="346"/>
      <c r="Q60" s="277"/>
      <c r="R60" s="346"/>
      <c r="S60" s="277"/>
      <c r="T60" s="346"/>
      <c r="U60" s="277"/>
      <c r="V60" s="346"/>
      <c r="W60" s="277"/>
      <c r="X60" s="346"/>
      <c r="Y60" s="18"/>
      <c r="Z60" s="346"/>
      <c r="AA60" s="18"/>
      <c r="AB60" s="346"/>
      <c r="AC60" s="58"/>
      <c r="AD60" s="58"/>
      <c r="AE60" s="58"/>
      <c r="AF60" s="59"/>
      <c r="AG60" s="59"/>
    </row>
    <row r="61" ht="15.75" customHeight="1">
      <c r="A61" s="280" t="s">
        <v>91</v>
      </c>
      <c r="B61" s="356">
        <f t="shared" si="8"/>
        <v>420</v>
      </c>
      <c r="C61" s="357">
        <f t="shared" si="9"/>
        <v>420</v>
      </c>
      <c r="D61" s="23">
        <v>420.0</v>
      </c>
      <c r="F61" s="315">
        <f t="shared" si="10"/>
        <v>420</v>
      </c>
      <c r="G61" s="59"/>
      <c r="H61" s="89"/>
      <c r="I61" s="276"/>
      <c r="J61" s="345"/>
      <c r="K61" s="276"/>
      <c r="L61" s="346"/>
      <c r="M61" s="277"/>
      <c r="N61" s="346"/>
      <c r="O61" s="277"/>
      <c r="P61" s="346"/>
      <c r="Q61" s="277"/>
      <c r="R61" s="346"/>
      <c r="S61" s="277"/>
      <c r="T61" s="346"/>
      <c r="U61" s="277"/>
      <c r="V61" s="346"/>
      <c r="W61" s="277"/>
      <c r="X61" s="346"/>
      <c r="Y61" s="18"/>
      <c r="Z61" s="346"/>
      <c r="AA61" s="18"/>
      <c r="AB61" s="346"/>
      <c r="AC61" s="58"/>
      <c r="AD61" s="58"/>
      <c r="AE61" s="58"/>
      <c r="AF61" s="59"/>
      <c r="AG61" s="59"/>
    </row>
    <row r="62" ht="15.75" customHeight="1">
      <c r="A62" s="58"/>
      <c r="B62" s="58"/>
      <c r="C62" s="58"/>
      <c r="D62" s="58"/>
      <c r="E62" s="58"/>
      <c r="F62" s="58"/>
      <c r="G62" s="58"/>
      <c r="H62" s="89"/>
      <c r="I62" s="276"/>
      <c r="J62" s="345"/>
      <c r="K62" s="276"/>
      <c r="L62" s="346"/>
      <c r="M62" s="277"/>
      <c r="N62" s="346"/>
      <c r="O62" s="277"/>
      <c r="P62" s="346"/>
      <c r="Q62" s="277"/>
      <c r="R62" s="346"/>
      <c r="S62" s="277"/>
      <c r="T62" s="346"/>
      <c r="U62" s="277"/>
      <c r="V62" s="346"/>
      <c r="W62" s="277"/>
      <c r="X62" s="346"/>
      <c r="Y62" s="18"/>
      <c r="Z62" s="346"/>
      <c r="AA62" s="18"/>
      <c r="AB62" s="346"/>
      <c r="AC62" s="58"/>
      <c r="AD62" s="58"/>
      <c r="AE62" s="58"/>
      <c r="AF62" s="59"/>
      <c r="AG62" s="59"/>
    </row>
    <row r="63" ht="15.75" customHeight="1">
      <c r="A63" s="58"/>
      <c r="B63" s="58"/>
      <c r="C63" s="58"/>
      <c r="D63" s="58"/>
      <c r="E63" s="58"/>
      <c r="F63" s="58"/>
      <c r="G63" s="58"/>
      <c r="H63" s="89"/>
      <c r="I63" s="277"/>
      <c r="J63" s="90"/>
      <c r="K63" s="276"/>
      <c r="L63" s="346"/>
      <c r="M63" s="277"/>
      <c r="N63" s="346"/>
      <c r="O63" s="277"/>
      <c r="P63" s="346"/>
      <c r="Q63" s="277"/>
      <c r="R63" s="346"/>
      <c r="S63" s="277"/>
      <c r="T63" s="346"/>
      <c r="U63" s="277"/>
      <c r="V63" s="346"/>
      <c r="W63" s="277"/>
      <c r="X63" s="346"/>
      <c r="Y63" s="18"/>
      <c r="Z63" s="346"/>
      <c r="AA63" s="18"/>
      <c r="AB63" s="346"/>
      <c r="AC63" s="58"/>
      <c r="AD63" s="58"/>
      <c r="AE63" s="58"/>
      <c r="AF63" s="59"/>
      <c r="AG63" s="59"/>
    </row>
    <row r="64" ht="15.75" customHeight="1">
      <c r="A64" s="58"/>
      <c r="B64" s="58"/>
      <c r="C64" s="58"/>
      <c r="D64" s="58"/>
      <c r="E64" s="58"/>
      <c r="F64" s="58"/>
      <c r="G64" s="58"/>
      <c r="H64" s="287"/>
      <c r="I64" s="288"/>
      <c r="J64" s="90"/>
      <c r="K64" s="276"/>
      <c r="L64" s="349"/>
      <c r="M64" s="276"/>
      <c r="N64" s="346"/>
      <c r="O64" s="277"/>
      <c r="P64" s="346"/>
      <c r="Q64" s="277"/>
      <c r="R64" s="346"/>
      <c r="S64" s="277"/>
      <c r="T64" s="346"/>
      <c r="U64" s="277"/>
      <c r="V64" s="346"/>
      <c r="W64" s="277"/>
      <c r="X64" s="346"/>
      <c r="Y64" s="18"/>
      <c r="Z64" s="346"/>
      <c r="AA64" s="18"/>
      <c r="AB64" s="346"/>
      <c r="AC64" s="58"/>
      <c r="AD64" s="58"/>
      <c r="AE64" s="58"/>
      <c r="AF64" s="59"/>
      <c r="AG64" s="59"/>
    </row>
    <row r="65" ht="15.75" customHeight="1">
      <c r="A65" s="58"/>
      <c r="B65" s="58"/>
      <c r="C65" s="58"/>
      <c r="D65" s="58"/>
      <c r="E65" s="58"/>
      <c r="F65" s="58"/>
      <c r="G65" s="58"/>
      <c r="H65" s="89"/>
      <c r="I65" s="277"/>
      <c r="J65" s="90"/>
      <c r="K65" s="276"/>
      <c r="L65" s="346"/>
      <c r="M65" s="277"/>
      <c r="N65" s="346"/>
      <c r="O65" s="277"/>
      <c r="P65" s="346"/>
      <c r="Q65" s="277"/>
      <c r="R65" s="346"/>
      <c r="S65" s="277"/>
      <c r="T65" s="346"/>
      <c r="U65" s="277"/>
      <c r="V65" s="346"/>
      <c r="W65" s="277"/>
      <c r="X65" s="346"/>
      <c r="Y65" s="18"/>
      <c r="Z65" s="346"/>
      <c r="AA65" s="18"/>
      <c r="AB65" s="346"/>
      <c r="AC65" s="58"/>
      <c r="AD65" s="58"/>
      <c r="AE65" s="58"/>
      <c r="AF65" s="59"/>
      <c r="AG65" s="59"/>
    </row>
    <row r="66" ht="15.75" customHeight="1">
      <c r="A66" s="58"/>
      <c r="B66" s="58"/>
      <c r="C66" s="58"/>
      <c r="D66" s="58"/>
      <c r="E66" s="58"/>
      <c r="F66" s="58"/>
      <c r="G66" s="58"/>
      <c r="H66" s="89"/>
      <c r="I66" s="277"/>
      <c r="J66" s="90"/>
      <c r="K66" s="276"/>
      <c r="L66" s="346"/>
      <c r="M66" s="277"/>
      <c r="N66" s="346"/>
      <c r="O66" s="277"/>
      <c r="P66" s="346"/>
      <c r="Q66" s="277"/>
      <c r="R66" s="346"/>
      <c r="S66" s="277"/>
      <c r="T66" s="346"/>
      <c r="U66" s="277"/>
      <c r="V66" s="346"/>
      <c r="W66" s="277"/>
      <c r="X66" s="346"/>
      <c r="Y66" s="18"/>
      <c r="Z66" s="346"/>
      <c r="AA66" s="18"/>
      <c r="AB66" s="346"/>
      <c r="AC66" s="58"/>
      <c r="AD66" s="58"/>
      <c r="AE66" s="58"/>
      <c r="AF66" s="59"/>
      <c r="AG66" s="59"/>
    </row>
    <row r="67" ht="15.75" customHeight="1">
      <c r="A67" s="58"/>
      <c r="B67" s="58"/>
      <c r="C67" s="58"/>
      <c r="D67" s="58"/>
      <c r="E67" s="58"/>
      <c r="F67" s="58"/>
      <c r="G67" s="58"/>
      <c r="H67" s="89"/>
      <c r="I67" s="277"/>
      <c r="J67" s="90"/>
      <c r="K67" s="277"/>
      <c r="L67" s="346"/>
      <c r="M67" s="277"/>
      <c r="N67" s="346"/>
      <c r="O67" s="277"/>
      <c r="P67" s="346"/>
      <c r="Q67" s="277"/>
      <c r="R67" s="346"/>
      <c r="S67" s="277"/>
      <c r="T67" s="346"/>
      <c r="U67" s="288"/>
      <c r="V67" s="347"/>
      <c r="W67" s="277"/>
      <c r="X67" s="346"/>
      <c r="Y67" s="18"/>
      <c r="Z67" s="346"/>
      <c r="AA67" s="18"/>
      <c r="AB67" s="346"/>
      <c r="AC67" s="58"/>
      <c r="AD67" s="58"/>
      <c r="AE67" s="58"/>
      <c r="AF67" s="59"/>
      <c r="AG67" s="59"/>
    </row>
    <row r="68" ht="15.75" customHeight="1">
      <c r="A68" s="58"/>
      <c r="B68" s="58"/>
      <c r="C68" s="58"/>
      <c r="D68" s="58"/>
      <c r="E68" s="58"/>
      <c r="F68" s="58"/>
      <c r="G68" s="58"/>
      <c r="H68" s="89"/>
      <c r="I68" s="277"/>
      <c r="J68" s="90"/>
      <c r="K68" s="277"/>
      <c r="L68" s="346"/>
      <c r="M68" s="277"/>
      <c r="N68" s="346"/>
      <c r="O68" s="277"/>
      <c r="P68" s="346"/>
      <c r="Q68" s="277"/>
      <c r="R68" s="346"/>
      <c r="S68" s="277"/>
      <c r="T68" s="346"/>
      <c r="U68" s="277"/>
      <c r="V68" s="346"/>
      <c r="W68" s="277"/>
      <c r="X68" s="346"/>
      <c r="Y68" s="18"/>
      <c r="Z68" s="346"/>
      <c r="AA68" s="18"/>
      <c r="AB68" s="346"/>
      <c r="AC68" s="58"/>
      <c r="AD68" s="58"/>
      <c r="AE68" s="58"/>
      <c r="AF68" s="59"/>
      <c r="AG68" s="59"/>
    </row>
    <row r="69" ht="15.75" customHeight="1">
      <c r="A69" s="318"/>
      <c r="B69" s="319"/>
      <c r="C69" s="319"/>
      <c r="D69" s="319"/>
      <c r="E69" s="319"/>
      <c r="F69" s="319"/>
      <c r="G69" s="319"/>
      <c r="H69" s="225" t="s">
        <v>291</v>
      </c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58"/>
      <c r="AD69" s="58"/>
      <c r="AE69" s="58"/>
      <c r="AF69" s="59"/>
      <c r="AG69" s="59"/>
    </row>
    <row r="70" ht="15.75" customHeight="1">
      <c r="A70" s="320"/>
      <c r="B70" s="321"/>
      <c r="C70" s="321"/>
      <c r="D70" s="321"/>
      <c r="E70" s="321"/>
      <c r="F70" s="321"/>
      <c r="G70" s="321"/>
      <c r="H70" s="230"/>
      <c r="AC70" s="58"/>
      <c r="AD70" s="58"/>
      <c r="AE70" s="58"/>
      <c r="AF70" s="59"/>
      <c r="AG70" s="59"/>
    </row>
    <row r="71" ht="15.75" customHeight="1">
      <c r="A71" s="320"/>
      <c r="B71" s="321"/>
      <c r="C71" s="321"/>
      <c r="D71" s="321"/>
      <c r="E71" s="321"/>
      <c r="F71" s="321"/>
      <c r="G71" s="321"/>
      <c r="H71" s="230"/>
      <c r="AC71" s="58"/>
      <c r="AD71" s="58"/>
      <c r="AE71" s="58"/>
      <c r="AF71" s="59"/>
      <c r="AG71" s="59"/>
    </row>
    <row r="72" ht="15.75" customHeight="1">
      <c r="A72" s="232" t="s">
        <v>270</v>
      </c>
      <c r="B72" s="331" t="s">
        <v>293</v>
      </c>
      <c r="C72" s="332" t="s">
        <v>271</v>
      </c>
      <c r="D72" s="233" t="s">
        <v>272</v>
      </c>
      <c r="F72" s="235" t="s">
        <v>289</v>
      </c>
      <c r="H72" s="236" t="s">
        <v>275</v>
      </c>
      <c r="I72" s="179" t="s">
        <v>115</v>
      </c>
      <c r="J72" s="333"/>
      <c r="K72" s="179" t="s">
        <v>69</v>
      </c>
      <c r="L72" s="334"/>
      <c r="M72" s="179" t="s">
        <v>134</v>
      </c>
      <c r="N72" s="334"/>
      <c r="O72" s="179" t="s">
        <v>157</v>
      </c>
      <c r="P72" s="334"/>
      <c r="Q72" s="179" t="s">
        <v>109</v>
      </c>
      <c r="R72" s="334"/>
      <c r="S72" s="179" t="s">
        <v>113</v>
      </c>
      <c r="T72" s="334"/>
      <c r="U72" s="237"/>
      <c r="V72" s="334"/>
      <c r="W72" s="179"/>
      <c r="X72" s="334"/>
      <c r="Y72" s="237"/>
      <c r="Z72" s="334"/>
      <c r="AA72" s="237"/>
      <c r="AB72" s="334"/>
      <c r="AC72" s="58"/>
      <c r="AD72" s="58"/>
      <c r="AE72" s="58"/>
      <c r="AF72" s="59"/>
      <c r="AG72" s="59"/>
    </row>
    <row r="73" ht="15.75" customHeight="1">
      <c r="A73" s="240" t="s">
        <v>37</v>
      </c>
      <c r="B73" s="356">
        <f t="shared" ref="B73:B82" si="12">(D52)-IFERROR(VLOOKUP(A73,I$79:J$91,2,False),"")-IFERROR(VLOOKUP(A73,K$79:L$91,2,False),"")-IFERROR(VLOOKUP(A73,M$79:N$91,2,False),"")-IFERROR(VLOOKUP(A73,O$79:P$91,2,False),"")-IFERROR(VLOOKUP(A73,Q$79:R$91,2,False),"")-IFERROR(VLOOKUP(A73,S$79:T$91,2,False),"")-IFERROR(VLOOKUP(A73,U$79:V$91,2,False),"")-IFERROR(VLOOKUP(A73,W$79:X$91,2,False),"")-IFERROR(VLOOKUP(A73,Y$79:Z$91,2,False),"")-IFERROR(VLOOKUP(A73,AA$79:AB$91,2,False),"")</f>
        <v>570</v>
      </c>
      <c r="C73" s="357">
        <f t="shared" ref="C73:C82" si="13">D52</f>
        <v>570</v>
      </c>
      <c r="D73" s="23">
        <v>261.0</v>
      </c>
      <c r="F73" s="315">
        <f t="shared" ref="F73:F82" si="14">D52</f>
        <v>570</v>
      </c>
      <c r="H73" s="244" t="s">
        <v>274</v>
      </c>
      <c r="I73" s="245">
        <f t="array" ref="I73">INDEX(Signed,Match(I72,Signed!$A$1:$A$43,0),3)</f>
        <v>198</v>
      </c>
      <c r="J73" s="247"/>
      <c r="K73" s="245">
        <f t="array" ref="K73">INDEX(Signed,Match(K72,Signed!$A$1:$A$43,0),3)</f>
        <v>60</v>
      </c>
      <c r="L73" s="338"/>
      <c r="M73" s="245">
        <f t="array" ref="M73">INDEX(Signed,Match(M72,Signed!$A$1:$A$43,0),3)</f>
        <v>60</v>
      </c>
      <c r="N73" s="338"/>
      <c r="O73" s="245">
        <f t="array" ref="O73">INDEX(Signed,Match(O72,Signed!$A$1:$A$43,0),3)</f>
        <v>60</v>
      </c>
      <c r="P73" s="338"/>
      <c r="Q73" s="245">
        <f t="array" ref="Q73">INDEX(Signed,Match(Q72,Signed!$A$1:$A$43,0),3)</f>
        <v>60</v>
      </c>
      <c r="R73" s="338"/>
      <c r="S73" s="245">
        <f t="array" ref="S73">INDEX(Signed,Match(S72,Signed!$A$1:$A$43,0),3)</f>
        <v>60</v>
      </c>
      <c r="T73" s="338"/>
      <c r="U73" s="245" t="str">
        <f t="array" ref="U73">INDEX(Signed,Match(U72,Signed!$A$1:$A$43,0),3)</f>
        <v>#N/A</v>
      </c>
      <c r="V73" s="338"/>
      <c r="W73" s="245" t="str">
        <f t="array" ref="W73">INDEX(Signed,Match(W72,Signed!$A$1:$A$43,0),3)</f>
        <v>#N/A</v>
      </c>
      <c r="X73" s="338"/>
      <c r="Y73" s="245" t="str">
        <f t="array" ref="Y73">INDEX(Signed,Match(Y72,Signed!$A$1:$A$43,0),3)</f>
        <v>#N/A</v>
      </c>
      <c r="Z73" s="338"/>
      <c r="AA73" s="245" t="str">
        <f t="array" ref="AA73">INDEX(Signed,Match(AA72,Signed!$A$1:$A$43,0),3)</f>
        <v>#N/A</v>
      </c>
      <c r="AB73" s="338"/>
      <c r="AC73" s="58"/>
      <c r="AD73" s="58"/>
      <c r="AE73" s="58"/>
      <c r="AF73" s="59"/>
      <c r="AG73" s="59"/>
    </row>
    <row r="74" ht="15.75" customHeight="1">
      <c r="A74" s="248" t="s">
        <v>40</v>
      </c>
      <c r="B74" s="356">
        <f t="shared" si="12"/>
        <v>320</v>
      </c>
      <c r="C74" s="357">
        <f t="shared" si="13"/>
        <v>320</v>
      </c>
      <c r="D74" s="23">
        <v>58.0</v>
      </c>
      <c r="F74" s="315">
        <f t="shared" si="14"/>
        <v>320</v>
      </c>
      <c r="H74" s="244" t="s">
        <v>201</v>
      </c>
      <c r="I74" s="245" t="str">
        <f t="array" ref="I74">INDEX(Signed,Match(I72,Signed!$A$1:$A$43,0),2)</f>
        <v>A</v>
      </c>
      <c r="J74" s="247"/>
      <c r="K74" s="245" t="str">
        <f t="array" ref="K74">INDEX(Signed,Match(K72,Signed!$A$1:$A$43,0),2)</f>
        <v>C</v>
      </c>
      <c r="L74" s="338"/>
      <c r="M74" s="245" t="str">
        <f t="array" ref="M74">INDEX(Signed,Match(M72,Signed!$A$1:$A$43,0),2)</f>
        <v>C</v>
      </c>
      <c r="N74" s="338"/>
      <c r="O74" s="245" t="str">
        <f t="array" ref="O74">INDEX(Signed,Match(O72,Signed!$A$1:$A$43,0),2)</f>
        <v>C</v>
      </c>
      <c r="P74" s="338"/>
      <c r="Q74" s="245" t="str">
        <f t="array" ref="Q74">INDEX(Signed,Match(Q72,Signed!$A$1:$A$43,0),2)</f>
        <v>D</v>
      </c>
      <c r="R74" s="338"/>
      <c r="S74" s="245" t="str">
        <f t="array" ref="S74">INDEX(Signed,Match(S72,Signed!$A$1:$A$43,0),2)</f>
        <v>D</v>
      </c>
      <c r="T74" s="338"/>
      <c r="U74" s="245" t="str">
        <f t="array" ref="U74">INDEX(Signed,Match(U72,Signed!$A$1:$A$43,0),2)</f>
        <v>#N/A</v>
      </c>
      <c r="V74" s="338"/>
      <c r="W74" s="245" t="str">
        <f t="array" ref="W74">INDEX(Signed,Match(W72,Signed!$A$1:$A$43,0),2)</f>
        <v>#N/A</v>
      </c>
      <c r="X74" s="338"/>
      <c r="Y74" s="245" t="str">
        <f t="array" ref="Y74">INDEX(Signed,Match(Y72,Signed!$A$1:$A$43,0),2)</f>
        <v>#N/A</v>
      </c>
      <c r="Z74" s="338"/>
      <c r="AA74" s="245" t="str">
        <f t="array" ref="AA74">INDEX(Signed,Match(AA72,Signed!$A$1:$A$43,0),2)</f>
        <v>#N/A</v>
      </c>
      <c r="AB74" s="338"/>
      <c r="AC74" s="58"/>
      <c r="AD74" s="58"/>
      <c r="AE74" s="58"/>
      <c r="AF74" s="59"/>
      <c r="AG74" s="59"/>
    </row>
    <row r="75" ht="15.75" customHeight="1">
      <c r="A75" s="248" t="s">
        <v>57</v>
      </c>
      <c r="B75" s="356">
        <f t="shared" si="12"/>
        <v>480</v>
      </c>
      <c r="C75" s="357">
        <f t="shared" si="13"/>
        <v>480</v>
      </c>
      <c r="D75" s="23">
        <v>480.0</v>
      </c>
      <c r="F75" s="315">
        <f t="shared" si="14"/>
        <v>480</v>
      </c>
      <c r="H75" s="250" t="s">
        <v>277</v>
      </c>
      <c r="I75" s="251" t="str">
        <f>If(MAX(Round4!$C:$C)&gt;=I73,MAX(Round4!$C:$C),0)</f>
        <v>#REF!</v>
      </c>
      <c r="J75" s="316"/>
      <c r="K75" s="251" t="str">
        <f>If(MAX(Round4!$D:$D)&gt;=K73,MAX(Round4!$D:$D),0)</f>
        <v>#REF!</v>
      </c>
      <c r="L75" s="342"/>
      <c r="M75" s="251" t="str">
        <f>If(MAX(Round4!$E:$E)&gt;=M73,MAX(Round4!$E:$E),0)</f>
        <v>#REF!</v>
      </c>
      <c r="N75" s="342"/>
      <c r="O75" s="251" t="str">
        <f>If(MAX(Round4!$F:$F)&gt;=O73,MAX(Round4!$F:$F),0)</f>
        <v>#REF!</v>
      </c>
      <c r="P75" s="342"/>
      <c r="Q75" s="251" t="str">
        <f>If(MAX(Round4!$G:$G)&gt;=Q73,MAX(Round4!$G:$G),0)</f>
        <v>#REF!</v>
      </c>
      <c r="R75" s="342"/>
      <c r="S75" s="251" t="str">
        <f>If(MAX(Round4!$H:$H)&gt;=S73,MAX(Round4!$H:$H),0)</f>
        <v>#REF!</v>
      </c>
      <c r="T75" s="342"/>
      <c r="U75" s="251" t="str">
        <f>If(MAX(Round4!$I:$I)&gt;=U73,MAX(Round4!$I:$I),0)</f>
        <v>#REF!</v>
      </c>
      <c r="V75" s="342"/>
      <c r="W75" s="251" t="str">
        <f>If(MAX(Round4!$J:$J)&gt;=W73,MAX(Round4!$J:$J),0)</f>
        <v>#REF!</v>
      </c>
      <c r="X75" s="342"/>
      <c r="Y75" s="251" t="str">
        <f>If(MAX(Round4!K:K)&gt;=Y73,MAX(Round4!$K:$K),0)</f>
        <v>#REF!</v>
      </c>
      <c r="Z75" s="342"/>
      <c r="AA75" s="251" t="str">
        <f>If(MAX(Round4!$L:$L)&gt;=AA73,MAX(Round4!$L:$L),0)</f>
        <v>#REF!</v>
      </c>
      <c r="AB75" s="342"/>
      <c r="AC75" s="58"/>
      <c r="AD75" s="58"/>
      <c r="AE75" s="58"/>
      <c r="AF75" s="59"/>
      <c r="AG75" s="59"/>
    </row>
    <row r="76" ht="15.75" customHeight="1">
      <c r="A76" s="240" t="s">
        <v>193</v>
      </c>
      <c r="B76" s="356">
        <f t="shared" si="12"/>
        <v>240</v>
      </c>
      <c r="C76" s="357">
        <f t="shared" si="13"/>
        <v>240</v>
      </c>
      <c r="D76" s="23">
        <v>180.0</v>
      </c>
      <c r="F76" s="315">
        <f t="shared" si="14"/>
        <v>240</v>
      </c>
      <c r="H76" s="256" t="s">
        <v>278</v>
      </c>
      <c r="I76" s="257" t="str">
        <f t="shared" ref="I76:V76" si="15">I79</f>
        <v/>
      </c>
      <c r="J76" s="259" t="str">
        <f t="shared" si="15"/>
        <v/>
      </c>
      <c r="K76" s="257" t="str">
        <f t="shared" si="15"/>
        <v/>
      </c>
      <c r="L76" s="343" t="str">
        <f t="shared" si="15"/>
        <v/>
      </c>
      <c r="M76" s="257" t="str">
        <f t="shared" si="15"/>
        <v/>
      </c>
      <c r="N76" s="343" t="str">
        <f t="shared" si="15"/>
        <v/>
      </c>
      <c r="O76" s="257" t="str">
        <f t="shared" si="15"/>
        <v/>
      </c>
      <c r="P76" s="343" t="str">
        <f t="shared" si="15"/>
        <v/>
      </c>
      <c r="Q76" s="257" t="str">
        <f t="shared" si="15"/>
        <v/>
      </c>
      <c r="R76" s="343" t="str">
        <f t="shared" si="15"/>
        <v/>
      </c>
      <c r="S76" s="257" t="str">
        <f t="shared" si="15"/>
        <v/>
      </c>
      <c r="T76" s="343" t="str">
        <f t="shared" si="15"/>
        <v/>
      </c>
      <c r="U76" s="257" t="str">
        <f t="shared" si="15"/>
        <v/>
      </c>
      <c r="V76" s="343" t="str">
        <f t="shared" si="15"/>
        <v/>
      </c>
      <c r="W76" s="257"/>
      <c r="X76" s="343"/>
      <c r="Y76" s="258"/>
      <c r="Z76" s="343"/>
      <c r="AA76" s="258"/>
      <c r="AB76" s="343"/>
      <c r="AC76" s="58"/>
      <c r="AD76" s="58"/>
      <c r="AE76" s="58"/>
      <c r="AF76" s="59"/>
      <c r="AG76" s="59"/>
    </row>
    <row r="77" ht="15.75" customHeight="1">
      <c r="A77" s="240" t="s">
        <v>259</v>
      </c>
      <c r="B77" s="356">
        <f t="shared" si="12"/>
        <v>402</v>
      </c>
      <c r="C77" s="357">
        <f t="shared" si="13"/>
        <v>402</v>
      </c>
      <c r="D77" s="23">
        <v>402.0</v>
      </c>
      <c r="F77" s="315">
        <f t="shared" si="14"/>
        <v>402</v>
      </c>
      <c r="H77" s="261" t="s">
        <v>279</v>
      </c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344"/>
      <c r="W77" s="263"/>
      <c r="X77" s="344"/>
      <c r="Y77" s="263"/>
      <c r="Z77" s="344"/>
      <c r="AA77" s="263"/>
      <c r="AB77" s="344"/>
      <c r="AC77" s="58"/>
      <c r="AD77" s="58"/>
      <c r="AE77" s="58"/>
      <c r="AF77" s="59"/>
      <c r="AG77" s="59"/>
    </row>
    <row r="78" ht="15.75" customHeight="1">
      <c r="A78" s="248" t="s">
        <v>169</v>
      </c>
      <c r="B78" s="356">
        <f t="shared" si="12"/>
        <v>0</v>
      </c>
      <c r="C78" s="357">
        <f t="shared" si="13"/>
        <v>0</v>
      </c>
      <c r="D78" s="23">
        <v>0.0</v>
      </c>
      <c r="F78" s="315">
        <f t="shared" si="14"/>
        <v>0</v>
      </c>
      <c r="H78" s="264" t="s">
        <v>280</v>
      </c>
      <c r="I78" s="265" t="str">
        <f>IFERROR(__xludf.DUMMYFUNCTION("Query(Round4!$A:$L,""Select B, MAX(C) WHERE C&gt;=198 group by B order by max(C) desc"")"),"#REF!")</f>
        <v>#REF!</v>
      </c>
      <c r="J78" s="289"/>
      <c r="K78" s="265" t="str">
        <f>IFERROR(__xludf.DUMMYFUNCTION("Query(Round4!$A:$L,""Select B, MAX(D) WHERE D&gt;=60 group by B order by max(D) desc"")"),"#REF!")</f>
        <v>#REF!</v>
      </c>
      <c r="L78" s="266"/>
      <c r="M78" s="265" t="str">
        <f>IFERROR(__xludf.DUMMYFUNCTION("Query(Round4!$A:$L,""Select B, MAX(E) WHERE E&gt;=60 group by B order by max(E) desc"")"),"#REF!")</f>
        <v>#REF!</v>
      </c>
      <c r="N78" s="266"/>
      <c r="O78" s="265" t="str">
        <f>IFERROR(__xludf.DUMMYFUNCTION("Query(Round4!$A:$L,""Select B, MAX(F) WHERE F&gt;=60 group by B order by max(F) desc"")"),"#REF!")</f>
        <v>#REF!</v>
      </c>
      <c r="P78" s="266"/>
      <c r="Q78" s="265" t="str">
        <f>IFERROR(__xludf.DUMMYFUNCTION("Query(Round4!$A:$L,""Select B, MAX(G) WHERE G&gt;=60 group by B order by max(G) desc"")"),"#REF!")</f>
        <v>#REF!</v>
      </c>
      <c r="R78" s="266"/>
      <c r="S78" s="265" t="str">
        <f>IFERROR(__xludf.DUMMYFUNCTION("Query(Round4!$A:$L,""Select B, MAX(H) WHERE H&gt;=60 group by B order by max(H) desc"")"),"#REF!")</f>
        <v>#REF!</v>
      </c>
      <c r="T78" s="266"/>
      <c r="U78" s="265" t="str">
        <f>IFERROR(__xludf.DUMMYFUNCTION("Query(Round4!$A:$L,""Select B, MAX(I) WHERE I&gt;=30 group by B order by max(I) desc"")"),"#REF!")</f>
        <v>#REF!</v>
      </c>
      <c r="V78" s="266"/>
      <c r="W78" s="265" t="str">
        <f>IFERROR(__xludf.DUMMYFUNCTION("Query(Round4!$A:$L,""Select B, MAX(J) WHERE J&gt;=60 group by B order by max(J) desc"")"),"#REF!")</f>
        <v>#REF!</v>
      </c>
      <c r="X78" s="267"/>
      <c r="Y78" s="265" t="str">
        <f>IFERROR(__xludf.DUMMYFUNCTION("Query(Round4!$A:$L,""Select B, MAX(K) WHERE K&gt;=60 group by B order by max(K) desc"")"),"#REF!")</f>
        <v>#REF!</v>
      </c>
      <c r="Z78" s="267"/>
      <c r="AA78" s="265" t="str">
        <f>IFERROR(__xludf.DUMMYFUNCTION("Query(Round4!$A:$L,""Select B, MAX(L) WHERE L&gt;=30 group by B order by max(L) desc"")"),"#REF!")</f>
        <v>#REF!</v>
      </c>
      <c r="AB78" s="267"/>
      <c r="AC78" s="58"/>
      <c r="AD78" s="58"/>
      <c r="AE78" s="58"/>
      <c r="AF78" s="59"/>
      <c r="AG78" s="59"/>
    </row>
    <row r="79" ht="15.75" customHeight="1">
      <c r="A79" s="248" t="s">
        <v>129</v>
      </c>
      <c r="B79" s="356">
        <f t="shared" si="12"/>
        <v>0</v>
      </c>
      <c r="C79" s="357">
        <f t="shared" si="13"/>
        <v>0</v>
      </c>
      <c r="D79" s="23">
        <v>0.0</v>
      </c>
      <c r="F79" s="315">
        <f t="shared" si="14"/>
        <v>0</v>
      </c>
      <c r="H79" s="230"/>
      <c r="I79" s="268"/>
      <c r="J79" s="345"/>
      <c r="K79" s="268"/>
      <c r="L79" s="346"/>
      <c r="M79" s="271"/>
      <c r="N79" s="346"/>
      <c r="O79" s="271"/>
      <c r="P79" s="346"/>
      <c r="Q79" s="271"/>
      <c r="R79" s="346"/>
      <c r="S79" s="271"/>
      <c r="T79" s="346"/>
      <c r="U79" s="271"/>
      <c r="V79" s="346"/>
      <c r="W79" s="271"/>
      <c r="X79" s="346"/>
      <c r="Y79" s="18"/>
      <c r="Z79" s="346"/>
      <c r="AA79" s="18"/>
      <c r="AB79" s="346"/>
      <c r="AC79" s="58"/>
      <c r="AD79" s="58"/>
      <c r="AE79" s="58"/>
      <c r="AF79" s="59"/>
      <c r="AG79" s="59"/>
    </row>
    <row r="80" ht="15.75" customHeight="1">
      <c r="A80" s="240" t="s">
        <v>139</v>
      </c>
      <c r="B80" s="356">
        <f t="shared" si="12"/>
        <v>390</v>
      </c>
      <c r="C80" s="357">
        <f t="shared" si="13"/>
        <v>390</v>
      </c>
      <c r="D80" s="23">
        <v>390.0</v>
      </c>
      <c r="F80" s="315">
        <f t="shared" si="14"/>
        <v>390</v>
      </c>
      <c r="H80" s="89"/>
      <c r="I80" s="276"/>
      <c r="J80" s="345"/>
      <c r="K80" s="276"/>
      <c r="L80" s="346"/>
      <c r="M80" s="277"/>
      <c r="N80" s="346"/>
      <c r="O80" s="277"/>
      <c r="P80" s="346"/>
      <c r="Q80" s="277"/>
      <c r="R80" s="346"/>
      <c r="S80" s="277"/>
      <c r="T80" s="346"/>
      <c r="U80" s="277"/>
      <c r="V80" s="346"/>
      <c r="W80" s="277"/>
      <c r="X80" s="346"/>
      <c r="Y80" s="18"/>
      <c r="Z80" s="346"/>
      <c r="AA80" s="18"/>
      <c r="AB80" s="346"/>
      <c r="AC80" s="58"/>
      <c r="AD80" s="58"/>
      <c r="AE80" s="58"/>
      <c r="AF80" s="59"/>
      <c r="AG80" s="59"/>
    </row>
    <row r="81" ht="15.75" customHeight="1">
      <c r="A81" s="240" t="s">
        <v>155</v>
      </c>
      <c r="B81" s="356">
        <f t="shared" si="12"/>
        <v>400</v>
      </c>
      <c r="C81" s="357">
        <f t="shared" si="13"/>
        <v>400</v>
      </c>
      <c r="D81" s="23">
        <v>400.0</v>
      </c>
      <c r="F81" s="315">
        <f t="shared" si="14"/>
        <v>400</v>
      </c>
      <c r="H81" s="89"/>
      <c r="I81" s="276"/>
      <c r="J81" s="345"/>
      <c r="K81" s="276"/>
      <c r="L81" s="347"/>
      <c r="M81" s="277"/>
      <c r="N81" s="346"/>
      <c r="O81" s="277"/>
      <c r="P81" s="346"/>
      <c r="Q81" s="277"/>
      <c r="R81" s="346"/>
      <c r="S81" s="277"/>
      <c r="T81" s="346"/>
      <c r="U81" s="277"/>
      <c r="V81" s="346"/>
      <c r="W81" s="277"/>
      <c r="X81" s="346"/>
      <c r="Y81" s="18"/>
      <c r="Z81" s="346"/>
      <c r="AA81" s="18"/>
      <c r="AB81" s="346"/>
      <c r="AC81" s="58"/>
      <c r="AD81" s="58"/>
      <c r="AE81" s="58"/>
      <c r="AF81" s="59"/>
      <c r="AG81" s="59"/>
    </row>
    <row r="82" ht="15.75" customHeight="1">
      <c r="A82" s="280" t="s">
        <v>91</v>
      </c>
      <c r="B82" s="356">
        <f t="shared" si="12"/>
        <v>420</v>
      </c>
      <c r="C82" s="357">
        <f t="shared" si="13"/>
        <v>420</v>
      </c>
      <c r="D82" s="23">
        <v>320.0</v>
      </c>
      <c r="F82" s="315">
        <f t="shared" si="14"/>
        <v>420</v>
      </c>
      <c r="H82" s="89"/>
      <c r="I82" s="276"/>
      <c r="J82" s="345"/>
      <c r="K82" s="276"/>
      <c r="L82" s="346"/>
      <c r="M82" s="277"/>
      <c r="N82" s="346"/>
      <c r="O82" s="277"/>
      <c r="P82" s="346"/>
      <c r="Q82" s="277"/>
      <c r="R82" s="346"/>
      <c r="S82" s="277"/>
      <c r="T82" s="346"/>
      <c r="U82" s="277"/>
      <c r="V82" s="346"/>
      <c r="W82" s="277"/>
      <c r="X82" s="346"/>
      <c r="Y82" s="18"/>
      <c r="Z82" s="346"/>
      <c r="AA82" s="18"/>
      <c r="AB82" s="346"/>
      <c r="AC82" s="58"/>
      <c r="AD82" s="58"/>
      <c r="AE82" s="58"/>
      <c r="AF82" s="59"/>
      <c r="AG82" s="59"/>
    </row>
    <row r="83" ht="15.75" customHeight="1">
      <c r="A83" s="58"/>
      <c r="B83" s="58"/>
      <c r="C83" s="58"/>
      <c r="D83" s="58"/>
      <c r="E83" s="58"/>
      <c r="F83" s="58"/>
      <c r="G83" s="58"/>
      <c r="H83" s="89"/>
      <c r="I83" s="276"/>
      <c r="J83" s="345"/>
      <c r="K83" s="276"/>
      <c r="L83" s="346"/>
      <c r="M83" s="277"/>
      <c r="N83" s="346"/>
      <c r="O83" s="277"/>
      <c r="P83" s="346"/>
      <c r="Q83" s="277"/>
      <c r="R83" s="346"/>
      <c r="S83" s="277"/>
      <c r="T83" s="346"/>
      <c r="U83" s="277"/>
      <c r="V83" s="346"/>
      <c r="W83" s="277"/>
      <c r="X83" s="346"/>
      <c r="Y83" s="18"/>
      <c r="Z83" s="346"/>
      <c r="AA83" s="18"/>
      <c r="AB83" s="346"/>
      <c r="AC83" s="58"/>
      <c r="AD83" s="58"/>
      <c r="AE83" s="58"/>
      <c r="AF83" s="59"/>
      <c r="AG83" s="59"/>
    </row>
    <row r="84" ht="15.75" customHeight="1">
      <c r="A84" s="58"/>
      <c r="B84" s="58"/>
      <c r="C84" s="58"/>
      <c r="D84" s="58"/>
      <c r="E84" s="58"/>
      <c r="F84" s="58"/>
      <c r="G84" s="58"/>
      <c r="H84" s="89"/>
      <c r="I84" s="277"/>
      <c r="J84" s="90"/>
      <c r="K84" s="276"/>
      <c r="L84" s="346"/>
      <c r="M84" s="277"/>
      <c r="N84" s="346"/>
      <c r="O84" s="277"/>
      <c r="P84" s="346"/>
      <c r="Q84" s="277"/>
      <c r="R84" s="346"/>
      <c r="S84" s="277"/>
      <c r="T84" s="346"/>
      <c r="U84" s="277"/>
      <c r="V84" s="346"/>
      <c r="W84" s="277"/>
      <c r="X84" s="346"/>
      <c r="Y84" s="18"/>
      <c r="Z84" s="346"/>
      <c r="AA84" s="18"/>
      <c r="AB84" s="346"/>
      <c r="AC84" s="58"/>
      <c r="AD84" s="58"/>
      <c r="AE84" s="58"/>
      <c r="AF84" s="59"/>
      <c r="AG84" s="59"/>
    </row>
    <row r="85" ht="15.75" customHeight="1">
      <c r="A85" s="58"/>
      <c r="B85" s="58"/>
      <c r="C85" s="58"/>
      <c r="D85" s="58"/>
      <c r="E85" s="58"/>
      <c r="F85" s="58"/>
      <c r="G85" s="58"/>
      <c r="H85" s="287"/>
      <c r="I85" s="288"/>
      <c r="J85" s="90"/>
      <c r="K85" s="276"/>
      <c r="L85" s="349"/>
      <c r="M85" s="276"/>
      <c r="N85" s="346"/>
      <c r="O85" s="277"/>
      <c r="P85" s="346"/>
      <c r="Q85" s="277"/>
      <c r="R85" s="346"/>
      <c r="S85" s="277"/>
      <c r="T85" s="346"/>
      <c r="U85" s="277"/>
      <c r="V85" s="346"/>
      <c r="W85" s="277"/>
      <c r="X85" s="346"/>
      <c r="Y85" s="18"/>
      <c r="Z85" s="346"/>
      <c r="AA85" s="18"/>
      <c r="AB85" s="346"/>
      <c r="AC85" s="58"/>
      <c r="AD85" s="58"/>
      <c r="AE85" s="58"/>
      <c r="AF85" s="59"/>
      <c r="AG85" s="59"/>
    </row>
    <row r="86" ht="15.75" customHeight="1">
      <c r="A86" s="58"/>
      <c r="B86" s="58"/>
      <c r="C86" s="58"/>
      <c r="D86" s="58"/>
      <c r="E86" s="58"/>
      <c r="F86" s="58"/>
      <c r="G86" s="58"/>
      <c r="H86" s="89"/>
      <c r="I86" s="277"/>
      <c r="J86" s="90"/>
      <c r="K86" s="276"/>
      <c r="L86" s="346"/>
      <c r="M86" s="277"/>
      <c r="N86" s="346"/>
      <c r="O86" s="277"/>
      <c r="P86" s="346"/>
      <c r="Q86" s="277"/>
      <c r="R86" s="346"/>
      <c r="S86" s="277"/>
      <c r="T86" s="346"/>
      <c r="U86" s="277"/>
      <c r="V86" s="346"/>
      <c r="W86" s="277"/>
      <c r="X86" s="346"/>
      <c r="Y86" s="18"/>
      <c r="Z86" s="346"/>
      <c r="AA86" s="18"/>
      <c r="AB86" s="346"/>
      <c r="AC86" s="58"/>
      <c r="AD86" s="58"/>
      <c r="AE86" s="58"/>
      <c r="AF86" s="59"/>
      <c r="AG86" s="59"/>
    </row>
    <row r="87" ht="15.75" customHeight="1">
      <c r="A87" s="58"/>
      <c r="B87" s="58"/>
      <c r="C87" s="58"/>
      <c r="D87" s="58"/>
      <c r="E87" s="58"/>
      <c r="F87" s="58"/>
      <c r="G87" s="58"/>
      <c r="H87" s="89"/>
      <c r="I87" s="277"/>
      <c r="J87" s="90"/>
      <c r="K87" s="276"/>
      <c r="L87" s="346"/>
      <c r="M87" s="277"/>
      <c r="N87" s="346"/>
      <c r="O87" s="277"/>
      <c r="P87" s="346"/>
      <c r="Q87" s="277"/>
      <c r="R87" s="346"/>
      <c r="S87" s="277"/>
      <c r="T87" s="346"/>
      <c r="U87" s="277"/>
      <c r="V87" s="346"/>
      <c r="W87" s="277"/>
      <c r="X87" s="346"/>
      <c r="Y87" s="18"/>
      <c r="Z87" s="346"/>
      <c r="AA87" s="18"/>
      <c r="AB87" s="346"/>
      <c r="AC87" s="58"/>
      <c r="AD87" s="58"/>
      <c r="AE87" s="58"/>
      <c r="AF87" s="59"/>
      <c r="AG87" s="59"/>
    </row>
    <row r="88" ht="15.75" customHeight="1">
      <c r="A88" s="58"/>
      <c r="B88" s="58"/>
      <c r="C88" s="58"/>
      <c r="D88" s="58"/>
      <c r="E88" s="58"/>
      <c r="F88" s="58"/>
      <c r="G88" s="58"/>
      <c r="H88" s="89"/>
      <c r="I88" s="277"/>
      <c r="J88" s="90"/>
      <c r="K88" s="277"/>
      <c r="L88" s="346"/>
      <c r="M88" s="277"/>
      <c r="N88" s="346"/>
      <c r="O88" s="277"/>
      <c r="P88" s="346"/>
      <c r="Q88" s="277"/>
      <c r="R88" s="346"/>
      <c r="S88" s="277"/>
      <c r="T88" s="346"/>
      <c r="U88" s="288"/>
      <c r="V88" s="347"/>
      <c r="W88" s="277"/>
      <c r="X88" s="346"/>
      <c r="Y88" s="18"/>
      <c r="Z88" s="346"/>
      <c r="AA88" s="18"/>
      <c r="AB88" s="346"/>
      <c r="AC88" s="58"/>
      <c r="AD88" s="58"/>
      <c r="AE88" s="58"/>
      <c r="AF88" s="59"/>
      <c r="AG88" s="59"/>
    </row>
    <row r="89" ht="15.75" customHeight="1">
      <c r="A89" s="58"/>
      <c r="B89" s="58"/>
      <c r="C89" s="58"/>
      <c r="D89" s="58"/>
      <c r="E89" s="58"/>
      <c r="F89" s="58"/>
      <c r="G89" s="58"/>
      <c r="H89" s="89"/>
      <c r="I89" s="277"/>
      <c r="J89" s="90"/>
      <c r="K89" s="277"/>
      <c r="L89" s="346"/>
      <c r="M89" s="277"/>
      <c r="N89" s="346"/>
      <c r="O89" s="277"/>
      <c r="P89" s="346"/>
      <c r="Q89" s="277"/>
      <c r="R89" s="346"/>
      <c r="S89" s="277"/>
      <c r="T89" s="346"/>
      <c r="U89" s="277"/>
      <c r="V89" s="346"/>
      <c r="W89" s="277"/>
      <c r="X89" s="346"/>
      <c r="Y89" s="18"/>
      <c r="Z89" s="346"/>
      <c r="AA89" s="18"/>
      <c r="AB89" s="346"/>
      <c r="AC89" s="58"/>
      <c r="AD89" s="58"/>
      <c r="AE89" s="58"/>
      <c r="AF89" s="59"/>
      <c r="AG89" s="59"/>
    </row>
    <row r="90" ht="15.75" customHeight="1">
      <c r="A90" s="58"/>
      <c r="B90" s="58"/>
      <c r="C90" s="58"/>
      <c r="D90" s="58"/>
      <c r="E90" s="58"/>
      <c r="F90" s="58"/>
      <c r="G90" s="58"/>
      <c r="H90" s="89"/>
      <c r="I90" s="277"/>
      <c r="J90" s="90"/>
      <c r="K90" s="277"/>
      <c r="L90" s="346"/>
      <c r="M90" s="277"/>
      <c r="N90" s="346"/>
      <c r="O90" s="277"/>
      <c r="P90" s="346"/>
      <c r="Q90" s="277"/>
      <c r="R90" s="346"/>
      <c r="S90" s="277"/>
      <c r="T90" s="346"/>
      <c r="U90" s="277"/>
      <c r="V90" s="346"/>
      <c r="W90" s="277"/>
      <c r="X90" s="346"/>
      <c r="Y90" s="18"/>
      <c r="Z90" s="346"/>
      <c r="AA90" s="18"/>
      <c r="AB90" s="346"/>
      <c r="AC90" s="58"/>
      <c r="AD90" s="58"/>
      <c r="AE90" s="58"/>
      <c r="AF90" s="59"/>
      <c r="AG90" s="59"/>
    </row>
    <row r="91" ht="15.75" customHeight="1">
      <c r="A91" s="58"/>
      <c r="B91" s="58"/>
      <c r="C91" s="58"/>
      <c r="D91" s="58"/>
      <c r="E91" s="58"/>
      <c r="F91" s="58"/>
      <c r="G91" s="58"/>
      <c r="H91" s="89"/>
      <c r="I91" s="322"/>
      <c r="J91" s="90"/>
      <c r="K91" s="277"/>
      <c r="L91" s="346"/>
      <c r="M91" s="277"/>
      <c r="N91" s="346"/>
      <c r="O91" s="277"/>
      <c r="P91" s="346"/>
      <c r="Q91" s="277"/>
      <c r="R91" s="346"/>
      <c r="S91" s="277"/>
      <c r="T91" s="346"/>
      <c r="U91" s="277"/>
      <c r="V91" s="346"/>
      <c r="W91" s="277"/>
      <c r="X91" s="346"/>
      <c r="Y91" s="18"/>
      <c r="Z91" s="346"/>
      <c r="AA91" s="18"/>
      <c r="AB91" s="346"/>
      <c r="AC91" s="58"/>
      <c r="AD91" s="58"/>
      <c r="AE91" s="58"/>
      <c r="AF91" s="59"/>
      <c r="AG91" s="59"/>
    </row>
    <row r="92" ht="15.75" hidden="1" customHeight="1">
      <c r="A92" s="318"/>
      <c r="B92" s="319"/>
      <c r="C92" s="319"/>
      <c r="D92" s="319"/>
      <c r="E92" s="319"/>
      <c r="F92" s="319"/>
      <c r="G92" s="319"/>
      <c r="H92" s="225" t="s">
        <v>292</v>
      </c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58"/>
      <c r="AD92" s="58"/>
    </row>
    <row r="93" ht="15.75" hidden="1" customHeight="1">
      <c r="A93" s="320"/>
      <c r="B93" s="321"/>
      <c r="C93" s="321"/>
      <c r="D93" s="321"/>
      <c r="E93" s="321"/>
      <c r="F93" s="321"/>
      <c r="G93" s="321"/>
      <c r="H93" s="230"/>
      <c r="AC93" s="58"/>
      <c r="AD93" s="58"/>
    </row>
    <row r="94" ht="15.75" hidden="1" customHeight="1">
      <c r="A94" s="320"/>
      <c r="B94" s="321"/>
      <c r="C94" s="321"/>
      <c r="D94" s="321"/>
      <c r="E94" s="321"/>
      <c r="F94" s="321"/>
      <c r="G94" s="321"/>
      <c r="H94" s="230"/>
      <c r="AC94" s="58"/>
      <c r="AD94" s="58"/>
    </row>
    <row r="95" ht="15.75" hidden="1" customHeight="1">
      <c r="A95" s="232" t="s">
        <v>270</v>
      </c>
      <c r="B95" s="233" t="s">
        <v>271</v>
      </c>
      <c r="C95" s="233"/>
      <c r="D95" s="233" t="s">
        <v>272</v>
      </c>
      <c r="F95" s="235" t="s">
        <v>289</v>
      </c>
      <c r="G95" s="58"/>
      <c r="H95" s="236" t="s">
        <v>275</v>
      </c>
      <c r="I95" s="323"/>
      <c r="J95" s="333"/>
      <c r="K95" s="323"/>
      <c r="L95" s="358"/>
      <c r="M95" s="323"/>
      <c r="N95" s="358"/>
      <c r="O95" s="323"/>
      <c r="P95" s="59"/>
      <c r="Q95" s="323"/>
      <c r="R95" s="59"/>
      <c r="S95" s="323"/>
      <c r="T95" s="59"/>
      <c r="U95" s="323"/>
      <c r="V95" s="59"/>
      <c r="W95" s="323"/>
      <c r="X95" s="360"/>
      <c r="Y95" s="324"/>
      <c r="Z95" s="360"/>
      <c r="AA95" s="324"/>
      <c r="AB95" s="360"/>
      <c r="AC95" s="58"/>
      <c r="AD95" s="58"/>
    </row>
    <row r="96" ht="15.75" hidden="1" customHeight="1">
      <c r="A96" s="248" t="s">
        <v>37</v>
      </c>
      <c r="G96" s="58"/>
      <c r="H96" s="244" t="s">
        <v>274</v>
      </c>
      <c r="I96" s="245">
        <v>60.0</v>
      </c>
      <c r="J96" s="247"/>
      <c r="K96" s="245">
        <v>60.0</v>
      </c>
      <c r="L96" s="338"/>
      <c r="M96" s="245">
        <v>60.0</v>
      </c>
      <c r="N96" s="338"/>
      <c r="O96" s="245">
        <v>60.0</v>
      </c>
      <c r="P96" s="59"/>
      <c r="Q96" s="245">
        <v>30.0</v>
      </c>
      <c r="R96" s="59"/>
      <c r="S96" s="245">
        <v>60.0</v>
      </c>
      <c r="T96" s="59"/>
      <c r="U96" s="245">
        <v>60.0</v>
      </c>
      <c r="V96" s="59"/>
      <c r="W96" s="245">
        <v>60.0</v>
      </c>
      <c r="X96" s="338"/>
      <c r="Y96" s="246"/>
      <c r="Z96" s="338"/>
      <c r="AA96" s="246"/>
      <c r="AB96" s="338"/>
      <c r="AC96" s="58"/>
      <c r="AD96" s="58"/>
    </row>
    <row r="97" ht="15.75" hidden="1" customHeight="1">
      <c r="A97" s="248" t="s">
        <v>40</v>
      </c>
      <c r="G97" s="58"/>
      <c r="H97" s="244" t="s">
        <v>201</v>
      </c>
      <c r="I97" s="245" t="s">
        <v>23</v>
      </c>
      <c r="J97" s="247"/>
      <c r="K97" s="245" t="s">
        <v>23</v>
      </c>
      <c r="L97" s="338"/>
      <c r="M97" s="245" t="s">
        <v>23</v>
      </c>
      <c r="N97" s="338"/>
      <c r="O97" s="245" t="s">
        <v>23</v>
      </c>
      <c r="P97" s="59"/>
      <c r="Q97" s="245" t="s">
        <v>25</v>
      </c>
      <c r="R97" s="59"/>
      <c r="S97" s="245" t="s">
        <v>23</v>
      </c>
      <c r="T97" s="59"/>
      <c r="U97" s="245" t="s">
        <v>23</v>
      </c>
      <c r="V97" s="59"/>
      <c r="W97" s="245" t="s">
        <v>23</v>
      </c>
      <c r="X97" s="338"/>
      <c r="Y97" s="246"/>
      <c r="Z97" s="338"/>
      <c r="AA97" s="246"/>
      <c r="AB97" s="338"/>
      <c r="AC97" s="58"/>
      <c r="AD97" s="58"/>
    </row>
    <row r="98" ht="15.75" hidden="1" customHeight="1">
      <c r="A98" s="248" t="s">
        <v>57</v>
      </c>
      <c r="G98" s="58"/>
      <c r="H98" s="250" t="s">
        <v>277</v>
      </c>
      <c r="I98" s="251" t="str">
        <f>If(MAX('Round 55'!D:D)&gt;=I96,MAX('Round 55'!D:D),0)</f>
        <v>#REF!</v>
      </c>
      <c r="J98" s="316"/>
      <c r="K98" s="251" t="str">
        <f>If(MAX('Round 55'!E:E)&gt;=K96,MAX('Round 55'!E:E),0)</f>
        <v>#REF!</v>
      </c>
      <c r="L98" s="342"/>
      <c r="M98" s="251" t="str">
        <f>If(MAX('Round 55'!F:F)&gt;=M96,MAX('Round 55'!F:F),0)</f>
        <v>#REF!</v>
      </c>
      <c r="N98" s="342"/>
      <c r="O98" s="251" t="str">
        <f>If(MAX('Round 55'!G:G)&gt;=O96,MAX('Round 55'!G:G),0)</f>
        <v>#REF!</v>
      </c>
      <c r="P98" s="342"/>
      <c r="Q98" s="251" t="str">
        <f>If(MAX('Round 55'!H:H)&gt;=Q96,MAX('Round 55'!H:H),0)</f>
        <v>#REF!</v>
      </c>
      <c r="R98" s="342"/>
      <c r="S98" s="251" t="str">
        <f>If(MAX('Round 55'!I:I)&gt;=S96,MAX('Round 55'!I:I),0)</f>
        <v>#REF!</v>
      </c>
      <c r="T98" s="342"/>
      <c r="U98" s="251" t="str">
        <f>If(MAX('Round 55'!J:J)&gt;=S96,MAX('Round 55'!J:J),0)</f>
        <v>#REF!</v>
      </c>
      <c r="V98" s="342"/>
      <c r="W98" s="251"/>
      <c r="X98" s="361"/>
      <c r="Y98" s="325"/>
      <c r="Z98" s="361"/>
      <c r="AA98" s="325"/>
      <c r="AB98" s="361"/>
      <c r="AC98" s="58"/>
      <c r="AD98" s="58"/>
    </row>
    <row r="99" ht="15.75" hidden="1" customHeight="1">
      <c r="A99" s="248" t="s">
        <v>193</v>
      </c>
      <c r="G99" s="58"/>
      <c r="H99" s="256" t="s">
        <v>278</v>
      </c>
      <c r="I99" s="257" t="str">
        <f t="shared" ref="I99:V99" si="16">I102</f>
        <v/>
      </c>
      <c r="J99" s="259" t="str">
        <f t="shared" si="16"/>
        <v/>
      </c>
      <c r="K99" s="257" t="str">
        <f t="shared" si="16"/>
        <v/>
      </c>
      <c r="L99" s="343" t="str">
        <f t="shared" si="16"/>
        <v/>
      </c>
      <c r="M99" s="257" t="str">
        <f t="shared" si="16"/>
        <v/>
      </c>
      <c r="N99" s="343" t="str">
        <f t="shared" si="16"/>
        <v/>
      </c>
      <c r="O99" s="257" t="str">
        <f t="shared" si="16"/>
        <v/>
      </c>
      <c r="P99" s="343" t="str">
        <f t="shared" si="16"/>
        <v/>
      </c>
      <c r="Q99" s="257" t="str">
        <f t="shared" si="16"/>
        <v/>
      </c>
      <c r="R99" s="343" t="str">
        <f t="shared" si="16"/>
        <v/>
      </c>
      <c r="S99" s="257" t="str">
        <f t="shared" si="16"/>
        <v/>
      </c>
      <c r="T99" s="343" t="str">
        <f t="shared" si="16"/>
        <v/>
      </c>
      <c r="U99" s="257" t="str">
        <f t="shared" si="16"/>
        <v/>
      </c>
      <c r="V99" s="343" t="str">
        <f t="shared" si="16"/>
        <v/>
      </c>
      <c r="W99" s="257"/>
      <c r="X99" s="362"/>
      <c r="Y99" s="326"/>
      <c r="Z99" s="362"/>
      <c r="AA99" s="326"/>
      <c r="AB99" s="362"/>
      <c r="AC99" s="58"/>
      <c r="AD99" s="58"/>
    </row>
    <row r="100" ht="15.75" hidden="1" customHeight="1">
      <c r="A100" s="248" t="s">
        <v>259</v>
      </c>
      <c r="G100" s="58"/>
      <c r="H100" s="261" t="s">
        <v>279</v>
      </c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344"/>
      <c r="W100" s="263"/>
      <c r="X100" s="363"/>
      <c r="Y100" s="327"/>
      <c r="Z100" s="363"/>
      <c r="AA100" s="327"/>
      <c r="AB100" s="363"/>
      <c r="AC100" s="58"/>
      <c r="AD100" s="58"/>
    </row>
    <row r="101" ht="15.75" hidden="1" customHeight="1">
      <c r="A101" s="248" t="s">
        <v>169</v>
      </c>
      <c r="G101" s="58"/>
      <c r="H101" s="264" t="s">
        <v>280</v>
      </c>
      <c r="I101" s="265" t="str">
        <f>IFERROR(__xludf.DUMMYFUNCTION("Query('Round 55'!$B:$J,""Select B, MAX(C) WHERE C&gt;=198 group by B order by max(C) desc"")"),"#REF!")</f>
        <v>#REF!</v>
      </c>
      <c r="J101" s="289"/>
      <c r="K101" s="265" t="str">
        <f>IFERROR(__xludf.DUMMYFUNCTION("Query('Round 55'!$B:$J,""Select B, MAX(D) WHERE D&gt;=150 group by B order by max(D) desc"")"),"#REF!")</f>
        <v>#REF!</v>
      </c>
      <c r="L101" s="266"/>
      <c r="M101" s="265" t="str">
        <f>IFERROR(__xludf.DUMMYFUNCTION("Query('Round 55'!$B:$J,""Select B, MAX(E) WHERE E&gt;=60 group by B order by max(E) desc"")"),"#REF!")</f>
        <v>#REF!</v>
      </c>
      <c r="N101" s="266"/>
      <c r="O101" s="265" t="str">
        <f>IFERROR(__xludf.DUMMYFUNCTION("Query('Round 55'!$B:$J,""Select B, MAX(F) WHERE F&gt;=150 group by B order by max(F) desc"")"),"#REF!")</f>
        <v>#REF!</v>
      </c>
      <c r="P101" s="266"/>
      <c r="Q101" s="265" t="str">
        <f>IFERROR(__xludf.DUMMYFUNCTION("Query('Round 55'!$B:$J,""Select B, MAX(G) WHERE G&gt;=30 group by B order by max(G) desc"")"),"#REF!")</f>
        <v>#REF!</v>
      </c>
      <c r="R101" s="266"/>
      <c r="S101" s="328" t="str">
        <f>IFERROR(__xludf.DUMMYFUNCTION("Query('Round 55'!$B:$J,""Select B, MAX(H) WHERE H&gt;=60 group by B order by max(H) desc"")"),"#REF!")</f>
        <v>#REF!</v>
      </c>
      <c r="T101" s="266"/>
      <c r="U101" s="328" t="str">
        <f>IFERROR(__xludf.DUMMYFUNCTION("Query('Round 55'!$B:$J,""Select B, MAX(I) WHERE I&gt;=30 group by B order by max(I) desc"")"),"#REF!")</f>
        <v>#REF!</v>
      </c>
      <c r="V101" s="266"/>
      <c r="W101" s="328" t="str">
        <f>IFERROR(__xludf.DUMMYFUNCTION("Query('Round 55'!$B:$I,""Select B, MAX(J) WHERE J&gt;=198 group by B order by max(J) desc"")"),"#REF!")</f>
        <v>#REF!</v>
      </c>
      <c r="X101" s="267"/>
      <c r="Y101" s="267"/>
      <c r="Z101" s="267"/>
      <c r="AA101" s="267"/>
      <c r="AB101" s="267"/>
      <c r="AC101" s="58"/>
      <c r="AD101" s="58"/>
    </row>
    <row r="102" ht="15.75" hidden="1" customHeight="1">
      <c r="A102" s="248" t="s">
        <v>129</v>
      </c>
      <c r="G102" s="58"/>
      <c r="H102" s="230"/>
      <c r="I102" s="268"/>
      <c r="J102" s="345"/>
      <c r="K102" s="268"/>
      <c r="L102" s="346"/>
      <c r="M102" s="271"/>
      <c r="N102" s="346"/>
      <c r="O102" s="271"/>
      <c r="P102" s="346"/>
      <c r="Q102" s="271"/>
      <c r="R102" s="346"/>
      <c r="S102" s="271"/>
      <c r="T102" s="346"/>
      <c r="U102" s="271"/>
      <c r="V102" s="346"/>
      <c r="W102" s="271"/>
      <c r="X102" s="346"/>
      <c r="Y102" s="18"/>
      <c r="Z102" s="346"/>
      <c r="AA102" s="18"/>
      <c r="AB102" s="346"/>
      <c r="AC102" s="58"/>
      <c r="AD102" s="58"/>
    </row>
    <row r="103" ht="15.75" hidden="1" customHeight="1">
      <c r="A103" s="248" t="s">
        <v>139</v>
      </c>
      <c r="G103" s="58"/>
      <c r="H103" s="89"/>
      <c r="I103" s="276"/>
      <c r="J103" s="345"/>
      <c r="K103" s="276"/>
      <c r="L103" s="346"/>
      <c r="M103" s="277"/>
      <c r="N103" s="346"/>
      <c r="O103" s="277"/>
      <c r="P103" s="346"/>
      <c r="Q103" s="277"/>
      <c r="R103" s="346"/>
      <c r="S103" s="277"/>
      <c r="T103" s="346"/>
      <c r="U103" s="277"/>
      <c r="V103" s="346"/>
      <c r="W103" s="277"/>
      <c r="X103" s="346"/>
      <c r="Y103" s="18"/>
      <c r="Z103" s="346"/>
      <c r="AA103" s="18"/>
      <c r="AB103" s="346"/>
      <c r="AC103" s="58"/>
      <c r="AD103" s="58"/>
    </row>
    <row r="104" ht="15.75" hidden="1" customHeight="1">
      <c r="A104" s="248" t="s">
        <v>155</v>
      </c>
      <c r="G104" s="58"/>
      <c r="H104" s="89"/>
      <c r="I104" s="276"/>
      <c r="J104" s="345"/>
      <c r="K104" s="276"/>
      <c r="L104" s="347"/>
      <c r="M104" s="277"/>
      <c r="N104" s="346"/>
      <c r="O104" s="277"/>
      <c r="P104" s="346"/>
      <c r="Q104" s="277"/>
      <c r="R104" s="346"/>
      <c r="S104" s="277"/>
      <c r="T104" s="346"/>
      <c r="U104" s="277"/>
      <c r="V104" s="346"/>
      <c r="W104" s="277"/>
      <c r="X104" s="346"/>
      <c r="Y104" s="18"/>
      <c r="Z104" s="346"/>
      <c r="AA104" s="18"/>
      <c r="AB104" s="346"/>
      <c r="AC104" s="58"/>
      <c r="AD104" s="58"/>
    </row>
    <row r="105" ht="15.75" hidden="1" customHeight="1">
      <c r="A105" s="280" t="s">
        <v>126</v>
      </c>
      <c r="G105" s="58"/>
      <c r="H105" s="89"/>
      <c r="I105" s="276"/>
      <c r="J105" s="345"/>
      <c r="K105" s="276"/>
      <c r="L105" s="346"/>
      <c r="M105" s="277"/>
      <c r="N105" s="346"/>
      <c r="O105" s="277"/>
      <c r="P105" s="346"/>
      <c r="Q105" s="277"/>
      <c r="R105" s="346"/>
      <c r="S105" s="277"/>
      <c r="T105" s="346"/>
      <c r="U105" s="277"/>
      <c r="V105" s="346"/>
      <c r="W105" s="277"/>
      <c r="X105" s="346"/>
      <c r="Y105" s="18"/>
      <c r="Z105" s="346"/>
      <c r="AA105" s="18"/>
      <c r="AB105" s="346"/>
      <c r="AC105" s="58"/>
      <c r="AD105" s="58"/>
    </row>
    <row r="106" ht="15.75" hidden="1" customHeight="1">
      <c r="A106" s="58"/>
      <c r="B106" s="58"/>
      <c r="C106" s="58"/>
      <c r="D106" s="58"/>
      <c r="E106" s="58"/>
      <c r="F106" s="58"/>
      <c r="G106" s="58"/>
      <c r="H106" s="89"/>
      <c r="I106" s="276"/>
      <c r="J106" s="345"/>
      <c r="K106" s="276"/>
      <c r="L106" s="346"/>
      <c r="M106" s="277"/>
      <c r="N106" s="346"/>
      <c r="O106" s="277"/>
      <c r="P106" s="346"/>
      <c r="Q106" s="277"/>
      <c r="R106" s="346"/>
      <c r="S106" s="277"/>
      <c r="T106" s="346"/>
      <c r="U106" s="277"/>
      <c r="V106" s="346"/>
      <c r="W106" s="277"/>
      <c r="X106" s="346"/>
      <c r="Y106" s="18"/>
      <c r="Z106" s="346"/>
      <c r="AA106" s="18"/>
      <c r="AB106" s="346"/>
      <c r="AC106" s="58"/>
      <c r="AD106" s="58"/>
    </row>
    <row r="107" ht="15.75" hidden="1" customHeight="1">
      <c r="A107" s="58"/>
      <c r="B107" s="58"/>
      <c r="C107" s="58"/>
      <c r="D107" s="58"/>
      <c r="E107" s="58"/>
      <c r="F107" s="58"/>
      <c r="G107" s="58"/>
      <c r="H107" s="89"/>
      <c r="I107" s="277"/>
      <c r="J107" s="90"/>
      <c r="K107" s="276"/>
      <c r="L107" s="346"/>
      <c r="M107" s="277"/>
      <c r="N107" s="346"/>
      <c r="O107" s="277"/>
      <c r="P107" s="346"/>
      <c r="Q107" s="277"/>
      <c r="R107" s="346"/>
      <c r="S107" s="277"/>
      <c r="T107" s="346"/>
      <c r="U107" s="277"/>
      <c r="V107" s="346"/>
      <c r="W107" s="277"/>
      <c r="X107" s="346"/>
      <c r="Y107" s="18"/>
      <c r="Z107" s="346"/>
      <c r="AA107" s="18"/>
      <c r="AB107" s="346"/>
      <c r="AC107" s="58"/>
      <c r="AD107" s="58"/>
    </row>
    <row r="108" ht="15.75" hidden="1" customHeight="1">
      <c r="A108" s="58"/>
      <c r="B108" s="58"/>
      <c r="C108" s="58"/>
      <c r="D108" s="58"/>
      <c r="E108" s="58"/>
      <c r="F108" s="58"/>
      <c r="G108" s="58"/>
      <c r="H108" s="287"/>
      <c r="I108" s="288"/>
      <c r="J108" s="90"/>
      <c r="K108" s="276"/>
      <c r="L108" s="349"/>
      <c r="M108" s="276"/>
      <c r="N108" s="346"/>
      <c r="O108" s="277"/>
      <c r="P108" s="346"/>
      <c r="Q108" s="277"/>
      <c r="R108" s="346"/>
      <c r="S108" s="277"/>
      <c r="T108" s="346"/>
      <c r="U108" s="277"/>
      <c r="V108" s="346"/>
      <c r="W108" s="277"/>
      <c r="X108" s="346"/>
      <c r="Y108" s="18"/>
      <c r="Z108" s="346"/>
      <c r="AA108" s="18"/>
      <c r="AB108" s="346"/>
      <c r="AC108" s="58"/>
      <c r="AD108" s="58"/>
    </row>
    <row r="109" ht="15.75" hidden="1" customHeight="1">
      <c r="A109" s="58"/>
      <c r="B109" s="58"/>
      <c r="C109" s="58"/>
      <c r="D109" s="58"/>
      <c r="E109" s="58"/>
      <c r="F109" s="58"/>
      <c r="G109" s="58"/>
      <c r="H109" s="89"/>
      <c r="I109" s="277"/>
      <c r="J109" s="90"/>
      <c r="K109" s="276"/>
      <c r="L109" s="346"/>
      <c r="M109" s="277"/>
      <c r="N109" s="346"/>
      <c r="O109" s="277"/>
      <c r="P109" s="346"/>
      <c r="Q109" s="277"/>
      <c r="R109" s="346"/>
      <c r="S109" s="277"/>
      <c r="T109" s="346"/>
      <c r="U109" s="277"/>
      <c r="V109" s="346"/>
      <c r="W109" s="277"/>
      <c r="X109" s="346"/>
      <c r="Y109" s="18"/>
      <c r="Z109" s="346"/>
      <c r="AA109" s="18"/>
      <c r="AB109" s="346"/>
      <c r="AC109" s="58"/>
      <c r="AD109" s="58"/>
    </row>
    <row r="110" ht="15.75" hidden="1" customHeight="1">
      <c r="A110" s="58"/>
      <c r="B110" s="58"/>
      <c r="C110" s="58"/>
      <c r="D110" s="58"/>
      <c r="E110" s="58"/>
      <c r="F110" s="58"/>
      <c r="G110" s="58"/>
      <c r="H110" s="89"/>
      <c r="I110" s="277"/>
      <c r="J110" s="90"/>
      <c r="K110" s="276"/>
      <c r="L110" s="346"/>
      <c r="M110" s="277"/>
      <c r="N110" s="346"/>
      <c r="O110" s="277"/>
      <c r="P110" s="346"/>
      <c r="Q110" s="277"/>
      <c r="R110" s="346"/>
      <c r="S110" s="277"/>
      <c r="T110" s="346"/>
      <c r="U110" s="277"/>
      <c r="V110" s="346"/>
      <c r="W110" s="277"/>
      <c r="X110" s="346"/>
      <c r="Y110" s="18"/>
      <c r="Z110" s="346"/>
      <c r="AA110" s="18"/>
      <c r="AB110" s="346"/>
      <c r="AC110" s="58"/>
      <c r="AD110" s="58"/>
    </row>
    <row r="111" ht="15.75" hidden="1" customHeight="1">
      <c r="A111" s="58"/>
      <c r="B111" s="58"/>
      <c r="C111" s="58"/>
      <c r="D111" s="58"/>
      <c r="E111" s="58"/>
      <c r="F111" s="58"/>
      <c r="G111" s="58"/>
      <c r="H111" s="89"/>
      <c r="I111" s="277"/>
      <c r="J111" s="90"/>
      <c r="K111" s="277"/>
      <c r="L111" s="346"/>
      <c r="M111" s="277"/>
      <c r="N111" s="346"/>
      <c r="O111" s="277"/>
      <c r="P111" s="346"/>
      <c r="Q111" s="277"/>
      <c r="R111" s="346"/>
      <c r="S111" s="277"/>
      <c r="T111" s="346"/>
      <c r="U111" s="288"/>
      <c r="V111" s="347"/>
      <c r="W111" s="277"/>
      <c r="X111" s="346"/>
      <c r="Y111" s="18"/>
      <c r="Z111" s="346"/>
      <c r="AA111" s="18"/>
      <c r="AB111" s="346"/>
      <c r="AC111" s="58"/>
      <c r="AD111" s="58"/>
    </row>
    <row r="112" ht="15.75" hidden="1" customHeight="1">
      <c r="A112" s="58"/>
      <c r="B112" s="58"/>
      <c r="C112" s="58"/>
      <c r="D112" s="58"/>
      <c r="E112" s="58"/>
      <c r="F112" s="58"/>
      <c r="G112" s="58"/>
      <c r="H112" s="89"/>
      <c r="I112" s="277"/>
      <c r="J112" s="90"/>
      <c r="K112" s="277"/>
      <c r="L112" s="346"/>
      <c r="M112" s="277"/>
      <c r="N112" s="346"/>
      <c r="O112" s="277"/>
      <c r="P112" s="346"/>
      <c r="Q112" s="277"/>
      <c r="R112" s="346"/>
      <c r="S112" s="277"/>
      <c r="T112" s="346"/>
      <c r="U112" s="277"/>
      <c r="V112" s="346"/>
      <c r="W112" s="277"/>
      <c r="X112" s="346"/>
      <c r="Y112" s="18"/>
      <c r="Z112" s="346"/>
      <c r="AA112" s="18"/>
      <c r="AB112" s="346"/>
      <c r="AC112" s="58"/>
      <c r="AD112" s="58"/>
    </row>
    <row r="113" ht="15.75" hidden="1" customHeight="1">
      <c r="J113" s="58"/>
      <c r="L113" s="59"/>
      <c r="N113" s="59"/>
      <c r="P113" s="59"/>
      <c r="R113" s="59"/>
      <c r="T113" s="59"/>
      <c r="V113" s="59"/>
      <c r="X113" s="59"/>
      <c r="Z113" s="59"/>
      <c r="AB113" s="59"/>
      <c r="AC113" s="58"/>
      <c r="AD113" s="58"/>
    </row>
    <row r="114" ht="15.75" hidden="1" customHeight="1">
      <c r="J114" s="58"/>
      <c r="L114" s="59"/>
      <c r="N114" s="59"/>
      <c r="P114" s="59"/>
      <c r="R114" s="59"/>
      <c r="T114" s="59"/>
      <c r="V114" s="59"/>
      <c r="X114" s="59"/>
      <c r="Z114" s="59"/>
      <c r="AB114" s="59"/>
      <c r="AC114" s="58"/>
      <c r="AD114" s="58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1:AB3"/>
    <mergeCell ref="H9:AA9"/>
    <mergeCell ref="H10:H11"/>
    <mergeCell ref="E16:F16"/>
    <mergeCell ref="E17:F19"/>
    <mergeCell ref="AE20:AG21"/>
    <mergeCell ref="E21:F23"/>
    <mergeCell ref="H57:H58"/>
    <mergeCell ref="H69:AB71"/>
    <mergeCell ref="H77:U77"/>
    <mergeCell ref="H78:H79"/>
    <mergeCell ref="H92:AB94"/>
    <mergeCell ref="H100:U100"/>
    <mergeCell ref="H101:H102"/>
    <mergeCell ref="I22:AB22"/>
    <mergeCell ref="I25:AB25"/>
    <mergeCell ref="I26:AB28"/>
    <mergeCell ref="H34:AB34"/>
    <mergeCell ref="H35:H36"/>
    <mergeCell ref="H48:AB50"/>
    <mergeCell ref="H56:AB56"/>
  </mergeCells>
  <conditionalFormatting sqref="B5:D21 B30:B47 B52:B68 B73:B91 B95:C99 B103:C103 C29:C47 C51:C68 C72:C91 E5:E23 F16:F23">
    <cfRule type="cellIs" dxfId="12" priority="1" operator="lessThan">
      <formula>0</formula>
    </cfRule>
  </conditionalFormatting>
  <hyperlinks>
    <hyperlink r:id="rId1" ref="A20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hidden="1" min="2" max="2" width="7.88"/>
    <col customWidth="1" min="3" max="3" width="9.25"/>
    <col customWidth="1" min="4" max="4" width="7.13"/>
    <col customWidth="1" min="5" max="5" width="7.88"/>
    <col customWidth="1" min="6" max="6" width="5.38"/>
    <col customWidth="1" min="7" max="7" width="1.63"/>
    <col customWidth="1" min="8" max="8" width="13.88"/>
    <col customWidth="1" min="9" max="9" width="15.88"/>
    <col customWidth="1" min="10" max="10" width="1.38"/>
    <col customWidth="1" min="11" max="11" width="17.38"/>
    <col customWidth="1" min="12" max="12" width="1.38"/>
    <col customWidth="1" min="13" max="13" width="16.5"/>
    <col customWidth="1" min="14" max="14" width="1.38"/>
    <col customWidth="1" min="15" max="15" width="17.38"/>
    <col customWidth="1" min="16" max="16" width="1.38"/>
    <col customWidth="1" min="17" max="17" width="16.13"/>
    <col customWidth="1" min="18" max="18" width="1.38"/>
    <col customWidth="1" min="19" max="19" width="16.75"/>
    <col customWidth="1" min="20" max="20" width="1.38"/>
    <col customWidth="1" min="21" max="21" width="13.5"/>
    <col customWidth="1" min="22" max="22" width="1.38"/>
    <col customWidth="1" min="23" max="23" width="17.38"/>
    <col customWidth="1" min="24" max="24" width="1.38"/>
    <col customWidth="1" min="25" max="25" width="13.75"/>
    <col customWidth="1" min="26" max="26" width="1.38"/>
    <col customWidth="1" min="27" max="27" width="13.38"/>
    <col customWidth="1" hidden="1" min="28" max="28" width="4.13"/>
    <col customWidth="1" hidden="1" min="29" max="29" width="6.0"/>
    <col customWidth="1" min="30" max="30" width="13.88"/>
    <col customWidth="1" min="31" max="31" width="6.38"/>
    <col customWidth="1" min="32" max="33" width="17.0"/>
    <col customWidth="1" min="34" max="34" width="14.75"/>
  </cols>
  <sheetData>
    <row r="1" ht="15.75" customHeight="1">
      <c r="A1" s="223"/>
      <c r="B1" s="224"/>
      <c r="C1" s="224"/>
      <c r="D1" s="224"/>
      <c r="E1" s="224"/>
      <c r="F1" s="224"/>
      <c r="G1" s="224"/>
      <c r="H1" s="225" t="s">
        <v>269</v>
      </c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58"/>
      <c r="AD1" s="58"/>
      <c r="AE1" s="58"/>
      <c r="AF1" s="58"/>
      <c r="AG1" s="58"/>
      <c r="AH1" s="58"/>
    </row>
    <row r="2" ht="15.75" customHeight="1">
      <c r="A2" s="228"/>
      <c r="B2" s="229"/>
      <c r="C2" s="229"/>
      <c r="D2" s="229"/>
      <c r="E2" s="229"/>
      <c r="F2" s="229"/>
      <c r="G2" s="229"/>
      <c r="H2" s="230"/>
      <c r="AC2" s="58"/>
      <c r="AD2" s="58"/>
      <c r="AE2" s="58"/>
      <c r="AF2" s="58"/>
      <c r="AG2" s="58"/>
      <c r="AH2" s="58"/>
    </row>
    <row r="3" ht="15.75" customHeight="1">
      <c r="A3" s="228"/>
      <c r="B3" s="229"/>
      <c r="C3" s="330"/>
      <c r="D3" s="229"/>
      <c r="E3" s="229"/>
      <c r="F3" s="229"/>
      <c r="G3" s="229"/>
      <c r="H3" s="230"/>
      <c r="AC3" s="58"/>
      <c r="AD3" s="58"/>
      <c r="AE3" s="58"/>
      <c r="AF3" s="58"/>
      <c r="AG3" s="58"/>
      <c r="AH3" s="58"/>
    </row>
    <row r="4" ht="47.25" customHeight="1">
      <c r="A4" s="232" t="s">
        <v>270</v>
      </c>
      <c r="B4" s="331" t="s">
        <v>293</v>
      </c>
      <c r="C4" s="332" t="s">
        <v>271</v>
      </c>
      <c r="D4" s="233" t="s">
        <v>272</v>
      </c>
      <c r="E4" s="234" t="s">
        <v>273</v>
      </c>
      <c r="F4" s="235" t="s">
        <v>274</v>
      </c>
      <c r="G4" s="58"/>
      <c r="H4" s="236" t="s">
        <v>275</v>
      </c>
      <c r="I4" s="179" t="s">
        <v>43</v>
      </c>
      <c r="J4" s="238"/>
      <c r="K4" s="179" t="s">
        <v>121</v>
      </c>
      <c r="L4" s="334"/>
      <c r="M4" s="179" t="s">
        <v>226</v>
      </c>
      <c r="N4" s="334"/>
      <c r="O4" s="179" t="s">
        <v>157</v>
      </c>
      <c r="P4" s="334"/>
      <c r="Q4" s="179" t="s">
        <v>113</v>
      </c>
      <c r="R4" s="334"/>
      <c r="S4" s="195" t="s">
        <v>100</v>
      </c>
      <c r="T4" s="334"/>
      <c r="U4" s="179" t="s">
        <v>59</v>
      </c>
      <c r="V4" s="334"/>
      <c r="W4" s="237" t="s">
        <v>141</v>
      </c>
      <c r="X4" s="334"/>
      <c r="Y4" s="237"/>
      <c r="Z4" s="334"/>
      <c r="AA4" s="237"/>
      <c r="AB4" s="334"/>
      <c r="AC4" s="58"/>
      <c r="AD4" s="232" t="s">
        <v>270</v>
      </c>
      <c r="AE4" s="232" t="s">
        <v>184</v>
      </c>
      <c r="AF4" s="232" t="s">
        <v>173</v>
      </c>
      <c r="AG4" s="232" t="s">
        <v>190</v>
      </c>
      <c r="AH4" s="239" t="s">
        <v>276</v>
      </c>
    </row>
    <row r="5" ht="15.75" customHeight="1">
      <c r="A5" s="335" t="s">
        <v>37</v>
      </c>
      <c r="B5" s="336">
        <f t="shared" ref="B5:B14" si="1">(600-F5)-IFERROR(VLOOKUP(A5,I$11:J$21,2,False),"")-IFERROR(VLOOKUP(A5,K$11:L$21,2,False),"")-IFERROR(VLOOKUP(A5,M$11:N$21,2,False),"")-IFERROR(VLOOKUP(A5,O$11:P$21,2,False),"")-IFERROR(VLOOKUP(A5,Q$11:R$21,2,False),"")-IFERROR(VLOOKUP(A5,S$11:T$21,2,False),"")-IFERROR(VLOOKUP(A5,U$11:V$21,2,False),"")-IFERROR(VLOOKUP(A5,W$11:X$21,2,False),"")-IFERROR(VLOOKUP(A5,Y$11:Z$21,2,False),"")-IFERROR(VLOOKUP(A5,AA$11:AB$21,2,False),"")</f>
        <v>66</v>
      </c>
      <c r="C5" s="337">
        <f t="shared" ref="C5:C14" si="2">(600-F5)</f>
        <v>570</v>
      </c>
      <c r="D5" s="23">
        <v>570.0</v>
      </c>
      <c r="E5" s="242">
        <v>30.0</v>
      </c>
      <c r="F5" s="243">
        <f>IFERROR(VLOOKUP(A5,'Bid Values'!A:F,3,0),)</f>
        <v>30</v>
      </c>
      <c r="G5" s="58"/>
      <c r="H5" s="244" t="s">
        <v>274</v>
      </c>
      <c r="I5" s="245">
        <f t="array" ref="I5">INDEX(Signed,Match(I4,Signed!$A$1:$A$43,0),3)</f>
        <v>198</v>
      </c>
      <c r="J5" s="247"/>
      <c r="K5" s="245">
        <f t="array" ref="K5">INDEX(Signed,Match(K4,Signed!$A$1:$A$43,0),3)</f>
        <v>150</v>
      </c>
      <c r="L5" s="338"/>
      <c r="M5" s="245">
        <f t="array" ref="M5">INDEX(Signed,Match(M4,Signed!$A$1:$A$43,0),3)</f>
        <v>60</v>
      </c>
      <c r="N5" s="338"/>
      <c r="O5" s="245">
        <f t="array" ref="O5">INDEX(Signed,Match(O4,Signed!$A$1:$A$43,0),3)</f>
        <v>60</v>
      </c>
      <c r="P5" s="338"/>
      <c r="Q5" s="245">
        <f t="array" ref="Q5">INDEX(Signed,Match(Q4,Signed!$A$1:$A$43,0),3)</f>
        <v>60</v>
      </c>
      <c r="R5" s="338"/>
      <c r="S5" s="245">
        <f t="array" ref="S5">INDEX(Signed,Match(S4,Signed!$A$1:$A$43,0),3)</f>
        <v>60</v>
      </c>
      <c r="T5" s="338"/>
      <c r="U5" s="245">
        <f t="array" ref="U5">INDEX(Signed,Match(U4,Signed!$A$1:$A$43,0),3)</f>
        <v>30</v>
      </c>
      <c r="V5" s="338"/>
      <c r="W5" s="245">
        <f t="array" ref="W5">INDEX(Signed,Match(W4,Signed!$A$1:$A$44,0),3)</f>
        <v>30</v>
      </c>
      <c r="X5" s="338"/>
      <c r="Y5" s="245"/>
      <c r="Z5" s="338"/>
      <c r="AA5" s="245"/>
      <c r="AB5" s="338"/>
      <c r="AC5" s="58"/>
      <c r="AD5" s="335" t="s">
        <v>37</v>
      </c>
      <c r="AE5" s="210" t="s">
        <v>23</v>
      </c>
      <c r="AF5" s="179" t="s">
        <v>31</v>
      </c>
      <c r="AG5" s="179" t="s">
        <v>109</v>
      </c>
      <c r="AH5" s="237" t="s">
        <v>122</v>
      </c>
    </row>
    <row r="6" ht="15.75" customHeight="1">
      <c r="A6" s="335" t="s">
        <v>40</v>
      </c>
      <c r="B6" s="336">
        <f t="shared" si="1"/>
        <v>375</v>
      </c>
      <c r="C6" s="337">
        <f t="shared" si="2"/>
        <v>540</v>
      </c>
      <c r="D6" s="23">
        <v>540.0</v>
      </c>
      <c r="E6" s="242">
        <v>30.0</v>
      </c>
      <c r="F6" s="243">
        <f>IFERROR(VLOOKUP(A6,'Bid Values'!A:F,3,0),)</f>
        <v>60</v>
      </c>
      <c r="G6" s="58"/>
      <c r="H6" s="244" t="s">
        <v>201</v>
      </c>
      <c r="I6" s="245" t="str">
        <f t="array" ref="I6">INDEX(Signed,Match(I4,Signed!$A$1:$A$43,0),2)</f>
        <v>A</v>
      </c>
      <c r="J6" s="247"/>
      <c r="K6" s="245" t="str">
        <f t="array" ref="K6">INDEX(Signed,Match(K4,Signed!$A$1:$A$43,0),2)</f>
        <v>B</v>
      </c>
      <c r="L6" s="338"/>
      <c r="M6" s="245" t="str">
        <f t="array" ref="M6">INDEX(Signed,Match(M4,Signed!$A$1:$A$43,0),2)</f>
        <v>C</v>
      </c>
      <c r="N6" s="338"/>
      <c r="O6" s="245" t="str">
        <f t="array" ref="O6">INDEX(Signed,Match(O4,Signed!$A$1:$A$43,0),2)</f>
        <v>C</v>
      </c>
      <c r="P6" s="338"/>
      <c r="Q6" s="245" t="str">
        <f t="array" ref="Q6">INDEX(Signed,Match(Q4,Signed!$A$1:$A$43,0),2)</f>
        <v>D</v>
      </c>
      <c r="R6" s="338"/>
      <c r="S6" s="245" t="str">
        <f t="array" ref="S6">INDEX(Signed,Match(S4,Signed!$A$1:$A$43,0),2)</f>
        <v>D</v>
      </c>
      <c r="T6" s="338"/>
      <c r="U6" s="245" t="str">
        <f t="array" ref="U6">INDEX(Signed,Match(U4,Signed!$A$1:$A$43,0),2)</f>
        <v>E</v>
      </c>
      <c r="V6" s="338"/>
      <c r="W6" s="245" t="str">
        <f t="array" ref="W6">INDEX(Signed,Match(W4,Signed!$A$1:$A$45,0),2)</f>
        <v>E</v>
      </c>
      <c r="X6" s="338"/>
      <c r="Y6" s="245"/>
      <c r="Z6" s="338"/>
      <c r="AA6" s="245"/>
      <c r="AB6" s="338"/>
      <c r="AC6" s="58"/>
      <c r="AD6" s="335" t="s">
        <v>40</v>
      </c>
      <c r="AE6" s="210" t="s">
        <v>28</v>
      </c>
      <c r="AF6" s="179" t="s">
        <v>134</v>
      </c>
      <c r="AG6" s="179" t="s">
        <v>217</v>
      </c>
      <c r="AH6" s="249" t="s">
        <v>141</v>
      </c>
    </row>
    <row r="7" ht="15.75" customHeight="1">
      <c r="A7" s="335" t="s">
        <v>57</v>
      </c>
      <c r="B7" s="336">
        <f t="shared" si="1"/>
        <v>460</v>
      </c>
      <c r="C7" s="337">
        <f t="shared" si="2"/>
        <v>540</v>
      </c>
      <c r="D7" s="23">
        <v>460.0</v>
      </c>
      <c r="E7" s="242">
        <v>30.0</v>
      </c>
      <c r="F7" s="243">
        <f>IFERROR(VLOOKUP(A7,'Bid Values'!A:F,3,0),)</f>
        <v>60</v>
      </c>
      <c r="G7" s="58"/>
      <c r="H7" s="250" t="s">
        <v>277</v>
      </c>
      <c r="I7" s="251">
        <f>If(MAX('Round 1'!$C:$C)&gt;=I5,MAX('Round 1'!$C:$C),0)</f>
        <v>350</v>
      </c>
      <c r="J7" s="339"/>
      <c r="K7" s="251">
        <f>If(MAX('Round 1'!$D:$D)&gt;=K5,MAX('Round 1'!$D:$D),0)</f>
        <v>213</v>
      </c>
      <c r="L7" s="340"/>
      <c r="M7" s="251">
        <f>If(MAX('Round 1'!$E:$E)&gt;=M5,MAX('Round 1'!$E:$E),0)</f>
        <v>61</v>
      </c>
      <c r="N7" s="340"/>
      <c r="O7" s="251">
        <f>If(MAX('Round 1'!$F:$F)&gt;=O5,MAX('Round 1'!$F:$F),0)</f>
        <v>95</v>
      </c>
      <c r="P7" s="340"/>
      <c r="Q7" s="251">
        <f>If(MAX('Round 1'!$G:$G)&gt;=Q5,MAX('Round 1'!$G:$G),0)</f>
        <v>80</v>
      </c>
      <c r="R7" s="340"/>
      <c r="S7" s="251">
        <f>If(MAX('Round 1'!$H:$H)&gt;=S5,MAX('Round 1'!$H:$H),0)</f>
        <v>60</v>
      </c>
      <c r="T7" s="341"/>
      <c r="U7" s="251">
        <f>If(MAX('Round 1'!$I:$I)&gt;=U5,MAX('Round 1'!$I:$I),0)</f>
        <v>0</v>
      </c>
      <c r="V7" s="341"/>
      <c r="W7" s="251">
        <f>If(MAX('Round 1'!$J:$J)&gt;=W5,MAX('Round 1'!$J:$J),0)</f>
        <v>0</v>
      </c>
      <c r="X7" s="342"/>
      <c r="Y7" s="251"/>
      <c r="Z7" s="342"/>
      <c r="AA7" s="251"/>
      <c r="AB7" s="342"/>
      <c r="AC7" s="58"/>
      <c r="AD7" s="335" t="s">
        <v>57</v>
      </c>
      <c r="AE7" s="210" t="s">
        <v>23</v>
      </c>
      <c r="AF7" s="179" t="s">
        <v>113</v>
      </c>
      <c r="AG7" s="195" t="s">
        <v>79</v>
      </c>
      <c r="AH7" s="237" t="s">
        <v>172</v>
      </c>
    </row>
    <row r="8" ht="21.0" customHeight="1">
      <c r="A8" s="335" t="s">
        <v>193</v>
      </c>
      <c r="B8" s="336">
        <f t="shared" si="1"/>
        <v>220</v>
      </c>
      <c r="C8" s="337">
        <f t="shared" si="2"/>
        <v>540</v>
      </c>
      <c r="D8" s="23">
        <v>540.0</v>
      </c>
      <c r="E8" s="242">
        <v>30.0</v>
      </c>
      <c r="F8" s="243">
        <f>IFERROR(VLOOKUP(A8,'Bid Values'!A:F,3,0),)</f>
        <v>60</v>
      </c>
      <c r="G8" s="58"/>
      <c r="H8" s="256" t="s">
        <v>278</v>
      </c>
      <c r="I8" s="257" t="str">
        <f t="shared" ref="I8:W8" si="3">I11</f>
        <v>Rage More Nerd</v>
      </c>
      <c r="J8" s="259">
        <f t="shared" si="3"/>
        <v>350</v>
      </c>
      <c r="K8" s="257" t="str">
        <f t="shared" si="3"/>
        <v>yLuxe</v>
      </c>
      <c r="L8" s="343">
        <f t="shared" si="3"/>
        <v>213</v>
      </c>
      <c r="M8" s="257" t="str">
        <f t="shared" si="3"/>
        <v>TheAlphaTurtle</v>
      </c>
      <c r="N8" s="343">
        <f t="shared" si="3"/>
        <v>61</v>
      </c>
      <c r="O8" s="257" t="str">
        <f t="shared" si="3"/>
        <v>Maverick</v>
      </c>
      <c r="P8" s="343">
        <f t="shared" si="3"/>
        <v>95</v>
      </c>
      <c r="Q8" s="257" t="str">
        <f t="shared" si="3"/>
        <v>G3Ohh</v>
      </c>
      <c r="R8" s="343">
        <f t="shared" si="3"/>
        <v>80</v>
      </c>
      <c r="S8" s="257" t="str">
        <f t="shared" si="3"/>
        <v>yLuxe</v>
      </c>
      <c r="T8" s="343">
        <f t="shared" si="3"/>
        <v>60</v>
      </c>
      <c r="U8" s="257" t="str">
        <f t="shared" si="3"/>
        <v/>
      </c>
      <c r="V8" s="343" t="str">
        <f t="shared" si="3"/>
        <v/>
      </c>
      <c r="W8" s="257" t="str">
        <f t="shared" si="3"/>
        <v/>
      </c>
      <c r="X8" s="343"/>
      <c r="Y8" s="257"/>
      <c r="Z8" s="343"/>
      <c r="AA8" s="257"/>
      <c r="AB8" s="343"/>
      <c r="AC8" s="260"/>
      <c r="AD8" s="335" t="s">
        <v>193</v>
      </c>
      <c r="AE8" s="210" t="s">
        <v>23</v>
      </c>
      <c r="AF8" s="179" t="s">
        <v>47</v>
      </c>
      <c r="AG8" s="179" t="s">
        <v>126</v>
      </c>
      <c r="AH8" s="179" t="s">
        <v>91</v>
      </c>
    </row>
    <row r="9" ht="15.75" customHeight="1">
      <c r="A9" s="335" t="s">
        <v>259</v>
      </c>
      <c r="B9" s="336">
        <f t="shared" si="1"/>
        <v>222</v>
      </c>
      <c r="C9" s="337">
        <f t="shared" si="2"/>
        <v>402</v>
      </c>
      <c r="D9" s="23">
        <v>402.0</v>
      </c>
      <c r="E9" s="242">
        <v>30.0</v>
      </c>
      <c r="F9" s="243">
        <v>198.0</v>
      </c>
      <c r="G9" s="58"/>
      <c r="H9" s="261" t="s">
        <v>279</v>
      </c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344"/>
      <c r="AC9" s="58"/>
      <c r="AD9" s="335" t="s">
        <v>259</v>
      </c>
      <c r="AE9" s="210" t="s">
        <v>28</v>
      </c>
      <c r="AF9" s="179" t="s">
        <v>114</v>
      </c>
      <c r="AG9" s="179" t="s">
        <v>38</v>
      </c>
      <c r="AH9" s="237" t="s">
        <v>96</v>
      </c>
    </row>
    <row r="10" ht="15.75" customHeight="1">
      <c r="A10" s="335" t="s">
        <v>169</v>
      </c>
      <c r="B10" s="336">
        <f t="shared" si="1"/>
        <v>37</v>
      </c>
      <c r="C10" s="337">
        <f t="shared" si="2"/>
        <v>402</v>
      </c>
      <c r="D10" s="23">
        <v>129.0</v>
      </c>
      <c r="E10" s="242">
        <v>30.0</v>
      </c>
      <c r="F10" s="243">
        <f>IFERROR(VLOOKUP(A10,'Bid Values'!A:F,3,0),)</f>
        <v>198</v>
      </c>
      <c r="G10" s="58"/>
      <c r="H10" s="264" t="s">
        <v>280</v>
      </c>
      <c r="I10" s="265" t="str">
        <f>IFERROR(__xludf.DUMMYFUNCTION("Query('Round 1'!$A:$J,""Select B, MAX(C) WHERE C&gt;=198 group by B order by max(C) desc"")"),"Captain's Name (Use the exact same name each time)")</f>
        <v>Captain's Name (Use the exact same name each time)</v>
      </c>
      <c r="J10" s="289" t="str">
        <f>IFERROR(__xludf.DUMMYFUNCTION("""COMPUTED_VALUE"""),"max Dabb")</f>
        <v>max Dabb</v>
      </c>
      <c r="K10" s="265" t="str">
        <f>IFERROR(__xludf.DUMMYFUNCTION("Query('Round 1'!$A:$J,""Select B, MAX(D) WHERE D&gt;=150 group by B order by max(D) desc"")"),"Captain's Name (Use the exact same name each time)")</f>
        <v>Captain's Name (Use the exact same name each time)</v>
      </c>
      <c r="L10" s="266" t="str">
        <f>IFERROR(__xludf.DUMMYFUNCTION("""COMPUTED_VALUE"""),"max oDhmon")</f>
        <v>max oDhmon</v>
      </c>
      <c r="M10" s="265" t="str">
        <f>IFERROR(__xludf.DUMMYFUNCTION("Query('Round 1'!$A:$J,""Select B, MAX(E) WHERE E&gt;=60 group by B order by max(E) desc"")"),"Captain's Name (Use the exact same name each time)")</f>
        <v>Captain's Name (Use the exact same name each time)</v>
      </c>
      <c r="N10" s="266" t="str">
        <f>IFERROR(__xludf.DUMMYFUNCTION("""COMPUTED_VALUE"""),"max Beam1n1")</f>
        <v>max Beam1n1</v>
      </c>
      <c r="O10" s="265" t="str">
        <f>IFERROR(__xludf.DUMMYFUNCTION("Query('Round 1'!$A:$J,""Select B, MAX(F) WHERE F&gt;=60 group by B order by max(F) desc"")"),"Captain's Name (Use the exact same name each time)")</f>
        <v>Captain's Name (Use the exact same name each time)</v>
      </c>
      <c r="P10" s="266" t="str">
        <f>IFERROR(__xludf.DUMMYFUNCTION("""COMPUTED_VALUE"""),"max TommyWstSide")</f>
        <v>max TommyWstSide</v>
      </c>
      <c r="Q10" s="265" t="str">
        <f>IFERROR(__xludf.DUMMYFUNCTION("Query('Round 1'!$A:$J,""Select B, MAX(G) WHERE G&gt;=60 group by B order by max(G) desc"")"),"Captain's Name (Use the exact same name each time)")</f>
        <v>Captain's Name (Use the exact same name each time)</v>
      </c>
      <c r="R10" s="266" t="str">
        <f>IFERROR(__xludf.DUMMYFUNCTION("""COMPUTED_VALUE"""),"max MuNgO PuNgO")</f>
        <v>max MuNgO PuNgO</v>
      </c>
      <c r="S10" s="265" t="str">
        <f>IFERROR(__xludf.DUMMYFUNCTION("Query('Round 1'!$A:$J,""Select B, MAX(H) WHERE H&gt;=60 group by B order by max(H) desc"")"),"Captain's Name (Use the exact same name each time)")</f>
        <v>Captain's Name (Use the exact same name each time)</v>
      </c>
      <c r="T10" s="266" t="str">
        <f>IFERROR(__xludf.DUMMYFUNCTION("""COMPUTED_VALUE"""),"max LilSkelR1926")</f>
        <v>max LilSkelR1926</v>
      </c>
      <c r="U10" s="265" t="str">
        <f>IFERROR(__xludf.DUMMYFUNCTION("Query('Round 1'!$A:$J,""Select B, MAX(I) WHERE I&gt;=30 group by B order by max(I) desc"")"),"Captain's Name (Use the exact same name each time)")</f>
        <v>Captain's Name (Use the exact same name each time)</v>
      </c>
      <c r="V10" s="266" t="str">
        <f>IFERROR(__xludf.DUMMYFUNCTION("""COMPUTED_VALUE"""),"max gaebpls")</f>
        <v>max gaebpls</v>
      </c>
      <c r="W10" s="265" t="str">
        <f>IFERROR(__xludf.DUMMYFUNCTION("Query('Round 1'!$A:$J,""Select B, MAX(J) WHERE J&gt;=30 group by B order by max(J) desc"")"),"Captain's Name (Use the exact same name each time)")</f>
        <v>Captain's Name (Use the exact same name each time)</v>
      </c>
      <c r="X10" s="267" t="str">
        <f>IFERROR(__xludf.DUMMYFUNCTION("""COMPUTED_VALUE"""),"max Sherbski")</f>
        <v>max Sherbski</v>
      </c>
      <c r="Y10" s="265"/>
      <c r="Z10" s="267"/>
      <c r="AA10" s="265"/>
      <c r="AB10" s="267"/>
      <c r="AC10" s="58"/>
      <c r="AD10" s="335" t="s">
        <v>169</v>
      </c>
      <c r="AE10" s="210" t="s">
        <v>28</v>
      </c>
      <c r="AF10" s="179" t="s">
        <v>100</v>
      </c>
      <c r="AG10" s="179" t="s">
        <v>121</v>
      </c>
      <c r="AH10" s="304" t="s">
        <v>34</v>
      </c>
    </row>
    <row r="11" ht="15.75" customHeight="1">
      <c r="A11" s="335" t="s">
        <v>129</v>
      </c>
      <c r="B11" s="336">
        <f t="shared" si="1"/>
        <v>100</v>
      </c>
      <c r="C11" s="337">
        <f t="shared" si="2"/>
        <v>450</v>
      </c>
      <c r="D11" s="23">
        <v>100.0</v>
      </c>
      <c r="E11" s="242">
        <v>30.0</v>
      </c>
      <c r="F11" s="243">
        <f>IFERROR(VLOOKUP(A11,'Bid Values'!A:F,3,0),)</f>
        <v>150</v>
      </c>
      <c r="G11" s="58"/>
      <c r="H11" s="230"/>
      <c r="I11" s="268" t="str">
        <f>IFERROR(__xludf.DUMMYFUNCTION("""COMPUTED_VALUE"""),"Rage More Nerd")</f>
        <v>Rage More Nerd</v>
      </c>
      <c r="J11" s="345">
        <f>IFERROR(__xludf.DUMMYFUNCTION("""COMPUTED_VALUE"""),350.0)</f>
        <v>350</v>
      </c>
      <c r="K11" s="268" t="str">
        <f>IFERROR(__xludf.DUMMYFUNCTION("""COMPUTED_VALUE"""),"yLuxe")</f>
        <v>yLuxe</v>
      </c>
      <c r="L11" s="346">
        <f>IFERROR(__xludf.DUMMYFUNCTION("""COMPUTED_VALUE"""),213.0)</f>
        <v>213</v>
      </c>
      <c r="M11" s="271" t="str">
        <f>IFERROR(__xludf.DUMMYFUNCTION("""COMPUTED_VALUE"""),"TheAlphaTurtle")</f>
        <v>TheAlphaTurtle</v>
      </c>
      <c r="N11" s="346">
        <f>IFERROR(__xludf.DUMMYFUNCTION("""COMPUTED_VALUE"""),61.0)</f>
        <v>61</v>
      </c>
      <c r="O11" s="271" t="str">
        <f>IFERROR(__xludf.DUMMYFUNCTION("""COMPUTED_VALUE"""),"Maverick")</f>
        <v>Maverick</v>
      </c>
      <c r="P11" s="346">
        <f>IFERROR(__xludf.DUMMYFUNCTION("""COMPUTED_VALUE"""),95.0)</f>
        <v>95</v>
      </c>
      <c r="Q11" s="271" t="str">
        <f>IFERROR(__xludf.DUMMYFUNCTION("""COMPUTED_VALUE"""),"G3Ohh")</f>
        <v>G3Ohh</v>
      </c>
      <c r="R11" s="346">
        <f>IFERROR(__xludf.DUMMYFUNCTION("""COMPUTED_VALUE"""),80.0)</f>
        <v>80</v>
      </c>
      <c r="S11" s="272" t="str">
        <f>IFERROR(__xludf.DUMMYFUNCTION("""COMPUTED_VALUE"""),"yLuxe")</f>
        <v>yLuxe</v>
      </c>
      <c r="T11" s="346">
        <f>IFERROR(__xludf.DUMMYFUNCTION("""COMPUTED_VALUE"""),60.0)</f>
        <v>60</v>
      </c>
      <c r="U11" s="272"/>
      <c r="V11" s="346"/>
      <c r="W11" s="272"/>
      <c r="X11" s="346"/>
      <c r="Y11" s="44"/>
      <c r="Z11" s="346"/>
      <c r="AA11" s="44"/>
      <c r="AB11" s="346"/>
      <c r="AC11" s="58"/>
      <c r="AD11" s="335" t="s">
        <v>129</v>
      </c>
      <c r="AE11" s="210" t="s">
        <v>28</v>
      </c>
      <c r="AF11" s="179" t="s">
        <v>43</v>
      </c>
      <c r="AG11" s="195" t="s">
        <v>197</v>
      </c>
      <c r="AH11" s="304" t="s">
        <v>111</v>
      </c>
    </row>
    <row r="12" ht="15.75" customHeight="1">
      <c r="A12" s="335" t="s">
        <v>104</v>
      </c>
      <c r="B12" s="336">
        <f t="shared" si="1"/>
        <v>540</v>
      </c>
      <c r="C12" s="337">
        <f t="shared" si="2"/>
        <v>540</v>
      </c>
      <c r="D12" s="23">
        <v>445.0</v>
      </c>
      <c r="E12" s="242">
        <v>30.0</v>
      </c>
      <c r="F12" s="243">
        <f>IFERROR(VLOOKUP(A12,'Bid Values'!A:F,3,0),)</f>
        <v>60</v>
      </c>
      <c r="G12" s="58"/>
      <c r="H12" s="89"/>
      <c r="I12" s="276" t="str">
        <f>IFERROR(__xludf.DUMMYFUNCTION("""COMPUTED_VALUE"""),"Bear is Clutch")</f>
        <v>Bear is Clutch</v>
      </c>
      <c r="J12" s="345">
        <f>IFERROR(__xludf.DUMMYFUNCTION("""COMPUTED_VALUE"""),340.0)</f>
        <v>340</v>
      </c>
      <c r="K12" s="276" t="str">
        <f>IFERROR(__xludf.DUMMYFUNCTION("""COMPUTED_VALUE"""),"TheAlphaTurtle")</f>
        <v>TheAlphaTurtle</v>
      </c>
      <c r="L12" s="346">
        <f>IFERROR(__xludf.DUMMYFUNCTION("""COMPUTED_VALUE"""),211.0)</f>
        <v>211</v>
      </c>
      <c r="M12" s="277"/>
      <c r="N12" s="346"/>
      <c r="O12" s="277" t="str">
        <f>IFERROR(__xludf.DUMMYFUNCTION("""COMPUTED_VALUE"""),"yLuxe")</f>
        <v>yLuxe</v>
      </c>
      <c r="P12" s="346">
        <f>IFERROR(__xludf.DUMMYFUNCTION("""COMPUTED_VALUE"""),92.0)</f>
        <v>92</v>
      </c>
      <c r="Q12" s="277"/>
      <c r="R12" s="346"/>
      <c r="S12" s="278"/>
      <c r="T12" s="346"/>
      <c r="U12" s="278"/>
      <c r="V12" s="346"/>
      <c r="W12" s="278"/>
      <c r="X12" s="346"/>
      <c r="Y12" s="44"/>
      <c r="Z12" s="346"/>
      <c r="AA12" s="44"/>
      <c r="AB12" s="346"/>
      <c r="AC12" s="58"/>
      <c r="AD12" s="335" t="s">
        <v>104</v>
      </c>
      <c r="AE12" s="210" t="s">
        <v>23</v>
      </c>
      <c r="AF12" s="179" t="s">
        <v>157</v>
      </c>
      <c r="AG12" s="179" t="s">
        <v>69</v>
      </c>
      <c r="AH12" s="249" t="s">
        <v>108</v>
      </c>
    </row>
    <row r="13" ht="15.75" customHeight="1">
      <c r="A13" s="335" t="s">
        <v>155</v>
      </c>
      <c r="B13" s="336">
        <f t="shared" si="1"/>
        <v>208</v>
      </c>
      <c r="C13" s="337">
        <f t="shared" si="2"/>
        <v>540</v>
      </c>
      <c r="D13" s="23">
        <v>479.0</v>
      </c>
      <c r="E13" s="242">
        <v>30.0</v>
      </c>
      <c r="F13" s="243">
        <f>IFERROR(VLOOKUP(A13,'Bid Values'!A:F,3,0),)</f>
        <v>60</v>
      </c>
      <c r="G13" s="58"/>
      <c r="H13" s="89"/>
      <c r="I13" s="276" t="str">
        <f>IFERROR(__xludf.DUMMYFUNCTION("""COMPUTED_VALUE"""),"Eternlx")</f>
        <v>Eternlx</v>
      </c>
      <c r="J13" s="345">
        <f>IFERROR(__xludf.DUMMYFUNCTION("""COMPUTED_VALUE"""),320.0)</f>
        <v>320</v>
      </c>
      <c r="K13" s="276" t="str">
        <f>IFERROR(__xludf.DUMMYFUNCTION("""COMPUTED_VALUE"""),"Solace")</f>
        <v>Solace</v>
      </c>
      <c r="L13" s="347">
        <f>IFERROR(__xludf.DUMMYFUNCTION("""COMPUTED_VALUE"""),180.0)</f>
        <v>180</v>
      </c>
      <c r="M13" s="277"/>
      <c r="N13" s="346"/>
      <c r="O13" s="277" t="str">
        <f>IFERROR(__xludf.DUMMYFUNCTION("""COMPUTED_VALUE"""),"TheAlphaTurtle")</f>
        <v>TheAlphaTurtle</v>
      </c>
      <c r="P13" s="346">
        <f>IFERROR(__xludf.DUMMYFUNCTION("""COMPUTED_VALUE"""),60.0)</f>
        <v>60</v>
      </c>
      <c r="Q13" s="277"/>
      <c r="R13" s="346"/>
      <c r="S13" s="278"/>
      <c r="T13" s="346"/>
      <c r="U13" s="278"/>
      <c r="V13" s="346"/>
      <c r="W13" s="278"/>
      <c r="X13" s="346"/>
      <c r="Y13" s="44"/>
      <c r="Z13" s="346"/>
      <c r="AA13" s="44"/>
      <c r="AB13" s="346"/>
      <c r="AC13" s="58"/>
      <c r="AD13" s="335" t="s">
        <v>155</v>
      </c>
      <c r="AE13" s="210" t="s">
        <v>28</v>
      </c>
      <c r="AF13" s="179" t="s">
        <v>226</v>
      </c>
      <c r="AG13" s="195" t="s">
        <v>27</v>
      </c>
      <c r="AH13" s="195" t="s">
        <v>139</v>
      </c>
    </row>
    <row r="14" ht="15.75" customHeight="1">
      <c r="A14" s="335" t="s">
        <v>42</v>
      </c>
      <c r="B14" s="336">
        <f t="shared" si="1"/>
        <v>450</v>
      </c>
      <c r="C14" s="337">
        <f t="shared" si="2"/>
        <v>450</v>
      </c>
      <c r="D14" s="23">
        <v>450.0</v>
      </c>
      <c r="E14" s="242">
        <v>30.0</v>
      </c>
      <c r="F14" s="243">
        <f>IFERROR(VLOOKUP(A14,'Bid Values'!A:F,3,0),)</f>
        <v>150</v>
      </c>
      <c r="G14" s="58"/>
      <c r="H14" s="89"/>
      <c r="I14" s="276"/>
      <c r="J14" s="345"/>
      <c r="K14" s="276" t="str">
        <f>IFERROR(__xludf.DUMMYFUNCTION("""COMPUTED_VALUE"""),"CaptainSev004")</f>
        <v>CaptainSev004</v>
      </c>
      <c r="L14" s="346">
        <f>IFERROR(__xludf.DUMMYFUNCTION("""COMPUTED_VALUE"""),165.0)</f>
        <v>165</v>
      </c>
      <c r="M14" s="277"/>
      <c r="N14" s="346"/>
      <c r="O14" s="277"/>
      <c r="P14" s="346"/>
      <c r="Q14" s="277"/>
      <c r="R14" s="346"/>
      <c r="S14" s="278"/>
      <c r="T14" s="346"/>
      <c r="U14" s="278"/>
      <c r="V14" s="346"/>
      <c r="W14" s="278"/>
      <c r="X14" s="346"/>
      <c r="Y14" s="44"/>
      <c r="Z14" s="346"/>
      <c r="AA14" s="44"/>
      <c r="AB14" s="346"/>
      <c r="AC14" s="58"/>
      <c r="AD14" s="335" t="s">
        <v>42</v>
      </c>
      <c r="AE14" s="210" t="s">
        <v>28</v>
      </c>
      <c r="AF14" s="179" t="s">
        <v>115</v>
      </c>
      <c r="AG14" s="179" t="s">
        <v>125</v>
      </c>
      <c r="AH14" s="249" t="s">
        <v>165</v>
      </c>
    </row>
    <row r="15" ht="15.75" customHeight="1">
      <c r="A15" s="364"/>
      <c r="B15" s="365"/>
      <c r="C15" s="307"/>
      <c r="D15" s="58"/>
      <c r="E15" s="366"/>
      <c r="F15" s="308" t="str">
        <f>IFERROR(VLOOKUP(A15,'Bid Values'!A:F,3,0),)</f>
        <v/>
      </c>
      <c r="G15" s="58"/>
      <c r="H15" s="89"/>
      <c r="I15" s="276"/>
      <c r="J15" s="345"/>
      <c r="K15" s="276" t="str">
        <f>IFERROR(__xludf.DUMMYFUNCTION("""COMPUTED_VALUE"""),"Bear is Clutch")</f>
        <v>Bear is Clutch</v>
      </c>
      <c r="L15" s="346">
        <f>IFERROR(__xludf.DUMMYFUNCTION("""COMPUTED_VALUE"""),164.0)</f>
        <v>164</v>
      </c>
      <c r="M15" s="277"/>
      <c r="N15" s="346"/>
      <c r="O15" s="277"/>
      <c r="P15" s="346"/>
      <c r="Q15" s="277"/>
      <c r="R15" s="346"/>
      <c r="S15" s="278"/>
      <c r="T15" s="346"/>
      <c r="U15" s="278"/>
      <c r="V15" s="346"/>
      <c r="W15" s="278"/>
      <c r="X15" s="346"/>
      <c r="Y15" s="44"/>
      <c r="Z15" s="346"/>
      <c r="AA15" s="44"/>
      <c r="AB15" s="346"/>
      <c r="AC15" s="58"/>
      <c r="AD15" s="58"/>
      <c r="AE15" s="58"/>
      <c r="AF15" s="58"/>
      <c r="AG15" s="58"/>
      <c r="AH15" s="58"/>
    </row>
    <row r="16" ht="15.75" customHeight="1">
      <c r="A16" s="282"/>
      <c r="E16" s="367" t="s">
        <v>281</v>
      </c>
      <c r="F16" s="286"/>
      <c r="G16" s="58"/>
      <c r="H16" s="89"/>
      <c r="I16" s="277"/>
      <c r="J16" s="90"/>
      <c r="K16" s="276"/>
      <c r="L16" s="346"/>
      <c r="M16" s="277"/>
      <c r="N16" s="346"/>
      <c r="O16" s="277"/>
      <c r="P16" s="346"/>
      <c r="Q16" s="277"/>
      <c r="R16" s="346"/>
      <c r="S16" s="278"/>
      <c r="T16" s="346"/>
      <c r="U16" s="278"/>
      <c r="V16" s="346"/>
      <c r="W16" s="278"/>
      <c r="X16" s="346"/>
      <c r="Y16" s="44"/>
      <c r="Z16" s="346"/>
      <c r="AA16" s="44"/>
      <c r="AB16" s="346"/>
      <c r="AC16" s="58"/>
      <c r="AD16" s="58"/>
      <c r="AE16" s="58"/>
      <c r="AF16" s="58"/>
      <c r="AG16" s="58"/>
      <c r="AH16" s="58"/>
    </row>
    <row r="17" ht="15.75" customHeight="1">
      <c r="A17" s="145" t="s">
        <v>284</v>
      </c>
      <c r="E17" s="285" t="s">
        <v>282</v>
      </c>
      <c r="F17" s="286"/>
      <c r="G17" s="58"/>
      <c r="H17" s="287"/>
      <c r="I17" s="288"/>
      <c r="J17" s="90"/>
      <c r="K17" s="276"/>
      <c r="L17" s="349"/>
      <c r="M17" s="276"/>
      <c r="N17" s="346"/>
      <c r="O17" s="277"/>
      <c r="P17" s="346"/>
      <c r="Q17" s="277"/>
      <c r="R17" s="346"/>
      <c r="S17" s="278"/>
      <c r="T17" s="346"/>
      <c r="U17" s="278"/>
      <c r="V17" s="346"/>
      <c r="W17" s="278"/>
      <c r="X17" s="346"/>
      <c r="Y17" s="44"/>
      <c r="Z17" s="346"/>
      <c r="AA17" s="44"/>
      <c r="AB17" s="346"/>
      <c r="AC17" s="58"/>
      <c r="AD17" s="58"/>
      <c r="AE17" s="58"/>
      <c r="AF17" s="58"/>
      <c r="AG17" s="58"/>
      <c r="AH17" s="58"/>
    </row>
    <row r="18" ht="15.75" customHeight="1">
      <c r="E18" s="230"/>
      <c r="F18" s="286"/>
      <c r="G18" s="58"/>
      <c r="H18" s="89"/>
      <c r="I18" s="277"/>
      <c r="J18" s="90"/>
      <c r="K18" s="276"/>
      <c r="L18" s="346"/>
      <c r="M18" s="277"/>
      <c r="N18" s="346"/>
      <c r="O18" s="277"/>
      <c r="P18" s="346"/>
      <c r="Q18" s="277"/>
      <c r="R18" s="346"/>
      <c r="S18" s="278"/>
      <c r="T18" s="346"/>
      <c r="U18" s="278"/>
      <c r="V18" s="346"/>
      <c r="W18" s="278"/>
      <c r="X18" s="346"/>
      <c r="Y18" s="44"/>
      <c r="Z18" s="346"/>
      <c r="AA18" s="44"/>
      <c r="AB18" s="346"/>
      <c r="AC18" s="289"/>
      <c r="AD18" s="289"/>
      <c r="AE18" s="289"/>
      <c r="AF18" s="289"/>
      <c r="AG18" s="289"/>
      <c r="AH18" s="289"/>
    </row>
    <row r="19" ht="15.75" customHeight="1">
      <c r="E19" s="290"/>
      <c r="F19" s="291"/>
      <c r="G19" s="58"/>
      <c r="H19" s="89"/>
      <c r="I19" s="277"/>
      <c r="J19" s="90"/>
      <c r="K19" s="276"/>
      <c r="L19" s="346"/>
      <c r="M19" s="277"/>
      <c r="N19" s="346"/>
      <c r="O19" s="277"/>
      <c r="P19" s="346"/>
      <c r="Q19" s="277"/>
      <c r="R19" s="346"/>
      <c r="S19" s="278"/>
      <c r="T19" s="346"/>
      <c r="U19" s="278"/>
      <c r="V19" s="346"/>
      <c r="W19" s="278"/>
      <c r="X19" s="346"/>
      <c r="Y19" s="44"/>
      <c r="Z19" s="346"/>
      <c r="AA19" s="44"/>
      <c r="AB19" s="346"/>
      <c r="AC19" s="58"/>
      <c r="AD19" s="58"/>
      <c r="AE19" s="58"/>
      <c r="AF19" s="58"/>
      <c r="AG19" s="58"/>
      <c r="AH19" s="58"/>
    </row>
    <row r="20" ht="15.75" customHeight="1">
      <c r="A20" s="368"/>
      <c r="D20" s="369"/>
      <c r="E20" s="293"/>
      <c r="F20" s="293"/>
      <c r="G20" s="58"/>
      <c r="H20" s="89"/>
      <c r="I20" s="277"/>
      <c r="J20" s="90"/>
      <c r="K20" s="277"/>
      <c r="L20" s="346"/>
      <c r="M20" s="277"/>
      <c r="N20" s="346"/>
      <c r="O20" s="277"/>
      <c r="P20" s="346"/>
      <c r="Q20" s="277"/>
      <c r="R20" s="346"/>
      <c r="S20" s="278"/>
      <c r="T20" s="346"/>
      <c r="U20" s="294"/>
      <c r="V20" s="347"/>
      <c r="W20" s="278"/>
      <c r="X20" s="346"/>
      <c r="Y20" s="44"/>
      <c r="Z20" s="346"/>
      <c r="AA20" s="44"/>
      <c r="AB20" s="346"/>
      <c r="AC20" s="58"/>
      <c r="AD20" s="58"/>
      <c r="AE20" s="58"/>
      <c r="AF20" s="350" t="s">
        <v>294</v>
      </c>
    </row>
    <row r="21" ht="15.75" customHeight="1">
      <c r="E21" s="285"/>
      <c r="F21" s="286"/>
      <c r="G21" s="58"/>
      <c r="H21" s="89"/>
      <c r="I21" s="277"/>
      <c r="J21" s="90"/>
      <c r="K21" s="277"/>
      <c r="L21" s="346"/>
      <c r="M21" s="277"/>
      <c r="N21" s="346"/>
      <c r="O21" s="277"/>
      <c r="P21" s="346"/>
      <c r="Q21" s="277"/>
      <c r="R21" s="346"/>
      <c r="S21" s="278"/>
      <c r="T21" s="346"/>
      <c r="U21" s="278"/>
      <c r="V21" s="346"/>
      <c r="W21" s="278"/>
      <c r="X21" s="346"/>
      <c r="Y21" s="44"/>
      <c r="Z21" s="346"/>
      <c r="AA21" s="44"/>
      <c r="AB21" s="346"/>
      <c r="AC21" s="296"/>
      <c r="AD21" s="297"/>
      <c r="AE21" s="297"/>
    </row>
    <row r="22" ht="15.75" customHeight="1">
      <c r="A22" s="145" t="s">
        <v>284</v>
      </c>
      <c r="E22" s="230"/>
      <c r="F22" s="286"/>
      <c r="G22" s="58"/>
      <c r="H22" s="58"/>
      <c r="I22" s="298" t="s">
        <v>285</v>
      </c>
      <c r="AC22" s="299"/>
      <c r="AD22" s="58"/>
      <c r="AE22" s="58"/>
      <c r="AF22" s="300" t="s">
        <v>9</v>
      </c>
      <c r="AG22" s="300" t="s">
        <v>201</v>
      </c>
      <c r="AH22" s="301" t="s">
        <v>286</v>
      </c>
    </row>
    <row r="23" ht="15.75" customHeight="1">
      <c r="E23" s="290"/>
      <c r="F23" s="291"/>
      <c r="G23" s="58"/>
      <c r="H23" s="58"/>
      <c r="I23" s="298"/>
      <c r="J23" s="351"/>
      <c r="K23" s="298"/>
      <c r="L23" s="352"/>
      <c r="M23" s="298"/>
      <c r="N23" s="352"/>
      <c r="O23" s="298"/>
      <c r="P23" s="352"/>
      <c r="Q23" s="298"/>
      <c r="R23" s="352"/>
      <c r="S23" s="298"/>
      <c r="T23" s="352"/>
      <c r="U23" s="298"/>
      <c r="V23" s="352"/>
      <c r="W23" s="298"/>
      <c r="X23" s="352"/>
      <c r="Y23" s="298"/>
      <c r="Z23" s="352"/>
      <c r="AA23" s="298"/>
      <c r="AB23" s="352"/>
      <c r="AC23" s="58"/>
      <c r="AD23" s="58"/>
      <c r="AE23" s="58"/>
      <c r="AF23" s="249" t="s">
        <v>59</v>
      </c>
      <c r="AG23" s="370" t="s">
        <v>25</v>
      </c>
      <c r="AH23" s="371"/>
    </row>
    <row r="24" ht="15.75" customHeight="1">
      <c r="A24" s="59"/>
      <c r="B24" s="59"/>
      <c r="C24" s="59"/>
      <c r="D24" s="59"/>
      <c r="E24" s="59"/>
      <c r="F24" s="59"/>
      <c r="G24" s="58"/>
      <c r="H24" s="58"/>
      <c r="I24" s="298"/>
      <c r="J24" s="351"/>
      <c r="K24" s="298"/>
      <c r="L24" s="352"/>
      <c r="M24" s="298"/>
      <c r="N24" s="352"/>
      <c r="O24" s="298"/>
      <c r="P24" s="352"/>
      <c r="Q24" s="298"/>
      <c r="R24" s="352"/>
      <c r="S24" s="298"/>
      <c r="T24" s="352"/>
      <c r="U24" s="298"/>
      <c r="V24" s="352"/>
      <c r="W24" s="298"/>
      <c r="X24" s="352"/>
      <c r="Y24" s="298"/>
      <c r="Z24" s="352"/>
      <c r="AA24" s="298"/>
      <c r="AB24" s="352"/>
      <c r="AC24" s="58"/>
      <c r="AD24" s="58"/>
      <c r="AE24" s="58"/>
      <c r="AF24" s="249" t="s">
        <v>29</v>
      </c>
      <c r="AG24" s="370" t="s">
        <v>25</v>
      </c>
      <c r="AH24" s="371"/>
    </row>
    <row r="25" ht="15.75" customHeight="1">
      <c r="A25" s="59"/>
      <c r="B25" s="59"/>
      <c r="C25" s="59"/>
      <c r="D25" s="59"/>
      <c r="E25" s="59"/>
      <c r="F25" s="59"/>
      <c r="G25" s="58"/>
      <c r="H25" s="58"/>
      <c r="I25" s="303" t="s">
        <v>287</v>
      </c>
      <c r="AC25" s="58"/>
      <c r="AD25" s="58"/>
      <c r="AE25" s="58"/>
      <c r="AF25" s="249"/>
      <c r="AG25" s="370"/>
      <c r="AH25" s="371"/>
    </row>
    <row r="26" ht="15.75" customHeight="1">
      <c r="A26" s="223"/>
      <c r="B26" s="224"/>
      <c r="C26" s="224"/>
      <c r="D26" s="224"/>
      <c r="E26" s="224"/>
      <c r="F26" s="224"/>
      <c r="G26" s="224"/>
      <c r="H26" s="224"/>
      <c r="I26" s="225" t="s">
        <v>288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58"/>
      <c r="AD26" s="58"/>
      <c r="AE26" s="58"/>
      <c r="AF26" s="249"/>
      <c r="AG26" s="370"/>
      <c r="AH26" s="371"/>
    </row>
    <row r="27" ht="15.75" customHeight="1">
      <c r="A27" s="228"/>
      <c r="B27" s="229"/>
      <c r="C27" s="229"/>
      <c r="D27" s="229"/>
      <c r="E27" s="229"/>
      <c r="F27" s="229"/>
      <c r="G27" s="229"/>
      <c r="H27" s="229"/>
      <c r="I27" s="230"/>
      <c r="AC27" s="58"/>
      <c r="AD27" s="58"/>
      <c r="AE27" s="58"/>
      <c r="AF27" s="249"/>
      <c r="AG27" s="370"/>
      <c r="AH27" s="371"/>
    </row>
    <row r="28" ht="15.75" customHeight="1">
      <c r="A28" s="228"/>
      <c r="B28" s="229"/>
      <c r="C28" s="229"/>
      <c r="D28" s="229"/>
      <c r="E28" s="229"/>
      <c r="F28" s="229"/>
      <c r="G28" s="229"/>
      <c r="H28" s="229"/>
      <c r="I28" s="230"/>
      <c r="AC28" s="58"/>
      <c r="AD28" s="58"/>
      <c r="AE28" s="58"/>
      <c r="AF28" s="249"/>
      <c r="AG28" s="370"/>
      <c r="AH28" s="371"/>
    </row>
    <row r="29" ht="15.75" customHeight="1">
      <c r="A29" s="232" t="s">
        <v>270</v>
      </c>
      <c r="B29" s="331" t="s">
        <v>293</v>
      </c>
      <c r="C29" s="332" t="s">
        <v>271</v>
      </c>
      <c r="D29" s="233" t="s">
        <v>272</v>
      </c>
      <c r="E29" s="234" t="s">
        <v>273</v>
      </c>
      <c r="F29" s="235" t="s">
        <v>289</v>
      </c>
      <c r="G29" s="58"/>
      <c r="H29" s="236" t="s">
        <v>275</v>
      </c>
      <c r="I29" s="179" t="s">
        <v>115</v>
      </c>
      <c r="J29" s="238"/>
      <c r="K29" s="195" t="s">
        <v>197</v>
      </c>
      <c r="L29" s="334"/>
      <c r="M29" s="179" t="s">
        <v>114</v>
      </c>
      <c r="N29" s="334"/>
      <c r="O29" s="179" t="s">
        <v>79</v>
      </c>
      <c r="P29" s="334"/>
      <c r="Q29" s="195" t="s">
        <v>111</v>
      </c>
      <c r="R29" s="334"/>
      <c r="S29" s="179" t="s">
        <v>126</v>
      </c>
      <c r="T29" s="334"/>
      <c r="U29" s="237" t="s">
        <v>29</v>
      </c>
      <c r="V29" s="334"/>
      <c r="W29" s="237" t="s">
        <v>91</v>
      </c>
      <c r="X29" s="334"/>
      <c r="Y29" s="237"/>
      <c r="Z29" s="334"/>
      <c r="AA29" s="237"/>
      <c r="AB29" s="334"/>
      <c r="AC29" s="58"/>
      <c r="AD29" s="58"/>
      <c r="AE29" s="58"/>
      <c r="AF29" s="249"/>
      <c r="AG29" s="370"/>
      <c r="AH29" s="371"/>
    </row>
    <row r="30" ht="15.75" customHeight="1">
      <c r="A30" s="335" t="s">
        <v>37</v>
      </c>
      <c r="B30" s="356">
        <f t="shared" ref="B30:B39" si="4">(D5)-IFERROR(VLOOKUP(A30,I$36:J$47,2,False),"")-IFERROR(VLOOKUP(A30,K$36:L$47,2,False),"")-IFERROR(VLOOKUP(A30,M$36:N$47,2,False),"")-IFERROR(VLOOKUP(A30,O$36:P$47,2,False),"")-IFERROR(VLOOKUP(A30,Q$36:R$47,2,False),"")-IFERROR(VLOOKUP(A30,S$36:T$47,2,False),"")-IFERROR(VLOOKUP(A30,U$36:V$47,2,False),"")-IFERROR(VLOOKUP(A30,W$36:X$47,2,False),"")-IFERROR(VLOOKUP(A30,Y$36:Z$47,2,False),"")-IFERROR(VLOOKUP(A30,AA$36:AB$47,2,False),"")</f>
        <v>155</v>
      </c>
      <c r="C30" s="357">
        <f t="shared" ref="C30:C39" si="5">D5</f>
        <v>570</v>
      </c>
      <c r="D30" s="23">
        <v>570.0</v>
      </c>
      <c r="E30" s="242">
        <v>30.0</v>
      </c>
      <c r="F30" s="243">
        <f t="shared" ref="F30:F39" si="6">D5</f>
        <v>570</v>
      </c>
      <c r="G30" s="58"/>
      <c r="H30" s="244" t="s">
        <v>274</v>
      </c>
      <c r="I30" s="245">
        <f t="array" ref="I30">INDEX(Signed,Match(I29,Signed!$A$1:$A$43,0),3)</f>
        <v>198</v>
      </c>
      <c r="J30" s="247"/>
      <c r="K30" s="245">
        <f t="array" ref="K30">INDEX(Signed,Match(K29,Signed!$A$1:$A$43,0),3)</f>
        <v>60</v>
      </c>
      <c r="L30" s="338"/>
      <c r="M30" s="245">
        <f t="array" ref="M30">INDEX(Signed,Match(M29,Signed!$A$1:$A$43,0),3)</f>
        <v>60</v>
      </c>
      <c r="N30" s="338"/>
      <c r="O30" s="245">
        <f t="array" ref="O30">INDEX(Signed,Match(O29,Signed!$A$1:$A$43,0),3)</f>
        <v>60</v>
      </c>
      <c r="P30" s="338"/>
      <c r="Q30" s="245">
        <f t="array" ref="Q30">INDEX(Signed,Match(Q29,Signed!$A$1:$A$43,0),3)</f>
        <v>60</v>
      </c>
      <c r="R30" s="338"/>
      <c r="S30" s="245">
        <f t="array" ref="S30">INDEX(Signed,Match(S29,Signed!$A$1:$A$43,0),3)</f>
        <v>60</v>
      </c>
      <c r="T30" s="338"/>
      <c r="U30" s="245">
        <f t="array" ref="U30">INDEX(Signed,Match(U29,Signed!$A$1:$A$43,0),3)</f>
        <v>30</v>
      </c>
      <c r="V30" s="338"/>
      <c r="W30" s="245">
        <f t="array" ref="W30">INDEX(Signed,Match(W29,Signed!$A$1:$A$43,0),3)</f>
        <v>30</v>
      </c>
      <c r="X30" s="338"/>
      <c r="Y30" s="245"/>
      <c r="Z30" s="338"/>
      <c r="AA30" s="245"/>
      <c r="AB30" s="338"/>
      <c r="AC30" s="58"/>
      <c r="AD30" s="58"/>
      <c r="AE30" s="58"/>
      <c r="AF30" s="249"/>
      <c r="AG30" s="370"/>
      <c r="AH30" s="371"/>
    </row>
    <row r="31" ht="15.75" customHeight="1">
      <c r="A31" s="335" t="s">
        <v>40</v>
      </c>
      <c r="B31" s="356">
        <f t="shared" si="4"/>
        <v>540</v>
      </c>
      <c r="C31" s="357">
        <f t="shared" si="5"/>
        <v>540</v>
      </c>
      <c r="D31" s="23">
        <v>540.0</v>
      </c>
      <c r="E31" s="242">
        <v>30.0</v>
      </c>
      <c r="F31" s="243">
        <f t="shared" si="6"/>
        <v>540</v>
      </c>
      <c r="G31" s="58"/>
      <c r="H31" s="244" t="s">
        <v>201</v>
      </c>
      <c r="I31" s="245" t="str">
        <f t="array" ref="I31">INDEX(Signed,Match(I29,Signed!$A$1:$A$43,0),2)</f>
        <v>A</v>
      </c>
      <c r="J31" s="247"/>
      <c r="K31" s="245" t="str">
        <f t="array" ref="K31">INDEX(Signed,Match(K29,Signed!$A$1:$A$43,0),2)</f>
        <v>C</v>
      </c>
      <c r="L31" s="338"/>
      <c r="M31" s="245" t="str">
        <f t="array" ref="M31">INDEX(Signed,Match(M29,Signed!$A$1:$A$43,0),2)</f>
        <v>C</v>
      </c>
      <c r="N31" s="338"/>
      <c r="O31" s="245" t="str">
        <f t="array" ref="O31">INDEX(Signed,Match(O29,Signed!$A$1:$A$43,0),2)</f>
        <v>C</v>
      </c>
      <c r="P31" s="338"/>
      <c r="Q31" s="245" t="str">
        <f t="array" ref="Q31">INDEX(Signed,Match(Q29,Signed!$A$1:$A$43,0),2)</f>
        <v>D</v>
      </c>
      <c r="R31" s="338"/>
      <c r="S31" s="245" t="str">
        <f t="array" ref="S31">INDEX(Signed,Match(S29,Signed!$A$1:$A$43,0),2)</f>
        <v>D</v>
      </c>
      <c r="T31" s="338"/>
      <c r="U31" s="245" t="str">
        <f t="array" ref="U31">INDEX(Signed,Match(U29,Signed!$A$1:$A$43,0),2)</f>
        <v>E</v>
      </c>
      <c r="V31" s="338"/>
      <c r="W31" s="245" t="str">
        <f t="array" ref="W31">INDEX(Signed,Match(W29,Signed!$A$1:$A$43,0),2)</f>
        <v>E</v>
      </c>
      <c r="X31" s="338"/>
      <c r="Y31" s="245"/>
      <c r="Z31" s="338"/>
      <c r="AA31" s="245"/>
      <c r="AB31" s="338"/>
      <c r="AC31" s="58"/>
      <c r="AD31" s="58"/>
      <c r="AE31" s="58"/>
      <c r="AF31" s="249"/>
      <c r="AG31" s="370"/>
      <c r="AH31" s="372"/>
    </row>
    <row r="32" ht="15.75" customHeight="1">
      <c r="A32" s="335" t="s">
        <v>57</v>
      </c>
      <c r="B32" s="356">
        <f t="shared" si="4"/>
        <v>130</v>
      </c>
      <c r="C32" s="357">
        <f t="shared" si="5"/>
        <v>460</v>
      </c>
      <c r="D32" s="23">
        <v>130.0</v>
      </c>
      <c r="E32" s="242">
        <v>30.0</v>
      </c>
      <c r="F32" s="243">
        <f t="shared" si="6"/>
        <v>460</v>
      </c>
      <c r="G32" s="58"/>
      <c r="H32" s="250" t="s">
        <v>277</v>
      </c>
      <c r="I32" s="251">
        <f>If(MAX('Round 2'!$C:$C)&gt;=I30,MAX('Round 2'!$C:$C),0)</f>
        <v>365</v>
      </c>
      <c r="J32" s="339"/>
      <c r="K32" s="251">
        <f>If(MAX('Round 2'!$D:$D)&gt;=K30,MAX('Round 2'!$D:$D),0)</f>
        <v>60</v>
      </c>
      <c r="L32" s="340"/>
      <c r="M32" s="251">
        <f>If(MAX('Round 2'!$E:$E)&gt;=M30,MAX('Round 2'!$E:$E),0)</f>
        <v>140</v>
      </c>
      <c r="N32" s="340"/>
      <c r="O32" s="251">
        <f>If(MAX('Round 2'!$F:$F)&gt;=O30,MAX('Round 2'!$F:$F),0)</f>
        <v>330</v>
      </c>
      <c r="P32" s="340"/>
      <c r="Q32" s="251">
        <f>If(MAX('Round 2'!$G:$G)&gt;=Q30,MAX('Round 2'!$G:$G),0)</f>
        <v>0</v>
      </c>
      <c r="R32" s="340"/>
      <c r="S32" s="251">
        <f>If(MAX('Round 2'!$H:$H)&gt;=S30,MAX('Round 2'!$H:$H),0)</f>
        <v>0</v>
      </c>
      <c r="T32" s="341"/>
      <c r="U32" s="251">
        <f>If(MAX('Round 2'!$I:$I)&gt;=U30,MAX('Round 2'!$I:$I),0)</f>
        <v>0</v>
      </c>
      <c r="V32" s="341"/>
      <c r="W32" s="251">
        <f>If(MAX('Round 2'!$J:$J)&gt;=W30,MAX('Round 2'!$J:$J),0)</f>
        <v>0</v>
      </c>
      <c r="X32" s="342"/>
      <c r="Y32" s="251"/>
      <c r="Z32" s="342"/>
      <c r="AA32" s="251"/>
      <c r="AB32" s="342"/>
      <c r="AC32" s="58"/>
      <c r="AD32" s="58"/>
      <c r="AE32" s="58"/>
      <c r="AF32" s="249"/>
      <c r="AG32" s="370"/>
      <c r="AH32" s="371"/>
    </row>
    <row r="33" ht="15.75" customHeight="1">
      <c r="A33" s="335" t="s">
        <v>193</v>
      </c>
      <c r="B33" s="356">
        <f t="shared" si="4"/>
        <v>540</v>
      </c>
      <c r="C33" s="357">
        <f t="shared" si="5"/>
        <v>540</v>
      </c>
      <c r="D33" s="23">
        <v>540.0</v>
      </c>
      <c r="E33" s="242">
        <v>30.0</v>
      </c>
      <c r="F33" s="243">
        <f t="shared" si="6"/>
        <v>540</v>
      </c>
      <c r="G33" s="58"/>
      <c r="H33" s="256" t="s">
        <v>278</v>
      </c>
      <c r="I33" s="257" t="str">
        <f t="shared" ref="I33:W33" si="7">I36</f>
        <v>Cell</v>
      </c>
      <c r="J33" s="259">
        <f t="shared" si="7"/>
        <v>365</v>
      </c>
      <c r="K33" s="257" t="str">
        <f t="shared" si="7"/>
        <v>Rage More Nerd</v>
      </c>
      <c r="L33" s="343">
        <f t="shared" si="7"/>
        <v>60</v>
      </c>
      <c r="M33" s="257" t="str">
        <f t="shared" si="7"/>
        <v>Solace</v>
      </c>
      <c r="N33" s="343">
        <f t="shared" si="7"/>
        <v>140</v>
      </c>
      <c r="O33" s="257" t="str">
        <f t="shared" si="7"/>
        <v>G3Ohh</v>
      </c>
      <c r="P33" s="343">
        <f t="shared" si="7"/>
        <v>330</v>
      </c>
      <c r="Q33" s="257" t="str">
        <f t="shared" si="7"/>
        <v/>
      </c>
      <c r="R33" s="343" t="str">
        <f t="shared" si="7"/>
        <v/>
      </c>
      <c r="S33" s="257" t="str">
        <f t="shared" si="7"/>
        <v/>
      </c>
      <c r="T33" s="343" t="str">
        <f t="shared" si="7"/>
        <v/>
      </c>
      <c r="U33" s="257" t="str">
        <f t="shared" si="7"/>
        <v/>
      </c>
      <c r="V33" s="343" t="str">
        <f t="shared" si="7"/>
        <v/>
      </c>
      <c r="W33" s="257" t="str">
        <f t="shared" si="7"/>
        <v/>
      </c>
      <c r="X33" s="343"/>
      <c r="Y33" s="257" t="str">
        <f>Y36</f>
        <v/>
      </c>
      <c r="Z33" s="343"/>
      <c r="AA33" s="257" t="str">
        <f>AA36</f>
        <v/>
      </c>
      <c r="AB33" s="343"/>
      <c r="AC33" s="58"/>
      <c r="AD33" s="58"/>
      <c r="AE33" s="58"/>
      <c r="AF33" s="249"/>
      <c r="AG33" s="370"/>
      <c r="AH33" s="371"/>
    </row>
    <row r="34" ht="15.75" customHeight="1">
      <c r="A34" s="335" t="s">
        <v>259</v>
      </c>
      <c r="B34" s="356">
        <f t="shared" si="4"/>
        <v>-308</v>
      </c>
      <c r="C34" s="357">
        <f t="shared" si="5"/>
        <v>402</v>
      </c>
      <c r="D34" s="23">
        <v>262.0</v>
      </c>
      <c r="E34" s="242">
        <v>30.0</v>
      </c>
      <c r="F34" s="243">
        <f t="shared" si="6"/>
        <v>402</v>
      </c>
      <c r="G34" s="58"/>
      <c r="H34" s="261" t="s">
        <v>279</v>
      </c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306"/>
      <c r="AC34" s="58"/>
      <c r="AD34" s="58"/>
      <c r="AE34" s="58"/>
      <c r="AF34" s="371"/>
      <c r="AG34" s="371"/>
      <c r="AH34" s="371"/>
    </row>
    <row r="35" ht="15.75" customHeight="1">
      <c r="A35" s="335" t="s">
        <v>169</v>
      </c>
      <c r="B35" s="356">
        <f t="shared" si="4"/>
        <v>0</v>
      </c>
      <c r="C35" s="357">
        <f t="shared" si="5"/>
        <v>129</v>
      </c>
      <c r="D35" s="23">
        <v>129.0</v>
      </c>
      <c r="E35" s="242">
        <v>30.0</v>
      </c>
      <c r="F35" s="243">
        <f t="shared" si="6"/>
        <v>129</v>
      </c>
      <c r="G35" s="58"/>
      <c r="H35" s="264" t="s">
        <v>280</v>
      </c>
      <c r="I35" s="265" t="str">
        <f>IFERROR(__xludf.DUMMYFUNCTION("Query('Round 2'!$A:$J,""Select B, MAX(C) WHERE C&gt;=198 group by B order by max(C) desc"")"),"Captain's Name (Use the exact same name each time)")</f>
        <v>Captain's Name (Use the exact same name each time)</v>
      </c>
      <c r="J35" s="289" t="str">
        <f>IFERROR(__xludf.DUMMYFUNCTION("""COMPUTED_VALUE"""),"max MysticalNovice")</f>
        <v>max MysticalNovice</v>
      </c>
      <c r="K35" s="265" t="str">
        <f>IFERROR(__xludf.DUMMYFUNCTION("Query('Round 2'!$A:$J,""Select B, MAX(D) WHERE D&gt;=60 group by B order by max(D) desc"")"),"Captain's Name (Use the exact same name each time)")</f>
        <v>Captain's Name (Use the exact same name each time)</v>
      </c>
      <c r="L35" s="266" t="str">
        <f>IFERROR(__xludf.DUMMYFUNCTION("""COMPUTED_VALUE"""),"max slayers0n")</f>
        <v>max slayers0n</v>
      </c>
      <c r="M35" s="265" t="str">
        <f>IFERROR(__xludf.DUMMYFUNCTION("Query('Round 2'!$A:$J,""Select B, MAX(E) WHERE E&gt;=60 group by B order by max(E) desc"")"),"Captain's Name (Use the exact same name each time)")</f>
        <v>Captain's Name (Use the exact same name each time)</v>
      </c>
      <c r="N35" s="266" t="str">
        <f>IFERROR(__xludf.DUMMYFUNCTION("""COMPUTED_VALUE"""),"max Myst the Cold")</f>
        <v>max Myst the Cold</v>
      </c>
      <c r="O35" s="265" t="str">
        <f>IFERROR(__xludf.DUMMYFUNCTION("Query('Round 2'!$A:$J,""Select B, MAX(F) WHERE F&gt;=60 group by B order by max(F) desc"")"),"Captain's Name (Use the exact same name each time)")</f>
        <v>Captain's Name (Use the exact same name each time)</v>
      </c>
      <c r="P35" s="266" t="str">
        <f>IFERROR(__xludf.DUMMYFUNCTION("""COMPUTED_VALUE"""),"max Into Sublime")</f>
        <v>max Into Sublime</v>
      </c>
      <c r="Q35" s="265" t="str">
        <f>IFERROR(__xludf.DUMMYFUNCTION("Query('Round 2'!$A:$J,""Select B, MAX(G) WHERE G&gt;=60 group by B order by max(G) desc"")"),"Captain's Name (Use the exact same name each time)")</f>
        <v>Captain's Name (Use the exact same name each time)</v>
      </c>
      <c r="R35" s="266" t="str">
        <f>IFERROR(__xludf.DUMMYFUNCTION("""COMPUTED_VALUE"""),"max mstell96")</f>
        <v>max mstell96</v>
      </c>
      <c r="S35" s="265" t="str">
        <f>IFERROR(__xludf.DUMMYFUNCTION("Query('Round 2'!$A:$J,""Select B, MAX(H) WHERE H&gt;=60 group by B order by max(H) desc"")"),"Captain's Name (Use the exact same name each time)")</f>
        <v>Captain's Name (Use the exact same name each time)</v>
      </c>
      <c r="T35" s="266" t="str">
        <f>IFERROR(__xludf.DUMMYFUNCTION("""COMPUTED_VALUE"""),"max Priest XYZ")</f>
        <v>max Priest XYZ</v>
      </c>
      <c r="U35" s="265" t="str">
        <f>IFERROR(__xludf.DUMMYFUNCTION("Query('Round 2'!$A:$J,""Select B, MAX(I) WHERE I&gt;=30 group by B order by max(I) desc"")"),"Captain's Name (Use the exact same name each time)")</f>
        <v>Captain's Name (Use the exact same name each time)</v>
      </c>
      <c r="V35" s="266" t="str">
        <f>IFERROR(__xludf.DUMMYFUNCTION("""COMPUTED_VALUE"""),"max Amnatu")</f>
        <v>max Amnatu</v>
      </c>
      <c r="W35" s="265" t="str">
        <f>IFERROR(__xludf.DUMMYFUNCTION("Query('Round 2'!$A:$J,""Select B, MAX(J) WHERE J&gt;=30 group by B order by max(J) desc"")"),"Captain's Name (Use the exact same name each time)")</f>
        <v>Captain's Name (Use the exact same name each time)</v>
      </c>
      <c r="X35" s="267" t="str">
        <f>IFERROR(__xludf.DUMMYFUNCTION("""COMPUTED_VALUE"""),"max JollyJhadIst")</f>
        <v>max JollyJhadIst</v>
      </c>
      <c r="Y35" s="265"/>
      <c r="Z35" s="267"/>
      <c r="AA35" s="265"/>
      <c r="AB35" s="267"/>
      <c r="AC35" s="58"/>
      <c r="AD35" s="58"/>
      <c r="AE35" s="58"/>
      <c r="AF35" s="371"/>
      <c r="AG35" s="371"/>
      <c r="AH35" s="371"/>
    </row>
    <row r="36" ht="15.75" customHeight="1">
      <c r="A36" s="335" t="s">
        <v>129</v>
      </c>
      <c r="B36" s="356">
        <f t="shared" si="4"/>
        <v>-100</v>
      </c>
      <c r="C36" s="357">
        <f t="shared" si="5"/>
        <v>100</v>
      </c>
      <c r="D36" s="23">
        <v>40.0</v>
      </c>
      <c r="E36" s="242">
        <v>30.0</v>
      </c>
      <c r="F36" s="243">
        <f t="shared" si="6"/>
        <v>100</v>
      </c>
      <c r="G36" s="58"/>
      <c r="H36" s="230"/>
      <c r="I36" s="268" t="str">
        <f>IFERROR(__xludf.DUMMYFUNCTION("""COMPUTED_VALUE"""),"Cell")</f>
        <v>Cell</v>
      </c>
      <c r="J36" s="345">
        <f>IFERROR(__xludf.DUMMYFUNCTION("""COMPUTED_VALUE"""),365.0)</f>
        <v>365</v>
      </c>
      <c r="K36" s="268" t="str">
        <f>IFERROR(__xludf.DUMMYFUNCTION("""COMPUTED_VALUE"""),"Rage More Nerd")</f>
        <v>Rage More Nerd</v>
      </c>
      <c r="L36" s="346">
        <f>IFERROR(__xludf.DUMMYFUNCTION("""COMPUTED_VALUE"""),60.0)</f>
        <v>60</v>
      </c>
      <c r="M36" s="271" t="str">
        <f>IFERROR(__xludf.DUMMYFUNCTION("""COMPUTED_VALUE"""),"Solace")</f>
        <v>Solace</v>
      </c>
      <c r="N36" s="346">
        <f>IFERROR(__xludf.DUMMYFUNCTION("""COMPUTED_VALUE"""),140.0)</f>
        <v>140</v>
      </c>
      <c r="O36" s="271" t="str">
        <f>IFERROR(__xludf.DUMMYFUNCTION("""COMPUTED_VALUE"""),"G3Ohh")</f>
        <v>G3Ohh</v>
      </c>
      <c r="P36" s="346">
        <f>IFERROR(__xludf.DUMMYFUNCTION("""COMPUTED_VALUE"""),330.0)</f>
        <v>330</v>
      </c>
      <c r="Q36" s="271"/>
      <c r="R36" s="346"/>
      <c r="S36" s="271"/>
      <c r="T36" s="346"/>
      <c r="U36" s="271"/>
      <c r="V36" s="346"/>
      <c r="W36" s="271"/>
      <c r="X36" s="346"/>
      <c r="Y36" s="18"/>
      <c r="Z36" s="346"/>
      <c r="AA36" s="18"/>
      <c r="AB36" s="346"/>
      <c r="AC36" s="58"/>
      <c r="AD36" s="58"/>
      <c r="AE36" s="58"/>
      <c r="AF36" s="373"/>
      <c r="AG36" s="371"/>
      <c r="AH36" s="374"/>
    </row>
    <row r="37" ht="15.75" customHeight="1">
      <c r="A37" s="335" t="s">
        <v>104</v>
      </c>
      <c r="B37" s="356">
        <f t="shared" si="4"/>
        <v>445</v>
      </c>
      <c r="C37" s="357">
        <f t="shared" si="5"/>
        <v>445</v>
      </c>
      <c r="D37" s="23">
        <v>445.0</v>
      </c>
      <c r="E37" s="242">
        <v>30.0</v>
      </c>
      <c r="F37" s="243">
        <f t="shared" si="6"/>
        <v>445</v>
      </c>
      <c r="G37" s="58"/>
      <c r="H37" s="89"/>
      <c r="I37" s="276" t="str">
        <f>IFERROR(__xludf.DUMMYFUNCTION("""COMPUTED_VALUE"""),"TheAlphaTurtle")</f>
        <v>TheAlphaTurtle</v>
      </c>
      <c r="J37" s="345">
        <f>IFERROR(__xludf.DUMMYFUNCTION("""COMPUTED_VALUE"""),362.0)</f>
        <v>362</v>
      </c>
      <c r="K37" s="276"/>
      <c r="L37" s="346"/>
      <c r="M37" s="277" t="str">
        <f>IFERROR(__xludf.DUMMYFUNCTION("""COMPUTED_VALUE"""),"yLuxe")</f>
        <v>yLuxe</v>
      </c>
      <c r="N37" s="346">
        <f>IFERROR(__xludf.DUMMYFUNCTION("""COMPUTED_VALUE"""),129.0)</f>
        <v>129</v>
      </c>
      <c r="O37" s="277" t="str">
        <f>IFERROR(__xludf.DUMMYFUNCTION("""COMPUTED_VALUE"""),"Solace")</f>
        <v>Solace</v>
      </c>
      <c r="P37" s="346">
        <f>IFERROR(__xludf.DUMMYFUNCTION("""COMPUTED_VALUE"""),270.0)</f>
        <v>270</v>
      </c>
      <c r="Q37" s="277"/>
      <c r="R37" s="346"/>
      <c r="S37" s="277"/>
      <c r="T37" s="346"/>
      <c r="U37" s="277"/>
      <c r="V37" s="346"/>
      <c r="W37" s="277"/>
      <c r="X37" s="346"/>
      <c r="Y37" s="18"/>
      <c r="Z37" s="346"/>
      <c r="AA37" s="18"/>
      <c r="AB37" s="346"/>
      <c r="AC37" s="58"/>
      <c r="AD37" s="58"/>
      <c r="AE37" s="58"/>
      <c r="AF37" s="90"/>
      <c r="AG37" s="346"/>
      <c r="AH37" s="59"/>
    </row>
    <row r="38" ht="15.75" customHeight="1">
      <c r="A38" s="335" t="s">
        <v>155</v>
      </c>
      <c r="B38" s="356">
        <f t="shared" si="4"/>
        <v>46</v>
      </c>
      <c r="C38" s="357">
        <f t="shared" si="5"/>
        <v>479</v>
      </c>
      <c r="D38" s="23">
        <v>479.0</v>
      </c>
      <c r="E38" s="242">
        <v>30.0</v>
      </c>
      <c r="F38" s="243">
        <f t="shared" si="6"/>
        <v>479</v>
      </c>
      <c r="G38" s="58"/>
      <c r="H38" s="89"/>
      <c r="I38" s="276" t="str">
        <f>IFERROR(__xludf.DUMMYFUNCTION("""COMPUTED_VALUE"""),"Bear is Clutch")</f>
        <v>Bear is Clutch</v>
      </c>
      <c r="J38" s="345">
        <f>IFERROR(__xludf.DUMMYFUNCTION("""COMPUTED_VALUE"""),340.0)</f>
        <v>340</v>
      </c>
      <c r="K38" s="276"/>
      <c r="L38" s="347"/>
      <c r="M38" s="277" t="str">
        <f>IFERROR(__xludf.DUMMYFUNCTION("""COMPUTED_VALUE"""),"Bear is Clutch")</f>
        <v>Bear is Clutch</v>
      </c>
      <c r="N38" s="346">
        <f>IFERROR(__xludf.DUMMYFUNCTION("""COMPUTED_VALUE"""),75.0)</f>
        <v>75</v>
      </c>
      <c r="O38" s="277" t="str">
        <f>IFERROR(__xludf.DUMMYFUNCTION("""COMPUTED_VALUE"""),"Rage More Nerd")</f>
        <v>Rage More Nerd</v>
      </c>
      <c r="P38" s="346">
        <f>IFERROR(__xludf.DUMMYFUNCTION("""COMPUTED_VALUE"""),70.0)</f>
        <v>70</v>
      </c>
      <c r="Q38" s="277"/>
      <c r="R38" s="346"/>
      <c r="S38" s="277"/>
      <c r="T38" s="346"/>
      <c r="U38" s="277"/>
      <c r="V38" s="346"/>
      <c r="W38" s="277"/>
      <c r="X38" s="346"/>
      <c r="Y38" s="18"/>
      <c r="Z38" s="346"/>
      <c r="AA38" s="18"/>
      <c r="AB38" s="346"/>
      <c r="AC38" s="58"/>
      <c r="AD38" s="58"/>
      <c r="AE38" s="58"/>
      <c r="AF38" s="90"/>
      <c r="AG38" s="346"/>
      <c r="AH38" s="59"/>
    </row>
    <row r="39" ht="15.75" customHeight="1">
      <c r="A39" s="335" t="s">
        <v>42</v>
      </c>
      <c r="B39" s="356">
        <f t="shared" si="4"/>
        <v>450</v>
      </c>
      <c r="C39" s="357">
        <f t="shared" si="5"/>
        <v>450</v>
      </c>
      <c r="D39" s="23">
        <v>85.0</v>
      </c>
      <c r="E39" s="242">
        <v>30.0</v>
      </c>
      <c r="F39" s="243">
        <f t="shared" si="6"/>
        <v>450</v>
      </c>
      <c r="G39" s="58"/>
      <c r="H39" s="89"/>
      <c r="I39" s="276" t="str">
        <f>IFERROR(__xludf.DUMMYFUNCTION("""COMPUTED_VALUE"""),"Solace")</f>
        <v>Solace</v>
      </c>
      <c r="J39" s="345">
        <f>IFERROR(__xludf.DUMMYFUNCTION("""COMPUTED_VALUE"""),300.0)</f>
        <v>300</v>
      </c>
      <c r="K39" s="276"/>
      <c r="L39" s="346"/>
      <c r="M39" s="277" t="str">
        <f>IFERROR(__xludf.DUMMYFUNCTION("""COMPUTED_VALUE"""),"TheAlphaTurtle")</f>
        <v>TheAlphaTurtle</v>
      </c>
      <c r="N39" s="346">
        <f>IFERROR(__xludf.DUMMYFUNCTION("""COMPUTED_VALUE"""),71.0)</f>
        <v>71</v>
      </c>
      <c r="O39" s="277" t="str">
        <f>IFERROR(__xludf.DUMMYFUNCTION("""COMPUTED_VALUE"""),"Cell")</f>
        <v>Cell</v>
      </c>
      <c r="P39" s="346">
        <f>IFERROR(__xludf.DUMMYFUNCTION("""COMPUTED_VALUE"""),60.0)</f>
        <v>60</v>
      </c>
      <c r="Q39" s="277"/>
      <c r="R39" s="346"/>
      <c r="S39" s="277"/>
      <c r="T39" s="346"/>
      <c r="U39" s="277"/>
      <c r="V39" s="346"/>
      <c r="W39" s="277"/>
      <c r="X39" s="346"/>
      <c r="Y39" s="18"/>
      <c r="Z39" s="346"/>
      <c r="AA39" s="18"/>
      <c r="AB39" s="346"/>
      <c r="AC39" s="58"/>
      <c r="AD39" s="58"/>
      <c r="AE39" s="58"/>
      <c r="AF39" s="90"/>
      <c r="AG39" s="346"/>
      <c r="AH39" s="59"/>
    </row>
    <row r="40" ht="15.75" customHeight="1">
      <c r="A40" s="58"/>
      <c r="B40" s="307"/>
      <c r="C40" s="307"/>
      <c r="D40" s="58"/>
      <c r="E40" s="58"/>
      <c r="F40" s="308"/>
      <c r="G40" s="58"/>
      <c r="H40" s="89"/>
      <c r="I40" s="276"/>
      <c r="J40" s="345"/>
      <c r="K40" s="276"/>
      <c r="L40" s="346"/>
      <c r="M40" s="277" t="str">
        <f>IFERROR(__xludf.DUMMYFUNCTION("""COMPUTED_VALUE"""),"Rage More Nerd")</f>
        <v>Rage More Nerd</v>
      </c>
      <c r="N40" s="346">
        <f>IFERROR(__xludf.DUMMYFUNCTION("""COMPUTED_VALUE"""),70.0)</f>
        <v>70</v>
      </c>
      <c r="O40" s="277"/>
      <c r="P40" s="346"/>
      <c r="Q40" s="277"/>
      <c r="R40" s="346"/>
      <c r="S40" s="277"/>
      <c r="T40" s="346"/>
      <c r="U40" s="277"/>
      <c r="V40" s="346"/>
      <c r="W40" s="277"/>
      <c r="X40" s="346"/>
      <c r="Y40" s="18"/>
      <c r="Z40" s="346"/>
      <c r="AA40" s="18"/>
      <c r="AB40" s="346"/>
      <c r="AC40" s="58"/>
      <c r="AD40" s="58"/>
      <c r="AE40" s="58"/>
      <c r="AF40" s="90"/>
      <c r="AG40" s="346"/>
      <c r="AH40" s="59"/>
    </row>
    <row r="41" ht="15.75" customHeight="1">
      <c r="A41" s="58"/>
      <c r="B41" s="307"/>
      <c r="C41" s="307"/>
      <c r="D41" s="58"/>
      <c r="E41" s="58"/>
      <c r="F41" s="308"/>
      <c r="G41" s="58"/>
      <c r="H41" s="89"/>
      <c r="I41" s="277"/>
      <c r="J41" s="90"/>
      <c r="K41" s="276"/>
      <c r="L41" s="346"/>
      <c r="M41" s="277" t="str">
        <f>IFERROR(__xludf.DUMMYFUNCTION("""COMPUTED_VALUE"""),"Cell")</f>
        <v>Cell</v>
      </c>
      <c r="N41" s="346">
        <f>IFERROR(__xludf.DUMMYFUNCTION("""COMPUTED_VALUE"""),60.0)</f>
        <v>60</v>
      </c>
      <c r="O41" s="277"/>
      <c r="P41" s="346"/>
      <c r="Q41" s="277"/>
      <c r="R41" s="346"/>
      <c r="S41" s="277"/>
      <c r="T41" s="346"/>
      <c r="U41" s="277"/>
      <c r="V41" s="346"/>
      <c r="W41" s="277"/>
      <c r="X41" s="346"/>
      <c r="Y41" s="18"/>
      <c r="Z41" s="346"/>
      <c r="AA41" s="18"/>
      <c r="AB41" s="346"/>
      <c r="AC41" s="58"/>
      <c r="AD41" s="58"/>
      <c r="AE41" s="58"/>
      <c r="AF41" s="90"/>
      <c r="AG41" s="346"/>
      <c r="AH41" s="59"/>
    </row>
    <row r="42" ht="15.75" customHeight="1">
      <c r="A42" s="309"/>
      <c r="B42" s="307"/>
      <c r="C42" s="307"/>
      <c r="D42" s="58"/>
      <c r="E42" s="58"/>
      <c r="F42" s="308"/>
      <c r="G42" s="58"/>
      <c r="H42" s="287"/>
      <c r="I42" s="288"/>
      <c r="J42" s="90"/>
      <c r="K42" s="276"/>
      <c r="L42" s="349"/>
      <c r="M42" s="276"/>
      <c r="N42" s="346"/>
      <c r="O42" s="277"/>
      <c r="P42" s="346"/>
      <c r="Q42" s="277"/>
      <c r="R42" s="346"/>
      <c r="S42" s="277"/>
      <c r="T42" s="346"/>
      <c r="U42" s="277"/>
      <c r="V42" s="346"/>
      <c r="W42" s="277"/>
      <c r="X42" s="346"/>
      <c r="Y42" s="18"/>
      <c r="Z42" s="346"/>
      <c r="AA42" s="18"/>
      <c r="AB42" s="346"/>
      <c r="AC42" s="58"/>
      <c r="AD42" s="58"/>
      <c r="AE42" s="58"/>
      <c r="AF42" s="90"/>
      <c r="AG42" s="346"/>
      <c r="AH42" s="59"/>
    </row>
    <row r="43" ht="15.75" customHeight="1">
      <c r="A43" s="58"/>
      <c r="B43" s="307"/>
      <c r="C43" s="307"/>
      <c r="D43" s="58"/>
      <c r="E43" s="58"/>
      <c r="F43" s="308"/>
      <c r="G43" s="58"/>
      <c r="H43" s="89"/>
      <c r="I43" s="277"/>
      <c r="J43" s="90"/>
      <c r="K43" s="276"/>
      <c r="L43" s="346"/>
      <c r="M43" s="277"/>
      <c r="N43" s="346"/>
      <c r="O43" s="277"/>
      <c r="P43" s="346"/>
      <c r="Q43" s="277"/>
      <c r="R43" s="346"/>
      <c r="S43" s="277"/>
      <c r="T43" s="346"/>
      <c r="U43" s="277"/>
      <c r="V43" s="346"/>
      <c r="W43" s="277"/>
      <c r="X43" s="346"/>
      <c r="Y43" s="18"/>
      <c r="Z43" s="346"/>
      <c r="AA43" s="18"/>
      <c r="AB43" s="346"/>
      <c r="AC43" s="58"/>
      <c r="AD43" s="58"/>
      <c r="AE43" s="58"/>
      <c r="AF43" s="90"/>
      <c r="AG43" s="346"/>
      <c r="AH43" s="59"/>
    </row>
    <row r="44" ht="15.75" customHeight="1">
      <c r="A44" s="310"/>
      <c r="B44" s="311"/>
      <c r="C44" s="311"/>
      <c r="D44" s="58"/>
      <c r="E44" s="58"/>
      <c r="F44" s="308"/>
      <c r="G44" s="58"/>
      <c r="H44" s="89"/>
      <c r="I44" s="277"/>
      <c r="J44" s="90"/>
      <c r="K44" s="276"/>
      <c r="L44" s="346"/>
      <c r="M44" s="277"/>
      <c r="N44" s="346"/>
      <c r="O44" s="277"/>
      <c r="P44" s="346"/>
      <c r="Q44" s="277"/>
      <c r="R44" s="346"/>
      <c r="S44" s="277"/>
      <c r="T44" s="346"/>
      <c r="U44" s="277"/>
      <c r="V44" s="346"/>
      <c r="W44" s="277"/>
      <c r="X44" s="346"/>
      <c r="Y44" s="18"/>
      <c r="Z44" s="346"/>
      <c r="AA44" s="18"/>
      <c r="AB44" s="346"/>
      <c r="AC44" s="58"/>
      <c r="AD44" s="58"/>
      <c r="AE44" s="58"/>
      <c r="AF44" s="90"/>
      <c r="AG44" s="346"/>
      <c r="AH44" s="59"/>
    </row>
    <row r="45" ht="15.75" customHeight="1">
      <c r="A45" s="310"/>
      <c r="B45" s="310"/>
      <c r="C45" s="310"/>
      <c r="D45" s="58"/>
      <c r="E45" s="58"/>
      <c r="F45" s="58"/>
      <c r="G45" s="58"/>
      <c r="H45" s="89"/>
      <c r="I45" s="277"/>
      <c r="J45" s="90"/>
      <c r="K45" s="277"/>
      <c r="L45" s="346"/>
      <c r="M45" s="277"/>
      <c r="N45" s="346"/>
      <c r="O45" s="277"/>
      <c r="P45" s="346"/>
      <c r="Q45" s="277"/>
      <c r="R45" s="346"/>
      <c r="S45" s="277"/>
      <c r="T45" s="346"/>
      <c r="U45" s="288"/>
      <c r="V45" s="347"/>
      <c r="W45" s="277"/>
      <c r="X45" s="346"/>
      <c r="Y45" s="18"/>
      <c r="Z45" s="346"/>
      <c r="AA45" s="18"/>
      <c r="AB45" s="346"/>
      <c r="AC45" s="58"/>
      <c r="AD45" s="58"/>
      <c r="AE45" s="58"/>
      <c r="AF45" s="90"/>
      <c r="AG45" s="346"/>
      <c r="AH45" s="59"/>
    </row>
    <row r="46" ht="15.75" customHeight="1">
      <c r="A46" s="310"/>
      <c r="B46" s="311"/>
      <c r="C46" s="311"/>
      <c r="D46" s="58"/>
      <c r="E46" s="58"/>
      <c r="F46" s="58"/>
      <c r="G46" s="59"/>
      <c r="H46" s="89"/>
      <c r="I46" s="277"/>
      <c r="J46" s="90"/>
      <c r="K46" s="277"/>
      <c r="L46" s="346"/>
      <c r="M46" s="277"/>
      <c r="N46" s="346"/>
      <c r="O46" s="277"/>
      <c r="P46" s="346"/>
      <c r="Q46" s="277"/>
      <c r="R46" s="346"/>
      <c r="S46" s="277"/>
      <c r="T46" s="346"/>
      <c r="U46" s="277"/>
      <c r="V46" s="346"/>
      <c r="W46" s="277"/>
      <c r="X46" s="346"/>
      <c r="Y46" s="18"/>
      <c r="Z46" s="346"/>
      <c r="AA46" s="18"/>
      <c r="AB46" s="346"/>
      <c r="AC46" s="58"/>
      <c r="AD46" s="58"/>
      <c r="AE46" s="58"/>
      <c r="AF46" s="90"/>
      <c r="AG46" s="346"/>
      <c r="AH46" s="59"/>
    </row>
    <row r="47" ht="15.75" customHeight="1">
      <c r="A47" s="310"/>
      <c r="B47" s="311"/>
      <c r="C47" s="311"/>
      <c r="D47" s="58"/>
      <c r="E47" s="58"/>
      <c r="F47" s="58"/>
      <c r="G47" s="59"/>
      <c r="H47" s="89"/>
      <c r="I47" s="277"/>
      <c r="J47" s="90"/>
      <c r="K47" s="277"/>
      <c r="L47" s="346"/>
      <c r="M47" s="277"/>
      <c r="N47" s="346"/>
      <c r="O47" s="277"/>
      <c r="P47" s="346"/>
      <c r="Q47" s="277"/>
      <c r="R47" s="346"/>
      <c r="S47" s="277"/>
      <c r="T47" s="346"/>
      <c r="U47" s="277"/>
      <c r="V47" s="346"/>
      <c r="W47" s="277"/>
      <c r="X47" s="346"/>
      <c r="Y47" s="18"/>
      <c r="Z47" s="346"/>
      <c r="AA47" s="18"/>
      <c r="AB47" s="346"/>
      <c r="AC47" s="58"/>
      <c r="AD47" s="58"/>
      <c r="AE47" s="58"/>
      <c r="AF47" s="90"/>
      <c r="AG47" s="346"/>
      <c r="AH47" s="59"/>
    </row>
    <row r="48" ht="15.75" customHeight="1">
      <c r="A48" s="223"/>
      <c r="B48" s="224"/>
      <c r="C48" s="224"/>
      <c r="D48" s="224"/>
      <c r="E48" s="224"/>
      <c r="F48" s="224"/>
      <c r="G48" s="224"/>
      <c r="H48" s="225" t="s">
        <v>290</v>
      </c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58"/>
      <c r="AD48" s="58"/>
      <c r="AE48" s="58"/>
      <c r="AF48" s="90"/>
      <c r="AG48" s="346"/>
      <c r="AH48" s="59"/>
    </row>
    <row r="49" ht="15.75" customHeight="1">
      <c r="A49" s="228"/>
      <c r="B49" s="229"/>
      <c r="C49" s="229"/>
      <c r="D49" s="229"/>
      <c r="E49" s="229"/>
      <c r="F49" s="229"/>
      <c r="G49" s="229"/>
      <c r="H49" s="230"/>
      <c r="AC49" s="58"/>
      <c r="AD49" s="58"/>
      <c r="AE49" s="58"/>
      <c r="AF49" s="90"/>
      <c r="AG49" s="346"/>
      <c r="AH49" s="59"/>
    </row>
    <row r="50" ht="15.75" customHeight="1">
      <c r="A50" s="228"/>
      <c r="B50" s="229"/>
      <c r="C50" s="229"/>
      <c r="D50" s="229"/>
      <c r="E50" s="229"/>
      <c r="F50" s="229"/>
      <c r="G50" s="229"/>
      <c r="H50" s="230"/>
      <c r="AC50" s="58"/>
      <c r="AD50" s="58"/>
      <c r="AE50" s="58"/>
      <c r="AF50" s="90"/>
      <c r="AG50" s="346"/>
      <c r="AH50" s="59"/>
    </row>
    <row r="51" ht="15.75" customHeight="1">
      <c r="A51" s="232" t="s">
        <v>270</v>
      </c>
      <c r="B51" s="331" t="s">
        <v>293</v>
      </c>
      <c r="C51" s="332" t="s">
        <v>271</v>
      </c>
      <c r="D51" s="233" t="s">
        <v>272</v>
      </c>
      <c r="E51" s="234" t="s">
        <v>273</v>
      </c>
      <c r="F51" s="235" t="s">
        <v>289</v>
      </c>
      <c r="G51" s="59"/>
      <c r="H51" s="236" t="s">
        <v>275</v>
      </c>
      <c r="I51" s="179" t="s">
        <v>217</v>
      </c>
      <c r="J51" s="238"/>
      <c r="K51" s="195" t="s">
        <v>38</v>
      </c>
      <c r="L51" s="358"/>
      <c r="M51" s="195" t="s">
        <v>134</v>
      </c>
      <c r="N51" s="359"/>
      <c r="O51" s="195" t="s">
        <v>34</v>
      </c>
      <c r="P51" s="359"/>
      <c r="Q51" s="179" t="s">
        <v>108</v>
      </c>
      <c r="R51" s="334"/>
      <c r="S51" s="237" t="s">
        <v>109</v>
      </c>
      <c r="T51" s="334"/>
      <c r="U51" s="237" t="s">
        <v>122</v>
      </c>
      <c r="V51" s="334"/>
      <c r="W51" s="237" t="s">
        <v>96</v>
      </c>
      <c r="X51" s="334"/>
      <c r="Y51" s="237"/>
      <c r="Z51" s="334"/>
      <c r="AA51" s="237"/>
      <c r="AB51" s="334"/>
      <c r="AC51" s="58"/>
      <c r="AD51" s="58"/>
      <c r="AE51" s="58"/>
      <c r="AF51" s="58"/>
      <c r="AG51" s="346"/>
      <c r="AH51" s="59"/>
    </row>
    <row r="52" ht="15.75" customHeight="1">
      <c r="A52" s="335" t="s">
        <v>37</v>
      </c>
      <c r="B52" s="356">
        <f t="shared" ref="B52:B61" si="8">(D30)-IFERROR(VLOOKUP(A52,I$58:J$68,2,False),"")-IFERROR(VLOOKUP(A52,K$58:L$68,2,False),"")-IFERROR(VLOOKUP(A52,M$58:N$68,2,False),"")-IFERROR(VLOOKUP(A52,O$58:P$68,2,False),"")-IFERROR(VLOOKUP(A52,Q$58:R$68,2,False),"")-IFERROR(VLOOKUP(A52,S$58:T$68,2,False),"")-IFERROR(VLOOKUP(A52,U$58:V$68,2,False),"")-IFERROR(VLOOKUP(A52,W$58:X$68,2,False),"")-IFERROR(VLOOKUP(A52,Y$58:Z$68,2,False),"")-IFERROR(VLOOKUP(A52,AA$58:AB$68,2,False),"")</f>
        <v>140</v>
      </c>
      <c r="C52" s="357">
        <f t="shared" ref="C52:C61" si="9">D30</f>
        <v>570</v>
      </c>
      <c r="D52" s="23">
        <v>570.0</v>
      </c>
      <c r="E52" s="242">
        <v>30.0</v>
      </c>
      <c r="F52" s="315">
        <f t="shared" ref="F52:F61" si="10">D30</f>
        <v>570</v>
      </c>
      <c r="G52" s="59"/>
      <c r="H52" s="244" t="s">
        <v>274</v>
      </c>
      <c r="I52" s="245">
        <f t="array" ref="I52">INDEX(Signed,Match(I51,Signed!$A$1:$A$43,0),3)</f>
        <v>198</v>
      </c>
      <c r="J52" s="247"/>
      <c r="K52" s="245">
        <f t="array" ref="K52">INDEX(Signed,Match(K51,Signed!$A$1:$A$43,0),3)</f>
        <v>150</v>
      </c>
      <c r="L52" s="338"/>
      <c r="M52" s="245">
        <f t="array" ref="M52">INDEX(Signed,Match(M51,Signed!$A$1:$A$43,0),3)</f>
        <v>60</v>
      </c>
      <c r="N52" s="338"/>
      <c r="O52" s="245">
        <f t="array" ref="O52">INDEX(Signed,Match(O51,Signed!$A$1:$A$43,0),3)</f>
        <v>60</v>
      </c>
      <c r="P52" s="338"/>
      <c r="Q52" s="245">
        <f t="array" ref="Q52">INDEX(Signed,Match(Q51,Signed!$A$1:$A$43,0),3)</f>
        <v>60</v>
      </c>
      <c r="R52" s="338"/>
      <c r="S52" s="245">
        <f t="array" ref="S52">INDEX(Signed,Match(S51,Signed!$A$1:$A$43,0),3)</f>
        <v>60</v>
      </c>
      <c r="T52" s="338"/>
      <c r="U52" s="245">
        <f t="array" ref="U52">INDEX(Signed,Match(U51,Signed!$A$1:$A$43,0),3)</f>
        <v>30</v>
      </c>
      <c r="V52" s="338"/>
      <c r="W52" s="245">
        <f t="array" ref="W52">INDEX(Signed,Match(W51,Signed!$A$1:$A$43,0),3)</f>
        <v>30</v>
      </c>
      <c r="X52" s="338"/>
      <c r="Y52" s="245"/>
      <c r="Z52" s="338"/>
      <c r="AA52" s="245"/>
      <c r="AB52" s="338"/>
      <c r="AC52" s="58"/>
      <c r="AD52" s="58"/>
      <c r="AE52" s="58"/>
      <c r="AF52" s="58"/>
      <c r="AG52" s="346"/>
      <c r="AH52" s="59"/>
    </row>
    <row r="53" ht="15.75" customHeight="1">
      <c r="A53" s="335" t="s">
        <v>40</v>
      </c>
      <c r="B53" s="356">
        <f t="shared" si="8"/>
        <v>0</v>
      </c>
      <c r="C53" s="357">
        <f t="shared" si="9"/>
        <v>540</v>
      </c>
      <c r="D53" s="23">
        <v>30.0</v>
      </c>
      <c r="E53" s="242">
        <v>30.0</v>
      </c>
      <c r="F53" s="315">
        <f t="shared" si="10"/>
        <v>540</v>
      </c>
      <c r="G53" s="59"/>
      <c r="H53" s="244" t="s">
        <v>201</v>
      </c>
      <c r="I53" s="245" t="str">
        <f t="array" ref="I53">INDEX(Signed,Match(I51,Signed!$A$1:$A$43,0),2)</f>
        <v>A</v>
      </c>
      <c r="J53" s="247"/>
      <c r="K53" s="245" t="str">
        <f t="array" ref="K53">INDEX(Signed,Match(K51,Signed!$A$1:$A$43,0),2)</f>
        <v>B</v>
      </c>
      <c r="L53" s="338"/>
      <c r="M53" s="245" t="str">
        <f t="array" ref="M53">INDEX(Signed,Match(M51,Signed!$A$1:$A$43,0),2)</f>
        <v>C</v>
      </c>
      <c r="N53" s="338"/>
      <c r="O53" s="245" t="str">
        <f t="array" ref="O53">INDEX(Signed,Match(O51,Signed!$A$1:$A$43,0),2)</f>
        <v>C</v>
      </c>
      <c r="P53" s="338"/>
      <c r="Q53" s="245" t="str">
        <f t="array" ref="Q53">INDEX(Signed,Match(Q51,Signed!$A$1:$A$43,0),2)</f>
        <v>D</v>
      </c>
      <c r="R53" s="338"/>
      <c r="S53" s="245" t="str">
        <f t="array" ref="S53">INDEX(Signed,Match(S51,Signed!$A$1:$A$43,0),2)</f>
        <v>D</v>
      </c>
      <c r="T53" s="338"/>
      <c r="U53" s="245" t="str">
        <f t="array" ref="U53">INDEX(Signed,Match(U51,Signed!$A$1:$A$43,0),2)</f>
        <v>E</v>
      </c>
      <c r="V53" s="338"/>
      <c r="W53" s="245" t="str">
        <f t="array" ref="W53">INDEX(Signed,Match(W51,Signed!$A$1:$A$43,0),2)</f>
        <v>E</v>
      </c>
      <c r="X53" s="338"/>
      <c r="Y53" s="245"/>
      <c r="Z53" s="338"/>
      <c r="AA53" s="245"/>
      <c r="AB53" s="338"/>
      <c r="AC53" s="58"/>
      <c r="AD53" s="58"/>
      <c r="AE53" s="58"/>
      <c r="AF53" s="58"/>
      <c r="AG53" s="346"/>
      <c r="AH53" s="59"/>
    </row>
    <row r="54" ht="15.75" customHeight="1">
      <c r="A54" s="335" t="s">
        <v>57</v>
      </c>
      <c r="B54" s="356">
        <f t="shared" si="8"/>
        <v>130</v>
      </c>
      <c r="C54" s="357">
        <f t="shared" si="9"/>
        <v>130</v>
      </c>
      <c r="D54" s="23">
        <v>130.0</v>
      </c>
      <c r="E54" s="242">
        <v>30.0</v>
      </c>
      <c r="F54" s="315">
        <f t="shared" si="10"/>
        <v>130</v>
      </c>
      <c r="G54" s="59"/>
      <c r="H54" s="250" t="s">
        <v>277</v>
      </c>
      <c r="I54" s="251">
        <f>If(MAX('Round 3'!$C:$C)&gt;=I52,MAX('Round 3'!$C:$C),0)</f>
        <v>450</v>
      </c>
      <c r="J54" s="316"/>
      <c r="K54" s="251">
        <f>If(MAX('Round 3'!$D:$D)&gt;=K52,MAX('Round 3'!$D:$D),0)</f>
        <v>182</v>
      </c>
      <c r="L54" s="342"/>
      <c r="M54" s="251">
        <f>If(MAX('Round 3'!$E:$E)&gt;=M52,MAX('Round 3'!$E:$E),0)</f>
        <v>60</v>
      </c>
      <c r="N54" s="342"/>
      <c r="O54" s="251">
        <f>If(MAX('Round 3'!$F:$F)&gt;=O52,MAX('Round 3'!$F:$F),0)</f>
        <v>0</v>
      </c>
      <c r="P54" s="342"/>
      <c r="Q54" s="251">
        <f>If(MAX('Round 3'!$G:$G)&gt;=Q52,MAX('Round 3'!$G:$G),0)</f>
        <v>0</v>
      </c>
      <c r="R54" s="342"/>
      <c r="S54" s="251">
        <f>If(MAX('Round 3'!$H:$H)&gt;=S52,MAX('Round 3'!$H:$H),0)</f>
        <v>0</v>
      </c>
      <c r="T54" s="342"/>
      <c r="U54" s="251">
        <f>If(MAX('Round 3'!$I:$I)&gt;=U52,MAX('Round 3'!$I:$I),0)</f>
        <v>0</v>
      </c>
      <c r="V54" s="342"/>
      <c r="W54" s="251">
        <f>If(MAX('Round 3'!$J:$J)&gt;=W52,MAX('Round 3'!$J:$J),0)</f>
        <v>80</v>
      </c>
      <c r="X54" s="342"/>
      <c r="Y54" s="251"/>
      <c r="Z54" s="342"/>
      <c r="AA54" s="251"/>
      <c r="AB54" s="342"/>
      <c r="AC54" s="58"/>
      <c r="AD54" s="58"/>
      <c r="AE54" s="58"/>
      <c r="AF54" s="58"/>
      <c r="AG54" s="346"/>
      <c r="AH54" s="59"/>
    </row>
    <row r="55" ht="15.75" customHeight="1">
      <c r="A55" s="335" t="s">
        <v>193</v>
      </c>
      <c r="B55" s="356">
        <f t="shared" si="8"/>
        <v>540</v>
      </c>
      <c r="C55" s="357">
        <f t="shared" si="9"/>
        <v>540</v>
      </c>
      <c r="D55" s="23">
        <v>540.0</v>
      </c>
      <c r="E55" s="242">
        <v>30.0</v>
      </c>
      <c r="F55" s="315">
        <f t="shared" si="10"/>
        <v>540</v>
      </c>
      <c r="G55" s="59"/>
      <c r="H55" s="256" t="s">
        <v>278</v>
      </c>
      <c r="I55" s="257" t="str">
        <f t="shared" ref="I55:W55" si="11">I58</f>
        <v>CaptainSev004</v>
      </c>
      <c r="J55" s="259">
        <f t="shared" si="11"/>
        <v>450</v>
      </c>
      <c r="K55" s="257" t="str">
        <f t="shared" si="11"/>
        <v>Solace</v>
      </c>
      <c r="L55" s="343">
        <f t="shared" si="11"/>
        <v>182</v>
      </c>
      <c r="M55" s="257" t="str">
        <f t="shared" si="11"/>
        <v>CaptainSev004</v>
      </c>
      <c r="N55" s="343">
        <f t="shared" si="11"/>
        <v>60</v>
      </c>
      <c r="O55" s="257" t="str">
        <f t="shared" si="11"/>
        <v/>
      </c>
      <c r="P55" s="343" t="str">
        <f t="shared" si="11"/>
        <v/>
      </c>
      <c r="Q55" s="257" t="str">
        <f t="shared" si="11"/>
        <v/>
      </c>
      <c r="R55" s="343" t="str">
        <f t="shared" si="11"/>
        <v/>
      </c>
      <c r="S55" s="257" t="str">
        <f t="shared" si="11"/>
        <v/>
      </c>
      <c r="T55" s="343" t="str">
        <f t="shared" si="11"/>
        <v/>
      </c>
      <c r="U55" s="257" t="str">
        <f t="shared" si="11"/>
        <v/>
      </c>
      <c r="V55" s="343" t="str">
        <f t="shared" si="11"/>
        <v/>
      </c>
      <c r="W55" s="257" t="str">
        <f t="shared" si="11"/>
        <v>Solace</v>
      </c>
      <c r="X55" s="343"/>
      <c r="Y55" s="258"/>
      <c r="Z55" s="343"/>
      <c r="AA55" s="258"/>
      <c r="AB55" s="343"/>
      <c r="AC55" s="58"/>
      <c r="AD55" s="58"/>
      <c r="AE55" s="58"/>
      <c r="AF55" s="58"/>
      <c r="AG55" s="346"/>
      <c r="AH55" s="59"/>
    </row>
    <row r="56" ht="15.75" customHeight="1">
      <c r="A56" s="335" t="s">
        <v>259</v>
      </c>
      <c r="B56" s="356">
        <f t="shared" si="8"/>
        <v>0</v>
      </c>
      <c r="C56" s="357">
        <f t="shared" si="9"/>
        <v>262</v>
      </c>
      <c r="D56" s="23">
        <v>0.0</v>
      </c>
      <c r="E56" s="242">
        <v>30.0</v>
      </c>
      <c r="F56" s="315">
        <f t="shared" si="10"/>
        <v>262</v>
      </c>
      <c r="G56" s="59"/>
      <c r="H56" s="261" t="s">
        <v>279</v>
      </c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306"/>
      <c r="AC56" s="58"/>
      <c r="AD56" s="58"/>
      <c r="AE56" s="58"/>
      <c r="AF56" s="58"/>
      <c r="AG56" s="346"/>
      <c r="AH56" s="59"/>
    </row>
    <row r="57" ht="15.75" customHeight="1">
      <c r="A57" s="335" t="s">
        <v>169</v>
      </c>
      <c r="B57" s="356">
        <f t="shared" si="8"/>
        <v>129</v>
      </c>
      <c r="C57" s="357">
        <f t="shared" si="9"/>
        <v>129</v>
      </c>
      <c r="D57" s="23">
        <v>129.0</v>
      </c>
      <c r="E57" s="242">
        <v>30.0</v>
      </c>
      <c r="F57" s="315">
        <f t="shared" si="10"/>
        <v>129</v>
      </c>
      <c r="G57" s="59"/>
      <c r="H57" s="264" t="s">
        <v>280</v>
      </c>
      <c r="I57" s="265" t="str">
        <f>IFERROR(__xludf.DUMMYFUNCTION("Query('Round 3'!$A:$K,""Select B, MAX(C) WHERE C&gt;=198 group by B order by max(C) desc"")"),"Captain's Name (Use the exact same name each time)")</f>
        <v>Captain's Name (Use the exact same name each time)</v>
      </c>
      <c r="J57" s="289" t="str">
        <f>IFERROR(__xludf.DUMMYFUNCTION("""COMPUTED_VALUE"""),"max Godsnipezx")</f>
        <v>max Godsnipezx</v>
      </c>
      <c r="K57" s="265" t="str">
        <f>IFERROR(__xludf.DUMMYFUNCTION("Query('Round 3'!$A:$K,""Select B, MAX(D) WHERE D&gt;=150 group by B order by max(D) desc"")"),"Captain's Name (Use the exact same name each time)")</f>
        <v>Captain's Name (Use the exact same name each time)</v>
      </c>
      <c r="L57" s="266" t="str">
        <f>IFERROR(__xludf.DUMMYFUNCTION("""COMPUTED_VALUE"""),"max BLOODEN NICK")</f>
        <v>max BLOODEN NICK</v>
      </c>
      <c r="M57" s="265" t="str">
        <f>IFERROR(__xludf.DUMMYFUNCTION("Query('Round 3'!$A:$K,""Select B, MAX(E) WHERE E&gt;=60 group by B order by max(E) desc"")"),"Captain's Name (Use the exact same name each time)")</f>
        <v>Captain's Name (Use the exact same name each time)</v>
      </c>
      <c r="N57" s="266" t="str">
        <f>IFERROR(__xludf.DUMMYFUNCTION("""COMPUTED_VALUE"""),"max Reyas")</f>
        <v>max Reyas</v>
      </c>
      <c r="O57" s="265" t="str">
        <f>IFERROR(__xludf.DUMMYFUNCTION("Query('Round 3'!$A:$K,""Select B, MAX(F) WHERE F&gt;=60 group by B order by max(F) desc"")"),"Captain's Name (Use the exact same name each time)")</f>
        <v>Captain's Name (Use the exact same name each time)</v>
      </c>
      <c r="P57" s="266" t="str">
        <f>IFERROR(__xludf.DUMMYFUNCTION("""COMPUTED_VALUE"""),"max AwareMosquito")</f>
        <v>max AwareMosquito</v>
      </c>
      <c r="Q57" s="265" t="str">
        <f>IFERROR(__xludf.DUMMYFUNCTION("Query('Round 3'!$A:$K,""Select B, MAX(G) WHERE G&gt;=60 group by B order by max(G) desc"")"),"Captain's Name (Use the exact same name each time)")</f>
        <v>Captain's Name (Use the exact same name each time)</v>
      </c>
      <c r="R57" s="266" t="str">
        <f>IFERROR(__xludf.DUMMYFUNCTION("""COMPUTED_VALUE"""),"max MoldyVolts")</f>
        <v>max MoldyVolts</v>
      </c>
      <c r="S57" s="265" t="str">
        <f>IFERROR(__xludf.DUMMYFUNCTION("Query('Round 3'!$A:$K,""Select B, MAX(H) WHERE H&gt;=60 group by B order by max(H) desc"")"),"Captain's Name (Use the exact same name each time)")</f>
        <v>Captain's Name (Use the exact same name each time)</v>
      </c>
      <c r="T57" s="266" t="str">
        <f>IFERROR(__xludf.DUMMYFUNCTION("""COMPUTED_VALUE"""),"max Mr Epic Beast")</f>
        <v>max Mr Epic Beast</v>
      </c>
      <c r="U57" s="265" t="str">
        <f>IFERROR(__xludf.DUMMYFUNCTION("Query('Round 3'!$A:$K,""Select B, MAX(I) WHERE I&gt;=30 group by B order by max(I) desc"")"),"Captain's Name (Use the exact same name each time)")</f>
        <v>Captain's Name (Use the exact same name each time)</v>
      </c>
      <c r="V57" s="266" t="str">
        <f>IFERROR(__xludf.DUMMYFUNCTION("""COMPUTED_VALUE"""),"max Óðinn Æsir")</f>
        <v>max Óðinn Æsir</v>
      </c>
      <c r="W57" s="265" t="str">
        <f>IFERROR(__xludf.DUMMYFUNCTION("Query('Round 3'!$A:$K,""Select B, MAX(J) WHERE J&gt;=30 group by B order by max(J) desc"")"),"Captain's Name (Use the exact same name each time)")</f>
        <v>Captain's Name (Use the exact same name each time)</v>
      </c>
      <c r="X57" s="267" t="str">
        <f>IFERROR(__xludf.DUMMYFUNCTION("""COMPUTED_VALUE"""),"max kev1897")</f>
        <v>max kev1897</v>
      </c>
      <c r="Y57" s="265"/>
      <c r="Z57" s="267"/>
      <c r="AA57" s="265"/>
      <c r="AB57" s="267"/>
      <c r="AC57" s="58"/>
      <c r="AD57" s="58"/>
      <c r="AE57" s="58"/>
      <c r="AF57" s="58"/>
      <c r="AG57" s="346"/>
      <c r="AH57" s="59"/>
    </row>
    <row r="58" ht="15.75" customHeight="1">
      <c r="A58" s="335" t="s">
        <v>129</v>
      </c>
      <c r="B58" s="356">
        <f t="shared" si="8"/>
        <v>0</v>
      </c>
      <c r="C58" s="357">
        <f t="shared" si="9"/>
        <v>40</v>
      </c>
      <c r="D58" s="23">
        <v>40.0</v>
      </c>
      <c r="E58" s="242">
        <v>30.0</v>
      </c>
      <c r="F58" s="315">
        <f t="shared" si="10"/>
        <v>40</v>
      </c>
      <c r="G58" s="59"/>
      <c r="H58" s="230"/>
      <c r="I58" s="268" t="str">
        <f>IFERROR(__xludf.DUMMYFUNCTION("""COMPUTED_VALUE"""),"CaptainSev004")</f>
        <v>CaptainSev004</v>
      </c>
      <c r="J58" s="345">
        <f>IFERROR(__xludf.DUMMYFUNCTION("""COMPUTED_VALUE"""),450.0)</f>
        <v>450</v>
      </c>
      <c r="K58" s="268" t="str">
        <f>IFERROR(__xludf.DUMMYFUNCTION("""COMPUTED_VALUE"""),"Solace")</f>
        <v>Solace</v>
      </c>
      <c r="L58" s="346">
        <f>IFERROR(__xludf.DUMMYFUNCTION("""COMPUTED_VALUE"""),182.0)</f>
        <v>182</v>
      </c>
      <c r="M58" s="271" t="str">
        <f>IFERROR(__xludf.DUMMYFUNCTION("""COMPUTED_VALUE"""),"CaptainSev004")</f>
        <v>CaptainSev004</v>
      </c>
      <c r="N58" s="346">
        <f>IFERROR(__xludf.DUMMYFUNCTION("""COMPUTED_VALUE"""),60.0)</f>
        <v>60</v>
      </c>
      <c r="O58" s="271"/>
      <c r="P58" s="346"/>
      <c r="Q58" s="271"/>
      <c r="R58" s="346"/>
      <c r="S58" s="271"/>
      <c r="T58" s="346"/>
      <c r="U58" s="271"/>
      <c r="V58" s="346"/>
      <c r="W58" s="271" t="str">
        <f>IFERROR(__xludf.DUMMYFUNCTION("""COMPUTED_VALUE"""),"Solace")</f>
        <v>Solace</v>
      </c>
      <c r="X58" s="346">
        <f>IFERROR(__xludf.DUMMYFUNCTION("""COMPUTED_VALUE"""),80.0)</f>
        <v>80</v>
      </c>
      <c r="Y58" s="18"/>
      <c r="Z58" s="346"/>
      <c r="AA58" s="18"/>
      <c r="AB58" s="346"/>
      <c r="AC58" s="58"/>
      <c r="AD58" s="58"/>
      <c r="AE58" s="58"/>
      <c r="AF58" s="58"/>
      <c r="AG58" s="346"/>
      <c r="AH58" s="59"/>
    </row>
    <row r="59" ht="15.75" customHeight="1">
      <c r="A59" s="335" t="s">
        <v>104</v>
      </c>
      <c r="B59" s="356">
        <f t="shared" si="8"/>
        <v>445</v>
      </c>
      <c r="C59" s="357">
        <f t="shared" si="9"/>
        <v>445</v>
      </c>
      <c r="D59" s="23">
        <v>445.0</v>
      </c>
      <c r="E59" s="242">
        <v>30.0</v>
      </c>
      <c r="F59" s="315">
        <f t="shared" si="10"/>
        <v>445</v>
      </c>
      <c r="G59" s="59"/>
      <c r="H59" s="89"/>
      <c r="I59" s="276" t="str">
        <f>IFERROR(__xludf.DUMMYFUNCTION("""COMPUTED_VALUE"""),"Bear is Clutch")</f>
        <v>Bear is Clutch</v>
      </c>
      <c r="J59" s="345">
        <f>IFERROR(__xludf.DUMMYFUNCTION("""COMPUTED_VALUE"""),430.0)</f>
        <v>430</v>
      </c>
      <c r="K59" s="276" t="str">
        <f>IFERROR(__xludf.DUMMYFUNCTION("""COMPUTED_VALUE"""),"TheAlphaTurtle")</f>
        <v>TheAlphaTurtle</v>
      </c>
      <c r="L59" s="346">
        <f>IFERROR(__xludf.DUMMYFUNCTION("""COMPUTED_VALUE"""),153.0)</f>
        <v>153</v>
      </c>
      <c r="M59" s="277"/>
      <c r="N59" s="346"/>
      <c r="O59" s="277"/>
      <c r="P59" s="346"/>
      <c r="Q59" s="277"/>
      <c r="R59" s="346"/>
      <c r="S59" s="277"/>
      <c r="T59" s="346"/>
      <c r="U59" s="277"/>
      <c r="V59" s="346"/>
      <c r="W59" s="277" t="str">
        <f>IFERROR(__xludf.DUMMYFUNCTION("""COMPUTED_VALUE"""),"Cell")</f>
        <v>Cell</v>
      </c>
      <c r="X59" s="346">
        <f>IFERROR(__xludf.DUMMYFUNCTION("""COMPUTED_VALUE"""),55.0)</f>
        <v>55</v>
      </c>
      <c r="Y59" s="18"/>
      <c r="Z59" s="346"/>
      <c r="AA59" s="18"/>
      <c r="AB59" s="346"/>
      <c r="AC59" s="58"/>
      <c r="AD59" s="58"/>
      <c r="AE59" s="58"/>
      <c r="AF59" s="58"/>
      <c r="AG59" s="59"/>
      <c r="AH59" s="59"/>
    </row>
    <row r="60" ht="15.75" customHeight="1">
      <c r="A60" s="335" t="s">
        <v>155</v>
      </c>
      <c r="B60" s="356">
        <f t="shared" si="8"/>
        <v>326</v>
      </c>
      <c r="C60" s="357">
        <f t="shared" si="9"/>
        <v>479</v>
      </c>
      <c r="D60" s="23">
        <v>479.0</v>
      </c>
      <c r="E60" s="242">
        <v>30.0</v>
      </c>
      <c r="F60" s="315">
        <f t="shared" si="10"/>
        <v>479</v>
      </c>
      <c r="G60" s="59"/>
      <c r="H60" s="89"/>
      <c r="I60" s="276" t="str">
        <f>IFERROR(__xludf.DUMMYFUNCTION("""COMPUTED_VALUE"""),"Maverick")</f>
        <v>Maverick</v>
      </c>
      <c r="J60" s="345">
        <f>IFERROR(__xludf.DUMMYFUNCTION("""COMPUTED_VALUE"""),415.0)</f>
        <v>415</v>
      </c>
      <c r="K60" s="276" t="str">
        <f>IFERROR(__xludf.DUMMYFUNCTION("""COMPUTED_VALUE"""),"Maverick")</f>
        <v>Maverick</v>
      </c>
      <c r="L60" s="347">
        <f>IFERROR(__xludf.DUMMYFUNCTION("""COMPUTED_VALUE"""),151.0)</f>
        <v>151</v>
      </c>
      <c r="M60" s="277"/>
      <c r="N60" s="346"/>
      <c r="O60" s="277"/>
      <c r="P60" s="346"/>
      <c r="Q60" s="277"/>
      <c r="R60" s="346"/>
      <c r="S60" s="277"/>
      <c r="T60" s="346"/>
      <c r="U60" s="277"/>
      <c r="V60" s="346"/>
      <c r="W60" s="277" t="str">
        <f>IFERROR(__xludf.DUMMYFUNCTION("""COMPUTED_VALUE"""),"Rage More Nerd")</f>
        <v>Rage More Nerd</v>
      </c>
      <c r="X60" s="346">
        <f>IFERROR(__xludf.DUMMYFUNCTION("""COMPUTED_VALUE"""),40.0)</f>
        <v>40</v>
      </c>
      <c r="Y60" s="18"/>
      <c r="Z60" s="346"/>
      <c r="AA60" s="18"/>
      <c r="AB60" s="346"/>
      <c r="AC60" s="58"/>
      <c r="AD60" s="58"/>
      <c r="AE60" s="58"/>
      <c r="AF60" s="58"/>
      <c r="AG60" s="59"/>
      <c r="AH60" s="59"/>
    </row>
    <row r="61" ht="15.75" customHeight="1">
      <c r="A61" s="335" t="s">
        <v>42</v>
      </c>
      <c r="B61" s="356">
        <f t="shared" si="8"/>
        <v>85</v>
      </c>
      <c r="C61" s="357">
        <f t="shared" si="9"/>
        <v>85</v>
      </c>
      <c r="D61" s="23">
        <v>85.0</v>
      </c>
      <c r="E61" s="242">
        <v>30.0</v>
      </c>
      <c r="F61" s="315">
        <f t="shared" si="10"/>
        <v>85</v>
      </c>
      <c r="G61" s="59"/>
      <c r="H61" s="89"/>
      <c r="I61" s="276"/>
      <c r="J61" s="345"/>
      <c r="K61" s="276"/>
      <c r="L61" s="346"/>
      <c r="M61" s="277"/>
      <c r="N61" s="346"/>
      <c r="O61" s="277"/>
      <c r="P61" s="346"/>
      <c r="Q61" s="277"/>
      <c r="R61" s="346"/>
      <c r="S61" s="277"/>
      <c r="T61" s="346"/>
      <c r="U61" s="277"/>
      <c r="V61" s="346"/>
      <c r="W61" s="277" t="str">
        <f>IFERROR(__xludf.DUMMYFUNCTION("""COMPUTED_VALUE"""),"CaptainSev004")</f>
        <v>CaptainSev004</v>
      </c>
      <c r="X61" s="346">
        <f>IFERROR(__xludf.DUMMYFUNCTION("""COMPUTED_VALUE"""),30.0)</f>
        <v>30</v>
      </c>
      <c r="Y61" s="18"/>
      <c r="Z61" s="346"/>
      <c r="AA61" s="18"/>
      <c r="AB61" s="346"/>
      <c r="AC61" s="58"/>
      <c r="AD61" s="58"/>
      <c r="AE61" s="58"/>
      <c r="AF61" s="58"/>
      <c r="AG61" s="59"/>
      <c r="AH61" s="59"/>
    </row>
    <row r="62" ht="15.75" customHeight="1">
      <c r="A62" s="58"/>
      <c r="B62" s="58"/>
      <c r="C62" s="58"/>
      <c r="D62" s="58"/>
      <c r="E62" s="58"/>
      <c r="F62" s="58"/>
      <c r="G62" s="58"/>
      <c r="H62" s="89"/>
      <c r="I62" s="276"/>
      <c r="J62" s="345"/>
      <c r="K62" s="276"/>
      <c r="L62" s="346"/>
      <c r="M62" s="277"/>
      <c r="N62" s="346"/>
      <c r="O62" s="277"/>
      <c r="P62" s="346"/>
      <c r="Q62" s="277"/>
      <c r="R62" s="346"/>
      <c r="S62" s="277"/>
      <c r="T62" s="346"/>
      <c r="U62" s="277"/>
      <c r="V62" s="346"/>
      <c r="W62" s="277"/>
      <c r="X62" s="346"/>
      <c r="Y62" s="18"/>
      <c r="Z62" s="346"/>
      <c r="AA62" s="18"/>
      <c r="AB62" s="346"/>
      <c r="AC62" s="58"/>
      <c r="AD62" s="58"/>
      <c r="AE62" s="58"/>
      <c r="AF62" s="58"/>
      <c r="AG62" s="59"/>
      <c r="AH62" s="59"/>
    </row>
    <row r="63" ht="15.75" customHeight="1">
      <c r="A63" s="58"/>
      <c r="B63" s="58"/>
      <c r="C63" s="58"/>
      <c r="D63" s="58"/>
      <c r="E63" s="58"/>
      <c r="F63" s="58"/>
      <c r="G63" s="58"/>
      <c r="H63" s="89"/>
      <c r="I63" s="277"/>
      <c r="J63" s="90"/>
      <c r="K63" s="276"/>
      <c r="L63" s="346"/>
      <c r="M63" s="277"/>
      <c r="N63" s="346"/>
      <c r="O63" s="277"/>
      <c r="P63" s="346"/>
      <c r="Q63" s="277"/>
      <c r="R63" s="346"/>
      <c r="S63" s="277"/>
      <c r="T63" s="346"/>
      <c r="U63" s="277"/>
      <c r="V63" s="346"/>
      <c r="W63" s="277"/>
      <c r="X63" s="346"/>
      <c r="Y63" s="18"/>
      <c r="Z63" s="346"/>
      <c r="AA63" s="18"/>
      <c r="AB63" s="346"/>
      <c r="AC63" s="58"/>
      <c r="AD63" s="58"/>
      <c r="AE63" s="58"/>
      <c r="AF63" s="58"/>
      <c r="AG63" s="59"/>
      <c r="AH63" s="59"/>
    </row>
    <row r="64" ht="15.75" customHeight="1">
      <c r="A64" s="58"/>
      <c r="B64" s="58"/>
      <c r="C64" s="58"/>
      <c r="D64" s="58"/>
      <c r="E64" s="58"/>
      <c r="F64" s="58"/>
      <c r="G64" s="58"/>
      <c r="H64" s="287"/>
      <c r="I64" s="288"/>
      <c r="J64" s="90"/>
      <c r="K64" s="276"/>
      <c r="L64" s="349"/>
      <c r="M64" s="276"/>
      <c r="N64" s="346"/>
      <c r="O64" s="277"/>
      <c r="P64" s="346"/>
      <c r="Q64" s="277"/>
      <c r="R64" s="346"/>
      <c r="S64" s="277"/>
      <c r="T64" s="346"/>
      <c r="U64" s="277"/>
      <c r="V64" s="346"/>
      <c r="W64" s="277"/>
      <c r="X64" s="346"/>
      <c r="Y64" s="18"/>
      <c r="Z64" s="346"/>
      <c r="AA64" s="18"/>
      <c r="AB64" s="346"/>
      <c r="AC64" s="58"/>
      <c r="AD64" s="58"/>
      <c r="AE64" s="58"/>
      <c r="AF64" s="58"/>
      <c r="AG64" s="59"/>
      <c r="AH64" s="59"/>
    </row>
    <row r="65" ht="15.75" customHeight="1">
      <c r="A65" s="58"/>
      <c r="B65" s="58"/>
      <c r="C65" s="58"/>
      <c r="D65" s="58"/>
      <c r="E65" s="58"/>
      <c r="F65" s="58"/>
      <c r="G65" s="58"/>
      <c r="H65" s="89"/>
      <c r="I65" s="277"/>
      <c r="J65" s="90"/>
      <c r="K65" s="276"/>
      <c r="L65" s="346"/>
      <c r="M65" s="277"/>
      <c r="N65" s="346"/>
      <c r="O65" s="277"/>
      <c r="P65" s="346"/>
      <c r="Q65" s="277"/>
      <c r="R65" s="346"/>
      <c r="S65" s="277"/>
      <c r="T65" s="346"/>
      <c r="U65" s="277"/>
      <c r="V65" s="346"/>
      <c r="W65" s="277"/>
      <c r="X65" s="346"/>
      <c r="Y65" s="18"/>
      <c r="Z65" s="346"/>
      <c r="AA65" s="18"/>
      <c r="AB65" s="346"/>
      <c r="AC65" s="58"/>
      <c r="AD65" s="58"/>
      <c r="AE65" s="58"/>
      <c r="AF65" s="58"/>
      <c r="AG65" s="59"/>
      <c r="AH65" s="59"/>
    </row>
    <row r="66" ht="15.75" customHeight="1">
      <c r="A66" s="58"/>
      <c r="B66" s="58"/>
      <c r="C66" s="58"/>
      <c r="D66" s="58"/>
      <c r="E66" s="58"/>
      <c r="F66" s="58"/>
      <c r="G66" s="58"/>
      <c r="H66" s="89"/>
      <c r="I66" s="277"/>
      <c r="J66" s="90"/>
      <c r="K66" s="276"/>
      <c r="L66" s="346"/>
      <c r="M66" s="277"/>
      <c r="N66" s="346"/>
      <c r="O66" s="277"/>
      <c r="P66" s="346"/>
      <c r="Q66" s="277"/>
      <c r="R66" s="346"/>
      <c r="S66" s="277"/>
      <c r="T66" s="346"/>
      <c r="U66" s="277"/>
      <c r="V66" s="346"/>
      <c r="W66" s="277"/>
      <c r="X66" s="346"/>
      <c r="Y66" s="18"/>
      <c r="Z66" s="346"/>
      <c r="AA66" s="18"/>
      <c r="AB66" s="346"/>
      <c r="AC66" s="58"/>
      <c r="AD66" s="58"/>
      <c r="AE66" s="58"/>
      <c r="AF66" s="58"/>
      <c r="AG66" s="59"/>
      <c r="AH66" s="59"/>
    </row>
    <row r="67" ht="15.75" customHeight="1">
      <c r="A67" s="58"/>
      <c r="B67" s="58"/>
      <c r="C67" s="58"/>
      <c r="D67" s="58"/>
      <c r="E67" s="58"/>
      <c r="F67" s="58"/>
      <c r="G67" s="58"/>
      <c r="H67" s="89"/>
      <c r="I67" s="277"/>
      <c r="J67" s="90"/>
      <c r="K67" s="277"/>
      <c r="L67" s="346"/>
      <c r="M67" s="277"/>
      <c r="N67" s="346"/>
      <c r="O67" s="277"/>
      <c r="P67" s="346"/>
      <c r="Q67" s="277"/>
      <c r="R67" s="346"/>
      <c r="S67" s="277"/>
      <c r="T67" s="346"/>
      <c r="U67" s="288"/>
      <c r="V67" s="347"/>
      <c r="W67" s="277"/>
      <c r="X67" s="346"/>
      <c r="Y67" s="18"/>
      <c r="Z67" s="346"/>
      <c r="AA67" s="18"/>
      <c r="AB67" s="346"/>
      <c r="AC67" s="58"/>
      <c r="AD67" s="58"/>
      <c r="AE67" s="58"/>
      <c r="AF67" s="58"/>
      <c r="AG67" s="59"/>
      <c r="AH67" s="59"/>
    </row>
    <row r="68" ht="15.75" customHeight="1">
      <c r="A68" s="58"/>
      <c r="B68" s="58"/>
      <c r="C68" s="58"/>
      <c r="D68" s="58"/>
      <c r="E68" s="58"/>
      <c r="F68" s="58"/>
      <c r="G68" s="58"/>
      <c r="H68" s="89"/>
      <c r="I68" s="277"/>
      <c r="J68" s="90"/>
      <c r="K68" s="277"/>
      <c r="L68" s="346"/>
      <c r="M68" s="277"/>
      <c r="N68" s="346"/>
      <c r="O68" s="277"/>
      <c r="P68" s="346"/>
      <c r="Q68" s="277"/>
      <c r="R68" s="346"/>
      <c r="S68" s="277"/>
      <c r="T68" s="346"/>
      <c r="U68" s="277"/>
      <c r="V68" s="346"/>
      <c r="W68" s="277"/>
      <c r="X68" s="346"/>
      <c r="Y68" s="18"/>
      <c r="Z68" s="346"/>
      <c r="AA68" s="18"/>
      <c r="AB68" s="346"/>
      <c r="AC68" s="58"/>
      <c r="AD68" s="58"/>
      <c r="AE68" s="58"/>
      <c r="AF68" s="58"/>
      <c r="AG68" s="59"/>
      <c r="AH68" s="59"/>
    </row>
    <row r="69" ht="15.75" customHeight="1">
      <c r="A69" s="318"/>
      <c r="B69" s="319"/>
      <c r="C69" s="319"/>
      <c r="D69" s="319"/>
      <c r="E69" s="319"/>
      <c r="F69" s="319"/>
      <c r="G69" s="319"/>
      <c r="H69" s="225" t="s">
        <v>291</v>
      </c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58"/>
      <c r="AD69" s="58"/>
      <c r="AE69" s="58"/>
      <c r="AF69" s="58"/>
      <c r="AG69" s="59"/>
      <c r="AH69" s="59"/>
    </row>
    <row r="70" ht="15.75" customHeight="1">
      <c r="A70" s="320"/>
      <c r="B70" s="321"/>
      <c r="C70" s="321"/>
      <c r="D70" s="321"/>
      <c r="E70" s="321"/>
      <c r="F70" s="321"/>
      <c r="G70" s="321"/>
      <c r="H70" s="230"/>
      <c r="AC70" s="58"/>
      <c r="AD70" s="58"/>
      <c r="AE70" s="58"/>
      <c r="AF70" s="58"/>
      <c r="AG70" s="59"/>
      <c r="AH70" s="59"/>
    </row>
    <row r="71" ht="15.75" customHeight="1">
      <c r="A71" s="320"/>
      <c r="B71" s="321"/>
      <c r="C71" s="321"/>
      <c r="D71" s="321"/>
      <c r="E71" s="321"/>
      <c r="F71" s="321"/>
      <c r="G71" s="321"/>
      <c r="H71" s="230"/>
      <c r="AC71" s="58"/>
      <c r="AD71" s="58"/>
      <c r="AE71" s="58"/>
      <c r="AF71" s="58"/>
      <c r="AG71" s="59"/>
      <c r="AH71" s="59"/>
    </row>
    <row r="72" ht="15.75" customHeight="1">
      <c r="A72" s="232" t="s">
        <v>270</v>
      </c>
      <c r="B72" s="331" t="s">
        <v>293</v>
      </c>
      <c r="C72" s="332" t="s">
        <v>271</v>
      </c>
      <c r="D72" s="233" t="s">
        <v>272</v>
      </c>
      <c r="E72" s="234" t="s">
        <v>273</v>
      </c>
      <c r="F72" s="235" t="s">
        <v>289</v>
      </c>
      <c r="H72" s="236" t="s">
        <v>275</v>
      </c>
      <c r="I72" s="179" t="s">
        <v>31</v>
      </c>
      <c r="J72" s="238"/>
      <c r="K72" s="179" t="s">
        <v>139</v>
      </c>
      <c r="L72" s="334"/>
      <c r="M72" s="179" t="s">
        <v>69</v>
      </c>
      <c r="N72" s="334"/>
      <c r="O72" s="179" t="s">
        <v>27</v>
      </c>
      <c r="P72" s="334"/>
      <c r="Q72" s="179" t="s">
        <v>47</v>
      </c>
      <c r="R72" s="334"/>
      <c r="S72" s="179" t="s">
        <v>165</v>
      </c>
      <c r="T72" s="334"/>
      <c r="U72" s="179" t="s">
        <v>172</v>
      </c>
      <c r="V72" s="334"/>
      <c r="W72" s="237" t="s">
        <v>125</v>
      </c>
      <c r="X72" s="334"/>
      <c r="Y72" s="237"/>
      <c r="Z72" s="334"/>
      <c r="AA72" s="237"/>
      <c r="AB72" s="334"/>
      <c r="AC72" s="58"/>
      <c r="AD72" s="58"/>
      <c r="AE72" s="58"/>
      <c r="AF72" s="58"/>
      <c r="AG72" s="59"/>
      <c r="AH72" s="59"/>
    </row>
    <row r="73" ht="15.75" customHeight="1">
      <c r="A73" s="335" t="s">
        <v>37</v>
      </c>
      <c r="B73" s="356">
        <f t="shared" ref="B73:B82" si="12">(D52)-IFERROR(VLOOKUP(A73,I$79:J$91,2,False),"")-IFERROR(VLOOKUP(A73,K$79:L$91,2,False),"")-IFERROR(VLOOKUP(A73,M$79:N$91,2,False),"")-IFERROR(VLOOKUP(A73,O$79:P$91,2,False),"")-IFERROR(VLOOKUP(A73,Q$79:R$91,2,False),"")-IFERROR(VLOOKUP(A73,S$79:T$91,2,False),"")-IFERROR(VLOOKUP(A73,U$79:V$91,2,False),"")-IFERROR(VLOOKUP(A73,W$79:X$91,2,False),"")-IFERROR(VLOOKUP(A73,Y$79:Z$91,2,False),"")-IFERROR(VLOOKUP(A73,AA$79:AB$91,2,False),"")</f>
        <v>60</v>
      </c>
      <c r="C73" s="357">
        <f t="shared" ref="C73:C82" si="13">D52</f>
        <v>570</v>
      </c>
      <c r="D73" s="23">
        <v>60.0</v>
      </c>
      <c r="E73" s="242">
        <v>30.0</v>
      </c>
      <c r="F73" s="315">
        <f t="shared" ref="F73:F82" si="14">D52</f>
        <v>570</v>
      </c>
      <c r="H73" s="244" t="s">
        <v>274</v>
      </c>
      <c r="I73" s="245">
        <f t="array" ref="I73">INDEX(Signed,Match(I72,Signed!$A$1:$A$43,0),3)</f>
        <v>198</v>
      </c>
      <c r="J73" s="247"/>
      <c r="K73" s="245">
        <f t="array" ref="K73">INDEX(Signed,Match(K72,Signed!$A$1:$A$43,0),3)</f>
        <v>150</v>
      </c>
      <c r="L73" s="338"/>
      <c r="M73" s="245">
        <f t="array" ref="M73">INDEX(Signed,Match(M72,Signed!$A$1:$A$43,0),3)</f>
        <v>60</v>
      </c>
      <c r="N73" s="338"/>
      <c r="O73" s="245">
        <f t="array" ref="O73">INDEX(Signed,Match(O72,Signed!$A$1:$A$43,0),3)</f>
        <v>60</v>
      </c>
      <c r="P73" s="338"/>
      <c r="Q73" s="245">
        <f t="array" ref="Q73">INDEX(Signed,Match(Q72,Signed!$A$1:$A$43,0),3)</f>
        <v>60</v>
      </c>
      <c r="R73" s="338"/>
      <c r="S73" s="245">
        <f t="array" ref="S73">INDEX(Signed,Match(S72,Signed!$A$1:$A$43,0),3)</f>
        <v>60</v>
      </c>
      <c r="T73" s="338"/>
      <c r="U73" s="245">
        <f t="array" ref="U73">INDEX(Signed,Match(U72,Signed!$A$1:$A$43,0),3)</f>
        <v>60</v>
      </c>
      <c r="V73" s="338"/>
      <c r="W73" s="245">
        <f t="array" ref="W73">INDEX(Signed,Match(W72,Signed!$A$1:$A$43,0),3)</f>
        <v>30</v>
      </c>
      <c r="X73" s="338"/>
      <c r="Y73" s="245"/>
      <c r="Z73" s="338"/>
      <c r="AA73" s="245"/>
      <c r="AB73" s="338"/>
      <c r="AC73" s="58"/>
      <c r="AD73" s="58"/>
      <c r="AE73" s="58"/>
      <c r="AF73" s="58"/>
      <c r="AG73" s="59"/>
      <c r="AH73" s="59"/>
    </row>
    <row r="74" ht="15.75" customHeight="1">
      <c r="A74" s="335" t="s">
        <v>40</v>
      </c>
      <c r="B74" s="356">
        <f t="shared" si="12"/>
        <v>0</v>
      </c>
      <c r="C74" s="357">
        <f t="shared" si="13"/>
        <v>30</v>
      </c>
      <c r="D74" s="23">
        <v>30.0</v>
      </c>
      <c r="E74" s="242">
        <v>30.0</v>
      </c>
      <c r="F74" s="315">
        <f t="shared" si="14"/>
        <v>30</v>
      </c>
      <c r="H74" s="244" t="s">
        <v>201</v>
      </c>
      <c r="I74" s="245" t="str">
        <f t="array" ref="I74">INDEX(Signed,Match(I72,Signed!$A$1:$A$43,0),2)</f>
        <v>A</v>
      </c>
      <c r="J74" s="247"/>
      <c r="K74" s="245" t="str">
        <f t="array" ref="K74">INDEX(Signed,Match(K72,Signed!$A$1:$A$43,0),2)</f>
        <v>B</v>
      </c>
      <c r="L74" s="338"/>
      <c r="M74" s="245" t="str">
        <f t="array" ref="M74">INDEX(Signed,Match(M72,Signed!$A$1:$A$43,0),2)</f>
        <v>C</v>
      </c>
      <c r="N74" s="338"/>
      <c r="O74" s="245" t="str">
        <f t="array" ref="O74">INDEX(Signed,Match(O72,Signed!$A$1:$A$43,0),2)</f>
        <v>C</v>
      </c>
      <c r="P74" s="338"/>
      <c r="Q74" s="245" t="str">
        <f t="array" ref="Q74">INDEX(Signed,Match(Q72,Signed!$A$1:$A$43,0),2)</f>
        <v>D</v>
      </c>
      <c r="R74" s="338"/>
      <c r="S74" s="245" t="str">
        <f t="array" ref="S74">INDEX(Signed,Match(S72,Signed!$A$1:$A$43,0),2)</f>
        <v>D</v>
      </c>
      <c r="T74" s="338"/>
      <c r="U74" s="245" t="str">
        <f t="array" ref="U74">INDEX(Signed,Match(U72,Signed!$A$1:$A$43,0),2)</f>
        <v>D</v>
      </c>
      <c r="V74" s="338"/>
      <c r="W74" s="245" t="str">
        <f t="array" ref="W74">INDEX(Signed,Match(W72,Signed!$A$1:$A$43,0),2)</f>
        <v>E</v>
      </c>
      <c r="X74" s="338"/>
      <c r="Y74" s="245"/>
      <c r="Z74" s="338"/>
      <c r="AA74" s="245"/>
      <c r="AB74" s="338"/>
      <c r="AC74" s="58"/>
      <c r="AD74" s="58"/>
      <c r="AE74" s="58"/>
      <c r="AF74" s="58"/>
      <c r="AG74" s="59"/>
      <c r="AH74" s="59"/>
    </row>
    <row r="75" ht="15.75" customHeight="1">
      <c r="A75" s="375" t="s">
        <v>57</v>
      </c>
      <c r="B75" s="376">
        <f t="shared" si="12"/>
        <v>0</v>
      </c>
      <c r="C75" s="377">
        <f t="shared" si="13"/>
        <v>130</v>
      </c>
      <c r="D75" s="378">
        <v>0.0</v>
      </c>
      <c r="E75" s="379">
        <v>30.0</v>
      </c>
      <c r="F75" s="380">
        <f t="shared" si="14"/>
        <v>130</v>
      </c>
      <c r="H75" s="250" t="s">
        <v>277</v>
      </c>
      <c r="I75" s="251">
        <f>If(MAX('Round 4'!$C:$C)&gt;=I73,MAX('Round 4'!$C:$C),0)</f>
        <v>510</v>
      </c>
      <c r="J75" s="316"/>
      <c r="K75" s="251">
        <f>If(MAX('Round 4'!$D:$D)&gt;=K73,MAX('Round 4'!$D:$D),0)</f>
        <v>151</v>
      </c>
      <c r="L75" s="342"/>
      <c r="M75" s="251">
        <f>If(MAX('Round 4'!$E:$E)&gt;=M73,MAX('Round 4'!$E:$E),0)</f>
        <v>250</v>
      </c>
      <c r="N75" s="342"/>
      <c r="O75" s="251">
        <f>If(MAX('Round 4'!$F:$F)&gt;=O73,MAX('Round 4'!$F:$F),0)</f>
        <v>301</v>
      </c>
      <c r="P75" s="342"/>
      <c r="Q75" s="251">
        <f>If(MAX('Round 4'!$G:$G)&gt;=Q73,MAX('Round 4'!$G:$G),0)</f>
        <v>60</v>
      </c>
      <c r="R75" s="342"/>
      <c r="S75" s="251">
        <f>If(MAX('Round 4'!$H:$H)&gt;=S73,MAX('Round 4'!$H:$H),0)</f>
        <v>0</v>
      </c>
      <c r="T75" s="342"/>
      <c r="U75" s="251">
        <f>If(MAX('Round 4'!$I:$I)&gt;=U73,MAX('Round 4'!$I:$I),0)</f>
        <v>130</v>
      </c>
      <c r="V75" s="342"/>
      <c r="W75" s="251">
        <f>If(MAX('Round 4'!$J:$J)&gt;=W73,MAX('Round 4'!$J:$J),0)</f>
        <v>55</v>
      </c>
      <c r="X75" s="342"/>
      <c r="Y75" s="251"/>
      <c r="Z75" s="342"/>
      <c r="AA75" s="251"/>
      <c r="AB75" s="342"/>
      <c r="AC75" s="58"/>
      <c r="AD75" s="58"/>
      <c r="AE75" s="58"/>
      <c r="AF75" s="58"/>
      <c r="AG75" s="59"/>
      <c r="AH75" s="59"/>
    </row>
    <row r="76" ht="15.75" customHeight="1">
      <c r="A76" s="335" t="s">
        <v>193</v>
      </c>
      <c r="B76" s="356">
        <f t="shared" si="12"/>
        <v>-125</v>
      </c>
      <c r="C76" s="357">
        <f t="shared" si="13"/>
        <v>540</v>
      </c>
      <c r="D76" s="23">
        <v>480.0</v>
      </c>
      <c r="E76" s="242">
        <v>30.0</v>
      </c>
      <c r="F76" s="315">
        <f t="shared" si="14"/>
        <v>540</v>
      </c>
      <c r="H76" s="256" t="s">
        <v>278</v>
      </c>
      <c r="I76" s="257" t="str">
        <f t="shared" ref="I76:W76" si="15">I79</f>
        <v>Bear is Clutch</v>
      </c>
      <c r="J76" s="259">
        <f t="shared" si="15"/>
        <v>510</v>
      </c>
      <c r="K76" s="257" t="str">
        <f t="shared" si="15"/>
        <v>TheAlphaTurtle</v>
      </c>
      <c r="L76" s="343">
        <f t="shared" si="15"/>
        <v>151</v>
      </c>
      <c r="M76" s="257" t="str">
        <f t="shared" si="15"/>
        <v>Maverick</v>
      </c>
      <c r="N76" s="343">
        <f t="shared" si="15"/>
        <v>250</v>
      </c>
      <c r="O76" s="257" t="str">
        <f t="shared" si="15"/>
        <v>TheAlphaTurtle</v>
      </c>
      <c r="P76" s="343">
        <f t="shared" si="15"/>
        <v>301</v>
      </c>
      <c r="Q76" s="257" t="str">
        <f t="shared" si="15"/>
        <v>Eternlx</v>
      </c>
      <c r="R76" s="343">
        <f t="shared" si="15"/>
        <v>60</v>
      </c>
      <c r="S76" s="257" t="str">
        <f t="shared" si="15"/>
        <v/>
      </c>
      <c r="T76" s="343" t="str">
        <f t="shared" si="15"/>
        <v/>
      </c>
      <c r="U76" s="257" t="str">
        <f t="shared" si="15"/>
        <v>G3Ohh</v>
      </c>
      <c r="V76" s="343">
        <f t="shared" si="15"/>
        <v>130</v>
      </c>
      <c r="W76" s="257" t="str">
        <f t="shared" si="15"/>
        <v>Cell</v>
      </c>
      <c r="X76" s="343"/>
      <c r="Y76" s="258"/>
      <c r="Z76" s="343"/>
      <c r="AA76" s="258"/>
      <c r="AB76" s="343"/>
      <c r="AC76" s="58"/>
      <c r="AD76" s="58"/>
      <c r="AE76" s="58"/>
      <c r="AF76" s="58"/>
      <c r="AG76" s="59"/>
      <c r="AH76" s="59"/>
    </row>
    <row r="77" ht="15.75" customHeight="1">
      <c r="A77" s="381" t="s">
        <v>259</v>
      </c>
      <c r="B77" s="382">
        <f t="shared" si="12"/>
        <v>0</v>
      </c>
      <c r="C77" s="383">
        <f t="shared" si="13"/>
        <v>0</v>
      </c>
      <c r="D77" s="384"/>
      <c r="E77" s="385">
        <v>30.0</v>
      </c>
      <c r="F77" s="386">
        <f t="shared" si="14"/>
        <v>0</v>
      </c>
      <c r="H77" s="261" t="s">
        <v>279</v>
      </c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344"/>
      <c r="W77" s="263"/>
      <c r="X77" s="344"/>
      <c r="Y77" s="263"/>
      <c r="Z77" s="344"/>
      <c r="AA77" s="263"/>
      <c r="AB77" s="344"/>
      <c r="AC77" s="58"/>
      <c r="AD77" s="58"/>
      <c r="AE77" s="58"/>
      <c r="AF77" s="58"/>
      <c r="AG77" s="59"/>
      <c r="AH77" s="59"/>
    </row>
    <row r="78" ht="15.75" customHeight="1">
      <c r="A78" s="335" t="s">
        <v>169</v>
      </c>
      <c r="B78" s="356">
        <f t="shared" si="12"/>
        <v>0</v>
      </c>
      <c r="C78" s="357">
        <f t="shared" si="13"/>
        <v>129</v>
      </c>
      <c r="D78" s="23">
        <v>129.0</v>
      </c>
      <c r="E78" s="242">
        <v>30.0</v>
      </c>
      <c r="F78" s="315">
        <f t="shared" si="14"/>
        <v>129</v>
      </c>
      <c r="H78" s="264" t="s">
        <v>280</v>
      </c>
      <c r="I78" s="265" t="str">
        <f>IFERROR(__xludf.DUMMYFUNCTION("Query('Round 4'!$A:$K,""Select B, MAX(C) WHERE C&gt;=198 group by B order by max(C) desc"")"),"Captain's Name (Use the exact same name each time)")</f>
        <v>Captain's Name (Use the exact same name each time)</v>
      </c>
      <c r="J78" s="289" t="str">
        <f>IFERROR(__xludf.DUMMYFUNCTION("""COMPUTED_VALUE"""),"max ASpence501")</f>
        <v>max ASpence501</v>
      </c>
      <c r="K78" s="265" t="str">
        <f>IFERROR(__xludf.DUMMYFUNCTION("Query('Round 4'!$A:$K,""Select B, MAX(D) WHERE D&gt;=150 group by B order by max(D) desc"")"),"Captain's Name (Use the exact same name each time)")</f>
        <v>Captain's Name (Use the exact same name each time)</v>
      </c>
      <c r="L78" s="266" t="str">
        <f>IFERROR(__xludf.DUMMYFUNCTION("""COMPUTED_VALUE"""),"max Scomancer")</f>
        <v>max Scomancer</v>
      </c>
      <c r="M78" s="265" t="str">
        <f>IFERROR(__xludf.DUMMYFUNCTION("Query('Round 4'!$A:$K,""Select B, MAX(E) WHERE E&gt;=60 group by B order by max(E) desc"")"),"Captain's Name (Use the exact same name each time)")</f>
        <v>Captain's Name (Use the exact same name each time)</v>
      </c>
      <c r="N78" s="266" t="str">
        <f>IFERROR(__xludf.DUMMYFUNCTION("""COMPUTED_VALUE"""),"max Havoc Puppies")</f>
        <v>max Havoc Puppies</v>
      </c>
      <c r="O78" s="265" t="str">
        <f>IFERROR(__xludf.DUMMYFUNCTION("Query('Round 4'!$A:$K,""Select B, MAX(F) WHERE F&gt;=60 group by B order by max(F) desc"")"),"Captain's Name (Use the exact same name each time)")</f>
        <v>Captain's Name (Use the exact same name each time)</v>
      </c>
      <c r="P78" s="266" t="str">
        <f>IFERROR(__xludf.DUMMYFUNCTION("""COMPUTED_VALUE"""),"max Almighty Tycoon")</f>
        <v>max Almighty Tycoon</v>
      </c>
      <c r="Q78" s="265" t="str">
        <f>IFERROR(__xludf.DUMMYFUNCTION("Query('Round 4'!$A:$K,""Select B, MAX(G) WHERE G&gt;=60 group by B order by max(G) desc"")"),"Captain's Name (Use the exact same name each time)")</f>
        <v>Captain's Name (Use the exact same name each time)</v>
      </c>
      <c r="R78" s="266" t="str">
        <f>IFERROR(__xludf.DUMMYFUNCTION("""COMPUTED_VALUE"""),"max Doerstopper")</f>
        <v>max Doerstopper</v>
      </c>
      <c r="S78" s="265" t="str">
        <f>IFERROR(__xludf.DUMMYFUNCTION("Query('Round 4'!$A:$K,""Select B, MAX(H) WHERE H&gt;=60 group by B order by max(H) desc"")"),"Captain's Name (Use the exact same name each time)")</f>
        <v>Captain's Name (Use the exact same name each time)</v>
      </c>
      <c r="T78" s="266" t="str">
        <f>IFERROR(__xludf.DUMMYFUNCTION("""COMPUTED_VALUE"""),"max x Greenthumb")</f>
        <v>max x Greenthumb</v>
      </c>
      <c r="U78" s="265" t="str">
        <f>IFERROR(__xludf.DUMMYFUNCTION("Query('Round 4'!$A:$K,""Select B, MAX(I) WHERE I&gt;=60 group by B order by max(I) desc"")"),"Captain's Name (Use the exact same name each time)")</f>
        <v>Captain's Name (Use the exact same name each time)</v>
      </c>
      <c r="V78" s="266" t="str">
        <f>IFERROR(__xludf.DUMMYFUNCTION("""COMPUTED_VALUE"""),"max Zavi")</f>
        <v>max Zavi</v>
      </c>
      <c r="W78" s="265" t="str">
        <f>IFERROR(__xludf.DUMMYFUNCTION("Query('Round 4'!$A:$K,""Select B, MAX(J) WHERE J&gt;=30 group by B order by max(J) desc"")"),"Captain's Name (Use the exact same name each time)")</f>
        <v>Captain's Name (Use the exact same name each time)</v>
      </c>
      <c r="X78" s="267" t="str">
        <f>IFERROR(__xludf.DUMMYFUNCTION("""COMPUTED_VALUE"""),"max PoisonxPoptart")</f>
        <v>max PoisonxPoptart</v>
      </c>
      <c r="Y78" s="265"/>
      <c r="Z78" s="267"/>
      <c r="AA78" s="265"/>
      <c r="AB78" s="267"/>
      <c r="AC78" s="58"/>
      <c r="AD78" s="58"/>
      <c r="AE78" s="58"/>
      <c r="AF78" s="58"/>
      <c r="AG78" s="59"/>
      <c r="AH78" s="59"/>
    </row>
    <row r="79" ht="15.75" customHeight="1">
      <c r="A79" s="335" t="s">
        <v>129</v>
      </c>
      <c r="B79" s="356">
        <f t="shared" si="12"/>
        <v>0</v>
      </c>
      <c r="C79" s="357">
        <f t="shared" si="13"/>
        <v>40</v>
      </c>
      <c r="D79" s="23">
        <v>40.0</v>
      </c>
      <c r="E79" s="242">
        <v>30.0</v>
      </c>
      <c r="F79" s="315">
        <f t="shared" si="14"/>
        <v>40</v>
      </c>
      <c r="H79" s="230"/>
      <c r="I79" s="268" t="str">
        <f>IFERROR(__xludf.DUMMYFUNCTION("""COMPUTED_VALUE"""),"Bear is Clutch")</f>
        <v>Bear is Clutch</v>
      </c>
      <c r="J79" s="345">
        <f>IFERROR(__xludf.DUMMYFUNCTION("""COMPUTED_VALUE"""),510.0)</f>
        <v>510</v>
      </c>
      <c r="K79" s="268" t="str">
        <f>IFERROR(__xludf.DUMMYFUNCTION("""COMPUTED_VALUE"""),"TheAlphaTurtle")</f>
        <v>TheAlphaTurtle</v>
      </c>
      <c r="L79" s="346">
        <f>IFERROR(__xludf.DUMMYFUNCTION("""COMPUTED_VALUE"""),151.0)</f>
        <v>151</v>
      </c>
      <c r="M79" s="271" t="str">
        <f>IFERROR(__xludf.DUMMYFUNCTION("""COMPUTED_VALUE"""),"Maverick")</f>
        <v>Maverick</v>
      </c>
      <c r="N79" s="346">
        <f>IFERROR(__xludf.DUMMYFUNCTION("""COMPUTED_VALUE"""),250.0)</f>
        <v>250</v>
      </c>
      <c r="O79" s="271" t="str">
        <f>IFERROR(__xludf.DUMMYFUNCTION("""COMPUTED_VALUE"""),"TheAlphaTurtle")</f>
        <v>TheAlphaTurtle</v>
      </c>
      <c r="P79" s="346">
        <f>IFERROR(__xludf.DUMMYFUNCTION("""COMPUTED_VALUE"""),301.0)</f>
        <v>301</v>
      </c>
      <c r="Q79" s="271" t="str">
        <f>IFERROR(__xludf.DUMMYFUNCTION("""COMPUTED_VALUE"""),"Eternlx")</f>
        <v>Eternlx</v>
      </c>
      <c r="R79" s="346">
        <f>IFERROR(__xludf.DUMMYFUNCTION("""COMPUTED_VALUE"""),60.0)</f>
        <v>60</v>
      </c>
      <c r="S79" s="271"/>
      <c r="T79" s="346"/>
      <c r="U79" s="271" t="str">
        <f>IFERROR(__xludf.DUMMYFUNCTION("""COMPUTED_VALUE"""),"G3Ohh")</f>
        <v>G3Ohh</v>
      </c>
      <c r="V79" s="346">
        <f>IFERROR(__xludf.DUMMYFUNCTION("""COMPUTED_VALUE"""),130.0)</f>
        <v>130</v>
      </c>
      <c r="W79" s="271" t="str">
        <f>IFERROR(__xludf.DUMMYFUNCTION("""COMPUTED_VALUE"""),"Cell")</f>
        <v>Cell</v>
      </c>
      <c r="X79" s="346">
        <f>IFERROR(__xludf.DUMMYFUNCTION("""COMPUTED_VALUE"""),55.0)</f>
        <v>55</v>
      </c>
      <c r="Y79" s="18"/>
      <c r="Z79" s="346"/>
      <c r="AA79" s="18"/>
      <c r="AB79" s="346"/>
      <c r="AC79" s="58"/>
      <c r="AD79" s="58"/>
      <c r="AE79" s="58"/>
      <c r="AF79" s="58"/>
      <c r="AG79" s="59"/>
      <c r="AH79" s="59"/>
    </row>
    <row r="80" ht="15.75" customHeight="1">
      <c r="A80" s="335" t="s">
        <v>104</v>
      </c>
      <c r="B80" s="356">
        <f t="shared" si="12"/>
        <v>445</v>
      </c>
      <c r="C80" s="357">
        <f t="shared" si="13"/>
        <v>445</v>
      </c>
      <c r="D80" s="23">
        <v>195.0</v>
      </c>
      <c r="E80" s="242">
        <v>30.0</v>
      </c>
      <c r="F80" s="315">
        <f t="shared" si="14"/>
        <v>445</v>
      </c>
      <c r="H80" s="89"/>
      <c r="I80" s="276" t="str">
        <f>IFERROR(__xludf.DUMMYFUNCTION("""COMPUTED_VALUE"""),"Eternlx")</f>
        <v>Eternlx</v>
      </c>
      <c r="J80" s="345">
        <f>IFERROR(__xludf.DUMMYFUNCTION("""COMPUTED_VALUE"""),330.0)</f>
        <v>330</v>
      </c>
      <c r="K80" s="276"/>
      <c r="L80" s="346"/>
      <c r="M80" s="277" t="str">
        <f>IFERROR(__xludf.DUMMYFUNCTION("""COMPUTED_VALUE"""),"Eternlx")</f>
        <v>Eternlx</v>
      </c>
      <c r="N80" s="346">
        <f>IFERROR(__xludf.DUMMYFUNCTION("""COMPUTED_VALUE"""),205.0)</f>
        <v>205</v>
      </c>
      <c r="O80" s="277" t="str">
        <f>IFERROR(__xludf.DUMMYFUNCTION("""COMPUTED_VALUE"""),"Maverick")</f>
        <v>Maverick</v>
      </c>
      <c r="P80" s="346">
        <f>IFERROR(__xludf.DUMMYFUNCTION("""COMPUTED_VALUE"""),150.0)</f>
        <v>150</v>
      </c>
      <c r="Q80" s="277"/>
      <c r="R80" s="346"/>
      <c r="S80" s="277"/>
      <c r="T80" s="346"/>
      <c r="U80" s="277"/>
      <c r="V80" s="346"/>
      <c r="W80" s="277" t="str">
        <f>IFERROR(__xludf.DUMMYFUNCTION("""COMPUTED_VALUE"""),"Rage More Nerd")</f>
        <v>Rage More Nerd</v>
      </c>
      <c r="X80" s="346">
        <f>IFERROR(__xludf.DUMMYFUNCTION("""COMPUTED_VALUE"""),40.0)</f>
        <v>40</v>
      </c>
      <c r="Y80" s="18"/>
      <c r="Z80" s="346"/>
      <c r="AA80" s="18"/>
      <c r="AB80" s="346"/>
      <c r="AC80" s="58"/>
      <c r="AD80" s="58"/>
      <c r="AE80" s="58"/>
      <c r="AF80" s="58"/>
      <c r="AG80" s="59"/>
      <c r="AH80" s="59"/>
    </row>
    <row r="81" ht="15.75" customHeight="1">
      <c r="A81" s="375" t="s">
        <v>155</v>
      </c>
      <c r="B81" s="376">
        <f t="shared" si="12"/>
        <v>-242</v>
      </c>
      <c r="C81" s="377">
        <f t="shared" si="13"/>
        <v>479</v>
      </c>
      <c r="D81" s="378">
        <v>27.0</v>
      </c>
      <c r="E81" s="379">
        <v>30.0</v>
      </c>
      <c r="F81" s="380">
        <f t="shared" si="14"/>
        <v>479</v>
      </c>
      <c r="H81" s="89"/>
      <c r="I81" s="276" t="str">
        <f>IFERROR(__xludf.DUMMYFUNCTION("""COMPUTED_VALUE"""),"TheAlphaTurtle")</f>
        <v>TheAlphaTurtle</v>
      </c>
      <c r="J81" s="345">
        <f>IFERROR(__xludf.DUMMYFUNCTION("""COMPUTED_VALUE"""),269.0)</f>
        <v>269</v>
      </c>
      <c r="K81" s="276"/>
      <c r="L81" s="347"/>
      <c r="M81" s="277"/>
      <c r="N81" s="346"/>
      <c r="O81" s="277" t="str">
        <f>IFERROR(__xludf.DUMMYFUNCTION("""COMPUTED_VALUE"""),"yLuxe")</f>
        <v>yLuxe</v>
      </c>
      <c r="P81" s="346">
        <f>IFERROR(__xludf.DUMMYFUNCTION("""COMPUTED_VALUE"""),129.0)</f>
        <v>129</v>
      </c>
      <c r="Q81" s="277"/>
      <c r="R81" s="346"/>
      <c r="S81" s="277"/>
      <c r="T81" s="346"/>
      <c r="U81" s="277"/>
      <c r="V81" s="346"/>
      <c r="W81" s="277" t="str">
        <f>IFERROR(__xludf.DUMMYFUNCTION("""COMPUTED_VALUE"""),"CaptainSev004")</f>
        <v>CaptainSev004</v>
      </c>
      <c r="X81" s="346">
        <f>IFERROR(__xludf.DUMMYFUNCTION("""COMPUTED_VALUE"""),30.0)</f>
        <v>30</v>
      </c>
      <c r="Y81" s="18"/>
      <c r="Z81" s="346"/>
      <c r="AA81" s="18"/>
      <c r="AB81" s="346"/>
      <c r="AC81" s="58"/>
      <c r="AD81" s="58"/>
      <c r="AE81" s="58"/>
      <c r="AF81" s="58"/>
      <c r="AG81" s="59"/>
      <c r="AH81" s="59"/>
    </row>
    <row r="82" ht="15.75" customHeight="1">
      <c r="A82" s="335" t="s">
        <v>42</v>
      </c>
      <c r="B82" s="356">
        <f t="shared" si="12"/>
        <v>85</v>
      </c>
      <c r="C82" s="357">
        <f t="shared" si="13"/>
        <v>85</v>
      </c>
      <c r="D82" s="23">
        <v>30.0</v>
      </c>
      <c r="E82" s="242">
        <v>30.0</v>
      </c>
      <c r="F82" s="315">
        <f t="shared" si="14"/>
        <v>85</v>
      </c>
      <c r="H82" s="89"/>
      <c r="I82" s="276"/>
      <c r="J82" s="345"/>
      <c r="K82" s="276"/>
      <c r="L82" s="346"/>
      <c r="M82" s="277"/>
      <c r="N82" s="346"/>
      <c r="O82" s="277" t="str">
        <f>IFERROR(__xludf.DUMMYFUNCTION("""COMPUTED_VALUE"""),"Eternlx")</f>
        <v>Eternlx</v>
      </c>
      <c r="P82" s="346">
        <f>IFERROR(__xludf.DUMMYFUNCTION("""COMPUTED_VALUE"""),70.0)</f>
        <v>70</v>
      </c>
      <c r="Q82" s="277"/>
      <c r="R82" s="346"/>
      <c r="S82" s="277"/>
      <c r="T82" s="346"/>
      <c r="U82" s="277"/>
      <c r="V82" s="346"/>
      <c r="W82" s="277"/>
      <c r="X82" s="346"/>
      <c r="Y82" s="18"/>
      <c r="Z82" s="346"/>
      <c r="AA82" s="18"/>
      <c r="AB82" s="346"/>
      <c r="AC82" s="58"/>
      <c r="AD82" s="58"/>
      <c r="AE82" s="58"/>
      <c r="AF82" s="58"/>
      <c r="AG82" s="59"/>
      <c r="AH82" s="59"/>
    </row>
    <row r="83" ht="15.75" customHeight="1">
      <c r="A83" s="58"/>
      <c r="B83" s="58"/>
      <c r="C83" s="58"/>
      <c r="D83" s="58"/>
      <c r="E83" s="58"/>
      <c r="F83" s="58"/>
      <c r="G83" s="58"/>
      <c r="H83" s="89"/>
      <c r="I83" s="276"/>
      <c r="J83" s="345"/>
      <c r="K83" s="276"/>
      <c r="L83" s="346"/>
      <c r="M83" s="277"/>
      <c r="N83" s="346"/>
      <c r="O83" s="277"/>
      <c r="P83" s="346"/>
      <c r="Q83" s="277"/>
      <c r="R83" s="346"/>
      <c r="S83" s="277"/>
      <c r="T83" s="346"/>
      <c r="U83" s="277"/>
      <c r="V83" s="346"/>
      <c r="W83" s="277"/>
      <c r="X83" s="346"/>
      <c r="Y83" s="18"/>
      <c r="Z83" s="346"/>
      <c r="AA83" s="18"/>
      <c r="AB83" s="346"/>
      <c r="AC83" s="58"/>
      <c r="AD83" s="58"/>
      <c r="AE83" s="58"/>
      <c r="AF83" s="58"/>
      <c r="AG83" s="59"/>
      <c r="AH83" s="59"/>
    </row>
    <row r="84" ht="15.75" customHeight="1">
      <c r="A84" s="58"/>
      <c r="B84" s="58"/>
      <c r="C84" s="58"/>
      <c r="D84" s="58"/>
      <c r="E84" s="58"/>
      <c r="F84" s="58"/>
      <c r="G84" s="58"/>
      <c r="H84" s="89"/>
      <c r="I84" s="277"/>
      <c r="J84" s="90"/>
      <c r="K84" s="276"/>
      <c r="L84" s="346"/>
      <c r="M84" s="277"/>
      <c r="N84" s="346"/>
      <c r="O84" s="277"/>
      <c r="P84" s="346"/>
      <c r="Q84" s="277"/>
      <c r="R84" s="346"/>
      <c r="S84" s="277"/>
      <c r="T84" s="346"/>
      <c r="U84" s="277"/>
      <c r="V84" s="346"/>
      <c r="W84" s="277"/>
      <c r="X84" s="346"/>
      <c r="Y84" s="18"/>
      <c r="Z84" s="346"/>
      <c r="AA84" s="18"/>
      <c r="AB84" s="346"/>
      <c r="AC84" s="58"/>
      <c r="AD84" s="58"/>
      <c r="AE84" s="58"/>
      <c r="AF84" s="58"/>
      <c r="AG84" s="59"/>
      <c r="AH84" s="59"/>
    </row>
    <row r="85" ht="15.75" customHeight="1">
      <c r="A85" s="58"/>
      <c r="B85" s="58"/>
      <c r="C85" s="58"/>
      <c r="D85" s="58"/>
      <c r="E85" s="58"/>
      <c r="F85" s="58"/>
      <c r="G85" s="58"/>
      <c r="H85" s="287"/>
      <c r="I85" s="288"/>
      <c r="J85" s="90"/>
      <c r="K85" s="276"/>
      <c r="L85" s="349"/>
      <c r="M85" s="276"/>
      <c r="N85" s="346"/>
      <c r="O85" s="277"/>
      <c r="P85" s="346"/>
      <c r="Q85" s="277"/>
      <c r="R85" s="346"/>
      <c r="S85" s="277"/>
      <c r="T85" s="346"/>
      <c r="U85" s="277"/>
      <c r="V85" s="346"/>
      <c r="W85" s="277"/>
      <c r="X85" s="346"/>
      <c r="Y85" s="18"/>
      <c r="Z85" s="346"/>
      <c r="AA85" s="18"/>
      <c r="AB85" s="346"/>
      <c r="AC85" s="58"/>
      <c r="AD85" s="58"/>
      <c r="AE85" s="58"/>
      <c r="AF85" s="58"/>
      <c r="AG85" s="59"/>
      <c r="AH85" s="59"/>
    </row>
    <row r="86" ht="15.75" customHeight="1">
      <c r="A86" s="58"/>
      <c r="B86" s="58"/>
      <c r="C86" s="58"/>
      <c r="D86" s="58"/>
      <c r="E86" s="58"/>
      <c r="F86" s="58"/>
      <c r="G86" s="58"/>
      <c r="H86" s="89"/>
      <c r="I86" s="277"/>
      <c r="J86" s="90"/>
      <c r="K86" s="276"/>
      <c r="L86" s="346"/>
      <c r="M86" s="277"/>
      <c r="N86" s="346"/>
      <c r="O86" s="277"/>
      <c r="P86" s="346"/>
      <c r="Q86" s="277"/>
      <c r="R86" s="346"/>
      <c r="S86" s="277"/>
      <c r="T86" s="346"/>
      <c r="U86" s="277"/>
      <c r="V86" s="346"/>
      <c r="W86" s="277"/>
      <c r="X86" s="346"/>
      <c r="Y86" s="18"/>
      <c r="Z86" s="346"/>
      <c r="AA86" s="18"/>
      <c r="AB86" s="346"/>
      <c r="AC86" s="58"/>
      <c r="AD86" s="58"/>
      <c r="AE86" s="58"/>
      <c r="AF86" s="58"/>
      <c r="AG86" s="59"/>
      <c r="AH86" s="59"/>
    </row>
    <row r="87" ht="15.75" customHeight="1">
      <c r="A87" s="58"/>
      <c r="B87" s="58"/>
      <c r="C87" s="58"/>
      <c r="D87" s="58"/>
      <c r="E87" s="58"/>
      <c r="F87" s="58"/>
      <c r="G87" s="58"/>
      <c r="H87" s="89"/>
      <c r="I87" s="277"/>
      <c r="J87" s="90"/>
      <c r="K87" s="276"/>
      <c r="L87" s="346"/>
      <c r="M87" s="277"/>
      <c r="N87" s="346"/>
      <c r="O87" s="277"/>
      <c r="P87" s="346"/>
      <c r="Q87" s="277"/>
      <c r="R87" s="346"/>
      <c r="S87" s="277"/>
      <c r="T87" s="346"/>
      <c r="U87" s="277"/>
      <c r="V87" s="346"/>
      <c r="W87" s="277"/>
      <c r="X87" s="346"/>
      <c r="Y87" s="18"/>
      <c r="Z87" s="346"/>
      <c r="AA87" s="18"/>
      <c r="AB87" s="346"/>
      <c r="AC87" s="58"/>
      <c r="AD87" s="58"/>
      <c r="AE87" s="58"/>
      <c r="AF87" s="58"/>
      <c r="AG87" s="59"/>
      <c r="AH87" s="59"/>
    </row>
    <row r="88" ht="15.75" customHeight="1">
      <c r="A88" s="58"/>
      <c r="B88" s="58"/>
      <c r="C88" s="58"/>
      <c r="D88" s="58"/>
      <c r="E88" s="58"/>
      <c r="F88" s="58"/>
      <c r="G88" s="58"/>
      <c r="H88" s="89"/>
      <c r="I88" s="277"/>
      <c r="J88" s="90"/>
      <c r="K88" s="277"/>
      <c r="L88" s="346"/>
      <c r="M88" s="277"/>
      <c r="N88" s="346"/>
      <c r="O88" s="277"/>
      <c r="P88" s="346"/>
      <c r="Q88" s="277"/>
      <c r="R88" s="346"/>
      <c r="S88" s="277"/>
      <c r="T88" s="346"/>
      <c r="U88" s="288"/>
      <c r="V88" s="347"/>
      <c r="W88" s="277"/>
      <c r="X88" s="346"/>
      <c r="Y88" s="18"/>
      <c r="Z88" s="346"/>
      <c r="AA88" s="18"/>
      <c r="AB88" s="346"/>
      <c r="AC88" s="58"/>
      <c r="AD88" s="58"/>
      <c r="AE88" s="58"/>
      <c r="AF88" s="58"/>
      <c r="AG88" s="59"/>
      <c r="AH88" s="59"/>
    </row>
    <row r="89" ht="15.75" customHeight="1">
      <c r="A89" s="58"/>
      <c r="B89" s="58"/>
      <c r="C89" s="58"/>
      <c r="D89" s="58"/>
      <c r="E89" s="58"/>
      <c r="F89" s="58"/>
      <c r="G89" s="58"/>
      <c r="H89" s="89"/>
      <c r="I89" s="277"/>
      <c r="J89" s="90"/>
      <c r="K89" s="277"/>
      <c r="L89" s="346"/>
      <c r="M89" s="277"/>
      <c r="N89" s="346"/>
      <c r="O89" s="277"/>
      <c r="P89" s="346"/>
      <c r="Q89" s="277"/>
      <c r="R89" s="346"/>
      <c r="S89" s="277"/>
      <c r="T89" s="346"/>
      <c r="U89" s="277"/>
      <c r="V89" s="346"/>
      <c r="W89" s="277"/>
      <c r="X89" s="346"/>
      <c r="Y89" s="18"/>
      <c r="Z89" s="346"/>
      <c r="AA89" s="18"/>
      <c r="AB89" s="346"/>
      <c r="AC89" s="58"/>
      <c r="AD89" s="58"/>
      <c r="AE89" s="58"/>
      <c r="AF89" s="58"/>
      <c r="AG89" s="59"/>
      <c r="AH89" s="59"/>
    </row>
    <row r="90" ht="15.75" customHeight="1">
      <c r="A90" s="58"/>
      <c r="B90" s="58"/>
      <c r="C90" s="58"/>
      <c r="D90" s="58"/>
      <c r="E90" s="58"/>
      <c r="F90" s="58"/>
      <c r="G90" s="58"/>
      <c r="H90" s="89"/>
      <c r="I90" s="277"/>
      <c r="J90" s="90"/>
      <c r="K90" s="277"/>
      <c r="L90" s="346"/>
      <c r="M90" s="277"/>
      <c r="N90" s="346"/>
      <c r="O90" s="277"/>
      <c r="P90" s="346"/>
      <c r="Q90" s="277"/>
      <c r="R90" s="346"/>
      <c r="S90" s="277"/>
      <c r="T90" s="346"/>
      <c r="U90" s="277"/>
      <c r="V90" s="346"/>
      <c r="W90" s="277"/>
      <c r="X90" s="346"/>
      <c r="Y90" s="18"/>
      <c r="Z90" s="346"/>
      <c r="AA90" s="18"/>
      <c r="AB90" s="346"/>
      <c r="AC90" s="58"/>
      <c r="AD90" s="58"/>
      <c r="AE90" s="58"/>
      <c r="AF90" s="58"/>
      <c r="AG90" s="59"/>
      <c r="AH90" s="59"/>
    </row>
    <row r="91" ht="15.75" customHeight="1">
      <c r="A91" s="58"/>
      <c r="B91" s="58"/>
      <c r="C91" s="58"/>
      <c r="D91" s="58"/>
      <c r="E91" s="58"/>
      <c r="F91" s="58"/>
      <c r="G91" s="58"/>
      <c r="H91" s="89"/>
      <c r="I91" s="322"/>
      <c r="J91" s="90"/>
      <c r="K91" s="277"/>
      <c r="L91" s="346"/>
      <c r="M91" s="277"/>
      <c r="N91" s="346"/>
      <c r="O91" s="277"/>
      <c r="P91" s="346"/>
      <c r="Q91" s="277"/>
      <c r="R91" s="346"/>
      <c r="S91" s="277"/>
      <c r="T91" s="346"/>
      <c r="U91" s="277"/>
      <c r="V91" s="346"/>
      <c r="W91" s="277"/>
      <c r="X91" s="346"/>
      <c r="Y91" s="18"/>
      <c r="Z91" s="346"/>
      <c r="AA91" s="18"/>
      <c r="AB91" s="346"/>
      <c r="AC91" s="58"/>
      <c r="AD91" s="58"/>
      <c r="AE91" s="58"/>
      <c r="AF91" s="58"/>
      <c r="AG91" s="59"/>
      <c r="AH91" s="59"/>
    </row>
    <row r="92" ht="15.75" hidden="1" customHeight="1">
      <c r="A92" s="318"/>
      <c r="B92" s="319"/>
      <c r="C92" s="319"/>
      <c r="D92" s="319"/>
      <c r="E92" s="319"/>
      <c r="F92" s="319"/>
      <c r="G92" s="319"/>
      <c r="H92" s="225" t="s">
        <v>292</v>
      </c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58"/>
      <c r="AD92" s="58"/>
      <c r="AE92" s="58"/>
    </row>
    <row r="93" ht="15.75" hidden="1" customHeight="1">
      <c r="A93" s="320"/>
      <c r="B93" s="321"/>
      <c r="C93" s="321"/>
      <c r="D93" s="321"/>
      <c r="E93" s="321"/>
      <c r="F93" s="321"/>
      <c r="G93" s="321"/>
      <c r="H93" s="230"/>
      <c r="AC93" s="58"/>
      <c r="AD93" s="58"/>
      <c r="AE93" s="58"/>
    </row>
    <row r="94" ht="15.75" hidden="1" customHeight="1">
      <c r="A94" s="320"/>
      <c r="B94" s="321"/>
      <c r="C94" s="321"/>
      <c r="D94" s="321"/>
      <c r="E94" s="321"/>
      <c r="F94" s="321"/>
      <c r="G94" s="321"/>
      <c r="H94" s="230"/>
      <c r="AC94" s="58"/>
      <c r="AD94" s="58"/>
      <c r="AE94" s="58"/>
    </row>
    <row r="95" ht="15.75" hidden="1" customHeight="1">
      <c r="A95" s="232" t="s">
        <v>270</v>
      </c>
      <c r="B95" s="233" t="s">
        <v>271</v>
      </c>
      <c r="C95" s="233"/>
      <c r="D95" s="233" t="s">
        <v>272</v>
      </c>
      <c r="F95" s="235" t="s">
        <v>289</v>
      </c>
      <c r="G95" s="58"/>
      <c r="H95" s="236" t="s">
        <v>275</v>
      </c>
      <c r="I95" s="323"/>
      <c r="J95" s="387"/>
      <c r="K95" s="323"/>
      <c r="L95" s="358"/>
      <c r="M95" s="323"/>
      <c r="N95" s="358"/>
      <c r="O95" s="323"/>
      <c r="P95" s="59"/>
      <c r="Q95" s="323"/>
      <c r="R95" s="59"/>
      <c r="S95" s="323"/>
      <c r="T95" s="59"/>
      <c r="U95" s="323"/>
      <c r="V95" s="59"/>
      <c r="W95" s="323"/>
      <c r="X95" s="360"/>
      <c r="Y95" s="324"/>
      <c r="Z95" s="360"/>
      <c r="AA95" s="324"/>
      <c r="AB95" s="360"/>
      <c r="AC95" s="58"/>
      <c r="AD95" s="58"/>
      <c r="AE95" s="58"/>
    </row>
    <row r="96" ht="15.75" hidden="1" customHeight="1">
      <c r="A96" s="248" t="s">
        <v>37</v>
      </c>
      <c r="G96" s="58"/>
      <c r="H96" s="244" t="s">
        <v>274</v>
      </c>
      <c r="I96" s="245">
        <v>60.0</v>
      </c>
      <c r="J96" s="247"/>
      <c r="K96" s="245">
        <v>60.0</v>
      </c>
      <c r="L96" s="338"/>
      <c r="M96" s="245">
        <v>60.0</v>
      </c>
      <c r="N96" s="338"/>
      <c r="O96" s="245">
        <v>60.0</v>
      </c>
      <c r="P96" s="59"/>
      <c r="Q96" s="245">
        <v>30.0</v>
      </c>
      <c r="R96" s="59"/>
      <c r="S96" s="245">
        <v>60.0</v>
      </c>
      <c r="T96" s="59"/>
      <c r="U96" s="245">
        <v>60.0</v>
      </c>
      <c r="V96" s="59"/>
      <c r="W96" s="245">
        <v>60.0</v>
      </c>
      <c r="X96" s="338"/>
      <c r="Y96" s="246"/>
      <c r="Z96" s="338"/>
      <c r="AA96" s="246"/>
      <c r="AB96" s="338"/>
      <c r="AC96" s="58"/>
      <c r="AD96" s="58"/>
      <c r="AE96" s="58"/>
    </row>
    <row r="97" ht="15.75" hidden="1" customHeight="1">
      <c r="A97" s="248" t="s">
        <v>40</v>
      </c>
      <c r="G97" s="58"/>
      <c r="H97" s="244" t="s">
        <v>201</v>
      </c>
      <c r="I97" s="245" t="s">
        <v>23</v>
      </c>
      <c r="J97" s="247"/>
      <c r="K97" s="245" t="s">
        <v>23</v>
      </c>
      <c r="L97" s="338"/>
      <c r="M97" s="245" t="s">
        <v>23</v>
      </c>
      <c r="N97" s="338"/>
      <c r="O97" s="245" t="s">
        <v>23</v>
      </c>
      <c r="P97" s="59"/>
      <c r="Q97" s="245" t="s">
        <v>25</v>
      </c>
      <c r="R97" s="59"/>
      <c r="S97" s="245" t="s">
        <v>23</v>
      </c>
      <c r="T97" s="59"/>
      <c r="U97" s="245" t="s">
        <v>23</v>
      </c>
      <c r="V97" s="59"/>
      <c r="W97" s="245" t="s">
        <v>23</v>
      </c>
      <c r="X97" s="338"/>
      <c r="Y97" s="246"/>
      <c r="Z97" s="338"/>
      <c r="AA97" s="246"/>
      <c r="AB97" s="338"/>
      <c r="AC97" s="58"/>
      <c r="AD97" s="58"/>
      <c r="AE97" s="58"/>
    </row>
    <row r="98" ht="15.75" hidden="1" customHeight="1">
      <c r="A98" s="248" t="s">
        <v>57</v>
      </c>
      <c r="G98" s="58"/>
      <c r="H98" s="250" t="s">
        <v>277</v>
      </c>
      <c r="I98" s="251" t="str">
        <f>If(MAX('Round 55'!D:D)&gt;=I96,MAX('Round 55'!D:D),0)</f>
        <v>#REF!</v>
      </c>
      <c r="J98" s="316"/>
      <c r="K98" s="251" t="str">
        <f>If(MAX('Round 55'!E:E)&gt;=K96,MAX('Round 55'!E:E),0)</f>
        <v>#REF!</v>
      </c>
      <c r="L98" s="342"/>
      <c r="M98" s="251" t="str">
        <f>If(MAX('Round 55'!F:F)&gt;=M96,MAX('Round 55'!F:F),0)</f>
        <v>#REF!</v>
      </c>
      <c r="N98" s="342"/>
      <c r="O98" s="251" t="str">
        <f>If(MAX('Round 55'!G:G)&gt;=O96,MAX('Round 55'!G:G),0)</f>
        <v>#REF!</v>
      </c>
      <c r="P98" s="342"/>
      <c r="Q98" s="251" t="str">
        <f>If(MAX('Round 55'!H:H)&gt;=Q96,MAX('Round 55'!H:H),0)</f>
        <v>#REF!</v>
      </c>
      <c r="R98" s="342"/>
      <c r="S98" s="251" t="str">
        <f>If(MAX('Round 55'!I:I)&gt;=S96,MAX('Round 55'!I:I),0)</f>
        <v>#REF!</v>
      </c>
      <c r="T98" s="342"/>
      <c r="U98" s="251" t="str">
        <f>If(MAX('Round 55'!J:J)&gt;=S96,MAX('Round 55'!J:J),0)</f>
        <v>#REF!</v>
      </c>
      <c r="V98" s="342"/>
      <c r="W98" s="251"/>
      <c r="X98" s="361"/>
      <c r="Y98" s="325"/>
      <c r="Z98" s="361"/>
      <c r="AA98" s="325"/>
      <c r="AB98" s="361"/>
      <c r="AC98" s="58"/>
      <c r="AD98" s="58"/>
      <c r="AE98" s="58"/>
    </row>
    <row r="99" ht="15.75" hidden="1" customHeight="1">
      <c r="A99" s="248" t="s">
        <v>193</v>
      </c>
      <c r="G99" s="58"/>
      <c r="H99" s="256" t="s">
        <v>278</v>
      </c>
      <c r="I99" s="257" t="str">
        <f t="shared" ref="I99:V99" si="16">I102</f>
        <v/>
      </c>
      <c r="J99" s="259" t="str">
        <f t="shared" si="16"/>
        <v/>
      </c>
      <c r="K99" s="257" t="str">
        <f t="shared" si="16"/>
        <v/>
      </c>
      <c r="L99" s="343" t="str">
        <f t="shared" si="16"/>
        <v/>
      </c>
      <c r="M99" s="257" t="str">
        <f t="shared" si="16"/>
        <v/>
      </c>
      <c r="N99" s="343" t="str">
        <f t="shared" si="16"/>
        <v/>
      </c>
      <c r="O99" s="257" t="str">
        <f t="shared" si="16"/>
        <v/>
      </c>
      <c r="P99" s="343" t="str">
        <f t="shared" si="16"/>
        <v/>
      </c>
      <c r="Q99" s="257" t="str">
        <f t="shared" si="16"/>
        <v/>
      </c>
      <c r="R99" s="343" t="str">
        <f t="shared" si="16"/>
        <v/>
      </c>
      <c r="S99" s="257" t="str">
        <f t="shared" si="16"/>
        <v/>
      </c>
      <c r="T99" s="343" t="str">
        <f t="shared" si="16"/>
        <v/>
      </c>
      <c r="U99" s="257" t="str">
        <f t="shared" si="16"/>
        <v/>
      </c>
      <c r="V99" s="343" t="str">
        <f t="shared" si="16"/>
        <v/>
      </c>
      <c r="W99" s="257"/>
      <c r="X99" s="362"/>
      <c r="Y99" s="326"/>
      <c r="Z99" s="362"/>
      <c r="AA99" s="326"/>
      <c r="AB99" s="362"/>
      <c r="AC99" s="58"/>
      <c r="AD99" s="58"/>
      <c r="AE99" s="58"/>
    </row>
    <row r="100" ht="15.75" hidden="1" customHeight="1">
      <c r="A100" s="248" t="s">
        <v>259</v>
      </c>
      <c r="G100" s="58"/>
      <c r="H100" s="261" t="s">
        <v>279</v>
      </c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344"/>
      <c r="W100" s="263"/>
      <c r="X100" s="363"/>
      <c r="Y100" s="327"/>
      <c r="Z100" s="363"/>
      <c r="AA100" s="327"/>
      <c r="AB100" s="363"/>
      <c r="AC100" s="58"/>
      <c r="AD100" s="58"/>
      <c r="AE100" s="58"/>
    </row>
    <row r="101" ht="15.75" hidden="1" customHeight="1">
      <c r="A101" s="248" t="s">
        <v>169</v>
      </c>
      <c r="G101" s="58"/>
      <c r="H101" s="264" t="s">
        <v>280</v>
      </c>
      <c r="I101" s="265" t="str">
        <f>IFERROR(__xludf.DUMMYFUNCTION("Query('Round 55'!$B:$J,""Select B, MAX(C) WHERE C&gt;=198 group by B order by max(C) desc"")"),"#REF!")</f>
        <v>#REF!</v>
      </c>
      <c r="J101" s="289"/>
      <c r="K101" s="265" t="str">
        <f>IFERROR(__xludf.DUMMYFUNCTION("Query('Round 55'!$B:$J,""Select B, MAX(D) WHERE D&gt;=150 group by B order by max(D) desc"")"),"#REF!")</f>
        <v>#REF!</v>
      </c>
      <c r="L101" s="266"/>
      <c r="M101" s="265" t="str">
        <f>IFERROR(__xludf.DUMMYFUNCTION("Query('Round 55'!$B:$J,""Select B, MAX(E) WHERE E&gt;=60 group by B order by max(E) desc"")"),"#REF!")</f>
        <v>#REF!</v>
      </c>
      <c r="N101" s="266"/>
      <c r="O101" s="265" t="str">
        <f>IFERROR(__xludf.DUMMYFUNCTION("Query('Round 55'!$B:$J,""Select B, MAX(F) WHERE F&gt;=150 group by B order by max(F) desc"")"),"#REF!")</f>
        <v>#REF!</v>
      </c>
      <c r="P101" s="266"/>
      <c r="Q101" s="265" t="str">
        <f>IFERROR(__xludf.DUMMYFUNCTION("Query('Round 55'!$B:$J,""Select B, MAX(G) WHERE G&gt;=30 group by B order by max(G) desc"")"),"#REF!")</f>
        <v>#REF!</v>
      </c>
      <c r="R101" s="266"/>
      <c r="S101" s="328" t="str">
        <f>IFERROR(__xludf.DUMMYFUNCTION("Query('Round 55'!$B:$J,""Select B, MAX(H) WHERE H&gt;=60 group by B order by max(H) desc"")"),"#REF!")</f>
        <v>#REF!</v>
      </c>
      <c r="T101" s="266"/>
      <c r="U101" s="328" t="str">
        <f>IFERROR(__xludf.DUMMYFUNCTION("Query('Round 55'!$B:$J,""Select B, MAX(I) WHERE I&gt;=30 group by B order by max(I) desc"")"),"#REF!")</f>
        <v>#REF!</v>
      </c>
      <c r="V101" s="266"/>
      <c r="W101" s="328" t="str">
        <f>IFERROR(__xludf.DUMMYFUNCTION("Query('Round 55'!$B:$I,""Select B, MAX(J) WHERE J&gt;=198 group by B order by max(J) desc"")"),"#REF!")</f>
        <v>#REF!</v>
      </c>
      <c r="X101" s="267"/>
      <c r="Y101" s="267"/>
      <c r="Z101" s="267"/>
      <c r="AA101" s="267"/>
      <c r="AB101" s="267"/>
      <c r="AC101" s="58"/>
      <c r="AD101" s="58"/>
      <c r="AE101" s="58"/>
    </row>
    <row r="102" ht="15.75" hidden="1" customHeight="1">
      <c r="A102" s="248" t="s">
        <v>129</v>
      </c>
      <c r="G102" s="58"/>
      <c r="H102" s="230"/>
      <c r="I102" s="268"/>
      <c r="J102" s="345"/>
      <c r="K102" s="268"/>
      <c r="L102" s="346"/>
      <c r="M102" s="271"/>
      <c r="N102" s="346"/>
      <c r="O102" s="271"/>
      <c r="P102" s="346"/>
      <c r="Q102" s="271"/>
      <c r="R102" s="346"/>
      <c r="S102" s="271"/>
      <c r="T102" s="346"/>
      <c r="U102" s="271"/>
      <c r="V102" s="346"/>
      <c r="W102" s="271"/>
      <c r="X102" s="346"/>
      <c r="Y102" s="18"/>
      <c r="Z102" s="346"/>
      <c r="AA102" s="18"/>
      <c r="AB102" s="346"/>
      <c r="AC102" s="58"/>
      <c r="AD102" s="58"/>
      <c r="AE102" s="58"/>
    </row>
    <row r="103" ht="15.75" hidden="1" customHeight="1">
      <c r="A103" s="248" t="s">
        <v>139</v>
      </c>
      <c r="G103" s="58"/>
      <c r="H103" s="89"/>
      <c r="I103" s="276"/>
      <c r="J103" s="345"/>
      <c r="K103" s="276"/>
      <c r="L103" s="346"/>
      <c r="M103" s="277"/>
      <c r="N103" s="346"/>
      <c r="O103" s="277"/>
      <c r="P103" s="346"/>
      <c r="Q103" s="277"/>
      <c r="R103" s="346"/>
      <c r="S103" s="277"/>
      <c r="T103" s="346"/>
      <c r="U103" s="277"/>
      <c r="V103" s="346"/>
      <c r="W103" s="277"/>
      <c r="X103" s="346"/>
      <c r="Y103" s="18"/>
      <c r="Z103" s="346"/>
      <c r="AA103" s="18"/>
      <c r="AB103" s="346"/>
      <c r="AC103" s="58"/>
      <c r="AD103" s="58"/>
      <c r="AE103" s="58"/>
    </row>
    <row r="104" ht="15.75" hidden="1" customHeight="1">
      <c r="A104" s="248" t="s">
        <v>155</v>
      </c>
      <c r="G104" s="58"/>
      <c r="H104" s="89"/>
      <c r="I104" s="276"/>
      <c r="J104" s="345"/>
      <c r="K104" s="276"/>
      <c r="L104" s="347"/>
      <c r="M104" s="277"/>
      <c r="N104" s="346"/>
      <c r="O104" s="277"/>
      <c r="P104" s="346"/>
      <c r="Q104" s="277"/>
      <c r="R104" s="346"/>
      <c r="S104" s="277"/>
      <c r="T104" s="346"/>
      <c r="U104" s="277"/>
      <c r="V104" s="346"/>
      <c r="W104" s="277"/>
      <c r="X104" s="346"/>
      <c r="Y104" s="18"/>
      <c r="Z104" s="346"/>
      <c r="AA104" s="18"/>
      <c r="AB104" s="346"/>
      <c r="AC104" s="58"/>
      <c r="AD104" s="58"/>
      <c r="AE104" s="58"/>
    </row>
    <row r="105" ht="15.75" hidden="1" customHeight="1">
      <c r="A105" s="280" t="s">
        <v>126</v>
      </c>
      <c r="G105" s="58"/>
      <c r="H105" s="89"/>
      <c r="I105" s="276"/>
      <c r="J105" s="345"/>
      <c r="K105" s="276"/>
      <c r="L105" s="346"/>
      <c r="M105" s="277"/>
      <c r="N105" s="346"/>
      <c r="O105" s="277"/>
      <c r="P105" s="346"/>
      <c r="Q105" s="277"/>
      <c r="R105" s="346"/>
      <c r="S105" s="277"/>
      <c r="T105" s="346"/>
      <c r="U105" s="277"/>
      <c r="V105" s="346"/>
      <c r="W105" s="277"/>
      <c r="X105" s="346"/>
      <c r="Y105" s="18"/>
      <c r="Z105" s="346"/>
      <c r="AA105" s="18"/>
      <c r="AB105" s="346"/>
      <c r="AC105" s="58"/>
      <c r="AD105" s="58"/>
      <c r="AE105" s="58"/>
    </row>
    <row r="106" ht="15.75" hidden="1" customHeight="1">
      <c r="A106" s="58"/>
      <c r="B106" s="58"/>
      <c r="C106" s="58"/>
      <c r="D106" s="58"/>
      <c r="E106" s="58"/>
      <c r="F106" s="58"/>
      <c r="G106" s="58"/>
      <c r="H106" s="89"/>
      <c r="I106" s="276"/>
      <c r="J106" s="345"/>
      <c r="K106" s="276"/>
      <c r="L106" s="346"/>
      <c r="M106" s="277"/>
      <c r="N106" s="346"/>
      <c r="O106" s="277"/>
      <c r="P106" s="346"/>
      <c r="Q106" s="277"/>
      <c r="R106" s="346"/>
      <c r="S106" s="277"/>
      <c r="T106" s="346"/>
      <c r="U106" s="277"/>
      <c r="V106" s="346"/>
      <c r="W106" s="277"/>
      <c r="X106" s="346"/>
      <c r="Y106" s="18"/>
      <c r="Z106" s="346"/>
      <c r="AA106" s="18"/>
      <c r="AB106" s="346"/>
      <c r="AC106" s="58"/>
      <c r="AD106" s="58"/>
      <c r="AE106" s="58"/>
    </row>
    <row r="107" ht="15.75" hidden="1" customHeight="1">
      <c r="A107" s="58"/>
      <c r="B107" s="58"/>
      <c r="C107" s="58"/>
      <c r="D107" s="58"/>
      <c r="E107" s="58"/>
      <c r="F107" s="58"/>
      <c r="G107" s="58"/>
      <c r="H107" s="89"/>
      <c r="I107" s="277"/>
      <c r="J107" s="90"/>
      <c r="K107" s="276"/>
      <c r="L107" s="346"/>
      <c r="M107" s="277"/>
      <c r="N107" s="346"/>
      <c r="O107" s="277"/>
      <c r="P107" s="346"/>
      <c r="Q107" s="277"/>
      <c r="R107" s="346"/>
      <c r="S107" s="277"/>
      <c r="T107" s="346"/>
      <c r="U107" s="277"/>
      <c r="V107" s="346"/>
      <c r="W107" s="277"/>
      <c r="X107" s="346"/>
      <c r="Y107" s="18"/>
      <c r="Z107" s="346"/>
      <c r="AA107" s="18"/>
      <c r="AB107" s="346"/>
      <c r="AC107" s="58"/>
      <c r="AD107" s="58"/>
      <c r="AE107" s="58"/>
    </row>
    <row r="108" ht="15.75" hidden="1" customHeight="1">
      <c r="A108" s="58"/>
      <c r="B108" s="58"/>
      <c r="C108" s="58"/>
      <c r="D108" s="58"/>
      <c r="E108" s="58"/>
      <c r="F108" s="58"/>
      <c r="G108" s="58"/>
      <c r="H108" s="287"/>
      <c r="I108" s="288"/>
      <c r="J108" s="90"/>
      <c r="K108" s="276"/>
      <c r="L108" s="349"/>
      <c r="M108" s="276"/>
      <c r="N108" s="346"/>
      <c r="O108" s="277"/>
      <c r="P108" s="346"/>
      <c r="Q108" s="277"/>
      <c r="R108" s="346"/>
      <c r="S108" s="277"/>
      <c r="T108" s="346"/>
      <c r="U108" s="277"/>
      <c r="V108" s="346"/>
      <c r="W108" s="277"/>
      <c r="X108" s="346"/>
      <c r="Y108" s="18"/>
      <c r="Z108" s="346"/>
      <c r="AA108" s="18"/>
      <c r="AB108" s="346"/>
      <c r="AC108" s="58"/>
      <c r="AD108" s="58"/>
      <c r="AE108" s="58"/>
    </row>
    <row r="109" ht="15.75" hidden="1" customHeight="1">
      <c r="A109" s="58"/>
      <c r="B109" s="58"/>
      <c r="C109" s="58"/>
      <c r="D109" s="58"/>
      <c r="E109" s="58"/>
      <c r="F109" s="58"/>
      <c r="G109" s="58"/>
      <c r="H109" s="89"/>
      <c r="I109" s="277"/>
      <c r="J109" s="90"/>
      <c r="K109" s="276"/>
      <c r="L109" s="346"/>
      <c r="M109" s="277"/>
      <c r="N109" s="346"/>
      <c r="O109" s="277"/>
      <c r="P109" s="346"/>
      <c r="Q109" s="277"/>
      <c r="R109" s="346"/>
      <c r="S109" s="277"/>
      <c r="T109" s="346"/>
      <c r="U109" s="277"/>
      <c r="V109" s="346"/>
      <c r="W109" s="277"/>
      <c r="X109" s="346"/>
      <c r="Y109" s="18"/>
      <c r="Z109" s="346"/>
      <c r="AA109" s="18"/>
      <c r="AB109" s="346"/>
      <c r="AC109" s="58"/>
      <c r="AD109" s="58"/>
      <c r="AE109" s="58"/>
    </row>
    <row r="110" ht="15.75" hidden="1" customHeight="1">
      <c r="A110" s="58"/>
      <c r="B110" s="58"/>
      <c r="C110" s="58"/>
      <c r="D110" s="58"/>
      <c r="E110" s="58"/>
      <c r="F110" s="58"/>
      <c r="G110" s="58"/>
      <c r="H110" s="89"/>
      <c r="I110" s="277"/>
      <c r="J110" s="90"/>
      <c r="K110" s="276"/>
      <c r="L110" s="346"/>
      <c r="M110" s="277"/>
      <c r="N110" s="346"/>
      <c r="O110" s="277"/>
      <c r="P110" s="346"/>
      <c r="Q110" s="277"/>
      <c r="R110" s="346"/>
      <c r="S110" s="277"/>
      <c r="T110" s="346"/>
      <c r="U110" s="277"/>
      <c r="V110" s="346"/>
      <c r="W110" s="277"/>
      <c r="X110" s="346"/>
      <c r="Y110" s="18"/>
      <c r="Z110" s="346"/>
      <c r="AA110" s="18"/>
      <c r="AB110" s="346"/>
      <c r="AC110" s="58"/>
      <c r="AD110" s="58"/>
      <c r="AE110" s="58"/>
    </row>
    <row r="111" ht="15.75" hidden="1" customHeight="1">
      <c r="A111" s="58"/>
      <c r="B111" s="58"/>
      <c r="C111" s="58"/>
      <c r="D111" s="58"/>
      <c r="E111" s="58"/>
      <c r="F111" s="58"/>
      <c r="G111" s="58"/>
      <c r="H111" s="89"/>
      <c r="I111" s="277"/>
      <c r="J111" s="90"/>
      <c r="K111" s="277"/>
      <c r="L111" s="346"/>
      <c r="M111" s="277"/>
      <c r="N111" s="346"/>
      <c r="O111" s="277"/>
      <c r="P111" s="346"/>
      <c r="Q111" s="277"/>
      <c r="R111" s="346"/>
      <c r="S111" s="277"/>
      <c r="T111" s="346"/>
      <c r="U111" s="288"/>
      <c r="V111" s="347"/>
      <c r="W111" s="277"/>
      <c r="X111" s="346"/>
      <c r="Y111" s="18"/>
      <c r="Z111" s="346"/>
      <c r="AA111" s="18"/>
      <c r="AB111" s="346"/>
      <c r="AC111" s="58"/>
      <c r="AD111" s="58"/>
      <c r="AE111" s="58"/>
    </row>
    <row r="112" ht="15.75" hidden="1" customHeight="1">
      <c r="A112" s="58"/>
      <c r="B112" s="58"/>
      <c r="C112" s="58"/>
      <c r="D112" s="58"/>
      <c r="E112" s="58"/>
      <c r="F112" s="58"/>
      <c r="G112" s="58"/>
      <c r="H112" s="89"/>
      <c r="I112" s="277"/>
      <c r="J112" s="90"/>
      <c r="K112" s="277"/>
      <c r="L112" s="346"/>
      <c r="M112" s="277"/>
      <c r="N112" s="346"/>
      <c r="O112" s="277"/>
      <c r="P112" s="346"/>
      <c r="Q112" s="277"/>
      <c r="R112" s="346"/>
      <c r="S112" s="277"/>
      <c r="T112" s="346"/>
      <c r="U112" s="277"/>
      <c r="V112" s="346"/>
      <c r="W112" s="277"/>
      <c r="X112" s="346"/>
      <c r="Y112" s="18"/>
      <c r="Z112" s="346"/>
      <c r="AA112" s="18"/>
      <c r="AB112" s="346"/>
      <c r="AC112" s="58"/>
      <c r="AD112" s="58"/>
      <c r="AE112" s="58"/>
    </row>
    <row r="113" ht="15.75" hidden="1" customHeight="1">
      <c r="J113" s="58"/>
      <c r="L113" s="59"/>
      <c r="N113" s="59"/>
      <c r="P113" s="59"/>
      <c r="R113" s="59"/>
      <c r="T113" s="59"/>
      <c r="V113" s="59"/>
      <c r="X113" s="59"/>
      <c r="Z113" s="59"/>
      <c r="AB113" s="59"/>
      <c r="AC113" s="58"/>
      <c r="AD113" s="58"/>
      <c r="AE113" s="58"/>
    </row>
    <row r="114" ht="15.75" hidden="1" customHeight="1">
      <c r="J114" s="58"/>
      <c r="L114" s="59"/>
      <c r="N114" s="59"/>
      <c r="P114" s="59"/>
      <c r="R114" s="59"/>
      <c r="T114" s="59"/>
      <c r="V114" s="59"/>
      <c r="X114" s="59"/>
      <c r="Z114" s="59"/>
      <c r="AB114" s="59"/>
      <c r="AC114" s="58"/>
      <c r="AD114" s="58"/>
      <c r="AE114" s="58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1:AB3"/>
    <mergeCell ref="H9:AA9"/>
    <mergeCell ref="H10:H11"/>
    <mergeCell ref="E16:F16"/>
    <mergeCell ref="E17:F19"/>
    <mergeCell ref="AF20:AH21"/>
    <mergeCell ref="E21:F23"/>
    <mergeCell ref="H57:H58"/>
    <mergeCell ref="H69:AB71"/>
    <mergeCell ref="H77:U77"/>
    <mergeCell ref="H78:H79"/>
    <mergeCell ref="H92:AB94"/>
    <mergeCell ref="H100:U100"/>
    <mergeCell ref="H101:H102"/>
    <mergeCell ref="I22:AB22"/>
    <mergeCell ref="I25:AB25"/>
    <mergeCell ref="I26:AB28"/>
    <mergeCell ref="H34:AB34"/>
    <mergeCell ref="H35:H36"/>
    <mergeCell ref="H48:AB50"/>
    <mergeCell ref="H56:AB56"/>
  </mergeCells>
  <conditionalFormatting sqref="B5:D21 B30:B47 B52:B68 B73:B91 B95:C99 B103:C103 C29:C47 C51:C68 C72:C91 E5:E23 E30:E39 E52:E61 E73:E82 F16:F23">
    <cfRule type="cellIs" dxfId="12" priority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3.13"/>
    <col customWidth="1" min="3" max="3" width="5.0"/>
    <col customWidth="1" min="4" max="4" width="7.25"/>
    <col customWidth="1" min="5" max="5" width="8.13"/>
    <col customWidth="1" min="6" max="7" width="12.63"/>
    <col customWidth="1" min="8" max="8" width="10.88"/>
    <col customWidth="1" min="9" max="9" width="6.88"/>
    <col customWidth="1" min="10" max="10" width="7.5"/>
  </cols>
  <sheetData>
    <row r="1" ht="15.75" customHeight="1">
      <c r="A1" s="23" t="s">
        <v>295</v>
      </c>
      <c r="B1" s="23" t="s">
        <v>296</v>
      </c>
      <c r="C1" s="23" t="s">
        <v>43</v>
      </c>
      <c r="D1" s="23" t="s">
        <v>121</v>
      </c>
      <c r="E1" s="23" t="s">
        <v>226</v>
      </c>
      <c r="F1" s="23" t="s">
        <v>157</v>
      </c>
      <c r="G1" s="23" t="s">
        <v>113</v>
      </c>
      <c r="H1" s="23" t="s">
        <v>100</v>
      </c>
      <c r="I1" s="23" t="s">
        <v>59</v>
      </c>
      <c r="J1" s="23" t="s">
        <v>141</v>
      </c>
    </row>
    <row r="2" ht="15.75" customHeight="1">
      <c r="A2" s="388">
        <v>44611.79252267361</v>
      </c>
      <c r="B2" s="23" t="s">
        <v>155</v>
      </c>
      <c r="F2" s="23">
        <v>60.0</v>
      </c>
    </row>
    <row r="3" ht="15.75" customHeight="1">
      <c r="A3" s="388">
        <v>44611.79270111111</v>
      </c>
      <c r="B3" s="23" t="s">
        <v>297</v>
      </c>
      <c r="F3" s="23">
        <v>80.0</v>
      </c>
    </row>
    <row r="4" ht="15.75" customHeight="1">
      <c r="A4" s="388">
        <v>44611.79270155093</v>
      </c>
      <c r="B4" s="23" t="s">
        <v>169</v>
      </c>
      <c r="D4" s="23">
        <v>155.0</v>
      </c>
    </row>
    <row r="5" ht="15.75" customHeight="1">
      <c r="A5" s="388">
        <v>44611.792701886574</v>
      </c>
      <c r="B5" s="23" t="s">
        <v>57</v>
      </c>
      <c r="G5" s="23">
        <v>80.0</v>
      </c>
    </row>
    <row r="6" ht="15.75" customHeight="1">
      <c r="A6" s="388">
        <v>44611.79409971065</v>
      </c>
      <c r="B6" s="23" t="s">
        <v>129</v>
      </c>
      <c r="C6" s="23">
        <v>300.0</v>
      </c>
    </row>
    <row r="7" ht="15.75" customHeight="1">
      <c r="A7" s="388">
        <v>44611.79423313658</v>
      </c>
      <c r="B7" s="23" t="s">
        <v>169</v>
      </c>
      <c r="F7" s="23">
        <v>81.0</v>
      </c>
    </row>
    <row r="8" ht="15.75" customHeight="1">
      <c r="A8" s="388">
        <v>44611.7949362963</v>
      </c>
      <c r="B8" s="23" t="s">
        <v>297</v>
      </c>
      <c r="F8" s="23">
        <v>82.0</v>
      </c>
    </row>
    <row r="9" ht="15.75" customHeight="1">
      <c r="A9" s="388">
        <v>44611.795424502314</v>
      </c>
      <c r="B9" s="23" t="s">
        <v>169</v>
      </c>
      <c r="F9" s="23">
        <v>90.0</v>
      </c>
    </row>
    <row r="10" ht="15.75" customHeight="1">
      <c r="A10" s="388">
        <v>44611.7972397338</v>
      </c>
      <c r="B10" s="23" t="s">
        <v>297</v>
      </c>
      <c r="F10" s="23">
        <v>91.0</v>
      </c>
    </row>
    <row r="11" ht="15.75" customHeight="1">
      <c r="A11" s="388">
        <v>44611.798869942126</v>
      </c>
      <c r="B11" s="23" t="s">
        <v>193</v>
      </c>
      <c r="C11" s="23">
        <v>320.0</v>
      </c>
    </row>
    <row r="12" ht="15.75" customHeight="1">
      <c r="A12" s="388">
        <v>44611.79922137731</v>
      </c>
      <c r="B12" s="23" t="s">
        <v>129</v>
      </c>
      <c r="C12" s="23">
        <v>330.0</v>
      </c>
    </row>
    <row r="13" ht="15.75" customHeight="1">
      <c r="A13" s="388">
        <v>44611.799769930556</v>
      </c>
      <c r="B13" s="23" t="s">
        <v>155</v>
      </c>
      <c r="D13" s="23">
        <v>157.0</v>
      </c>
    </row>
    <row r="14" ht="15.75" customHeight="1">
      <c r="A14" s="388">
        <v>44611.79992770833</v>
      </c>
      <c r="B14" s="23" t="s">
        <v>169</v>
      </c>
      <c r="D14" s="23">
        <v>160.0</v>
      </c>
    </row>
    <row r="15" ht="15.75" customHeight="1">
      <c r="A15" s="388">
        <v>44611.80184767361</v>
      </c>
      <c r="B15" s="23" t="s">
        <v>298</v>
      </c>
    </row>
    <row r="16" ht="15.75" customHeight="1">
      <c r="A16" s="388">
        <v>44611.80426851852</v>
      </c>
      <c r="B16" s="23" t="s">
        <v>169</v>
      </c>
      <c r="F16" s="23">
        <v>92.0</v>
      </c>
    </row>
    <row r="17" ht="15.75" customHeight="1">
      <c r="A17" s="388">
        <v>44611.80429148149</v>
      </c>
      <c r="B17" s="23" t="s">
        <v>155</v>
      </c>
      <c r="D17" s="23">
        <v>162.0</v>
      </c>
    </row>
    <row r="18" ht="15.75" customHeight="1">
      <c r="A18" s="388">
        <v>44611.80529175926</v>
      </c>
      <c r="B18" s="23" t="s">
        <v>169</v>
      </c>
      <c r="D18" s="23">
        <v>163.0</v>
      </c>
    </row>
    <row r="19" ht="15.75" customHeight="1">
      <c r="A19" s="388">
        <v>44611.80928502315</v>
      </c>
      <c r="B19" s="23" t="s">
        <v>37</v>
      </c>
      <c r="C19" s="23">
        <v>340.0</v>
      </c>
    </row>
    <row r="20" ht="15.75" customHeight="1">
      <c r="A20" s="388">
        <v>44611.811825069446</v>
      </c>
      <c r="B20" s="23" t="s">
        <v>37</v>
      </c>
      <c r="D20" s="23">
        <v>164.0</v>
      </c>
    </row>
    <row r="21" ht="15.75" customHeight="1">
      <c r="A21" s="388">
        <v>44611.81200476852</v>
      </c>
      <c r="B21" s="23" t="s">
        <v>129</v>
      </c>
      <c r="C21" s="23">
        <v>350.0</v>
      </c>
    </row>
    <row r="22" ht="15.75" customHeight="1">
      <c r="A22" s="388">
        <v>44611.81235245371</v>
      </c>
      <c r="B22" s="23" t="s">
        <v>40</v>
      </c>
      <c r="D22" s="23">
        <v>165.0</v>
      </c>
    </row>
    <row r="23" ht="15.75" customHeight="1">
      <c r="A23" s="388">
        <v>44611.812368495375</v>
      </c>
      <c r="B23" s="23" t="s">
        <v>155</v>
      </c>
      <c r="D23" s="23">
        <v>211.0</v>
      </c>
      <c r="E23" s="23">
        <v>61.0</v>
      </c>
    </row>
    <row r="24" ht="15.75" customHeight="1">
      <c r="A24" s="388">
        <v>44611.81239293981</v>
      </c>
      <c r="B24" s="23" t="s">
        <v>259</v>
      </c>
      <c r="D24" s="23">
        <v>180.0</v>
      </c>
    </row>
    <row r="25" ht="15.75" customHeight="1">
      <c r="A25" s="388">
        <v>44611.81245224537</v>
      </c>
      <c r="B25" s="23" t="s">
        <v>169</v>
      </c>
      <c r="D25" s="23">
        <v>213.0</v>
      </c>
      <c r="H25" s="23">
        <v>60.0</v>
      </c>
    </row>
    <row r="26" ht="15.75" customHeight="1">
      <c r="A26" s="388">
        <v>44611.812458761575</v>
      </c>
      <c r="B26" s="23" t="s">
        <v>297</v>
      </c>
      <c r="F26" s="23">
        <v>95.0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3.25"/>
    <col customWidth="1" min="3" max="3" width="12.13"/>
    <col customWidth="1" min="4" max="4" width="8.13"/>
    <col customWidth="1" min="5" max="5" width="11.13"/>
    <col customWidth="1" min="6" max="6" width="10.25"/>
    <col customWidth="1" min="7" max="7" width="7.25"/>
    <col customWidth="1" min="8" max="8" width="9.0"/>
    <col customWidth="1" min="9" max="9" width="6.75"/>
    <col customWidth="1" min="10" max="10" width="9.75"/>
  </cols>
  <sheetData>
    <row r="1" ht="15.75" customHeight="1">
      <c r="A1" s="23" t="s">
        <v>295</v>
      </c>
      <c r="B1" s="23" t="s">
        <v>296</v>
      </c>
      <c r="C1" s="23" t="s">
        <v>115</v>
      </c>
      <c r="D1" s="23" t="s">
        <v>197</v>
      </c>
      <c r="E1" s="23" t="s">
        <v>114</v>
      </c>
      <c r="F1" s="23" t="s">
        <v>79</v>
      </c>
      <c r="G1" s="23" t="s">
        <v>111</v>
      </c>
      <c r="H1" s="23" t="s">
        <v>126</v>
      </c>
      <c r="I1" s="23" t="s">
        <v>29</v>
      </c>
      <c r="J1" s="23" t="s">
        <v>91</v>
      </c>
    </row>
    <row r="2" ht="15.75" customHeight="1">
      <c r="A2" s="388">
        <v>44611.81713831019</v>
      </c>
      <c r="B2" s="23" t="s">
        <v>259</v>
      </c>
      <c r="C2" s="23">
        <v>300.0</v>
      </c>
    </row>
    <row r="3" ht="15.75" customHeight="1">
      <c r="A3" s="388">
        <v>44611.81800092592</v>
      </c>
      <c r="B3" s="23" t="s">
        <v>298</v>
      </c>
      <c r="E3" s="23">
        <v>60.0</v>
      </c>
      <c r="F3" s="23">
        <v>60.0</v>
      </c>
    </row>
    <row r="4" ht="15.75" customHeight="1">
      <c r="A4" s="388">
        <v>44611.81805785879</v>
      </c>
      <c r="B4" s="23" t="s">
        <v>129</v>
      </c>
      <c r="F4" s="23">
        <v>70.0</v>
      </c>
    </row>
    <row r="5" ht="15.75" customHeight="1">
      <c r="A5" s="388">
        <v>44611.81915850694</v>
      </c>
      <c r="B5" s="23" t="s">
        <v>57</v>
      </c>
      <c r="F5" s="23">
        <v>100.0</v>
      </c>
    </row>
    <row r="6" ht="15.75" customHeight="1">
      <c r="A6" s="388">
        <v>44611.81936462963</v>
      </c>
      <c r="B6" s="23" t="s">
        <v>155</v>
      </c>
      <c r="C6" s="23">
        <v>320.0</v>
      </c>
    </row>
    <row r="7" ht="15.75" customHeight="1">
      <c r="A7" s="388">
        <v>44611.819639699075</v>
      </c>
      <c r="B7" s="23" t="s">
        <v>129</v>
      </c>
      <c r="E7" s="23">
        <v>70.0</v>
      </c>
    </row>
    <row r="8" ht="15.75" customHeight="1">
      <c r="A8" s="388">
        <v>44611.8199060301</v>
      </c>
      <c r="B8" s="23" t="s">
        <v>259</v>
      </c>
      <c r="F8" s="23">
        <v>200.0</v>
      </c>
    </row>
    <row r="9" ht="15.75" customHeight="1">
      <c r="A9" s="388">
        <v>44611.820357881945</v>
      </c>
      <c r="B9" s="23" t="s">
        <v>37</v>
      </c>
      <c r="C9" s="23">
        <v>325.0</v>
      </c>
    </row>
    <row r="10" ht="15.75" customHeight="1">
      <c r="A10" s="388">
        <v>44611.82151516204</v>
      </c>
      <c r="B10" s="23" t="s">
        <v>155</v>
      </c>
      <c r="E10" s="23">
        <v>71.0</v>
      </c>
    </row>
    <row r="11" ht="15.75" customHeight="1">
      <c r="A11" s="388">
        <v>44611.823147627314</v>
      </c>
      <c r="B11" s="23" t="s">
        <v>129</v>
      </c>
      <c r="D11" s="23">
        <v>60.0</v>
      </c>
    </row>
    <row r="12" ht="15.75" customHeight="1">
      <c r="A12" s="388">
        <v>44611.8231683912</v>
      </c>
      <c r="B12" s="23" t="s">
        <v>57</v>
      </c>
      <c r="F12" s="23">
        <v>250.0</v>
      </c>
    </row>
    <row r="13" ht="15.75" customHeight="1">
      <c r="A13" s="388">
        <v>44611.82350579861</v>
      </c>
      <c r="B13" s="23" t="s">
        <v>155</v>
      </c>
      <c r="C13" s="23">
        <v>329.0</v>
      </c>
    </row>
    <row r="14" ht="15.75" customHeight="1">
      <c r="A14" s="388">
        <v>44611.83103475695</v>
      </c>
      <c r="B14" s="23" t="s">
        <v>259</v>
      </c>
      <c r="F14" s="23">
        <v>270.0</v>
      </c>
    </row>
    <row r="15" ht="15.75" customHeight="1">
      <c r="A15" s="388">
        <v>44611.83218146991</v>
      </c>
      <c r="B15" s="23" t="s">
        <v>57</v>
      </c>
      <c r="F15" s="23">
        <v>330.0</v>
      </c>
    </row>
    <row r="16" ht="15.75" customHeight="1">
      <c r="A16" s="388">
        <v>44611.83524097222</v>
      </c>
      <c r="B16" s="23" t="s">
        <v>298</v>
      </c>
      <c r="C16" s="23">
        <v>330.0</v>
      </c>
    </row>
    <row r="17" ht="15.75" customHeight="1">
      <c r="A17" s="388">
        <v>44611.8360912037</v>
      </c>
      <c r="B17" s="23" t="s">
        <v>37</v>
      </c>
      <c r="C17" s="23">
        <v>340.0</v>
      </c>
    </row>
    <row r="18" ht="15.75" customHeight="1">
      <c r="A18" s="388">
        <v>44611.83643408565</v>
      </c>
      <c r="B18" s="23" t="s">
        <v>298</v>
      </c>
      <c r="C18" s="23">
        <v>360.0</v>
      </c>
    </row>
    <row r="19" ht="15.75" customHeight="1">
      <c r="A19" s="388">
        <v>44611.83676921296</v>
      </c>
      <c r="B19" s="23" t="s">
        <v>37</v>
      </c>
      <c r="E19" s="23">
        <v>75.0</v>
      </c>
    </row>
    <row r="20" ht="15.75" customHeight="1">
      <c r="A20" s="388">
        <v>44611.83731643519</v>
      </c>
      <c r="B20" s="23" t="s">
        <v>155</v>
      </c>
      <c r="C20" s="23">
        <v>362.0</v>
      </c>
    </row>
    <row r="21" ht="15.75" customHeight="1">
      <c r="A21" s="388">
        <v>44611.83742228009</v>
      </c>
      <c r="B21" s="23" t="s">
        <v>169</v>
      </c>
      <c r="E21" s="23">
        <v>129.0</v>
      </c>
    </row>
    <row r="22" ht="15.75" customHeight="1">
      <c r="A22" s="388">
        <v>44611.83749731482</v>
      </c>
      <c r="B22" s="23" t="s">
        <v>259</v>
      </c>
      <c r="E22" s="23">
        <v>140.0</v>
      </c>
    </row>
    <row r="23" ht="15.75" customHeight="1">
      <c r="A23" s="388">
        <v>44611.83751013889</v>
      </c>
      <c r="B23" s="23" t="s">
        <v>298</v>
      </c>
      <c r="C23" s="23">
        <v>365.0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3.13"/>
    <col customWidth="1" min="3" max="3" width="9.75"/>
    <col customWidth="1" min="4" max="4" width="13.63"/>
    <col customWidth="1" min="5" max="5" width="5.75"/>
    <col customWidth="1" min="6" max="6" width="12.5"/>
    <col customWidth="1" min="7" max="7" width="9.0"/>
    <col customWidth="1" min="8" max="8" width="11.38"/>
    <col customWidth="1" min="9" max="9" width="9.38"/>
    <col customWidth="1" min="10" max="10" width="7.25"/>
  </cols>
  <sheetData>
    <row r="1" ht="15.75" customHeight="1">
      <c r="A1" s="23" t="s">
        <v>295</v>
      </c>
      <c r="B1" s="23" t="s">
        <v>296</v>
      </c>
      <c r="C1" s="23" t="s">
        <v>217</v>
      </c>
      <c r="D1" s="23" t="s">
        <v>38</v>
      </c>
      <c r="E1" s="23" t="s">
        <v>134</v>
      </c>
      <c r="F1" s="23" t="s">
        <v>34</v>
      </c>
      <c r="G1" s="23" t="s">
        <v>108</v>
      </c>
      <c r="H1" s="23" t="s">
        <v>109</v>
      </c>
      <c r="I1" s="23" t="s">
        <v>122</v>
      </c>
      <c r="J1" s="23" t="s">
        <v>96</v>
      </c>
    </row>
    <row r="2" ht="15.75" customHeight="1">
      <c r="A2" s="388">
        <v>44611.84203565972</v>
      </c>
      <c r="B2" s="23" t="s">
        <v>297</v>
      </c>
      <c r="C2" s="23">
        <v>325.0</v>
      </c>
    </row>
    <row r="3" ht="15.75" customHeight="1">
      <c r="A3" s="388">
        <v>44611.84308554398</v>
      </c>
      <c r="B3" s="23" t="s">
        <v>40</v>
      </c>
      <c r="J3" s="23">
        <v>30.0</v>
      </c>
    </row>
    <row r="4" ht="15.75" customHeight="1">
      <c r="A4" s="388">
        <v>44611.84523678241</v>
      </c>
      <c r="B4" s="23" t="s">
        <v>37</v>
      </c>
      <c r="C4" s="23">
        <v>350.0</v>
      </c>
    </row>
    <row r="5" ht="15.75" customHeight="1">
      <c r="A5" s="388">
        <v>44611.846697002315</v>
      </c>
      <c r="B5" s="23" t="s">
        <v>155</v>
      </c>
      <c r="D5" s="23">
        <v>150.0</v>
      </c>
    </row>
    <row r="6" ht="15.75" customHeight="1">
      <c r="A6" s="388">
        <v>44611.84733336806</v>
      </c>
      <c r="B6" s="23" t="s">
        <v>129</v>
      </c>
      <c r="J6" s="23">
        <v>40.0</v>
      </c>
    </row>
    <row r="7" ht="15.75" customHeight="1">
      <c r="A7" s="388">
        <v>44611.85555233796</v>
      </c>
      <c r="B7" s="23" t="s">
        <v>297</v>
      </c>
      <c r="C7" s="23">
        <v>385.0</v>
      </c>
    </row>
    <row r="8" ht="15.75" customHeight="1">
      <c r="A8" s="388">
        <v>44611.86029646991</v>
      </c>
      <c r="B8" s="23" t="s">
        <v>37</v>
      </c>
      <c r="C8" s="23">
        <v>400.0</v>
      </c>
    </row>
    <row r="9" ht="15.75" customHeight="1">
      <c r="A9" s="388">
        <v>44611.86047864583</v>
      </c>
      <c r="B9" s="23" t="s">
        <v>297</v>
      </c>
      <c r="C9" s="23">
        <v>415.0</v>
      </c>
    </row>
    <row r="10" ht="15.75" customHeight="1">
      <c r="A10" s="388">
        <v>44611.86131731482</v>
      </c>
      <c r="B10" s="23" t="s">
        <v>37</v>
      </c>
      <c r="C10" s="23">
        <v>425.0</v>
      </c>
    </row>
    <row r="11" ht="15.75" customHeight="1">
      <c r="A11" s="388">
        <v>44611.86213072916</v>
      </c>
      <c r="B11" s="23" t="s">
        <v>40</v>
      </c>
      <c r="C11" s="23">
        <v>450.0</v>
      </c>
      <c r="E11" s="23">
        <v>60.0</v>
      </c>
    </row>
    <row r="12" ht="15.75" customHeight="1">
      <c r="A12" s="388">
        <v>44611.86233542824</v>
      </c>
      <c r="B12" s="23" t="s">
        <v>37</v>
      </c>
      <c r="C12" s="23">
        <v>430.0</v>
      </c>
    </row>
    <row r="13" ht="15.75" customHeight="1">
      <c r="A13" s="388">
        <v>44611.86237173611</v>
      </c>
      <c r="B13" s="23" t="s">
        <v>298</v>
      </c>
      <c r="J13" s="23">
        <v>55.0</v>
      </c>
    </row>
    <row r="14" ht="15.75" customHeight="1">
      <c r="A14" s="388">
        <v>44611.86245127315</v>
      </c>
      <c r="B14" s="23" t="s">
        <v>155</v>
      </c>
      <c r="D14" s="23">
        <v>153.0</v>
      </c>
    </row>
    <row r="15" ht="15.75" customHeight="1">
      <c r="A15" s="388">
        <v>44611.862483958335</v>
      </c>
      <c r="B15" s="23" t="s">
        <v>259</v>
      </c>
      <c r="D15" s="23">
        <v>182.0</v>
      </c>
      <c r="J15" s="23">
        <v>80.0</v>
      </c>
    </row>
    <row r="16" ht="15.75" customHeight="1">
      <c r="A16" s="388">
        <v>44611.86249972222</v>
      </c>
      <c r="B16" s="23" t="s">
        <v>297</v>
      </c>
      <c r="D16" s="23">
        <v>151.0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4.13"/>
    <col customWidth="1" min="3" max="3" width="10.5"/>
    <col customWidth="1" min="4" max="4" width="9.38"/>
    <col customWidth="1" min="5" max="5" width="12.25"/>
    <col customWidth="1" min="6" max="6" width="13.25"/>
    <col customWidth="1" min="7" max="7" width="10.13"/>
    <col customWidth="1" min="8" max="8" width="11.5"/>
    <col customWidth="1" min="9" max="9" width="4.13"/>
    <col customWidth="1" min="10" max="10" width="12.25"/>
  </cols>
  <sheetData>
    <row r="1" ht="15.75" customHeight="1">
      <c r="A1" s="23" t="s">
        <v>295</v>
      </c>
      <c r="B1" s="23" t="s">
        <v>296</v>
      </c>
      <c r="C1" s="23" t="s">
        <v>31</v>
      </c>
      <c r="D1" s="23" t="s">
        <v>139</v>
      </c>
      <c r="E1" s="23" t="s">
        <v>69</v>
      </c>
      <c r="F1" s="23" t="s">
        <v>27</v>
      </c>
      <c r="G1" s="23" t="s">
        <v>47</v>
      </c>
      <c r="H1" s="23" t="s">
        <v>165</v>
      </c>
      <c r="I1" s="23" t="s">
        <v>172</v>
      </c>
      <c r="J1" s="23" t="s">
        <v>125</v>
      </c>
    </row>
    <row r="2" ht="15.75" customHeight="1">
      <c r="A2" s="388">
        <v>44611.86590047454</v>
      </c>
      <c r="B2" s="23" t="s">
        <v>40</v>
      </c>
      <c r="J2" s="23">
        <v>30.0</v>
      </c>
    </row>
    <row r="3" ht="15.75" customHeight="1">
      <c r="A3" s="388">
        <v>44611.867015613425</v>
      </c>
      <c r="B3" s="23" t="s">
        <v>129</v>
      </c>
      <c r="J3" s="23">
        <v>40.0</v>
      </c>
    </row>
    <row r="4" ht="15.75" customHeight="1">
      <c r="A4" s="388">
        <v>44611.86731494213</v>
      </c>
      <c r="B4" s="23" t="s">
        <v>298</v>
      </c>
      <c r="J4" s="23">
        <v>55.0</v>
      </c>
    </row>
    <row r="5" ht="15.75" customHeight="1">
      <c r="A5" s="388">
        <v>44611.86836232639</v>
      </c>
      <c r="B5" s="23" t="s">
        <v>155</v>
      </c>
      <c r="C5" s="23">
        <v>269.0</v>
      </c>
    </row>
    <row r="6" ht="15.75" customHeight="1">
      <c r="A6" s="388">
        <v>44611.86976657408</v>
      </c>
      <c r="B6" s="23" t="s">
        <v>193</v>
      </c>
      <c r="C6" s="23">
        <v>300.0</v>
      </c>
    </row>
    <row r="7" ht="15.75" customHeight="1">
      <c r="A7" s="388">
        <v>44611.87041885417</v>
      </c>
      <c r="B7" s="23" t="s">
        <v>155</v>
      </c>
      <c r="F7" s="23">
        <v>60.0</v>
      </c>
    </row>
    <row r="8" ht="15.75" customHeight="1">
      <c r="A8" s="388">
        <v>44611.87214990741</v>
      </c>
      <c r="B8" s="23" t="s">
        <v>193</v>
      </c>
      <c r="E8" s="23">
        <v>90.0</v>
      </c>
    </row>
    <row r="9" ht="15.75" customHeight="1">
      <c r="A9" s="388">
        <v>44611.87291888889</v>
      </c>
      <c r="B9" s="23" t="s">
        <v>37</v>
      </c>
      <c r="C9" s="23">
        <v>325.0</v>
      </c>
    </row>
    <row r="10" ht="15.75" customHeight="1">
      <c r="A10" s="388">
        <v>44611.87383680556</v>
      </c>
      <c r="B10" s="23" t="s">
        <v>193</v>
      </c>
      <c r="C10" s="23">
        <v>330.0</v>
      </c>
    </row>
    <row r="11" ht="15.75" customHeight="1">
      <c r="A11" s="388">
        <v>44611.875384837964</v>
      </c>
      <c r="B11" s="23" t="s">
        <v>37</v>
      </c>
      <c r="C11" s="23">
        <v>350.0</v>
      </c>
    </row>
    <row r="12" ht="15.75" customHeight="1">
      <c r="A12" s="388">
        <v>44611.87763854167</v>
      </c>
      <c r="B12" s="23" t="s">
        <v>37</v>
      </c>
      <c r="C12" s="23">
        <v>510.0</v>
      </c>
    </row>
    <row r="13" ht="15.75" customHeight="1">
      <c r="A13" s="388">
        <v>44611.87852916667</v>
      </c>
      <c r="B13" s="23" t="s">
        <v>299</v>
      </c>
      <c r="D13" s="23">
        <v>60.0</v>
      </c>
    </row>
    <row r="14" ht="15.75" customHeight="1">
      <c r="A14" s="388">
        <v>44611.87907487269</v>
      </c>
      <c r="B14" s="23" t="s">
        <v>193</v>
      </c>
      <c r="F14" s="23">
        <v>70.0</v>
      </c>
    </row>
    <row r="15" ht="15.75" customHeight="1">
      <c r="A15" s="388">
        <v>44611.88077561343</v>
      </c>
      <c r="B15" s="23" t="s">
        <v>169</v>
      </c>
      <c r="F15" s="23">
        <v>129.0</v>
      </c>
    </row>
    <row r="16" ht="15.75" customHeight="1">
      <c r="A16" s="388">
        <v>44611.8820206713</v>
      </c>
      <c r="B16" s="23" t="s">
        <v>155</v>
      </c>
      <c r="F16" s="23">
        <v>130.0</v>
      </c>
    </row>
    <row r="17" ht="15.75" customHeight="1">
      <c r="A17" s="388">
        <v>44611.88296065972</v>
      </c>
      <c r="B17" s="23" t="s">
        <v>193</v>
      </c>
      <c r="E17" s="23">
        <v>140.0</v>
      </c>
    </row>
    <row r="18" ht="15.75" customHeight="1">
      <c r="A18" s="388">
        <v>44611.88323666667</v>
      </c>
      <c r="B18" s="23" t="s">
        <v>297</v>
      </c>
      <c r="E18" s="23">
        <v>200.0</v>
      </c>
    </row>
    <row r="19" ht="15.75" customHeight="1">
      <c r="A19" s="388"/>
    </row>
    <row r="20" ht="15.75" customHeight="1">
      <c r="A20" s="388">
        <v>44611.884640069446</v>
      </c>
      <c r="B20" s="23" t="s">
        <v>193</v>
      </c>
      <c r="E20" s="23">
        <v>205.0</v>
      </c>
    </row>
    <row r="21" ht="15.75" customHeight="1">
      <c r="A21" s="388">
        <v>44611.88553298611</v>
      </c>
      <c r="B21" s="23" t="s">
        <v>57</v>
      </c>
      <c r="I21" s="23">
        <v>130.0</v>
      </c>
    </row>
    <row r="22" ht="15.75" customHeight="1">
      <c r="A22" s="388">
        <v>44611.88592184028</v>
      </c>
      <c r="B22" s="23" t="s">
        <v>297</v>
      </c>
      <c r="E22" s="23">
        <v>250.0</v>
      </c>
      <c r="F22" s="23">
        <v>150.0</v>
      </c>
    </row>
    <row r="23" ht="15.75" customHeight="1">
      <c r="A23" s="388">
        <v>44611.88603886574</v>
      </c>
      <c r="B23" s="23" t="s">
        <v>193</v>
      </c>
      <c r="G23" s="23">
        <v>60.0</v>
      </c>
    </row>
    <row r="24" ht="15.75" customHeight="1">
      <c r="A24" s="388">
        <v>44611.88606496528</v>
      </c>
      <c r="B24" s="23" t="s">
        <v>155</v>
      </c>
      <c r="D24" s="23">
        <v>151.0</v>
      </c>
      <c r="F24" s="23">
        <v>301.0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0.5"/>
    <col customWidth="1" min="3" max="4" width="9.13"/>
    <col customWidth="1" min="5" max="5" width="5.38"/>
    <col customWidth="1" min="6" max="6" width="4.63"/>
    <col customWidth="1" min="7" max="7" width="13.88"/>
    <col customWidth="1" min="8" max="8" width="8.63"/>
    <col customWidth="1" hidden="1" min="9" max="9" width="6.38"/>
    <col customWidth="1" min="10" max="10" width="10.13"/>
    <col customWidth="1" hidden="1" min="11" max="11" width="6.88"/>
    <col customWidth="1" min="12" max="12" width="9.5"/>
    <col customWidth="1" hidden="1" min="13" max="13" width="9.5"/>
    <col customWidth="1" min="14" max="14" width="8.63"/>
    <col customWidth="1" hidden="1" min="15" max="15" width="8.63"/>
    <col customWidth="1" min="16" max="16" width="9.0"/>
    <col customWidth="1" hidden="1" min="17" max="17" width="9.0"/>
    <col customWidth="1" min="18" max="18" width="8.63"/>
    <col customWidth="1" hidden="1" min="19" max="19" width="8.63"/>
    <col customWidth="1" min="20" max="20" width="11.5"/>
    <col customWidth="1" hidden="1" min="21" max="21" width="10.5"/>
    <col customWidth="1" min="22" max="22" width="10.38"/>
    <col customWidth="1" hidden="1" min="23" max="23" width="10.38"/>
    <col customWidth="1" min="24" max="24" width="12.13"/>
    <col customWidth="1" hidden="1" min="25" max="25" width="4.75"/>
    <col customWidth="1" min="26" max="26" width="12.63"/>
    <col customWidth="1" hidden="1" min="27" max="27" width="4.75"/>
    <col customWidth="1" min="28" max="28" width="9.63"/>
    <col customWidth="1" hidden="1" min="29" max="29" width="4.75"/>
    <col customWidth="1" min="30" max="30" width="9.0"/>
    <col customWidth="1" hidden="1" min="31" max="31" width="9.0"/>
    <col customWidth="1" min="32" max="32" width="10.5"/>
    <col customWidth="1" hidden="1" min="33" max="33" width="10.5"/>
  </cols>
  <sheetData>
    <row r="1" ht="15.75" customHeight="1">
      <c r="A1" s="225" t="s">
        <v>269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84"/>
      <c r="AG1" s="389"/>
      <c r="AH1" s="58"/>
    </row>
    <row r="2" ht="15.75" customHeight="1">
      <c r="A2" s="230"/>
      <c r="AF2" s="286"/>
      <c r="AG2" s="389"/>
      <c r="AH2" s="58"/>
    </row>
    <row r="3" ht="15.75" customHeight="1">
      <c r="A3" s="230"/>
      <c r="AF3" s="286"/>
      <c r="AG3" s="389"/>
      <c r="AH3" s="58"/>
    </row>
    <row r="4" ht="47.25" customHeight="1">
      <c r="A4" s="232" t="s">
        <v>270</v>
      </c>
      <c r="B4" s="233" t="s">
        <v>271</v>
      </c>
      <c r="C4" s="235" t="s">
        <v>300</v>
      </c>
      <c r="D4" s="235" t="s">
        <v>301</v>
      </c>
      <c r="E4" s="235" t="s">
        <v>274</v>
      </c>
      <c r="F4" s="58"/>
      <c r="G4" s="236" t="s">
        <v>275</v>
      </c>
      <c r="H4" s="179" t="s">
        <v>43</v>
      </c>
      <c r="I4" s="237" t="s">
        <v>302</v>
      </c>
      <c r="J4" s="179" t="s">
        <v>46</v>
      </c>
      <c r="K4" s="237" t="s">
        <v>303</v>
      </c>
      <c r="L4" s="179" t="s">
        <v>73</v>
      </c>
      <c r="M4" s="237" t="s">
        <v>304</v>
      </c>
      <c r="N4" s="179" t="s">
        <v>84</v>
      </c>
      <c r="O4" s="237" t="s">
        <v>305</v>
      </c>
      <c r="P4" s="179" t="s">
        <v>144</v>
      </c>
      <c r="Q4" s="237" t="s">
        <v>305</v>
      </c>
      <c r="R4" s="179" t="s">
        <v>169</v>
      </c>
      <c r="S4" s="237" t="s">
        <v>305</v>
      </c>
      <c r="T4" s="179" t="s">
        <v>31</v>
      </c>
      <c r="U4" s="237" t="s">
        <v>305</v>
      </c>
      <c r="V4" s="179" t="s">
        <v>61</v>
      </c>
      <c r="W4" s="237" t="s">
        <v>305</v>
      </c>
      <c r="X4" s="179" t="s">
        <v>115</v>
      </c>
      <c r="Y4" s="237" t="s">
        <v>305</v>
      </c>
      <c r="Z4" s="179" t="s">
        <v>136</v>
      </c>
      <c r="AA4" s="237" t="s">
        <v>305</v>
      </c>
      <c r="AB4" s="179" t="s">
        <v>168</v>
      </c>
      <c r="AC4" s="237" t="s">
        <v>305</v>
      </c>
      <c r="AD4" s="179" t="s">
        <v>15</v>
      </c>
      <c r="AE4" s="237" t="s">
        <v>305</v>
      </c>
      <c r="AF4" s="179" t="s">
        <v>60</v>
      </c>
      <c r="AG4" s="390" t="s">
        <v>305</v>
      </c>
      <c r="AH4" s="58"/>
    </row>
    <row r="5" ht="15.75" customHeight="1">
      <c r="A5" s="248" t="s">
        <v>306</v>
      </c>
      <c r="B5" s="241">
        <f t="shared" ref="B5:B19" si="1">(600-E5)-IFERROR(VLOOKUP(A5,H$11:I$31,2,False),"")-IFERROR(VLOOKUP(A5,J$11:K$31,2,False),"")-IFERROR(VLOOKUP(A5,L$11:M$31,2,False),"")-IFERROR(VLOOKUP(A5,N$11:O$31,2,False),"")-IFERROR(VLOOKUP(A5,P$11:Q$31,2,False),"")-IFERROR(VLOOKUP(A5,R$11:S$31,2,False),"")-IFERROR(VLOOKUP(A5,T$11:U$31,2,False),"")-IFERROR(VLOOKUP(A5,V$11:W$31,2,False),"")-IFERROR(VLOOKUP(A5,X$11:Y$31,2,False),"")-IFERROR(VLOOKUP(A5,Z$11:AA$31,2,False),"")-IFERROR(VLOOKUP(A5,AB$11:AC$31,2,False),"")-IFERROR(VLOOKUP(A5,AD$11:AE$31,2,False),"")-IFERROR(VLOOKUP(A5,AF$11:AG$31,2,False),"")</f>
        <v>450</v>
      </c>
      <c r="C5" s="391">
        <f>((30+30+30)+(30*0.3)+(30*0.3)+(30*0.3))</f>
        <v>117</v>
      </c>
      <c r="D5" s="392">
        <f>(198+(198*0.5))</f>
        <v>297</v>
      </c>
      <c r="E5" s="243">
        <v>150.0</v>
      </c>
      <c r="F5" s="58"/>
      <c r="G5" s="244" t="s">
        <v>274</v>
      </c>
      <c r="H5" s="245">
        <v>198.0</v>
      </c>
      <c r="I5" s="246"/>
      <c r="J5" s="245">
        <v>198.0</v>
      </c>
      <c r="K5" s="246"/>
      <c r="L5" s="245">
        <v>198.0</v>
      </c>
      <c r="M5" s="246"/>
      <c r="N5" s="245">
        <v>198.0</v>
      </c>
      <c r="O5" s="246"/>
      <c r="P5" s="245">
        <v>198.0</v>
      </c>
      <c r="Q5" s="246"/>
      <c r="R5" s="245">
        <v>198.0</v>
      </c>
      <c r="S5" s="246"/>
      <c r="T5" s="245">
        <v>198.0</v>
      </c>
      <c r="U5" s="246"/>
      <c r="V5" s="245">
        <v>198.0</v>
      </c>
      <c r="W5" s="246"/>
      <c r="X5" s="245">
        <v>198.0</v>
      </c>
      <c r="Y5" s="246"/>
      <c r="Z5" s="245">
        <v>198.0</v>
      </c>
      <c r="AA5" s="246"/>
      <c r="AB5" s="245">
        <v>198.0</v>
      </c>
      <c r="AC5" s="246"/>
      <c r="AD5" s="245">
        <v>198.0</v>
      </c>
      <c r="AE5" s="246"/>
      <c r="AF5" s="245">
        <v>198.0</v>
      </c>
      <c r="AG5" s="273"/>
      <c r="AH5" s="58"/>
    </row>
    <row r="6" ht="15.75" customHeight="1">
      <c r="A6" s="248" t="s">
        <v>307</v>
      </c>
      <c r="B6" s="241">
        <f t="shared" si="1"/>
        <v>402</v>
      </c>
      <c r="C6" s="391">
        <f t="shared" ref="C6:C19" si="2">(600-E6)-((150+60)+(150*0.2)+(60*0.2))</f>
        <v>150</v>
      </c>
      <c r="D6" s="391"/>
      <c r="E6" s="243">
        <v>198.0</v>
      </c>
      <c r="F6" s="58"/>
      <c r="G6" s="244" t="s">
        <v>201</v>
      </c>
      <c r="H6" s="245" t="s">
        <v>17</v>
      </c>
      <c r="I6" s="246"/>
      <c r="J6" s="245" t="s">
        <v>17</v>
      </c>
      <c r="K6" s="246"/>
      <c r="L6" s="245" t="s">
        <v>17</v>
      </c>
      <c r="M6" s="246"/>
      <c r="N6" s="245" t="s">
        <v>17</v>
      </c>
      <c r="O6" s="246"/>
      <c r="P6" s="245" t="s">
        <v>17</v>
      </c>
      <c r="Q6" s="246"/>
      <c r="R6" s="245" t="s">
        <v>17</v>
      </c>
      <c r="S6" s="246"/>
      <c r="T6" s="245" t="s">
        <v>17</v>
      </c>
      <c r="U6" s="246"/>
      <c r="V6" s="245" t="s">
        <v>17</v>
      </c>
      <c r="W6" s="246"/>
      <c r="X6" s="245" t="s">
        <v>17</v>
      </c>
      <c r="Y6" s="246"/>
      <c r="Z6" s="245" t="s">
        <v>17</v>
      </c>
      <c r="AA6" s="246"/>
      <c r="AB6" s="245" t="s">
        <v>17</v>
      </c>
      <c r="AC6" s="246"/>
      <c r="AD6" s="245" t="s">
        <v>18</v>
      </c>
      <c r="AE6" s="246"/>
      <c r="AF6" s="245" t="s">
        <v>18</v>
      </c>
      <c r="AG6" s="389"/>
      <c r="AH6" s="58"/>
    </row>
    <row r="7" ht="15.75" customHeight="1">
      <c r="A7" s="248" t="s">
        <v>308</v>
      </c>
      <c r="B7" s="241">
        <f t="shared" si="1"/>
        <v>402</v>
      </c>
      <c r="C7" s="391">
        <f t="shared" si="2"/>
        <v>150</v>
      </c>
      <c r="D7" s="391"/>
      <c r="E7" s="243">
        <v>198.0</v>
      </c>
      <c r="F7" s="58"/>
      <c r="G7" s="250" t="s">
        <v>277</v>
      </c>
      <c r="H7" s="393" t="str">
        <f t="shared" ref="H7:I7" si="3">MAX('MD3 Stage 1'!C:C)</f>
        <v>#REF!</v>
      </c>
      <c r="I7" s="253" t="str">
        <f t="shared" si="3"/>
        <v>#REF!</v>
      </c>
      <c r="J7" s="393" t="str">
        <f t="shared" ref="J7:K7" si="4">MAX('MD3 Stage 1'!D:D)</f>
        <v>#REF!</v>
      </c>
      <c r="K7" s="253" t="str">
        <f t="shared" si="4"/>
        <v>#REF!</v>
      </c>
      <c r="L7" s="393" t="str">
        <f t="shared" ref="L7:M7" si="5">MAX('MD3 Stage 1'!E:E)</f>
        <v>#REF!</v>
      </c>
      <c r="M7" s="253" t="str">
        <f t="shared" si="5"/>
        <v>#REF!</v>
      </c>
      <c r="N7" s="393" t="str">
        <f>MAX('MD3 Stage 1'!F:F)</f>
        <v>#REF!</v>
      </c>
      <c r="O7" s="253" t="str">
        <f>MAX('MD3 Stage 1'!H:H)</f>
        <v>#REF!</v>
      </c>
      <c r="P7" s="393" t="str">
        <f>MAX('MD3 Stage 1'!G:G)</f>
        <v>#REF!</v>
      </c>
      <c r="Q7" s="253" t="str">
        <f>MAX('MD3 Stage 1'!J:J)</f>
        <v>#REF!</v>
      </c>
      <c r="R7" s="393" t="str">
        <f>MAX('MD3 Stage 1'!H:H)</f>
        <v>#REF!</v>
      </c>
      <c r="S7" s="253" t="str">
        <f>MAX('MD3 Stage 1'!L:L)</f>
        <v>#REF!</v>
      </c>
      <c r="T7" s="393" t="str">
        <f>MAX('MD3 Stage 1'!I:I)</f>
        <v>#REF!</v>
      </c>
      <c r="U7" s="253" t="str">
        <f>MAX('MD3 Stage 1'!N:N)</f>
        <v>#REF!</v>
      </c>
      <c r="V7" s="393" t="str">
        <f>MAX('MD3 Stage 1'!J:J)</f>
        <v>#REF!</v>
      </c>
      <c r="W7" s="253" t="str">
        <f>MAX('MD3 Stage 1'!P:P)</f>
        <v>#REF!</v>
      </c>
      <c r="X7" s="393" t="str">
        <f>MAX('MD3 Stage 1'!K:K)</f>
        <v>#REF!</v>
      </c>
      <c r="Y7" s="253" t="str">
        <f>MAX('MD3 Stage 1'!R:R)</f>
        <v>#REF!</v>
      </c>
      <c r="Z7" s="393" t="str">
        <f>MAX('MD3 Stage 1'!L:L)</f>
        <v>#REF!</v>
      </c>
      <c r="AA7" s="253" t="str">
        <f>MAX('MD3 Stage 1'!T:T)</f>
        <v>#REF!</v>
      </c>
      <c r="AB7" s="393" t="str">
        <f>MAX('MD3 Stage 1'!M:M)</f>
        <v>#REF!</v>
      </c>
      <c r="AC7" s="253" t="str">
        <f>MAX('MD3 Stage 1'!V:V)</f>
        <v>#REF!</v>
      </c>
      <c r="AD7" s="393" t="str">
        <f>MAX('MD3 Stage 1'!N:N)</f>
        <v>#REF!</v>
      </c>
      <c r="AE7" s="253" t="str">
        <f>MAX('MD3 Stage 1'!X:X)</f>
        <v>#REF!</v>
      </c>
      <c r="AF7" s="393" t="str">
        <f>MAX('MD3 Stage 1'!O:O)</f>
        <v>#REF!</v>
      </c>
      <c r="AG7" s="394"/>
      <c r="AH7" s="58"/>
    </row>
    <row r="8" ht="21.0" customHeight="1">
      <c r="A8" s="248" t="s">
        <v>309</v>
      </c>
      <c r="B8" s="241">
        <f t="shared" si="1"/>
        <v>570</v>
      </c>
      <c r="C8" s="391">
        <f t="shared" si="2"/>
        <v>318</v>
      </c>
      <c r="D8" s="391"/>
      <c r="E8" s="243">
        <v>30.0</v>
      </c>
      <c r="F8" s="58"/>
      <c r="G8" s="256" t="s">
        <v>278</v>
      </c>
      <c r="H8" s="257" t="str">
        <f t="shared" ref="H8:AG8" si="6">H11</f>
        <v/>
      </c>
      <c r="I8" s="258" t="str">
        <f t="shared" si="6"/>
        <v/>
      </c>
      <c r="J8" s="257" t="str">
        <f t="shared" si="6"/>
        <v/>
      </c>
      <c r="K8" s="258" t="str">
        <f t="shared" si="6"/>
        <v/>
      </c>
      <c r="L8" s="257" t="str">
        <f t="shared" si="6"/>
        <v/>
      </c>
      <c r="M8" s="258" t="str">
        <f t="shared" si="6"/>
        <v/>
      </c>
      <c r="N8" s="257" t="str">
        <f t="shared" si="6"/>
        <v/>
      </c>
      <c r="O8" s="258" t="str">
        <f t="shared" si="6"/>
        <v/>
      </c>
      <c r="P8" s="257" t="str">
        <f t="shared" si="6"/>
        <v/>
      </c>
      <c r="Q8" s="258" t="str">
        <f t="shared" si="6"/>
        <v/>
      </c>
      <c r="R8" s="257" t="str">
        <f t="shared" si="6"/>
        <v/>
      </c>
      <c r="S8" s="258" t="str">
        <f t="shared" si="6"/>
        <v/>
      </c>
      <c r="T8" s="257" t="str">
        <f t="shared" si="6"/>
        <v/>
      </c>
      <c r="U8" s="258" t="str">
        <f t="shared" si="6"/>
        <v/>
      </c>
      <c r="V8" s="257" t="str">
        <f t="shared" si="6"/>
        <v/>
      </c>
      <c r="W8" s="258" t="str">
        <f t="shared" si="6"/>
        <v/>
      </c>
      <c r="X8" s="257" t="str">
        <f t="shared" si="6"/>
        <v/>
      </c>
      <c r="Y8" s="258" t="str">
        <f t="shared" si="6"/>
        <v/>
      </c>
      <c r="Z8" s="257" t="str">
        <f t="shared" si="6"/>
        <v/>
      </c>
      <c r="AA8" s="258" t="str">
        <f t="shared" si="6"/>
        <v/>
      </c>
      <c r="AB8" s="257" t="str">
        <f t="shared" si="6"/>
        <v/>
      </c>
      <c r="AC8" s="258" t="str">
        <f t="shared" si="6"/>
        <v/>
      </c>
      <c r="AD8" s="257" t="str">
        <f t="shared" si="6"/>
        <v/>
      </c>
      <c r="AE8" s="258" t="str">
        <f t="shared" si="6"/>
        <v/>
      </c>
      <c r="AF8" s="257" t="str">
        <f t="shared" si="6"/>
        <v/>
      </c>
      <c r="AG8" s="395" t="str">
        <f t="shared" si="6"/>
        <v/>
      </c>
      <c r="AH8" s="260"/>
    </row>
    <row r="9" ht="15.75" customHeight="1">
      <c r="A9" s="248" t="s">
        <v>310</v>
      </c>
      <c r="B9" s="241">
        <f t="shared" si="1"/>
        <v>540</v>
      </c>
      <c r="C9" s="391">
        <f t="shared" si="2"/>
        <v>288</v>
      </c>
      <c r="D9" s="391"/>
      <c r="E9" s="243">
        <v>60.0</v>
      </c>
      <c r="F9" s="58"/>
      <c r="G9" s="261" t="s">
        <v>279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306"/>
      <c r="AG9" s="396"/>
      <c r="AH9" s="58"/>
    </row>
    <row r="10" ht="15.75" customHeight="1">
      <c r="A10" s="248" t="s">
        <v>311</v>
      </c>
      <c r="B10" s="241">
        <f t="shared" si="1"/>
        <v>540</v>
      </c>
      <c r="C10" s="391">
        <f t="shared" si="2"/>
        <v>288</v>
      </c>
      <c r="D10" s="391"/>
      <c r="E10" s="243">
        <v>60.0</v>
      </c>
      <c r="F10" s="58"/>
      <c r="G10" s="264" t="s">
        <v>280</v>
      </c>
      <c r="H10" s="265" t="str">
        <f>IFERROR(__xludf.DUMMYFUNCTION("Query('MD3 Stage 1'!$B2:$O118,""Select B, MAX(C) WHERE C&gt;=198 group by B order by max(C) desc"")"),"#REF!")</f>
        <v>#REF!</v>
      </c>
      <c r="I10" s="266"/>
      <c r="J10" s="265" t="str">
        <f>IFERROR(__xludf.DUMMYFUNCTION("Query('MD3 Stage 1'!$B2:$O118,""Select B, MAX(D) WHERE D&gt;=198 group by B order by max(D) desc"")"),"#REF!")</f>
        <v>#REF!</v>
      </c>
      <c r="K10" s="266"/>
      <c r="L10" s="265" t="str">
        <f>IFERROR(__xludf.DUMMYFUNCTION("Query('MD3 Stage 1'!$B2:$O118,""Select B, MAX(E) WHERE E&gt;=198 group by B order by max(E) desc"")"),"#REF!")</f>
        <v>#REF!</v>
      </c>
      <c r="M10" s="266"/>
      <c r="N10" s="265" t="str">
        <f>IFERROR(__xludf.DUMMYFUNCTION("Query('MD3 Stage 1'!$B2:$O118,""Select B, MAX(F) WHERE F&gt;=198 group by B order by max(F) desc"")"),"#REF!")</f>
        <v>#REF!</v>
      </c>
      <c r="O10" s="266"/>
      <c r="P10" s="265" t="str">
        <f>IFERROR(__xludf.DUMMYFUNCTION("Query('MD3 Stage 1'!$B2:$O118,""Select B, MAX(G) WHERE G&gt;=198 group by B order by max(G) desc"")"),"#REF!")</f>
        <v>#REF!</v>
      </c>
      <c r="Q10" s="266"/>
      <c r="R10" s="328" t="str">
        <f>IFERROR(__xludf.DUMMYFUNCTION("Query('MD3 Stage 1'!$B2:$O118,""Select B, MAX(H) WHERE H&gt;=198 group by B order by max(H) desc"")"),"#REF!")</f>
        <v>#REF!</v>
      </c>
      <c r="S10" s="266"/>
      <c r="T10" s="328" t="str">
        <f>IFERROR(__xludf.DUMMYFUNCTION("Query('MD3 Stage 1'!$B2:$O118,""Select B, MAX(I) WHERE I&gt;=198 group by B order by max(I) desc"")"),"#REF!")</f>
        <v>#REF!</v>
      </c>
      <c r="U10" s="266"/>
      <c r="V10" s="328" t="str">
        <f>IFERROR(__xludf.DUMMYFUNCTION("Query('MD3 Stage 1'!$B2:$O118,""Select B, MAX(J) WHERE J&gt;=198 group by B order by max(J) desc"")"),"#REF!")</f>
        <v>#REF!</v>
      </c>
      <c r="W10" s="266"/>
      <c r="X10" s="328" t="str">
        <f>IFERROR(__xludf.DUMMYFUNCTION("Query('MD3 Stage 1'!$B2:$O118,""Select B, MAX(K) WHERE K&gt;=198 group by B order by max(K) desc"")"),"#REF!")</f>
        <v>#REF!</v>
      </c>
      <c r="Y10" s="266"/>
      <c r="Z10" s="265" t="str">
        <f>IFERROR(__xludf.DUMMYFUNCTION("Query('MD3 Stage 1'!$B2:$O118,""Select B, MAX(L) WHERE L&gt;=198 group by B order by max(L) desc"")"),"#REF!")</f>
        <v>#REF!</v>
      </c>
      <c r="AA10" s="266"/>
      <c r="AB10" s="265" t="str">
        <f>IFERROR(__xludf.DUMMYFUNCTION("Query('MD3 Stage 1'!$B2:$O118,""Select B, MAX(M) WHERE M&gt;=198 group by B order by max(M) desc"")"),"#REF!")</f>
        <v>#REF!</v>
      </c>
      <c r="AC10" s="266"/>
      <c r="AD10" s="265" t="str">
        <f>IFERROR(__xludf.DUMMYFUNCTION("Query('MD3 Stage 1'!$B2:$O118,""Select B, MAX(N) WHERE N&gt;=198 group by B order by max(N) desc"")"),"#REF!")</f>
        <v>#REF!</v>
      </c>
      <c r="AE10" s="266"/>
      <c r="AF10" s="265" t="str">
        <f>IFERROR(__xludf.DUMMYFUNCTION("Query('MD3 Stage 1'!$B2:$O118,""Select B, MAX(O) WHERE O&gt;=198 group by B order by max(O) desc"")"),"#REF!")</f>
        <v>#REF!</v>
      </c>
      <c r="AG10" s="397"/>
      <c r="AH10" s="58"/>
    </row>
    <row r="11" ht="15.75" customHeight="1">
      <c r="A11" s="248" t="s">
        <v>312</v>
      </c>
      <c r="B11" s="241">
        <f t="shared" si="1"/>
        <v>570</v>
      </c>
      <c r="C11" s="391">
        <f t="shared" si="2"/>
        <v>318</v>
      </c>
      <c r="D11" s="391"/>
      <c r="E11" s="243">
        <v>30.0</v>
      </c>
      <c r="F11" s="58"/>
      <c r="G11" s="230"/>
      <c r="H11" s="268"/>
      <c r="I11" s="269"/>
      <c r="J11" s="268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3"/>
      <c r="AF11" s="271"/>
      <c r="AG11" s="389"/>
      <c r="AH11" s="58"/>
    </row>
    <row r="12" ht="15.75" customHeight="1">
      <c r="A12" s="248" t="s">
        <v>313</v>
      </c>
      <c r="B12" s="241">
        <f t="shared" si="1"/>
        <v>540</v>
      </c>
      <c r="C12" s="391">
        <f t="shared" si="2"/>
        <v>288</v>
      </c>
      <c r="D12" s="391"/>
      <c r="E12" s="243">
        <v>60.0</v>
      </c>
      <c r="F12" s="58"/>
      <c r="G12" s="89"/>
      <c r="H12" s="276"/>
      <c r="I12" s="269"/>
      <c r="J12" s="276"/>
      <c r="K12" s="270"/>
      <c r="L12" s="277"/>
      <c r="M12" s="270"/>
      <c r="N12" s="277"/>
      <c r="O12" s="270"/>
      <c r="P12" s="277"/>
      <c r="Q12" s="270"/>
      <c r="R12" s="277"/>
      <c r="S12" s="270"/>
      <c r="T12" s="277"/>
      <c r="U12" s="270"/>
      <c r="V12" s="277"/>
      <c r="W12" s="270"/>
      <c r="X12" s="277"/>
      <c r="Y12" s="270"/>
      <c r="Z12" s="277"/>
      <c r="AA12" s="270"/>
      <c r="AB12" s="277"/>
      <c r="AC12" s="270"/>
      <c r="AD12" s="277"/>
      <c r="AE12" s="273"/>
      <c r="AF12" s="277"/>
      <c r="AG12" s="389"/>
      <c r="AH12" s="58"/>
    </row>
    <row r="13" ht="15.75" customHeight="1">
      <c r="A13" s="248" t="s">
        <v>314</v>
      </c>
      <c r="B13" s="241">
        <f t="shared" si="1"/>
        <v>540</v>
      </c>
      <c r="C13" s="391">
        <f t="shared" si="2"/>
        <v>288</v>
      </c>
      <c r="D13" s="391"/>
      <c r="E13" s="243">
        <v>60.0</v>
      </c>
      <c r="F13" s="58"/>
      <c r="G13" s="89"/>
      <c r="H13" s="276"/>
      <c r="I13" s="269"/>
      <c r="J13" s="276"/>
      <c r="K13" s="329"/>
      <c r="L13" s="277"/>
      <c r="M13" s="270"/>
      <c r="N13" s="277"/>
      <c r="O13" s="270"/>
      <c r="P13" s="277"/>
      <c r="Q13" s="270"/>
      <c r="R13" s="277"/>
      <c r="S13" s="270"/>
      <c r="T13" s="277"/>
      <c r="U13" s="270"/>
      <c r="V13" s="277"/>
      <c r="W13" s="270"/>
      <c r="X13" s="277"/>
      <c r="Y13" s="270"/>
      <c r="Z13" s="277"/>
      <c r="AA13" s="270"/>
      <c r="AB13" s="277"/>
      <c r="AC13" s="270"/>
      <c r="AD13" s="277"/>
      <c r="AE13" s="273"/>
      <c r="AF13" s="277"/>
      <c r="AG13" s="389"/>
      <c r="AH13" s="58"/>
    </row>
    <row r="14" ht="15.75" customHeight="1">
      <c r="A14" s="248" t="s">
        <v>315</v>
      </c>
      <c r="B14" s="241">
        <f t="shared" si="1"/>
        <v>540</v>
      </c>
      <c r="C14" s="391">
        <f t="shared" si="2"/>
        <v>288</v>
      </c>
      <c r="D14" s="391"/>
      <c r="E14" s="243">
        <v>60.0</v>
      </c>
      <c r="F14" s="58"/>
      <c r="G14" s="89"/>
      <c r="H14" s="276"/>
      <c r="I14" s="269"/>
      <c r="J14" s="276"/>
      <c r="K14" s="270"/>
      <c r="L14" s="277"/>
      <c r="M14" s="270"/>
      <c r="N14" s="277"/>
      <c r="O14" s="270"/>
      <c r="P14" s="277"/>
      <c r="Q14" s="270"/>
      <c r="R14" s="277"/>
      <c r="S14" s="270"/>
      <c r="T14" s="277"/>
      <c r="U14" s="270"/>
      <c r="V14" s="277"/>
      <c r="W14" s="270"/>
      <c r="X14" s="277"/>
      <c r="Y14" s="270"/>
      <c r="Z14" s="277"/>
      <c r="AA14" s="270"/>
      <c r="AB14" s="288"/>
      <c r="AC14" s="279"/>
      <c r="AD14" s="277"/>
      <c r="AE14" s="273"/>
      <c r="AF14" s="277"/>
      <c r="AG14" s="389"/>
      <c r="AH14" s="58"/>
    </row>
    <row r="15" ht="15.75" customHeight="1">
      <c r="A15" s="248" t="s">
        <v>316</v>
      </c>
      <c r="B15" s="241">
        <f t="shared" si="1"/>
        <v>540</v>
      </c>
      <c r="C15" s="391">
        <f t="shared" si="2"/>
        <v>288</v>
      </c>
      <c r="D15" s="391"/>
      <c r="E15" s="243">
        <v>60.0</v>
      </c>
      <c r="F15" s="58"/>
      <c r="G15" s="89"/>
      <c r="H15" s="276"/>
      <c r="I15" s="269"/>
      <c r="J15" s="276"/>
      <c r="K15" s="270"/>
      <c r="L15" s="277"/>
      <c r="M15" s="270"/>
      <c r="N15" s="277"/>
      <c r="O15" s="270"/>
      <c r="P15" s="277"/>
      <c r="Q15" s="270"/>
      <c r="R15" s="277"/>
      <c r="S15" s="270"/>
      <c r="T15" s="277"/>
      <c r="U15" s="270"/>
      <c r="V15" s="277"/>
      <c r="W15" s="270"/>
      <c r="X15" s="277"/>
      <c r="Y15" s="270"/>
      <c r="Z15" s="277"/>
      <c r="AA15" s="270"/>
      <c r="AB15" s="277"/>
      <c r="AC15" s="270"/>
      <c r="AD15" s="277"/>
      <c r="AE15" s="273"/>
      <c r="AF15" s="277"/>
      <c r="AG15" s="389"/>
      <c r="AH15" s="58"/>
    </row>
    <row r="16" ht="15.75" customHeight="1">
      <c r="A16" s="248" t="s">
        <v>317</v>
      </c>
      <c r="B16" s="241">
        <f t="shared" si="1"/>
        <v>540</v>
      </c>
      <c r="C16" s="391">
        <f t="shared" si="2"/>
        <v>288</v>
      </c>
      <c r="D16" s="391"/>
      <c r="E16" s="243">
        <v>60.0</v>
      </c>
      <c r="F16" s="58"/>
      <c r="G16" s="89"/>
      <c r="H16" s="277"/>
      <c r="I16" s="270"/>
      <c r="J16" s="276"/>
      <c r="K16" s="270"/>
      <c r="L16" s="277"/>
      <c r="M16" s="270"/>
      <c r="N16" s="277"/>
      <c r="O16" s="270"/>
      <c r="P16" s="277"/>
      <c r="Q16" s="270"/>
      <c r="R16" s="277"/>
      <c r="S16" s="270"/>
      <c r="T16" s="277"/>
      <c r="U16" s="270"/>
      <c r="V16" s="277"/>
      <c r="W16" s="270"/>
      <c r="X16" s="277"/>
      <c r="Y16" s="270"/>
      <c r="Z16" s="277"/>
      <c r="AA16" s="270"/>
      <c r="AB16" s="277"/>
      <c r="AC16" s="270"/>
      <c r="AD16" s="277"/>
      <c r="AE16" s="273"/>
      <c r="AF16" s="277"/>
      <c r="AG16" s="389"/>
      <c r="AH16" s="58"/>
    </row>
    <row r="17" ht="15.75" customHeight="1">
      <c r="A17" s="248" t="s">
        <v>318</v>
      </c>
      <c r="B17" s="241">
        <f t="shared" si="1"/>
        <v>540</v>
      </c>
      <c r="C17" s="391">
        <f t="shared" si="2"/>
        <v>288</v>
      </c>
      <c r="D17" s="391"/>
      <c r="E17" s="243">
        <v>60.0</v>
      </c>
      <c r="F17" s="58"/>
      <c r="G17" s="287"/>
      <c r="H17" s="288"/>
      <c r="I17" s="270"/>
      <c r="J17" s="276"/>
      <c r="K17" s="269"/>
      <c r="L17" s="276"/>
      <c r="M17" s="270"/>
      <c r="N17" s="277"/>
      <c r="O17" s="270"/>
      <c r="P17" s="277"/>
      <c r="Q17" s="270"/>
      <c r="R17" s="277"/>
      <c r="S17" s="270"/>
      <c r="T17" s="277"/>
      <c r="U17" s="270"/>
      <c r="V17" s="277"/>
      <c r="W17" s="270"/>
      <c r="X17" s="277"/>
      <c r="Y17" s="270"/>
      <c r="Z17" s="277"/>
      <c r="AA17" s="270"/>
      <c r="AB17" s="277"/>
      <c r="AC17" s="270"/>
      <c r="AD17" s="277"/>
      <c r="AE17" s="273"/>
      <c r="AF17" s="277"/>
      <c r="AG17" s="389"/>
      <c r="AH17" s="58"/>
    </row>
    <row r="18" ht="15.75" customHeight="1">
      <c r="A18" s="248" t="s">
        <v>319</v>
      </c>
      <c r="B18" s="241">
        <f t="shared" si="1"/>
        <v>402</v>
      </c>
      <c r="C18" s="391">
        <f t="shared" si="2"/>
        <v>150</v>
      </c>
      <c r="D18" s="391"/>
      <c r="E18" s="243">
        <v>198.0</v>
      </c>
      <c r="F18" s="58"/>
      <c r="G18" s="89"/>
      <c r="H18" s="277"/>
      <c r="I18" s="270"/>
      <c r="J18" s="276"/>
      <c r="K18" s="270"/>
      <c r="L18" s="277"/>
      <c r="M18" s="270"/>
      <c r="N18" s="277"/>
      <c r="O18" s="270"/>
      <c r="P18" s="277"/>
      <c r="Q18" s="270"/>
      <c r="R18" s="277"/>
      <c r="S18" s="270"/>
      <c r="T18" s="277"/>
      <c r="U18" s="270"/>
      <c r="V18" s="277"/>
      <c r="W18" s="270"/>
      <c r="X18" s="277"/>
      <c r="Y18" s="270"/>
      <c r="Z18" s="277"/>
      <c r="AA18" s="270"/>
      <c r="AB18" s="398"/>
      <c r="AC18" s="399"/>
      <c r="AD18" s="276"/>
      <c r="AE18" s="400"/>
      <c r="AF18" s="276"/>
      <c r="AG18" s="397"/>
      <c r="AH18" s="289"/>
      <c r="AI18" s="401"/>
      <c r="AJ18" s="401"/>
      <c r="AK18" s="401"/>
    </row>
    <row r="19" ht="15.75" customHeight="1">
      <c r="A19" s="402" t="s">
        <v>320</v>
      </c>
      <c r="B19" s="403">
        <f t="shared" si="1"/>
        <v>402</v>
      </c>
      <c r="C19" s="404">
        <f t="shared" si="2"/>
        <v>150</v>
      </c>
      <c r="D19" s="404"/>
      <c r="E19" s="405">
        <v>198.0</v>
      </c>
      <c r="F19" s="58"/>
      <c r="G19" s="89"/>
      <c r="H19" s="277"/>
      <c r="I19" s="270"/>
      <c r="J19" s="276"/>
      <c r="K19" s="270"/>
      <c r="L19" s="277"/>
      <c r="M19" s="270"/>
      <c r="N19" s="277"/>
      <c r="O19" s="270"/>
      <c r="P19" s="277"/>
      <c r="Q19" s="270"/>
      <c r="R19" s="277"/>
      <c r="S19" s="270"/>
      <c r="T19" s="277"/>
      <c r="U19" s="270"/>
      <c r="V19" s="277"/>
      <c r="W19" s="270"/>
      <c r="X19" s="277"/>
      <c r="Y19" s="270"/>
      <c r="Z19" s="277"/>
      <c r="AA19" s="270"/>
      <c r="AB19" s="277"/>
      <c r="AC19" s="270"/>
      <c r="AD19" s="277"/>
      <c r="AE19" s="273"/>
      <c r="AF19" s="277"/>
      <c r="AG19" s="389"/>
      <c r="AH19" s="58"/>
    </row>
    <row r="20" ht="15.75" customHeight="1">
      <c r="A20" s="406"/>
      <c r="B20" s="19"/>
      <c r="C20" s="19"/>
      <c r="D20" s="19"/>
      <c r="E20" s="19"/>
      <c r="F20" s="58"/>
      <c r="G20" s="89"/>
      <c r="H20" s="277"/>
      <c r="I20" s="270"/>
      <c r="J20" s="277"/>
      <c r="K20" s="270"/>
      <c r="L20" s="277"/>
      <c r="M20" s="270"/>
      <c r="N20" s="277"/>
      <c r="O20" s="270"/>
      <c r="P20" s="277"/>
      <c r="Q20" s="270"/>
      <c r="R20" s="277"/>
      <c r="S20" s="270"/>
      <c r="T20" s="288"/>
      <c r="U20" s="279"/>
      <c r="V20" s="277"/>
      <c r="W20" s="270"/>
      <c r="X20" s="277"/>
      <c r="Y20" s="270"/>
      <c r="Z20" s="277"/>
      <c r="AA20" s="270"/>
      <c r="AB20" s="277"/>
      <c r="AC20" s="270"/>
      <c r="AD20" s="277"/>
      <c r="AE20" s="273"/>
      <c r="AF20" s="277"/>
      <c r="AG20" s="389"/>
      <c r="AH20" s="58"/>
    </row>
    <row r="21" ht="15.75" customHeight="1">
      <c r="A21" s="355"/>
      <c r="B21" s="407"/>
      <c r="C21" s="391"/>
      <c r="D21" s="391"/>
      <c r="E21" s="243"/>
      <c r="F21" s="58"/>
      <c r="G21" s="89"/>
      <c r="H21" s="277"/>
      <c r="I21" s="270"/>
      <c r="J21" s="277"/>
      <c r="K21" s="270"/>
      <c r="L21" s="277"/>
      <c r="M21" s="270"/>
      <c r="N21" s="277"/>
      <c r="O21" s="270"/>
      <c r="P21" s="277"/>
      <c r="Q21" s="270"/>
      <c r="R21" s="277"/>
      <c r="S21" s="270"/>
      <c r="T21" s="277"/>
      <c r="U21" s="270"/>
      <c r="V21" s="277"/>
      <c r="W21" s="270"/>
      <c r="X21" s="277"/>
      <c r="Y21" s="270"/>
      <c r="Z21" s="277"/>
      <c r="AA21" s="270"/>
      <c r="AB21" s="277"/>
      <c r="AC21" s="270"/>
      <c r="AD21" s="277"/>
      <c r="AE21" s="273"/>
      <c r="AF21" s="277"/>
      <c r="AG21" s="389"/>
      <c r="AH21" s="296"/>
      <c r="AI21" s="19"/>
      <c r="AJ21" s="19"/>
      <c r="AK21" s="19"/>
      <c r="AL21" s="19"/>
      <c r="AM21" s="19"/>
    </row>
    <row r="22" ht="15.75" customHeight="1">
      <c r="A22" s="355"/>
      <c r="B22" s="407"/>
      <c r="C22" s="391"/>
      <c r="D22" s="391"/>
      <c r="E22" s="243"/>
      <c r="F22" s="58"/>
      <c r="G22" s="89"/>
      <c r="H22" s="277"/>
      <c r="I22" s="270"/>
      <c r="J22" s="277"/>
      <c r="K22" s="270"/>
      <c r="L22" s="277"/>
      <c r="M22" s="270"/>
      <c r="N22" s="277"/>
      <c r="O22" s="270"/>
      <c r="P22" s="277"/>
      <c r="Q22" s="270"/>
      <c r="R22" s="277"/>
      <c r="S22" s="270"/>
      <c r="T22" s="277"/>
      <c r="U22" s="270"/>
      <c r="V22" s="277"/>
      <c r="W22" s="270"/>
      <c r="X22" s="277"/>
      <c r="Y22" s="270"/>
      <c r="Z22" s="277"/>
      <c r="AA22" s="270"/>
      <c r="AB22" s="277"/>
      <c r="AC22" s="270"/>
      <c r="AD22" s="277"/>
      <c r="AE22" s="273"/>
      <c r="AF22" s="277"/>
      <c r="AG22" s="389"/>
      <c r="AH22" s="299"/>
    </row>
    <row r="23" ht="15.75" customHeight="1">
      <c r="A23" s="355"/>
      <c r="B23" s="407"/>
      <c r="C23" s="391"/>
      <c r="D23" s="391"/>
      <c r="E23" s="243"/>
      <c r="F23" s="58"/>
      <c r="G23" s="89"/>
      <c r="H23" s="322"/>
      <c r="I23" s="270"/>
      <c r="J23" s="277"/>
      <c r="K23" s="270"/>
      <c r="L23" s="277"/>
      <c r="M23" s="270"/>
      <c r="N23" s="277"/>
      <c r="O23" s="270"/>
      <c r="P23" s="277"/>
      <c r="Q23" s="270"/>
      <c r="R23" s="277"/>
      <c r="S23" s="270"/>
      <c r="T23" s="277"/>
      <c r="U23" s="270"/>
      <c r="V23" s="277"/>
      <c r="W23" s="270"/>
      <c r="X23" s="277"/>
      <c r="Y23" s="270"/>
      <c r="Z23" s="277"/>
      <c r="AA23" s="270"/>
      <c r="AB23" s="277"/>
      <c r="AC23" s="270"/>
      <c r="AD23" s="277"/>
      <c r="AE23" s="273"/>
      <c r="AF23" s="277"/>
      <c r="AG23" s="389"/>
      <c r="AH23" s="58"/>
    </row>
    <row r="24" ht="15.75" customHeight="1">
      <c r="F24" s="58"/>
      <c r="G24" s="89"/>
      <c r="H24" s="277"/>
      <c r="I24" s="18"/>
      <c r="J24" s="277"/>
      <c r="K24" s="18"/>
      <c r="L24" s="277"/>
      <c r="M24" s="18"/>
      <c r="N24" s="277"/>
      <c r="O24" s="18"/>
      <c r="P24" s="277"/>
      <c r="Q24" s="18"/>
      <c r="R24" s="277"/>
      <c r="S24" s="18"/>
      <c r="T24" s="277"/>
      <c r="U24" s="18"/>
      <c r="V24" s="277"/>
      <c r="W24" s="18"/>
      <c r="X24" s="277"/>
      <c r="Y24" s="18"/>
      <c r="Z24" s="277"/>
      <c r="AA24" s="18"/>
      <c r="AB24" s="277"/>
      <c r="AC24" s="18"/>
      <c r="AD24" s="277"/>
      <c r="AE24" s="18"/>
      <c r="AF24" s="277"/>
      <c r="AG24" s="389"/>
      <c r="AH24" s="58"/>
    </row>
    <row r="25" ht="15.75" customHeight="1">
      <c r="A25" s="408" t="s">
        <v>321</v>
      </c>
      <c r="B25" s="409" t="s">
        <v>281</v>
      </c>
      <c r="C25" s="284"/>
      <c r="D25" s="26"/>
      <c r="F25" s="58"/>
      <c r="G25" s="410"/>
      <c r="H25" s="277"/>
      <c r="I25" s="18"/>
      <c r="J25" s="277"/>
      <c r="K25" s="18"/>
      <c r="L25" s="277"/>
      <c r="M25" s="18"/>
      <c r="N25" s="277"/>
      <c r="O25" s="18"/>
      <c r="P25" s="277"/>
      <c r="Q25" s="18"/>
      <c r="R25" s="277"/>
      <c r="S25" s="18"/>
      <c r="T25" s="277"/>
      <c r="U25" s="18"/>
      <c r="V25" s="277"/>
      <c r="W25" s="18"/>
      <c r="X25" s="277"/>
      <c r="Y25" s="18"/>
      <c r="Z25" s="277"/>
      <c r="AA25" s="18"/>
      <c r="AB25" s="277"/>
      <c r="AC25" s="18"/>
      <c r="AD25" s="277"/>
      <c r="AE25" s="18"/>
      <c r="AF25" s="277"/>
      <c r="AG25" s="389"/>
      <c r="AH25" s="58"/>
    </row>
    <row r="26" ht="15.75" customHeight="1">
      <c r="A26" s="408" t="s">
        <v>322</v>
      </c>
      <c r="B26" s="411" t="s">
        <v>282</v>
      </c>
      <c r="C26" s="286"/>
      <c r="H26" s="412"/>
      <c r="J26" s="412"/>
      <c r="L26" s="412"/>
      <c r="N26" s="412"/>
      <c r="P26" s="412"/>
      <c r="R26" s="412"/>
      <c r="T26" s="412"/>
      <c r="V26" s="412"/>
      <c r="X26" s="412"/>
      <c r="Z26" s="412"/>
      <c r="AB26" s="412"/>
      <c r="AD26" s="412"/>
      <c r="AF26" s="412"/>
      <c r="AG26" s="389"/>
      <c r="AH26" s="58"/>
    </row>
    <row r="27" ht="15.75" customHeight="1">
      <c r="A27" s="408" t="s">
        <v>323</v>
      </c>
      <c r="B27" s="230"/>
      <c r="C27" s="286"/>
      <c r="H27" s="412"/>
      <c r="J27" s="412"/>
      <c r="L27" s="412"/>
      <c r="N27" s="412"/>
      <c r="P27" s="412"/>
      <c r="R27" s="412"/>
      <c r="T27" s="412"/>
      <c r="V27" s="412"/>
      <c r="X27" s="412"/>
      <c r="Z27" s="412"/>
      <c r="AB27" s="412"/>
      <c r="AD27" s="412"/>
      <c r="AF27" s="412"/>
      <c r="AG27" s="389"/>
      <c r="AH27" s="58"/>
    </row>
    <row r="28" ht="15.75" customHeight="1">
      <c r="B28" s="290"/>
      <c r="C28" s="291"/>
      <c r="H28" s="412"/>
      <c r="J28" s="412"/>
      <c r="L28" s="412"/>
      <c r="N28" s="412"/>
      <c r="P28" s="412"/>
      <c r="R28" s="412"/>
      <c r="T28" s="412"/>
      <c r="V28" s="412"/>
      <c r="X28" s="412"/>
      <c r="Z28" s="412"/>
      <c r="AB28" s="412"/>
      <c r="AD28" s="412"/>
      <c r="AF28" s="412"/>
      <c r="AG28" s="389"/>
      <c r="AH28" s="58"/>
    </row>
    <row r="29" ht="15.75" customHeight="1">
      <c r="B29" s="23">
        <f>(600-E5)-((150+60)+(150*0.2)+(60*0.2))</f>
        <v>198</v>
      </c>
      <c r="D29" s="145"/>
      <c r="E29" s="413"/>
      <c r="F29" s="59"/>
      <c r="G29" s="59"/>
      <c r="H29" s="414"/>
      <c r="I29" s="415"/>
      <c r="J29" s="414"/>
      <c r="K29" s="415"/>
      <c r="L29" s="414"/>
      <c r="M29" s="415"/>
      <c r="N29" s="414"/>
      <c r="O29" s="415"/>
      <c r="P29" s="414"/>
      <c r="Q29" s="415"/>
      <c r="R29" s="414"/>
      <c r="S29" s="415"/>
      <c r="T29" s="414"/>
      <c r="U29" s="415"/>
      <c r="V29" s="414"/>
      <c r="W29" s="415"/>
      <c r="X29" s="414"/>
      <c r="Y29" s="415"/>
      <c r="Z29" s="414"/>
      <c r="AA29" s="415"/>
      <c r="AB29" s="414"/>
      <c r="AC29" s="415"/>
      <c r="AD29" s="414"/>
      <c r="AE29" s="415"/>
      <c r="AF29" s="414"/>
      <c r="AG29" s="58"/>
      <c r="AH29" s="58"/>
    </row>
    <row r="30" ht="15.75" customHeight="1">
      <c r="B30" s="411" t="s">
        <v>283</v>
      </c>
      <c r="C30" s="286"/>
      <c r="D30" s="145"/>
      <c r="F30" s="59"/>
      <c r="G30" s="59"/>
      <c r="H30" s="414"/>
      <c r="I30" s="415"/>
      <c r="J30" s="414"/>
      <c r="K30" s="415"/>
      <c r="L30" s="414"/>
      <c r="M30" s="415"/>
      <c r="N30" s="414"/>
      <c r="O30" s="415"/>
      <c r="P30" s="414"/>
      <c r="Q30" s="415"/>
      <c r="R30" s="414"/>
      <c r="S30" s="415"/>
      <c r="T30" s="414"/>
      <c r="U30" s="415"/>
      <c r="V30" s="414"/>
      <c r="W30" s="415"/>
      <c r="X30" s="414"/>
      <c r="Y30" s="415"/>
      <c r="Z30" s="414"/>
      <c r="AA30" s="415"/>
      <c r="AB30" s="414"/>
      <c r="AC30" s="415"/>
      <c r="AD30" s="414"/>
      <c r="AE30" s="415"/>
      <c r="AF30" s="414"/>
      <c r="AG30" s="389"/>
      <c r="AH30" s="58"/>
    </row>
    <row r="31" ht="15.75" customHeight="1">
      <c r="B31" s="230"/>
      <c r="C31" s="286"/>
      <c r="D31" s="145"/>
      <c r="F31" s="59"/>
      <c r="G31" s="59"/>
      <c r="H31" s="416"/>
      <c r="I31" s="415"/>
      <c r="J31" s="416"/>
      <c r="K31" s="415"/>
      <c r="L31" s="416"/>
      <c r="M31" s="415"/>
      <c r="N31" s="416"/>
      <c r="O31" s="415"/>
      <c r="P31" s="416"/>
      <c r="Q31" s="415"/>
      <c r="R31" s="416"/>
      <c r="S31" s="415"/>
      <c r="T31" s="416"/>
      <c r="U31" s="415"/>
      <c r="V31" s="416"/>
      <c r="W31" s="415"/>
      <c r="X31" s="416"/>
      <c r="Y31" s="415"/>
      <c r="Z31" s="416"/>
      <c r="AA31" s="415"/>
      <c r="AB31" s="416"/>
      <c r="AC31" s="415"/>
      <c r="AD31" s="416"/>
      <c r="AE31" s="415"/>
      <c r="AF31" s="416"/>
      <c r="AG31" s="389"/>
      <c r="AH31" s="58"/>
    </row>
    <row r="32" ht="15.75" customHeight="1">
      <c r="B32" s="290"/>
      <c r="C32" s="291"/>
      <c r="F32" s="58"/>
      <c r="G32" s="58"/>
      <c r="H32" s="298" t="s">
        <v>285</v>
      </c>
      <c r="AG32" s="389"/>
      <c r="AH32" s="58"/>
    </row>
    <row r="33" ht="15.75" customHeight="1">
      <c r="F33" s="58"/>
      <c r="G33" s="58"/>
      <c r="AG33" s="389"/>
    </row>
    <row r="34" ht="15.75" customHeight="1">
      <c r="F34" s="58"/>
      <c r="G34" s="58"/>
      <c r="AG34" s="389"/>
    </row>
    <row r="35" ht="15.75" customHeight="1">
      <c r="F35" s="58"/>
      <c r="G35" s="58"/>
      <c r="H35" s="303" t="s">
        <v>287</v>
      </c>
      <c r="AG35" s="389"/>
    </row>
    <row r="36" ht="15.75" customHeight="1">
      <c r="AG36" s="389"/>
    </row>
    <row r="37" ht="15.75" customHeight="1">
      <c r="AG37" s="389"/>
    </row>
    <row r="38" ht="15.75" customHeight="1">
      <c r="A38" s="225" t="s">
        <v>288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84"/>
      <c r="AG38" s="389"/>
    </row>
    <row r="39" ht="15.75" customHeight="1">
      <c r="A39" s="230"/>
      <c r="AF39" s="286"/>
      <c r="AG39" s="389"/>
    </row>
    <row r="40" ht="15.75" customHeight="1">
      <c r="A40" s="230"/>
      <c r="AF40" s="286"/>
      <c r="AG40" s="389"/>
    </row>
    <row r="41" ht="15.75" customHeight="1">
      <c r="A41" s="232" t="s">
        <v>270</v>
      </c>
      <c r="B41" s="233" t="s">
        <v>271</v>
      </c>
      <c r="E41" s="243"/>
      <c r="F41" s="58"/>
      <c r="G41" s="236" t="s">
        <v>275</v>
      </c>
      <c r="H41" s="179" t="s">
        <v>164</v>
      </c>
      <c r="I41" s="237"/>
      <c r="J41" s="179" t="s">
        <v>324</v>
      </c>
      <c r="K41" s="237"/>
      <c r="L41" s="179" t="s">
        <v>325</v>
      </c>
      <c r="M41" s="237"/>
      <c r="N41" s="179" t="s">
        <v>53</v>
      </c>
      <c r="O41" s="237"/>
      <c r="P41" s="179" t="s">
        <v>80</v>
      </c>
      <c r="Q41" s="237"/>
      <c r="R41" s="179" t="s">
        <v>133</v>
      </c>
      <c r="S41" s="237"/>
      <c r="T41" s="179" t="s">
        <v>107</v>
      </c>
      <c r="U41" s="237"/>
      <c r="V41" s="179" t="s">
        <v>326</v>
      </c>
      <c r="W41" s="237"/>
      <c r="X41" s="179" t="s">
        <v>129</v>
      </c>
      <c r="Y41" s="237"/>
      <c r="Z41" s="179" t="s">
        <v>139</v>
      </c>
      <c r="AA41" s="237"/>
      <c r="AB41" s="179" t="s">
        <v>142</v>
      </c>
      <c r="AC41" s="237"/>
      <c r="AD41" s="179"/>
      <c r="AE41" s="237"/>
      <c r="AF41" s="179"/>
      <c r="AG41" s="389"/>
    </row>
    <row r="42" ht="15.75" customHeight="1">
      <c r="A42" s="248" t="s">
        <v>306</v>
      </c>
      <c r="B42" s="241">
        <f>(600-E42)-IFERROR(VLOOKUP(A42,H$48:I$62,2,False),"")-IFERROR(VLOOKUP(A42,J$48:K$62,2,False),"")-IFERROR(VLOOKUP(A42,L$48:M$62,2,False),"")-IFERROR(VLOOKUP(A42,N$48:O$62,2,False),"")-IFERROR(VLOOKUP(A42,P$31:Q$62,2,False),"")-IFERROR(VLOOKUP(A42,R$31:S$62,2,False),"")-IFERROR(VLOOKUP(A42,T$31:U$62,2,False),"")-IFERROR(VLOOKUP(A42,V$31:W$48,2,False),"")-IFERROR(VLOOKUP(A42,X$31:Y$48,2,False),"")-IFERROR(VLOOKUP(A42,Z$31:AA$48,2,False),"")-IFERROR(VLOOKUP(A42,AB$31:AC$48,2,False),"")-IFERROR(VLOOKUP(A42,AD$31:AE$48,2,False),"")-IFERROR(VLOOKUP(A42,AF$31:AG$48,2,False),"")</f>
        <v>600</v>
      </c>
      <c r="E42" s="243"/>
      <c r="F42" s="58"/>
      <c r="G42" s="244" t="s">
        <v>274</v>
      </c>
      <c r="H42" s="245">
        <v>198.0</v>
      </c>
      <c r="I42" s="246"/>
      <c r="J42" s="245">
        <v>198.0</v>
      </c>
      <c r="K42" s="246"/>
      <c r="L42" s="245">
        <v>198.0</v>
      </c>
      <c r="M42" s="246"/>
      <c r="N42" s="245">
        <v>198.0</v>
      </c>
      <c r="O42" s="246"/>
      <c r="P42" s="245">
        <v>198.0</v>
      </c>
      <c r="Q42" s="246"/>
      <c r="R42" s="245">
        <v>198.0</v>
      </c>
      <c r="S42" s="246"/>
      <c r="T42" s="245">
        <v>198.0</v>
      </c>
      <c r="U42" s="246"/>
      <c r="V42" s="245">
        <v>198.0</v>
      </c>
      <c r="W42" s="246"/>
      <c r="X42" s="245">
        <v>198.0</v>
      </c>
      <c r="Y42" s="246"/>
      <c r="Z42" s="245">
        <v>198.0</v>
      </c>
      <c r="AA42" s="246"/>
      <c r="AB42" s="245">
        <v>198.0</v>
      </c>
      <c r="AC42" s="246"/>
      <c r="AD42" s="245"/>
      <c r="AE42" s="246"/>
      <c r="AF42" s="245"/>
      <c r="AG42" s="389"/>
    </row>
    <row r="43" ht="15.75" customHeight="1">
      <c r="A43" s="248" t="s">
        <v>307</v>
      </c>
      <c r="B43" s="241">
        <f t="shared" ref="B43:B56" si="7">(600-E43)-IFERROR(VLOOKUP(A43,H$11:I$31,2,False),"")-IFERROR(VLOOKUP(A43,J$11:K$31,2,False),"")-IFERROR(VLOOKUP(A43,L$11:M$31,2,False),"")-IFERROR(VLOOKUP(A43,N$11:O$31,2,False),"")-IFERROR(VLOOKUP(A43,P$11:Q$31,2,False),"")-IFERROR(VLOOKUP(A43,R$11:S$31,2,False),"")-IFERROR(VLOOKUP(A43,T$11:U$31,2,False),"")-IFERROR(VLOOKUP(A43,V$11:W$31,2,False),"")-IFERROR(VLOOKUP(A43,X$11:Y$31,2,False),"")-IFERROR(VLOOKUP(A43,Z$11:AA$31,2,False),"")-IFERROR(VLOOKUP(A43,AB$11:AC$31,2,False),"")-IFERROR(VLOOKUP(A43,AD$11:AE$31,2,False),"")-IFERROR(VLOOKUP(A43,AF$11:AG$31,2,False),"")</f>
        <v>600</v>
      </c>
      <c r="E43" s="243"/>
      <c r="F43" s="58"/>
      <c r="G43" s="244" t="s">
        <v>201</v>
      </c>
      <c r="H43" s="245" t="s">
        <v>17</v>
      </c>
      <c r="I43" s="246"/>
      <c r="J43" s="245" t="s">
        <v>17</v>
      </c>
      <c r="K43" s="246"/>
      <c r="L43" s="245" t="s">
        <v>17</v>
      </c>
      <c r="M43" s="246"/>
      <c r="N43" s="245" t="s">
        <v>17</v>
      </c>
      <c r="O43" s="246"/>
      <c r="P43" s="245" t="s">
        <v>17</v>
      </c>
      <c r="Q43" s="246"/>
      <c r="R43" s="245" t="s">
        <v>17</v>
      </c>
      <c r="S43" s="246"/>
      <c r="T43" s="245" t="s">
        <v>17</v>
      </c>
      <c r="U43" s="246"/>
      <c r="V43" s="245" t="s">
        <v>17</v>
      </c>
      <c r="W43" s="246"/>
      <c r="X43" s="245" t="s">
        <v>17</v>
      </c>
      <c r="Y43" s="246"/>
      <c r="Z43" s="245" t="s">
        <v>17</v>
      </c>
      <c r="AA43" s="246"/>
      <c r="AB43" s="245" t="s">
        <v>17</v>
      </c>
      <c r="AC43" s="246"/>
      <c r="AD43" s="245"/>
      <c r="AE43" s="246"/>
      <c r="AF43" s="245"/>
      <c r="AG43" s="389"/>
    </row>
    <row r="44" ht="15.75" customHeight="1">
      <c r="A44" s="248" t="s">
        <v>308</v>
      </c>
      <c r="B44" s="241">
        <f t="shared" si="7"/>
        <v>600</v>
      </c>
      <c r="E44" s="243"/>
      <c r="F44" s="58"/>
      <c r="G44" s="250" t="s">
        <v>277</v>
      </c>
      <c r="H44" s="251" t="str">
        <f>MAX('MD3 Stage 1'!C:C)</f>
        <v>#REF!</v>
      </c>
      <c r="I44" s="254"/>
      <c r="J44" s="251" t="str">
        <f t="shared" ref="J44:K44" si="8">MAX('MD3 Stage 1'!D:D)</f>
        <v>#REF!</v>
      </c>
      <c r="K44" s="254" t="str">
        <f t="shared" si="8"/>
        <v>#REF!</v>
      </c>
      <c r="L44" s="251" t="str">
        <f t="shared" ref="L44:M44" si="9">MAX('MD3 Stage 1'!E:E)</f>
        <v>#REF!</v>
      </c>
      <c r="M44" s="254" t="str">
        <f t="shared" si="9"/>
        <v>#REF!</v>
      </c>
      <c r="N44" s="251" t="str">
        <f>MAX('MD3 Stage 1'!F:F)</f>
        <v>#REF!</v>
      </c>
      <c r="O44" s="254" t="str">
        <f>MAX('MD3 Stage 1'!H:H)</f>
        <v>#REF!</v>
      </c>
      <c r="P44" s="251" t="str">
        <f>MAX('MD3 Stage 1'!G:G)</f>
        <v>#REF!</v>
      </c>
      <c r="Q44" s="254" t="str">
        <f>MAX('MD3 Stage 1'!J:J)</f>
        <v>#REF!</v>
      </c>
      <c r="R44" s="251" t="str">
        <f>MAX('MD3 Stage 1'!H:H)</f>
        <v>#REF!</v>
      </c>
      <c r="S44" s="254" t="str">
        <f>MAX('MD3 Stage 1'!L:L)</f>
        <v>#REF!</v>
      </c>
      <c r="T44" s="251" t="str">
        <f>MAX('MD3 Stage 1'!I:I)</f>
        <v>#REF!</v>
      </c>
      <c r="U44" s="254" t="str">
        <f>MAX('MD3 Stage 1'!N:N)</f>
        <v>#REF!</v>
      </c>
      <c r="V44" s="251" t="str">
        <f>MAX('MD3 Stage 1'!J:J)</f>
        <v>#REF!</v>
      </c>
      <c r="W44" s="254" t="str">
        <f>MAX('MD3 Stage 1'!P:P)</f>
        <v>#REF!</v>
      </c>
      <c r="X44" s="251" t="str">
        <f>MAX('MD3 Stage 1'!K:K)</f>
        <v>#REF!</v>
      </c>
      <c r="Y44" s="254" t="str">
        <f>MAX('MD3 Stage 1'!R:R)</f>
        <v>#REF!</v>
      </c>
      <c r="Z44" s="251" t="str">
        <f>MAX('MD3 Stage 1'!L:L)</f>
        <v>#REF!</v>
      </c>
      <c r="AA44" s="254" t="str">
        <f>MAX('MD3 Stage 1'!T:T)</f>
        <v>#REF!</v>
      </c>
      <c r="AB44" s="251" t="str">
        <f>MAX('MD3 Stage 1'!M:M)</f>
        <v>#REF!</v>
      </c>
      <c r="AC44" s="254" t="str">
        <f>MAX('MD3 Stage 1'!V:V)</f>
        <v>#REF!</v>
      </c>
      <c r="AD44" s="251" t="str">
        <f>MAX('MD3 Stage 1'!N:N)</f>
        <v>#REF!</v>
      </c>
      <c r="AE44" s="254" t="str">
        <f>MAX('MD3 Stage 1'!X:X)</f>
        <v>#REF!</v>
      </c>
      <c r="AF44" s="251" t="str">
        <f>MAX('MD3 Stage 1'!O:O)</f>
        <v>#REF!</v>
      </c>
      <c r="AG44" s="389"/>
    </row>
    <row r="45" ht="15.75" customHeight="1">
      <c r="A45" s="248" t="s">
        <v>309</v>
      </c>
      <c r="B45" s="241">
        <f t="shared" si="7"/>
        <v>600</v>
      </c>
      <c r="E45" s="243"/>
      <c r="F45" s="58"/>
      <c r="G45" s="256" t="s">
        <v>278</v>
      </c>
      <c r="H45" s="257" t="str">
        <f t="shared" ref="H45:AF45" si="10">H48</f>
        <v/>
      </c>
      <c r="I45" s="258" t="str">
        <f t="shared" si="10"/>
        <v/>
      </c>
      <c r="J45" s="257" t="str">
        <f t="shared" si="10"/>
        <v/>
      </c>
      <c r="K45" s="258" t="str">
        <f t="shared" si="10"/>
        <v/>
      </c>
      <c r="L45" s="257" t="str">
        <f t="shared" si="10"/>
        <v/>
      </c>
      <c r="M45" s="258" t="str">
        <f t="shared" si="10"/>
        <v/>
      </c>
      <c r="N45" s="257" t="str">
        <f t="shared" si="10"/>
        <v/>
      </c>
      <c r="O45" s="258" t="str">
        <f t="shared" si="10"/>
        <v/>
      </c>
      <c r="P45" s="257" t="str">
        <f t="shared" si="10"/>
        <v/>
      </c>
      <c r="Q45" s="258" t="str">
        <f t="shared" si="10"/>
        <v/>
      </c>
      <c r="R45" s="257" t="str">
        <f t="shared" si="10"/>
        <v/>
      </c>
      <c r="S45" s="258" t="str">
        <f t="shared" si="10"/>
        <v/>
      </c>
      <c r="T45" s="257" t="str">
        <f t="shared" si="10"/>
        <v/>
      </c>
      <c r="U45" s="258" t="str">
        <f t="shared" si="10"/>
        <v/>
      </c>
      <c r="V45" s="257" t="str">
        <f t="shared" si="10"/>
        <v/>
      </c>
      <c r="W45" s="258" t="str">
        <f t="shared" si="10"/>
        <v/>
      </c>
      <c r="X45" s="257" t="str">
        <f t="shared" si="10"/>
        <v/>
      </c>
      <c r="Y45" s="258" t="str">
        <f t="shared" si="10"/>
        <v/>
      </c>
      <c r="Z45" s="257" t="str">
        <f t="shared" si="10"/>
        <v/>
      </c>
      <c r="AA45" s="258" t="str">
        <f t="shared" si="10"/>
        <v/>
      </c>
      <c r="AB45" s="257" t="str">
        <f t="shared" si="10"/>
        <v/>
      </c>
      <c r="AC45" s="258" t="str">
        <f t="shared" si="10"/>
        <v/>
      </c>
      <c r="AD45" s="257" t="str">
        <f t="shared" si="10"/>
        <v/>
      </c>
      <c r="AE45" s="258" t="str">
        <f t="shared" si="10"/>
        <v/>
      </c>
      <c r="AF45" s="257" t="str">
        <f t="shared" si="10"/>
        <v/>
      </c>
      <c r="AG45" s="389"/>
    </row>
    <row r="46" ht="15.75" customHeight="1">
      <c r="A46" s="248" t="s">
        <v>310</v>
      </c>
      <c r="B46" s="241">
        <f t="shared" si="7"/>
        <v>600</v>
      </c>
      <c r="E46" s="243"/>
      <c r="F46" s="58"/>
      <c r="G46" s="261" t="s">
        <v>279</v>
      </c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306"/>
      <c r="AG46" s="389"/>
    </row>
    <row r="47" ht="15.75" customHeight="1">
      <c r="A47" s="248" t="s">
        <v>311</v>
      </c>
      <c r="B47" s="241">
        <f t="shared" si="7"/>
        <v>600</v>
      </c>
      <c r="E47" s="243"/>
      <c r="F47" s="58"/>
      <c r="G47" s="264" t="s">
        <v>280</v>
      </c>
      <c r="H47" s="265" t="str">
        <f>IFERROR(__xludf.DUMMYFUNCTION("Query('MD3 Stage 2'!$B2:$O118,""Select B, MAX(C) WHERE C&gt;=198 group by B order by max(C) desc"")"),"#REF!")</f>
        <v>#REF!</v>
      </c>
      <c r="I47" s="266"/>
      <c r="J47" s="265" t="str">
        <f>IFERROR(__xludf.DUMMYFUNCTION("Query('MD3 Stage 2'!$B2:$O118,""Select B, MAX(D) WHERE D&gt;=198 group by B order by max(D) desc"")"),"#REF!")</f>
        <v>#REF!</v>
      </c>
      <c r="K47" s="266"/>
      <c r="L47" s="265" t="str">
        <f>IFERROR(__xludf.DUMMYFUNCTION("Query('MD3 Stage 2'!$B2:$O118,""Select B, MAX(E) WHERE E&gt;=198 group by B order by max(E) desc"")"),"#REF!")</f>
        <v>#REF!</v>
      </c>
      <c r="M47" s="266"/>
      <c r="N47" s="265" t="str">
        <f>IFERROR(__xludf.DUMMYFUNCTION("Query('MD3 Stage 2'!$B2:$O118,""Select B, MAX(F) WHERE F&gt;=198 group by B order by max(F) desc"")"),"#REF!")</f>
        <v>#REF!</v>
      </c>
      <c r="O47" s="266"/>
      <c r="P47" s="265" t="str">
        <f>IFERROR(__xludf.DUMMYFUNCTION("Query('MD3 Stage 2'!$B2:$O118,""Select B, MAX(G) WHERE G&gt;=198 group by B order by max(G) desc"")"),"#REF!")</f>
        <v>#REF!</v>
      </c>
      <c r="Q47" s="266"/>
      <c r="R47" s="328" t="str">
        <f>IFERROR(__xludf.DUMMYFUNCTION("Query('MD3 Stage 2'!$B2:$O118,""Select B, MAX(H) WHERE H&gt;=198 group by B order by max(H) desc"")"),"#REF!")</f>
        <v>#REF!</v>
      </c>
      <c r="S47" s="266"/>
      <c r="T47" s="328" t="str">
        <f>IFERROR(__xludf.DUMMYFUNCTION("Query('MD3 Stage 2'!$B2:$O118,""Select B, MAX(I) WHERE I&gt;=198 group by B order by max(I) desc"")"),"#REF!")</f>
        <v>#REF!</v>
      </c>
      <c r="U47" s="266"/>
      <c r="V47" s="328" t="str">
        <f>IFERROR(__xludf.DUMMYFUNCTION("Query('MD3 Stage 2'!$B2:$O118,""Select B, MAX(J) WHERE J&gt;=198 group by B order by max(J) desc"")"),"#REF!")</f>
        <v>#REF!</v>
      </c>
      <c r="W47" s="266"/>
      <c r="X47" s="328" t="str">
        <f>IFERROR(__xludf.DUMMYFUNCTION("Query('MD3 Stage 2'!$B2:$O118,""Select B, MAX(K) WHERE K&gt;=198 group by B order by max(K) desc"")"),"#REF!")</f>
        <v>#REF!</v>
      </c>
      <c r="Y47" s="266"/>
      <c r="Z47" s="265" t="str">
        <f>IFERROR(__xludf.DUMMYFUNCTION("Query('MD3 Stage 2'!$B2:$O118,""Select B, MAX(L) WHERE L&gt;=198 group by B order by max(L) desc"")"),"#REF!")</f>
        <v>#REF!</v>
      </c>
      <c r="AA47" s="266"/>
      <c r="AB47" s="265" t="str">
        <f>IFERROR(__xludf.DUMMYFUNCTION("Query('MD3 Stage 2'!$B2:$O118,""Select B, MAX(M) WHERE M&gt;=198 group by B order by max(M) desc"")"),"#REF!")</f>
        <v>#REF!</v>
      </c>
      <c r="AC47" s="266"/>
      <c r="AD47" s="265" t="str">
        <f>IFERROR(__xludf.DUMMYFUNCTION("Query('MD3 Stage 2'!$B2:$O118,""Select B, MAX(N) WHERE N&gt;=198 group by B order by max(N) desc"")"),"#REF!")</f>
        <v>#REF!</v>
      </c>
      <c r="AE47" s="266"/>
      <c r="AF47" s="265" t="str">
        <f>IFERROR(__xludf.DUMMYFUNCTION("Query('MD3 Stage 2'!$B2:$O118,""Select B, MAX(O) WHERE O&gt;=198 group by B order by max(O) desc"")"),"#REF!")</f>
        <v>#REF!</v>
      </c>
      <c r="AG47" s="389"/>
    </row>
    <row r="48" ht="15.75" customHeight="1">
      <c r="A48" s="248" t="s">
        <v>312</v>
      </c>
      <c r="B48" s="241">
        <f t="shared" si="7"/>
        <v>600</v>
      </c>
      <c r="E48" s="243"/>
      <c r="F48" s="58"/>
      <c r="G48" s="230"/>
      <c r="H48" s="268"/>
      <c r="I48" s="269"/>
      <c r="J48" s="268"/>
      <c r="K48" s="270"/>
      <c r="L48" s="271"/>
      <c r="M48" s="270"/>
      <c r="N48" s="271"/>
      <c r="O48" s="270"/>
      <c r="P48" s="271"/>
      <c r="Q48" s="270"/>
      <c r="R48" s="271"/>
      <c r="S48" s="270"/>
      <c r="T48" s="271"/>
      <c r="U48" s="270"/>
      <c r="V48" s="271"/>
      <c r="W48" s="270"/>
      <c r="X48" s="271"/>
      <c r="Y48" s="270"/>
      <c r="Z48" s="271"/>
      <c r="AA48" s="270"/>
      <c r="AB48" s="271"/>
      <c r="AC48" s="270"/>
      <c r="AD48" s="271"/>
      <c r="AE48" s="273"/>
      <c r="AF48" s="271"/>
      <c r="AG48" s="389"/>
    </row>
    <row r="49" ht="15.75" customHeight="1">
      <c r="A49" s="248" t="s">
        <v>313</v>
      </c>
      <c r="B49" s="241">
        <f t="shared" si="7"/>
        <v>600</v>
      </c>
      <c r="E49" s="243"/>
      <c r="F49" s="58"/>
      <c r="G49" s="89"/>
      <c r="H49" s="276"/>
      <c r="I49" s="269"/>
      <c r="J49" s="276"/>
      <c r="K49" s="270"/>
      <c r="L49" s="277"/>
      <c r="M49" s="270"/>
      <c r="N49" s="277"/>
      <c r="O49" s="270"/>
      <c r="P49" s="277"/>
      <c r="Q49" s="270"/>
      <c r="R49" s="277"/>
      <c r="S49" s="270"/>
      <c r="T49" s="277"/>
      <c r="U49" s="270"/>
      <c r="V49" s="277"/>
      <c r="W49" s="270"/>
      <c r="X49" s="277"/>
      <c r="Y49" s="270"/>
      <c r="Z49" s="277"/>
      <c r="AA49" s="270"/>
      <c r="AB49" s="277"/>
      <c r="AC49" s="270"/>
      <c r="AD49" s="277"/>
      <c r="AE49" s="273"/>
      <c r="AF49" s="277"/>
      <c r="AG49" s="389"/>
    </row>
    <row r="50" ht="15.75" customHeight="1">
      <c r="A50" s="248" t="s">
        <v>314</v>
      </c>
      <c r="B50" s="241">
        <f t="shared" si="7"/>
        <v>600</v>
      </c>
      <c r="E50" s="243"/>
      <c r="F50" s="58"/>
      <c r="G50" s="89"/>
      <c r="H50" s="276"/>
      <c r="I50" s="269"/>
      <c r="J50" s="276"/>
      <c r="K50" s="329"/>
      <c r="L50" s="277"/>
      <c r="M50" s="270"/>
      <c r="N50" s="277"/>
      <c r="O50" s="270"/>
      <c r="P50" s="277"/>
      <c r="Q50" s="270"/>
      <c r="R50" s="277"/>
      <c r="S50" s="270"/>
      <c r="T50" s="277"/>
      <c r="U50" s="270"/>
      <c r="V50" s="277"/>
      <c r="W50" s="270"/>
      <c r="X50" s="277"/>
      <c r="Y50" s="270"/>
      <c r="Z50" s="277"/>
      <c r="AA50" s="270"/>
      <c r="AB50" s="277"/>
      <c r="AC50" s="270"/>
      <c r="AD50" s="277"/>
      <c r="AE50" s="273"/>
      <c r="AF50" s="277"/>
      <c r="AG50" s="389"/>
    </row>
    <row r="51" ht="15.75" customHeight="1">
      <c r="A51" s="248" t="s">
        <v>315</v>
      </c>
      <c r="B51" s="241">
        <f t="shared" si="7"/>
        <v>600</v>
      </c>
      <c r="E51" s="243"/>
      <c r="F51" s="58"/>
      <c r="G51" s="89"/>
      <c r="H51" s="276"/>
      <c r="I51" s="269"/>
      <c r="J51" s="276"/>
      <c r="K51" s="270"/>
      <c r="L51" s="277"/>
      <c r="M51" s="270"/>
      <c r="N51" s="277"/>
      <c r="O51" s="270"/>
      <c r="P51" s="277"/>
      <c r="Q51" s="270"/>
      <c r="R51" s="277"/>
      <c r="S51" s="270"/>
      <c r="T51" s="277"/>
      <c r="U51" s="270"/>
      <c r="V51" s="277"/>
      <c r="W51" s="270"/>
      <c r="X51" s="277"/>
      <c r="Y51" s="270"/>
      <c r="Z51" s="277"/>
      <c r="AA51" s="270"/>
      <c r="AB51" s="288"/>
      <c r="AC51" s="279"/>
      <c r="AD51" s="277"/>
      <c r="AE51" s="273"/>
      <c r="AF51" s="277"/>
      <c r="AG51" s="389"/>
    </row>
    <row r="52" ht="15.75" customHeight="1">
      <c r="A52" s="248" t="s">
        <v>316</v>
      </c>
      <c r="B52" s="241">
        <f t="shared" si="7"/>
        <v>600</v>
      </c>
      <c r="E52" s="243"/>
      <c r="F52" s="58"/>
      <c r="G52" s="89"/>
      <c r="H52" s="276"/>
      <c r="I52" s="269"/>
      <c r="J52" s="276"/>
      <c r="K52" s="270"/>
      <c r="L52" s="277"/>
      <c r="M52" s="270"/>
      <c r="N52" s="277"/>
      <c r="O52" s="270"/>
      <c r="P52" s="277"/>
      <c r="Q52" s="270"/>
      <c r="R52" s="277"/>
      <c r="S52" s="270"/>
      <c r="T52" s="277"/>
      <c r="U52" s="270"/>
      <c r="V52" s="277"/>
      <c r="W52" s="270"/>
      <c r="X52" s="277"/>
      <c r="Y52" s="270"/>
      <c r="Z52" s="277"/>
      <c r="AA52" s="270"/>
      <c r="AB52" s="277"/>
      <c r="AC52" s="270"/>
      <c r="AD52" s="277"/>
      <c r="AE52" s="273"/>
      <c r="AF52" s="277"/>
      <c r="AG52" s="389"/>
    </row>
    <row r="53" ht="15.75" customHeight="1">
      <c r="A53" s="248" t="s">
        <v>317</v>
      </c>
      <c r="B53" s="241">
        <f t="shared" si="7"/>
        <v>600</v>
      </c>
      <c r="E53" s="243"/>
      <c r="F53" s="58"/>
      <c r="G53" s="89"/>
      <c r="H53" s="277"/>
      <c r="I53" s="270"/>
      <c r="J53" s="276"/>
      <c r="K53" s="270"/>
      <c r="L53" s="277"/>
      <c r="M53" s="270"/>
      <c r="N53" s="277"/>
      <c r="O53" s="270"/>
      <c r="P53" s="277"/>
      <c r="Q53" s="270"/>
      <c r="R53" s="277"/>
      <c r="S53" s="270"/>
      <c r="T53" s="277"/>
      <c r="U53" s="270"/>
      <c r="V53" s="277"/>
      <c r="W53" s="270"/>
      <c r="X53" s="277"/>
      <c r="Y53" s="270"/>
      <c r="Z53" s="277"/>
      <c r="AA53" s="270"/>
      <c r="AB53" s="277"/>
      <c r="AC53" s="270"/>
      <c r="AD53" s="277"/>
      <c r="AE53" s="273"/>
      <c r="AF53" s="277"/>
      <c r="AG53" s="389"/>
    </row>
    <row r="54" ht="15.75" customHeight="1">
      <c r="A54" s="248" t="s">
        <v>318</v>
      </c>
      <c r="B54" s="241">
        <f t="shared" si="7"/>
        <v>600</v>
      </c>
      <c r="E54" s="243"/>
      <c r="F54" s="58"/>
      <c r="G54" s="287"/>
      <c r="H54" s="288"/>
      <c r="I54" s="270"/>
      <c r="J54" s="276"/>
      <c r="K54" s="269"/>
      <c r="L54" s="276"/>
      <c r="M54" s="270"/>
      <c r="N54" s="277"/>
      <c r="O54" s="270"/>
      <c r="P54" s="277"/>
      <c r="Q54" s="270"/>
      <c r="R54" s="277"/>
      <c r="S54" s="270"/>
      <c r="T54" s="277"/>
      <c r="U54" s="270"/>
      <c r="V54" s="277"/>
      <c r="W54" s="270"/>
      <c r="X54" s="277"/>
      <c r="Y54" s="270"/>
      <c r="Z54" s="277"/>
      <c r="AA54" s="270"/>
      <c r="AB54" s="277"/>
      <c r="AC54" s="270"/>
      <c r="AD54" s="277"/>
      <c r="AE54" s="273"/>
      <c r="AF54" s="277"/>
      <c r="AG54" s="389"/>
    </row>
    <row r="55" ht="15.75" customHeight="1">
      <c r="A55" s="248" t="s">
        <v>319</v>
      </c>
      <c r="B55" s="241">
        <f t="shared" si="7"/>
        <v>600</v>
      </c>
      <c r="E55" s="243"/>
      <c r="F55" s="58"/>
      <c r="G55" s="89"/>
      <c r="H55" s="277"/>
      <c r="I55" s="270"/>
      <c r="J55" s="276"/>
      <c r="K55" s="270"/>
      <c r="L55" s="277"/>
      <c r="M55" s="270"/>
      <c r="N55" s="277"/>
      <c r="O55" s="270"/>
      <c r="P55" s="277"/>
      <c r="Q55" s="270"/>
      <c r="R55" s="277"/>
      <c r="S55" s="270"/>
      <c r="T55" s="277"/>
      <c r="U55" s="270"/>
      <c r="V55" s="277"/>
      <c r="W55" s="270"/>
      <c r="X55" s="277"/>
      <c r="Y55" s="270"/>
      <c r="Z55" s="277"/>
      <c r="AA55" s="270"/>
      <c r="AB55" s="398"/>
      <c r="AC55" s="399"/>
      <c r="AD55" s="276"/>
      <c r="AE55" s="400"/>
      <c r="AF55" s="276"/>
      <c r="AG55" s="389"/>
    </row>
    <row r="56" ht="15.75" customHeight="1">
      <c r="A56" s="402" t="s">
        <v>320</v>
      </c>
      <c r="B56" s="403">
        <f t="shared" si="7"/>
        <v>600</v>
      </c>
      <c r="C56" s="417"/>
      <c r="D56" s="417"/>
      <c r="E56" s="405"/>
      <c r="F56" s="58"/>
      <c r="G56" s="89"/>
      <c r="H56" s="277"/>
      <c r="I56" s="270"/>
      <c r="J56" s="276"/>
      <c r="K56" s="270"/>
      <c r="L56" s="277"/>
      <c r="M56" s="270"/>
      <c r="N56" s="277"/>
      <c r="O56" s="270"/>
      <c r="P56" s="277"/>
      <c r="Q56" s="270"/>
      <c r="R56" s="277"/>
      <c r="S56" s="270"/>
      <c r="T56" s="277"/>
      <c r="U56" s="270"/>
      <c r="V56" s="277"/>
      <c r="W56" s="270"/>
      <c r="X56" s="277"/>
      <c r="Y56" s="270"/>
      <c r="Z56" s="277"/>
      <c r="AA56" s="270"/>
      <c r="AB56" s="277"/>
      <c r="AC56" s="270"/>
      <c r="AD56" s="277"/>
      <c r="AE56" s="273"/>
      <c r="AF56" s="277"/>
      <c r="AG56" s="389"/>
    </row>
    <row r="57" ht="15.75" customHeight="1">
      <c r="F57" s="58"/>
      <c r="G57" s="89"/>
      <c r="H57" s="277"/>
      <c r="I57" s="270"/>
      <c r="J57" s="277"/>
      <c r="K57" s="270"/>
      <c r="L57" s="277"/>
      <c r="M57" s="270"/>
      <c r="N57" s="277"/>
      <c r="O57" s="270"/>
      <c r="P57" s="277"/>
      <c r="Q57" s="270"/>
      <c r="R57" s="277"/>
      <c r="S57" s="270"/>
      <c r="T57" s="288"/>
      <c r="U57" s="279"/>
      <c r="V57" s="277"/>
      <c r="W57" s="270"/>
      <c r="X57" s="277"/>
      <c r="Y57" s="270"/>
      <c r="Z57" s="277"/>
      <c r="AA57" s="270"/>
      <c r="AB57" s="277"/>
      <c r="AC57" s="270"/>
      <c r="AD57" s="277"/>
      <c r="AE57" s="273"/>
      <c r="AF57" s="277"/>
      <c r="AG57" s="389"/>
    </row>
    <row r="58" ht="15.75" customHeight="1">
      <c r="A58" s="355"/>
      <c r="B58" s="407"/>
      <c r="F58" s="58"/>
      <c r="G58" s="89"/>
      <c r="H58" s="277"/>
      <c r="I58" s="270"/>
      <c r="J58" s="277"/>
      <c r="K58" s="270"/>
      <c r="L58" s="277"/>
      <c r="M58" s="270"/>
      <c r="N58" s="277"/>
      <c r="O58" s="270"/>
      <c r="P58" s="277"/>
      <c r="Q58" s="270"/>
      <c r="R58" s="277"/>
      <c r="S58" s="270"/>
      <c r="T58" s="277"/>
      <c r="U58" s="270"/>
      <c r="V58" s="277"/>
      <c r="W58" s="270"/>
      <c r="X58" s="277"/>
      <c r="Y58" s="270"/>
      <c r="Z58" s="277"/>
      <c r="AA58" s="270"/>
      <c r="AB58" s="277"/>
      <c r="AC58" s="270"/>
      <c r="AD58" s="277"/>
      <c r="AE58" s="273"/>
      <c r="AF58" s="277"/>
      <c r="AG58" s="389"/>
    </row>
    <row r="59" ht="15.75" customHeight="1">
      <c r="A59" s="355"/>
      <c r="B59" s="407"/>
      <c r="F59" s="58"/>
      <c r="G59" s="89"/>
      <c r="H59" s="277"/>
      <c r="I59" s="270"/>
      <c r="J59" s="277"/>
      <c r="K59" s="270"/>
      <c r="L59" s="277"/>
      <c r="M59" s="270"/>
      <c r="N59" s="277"/>
      <c r="O59" s="270"/>
      <c r="P59" s="277"/>
      <c r="Q59" s="270"/>
      <c r="R59" s="277"/>
      <c r="S59" s="270"/>
      <c r="T59" s="277"/>
      <c r="U59" s="270"/>
      <c r="V59" s="277"/>
      <c r="W59" s="270"/>
      <c r="X59" s="277"/>
      <c r="Y59" s="270"/>
      <c r="Z59" s="277"/>
      <c r="AA59" s="270"/>
      <c r="AB59" s="277"/>
      <c r="AC59" s="270"/>
      <c r="AD59" s="277"/>
      <c r="AE59" s="273"/>
      <c r="AF59" s="277"/>
      <c r="AG59" s="389"/>
    </row>
    <row r="60" ht="15.75" customHeight="1">
      <c r="A60" s="355"/>
      <c r="B60" s="407"/>
      <c r="F60" s="59"/>
      <c r="G60" s="89"/>
      <c r="H60" s="322"/>
      <c r="I60" s="270"/>
      <c r="J60" s="277"/>
      <c r="K60" s="270"/>
      <c r="L60" s="277"/>
      <c r="M60" s="270"/>
      <c r="N60" s="277"/>
      <c r="O60" s="270"/>
      <c r="P60" s="277"/>
      <c r="Q60" s="270"/>
      <c r="R60" s="277"/>
      <c r="S60" s="270"/>
      <c r="T60" s="277"/>
      <c r="U60" s="270"/>
      <c r="V60" s="277"/>
      <c r="W60" s="270"/>
      <c r="X60" s="277"/>
      <c r="Y60" s="270"/>
      <c r="Z60" s="277"/>
      <c r="AA60" s="270"/>
      <c r="AB60" s="277"/>
      <c r="AC60" s="270"/>
      <c r="AD60" s="277"/>
      <c r="AE60" s="273"/>
      <c r="AF60" s="277"/>
      <c r="AG60" s="389"/>
    </row>
    <row r="61" ht="15.75" customHeight="1">
      <c r="A61" s="355"/>
      <c r="B61" s="407"/>
      <c r="F61" s="59"/>
      <c r="G61" s="89"/>
      <c r="H61" s="277"/>
      <c r="I61" s="18"/>
      <c r="J61" s="277"/>
      <c r="K61" s="18"/>
      <c r="L61" s="277"/>
      <c r="M61" s="18"/>
      <c r="N61" s="277"/>
      <c r="O61" s="18"/>
      <c r="P61" s="277"/>
      <c r="Q61" s="18"/>
      <c r="R61" s="277"/>
      <c r="S61" s="18"/>
      <c r="T61" s="277"/>
      <c r="U61" s="18"/>
      <c r="V61" s="277"/>
      <c r="W61" s="18"/>
      <c r="X61" s="277"/>
      <c r="Y61" s="18"/>
      <c r="Z61" s="277"/>
      <c r="AA61" s="18"/>
      <c r="AB61" s="277"/>
      <c r="AC61" s="18"/>
      <c r="AD61" s="277"/>
      <c r="AE61" s="18"/>
      <c r="AF61" s="277"/>
      <c r="AG61" s="389"/>
    </row>
    <row r="62" ht="15.75" customHeight="1">
      <c r="F62" s="59"/>
      <c r="G62" s="410"/>
      <c r="H62" s="277"/>
      <c r="I62" s="18"/>
      <c r="J62" s="277"/>
      <c r="K62" s="18"/>
      <c r="L62" s="277"/>
      <c r="M62" s="18"/>
      <c r="N62" s="277"/>
      <c r="O62" s="18"/>
      <c r="P62" s="277"/>
      <c r="Q62" s="18"/>
      <c r="R62" s="277"/>
      <c r="S62" s="18"/>
      <c r="T62" s="277"/>
      <c r="U62" s="18"/>
      <c r="V62" s="277"/>
      <c r="W62" s="18"/>
      <c r="X62" s="277"/>
      <c r="Y62" s="18"/>
      <c r="Z62" s="277"/>
      <c r="AA62" s="18"/>
      <c r="AB62" s="277"/>
      <c r="AC62" s="18"/>
      <c r="AD62" s="277"/>
      <c r="AE62" s="18"/>
      <c r="AF62" s="277"/>
      <c r="AG62" s="389"/>
    </row>
    <row r="63" ht="15.75" customHeight="1">
      <c r="F63" s="58"/>
      <c r="G63" s="59"/>
      <c r="H63" s="412"/>
      <c r="J63" s="412"/>
      <c r="L63" s="412"/>
      <c r="N63" s="412"/>
      <c r="P63" s="412"/>
      <c r="R63" s="412"/>
      <c r="T63" s="412"/>
      <c r="V63" s="412"/>
      <c r="X63" s="412"/>
      <c r="Z63" s="412"/>
      <c r="AB63" s="412"/>
      <c r="AD63" s="412"/>
      <c r="AF63" s="412"/>
      <c r="AG63" s="389"/>
    </row>
    <row r="64" ht="15.75" customHeight="1">
      <c r="F64" s="58"/>
      <c r="G64" s="59"/>
      <c r="H64" s="412"/>
      <c r="J64" s="412"/>
      <c r="L64" s="412"/>
      <c r="N64" s="412"/>
      <c r="P64" s="412"/>
      <c r="R64" s="412"/>
      <c r="T64" s="412"/>
      <c r="V64" s="412"/>
      <c r="X64" s="412"/>
      <c r="Z64" s="412"/>
      <c r="AB64" s="412"/>
      <c r="AD64" s="412"/>
      <c r="AF64" s="412"/>
      <c r="AG64" s="389"/>
    </row>
    <row r="65" ht="15.75" customHeight="1">
      <c r="F65" s="58"/>
      <c r="G65" s="59"/>
      <c r="H65" s="412"/>
      <c r="J65" s="412"/>
      <c r="L65" s="412"/>
      <c r="N65" s="412"/>
      <c r="P65" s="412"/>
      <c r="R65" s="412"/>
      <c r="T65" s="412"/>
      <c r="V65" s="412"/>
      <c r="X65" s="412"/>
      <c r="Z65" s="412"/>
      <c r="AB65" s="412"/>
      <c r="AD65" s="412"/>
      <c r="AF65" s="412"/>
      <c r="AG65" s="389"/>
    </row>
    <row r="66" ht="15.75" customHeight="1">
      <c r="G66" s="58"/>
      <c r="H66" s="414"/>
      <c r="I66" s="415"/>
      <c r="J66" s="414"/>
      <c r="K66" s="415"/>
      <c r="L66" s="414"/>
      <c r="M66" s="415"/>
      <c r="N66" s="414"/>
      <c r="O66" s="415"/>
      <c r="P66" s="414"/>
      <c r="Q66" s="415"/>
      <c r="R66" s="414"/>
      <c r="S66" s="415"/>
      <c r="T66" s="414"/>
      <c r="U66" s="415"/>
      <c r="V66" s="414"/>
      <c r="W66" s="415"/>
      <c r="X66" s="414"/>
      <c r="Y66" s="415"/>
      <c r="Z66" s="414"/>
      <c r="AA66" s="415"/>
      <c r="AB66" s="414"/>
      <c r="AC66" s="415"/>
      <c r="AD66" s="414"/>
      <c r="AE66" s="415"/>
      <c r="AF66" s="414"/>
      <c r="AG66" s="389"/>
    </row>
    <row r="67" ht="15.75" customHeight="1">
      <c r="G67" s="58"/>
      <c r="H67" s="414"/>
      <c r="I67" s="415"/>
      <c r="J67" s="414"/>
      <c r="K67" s="415"/>
      <c r="L67" s="414"/>
      <c r="M67" s="415"/>
      <c r="N67" s="414"/>
      <c r="O67" s="415"/>
      <c r="P67" s="414"/>
      <c r="Q67" s="415"/>
      <c r="R67" s="414"/>
      <c r="S67" s="415"/>
      <c r="T67" s="414"/>
      <c r="U67" s="415"/>
      <c r="V67" s="414"/>
      <c r="W67" s="415"/>
      <c r="X67" s="414"/>
      <c r="Y67" s="415"/>
      <c r="Z67" s="414"/>
      <c r="AA67" s="415"/>
      <c r="AB67" s="414"/>
      <c r="AC67" s="415"/>
      <c r="AD67" s="414"/>
      <c r="AE67" s="415"/>
      <c r="AF67" s="414"/>
      <c r="AG67" s="389"/>
    </row>
    <row r="68" ht="15.75" customHeight="1">
      <c r="G68" s="58"/>
      <c r="H68" s="416"/>
      <c r="I68" s="415"/>
      <c r="J68" s="416"/>
      <c r="K68" s="415"/>
      <c r="L68" s="416"/>
      <c r="M68" s="415"/>
      <c r="N68" s="416"/>
      <c r="O68" s="415"/>
      <c r="P68" s="416"/>
      <c r="Q68" s="415"/>
      <c r="R68" s="416"/>
      <c r="S68" s="415"/>
      <c r="T68" s="416"/>
      <c r="U68" s="415"/>
      <c r="V68" s="416"/>
      <c r="W68" s="415"/>
      <c r="X68" s="416"/>
      <c r="Y68" s="415"/>
      <c r="Z68" s="416"/>
      <c r="AA68" s="415"/>
      <c r="AB68" s="416"/>
      <c r="AC68" s="415"/>
      <c r="AD68" s="416"/>
      <c r="AE68" s="415"/>
      <c r="AF68" s="416"/>
      <c r="AG68" s="389"/>
    </row>
    <row r="69" ht="15.75" customHeight="1">
      <c r="A69" s="225" t="s">
        <v>288</v>
      </c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84"/>
      <c r="AG69" s="389"/>
    </row>
    <row r="70" ht="15.75" customHeight="1">
      <c r="A70" s="230"/>
      <c r="AF70" s="286"/>
      <c r="AG70" s="389"/>
    </row>
    <row r="71" ht="15.75" customHeight="1">
      <c r="A71" s="230"/>
      <c r="AF71" s="286"/>
      <c r="AG71" s="389"/>
    </row>
    <row r="72" ht="15.75" customHeight="1">
      <c r="G72" s="236" t="s">
        <v>275</v>
      </c>
      <c r="H72" s="179" t="s">
        <v>164</v>
      </c>
      <c r="I72" s="237"/>
      <c r="J72" s="179" t="s">
        <v>324</v>
      </c>
      <c r="K72" s="237"/>
      <c r="L72" s="179" t="s">
        <v>325</v>
      </c>
      <c r="M72" s="237"/>
      <c r="N72" s="179" t="s">
        <v>53</v>
      </c>
      <c r="O72" s="237"/>
      <c r="P72" s="179" t="s">
        <v>80</v>
      </c>
      <c r="Q72" s="237"/>
      <c r="R72" s="179" t="s">
        <v>133</v>
      </c>
      <c r="S72" s="237"/>
      <c r="T72" s="179" t="s">
        <v>107</v>
      </c>
      <c r="U72" s="237"/>
      <c r="V72" s="179" t="s">
        <v>326</v>
      </c>
      <c r="W72" s="237"/>
      <c r="X72" s="179" t="s">
        <v>129</v>
      </c>
      <c r="Y72" s="237"/>
      <c r="Z72" s="179" t="s">
        <v>139</v>
      </c>
      <c r="AA72" s="237"/>
      <c r="AB72" s="179" t="s">
        <v>142</v>
      </c>
      <c r="AC72" s="237"/>
      <c r="AD72" s="179"/>
      <c r="AE72" s="237"/>
      <c r="AF72" s="179"/>
      <c r="AG72" s="389"/>
    </row>
    <row r="73" ht="15.75" customHeight="1">
      <c r="G73" s="244" t="s">
        <v>274</v>
      </c>
      <c r="H73" s="245">
        <v>198.0</v>
      </c>
      <c r="I73" s="246"/>
      <c r="J73" s="245">
        <v>198.0</v>
      </c>
      <c r="K73" s="246"/>
      <c r="L73" s="245">
        <v>198.0</v>
      </c>
      <c r="M73" s="246"/>
      <c r="N73" s="245">
        <v>198.0</v>
      </c>
      <c r="O73" s="246"/>
      <c r="P73" s="245">
        <v>198.0</v>
      </c>
      <c r="Q73" s="246"/>
      <c r="R73" s="245">
        <v>198.0</v>
      </c>
      <c r="S73" s="246"/>
      <c r="T73" s="245">
        <v>198.0</v>
      </c>
      <c r="U73" s="246"/>
      <c r="V73" s="245">
        <v>198.0</v>
      </c>
      <c r="W73" s="246"/>
      <c r="X73" s="245">
        <v>198.0</v>
      </c>
      <c r="Y73" s="246"/>
      <c r="Z73" s="245">
        <v>198.0</v>
      </c>
      <c r="AA73" s="246"/>
      <c r="AB73" s="245">
        <v>198.0</v>
      </c>
      <c r="AC73" s="246"/>
      <c r="AD73" s="245">
        <v>198.0</v>
      </c>
      <c r="AE73" s="246"/>
      <c r="AF73" s="245">
        <v>198.0</v>
      </c>
      <c r="AG73" s="389"/>
    </row>
    <row r="74" ht="15.75" customHeight="1">
      <c r="G74" s="244" t="s">
        <v>201</v>
      </c>
      <c r="H74" s="245" t="s">
        <v>17</v>
      </c>
      <c r="I74" s="246"/>
      <c r="J74" s="245" t="s">
        <v>17</v>
      </c>
      <c r="K74" s="246"/>
      <c r="L74" s="245" t="s">
        <v>17</v>
      </c>
      <c r="M74" s="246"/>
      <c r="N74" s="245" t="s">
        <v>17</v>
      </c>
      <c r="O74" s="246"/>
      <c r="P74" s="245" t="s">
        <v>17</v>
      </c>
      <c r="Q74" s="246"/>
      <c r="R74" s="245" t="s">
        <v>17</v>
      </c>
      <c r="S74" s="246"/>
      <c r="T74" s="245" t="s">
        <v>17</v>
      </c>
      <c r="U74" s="246"/>
      <c r="V74" s="245" t="s">
        <v>17</v>
      </c>
      <c r="W74" s="246"/>
      <c r="X74" s="245" t="s">
        <v>17</v>
      </c>
      <c r="Y74" s="246"/>
      <c r="Z74" s="245" t="s">
        <v>17</v>
      </c>
      <c r="AA74" s="246"/>
      <c r="AB74" s="245" t="s">
        <v>17</v>
      </c>
      <c r="AC74" s="246"/>
      <c r="AD74" s="245" t="s">
        <v>18</v>
      </c>
      <c r="AE74" s="246"/>
      <c r="AF74" s="245" t="s">
        <v>18</v>
      </c>
      <c r="AG74" s="389"/>
    </row>
    <row r="75" ht="15.75" customHeight="1">
      <c r="G75" s="250" t="s">
        <v>277</v>
      </c>
      <c r="H75" s="251" t="str">
        <f>MAX('MD3 Stage 1'!C:C)</f>
        <v>#REF!</v>
      </c>
      <c r="I75" s="254"/>
      <c r="J75" s="251" t="str">
        <f t="shared" ref="J75:K75" si="11">MAX('MD3 Stage 1'!D:D)</f>
        <v>#REF!</v>
      </c>
      <c r="K75" s="254" t="str">
        <f t="shared" si="11"/>
        <v>#REF!</v>
      </c>
      <c r="L75" s="251" t="str">
        <f t="shared" ref="L75:M75" si="12">MAX('MD3 Stage 1'!E:E)</f>
        <v>#REF!</v>
      </c>
      <c r="M75" s="254" t="str">
        <f t="shared" si="12"/>
        <v>#REF!</v>
      </c>
      <c r="N75" s="251" t="str">
        <f>MAX('MD3 Stage 1'!F:F)</f>
        <v>#REF!</v>
      </c>
      <c r="O75" s="254" t="str">
        <f>MAX('MD3 Stage 1'!H:H)</f>
        <v>#REF!</v>
      </c>
      <c r="P75" s="251" t="str">
        <f>MAX('MD3 Stage 1'!G:G)</f>
        <v>#REF!</v>
      </c>
      <c r="Q75" s="254" t="str">
        <f>MAX('MD3 Stage 1'!J:J)</f>
        <v>#REF!</v>
      </c>
      <c r="R75" s="251" t="str">
        <f>MAX('MD3 Stage 1'!H:H)</f>
        <v>#REF!</v>
      </c>
      <c r="S75" s="254" t="str">
        <f>MAX('MD3 Stage 1'!L:L)</f>
        <v>#REF!</v>
      </c>
      <c r="T75" s="251" t="str">
        <f>MAX('MD3 Stage 1'!I:I)</f>
        <v>#REF!</v>
      </c>
      <c r="U75" s="254" t="str">
        <f>MAX('MD3 Stage 1'!N:N)</f>
        <v>#REF!</v>
      </c>
      <c r="V75" s="251" t="str">
        <f>MAX('MD3 Stage 1'!J:J)</f>
        <v>#REF!</v>
      </c>
      <c r="W75" s="254" t="str">
        <f>MAX('MD3 Stage 1'!P:P)</f>
        <v>#REF!</v>
      </c>
      <c r="X75" s="251" t="str">
        <f>MAX('MD3 Stage 1'!K:K)</f>
        <v>#REF!</v>
      </c>
      <c r="Y75" s="254" t="str">
        <f>MAX('MD3 Stage 1'!R:R)</f>
        <v>#REF!</v>
      </c>
      <c r="Z75" s="251" t="str">
        <f>MAX('MD3 Stage 1'!L:L)</f>
        <v>#REF!</v>
      </c>
      <c r="AA75" s="254" t="str">
        <f>MAX('MD3 Stage 1'!T:T)</f>
        <v>#REF!</v>
      </c>
      <c r="AB75" s="251" t="str">
        <f>MAX('MD3 Stage 1'!M:M)</f>
        <v>#REF!</v>
      </c>
      <c r="AC75" s="254" t="str">
        <f>MAX('MD3 Stage 1'!V:V)</f>
        <v>#REF!</v>
      </c>
      <c r="AD75" s="251" t="str">
        <f>MAX('MD3 Stage 1'!N:N)</f>
        <v>#REF!</v>
      </c>
      <c r="AE75" s="254" t="str">
        <f>MAX('MD3 Stage 1'!X:X)</f>
        <v>#REF!</v>
      </c>
      <c r="AF75" s="251" t="str">
        <f>MAX('MD3 Stage 1'!O:O)</f>
        <v>#REF!</v>
      </c>
      <c r="AG75" s="389"/>
    </row>
    <row r="76" ht="15.75" customHeight="1">
      <c r="G76" s="256" t="s">
        <v>278</v>
      </c>
      <c r="H76" s="257" t="str">
        <f t="shared" ref="H76:AF76" si="13">H79</f>
        <v/>
      </c>
      <c r="I76" s="258" t="str">
        <f t="shared" si="13"/>
        <v/>
      </c>
      <c r="J76" s="257" t="str">
        <f t="shared" si="13"/>
        <v/>
      </c>
      <c r="K76" s="258" t="str">
        <f t="shared" si="13"/>
        <v/>
      </c>
      <c r="L76" s="257" t="str">
        <f t="shared" si="13"/>
        <v/>
      </c>
      <c r="M76" s="258" t="str">
        <f t="shared" si="13"/>
        <v/>
      </c>
      <c r="N76" s="257" t="str">
        <f t="shared" si="13"/>
        <v/>
      </c>
      <c r="O76" s="258" t="str">
        <f t="shared" si="13"/>
        <v/>
      </c>
      <c r="P76" s="257" t="str">
        <f t="shared" si="13"/>
        <v/>
      </c>
      <c r="Q76" s="258" t="str">
        <f t="shared" si="13"/>
        <v/>
      </c>
      <c r="R76" s="257" t="str">
        <f t="shared" si="13"/>
        <v/>
      </c>
      <c r="S76" s="258" t="str">
        <f t="shared" si="13"/>
        <v/>
      </c>
      <c r="T76" s="257" t="str">
        <f t="shared" si="13"/>
        <v/>
      </c>
      <c r="U76" s="258" t="str">
        <f t="shared" si="13"/>
        <v/>
      </c>
      <c r="V76" s="257" t="str">
        <f t="shared" si="13"/>
        <v/>
      </c>
      <c r="W76" s="258" t="str">
        <f t="shared" si="13"/>
        <v/>
      </c>
      <c r="X76" s="257" t="str">
        <f t="shared" si="13"/>
        <v/>
      </c>
      <c r="Y76" s="258" t="str">
        <f t="shared" si="13"/>
        <v/>
      </c>
      <c r="Z76" s="257" t="str">
        <f t="shared" si="13"/>
        <v/>
      </c>
      <c r="AA76" s="258" t="str">
        <f t="shared" si="13"/>
        <v/>
      </c>
      <c r="AB76" s="257" t="str">
        <f t="shared" si="13"/>
        <v/>
      </c>
      <c r="AC76" s="258" t="str">
        <f t="shared" si="13"/>
        <v/>
      </c>
      <c r="AD76" s="257" t="str">
        <f t="shared" si="13"/>
        <v/>
      </c>
      <c r="AE76" s="258" t="str">
        <f t="shared" si="13"/>
        <v/>
      </c>
      <c r="AF76" s="257" t="str">
        <f t="shared" si="13"/>
        <v/>
      </c>
      <c r="AG76" s="389"/>
    </row>
    <row r="77" ht="15.75" customHeight="1">
      <c r="G77" s="261" t="s">
        <v>279</v>
      </c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306"/>
      <c r="AG77" s="389"/>
    </row>
    <row r="78" ht="15.75" customHeight="1">
      <c r="G78" s="264" t="s">
        <v>280</v>
      </c>
      <c r="H78" s="265" t="str">
        <f>IFERROR(__xludf.DUMMYFUNCTION("Query('MD3 Stage 2'!$B33:$O118,""Select B, MAX(C) WHERE C&gt;=198 group by B order by max(C) desc"")"),"#REF!")</f>
        <v>#REF!</v>
      </c>
      <c r="I78" s="266"/>
      <c r="J78" s="265" t="str">
        <f>IFERROR(__xludf.DUMMYFUNCTION("Query('MD3 Stage 2'!$B33:$O118,""Select B, MAX(D) WHERE D&gt;=198 group by B order by max(D) desc"")"),"#REF!")</f>
        <v>#REF!</v>
      </c>
      <c r="K78" s="266"/>
      <c r="L78" s="265" t="str">
        <f>IFERROR(__xludf.DUMMYFUNCTION("Query('MD3 Stage 2'!$B33:$O118,""Select B, MAX(E) WHERE E&gt;=198 group by B order by max(E) desc"")"),"#REF!")</f>
        <v>#REF!</v>
      </c>
      <c r="M78" s="266"/>
      <c r="N78" s="265" t="str">
        <f>IFERROR(__xludf.DUMMYFUNCTION("Query('MD3 Stage 2'!$B33:$O118,""Select B, MAX(F) WHERE F&gt;=198 group by B order by max(F) desc"")"),"#REF!")</f>
        <v>#REF!</v>
      </c>
      <c r="O78" s="266"/>
      <c r="P78" s="265" t="str">
        <f>IFERROR(__xludf.DUMMYFUNCTION("Query('MD3 Stage 2'!$B33:$O118,""Select B, MAX(G) WHERE G&gt;=198 group by B order by max(G) desc"")"),"#REF!")</f>
        <v>#REF!</v>
      </c>
      <c r="Q78" s="266"/>
      <c r="R78" s="328" t="str">
        <f>IFERROR(__xludf.DUMMYFUNCTION("Query('MD3 Stage 2'!$B33:$O118,""Select B, MAX(H) WHERE H&gt;=198 group by B order by max(H) desc"")"),"#REF!")</f>
        <v>#REF!</v>
      </c>
      <c r="S78" s="266"/>
      <c r="T78" s="328" t="str">
        <f>IFERROR(__xludf.DUMMYFUNCTION("Query('MD3 Stage 2'!$B33:$O118,""Select B, MAX(I) WHERE I&gt;=198 group by B order by max(I) desc"")"),"#REF!")</f>
        <v>#REF!</v>
      </c>
      <c r="U78" s="266"/>
      <c r="V78" s="328" t="str">
        <f>IFERROR(__xludf.DUMMYFUNCTION("Query('MD3 Stage 2'!$B33:$O118,""Select B, MAX(J) WHERE J&gt;=198 group by B order by max(J) desc"")"),"#REF!")</f>
        <v>#REF!</v>
      </c>
      <c r="W78" s="266"/>
      <c r="X78" s="328" t="str">
        <f>IFERROR(__xludf.DUMMYFUNCTION("Query('MD3 Stage 2'!$B33:$O118,""Select B, MAX(K) WHERE K&gt;=198 group by B order by max(K) desc"")"),"#REF!")</f>
        <v>#REF!</v>
      </c>
      <c r="Y78" s="266"/>
      <c r="Z78" s="265" t="str">
        <f>IFERROR(__xludf.DUMMYFUNCTION("Query('MD3 Stage 2'!$B33:$O118,""Select B, MAX(L) WHERE L&gt;=198 group by B order by max(L) desc"")"),"#REF!")</f>
        <v>#REF!</v>
      </c>
      <c r="AA78" s="266"/>
      <c r="AB78" s="265" t="str">
        <f>IFERROR(__xludf.DUMMYFUNCTION("Query('MD3 Stage 2'!$B33:$O118,""Select B, MAX(M) WHERE M&gt;=198 group by B order by max(M) desc"")"),"#REF!")</f>
        <v>#REF!</v>
      </c>
      <c r="AC78" s="266"/>
      <c r="AD78" s="265" t="str">
        <f>IFERROR(__xludf.DUMMYFUNCTION("Query('MD3 Stage 2'!$B33:$O118,""Select B, MAX(N) WHERE N&gt;=198 group by B order by max(N) desc"")"),"#REF!")</f>
        <v>#REF!</v>
      </c>
      <c r="AE78" s="266"/>
      <c r="AF78" s="265" t="str">
        <f>IFERROR(__xludf.DUMMYFUNCTION("Query('MD3 Stage 2'!$B33:$O118,""Select B, MAX(O) WHERE O&gt;=198 group by B order by max(O) desc"")"),"#REF!")</f>
        <v>#REF!</v>
      </c>
      <c r="AG78" s="389"/>
    </row>
    <row r="79" ht="15.75" customHeight="1">
      <c r="G79" s="230"/>
      <c r="H79" s="268"/>
      <c r="I79" s="269"/>
      <c r="J79" s="268"/>
      <c r="K79" s="270"/>
      <c r="L79" s="271"/>
      <c r="M79" s="270"/>
      <c r="N79" s="271"/>
      <c r="O79" s="270"/>
      <c r="P79" s="271"/>
      <c r="Q79" s="270"/>
      <c r="R79" s="271"/>
      <c r="S79" s="270"/>
      <c r="T79" s="271"/>
      <c r="U79" s="270"/>
      <c r="V79" s="271"/>
      <c r="W79" s="270"/>
      <c r="X79" s="271"/>
      <c r="Y79" s="270"/>
      <c r="Z79" s="271"/>
      <c r="AA79" s="270"/>
      <c r="AB79" s="271"/>
      <c r="AC79" s="270"/>
      <c r="AD79" s="271"/>
      <c r="AE79" s="273"/>
      <c r="AF79" s="271"/>
      <c r="AG79" s="389"/>
    </row>
    <row r="80" ht="15.75" customHeight="1">
      <c r="G80" s="89"/>
      <c r="H80" s="276"/>
      <c r="I80" s="269"/>
      <c r="J80" s="276"/>
      <c r="K80" s="270"/>
      <c r="L80" s="277"/>
      <c r="M80" s="270"/>
      <c r="N80" s="277"/>
      <c r="O80" s="270"/>
      <c r="P80" s="277"/>
      <c r="Q80" s="270"/>
      <c r="R80" s="277"/>
      <c r="S80" s="270"/>
      <c r="T80" s="277"/>
      <c r="U80" s="270"/>
      <c r="V80" s="277"/>
      <c r="W80" s="270"/>
      <c r="X80" s="277"/>
      <c r="Y80" s="270"/>
      <c r="Z80" s="277"/>
      <c r="AA80" s="270"/>
      <c r="AB80" s="277"/>
      <c r="AC80" s="270"/>
      <c r="AD80" s="277"/>
      <c r="AE80" s="273"/>
      <c r="AF80" s="277"/>
      <c r="AG80" s="389"/>
    </row>
    <row r="81" ht="15.75" customHeight="1">
      <c r="G81" s="89"/>
      <c r="H81" s="276"/>
      <c r="I81" s="269"/>
      <c r="J81" s="276"/>
      <c r="K81" s="329"/>
      <c r="L81" s="277"/>
      <c r="M81" s="270"/>
      <c r="N81" s="277"/>
      <c r="O81" s="270"/>
      <c r="P81" s="277"/>
      <c r="Q81" s="270"/>
      <c r="R81" s="277"/>
      <c r="S81" s="270"/>
      <c r="T81" s="277"/>
      <c r="U81" s="270"/>
      <c r="V81" s="277"/>
      <c r="W81" s="270"/>
      <c r="X81" s="277"/>
      <c r="Y81" s="270"/>
      <c r="Z81" s="277"/>
      <c r="AA81" s="270"/>
      <c r="AB81" s="277"/>
      <c r="AC81" s="270"/>
      <c r="AD81" s="277"/>
      <c r="AE81" s="273"/>
      <c r="AF81" s="277"/>
      <c r="AG81" s="389"/>
    </row>
    <row r="82" ht="15.75" customHeight="1">
      <c r="G82" s="89"/>
      <c r="H82" s="276"/>
      <c r="I82" s="269"/>
      <c r="J82" s="276"/>
      <c r="K82" s="270"/>
      <c r="L82" s="277"/>
      <c r="M82" s="270"/>
      <c r="N82" s="277"/>
      <c r="O82" s="270"/>
      <c r="P82" s="277"/>
      <c r="Q82" s="270"/>
      <c r="R82" s="277"/>
      <c r="S82" s="270"/>
      <c r="T82" s="277"/>
      <c r="U82" s="270"/>
      <c r="V82" s="277"/>
      <c r="W82" s="270"/>
      <c r="X82" s="277"/>
      <c r="Y82" s="270"/>
      <c r="Z82" s="277"/>
      <c r="AA82" s="270"/>
      <c r="AB82" s="288"/>
      <c r="AC82" s="279"/>
      <c r="AD82" s="277"/>
      <c r="AE82" s="273"/>
      <c r="AF82" s="277"/>
      <c r="AG82" s="389"/>
    </row>
    <row r="83" ht="15.75" customHeight="1">
      <c r="G83" s="89"/>
      <c r="H83" s="276"/>
      <c r="I83" s="269"/>
      <c r="J83" s="276"/>
      <c r="K83" s="270"/>
      <c r="L83" s="277"/>
      <c r="M83" s="270"/>
      <c r="N83" s="277"/>
      <c r="O83" s="270"/>
      <c r="P83" s="277"/>
      <c r="Q83" s="270"/>
      <c r="R83" s="277"/>
      <c r="S83" s="270"/>
      <c r="T83" s="277"/>
      <c r="U83" s="270"/>
      <c r="V83" s="277"/>
      <c r="W83" s="270"/>
      <c r="X83" s="277"/>
      <c r="Y83" s="270"/>
      <c r="Z83" s="277"/>
      <c r="AA83" s="270"/>
      <c r="AB83" s="277"/>
      <c r="AC83" s="270"/>
      <c r="AD83" s="277"/>
      <c r="AE83" s="273"/>
      <c r="AF83" s="277"/>
      <c r="AG83" s="389"/>
    </row>
    <row r="84" ht="15.75" customHeight="1">
      <c r="G84" s="89"/>
      <c r="H84" s="277"/>
      <c r="I84" s="270"/>
      <c r="J84" s="276"/>
      <c r="K84" s="270"/>
      <c r="L84" s="277"/>
      <c r="M84" s="270"/>
      <c r="N84" s="277"/>
      <c r="O84" s="270"/>
      <c r="P84" s="277"/>
      <c r="Q84" s="270"/>
      <c r="R84" s="277"/>
      <c r="S84" s="270"/>
      <c r="T84" s="277"/>
      <c r="U84" s="270"/>
      <c r="V84" s="277"/>
      <c r="W84" s="270"/>
      <c r="X84" s="277"/>
      <c r="Y84" s="270"/>
      <c r="Z84" s="277"/>
      <c r="AA84" s="270"/>
      <c r="AB84" s="277"/>
      <c r="AC84" s="270"/>
      <c r="AD84" s="277"/>
      <c r="AE84" s="273"/>
      <c r="AF84" s="277"/>
      <c r="AG84" s="389"/>
    </row>
    <row r="85" ht="15.75" customHeight="1">
      <c r="G85" s="287"/>
      <c r="H85" s="288"/>
      <c r="I85" s="270"/>
      <c r="J85" s="276"/>
      <c r="K85" s="269"/>
      <c r="L85" s="276"/>
      <c r="M85" s="270"/>
      <c r="N85" s="277"/>
      <c r="O85" s="270"/>
      <c r="P85" s="277"/>
      <c r="Q85" s="270"/>
      <c r="R85" s="277"/>
      <c r="S85" s="270"/>
      <c r="T85" s="277"/>
      <c r="U85" s="270"/>
      <c r="V85" s="277"/>
      <c r="W85" s="270"/>
      <c r="X85" s="277"/>
      <c r="Y85" s="270"/>
      <c r="Z85" s="277"/>
      <c r="AA85" s="270"/>
      <c r="AB85" s="277"/>
      <c r="AC85" s="270"/>
      <c r="AD85" s="277"/>
      <c r="AE85" s="273"/>
      <c r="AF85" s="277"/>
      <c r="AG85" s="389"/>
    </row>
    <row r="86" ht="15.75" customHeight="1">
      <c r="G86" s="89"/>
      <c r="H86" s="277"/>
      <c r="I86" s="270"/>
      <c r="J86" s="276"/>
      <c r="K86" s="270"/>
      <c r="L86" s="277"/>
      <c r="M86" s="270"/>
      <c r="N86" s="277"/>
      <c r="O86" s="270"/>
      <c r="P86" s="277"/>
      <c r="Q86" s="270"/>
      <c r="R86" s="277"/>
      <c r="S86" s="270"/>
      <c r="T86" s="277"/>
      <c r="U86" s="270"/>
      <c r="V86" s="277"/>
      <c r="W86" s="270"/>
      <c r="X86" s="277"/>
      <c r="Y86" s="270"/>
      <c r="Z86" s="277"/>
      <c r="AA86" s="270"/>
      <c r="AB86" s="398"/>
      <c r="AC86" s="399"/>
      <c r="AD86" s="276"/>
      <c r="AE86" s="400"/>
      <c r="AF86" s="276"/>
      <c r="AG86" s="389"/>
    </row>
    <row r="87" ht="15.75" customHeight="1">
      <c r="G87" s="89"/>
      <c r="H87" s="277"/>
      <c r="I87" s="270"/>
      <c r="J87" s="276"/>
      <c r="K87" s="270"/>
      <c r="L87" s="277"/>
      <c r="M87" s="270"/>
      <c r="N87" s="277"/>
      <c r="O87" s="270"/>
      <c r="P87" s="277"/>
      <c r="Q87" s="270"/>
      <c r="R87" s="277"/>
      <c r="S87" s="270"/>
      <c r="T87" s="277"/>
      <c r="U87" s="270"/>
      <c r="V87" s="277"/>
      <c r="W87" s="270"/>
      <c r="X87" s="277"/>
      <c r="Y87" s="270"/>
      <c r="Z87" s="277"/>
      <c r="AA87" s="270"/>
      <c r="AB87" s="277"/>
      <c r="AC87" s="270"/>
      <c r="AD87" s="277"/>
      <c r="AE87" s="273"/>
      <c r="AF87" s="277"/>
      <c r="AG87" s="389"/>
    </row>
    <row r="88" ht="15.75" customHeight="1">
      <c r="G88" s="89"/>
      <c r="H88" s="277"/>
      <c r="I88" s="270"/>
      <c r="J88" s="277"/>
      <c r="K88" s="270"/>
      <c r="L88" s="277"/>
      <c r="M88" s="270"/>
      <c r="N88" s="277"/>
      <c r="O88" s="270"/>
      <c r="P88" s="277"/>
      <c r="Q88" s="270"/>
      <c r="R88" s="277"/>
      <c r="S88" s="270"/>
      <c r="T88" s="288"/>
      <c r="U88" s="279"/>
      <c r="V88" s="277"/>
      <c r="W88" s="270"/>
      <c r="X88" s="277"/>
      <c r="Y88" s="270"/>
      <c r="Z88" s="277"/>
      <c r="AA88" s="270"/>
      <c r="AB88" s="277"/>
      <c r="AC88" s="270"/>
      <c r="AD88" s="277"/>
      <c r="AE88" s="273"/>
      <c r="AF88" s="277"/>
      <c r="AG88" s="389"/>
    </row>
    <row r="89" ht="15.75" customHeight="1">
      <c r="G89" s="89"/>
      <c r="H89" s="277"/>
      <c r="I89" s="270"/>
      <c r="J89" s="277"/>
      <c r="K89" s="270"/>
      <c r="L89" s="277"/>
      <c r="M89" s="270"/>
      <c r="N89" s="277"/>
      <c r="O89" s="270"/>
      <c r="P89" s="277"/>
      <c r="Q89" s="270"/>
      <c r="R89" s="277"/>
      <c r="S89" s="270"/>
      <c r="T89" s="277"/>
      <c r="U89" s="270"/>
      <c r="V89" s="277"/>
      <c r="W89" s="270"/>
      <c r="X89" s="277"/>
      <c r="Y89" s="270"/>
      <c r="Z89" s="277"/>
      <c r="AA89" s="270"/>
      <c r="AB89" s="277"/>
      <c r="AC89" s="270"/>
      <c r="AD89" s="277"/>
      <c r="AE89" s="273"/>
      <c r="AF89" s="277"/>
      <c r="AG89" s="389"/>
    </row>
    <row r="90" ht="15.75" customHeight="1">
      <c r="G90" s="89"/>
      <c r="H90" s="277"/>
      <c r="I90" s="270"/>
      <c r="J90" s="277"/>
      <c r="K90" s="270"/>
      <c r="L90" s="277"/>
      <c r="M90" s="270"/>
      <c r="N90" s="277"/>
      <c r="O90" s="270"/>
      <c r="P90" s="277"/>
      <c r="Q90" s="270"/>
      <c r="R90" s="277"/>
      <c r="S90" s="270"/>
      <c r="T90" s="277"/>
      <c r="U90" s="270"/>
      <c r="V90" s="277"/>
      <c r="W90" s="270"/>
      <c r="X90" s="277"/>
      <c r="Y90" s="270"/>
      <c r="Z90" s="277"/>
      <c r="AA90" s="270"/>
      <c r="AB90" s="277"/>
      <c r="AC90" s="270"/>
      <c r="AD90" s="277"/>
      <c r="AE90" s="273"/>
      <c r="AF90" s="277"/>
      <c r="AG90" s="389"/>
    </row>
    <row r="91" ht="15.75" customHeight="1">
      <c r="G91" s="89"/>
      <c r="H91" s="322"/>
      <c r="I91" s="270"/>
      <c r="J91" s="277"/>
      <c r="K91" s="270"/>
      <c r="L91" s="277"/>
      <c r="M91" s="270"/>
      <c r="N91" s="277"/>
      <c r="O91" s="270"/>
      <c r="P91" s="277"/>
      <c r="Q91" s="270"/>
      <c r="R91" s="277"/>
      <c r="S91" s="270"/>
      <c r="T91" s="277"/>
      <c r="U91" s="270"/>
      <c r="V91" s="277"/>
      <c r="W91" s="270"/>
      <c r="X91" s="277"/>
      <c r="Y91" s="270"/>
      <c r="Z91" s="277"/>
      <c r="AA91" s="270"/>
      <c r="AB91" s="277"/>
      <c r="AC91" s="270"/>
      <c r="AD91" s="277"/>
      <c r="AE91" s="273"/>
      <c r="AF91" s="277"/>
      <c r="AG91" s="389"/>
    </row>
    <row r="92" ht="15.75" customHeight="1">
      <c r="G92" s="89"/>
      <c r="H92" s="277"/>
      <c r="I92" s="18"/>
      <c r="J92" s="277"/>
      <c r="K92" s="18"/>
      <c r="L92" s="277"/>
      <c r="M92" s="18"/>
      <c r="N92" s="277"/>
      <c r="O92" s="18"/>
      <c r="P92" s="277"/>
      <c r="Q92" s="18"/>
      <c r="R92" s="277"/>
      <c r="S92" s="18"/>
      <c r="T92" s="277"/>
      <c r="U92" s="18"/>
      <c r="V92" s="277"/>
      <c r="W92" s="18"/>
      <c r="X92" s="277"/>
      <c r="Y92" s="18"/>
      <c r="Z92" s="277"/>
      <c r="AA92" s="18"/>
      <c r="AB92" s="277"/>
      <c r="AC92" s="18"/>
      <c r="AD92" s="277"/>
      <c r="AE92" s="18"/>
      <c r="AF92" s="277"/>
      <c r="AG92" s="389"/>
    </row>
    <row r="93" ht="15.75" customHeight="1">
      <c r="G93" s="410"/>
      <c r="H93" s="277"/>
      <c r="I93" s="18"/>
      <c r="J93" s="277"/>
      <c r="K93" s="18"/>
      <c r="L93" s="277"/>
      <c r="M93" s="18"/>
      <c r="N93" s="277"/>
      <c r="O93" s="18"/>
      <c r="P93" s="277"/>
      <c r="Q93" s="18"/>
      <c r="R93" s="277"/>
      <c r="S93" s="18"/>
      <c r="T93" s="277"/>
      <c r="U93" s="18"/>
      <c r="V93" s="277"/>
      <c r="W93" s="18"/>
      <c r="X93" s="277"/>
      <c r="Y93" s="18"/>
      <c r="Z93" s="277"/>
      <c r="AA93" s="18"/>
      <c r="AB93" s="277"/>
      <c r="AC93" s="18"/>
      <c r="AD93" s="277"/>
      <c r="AE93" s="18"/>
      <c r="AF93" s="277"/>
      <c r="AG93" s="389"/>
    </row>
    <row r="94" ht="15.75" customHeight="1">
      <c r="G94" s="59"/>
      <c r="H94" s="412"/>
      <c r="J94" s="412"/>
      <c r="L94" s="412"/>
      <c r="N94" s="412"/>
      <c r="P94" s="412"/>
      <c r="R94" s="412"/>
      <c r="T94" s="412"/>
      <c r="V94" s="412"/>
      <c r="X94" s="412"/>
      <c r="Z94" s="412"/>
      <c r="AB94" s="412"/>
      <c r="AD94" s="412"/>
      <c r="AF94" s="412"/>
      <c r="AG94" s="389"/>
    </row>
    <row r="95" ht="15.75" customHeight="1">
      <c r="G95" s="59"/>
      <c r="H95" s="412"/>
      <c r="J95" s="412"/>
      <c r="L95" s="412"/>
      <c r="N95" s="412"/>
      <c r="P95" s="412"/>
      <c r="R95" s="412"/>
      <c r="T95" s="412"/>
      <c r="V95" s="412"/>
      <c r="X95" s="412"/>
      <c r="Z95" s="412"/>
      <c r="AB95" s="412"/>
      <c r="AD95" s="412"/>
      <c r="AF95" s="412"/>
      <c r="AG95" s="389"/>
    </row>
    <row r="96" ht="15.75" customHeight="1">
      <c r="G96" s="59"/>
      <c r="H96" s="412"/>
      <c r="J96" s="412"/>
      <c r="L96" s="412"/>
      <c r="N96" s="412"/>
      <c r="P96" s="412"/>
      <c r="R96" s="412"/>
      <c r="T96" s="412"/>
      <c r="V96" s="412"/>
      <c r="X96" s="412"/>
      <c r="Z96" s="412"/>
      <c r="AB96" s="412"/>
      <c r="AD96" s="412"/>
      <c r="AF96" s="412"/>
      <c r="AG96" s="389"/>
    </row>
    <row r="97" ht="15.75" customHeight="1">
      <c r="G97" s="58"/>
      <c r="H97" s="414"/>
      <c r="I97" s="415"/>
      <c r="J97" s="414"/>
      <c r="K97" s="415"/>
      <c r="L97" s="414"/>
      <c r="M97" s="415"/>
      <c r="N97" s="414"/>
      <c r="O97" s="415"/>
      <c r="P97" s="414"/>
      <c r="Q97" s="415"/>
      <c r="R97" s="414"/>
      <c r="S97" s="415"/>
      <c r="T97" s="414"/>
      <c r="U97" s="415"/>
      <c r="V97" s="414"/>
      <c r="W97" s="415"/>
      <c r="X97" s="414"/>
      <c r="Y97" s="415"/>
      <c r="Z97" s="414"/>
      <c r="AA97" s="415"/>
      <c r="AB97" s="414"/>
      <c r="AC97" s="415"/>
      <c r="AD97" s="414"/>
      <c r="AE97" s="415"/>
      <c r="AF97" s="414"/>
      <c r="AG97" s="389"/>
    </row>
    <row r="98" ht="15.75" customHeight="1">
      <c r="G98" s="58"/>
      <c r="H98" s="414"/>
      <c r="I98" s="415"/>
      <c r="J98" s="414"/>
      <c r="K98" s="415"/>
      <c r="L98" s="414"/>
      <c r="M98" s="415"/>
      <c r="N98" s="414"/>
      <c r="O98" s="415"/>
      <c r="P98" s="414"/>
      <c r="Q98" s="415"/>
      <c r="R98" s="414"/>
      <c r="S98" s="415"/>
      <c r="T98" s="414"/>
      <c r="U98" s="415"/>
      <c r="V98" s="414"/>
      <c r="W98" s="415"/>
      <c r="X98" s="414"/>
      <c r="Y98" s="415"/>
      <c r="Z98" s="414"/>
      <c r="AA98" s="415"/>
      <c r="AB98" s="414"/>
      <c r="AC98" s="415"/>
      <c r="AD98" s="414"/>
      <c r="AE98" s="415"/>
      <c r="AF98" s="414"/>
      <c r="AG98" s="389"/>
    </row>
    <row r="99" ht="15.75" customHeight="1">
      <c r="G99" s="58"/>
      <c r="H99" s="416"/>
      <c r="I99" s="415"/>
      <c r="J99" s="416"/>
      <c r="K99" s="415"/>
      <c r="L99" s="416"/>
      <c r="M99" s="415"/>
      <c r="N99" s="416"/>
      <c r="O99" s="415"/>
      <c r="P99" s="416"/>
      <c r="Q99" s="415"/>
      <c r="R99" s="416"/>
      <c r="S99" s="415"/>
      <c r="T99" s="416"/>
      <c r="U99" s="415"/>
      <c r="V99" s="416"/>
      <c r="W99" s="415"/>
      <c r="X99" s="416"/>
      <c r="Y99" s="415"/>
      <c r="Z99" s="416"/>
      <c r="AA99" s="415"/>
      <c r="AB99" s="416"/>
      <c r="AC99" s="415"/>
      <c r="AD99" s="416"/>
      <c r="AE99" s="415"/>
      <c r="AF99" s="416"/>
      <c r="AG99" s="389"/>
    </row>
    <row r="100" ht="15.75" customHeight="1">
      <c r="I100" s="418"/>
      <c r="K100" s="418"/>
      <c r="M100" s="418"/>
      <c r="O100" s="418"/>
      <c r="Q100" s="418"/>
      <c r="S100" s="418"/>
      <c r="U100" s="418"/>
      <c r="W100" s="418"/>
      <c r="Y100" s="418"/>
      <c r="AA100" s="418"/>
      <c r="AC100" s="418"/>
      <c r="AE100" s="389"/>
      <c r="AG100" s="389"/>
    </row>
    <row r="101" ht="15.75" customHeight="1">
      <c r="I101" s="418"/>
      <c r="K101" s="418"/>
      <c r="M101" s="418"/>
      <c r="O101" s="418"/>
      <c r="Q101" s="418"/>
      <c r="S101" s="418"/>
      <c r="U101" s="418"/>
      <c r="W101" s="418"/>
      <c r="Y101" s="418"/>
      <c r="AA101" s="418"/>
      <c r="AC101" s="418"/>
      <c r="AE101" s="389"/>
      <c r="AG101" s="389"/>
    </row>
    <row r="102" ht="15.75" customHeight="1">
      <c r="I102" s="418"/>
      <c r="K102" s="418"/>
      <c r="M102" s="418"/>
      <c r="O102" s="418"/>
      <c r="Q102" s="418"/>
      <c r="S102" s="418"/>
      <c r="U102" s="418"/>
      <c r="W102" s="418"/>
      <c r="Y102" s="418"/>
      <c r="AA102" s="418"/>
      <c r="AC102" s="418"/>
      <c r="AE102" s="389"/>
      <c r="AG102" s="389"/>
    </row>
    <row r="103" ht="15.75" customHeight="1">
      <c r="I103" s="418"/>
      <c r="K103" s="418"/>
      <c r="M103" s="418"/>
      <c r="O103" s="418"/>
      <c r="Q103" s="418"/>
      <c r="S103" s="418"/>
      <c r="U103" s="418"/>
      <c r="W103" s="418"/>
      <c r="Y103" s="418"/>
      <c r="AA103" s="418"/>
      <c r="AC103" s="418"/>
      <c r="AE103" s="389"/>
      <c r="AG103" s="389"/>
    </row>
    <row r="104" ht="15.75" customHeight="1">
      <c r="I104" s="418"/>
      <c r="K104" s="418"/>
      <c r="M104" s="418"/>
      <c r="O104" s="418"/>
      <c r="Q104" s="418"/>
      <c r="S104" s="418"/>
      <c r="U104" s="418"/>
      <c r="W104" s="418"/>
      <c r="Y104" s="418"/>
      <c r="AA104" s="418"/>
      <c r="AC104" s="418"/>
      <c r="AE104" s="389"/>
      <c r="AG104" s="389"/>
    </row>
    <row r="105" ht="15.75" customHeight="1">
      <c r="I105" s="418"/>
      <c r="K105" s="418"/>
      <c r="M105" s="418"/>
      <c r="O105" s="418"/>
      <c r="Q105" s="418"/>
      <c r="S105" s="418"/>
      <c r="U105" s="418"/>
      <c r="W105" s="418"/>
      <c r="Y105" s="418"/>
      <c r="AA105" s="418"/>
      <c r="AC105" s="418"/>
      <c r="AE105" s="389"/>
      <c r="AG105" s="389"/>
    </row>
    <row r="106" ht="15.75" customHeight="1">
      <c r="I106" s="418"/>
      <c r="K106" s="418"/>
      <c r="M106" s="418"/>
      <c r="O106" s="418"/>
      <c r="Q106" s="418"/>
      <c r="S106" s="418"/>
      <c r="U106" s="418"/>
      <c r="W106" s="418"/>
      <c r="Y106" s="418"/>
      <c r="AA106" s="418"/>
      <c r="AC106" s="418"/>
      <c r="AE106" s="389"/>
      <c r="AG106" s="389"/>
    </row>
    <row r="107" ht="15.75" customHeight="1">
      <c r="I107" s="418"/>
      <c r="K107" s="418"/>
      <c r="M107" s="418"/>
      <c r="O107" s="418"/>
      <c r="Q107" s="418"/>
      <c r="S107" s="418"/>
      <c r="U107" s="418"/>
      <c r="W107" s="418"/>
      <c r="Y107" s="418"/>
      <c r="AA107" s="418"/>
      <c r="AC107" s="418"/>
      <c r="AE107" s="389"/>
      <c r="AG107" s="389"/>
    </row>
    <row r="108" ht="15.75" customHeight="1">
      <c r="I108" s="418"/>
      <c r="K108" s="418"/>
      <c r="M108" s="418"/>
      <c r="O108" s="418"/>
      <c r="Q108" s="418"/>
      <c r="S108" s="418"/>
      <c r="U108" s="418"/>
      <c r="W108" s="418"/>
      <c r="Y108" s="418"/>
      <c r="AA108" s="418"/>
      <c r="AC108" s="418"/>
      <c r="AE108" s="389"/>
      <c r="AG108" s="389"/>
    </row>
    <row r="109" ht="15.75" customHeight="1">
      <c r="I109" s="418"/>
      <c r="K109" s="418"/>
      <c r="M109" s="418"/>
      <c r="O109" s="418"/>
      <c r="Q109" s="418"/>
      <c r="S109" s="418"/>
      <c r="U109" s="418"/>
      <c r="W109" s="418"/>
      <c r="Y109" s="418"/>
      <c r="AA109" s="418"/>
      <c r="AC109" s="418"/>
      <c r="AE109" s="389"/>
      <c r="AG109" s="389"/>
    </row>
    <row r="110" ht="15.75" customHeight="1">
      <c r="I110" s="418"/>
      <c r="K110" s="418"/>
      <c r="M110" s="418"/>
      <c r="O110" s="418"/>
      <c r="Q110" s="418"/>
      <c r="S110" s="418"/>
      <c r="U110" s="418"/>
      <c r="W110" s="418"/>
      <c r="Y110" s="418"/>
      <c r="AA110" s="418"/>
      <c r="AC110" s="418"/>
      <c r="AE110" s="389"/>
      <c r="AG110" s="389"/>
    </row>
    <row r="111" ht="15.75" customHeight="1">
      <c r="I111" s="418"/>
      <c r="K111" s="418"/>
      <c r="M111" s="418"/>
      <c r="O111" s="418"/>
      <c r="Q111" s="418"/>
      <c r="S111" s="418"/>
      <c r="U111" s="418"/>
      <c r="W111" s="418"/>
      <c r="Y111" s="418"/>
      <c r="AA111" s="418"/>
      <c r="AC111" s="418"/>
      <c r="AE111" s="389"/>
      <c r="AG111" s="389"/>
    </row>
    <row r="112" ht="15.75" customHeight="1">
      <c r="I112" s="418"/>
      <c r="K112" s="418"/>
      <c r="M112" s="418"/>
      <c r="O112" s="418"/>
      <c r="Q112" s="418"/>
      <c r="S112" s="418"/>
      <c r="U112" s="418"/>
      <c r="W112" s="418"/>
      <c r="Y112" s="418"/>
      <c r="AA112" s="418"/>
      <c r="AC112" s="418"/>
      <c r="AE112" s="389"/>
      <c r="AG112" s="389"/>
    </row>
    <row r="113" ht="15.75" customHeight="1">
      <c r="I113" s="418"/>
      <c r="K113" s="418"/>
      <c r="M113" s="418"/>
      <c r="O113" s="418"/>
      <c r="Q113" s="418"/>
      <c r="S113" s="418"/>
      <c r="U113" s="418"/>
      <c r="W113" s="418"/>
      <c r="Y113" s="418"/>
      <c r="AA113" s="418"/>
      <c r="AC113" s="418"/>
      <c r="AE113" s="389"/>
      <c r="AG113" s="389"/>
    </row>
    <row r="114" ht="15.75" customHeight="1">
      <c r="I114" s="418"/>
      <c r="K114" s="418"/>
      <c r="M114" s="418"/>
      <c r="O114" s="418"/>
      <c r="Q114" s="418"/>
      <c r="S114" s="418"/>
      <c r="U114" s="418"/>
      <c r="W114" s="418"/>
      <c r="Y114" s="418"/>
      <c r="AA114" s="418"/>
      <c r="AC114" s="418"/>
      <c r="AE114" s="389"/>
      <c r="AG114" s="389"/>
    </row>
    <row r="115" ht="15.75" customHeight="1">
      <c r="I115" s="418"/>
      <c r="K115" s="418"/>
      <c r="M115" s="418"/>
      <c r="O115" s="418"/>
      <c r="Q115" s="418"/>
      <c r="S115" s="418"/>
      <c r="U115" s="418"/>
      <c r="W115" s="418"/>
      <c r="Y115" s="418"/>
      <c r="AA115" s="418"/>
      <c r="AC115" s="418"/>
      <c r="AE115" s="389"/>
      <c r="AG115" s="389"/>
    </row>
    <row r="116" ht="15.75" customHeight="1">
      <c r="I116" s="418"/>
      <c r="K116" s="418"/>
      <c r="M116" s="418"/>
      <c r="O116" s="418"/>
      <c r="Q116" s="418"/>
      <c r="S116" s="418"/>
      <c r="U116" s="418"/>
      <c r="W116" s="418"/>
      <c r="Y116" s="418"/>
      <c r="AA116" s="418"/>
      <c r="AC116" s="418"/>
      <c r="AE116" s="389"/>
      <c r="AG116" s="389"/>
    </row>
    <row r="117" ht="15.75" customHeight="1">
      <c r="I117" s="418"/>
      <c r="K117" s="418"/>
      <c r="M117" s="418"/>
      <c r="O117" s="418"/>
      <c r="Q117" s="418"/>
      <c r="S117" s="418"/>
      <c r="U117" s="418"/>
      <c r="W117" s="418"/>
      <c r="Y117" s="418"/>
      <c r="AA117" s="418"/>
      <c r="AC117" s="418"/>
      <c r="AE117" s="389"/>
      <c r="AG117" s="389"/>
    </row>
    <row r="118" ht="15.75" customHeight="1">
      <c r="I118" s="418"/>
      <c r="K118" s="418"/>
      <c r="M118" s="418"/>
      <c r="O118" s="418"/>
      <c r="Q118" s="418"/>
      <c r="S118" s="418"/>
      <c r="U118" s="418"/>
      <c r="W118" s="418"/>
      <c r="Y118" s="418"/>
      <c r="AA118" s="418"/>
      <c r="AC118" s="418"/>
      <c r="AE118" s="389"/>
      <c r="AG118" s="38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35:AF37"/>
    <mergeCell ref="A38:AF40"/>
    <mergeCell ref="G46:AF46"/>
    <mergeCell ref="G47:G48"/>
    <mergeCell ref="A69:AF71"/>
    <mergeCell ref="G77:AF77"/>
    <mergeCell ref="G78:G79"/>
    <mergeCell ref="A1:AF3"/>
    <mergeCell ref="G9:AF9"/>
    <mergeCell ref="G10:G11"/>
    <mergeCell ref="B25:C25"/>
    <mergeCell ref="B26:C28"/>
    <mergeCell ref="B30:C32"/>
    <mergeCell ref="H32:AF34"/>
  </mergeCells>
  <conditionalFormatting sqref="B5:D24 B41:B61">
    <cfRule type="cellIs" dxfId="12" priority="1" operator="lessThan">
      <formula>0</formula>
    </cfRule>
  </conditionalFormatting>
  <hyperlinks>
    <hyperlink r:id="rId1" ref="A25"/>
    <hyperlink r:id="rId2" ref="A26"/>
    <hyperlink r:id="rId3" ref="A27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4.5"/>
    <col customWidth="1" min="2" max="3" width="6.88"/>
    <col customWidth="1" min="4" max="6" width="12.63"/>
  </cols>
  <sheetData>
    <row r="1" ht="15.75" customHeight="1">
      <c r="A1" s="419"/>
      <c r="B1" s="419"/>
      <c r="C1" s="419"/>
      <c r="D1" s="420" t="s">
        <v>327</v>
      </c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</row>
    <row r="2" ht="15.75" customHeight="1">
      <c r="A2" s="421" t="s">
        <v>9</v>
      </c>
      <c r="B2" s="421" t="s">
        <v>328</v>
      </c>
      <c r="C2" s="421" t="s">
        <v>329</v>
      </c>
      <c r="D2" s="422" t="s">
        <v>330</v>
      </c>
      <c r="E2" s="423" t="s">
        <v>331</v>
      </c>
      <c r="F2" s="423" t="s">
        <v>332</v>
      </c>
      <c r="G2" s="423" t="s">
        <v>333</v>
      </c>
      <c r="H2" s="424" t="s">
        <v>334</v>
      </c>
      <c r="I2" s="423" t="s">
        <v>335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</row>
    <row r="3" ht="15.75" customHeight="1">
      <c r="A3" s="5" t="s">
        <v>15</v>
      </c>
      <c r="B3" s="21" t="s">
        <v>336</v>
      </c>
      <c r="C3" s="21" t="s">
        <v>231</v>
      </c>
      <c r="D3" s="100">
        <f>IFERROR(VLOOKUP(A3,HistoryHalo4!2:144,10,0),)</f>
        <v>2.685421166</v>
      </c>
      <c r="E3" s="100">
        <f>IFERROR(VLOOKUP(A3,HistoryHalo4!2:144,9,0),)</f>
        <v>4.371</v>
      </c>
      <c r="H3" s="425">
        <f>IFERROR(VLOOKUP(A3,HistoryHalo4!2:144,2,0),)</f>
        <v>0.8481</v>
      </c>
    </row>
    <row r="4" ht="15.75" customHeight="1">
      <c r="A4" s="19" t="s">
        <v>20</v>
      </c>
      <c r="B4" s="19"/>
      <c r="C4" s="21" t="s">
        <v>212</v>
      </c>
      <c r="D4" s="100" t="str">
        <f>IFERROR(VLOOKUP(A4,HistoryHalo4!4:150,10,0),)</f>
        <v/>
      </c>
      <c r="E4" s="100" t="str">
        <f>IFERROR(VLOOKUP(A4,HistoryHalo4!4:150,9,0),)</f>
        <v/>
      </c>
      <c r="H4" s="425" t="str">
        <f>IFERROR(VLOOKUP(A4,HistoryHalo4!4:150,2,0),)</f>
        <v/>
      </c>
    </row>
    <row r="5" ht="15.75" customHeight="1">
      <c r="A5" s="22" t="s">
        <v>21</v>
      </c>
      <c r="B5" s="19"/>
      <c r="C5" s="21" t="s">
        <v>231</v>
      </c>
      <c r="D5" s="100" t="str">
        <f>IFERROR(VLOOKUP(A5,HistoryHalo4!5:151,10,0),)</f>
        <v/>
      </c>
      <c r="E5" s="100" t="str">
        <f>IFERROR(VLOOKUP(A5,HistoryHalo4!5:151,9,0),)</f>
        <v/>
      </c>
      <c r="H5" s="425" t="str">
        <f>IFERROR(VLOOKUP(A5,HistoryHalo4!5:151,2,0),)</f>
        <v/>
      </c>
    </row>
    <row r="6" ht="15.75" customHeight="1">
      <c r="A6" s="5" t="s">
        <v>24</v>
      </c>
      <c r="B6" s="19"/>
      <c r="C6" s="21" t="s">
        <v>212</v>
      </c>
      <c r="D6" s="100">
        <f>IFERROR(VLOOKUP(A6,HistoryHalo4!6:152,10,0),)</f>
        <v>0.1794616152</v>
      </c>
      <c r="E6" s="100" t="str">
        <f>IFERROR(VLOOKUP(A6,HistoryHalo4!6:152,9,0),)</f>
        <v/>
      </c>
      <c r="H6" s="425" t="str">
        <f>IFERROR(VLOOKUP(A6,HistoryHalo4!6:152,2,0),)</f>
        <v/>
      </c>
    </row>
    <row r="7" ht="15.75" customHeight="1">
      <c r="A7" s="19" t="s">
        <v>26</v>
      </c>
      <c r="B7" s="19"/>
      <c r="C7" s="21" t="s">
        <v>231</v>
      </c>
      <c r="D7" s="100" t="str">
        <f>IFERROR(VLOOKUP(A7,HistoryHalo4!7:153,10,0),)</f>
        <v/>
      </c>
      <c r="E7" s="100" t="str">
        <f>IFERROR(VLOOKUP(A7,HistoryHalo4!7:153,9,0),)</f>
        <v/>
      </c>
      <c r="H7" s="425" t="str">
        <f>IFERROR(VLOOKUP(A7,HistoryHalo4!7:153,2,0),)</f>
        <v/>
      </c>
    </row>
    <row r="8" ht="15.75" customHeight="1">
      <c r="A8" s="22" t="s">
        <v>27</v>
      </c>
      <c r="B8" s="21" t="s">
        <v>337</v>
      </c>
      <c r="C8" s="21" t="s">
        <v>219</v>
      </c>
      <c r="D8" s="100" t="str">
        <f>IFERROR(VLOOKUP(A8,HistoryHalo4!8:154,10,0),)</f>
        <v/>
      </c>
      <c r="E8" s="100">
        <f>IFERROR(VLOOKUP(A8,HistoryHalo4!8:154,9,0),)</f>
        <v>0.983</v>
      </c>
      <c r="H8" s="425">
        <f>IFERROR(VLOOKUP(A8,HistoryHalo4!8:154,2,0),)</f>
        <v>0.5178</v>
      </c>
    </row>
    <row r="9" ht="15.75" customHeight="1">
      <c r="A9" s="5" t="s">
        <v>30</v>
      </c>
      <c r="B9" s="19"/>
      <c r="C9" s="21" t="s">
        <v>212</v>
      </c>
      <c r="D9" s="100" t="str">
        <f>IFERROR(VLOOKUP(A9,HistoryHalo4!9:155,10,0),)</f>
        <v/>
      </c>
      <c r="E9" s="100" t="str">
        <f>IFERROR(VLOOKUP(A9,HistoryHalo4!9:155,9,0),)</f>
        <v/>
      </c>
      <c r="H9" s="425">
        <f>IFERROR(VLOOKUP(A9,HistoryHalo4!9:155,2,0),)</f>
        <v>0.5603</v>
      </c>
    </row>
    <row r="10" ht="15.75" customHeight="1">
      <c r="A10" s="5" t="s">
        <v>31</v>
      </c>
      <c r="B10" s="21" t="s">
        <v>336</v>
      </c>
      <c r="C10" s="21" t="s">
        <v>212</v>
      </c>
      <c r="D10" s="100">
        <f>IFERROR(VLOOKUP(A10,HistoryHalo4!10:156,10,0),)</f>
        <v>4.004315907</v>
      </c>
      <c r="E10" s="100" t="str">
        <f>IFERROR(VLOOKUP(A10,HistoryHalo4!10:156,9,0),)</f>
        <v/>
      </c>
      <c r="H10" s="425">
        <f>IFERROR(VLOOKUP(A10,HistoryHalo4!10:156,2,0),)</f>
        <v>0.7497</v>
      </c>
    </row>
    <row r="11" ht="15.75" customHeight="1">
      <c r="A11" s="5" t="s">
        <v>33</v>
      </c>
      <c r="B11" s="21" t="s">
        <v>336</v>
      </c>
      <c r="C11" s="21" t="s">
        <v>219</v>
      </c>
      <c r="D11" s="100">
        <f>IFERROR(VLOOKUP(A11,HistoryHalo4!11:157,10,0),)</f>
        <v>1.294219154</v>
      </c>
      <c r="E11" s="100">
        <f>IFERROR(VLOOKUP(A11,HistoryHalo4!11:157,9,0),)</f>
        <v>1.16</v>
      </c>
      <c r="H11" s="425" t="str">
        <f>IFERROR(VLOOKUP(A11,HistoryHalo4!11:157,2,0),)</f>
        <v/>
      </c>
    </row>
    <row r="12" ht="15.75" customHeight="1">
      <c r="A12" s="5" t="s">
        <v>34</v>
      </c>
      <c r="B12" s="21" t="s">
        <v>337</v>
      </c>
      <c r="C12" s="21" t="s">
        <v>338</v>
      </c>
      <c r="D12" s="100" t="str">
        <f>IFERROR(VLOOKUP(A12,HistoryHalo4!12:158,10,0),)</f>
        <v/>
      </c>
      <c r="E12" s="100">
        <f>IFERROR(VLOOKUP(A12,HistoryHalo4!12:158,9,0),)</f>
        <v>0.244</v>
      </c>
      <c r="H12" s="425">
        <f>IFERROR(VLOOKUP(A12,HistoryHalo4!12:158,2,0),)</f>
        <v>0.8458</v>
      </c>
    </row>
    <row r="13" ht="15.75" customHeight="1">
      <c r="A13" s="5" t="s">
        <v>36</v>
      </c>
      <c r="B13" s="21" t="s">
        <v>336</v>
      </c>
      <c r="C13" s="21" t="s">
        <v>212</v>
      </c>
      <c r="D13" s="100">
        <f>IFERROR(VLOOKUP(A13,HistoryHalo4!13:159,10,0),)</f>
        <v>1.117862166</v>
      </c>
      <c r="E13" s="100">
        <f>IFERROR(VLOOKUP(A13,HistoryHalo4!13:159,9,0),)</f>
        <v>0.156</v>
      </c>
      <c r="H13" s="425" t="str">
        <f>IFERROR(VLOOKUP(A13,HistoryHalo4!13:159,2,0),)</f>
        <v/>
      </c>
    </row>
    <row r="14" ht="15.75" customHeight="1">
      <c r="A14" s="5" t="s">
        <v>38</v>
      </c>
      <c r="B14" s="21" t="s">
        <v>337</v>
      </c>
      <c r="C14" s="21" t="s">
        <v>212</v>
      </c>
      <c r="D14" s="100">
        <f>IFERROR(VLOOKUP(A14,HistoryHalo4!14:160,10,0),)</f>
        <v>0.7057377049</v>
      </c>
      <c r="E14" s="100">
        <f>IFERROR(VLOOKUP(A14,HistoryHalo4!14:160,9,0),)</f>
        <v>0.897</v>
      </c>
      <c r="H14" s="425">
        <f>IFERROR(VLOOKUP(A14,HistoryHalo4!14:160,2,0),)</f>
        <v>0.707</v>
      </c>
    </row>
    <row r="15" ht="15.75" customHeight="1">
      <c r="A15" s="22" t="s">
        <v>39</v>
      </c>
      <c r="B15" s="19"/>
      <c r="C15" s="21" t="s">
        <v>231</v>
      </c>
      <c r="D15" s="100" t="str">
        <f>IFERROR(VLOOKUP(A15,HistoryHalo4!15:161,10,0),)</f>
        <v/>
      </c>
      <c r="E15" s="100" t="str">
        <f>IFERROR(VLOOKUP(A15,HistoryHalo4!15:161,9,0),)</f>
        <v/>
      </c>
      <c r="H15" s="425" t="str">
        <f>IFERROR(VLOOKUP(A15,HistoryHalo4!15:161,2,0),)</f>
        <v/>
      </c>
    </row>
    <row r="16" ht="15.75" customHeight="1">
      <c r="A16" s="5" t="s">
        <v>40</v>
      </c>
      <c r="B16" s="19"/>
      <c r="C16" s="21" t="s">
        <v>338</v>
      </c>
      <c r="D16" s="100">
        <f>IFERROR(VLOOKUP(A16,HistoryHalo4!16:162,10,0),)</f>
        <v>0.5449660466</v>
      </c>
      <c r="E16" s="100">
        <f>IFERROR(VLOOKUP(A16,HistoryHalo4!16:162,9,0),)</f>
        <v>0.449</v>
      </c>
      <c r="H16" s="425">
        <f>IFERROR(VLOOKUP(A16,HistoryHalo4!16:162,2,0),)</f>
        <v>0.6349</v>
      </c>
    </row>
    <row r="17" ht="15.75" customHeight="1">
      <c r="A17" s="5" t="s">
        <v>41</v>
      </c>
      <c r="B17" s="21" t="s">
        <v>336</v>
      </c>
      <c r="C17" s="21" t="s">
        <v>212</v>
      </c>
      <c r="D17" s="100" t="str">
        <f>IFERROR(VLOOKUP(A17,HistoryHalo4!17:163,10,0),)</f>
        <v/>
      </c>
      <c r="E17" s="100" t="str">
        <f>IFERROR(VLOOKUP(A17,HistoryHalo4!17:163,9,0),)</f>
        <v/>
      </c>
      <c r="H17" s="425" t="str">
        <f>IFERROR(VLOOKUP(A17,HistoryHalo4!17:163,2,0),)</f>
        <v/>
      </c>
    </row>
    <row r="18" ht="15.75" customHeight="1">
      <c r="A18" s="5" t="s">
        <v>42</v>
      </c>
      <c r="B18" s="21" t="s">
        <v>336</v>
      </c>
      <c r="C18" s="21" t="s">
        <v>219</v>
      </c>
      <c r="D18" s="100">
        <f>IFERROR(VLOOKUP(A18,HistoryHalo4!18:164,10,0),)</f>
        <v>1.810467174</v>
      </c>
      <c r="E18" s="100">
        <f>IFERROR(VLOOKUP(A18,HistoryHalo4!18:164,9,0),)</f>
        <v>1.915</v>
      </c>
      <c r="H18" s="425">
        <f>IFERROR(VLOOKUP(A18,HistoryHalo4!18:164,2,0),)</f>
        <v>0.6568</v>
      </c>
    </row>
    <row r="19" ht="15.75" customHeight="1">
      <c r="A19" s="5" t="s">
        <v>43</v>
      </c>
      <c r="B19" s="19"/>
      <c r="C19" s="21" t="s">
        <v>231</v>
      </c>
      <c r="D19" s="100" t="str">
        <f>IFERROR(VLOOKUP(A19,HistoryHalo4!19:165,10,0),)</f>
        <v/>
      </c>
      <c r="E19" s="100">
        <f>IFERROR(VLOOKUP(A19,HistoryHalo4!19:165,9,0),)</f>
        <v>2.684</v>
      </c>
      <c r="H19" s="425">
        <f>IFERROR(VLOOKUP(A19,HistoryHalo4!19:165,2,0),)</f>
        <v>0.7755</v>
      </c>
    </row>
    <row r="20" ht="15.75" customHeight="1">
      <c r="A20" s="19" t="s">
        <v>44</v>
      </c>
      <c r="B20" s="19"/>
      <c r="C20" s="21" t="s">
        <v>231</v>
      </c>
      <c r="D20" s="100" t="str">
        <f>IFERROR(VLOOKUP(A20,HistoryHalo4!20:166,10,0),)</f>
        <v/>
      </c>
      <c r="E20" s="100" t="str">
        <f>IFERROR(VLOOKUP(A20,HistoryHalo4!20:166,9,0),)</f>
        <v/>
      </c>
      <c r="H20" s="425" t="str">
        <f>IFERROR(VLOOKUP(A20,HistoryHalo4!20:166,2,0),)</f>
        <v/>
      </c>
    </row>
    <row r="21" ht="15.75" customHeight="1">
      <c r="A21" s="5" t="s">
        <v>45</v>
      </c>
      <c r="B21" s="19"/>
      <c r="C21" s="21" t="s">
        <v>231</v>
      </c>
      <c r="D21" s="100">
        <f>IFERROR(VLOOKUP(A21,HistoryHalo4!21:167,10,0),)</f>
        <v>0.6813736574</v>
      </c>
      <c r="E21" s="100">
        <f>IFERROR(VLOOKUP(A21,HistoryHalo4!21:167,9,0),)</f>
        <v>1.062</v>
      </c>
      <c r="H21" s="425" t="str">
        <f>IFERROR(VLOOKUP(A21,HistoryHalo4!21:167,2,0),)</f>
        <v/>
      </c>
    </row>
    <row r="22" ht="15.75" customHeight="1">
      <c r="A22" s="5" t="s">
        <v>46</v>
      </c>
      <c r="B22" s="21" t="s">
        <v>336</v>
      </c>
      <c r="C22" s="21" t="s">
        <v>212</v>
      </c>
      <c r="D22" s="100" t="str">
        <f>IFERROR(VLOOKUP(A22,HistoryHalo4!22:168,10,0),)</f>
        <v/>
      </c>
      <c r="E22" s="100" t="str">
        <f>IFERROR(VLOOKUP(A22,HistoryHalo4!22:168,9,0),)</f>
        <v/>
      </c>
      <c r="H22" s="425" t="str">
        <f>IFERROR(VLOOKUP(A22,HistoryHalo4!22:168,2,0),)</f>
        <v/>
      </c>
    </row>
    <row r="23" ht="15.75" customHeight="1">
      <c r="A23" s="5" t="s">
        <v>47</v>
      </c>
      <c r="B23" s="19"/>
      <c r="C23" s="21" t="s">
        <v>231</v>
      </c>
      <c r="D23" s="100">
        <f>IFERROR(VLOOKUP(A23,HistoryHalo4!23:169,10,0),)</f>
        <v>0.1196410768</v>
      </c>
      <c r="E23" s="100">
        <f>IFERROR(VLOOKUP(A23,HistoryHalo4!23:169,9,0),)</f>
        <v>-0.28</v>
      </c>
      <c r="H23" s="425" t="str">
        <f>IFERROR(VLOOKUP(A23,HistoryHalo4!23:169,2,0),)</f>
        <v/>
      </c>
    </row>
    <row r="24" ht="15.75" customHeight="1">
      <c r="A24" s="22" t="s">
        <v>48</v>
      </c>
      <c r="B24" s="19"/>
      <c r="C24" s="21" t="s">
        <v>212</v>
      </c>
      <c r="D24" s="100" t="str">
        <f>IFERROR(VLOOKUP(A24,HistoryHalo4!24:170,10,0),)</f>
        <v/>
      </c>
      <c r="E24" s="100" t="str">
        <f>IFERROR(VLOOKUP(A24,HistoryHalo4!24:170,9,0),)</f>
        <v/>
      </c>
      <c r="H24" s="425" t="str">
        <f>IFERROR(VLOOKUP(A24,HistoryHalo4!24:170,2,0),)</f>
        <v/>
      </c>
    </row>
    <row r="25" ht="15.75" customHeight="1">
      <c r="A25" s="19" t="s">
        <v>49</v>
      </c>
      <c r="B25" s="19"/>
      <c r="C25" s="21" t="s">
        <v>219</v>
      </c>
      <c r="D25" s="100" t="str">
        <f>IFERROR(VLOOKUP(A25,HistoryHalo4!25:171,10,0),)</f>
        <v/>
      </c>
      <c r="E25" s="100" t="str">
        <f>IFERROR(VLOOKUP(A25,HistoryHalo4!25:171,9,0),)</f>
        <v/>
      </c>
      <c r="H25" s="425" t="str">
        <f>IFERROR(VLOOKUP(A25,HistoryHalo4!25:171,2,0),)</f>
        <v/>
      </c>
    </row>
    <row r="26" ht="15.75" customHeight="1">
      <c r="A26" s="19" t="s">
        <v>50</v>
      </c>
      <c r="B26" s="19"/>
      <c r="C26" s="21" t="s">
        <v>231</v>
      </c>
      <c r="D26" s="100" t="str">
        <f>IFERROR(VLOOKUP(A26,HistoryHalo4!26:172,10,0),)</f>
        <v/>
      </c>
      <c r="E26" s="100" t="str">
        <f>IFERROR(VLOOKUP(A26,HistoryHalo4!26:172,9,0),)</f>
        <v/>
      </c>
      <c r="H26" s="425" t="str">
        <f>IFERROR(VLOOKUP(A26,HistoryHalo4!26:172,2,0),)</f>
        <v/>
      </c>
    </row>
    <row r="27" ht="15.75" customHeight="1">
      <c r="A27" s="5" t="s">
        <v>51</v>
      </c>
      <c r="B27" s="19"/>
      <c r="C27" s="21" t="s">
        <v>212</v>
      </c>
      <c r="D27" s="100" t="str">
        <f>IFERROR(VLOOKUP(A27,HistoryHalo4!27:173,10,0),)</f>
        <v/>
      </c>
      <c r="E27" s="100" t="str">
        <f>IFERROR(VLOOKUP(A27,HistoryHalo4!27:173,9,0),)</f>
        <v/>
      </c>
      <c r="H27" s="425" t="str">
        <f>IFERROR(VLOOKUP(A27,HistoryHalo4!27:173,2,0),)</f>
        <v/>
      </c>
    </row>
    <row r="28" ht="15.75" customHeight="1">
      <c r="A28" s="5" t="s">
        <v>52</v>
      </c>
      <c r="B28" s="19"/>
      <c r="C28" s="21" t="s">
        <v>338</v>
      </c>
      <c r="D28" s="100" t="str">
        <f>IFERROR(VLOOKUP(A28,HistoryHalo4!28:174,10,0),)</f>
        <v/>
      </c>
      <c r="E28" s="100" t="str">
        <f>IFERROR(VLOOKUP(A28,HistoryHalo4!28:174,9,0),)</f>
        <v/>
      </c>
      <c r="H28" s="425" t="str">
        <f>IFERROR(VLOOKUP(A28,HistoryHalo4!28:174,2,0),)</f>
        <v/>
      </c>
    </row>
    <row r="29" ht="15.75" customHeight="1">
      <c r="A29" s="5" t="s">
        <v>53</v>
      </c>
      <c r="B29" s="19"/>
      <c r="C29" s="21" t="s">
        <v>212</v>
      </c>
      <c r="D29" s="100" t="str">
        <f>IFERROR(VLOOKUP(A29,HistoryHalo4!29:175,10,0),)</f>
        <v/>
      </c>
      <c r="E29" s="100">
        <f>IFERROR(VLOOKUP(A29,HistoryHalo4!29:175,9,0),)</f>
        <v>2.102</v>
      </c>
      <c r="H29" s="425" t="str">
        <f>IFERROR(VLOOKUP(A29,HistoryHalo4!29:175,2,0),)</f>
        <v/>
      </c>
    </row>
    <row r="30" ht="15.75" customHeight="1">
      <c r="A30" s="5" t="s">
        <v>54</v>
      </c>
      <c r="B30" s="19"/>
      <c r="C30" s="19"/>
      <c r="D30" s="100" t="str">
        <f>IFERROR(VLOOKUP(A30,HistoryHalo4!30:176,10,0),)</f>
        <v/>
      </c>
      <c r="E30" s="100" t="str">
        <f>IFERROR(VLOOKUP(A30,HistoryHalo4!30:176,9,0),)</f>
        <v/>
      </c>
      <c r="H30" s="425" t="str">
        <f>IFERROR(VLOOKUP(A30,HistoryHalo4!30:176,2,0),)</f>
        <v/>
      </c>
    </row>
    <row r="31" ht="15.75" customHeight="1">
      <c r="A31" s="5" t="s">
        <v>55</v>
      </c>
      <c r="B31" s="21" t="s">
        <v>336</v>
      </c>
      <c r="C31" s="21" t="s">
        <v>231</v>
      </c>
      <c r="D31" s="100" t="str">
        <f>IFERROR(VLOOKUP(A31,HistoryHalo4!31:177,10,0),)</f>
        <v/>
      </c>
      <c r="E31" s="100">
        <f>IFERROR(VLOOKUP(A31,HistoryHalo4!31:177,9,0),)</f>
        <v>0.726</v>
      </c>
      <c r="H31" s="425">
        <f>IFERROR(VLOOKUP(A31,HistoryHalo4!31:177,2,0),)</f>
        <v>0.6137</v>
      </c>
    </row>
    <row r="32" ht="15.75" customHeight="1">
      <c r="A32" s="5" t="s">
        <v>56</v>
      </c>
      <c r="B32" s="21" t="s">
        <v>337</v>
      </c>
      <c r="C32" s="21" t="s">
        <v>338</v>
      </c>
      <c r="D32" s="100">
        <f>IFERROR(VLOOKUP(A32,HistoryHalo4!32:178,10,0),)</f>
        <v>0.56074783</v>
      </c>
      <c r="E32" s="100">
        <f>IFERROR(VLOOKUP(A32,HistoryHalo4!32:178,9,0),)</f>
        <v>0.89</v>
      </c>
      <c r="H32" s="425">
        <f>IFERROR(VLOOKUP(A32,HistoryHalo4!32:178,2,0),)</f>
        <v>0.6888</v>
      </c>
    </row>
    <row r="33" ht="15.75" customHeight="1">
      <c r="A33" s="22" t="s">
        <v>57</v>
      </c>
      <c r="B33" s="19"/>
      <c r="C33" s="19"/>
      <c r="D33" s="100" t="str">
        <f>IFERROR(VLOOKUP(A33,HistoryHalo4!33:179,10,0),)</f>
        <v/>
      </c>
      <c r="E33" s="100" t="str">
        <f>IFERROR(VLOOKUP(A33,HistoryHalo4!33:179,9,0),)</f>
        <v/>
      </c>
      <c r="H33" s="425" t="str">
        <f>IFERROR(VLOOKUP(A33,HistoryHalo4!33:179,2,0),)</f>
        <v>66.21.%</v>
      </c>
    </row>
    <row r="34" ht="15.75" customHeight="1">
      <c r="A34" s="5" t="s">
        <v>60</v>
      </c>
      <c r="B34" s="21" t="s">
        <v>336</v>
      </c>
      <c r="C34" s="21" t="s">
        <v>219</v>
      </c>
      <c r="D34" s="100">
        <f>IFERROR(VLOOKUP(A34,HistoryHalo4!34:180,10,0),)</f>
        <v>3.599799168</v>
      </c>
      <c r="E34" s="100" t="str">
        <f>IFERROR(VLOOKUP(A34,HistoryHalo4!34:180,9,0),)</f>
        <v/>
      </c>
      <c r="H34" s="425" t="str">
        <f>IFERROR(VLOOKUP(A34,HistoryHalo4!34:180,2,0),)</f>
        <v/>
      </c>
    </row>
    <row r="35" ht="15.75" customHeight="1">
      <c r="A35" s="5" t="s">
        <v>61</v>
      </c>
      <c r="B35" s="21" t="s">
        <v>337</v>
      </c>
      <c r="C35" s="21" t="s">
        <v>231</v>
      </c>
      <c r="D35" s="100">
        <f>IFERROR(VLOOKUP(A35,HistoryHalo4!35:181,10,0),)</f>
        <v>1.997533909</v>
      </c>
      <c r="E35" s="100">
        <f>IFERROR(VLOOKUP(A35,HistoryHalo4!35:181,9,0),)</f>
        <v>1.722</v>
      </c>
      <c r="H35" s="425">
        <f>IFERROR(VLOOKUP(A35,HistoryHalo4!35:181,2,0),)</f>
        <v>0.98</v>
      </c>
    </row>
    <row r="36" ht="15.75" customHeight="1">
      <c r="A36" s="22" t="s">
        <v>63</v>
      </c>
      <c r="B36" s="19"/>
      <c r="C36" s="21" t="s">
        <v>212</v>
      </c>
      <c r="D36" s="100" t="str">
        <f>IFERROR(VLOOKUP(A36,HistoryHalo4!36:182,10,0),)</f>
        <v/>
      </c>
      <c r="E36" s="100" t="str">
        <f>IFERROR(VLOOKUP(A36,HistoryHalo4!36:182,9,0),)</f>
        <v/>
      </c>
      <c r="H36" s="425" t="str">
        <f>IFERROR(VLOOKUP(A36,HistoryHalo4!36:182,2,0),)</f>
        <v/>
      </c>
    </row>
    <row r="37" ht="15.75" customHeight="1">
      <c r="A37" s="19" t="s">
        <v>64</v>
      </c>
      <c r="B37" s="19"/>
      <c r="C37" s="21" t="s">
        <v>212</v>
      </c>
      <c r="D37" s="100" t="str">
        <f>IFERROR(VLOOKUP(A37,HistoryHalo4!37:183,10,0),)</f>
        <v/>
      </c>
      <c r="E37" s="100" t="str">
        <f>IFERROR(VLOOKUP(A37,HistoryHalo4!37:183,9,0),)</f>
        <v/>
      </c>
      <c r="H37" s="425" t="str">
        <f>IFERROR(VLOOKUP(A37,HistoryHalo4!37:183,2,0),)</f>
        <v/>
      </c>
    </row>
    <row r="38" ht="15.75" customHeight="1">
      <c r="A38" s="19" t="s">
        <v>65</v>
      </c>
      <c r="B38" s="19"/>
      <c r="C38" s="21" t="s">
        <v>212</v>
      </c>
      <c r="D38" s="100" t="str">
        <f>IFERROR(VLOOKUP(A38,HistoryHalo4!38:184,10,0),)</f>
        <v/>
      </c>
      <c r="E38" s="100" t="str">
        <f>IFERROR(VLOOKUP(A38,HistoryHalo4!38:184,9,0),)</f>
        <v/>
      </c>
      <c r="H38" s="425" t="str">
        <f>IFERROR(VLOOKUP(A38,HistoryHalo4!38:184,2,0),)</f>
        <v/>
      </c>
    </row>
    <row r="39" ht="15.75" customHeight="1">
      <c r="A39" s="5" t="s">
        <v>67</v>
      </c>
      <c r="B39" s="19"/>
      <c r="C39" s="21" t="s">
        <v>212</v>
      </c>
      <c r="D39" s="100" t="str">
        <f>IFERROR(VLOOKUP(A39,HistoryHalo4!39:185,10,0),)</f>
        <v/>
      </c>
      <c r="E39" s="100" t="str">
        <f>IFERROR(VLOOKUP(A39,HistoryHalo4!39:185,9,0),)</f>
        <v/>
      </c>
      <c r="H39" s="425" t="str">
        <f>IFERROR(VLOOKUP(A39,HistoryHalo4!39:185,2,0),)</f>
        <v/>
      </c>
    </row>
    <row r="40" ht="15.75" customHeight="1">
      <c r="A40" s="22" t="s">
        <v>68</v>
      </c>
      <c r="B40" s="21" t="s">
        <v>336</v>
      </c>
      <c r="C40" s="21" t="s">
        <v>219</v>
      </c>
      <c r="D40" s="100" t="str">
        <f>IFERROR(VLOOKUP(A40,HistoryHalo4!40:186,10,0),)</f>
        <v/>
      </c>
      <c r="E40" s="100" t="str">
        <f>IFERROR(VLOOKUP(A40,HistoryHalo4!40:186,9,0),)</f>
        <v/>
      </c>
      <c r="H40" s="425" t="str">
        <f>IFERROR(VLOOKUP(A40,HistoryHalo4!40:186,2,0),)</f>
        <v/>
      </c>
    </row>
    <row r="41" ht="15.75" customHeight="1">
      <c r="A41" s="19" t="s">
        <v>69</v>
      </c>
      <c r="B41" s="19"/>
      <c r="C41" s="21" t="s">
        <v>219</v>
      </c>
      <c r="D41" s="100">
        <f>IFERROR(VLOOKUP(A41,HistoryHalo4!41:187,10,0),)</f>
        <v>0.7891491985</v>
      </c>
      <c r="E41" s="100">
        <f>IFERROR(VLOOKUP(A41,HistoryHalo4!41:187,9,0),)</f>
        <v>1.246</v>
      </c>
      <c r="H41" s="425">
        <f>IFERROR(VLOOKUP(A41,HistoryHalo4!41:187,2,0),)</f>
        <v>0.7468</v>
      </c>
    </row>
    <row r="42" ht="15.75" customHeight="1">
      <c r="A42" s="5" t="s">
        <v>70</v>
      </c>
      <c r="B42" s="19"/>
      <c r="C42" s="19"/>
      <c r="D42" s="100" t="str">
        <f>IFERROR(VLOOKUP(A42,HistoryHalo4!42:188,10,0),)</f>
        <v/>
      </c>
      <c r="E42" s="100" t="str">
        <f>IFERROR(VLOOKUP(A42,HistoryHalo4!42:188,9,0),)</f>
        <v/>
      </c>
      <c r="H42" s="425" t="str">
        <f>IFERROR(VLOOKUP(A42,HistoryHalo4!42:188,2,0),)</f>
        <v/>
      </c>
    </row>
    <row r="43" ht="15.75" customHeight="1">
      <c r="A43" s="19" t="s">
        <v>71</v>
      </c>
      <c r="B43" s="19"/>
      <c r="C43" s="21" t="s">
        <v>212</v>
      </c>
      <c r="D43" s="100" t="str">
        <f>IFERROR(VLOOKUP(A43,HistoryHalo4!43:189,10,0),)</f>
        <v/>
      </c>
      <c r="E43" s="100" t="str">
        <f>IFERROR(VLOOKUP(A43,HistoryHalo4!43:189,9,0),)</f>
        <v/>
      </c>
      <c r="H43" s="425" t="str">
        <f>IFERROR(VLOOKUP(A43,HistoryHalo4!43:189,2,0),)</f>
        <v/>
      </c>
    </row>
    <row r="44" ht="15.75" customHeight="1">
      <c r="A44" s="5" t="s">
        <v>72</v>
      </c>
      <c r="B44" s="21" t="s">
        <v>337</v>
      </c>
      <c r="C44" s="21" t="s">
        <v>212</v>
      </c>
      <c r="D44" s="100" t="str">
        <f>IFERROR(VLOOKUP(A44,HistoryHalo4!44:190,10,0),)</f>
        <v/>
      </c>
      <c r="E44" s="100" t="str">
        <f>IFERROR(VLOOKUP(A44,HistoryHalo4!44:190,9,0),)</f>
        <v/>
      </c>
      <c r="H44" s="425" t="str">
        <f>IFERROR(VLOOKUP(A44,HistoryHalo4!44:190,2,0),)</f>
        <v/>
      </c>
    </row>
    <row r="45" ht="15.75" customHeight="1">
      <c r="A45" s="5" t="s">
        <v>73</v>
      </c>
      <c r="B45" s="21" t="s">
        <v>336</v>
      </c>
      <c r="C45" s="21" t="s">
        <v>219</v>
      </c>
      <c r="D45" s="100">
        <f>IFERROR(VLOOKUP(A45,HistoryHalo4!45:191,10,0),)</f>
        <v>4.658375973</v>
      </c>
      <c r="E45" s="100">
        <f>IFERROR(VLOOKUP(A45,HistoryHalo4!45:191,9,0),)</f>
        <v>3.742</v>
      </c>
      <c r="H45" s="425">
        <f>IFERROR(VLOOKUP(A45,HistoryHalo4!45:191,2,0),)</f>
        <v>0.9661</v>
      </c>
    </row>
    <row r="46" ht="15.75" customHeight="1">
      <c r="A46" s="5" t="s">
        <v>75</v>
      </c>
      <c r="B46" s="19"/>
      <c r="C46" s="21" t="s">
        <v>231</v>
      </c>
      <c r="D46" s="100" t="str">
        <f>IFERROR(VLOOKUP(A46,HistoryHalo4!46:192,10,0),)</f>
        <v/>
      </c>
      <c r="E46" s="100" t="str">
        <f>IFERROR(VLOOKUP(A46,HistoryHalo4!46:192,9,0),)</f>
        <v/>
      </c>
      <c r="H46" s="425" t="str">
        <f>IFERROR(VLOOKUP(A46,HistoryHalo4!46:192,2,0),)</f>
        <v/>
      </c>
    </row>
    <row r="47" ht="15.75" customHeight="1">
      <c r="A47" s="19" t="s">
        <v>78</v>
      </c>
      <c r="B47" s="19"/>
      <c r="C47" s="21" t="s">
        <v>219</v>
      </c>
      <c r="D47" s="100" t="str">
        <f>IFERROR(VLOOKUP(A47,HistoryHalo4!47:193,10,0),)</f>
        <v/>
      </c>
      <c r="E47" s="100" t="str">
        <f>IFERROR(VLOOKUP(A47,HistoryHalo4!47:193,9,0),)</f>
        <v/>
      </c>
      <c r="H47" s="425" t="str">
        <f>IFERROR(VLOOKUP(A47,HistoryHalo4!47:193,2,0),)</f>
        <v/>
      </c>
    </row>
    <row r="48" ht="15.75" customHeight="1">
      <c r="A48" s="5" t="s">
        <v>79</v>
      </c>
      <c r="B48" s="19"/>
      <c r="C48" s="21" t="s">
        <v>212</v>
      </c>
      <c r="D48" s="100">
        <f>IFERROR(VLOOKUP(A48,HistoryHalo4!48:194,10,0),)</f>
        <v>0.2226099234</v>
      </c>
      <c r="E48" s="100">
        <f>IFERROR(VLOOKUP(A48,HistoryHalo4!48:194,9,0),)</f>
        <v>1.114</v>
      </c>
      <c r="H48" s="425">
        <f>IFERROR(VLOOKUP(A48,HistoryHalo4!48:194,2,0),)</f>
        <v>0.5828</v>
      </c>
    </row>
    <row r="49" ht="15.75" customHeight="1">
      <c r="A49" s="5" t="s">
        <v>80</v>
      </c>
      <c r="B49" s="19"/>
      <c r="C49" s="21" t="s">
        <v>231</v>
      </c>
      <c r="D49" s="100" t="str">
        <f>IFERROR(VLOOKUP(A49,HistoryHalo4!49:195,10,0),)</f>
        <v/>
      </c>
      <c r="E49" s="100" t="str">
        <f>IFERROR(VLOOKUP(A49,HistoryHalo4!49:195,9,0),)</f>
        <v/>
      </c>
      <c r="H49" s="425" t="str">
        <f>IFERROR(VLOOKUP(A49,HistoryHalo4!49:195,2,0),)</f>
        <v/>
      </c>
    </row>
    <row r="50" ht="15.75" customHeight="1">
      <c r="A50" s="19" t="s">
        <v>81</v>
      </c>
      <c r="B50" s="19"/>
      <c r="C50" s="21" t="s">
        <v>212</v>
      </c>
      <c r="D50" s="100" t="str">
        <f>IFERROR(VLOOKUP(A50,HistoryHalo4!50:196,10,0),)</f>
        <v/>
      </c>
      <c r="E50" s="100" t="str">
        <f>IFERROR(VLOOKUP(A50,HistoryHalo4!50:196,9,0),)</f>
        <v/>
      </c>
      <c r="H50" s="425" t="str">
        <f>IFERROR(VLOOKUP(A50,HistoryHalo4!50:196,2,0),)</f>
        <v/>
      </c>
    </row>
    <row r="51" ht="15.75" customHeight="1">
      <c r="A51" s="5" t="s">
        <v>82</v>
      </c>
      <c r="B51" s="19"/>
      <c r="C51" s="21" t="s">
        <v>219</v>
      </c>
      <c r="D51" s="100" t="str">
        <f>IFERROR(VLOOKUP(A51,HistoryHalo4!51:197,10,0),)</f>
        <v/>
      </c>
      <c r="E51" s="100" t="str">
        <f>IFERROR(VLOOKUP(A51,HistoryHalo4!51:197,9,0),)</f>
        <v/>
      </c>
      <c r="H51" s="425" t="str">
        <f>IFERROR(VLOOKUP(A51,HistoryHalo4!51:197,2,0),)</f>
        <v/>
      </c>
    </row>
    <row r="52" ht="15.75" customHeight="1">
      <c r="A52" s="5" t="s">
        <v>84</v>
      </c>
      <c r="B52" s="19"/>
      <c r="C52" s="21" t="s">
        <v>231</v>
      </c>
      <c r="D52" s="100" t="str">
        <f>IFERROR(VLOOKUP(A52,HistoryHalo4!52:198,10,0),)</f>
        <v/>
      </c>
      <c r="E52" s="100" t="str">
        <f>IFERROR(VLOOKUP(A52,HistoryHalo4!52:198,9,0),)</f>
        <v/>
      </c>
      <c r="H52" s="425">
        <f>IFERROR(VLOOKUP(A52,HistoryHalo4!52:198,2,0),)</f>
        <v>0.7414</v>
      </c>
    </row>
    <row r="53" ht="15.75" customHeight="1">
      <c r="A53" s="5" t="s">
        <v>85</v>
      </c>
      <c r="B53" s="19"/>
      <c r="C53" s="21" t="s">
        <v>219</v>
      </c>
      <c r="D53" s="100">
        <f>IFERROR(VLOOKUP(A53,HistoryHalo4!53:199,10,0),)</f>
        <v>-0.07988505747</v>
      </c>
      <c r="E53" s="100" t="str">
        <f>IFERROR(VLOOKUP(A53,HistoryHalo4!53:199,9,0),)</f>
        <v/>
      </c>
      <c r="H53" s="425" t="str">
        <f>IFERROR(VLOOKUP(A53,HistoryHalo4!53:199,2,0),)</f>
        <v/>
      </c>
    </row>
    <row r="54" ht="15.75" customHeight="1">
      <c r="A54" s="5" t="s">
        <v>86</v>
      </c>
      <c r="B54" s="19"/>
      <c r="C54" s="21" t="s">
        <v>231</v>
      </c>
      <c r="D54" s="100" t="str">
        <f>IFERROR(VLOOKUP(A54,HistoryHalo4!54:200,10,0),)</f>
        <v/>
      </c>
      <c r="E54" s="100" t="str">
        <f>IFERROR(VLOOKUP(A54,HistoryHalo4!54:200,9,0),)</f>
        <v/>
      </c>
      <c r="H54" s="425" t="str">
        <f>IFERROR(VLOOKUP(A54,HistoryHalo4!54:200,2,0),)</f>
        <v/>
      </c>
    </row>
    <row r="55" ht="15.75" customHeight="1">
      <c r="A55" s="5" t="s">
        <v>87</v>
      </c>
      <c r="B55" s="19"/>
      <c r="C55" s="21" t="s">
        <v>231</v>
      </c>
      <c r="D55" s="100" t="str">
        <f>IFERROR(VLOOKUP(A55,HistoryHalo4!55:201,10,0),)</f>
        <v/>
      </c>
      <c r="E55" s="100" t="str">
        <f>IFERROR(VLOOKUP(A55,HistoryHalo4!55:201,9,0),)</f>
        <v/>
      </c>
      <c r="H55" s="425" t="str">
        <f>IFERROR(VLOOKUP(A55,HistoryHalo4!55:201,2,0),)</f>
        <v/>
      </c>
    </row>
    <row r="56" ht="15.75" customHeight="1">
      <c r="A56" s="5" t="s">
        <v>88</v>
      </c>
      <c r="B56" s="19"/>
      <c r="C56" s="21" t="s">
        <v>231</v>
      </c>
      <c r="D56" s="100" t="str">
        <f>IFERROR(VLOOKUP(A56,HistoryHalo4!56:202,10,0),)</f>
        <v/>
      </c>
      <c r="E56" s="100" t="str">
        <f>IFERROR(VLOOKUP(A56,HistoryHalo4!56:202,9,0),)</f>
        <v/>
      </c>
      <c r="H56" s="425" t="str">
        <f>IFERROR(VLOOKUP(A56,HistoryHalo4!56:202,2,0),)</f>
        <v/>
      </c>
    </row>
    <row r="57" ht="15.75" customHeight="1">
      <c r="A57" s="22" t="s">
        <v>90</v>
      </c>
      <c r="B57" s="19"/>
      <c r="C57" s="21" t="s">
        <v>231</v>
      </c>
      <c r="D57" s="100" t="str">
        <f>IFERROR(VLOOKUP(A57,HistoryHalo4!57:203,10,0),)</f>
        <v/>
      </c>
      <c r="E57" s="100" t="str">
        <f>IFERROR(VLOOKUP(A57,HistoryHalo4!57:203,9,0),)</f>
        <v/>
      </c>
      <c r="H57" s="425" t="str">
        <f>IFERROR(VLOOKUP(A57,HistoryHalo4!57:203,2,0),)</f>
        <v/>
      </c>
    </row>
    <row r="58" ht="15.75" customHeight="1">
      <c r="A58" s="5" t="s">
        <v>92</v>
      </c>
      <c r="B58" s="19"/>
      <c r="C58" s="21" t="s">
        <v>212</v>
      </c>
      <c r="D58" s="100" t="str">
        <f>IFERROR(VLOOKUP(A58,HistoryHalo4!58:204,10,0),)</f>
        <v/>
      </c>
      <c r="E58" s="100" t="str">
        <f>IFERROR(VLOOKUP(A58,HistoryHalo4!58:204,9,0),)</f>
        <v/>
      </c>
      <c r="H58" s="425" t="str">
        <f>IFERROR(VLOOKUP(A58,HistoryHalo4!58:204,2,0),)</f>
        <v/>
      </c>
    </row>
    <row r="59" ht="15.75" customHeight="1">
      <c r="A59" s="5" t="s">
        <v>93</v>
      </c>
      <c r="B59" s="19"/>
      <c r="C59" s="21" t="s">
        <v>212</v>
      </c>
      <c r="D59" s="100" t="str">
        <f>IFERROR(VLOOKUP(A59,HistoryHalo4!59:205,10,0),)</f>
        <v/>
      </c>
      <c r="E59" s="100" t="str">
        <f>IFERROR(VLOOKUP(A59,HistoryHalo4!59:205,9,0),)</f>
        <v/>
      </c>
      <c r="H59" s="425" t="str">
        <f>IFERROR(VLOOKUP(A59,HistoryHalo4!59:205,2,0),)</f>
        <v/>
      </c>
    </row>
    <row r="60" ht="15.75" customHeight="1">
      <c r="A60" s="5" t="s">
        <v>94</v>
      </c>
      <c r="B60" s="19"/>
      <c r="C60" s="19"/>
      <c r="D60" s="100" t="str">
        <f>IFERROR(VLOOKUP(A60,HistoryHalo4!60:206,10,0),)</f>
        <v/>
      </c>
      <c r="E60" s="100" t="str">
        <f>IFERROR(VLOOKUP(A60,HistoryHalo4!60:206,9,0),)</f>
        <v/>
      </c>
      <c r="H60" s="425" t="str">
        <f>IFERROR(VLOOKUP(A60,HistoryHalo4!60:206,2,0),)</f>
        <v/>
      </c>
    </row>
    <row r="61" ht="15.75" customHeight="1">
      <c r="A61" s="5" t="s">
        <v>95</v>
      </c>
      <c r="B61" s="19"/>
      <c r="C61" s="21" t="s">
        <v>219</v>
      </c>
      <c r="D61" s="100" t="str">
        <f>IFERROR(VLOOKUP(A61,HistoryHalo4!61:207,10,0),)</f>
        <v/>
      </c>
      <c r="E61" s="100" t="str">
        <f>IFERROR(VLOOKUP(A61,HistoryHalo4!61:207,9,0),)</f>
        <v/>
      </c>
      <c r="H61" s="425">
        <f>IFERROR(VLOOKUP(A61,HistoryHalo4!61:207,2,0),)</f>
        <v>0.5963</v>
      </c>
    </row>
    <row r="62" ht="15.75" customHeight="1">
      <c r="A62" s="5" t="s">
        <v>97</v>
      </c>
      <c r="B62" s="19"/>
      <c r="C62" s="21" t="s">
        <v>212</v>
      </c>
      <c r="D62" s="100" t="str">
        <f>IFERROR(VLOOKUP(A62,HistoryHalo4!62:208,10,0),)</f>
        <v/>
      </c>
      <c r="E62" s="100" t="str">
        <f>IFERROR(VLOOKUP(A62,HistoryHalo4!62:208,9,0),)</f>
        <v/>
      </c>
      <c r="H62" s="425" t="str">
        <f>IFERROR(VLOOKUP(A62,HistoryHalo4!62:208,2,0),)</f>
        <v/>
      </c>
    </row>
    <row r="63" ht="15.75" customHeight="1">
      <c r="A63" s="19" t="s">
        <v>98</v>
      </c>
      <c r="B63" s="19"/>
      <c r="C63" s="21" t="s">
        <v>231</v>
      </c>
      <c r="D63" s="100" t="str">
        <f>IFERROR(VLOOKUP(A63,HistoryHalo4!63:209,10,0),)</f>
        <v/>
      </c>
      <c r="E63" s="100" t="str">
        <f>IFERROR(VLOOKUP(A63,HistoryHalo4!63:209,9,0),)</f>
        <v/>
      </c>
      <c r="H63" s="425" t="str">
        <f>IFERROR(VLOOKUP(A63,HistoryHalo4!63:209,2,0),)</f>
        <v/>
      </c>
    </row>
    <row r="64" ht="15.75" customHeight="1">
      <c r="A64" s="5" t="s">
        <v>99</v>
      </c>
      <c r="B64" s="21" t="s">
        <v>337</v>
      </c>
      <c r="C64" s="21" t="s">
        <v>219</v>
      </c>
      <c r="D64" s="100" t="str">
        <f>IFERROR(VLOOKUP(A64,HistoryHalo4!64:210,10,0),)</f>
        <v/>
      </c>
      <c r="E64" s="100" t="str">
        <f>IFERROR(VLOOKUP(A64,HistoryHalo4!64:210,9,0),)</f>
        <v/>
      </c>
      <c r="H64" s="425">
        <f>IFERROR(VLOOKUP(A64,HistoryHalo4!64:210,2,0),)</f>
        <v>0.4597</v>
      </c>
    </row>
    <row r="65" ht="15.75" customHeight="1">
      <c r="A65" s="19" t="s">
        <v>100</v>
      </c>
      <c r="B65" s="19"/>
      <c r="C65" s="21" t="s">
        <v>212</v>
      </c>
      <c r="D65" s="100">
        <f>IFERROR(VLOOKUP(A65,HistoryHalo4!65:211,10,0),)</f>
        <v>-0.2260162602</v>
      </c>
      <c r="E65" s="100">
        <f>IFERROR(VLOOKUP(A65,HistoryHalo4!65:211,9,0),)</f>
        <v>0.379</v>
      </c>
      <c r="H65" s="425">
        <f>IFERROR(VLOOKUP(A65,HistoryHalo4!65:211,2,0),)</f>
        <v>0.5662</v>
      </c>
    </row>
    <row r="66" ht="15.75" customHeight="1">
      <c r="A66" s="5" t="s">
        <v>102</v>
      </c>
      <c r="B66" s="19"/>
      <c r="C66" s="21" t="s">
        <v>231</v>
      </c>
      <c r="D66" s="100">
        <f>IFERROR(VLOOKUP(A66,HistoryHalo4!66:212,10,0),)</f>
        <v>1.180964608</v>
      </c>
      <c r="E66" s="100">
        <f>IFERROR(VLOOKUP(A66,HistoryHalo4!66:212,9,0),)</f>
        <v>0.228</v>
      </c>
      <c r="H66" s="425">
        <f>IFERROR(VLOOKUP(A66,HistoryHalo4!66:212,2,0),)</f>
        <v>0.5501</v>
      </c>
    </row>
    <row r="67" ht="15.75" customHeight="1">
      <c r="A67" s="19" t="s">
        <v>103</v>
      </c>
      <c r="B67" s="19"/>
      <c r="C67" s="21" t="s">
        <v>212</v>
      </c>
      <c r="D67" s="100" t="str">
        <f>IFERROR(VLOOKUP(A67,HistoryHalo4!67:213,10,0),)</f>
        <v/>
      </c>
      <c r="E67" s="100" t="str">
        <f>IFERROR(VLOOKUP(A67,HistoryHalo4!67:213,9,0),)</f>
        <v/>
      </c>
      <c r="H67" s="425" t="str">
        <f>IFERROR(VLOOKUP(A67,HistoryHalo4!67:213,2,0),)</f>
        <v/>
      </c>
    </row>
    <row r="68" ht="15.75" customHeight="1">
      <c r="A68" s="5" t="s">
        <v>104</v>
      </c>
      <c r="B68" s="21" t="s">
        <v>337</v>
      </c>
      <c r="C68" s="21" t="s">
        <v>212</v>
      </c>
      <c r="D68" s="100">
        <f>IFERROR(VLOOKUP(A68,HistoryHalo4!68:214,10,0),)</f>
        <v>-0.4055876686</v>
      </c>
      <c r="E68" s="100">
        <f>IFERROR(VLOOKUP(A68,HistoryHalo4!68:214,9,0),)</f>
        <v>0.222</v>
      </c>
      <c r="H68" s="425">
        <f>IFERROR(VLOOKUP(A68,HistoryHalo4!68:214,2,0),)</f>
        <v>0.7168</v>
      </c>
    </row>
    <row r="69" ht="15.75" customHeight="1">
      <c r="A69" s="19" t="s">
        <v>105</v>
      </c>
      <c r="B69" s="19"/>
      <c r="C69" s="21" t="s">
        <v>212</v>
      </c>
      <c r="D69" s="100" t="str">
        <f>IFERROR(VLOOKUP(A69,HistoryHalo4!69:215,10,0),)</f>
        <v/>
      </c>
      <c r="E69" s="100" t="str">
        <f>IFERROR(VLOOKUP(A69,HistoryHalo4!69:215,9,0),)</f>
        <v/>
      </c>
      <c r="H69" s="425" t="str">
        <f>IFERROR(VLOOKUP(A69,HistoryHalo4!69:215,2,0),)</f>
        <v/>
      </c>
    </row>
    <row r="70" ht="15.75" customHeight="1">
      <c r="A70" s="19" t="s">
        <v>107</v>
      </c>
      <c r="B70" s="19"/>
      <c r="C70" s="19"/>
      <c r="D70" s="100" t="str">
        <f>IFERROR(VLOOKUP(A70,HistoryHalo4!70:216,10,0),)</f>
        <v/>
      </c>
      <c r="E70" s="100" t="str">
        <f>IFERROR(VLOOKUP(A70,HistoryHalo4!70:216,9,0),)</f>
        <v/>
      </c>
      <c r="H70" s="425" t="str">
        <f>IFERROR(VLOOKUP(A70,HistoryHalo4!70:216,2,0),)</f>
        <v/>
      </c>
    </row>
    <row r="71" ht="15.75" customHeight="1">
      <c r="A71" s="19" t="s">
        <v>108</v>
      </c>
      <c r="B71" s="19"/>
      <c r="C71" s="21" t="s">
        <v>231</v>
      </c>
      <c r="D71" s="100" t="str">
        <f>IFERROR(VLOOKUP(A71,HistoryHalo4!71:217,10,0),)</f>
        <v/>
      </c>
      <c r="E71" s="100">
        <f>IFERROR(VLOOKUP(A71,HistoryHalo4!71:217,9,0),)</f>
        <v>-0.19</v>
      </c>
      <c r="H71" s="425">
        <f>IFERROR(VLOOKUP(A71,HistoryHalo4!71:217,2,0),)</f>
        <v>0.5615</v>
      </c>
    </row>
    <row r="72" ht="15.75" customHeight="1">
      <c r="A72" s="19" t="s">
        <v>109</v>
      </c>
      <c r="B72" s="19"/>
      <c r="C72" s="21" t="s">
        <v>219</v>
      </c>
      <c r="D72" s="100">
        <f>IFERROR(VLOOKUP(A72,HistoryHalo4!72:218,10,0),)</f>
        <v>0</v>
      </c>
      <c r="E72" s="100">
        <f>IFERROR(VLOOKUP(A72,HistoryHalo4!72:218,9,0),)</f>
        <v>0.411</v>
      </c>
      <c r="H72" s="425">
        <f>IFERROR(VLOOKUP(A72,HistoryHalo4!72:218,2,0),)</f>
        <v>0.6315</v>
      </c>
    </row>
    <row r="73" ht="15.75" customHeight="1">
      <c r="A73" s="19" t="s">
        <v>339</v>
      </c>
      <c r="B73" s="21" t="s">
        <v>336</v>
      </c>
      <c r="C73" s="21" t="s">
        <v>219</v>
      </c>
      <c r="D73" s="100" t="str">
        <f>IFERROR(VLOOKUP(A73,HistoryHalo4!73:219,10,0),)</f>
        <v/>
      </c>
      <c r="E73" s="100" t="str">
        <f>IFERROR(VLOOKUP(A73,HistoryHalo4!73:219,9,0),)</f>
        <v/>
      </c>
      <c r="H73" s="425" t="str">
        <f>IFERROR(VLOOKUP(A73,HistoryHalo4!73:219,2,0),)</f>
        <v/>
      </c>
    </row>
    <row r="74" ht="15.75" customHeight="1">
      <c r="A74" s="19" t="s">
        <v>110</v>
      </c>
      <c r="B74" s="19"/>
      <c r="C74" s="21" t="s">
        <v>219</v>
      </c>
      <c r="D74" s="100" t="str">
        <f>IFERROR(VLOOKUP(A74,HistoryHalo4!74:220,10,0),)</f>
        <v/>
      </c>
      <c r="E74" s="100" t="str">
        <f>IFERROR(VLOOKUP(A74,HistoryHalo4!74:220,9,0),)</f>
        <v/>
      </c>
      <c r="H74" s="425" t="str">
        <f>IFERROR(VLOOKUP(A74,HistoryHalo4!74:220,2,0),)</f>
        <v/>
      </c>
    </row>
    <row r="75" ht="15.75" customHeight="1">
      <c r="A75" s="5" t="s">
        <v>111</v>
      </c>
      <c r="B75" s="19"/>
      <c r="C75" s="21" t="s">
        <v>231</v>
      </c>
      <c r="D75" s="100">
        <f>IFERROR(VLOOKUP(A75,HistoryHalo4!75:221,10,0),)</f>
        <v>-0.3785643071</v>
      </c>
      <c r="E75" s="100" t="str">
        <f>IFERROR(VLOOKUP(A75,HistoryHalo4!75:221,9,0),)</f>
        <v/>
      </c>
      <c r="H75" s="425">
        <f>IFERROR(VLOOKUP(A75,HistoryHalo4!75:221,2,0),)</f>
        <v>0.5996</v>
      </c>
    </row>
    <row r="76" ht="15.75" customHeight="1">
      <c r="A76" s="5" t="s">
        <v>112</v>
      </c>
      <c r="B76" s="19"/>
      <c r="C76" s="21" t="s">
        <v>212</v>
      </c>
      <c r="D76" s="100" t="str">
        <f>IFERROR(VLOOKUP(A76,HistoryHalo4!76:222,10,0),)</f>
        <v/>
      </c>
      <c r="E76" s="100" t="str">
        <f>IFERROR(VLOOKUP(A76,HistoryHalo4!76:222,9,0),)</f>
        <v/>
      </c>
      <c r="H76" s="425">
        <f>IFERROR(VLOOKUP(A76,HistoryHalo4!76:222,2,0),)</f>
        <v>0.4695</v>
      </c>
    </row>
    <row r="77" ht="15.75" customHeight="1">
      <c r="A77" s="5" t="s">
        <v>113</v>
      </c>
      <c r="B77" s="19"/>
      <c r="C77" s="21" t="s">
        <v>212</v>
      </c>
      <c r="D77" s="100">
        <f>IFERROR(VLOOKUP(A77,HistoryHalo4!77:223,10,0),)</f>
        <v>-0.2492740472</v>
      </c>
      <c r="E77" s="100">
        <f>IFERROR(VLOOKUP(A77,HistoryHalo4!77:223,9,0),)</f>
        <v>0.137</v>
      </c>
      <c r="H77" s="425">
        <f>IFERROR(VLOOKUP(A77,HistoryHalo4!77:223,2,0),)</f>
        <v>0.409</v>
      </c>
    </row>
    <row r="78" ht="15.75" customHeight="1">
      <c r="A78" s="5" t="s">
        <v>114</v>
      </c>
      <c r="B78" s="21" t="s">
        <v>336</v>
      </c>
      <c r="C78" s="21" t="s">
        <v>231</v>
      </c>
      <c r="D78" s="100">
        <f>IFERROR(VLOOKUP(A78,HistoryHalo4!78:224,10,0),)</f>
        <v>0.9830677829</v>
      </c>
      <c r="E78" s="100">
        <f>IFERROR(VLOOKUP(A78,HistoryHalo4!78:224,9,0),)</f>
        <v>0.516</v>
      </c>
      <c r="H78" s="425">
        <f>IFERROR(VLOOKUP(A78,HistoryHalo4!78:224,2,0),)</f>
        <v>0.8109</v>
      </c>
    </row>
    <row r="79" ht="15.75" customHeight="1">
      <c r="A79" s="5" t="s">
        <v>115</v>
      </c>
      <c r="B79" s="21" t="s">
        <v>337</v>
      </c>
      <c r="C79" s="21" t="s">
        <v>231</v>
      </c>
      <c r="D79" s="100">
        <f>IFERROR(VLOOKUP(A79,HistoryHalo4!79:225,10,0),)</f>
        <v>1.65030248</v>
      </c>
      <c r="E79" s="100">
        <f>IFERROR(VLOOKUP(A79,HistoryHalo4!79:225,9,0),)</f>
        <v>1.317</v>
      </c>
      <c r="H79" s="425">
        <f>IFERROR(VLOOKUP(A79,HistoryHalo4!79:225,2,0),)</f>
        <v>0.6554</v>
      </c>
    </row>
    <row r="80" ht="15.75" customHeight="1">
      <c r="A80" s="19" t="s">
        <v>116</v>
      </c>
      <c r="B80" s="19"/>
      <c r="C80" s="21" t="s">
        <v>212</v>
      </c>
      <c r="D80" s="100" t="str">
        <f>IFERROR(VLOOKUP(A80,HistoryHalo4!80:226,10,0),)</f>
        <v/>
      </c>
      <c r="E80" s="100" t="str">
        <f>IFERROR(VLOOKUP(A80,HistoryHalo4!80:226,9,0),)</f>
        <v/>
      </c>
      <c r="H80" s="425" t="str">
        <f>IFERROR(VLOOKUP(A80,HistoryHalo4!80:226,2,0),)</f>
        <v/>
      </c>
    </row>
    <row r="81" ht="15.75" customHeight="1">
      <c r="A81" s="5" t="s">
        <v>117</v>
      </c>
      <c r="B81" s="21" t="s">
        <v>336</v>
      </c>
      <c r="C81" s="21" t="s">
        <v>231</v>
      </c>
      <c r="D81" s="100" t="str">
        <f>IFERROR(VLOOKUP(A81,HistoryHalo4!81:227,10,0),)</f>
        <v/>
      </c>
      <c r="E81" s="100" t="str">
        <f>IFERROR(VLOOKUP(A81,HistoryHalo4!81:227,9,0),)</f>
        <v/>
      </c>
      <c r="H81" s="425" t="str">
        <f>IFERROR(VLOOKUP(A81,HistoryHalo4!81:227,2,0),)</f>
        <v/>
      </c>
    </row>
    <row r="82" ht="15.75" customHeight="1">
      <c r="A82" s="5" t="s">
        <v>118</v>
      </c>
      <c r="B82" s="19"/>
      <c r="C82" s="21" t="s">
        <v>212</v>
      </c>
      <c r="D82" s="100" t="str">
        <f>IFERROR(VLOOKUP(A82,HistoryHalo4!82:228,10,0),)</f>
        <v/>
      </c>
      <c r="E82" s="100" t="str">
        <f>IFERROR(VLOOKUP(A82,HistoryHalo4!82:228,9,0),)</f>
        <v/>
      </c>
      <c r="H82" s="425" t="str">
        <f>IFERROR(VLOOKUP(A82,HistoryHalo4!82:228,2,0),)</f>
        <v/>
      </c>
    </row>
    <row r="83" ht="15.75" customHeight="1">
      <c r="A83" s="5" t="s">
        <v>119</v>
      </c>
      <c r="B83" s="19"/>
      <c r="C83" s="21" t="s">
        <v>212</v>
      </c>
      <c r="D83" s="100" t="str">
        <f>IFERROR(VLOOKUP(A83,HistoryHalo4!83:229,10,0),)</f>
        <v/>
      </c>
      <c r="E83" s="100" t="str">
        <f>IFERROR(VLOOKUP(A83,HistoryHalo4!83:229,9,0),)</f>
        <v/>
      </c>
      <c r="H83" s="425" t="str">
        <f>IFERROR(VLOOKUP(A83,HistoryHalo4!83:229,2,0),)</f>
        <v/>
      </c>
    </row>
    <row r="84" ht="15.75" customHeight="1">
      <c r="A84" s="19" t="s">
        <v>120</v>
      </c>
      <c r="B84" s="19"/>
      <c r="C84" s="19"/>
      <c r="D84" s="100" t="str">
        <f>IFERROR(VLOOKUP(A84,HistoryHalo4!84:230,10,0),)</f>
        <v/>
      </c>
      <c r="E84" s="100" t="str">
        <f>IFERROR(VLOOKUP(A84,HistoryHalo4!84:230,9,0),)</f>
        <v/>
      </c>
      <c r="H84" s="425" t="str">
        <f>IFERROR(VLOOKUP(A84,HistoryHalo4!84:230,2,0),)</f>
        <v/>
      </c>
    </row>
    <row r="85" ht="15.75" customHeight="1">
      <c r="A85" s="5" t="s">
        <v>121</v>
      </c>
      <c r="B85" s="21" t="s">
        <v>336</v>
      </c>
      <c r="C85" s="21" t="s">
        <v>212</v>
      </c>
      <c r="D85" s="100">
        <f>IFERROR(VLOOKUP(A85,HistoryHalo4!85:231,10,0),)</f>
        <v>1.501294219</v>
      </c>
      <c r="E85" s="100" t="str">
        <f>IFERROR(VLOOKUP(A85,HistoryHalo4!85:231,9,0),)</f>
        <v/>
      </c>
      <c r="H85" s="425" t="str">
        <f>IFERROR(VLOOKUP(A85,HistoryHalo4!85:231,2,0),)</f>
        <v/>
      </c>
    </row>
    <row r="86" ht="15.75" customHeight="1">
      <c r="A86" s="5" t="s">
        <v>123</v>
      </c>
      <c r="B86" s="19"/>
      <c r="C86" s="21" t="s">
        <v>231</v>
      </c>
      <c r="D86" s="100" t="str">
        <f>IFERROR(VLOOKUP(A86,HistoryHalo4!86:232,10,0),)</f>
        <v/>
      </c>
      <c r="E86" s="100" t="str">
        <f>IFERROR(VLOOKUP(A86,HistoryHalo4!86:232,9,0),)</f>
        <v/>
      </c>
      <c r="H86" s="425" t="str">
        <f>IFERROR(VLOOKUP(A86,HistoryHalo4!86:232,2,0),)</f>
        <v/>
      </c>
    </row>
    <row r="87" ht="15.75" customHeight="1">
      <c r="A87" s="5" t="s">
        <v>124</v>
      </c>
      <c r="B87" s="19"/>
      <c r="C87" s="21" t="s">
        <v>212</v>
      </c>
      <c r="D87" s="100" t="str">
        <f>IFERROR(VLOOKUP(A87,HistoryHalo4!87:233,10,0),)</f>
        <v/>
      </c>
      <c r="E87" s="100" t="str">
        <f>IFERROR(VLOOKUP(A87,HistoryHalo4!87:233,9,0),)</f>
        <v/>
      </c>
      <c r="H87" s="425" t="str">
        <f>IFERROR(VLOOKUP(A87,HistoryHalo4!87:233,2,0),)</f>
        <v/>
      </c>
    </row>
    <row r="88" ht="15.75" customHeight="1">
      <c r="A88" s="19" t="s">
        <v>125</v>
      </c>
      <c r="B88" s="19"/>
      <c r="C88" s="21" t="s">
        <v>219</v>
      </c>
      <c r="D88" s="100" t="str">
        <f>IFERROR(VLOOKUP(A88,HistoryHalo4!88:234,10,0),)</f>
        <v/>
      </c>
      <c r="E88" s="100" t="str">
        <f>IFERROR(VLOOKUP(A88,HistoryHalo4!88:234,9,0),)</f>
        <v/>
      </c>
      <c r="H88" s="425" t="str">
        <f>IFERROR(VLOOKUP(A88,HistoryHalo4!88:234,2,0),)</f>
        <v/>
      </c>
    </row>
    <row r="89" ht="15.75" customHeight="1">
      <c r="A89" s="5" t="s">
        <v>126</v>
      </c>
      <c r="B89" s="21" t="s">
        <v>337</v>
      </c>
      <c r="C89" s="21" t="s">
        <v>231</v>
      </c>
      <c r="D89" s="100">
        <f>IFERROR(VLOOKUP(A89,HistoryHalo4!89:235,10,0),)</f>
        <v>0.3388330942</v>
      </c>
      <c r="E89" s="100">
        <f>IFERROR(VLOOKUP(A89,HistoryHalo4!89:235,9,0),)</f>
        <v>0.09</v>
      </c>
      <c r="H89" s="425">
        <f>IFERROR(VLOOKUP(A89,HistoryHalo4!89:235,2,0),)</f>
        <v>0.5723</v>
      </c>
    </row>
    <row r="90" ht="15.75" customHeight="1">
      <c r="A90" s="5" t="s">
        <v>127</v>
      </c>
      <c r="B90" s="19"/>
      <c r="C90" s="21" t="s">
        <v>219</v>
      </c>
      <c r="D90" s="100" t="str">
        <f>IFERROR(VLOOKUP(A90,HistoryHalo4!90:236,10,0),)</f>
        <v/>
      </c>
      <c r="E90" s="100" t="str">
        <f>IFERROR(VLOOKUP(A90,HistoryHalo4!90:236,9,0),)</f>
        <v/>
      </c>
      <c r="H90" s="425" t="str">
        <f>IFERROR(VLOOKUP(A90,HistoryHalo4!90:236,2,0),)</f>
        <v/>
      </c>
    </row>
    <row r="91" ht="15.75" customHeight="1">
      <c r="A91" s="19" t="s">
        <v>128</v>
      </c>
      <c r="B91" s="19"/>
      <c r="C91" s="19"/>
      <c r="D91" s="100" t="str">
        <f>IFERROR(VLOOKUP(A91,HistoryHalo4!91:237,10,0),)</f>
        <v/>
      </c>
      <c r="E91" s="100" t="str">
        <f>IFERROR(VLOOKUP(A91,HistoryHalo4!91:237,9,0),)</f>
        <v/>
      </c>
      <c r="H91" s="425" t="str">
        <f>IFERROR(VLOOKUP(A91,HistoryHalo4!91:237,2,0),)</f>
        <v/>
      </c>
    </row>
    <row r="92" ht="15.75" customHeight="1">
      <c r="A92" s="5" t="s">
        <v>129</v>
      </c>
      <c r="B92" s="21" t="s">
        <v>336</v>
      </c>
      <c r="C92" s="21" t="s">
        <v>219</v>
      </c>
      <c r="D92" s="100" t="str">
        <f>IFERROR(VLOOKUP(A92,HistoryHalo4!92:238,10,0),)</f>
        <v/>
      </c>
      <c r="E92" s="100" t="str">
        <f>IFERROR(VLOOKUP(A92,HistoryHalo4!92:238,9,0),)</f>
        <v/>
      </c>
      <c r="H92" s="425" t="str">
        <f>IFERROR(VLOOKUP(A92,HistoryHalo4!92:238,2,0),)</f>
        <v/>
      </c>
    </row>
    <row r="93" ht="15.75" customHeight="1">
      <c r="A93" s="19" t="s">
        <v>130</v>
      </c>
      <c r="B93" s="19"/>
      <c r="C93" s="21" t="s">
        <v>340</v>
      </c>
      <c r="D93" s="100" t="str">
        <f>IFERROR(VLOOKUP(A93,HistoryHalo4!93:239,10,0),)</f>
        <v/>
      </c>
      <c r="E93" s="100" t="str">
        <f>IFERROR(VLOOKUP(A93,HistoryHalo4!93:239,9,0),)</f>
        <v/>
      </c>
      <c r="H93" s="425" t="str">
        <f>IFERROR(VLOOKUP(A93,HistoryHalo4!93:239,2,0),)</f>
        <v/>
      </c>
    </row>
    <row r="94" ht="15.75" customHeight="1">
      <c r="A94" s="5" t="s">
        <v>131</v>
      </c>
      <c r="B94" s="19"/>
      <c r="C94" s="21" t="s">
        <v>231</v>
      </c>
      <c r="D94" s="100">
        <f>IFERROR(VLOOKUP(A94,HistoryHalo4!94:240,10,0),)</f>
        <v>0.3411777293</v>
      </c>
      <c r="E94" s="100" t="str">
        <f>IFERROR(VLOOKUP(A94,HistoryHalo4!94:240,9,0),)</f>
        <v/>
      </c>
      <c r="H94" s="425" t="str">
        <f>IFERROR(VLOOKUP(A94,HistoryHalo4!94:240,2,0),)</f>
        <v/>
      </c>
    </row>
    <row r="95" ht="15.75" customHeight="1">
      <c r="A95" s="19" t="s">
        <v>132</v>
      </c>
      <c r="B95" s="19"/>
      <c r="C95" s="21" t="s">
        <v>338</v>
      </c>
      <c r="D95" s="100">
        <f>IFERROR(VLOOKUP(A95,HistoryHalo4!95:241,10,0),)</f>
        <v>-2.150863214</v>
      </c>
      <c r="E95" s="100">
        <f>IFERROR(VLOOKUP(A95,HistoryHalo4!95:241,9,0),)</f>
        <v>-2.48</v>
      </c>
      <c r="H95" s="425">
        <f>IFERROR(VLOOKUP(A95,HistoryHalo4!95:241,2,0),)</f>
        <v>0.4786</v>
      </c>
    </row>
    <row r="96" ht="15.75" customHeight="1">
      <c r="A96" s="19" t="s">
        <v>133</v>
      </c>
      <c r="B96" s="21" t="s">
        <v>336</v>
      </c>
      <c r="C96" s="21" t="s">
        <v>231</v>
      </c>
      <c r="D96" s="100">
        <f>IFERROR(VLOOKUP(A96,HistoryHalo4!96:242,10,0),)</f>
        <v>1.442450388</v>
      </c>
      <c r="E96" s="100">
        <f>IFERROR(VLOOKUP(A96,HistoryHalo4!96:242,9,0),)</f>
        <v>1.35</v>
      </c>
      <c r="H96" s="425">
        <f>IFERROR(VLOOKUP(A96,HistoryHalo4!96:242,2,0),)</f>
        <v>0.8185</v>
      </c>
    </row>
    <row r="97" ht="15.75" customHeight="1">
      <c r="A97" s="5" t="s">
        <v>136</v>
      </c>
      <c r="B97" s="19"/>
      <c r="C97" s="21" t="s">
        <v>212</v>
      </c>
      <c r="D97" s="100">
        <f>IFERROR(VLOOKUP(A97,HistoryHalo4!97:243,10,0),)</f>
        <v>1.834104046</v>
      </c>
      <c r="E97" s="100">
        <f>IFERROR(VLOOKUP(A97,HistoryHalo4!97:243,9,0),)</f>
        <v>1.85</v>
      </c>
      <c r="H97" s="425">
        <f>IFERROR(VLOOKUP(A97,HistoryHalo4!97:243,2,0),)</f>
        <v>0.5995</v>
      </c>
    </row>
    <row r="98" ht="15.75" customHeight="1">
      <c r="A98" s="5" t="s">
        <v>137</v>
      </c>
      <c r="B98" s="21" t="s">
        <v>336</v>
      </c>
      <c r="C98" s="21" t="s">
        <v>231</v>
      </c>
      <c r="D98" s="100" t="str">
        <f>IFERROR(VLOOKUP(A98,HistoryHalo4!98:244,10,0),)</f>
        <v/>
      </c>
      <c r="E98" s="100">
        <f>IFERROR(VLOOKUP(A98,HistoryHalo4!98:244,9,0),)</f>
        <v>1.665</v>
      </c>
      <c r="H98" s="425" t="str">
        <f>IFERROR(VLOOKUP(A98,HistoryHalo4!98:244,2,0),)</f>
        <v/>
      </c>
    </row>
    <row r="99" ht="15.75" customHeight="1">
      <c r="A99" s="5" t="s">
        <v>138</v>
      </c>
      <c r="B99" s="19"/>
      <c r="C99" s="21" t="s">
        <v>212</v>
      </c>
      <c r="D99" s="100" t="str">
        <f>IFERROR(VLOOKUP(A99,HistoryHalo4!99:245,10,0),)</f>
        <v/>
      </c>
      <c r="E99" s="100" t="str">
        <f>IFERROR(VLOOKUP(A99,HistoryHalo4!99:245,9,0),)</f>
        <v/>
      </c>
      <c r="H99" s="425" t="str">
        <f>IFERROR(VLOOKUP(A99,HistoryHalo4!99:245,2,0),)</f>
        <v/>
      </c>
    </row>
    <row r="100" ht="15.75" customHeight="1">
      <c r="A100" s="19" t="s">
        <v>139</v>
      </c>
      <c r="B100" s="21" t="s">
        <v>336</v>
      </c>
      <c r="C100" s="21" t="s">
        <v>212</v>
      </c>
      <c r="D100" s="100">
        <f>IFERROR(VLOOKUP(A100,HistoryHalo4!100:246,10,0),)</f>
        <v>-0.7494145199</v>
      </c>
      <c r="E100" s="100" t="str">
        <f>IFERROR(VLOOKUP(A100,HistoryHalo4!100:246,9,0),)</f>
        <v/>
      </c>
      <c r="H100" s="425" t="str">
        <f>IFERROR(VLOOKUP(A100,HistoryHalo4!100:246,2,0),)</f>
        <v/>
      </c>
    </row>
    <row r="101" ht="15.75" customHeight="1">
      <c r="A101" s="5" t="s">
        <v>140</v>
      </c>
      <c r="B101" s="19"/>
      <c r="C101" s="21" t="s">
        <v>231</v>
      </c>
      <c r="D101" s="100">
        <f>IFERROR(VLOOKUP(A101,HistoryHalo4!101:247,10,0),)</f>
        <v>-0.17611645</v>
      </c>
      <c r="E101" s="100">
        <f>IFERROR(VLOOKUP(A101,HistoryHalo4!101:247,9,0),)</f>
        <v>-0.35</v>
      </c>
      <c r="H101" s="425" t="str">
        <f>IFERROR(VLOOKUP(A101,HistoryHalo4!101:247,2,0),)</f>
        <v/>
      </c>
    </row>
    <row r="102" ht="15.75" customHeight="1">
      <c r="A102" s="5" t="s">
        <v>142</v>
      </c>
      <c r="B102" s="19"/>
      <c r="C102" s="21" t="s">
        <v>231</v>
      </c>
      <c r="D102" s="100" t="str">
        <f>IFERROR(VLOOKUP(A102,HistoryHalo4!102:248,10,0),)</f>
        <v/>
      </c>
      <c r="E102" s="100" t="str">
        <f>IFERROR(VLOOKUP(A102,HistoryHalo4!102:248,9,0),)</f>
        <v/>
      </c>
      <c r="H102" s="425" t="str">
        <f>IFERROR(VLOOKUP(A102,HistoryHalo4!102:248,2,0),)</f>
        <v/>
      </c>
    </row>
    <row r="103" ht="15.75" customHeight="1">
      <c r="A103" s="5" t="s">
        <v>144</v>
      </c>
      <c r="B103" s="19"/>
      <c r="C103" s="21" t="s">
        <v>231</v>
      </c>
      <c r="D103" s="100">
        <f>IFERROR(VLOOKUP(A103,HistoryHalo4!103:249,10,0),)</f>
        <v>2.826781358</v>
      </c>
      <c r="E103" s="100">
        <f>IFERROR(VLOOKUP(A103,HistoryHalo4!103:249,9,0),)</f>
        <v>1.866</v>
      </c>
      <c r="H103" s="425">
        <f>IFERROR(VLOOKUP(A103,HistoryHalo4!103:249,2,0),)</f>
        <v>0.896</v>
      </c>
    </row>
    <row r="104" ht="15.75" customHeight="1">
      <c r="A104" s="19" t="s">
        <v>145</v>
      </c>
      <c r="B104" s="19"/>
      <c r="C104" s="21" t="s">
        <v>231</v>
      </c>
      <c r="D104" s="100" t="str">
        <f>IFERROR(VLOOKUP(A104,HistoryHalo4!104:250,10,0),)</f>
        <v/>
      </c>
      <c r="E104" s="100" t="str">
        <f>IFERROR(VLOOKUP(A104,HistoryHalo4!104:250,9,0),)</f>
        <v/>
      </c>
      <c r="H104" s="425" t="str">
        <f>IFERROR(VLOOKUP(A104,HistoryHalo4!104:250,2,0),)</f>
        <v/>
      </c>
    </row>
    <row r="105" ht="15.75" customHeight="1">
      <c r="A105" s="5" t="s">
        <v>146</v>
      </c>
      <c r="B105" s="19"/>
      <c r="C105" s="19"/>
      <c r="D105" s="100" t="str">
        <f>IFERROR(VLOOKUP(A105,HistoryHalo4!105:251,10,0),)</f>
        <v/>
      </c>
      <c r="E105" s="100" t="str">
        <f>IFERROR(VLOOKUP(A105,HistoryHalo4!105:251,9,0),)</f>
        <v/>
      </c>
      <c r="H105" s="425" t="str">
        <f>IFERROR(VLOOKUP(A105,HistoryHalo4!105:251,2,0),)</f>
        <v/>
      </c>
    </row>
    <row r="106" ht="15.75" customHeight="1">
      <c r="A106" s="19" t="s">
        <v>147</v>
      </c>
      <c r="B106" s="19"/>
      <c r="C106" s="21" t="s">
        <v>212</v>
      </c>
      <c r="D106" s="100" t="str">
        <f>IFERROR(VLOOKUP(A106,HistoryHalo4!106:252,10,0),)</f>
        <v/>
      </c>
      <c r="E106" s="100" t="str">
        <f>IFERROR(VLOOKUP(A106,HistoryHalo4!106:252,9,0),)</f>
        <v/>
      </c>
      <c r="H106" s="425" t="str">
        <f>IFERROR(VLOOKUP(A106,HistoryHalo4!106:252,2,0),)</f>
        <v/>
      </c>
    </row>
    <row r="107" ht="15.75" customHeight="1">
      <c r="A107" s="5" t="s">
        <v>148</v>
      </c>
      <c r="B107" s="19"/>
      <c r="C107" s="21" t="s">
        <v>231</v>
      </c>
      <c r="D107" s="100" t="str">
        <f>IFERROR(VLOOKUP(A107,HistoryHalo4!107:253,10,0),)</f>
        <v/>
      </c>
      <c r="E107" s="100" t="str">
        <f>IFERROR(VLOOKUP(A107,HistoryHalo4!107:253,9,0),)</f>
        <v/>
      </c>
      <c r="H107" s="425" t="str">
        <f>IFERROR(VLOOKUP(A107,HistoryHalo4!107:253,2,0),)</f>
        <v/>
      </c>
    </row>
    <row r="108" ht="15.75" customHeight="1">
      <c r="A108" s="5" t="s">
        <v>149</v>
      </c>
      <c r="B108" s="19"/>
      <c r="C108" s="19"/>
      <c r="D108" s="100" t="str">
        <f>IFERROR(VLOOKUP(A108,HistoryHalo4!108:254,10,0),)</f>
        <v/>
      </c>
      <c r="E108" s="100" t="str">
        <f>IFERROR(VLOOKUP(A108,HistoryHalo4!108:254,9,0),)</f>
        <v/>
      </c>
      <c r="H108" s="425" t="str">
        <f>IFERROR(VLOOKUP(A108,HistoryHalo4!108:254,2,0),)</f>
        <v/>
      </c>
    </row>
    <row r="109" ht="15.75" customHeight="1">
      <c r="A109" s="19" t="s">
        <v>150</v>
      </c>
      <c r="B109" s="19"/>
      <c r="C109" s="21" t="s">
        <v>212</v>
      </c>
      <c r="D109" s="100">
        <f>IFERROR(VLOOKUP(A109,HistoryHalo4!109:255,10,0),)</f>
        <v>-0.4672009864</v>
      </c>
      <c r="E109" s="100" t="str">
        <f>IFERROR(VLOOKUP(A109,HistoryHalo4!109:255,9,0),)</f>
        <v/>
      </c>
      <c r="H109" s="425" t="str">
        <f>IFERROR(VLOOKUP(A109,HistoryHalo4!109:255,2,0),)</f>
        <v/>
      </c>
    </row>
    <row r="110" ht="15.75" customHeight="1">
      <c r="A110" s="5" t="s">
        <v>151</v>
      </c>
      <c r="B110" s="19"/>
      <c r="C110" s="19"/>
      <c r="D110" s="100" t="str">
        <f>IFERROR(VLOOKUP(A110,HistoryHalo4!110:256,10,0),)</f>
        <v/>
      </c>
      <c r="E110" s="100" t="str">
        <f>IFERROR(VLOOKUP(A110,HistoryHalo4!110:256,9,0),)</f>
        <v/>
      </c>
      <c r="H110" s="425" t="str">
        <f>IFERROR(VLOOKUP(A110,HistoryHalo4!110:256,2,0),)</f>
        <v/>
      </c>
    </row>
    <row r="111" ht="15.75" customHeight="1">
      <c r="A111" s="19" t="s">
        <v>152</v>
      </c>
      <c r="B111" s="19"/>
      <c r="C111" s="21" t="s">
        <v>219</v>
      </c>
      <c r="D111" s="100" t="str">
        <f>IFERROR(VLOOKUP(A111,HistoryHalo4!111:257,10,0),)</f>
        <v/>
      </c>
      <c r="E111" s="100" t="str">
        <f>IFERROR(VLOOKUP(A111,HistoryHalo4!111:257,9,0),)</f>
        <v/>
      </c>
      <c r="H111" s="425" t="str">
        <f>IFERROR(VLOOKUP(A111,HistoryHalo4!111:257,2,0),)</f>
        <v/>
      </c>
    </row>
    <row r="112" ht="15.75" customHeight="1">
      <c r="A112" s="19" t="s">
        <v>153</v>
      </c>
      <c r="B112" s="19"/>
      <c r="C112" s="21" t="s">
        <v>231</v>
      </c>
      <c r="D112" s="100">
        <f>IFERROR(VLOOKUP(A112,HistoryHalo4!112:258,10,0),)</f>
        <v>-0.2520584329</v>
      </c>
      <c r="E112" s="100" t="str">
        <f>IFERROR(VLOOKUP(A112,HistoryHalo4!112:258,9,0),)</f>
        <v/>
      </c>
      <c r="H112" s="425" t="str">
        <f>IFERROR(VLOOKUP(A112,HistoryHalo4!112:258,2,0),)</f>
        <v/>
      </c>
    </row>
    <row r="113" ht="15.75" customHeight="1">
      <c r="A113" s="5" t="s">
        <v>154</v>
      </c>
      <c r="B113" s="19"/>
      <c r="C113" s="21" t="s">
        <v>212</v>
      </c>
      <c r="D113" s="100">
        <f>IFERROR(VLOOKUP(A113,HistoryHalo4!113:259,10,0),)</f>
        <v>-1.076769691</v>
      </c>
      <c r="E113" s="100">
        <f>IFERROR(VLOOKUP(A113,HistoryHalo4!113:259,9,0),)</f>
        <v>-0.26</v>
      </c>
      <c r="H113" s="425">
        <f>IFERROR(VLOOKUP(A113,HistoryHalo4!113:259,2,0),)</f>
        <v>0.7042</v>
      </c>
    </row>
    <row r="114" ht="15.75" customHeight="1">
      <c r="A114" s="5" t="s">
        <v>155</v>
      </c>
      <c r="B114" s="19"/>
      <c r="C114" s="21" t="s">
        <v>212</v>
      </c>
      <c r="D114" s="100">
        <f>IFERROR(VLOOKUP(A114,HistoryHalo4!114:260,10,0),)</f>
        <v>0.653504805</v>
      </c>
      <c r="E114" s="100">
        <f>IFERROR(VLOOKUP(A114,HistoryHalo4!114:260,9,0),)</f>
        <v>0.79</v>
      </c>
      <c r="H114" s="425" t="str">
        <f>IFERROR(VLOOKUP(A114,HistoryHalo4!114:260,2,0),)</f>
        <v/>
      </c>
    </row>
    <row r="115" ht="15.75" customHeight="1">
      <c r="A115" s="19" t="s">
        <v>156</v>
      </c>
      <c r="B115" s="19"/>
      <c r="C115" s="21" t="s">
        <v>231</v>
      </c>
      <c r="D115" s="100">
        <f>IFERROR(VLOOKUP(A115,HistoryHalo4!115:261,10,0),)</f>
        <v>-0.5046436285</v>
      </c>
      <c r="E115" s="100">
        <f>IFERROR(VLOOKUP(A115,HistoryHalo4!115:261,9,0),)</f>
        <v>-0.95</v>
      </c>
      <c r="H115" s="425">
        <f>IFERROR(VLOOKUP(A115,HistoryHalo4!115:261,2,0),)</f>
        <v>0.5709</v>
      </c>
    </row>
    <row r="116" ht="15.75" customHeight="1">
      <c r="A116" s="5" t="s">
        <v>157</v>
      </c>
      <c r="B116" s="19"/>
      <c r="C116" s="21" t="s">
        <v>231</v>
      </c>
      <c r="D116" s="100">
        <f>IFERROR(VLOOKUP(A116,HistoryHalo4!116:262,10,0),)</f>
        <v>0.9585313175</v>
      </c>
      <c r="E116" s="100">
        <f>IFERROR(VLOOKUP(A116,HistoryHalo4!116:262,9,0),)</f>
        <v>0.505</v>
      </c>
      <c r="H116" s="425">
        <f>IFERROR(VLOOKUP(A116,HistoryHalo4!116:262,2,0),)</f>
        <v>0.6447</v>
      </c>
    </row>
    <row r="117" ht="15.75" customHeight="1">
      <c r="A117" s="5" t="s">
        <v>159</v>
      </c>
      <c r="B117" s="19"/>
      <c r="C117" s="19"/>
      <c r="D117" s="100" t="str">
        <f>IFERROR(VLOOKUP(A117,HistoryHalo4!117:263,10,0),)</f>
        <v/>
      </c>
      <c r="E117" s="100" t="str">
        <f>IFERROR(VLOOKUP(A117,HistoryHalo4!117:263,9,0),)</f>
        <v/>
      </c>
      <c r="H117" s="425" t="str">
        <f>IFERROR(VLOOKUP(A117,HistoryHalo4!117:263,2,0),)</f>
        <v/>
      </c>
    </row>
    <row r="118" ht="15.75" customHeight="1">
      <c r="A118" s="22" t="s">
        <v>160</v>
      </c>
      <c r="B118" s="19"/>
      <c r="C118" s="21" t="s">
        <v>231</v>
      </c>
      <c r="D118" s="100" t="str">
        <f>IFERROR(VLOOKUP(A118,HistoryHalo4!118:264,10,0),)</f>
        <v/>
      </c>
      <c r="E118" s="100" t="str">
        <f>IFERROR(VLOOKUP(A118,HistoryHalo4!118:264,9,0),)</f>
        <v/>
      </c>
      <c r="H118" s="425" t="str">
        <f>IFERROR(VLOOKUP(A118,HistoryHalo4!118:264,2,0),)</f>
        <v/>
      </c>
    </row>
    <row r="119" ht="15.75" customHeight="1">
      <c r="A119" s="5" t="s">
        <v>162</v>
      </c>
      <c r="B119" s="19"/>
      <c r="C119" s="21" t="s">
        <v>212</v>
      </c>
      <c r="D119" s="100" t="str">
        <f>IFERROR(VLOOKUP(A119,HistoryHalo4!119:265,10,0),)</f>
        <v/>
      </c>
      <c r="E119" s="100" t="str">
        <f>IFERROR(VLOOKUP(A119,HistoryHalo4!119:265,9,0),)</f>
        <v/>
      </c>
      <c r="H119" s="425" t="str">
        <f>IFERROR(VLOOKUP(A119,HistoryHalo4!119:265,2,0),)</f>
        <v/>
      </c>
    </row>
    <row r="120" ht="15.75" customHeight="1">
      <c r="A120" s="19" t="s">
        <v>163</v>
      </c>
      <c r="B120" s="19"/>
      <c r="C120" s="21" t="s">
        <v>212</v>
      </c>
      <c r="D120" s="100" t="str">
        <f>IFERROR(VLOOKUP(A120,HistoryHalo4!120:266,10,0),)</f>
        <v/>
      </c>
      <c r="E120" s="100" t="str">
        <f>IFERROR(VLOOKUP(A120,HistoryHalo4!120:266,9,0),)</f>
        <v/>
      </c>
      <c r="H120" s="425" t="str">
        <f>IFERROR(VLOOKUP(A120,HistoryHalo4!120:266,2,0),)</f>
        <v/>
      </c>
    </row>
    <row r="121" ht="15.75" customHeight="1">
      <c r="A121" s="5" t="s">
        <v>164</v>
      </c>
      <c r="B121" s="19"/>
      <c r="C121" s="21" t="s">
        <v>219</v>
      </c>
      <c r="D121" s="100" t="str">
        <f>IFERROR(VLOOKUP(A121,HistoryHalo4!121:267,10,0),)</f>
        <v/>
      </c>
      <c r="E121" s="100">
        <f>IFERROR(VLOOKUP(A121,HistoryHalo4!121:267,9,0),)</f>
        <v>1.321</v>
      </c>
      <c r="H121" s="425" t="str">
        <f>IFERROR(VLOOKUP(A121,HistoryHalo4!121:267,2,0),)</f>
        <v/>
      </c>
    </row>
    <row r="122" ht="15.75" customHeight="1">
      <c r="A122" s="22" t="s">
        <v>166</v>
      </c>
      <c r="B122" s="19"/>
      <c r="C122" s="21" t="s">
        <v>212</v>
      </c>
      <c r="D122" s="100" t="str">
        <f>IFERROR(VLOOKUP(A122,HistoryHalo4!122:268,10,0),)</f>
        <v/>
      </c>
      <c r="E122" s="100" t="str">
        <f>IFERROR(VLOOKUP(A122,HistoryHalo4!122:268,9,0),)</f>
        <v/>
      </c>
      <c r="H122" s="425" t="str">
        <f>IFERROR(VLOOKUP(A122,HistoryHalo4!122:268,2,0),)</f>
        <v/>
      </c>
    </row>
    <row r="123" ht="15.75" customHeight="1">
      <c r="A123" s="5" t="s">
        <v>167</v>
      </c>
      <c r="B123" s="19"/>
      <c r="C123" s="21" t="s">
        <v>212</v>
      </c>
      <c r="D123" s="100">
        <f>IFERROR(VLOOKUP(A123,HistoryHalo4!123:269,10,0),)</f>
        <v>0.2553062985</v>
      </c>
      <c r="E123" s="100" t="str">
        <f>IFERROR(VLOOKUP(A123,HistoryHalo4!123:269,9,0),)</f>
        <v/>
      </c>
      <c r="H123" s="425" t="str">
        <f>IFERROR(VLOOKUP(A123,HistoryHalo4!123:269,2,0),)</f>
        <v/>
      </c>
    </row>
    <row r="124" ht="15.75" customHeight="1">
      <c r="A124" s="5" t="s">
        <v>168</v>
      </c>
      <c r="B124" s="19"/>
      <c r="C124" s="21" t="s">
        <v>231</v>
      </c>
      <c r="D124" s="100" t="str">
        <f>IFERROR(VLOOKUP(A124,HistoryHalo4!124:270,10,0),)</f>
        <v/>
      </c>
      <c r="E124" s="100" t="str">
        <f>IFERROR(VLOOKUP(A124,HistoryHalo4!124:270,9,0),)</f>
        <v/>
      </c>
      <c r="H124" s="425" t="str">
        <f>IFERROR(VLOOKUP(A124,HistoryHalo4!124:270,2,0),)</f>
        <v/>
      </c>
    </row>
    <row r="125" ht="15.75" customHeight="1">
      <c r="A125" s="5" t="s">
        <v>169</v>
      </c>
      <c r="B125" s="21" t="s">
        <v>337</v>
      </c>
      <c r="C125" s="21" t="s">
        <v>212</v>
      </c>
      <c r="D125" s="100">
        <f>IFERROR(VLOOKUP(A125,HistoryHalo4!125:271,10,0),)</f>
        <v>1.129083665</v>
      </c>
      <c r="E125" s="100">
        <f>IFERROR(VLOOKUP(A125,HistoryHalo4!125:271,9,0),)</f>
        <v>2.625</v>
      </c>
      <c r="H125" s="425">
        <f>IFERROR(VLOOKUP(A125,HistoryHalo4!125:271,2,0),)</f>
        <v>0.8425</v>
      </c>
    </row>
    <row r="126" ht="15.75" customHeight="1">
      <c r="A126" s="19" t="s">
        <v>170</v>
      </c>
      <c r="B126" s="19"/>
      <c r="C126" s="21" t="s">
        <v>212</v>
      </c>
      <c r="D126" s="100" t="str">
        <f>IFERROR(VLOOKUP(A126,HistoryHalo4!126:272,10,0),)</f>
        <v/>
      </c>
      <c r="E126" s="100" t="str">
        <f>IFERROR(VLOOKUP(A126,HistoryHalo4!126:272,9,0),)</f>
        <v/>
      </c>
      <c r="H126" s="425" t="str">
        <f>IFERROR(VLOOKUP(A126,HistoryHalo4!126:272,2,0),)</f>
        <v/>
      </c>
    </row>
    <row r="127" ht="15.75" customHeight="1">
      <c r="A127" s="5" t="s">
        <v>171</v>
      </c>
      <c r="B127" s="19"/>
      <c r="C127" s="21" t="s">
        <v>338</v>
      </c>
      <c r="D127" s="100" t="str">
        <f>IFERROR(VLOOKUP(A127,HistoryHalo4!127:273,10,0),)</f>
        <v/>
      </c>
      <c r="E127" s="100" t="str">
        <f>IFERROR(VLOOKUP(A127,HistoryHalo4!127:273,9,0),)</f>
        <v/>
      </c>
      <c r="H127" s="425" t="str">
        <f>IFERROR(VLOOKUP(A127,HistoryHalo4!127:273,2,0),)</f>
        <v/>
      </c>
    </row>
    <row r="128" ht="15.75" customHeight="1">
      <c r="D128" s="100"/>
      <c r="H128" s="426"/>
    </row>
    <row r="129" ht="15.75" customHeight="1">
      <c r="D129" s="100"/>
      <c r="H129" s="426"/>
    </row>
    <row r="130" ht="15.75" customHeight="1">
      <c r="D130" s="100"/>
      <c r="H130" s="426"/>
    </row>
    <row r="131" ht="15.75" customHeight="1">
      <c r="D131" s="100"/>
      <c r="H131" s="426"/>
    </row>
    <row r="132" ht="15.75" customHeight="1">
      <c r="D132" s="100"/>
      <c r="H132" s="426"/>
    </row>
    <row r="133" ht="15.75" customHeight="1">
      <c r="D133" s="100"/>
      <c r="H133" s="426"/>
    </row>
    <row r="134" ht="15.75" customHeight="1">
      <c r="D134" s="100"/>
      <c r="H134" s="426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I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38"/>
    <col customWidth="1" hidden="1" min="2" max="6" width="12.63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hidden="1" min="14" max="14" width="8.88"/>
    <col customWidth="1" min="15" max="15" width="9.5"/>
    <col customWidth="1" hidden="1" min="16" max="16" width="10.5"/>
    <col customWidth="1" min="17" max="17" width="10.38"/>
    <col customWidth="1" min="18" max="18" width="10.13"/>
    <col customWidth="1" min="19" max="20" width="9.0"/>
    <col customWidth="1" min="21" max="21" width="6.5"/>
    <col customWidth="1" min="22" max="22" width="7.63"/>
    <col customWidth="1" min="23" max="23" width="11.63"/>
    <col customWidth="1" min="24" max="24" width="8.0"/>
    <col customWidth="1" min="25" max="25" width="11.63"/>
    <col customWidth="1" min="26" max="26" width="12.88"/>
    <col customWidth="1" min="27" max="27" width="11.88"/>
    <col customWidth="1" min="28" max="28" width="9.38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8.25"/>
    <col customWidth="1" min="36" max="36" width="13.25"/>
  </cols>
  <sheetData>
    <row r="1" ht="15.75" customHeight="1">
      <c r="A1" s="427" t="s">
        <v>9</v>
      </c>
      <c r="B1" s="427" t="s">
        <v>341</v>
      </c>
      <c r="C1" s="427" t="s">
        <v>342</v>
      </c>
      <c r="D1" s="427" t="s">
        <v>343</v>
      </c>
      <c r="E1" s="427" t="s">
        <v>344</v>
      </c>
      <c r="F1" s="427" t="s">
        <v>345</v>
      </c>
      <c r="G1" s="427" t="s">
        <v>346</v>
      </c>
      <c r="H1" s="427" t="s">
        <v>347</v>
      </c>
      <c r="I1" s="427" t="s">
        <v>348</v>
      </c>
      <c r="J1" s="427" t="s">
        <v>349</v>
      </c>
      <c r="K1" s="427" t="s">
        <v>350</v>
      </c>
      <c r="L1" s="427" t="s">
        <v>351</v>
      </c>
      <c r="M1" s="427" t="s">
        <v>352</v>
      </c>
      <c r="N1" s="427" t="s">
        <v>353</v>
      </c>
      <c r="O1" s="427" t="s">
        <v>354</v>
      </c>
      <c r="P1" s="427" t="s">
        <v>355</v>
      </c>
      <c r="Q1" s="427" t="s">
        <v>356</v>
      </c>
      <c r="R1" s="427" t="s">
        <v>357</v>
      </c>
      <c r="S1" s="427" t="s">
        <v>358</v>
      </c>
      <c r="T1" s="427" t="s">
        <v>359</v>
      </c>
      <c r="U1" s="427" t="s">
        <v>360</v>
      </c>
      <c r="V1" s="427" t="s">
        <v>361</v>
      </c>
      <c r="W1" s="427" t="s">
        <v>362</v>
      </c>
      <c r="X1" s="427" t="s">
        <v>363</v>
      </c>
      <c r="Y1" s="427" t="s">
        <v>364</v>
      </c>
      <c r="Z1" s="427" t="s">
        <v>365</v>
      </c>
      <c r="AA1" s="427" t="s">
        <v>366</v>
      </c>
      <c r="AB1" s="427" t="s">
        <v>367</v>
      </c>
      <c r="AC1" s="427" t="s">
        <v>368</v>
      </c>
      <c r="AD1" s="427" t="s">
        <v>369</v>
      </c>
      <c r="AE1" s="427" t="s">
        <v>370</v>
      </c>
      <c r="AF1" s="427" t="s">
        <v>371</v>
      </c>
      <c r="AG1" s="427" t="s">
        <v>372</v>
      </c>
      <c r="AH1" s="427" t="s">
        <v>373</v>
      </c>
      <c r="AI1" s="427" t="s">
        <v>374</v>
      </c>
      <c r="AJ1" s="427" t="s">
        <v>375</v>
      </c>
    </row>
    <row r="2" ht="15.75" customHeight="1">
      <c r="A2" s="19" t="s">
        <v>139</v>
      </c>
      <c r="B2" s="428">
        <v>1.0</v>
      </c>
      <c r="C2" s="428">
        <v>1.0</v>
      </c>
      <c r="D2" s="428">
        <v>0.0</v>
      </c>
      <c r="E2" s="428">
        <v>1.0</v>
      </c>
      <c r="F2" s="428">
        <v>0.0</v>
      </c>
      <c r="G2" s="428">
        <v>3.0</v>
      </c>
      <c r="H2" s="428">
        <v>106.0</v>
      </c>
      <c r="I2" s="428">
        <v>3.0</v>
      </c>
      <c r="J2" s="428">
        <v>76.0</v>
      </c>
      <c r="K2" s="428">
        <v>30.0</v>
      </c>
      <c r="L2" s="428">
        <v>7.0</v>
      </c>
      <c r="M2" s="428">
        <v>5.0</v>
      </c>
      <c r="N2" s="428">
        <v>1482.0</v>
      </c>
      <c r="O2" s="428">
        <v>1522.0</v>
      </c>
      <c r="P2" s="428">
        <v>19.0</v>
      </c>
      <c r="Q2" s="428">
        <v>1.0</v>
      </c>
      <c r="R2" s="428">
        <v>20.0</v>
      </c>
      <c r="S2" s="428">
        <v>6.0</v>
      </c>
      <c r="T2" s="428">
        <v>2.0</v>
      </c>
      <c r="U2" s="428">
        <v>3.0</v>
      </c>
      <c r="V2" s="428">
        <v>0.0</v>
      </c>
      <c r="W2" s="428">
        <v>0.0</v>
      </c>
      <c r="X2" s="428">
        <v>1.0</v>
      </c>
      <c r="Y2" s="428">
        <v>3.0</v>
      </c>
      <c r="Z2" s="428">
        <v>0.0</v>
      </c>
      <c r="AA2" s="428">
        <v>0.0</v>
      </c>
      <c r="AB2" s="428">
        <v>0.0</v>
      </c>
      <c r="AC2" s="428">
        <v>1.0</v>
      </c>
      <c r="AD2" s="428">
        <v>0.0</v>
      </c>
      <c r="AE2" s="428">
        <v>0.0</v>
      </c>
      <c r="AF2" s="428">
        <v>0.0</v>
      </c>
      <c r="AG2" s="428">
        <v>0.0</v>
      </c>
      <c r="AH2" s="428">
        <v>0.0</v>
      </c>
      <c r="AI2" s="428">
        <v>1.0</v>
      </c>
      <c r="AJ2" s="428">
        <v>0.0</v>
      </c>
    </row>
    <row r="3" ht="15.75" customHeight="1">
      <c r="A3" s="19" t="s">
        <v>154</v>
      </c>
      <c r="B3" s="428">
        <v>1.0</v>
      </c>
      <c r="C3" s="428">
        <v>1.0</v>
      </c>
      <c r="D3" s="428">
        <v>0.0</v>
      </c>
      <c r="E3" s="428">
        <v>1.0</v>
      </c>
      <c r="F3" s="428">
        <v>0.0</v>
      </c>
      <c r="G3" s="428">
        <v>0.0</v>
      </c>
      <c r="H3" s="428">
        <v>82.0</v>
      </c>
      <c r="I3" s="428">
        <v>2.0</v>
      </c>
      <c r="J3" s="428">
        <v>86.0</v>
      </c>
      <c r="K3" s="428">
        <v>-4.0</v>
      </c>
      <c r="L3" s="428">
        <v>9.0</v>
      </c>
      <c r="M3" s="428">
        <v>3.0</v>
      </c>
      <c r="N3" s="428">
        <v>1482.0</v>
      </c>
      <c r="O3" s="428">
        <v>1522.0</v>
      </c>
      <c r="P3" s="428">
        <v>17.0</v>
      </c>
      <c r="Q3" s="428">
        <v>5.0</v>
      </c>
      <c r="R3" s="428">
        <v>12.0</v>
      </c>
      <c r="S3" s="428">
        <v>6.0</v>
      </c>
      <c r="T3" s="428">
        <v>8.0</v>
      </c>
      <c r="U3" s="428">
        <v>2.0</v>
      </c>
      <c r="V3" s="428">
        <v>0.0</v>
      </c>
      <c r="W3" s="428">
        <v>0.0</v>
      </c>
      <c r="X3" s="428">
        <v>3.0</v>
      </c>
      <c r="Y3" s="428">
        <v>2.0</v>
      </c>
      <c r="Z3" s="428">
        <v>0.0</v>
      </c>
      <c r="AA3" s="428">
        <v>0.0</v>
      </c>
      <c r="AB3" s="428">
        <v>0.0</v>
      </c>
      <c r="AC3" s="428">
        <v>2.0</v>
      </c>
      <c r="AD3" s="428">
        <v>1.0</v>
      </c>
      <c r="AE3" s="428">
        <v>1.0</v>
      </c>
      <c r="AF3" s="428">
        <v>1.0</v>
      </c>
      <c r="AG3" s="428">
        <v>0.0</v>
      </c>
      <c r="AH3" s="428">
        <v>0.0</v>
      </c>
      <c r="AI3" s="428">
        <v>4.0</v>
      </c>
      <c r="AJ3" s="428">
        <v>0.0</v>
      </c>
    </row>
    <row r="4" ht="15.75" customHeight="1">
      <c r="A4" s="19" t="s">
        <v>134</v>
      </c>
      <c r="B4" s="428">
        <v>1.0</v>
      </c>
      <c r="C4" s="428">
        <v>1.0</v>
      </c>
      <c r="D4" s="428">
        <v>0.0</v>
      </c>
      <c r="E4" s="428">
        <v>1.0</v>
      </c>
      <c r="F4" s="428">
        <v>0.0</v>
      </c>
      <c r="G4" s="428">
        <v>2.0</v>
      </c>
      <c r="H4" s="428">
        <v>76.0</v>
      </c>
      <c r="I4" s="428">
        <v>2.0</v>
      </c>
      <c r="J4" s="428">
        <v>83.0</v>
      </c>
      <c r="K4" s="428">
        <v>-7.0</v>
      </c>
      <c r="L4" s="428">
        <v>5.0</v>
      </c>
      <c r="M4" s="428">
        <v>1.0</v>
      </c>
      <c r="N4" s="428">
        <v>1471.0</v>
      </c>
      <c r="O4" s="428">
        <v>1473.0</v>
      </c>
      <c r="P4" s="428">
        <v>17.0</v>
      </c>
      <c r="Q4" s="428">
        <v>5.0</v>
      </c>
      <c r="R4" s="428">
        <v>17.0</v>
      </c>
      <c r="S4" s="428">
        <v>0.0</v>
      </c>
      <c r="T4" s="428">
        <v>0.0</v>
      </c>
      <c r="U4" s="428">
        <v>1.0</v>
      </c>
      <c r="V4" s="428">
        <v>0.0</v>
      </c>
      <c r="W4" s="428">
        <v>0.0</v>
      </c>
      <c r="X4" s="428">
        <v>0.0</v>
      </c>
      <c r="Y4" s="428">
        <v>1.0</v>
      </c>
      <c r="Z4" s="428">
        <v>0.0</v>
      </c>
      <c r="AA4" s="428">
        <v>0.0</v>
      </c>
      <c r="AB4" s="428">
        <v>0.0</v>
      </c>
      <c r="AC4" s="428">
        <v>0.0</v>
      </c>
      <c r="AD4" s="428">
        <v>0.0</v>
      </c>
      <c r="AE4" s="428">
        <v>0.0</v>
      </c>
      <c r="AF4" s="428">
        <v>0.0</v>
      </c>
      <c r="AG4" s="428">
        <v>0.0</v>
      </c>
      <c r="AH4" s="428">
        <v>0.0</v>
      </c>
      <c r="AI4" s="428">
        <v>4.0</v>
      </c>
      <c r="AJ4" s="428">
        <v>0.0</v>
      </c>
    </row>
    <row r="5" ht="15.75" customHeight="1">
      <c r="A5" s="19" t="s">
        <v>126</v>
      </c>
      <c r="B5" s="428">
        <v>1.0</v>
      </c>
      <c r="C5" s="428">
        <v>1.0</v>
      </c>
      <c r="D5" s="428">
        <v>0.0</v>
      </c>
      <c r="E5" s="428">
        <v>1.0</v>
      </c>
      <c r="F5" s="428">
        <v>0.0</v>
      </c>
      <c r="G5" s="428">
        <v>0.0</v>
      </c>
      <c r="H5" s="428">
        <v>48.0</v>
      </c>
      <c r="I5" s="428">
        <v>1.0</v>
      </c>
      <c r="J5" s="428">
        <v>83.0</v>
      </c>
      <c r="K5" s="428">
        <v>-35.0</v>
      </c>
      <c r="L5" s="428">
        <v>3.0</v>
      </c>
      <c r="M5" s="428">
        <v>0.0</v>
      </c>
      <c r="N5" s="428">
        <v>1482.0</v>
      </c>
      <c r="O5" s="428">
        <v>1521.0</v>
      </c>
      <c r="P5" s="428">
        <v>17.0</v>
      </c>
      <c r="Q5" s="428">
        <v>1.0</v>
      </c>
      <c r="R5" s="428">
        <v>8.0</v>
      </c>
      <c r="S5" s="428">
        <v>1.0</v>
      </c>
      <c r="T5" s="428">
        <v>0.0</v>
      </c>
      <c r="U5" s="428">
        <v>0.0</v>
      </c>
      <c r="V5" s="428">
        <v>0.0</v>
      </c>
      <c r="W5" s="428">
        <v>0.0</v>
      </c>
      <c r="X5" s="428">
        <v>0.0</v>
      </c>
      <c r="Y5" s="428">
        <v>0.0</v>
      </c>
      <c r="Z5" s="428">
        <v>0.0</v>
      </c>
      <c r="AA5" s="428">
        <v>0.0</v>
      </c>
      <c r="AB5" s="428">
        <v>0.0</v>
      </c>
      <c r="AC5" s="428">
        <v>0.0</v>
      </c>
      <c r="AD5" s="428">
        <v>0.0</v>
      </c>
      <c r="AE5" s="428">
        <v>0.0</v>
      </c>
      <c r="AF5" s="428">
        <v>0.0</v>
      </c>
      <c r="AG5" s="428">
        <v>0.0</v>
      </c>
      <c r="AH5" s="428">
        <v>0.0</v>
      </c>
      <c r="AI5" s="428">
        <v>2.0</v>
      </c>
      <c r="AJ5" s="428">
        <v>0.0</v>
      </c>
    </row>
    <row r="6" ht="15.75" customHeight="1">
      <c r="A6" s="19" t="s">
        <v>104</v>
      </c>
      <c r="B6" s="428">
        <v>0.0</v>
      </c>
      <c r="C6" s="428">
        <v>1.0</v>
      </c>
      <c r="D6" s="428">
        <v>0.0</v>
      </c>
      <c r="E6" s="428">
        <v>0.0</v>
      </c>
      <c r="F6" s="428">
        <v>1.0</v>
      </c>
      <c r="G6" s="428">
        <v>1.0</v>
      </c>
      <c r="H6" s="428">
        <v>88.0</v>
      </c>
      <c r="I6" s="428">
        <v>2.0</v>
      </c>
      <c r="J6" s="428">
        <v>77.0</v>
      </c>
      <c r="K6" s="428">
        <v>11.0</v>
      </c>
      <c r="L6" s="428">
        <v>5.0</v>
      </c>
      <c r="M6" s="428">
        <v>4.0</v>
      </c>
      <c r="N6" s="428">
        <v>1482.0</v>
      </c>
      <c r="O6" s="428">
        <v>1521.0</v>
      </c>
      <c r="P6" s="428">
        <v>19.0</v>
      </c>
      <c r="Q6" s="428">
        <v>1.0</v>
      </c>
      <c r="R6" s="428">
        <v>15.0</v>
      </c>
      <c r="S6" s="428">
        <v>5.0</v>
      </c>
      <c r="T6" s="428">
        <v>1.0</v>
      </c>
      <c r="U6" s="428">
        <v>1.0</v>
      </c>
      <c r="V6" s="428">
        <v>0.0</v>
      </c>
      <c r="W6" s="428">
        <v>0.0</v>
      </c>
      <c r="X6" s="428">
        <v>1.0</v>
      </c>
      <c r="Y6" s="428">
        <v>1.0</v>
      </c>
      <c r="Z6" s="428">
        <v>0.0</v>
      </c>
      <c r="AA6" s="428">
        <v>0.0</v>
      </c>
      <c r="AB6" s="428">
        <v>0.0</v>
      </c>
      <c r="AC6" s="428">
        <v>0.0</v>
      </c>
      <c r="AD6" s="428">
        <v>0.0</v>
      </c>
      <c r="AE6" s="428">
        <v>0.0</v>
      </c>
      <c r="AF6" s="428">
        <v>0.0</v>
      </c>
      <c r="AG6" s="428">
        <v>0.0</v>
      </c>
      <c r="AH6" s="428">
        <v>0.0</v>
      </c>
      <c r="AI6" s="428">
        <v>1.0</v>
      </c>
      <c r="AJ6" s="428">
        <v>0.0</v>
      </c>
    </row>
    <row r="7" ht="15.75" customHeight="1">
      <c r="A7" s="19" t="s">
        <v>153</v>
      </c>
      <c r="B7" s="428">
        <v>0.0</v>
      </c>
      <c r="C7" s="428">
        <v>1.0</v>
      </c>
      <c r="D7" s="428">
        <v>0.0</v>
      </c>
      <c r="E7" s="428">
        <v>0.0</v>
      </c>
      <c r="F7" s="428">
        <v>1.0</v>
      </c>
      <c r="G7" s="428">
        <v>1.0</v>
      </c>
      <c r="H7" s="428">
        <v>80.0</v>
      </c>
      <c r="I7" s="428">
        <v>2.0</v>
      </c>
      <c r="J7" s="428">
        <v>75.0</v>
      </c>
      <c r="K7" s="428">
        <v>5.0</v>
      </c>
      <c r="L7" s="428">
        <v>5.0</v>
      </c>
      <c r="M7" s="428">
        <v>3.0</v>
      </c>
      <c r="N7" s="428">
        <v>1482.0</v>
      </c>
      <c r="O7" s="428">
        <v>1522.0</v>
      </c>
      <c r="P7" s="428">
        <v>19.0</v>
      </c>
      <c r="Q7" s="428">
        <v>1.0</v>
      </c>
      <c r="R7" s="428">
        <v>19.0</v>
      </c>
      <c r="S7" s="428">
        <v>3.0</v>
      </c>
      <c r="T7" s="428">
        <v>0.0</v>
      </c>
      <c r="U7" s="428">
        <v>1.0</v>
      </c>
      <c r="V7" s="428">
        <v>0.0</v>
      </c>
      <c r="W7" s="428">
        <v>0.0</v>
      </c>
      <c r="X7" s="428">
        <v>0.0</v>
      </c>
      <c r="Y7" s="428">
        <v>1.0</v>
      </c>
      <c r="Z7" s="428">
        <v>0.0</v>
      </c>
      <c r="AA7" s="428">
        <v>0.0</v>
      </c>
      <c r="AB7" s="428">
        <v>0.0</v>
      </c>
      <c r="AC7" s="428">
        <v>0.0</v>
      </c>
      <c r="AD7" s="428">
        <v>0.0</v>
      </c>
      <c r="AE7" s="428">
        <v>0.0</v>
      </c>
      <c r="AF7" s="428">
        <v>0.0</v>
      </c>
      <c r="AG7" s="428">
        <v>0.0</v>
      </c>
      <c r="AH7" s="428">
        <v>0.0</v>
      </c>
      <c r="AI7" s="428">
        <v>3.0</v>
      </c>
      <c r="AJ7" s="428">
        <v>0.0</v>
      </c>
    </row>
    <row r="8" ht="15.75" customHeight="1">
      <c r="A8" s="19" t="s">
        <v>40</v>
      </c>
      <c r="B8" s="428">
        <v>0.0</v>
      </c>
      <c r="C8" s="428">
        <v>1.0</v>
      </c>
      <c r="D8" s="428">
        <v>0.0</v>
      </c>
      <c r="E8" s="428">
        <v>0.0</v>
      </c>
      <c r="F8" s="428">
        <v>1.0</v>
      </c>
      <c r="G8" s="428">
        <v>0.0</v>
      </c>
      <c r="H8" s="428">
        <v>84.0</v>
      </c>
      <c r="I8" s="428">
        <v>4.0</v>
      </c>
      <c r="J8" s="428">
        <v>75.0</v>
      </c>
      <c r="K8" s="428">
        <v>9.0</v>
      </c>
      <c r="L8" s="428">
        <v>4.0</v>
      </c>
      <c r="M8" s="428">
        <v>1.0</v>
      </c>
      <c r="N8" s="428">
        <v>1482.0</v>
      </c>
      <c r="O8" s="428">
        <v>1521.0</v>
      </c>
      <c r="P8" s="428">
        <v>19.0</v>
      </c>
      <c r="Q8" s="428">
        <v>2.0</v>
      </c>
      <c r="R8" s="428">
        <v>18.0</v>
      </c>
      <c r="S8" s="428">
        <v>3.0</v>
      </c>
      <c r="T8" s="428">
        <v>2.0</v>
      </c>
      <c r="U8" s="428">
        <v>0.0</v>
      </c>
      <c r="V8" s="428">
        <v>0.0</v>
      </c>
      <c r="W8" s="428">
        <v>0.0</v>
      </c>
      <c r="X8" s="428">
        <v>2.0</v>
      </c>
      <c r="Y8" s="428">
        <v>0.0</v>
      </c>
      <c r="Z8" s="428">
        <v>0.0</v>
      </c>
      <c r="AA8" s="428">
        <v>0.0</v>
      </c>
      <c r="AB8" s="428">
        <v>0.0</v>
      </c>
      <c r="AC8" s="428">
        <v>0.0</v>
      </c>
      <c r="AD8" s="428">
        <v>0.0</v>
      </c>
      <c r="AE8" s="428">
        <v>0.0</v>
      </c>
      <c r="AF8" s="428">
        <v>0.0</v>
      </c>
      <c r="AG8" s="428">
        <v>0.0</v>
      </c>
      <c r="AH8" s="428">
        <v>0.0</v>
      </c>
      <c r="AI8" s="428">
        <v>0.0</v>
      </c>
      <c r="AJ8" s="428">
        <v>0.0</v>
      </c>
    </row>
    <row r="9" ht="15.75" customHeight="1">
      <c r="A9" s="19" t="s">
        <v>47</v>
      </c>
      <c r="B9" s="428">
        <v>0.0</v>
      </c>
      <c r="C9" s="428">
        <v>1.0</v>
      </c>
      <c r="D9" s="428">
        <v>0.0</v>
      </c>
      <c r="E9" s="428">
        <v>0.0</v>
      </c>
      <c r="F9" s="428">
        <v>1.0</v>
      </c>
      <c r="G9" s="428">
        <v>0.0</v>
      </c>
      <c r="H9" s="428">
        <v>67.0</v>
      </c>
      <c r="I9" s="428">
        <v>1.0</v>
      </c>
      <c r="J9" s="428">
        <v>96.0</v>
      </c>
      <c r="K9" s="428">
        <v>-29.0</v>
      </c>
      <c r="L9" s="428">
        <v>4.0</v>
      </c>
      <c r="M9" s="428">
        <v>3.0</v>
      </c>
      <c r="N9" s="428">
        <v>1482.0</v>
      </c>
      <c r="O9" s="428">
        <v>1522.0</v>
      </c>
      <c r="P9" s="428">
        <v>15.0</v>
      </c>
      <c r="Q9" s="428">
        <v>4.0</v>
      </c>
      <c r="R9" s="428">
        <v>11.0</v>
      </c>
      <c r="S9" s="428">
        <v>1.0</v>
      </c>
      <c r="T9" s="428">
        <v>0.0</v>
      </c>
      <c r="U9" s="428">
        <v>0.0</v>
      </c>
      <c r="V9" s="428">
        <v>0.0</v>
      </c>
      <c r="W9" s="428">
        <v>0.0</v>
      </c>
      <c r="X9" s="428">
        <v>0.0</v>
      </c>
      <c r="Y9" s="428">
        <v>0.0</v>
      </c>
      <c r="Z9" s="428">
        <v>0.0</v>
      </c>
      <c r="AA9" s="428">
        <v>0.0</v>
      </c>
      <c r="AB9" s="428">
        <v>0.0</v>
      </c>
      <c r="AC9" s="428">
        <v>0.0</v>
      </c>
      <c r="AD9" s="428">
        <v>0.0</v>
      </c>
      <c r="AE9" s="428">
        <v>0.0</v>
      </c>
      <c r="AF9" s="428">
        <v>0.0</v>
      </c>
      <c r="AG9" s="428">
        <v>0.0</v>
      </c>
      <c r="AH9" s="428">
        <v>0.0</v>
      </c>
      <c r="AI9" s="428">
        <v>2.0</v>
      </c>
      <c r="AJ9" s="428">
        <v>0.0</v>
      </c>
    </row>
    <row r="10" ht="15.75" customHeight="1">
      <c r="A10" s="429" t="s">
        <v>376</v>
      </c>
      <c r="B10" s="430">
        <v>1.0</v>
      </c>
      <c r="C10" s="430">
        <v>0.0</v>
      </c>
      <c r="D10" s="430">
        <v>1.0</v>
      </c>
      <c r="E10" s="430">
        <v>0.0</v>
      </c>
      <c r="F10" s="430">
        <v>0.0</v>
      </c>
      <c r="G10" s="430">
        <v>0.0</v>
      </c>
      <c r="H10" s="430">
        <v>0.0</v>
      </c>
      <c r="I10" s="430">
        <v>0.0</v>
      </c>
      <c r="J10" s="430">
        <v>0.0</v>
      </c>
      <c r="K10" s="430">
        <v>0.0</v>
      </c>
      <c r="L10" s="430">
        <v>0.0</v>
      </c>
      <c r="M10" s="430">
        <v>0.0</v>
      </c>
      <c r="N10" s="430">
        <v>0.0</v>
      </c>
      <c r="O10" s="430">
        <v>0.0</v>
      </c>
      <c r="P10" s="430">
        <v>0.0</v>
      </c>
      <c r="Q10" s="430">
        <v>0.0</v>
      </c>
      <c r="R10" s="430">
        <v>0.0</v>
      </c>
      <c r="S10" s="430">
        <v>0.0</v>
      </c>
      <c r="T10" s="430">
        <v>0.0</v>
      </c>
      <c r="U10" s="430">
        <v>0.0</v>
      </c>
      <c r="V10" s="430">
        <v>0.0</v>
      </c>
      <c r="W10" s="430">
        <v>0.0</v>
      </c>
      <c r="X10" s="430">
        <v>0.0</v>
      </c>
      <c r="Y10" s="430">
        <v>0.0</v>
      </c>
      <c r="Z10" s="430">
        <v>0.0</v>
      </c>
      <c r="AA10" s="430">
        <v>0.0</v>
      </c>
      <c r="AB10" s="430">
        <v>0.0</v>
      </c>
      <c r="AC10" s="430">
        <v>0.0</v>
      </c>
      <c r="AD10" s="430">
        <v>0.0</v>
      </c>
      <c r="AE10" s="430">
        <v>0.0</v>
      </c>
      <c r="AF10" s="430">
        <v>0.0</v>
      </c>
      <c r="AG10" s="430">
        <v>0.0</v>
      </c>
      <c r="AH10" s="430">
        <v>0.0</v>
      </c>
      <c r="AI10" s="430">
        <v>0.0</v>
      </c>
      <c r="AJ10" s="430">
        <v>0.0</v>
      </c>
    </row>
    <row r="11" ht="15.75" customHeight="1">
      <c r="A11" s="19" t="s">
        <v>115</v>
      </c>
      <c r="B11" s="428">
        <v>0.0</v>
      </c>
      <c r="C11" s="428">
        <v>1.0</v>
      </c>
      <c r="D11" s="428">
        <v>0.0</v>
      </c>
      <c r="E11" s="428">
        <v>0.0</v>
      </c>
      <c r="F11" s="428">
        <v>0.0</v>
      </c>
      <c r="G11" s="428">
        <v>0.0</v>
      </c>
      <c r="H11" s="428">
        <v>0.0</v>
      </c>
      <c r="I11" s="428">
        <v>0.0</v>
      </c>
      <c r="J11" s="428">
        <v>0.0</v>
      </c>
      <c r="K11" s="428">
        <v>0.0</v>
      </c>
      <c r="L11" s="428">
        <v>0.0</v>
      </c>
      <c r="M11" s="428">
        <v>0.0</v>
      </c>
      <c r="N11" s="428">
        <v>0.0</v>
      </c>
      <c r="O11" s="428">
        <v>0.0</v>
      </c>
      <c r="P11" s="428">
        <v>0.0</v>
      </c>
      <c r="Q11" s="428">
        <v>0.0</v>
      </c>
      <c r="R11" s="428">
        <v>0.0</v>
      </c>
      <c r="S11" s="428">
        <v>0.0</v>
      </c>
      <c r="T11" s="428">
        <v>0.0</v>
      </c>
      <c r="U11" s="428">
        <v>0.0</v>
      </c>
      <c r="V11" s="428">
        <v>0.0</v>
      </c>
      <c r="W11" s="428">
        <v>0.0</v>
      </c>
      <c r="X11" s="428">
        <v>0.0</v>
      </c>
      <c r="Y11" s="428">
        <v>0.0</v>
      </c>
      <c r="Z11" s="428">
        <v>0.0</v>
      </c>
      <c r="AA11" s="428">
        <v>0.0</v>
      </c>
      <c r="AB11" s="428">
        <v>0.0</v>
      </c>
      <c r="AC11" s="428">
        <v>0.0</v>
      </c>
      <c r="AD11" s="428">
        <v>0.0</v>
      </c>
      <c r="AE11" s="428">
        <v>0.0</v>
      </c>
      <c r="AF11" s="428">
        <v>0.0</v>
      </c>
      <c r="AG11" s="428">
        <v>0.0</v>
      </c>
      <c r="AH11" s="428">
        <v>0.0</v>
      </c>
      <c r="AI11" s="428">
        <v>0.0</v>
      </c>
      <c r="AJ11" s="428">
        <v>0.0</v>
      </c>
    </row>
    <row r="12" ht="15.75" customHeight="1">
      <c r="A12" s="19" t="s">
        <v>100</v>
      </c>
      <c r="B12" s="428">
        <v>0.0</v>
      </c>
      <c r="C12" s="428">
        <v>1.0</v>
      </c>
      <c r="D12" s="428">
        <v>0.0</v>
      </c>
      <c r="E12" s="428">
        <v>1.0</v>
      </c>
      <c r="F12" s="428">
        <v>0.0</v>
      </c>
      <c r="G12" s="428">
        <v>1.0</v>
      </c>
      <c r="H12" s="428">
        <v>16.0</v>
      </c>
      <c r="I12" s="428">
        <v>0.0</v>
      </c>
      <c r="J12" s="428">
        <v>10.0</v>
      </c>
      <c r="K12" s="428">
        <v>6.0</v>
      </c>
      <c r="L12" s="428">
        <v>4.0</v>
      </c>
      <c r="M12" s="428">
        <v>1.0</v>
      </c>
      <c r="N12" s="428">
        <v>250.0</v>
      </c>
      <c r="O12" s="428">
        <v>274.0</v>
      </c>
      <c r="P12" s="428">
        <v>25.0</v>
      </c>
      <c r="Q12" s="428">
        <v>1.0</v>
      </c>
      <c r="R12" s="428">
        <v>3.0</v>
      </c>
      <c r="S12" s="428">
        <v>0.0</v>
      </c>
      <c r="T12" s="428">
        <v>0.0</v>
      </c>
      <c r="U12" s="428">
        <v>0.0</v>
      </c>
      <c r="V12" s="428">
        <v>0.0</v>
      </c>
      <c r="W12" s="428">
        <v>0.0</v>
      </c>
      <c r="X12" s="428">
        <v>0.0</v>
      </c>
      <c r="Y12" s="428">
        <v>0.0</v>
      </c>
      <c r="Z12" s="428">
        <v>0.0</v>
      </c>
      <c r="AA12" s="428">
        <v>0.0</v>
      </c>
      <c r="AB12" s="428">
        <v>0.0</v>
      </c>
      <c r="AC12" s="428">
        <v>0.0</v>
      </c>
      <c r="AD12" s="428">
        <v>0.0</v>
      </c>
      <c r="AE12" s="428">
        <v>0.0</v>
      </c>
      <c r="AF12" s="428">
        <v>0.0</v>
      </c>
      <c r="AG12" s="428">
        <v>0.0</v>
      </c>
      <c r="AH12" s="428">
        <v>0.0</v>
      </c>
      <c r="AI12" s="428">
        <v>0.0</v>
      </c>
      <c r="AJ12" s="428">
        <v>0.0</v>
      </c>
    </row>
    <row r="13" ht="15.75" customHeight="1">
      <c r="A13" s="19" t="s">
        <v>69</v>
      </c>
      <c r="B13" s="428">
        <v>0.0</v>
      </c>
      <c r="C13" s="428">
        <v>1.0</v>
      </c>
      <c r="D13" s="428">
        <v>0.0</v>
      </c>
      <c r="E13" s="428">
        <v>1.0</v>
      </c>
      <c r="F13" s="428">
        <v>0.0</v>
      </c>
      <c r="G13" s="428">
        <v>1.0</v>
      </c>
      <c r="H13" s="428">
        <v>18.0</v>
      </c>
      <c r="I13" s="428">
        <v>1.0</v>
      </c>
      <c r="J13" s="428">
        <v>14.0</v>
      </c>
      <c r="K13" s="428">
        <v>4.0</v>
      </c>
      <c r="L13" s="428">
        <v>4.0</v>
      </c>
      <c r="M13" s="428">
        <v>1.0</v>
      </c>
      <c r="N13" s="428">
        <v>250.0</v>
      </c>
      <c r="O13" s="428">
        <v>274.0</v>
      </c>
      <c r="P13" s="428">
        <v>17.0</v>
      </c>
      <c r="Q13" s="428">
        <v>0.0</v>
      </c>
      <c r="R13" s="428">
        <v>3.0</v>
      </c>
      <c r="S13" s="428">
        <v>1.0</v>
      </c>
      <c r="T13" s="428">
        <v>1.0</v>
      </c>
      <c r="U13" s="428">
        <v>0.0</v>
      </c>
      <c r="V13" s="428">
        <v>0.0</v>
      </c>
      <c r="W13" s="428">
        <v>0.0</v>
      </c>
      <c r="X13" s="428">
        <v>1.0</v>
      </c>
      <c r="Y13" s="428">
        <v>0.0</v>
      </c>
      <c r="Z13" s="428">
        <v>0.0</v>
      </c>
      <c r="AA13" s="428">
        <v>0.0</v>
      </c>
      <c r="AB13" s="428">
        <v>0.0</v>
      </c>
      <c r="AC13" s="428">
        <v>0.0</v>
      </c>
      <c r="AD13" s="428">
        <v>0.0</v>
      </c>
      <c r="AE13" s="428">
        <v>0.0</v>
      </c>
      <c r="AF13" s="428">
        <v>0.0</v>
      </c>
      <c r="AG13" s="428">
        <v>0.0</v>
      </c>
      <c r="AH13" s="428">
        <v>0.0</v>
      </c>
      <c r="AI13" s="428">
        <v>0.0</v>
      </c>
      <c r="AJ13" s="428">
        <v>0.0</v>
      </c>
    </row>
    <row r="14" ht="15.75" customHeight="1">
      <c r="A14" s="19" t="s">
        <v>196</v>
      </c>
      <c r="B14" s="428">
        <v>0.0</v>
      </c>
      <c r="C14" s="428">
        <v>1.0</v>
      </c>
      <c r="D14" s="428">
        <v>0.0</v>
      </c>
      <c r="E14" s="428">
        <v>1.0</v>
      </c>
      <c r="F14" s="428">
        <v>0.0</v>
      </c>
      <c r="G14" s="428">
        <v>1.0</v>
      </c>
      <c r="H14" s="428">
        <v>14.0</v>
      </c>
      <c r="I14" s="428">
        <v>0.0</v>
      </c>
      <c r="J14" s="428">
        <v>14.0</v>
      </c>
      <c r="K14" s="428">
        <v>0.0</v>
      </c>
      <c r="L14" s="428">
        <v>3.0</v>
      </c>
      <c r="M14" s="428">
        <v>0.0</v>
      </c>
      <c r="N14" s="428">
        <v>250.0</v>
      </c>
      <c r="O14" s="428">
        <v>274.0</v>
      </c>
      <c r="P14" s="428">
        <v>17.0</v>
      </c>
      <c r="Q14" s="428">
        <v>1.0</v>
      </c>
      <c r="R14" s="428">
        <v>2.0</v>
      </c>
      <c r="S14" s="428">
        <v>1.0</v>
      </c>
      <c r="T14" s="428">
        <v>0.0</v>
      </c>
      <c r="U14" s="428">
        <v>0.0</v>
      </c>
      <c r="V14" s="428">
        <v>0.0</v>
      </c>
      <c r="W14" s="428">
        <v>0.0</v>
      </c>
      <c r="X14" s="428">
        <v>0.0</v>
      </c>
      <c r="Y14" s="428">
        <v>0.0</v>
      </c>
      <c r="Z14" s="428">
        <v>0.0</v>
      </c>
      <c r="AA14" s="428">
        <v>0.0</v>
      </c>
      <c r="AB14" s="428">
        <v>0.0</v>
      </c>
      <c r="AC14" s="428">
        <v>0.0</v>
      </c>
      <c r="AD14" s="428">
        <v>0.0</v>
      </c>
      <c r="AE14" s="428">
        <v>0.0</v>
      </c>
      <c r="AF14" s="428">
        <v>0.0</v>
      </c>
      <c r="AG14" s="428">
        <v>0.0</v>
      </c>
      <c r="AH14" s="428">
        <v>0.0</v>
      </c>
      <c r="AI14" s="428">
        <v>0.0</v>
      </c>
      <c r="AJ14" s="428">
        <v>0.0</v>
      </c>
    </row>
    <row r="15" ht="15.75" customHeight="1">
      <c r="A15" s="19" t="s">
        <v>33</v>
      </c>
      <c r="B15" s="428">
        <v>1.0</v>
      </c>
      <c r="C15" s="428">
        <v>1.0</v>
      </c>
      <c r="D15" s="428">
        <v>0.0</v>
      </c>
      <c r="E15" s="428">
        <v>0.0</v>
      </c>
      <c r="F15" s="428">
        <v>1.0</v>
      </c>
      <c r="G15" s="428">
        <v>0.0</v>
      </c>
      <c r="H15" s="428">
        <v>17.0</v>
      </c>
      <c r="I15" s="428">
        <v>0.0</v>
      </c>
      <c r="J15" s="428">
        <v>20.0</v>
      </c>
      <c r="K15" s="428">
        <v>-3.0</v>
      </c>
      <c r="L15" s="428">
        <v>4.0</v>
      </c>
      <c r="M15" s="428">
        <v>2.0</v>
      </c>
      <c r="N15" s="428">
        <v>250.0</v>
      </c>
      <c r="O15" s="428">
        <v>274.0</v>
      </c>
      <c r="P15" s="428">
        <v>12.0</v>
      </c>
      <c r="Q15" s="428">
        <v>2.0</v>
      </c>
      <c r="R15" s="428">
        <v>2.0</v>
      </c>
      <c r="S15" s="428">
        <v>1.0</v>
      </c>
      <c r="T15" s="428">
        <v>0.0</v>
      </c>
      <c r="U15" s="428">
        <v>0.0</v>
      </c>
      <c r="V15" s="428">
        <v>0.0</v>
      </c>
      <c r="W15" s="428">
        <v>0.0</v>
      </c>
      <c r="X15" s="428">
        <v>0.0</v>
      </c>
      <c r="Y15" s="428">
        <v>0.0</v>
      </c>
      <c r="Z15" s="428">
        <v>0.0</v>
      </c>
      <c r="AA15" s="428">
        <v>0.0</v>
      </c>
      <c r="AB15" s="428">
        <v>0.0</v>
      </c>
      <c r="AC15" s="428">
        <v>0.0</v>
      </c>
      <c r="AD15" s="428">
        <v>0.0</v>
      </c>
      <c r="AE15" s="428">
        <v>0.0</v>
      </c>
      <c r="AF15" s="428">
        <v>0.0</v>
      </c>
      <c r="AG15" s="428">
        <v>0.0</v>
      </c>
      <c r="AH15" s="428">
        <v>0.0</v>
      </c>
      <c r="AI15" s="428">
        <v>0.0</v>
      </c>
      <c r="AJ15" s="428">
        <v>0.0</v>
      </c>
    </row>
    <row r="16" ht="15.75" customHeight="1">
      <c r="A16" s="19" t="s">
        <v>118</v>
      </c>
      <c r="B16" s="428">
        <v>1.0</v>
      </c>
      <c r="C16" s="428">
        <v>1.0</v>
      </c>
      <c r="D16" s="428">
        <v>0.0</v>
      </c>
      <c r="E16" s="428">
        <v>0.0</v>
      </c>
      <c r="F16" s="428">
        <v>1.0</v>
      </c>
      <c r="G16" s="428">
        <v>0.0</v>
      </c>
      <c r="H16" s="428">
        <v>11.0</v>
      </c>
      <c r="I16" s="428">
        <v>2.0</v>
      </c>
      <c r="J16" s="428">
        <v>17.0</v>
      </c>
      <c r="K16" s="428">
        <v>-6.0</v>
      </c>
      <c r="L16" s="428">
        <v>4.0</v>
      </c>
      <c r="M16" s="428">
        <v>1.0</v>
      </c>
      <c r="N16" s="428">
        <v>250.0</v>
      </c>
      <c r="O16" s="428">
        <v>274.0</v>
      </c>
      <c r="P16" s="428">
        <v>14.0</v>
      </c>
      <c r="Q16" s="428">
        <v>0.0</v>
      </c>
      <c r="R16" s="428">
        <v>0.0</v>
      </c>
      <c r="S16" s="428">
        <v>0.0</v>
      </c>
      <c r="T16" s="428">
        <v>0.0</v>
      </c>
      <c r="U16" s="428">
        <v>0.0</v>
      </c>
      <c r="V16" s="428">
        <v>0.0</v>
      </c>
      <c r="W16" s="428">
        <v>0.0</v>
      </c>
      <c r="X16" s="428">
        <v>0.0</v>
      </c>
      <c r="Y16" s="428">
        <v>0.0</v>
      </c>
      <c r="Z16" s="428">
        <v>0.0</v>
      </c>
      <c r="AA16" s="428">
        <v>0.0</v>
      </c>
      <c r="AB16" s="428">
        <v>0.0</v>
      </c>
      <c r="AC16" s="428">
        <v>0.0</v>
      </c>
      <c r="AD16" s="428">
        <v>0.0</v>
      </c>
      <c r="AE16" s="428">
        <v>0.0</v>
      </c>
      <c r="AF16" s="428">
        <v>0.0</v>
      </c>
      <c r="AG16" s="428">
        <v>0.0</v>
      </c>
      <c r="AH16" s="428">
        <v>0.0</v>
      </c>
      <c r="AI16" s="428">
        <v>0.0</v>
      </c>
      <c r="AJ16" s="428">
        <v>0.0</v>
      </c>
    </row>
    <row r="17" ht="15.75" customHeight="1">
      <c r="A17" s="19" t="s">
        <v>111</v>
      </c>
      <c r="B17" s="428">
        <v>1.0</v>
      </c>
      <c r="C17" s="428">
        <v>1.0</v>
      </c>
      <c r="D17" s="428">
        <v>0.0</v>
      </c>
      <c r="E17" s="428">
        <v>0.0</v>
      </c>
      <c r="F17" s="428">
        <v>1.0</v>
      </c>
      <c r="G17" s="428">
        <v>0.0</v>
      </c>
      <c r="H17" s="428">
        <v>14.0</v>
      </c>
      <c r="I17" s="428">
        <v>1.0</v>
      </c>
      <c r="J17" s="428">
        <v>23.0</v>
      </c>
      <c r="K17" s="428">
        <v>-9.0</v>
      </c>
      <c r="L17" s="428">
        <v>2.0</v>
      </c>
      <c r="M17" s="428">
        <v>2.0</v>
      </c>
      <c r="N17" s="428">
        <v>250.0</v>
      </c>
      <c r="O17" s="428">
        <v>274.0</v>
      </c>
      <c r="P17" s="428">
        <v>10.0</v>
      </c>
      <c r="Q17" s="428">
        <v>1.0</v>
      </c>
      <c r="R17" s="428">
        <v>0.0</v>
      </c>
      <c r="S17" s="428">
        <v>0.0</v>
      </c>
      <c r="T17" s="428">
        <v>0.0</v>
      </c>
      <c r="U17" s="428">
        <v>0.0</v>
      </c>
      <c r="V17" s="428">
        <v>0.0</v>
      </c>
      <c r="W17" s="428">
        <v>0.0</v>
      </c>
      <c r="X17" s="428">
        <v>0.0</v>
      </c>
      <c r="Y17" s="428">
        <v>0.0</v>
      </c>
      <c r="Z17" s="428">
        <v>0.0</v>
      </c>
      <c r="AA17" s="428">
        <v>0.0</v>
      </c>
      <c r="AB17" s="428">
        <v>0.0</v>
      </c>
      <c r="AC17" s="428">
        <v>0.0</v>
      </c>
      <c r="AD17" s="428">
        <v>0.0</v>
      </c>
      <c r="AE17" s="428">
        <v>0.0</v>
      </c>
      <c r="AF17" s="428">
        <v>0.0</v>
      </c>
      <c r="AG17" s="428">
        <v>0.0</v>
      </c>
      <c r="AH17" s="428">
        <v>0.0</v>
      </c>
      <c r="AI17" s="428">
        <v>0.0</v>
      </c>
      <c r="AJ17" s="428">
        <v>0.0</v>
      </c>
    </row>
    <row r="18" ht="15.75" customHeight="1">
      <c r="A18" s="19" t="s">
        <v>101</v>
      </c>
      <c r="B18" s="428">
        <v>1.0</v>
      </c>
      <c r="C18" s="428">
        <v>1.0</v>
      </c>
      <c r="D18" s="428">
        <v>0.0</v>
      </c>
      <c r="E18" s="428">
        <v>0.0</v>
      </c>
      <c r="F18" s="428">
        <v>1.0</v>
      </c>
      <c r="G18" s="428">
        <v>0.0</v>
      </c>
      <c r="H18" s="428">
        <v>6.0</v>
      </c>
      <c r="I18" s="428">
        <v>0.0</v>
      </c>
      <c r="J18" s="428">
        <v>18.0</v>
      </c>
      <c r="K18" s="428">
        <v>-12.0</v>
      </c>
      <c r="L18" s="428">
        <v>1.0</v>
      </c>
      <c r="M18" s="428">
        <v>3.0</v>
      </c>
      <c r="N18" s="428">
        <v>250.0</v>
      </c>
      <c r="O18" s="428">
        <v>274.0</v>
      </c>
      <c r="P18" s="428">
        <v>13.0</v>
      </c>
      <c r="Q18" s="428">
        <v>0.0</v>
      </c>
      <c r="R18" s="428">
        <v>0.0</v>
      </c>
      <c r="S18" s="428">
        <v>0.0</v>
      </c>
      <c r="T18" s="428">
        <v>0.0</v>
      </c>
      <c r="U18" s="428">
        <v>0.0</v>
      </c>
      <c r="V18" s="428">
        <v>0.0</v>
      </c>
      <c r="W18" s="428">
        <v>0.0</v>
      </c>
      <c r="X18" s="428">
        <v>0.0</v>
      </c>
      <c r="Y18" s="428">
        <v>0.0</v>
      </c>
      <c r="Z18" s="428">
        <v>0.0</v>
      </c>
      <c r="AA18" s="428">
        <v>0.0</v>
      </c>
      <c r="AB18" s="428">
        <v>0.0</v>
      </c>
      <c r="AC18" s="428">
        <v>0.0</v>
      </c>
      <c r="AD18" s="428">
        <v>0.0</v>
      </c>
      <c r="AE18" s="428">
        <v>0.0</v>
      </c>
      <c r="AF18" s="428">
        <v>0.0</v>
      </c>
      <c r="AG18" s="428">
        <v>0.0</v>
      </c>
      <c r="AH18" s="428">
        <v>0.0</v>
      </c>
      <c r="AI18" s="428">
        <v>2.0</v>
      </c>
      <c r="AJ18" s="428">
        <v>0.0</v>
      </c>
    </row>
    <row r="19" ht="15.75" customHeight="1">
      <c r="A19" s="429" t="s">
        <v>155</v>
      </c>
      <c r="B19" s="430">
        <v>1.0</v>
      </c>
      <c r="C19" s="430">
        <v>0.0</v>
      </c>
      <c r="D19" s="430">
        <v>1.0</v>
      </c>
      <c r="E19" s="430">
        <v>0.0</v>
      </c>
      <c r="F19" s="430">
        <v>0.0</v>
      </c>
      <c r="G19" s="430">
        <v>0.0</v>
      </c>
      <c r="H19" s="430">
        <v>0.0</v>
      </c>
      <c r="I19" s="430">
        <v>0.0</v>
      </c>
      <c r="J19" s="430">
        <v>0.0</v>
      </c>
      <c r="K19" s="430">
        <v>0.0</v>
      </c>
      <c r="L19" s="430">
        <v>0.0</v>
      </c>
      <c r="M19" s="430">
        <v>0.0</v>
      </c>
      <c r="N19" s="430">
        <v>0.0</v>
      </c>
      <c r="O19" s="430">
        <v>0.0</v>
      </c>
      <c r="P19" s="430">
        <v>0.0</v>
      </c>
      <c r="Q19" s="430">
        <v>0.0</v>
      </c>
      <c r="R19" s="430">
        <v>0.0</v>
      </c>
      <c r="S19" s="430">
        <v>0.0</v>
      </c>
      <c r="T19" s="430">
        <v>0.0</v>
      </c>
      <c r="U19" s="430">
        <v>0.0</v>
      </c>
      <c r="V19" s="430">
        <v>0.0</v>
      </c>
      <c r="W19" s="430">
        <v>0.0</v>
      </c>
      <c r="X19" s="430">
        <v>0.0</v>
      </c>
      <c r="Y19" s="430">
        <v>0.0</v>
      </c>
      <c r="Z19" s="430">
        <v>0.0</v>
      </c>
      <c r="AA19" s="430">
        <v>0.0</v>
      </c>
      <c r="AB19" s="430">
        <v>0.0</v>
      </c>
      <c r="AC19" s="430">
        <v>0.0</v>
      </c>
      <c r="AD19" s="430">
        <v>0.0</v>
      </c>
      <c r="AE19" s="430">
        <v>0.0</v>
      </c>
      <c r="AF19" s="430">
        <v>0.0</v>
      </c>
      <c r="AG19" s="430">
        <v>0.0</v>
      </c>
      <c r="AH19" s="430">
        <v>0.0</v>
      </c>
      <c r="AI19" s="430">
        <v>0.0</v>
      </c>
      <c r="AJ19" s="430">
        <v>0.0</v>
      </c>
    </row>
    <row r="20" ht="15.75" customHeight="1">
      <c r="A20" s="19" t="s">
        <v>31</v>
      </c>
      <c r="B20" s="428">
        <v>1.0</v>
      </c>
      <c r="C20" s="428">
        <v>1.0</v>
      </c>
      <c r="D20" s="428">
        <v>0.0</v>
      </c>
      <c r="E20" s="428">
        <v>1.0</v>
      </c>
      <c r="F20" s="428">
        <v>0.0</v>
      </c>
      <c r="G20" s="428">
        <v>1.0</v>
      </c>
      <c r="H20" s="428">
        <v>113.0</v>
      </c>
      <c r="I20" s="428">
        <v>3.0</v>
      </c>
      <c r="J20" s="428">
        <v>75.0</v>
      </c>
      <c r="K20" s="428">
        <v>38.0</v>
      </c>
      <c r="L20" s="428">
        <v>7.0</v>
      </c>
      <c r="M20" s="428">
        <v>2.0</v>
      </c>
      <c r="N20" s="428">
        <v>1212.0</v>
      </c>
      <c r="O20" s="428">
        <v>1244.0</v>
      </c>
      <c r="P20" s="428">
        <v>16.0</v>
      </c>
      <c r="Q20" s="428">
        <v>2.0</v>
      </c>
      <c r="R20" s="428">
        <v>31.0</v>
      </c>
      <c r="S20" s="428">
        <v>5.0</v>
      </c>
      <c r="T20" s="428">
        <v>3.0</v>
      </c>
      <c r="U20" s="428">
        <v>4.0</v>
      </c>
      <c r="V20" s="428">
        <v>0.0</v>
      </c>
      <c r="W20" s="428">
        <v>0.0</v>
      </c>
      <c r="X20" s="428">
        <v>3.0</v>
      </c>
      <c r="Y20" s="428">
        <v>4.0</v>
      </c>
      <c r="Z20" s="428">
        <v>0.0</v>
      </c>
      <c r="AA20" s="428">
        <v>0.0</v>
      </c>
      <c r="AB20" s="428">
        <v>0.0</v>
      </c>
      <c r="AC20" s="428">
        <v>0.0</v>
      </c>
      <c r="AD20" s="428">
        <v>0.0</v>
      </c>
      <c r="AE20" s="428">
        <v>0.0</v>
      </c>
      <c r="AF20" s="428">
        <v>0.0</v>
      </c>
      <c r="AG20" s="428">
        <v>0.0</v>
      </c>
      <c r="AH20" s="428">
        <v>0.0</v>
      </c>
      <c r="AI20" s="428">
        <v>0.0</v>
      </c>
      <c r="AJ20" s="428">
        <v>0.0</v>
      </c>
    </row>
    <row r="21" ht="15.75" customHeight="1">
      <c r="A21" s="19" t="s">
        <v>99</v>
      </c>
      <c r="B21" s="428">
        <v>1.0</v>
      </c>
      <c r="C21" s="428">
        <v>1.0</v>
      </c>
      <c r="D21" s="428">
        <v>0.0</v>
      </c>
      <c r="E21" s="428">
        <v>1.0</v>
      </c>
      <c r="F21" s="428">
        <v>0.0</v>
      </c>
      <c r="G21" s="428">
        <v>0.0</v>
      </c>
      <c r="H21" s="428">
        <v>85.0</v>
      </c>
      <c r="I21" s="428">
        <v>2.0</v>
      </c>
      <c r="J21" s="428">
        <v>76.0</v>
      </c>
      <c r="K21" s="428">
        <v>9.0</v>
      </c>
      <c r="L21" s="428">
        <v>5.0</v>
      </c>
      <c r="M21" s="428">
        <v>4.0</v>
      </c>
      <c r="N21" s="428">
        <v>1212.0</v>
      </c>
      <c r="O21" s="428">
        <v>1244.0</v>
      </c>
      <c r="P21" s="428">
        <v>15.0</v>
      </c>
      <c r="Q21" s="428">
        <v>2.0</v>
      </c>
      <c r="R21" s="428">
        <v>16.0</v>
      </c>
      <c r="S21" s="428">
        <v>5.0</v>
      </c>
      <c r="T21" s="428">
        <v>1.0</v>
      </c>
      <c r="U21" s="428">
        <v>2.0</v>
      </c>
      <c r="V21" s="428">
        <v>0.0</v>
      </c>
      <c r="W21" s="428">
        <v>0.0</v>
      </c>
      <c r="X21" s="428">
        <v>1.0</v>
      </c>
      <c r="Y21" s="428">
        <v>2.0</v>
      </c>
      <c r="Z21" s="428">
        <v>0.0</v>
      </c>
      <c r="AA21" s="428">
        <v>0.0</v>
      </c>
      <c r="AB21" s="428">
        <v>0.0</v>
      </c>
      <c r="AC21" s="428">
        <v>0.0</v>
      </c>
      <c r="AD21" s="428">
        <v>0.0</v>
      </c>
      <c r="AE21" s="428">
        <v>0.0</v>
      </c>
      <c r="AF21" s="428">
        <v>0.0</v>
      </c>
      <c r="AG21" s="428">
        <v>0.0</v>
      </c>
      <c r="AH21" s="428">
        <v>0.0</v>
      </c>
      <c r="AI21" s="428">
        <v>0.0</v>
      </c>
      <c r="AJ21" s="428">
        <v>0.0</v>
      </c>
    </row>
    <row r="22" ht="15.75" customHeight="1">
      <c r="A22" s="19" t="s">
        <v>43</v>
      </c>
      <c r="B22" s="428">
        <v>1.0</v>
      </c>
      <c r="C22" s="428">
        <v>1.0</v>
      </c>
      <c r="D22" s="428">
        <v>0.0</v>
      </c>
      <c r="E22" s="428">
        <v>1.0</v>
      </c>
      <c r="F22" s="428">
        <v>0.0</v>
      </c>
      <c r="G22" s="428">
        <v>4.0</v>
      </c>
      <c r="H22" s="428">
        <v>72.0</v>
      </c>
      <c r="I22" s="428">
        <v>6.0</v>
      </c>
      <c r="J22" s="428">
        <v>43.0</v>
      </c>
      <c r="K22" s="428">
        <v>29.0</v>
      </c>
      <c r="L22" s="428">
        <v>6.0</v>
      </c>
      <c r="M22" s="428">
        <v>3.0</v>
      </c>
      <c r="N22" s="428">
        <v>1212.0</v>
      </c>
      <c r="O22" s="428">
        <v>1244.0</v>
      </c>
      <c r="P22" s="428">
        <v>28.0</v>
      </c>
      <c r="Q22" s="428">
        <v>2.0</v>
      </c>
      <c r="R22" s="428">
        <v>10.0</v>
      </c>
      <c r="S22" s="428">
        <v>4.0</v>
      </c>
      <c r="T22" s="428">
        <v>1.0</v>
      </c>
      <c r="U22" s="428">
        <v>2.0</v>
      </c>
      <c r="V22" s="428">
        <v>0.0</v>
      </c>
      <c r="W22" s="428">
        <v>0.0</v>
      </c>
      <c r="X22" s="428">
        <v>1.0</v>
      </c>
      <c r="Y22" s="428">
        <v>2.0</v>
      </c>
      <c r="Z22" s="428">
        <v>0.0</v>
      </c>
      <c r="AA22" s="428">
        <v>0.0</v>
      </c>
      <c r="AB22" s="428">
        <v>0.0</v>
      </c>
      <c r="AC22" s="428">
        <v>0.0</v>
      </c>
      <c r="AD22" s="428">
        <v>0.0</v>
      </c>
      <c r="AE22" s="428">
        <v>0.0</v>
      </c>
      <c r="AF22" s="428">
        <v>0.0</v>
      </c>
      <c r="AG22" s="428">
        <v>0.0</v>
      </c>
      <c r="AH22" s="428">
        <v>0.0</v>
      </c>
      <c r="AI22" s="428">
        <v>2.0</v>
      </c>
      <c r="AJ22" s="428">
        <v>0.0</v>
      </c>
    </row>
    <row r="23" ht="15.75" customHeight="1">
      <c r="A23" s="19" t="s">
        <v>88</v>
      </c>
      <c r="B23" s="428">
        <v>1.0</v>
      </c>
      <c r="C23" s="428">
        <v>1.0</v>
      </c>
      <c r="D23" s="428">
        <v>0.0</v>
      </c>
      <c r="E23" s="428">
        <v>1.0</v>
      </c>
      <c r="F23" s="428">
        <v>0.0</v>
      </c>
      <c r="G23" s="428">
        <v>0.0</v>
      </c>
      <c r="H23" s="428">
        <v>70.0</v>
      </c>
      <c r="I23" s="428">
        <v>2.0</v>
      </c>
      <c r="J23" s="428">
        <v>69.0</v>
      </c>
      <c r="K23" s="428">
        <v>1.0</v>
      </c>
      <c r="L23" s="428">
        <v>5.0</v>
      </c>
      <c r="M23" s="428">
        <v>1.0</v>
      </c>
      <c r="N23" s="428">
        <v>1212.0</v>
      </c>
      <c r="O23" s="428">
        <v>1244.0</v>
      </c>
      <c r="P23" s="428">
        <v>17.0</v>
      </c>
      <c r="Q23" s="428">
        <v>0.0</v>
      </c>
      <c r="R23" s="428">
        <v>14.0</v>
      </c>
      <c r="S23" s="428">
        <v>5.0</v>
      </c>
      <c r="T23" s="428">
        <v>3.0</v>
      </c>
      <c r="U23" s="428">
        <v>2.0</v>
      </c>
      <c r="V23" s="428">
        <v>0.0</v>
      </c>
      <c r="W23" s="428">
        <v>0.0</v>
      </c>
      <c r="X23" s="428">
        <v>2.0</v>
      </c>
      <c r="Y23" s="428">
        <v>2.0</v>
      </c>
      <c r="Z23" s="428">
        <v>0.0</v>
      </c>
      <c r="AA23" s="428">
        <v>0.0</v>
      </c>
      <c r="AB23" s="428">
        <v>0.0</v>
      </c>
      <c r="AC23" s="428">
        <v>1.0</v>
      </c>
      <c r="AD23" s="428">
        <v>0.0</v>
      </c>
      <c r="AE23" s="428">
        <v>0.0</v>
      </c>
      <c r="AF23" s="428">
        <v>0.0</v>
      </c>
      <c r="AG23" s="428">
        <v>0.0</v>
      </c>
      <c r="AH23" s="428">
        <v>0.0</v>
      </c>
      <c r="AI23" s="428">
        <v>1.0</v>
      </c>
      <c r="AJ23" s="428">
        <v>0.0</v>
      </c>
    </row>
    <row r="24" ht="15.75" customHeight="1">
      <c r="A24" s="19" t="s">
        <v>41</v>
      </c>
      <c r="B24" s="428">
        <v>0.0</v>
      </c>
      <c r="C24" s="428">
        <v>1.0</v>
      </c>
      <c r="D24" s="428">
        <v>0.0</v>
      </c>
      <c r="E24" s="428">
        <v>0.0</v>
      </c>
      <c r="F24" s="428">
        <v>1.0</v>
      </c>
      <c r="G24" s="428">
        <v>0.0</v>
      </c>
      <c r="H24" s="428">
        <v>53.0</v>
      </c>
      <c r="I24" s="428">
        <v>0.0</v>
      </c>
      <c r="J24" s="428">
        <v>105.0</v>
      </c>
      <c r="K24" s="428">
        <v>-52.0</v>
      </c>
      <c r="L24" s="428">
        <v>3.0</v>
      </c>
      <c r="M24" s="428">
        <v>0.0</v>
      </c>
      <c r="N24" s="428">
        <v>1212.0</v>
      </c>
      <c r="O24" s="428">
        <v>1244.0</v>
      </c>
      <c r="P24" s="428">
        <v>11.0</v>
      </c>
      <c r="Q24" s="428">
        <v>1.0</v>
      </c>
      <c r="R24" s="428">
        <v>10.0</v>
      </c>
      <c r="S24" s="428">
        <v>1.0</v>
      </c>
      <c r="T24" s="428">
        <v>0.0</v>
      </c>
      <c r="U24" s="428">
        <v>0.0</v>
      </c>
      <c r="V24" s="428">
        <v>0.0</v>
      </c>
      <c r="W24" s="428">
        <v>0.0</v>
      </c>
      <c r="X24" s="428">
        <v>0.0</v>
      </c>
      <c r="Y24" s="428">
        <v>0.0</v>
      </c>
      <c r="Z24" s="428">
        <v>0.0</v>
      </c>
      <c r="AA24" s="428">
        <v>0.0</v>
      </c>
      <c r="AB24" s="428">
        <v>0.0</v>
      </c>
      <c r="AC24" s="428">
        <v>0.0</v>
      </c>
      <c r="AD24" s="428">
        <v>0.0</v>
      </c>
      <c r="AE24" s="428">
        <v>0.0</v>
      </c>
      <c r="AF24" s="428">
        <v>0.0</v>
      </c>
      <c r="AG24" s="428">
        <v>0.0</v>
      </c>
      <c r="AH24" s="428">
        <v>0.0</v>
      </c>
      <c r="AI24" s="428">
        <v>2.0</v>
      </c>
      <c r="AJ24" s="428">
        <v>0.0</v>
      </c>
    </row>
    <row r="25" ht="15.75" customHeight="1">
      <c r="A25" s="19" t="s">
        <v>157</v>
      </c>
      <c r="B25" s="428">
        <v>0.0</v>
      </c>
      <c r="C25" s="428">
        <v>1.0</v>
      </c>
      <c r="D25" s="428">
        <v>0.0</v>
      </c>
      <c r="E25" s="428">
        <v>0.0</v>
      </c>
      <c r="F25" s="428">
        <v>1.0</v>
      </c>
      <c r="G25" s="428">
        <v>0.0</v>
      </c>
      <c r="H25" s="428">
        <v>71.0</v>
      </c>
      <c r="I25" s="428">
        <v>4.0</v>
      </c>
      <c r="J25" s="428">
        <v>87.0</v>
      </c>
      <c r="K25" s="428">
        <v>-16.0</v>
      </c>
      <c r="L25" s="428">
        <v>5.0</v>
      </c>
      <c r="M25" s="428">
        <v>2.0</v>
      </c>
      <c r="N25" s="428">
        <v>1212.0</v>
      </c>
      <c r="O25" s="428">
        <v>1244.0</v>
      </c>
      <c r="P25" s="428">
        <v>13.0</v>
      </c>
      <c r="Q25" s="428">
        <v>2.0</v>
      </c>
      <c r="R25" s="428">
        <v>9.0</v>
      </c>
      <c r="S25" s="428">
        <v>3.0</v>
      </c>
      <c r="T25" s="428">
        <v>2.0</v>
      </c>
      <c r="U25" s="428">
        <v>1.0</v>
      </c>
      <c r="V25" s="428">
        <v>0.0</v>
      </c>
      <c r="W25" s="428">
        <v>0.0</v>
      </c>
      <c r="X25" s="428">
        <v>1.0</v>
      </c>
      <c r="Y25" s="428">
        <v>1.0</v>
      </c>
      <c r="Z25" s="428">
        <v>0.0</v>
      </c>
      <c r="AA25" s="428">
        <v>0.0</v>
      </c>
      <c r="AB25" s="428">
        <v>0.0</v>
      </c>
      <c r="AC25" s="428">
        <v>1.0</v>
      </c>
      <c r="AD25" s="428">
        <v>0.0</v>
      </c>
      <c r="AE25" s="428">
        <v>0.0</v>
      </c>
      <c r="AF25" s="428">
        <v>0.0</v>
      </c>
      <c r="AG25" s="428">
        <v>0.0</v>
      </c>
      <c r="AH25" s="428">
        <v>0.0</v>
      </c>
      <c r="AI25" s="428">
        <v>1.0</v>
      </c>
      <c r="AJ25" s="428">
        <v>0.0</v>
      </c>
    </row>
    <row r="26" ht="15.75" customHeight="1">
      <c r="A26" s="19" t="s">
        <v>155</v>
      </c>
      <c r="B26" s="428">
        <v>0.0</v>
      </c>
      <c r="C26" s="428">
        <v>1.0</v>
      </c>
      <c r="D26" s="428">
        <v>0.0</v>
      </c>
      <c r="E26" s="428">
        <v>0.0</v>
      </c>
      <c r="F26" s="428">
        <v>1.0</v>
      </c>
      <c r="G26" s="428">
        <v>1.0</v>
      </c>
      <c r="H26" s="428">
        <v>63.0</v>
      </c>
      <c r="I26" s="428">
        <v>5.0</v>
      </c>
      <c r="J26" s="428">
        <v>55.0</v>
      </c>
      <c r="K26" s="428">
        <v>8.0</v>
      </c>
      <c r="L26" s="428">
        <v>7.0</v>
      </c>
      <c r="M26" s="428">
        <v>2.0</v>
      </c>
      <c r="N26" s="428">
        <v>1212.0</v>
      </c>
      <c r="O26" s="428">
        <v>1244.0</v>
      </c>
      <c r="P26" s="428">
        <v>22.0</v>
      </c>
      <c r="Q26" s="428">
        <v>3.0</v>
      </c>
      <c r="R26" s="428">
        <v>5.0</v>
      </c>
      <c r="S26" s="428">
        <v>1.0</v>
      </c>
      <c r="T26" s="428">
        <v>0.0</v>
      </c>
      <c r="U26" s="428">
        <v>3.0</v>
      </c>
      <c r="V26" s="428">
        <v>0.0</v>
      </c>
      <c r="W26" s="428">
        <v>0.0</v>
      </c>
      <c r="X26" s="428">
        <v>0.0</v>
      </c>
      <c r="Y26" s="428">
        <v>3.0</v>
      </c>
      <c r="Z26" s="428">
        <v>0.0</v>
      </c>
      <c r="AA26" s="428">
        <v>0.0</v>
      </c>
      <c r="AB26" s="428">
        <v>0.0</v>
      </c>
      <c r="AC26" s="428">
        <v>0.0</v>
      </c>
      <c r="AD26" s="428">
        <v>0.0</v>
      </c>
      <c r="AE26" s="428">
        <v>0.0</v>
      </c>
      <c r="AF26" s="428">
        <v>0.0</v>
      </c>
      <c r="AG26" s="428">
        <v>0.0</v>
      </c>
      <c r="AH26" s="428">
        <v>0.0</v>
      </c>
      <c r="AI26" s="428">
        <v>4.0</v>
      </c>
      <c r="AJ26" s="428">
        <v>0.0</v>
      </c>
    </row>
    <row r="27" ht="15.75" customHeight="1">
      <c r="A27" s="19" t="s">
        <v>108</v>
      </c>
      <c r="B27" s="428">
        <v>0.0</v>
      </c>
      <c r="C27" s="428">
        <v>1.0</v>
      </c>
      <c r="D27" s="428">
        <v>0.0</v>
      </c>
      <c r="E27" s="428">
        <v>0.0</v>
      </c>
      <c r="F27" s="428">
        <v>1.0</v>
      </c>
      <c r="G27" s="428">
        <v>0.0</v>
      </c>
      <c r="H27" s="428">
        <v>66.0</v>
      </c>
      <c r="I27" s="428">
        <v>3.0</v>
      </c>
      <c r="J27" s="428">
        <v>97.0</v>
      </c>
      <c r="K27" s="428">
        <v>-31.0</v>
      </c>
      <c r="L27" s="428">
        <v>3.0</v>
      </c>
      <c r="M27" s="428">
        <v>0.0</v>
      </c>
      <c r="N27" s="428">
        <v>1212.0</v>
      </c>
      <c r="O27" s="428">
        <v>1244.0</v>
      </c>
      <c r="P27" s="428">
        <v>12.0</v>
      </c>
      <c r="Q27" s="428">
        <v>0.0</v>
      </c>
      <c r="R27" s="428">
        <v>11.0</v>
      </c>
      <c r="S27" s="428">
        <v>0.0</v>
      </c>
      <c r="T27" s="428">
        <v>0.0</v>
      </c>
      <c r="U27" s="428">
        <v>0.0</v>
      </c>
      <c r="V27" s="428">
        <v>0.0</v>
      </c>
      <c r="W27" s="428">
        <v>0.0</v>
      </c>
      <c r="X27" s="428">
        <v>0.0</v>
      </c>
      <c r="Y27" s="428">
        <v>0.0</v>
      </c>
      <c r="Z27" s="428">
        <v>0.0</v>
      </c>
      <c r="AA27" s="428">
        <v>0.0</v>
      </c>
      <c r="AB27" s="428">
        <v>0.0</v>
      </c>
      <c r="AC27" s="428">
        <v>0.0</v>
      </c>
      <c r="AD27" s="428">
        <v>0.0</v>
      </c>
      <c r="AE27" s="428">
        <v>0.0</v>
      </c>
      <c r="AF27" s="428">
        <v>0.0</v>
      </c>
      <c r="AG27" s="428">
        <v>0.0</v>
      </c>
      <c r="AH27" s="428">
        <v>0.0</v>
      </c>
      <c r="AI27" s="428">
        <v>2.0</v>
      </c>
      <c r="AJ27" s="428">
        <v>0.0</v>
      </c>
    </row>
    <row r="28" ht="15.75" customHeight="1">
      <c r="A28" s="19" t="s">
        <v>156</v>
      </c>
      <c r="B28" s="428">
        <v>1.0</v>
      </c>
      <c r="C28" s="428">
        <v>0.0</v>
      </c>
      <c r="D28" s="428">
        <v>0.0</v>
      </c>
      <c r="E28" s="428">
        <v>0.0</v>
      </c>
      <c r="F28" s="428">
        <v>0.0</v>
      </c>
      <c r="G28" s="428">
        <v>0.0</v>
      </c>
      <c r="H28" s="428">
        <v>0.0</v>
      </c>
      <c r="I28" s="428">
        <v>0.0</v>
      </c>
      <c r="J28" s="428">
        <v>0.0</v>
      </c>
      <c r="K28" s="428">
        <v>0.0</v>
      </c>
      <c r="L28" s="428">
        <v>0.0</v>
      </c>
      <c r="M28" s="428">
        <v>0.0</v>
      </c>
      <c r="N28" s="428">
        <v>0.0</v>
      </c>
      <c r="O28" s="428">
        <v>0.0</v>
      </c>
      <c r="P28" s="428">
        <v>0.0</v>
      </c>
      <c r="Q28" s="428">
        <v>0.0</v>
      </c>
      <c r="R28" s="428">
        <v>0.0</v>
      </c>
      <c r="S28" s="428">
        <v>0.0</v>
      </c>
      <c r="T28" s="428">
        <v>0.0</v>
      </c>
      <c r="U28" s="428">
        <v>0.0</v>
      </c>
      <c r="V28" s="428">
        <v>0.0</v>
      </c>
      <c r="W28" s="428">
        <v>0.0</v>
      </c>
      <c r="X28" s="428">
        <v>0.0</v>
      </c>
      <c r="Y28" s="428">
        <v>0.0</v>
      </c>
      <c r="Z28" s="428">
        <v>0.0</v>
      </c>
      <c r="AA28" s="428">
        <v>0.0</v>
      </c>
      <c r="AB28" s="428">
        <v>0.0</v>
      </c>
      <c r="AC28" s="428">
        <v>0.0</v>
      </c>
      <c r="AD28" s="428">
        <v>0.0</v>
      </c>
      <c r="AE28" s="428">
        <v>0.0</v>
      </c>
      <c r="AF28" s="428">
        <v>0.0</v>
      </c>
      <c r="AG28" s="428">
        <v>0.0</v>
      </c>
      <c r="AH28" s="428">
        <v>0.0</v>
      </c>
      <c r="AI28" s="428">
        <v>0.0</v>
      </c>
      <c r="AJ28" s="428">
        <v>0.0</v>
      </c>
    </row>
    <row r="29" ht="15.75" customHeight="1">
      <c r="A29" s="429" t="s">
        <v>377</v>
      </c>
      <c r="B29" s="430">
        <v>0.0</v>
      </c>
      <c r="C29" s="430">
        <v>0.0</v>
      </c>
      <c r="D29" s="430">
        <v>1.0</v>
      </c>
      <c r="E29" s="430">
        <v>0.0</v>
      </c>
      <c r="F29" s="430">
        <v>0.0</v>
      </c>
      <c r="G29" s="430">
        <v>0.0</v>
      </c>
      <c r="H29" s="430">
        <v>0.0</v>
      </c>
      <c r="I29" s="430">
        <v>0.0</v>
      </c>
      <c r="J29" s="430">
        <v>0.0</v>
      </c>
      <c r="K29" s="430">
        <v>0.0</v>
      </c>
      <c r="L29" s="430">
        <v>0.0</v>
      </c>
      <c r="M29" s="430">
        <v>0.0</v>
      </c>
      <c r="N29" s="430">
        <v>0.0</v>
      </c>
      <c r="O29" s="430">
        <v>0.0</v>
      </c>
      <c r="P29" s="430">
        <v>0.0</v>
      </c>
      <c r="Q29" s="430">
        <v>0.0</v>
      </c>
      <c r="R29" s="430">
        <v>0.0</v>
      </c>
      <c r="S29" s="430">
        <v>0.0</v>
      </c>
      <c r="T29" s="430">
        <v>0.0</v>
      </c>
      <c r="U29" s="430">
        <v>0.0</v>
      </c>
      <c r="V29" s="430">
        <v>0.0</v>
      </c>
      <c r="W29" s="430">
        <v>0.0</v>
      </c>
      <c r="X29" s="430">
        <v>0.0</v>
      </c>
      <c r="Y29" s="430">
        <v>0.0</v>
      </c>
      <c r="Z29" s="430">
        <v>0.0</v>
      </c>
      <c r="AA29" s="430">
        <v>0.0</v>
      </c>
      <c r="AB29" s="430">
        <v>0.0</v>
      </c>
      <c r="AC29" s="430">
        <v>0.0</v>
      </c>
      <c r="AD29" s="430">
        <v>0.0</v>
      </c>
      <c r="AE29" s="430">
        <v>0.0</v>
      </c>
      <c r="AF29" s="430">
        <v>0.0</v>
      </c>
      <c r="AG29" s="430">
        <v>0.0</v>
      </c>
      <c r="AH29" s="430">
        <v>0.0</v>
      </c>
      <c r="AI29" s="430">
        <v>0.0</v>
      </c>
      <c r="AJ29" s="430">
        <v>0.0</v>
      </c>
    </row>
    <row r="30" ht="15.75" customHeight="1">
      <c r="A30" s="19" t="s">
        <v>41</v>
      </c>
      <c r="B30" s="428">
        <v>0.0</v>
      </c>
      <c r="C30" s="428">
        <v>1.0</v>
      </c>
      <c r="D30" s="428">
        <v>0.0</v>
      </c>
      <c r="E30" s="428">
        <v>1.0</v>
      </c>
      <c r="F30" s="428">
        <v>0.0</v>
      </c>
      <c r="G30" s="428">
        <v>0.0</v>
      </c>
      <c r="H30" s="428">
        <v>23.0</v>
      </c>
      <c r="I30" s="428">
        <v>0.0</v>
      </c>
      <c r="J30" s="428">
        <v>38.0</v>
      </c>
      <c r="K30" s="428">
        <v>-15.0</v>
      </c>
      <c r="L30" s="428">
        <v>3.0</v>
      </c>
      <c r="M30" s="428">
        <v>0.0</v>
      </c>
      <c r="N30" s="428">
        <v>598.0</v>
      </c>
      <c r="O30" s="428">
        <v>630.0</v>
      </c>
      <c r="P30" s="428">
        <v>15.0</v>
      </c>
      <c r="Q30" s="428">
        <v>3.0</v>
      </c>
      <c r="R30" s="428">
        <v>1.0</v>
      </c>
      <c r="S30" s="428">
        <v>1.0</v>
      </c>
      <c r="T30" s="428">
        <v>0.0</v>
      </c>
      <c r="U30" s="428">
        <v>0.0</v>
      </c>
      <c r="V30" s="428">
        <v>0.0</v>
      </c>
      <c r="W30" s="428">
        <v>0.0</v>
      </c>
      <c r="X30" s="428">
        <v>0.0</v>
      </c>
      <c r="Y30" s="428">
        <v>0.0</v>
      </c>
      <c r="Z30" s="428">
        <v>0.0</v>
      </c>
      <c r="AA30" s="428">
        <v>0.0</v>
      </c>
      <c r="AB30" s="428">
        <v>0.0</v>
      </c>
      <c r="AC30" s="428">
        <v>0.0</v>
      </c>
      <c r="AD30" s="428">
        <v>0.0</v>
      </c>
      <c r="AE30" s="428">
        <v>0.0</v>
      </c>
      <c r="AF30" s="428">
        <v>0.0</v>
      </c>
      <c r="AG30" s="428">
        <v>0.0</v>
      </c>
      <c r="AH30" s="428">
        <v>0.0</v>
      </c>
      <c r="AI30" s="428">
        <v>1.0</v>
      </c>
      <c r="AJ30" s="428">
        <v>0.0</v>
      </c>
    </row>
    <row r="31" ht="15.75" customHeight="1">
      <c r="A31" s="19" t="s">
        <v>157</v>
      </c>
      <c r="B31" s="428">
        <v>0.0</v>
      </c>
      <c r="C31" s="428">
        <v>1.0</v>
      </c>
      <c r="D31" s="428">
        <v>0.0</v>
      </c>
      <c r="E31" s="428">
        <v>1.0</v>
      </c>
      <c r="F31" s="428">
        <v>0.0</v>
      </c>
      <c r="G31" s="428">
        <v>1.0</v>
      </c>
      <c r="H31" s="428">
        <v>45.0</v>
      </c>
      <c r="I31" s="428">
        <v>4.0</v>
      </c>
      <c r="J31" s="428">
        <v>38.0</v>
      </c>
      <c r="K31" s="428">
        <v>7.0</v>
      </c>
      <c r="L31" s="428">
        <v>4.0</v>
      </c>
      <c r="M31" s="428">
        <v>0.0</v>
      </c>
      <c r="N31" s="428">
        <v>598.0</v>
      </c>
      <c r="O31" s="428">
        <v>630.0</v>
      </c>
      <c r="P31" s="428">
        <v>15.0</v>
      </c>
      <c r="Q31" s="428">
        <v>0.0</v>
      </c>
      <c r="R31" s="428">
        <v>9.0</v>
      </c>
      <c r="S31" s="428">
        <v>3.0</v>
      </c>
      <c r="T31" s="428">
        <v>1.0</v>
      </c>
      <c r="U31" s="428">
        <v>0.0</v>
      </c>
      <c r="V31" s="428">
        <v>0.0</v>
      </c>
      <c r="W31" s="428">
        <v>0.0</v>
      </c>
      <c r="X31" s="428">
        <v>1.0</v>
      </c>
      <c r="Y31" s="428">
        <v>0.0</v>
      </c>
      <c r="Z31" s="428">
        <v>0.0</v>
      </c>
      <c r="AA31" s="428">
        <v>0.0</v>
      </c>
      <c r="AB31" s="428">
        <v>0.0</v>
      </c>
      <c r="AC31" s="428">
        <v>0.0</v>
      </c>
      <c r="AD31" s="428">
        <v>0.0</v>
      </c>
      <c r="AE31" s="428">
        <v>0.0</v>
      </c>
      <c r="AF31" s="428">
        <v>0.0</v>
      </c>
      <c r="AG31" s="428">
        <v>0.0</v>
      </c>
      <c r="AH31" s="428">
        <v>0.0</v>
      </c>
      <c r="AI31" s="428">
        <v>0.0</v>
      </c>
      <c r="AJ31" s="428">
        <v>0.0</v>
      </c>
    </row>
    <row r="32" ht="15.75" customHeight="1">
      <c r="A32" s="431" t="s">
        <v>155</v>
      </c>
      <c r="B32" s="428">
        <v>0.0</v>
      </c>
      <c r="C32" s="428">
        <v>1.0</v>
      </c>
      <c r="D32" s="428">
        <v>0.0</v>
      </c>
      <c r="E32" s="428">
        <v>1.0</v>
      </c>
      <c r="F32" s="428">
        <v>0.0</v>
      </c>
      <c r="G32" s="428">
        <v>4.0</v>
      </c>
      <c r="H32" s="428">
        <v>40.0</v>
      </c>
      <c r="I32" s="428">
        <v>1.0</v>
      </c>
      <c r="J32" s="428">
        <v>29.0</v>
      </c>
      <c r="K32" s="428">
        <v>11.0</v>
      </c>
      <c r="L32" s="428">
        <v>4.0</v>
      </c>
      <c r="M32" s="428">
        <v>2.0</v>
      </c>
      <c r="N32" s="428">
        <v>598.0</v>
      </c>
      <c r="O32" s="428">
        <v>630.0</v>
      </c>
      <c r="P32" s="428">
        <v>20.0</v>
      </c>
      <c r="Q32" s="428">
        <v>4.0</v>
      </c>
      <c r="R32" s="428">
        <v>6.0</v>
      </c>
      <c r="S32" s="428">
        <v>0.0</v>
      </c>
      <c r="T32" s="428">
        <v>0.0</v>
      </c>
      <c r="U32" s="428">
        <v>0.0</v>
      </c>
      <c r="V32" s="428">
        <v>0.0</v>
      </c>
      <c r="W32" s="428">
        <v>0.0</v>
      </c>
      <c r="X32" s="428">
        <v>0.0</v>
      </c>
      <c r="Y32" s="428">
        <v>0.0</v>
      </c>
      <c r="Z32" s="428">
        <v>0.0</v>
      </c>
      <c r="AA32" s="428">
        <v>0.0</v>
      </c>
      <c r="AB32" s="428">
        <v>0.0</v>
      </c>
      <c r="AC32" s="428">
        <v>0.0</v>
      </c>
      <c r="AD32" s="428">
        <v>0.0</v>
      </c>
      <c r="AE32" s="428">
        <v>0.0</v>
      </c>
      <c r="AF32" s="428">
        <v>0.0</v>
      </c>
      <c r="AG32" s="428">
        <v>0.0</v>
      </c>
      <c r="AH32" s="428">
        <v>0.0</v>
      </c>
      <c r="AI32" s="428">
        <v>0.0</v>
      </c>
      <c r="AJ32" s="428">
        <v>0.0</v>
      </c>
    </row>
    <row r="33" ht="15.75" customHeight="1">
      <c r="A33" s="19" t="s">
        <v>108</v>
      </c>
      <c r="B33" s="428">
        <v>0.0</v>
      </c>
      <c r="C33" s="428">
        <v>1.0</v>
      </c>
      <c r="D33" s="428">
        <v>0.0</v>
      </c>
      <c r="E33" s="428">
        <v>1.0</v>
      </c>
      <c r="F33" s="428">
        <v>0.0</v>
      </c>
      <c r="G33" s="428">
        <v>0.0</v>
      </c>
      <c r="H33" s="428">
        <v>45.0</v>
      </c>
      <c r="I33" s="428">
        <v>1.0</v>
      </c>
      <c r="J33" s="428">
        <v>36.0</v>
      </c>
      <c r="K33" s="428">
        <v>9.0</v>
      </c>
      <c r="L33" s="428">
        <v>10.0</v>
      </c>
      <c r="M33" s="428">
        <v>4.0</v>
      </c>
      <c r="N33" s="428">
        <v>598.0</v>
      </c>
      <c r="O33" s="428">
        <v>630.0</v>
      </c>
      <c r="P33" s="428">
        <v>16.0</v>
      </c>
      <c r="Q33" s="428">
        <v>1.0</v>
      </c>
      <c r="R33" s="428">
        <v>7.0</v>
      </c>
      <c r="S33" s="428">
        <v>3.0</v>
      </c>
      <c r="T33" s="428">
        <v>4.0</v>
      </c>
      <c r="U33" s="428">
        <v>2.0</v>
      </c>
      <c r="V33" s="428">
        <v>0.0</v>
      </c>
      <c r="W33" s="428">
        <v>0.0</v>
      </c>
      <c r="X33" s="428">
        <v>1.0</v>
      </c>
      <c r="Y33" s="428">
        <v>1.0</v>
      </c>
      <c r="Z33" s="428">
        <v>1.0</v>
      </c>
      <c r="AA33" s="428">
        <v>0.0</v>
      </c>
      <c r="AB33" s="428">
        <v>0.0</v>
      </c>
      <c r="AC33" s="428">
        <v>1.0</v>
      </c>
      <c r="AD33" s="428">
        <v>1.0</v>
      </c>
      <c r="AE33" s="428">
        <v>1.0</v>
      </c>
      <c r="AF33" s="428">
        <v>0.0</v>
      </c>
      <c r="AG33" s="428">
        <v>0.0</v>
      </c>
      <c r="AH33" s="428">
        <v>0.0</v>
      </c>
      <c r="AI33" s="428">
        <v>0.0</v>
      </c>
      <c r="AJ33" s="428">
        <v>0.0</v>
      </c>
    </row>
    <row r="34" ht="15.75" customHeight="1">
      <c r="A34" s="19" t="s">
        <v>101</v>
      </c>
      <c r="B34" s="428">
        <v>1.0</v>
      </c>
      <c r="C34" s="428">
        <v>1.0</v>
      </c>
      <c r="D34" s="428">
        <v>0.0</v>
      </c>
      <c r="E34" s="428">
        <v>0.0</v>
      </c>
      <c r="F34" s="428">
        <v>1.0</v>
      </c>
      <c r="G34" s="428">
        <v>0.0</v>
      </c>
      <c r="H34" s="428">
        <v>18.0</v>
      </c>
      <c r="I34" s="428">
        <v>2.0</v>
      </c>
      <c r="J34" s="428">
        <v>37.0</v>
      </c>
      <c r="K34" s="428">
        <v>-19.0</v>
      </c>
      <c r="L34" s="428">
        <v>2.0</v>
      </c>
      <c r="M34" s="428">
        <v>0.0</v>
      </c>
      <c r="N34" s="428">
        <v>598.0</v>
      </c>
      <c r="O34" s="428">
        <v>630.0</v>
      </c>
      <c r="P34" s="428">
        <v>16.0</v>
      </c>
      <c r="Q34" s="428">
        <v>1.0</v>
      </c>
      <c r="R34" s="428">
        <v>1.0</v>
      </c>
      <c r="S34" s="428">
        <v>0.0</v>
      </c>
      <c r="T34" s="428">
        <v>0.0</v>
      </c>
      <c r="U34" s="428">
        <v>0.0</v>
      </c>
      <c r="V34" s="428">
        <v>0.0</v>
      </c>
      <c r="W34" s="428">
        <v>0.0</v>
      </c>
      <c r="X34" s="428">
        <v>0.0</v>
      </c>
      <c r="Y34" s="428">
        <v>0.0</v>
      </c>
      <c r="Z34" s="428">
        <v>0.0</v>
      </c>
      <c r="AA34" s="428">
        <v>0.0</v>
      </c>
      <c r="AB34" s="428">
        <v>0.0</v>
      </c>
      <c r="AC34" s="428">
        <v>0.0</v>
      </c>
      <c r="AD34" s="428">
        <v>0.0</v>
      </c>
      <c r="AE34" s="428">
        <v>0.0</v>
      </c>
      <c r="AF34" s="428">
        <v>0.0</v>
      </c>
      <c r="AG34" s="428">
        <v>0.0</v>
      </c>
      <c r="AH34" s="428">
        <v>0.0</v>
      </c>
      <c r="AI34" s="428">
        <v>1.0</v>
      </c>
      <c r="AJ34" s="428">
        <v>0.0</v>
      </c>
    </row>
    <row r="35" ht="15.75" customHeight="1">
      <c r="A35" s="19" t="s">
        <v>118</v>
      </c>
      <c r="B35" s="428">
        <v>1.0</v>
      </c>
      <c r="C35" s="428">
        <v>1.0</v>
      </c>
      <c r="D35" s="428">
        <v>0.0</v>
      </c>
      <c r="E35" s="428">
        <v>0.0</v>
      </c>
      <c r="F35" s="428">
        <v>1.0</v>
      </c>
      <c r="G35" s="428">
        <v>0.0</v>
      </c>
      <c r="H35" s="428">
        <v>40.0</v>
      </c>
      <c r="I35" s="428">
        <v>1.0</v>
      </c>
      <c r="J35" s="428">
        <v>42.0</v>
      </c>
      <c r="K35" s="428">
        <v>-2.0</v>
      </c>
      <c r="L35" s="428">
        <v>5.0</v>
      </c>
      <c r="M35" s="428">
        <v>3.0</v>
      </c>
      <c r="N35" s="428">
        <v>598.0</v>
      </c>
      <c r="O35" s="428">
        <v>630.0</v>
      </c>
      <c r="P35" s="428">
        <v>14.0</v>
      </c>
      <c r="Q35" s="428">
        <v>1.0</v>
      </c>
      <c r="R35" s="428">
        <v>6.0</v>
      </c>
      <c r="S35" s="428">
        <v>1.0</v>
      </c>
      <c r="T35" s="428">
        <v>2.0</v>
      </c>
      <c r="U35" s="428">
        <v>1.0</v>
      </c>
      <c r="V35" s="428">
        <v>0.0</v>
      </c>
      <c r="W35" s="428">
        <v>0.0</v>
      </c>
      <c r="X35" s="428">
        <v>1.0</v>
      </c>
      <c r="Y35" s="428">
        <v>1.0</v>
      </c>
      <c r="Z35" s="428">
        <v>0.0</v>
      </c>
      <c r="AA35" s="428">
        <v>0.0</v>
      </c>
      <c r="AB35" s="428">
        <v>0.0</v>
      </c>
      <c r="AC35" s="428">
        <v>1.0</v>
      </c>
      <c r="AD35" s="428">
        <v>0.0</v>
      </c>
      <c r="AE35" s="428">
        <v>0.0</v>
      </c>
      <c r="AF35" s="428">
        <v>0.0</v>
      </c>
      <c r="AG35" s="428">
        <v>0.0</v>
      </c>
      <c r="AH35" s="428">
        <v>0.0</v>
      </c>
      <c r="AI35" s="428">
        <v>2.0</v>
      </c>
      <c r="AJ35" s="428">
        <v>0.0</v>
      </c>
    </row>
    <row r="36" ht="15.75" customHeight="1">
      <c r="A36" s="19" t="s">
        <v>33</v>
      </c>
      <c r="B36" s="428">
        <v>1.0</v>
      </c>
      <c r="C36" s="428">
        <v>1.0</v>
      </c>
      <c r="D36" s="428">
        <v>0.0</v>
      </c>
      <c r="E36" s="428">
        <v>0.0</v>
      </c>
      <c r="F36" s="428">
        <v>1.0</v>
      </c>
      <c r="G36" s="428">
        <v>0.0</v>
      </c>
      <c r="H36" s="428">
        <v>41.0</v>
      </c>
      <c r="I36" s="428">
        <v>1.0</v>
      </c>
      <c r="J36" s="428">
        <v>43.0</v>
      </c>
      <c r="K36" s="428">
        <v>-2.0</v>
      </c>
      <c r="L36" s="428">
        <v>4.0</v>
      </c>
      <c r="M36" s="428">
        <v>3.0</v>
      </c>
      <c r="N36" s="428">
        <v>598.0</v>
      </c>
      <c r="O36" s="428">
        <v>630.0</v>
      </c>
      <c r="P36" s="428">
        <v>13.0</v>
      </c>
      <c r="Q36" s="428">
        <v>0.0</v>
      </c>
      <c r="R36" s="428">
        <v>8.0</v>
      </c>
      <c r="S36" s="428">
        <v>1.0</v>
      </c>
      <c r="T36" s="428">
        <v>0.0</v>
      </c>
      <c r="U36" s="428">
        <v>0.0</v>
      </c>
      <c r="V36" s="428">
        <v>0.0</v>
      </c>
      <c r="W36" s="428">
        <v>0.0</v>
      </c>
      <c r="X36" s="428">
        <v>0.0</v>
      </c>
      <c r="Y36" s="428">
        <v>0.0</v>
      </c>
      <c r="Z36" s="428">
        <v>0.0</v>
      </c>
      <c r="AA36" s="428">
        <v>0.0</v>
      </c>
      <c r="AB36" s="428">
        <v>0.0</v>
      </c>
      <c r="AC36" s="428">
        <v>0.0</v>
      </c>
      <c r="AD36" s="428">
        <v>0.0</v>
      </c>
      <c r="AE36" s="428">
        <v>0.0</v>
      </c>
      <c r="AF36" s="428">
        <v>0.0</v>
      </c>
      <c r="AG36" s="428">
        <v>0.0</v>
      </c>
      <c r="AH36" s="428">
        <v>0.0</v>
      </c>
      <c r="AI36" s="428">
        <v>1.0</v>
      </c>
      <c r="AJ36" s="428">
        <v>0.0</v>
      </c>
    </row>
    <row r="37" ht="15.75" customHeight="1">
      <c r="A37" s="19" t="s">
        <v>111</v>
      </c>
      <c r="B37" s="428">
        <v>1.0</v>
      </c>
      <c r="C37" s="428">
        <v>1.0</v>
      </c>
      <c r="D37" s="428">
        <v>0.0</v>
      </c>
      <c r="E37" s="428">
        <v>0.0</v>
      </c>
      <c r="F37" s="428">
        <v>1.0</v>
      </c>
      <c r="G37" s="428">
        <v>0.0</v>
      </c>
      <c r="H37" s="428">
        <v>36.0</v>
      </c>
      <c r="I37" s="428">
        <v>1.0</v>
      </c>
      <c r="J37" s="428">
        <v>37.0</v>
      </c>
      <c r="K37" s="428">
        <v>-1.0</v>
      </c>
      <c r="L37" s="428">
        <v>6.0</v>
      </c>
      <c r="M37" s="428">
        <v>0.0</v>
      </c>
      <c r="N37" s="428">
        <v>598.0</v>
      </c>
      <c r="O37" s="428">
        <v>630.0</v>
      </c>
      <c r="P37" s="428">
        <v>16.0</v>
      </c>
      <c r="Q37" s="428">
        <v>2.0</v>
      </c>
      <c r="R37" s="428">
        <v>4.0</v>
      </c>
      <c r="S37" s="428">
        <v>0.0</v>
      </c>
      <c r="T37" s="428">
        <v>0.0</v>
      </c>
      <c r="U37" s="428">
        <v>1.0</v>
      </c>
      <c r="V37" s="428">
        <v>0.0</v>
      </c>
      <c r="W37" s="428">
        <v>0.0</v>
      </c>
      <c r="X37" s="428">
        <v>0.0</v>
      </c>
      <c r="Y37" s="428">
        <v>1.0</v>
      </c>
      <c r="Z37" s="428">
        <v>0.0</v>
      </c>
      <c r="AA37" s="428">
        <v>0.0</v>
      </c>
      <c r="AB37" s="428">
        <v>0.0</v>
      </c>
      <c r="AC37" s="428">
        <v>0.0</v>
      </c>
      <c r="AD37" s="428">
        <v>0.0</v>
      </c>
      <c r="AE37" s="428">
        <v>0.0</v>
      </c>
      <c r="AF37" s="428">
        <v>0.0</v>
      </c>
      <c r="AG37" s="428">
        <v>0.0</v>
      </c>
      <c r="AH37" s="428">
        <v>0.0</v>
      </c>
      <c r="AI37" s="428">
        <v>1.0</v>
      </c>
      <c r="AJ37" s="428">
        <v>0.0</v>
      </c>
    </row>
    <row r="38" ht="15.75" customHeight="1">
      <c r="A38" s="429" t="s">
        <v>104</v>
      </c>
      <c r="B38" s="430">
        <v>0.0</v>
      </c>
      <c r="C38" s="430">
        <v>0.0</v>
      </c>
      <c r="D38" s="430">
        <v>1.0</v>
      </c>
      <c r="E38" s="430">
        <v>0.0</v>
      </c>
      <c r="F38" s="430">
        <v>0.0</v>
      </c>
      <c r="G38" s="430">
        <v>0.0</v>
      </c>
      <c r="H38" s="430">
        <v>0.0</v>
      </c>
      <c r="I38" s="430">
        <v>0.0</v>
      </c>
      <c r="J38" s="430">
        <v>0.0</v>
      </c>
      <c r="K38" s="430">
        <v>0.0</v>
      </c>
      <c r="L38" s="430">
        <v>0.0</v>
      </c>
      <c r="M38" s="430">
        <v>0.0</v>
      </c>
      <c r="N38" s="430">
        <v>0.0</v>
      </c>
      <c r="O38" s="430">
        <v>0.0</v>
      </c>
      <c r="P38" s="430">
        <v>0.0</v>
      </c>
      <c r="Q38" s="430">
        <v>0.0</v>
      </c>
      <c r="R38" s="430">
        <v>0.0</v>
      </c>
      <c r="S38" s="430">
        <v>0.0</v>
      </c>
      <c r="T38" s="430">
        <v>0.0</v>
      </c>
      <c r="U38" s="430">
        <v>0.0</v>
      </c>
      <c r="V38" s="430">
        <v>0.0</v>
      </c>
      <c r="W38" s="430">
        <v>0.0</v>
      </c>
      <c r="X38" s="430">
        <v>0.0</v>
      </c>
      <c r="Y38" s="430">
        <v>0.0</v>
      </c>
      <c r="Z38" s="430">
        <v>0.0</v>
      </c>
      <c r="AA38" s="430">
        <v>0.0</v>
      </c>
      <c r="AB38" s="430">
        <v>0.0</v>
      </c>
      <c r="AC38" s="430">
        <v>0.0</v>
      </c>
      <c r="AD38" s="430">
        <v>0.0</v>
      </c>
      <c r="AE38" s="430">
        <v>0.0</v>
      </c>
      <c r="AF38" s="430">
        <v>0.0</v>
      </c>
      <c r="AG38" s="430">
        <v>0.0</v>
      </c>
      <c r="AH38" s="430">
        <v>0.0</v>
      </c>
      <c r="AI38" s="430">
        <v>0.0</v>
      </c>
      <c r="AJ38" s="430">
        <v>0.0</v>
      </c>
    </row>
    <row r="39" ht="15.75" customHeight="1">
      <c r="A39" s="431" t="s">
        <v>31</v>
      </c>
      <c r="B39" s="428">
        <v>0.0</v>
      </c>
      <c r="C39" s="428">
        <v>1.0</v>
      </c>
      <c r="D39" s="428">
        <v>0.0</v>
      </c>
      <c r="E39" s="428">
        <v>1.0</v>
      </c>
      <c r="F39" s="428">
        <v>0.0</v>
      </c>
      <c r="G39" s="428">
        <v>0.0</v>
      </c>
      <c r="H39" s="428">
        <v>23.0</v>
      </c>
      <c r="I39" s="428">
        <v>0.0</v>
      </c>
      <c r="J39" s="428">
        <v>6.0</v>
      </c>
      <c r="K39" s="428">
        <v>17.0</v>
      </c>
      <c r="L39" s="428">
        <v>7.0</v>
      </c>
      <c r="M39" s="428">
        <v>0.0</v>
      </c>
      <c r="N39" s="428">
        <v>161.0</v>
      </c>
      <c r="O39" s="428">
        <v>186.0</v>
      </c>
      <c r="P39" s="428">
        <v>26.0</v>
      </c>
      <c r="Q39" s="428">
        <v>2.0</v>
      </c>
      <c r="R39" s="428">
        <v>6.0</v>
      </c>
      <c r="S39" s="428">
        <v>3.0</v>
      </c>
      <c r="T39" s="428">
        <v>5.0</v>
      </c>
      <c r="U39" s="428">
        <v>3.0</v>
      </c>
      <c r="V39" s="428">
        <v>0.0</v>
      </c>
      <c r="W39" s="428">
        <v>0.0</v>
      </c>
      <c r="X39" s="428">
        <v>2.0</v>
      </c>
      <c r="Y39" s="428">
        <v>3.0</v>
      </c>
      <c r="Z39" s="428">
        <v>0.0</v>
      </c>
      <c r="AA39" s="428">
        <v>0.0</v>
      </c>
      <c r="AB39" s="428">
        <v>0.0</v>
      </c>
      <c r="AC39" s="428">
        <v>1.0</v>
      </c>
      <c r="AD39" s="428">
        <v>1.0</v>
      </c>
      <c r="AE39" s="428">
        <v>1.0</v>
      </c>
      <c r="AF39" s="428">
        <v>0.0</v>
      </c>
      <c r="AG39" s="428">
        <v>0.0</v>
      </c>
      <c r="AH39" s="428">
        <v>0.0</v>
      </c>
      <c r="AI39" s="428">
        <v>0.0</v>
      </c>
      <c r="AJ39" s="428">
        <v>0.0</v>
      </c>
    </row>
    <row r="40" ht="15.75" customHeight="1">
      <c r="A40" s="431" t="s">
        <v>99</v>
      </c>
      <c r="B40" s="428">
        <v>0.0</v>
      </c>
      <c r="C40" s="428">
        <v>1.0</v>
      </c>
      <c r="D40" s="428">
        <v>0.0</v>
      </c>
      <c r="E40" s="428">
        <v>1.0</v>
      </c>
      <c r="F40" s="428">
        <v>0.0</v>
      </c>
      <c r="G40" s="428">
        <v>1.0</v>
      </c>
      <c r="H40" s="428">
        <v>19.0</v>
      </c>
      <c r="I40" s="428">
        <v>1.0</v>
      </c>
      <c r="J40" s="428">
        <v>7.0</v>
      </c>
      <c r="K40" s="428">
        <v>12.0</v>
      </c>
      <c r="L40" s="428">
        <v>6.0</v>
      </c>
      <c r="M40" s="428">
        <v>0.0</v>
      </c>
      <c r="N40" s="428">
        <v>159.0</v>
      </c>
      <c r="O40" s="428">
        <v>186.0</v>
      </c>
      <c r="P40" s="428">
        <v>22.0</v>
      </c>
      <c r="Q40" s="428">
        <v>0.0</v>
      </c>
      <c r="R40" s="428">
        <v>4.0</v>
      </c>
      <c r="S40" s="428">
        <v>3.0</v>
      </c>
      <c r="T40" s="428">
        <v>4.0</v>
      </c>
      <c r="U40" s="428">
        <v>1.0</v>
      </c>
      <c r="V40" s="428">
        <v>0.0</v>
      </c>
      <c r="W40" s="428">
        <v>0.0</v>
      </c>
      <c r="X40" s="428">
        <v>2.0</v>
      </c>
      <c r="Y40" s="428">
        <v>1.0</v>
      </c>
      <c r="Z40" s="428">
        <v>0.0</v>
      </c>
      <c r="AA40" s="428">
        <v>0.0</v>
      </c>
      <c r="AB40" s="428">
        <v>0.0</v>
      </c>
      <c r="AC40" s="428">
        <v>1.0</v>
      </c>
      <c r="AD40" s="428">
        <v>1.0</v>
      </c>
      <c r="AE40" s="428">
        <v>0.0</v>
      </c>
      <c r="AF40" s="428">
        <v>0.0</v>
      </c>
      <c r="AG40" s="428">
        <v>0.0</v>
      </c>
      <c r="AH40" s="428">
        <v>0.0</v>
      </c>
      <c r="AI40" s="428">
        <v>0.0</v>
      </c>
      <c r="AJ40" s="428">
        <v>0.0</v>
      </c>
    </row>
    <row r="41" ht="15.75" customHeight="1">
      <c r="A41" s="431" t="s">
        <v>43</v>
      </c>
      <c r="B41" s="428">
        <v>0.0</v>
      </c>
      <c r="C41" s="428">
        <v>1.0</v>
      </c>
      <c r="D41" s="428">
        <v>0.0</v>
      </c>
      <c r="E41" s="428">
        <v>1.0</v>
      </c>
      <c r="F41" s="428">
        <v>0.0</v>
      </c>
      <c r="G41" s="428">
        <v>1.0</v>
      </c>
      <c r="H41" s="428">
        <v>4.0</v>
      </c>
      <c r="I41" s="428">
        <v>1.0</v>
      </c>
      <c r="J41" s="428">
        <v>7.0</v>
      </c>
      <c r="K41" s="428">
        <v>-3.0</v>
      </c>
      <c r="L41" s="428">
        <v>1.0</v>
      </c>
      <c r="M41" s="428">
        <v>0.0</v>
      </c>
      <c r="N41" s="428">
        <v>161.0</v>
      </c>
      <c r="O41" s="428">
        <v>186.0</v>
      </c>
      <c r="P41" s="428">
        <v>23.0</v>
      </c>
      <c r="Q41" s="428">
        <v>0.0</v>
      </c>
      <c r="R41" s="428">
        <v>0.0</v>
      </c>
      <c r="S41" s="428">
        <v>0.0</v>
      </c>
      <c r="T41" s="428">
        <v>0.0</v>
      </c>
      <c r="U41" s="428">
        <v>0.0</v>
      </c>
      <c r="V41" s="428">
        <v>0.0</v>
      </c>
      <c r="W41" s="428">
        <v>0.0</v>
      </c>
      <c r="X41" s="428">
        <v>0.0</v>
      </c>
      <c r="Y41" s="428">
        <v>0.0</v>
      </c>
      <c r="Z41" s="428">
        <v>0.0</v>
      </c>
      <c r="AA41" s="428">
        <v>0.0</v>
      </c>
      <c r="AB41" s="428">
        <v>0.0</v>
      </c>
      <c r="AC41" s="428">
        <v>0.0</v>
      </c>
      <c r="AD41" s="428">
        <v>0.0</v>
      </c>
      <c r="AE41" s="428">
        <v>0.0</v>
      </c>
      <c r="AF41" s="428">
        <v>0.0</v>
      </c>
      <c r="AG41" s="428">
        <v>0.0</v>
      </c>
      <c r="AH41" s="428">
        <v>0.0</v>
      </c>
      <c r="AI41" s="428">
        <v>0.0</v>
      </c>
      <c r="AJ41" s="428">
        <v>0.0</v>
      </c>
    </row>
    <row r="42" ht="15.75" customHeight="1">
      <c r="A42" s="431" t="s">
        <v>88</v>
      </c>
      <c r="B42" s="428">
        <v>0.0</v>
      </c>
      <c r="C42" s="428">
        <v>1.0</v>
      </c>
      <c r="D42" s="428">
        <v>0.0</v>
      </c>
      <c r="E42" s="428">
        <v>1.0</v>
      </c>
      <c r="F42" s="428">
        <v>0.0</v>
      </c>
      <c r="G42" s="428">
        <v>3.0</v>
      </c>
      <c r="H42" s="428">
        <v>9.0</v>
      </c>
      <c r="I42" s="428">
        <v>1.0</v>
      </c>
      <c r="J42" s="428">
        <v>4.0</v>
      </c>
      <c r="K42" s="428">
        <v>5.0</v>
      </c>
      <c r="L42" s="428">
        <v>4.0</v>
      </c>
      <c r="M42" s="428">
        <v>0.0</v>
      </c>
      <c r="N42" s="428">
        <v>161.0</v>
      </c>
      <c r="O42" s="428">
        <v>186.0</v>
      </c>
      <c r="P42" s="428">
        <v>40.0</v>
      </c>
      <c r="Q42" s="428">
        <v>1.0</v>
      </c>
      <c r="R42" s="428">
        <v>2.0</v>
      </c>
      <c r="S42" s="428">
        <v>0.0</v>
      </c>
      <c r="T42" s="428">
        <v>0.0</v>
      </c>
      <c r="U42" s="428">
        <v>0.0</v>
      </c>
      <c r="V42" s="428">
        <v>0.0</v>
      </c>
      <c r="W42" s="428">
        <v>0.0</v>
      </c>
      <c r="X42" s="428">
        <v>0.0</v>
      </c>
      <c r="Y42" s="428">
        <v>0.0</v>
      </c>
      <c r="Z42" s="428">
        <v>0.0</v>
      </c>
      <c r="AA42" s="428">
        <v>0.0</v>
      </c>
      <c r="AB42" s="428">
        <v>0.0</v>
      </c>
      <c r="AC42" s="428">
        <v>0.0</v>
      </c>
      <c r="AD42" s="428">
        <v>0.0</v>
      </c>
      <c r="AE42" s="428">
        <v>0.0</v>
      </c>
      <c r="AF42" s="428">
        <v>0.0</v>
      </c>
      <c r="AG42" s="428">
        <v>0.0</v>
      </c>
      <c r="AH42" s="428">
        <v>0.0</v>
      </c>
      <c r="AI42" s="428">
        <v>0.0</v>
      </c>
      <c r="AJ42" s="428">
        <v>0.0</v>
      </c>
    </row>
    <row r="43" ht="15.75" customHeight="1">
      <c r="A43" s="431" t="s">
        <v>101</v>
      </c>
      <c r="B43" s="428">
        <v>1.0</v>
      </c>
      <c r="C43" s="428">
        <v>1.0</v>
      </c>
      <c r="D43" s="428">
        <v>0.0</v>
      </c>
      <c r="E43" s="428">
        <v>0.0</v>
      </c>
      <c r="F43" s="428">
        <v>1.0</v>
      </c>
      <c r="G43" s="428">
        <v>0.0</v>
      </c>
      <c r="H43" s="428">
        <v>6.0</v>
      </c>
      <c r="I43" s="428">
        <v>0.0</v>
      </c>
      <c r="J43" s="428">
        <v>14.0</v>
      </c>
      <c r="K43" s="428">
        <v>-8.0</v>
      </c>
      <c r="L43" s="428">
        <v>2.0</v>
      </c>
      <c r="M43" s="428">
        <v>0.0</v>
      </c>
      <c r="N43" s="428">
        <v>161.0</v>
      </c>
      <c r="O43" s="428">
        <v>186.0</v>
      </c>
      <c r="P43" s="428">
        <v>11.0</v>
      </c>
      <c r="Q43" s="428">
        <v>1.0</v>
      </c>
      <c r="R43" s="428">
        <v>1.0</v>
      </c>
      <c r="S43" s="428">
        <v>0.0</v>
      </c>
      <c r="T43" s="428">
        <v>0.0</v>
      </c>
      <c r="U43" s="428">
        <v>0.0</v>
      </c>
      <c r="V43" s="428">
        <v>0.0</v>
      </c>
      <c r="W43" s="428">
        <v>0.0</v>
      </c>
      <c r="X43" s="428">
        <v>0.0</v>
      </c>
      <c r="Y43" s="428">
        <v>0.0</v>
      </c>
      <c r="Z43" s="428">
        <v>0.0</v>
      </c>
      <c r="AA43" s="428">
        <v>0.0</v>
      </c>
      <c r="AB43" s="428">
        <v>0.0</v>
      </c>
      <c r="AC43" s="428">
        <v>0.0</v>
      </c>
      <c r="AD43" s="428">
        <v>0.0</v>
      </c>
      <c r="AE43" s="428">
        <v>0.0</v>
      </c>
      <c r="AF43" s="428">
        <v>0.0</v>
      </c>
      <c r="AG43" s="428">
        <v>0.0</v>
      </c>
      <c r="AH43" s="428">
        <v>0.0</v>
      </c>
      <c r="AI43" s="428">
        <v>0.0</v>
      </c>
      <c r="AJ43" s="428">
        <v>0.0</v>
      </c>
    </row>
    <row r="44" ht="15.75" customHeight="1">
      <c r="A44" s="431" t="s">
        <v>118</v>
      </c>
      <c r="B44" s="428">
        <v>1.0</v>
      </c>
      <c r="C44" s="428">
        <v>1.0</v>
      </c>
      <c r="D44" s="428">
        <v>0.0</v>
      </c>
      <c r="E44" s="428">
        <v>0.0</v>
      </c>
      <c r="F44" s="428">
        <v>1.0</v>
      </c>
      <c r="G44" s="428">
        <v>0.0</v>
      </c>
      <c r="H44" s="428">
        <v>8.0</v>
      </c>
      <c r="I44" s="428">
        <v>1.0</v>
      </c>
      <c r="J44" s="428">
        <v>13.0</v>
      </c>
      <c r="K44" s="428">
        <v>-5.0</v>
      </c>
      <c r="L44" s="428">
        <v>4.0</v>
      </c>
      <c r="M44" s="428">
        <v>2.0</v>
      </c>
      <c r="N44" s="428">
        <v>161.0</v>
      </c>
      <c r="O44" s="428">
        <v>186.0</v>
      </c>
      <c r="P44" s="428">
        <v>12.0</v>
      </c>
      <c r="Q44" s="428">
        <v>0.0</v>
      </c>
      <c r="R44" s="428">
        <v>0.0</v>
      </c>
      <c r="S44" s="428">
        <v>0.0</v>
      </c>
      <c r="T44" s="428">
        <v>0.0</v>
      </c>
      <c r="U44" s="428">
        <v>0.0</v>
      </c>
      <c r="V44" s="428">
        <v>0.0</v>
      </c>
      <c r="W44" s="428">
        <v>0.0</v>
      </c>
      <c r="X44" s="428">
        <v>0.0</v>
      </c>
      <c r="Y44" s="428">
        <v>0.0</v>
      </c>
      <c r="Z44" s="428">
        <v>0.0</v>
      </c>
      <c r="AA44" s="428">
        <v>0.0</v>
      </c>
      <c r="AB44" s="428">
        <v>0.0</v>
      </c>
      <c r="AC44" s="428">
        <v>0.0</v>
      </c>
      <c r="AD44" s="428">
        <v>0.0</v>
      </c>
      <c r="AE44" s="428">
        <v>0.0</v>
      </c>
      <c r="AF44" s="428">
        <v>0.0</v>
      </c>
      <c r="AG44" s="428">
        <v>0.0</v>
      </c>
      <c r="AH44" s="428">
        <v>0.0</v>
      </c>
      <c r="AI44" s="428">
        <v>0.0</v>
      </c>
      <c r="AJ44" s="428">
        <v>0.0</v>
      </c>
    </row>
    <row r="45" ht="15.75" customHeight="1">
      <c r="A45" s="431" t="s">
        <v>111</v>
      </c>
      <c r="B45" s="428">
        <v>1.0</v>
      </c>
      <c r="C45" s="428">
        <v>1.0</v>
      </c>
      <c r="D45" s="428">
        <v>0.0</v>
      </c>
      <c r="E45" s="428">
        <v>0.0</v>
      </c>
      <c r="F45" s="428">
        <v>1.0</v>
      </c>
      <c r="G45" s="428">
        <v>0.0</v>
      </c>
      <c r="H45" s="428">
        <v>9.0</v>
      </c>
      <c r="I45" s="428">
        <v>0.0</v>
      </c>
      <c r="J45" s="428">
        <v>14.0</v>
      </c>
      <c r="K45" s="428">
        <v>-5.0</v>
      </c>
      <c r="L45" s="428">
        <v>3.0</v>
      </c>
      <c r="M45" s="428">
        <v>1.0</v>
      </c>
      <c r="N45" s="428">
        <v>161.0</v>
      </c>
      <c r="O45" s="428">
        <v>186.0</v>
      </c>
      <c r="P45" s="428">
        <v>11.0</v>
      </c>
      <c r="Q45" s="428">
        <v>2.0</v>
      </c>
      <c r="R45" s="428">
        <v>1.0</v>
      </c>
      <c r="S45" s="428">
        <v>0.0</v>
      </c>
      <c r="T45" s="428">
        <v>0.0</v>
      </c>
      <c r="U45" s="428">
        <v>0.0</v>
      </c>
      <c r="V45" s="428">
        <v>0.0</v>
      </c>
      <c r="W45" s="428">
        <v>0.0</v>
      </c>
      <c r="X45" s="428">
        <v>0.0</v>
      </c>
      <c r="Y45" s="428">
        <v>0.0</v>
      </c>
      <c r="Z45" s="428">
        <v>0.0</v>
      </c>
      <c r="AA45" s="428">
        <v>0.0</v>
      </c>
      <c r="AB45" s="428">
        <v>0.0</v>
      </c>
      <c r="AC45" s="428">
        <v>0.0</v>
      </c>
      <c r="AD45" s="428">
        <v>0.0</v>
      </c>
      <c r="AE45" s="428">
        <v>0.0</v>
      </c>
      <c r="AF45" s="428">
        <v>0.0</v>
      </c>
      <c r="AG45" s="428">
        <v>0.0</v>
      </c>
      <c r="AH45" s="428">
        <v>0.0</v>
      </c>
      <c r="AI45" s="428">
        <v>0.0</v>
      </c>
      <c r="AJ45" s="428">
        <v>0.0</v>
      </c>
    </row>
    <row r="46" ht="15.75" customHeight="1">
      <c r="A46" s="431" t="s">
        <v>138</v>
      </c>
      <c r="B46" s="428">
        <v>1.0</v>
      </c>
      <c r="C46" s="428">
        <v>1.0</v>
      </c>
      <c r="D46" s="428">
        <v>0.0</v>
      </c>
      <c r="E46" s="428">
        <v>0.0</v>
      </c>
      <c r="F46" s="428">
        <v>1.0</v>
      </c>
      <c r="G46" s="428">
        <v>0.0</v>
      </c>
      <c r="H46" s="428">
        <v>1.0</v>
      </c>
      <c r="I46" s="428">
        <v>1.0</v>
      </c>
      <c r="J46" s="428">
        <v>17.0</v>
      </c>
      <c r="K46" s="428">
        <v>-16.0</v>
      </c>
      <c r="L46" s="428">
        <v>1.0</v>
      </c>
      <c r="M46" s="428">
        <v>0.0</v>
      </c>
      <c r="N46" s="428">
        <v>161.0</v>
      </c>
      <c r="O46" s="428">
        <v>186.0</v>
      </c>
      <c r="P46" s="428">
        <v>9.0</v>
      </c>
      <c r="Q46" s="428">
        <v>0.0</v>
      </c>
      <c r="R46" s="428">
        <v>0.0</v>
      </c>
      <c r="S46" s="428">
        <v>0.0</v>
      </c>
      <c r="T46" s="428">
        <v>0.0</v>
      </c>
      <c r="U46" s="428">
        <v>0.0</v>
      </c>
      <c r="V46" s="428">
        <v>0.0</v>
      </c>
      <c r="W46" s="428">
        <v>0.0</v>
      </c>
      <c r="X46" s="428">
        <v>0.0</v>
      </c>
      <c r="Y46" s="428">
        <v>0.0</v>
      </c>
      <c r="Z46" s="428">
        <v>0.0</v>
      </c>
      <c r="AA46" s="428">
        <v>0.0</v>
      </c>
      <c r="AB46" s="428">
        <v>0.0</v>
      </c>
      <c r="AC46" s="428">
        <v>0.0</v>
      </c>
      <c r="AD46" s="428">
        <v>0.0</v>
      </c>
      <c r="AE46" s="428">
        <v>0.0</v>
      </c>
      <c r="AF46" s="428">
        <v>0.0</v>
      </c>
      <c r="AG46" s="428">
        <v>0.0</v>
      </c>
      <c r="AH46" s="428">
        <v>0.0</v>
      </c>
      <c r="AI46" s="428">
        <v>1.0</v>
      </c>
      <c r="AJ46" s="428">
        <v>0.0</v>
      </c>
    </row>
    <row r="47" ht="15.75" customHeight="1">
      <c r="A47" s="432" t="s">
        <v>377</v>
      </c>
      <c r="B47" s="430">
        <v>0.0</v>
      </c>
      <c r="C47" s="430">
        <v>0.0</v>
      </c>
      <c r="D47" s="430">
        <v>1.0</v>
      </c>
      <c r="E47" s="430">
        <v>0.0</v>
      </c>
      <c r="F47" s="430">
        <v>0.0</v>
      </c>
      <c r="G47" s="430">
        <v>0.0</v>
      </c>
      <c r="H47" s="430">
        <v>0.0</v>
      </c>
      <c r="I47" s="430">
        <v>0.0</v>
      </c>
      <c r="J47" s="430">
        <v>0.0</v>
      </c>
      <c r="K47" s="430">
        <v>0.0</v>
      </c>
      <c r="L47" s="430">
        <v>0.0</v>
      </c>
      <c r="M47" s="430">
        <v>0.0</v>
      </c>
      <c r="N47" s="430">
        <v>0.0</v>
      </c>
      <c r="O47" s="430">
        <v>0.0</v>
      </c>
      <c r="P47" s="430">
        <v>0.0</v>
      </c>
      <c r="Q47" s="430">
        <v>0.0</v>
      </c>
      <c r="R47" s="430">
        <v>0.0</v>
      </c>
      <c r="S47" s="430">
        <v>0.0</v>
      </c>
      <c r="T47" s="430">
        <v>0.0</v>
      </c>
      <c r="U47" s="430">
        <v>0.0</v>
      </c>
      <c r="V47" s="430">
        <v>0.0</v>
      </c>
      <c r="W47" s="430">
        <v>0.0</v>
      </c>
      <c r="X47" s="430">
        <v>0.0</v>
      </c>
      <c r="Y47" s="430">
        <v>0.0</v>
      </c>
      <c r="Z47" s="430">
        <v>0.0</v>
      </c>
      <c r="AA47" s="430">
        <v>0.0</v>
      </c>
      <c r="AB47" s="430">
        <v>0.0</v>
      </c>
      <c r="AC47" s="430">
        <v>0.0</v>
      </c>
      <c r="AD47" s="430">
        <v>0.0</v>
      </c>
      <c r="AE47" s="430">
        <v>0.0</v>
      </c>
      <c r="AF47" s="430">
        <v>0.0</v>
      </c>
      <c r="AG47" s="430">
        <v>0.0</v>
      </c>
      <c r="AH47" s="430">
        <v>0.0</v>
      </c>
      <c r="AI47" s="430">
        <v>0.0</v>
      </c>
      <c r="AJ47" s="430">
        <v>0.0</v>
      </c>
    </row>
    <row r="48" ht="15.75" customHeight="1">
      <c r="A48" s="19" t="s">
        <v>153</v>
      </c>
      <c r="B48" s="428">
        <v>1.0</v>
      </c>
      <c r="C48" s="428">
        <v>1.0</v>
      </c>
      <c r="D48" s="428">
        <v>0.0</v>
      </c>
      <c r="E48" s="428">
        <v>1.0</v>
      </c>
      <c r="F48" s="428">
        <v>0.0</v>
      </c>
      <c r="G48" s="428">
        <v>0.0</v>
      </c>
      <c r="H48" s="428">
        <v>94.0</v>
      </c>
      <c r="I48" s="428">
        <v>3.0</v>
      </c>
      <c r="J48" s="428">
        <v>65.0</v>
      </c>
      <c r="K48" s="428">
        <v>29.0</v>
      </c>
      <c r="L48" s="428">
        <v>8.0</v>
      </c>
      <c r="M48" s="428">
        <v>2.0</v>
      </c>
      <c r="N48" s="428">
        <v>1019.0</v>
      </c>
      <c r="O48" s="428">
        <v>1071.0</v>
      </c>
      <c r="P48" s="428">
        <v>15.0</v>
      </c>
      <c r="Q48" s="428">
        <v>4.0</v>
      </c>
      <c r="R48" s="428">
        <v>22.0</v>
      </c>
      <c r="S48" s="428">
        <v>5.0</v>
      </c>
      <c r="T48" s="428">
        <v>7.0</v>
      </c>
      <c r="U48" s="428">
        <v>5.0</v>
      </c>
      <c r="V48" s="428">
        <v>0.0</v>
      </c>
      <c r="W48" s="428">
        <v>0.0</v>
      </c>
      <c r="X48" s="428">
        <v>3.0</v>
      </c>
      <c r="Y48" s="428">
        <v>5.0</v>
      </c>
      <c r="Z48" s="428">
        <v>0.0</v>
      </c>
      <c r="AA48" s="428">
        <v>0.0</v>
      </c>
      <c r="AB48" s="428">
        <v>0.0</v>
      </c>
      <c r="AC48" s="428">
        <v>3.0</v>
      </c>
      <c r="AD48" s="428">
        <v>1.0</v>
      </c>
      <c r="AE48" s="428">
        <v>0.0</v>
      </c>
      <c r="AF48" s="428">
        <v>0.0</v>
      </c>
      <c r="AG48" s="428">
        <v>0.0</v>
      </c>
      <c r="AH48" s="428">
        <v>0.0</v>
      </c>
      <c r="AI48" s="428">
        <v>0.0</v>
      </c>
      <c r="AJ48" s="428">
        <v>0.0</v>
      </c>
    </row>
    <row r="49" ht="15.75" customHeight="1">
      <c r="A49" s="19" t="s">
        <v>40</v>
      </c>
      <c r="B49" s="428">
        <v>1.0</v>
      </c>
      <c r="C49" s="428">
        <v>1.0</v>
      </c>
      <c r="D49" s="428">
        <v>0.0</v>
      </c>
      <c r="E49" s="428">
        <v>1.0</v>
      </c>
      <c r="F49" s="428">
        <v>0.0</v>
      </c>
      <c r="G49" s="428">
        <v>1.0</v>
      </c>
      <c r="H49" s="428">
        <v>73.0</v>
      </c>
      <c r="I49" s="428">
        <v>3.0</v>
      </c>
      <c r="J49" s="428">
        <v>60.0</v>
      </c>
      <c r="K49" s="428">
        <v>13.0</v>
      </c>
      <c r="L49" s="428">
        <v>6.0</v>
      </c>
      <c r="M49" s="428">
        <v>4.0</v>
      </c>
      <c r="N49" s="428">
        <v>1019.0</v>
      </c>
      <c r="O49" s="428">
        <v>1070.0</v>
      </c>
      <c r="P49" s="428">
        <v>16.0</v>
      </c>
      <c r="Q49" s="428">
        <v>5.0</v>
      </c>
      <c r="R49" s="428">
        <v>15.0</v>
      </c>
      <c r="S49" s="428">
        <v>5.0</v>
      </c>
      <c r="T49" s="428">
        <v>0.0</v>
      </c>
      <c r="U49" s="428">
        <v>2.0</v>
      </c>
      <c r="V49" s="428">
        <v>0.0</v>
      </c>
      <c r="W49" s="428">
        <v>0.0</v>
      </c>
      <c r="X49" s="428">
        <v>0.0</v>
      </c>
      <c r="Y49" s="428">
        <v>2.0</v>
      </c>
      <c r="Z49" s="428">
        <v>0.0</v>
      </c>
      <c r="AA49" s="428">
        <v>0.0</v>
      </c>
      <c r="AB49" s="428">
        <v>0.0</v>
      </c>
      <c r="AC49" s="428">
        <v>0.0</v>
      </c>
      <c r="AD49" s="428">
        <v>0.0</v>
      </c>
      <c r="AE49" s="428">
        <v>0.0</v>
      </c>
      <c r="AF49" s="428">
        <v>0.0</v>
      </c>
      <c r="AG49" s="428">
        <v>0.0</v>
      </c>
      <c r="AH49" s="428">
        <v>0.0</v>
      </c>
      <c r="AI49" s="428">
        <v>0.0</v>
      </c>
      <c r="AJ49" s="428">
        <v>0.0</v>
      </c>
    </row>
    <row r="50" ht="15.75" customHeight="1">
      <c r="A50" s="19" t="s">
        <v>47</v>
      </c>
      <c r="B50" s="428">
        <v>1.0</v>
      </c>
      <c r="C50" s="428">
        <v>1.0</v>
      </c>
      <c r="D50" s="428">
        <v>0.0</v>
      </c>
      <c r="E50" s="428">
        <v>1.0</v>
      </c>
      <c r="F50" s="428">
        <v>0.0</v>
      </c>
      <c r="G50" s="428">
        <v>3.0</v>
      </c>
      <c r="H50" s="428">
        <v>50.0</v>
      </c>
      <c r="I50" s="428">
        <v>2.0</v>
      </c>
      <c r="J50" s="428">
        <v>81.0</v>
      </c>
      <c r="K50" s="428">
        <v>-31.0</v>
      </c>
      <c r="L50" s="428">
        <v>3.0</v>
      </c>
      <c r="M50" s="428">
        <v>2.0</v>
      </c>
      <c r="N50" s="428">
        <v>1019.0</v>
      </c>
      <c r="O50" s="428">
        <v>1070.0</v>
      </c>
      <c r="P50" s="428">
        <v>12.0</v>
      </c>
      <c r="Q50" s="428">
        <v>1.0</v>
      </c>
      <c r="R50" s="428">
        <v>4.0</v>
      </c>
      <c r="S50" s="428">
        <v>0.0</v>
      </c>
      <c r="T50" s="428">
        <v>0.0</v>
      </c>
      <c r="U50" s="428">
        <v>0.0</v>
      </c>
      <c r="V50" s="428">
        <v>0.0</v>
      </c>
      <c r="W50" s="428">
        <v>0.0</v>
      </c>
      <c r="X50" s="428">
        <v>0.0</v>
      </c>
      <c r="Y50" s="428">
        <v>0.0</v>
      </c>
      <c r="Z50" s="428">
        <v>0.0</v>
      </c>
      <c r="AA50" s="428">
        <v>0.0</v>
      </c>
      <c r="AB50" s="428">
        <v>0.0</v>
      </c>
      <c r="AC50" s="428">
        <v>0.0</v>
      </c>
      <c r="AD50" s="428">
        <v>0.0</v>
      </c>
      <c r="AE50" s="428">
        <v>0.0</v>
      </c>
      <c r="AF50" s="428">
        <v>0.0</v>
      </c>
      <c r="AG50" s="428">
        <v>0.0</v>
      </c>
      <c r="AH50" s="428">
        <v>0.0</v>
      </c>
      <c r="AI50" s="428">
        <v>0.0</v>
      </c>
      <c r="AJ50" s="428">
        <v>0.0</v>
      </c>
    </row>
    <row r="51" ht="15.75" customHeight="1">
      <c r="A51" s="431" t="s">
        <v>109</v>
      </c>
      <c r="B51" s="428">
        <v>1.0</v>
      </c>
      <c r="C51" s="428">
        <v>1.0</v>
      </c>
      <c r="D51" s="428">
        <v>0.0</v>
      </c>
      <c r="E51" s="428">
        <v>1.0</v>
      </c>
      <c r="F51" s="428">
        <v>0.0</v>
      </c>
      <c r="G51" s="428">
        <v>1.0</v>
      </c>
      <c r="H51" s="428">
        <v>46.0</v>
      </c>
      <c r="I51" s="428">
        <v>0.0</v>
      </c>
      <c r="J51" s="428">
        <v>54.0</v>
      </c>
      <c r="K51" s="428">
        <v>-8.0</v>
      </c>
      <c r="L51" s="428">
        <v>6.0</v>
      </c>
      <c r="M51" s="428">
        <v>2.0</v>
      </c>
      <c r="N51" s="428">
        <v>1019.0</v>
      </c>
      <c r="O51" s="428">
        <v>1070.0</v>
      </c>
      <c r="P51" s="428">
        <v>18.0</v>
      </c>
      <c r="Q51" s="428">
        <v>0.0</v>
      </c>
      <c r="R51" s="428">
        <v>5.0</v>
      </c>
      <c r="S51" s="428">
        <v>0.0</v>
      </c>
      <c r="T51" s="428">
        <v>0.0</v>
      </c>
      <c r="U51" s="428">
        <v>1.0</v>
      </c>
      <c r="V51" s="428">
        <v>0.0</v>
      </c>
      <c r="W51" s="428">
        <v>0.0</v>
      </c>
      <c r="X51" s="428">
        <v>0.0</v>
      </c>
      <c r="Y51" s="428">
        <v>1.0</v>
      </c>
      <c r="Z51" s="428">
        <v>0.0</v>
      </c>
      <c r="AA51" s="428">
        <v>0.0</v>
      </c>
      <c r="AB51" s="428">
        <v>0.0</v>
      </c>
      <c r="AC51" s="428">
        <v>0.0</v>
      </c>
      <c r="AD51" s="428">
        <v>0.0</v>
      </c>
      <c r="AE51" s="428">
        <v>0.0</v>
      </c>
      <c r="AF51" s="428">
        <v>0.0</v>
      </c>
      <c r="AG51" s="428">
        <v>0.0</v>
      </c>
      <c r="AH51" s="428">
        <v>0.0</v>
      </c>
      <c r="AI51" s="428">
        <v>1.0</v>
      </c>
      <c r="AJ51" s="428">
        <v>0.0</v>
      </c>
    </row>
    <row r="52" ht="15.75" customHeight="1">
      <c r="A52" s="431" t="s">
        <v>101</v>
      </c>
      <c r="B52" s="428">
        <v>0.0</v>
      </c>
      <c r="C52" s="428">
        <v>1.0</v>
      </c>
      <c r="D52" s="428">
        <v>0.0</v>
      </c>
      <c r="E52" s="428">
        <v>0.0</v>
      </c>
      <c r="F52" s="428">
        <v>1.0</v>
      </c>
      <c r="G52" s="428">
        <v>3.0</v>
      </c>
      <c r="H52" s="428">
        <v>32.0</v>
      </c>
      <c r="I52" s="428">
        <v>1.0</v>
      </c>
      <c r="J52" s="428">
        <v>57.0</v>
      </c>
      <c r="K52" s="428">
        <v>-25.0</v>
      </c>
      <c r="L52" s="428">
        <v>4.0</v>
      </c>
      <c r="M52" s="428">
        <v>1.0</v>
      </c>
      <c r="N52" s="428">
        <v>1019.0</v>
      </c>
      <c r="O52" s="428">
        <v>1070.0</v>
      </c>
      <c r="P52" s="428">
        <v>17.0</v>
      </c>
      <c r="Q52" s="428">
        <v>2.0</v>
      </c>
      <c r="R52" s="428">
        <v>5.0</v>
      </c>
      <c r="S52" s="428">
        <v>0.0</v>
      </c>
      <c r="T52" s="428">
        <v>0.0</v>
      </c>
      <c r="U52" s="428">
        <v>0.0</v>
      </c>
      <c r="V52" s="428">
        <v>0.0</v>
      </c>
      <c r="W52" s="428">
        <v>0.0</v>
      </c>
      <c r="X52" s="428">
        <v>0.0</v>
      </c>
      <c r="Y52" s="428">
        <v>0.0</v>
      </c>
      <c r="Z52" s="428">
        <v>0.0</v>
      </c>
      <c r="AA52" s="428">
        <v>0.0</v>
      </c>
      <c r="AB52" s="428">
        <v>0.0</v>
      </c>
      <c r="AC52" s="428">
        <v>0.0</v>
      </c>
      <c r="AD52" s="428">
        <v>0.0</v>
      </c>
      <c r="AE52" s="428">
        <v>0.0</v>
      </c>
      <c r="AF52" s="428">
        <v>0.0</v>
      </c>
      <c r="AG52" s="428">
        <v>0.0</v>
      </c>
      <c r="AH52" s="428">
        <v>0.0</v>
      </c>
      <c r="AI52" s="428">
        <v>0.0</v>
      </c>
      <c r="AJ52" s="428">
        <v>0.0</v>
      </c>
    </row>
    <row r="53" ht="15.75" customHeight="1">
      <c r="A53" s="431" t="s">
        <v>118</v>
      </c>
      <c r="B53" s="428">
        <v>0.0</v>
      </c>
      <c r="C53" s="428">
        <v>1.0</v>
      </c>
      <c r="D53" s="428">
        <v>0.0</v>
      </c>
      <c r="E53" s="428">
        <v>0.0</v>
      </c>
      <c r="F53" s="428">
        <v>1.0</v>
      </c>
      <c r="G53" s="428">
        <v>0.0</v>
      </c>
      <c r="H53" s="428">
        <v>77.0</v>
      </c>
      <c r="I53" s="428">
        <v>1.0</v>
      </c>
      <c r="J53" s="428">
        <v>72.0</v>
      </c>
      <c r="K53" s="428">
        <v>5.0</v>
      </c>
      <c r="L53" s="428">
        <v>6.0</v>
      </c>
      <c r="M53" s="428">
        <v>3.0</v>
      </c>
      <c r="N53" s="428">
        <v>1019.0</v>
      </c>
      <c r="O53" s="428">
        <v>1071.0</v>
      </c>
      <c r="P53" s="428">
        <v>14.0</v>
      </c>
      <c r="Q53" s="428">
        <v>0.0</v>
      </c>
      <c r="R53" s="428">
        <v>15.0</v>
      </c>
      <c r="S53" s="428">
        <v>6.0</v>
      </c>
      <c r="T53" s="428">
        <v>5.0</v>
      </c>
      <c r="U53" s="428">
        <v>1.0</v>
      </c>
      <c r="V53" s="428">
        <v>0.0</v>
      </c>
      <c r="W53" s="428">
        <v>0.0</v>
      </c>
      <c r="X53" s="428">
        <v>3.0</v>
      </c>
      <c r="Y53" s="428">
        <v>1.0</v>
      </c>
      <c r="Z53" s="428">
        <v>0.0</v>
      </c>
      <c r="AA53" s="428">
        <v>0.0</v>
      </c>
      <c r="AB53" s="428">
        <v>0.0</v>
      </c>
      <c r="AC53" s="428">
        <v>1.0</v>
      </c>
      <c r="AD53" s="428">
        <v>1.0</v>
      </c>
      <c r="AE53" s="428">
        <v>0.0</v>
      </c>
      <c r="AF53" s="428">
        <v>0.0</v>
      </c>
      <c r="AG53" s="428">
        <v>0.0</v>
      </c>
      <c r="AH53" s="428">
        <v>0.0</v>
      </c>
      <c r="AI53" s="428">
        <v>1.0</v>
      </c>
      <c r="AJ53" s="428">
        <v>0.0</v>
      </c>
    </row>
    <row r="54" ht="15.75" customHeight="1">
      <c r="A54" s="431" t="s">
        <v>33</v>
      </c>
      <c r="B54" s="428">
        <v>0.0</v>
      </c>
      <c r="C54" s="428">
        <v>1.0</v>
      </c>
      <c r="D54" s="428">
        <v>0.0</v>
      </c>
      <c r="E54" s="428">
        <v>0.0</v>
      </c>
      <c r="F54" s="428">
        <v>1.0</v>
      </c>
      <c r="G54" s="428">
        <v>1.0</v>
      </c>
      <c r="H54" s="428">
        <v>79.0</v>
      </c>
      <c r="I54" s="428">
        <v>5.0</v>
      </c>
      <c r="J54" s="428">
        <v>65.0</v>
      </c>
      <c r="K54" s="428">
        <v>14.0</v>
      </c>
      <c r="L54" s="428">
        <v>6.0</v>
      </c>
      <c r="M54" s="428">
        <v>5.0</v>
      </c>
      <c r="N54" s="428">
        <v>1019.0</v>
      </c>
      <c r="O54" s="428">
        <v>1070.0</v>
      </c>
      <c r="P54" s="428">
        <v>15.0</v>
      </c>
      <c r="Q54" s="428">
        <v>2.0</v>
      </c>
      <c r="R54" s="428">
        <v>15.0</v>
      </c>
      <c r="S54" s="428">
        <v>3.0</v>
      </c>
      <c r="T54" s="428">
        <v>1.0</v>
      </c>
      <c r="U54" s="428">
        <v>2.0</v>
      </c>
      <c r="V54" s="428">
        <v>0.0</v>
      </c>
      <c r="W54" s="428">
        <v>0.0</v>
      </c>
      <c r="X54" s="428">
        <v>1.0</v>
      </c>
      <c r="Y54" s="428">
        <v>2.0</v>
      </c>
      <c r="Z54" s="428">
        <v>0.0</v>
      </c>
      <c r="AA54" s="428">
        <v>0.0</v>
      </c>
      <c r="AB54" s="428">
        <v>0.0</v>
      </c>
      <c r="AC54" s="428">
        <v>0.0</v>
      </c>
      <c r="AD54" s="428">
        <v>0.0</v>
      </c>
      <c r="AE54" s="428">
        <v>0.0</v>
      </c>
      <c r="AF54" s="428">
        <v>0.0</v>
      </c>
      <c r="AG54" s="428">
        <v>0.0</v>
      </c>
      <c r="AH54" s="428">
        <v>0.0</v>
      </c>
      <c r="AI54" s="428">
        <v>3.0</v>
      </c>
      <c r="AJ54" s="428">
        <v>0.0</v>
      </c>
    </row>
    <row r="55" ht="15.75" customHeight="1">
      <c r="A55" s="431" t="s">
        <v>111</v>
      </c>
      <c r="B55" s="428">
        <v>0.0</v>
      </c>
      <c r="C55" s="428">
        <v>1.0</v>
      </c>
      <c r="D55" s="428">
        <v>0.0</v>
      </c>
      <c r="E55" s="428">
        <v>0.0</v>
      </c>
      <c r="F55" s="428">
        <v>1.0</v>
      </c>
      <c r="G55" s="428">
        <v>0.0</v>
      </c>
      <c r="H55" s="428">
        <v>62.0</v>
      </c>
      <c r="I55" s="428">
        <v>3.0</v>
      </c>
      <c r="J55" s="428">
        <v>78.0</v>
      </c>
      <c r="K55" s="428">
        <v>-16.0</v>
      </c>
      <c r="L55" s="428">
        <v>5.0</v>
      </c>
      <c r="M55" s="428">
        <v>0.0</v>
      </c>
      <c r="N55" s="428">
        <v>1019.0</v>
      </c>
      <c r="O55" s="428">
        <v>1071.0</v>
      </c>
      <c r="P55" s="428">
        <v>13.0</v>
      </c>
      <c r="Q55" s="428">
        <v>1.0</v>
      </c>
      <c r="R55" s="428">
        <v>10.0</v>
      </c>
      <c r="S55" s="428">
        <v>2.0</v>
      </c>
      <c r="T55" s="428">
        <v>2.0</v>
      </c>
      <c r="U55" s="428">
        <v>1.0</v>
      </c>
      <c r="V55" s="428">
        <v>0.0</v>
      </c>
      <c r="W55" s="428">
        <v>0.0</v>
      </c>
      <c r="X55" s="428">
        <v>1.0</v>
      </c>
      <c r="Y55" s="428">
        <v>1.0</v>
      </c>
      <c r="Z55" s="428">
        <v>0.0</v>
      </c>
      <c r="AA55" s="428">
        <v>0.0</v>
      </c>
      <c r="AB55" s="428">
        <v>0.0</v>
      </c>
      <c r="AC55" s="428">
        <v>1.0</v>
      </c>
      <c r="AD55" s="428">
        <v>0.0</v>
      </c>
      <c r="AE55" s="428">
        <v>0.0</v>
      </c>
      <c r="AF55" s="428">
        <v>0.0</v>
      </c>
      <c r="AG55" s="428">
        <v>0.0</v>
      </c>
      <c r="AH55" s="428">
        <v>0.0</v>
      </c>
      <c r="AI55" s="428">
        <v>3.0</v>
      </c>
      <c r="AJ55" s="428">
        <v>0.0</v>
      </c>
    </row>
    <row r="56" ht="15.75" customHeight="1">
      <c r="A56" s="432" t="s">
        <v>378</v>
      </c>
      <c r="B56" s="430">
        <v>0.0</v>
      </c>
      <c r="C56" s="430">
        <v>0.0</v>
      </c>
      <c r="D56" s="430">
        <v>1.0</v>
      </c>
      <c r="E56" s="430">
        <v>0.0</v>
      </c>
      <c r="F56" s="430">
        <v>0.0</v>
      </c>
      <c r="G56" s="430">
        <v>0.0</v>
      </c>
      <c r="H56" s="430">
        <v>0.0</v>
      </c>
      <c r="I56" s="430">
        <v>0.0</v>
      </c>
      <c r="J56" s="430">
        <v>0.0</v>
      </c>
      <c r="K56" s="430">
        <v>0.0</v>
      </c>
      <c r="L56" s="430">
        <v>0.0</v>
      </c>
      <c r="M56" s="430">
        <v>0.0</v>
      </c>
      <c r="N56" s="430">
        <v>0.0</v>
      </c>
      <c r="O56" s="430">
        <v>0.0</v>
      </c>
      <c r="P56" s="430">
        <v>0.0</v>
      </c>
      <c r="Q56" s="430">
        <v>0.0</v>
      </c>
      <c r="R56" s="430">
        <v>0.0</v>
      </c>
      <c r="S56" s="430">
        <v>0.0</v>
      </c>
      <c r="T56" s="430">
        <v>0.0</v>
      </c>
      <c r="U56" s="430">
        <v>0.0</v>
      </c>
      <c r="V56" s="430">
        <v>0.0</v>
      </c>
      <c r="W56" s="430">
        <v>0.0</v>
      </c>
      <c r="X56" s="430">
        <v>0.0</v>
      </c>
      <c r="Y56" s="430">
        <v>0.0</v>
      </c>
      <c r="Z56" s="430">
        <v>0.0</v>
      </c>
      <c r="AA56" s="430">
        <v>0.0</v>
      </c>
      <c r="AB56" s="430">
        <v>0.0</v>
      </c>
      <c r="AC56" s="430">
        <v>0.0</v>
      </c>
      <c r="AD56" s="430">
        <v>0.0</v>
      </c>
      <c r="AE56" s="430">
        <v>0.0</v>
      </c>
      <c r="AF56" s="430">
        <v>0.0</v>
      </c>
      <c r="AG56" s="430">
        <v>0.0</v>
      </c>
      <c r="AH56" s="430">
        <v>0.0</v>
      </c>
      <c r="AI56" s="430">
        <v>0.0</v>
      </c>
      <c r="AJ56" s="430">
        <v>0.0</v>
      </c>
    </row>
    <row r="57" ht="15.75" customHeight="1">
      <c r="A57" s="431" t="s">
        <v>34</v>
      </c>
      <c r="B57" s="428">
        <v>1.0</v>
      </c>
      <c r="C57" s="428">
        <v>1.0</v>
      </c>
      <c r="D57" s="428">
        <v>0.0</v>
      </c>
      <c r="E57" s="428">
        <v>1.0</v>
      </c>
      <c r="F57" s="428">
        <v>0.0</v>
      </c>
      <c r="G57" s="428">
        <v>0.0</v>
      </c>
      <c r="H57" s="428">
        <v>51.0</v>
      </c>
      <c r="I57" s="428">
        <v>0.0</v>
      </c>
      <c r="J57" s="428">
        <v>44.0</v>
      </c>
      <c r="K57" s="428">
        <v>7.0</v>
      </c>
      <c r="L57" s="428">
        <v>6.0</v>
      </c>
      <c r="M57" s="428">
        <v>2.0</v>
      </c>
      <c r="N57" s="428">
        <v>857.0</v>
      </c>
      <c r="O57" s="428">
        <v>883.0</v>
      </c>
      <c r="P57" s="428">
        <v>19.0</v>
      </c>
      <c r="Q57" s="428">
        <v>2.0</v>
      </c>
      <c r="R57" s="428">
        <v>6.0</v>
      </c>
      <c r="S57" s="428">
        <v>2.0</v>
      </c>
      <c r="T57" s="428">
        <v>1.0</v>
      </c>
      <c r="U57" s="428">
        <v>1.0</v>
      </c>
      <c r="V57" s="428">
        <v>0.0</v>
      </c>
      <c r="W57" s="428">
        <v>0.0</v>
      </c>
      <c r="X57" s="428">
        <v>1.0</v>
      </c>
      <c r="Y57" s="428">
        <v>1.0</v>
      </c>
      <c r="Z57" s="428">
        <v>0.0</v>
      </c>
      <c r="AA57" s="428">
        <v>0.0</v>
      </c>
      <c r="AB57" s="428">
        <v>0.0</v>
      </c>
      <c r="AC57" s="428">
        <v>0.0</v>
      </c>
      <c r="AD57" s="428">
        <v>0.0</v>
      </c>
      <c r="AE57" s="428">
        <v>0.0</v>
      </c>
      <c r="AF57" s="428">
        <v>0.0</v>
      </c>
      <c r="AG57" s="428">
        <v>0.0</v>
      </c>
      <c r="AH57" s="428">
        <v>0.0</v>
      </c>
      <c r="AI57" s="428">
        <v>1.0</v>
      </c>
      <c r="AJ57" s="428">
        <v>0.0</v>
      </c>
    </row>
    <row r="58" ht="15.75" customHeight="1">
      <c r="A58" s="431" t="s">
        <v>36</v>
      </c>
      <c r="B58" s="428">
        <v>1.0</v>
      </c>
      <c r="C58" s="428">
        <v>1.0</v>
      </c>
      <c r="D58" s="428">
        <v>0.0</v>
      </c>
      <c r="E58" s="428">
        <v>1.0</v>
      </c>
      <c r="F58" s="428">
        <v>0.0</v>
      </c>
      <c r="G58" s="428">
        <v>1.0</v>
      </c>
      <c r="H58" s="428">
        <v>45.0</v>
      </c>
      <c r="I58" s="428">
        <v>1.0</v>
      </c>
      <c r="J58" s="428">
        <v>41.0</v>
      </c>
      <c r="K58" s="428">
        <v>4.0</v>
      </c>
      <c r="L58" s="428">
        <v>4.0</v>
      </c>
      <c r="M58" s="428">
        <v>0.0</v>
      </c>
      <c r="N58" s="428">
        <v>858.0</v>
      </c>
      <c r="O58" s="428">
        <v>884.0</v>
      </c>
      <c r="P58" s="428">
        <v>20.0</v>
      </c>
      <c r="Q58" s="428">
        <v>0.0</v>
      </c>
      <c r="R58" s="428">
        <v>6.0</v>
      </c>
      <c r="S58" s="428">
        <v>1.0</v>
      </c>
      <c r="T58" s="428">
        <v>0.0</v>
      </c>
      <c r="U58" s="428">
        <v>0.0</v>
      </c>
      <c r="V58" s="428">
        <v>0.0</v>
      </c>
      <c r="W58" s="428">
        <v>0.0</v>
      </c>
      <c r="X58" s="428">
        <v>0.0</v>
      </c>
      <c r="Y58" s="428">
        <v>0.0</v>
      </c>
      <c r="Z58" s="428">
        <v>0.0</v>
      </c>
      <c r="AA58" s="428">
        <v>0.0</v>
      </c>
      <c r="AB58" s="428">
        <v>0.0</v>
      </c>
      <c r="AC58" s="428">
        <v>0.0</v>
      </c>
      <c r="AD58" s="428">
        <v>0.0</v>
      </c>
      <c r="AE58" s="428">
        <v>0.0</v>
      </c>
      <c r="AF58" s="428">
        <v>0.0</v>
      </c>
      <c r="AG58" s="428">
        <v>0.0</v>
      </c>
      <c r="AH58" s="428">
        <v>0.0</v>
      </c>
      <c r="AI58" s="428">
        <v>0.0</v>
      </c>
      <c r="AJ58" s="428">
        <v>0.0</v>
      </c>
    </row>
    <row r="59" ht="15.75" customHeight="1">
      <c r="A59" s="431" t="s">
        <v>131</v>
      </c>
      <c r="B59" s="428">
        <v>1.0</v>
      </c>
      <c r="C59" s="428">
        <v>1.0</v>
      </c>
      <c r="D59" s="428">
        <v>0.0</v>
      </c>
      <c r="E59" s="428">
        <v>1.0</v>
      </c>
      <c r="F59" s="428">
        <v>0.0</v>
      </c>
      <c r="G59" s="428">
        <v>1.0</v>
      </c>
      <c r="H59" s="428">
        <v>51.0</v>
      </c>
      <c r="I59" s="428">
        <v>1.0</v>
      </c>
      <c r="J59" s="428">
        <v>33.0</v>
      </c>
      <c r="K59" s="428">
        <v>18.0</v>
      </c>
      <c r="L59" s="428">
        <v>6.0</v>
      </c>
      <c r="M59" s="428">
        <v>1.0</v>
      </c>
      <c r="N59" s="428">
        <v>846.0</v>
      </c>
      <c r="O59" s="428">
        <v>827.0</v>
      </c>
      <c r="P59" s="428">
        <v>25.0</v>
      </c>
      <c r="Q59" s="428">
        <v>2.0</v>
      </c>
      <c r="R59" s="428">
        <v>7.0</v>
      </c>
      <c r="S59" s="428">
        <v>4.0</v>
      </c>
      <c r="T59" s="428">
        <v>0.0</v>
      </c>
      <c r="U59" s="428">
        <v>1.0</v>
      </c>
      <c r="V59" s="428">
        <v>0.0</v>
      </c>
      <c r="W59" s="428">
        <v>0.0</v>
      </c>
      <c r="X59" s="428">
        <v>0.0</v>
      </c>
      <c r="Y59" s="428">
        <v>1.0</v>
      </c>
      <c r="Z59" s="428">
        <v>0.0</v>
      </c>
      <c r="AA59" s="428">
        <v>0.0</v>
      </c>
      <c r="AB59" s="428">
        <v>0.0</v>
      </c>
      <c r="AC59" s="428">
        <v>0.0</v>
      </c>
      <c r="AD59" s="428">
        <v>0.0</v>
      </c>
      <c r="AE59" s="428">
        <v>0.0</v>
      </c>
      <c r="AF59" s="428">
        <v>0.0</v>
      </c>
      <c r="AG59" s="428">
        <v>0.0</v>
      </c>
      <c r="AH59" s="428">
        <v>0.0</v>
      </c>
      <c r="AI59" s="428">
        <v>0.0</v>
      </c>
      <c r="AJ59" s="428">
        <v>0.0</v>
      </c>
    </row>
    <row r="60" ht="15.75" customHeight="1">
      <c r="A60" s="431" t="s">
        <v>117</v>
      </c>
      <c r="B60" s="428">
        <v>1.0</v>
      </c>
      <c r="C60" s="428">
        <v>1.0</v>
      </c>
      <c r="D60" s="428">
        <v>0.0</v>
      </c>
      <c r="E60" s="428">
        <v>1.0</v>
      </c>
      <c r="F60" s="428">
        <v>0.0</v>
      </c>
      <c r="G60" s="428">
        <v>3.0</v>
      </c>
      <c r="H60" s="428">
        <v>35.0</v>
      </c>
      <c r="I60" s="428">
        <v>2.0</v>
      </c>
      <c r="J60" s="428">
        <v>42.0</v>
      </c>
      <c r="K60" s="428">
        <v>-7.0</v>
      </c>
      <c r="L60" s="428">
        <v>5.0</v>
      </c>
      <c r="M60" s="428">
        <v>2.0</v>
      </c>
      <c r="N60" s="428">
        <v>858.0</v>
      </c>
      <c r="O60" s="428">
        <v>884.0</v>
      </c>
      <c r="P60" s="428">
        <v>20.0</v>
      </c>
      <c r="Q60" s="428">
        <v>3.0</v>
      </c>
      <c r="R60" s="428">
        <v>3.0</v>
      </c>
      <c r="S60" s="428">
        <v>2.0</v>
      </c>
      <c r="T60" s="428">
        <v>2.0</v>
      </c>
      <c r="U60" s="428">
        <v>1.0</v>
      </c>
      <c r="V60" s="428">
        <v>0.0</v>
      </c>
      <c r="W60" s="428">
        <v>0.0</v>
      </c>
      <c r="X60" s="428">
        <v>1.0</v>
      </c>
      <c r="Y60" s="428">
        <v>1.0</v>
      </c>
      <c r="Z60" s="428">
        <v>0.0</v>
      </c>
      <c r="AA60" s="428">
        <v>0.0</v>
      </c>
      <c r="AB60" s="428">
        <v>0.0</v>
      </c>
      <c r="AC60" s="428">
        <v>1.0</v>
      </c>
      <c r="AD60" s="428">
        <v>0.0</v>
      </c>
      <c r="AE60" s="428">
        <v>0.0</v>
      </c>
      <c r="AF60" s="428">
        <v>0.0</v>
      </c>
      <c r="AG60" s="428">
        <v>0.0</v>
      </c>
      <c r="AH60" s="428">
        <v>0.0</v>
      </c>
      <c r="AI60" s="428">
        <v>1.0</v>
      </c>
      <c r="AJ60" s="428">
        <v>0.0</v>
      </c>
    </row>
    <row r="61" ht="15.75" customHeight="1">
      <c r="A61" s="431" t="s">
        <v>157</v>
      </c>
      <c r="B61" s="428">
        <v>0.0</v>
      </c>
      <c r="C61" s="428">
        <v>1.0</v>
      </c>
      <c r="D61" s="428">
        <v>0.0</v>
      </c>
      <c r="E61" s="428">
        <v>0.0</v>
      </c>
      <c r="F61" s="428">
        <v>1.0</v>
      </c>
      <c r="G61" s="428">
        <v>0.0</v>
      </c>
      <c r="H61" s="428">
        <v>39.0</v>
      </c>
      <c r="I61" s="428">
        <v>2.0</v>
      </c>
      <c r="J61" s="428">
        <v>60.0</v>
      </c>
      <c r="K61" s="428">
        <v>-21.0</v>
      </c>
      <c r="L61" s="428">
        <v>5.0</v>
      </c>
      <c r="M61" s="428">
        <v>2.0</v>
      </c>
      <c r="N61" s="428">
        <v>858.0</v>
      </c>
      <c r="O61" s="428">
        <v>884.0</v>
      </c>
      <c r="P61" s="428">
        <v>14.0</v>
      </c>
      <c r="Q61" s="428">
        <v>0.0</v>
      </c>
      <c r="R61" s="428">
        <v>3.0</v>
      </c>
      <c r="S61" s="428">
        <v>1.0</v>
      </c>
      <c r="T61" s="428">
        <v>0.0</v>
      </c>
      <c r="U61" s="428">
        <v>1.0</v>
      </c>
      <c r="V61" s="428">
        <v>0.0</v>
      </c>
      <c r="W61" s="428">
        <v>0.0</v>
      </c>
      <c r="X61" s="428">
        <v>0.0</v>
      </c>
      <c r="Y61" s="428">
        <v>1.0</v>
      </c>
      <c r="Z61" s="428">
        <v>0.0</v>
      </c>
      <c r="AA61" s="428">
        <v>0.0</v>
      </c>
      <c r="AB61" s="428">
        <v>0.0</v>
      </c>
      <c r="AC61" s="428">
        <v>0.0</v>
      </c>
      <c r="AD61" s="428">
        <v>0.0</v>
      </c>
      <c r="AE61" s="428">
        <v>0.0</v>
      </c>
      <c r="AF61" s="428">
        <v>0.0</v>
      </c>
      <c r="AG61" s="428">
        <v>0.0</v>
      </c>
      <c r="AH61" s="428">
        <v>0.0</v>
      </c>
      <c r="AI61" s="428">
        <v>0.0</v>
      </c>
      <c r="AJ61" s="428">
        <v>0.0</v>
      </c>
    </row>
    <row r="62" ht="15.75" customHeight="1">
      <c r="A62" s="431" t="s">
        <v>155</v>
      </c>
      <c r="B62" s="428">
        <v>0.0</v>
      </c>
      <c r="C62" s="428">
        <v>1.0</v>
      </c>
      <c r="D62" s="428">
        <v>0.0</v>
      </c>
      <c r="E62" s="428">
        <v>0.0</v>
      </c>
      <c r="F62" s="428">
        <v>1.0</v>
      </c>
      <c r="G62" s="428">
        <v>0.0</v>
      </c>
      <c r="H62" s="428">
        <v>37.0</v>
      </c>
      <c r="I62" s="428">
        <v>2.0</v>
      </c>
      <c r="J62" s="428">
        <v>44.0</v>
      </c>
      <c r="K62" s="428">
        <v>-7.0</v>
      </c>
      <c r="L62" s="428">
        <v>4.0</v>
      </c>
      <c r="M62" s="428">
        <v>1.0</v>
      </c>
      <c r="N62" s="428">
        <v>858.0</v>
      </c>
      <c r="O62" s="428">
        <v>884.0</v>
      </c>
      <c r="P62" s="428">
        <v>19.0</v>
      </c>
      <c r="Q62" s="428">
        <v>0.0</v>
      </c>
      <c r="R62" s="428">
        <v>6.0</v>
      </c>
      <c r="S62" s="428">
        <v>0.0</v>
      </c>
      <c r="T62" s="428">
        <v>0.0</v>
      </c>
      <c r="U62" s="428">
        <v>0.0</v>
      </c>
      <c r="V62" s="428">
        <v>0.0</v>
      </c>
      <c r="W62" s="428">
        <v>0.0</v>
      </c>
      <c r="X62" s="428">
        <v>0.0</v>
      </c>
      <c r="Y62" s="428">
        <v>0.0</v>
      </c>
      <c r="Z62" s="428">
        <v>0.0</v>
      </c>
      <c r="AA62" s="428">
        <v>0.0</v>
      </c>
      <c r="AB62" s="428">
        <v>0.0</v>
      </c>
      <c r="AC62" s="428">
        <v>0.0</v>
      </c>
      <c r="AD62" s="428">
        <v>0.0</v>
      </c>
      <c r="AE62" s="428">
        <v>0.0</v>
      </c>
      <c r="AF62" s="428">
        <v>0.0</v>
      </c>
      <c r="AG62" s="428">
        <v>0.0</v>
      </c>
      <c r="AH62" s="428">
        <v>0.0</v>
      </c>
      <c r="AI62" s="428">
        <v>0.0</v>
      </c>
      <c r="AJ62" s="428">
        <v>0.0</v>
      </c>
    </row>
    <row r="63" ht="15.75" customHeight="1">
      <c r="A63" s="431" t="s">
        <v>108</v>
      </c>
      <c r="B63" s="428">
        <v>0.0</v>
      </c>
      <c r="C63" s="428">
        <v>1.0</v>
      </c>
      <c r="D63" s="428">
        <v>0.0</v>
      </c>
      <c r="E63" s="428">
        <v>0.0</v>
      </c>
      <c r="F63" s="428">
        <v>1.0</v>
      </c>
      <c r="G63" s="428">
        <v>0.0</v>
      </c>
      <c r="H63" s="428">
        <v>41.0</v>
      </c>
      <c r="I63" s="428">
        <v>1.0</v>
      </c>
      <c r="J63" s="428">
        <v>49.0</v>
      </c>
      <c r="K63" s="428">
        <v>-8.0</v>
      </c>
      <c r="L63" s="428">
        <v>5.0</v>
      </c>
      <c r="M63" s="428">
        <v>1.0</v>
      </c>
      <c r="N63" s="428">
        <v>858.0</v>
      </c>
      <c r="O63" s="428">
        <v>884.0</v>
      </c>
      <c r="P63" s="428">
        <v>17.0</v>
      </c>
      <c r="Q63" s="428">
        <v>1.0</v>
      </c>
      <c r="R63" s="428">
        <v>7.0</v>
      </c>
      <c r="S63" s="428">
        <v>0.0</v>
      </c>
      <c r="T63" s="428">
        <v>0.0</v>
      </c>
      <c r="U63" s="428">
        <v>1.0</v>
      </c>
      <c r="V63" s="428">
        <v>0.0</v>
      </c>
      <c r="W63" s="428">
        <v>0.0</v>
      </c>
      <c r="X63" s="428">
        <v>0.0</v>
      </c>
      <c r="Y63" s="428">
        <v>1.0</v>
      </c>
      <c r="Z63" s="428">
        <v>0.0</v>
      </c>
      <c r="AA63" s="428">
        <v>0.0</v>
      </c>
      <c r="AB63" s="428">
        <v>0.0</v>
      </c>
      <c r="AC63" s="428">
        <v>0.0</v>
      </c>
      <c r="AD63" s="428">
        <v>0.0</v>
      </c>
      <c r="AE63" s="428">
        <v>0.0</v>
      </c>
      <c r="AF63" s="428">
        <v>0.0</v>
      </c>
      <c r="AG63" s="428">
        <v>0.0</v>
      </c>
      <c r="AH63" s="428">
        <v>0.0</v>
      </c>
      <c r="AI63" s="428">
        <v>1.0</v>
      </c>
      <c r="AJ63" s="428">
        <v>0.0</v>
      </c>
    </row>
    <row r="64" ht="15.75" customHeight="1">
      <c r="A64" s="431" t="s">
        <v>52</v>
      </c>
      <c r="B64" s="428">
        <v>0.0</v>
      </c>
      <c r="C64" s="428">
        <v>1.0</v>
      </c>
      <c r="D64" s="428">
        <v>0.0</v>
      </c>
      <c r="E64" s="428">
        <v>0.0</v>
      </c>
      <c r="F64" s="428">
        <v>1.0</v>
      </c>
      <c r="G64" s="428">
        <v>0.0</v>
      </c>
      <c r="H64" s="428">
        <v>38.0</v>
      </c>
      <c r="I64" s="428">
        <v>1.0</v>
      </c>
      <c r="J64" s="428">
        <v>33.0</v>
      </c>
      <c r="K64" s="428">
        <v>5.0</v>
      </c>
      <c r="L64" s="428">
        <v>3.0</v>
      </c>
      <c r="M64" s="428">
        <v>0.0</v>
      </c>
      <c r="N64" s="428">
        <v>857.0</v>
      </c>
      <c r="O64" s="428">
        <v>883.0</v>
      </c>
      <c r="P64" s="428">
        <v>25.0</v>
      </c>
      <c r="Q64" s="428">
        <v>1.0</v>
      </c>
      <c r="R64" s="428">
        <v>7.0</v>
      </c>
      <c r="S64" s="428">
        <v>0.0</v>
      </c>
      <c r="T64" s="428">
        <v>0.0</v>
      </c>
      <c r="U64" s="428">
        <v>0.0</v>
      </c>
      <c r="V64" s="428">
        <v>0.0</v>
      </c>
      <c r="W64" s="428">
        <v>0.0</v>
      </c>
      <c r="X64" s="428">
        <v>0.0</v>
      </c>
      <c r="Y64" s="428">
        <v>0.0</v>
      </c>
      <c r="Z64" s="428">
        <v>0.0</v>
      </c>
      <c r="AA64" s="428">
        <v>0.0</v>
      </c>
      <c r="AB64" s="428">
        <v>0.0</v>
      </c>
      <c r="AC64" s="428">
        <v>0.0</v>
      </c>
      <c r="AD64" s="428">
        <v>0.0</v>
      </c>
      <c r="AE64" s="428">
        <v>0.0</v>
      </c>
      <c r="AF64" s="428">
        <v>0.0</v>
      </c>
      <c r="AG64" s="428">
        <v>0.0</v>
      </c>
      <c r="AH64" s="428">
        <v>0.0</v>
      </c>
      <c r="AI64" s="428">
        <v>0.0</v>
      </c>
      <c r="AJ64" s="428">
        <v>0.0</v>
      </c>
    </row>
    <row r="65" ht="15.75" customHeight="1">
      <c r="A65" s="432" t="s">
        <v>31</v>
      </c>
      <c r="B65" s="430">
        <v>0.0</v>
      </c>
      <c r="C65" s="430">
        <v>0.0</v>
      </c>
      <c r="D65" s="430">
        <v>1.0</v>
      </c>
      <c r="E65" s="430">
        <v>0.0</v>
      </c>
      <c r="F65" s="430">
        <v>0.0</v>
      </c>
      <c r="G65" s="430">
        <v>0.0</v>
      </c>
      <c r="H65" s="430">
        <v>0.0</v>
      </c>
      <c r="I65" s="430">
        <v>0.0</v>
      </c>
      <c r="J65" s="430">
        <v>0.0</v>
      </c>
      <c r="K65" s="430">
        <v>0.0</v>
      </c>
      <c r="L65" s="430">
        <v>0.0</v>
      </c>
      <c r="M65" s="430">
        <v>0.0</v>
      </c>
      <c r="N65" s="430">
        <v>0.0</v>
      </c>
      <c r="O65" s="430">
        <v>0.0</v>
      </c>
      <c r="P65" s="430">
        <v>0.0</v>
      </c>
      <c r="Q65" s="430">
        <v>0.0</v>
      </c>
      <c r="R65" s="430">
        <v>0.0</v>
      </c>
      <c r="S65" s="430">
        <v>0.0</v>
      </c>
      <c r="T65" s="430">
        <v>0.0</v>
      </c>
      <c r="U65" s="430">
        <v>0.0</v>
      </c>
      <c r="V65" s="430">
        <v>0.0</v>
      </c>
      <c r="W65" s="430">
        <v>0.0</v>
      </c>
      <c r="X65" s="430">
        <v>0.0</v>
      </c>
      <c r="Y65" s="430">
        <v>0.0</v>
      </c>
      <c r="Z65" s="430">
        <v>0.0</v>
      </c>
      <c r="AA65" s="430">
        <v>0.0</v>
      </c>
      <c r="AB65" s="430">
        <v>0.0</v>
      </c>
      <c r="AC65" s="430">
        <v>0.0</v>
      </c>
      <c r="AD65" s="430">
        <v>0.0</v>
      </c>
      <c r="AE65" s="430">
        <v>0.0</v>
      </c>
      <c r="AF65" s="430">
        <v>0.0</v>
      </c>
      <c r="AG65" s="430">
        <v>0.0</v>
      </c>
      <c r="AH65" s="430">
        <v>0.0</v>
      </c>
      <c r="AI65" s="430">
        <v>0.0</v>
      </c>
      <c r="AJ65" s="430">
        <v>0.0</v>
      </c>
    </row>
    <row r="66" ht="15.75" customHeight="1">
      <c r="A66" s="431" t="s">
        <v>153</v>
      </c>
      <c r="B66" s="428">
        <v>0.0</v>
      </c>
      <c r="C66" s="428">
        <v>1.0</v>
      </c>
      <c r="D66" s="428">
        <v>0.0</v>
      </c>
      <c r="E66" s="428">
        <v>1.0</v>
      </c>
      <c r="F66" s="428">
        <v>0.0</v>
      </c>
      <c r="G66" s="428">
        <v>0.0</v>
      </c>
      <c r="H66" s="428">
        <v>79.0</v>
      </c>
      <c r="I66" s="428">
        <v>1.0</v>
      </c>
      <c r="J66" s="428">
        <v>81.0</v>
      </c>
      <c r="K66" s="428">
        <v>-2.0</v>
      </c>
      <c r="L66" s="428">
        <v>4.0</v>
      </c>
      <c r="M66" s="428">
        <v>0.0</v>
      </c>
      <c r="N66" s="428">
        <v>1181.0</v>
      </c>
      <c r="O66" s="428">
        <v>1220.0</v>
      </c>
      <c r="P66" s="428">
        <v>14.0</v>
      </c>
      <c r="Q66" s="428">
        <v>1.0</v>
      </c>
      <c r="R66" s="428">
        <v>14.0</v>
      </c>
      <c r="S66" s="428">
        <v>1.0</v>
      </c>
      <c r="T66" s="428">
        <v>1.0</v>
      </c>
      <c r="U66" s="428">
        <v>0.0</v>
      </c>
      <c r="V66" s="428">
        <v>0.0</v>
      </c>
      <c r="W66" s="428">
        <v>0.0</v>
      </c>
      <c r="X66" s="428">
        <v>1.0</v>
      </c>
      <c r="Y66" s="428">
        <v>0.0</v>
      </c>
      <c r="Z66" s="428">
        <v>0.0</v>
      </c>
      <c r="AA66" s="428">
        <v>0.0</v>
      </c>
      <c r="AB66" s="428">
        <v>0.0</v>
      </c>
      <c r="AC66" s="428">
        <v>0.0</v>
      </c>
      <c r="AD66" s="428">
        <v>0.0</v>
      </c>
      <c r="AE66" s="428">
        <v>0.0</v>
      </c>
      <c r="AF66" s="428">
        <v>0.0</v>
      </c>
      <c r="AG66" s="428">
        <v>0.0</v>
      </c>
      <c r="AH66" s="428">
        <v>0.0</v>
      </c>
      <c r="AI66" s="428">
        <v>1.0</v>
      </c>
      <c r="AJ66" s="428">
        <v>0.0</v>
      </c>
    </row>
    <row r="67" ht="15.75" customHeight="1">
      <c r="A67" s="431" t="s">
        <v>40</v>
      </c>
      <c r="B67" s="428">
        <v>0.0</v>
      </c>
      <c r="C67" s="428">
        <v>1.0</v>
      </c>
      <c r="D67" s="428">
        <v>0.0</v>
      </c>
      <c r="E67" s="428">
        <v>1.0</v>
      </c>
      <c r="F67" s="428">
        <v>0.0</v>
      </c>
      <c r="G67" s="428">
        <v>1.0</v>
      </c>
      <c r="H67" s="428">
        <v>80.0</v>
      </c>
      <c r="I67" s="428">
        <v>1.0</v>
      </c>
      <c r="J67" s="428">
        <v>76.0</v>
      </c>
      <c r="K67" s="428">
        <v>4.0</v>
      </c>
      <c r="L67" s="428">
        <v>5.0</v>
      </c>
      <c r="M67" s="428">
        <v>0.0</v>
      </c>
      <c r="N67" s="428">
        <v>1180.0</v>
      </c>
      <c r="O67" s="428">
        <v>1219.0</v>
      </c>
      <c r="P67" s="428">
        <v>15.0</v>
      </c>
      <c r="Q67" s="428">
        <v>3.0</v>
      </c>
      <c r="R67" s="428">
        <v>18.0</v>
      </c>
      <c r="S67" s="428">
        <v>2.0</v>
      </c>
      <c r="T67" s="428">
        <v>0.0</v>
      </c>
      <c r="U67" s="428">
        <v>1.0</v>
      </c>
      <c r="V67" s="428">
        <v>0.0</v>
      </c>
      <c r="W67" s="428">
        <v>0.0</v>
      </c>
      <c r="X67" s="428">
        <v>0.0</v>
      </c>
      <c r="Y67" s="428">
        <v>1.0</v>
      </c>
      <c r="Z67" s="428">
        <v>0.0</v>
      </c>
      <c r="AA67" s="428">
        <v>0.0</v>
      </c>
      <c r="AB67" s="428">
        <v>0.0</v>
      </c>
      <c r="AC67" s="428">
        <v>0.0</v>
      </c>
      <c r="AD67" s="428">
        <v>0.0</v>
      </c>
      <c r="AE67" s="428">
        <v>0.0</v>
      </c>
      <c r="AF67" s="428">
        <v>0.0</v>
      </c>
      <c r="AG67" s="428">
        <v>0.0</v>
      </c>
      <c r="AH67" s="428">
        <v>0.0</v>
      </c>
      <c r="AI67" s="428">
        <v>1.0</v>
      </c>
      <c r="AJ67" s="428">
        <v>0.0</v>
      </c>
    </row>
    <row r="68" ht="15.75" customHeight="1">
      <c r="A68" s="431" t="s">
        <v>104</v>
      </c>
      <c r="B68" s="428">
        <v>0.0</v>
      </c>
      <c r="C68" s="428">
        <v>1.0</v>
      </c>
      <c r="D68" s="428">
        <v>0.0</v>
      </c>
      <c r="E68" s="428">
        <v>1.0</v>
      </c>
      <c r="F68" s="428">
        <v>0.0</v>
      </c>
      <c r="G68" s="428">
        <v>3.0</v>
      </c>
      <c r="H68" s="428">
        <v>62.0</v>
      </c>
      <c r="I68" s="428">
        <v>1.0</v>
      </c>
      <c r="J68" s="428">
        <v>70.0</v>
      </c>
      <c r="K68" s="428">
        <v>-8.0</v>
      </c>
      <c r="L68" s="428">
        <v>5.0</v>
      </c>
      <c r="M68" s="428">
        <v>0.0</v>
      </c>
      <c r="N68" s="428">
        <v>1180.0</v>
      </c>
      <c r="O68" s="428">
        <v>1220.0</v>
      </c>
      <c r="P68" s="428">
        <v>16.0</v>
      </c>
      <c r="Q68" s="428">
        <v>1.0</v>
      </c>
      <c r="R68" s="428">
        <v>9.0</v>
      </c>
      <c r="S68" s="428">
        <v>3.0</v>
      </c>
      <c r="T68" s="428">
        <v>0.0</v>
      </c>
      <c r="U68" s="428">
        <v>1.0</v>
      </c>
      <c r="V68" s="428">
        <v>0.0</v>
      </c>
      <c r="W68" s="428">
        <v>0.0</v>
      </c>
      <c r="X68" s="428">
        <v>0.0</v>
      </c>
      <c r="Y68" s="428">
        <v>1.0</v>
      </c>
      <c r="Z68" s="428">
        <v>0.0</v>
      </c>
      <c r="AA68" s="428">
        <v>0.0</v>
      </c>
      <c r="AB68" s="428">
        <v>0.0</v>
      </c>
      <c r="AC68" s="428">
        <v>0.0</v>
      </c>
      <c r="AD68" s="428">
        <v>0.0</v>
      </c>
      <c r="AE68" s="428">
        <v>0.0</v>
      </c>
      <c r="AF68" s="428">
        <v>0.0</v>
      </c>
      <c r="AG68" s="428">
        <v>0.0</v>
      </c>
      <c r="AH68" s="428">
        <v>0.0</v>
      </c>
      <c r="AI68" s="428">
        <v>1.0</v>
      </c>
      <c r="AJ68" s="428">
        <v>0.0</v>
      </c>
    </row>
    <row r="69" ht="15.75" customHeight="1">
      <c r="A69" s="431" t="s">
        <v>109</v>
      </c>
      <c r="B69" s="428">
        <v>0.0</v>
      </c>
      <c r="C69" s="428">
        <v>1.0</v>
      </c>
      <c r="D69" s="428">
        <v>0.0</v>
      </c>
      <c r="E69" s="428">
        <v>1.0</v>
      </c>
      <c r="F69" s="428">
        <v>0.0</v>
      </c>
      <c r="G69" s="428">
        <v>1.0</v>
      </c>
      <c r="H69" s="428">
        <v>66.0</v>
      </c>
      <c r="I69" s="428">
        <v>1.0</v>
      </c>
      <c r="J69" s="428">
        <v>75.0</v>
      </c>
      <c r="K69" s="428">
        <v>-9.0</v>
      </c>
      <c r="L69" s="428">
        <v>6.0</v>
      </c>
      <c r="M69" s="428">
        <v>2.0</v>
      </c>
      <c r="N69" s="428">
        <v>1180.0</v>
      </c>
      <c r="O69" s="428">
        <v>1219.0</v>
      </c>
      <c r="P69" s="428">
        <v>15.0</v>
      </c>
      <c r="Q69" s="428">
        <v>2.0</v>
      </c>
      <c r="R69" s="428">
        <v>10.0</v>
      </c>
      <c r="S69" s="428">
        <v>2.0</v>
      </c>
      <c r="T69" s="428">
        <v>3.0</v>
      </c>
      <c r="U69" s="428">
        <v>1.0</v>
      </c>
      <c r="V69" s="428">
        <v>0.0</v>
      </c>
      <c r="W69" s="428">
        <v>0.0</v>
      </c>
      <c r="X69" s="428">
        <v>1.0</v>
      </c>
      <c r="Y69" s="428">
        <v>1.0</v>
      </c>
      <c r="Z69" s="428">
        <v>0.0</v>
      </c>
      <c r="AA69" s="428">
        <v>0.0</v>
      </c>
      <c r="AB69" s="428">
        <v>0.0</v>
      </c>
      <c r="AC69" s="428">
        <v>1.0</v>
      </c>
      <c r="AD69" s="428">
        <v>1.0</v>
      </c>
      <c r="AE69" s="428">
        <v>0.0</v>
      </c>
      <c r="AF69" s="428">
        <v>0.0</v>
      </c>
      <c r="AG69" s="428">
        <v>0.0</v>
      </c>
      <c r="AH69" s="428">
        <v>0.0</v>
      </c>
      <c r="AI69" s="428">
        <v>0.0</v>
      </c>
      <c r="AJ69" s="428">
        <v>0.0</v>
      </c>
    </row>
    <row r="70" ht="15.75" customHeight="1">
      <c r="A70" s="431" t="s">
        <v>34</v>
      </c>
      <c r="B70" s="428">
        <v>1.0</v>
      </c>
      <c r="C70" s="428">
        <v>1.0</v>
      </c>
      <c r="D70" s="428">
        <v>0.0</v>
      </c>
      <c r="E70" s="428">
        <v>0.0</v>
      </c>
      <c r="F70" s="428">
        <v>1.0</v>
      </c>
      <c r="G70" s="428">
        <v>0.0</v>
      </c>
      <c r="H70" s="428">
        <v>72.0</v>
      </c>
      <c r="I70" s="428">
        <v>2.0</v>
      </c>
      <c r="J70" s="428">
        <v>88.0</v>
      </c>
      <c r="K70" s="428">
        <v>-16.0</v>
      </c>
      <c r="L70" s="428">
        <v>4.0</v>
      </c>
      <c r="M70" s="428">
        <v>2.0</v>
      </c>
      <c r="N70" s="428">
        <v>1180.0</v>
      </c>
      <c r="O70" s="428">
        <v>1219.0</v>
      </c>
      <c r="P70" s="428">
        <v>13.0</v>
      </c>
      <c r="Q70" s="428">
        <v>2.0</v>
      </c>
      <c r="R70" s="428">
        <v>10.0</v>
      </c>
      <c r="S70" s="428">
        <v>2.0</v>
      </c>
      <c r="T70" s="428">
        <v>0.0</v>
      </c>
      <c r="U70" s="428">
        <v>0.0</v>
      </c>
      <c r="V70" s="428">
        <v>0.0</v>
      </c>
      <c r="W70" s="428">
        <v>0.0</v>
      </c>
      <c r="X70" s="428">
        <v>0.0</v>
      </c>
      <c r="Y70" s="428">
        <v>0.0</v>
      </c>
      <c r="Z70" s="428">
        <v>0.0</v>
      </c>
      <c r="AA70" s="428">
        <v>0.0</v>
      </c>
      <c r="AB70" s="428">
        <v>0.0</v>
      </c>
      <c r="AC70" s="428">
        <v>0.0</v>
      </c>
      <c r="AD70" s="428">
        <v>0.0</v>
      </c>
      <c r="AE70" s="428">
        <v>0.0</v>
      </c>
      <c r="AF70" s="428">
        <v>0.0</v>
      </c>
      <c r="AG70" s="428">
        <v>0.0</v>
      </c>
      <c r="AH70" s="428">
        <v>0.0</v>
      </c>
      <c r="AI70" s="428">
        <v>2.0</v>
      </c>
      <c r="AJ70" s="428">
        <v>0.0</v>
      </c>
    </row>
    <row r="71" ht="15.75" customHeight="1">
      <c r="A71" s="431" t="s">
        <v>36</v>
      </c>
      <c r="B71" s="428">
        <v>1.0</v>
      </c>
      <c r="C71" s="428">
        <v>1.0</v>
      </c>
      <c r="D71" s="428">
        <v>0.0</v>
      </c>
      <c r="E71" s="428">
        <v>0.0</v>
      </c>
      <c r="F71" s="428">
        <v>1.0</v>
      </c>
      <c r="G71" s="428">
        <v>0.0</v>
      </c>
      <c r="H71" s="428">
        <v>90.0</v>
      </c>
      <c r="I71" s="428">
        <v>0.0</v>
      </c>
      <c r="J71" s="428">
        <v>79.0</v>
      </c>
      <c r="K71" s="428">
        <v>11.0</v>
      </c>
      <c r="L71" s="428">
        <v>7.0</v>
      </c>
      <c r="M71" s="428">
        <v>5.0</v>
      </c>
      <c r="N71" s="428">
        <v>1181.0</v>
      </c>
      <c r="O71" s="428">
        <v>1220.0</v>
      </c>
      <c r="P71" s="428">
        <v>14.0</v>
      </c>
      <c r="Q71" s="428">
        <v>1.0</v>
      </c>
      <c r="R71" s="428">
        <v>18.0</v>
      </c>
      <c r="S71" s="428">
        <v>3.0</v>
      </c>
      <c r="T71" s="428">
        <v>5.0</v>
      </c>
      <c r="U71" s="428">
        <v>3.0</v>
      </c>
      <c r="V71" s="428">
        <v>0.0</v>
      </c>
      <c r="W71" s="428">
        <v>0.0</v>
      </c>
      <c r="X71" s="428">
        <v>2.0</v>
      </c>
      <c r="Y71" s="428">
        <v>3.0</v>
      </c>
      <c r="Z71" s="428">
        <v>0.0</v>
      </c>
      <c r="AA71" s="428">
        <v>0.0</v>
      </c>
      <c r="AB71" s="428">
        <v>0.0</v>
      </c>
      <c r="AC71" s="428">
        <v>2.0</v>
      </c>
      <c r="AD71" s="428">
        <v>1.0</v>
      </c>
      <c r="AE71" s="428">
        <v>0.0</v>
      </c>
      <c r="AF71" s="428">
        <v>0.0</v>
      </c>
      <c r="AG71" s="428">
        <v>0.0</v>
      </c>
      <c r="AH71" s="428">
        <v>0.0</v>
      </c>
      <c r="AI71" s="428">
        <v>2.0</v>
      </c>
      <c r="AJ71" s="428">
        <v>0.0</v>
      </c>
    </row>
    <row r="72" ht="15.75" customHeight="1">
      <c r="A72" s="431" t="s">
        <v>131</v>
      </c>
      <c r="B72" s="428">
        <v>1.0</v>
      </c>
      <c r="C72" s="428">
        <v>1.0</v>
      </c>
      <c r="D72" s="428">
        <v>0.0</v>
      </c>
      <c r="E72" s="428">
        <v>0.0</v>
      </c>
      <c r="F72" s="428">
        <v>1.0</v>
      </c>
      <c r="G72" s="428">
        <v>1.0</v>
      </c>
      <c r="H72" s="428">
        <v>63.0</v>
      </c>
      <c r="I72" s="428">
        <v>3.0</v>
      </c>
      <c r="J72" s="428">
        <v>68.0</v>
      </c>
      <c r="K72" s="428">
        <v>-5.0</v>
      </c>
      <c r="L72" s="428">
        <v>5.0</v>
      </c>
      <c r="M72" s="428">
        <v>3.0</v>
      </c>
      <c r="N72" s="428">
        <v>1180.0</v>
      </c>
      <c r="O72" s="428">
        <v>1220.0</v>
      </c>
      <c r="P72" s="428">
        <v>17.0</v>
      </c>
      <c r="Q72" s="428">
        <v>4.0</v>
      </c>
      <c r="R72" s="428">
        <v>6.0</v>
      </c>
      <c r="S72" s="428">
        <v>1.0</v>
      </c>
      <c r="T72" s="428">
        <v>0.0</v>
      </c>
      <c r="U72" s="428">
        <v>1.0</v>
      </c>
      <c r="V72" s="428">
        <v>0.0</v>
      </c>
      <c r="W72" s="428">
        <v>0.0</v>
      </c>
      <c r="X72" s="428">
        <v>0.0</v>
      </c>
      <c r="Y72" s="428">
        <v>1.0</v>
      </c>
      <c r="Z72" s="428">
        <v>0.0</v>
      </c>
      <c r="AA72" s="428">
        <v>0.0</v>
      </c>
      <c r="AB72" s="428">
        <v>0.0</v>
      </c>
      <c r="AC72" s="428">
        <v>0.0</v>
      </c>
      <c r="AD72" s="428">
        <v>0.0</v>
      </c>
      <c r="AE72" s="428">
        <v>0.0</v>
      </c>
      <c r="AF72" s="428">
        <v>0.0</v>
      </c>
      <c r="AG72" s="428">
        <v>0.0</v>
      </c>
      <c r="AH72" s="428">
        <v>0.0</v>
      </c>
      <c r="AI72" s="428">
        <v>0.0</v>
      </c>
      <c r="AJ72" s="428">
        <v>0.0</v>
      </c>
    </row>
    <row r="73" ht="15.75" customHeight="1">
      <c r="A73" s="431" t="s">
        <v>117</v>
      </c>
      <c r="B73" s="428">
        <v>1.0</v>
      </c>
      <c r="C73" s="428">
        <v>1.0</v>
      </c>
      <c r="D73" s="428">
        <v>0.0</v>
      </c>
      <c r="E73" s="428">
        <v>0.0</v>
      </c>
      <c r="F73" s="428">
        <v>1.0</v>
      </c>
      <c r="G73" s="428">
        <v>1.0</v>
      </c>
      <c r="H73" s="428">
        <v>75.0</v>
      </c>
      <c r="I73" s="428">
        <v>3.0</v>
      </c>
      <c r="J73" s="428">
        <v>67.0</v>
      </c>
      <c r="K73" s="428">
        <v>8.0</v>
      </c>
      <c r="L73" s="428">
        <v>5.0</v>
      </c>
      <c r="M73" s="428">
        <v>5.0</v>
      </c>
      <c r="N73" s="428">
        <v>1181.0</v>
      </c>
      <c r="O73" s="428">
        <v>1220.0</v>
      </c>
      <c r="P73" s="428">
        <v>17.0</v>
      </c>
      <c r="Q73" s="428">
        <v>2.0</v>
      </c>
      <c r="R73" s="428">
        <v>10.0</v>
      </c>
      <c r="S73" s="428">
        <v>4.0</v>
      </c>
      <c r="T73" s="428">
        <v>0.0</v>
      </c>
      <c r="U73" s="428">
        <v>2.0</v>
      </c>
      <c r="V73" s="428">
        <v>0.0</v>
      </c>
      <c r="W73" s="428">
        <v>0.0</v>
      </c>
      <c r="X73" s="428">
        <v>0.0</v>
      </c>
      <c r="Y73" s="428">
        <v>2.0</v>
      </c>
      <c r="Z73" s="428">
        <v>0.0</v>
      </c>
      <c r="AA73" s="428">
        <v>0.0</v>
      </c>
      <c r="AB73" s="428">
        <v>0.0</v>
      </c>
      <c r="AC73" s="428">
        <v>0.0</v>
      </c>
      <c r="AD73" s="428">
        <v>0.0</v>
      </c>
      <c r="AE73" s="428">
        <v>0.0</v>
      </c>
      <c r="AF73" s="428">
        <v>0.0</v>
      </c>
      <c r="AG73" s="428">
        <v>0.0</v>
      </c>
      <c r="AH73" s="428">
        <v>0.0</v>
      </c>
      <c r="AI73" s="428">
        <v>3.0</v>
      </c>
      <c r="AJ73" s="428">
        <v>0.0</v>
      </c>
    </row>
    <row r="74" ht="15.75" customHeight="1">
      <c r="A74" s="431" t="s">
        <v>379</v>
      </c>
      <c r="B74" s="428">
        <v>1.0</v>
      </c>
      <c r="C74" s="428">
        <v>0.0</v>
      </c>
      <c r="D74" s="428">
        <v>0.0</v>
      </c>
      <c r="E74" s="428">
        <v>0.0</v>
      </c>
      <c r="F74" s="428">
        <v>0.0</v>
      </c>
      <c r="G74" s="428">
        <v>0.0</v>
      </c>
      <c r="H74" s="428">
        <v>0.0</v>
      </c>
      <c r="I74" s="428">
        <v>0.0</v>
      </c>
      <c r="J74" s="428">
        <v>0.0</v>
      </c>
      <c r="K74" s="428">
        <v>0.0</v>
      </c>
      <c r="L74" s="428">
        <v>0.0</v>
      </c>
      <c r="M74" s="428">
        <v>0.0</v>
      </c>
      <c r="N74" s="428">
        <v>0.0</v>
      </c>
      <c r="O74" s="428">
        <v>0.0</v>
      </c>
      <c r="P74" s="428">
        <v>0.0</v>
      </c>
      <c r="Q74" s="428">
        <v>0.0</v>
      </c>
      <c r="R74" s="428">
        <v>0.0</v>
      </c>
      <c r="S74" s="428">
        <v>0.0</v>
      </c>
      <c r="T74" s="428">
        <v>0.0</v>
      </c>
      <c r="U74" s="428">
        <v>0.0</v>
      </c>
      <c r="V74" s="428">
        <v>0.0</v>
      </c>
      <c r="W74" s="428">
        <v>0.0</v>
      </c>
      <c r="X74" s="428">
        <v>0.0</v>
      </c>
      <c r="Y74" s="428">
        <v>0.0</v>
      </c>
      <c r="Z74" s="428">
        <v>0.0</v>
      </c>
      <c r="AA74" s="428">
        <v>0.0</v>
      </c>
      <c r="AB74" s="428">
        <v>0.0</v>
      </c>
      <c r="AC74" s="428">
        <v>0.0</v>
      </c>
      <c r="AD74" s="428">
        <v>0.0</v>
      </c>
      <c r="AE74" s="428">
        <v>0.0</v>
      </c>
      <c r="AF74" s="428">
        <v>0.0</v>
      </c>
      <c r="AG74" s="428">
        <v>0.0</v>
      </c>
      <c r="AH74" s="428">
        <v>0.0</v>
      </c>
      <c r="AI74" s="428">
        <v>0.0</v>
      </c>
      <c r="AJ74" s="428">
        <v>0.0</v>
      </c>
    </row>
    <row r="75" ht="15.75" customHeight="1">
      <c r="A75" s="432" t="s">
        <v>380</v>
      </c>
      <c r="B75" s="430">
        <v>0.0</v>
      </c>
      <c r="C75" s="430">
        <v>0.0</v>
      </c>
      <c r="D75" s="430">
        <v>1.0</v>
      </c>
      <c r="E75" s="430">
        <v>0.0</v>
      </c>
      <c r="F75" s="430">
        <v>0.0</v>
      </c>
      <c r="G75" s="430">
        <v>0.0</v>
      </c>
      <c r="H75" s="430">
        <v>0.0</v>
      </c>
      <c r="I75" s="430">
        <v>0.0</v>
      </c>
      <c r="J75" s="430">
        <v>0.0</v>
      </c>
      <c r="K75" s="430">
        <v>0.0</v>
      </c>
      <c r="L75" s="430">
        <v>0.0</v>
      </c>
      <c r="M75" s="430">
        <v>0.0</v>
      </c>
      <c r="N75" s="430">
        <v>0.0</v>
      </c>
      <c r="O75" s="430">
        <v>0.0</v>
      </c>
      <c r="P75" s="430">
        <v>0.0</v>
      </c>
      <c r="Q75" s="430">
        <v>0.0</v>
      </c>
      <c r="R75" s="430">
        <v>0.0</v>
      </c>
      <c r="S75" s="430">
        <v>0.0</v>
      </c>
      <c r="T75" s="430">
        <v>0.0</v>
      </c>
      <c r="U75" s="430">
        <v>0.0</v>
      </c>
      <c r="V75" s="430">
        <v>0.0</v>
      </c>
      <c r="W75" s="430">
        <v>0.0</v>
      </c>
      <c r="X75" s="430">
        <v>0.0</v>
      </c>
      <c r="Y75" s="430">
        <v>0.0</v>
      </c>
      <c r="Z75" s="430">
        <v>0.0</v>
      </c>
      <c r="AA75" s="430">
        <v>0.0</v>
      </c>
      <c r="AB75" s="430">
        <v>0.0</v>
      </c>
      <c r="AC75" s="430">
        <v>0.0</v>
      </c>
      <c r="AD75" s="430">
        <v>0.0</v>
      </c>
      <c r="AE75" s="430">
        <v>0.0</v>
      </c>
      <c r="AF75" s="430">
        <v>0.0</v>
      </c>
      <c r="AG75" s="430">
        <v>0.0</v>
      </c>
      <c r="AH75" s="430">
        <v>0.0</v>
      </c>
      <c r="AI75" s="430">
        <v>0.0</v>
      </c>
      <c r="AJ75" s="430">
        <v>0.0</v>
      </c>
    </row>
    <row r="76" ht="15.75" customHeight="1">
      <c r="A76" s="431" t="s">
        <v>42</v>
      </c>
      <c r="B76" s="428">
        <v>1.0</v>
      </c>
      <c r="C76" s="428">
        <v>1.0</v>
      </c>
      <c r="D76" s="428">
        <v>0.0</v>
      </c>
      <c r="E76" s="428">
        <v>1.0</v>
      </c>
      <c r="F76" s="428">
        <v>0.0</v>
      </c>
      <c r="G76" s="428">
        <v>3.0</v>
      </c>
      <c r="H76" s="428">
        <v>13.0</v>
      </c>
      <c r="I76" s="428">
        <v>0.0</v>
      </c>
      <c r="J76" s="428">
        <v>10.0</v>
      </c>
      <c r="K76" s="428">
        <v>3.0</v>
      </c>
      <c r="L76" s="428">
        <v>5.0</v>
      </c>
      <c r="M76" s="428">
        <v>1.0</v>
      </c>
      <c r="N76" s="428">
        <v>227.0</v>
      </c>
      <c r="O76" s="428">
        <v>259.0</v>
      </c>
      <c r="P76" s="428">
        <v>22.0</v>
      </c>
      <c r="Q76" s="428">
        <v>0.0</v>
      </c>
      <c r="R76" s="428">
        <v>2.0</v>
      </c>
      <c r="S76" s="428">
        <v>1.0</v>
      </c>
      <c r="T76" s="428">
        <v>0.0</v>
      </c>
      <c r="U76" s="428">
        <v>1.0</v>
      </c>
      <c r="V76" s="428">
        <v>0.0</v>
      </c>
      <c r="W76" s="428">
        <v>0.0</v>
      </c>
      <c r="X76" s="428">
        <v>0.0</v>
      </c>
      <c r="Y76" s="428">
        <v>1.0</v>
      </c>
      <c r="Z76" s="428">
        <v>0.0</v>
      </c>
      <c r="AA76" s="428">
        <v>0.0</v>
      </c>
      <c r="AB76" s="428">
        <v>0.0</v>
      </c>
      <c r="AC76" s="428">
        <v>0.0</v>
      </c>
      <c r="AD76" s="428">
        <v>0.0</v>
      </c>
      <c r="AE76" s="428">
        <v>0.0</v>
      </c>
      <c r="AF76" s="428">
        <v>0.0</v>
      </c>
      <c r="AG76" s="428">
        <v>0.0</v>
      </c>
      <c r="AH76" s="428">
        <v>0.0</v>
      </c>
      <c r="AI76" s="428">
        <v>0.0</v>
      </c>
      <c r="AJ76" s="428">
        <v>0.0</v>
      </c>
    </row>
    <row r="77" ht="15.75" customHeight="1">
      <c r="A77" s="431" t="s">
        <v>114</v>
      </c>
      <c r="B77" s="428">
        <v>1.0</v>
      </c>
      <c r="C77" s="428">
        <v>1.0</v>
      </c>
      <c r="D77" s="428">
        <v>0.0</v>
      </c>
      <c r="E77" s="428">
        <v>1.0</v>
      </c>
      <c r="F77" s="428">
        <v>0.0</v>
      </c>
      <c r="G77" s="428">
        <v>0.0</v>
      </c>
      <c r="H77" s="428">
        <v>19.0</v>
      </c>
      <c r="I77" s="428">
        <v>0.0</v>
      </c>
      <c r="J77" s="428">
        <v>12.0</v>
      </c>
      <c r="K77" s="428">
        <v>7.0</v>
      </c>
      <c r="L77" s="428">
        <v>6.0</v>
      </c>
      <c r="M77" s="428">
        <v>2.0</v>
      </c>
      <c r="N77" s="428">
        <v>227.0</v>
      </c>
      <c r="O77" s="428">
        <v>259.0</v>
      </c>
      <c r="P77" s="428">
        <v>18.0</v>
      </c>
      <c r="Q77" s="428">
        <v>1.0</v>
      </c>
      <c r="R77" s="428">
        <v>4.0</v>
      </c>
      <c r="S77" s="428">
        <v>1.0</v>
      </c>
      <c r="T77" s="428">
        <v>2.0</v>
      </c>
      <c r="U77" s="428">
        <v>1.0</v>
      </c>
      <c r="V77" s="428">
        <v>0.0</v>
      </c>
      <c r="W77" s="428">
        <v>0.0</v>
      </c>
      <c r="X77" s="428">
        <v>1.0</v>
      </c>
      <c r="Y77" s="428">
        <v>1.0</v>
      </c>
      <c r="Z77" s="428">
        <v>0.0</v>
      </c>
      <c r="AA77" s="428">
        <v>0.0</v>
      </c>
      <c r="AB77" s="428">
        <v>0.0</v>
      </c>
      <c r="AC77" s="428">
        <v>1.0</v>
      </c>
      <c r="AD77" s="428">
        <v>0.0</v>
      </c>
      <c r="AE77" s="428">
        <v>0.0</v>
      </c>
      <c r="AF77" s="428">
        <v>0.0</v>
      </c>
      <c r="AG77" s="428">
        <v>0.0</v>
      </c>
      <c r="AH77" s="428">
        <v>0.0</v>
      </c>
      <c r="AI77" s="428">
        <v>0.0</v>
      </c>
      <c r="AJ77" s="428">
        <v>0.0</v>
      </c>
    </row>
    <row r="78" ht="15.75" customHeight="1">
      <c r="A78" s="431" t="s">
        <v>164</v>
      </c>
      <c r="B78" s="428">
        <v>1.0</v>
      </c>
      <c r="C78" s="428">
        <v>1.0</v>
      </c>
      <c r="D78" s="428">
        <v>0.0</v>
      </c>
      <c r="E78" s="428">
        <v>1.0</v>
      </c>
      <c r="F78" s="428">
        <v>0.0</v>
      </c>
      <c r="G78" s="428">
        <v>0.0</v>
      </c>
      <c r="H78" s="428">
        <v>25.0</v>
      </c>
      <c r="I78" s="428">
        <v>1.0</v>
      </c>
      <c r="J78" s="428">
        <v>10.0</v>
      </c>
      <c r="K78" s="428">
        <v>15.0</v>
      </c>
      <c r="L78" s="428">
        <v>4.0</v>
      </c>
      <c r="M78" s="428">
        <v>1.0</v>
      </c>
      <c r="N78" s="428">
        <v>227.0</v>
      </c>
      <c r="O78" s="428">
        <v>259.0</v>
      </c>
      <c r="P78" s="428">
        <v>22.0</v>
      </c>
      <c r="Q78" s="428">
        <v>0.0</v>
      </c>
      <c r="R78" s="428">
        <v>7.0</v>
      </c>
      <c r="S78" s="428">
        <v>3.0</v>
      </c>
      <c r="T78" s="428">
        <v>2.0</v>
      </c>
      <c r="U78" s="428">
        <v>0.0</v>
      </c>
      <c r="V78" s="428">
        <v>0.0</v>
      </c>
      <c r="W78" s="428">
        <v>0.0</v>
      </c>
      <c r="X78" s="428">
        <v>2.0</v>
      </c>
      <c r="Y78" s="428">
        <v>0.0</v>
      </c>
      <c r="Z78" s="428">
        <v>0.0</v>
      </c>
      <c r="AA78" s="428">
        <v>0.0</v>
      </c>
      <c r="AB78" s="428">
        <v>0.0</v>
      </c>
      <c r="AC78" s="428">
        <v>0.0</v>
      </c>
      <c r="AD78" s="428">
        <v>0.0</v>
      </c>
      <c r="AE78" s="428">
        <v>0.0</v>
      </c>
      <c r="AF78" s="428">
        <v>0.0</v>
      </c>
      <c r="AG78" s="428">
        <v>0.0</v>
      </c>
      <c r="AH78" s="428">
        <v>0.0</v>
      </c>
      <c r="AI78" s="428">
        <v>0.0</v>
      </c>
      <c r="AJ78" s="428">
        <v>0.0</v>
      </c>
    </row>
    <row r="79" ht="15.75" customHeight="1">
      <c r="A79" s="431" t="s">
        <v>113</v>
      </c>
      <c r="B79" s="428">
        <v>1.0</v>
      </c>
      <c r="C79" s="428">
        <v>1.0</v>
      </c>
      <c r="D79" s="428">
        <v>0.0</v>
      </c>
      <c r="E79" s="428">
        <v>1.0</v>
      </c>
      <c r="F79" s="428">
        <v>0.0</v>
      </c>
      <c r="G79" s="428">
        <v>2.0</v>
      </c>
      <c r="H79" s="428">
        <v>13.0</v>
      </c>
      <c r="I79" s="428">
        <v>0.0</v>
      </c>
      <c r="J79" s="428">
        <v>14.0</v>
      </c>
      <c r="K79" s="428">
        <v>-1.0</v>
      </c>
      <c r="L79" s="428">
        <v>2.0</v>
      </c>
      <c r="M79" s="428">
        <v>1.0</v>
      </c>
      <c r="N79" s="428">
        <v>227.0</v>
      </c>
      <c r="O79" s="428">
        <v>259.0</v>
      </c>
      <c r="P79" s="428">
        <v>16.0</v>
      </c>
      <c r="Q79" s="428">
        <v>0.0</v>
      </c>
      <c r="R79" s="428">
        <v>4.0</v>
      </c>
      <c r="S79" s="428">
        <v>0.0</v>
      </c>
      <c r="T79" s="428">
        <v>0.0</v>
      </c>
      <c r="U79" s="428">
        <v>0.0</v>
      </c>
      <c r="V79" s="428">
        <v>0.0</v>
      </c>
      <c r="W79" s="428">
        <v>0.0</v>
      </c>
      <c r="X79" s="428">
        <v>0.0</v>
      </c>
      <c r="Y79" s="428">
        <v>0.0</v>
      </c>
      <c r="Z79" s="428">
        <v>0.0</v>
      </c>
      <c r="AA79" s="428">
        <v>0.0</v>
      </c>
      <c r="AB79" s="428">
        <v>0.0</v>
      </c>
      <c r="AC79" s="428">
        <v>0.0</v>
      </c>
      <c r="AD79" s="428">
        <v>0.0</v>
      </c>
      <c r="AE79" s="428">
        <v>0.0</v>
      </c>
      <c r="AF79" s="428">
        <v>0.0</v>
      </c>
      <c r="AG79" s="428">
        <v>0.0</v>
      </c>
      <c r="AH79" s="428">
        <v>0.0</v>
      </c>
      <c r="AI79" s="428">
        <v>0.0</v>
      </c>
      <c r="AJ79" s="428">
        <v>0.0</v>
      </c>
    </row>
    <row r="80" ht="15.75" customHeight="1">
      <c r="A80" s="431" t="s">
        <v>31</v>
      </c>
      <c r="B80" s="428">
        <v>0.0</v>
      </c>
      <c r="C80" s="428">
        <v>1.0</v>
      </c>
      <c r="D80" s="428">
        <v>0.0</v>
      </c>
      <c r="E80" s="428">
        <v>0.0</v>
      </c>
      <c r="F80" s="428">
        <v>1.0</v>
      </c>
      <c r="G80" s="428">
        <v>0.0</v>
      </c>
      <c r="H80" s="428">
        <v>9.0</v>
      </c>
      <c r="I80" s="428">
        <v>0.0</v>
      </c>
      <c r="J80" s="428">
        <v>19.0</v>
      </c>
      <c r="K80" s="428">
        <v>-10.0</v>
      </c>
      <c r="L80" s="428">
        <v>3.0</v>
      </c>
      <c r="M80" s="428">
        <v>1.0</v>
      </c>
      <c r="N80" s="428">
        <v>227.0</v>
      </c>
      <c r="O80" s="428">
        <v>259.0</v>
      </c>
      <c r="P80" s="428">
        <v>11.0</v>
      </c>
      <c r="Q80" s="428">
        <v>0.0</v>
      </c>
      <c r="R80" s="428">
        <v>2.0</v>
      </c>
      <c r="S80" s="428">
        <v>0.0</v>
      </c>
      <c r="T80" s="428">
        <v>0.0</v>
      </c>
      <c r="U80" s="428">
        <v>0.0</v>
      </c>
      <c r="V80" s="428">
        <v>0.0</v>
      </c>
      <c r="W80" s="428">
        <v>0.0</v>
      </c>
      <c r="X80" s="428">
        <v>0.0</v>
      </c>
      <c r="Y80" s="428">
        <v>0.0</v>
      </c>
      <c r="Z80" s="428">
        <v>0.0</v>
      </c>
      <c r="AA80" s="428">
        <v>0.0</v>
      </c>
      <c r="AB80" s="428">
        <v>0.0</v>
      </c>
      <c r="AC80" s="428">
        <v>0.0</v>
      </c>
      <c r="AD80" s="428">
        <v>0.0</v>
      </c>
      <c r="AE80" s="428">
        <v>0.0</v>
      </c>
      <c r="AF80" s="428">
        <v>0.0</v>
      </c>
      <c r="AG80" s="428">
        <v>0.0</v>
      </c>
      <c r="AH80" s="428">
        <v>0.0</v>
      </c>
      <c r="AI80" s="428">
        <v>1.0</v>
      </c>
      <c r="AJ80" s="428">
        <v>0.0</v>
      </c>
    </row>
    <row r="81" ht="15.75" customHeight="1">
      <c r="A81" s="431" t="s">
        <v>99</v>
      </c>
      <c r="B81" s="428">
        <v>0.0</v>
      </c>
      <c r="C81" s="428">
        <v>1.0</v>
      </c>
      <c r="D81" s="428">
        <v>0.0</v>
      </c>
      <c r="E81" s="428">
        <v>0.0</v>
      </c>
      <c r="F81" s="428">
        <v>1.0</v>
      </c>
      <c r="G81" s="428">
        <v>0.0</v>
      </c>
      <c r="H81" s="428">
        <v>12.0</v>
      </c>
      <c r="I81" s="428">
        <v>2.0</v>
      </c>
      <c r="J81" s="428">
        <v>19.0</v>
      </c>
      <c r="K81" s="428">
        <v>-7.0</v>
      </c>
      <c r="L81" s="428">
        <v>2.0</v>
      </c>
      <c r="M81" s="428">
        <v>1.0</v>
      </c>
      <c r="N81" s="428">
        <v>227.0</v>
      </c>
      <c r="O81" s="428">
        <v>259.0</v>
      </c>
      <c r="P81" s="428">
        <v>11.0</v>
      </c>
      <c r="Q81" s="428">
        <v>0.0</v>
      </c>
      <c r="R81" s="428">
        <v>3.0</v>
      </c>
      <c r="S81" s="428">
        <v>0.0</v>
      </c>
      <c r="T81" s="428">
        <v>0.0</v>
      </c>
      <c r="U81" s="428">
        <v>0.0</v>
      </c>
      <c r="V81" s="428">
        <v>0.0</v>
      </c>
      <c r="W81" s="428">
        <v>0.0</v>
      </c>
      <c r="X81" s="428">
        <v>0.0</v>
      </c>
      <c r="Y81" s="428">
        <v>0.0</v>
      </c>
      <c r="Z81" s="428">
        <v>0.0</v>
      </c>
      <c r="AA81" s="428">
        <v>0.0</v>
      </c>
      <c r="AB81" s="428">
        <v>0.0</v>
      </c>
      <c r="AC81" s="428">
        <v>0.0</v>
      </c>
      <c r="AD81" s="428">
        <v>0.0</v>
      </c>
      <c r="AE81" s="428">
        <v>0.0</v>
      </c>
      <c r="AF81" s="428">
        <v>0.0</v>
      </c>
      <c r="AG81" s="428">
        <v>0.0</v>
      </c>
      <c r="AH81" s="428">
        <v>0.0</v>
      </c>
      <c r="AI81" s="428">
        <v>0.0</v>
      </c>
      <c r="AJ81" s="428">
        <v>0.0</v>
      </c>
    </row>
    <row r="82" ht="15.75" customHeight="1">
      <c r="A82" s="431" t="s">
        <v>43</v>
      </c>
      <c r="B82" s="428">
        <v>0.0</v>
      </c>
      <c r="C82" s="428">
        <v>1.0</v>
      </c>
      <c r="D82" s="428">
        <v>0.0</v>
      </c>
      <c r="E82" s="428">
        <v>0.0</v>
      </c>
      <c r="F82" s="428">
        <v>1.0</v>
      </c>
      <c r="G82" s="428">
        <v>0.0</v>
      </c>
      <c r="H82" s="428">
        <v>6.0</v>
      </c>
      <c r="I82" s="428">
        <v>1.0</v>
      </c>
      <c r="J82" s="428">
        <v>15.0</v>
      </c>
      <c r="K82" s="428">
        <v>-9.0</v>
      </c>
      <c r="L82" s="428">
        <v>3.0</v>
      </c>
      <c r="M82" s="428">
        <v>1.0</v>
      </c>
      <c r="N82" s="428">
        <v>227.0</v>
      </c>
      <c r="O82" s="428">
        <v>259.0</v>
      </c>
      <c r="P82" s="428">
        <v>15.0</v>
      </c>
      <c r="Q82" s="428">
        <v>1.0</v>
      </c>
      <c r="R82" s="428">
        <v>1.0</v>
      </c>
      <c r="S82" s="428">
        <v>1.0</v>
      </c>
      <c r="T82" s="428">
        <v>0.0</v>
      </c>
      <c r="U82" s="428">
        <v>0.0</v>
      </c>
      <c r="V82" s="428">
        <v>0.0</v>
      </c>
      <c r="W82" s="428">
        <v>0.0</v>
      </c>
      <c r="X82" s="428">
        <v>0.0</v>
      </c>
      <c r="Y82" s="428">
        <v>0.0</v>
      </c>
      <c r="Z82" s="428">
        <v>0.0</v>
      </c>
      <c r="AA82" s="428">
        <v>0.0</v>
      </c>
      <c r="AB82" s="428">
        <v>0.0</v>
      </c>
      <c r="AC82" s="428">
        <v>0.0</v>
      </c>
      <c r="AD82" s="428">
        <v>0.0</v>
      </c>
      <c r="AE82" s="428">
        <v>0.0</v>
      </c>
      <c r="AF82" s="428">
        <v>0.0</v>
      </c>
      <c r="AG82" s="428">
        <v>0.0</v>
      </c>
      <c r="AH82" s="428">
        <v>0.0</v>
      </c>
      <c r="AI82" s="428">
        <v>0.0</v>
      </c>
      <c r="AJ82" s="428">
        <v>0.0</v>
      </c>
    </row>
    <row r="83" ht="15.75" customHeight="1">
      <c r="A83" s="431" t="s">
        <v>88</v>
      </c>
      <c r="B83" s="428">
        <v>0.0</v>
      </c>
      <c r="C83" s="428">
        <v>1.0</v>
      </c>
      <c r="D83" s="428">
        <v>0.0</v>
      </c>
      <c r="E83" s="428">
        <v>0.0</v>
      </c>
      <c r="F83" s="428">
        <v>1.0</v>
      </c>
      <c r="G83" s="428">
        <v>0.0</v>
      </c>
      <c r="H83" s="428">
        <v>14.0</v>
      </c>
      <c r="I83" s="428">
        <v>0.0</v>
      </c>
      <c r="J83" s="428">
        <v>21.0</v>
      </c>
      <c r="K83" s="428">
        <v>-7.0</v>
      </c>
      <c r="L83" s="428">
        <v>2.0</v>
      </c>
      <c r="M83" s="428">
        <v>1.0</v>
      </c>
      <c r="N83" s="428">
        <v>227.0</v>
      </c>
      <c r="O83" s="428">
        <v>259.0</v>
      </c>
      <c r="P83" s="428">
        <v>10.0</v>
      </c>
      <c r="Q83" s="428">
        <v>0.0</v>
      </c>
      <c r="R83" s="428">
        <v>2.0</v>
      </c>
      <c r="S83" s="428">
        <v>0.0</v>
      </c>
      <c r="T83" s="428">
        <v>0.0</v>
      </c>
      <c r="U83" s="428">
        <v>0.0</v>
      </c>
      <c r="V83" s="428">
        <v>0.0</v>
      </c>
      <c r="W83" s="428">
        <v>0.0</v>
      </c>
      <c r="X83" s="428">
        <v>0.0</v>
      </c>
      <c r="Y83" s="428">
        <v>0.0</v>
      </c>
      <c r="Z83" s="428">
        <v>0.0</v>
      </c>
      <c r="AA83" s="428">
        <v>0.0</v>
      </c>
      <c r="AB83" s="428">
        <v>0.0</v>
      </c>
      <c r="AC83" s="428">
        <v>0.0</v>
      </c>
      <c r="AD83" s="428">
        <v>0.0</v>
      </c>
      <c r="AE83" s="428">
        <v>0.0</v>
      </c>
      <c r="AF83" s="428">
        <v>0.0</v>
      </c>
      <c r="AG83" s="428">
        <v>0.0</v>
      </c>
      <c r="AH83" s="428">
        <v>0.0</v>
      </c>
      <c r="AI83" s="428">
        <v>0.0</v>
      </c>
      <c r="AJ83" s="428">
        <v>0.0</v>
      </c>
    </row>
    <row r="84" ht="15.75" customHeight="1">
      <c r="A84" s="431" t="s">
        <v>47</v>
      </c>
      <c r="B84" s="428">
        <v>1.0</v>
      </c>
      <c r="C84" s="428">
        <v>0.0</v>
      </c>
      <c r="D84" s="428">
        <v>0.0</v>
      </c>
      <c r="E84" s="428">
        <v>0.0</v>
      </c>
      <c r="F84" s="428">
        <v>0.0</v>
      </c>
      <c r="G84" s="428">
        <v>0.0</v>
      </c>
      <c r="H84" s="428">
        <v>0.0</v>
      </c>
      <c r="I84" s="428">
        <v>0.0</v>
      </c>
      <c r="J84" s="428">
        <v>0.0</v>
      </c>
      <c r="K84" s="428">
        <v>0.0</v>
      </c>
      <c r="L84" s="428">
        <v>0.0</v>
      </c>
      <c r="M84" s="428">
        <v>0.0</v>
      </c>
      <c r="N84" s="428">
        <v>0.0</v>
      </c>
      <c r="O84" s="428">
        <v>0.0</v>
      </c>
      <c r="P84" s="428">
        <v>0.0</v>
      </c>
      <c r="Q84" s="428">
        <v>0.0</v>
      </c>
      <c r="R84" s="428">
        <v>0.0</v>
      </c>
      <c r="S84" s="428">
        <v>0.0</v>
      </c>
      <c r="T84" s="428">
        <v>0.0</v>
      </c>
      <c r="U84" s="428">
        <v>0.0</v>
      </c>
      <c r="V84" s="428">
        <v>0.0</v>
      </c>
      <c r="W84" s="428">
        <v>0.0</v>
      </c>
      <c r="X84" s="428">
        <v>0.0</v>
      </c>
      <c r="Y84" s="428">
        <v>0.0</v>
      </c>
      <c r="Z84" s="428">
        <v>0.0</v>
      </c>
      <c r="AA84" s="428">
        <v>0.0</v>
      </c>
      <c r="AB84" s="428">
        <v>0.0</v>
      </c>
      <c r="AC84" s="428">
        <v>0.0</v>
      </c>
      <c r="AD84" s="428">
        <v>0.0</v>
      </c>
      <c r="AE84" s="428">
        <v>0.0</v>
      </c>
      <c r="AF84" s="428">
        <v>0.0</v>
      </c>
      <c r="AG84" s="428">
        <v>0.0</v>
      </c>
      <c r="AH84" s="428">
        <v>0.0</v>
      </c>
      <c r="AI84" s="428">
        <v>0.0</v>
      </c>
      <c r="AJ84" s="428">
        <v>0.0</v>
      </c>
    </row>
    <row r="85" ht="15.75" customHeight="1">
      <c r="A85" s="432" t="s">
        <v>377</v>
      </c>
      <c r="B85" s="430">
        <v>0.0</v>
      </c>
      <c r="C85" s="430">
        <v>0.0</v>
      </c>
      <c r="D85" s="430">
        <v>1.0</v>
      </c>
      <c r="E85" s="430">
        <v>0.0</v>
      </c>
      <c r="F85" s="430">
        <v>0.0</v>
      </c>
      <c r="G85" s="430">
        <v>0.0</v>
      </c>
      <c r="H85" s="430">
        <v>0.0</v>
      </c>
      <c r="I85" s="430">
        <v>0.0</v>
      </c>
      <c r="J85" s="430">
        <v>0.0</v>
      </c>
      <c r="K85" s="430">
        <v>0.0</v>
      </c>
      <c r="L85" s="430">
        <v>0.0</v>
      </c>
      <c r="M85" s="430">
        <v>0.0</v>
      </c>
      <c r="N85" s="430">
        <v>0.0</v>
      </c>
      <c r="O85" s="430">
        <v>0.0</v>
      </c>
      <c r="P85" s="430">
        <v>0.0</v>
      </c>
      <c r="Q85" s="430">
        <v>0.0</v>
      </c>
      <c r="R85" s="430">
        <v>0.0</v>
      </c>
      <c r="S85" s="430">
        <v>0.0</v>
      </c>
      <c r="T85" s="430">
        <v>0.0</v>
      </c>
      <c r="U85" s="430">
        <v>0.0</v>
      </c>
      <c r="V85" s="430">
        <v>0.0</v>
      </c>
      <c r="W85" s="430">
        <v>0.0</v>
      </c>
      <c r="X85" s="430">
        <v>0.0</v>
      </c>
      <c r="Y85" s="430">
        <v>0.0</v>
      </c>
      <c r="Z85" s="430">
        <v>0.0</v>
      </c>
      <c r="AA85" s="430">
        <v>0.0</v>
      </c>
      <c r="AB85" s="430">
        <v>0.0</v>
      </c>
      <c r="AC85" s="430">
        <v>0.0</v>
      </c>
      <c r="AD85" s="430">
        <v>0.0</v>
      </c>
      <c r="AE85" s="430">
        <v>0.0</v>
      </c>
      <c r="AF85" s="430">
        <v>0.0</v>
      </c>
      <c r="AG85" s="430">
        <v>0.0</v>
      </c>
      <c r="AH85" s="430">
        <v>0.0</v>
      </c>
      <c r="AI85" s="430">
        <v>0.0</v>
      </c>
      <c r="AJ85" s="430">
        <v>0.0</v>
      </c>
    </row>
    <row r="86" ht="15.75" customHeight="1">
      <c r="A86" s="431" t="s">
        <v>153</v>
      </c>
      <c r="B86" s="428">
        <v>1.0</v>
      </c>
      <c r="C86" s="428">
        <v>1.0</v>
      </c>
      <c r="D86" s="428">
        <v>0.0</v>
      </c>
      <c r="E86" s="428">
        <v>1.0</v>
      </c>
      <c r="F86" s="428">
        <v>0.0</v>
      </c>
      <c r="G86" s="428">
        <v>1.0</v>
      </c>
      <c r="H86" s="428">
        <v>60.0</v>
      </c>
      <c r="I86" s="428">
        <v>1.0</v>
      </c>
      <c r="J86" s="428">
        <v>44.0</v>
      </c>
      <c r="K86" s="428">
        <v>16.0</v>
      </c>
      <c r="L86" s="428">
        <v>5.0</v>
      </c>
      <c r="M86" s="428">
        <v>2.0</v>
      </c>
      <c r="N86" s="428">
        <v>1143.0</v>
      </c>
      <c r="O86" s="428">
        <v>1168.0</v>
      </c>
      <c r="P86" s="428">
        <v>25.0</v>
      </c>
      <c r="Q86" s="428">
        <v>1.0</v>
      </c>
      <c r="R86" s="428">
        <v>10.0</v>
      </c>
      <c r="S86" s="428">
        <v>0.0</v>
      </c>
      <c r="T86" s="428">
        <v>0.0</v>
      </c>
      <c r="U86" s="428">
        <v>1.0</v>
      </c>
      <c r="V86" s="428">
        <v>0.0</v>
      </c>
      <c r="W86" s="428">
        <v>0.0</v>
      </c>
      <c r="X86" s="428">
        <v>0.0</v>
      </c>
      <c r="Y86" s="428">
        <v>1.0</v>
      </c>
      <c r="Z86" s="428">
        <v>0.0</v>
      </c>
      <c r="AA86" s="428">
        <v>0.0</v>
      </c>
      <c r="AB86" s="428">
        <v>0.0</v>
      </c>
      <c r="AC86" s="428">
        <v>0.0</v>
      </c>
      <c r="AD86" s="428">
        <v>0.0</v>
      </c>
      <c r="AE86" s="428">
        <v>0.0</v>
      </c>
      <c r="AF86" s="428">
        <v>0.0</v>
      </c>
      <c r="AG86" s="428">
        <v>0.0</v>
      </c>
      <c r="AH86" s="428">
        <v>0.0</v>
      </c>
      <c r="AI86" s="428">
        <v>1.0</v>
      </c>
      <c r="AJ86" s="428">
        <v>0.0</v>
      </c>
    </row>
    <row r="87" ht="15.75" customHeight="1">
      <c r="A87" s="431" t="s">
        <v>40</v>
      </c>
      <c r="B87" s="428">
        <v>1.0</v>
      </c>
      <c r="C87" s="428">
        <v>1.0</v>
      </c>
      <c r="D87" s="428">
        <v>0.0</v>
      </c>
      <c r="E87" s="428">
        <v>1.0</v>
      </c>
      <c r="F87" s="428">
        <v>0.0</v>
      </c>
      <c r="G87" s="428">
        <v>2.0</v>
      </c>
      <c r="H87" s="428">
        <v>54.0</v>
      </c>
      <c r="I87" s="428">
        <v>1.0</v>
      </c>
      <c r="J87" s="428">
        <v>40.0</v>
      </c>
      <c r="K87" s="428">
        <v>14.0</v>
      </c>
      <c r="L87" s="428">
        <v>6.0</v>
      </c>
      <c r="M87" s="428">
        <v>2.0</v>
      </c>
      <c r="N87" s="428">
        <v>1143.0</v>
      </c>
      <c r="O87" s="428">
        <v>1168.0</v>
      </c>
      <c r="P87" s="428">
        <v>28.0</v>
      </c>
      <c r="Q87" s="428">
        <v>2.0</v>
      </c>
      <c r="R87" s="428">
        <v>10.0</v>
      </c>
      <c r="S87" s="428">
        <v>3.0</v>
      </c>
      <c r="T87" s="428">
        <v>4.0</v>
      </c>
      <c r="U87" s="428">
        <v>3.0</v>
      </c>
      <c r="V87" s="428">
        <v>0.0</v>
      </c>
      <c r="W87" s="428">
        <v>0.0</v>
      </c>
      <c r="X87" s="428">
        <v>2.0</v>
      </c>
      <c r="Y87" s="428">
        <v>3.0</v>
      </c>
      <c r="Z87" s="428">
        <v>0.0</v>
      </c>
      <c r="AA87" s="428">
        <v>0.0</v>
      </c>
      <c r="AB87" s="428">
        <v>0.0</v>
      </c>
      <c r="AC87" s="428">
        <v>1.0</v>
      </c>
      <c r="AD87" s="428">
        <v>1.0</v>
      </c>
      <c r="AE87" s="428">
        <v>0.0</v>
      </c>
      <c r="AF87" s="428">
        <v>0.0</v>
      </c>
      <c r="AG87" s="428">
        <v>0.0</v>
      </c>
      <c r="AH87" s="428">
        <v>0.0</v>
      </c>
      <c r="AI87" s="428">
        <v>0.0</v>
      </c>
      <c r="AJ87" s="428">
        <v>0.0</v>
      </c>
    </row>
    <row r="88" ht="15.75" customHeight="1">
      <c r="A88" s="431" t="s">
        <v>109</v>
      </c>
      <c r="B88" s="428">
        <v>1.0</v>
      </c>
      <c r="C88" s="428">
        <v>1.0</v>
      </c>
      <c r="D88" s="428">
        <v>0.0</v>
      </c>
      <c r="E88" s="428">
        <v>1.0</v>
      </c>
      <c r="F88" s="428">
        <v>0.0</v>
      </c>
      <c r="G88" s="428">
        <v>2.0</v>
      </c>
      <c r="H88" s="428">
        <v>61.0</v>
      </c>
      <c r="I88" s="428">
        <v>1.0</v>
      </c>
      <c r="J88" s="428">
        <v>46.0</v>
      </c>
      <c r="K88" s="428">
        <v>15.0</v>
      </c>
      <c r="L88" s="428">
        <v>8.0</v>
      </c>
      <c r="M88" s="428">
        <v>5.0</v>
      </c>
      <c r="N88" s="428">
        <v>1143.0</v>
      </c>
      <c r="O88" s="428">
        <v>1168.0</v>
      </c>
      <c r="P88" s="428">
        <v>24.0</v>
      </c>
      <c r="Q88" s="428">
        <v>1.0</v>
      </c>
      <c r="R88" s="428">
        <v>11.0</v>
      </c>
      <c r="S88" s="428">
        <v>1.0</v>
      </c>
      <c r="T88" s="428">
        <v>0.0</v>
      </c>
      <c r="U88" s="428">
        <v>1.0</v>
      </c>
      <c r="V88" s="428">
        <v>0.0</v>
      </c>
      <c r="W88" s="428">
        <v>0.0</v>
      </c>
      <c r="X88" s="428">
        <v>0.0</v>
      </c>
      <c r="Y88" s="428">
        <v>1.0</v>
      </c>
      <c r="Z88" s="428">
        <v>0.0</v>
      </c>
      <c r="AA88" s="428">
        <v>0.0</v>
      </c>
      <c r="AB88" s="428">
        <v>0.0</v>
      </c>
      <c r="AC88" s="428">
        <v>0.0</v>
      </c>
      <c r="AD88" s="428">
        <v>0.0</v>
      </c>
      <c r="AE88" s="428">
        <v>0.0</v>
      </c>
      <c r="AF88" s="428">
        <v>0.0</v>
      </c>
      <c r="AG88" s="428">
        <v>0.0</v>
      </c>
      <c r="AH88" s="428">
        <v>0.0</v>
      </c>
      <c r="AI88" s="428">
        <v>1.0</v>
      </c>
      <c r="AJ88" s="428">
        <v>0.0</v>
      </c>
    </row>
    <row r="89" ht="15.75" customHeight="1">
      <c r="A89" s="431" t="s">
        <v>104</v>
      </c>
      <c r="B89" s="428">
        <v>1.0</v>
      </c>
      <c r="C89" s="428">
        <v>1.0</v>
      </c>
      <c r="D89" s="428">
        <v>0.0</v>
      </c>
      <c r="E89" s="428">
        <v>1.0</v>
      </c>
      <c r="F89" s="428">
        <v>0.0</v>
      </c>
      <c r="G89" s="428">
        <v>0.0</v>
      </c>
      <c r="H89" s="428">
        <v>34.0</v>
      </c>
      <c r="I89" s="428">
        <v>2.0</v>
      </c>
      <c r="J89" s="428">
        <v>48.0</v>
      </c>
      <c r="K89" s="428">
        <v>-14.0</v>
      </c>
      <c r="L89" s="428">
        <v>4.0</v>
      </c>
      <c r="M89" s="428">
        <v>2.0</v>
      </c>
      <c r="N89" s="428">
        <v>1143.0</v>
      </c>
      <c r="O89" s="428">
        <v>1168.0</v>
      </c>
      <c r="P89" s="428">
        <v>23.0</v>
      </c>
      <c r="Q89" s="428">
        <v>0.0</v>
      </c>
      <c r="R89" s="428">
        <v>6.0</v>
      </c>
      <c r="S89" s="428">
        <v>0.0</v>
      </c>
      <c r="T89" s="428">
        <v>0.0</v>
      </c>
      <c r="U89" s="428">
        <v>0.0</v>
      </c>
      <c r="V89" s="428">
        <v>0.0</v>
      </c>
      <c r="W89" s="428">
        <v>0.0</v>
      </c>
      <c r="X89" s="428">
        <v>0.0</v>
      </c>
      <c r="Y89" s="428">
        <v>0.0</v>
      </c>
      <c r="Z89" s="428">
        <v>0.0</v>
      </c>
      <c r="AA89" s="428">
        <v>0.0</v>
      </c>
      <c r="AB89" s="428">
        <v>0.0</v>
      </c>
      <c r="AC89" s="428">
        <v>0.0</v>
      </c>
      <c r="AD89" s="428">
        <v>0.0</v>
      </c>
      <c r="AE89" s="428">
        <v>0.0</v>
      </c>
      <c r="AF89" s="428">
        <v>0.0</v>
      </c>
      <c r="AG89" s="428">
        <v>0.0</v>
      </c>
      <c r="AH89" s="428">
        <v>0.0</v>
      </c>
      <c r="AI89" s="428">
        <v>0.0</v>
      </c>
      <c r="AJ89" s="428">
        <v>0.0</v>
      </c>
    </row>
    <row r="90" ht="15.75" customHeight="1">
      <c r="A90" s="431" t="s">
        <v>41</v>
      </c>
      <c r="B90" s="428">
        <v>0.0</v>
      </c>
      <c r="C90" s="428">
        <v>1.0</v>
      </c>
      <c r="D90" s="428">
        <v>0.0</v>
      </c>
      <c r="E90" s="428">
        <v>0.0</v>
      </c>
      <c r="F90" s="428">
        <v>1.0</v>
      </c>
      <c r="G90" s="428">
        <v>0.0</v>
      </c>
      <c r="H90" s="428">
        <v>28.0</v>
      </c>
      <c r="I90" s="428">
        <v>0.0</v>
      </c>
      <c r="J90" s="428">
        <v>64.0</v>
      </c>
      <c r="K90" s="428">
        <v>-36.0</v>
      </c>
      <c r="L90" s="428">
        <v>7.0</v>
      </c>
      <c r="M90" s="428">
        <v>1.0</v>
      </c>
      <c r="N90" s="428">
        <v>1143.0</v>
      </c>
      <c r="O90" s="428">
        <v>1168.0</v>
      </c>
      <c r="P90" s="428">
        <v>17.0</v>
      </c>
      <c r="Q90" s="428">
        <v>0.0</v>
      </c>
      <c r="R90" s="428">
        <v>3.0</v>
      </c>
      <c r="S90" s="428">
        <v>1.0</v>
      </c>
      <c r="T90" s="428">
        <v>2.0</v>
      </c>
      <c r="U90" s="428">
        <v>1.0</v>
      </c>
      <c r="V90" s="428">
        <v>0.0</v>
      </c>
      <c r="W90" s="428">
        <v>0.0</v>
      </c>
      <c r="X90" s="428">
        <v>1.0</v>
      </c>
      <c r="Y90" s="428">
        <v>1.0</v>
      </c>
      <c r="Z90" s="428">
        <v>0.0</v>
      </c>
      <c r="AA90" s="428">
        <v>0.0</v>
      </c>
      <c r="AB90" s="428">
        <v>0.0</v>
      </c>
      <c r="AC90" s="428">
        <v>1.0</v>
      </c>
      <c r="AD90" s="428">
        <v>0.0</v>
      </c>
      <c r="AE90" s="428">
        <v>0.0</v>
      </c>
      <c r="AF90" s="428">
        <v>0.0</v>
      </c>
      <c r="AG90" s="428">
        <v>0.0</v>
      </c>
      <c r="AH90" s="428">
        <v>0.0</v>
      </c>
      <c r="AI90" s="428">
        <v>2.0</v>
      </c>
      <c r="AJ90" s="428">
        <v>0.0</v>
      </c>
    </row>
    <row r="91" ht="15.75" customHeight="1">
      <c r="A91" s="431" t="s">
        <v>157</v>
      </c>
      <c r="B91" s="428">
        <v>0.0</v>
      </c>
      <c r="C91" s="428">
        <v>1.0</v>
      </c>
      <c r="D91" s="428">
        <v>0.0</v>
      </c>
      <c r="E91" s="428">
        <v>0.0</v>
      </c>
      <c r="F91" s="428">
        <v>1.0</v>
      </c>
      <c r="G91" s="428">
        <v>0.0</v>
      </c>
      <c r="H91" s="428">
        <v>51.0</v>
      </c>
      <c r="I91" s="428">
        <v>1.0</v>
      </c>
      <c r="J91" s="428">
        <v>51.0</v>
      </c>
      <c r="K91" s="428">
        <v>0.0</v>
      </c>
      <c r="L91" s="428">
        <v>3.0</v>
      </c>
      <c r="M91" s="428">
        <v>0.0</v>
      </c>
      <c r="N91" s="428">
        <v>1143.0</v>
      </c>
      <c r="O91" s="428">
        <v>1168.0</v>
      </c>
      <c r="P91" s="428">
        <v>22.0</v>
      </c>
      <c r="Q91" s="428">
        <v>0.0</v>
      </c>
      <c r="R91" s="428">
        <v>5.0</v>
      </c>
      <c r="S91" s="428">
        <v>1.0</v>
      </c>
      <c r="T91" s="428">
        <v>0.0</v>
      </c>
      <c r="U91" s="428">
        <v>0.0</v>
      </c>
      <c r="V91" s="428">
        <v>0.0</v>
      </c>
      <c r="W91" s="428">
        <v>0.0</v>
      </c>
      <c r="X91" s="428">
        <v>0.0</v>
      </c>
      <c r="Y91" s="428">
        <v>0.0</v>
      </c>
      <c r="Z91" s="428">
        <v>0.0</v>
      </c>
      <c r="AA91" s="428">
        <v>0.0</v>
      </c>
      <c r="AB91" s="428">
        <v>0.0</v>
      </c>
      <c r="AC91" s="428">
        <v>0.0</v>
      </c>
      <c r="AD91" s="428">
        <v>0.0</v>
      </c>
      <c r="AE91" s="428">
        <v>0.0</v>
      </c>
      <c r="AF91" s="428">
        <v>0.0</v>
      </c>
      <c r="AG91" s="428">
        <v>0.0</v>
      </c>
      <c r="AH91" s="428">
        <v>0.0</v>
      </c>
      <c r="AI91" s="428">
        <v>3.0</v>
      </c>
      <c r="AJ91" s="428">
        <v>0.0</v>
      </c>
    </row>
    <row r="92" ht="15.75" customHeight="1">
      <c r="A92" s="431" t="s">
        <v>155</v>
      </c>
      <c r="B92" s="428">
        <v>0.0</v>
      </c>
      <c r="C92" s="428">
        <v>1.0</v>
      </c>
      <c r="D92" s="428">
        <v>0.0</v>
      </c>
      <c r="E92" s="428">
        <v>0.0</v>
      </c>
      <c r="F92" s="428">
        <v>1.0</v>
      </c>
      <c r="G92" s="428">
        <v>0.0</v>
      </c>
      <c r="H92" s="428">
        <v>42.0</v>
      </c>
      <c r="I92" s="428">
        <v>1.0</v>
      </c>
      <c r="J92" s="428">
        <v>40.0</v>
      </c>
      <c r="K92" s="428">
        <v>2.0</v>
      </c>
      <c r="L92" s="428">
        <v>6.0</v>
      </c>
      <c r="M92" s="428">
        <v>0.0</v>
      </c>
      <c r="N92" s="428">
        <v>1143.0</v>
      </c>
      <c r="O92" s="428">
        <v>1168.0</v>
      </c>
      <c r="P92" s="428">
        <v>28.0</v>
      </c>
      <c r="Q92" s="428">
        <v>2.0</v>
      </c>
      <c r="R92" s="428">
        <v>8.0</v>
      </c>
      <c r="S92" s="428">
        <v>1.0</v>
      </c>
      <c r="T92" s="428">
        <v>0.0</v>
      </c>
      <c r="U92" s="428">
        <v>1.0</v>
      </c>
      <c r="V92" s="428">
        <v>0.0</v>
      </c>
      <c r="W92" s="428">
        <v>0.0</v>
      </c>
      <c r="X92" s="428">
        <v>0.0</v>
      </c>
      <c r="Y92" s="428">
        <v>1.0</v>
      </c>
      <c r="Z92" s="428">
        <v>0.0</v>
      </c>
      <c r="AA92" s="428">
        <v>0.0</v>
      </c>
      <c r="AB92" s="428">
        <v>0.0</v>
      </c>
      <c r="AC92" s="428">
        <v>0.0</v>
      </c>
      <c r="AD92" s="428">
        <v>0.0</v>
      </c>
      <c r="AE92" s="428">
        <v>0.0</v>
      </c>
      <c r="AF92" s="428">
        <v>0.0</v>
      </c>
      <c r="AG92" s="428">
        <v>0.0</v>
      </c>
      <c r="AH92" s="428">
        <v>0.0</v>
      </c>
      <c r="AI92" s="428">
        <v>2.0</v>
      </c>
      <c r="AJ92" s="428">
        <v>0.0</v>
      </c>
    </row>
    <row r="93" ht="15.75" customHeight="1">
      <c r="A93" s="431" t="s">
        <v>108</v>
      </c>
      <c r="B93" s="428">
        <v>0.0</v>
      </c>
      <c r="C93" s="428">
        <v>1.0</v>
      </c>
      <c r="D93" s="428">
        <v>0.0</v>
      </c>
      <c r="E93" s="428">
        <v>0.0</v>
      </c>
      <c r="F93" s="428">
        <v>1.0</v>
      </c>
      <c r="G93" s="428">
        <v>0.0</v>
      </c>
      <c r="H93" s="428">
        <v>46.0</v>
      </c>
      <c r="I93" s="428">
        <v>4.0</v>
      </c>
      <c r="J93" s="428">
        <v>58.0</v>
      </c>
      <c r="K93" s="428">
        <v>-12.0</v>
      </c>
      <c r="L93" s="428">
        <v>3.0</v>
      </c>
      <c r="M93" s="428">
        <v>3.0</v>
      </c>
      <c r="N93" s="428">
        <v>1143.0</v>
      </c>
      <c r="O93" s="428">
        <v>1168.0</v>
      </c>
      <c r="P93" s="428">
        <v>19.0</v>
      </c>
      <c r="Q93" s="428">
        <v>2.0</v>
      </c>
      <c r="R93" s="428">
        <v>8.0</v>
      </c>
      <c r="S93" s="428">
        <v>0.0</v>
      </c>
      <c r="T93" s="428">
        <v>0.0</v>
      </c>
      <c r="U93" s="428">
        <v>0.0</v>
      </c>
      <c r="V93" s="428">
        <v>0.0</v>
      </c>
      <c r="W93" s="428">
        <v>0.0</v>
      </c>
      <c r="X93" s="428">
        <v>0.0</v>
      </c>
      <c r="Y93" s="428">
        <v>0.0</v>
      </c>
      <c r="Z93" s="428">
        <v>0.0</v>
      </c>
      <c r="AA93" s="428">
        <v>0.0</v>
      </c>
      <c r="AB93" s="428">
        <v>0.0</v>
      </c>
      <c r="AC93" s="428">
        <v>0.0</v>
      </c>
      <c r="AD93" s="428">
        <v>0.0</v>
      </c>
      <c r="AE93" s="428">
        <v>0.0</v>
      </c>
      <c r="AF93" s="428">
        <v>0.0</v>
      </c>
      <c r="AG93" s="428">
        <v>0.0</v>
      </c>
      <c r="AH93" s="428">
        <v>0.0</v>
      </c>
      <c r="AI93" s="428">
        <v>0.0</v>
      </c>
      <c r="AJ93" s="428">
        <v>0.0</v>
      </c>
    </row>
    <row r="94" ht="15.75" customHeight="1">
      <c r="A94" s="432" t="s">
        <v>82</v>
      </c>
      <c r="B94" s="430">
        <v>1.0</v>
      </c>
      <c r="C94" s="430">
        <v>0.0</v>
      </c>
      <c r="D94" s="430">
        <v>1.0</v>
      </c>
      <c r="E94" s="430">
        <v>0.0</v>
      </c>
      <c r="F94" s="430">
        <v>0.0</v>
      </c>
      <c r="G94" s="430">
        <v>0.0</v>
      </c>
      <c r="H94" s="430">
        <v>0.0</v>
      </c>
      <c r="I94" s="430">
        <v>0.0</v>
      </c>
      <c r="J94" s="430">
        <v>0.0</v>
      </c>
      <c r="K94" s="430">
        <v>0.0</v>
      </c>
      <c r="L94" s="430">
        <v>0.0</v>
      </c>
      <c r="M94" s="430">
        <v>0.0</v>
      </c>
      <c r="N94" s="430">
        <v>0.0</v>
      </c>
      <c r="O94" s="430">
        <v>0.0</v>
      </c>
      <c r="P94" s="430">
        <v>0.0</v>
      </c>
      <c r="Q94" s="430">
        <v>0.0</v>
      </c>
      <c r="R94" s="430">
        <v>0.0</v>
      </c>
      <c r="S94" s="430">
        <v>0.0</v>
      </c>
      <c r="T94" s="430">
        <v>0.0</v>
      </c>
      <c r="U94" s="430">
        <v>0.0</v>
      </c>
      <c r="V94" s="430">
        <v>0.0</v>
      </c>
      <c r="W94" s="430">
        <v>0.0</v>
      </c>
      <c r="X94" s="430">
        <v>0.0</v>
      </c>
      <c r="Y94" s="430">
        <v>0.0</v>
      </c>
      <c r="Z94" s="430">
        <v>0.0</v>
      </c>
      <c r="AA94" s="430">
        <v>0.0</v>
      </c>
      <c r="AB94" s="430">
        <v>0.0</v>
      </c>
      <c r="AC94" s="430">
        <v>0.0</v>
      </c>
      <c r="AD94" s="430">
        <v>0.0</v>
      </c>
      <c r="AE94" s="430">
        <v>0.0</v>
      </c>
      <c r="AF94" s="430">
        <v>0.0</v>
      </c>
      <c r="AG94" s="430">
        <v>0.0</v>
      </c>
      <c r="AH94" s="430">
        <v>0.0</v>
      </c>
      <c r="AI94" s="430">
        <v>0.0</v>
      </c>
      <c r="AJ94" s="430">
        <v>0.0</v>
      </c>
    </row>
    <row r="95" ht="15.75" customHeight="1">
      <c r="A95" s="431" t="s">
        <v>31</v>
      </c>
      <c r="B95" s="428">
        <v>0.0</v>
      </c>
      <c r="C95" s="428">
        <v>1.0</v>
      </c>
      <c r="D95" s="428">
        <v>0.0</v>
      </c>
      <c r="E95" s="428">
        <v>1.0</v>
      </c>
      <c r="F95" s="428">
        <v>0.0</v>
      </c>
      <c r="G95" s="428">
        <v>0.0</v>
      </c>
      <c r="H95" s="428">
        <v>70.0</v>
      </c>
      <c r="I95" s="428">
        <v>1.0</v>
      </c>
      <c r="J95" s="428">
        <v>67.0</v>
      </c>
      <c r="K95" s="428">
        <v>3.0</v>
      </c>
      <c r="L95" s="428">
        <v>4.0</v>
      </c>
      <c r="M95" s="428">
        <v>2.0</v>
      </c>
      <c r="N95" s="428">
        <v>802.0</v>
      </c>
      <c r="O95" s="428">
        <v>839.0</v>
      </c>
      <c r="P95" s="428">
        <v>11.0</v>
      </c>
      <c r="Q95" s="428">
        <v>1.0</v>
      </c>
      <c r="R95" s="428">
        <v>10.0</v>
      </c>
      <c r="S95" s="428">
        <v>3.0</v>
      </c>
      <c r="T95" s="428">
        <v>0.0</v>
      </c>
      <c r="U95" s="428">
        <v>0.0</v>
      </c>
      <c r="V95" s="428">
        <v>0.0</v>
      </c>
      <c r="W95" s="428">
        <v>0.0</v>
      </c>
      <c r="X95" s="428">
        <v>0.0</v>
      </c>
      <c r="Y95" s="428">
        <v>0.0</v>
      </c>
      <c r="Z95" s="428">
        <v>0.0</v>
      </c>
      <c r="AA95" s="428">
        <v>0.0</v>
      </c>
      <c r="AB95" s="428">
        <v>0.0</v>
      </c>
      <c r="AC95" s="428">
        <v>0.0</v>
      </c>
      <c r="AD95" s="428">
        <v>0.0</v>
      </c>
      <c r="AE95" s="428">
        <v>0.0</v>
      </c>
      <c r="AF95" s="428">
        <v>0.0</v>
      </c>
      <c r="AG95" s="428">
        <v>0.0</v>
      </c>
      <c r="AH95" s="428">
        <v>0.0</v>
      </c>
      <c r="AI95" s="428">
        <v>2.0</v>
      </c>
      <c r="AJ95" s="428">
        <v>0.0</v>
      </c>
    </row>
    <row r="96" ht="15.75" customHeight="1">
      <c r="A96" s="19" t="s">
        <v>99</v>
      </c>
      <c r="B96" s="428">
        <v>0.0</v>
      </c>
      <c r="C96" s="428">
        <v>1.0</v>
      </c>
      <c r="D96" s="428">
        <v>0.0</v>
      </c>
      <c r="E96" s="428">
        <v>1.0</v>
      </c>
      <c r="F96" s="428">
        <v>0.0</v>
      </c>
      <c r="G96" s="428">
        <v>0.0</v>
      </c>
      <c r="H96" s="428">
        <v>41.0</v>
      </c>
      <c r="I96" s="428">
        <v>1.0</v>
      </c>
      <c r="J96" s="428">
        <v>52.0</v>
      </c>
      <c r="K96" s="428">
        <v>-11.0</v>
      </c>
      <c r="L96" s="428">
        <v>5.0</v>
      </c>
      <c r="M96" s="428">
        <v>0.0</v>
      </c>
      <c r="N96" s="428">
        <v>802.0</v>
      </c>
      <c r="O96" s="428">
        <v>839.0</v>
      </c>
      <c r="P96" s="428">
        <v>15.0</v>
      </c>
      <c r="Q96" s="428">
        <v>0.0</v>
      </c>
      <c r="R96" s="428">
        <v>9.0</v>
      </c>
      <c r="S96" s="428">
        <v>0.0</v>
      </c>
      <c r="T96" s="428">
        <v>0.0</v>
      </c>
      <c r="U96" s="428">
        <v>1.0</v>
      </c>
      <c r="V96" s="428">
        <v>0.0</v>
      </c>
      <c r="W96" s="428">
        <v>0.0</v>
      </c>
      <c r="X96" s="428">
        <v>0.0</v>
      </c>
      <c r="Y96" s="428">
        <v>1.0</v>
      </c>
      <c r="Z96" s="428">
        <v>0.0</v>
      </c>
      <c r="AA96" s="428">
        <v>0.0</v>
      </c>
      <c r="AB96" s="428">
        <v>0.0</v>
      </c>
      <c r="AC96" s="428">
        <v>0.0</v>
      </c>
      <c r="AD96" s="428">
        <v>0.0</v>
      </c>
      <c r="AE96" s="428">
        <v>0.0</v>
      </c>
      <c r="AF96" s="428">
        <v>0.0</v>
      </c>
      <c r="AG96" s="428">
        <v>0.0</v>
      </c>
      <c r="AH96" s="428">
        <v>0.0</v>
      </c>
      <c r="AI96" s="428">
        <v>2.0</v>
      </c>
      <c r="AJ96" s="428">
        <v>0.0</v>
      </c>
    </row>
    <row r="97" ht="15.75" customHeight="1">
      <c r="A97" s="19" t="s">
        <v>43</v>
      </c>
      <c r="B97" s="428">
        <v>0.0</v>
      </c>
      <c r="C97" s="428">
        <v>1.0</v>
      </c>
      <c r="D97" s="428">
        <v>0.0</v>
      </c>
      <c r="E97" s="428">
        <v>1.0</v>
      </c>
      <c r="F97" s="428">
        <v>0.0</v>
      </c>
      <c r="G97" s="428">
        <v>4.0</v>
      </c>
      <c r="H97" s="428">
        <v>61.0</v>
      </c>
      <c r="I97" s="428">
        <v>1.0</v>
      </c>
      <c r="J97" s="428">
        <v>31.0</v>
      </c>
      <c r="K97" s="428">
        <v>30.0</v>
      </c>
      <c r="L97" s="428">
        <v>9.0</v>
      </c>
      <c r="M97" s="428">
        <v>1.0</v>
      </c>
      <c r="N97" s="428">
        <v>802.0</v>
      </c>
      <c r="O97" s="428">
        <v>839.0</v>
      </c>
      <c r="P97" s="428">
        <v>25.0</v>
      </c>
      <c r="Q97" s="428">
        <v>2.0</v>
      </c>
      <c r="R97" s="428">
        <v>10.0</v>
      </c>
      <c r="S97" s="428">
        <v>4.0</v>
      </c>
      <c r="T97" s="428">
        <v>1.0</v>
      </c>
      <c r="U97" s="428">
        <v>3.0</v>
      </c>
      <c r="V97" s="428">
        <v>0.0</v>
      </c>
      <c r="W97" s="428">
        <v>0.0</v>
      </c>
      <c r="X97" s="428">
        <v>1.0</v>
      </c>
      <c r="Y97" s="428">
        <v>3.0</v>
      </c>
      <c r="Z97" s="428">
        <v>0.0</v>
      </c>
      <c r="AA97" s="428">
        <v>0.0</v>
      </c>
      <c r="AB97" s="428">
        <v>0.0</v>
      </c>
      <c r="AC97" s="428">
        <v>0.0</v>
      </c>
      <c r="AD97" s="428">
        <v>0.0</v>
      </c>
      <c r="AE97" s="428">
        <v>0.0</v>
      </c>
      <c r="AF97" s="428">
        <v>0.0</v>
      </c>
      <c r="AG97" s="428">
        <v>0.0</v>
      </c>
      <c r="AH97" s="428">
        <v>0.0</v>
      </c>
      <c r="AI97" s="428">
        <v>0.0</v>
      </c>
      <c r="AJ97" s="428">
        <v>0.0</v>
      </c>
    </row>
    <row r="98" ht="15.75" customHeight="1">
      <c r="A98" s="19" t="s">
        <v>88</v>
      </c>
      <c r="B98" s="428">
        <v>0.0</v>
      </c>
      <c r="C98" s="428">
        <v>1.0</v>
      </c>
      <c r="D98" s="428">
        <v>0.0</v>
      </c>
      <c r="E98" s="428">
        <v>1.0</v>
      </c>
      <c r="F98" s="428">
        <v>0.0</v>
      </c>
      <c r="G98" s="428">
        <v>1.0</v>
      </c>
      <c r="H98" s="428">
        <v>58.0</v>
      </c>
      <c r="I98" s="428">
        <v>2.0</v>
      </c>
      <c r="J98" s="428">
        <v>53.0</v>
      </c>
      <c r="K98" s="428">
        <v>5.0</v>
      </c>
      <c r="L98" s="428">
        <v>5.0</v>
      </c>
      <c r="M98" s="428">
        <v>1.0</v>
      </c>
      <c r="N98" s="428">
        <v>802.0</v>
      </c>
      <c r="O98" s="428">
        <v>839.0</v>
      </c>
      <c r="P98" s="428">
        <v>15.0</v>
      </c>
      <c r="Q98" s="428">
        <v>0.0</v>
      </c>
      <c r="R98" s="428">
        <v>13.0</v>
      </c>
      <c r="S98" s="428">
        <v>2.0</v>
      </c>
      <c r="T98" s="428">
        <v>1.0</v>
      </c>
      <c r="U98" s="428">
        <v>1.0</v>
      </c>
      <c r="V98" s="428">
        <v>0.0</v>
      </c>
      <c r="W98" s="428">
        <v>0.0</v>
      </c>
      <c r="X98" s="428">
        <v>1.0</v>
      </c>
      <c r="Y98" s="428">
        <v>1.0</v>
      </c>
      <c r="Z98" s="428">
        <v>0.0</v>
      </c>
      <c r="AA98" s="428">
        <v>0.0</v>
      </c>
      <c r="AB98" s="428">
        <v>0.0</v>
      </c>
      <c r="AC98" s="428">
        <v>0.0</v>
      </c>
      <c r="AD98" s="428">
        <v>0.0</v>
      </c>
      <c r="AE98" s="428">
        <v>0.0</v>
      </c>
      <c r="AF98" s="428">
        <v>0.0</v>
      </c>
      <c r="AG98" s="428">
        <v>0.0</v>
      </c>
      <c r="AH98" s="428">
        <v>0.0</v>
      </c>
      <c r="AI98" s="428">
        <v>0.0</v>
      </c>
      <c r="AJ98" s="428">
        <v>0.0</v>
      </c>
    </row>
    <row r="99" ht="15.75" customHeight="1">
      <c r="A99" s="19" t="s">
        <v>34</v>
      </c>
      <c r="B99" s="428">
        <v>1.0</v>
      </c>
      <c r="C99" s="428">
        <v>1.0</v>
      </c>
      <c r="D99" s="428">
        <v>0.0</v>
      </c>
      <c r="E99" s="428">
        <v>0.0</v>
      </c>
      <c r="F99" s="428">
        <v>1.0</v>
      </c>
      <c r="G99" s="428">
        <v>0.0</v>
      </c>
      <c r="H99" s="428">
        <v>42.0</v>
      </c>
      <c r="I99" s="428">
        <v>2.0</v>
      </c>
      <c r="J99" s="428">
        <v>51.0</v>
      </c>
      <c r="K99" s="428">
        <v>-9.0</v>
      </c>
      <c r="L99" s="428">
        <v>4.0</v>
      </c>
      <c r="M99" s="428">
        <v>3.0</v>
      </c>
      <c r="N99" s="428">
        <v>802.0</v>
      </c>
      <c r="O99" s="428">
        <v>839.0</v>
      </c>
      <c r="P99" s="428">
        <v>15.0</v>
      </c>
      <c r="Q99" s="428">
        <v>0.0</v>
      </c>
      <c r="R99" s="428">
        <v>7.0</v>
      </c>
      <c r="S99" s="428">
        <v>2.0</v>
      </c>
      <c r="T99" s="428">
        <v>1.0</v>
      </c>
      <c r="U99" s="428">
        <v>0.0</v>
      </c>
      <c r="V99" s="428">
        <v>0.0</v>
      </c>
      <c r="W99" s="428">
        <v>0.0</v>
      </c>
      <c r="X99" s="428">
        <v>1.0</v>
      </c>
      <c r="Y99" s="428">
        <v>0.0</v>
      </c>
      <c r="Z99" s="428">
        <v>0.0</v>
      </c>
      <c r="AA99" s="428">
        <v>0.0</v>
      </c>
      <c r="AB99" s="428">
        <v>0.0</v>
      </c>
      <c r="AC99" s="428">
        <v>0.0</v>
      </c>
      <c r="AD99" s="428">
        <v>0.0</v>
      </c>
      <c r="AE99" s="428">
        <v>0.0</v>
      </c>
      <c r="AF99" s="428">
        <v>0.0</v>
      </c>
      <c r="AG99" s="428">
        <v>0.0</v>
      </c>
      <c r="AH99" s="428">
        <v>0.0</v>
      </c>
      <c r="AI99" s="428">
        <v>2.0</v>
      </c>
      <c r="AJ99" s="428">
        <v>0.0</v>
      </c>
    </row>
    <row r="100" ht="15.75" customHeight="1">
      <c r="A100" s="19" t="s">
        <v>36</v>
      </c>
      <c r="B100" s="428">
        <v>1.0</v>
      </c>
      <c r="C100" s="428">
        <v>1.0</v>
      </c>
      <c r="D100" s="428">
        <v>0.0</v>
      </c>
      <c r="E100" s="428">
        <v>0.0</v>
      </c>
      <c r="F100" s="428">
        <v>1.0</v>
      </c>
      <c r="G100" s="428">
        <v>0.0</v>
      </c>
      <c r="H100" s="428">
        <v>65.0</v>
      </c>
      <c r="I100" s="428">
        <v>2.0</v>
      </c>
      <c r="J100" s="428">
        <v>71.0</v>
      </c>
      <c r="K100" s="428">
        <v>-6.0</v>
      </c>
      <c r="L100" s="428">
        <v>4.0</v>
      </c>
      <c r="M100" s="428">
        <v>2.0</v>
      </c>
      <c r="N100" s="428">
        <v>802.0</v>
      </c>
      <c r="O100" s="428">
        <v>839.0</v>
      </c>
      <c r="P100" s="428">
        <v>11.0</v>
      </c>
      <c r="Q100" s="428">
        <v>0.0</v>
      </c>
      <c r="R100" s="428">
        <v>17.0</v>
      </c>
      <c r="S100" s="428">
        <v>4.0</v>
      </c>
      <c r="T100" s="428">
        <v>0.0</v>
      </c>
      <c r="U100" s="428">
        <v>0.0</v>
      </c>
      <c r="V100" s="428">
        <v>0.0</v>
      </c>
      <c r="W100" s="428">
        <v>0.0</v>
      </c>
      <c r="X100" s="428">
        <v>0.0</v>
      </c>
      <c r="Y100" s="428">
        <v>0.0</v>
      </c>
      <c r="Z100" s="428">
        <v>0.0</v>
      </c>
      <c r="AA100" s="428">
        <v>0.0</v>
      </c>
      <c r="AB100" s="428">
        <v>0.0</v>
      </c>
      <c r="AC100" s="428">
        <v>0.0</v>
      </c>
      <c r="AD100" s="428">
        <v>0.0</v>
      </c>
      <c r="AE100" s="428">
        <v>0.0</v>
      </c>
      <c r="AF100" s="428">
        <v>0.0</v>
      </c>
      <c r="AG100" s="428">
        <v>0.0</v>
      </c>
      <c r="AH100" s="428">
        <v>0.0</v>
      </c>
      <c r="AI100" s="428">
        <v>1.0</v>
      </c>
      <c r="AJ100" s="428">
        <v>0.0</v>
      </c>
    </row>
    <row r="101" ht="15.75" customHeight="1">
      <c r="A101" s="19" t="s">
        <v>131</v>
      </c>
      <c r="B101" s="428">
        <v>1.0</v>
      </c>
      <c r="C101" s="428">
        <v>1.0</v>
      </c>
      <c r="D101" s="428">
        <v>0.0</v>
      </c>
      <c r="E101" s="428">
        <v>0.0</v>
      </c>
      <c r="F101" s="428">
        <v>1.0</v>
      </c>
      <c r="G101" s="428">
        <v>0.0</v>
      </c>
      <c r="H101" s="428">
        <v>46.0</v>
      </c>
      <c r="I101" s="428">
        <v>1.0</v>
      </c>
      <c r="J101" s="428">
        <v>53.0</v>
      </c>
      <c r="K101" s="428">
        <v>-7.0</v>
      </c>
      <c r="L101" s="428">
        <v>3.0</v>
      </c>
      <c r="M101" s="428">
        <v>1.0</v>
      </c>
      <c r="N101" s="428">
        <v>802.0</v>
      </c>
      <c r="O101" s="428">
        <v>839.0</v>
      </c>
      <c r="P101" s="428">
        <v>15.0</v>
      </c>
      <c r="Q101" s="428">
        <v>3.0</v>
      </c>
      <c r="R101" s="428">
        <v>6.0</v>
      </c>
      <c r="S101" s="428">
        <v>0.0</v>
      </c>
      <c r="T101" s="428">
        <v>0.0</v>
      </c>
      <c r="U101" s="428">
        <v>0.0</v>
      </c>
      <c r="V101" s="428">
        <v>0.0</v>
      </c>
      <c r="W101" s="428">
        <v>0.0</v>
      </c>
      <c r="X101" s="428">
        <v>0.0</v>
      </c>
      <c r="Y101" s="428">
        <v>0.0</v>
      </c>
      <c r="Z101" s="428">
        <v>0.0</v>
      </c>
      <c r="AA101" s="428">
        <v>0.0</v>
      </c>
      <c r="AB101" s="428">
        <v>0.0</v>
      </c>
      <c r="AC101" s="428">
        <v>0.0</v>
      </c>
      <c r="AD101" s="428">
        <v>0.0</v>
      </c>
      <c r="AE101" s="428">
        <v>0.0</v>
      </c>
      <c r="AF101" s="428">
        <v>0.0</v>
      </c>
      <c r="AG101" s="428">
        <v>0.0</v>
      </c>
      <c r="AH101" s="428">
        <v>0.0</v>
      </c>
      <c r="AI101" s="428">
        <v>1.0</v>
      </c>
      <c r="AJ101" s="428">
        <v>0.0</v>
      </c>
    </row>
    <row r="102" ht="15.75" customHeight="1">
      <c r="A102" s="19" t="s">
        <v>117</v>
      </c>
      <c r="B102" s="428">
        <v>1.0</v>
      </c>
      <c r="C102" s="428">
        <v>1.0</v>
      </c>
      <c r="D102" s="428">
        <v>0.0</v>
      </c>
      <c r="E102" s="428">
        <v>0.0</v>
      </c>
      <c r="F102" s="428">
        <v>1.0</v>
      </c>
      <c r="G102" s="428">
        <v>1.0</v>
      </c>
      <c r="H102" s="428">
        <v>46.0</v>
      </c>
      <c r="I102" s="428">
        <v>3.0</v>
      </c>
      <c r="J102" s="428">
        <v>64.0</v>
      </c>
      <c r="K102" s="428">
        <v>-18.0</v>
      </c>
      <c r="L102" s="428">
        <v>4.0</v>
      </c>
      <c r="M102" s="428">
        <v>3.0</v>
      </c>
      <c r="N102" s="428">
        <v>802.0</v>
      </c>
      <c r="O102" s="428">
        <v>839.0</v>
      </c>
      <c r="P102" s="428">
        <v>12.0</v>
      </c>
      <c r="Q102" s="428">
        <v>0.0</v>
      </c>
      <c r="R102" s="428">
        <v>8.0</v>
      </c>
      <c r="S102" s="428">
        <v>0.0</v>
      </c>
      <c r="T102" s="428">
        <v>0.0</v>
      </c>
      <c r="U102" s="428">
        <v>0.0</v>
      </c>
      <c r="V102" s="428">
        <v>0.0</v>
      </c>
      <c r="W102" s="428">
        <v>0.0</v>
      </c>
      <c r="X102" s="428">
        <v>0.0</v>
      </c>
      <c r="Y102" s="428">
        <v>0.0</v>
      </c>
      <c r="Z102" s="428">
        <v>0.0</v>
      </c>
      <c r="AA102" s="428">
        <v>0.0</v>
      </c>
      <c r="AB102" s="428">
        <v>0.0</v>
      </c>
      <c r="AC102" s="428">
        <v>0.0</v>
      </c>
      <c r="AD102" s="428">
        <v>0.0</v>
      </c>
      <c r="AE102" s="428">
        <v>0.0</v>
      </c>
      <c r="AF102" s="428">
        <v>0.0</v>
      </c>
      <c r="AG102" s="428">
        <v>0.0</v>
      </c>
      <c r="AH102" s="428">
        <v>0.0</v>
      </c>
      <c r="AI102" s="428">
        <v>1.0</v>
      </c>
      <c r="AJ102" s="428">
        <v>0.0</v>
      </c>
    </row>
    <row r="103" ht="15.75" customHeight="1">
      <c r="A103" s="429" t="s">
        <v>24</v>
      </c>
      <c r="B103" s="430">
        <v>0.0</v>
      </c>
      <c r="C103" s="430">
        <v>0.0</v>
      </c>
      <c r="D103" s="430">
        <v>1.0</v>
      </c>
      <c r="E103" s="430">
        <v>0.0</v>
      </c>
      <c r="F103" s="430">
        <v>0.0</v>
      </c>
      <c r="G103" s="430">
        <v>0.0</v>
      </c>
      <c r="H103" s="430">
        <v>0.0</v>
      </c>
      <c r="I103" s="430">
        <v>0.0</v>
      </c>
      <c r="J103" s="430">
        <v>0.0</v>
      </c>
      <c r="K103" s="430">
        <v>0.0</v>
      </c>
      <c r="L103" s="430">
        <v>0.0</v>
      </c>
      <c r="M103" s="430">
        <v>0.0</v>
      </c>
      <c r="N103" s="430">
        <v>0.0</v>
      </c>
      <c r="O103" s="430">
        <v>0.0</v>
      </c>
      <c r="P103" s="430">
        <v>0.0</v>
      </c>
      <c r="Q103" s="430">
        <v>0.0</v>
      </c>
      <c r="R103" s="430">
        <v>0.0</v>
      </c>
      <c r="S103" s="430">
        <v>0.0</v>
      </c>
      <c r="T103" s="430">
        <v>0.0</v>
      </c>
      <c r="U103" s="430">
        <v>0.0</v>
      </c>
      <c r="V103" s="430">
        <v>0.0</v>
      </c>
      <c r="W103" s="430">
        <v>0.0</v>
      </c>
      <c r="X103" s="430">
        <v>0.0</v>
      </c>
      <c r="Y103" s="430">
        <v>0.0</v>
      </c>
      <c r="Z103" s="430">
        <v>0.0</v>
      </c>
      <c r="AA103" s="430">
        <v>0.0</v>
      </c>
      <c r="AB103" s="430">
        <v>0.0</v>
      </c>
      <c r="AC103" s="430">
        <v>0.0</v>
      </c>
      <c r="AD103" s="430">
        <v>0.0</v>
      </c>
      <c r="AE103" s="430">
        <v>0.0</v>
      </c>
      <c r="AF103" s="430">
        <v>0.0</v>
      </c>
      <c r="AG103" s="430">
        <v>0.0</v>
      </c>
      <c r="AH103" s="430">
        <v>0.0</v>
      </c>
      <c r="AI103" s="430">
        <v>0.0</v>
      </c>
      <c r="AJ103" s="430">
        <v>0.0</v>
      </c>
    </row>
    <row r="104" ht="15.75" customHeight="1">
      <c r="A104" s="431" t="s">
        <v>31</v>
      </c>
      <c r="B104" s="428">
        <v>1.0</v>
      </c>
      <c r="C104" s="428">
        <v>1.0</v>
      </c>
      <c r="D104" s="428">
        <v>0.0</v>
      </c>
      <c r="E104" s="428">
        <v>1.0</v>
      </c>
      <c r="F104" s="428">
        <v>0.0</v>
      </c>
      <c r="G104" s="428">
        <v>0.0</v>
      </c>
      <c r="H104" s="428">
        <v>97.0</v>
      </c>
      <c r="I104" s="428">
        <v>1.0</v>
      </c>
      <c r="J104" s="428">
        <v>92.0</v>
      </c>
      <c r="K104" s="428">
        <v>5.0</v>
      </c>
      <c r="L104" s="428">
        <v>4.0</v>
      </c>
      <c r="M104" s="428">
        <v>5.0</v>
      </c>
      <c r="N104" s="428">
        <v>1030.0</v>
      </c>
      <c r="O104" s="428">
        <v>1067.0</v>
      </c>
      <c r="P104" s="428">
        <v>11.0</v>
      </c>
      <c r="Q104" s="428">
        <v>5.0</v>
      </c>
      <c r="R104" s="428">
        <v>19.0</v>
      </c>
      <c r="S104" s="428">
        <v>5.0</v>
      </c>
      <c r="T104" s="428">
        <v>0.0</v>
      </c>
      <c r="U104" s="428">
        <v>0.0</v>
      </c>
      <c r="V104" s="428">
        <v>0.0</v>
      </c>
      <c r="W104" s="428">
        <v>0.0</v>
      </c>
      <c r="X104" s="428">
        <v>0.0</v>
      </c>
      <c r="Y104" s="428">
        <v>0.0</v>
      </c>
      <c r="Z104" s="428">
        <v>0.0</v>
      </c>
      <c r="AA104" s="428">
        <v>0.0</v>
      </c>
      <c r="AB104" s="428">
        <v>0.0</v>
      </c>
      <c r="AC104" s="428">
        <v>0.0</v>
      </c>
      <c r="AD104" s="428">
        <v>0.0</v>
      </c>
      <c r="AE104" s="428">
        <v>0.0</v>
      </c>
      <c r="AF104" s="428">
        <v>0.0</v>
      </c>
      <c r="AG104" s="428">
        <v>0.0</v>
      </c>
      <c r="AH104" s="428">
        <v>0.0</v>
      </c>
      <c r="AI104" s="428">
        <v>0.0</v>
      </c>
      <c r="AJ104" s="428">
        <v>0.0</v>
      </c>
    </row>
    <row r="105" ht="15.75" customHeight="1">
      <c r="A105" s="19" t="s">
        <v>104</v>
      </c>
      <c r="B105" s="428">
        <v>1.0</v>
      </c>
      <c r="C105" s="428">
        <v>1.0</v>
      </c>
      <c r="D105" s="428">
        <v>0.0</v>
      </c>
      <c r="E105" s="428">
        <v>1.0</v>
      </c>
      <c r="F105" s="428">
        <v>0.0</v>
      </c>
      <c r="G105" s="428">
        <v>3.0</v>
      </c>
      <c r="H105" s="428">
        <v>51.0</v>
      </c>
      <c r="I105" s="428">
        <v>5.0</v>
      </c>
      <c r="J105" s="428">
        <v>63.0</v>
      </c>
      <c r="K105" s="428">
        <v>-12.0</v>
      </c>
      <c r="L105" s="428">
        <v>3.0</v>
      </c>
      <c r="M105" s="428">
        <v>3.0</v>
      </c>
      <c r="N105" s="428">
        <v>1030.0</v>
      </c>
      <c r="O105" s="428">
        <v>1067.0</v>
      </c>
      <c r="P105" s="428">
        <v>16.0</v>
      </c>
      <c r="Q105" s="428">
        <v>0.0</v>
      </c>
      <c r="R105" s="428">
        <v>10.0</v>
      </c>
      <c r="S105" s="428">
        <v>0.0</v>
      </c>
      <c r="T105" s="428">
        <v>0.0</v>
      </c>
      <c r="U105" s="428">
        <v>0.0</v>
      </c>
      <c r="V105" s="428">
        <v>0.0</v>
      </c>
      <c r="W105" s="428">
        <v>0.0</v>
      </c>
      <c r="X105" s="428">
        <v>0.0</v>
      </c>
      <c r="Y105" s="428">
        <v>0.0</v>
      </c>
      <c r="Z105" s="428">
        <v>0.0</v>
      </c>
      <c r="AA105" s="428">
        <v>0.0</v>
      </c>
      <c r="AB105" s="428">
        <v>0.0</v>
      </c>
      <c r="AC105" s="428">
        <v>0.0</v>
      </c>
      <c r="AD105" s="428">
        <v>0.0</v>
      </c>
      <c r="AE105" s="428">
        <v>0.0</v>
      </c>
      <c r="AF105" s="428">
        <v>0.0</v>
      </c>
      <c r="AG105" s="428">
        <v>0.0</v>
      </c>
      <c r="AH105" s="428">
        <v>0.0</v>
      </c>
      <c r="AI105" s="428">
        <v>0.0</v>
      </c>
      <c r="AJ105" s="428">
        <v>0.0</v>
      </c>
    </row>
    <row r="106" ht="15.75" customHeight="1">
      <c r="A106" s="19" t="s">
        <v>43</v>
      </c>
      <c r="B106" s="428">
        <v>1.0</v>
      </c>
      <c r="C106" s="428">
        <v>1.0</v>
      </c>
      <c r="D106" s="428">
        <v>0.0</v>
      </c>
      <c r="E106" s="428">
        <v>1.0</v>
      </c>
      <c r="F106" s="428">
        <v>0.0</v>
      </c>
      <c r="G106" s="428">
        <v>1.0</v>
      </c>
      <c r="H106" s="428">
        <v>67.0</v>
      </c>
      <c r="I106" s="428">
        <v>1.0</v>
      </c>
      <c r="J106" s="428">
        <v>41.0</v>
      </c>
      <c r="K106" s="428">
        <v>26.0</v>
      </c>
      <c r="L106" s="428">
        <v>8.0</v>
      </c>
      <c r="M106" s="428">
        <v>0.0</v>
      </c>
      <c r="N106" s="428">
        <v>1030.0</v>
      </c>
      <c r="O106" s="428">
        <v>1067.0</v>
      </c>
      <c r="P106" s="428">
        <v>25.0</v>
      </c>
      <c r="Q106" s="428">
        <v>1.0</v>
      </c>
      <c r="R106" s="428">
        <v>7.0</v>
      </c>
      <c r="S106" s="428">
        <v>2.0</v>
      </c>
      <c r="T106" s="428">
        <v>0.0</v>
      </c>
      <c r="U106" s="428">
        <v>1.0</v>
      </c>
      <c r="V106" s="428">
        <v>0.0</v>
      </c>
      <c r="W106" s="428">
        <v>0.0</v>
      </c>
      <c r="X106" s="428">
        <v>0.0</v>
      </c>
      <c r="Y106" s="428">
        <v>1.0</v>
      </c>
      <c r="Z106" s="428">
        <v>0.0</v>
      </c>
      <c r="AA106" s="428">
        <v>0.0</v>
      </c>
      <c r="AB106" s="428">
        <v>0.0</v>
      </c>
      <c r="AC106" s="428">
        <v>0.0</v>
      </c>
      <c r="AD106" s="428">
        <v>0.0</v>
      </c>
      <c r="AE106" s="428">
        <v>0.0</v>
      </c>
      <c r="AF106" s="428">
        <v>0.0</v>
      </c>
      <c r="AG106" s="428">
        <v>0.0</v>
      </c>
      <c r="AH106" s="428">
        <v>0.0</v>
      </c>
      <c r="AI106" s="428">
        <v>2.0</v>
      </c>
      <c r="AJ106" s="428">
        <v>0.0</v>
      </c>
    </row>
    <row r="107" ht="15.75" customHeight="1">
      <c r="A107" s="19" t="s">
        <v>88</v>
      </c>
      <c r="B107" s="428">
        <v>1.0</v>
      </c>
      <c r="C107" s="428">
        <v>1.0</v>
      </c>
      <c r="D107" s="428">
        <v>0.0</v>
      </c>
      <c r="E107" s="428">
        <v>1.0</v>
      </c>
      <c r="F107" s="428">
        <v>0.0</v>
      </c>
      <c r="G107" s="428">
        <v>1.0</v>
      </c>
      <c r="H107" s="428">
        <v>87.0</v>
      </c>
      <c r="I107" s="428">
        <v>2.0</v>
      </c>
      <c r="J107" s="428">
        <v>74.0</v>
      </c>
      <c r="K107" s="428">
        <v>13.0</v>
      </c>
      <c r="L107" s="428">
        <v>8.0</v>
      </c>
      <c r="M107" s="428">
        <v>4.0</v>
      </c>
      <c r="N107" s="428">
        <v>1030.0</v>
      </c>
      <c r="O107" s="428">
        <v>1067.0</v>
      </c>
      <c r="P107" s="428">
        <v>13.0</v>
      </c>
      <c r="Q107" s="428">
        <v>2.0</v>
      </c>
      <c r="R107" s="428">
        <v>14.0</v>
      </c>
      <c r="S107" s="428">
        <v>5.0</v>
      </c>
      <c r="T107" s="428">
        <v>9.0</v>
      </c>
      <c r="U107" s="428">
        <v>3.0</v>
      </c>
      <c r="V107" s="428">
        <v>0.0</v>
      </c>
      <c r="W107" s="428">
        <v>0.0</v>
      </c>
      <c r="X107" s="428">
        <v>5.0</v>
      </c>
      <c r="Y107" s="428">
        <v>3.0</v>
      </c>
      <c r="Z107" s="428">
        <v>0.0</v>
      </c>
      <c r="AA107" s="428">
        <v>0.0</v>
      </c>
      <c r="AB107" s="428">
        <v>0.0</v>
      </c>
      <c r="AC107" s="428">
        <v>1.0</v>
      </c>
      <c r="AD107" s="428">
        <v>1.0</v>
      </c>
      <c r="AE107" s="428">
        <v>1.0</v>
      </c>
      <c r="AF107" s="428">
        <v>1.0</v>
      </c>
      <c r="AG107" s="428">
        <v>0.0</v>
      </c>
      <c r="AH107" s="428">
        <v>0.0</v>
      </c>
      <c r="AI107" s="428">
        <v>3.0</v>
      </c>
      <c r="AJ107" s="428">
        <v>0.0</v>
      </c>
    </row>
    <row r="108" ht="15.75" customHeight="1">
      <c r="A108" s="19" t="s">
        <v>85</v>
      </c>
      <c r="B108" s="428">
        <v>0.0</v>
      </c>
      <c r="C108" s="428">
        <v>1.0</v>
      </c>
      <c r="D108" s="428">
        <v>0.0</v>
      </c>
      <c r="E108" s="428">
        <v>0.0</v>
      </c>
      <c r="F108" s="428">
        <v>1.0</v>
      </c>
      <c r="G108" s="428">
        <v>0.0</v>
      </c>
      <c r="H108" s="428">
        <v>80.0</v>
      </c>
      <c r="I108" s="428">
        <v>2.0</v>
      </c>
      <c r="J108" s="428">
        <v>84.0</v>
      </c>
      <c r="K108" s="428">
        <v>-4.0</v>
      </c>
      <c r="L108" s="428">
        <v>4.0</v>
      </c>
      <c r="M108" s="428">
        <v>0.0</v>
      </c>
      <c r="N108" s="428">
        <v>1031.0</v>
      </c>
      <c r="O108" s="428">
        <v>1067.0</v>
      </c>
      <c r="P108" s="428">
        <v>12.0</v>
      </c>
      <c r="Q108" s="428">
        <v>2.0</v>
      </c>
      <c r="R108" s="428">
        <v>13.0</v>
      </c>
      <c r="S108" s="428">
        <v>5.0</v>
      </c>
      <c r="T108" s="428">
        <v>1.0</v>
      </c>
      <c r="U108" s="428">
        <v>0.0</v>
      </c>
      <c r="V108" s="428">
        <v>0.0</v>
      </c>
      <c r="W108" s="428">
        <v>0.0</v>
      </c>
      <c r="X108" s="428">
        <v>1.0</v>
      </c>
      <c r="Y108" s="428">
        <v>0.0</v>
      </c>
      <c r="Z108" s="428">
        <v>0.0</v>
      </c>
      <c r="AA108" s="428">
        <v>0.0</v>
      </c>
      <c r="AB108" s="428">
        <v>0.0</v>
      </c>
      <c r="AC108" s="428">
        <v>0.0</v>
      </c>
      <c r="AD108" s="428">
        <v>0.0</v>
      </c>
      <c r="AE108" s="428">
        <v>0.0</v>
      </c>
      <c r="AF108" s="428">
        <v>0.0</v>
      </c>
      <c r="AG108" s="428">
        <v>0.0</v>
      </c>
      <c r="AH108" s="428">
        <v>0.0</v>
      </c>
      <c r="AI108" s="428">
        <v>0.0</v>
      </c>
      <c r="AJ108" s="428">
        <v>0.0</v>
      </c>
    </row>
    <row r="109" ht="15.75" customHeight="1">
      <c r="A109" s="431" t="s">
        <v>115</v>
      </c>
      <c r="B109" s="428">
        <v>0.0</v>
      </c>
      <c r="C109" s="428">
        <v>1.0</v>
      </c>
      <c r="D109" s="428">
        <v>0.0</v>
      </c>
      <c r="E109" s="428">
        <v>0.0</v>
      </c>
      <c r="F109" s="428">
        <v>1.0</v>
      </c>
      <c r="G109" s="428">
        <v>1.0</v>
      </c>
      <c r="H109" s="428">
        <v>76.0</v>
      </c>
      <c r="I109" s="428">
        <v>3.0</v>
      </c>
      <c r="J109" s="428">
        <v>76.0</v>
      </c>
      <c r="K109" s="428">
        <v>0.0</v>
      </c>
      <c r="L109" s="428">
        <v>5.0</v>
      </c>
      <c r="M109" s="428">
        <v>5.0</v>
      </c>
      <c r="N109" s="428">
        <v>1030.0</v>
      </c>
      <c r="O109" s="428">
        <v>1067.0</v>
      </c>
      <c r="P109" s="428">
        <v>13.0</v>
      </c>
      <c r="Q109" s="428">
        <v>2.0</v>
      </c>
      <c r="R109" s="428">
        <v>18.0</v>
      </c>
      <c r="S109" s="428">
        <v>2.0</v>
      </c>
      <c r="T109" s="428">
        <v>2.0</v>
      </c>
      <c r="U109" s="428">
        <v>2.0</v>
      </c>
      <c r="V109" s="428">
        <v>0.0</v>
      </c>
      <c r="W109" s="428">
        <v>0.0</v>
      </c>
      <c r="X109" s="428">
        <v>1.0</v>
      </c>
      <c r="Y109" s="428">
        <v>2.0</v>
      </c>
      <c r="Z109" s="428">
        <v>0.0</v>
      </c>
      <c r="AA109" s="428">
        <v>0.0</v>
      </c>
      <c r="AB109" s="428">
        <v>0.0</v>
      </c>
      <c r="AC109" s="428">
        <v>1.0</v>
      </c>
      <c r="AD109" s="428">
        <v>0.0</v>
      </c>
      <c r="AE109" s="428">
        <v>0.0</v>
      </c>
      <c r="AF109" s="428">
        <v>0.0</v>
      </c>
      <c r="AG109" s="428">
        <v>0.0</v>
      </c>
      <c r="AH109" s="428">
        <v>0.0</v>
      </c>
      <c r="AI109" s="428">
        <v>0.0</v>
      </c>
      <c r="AJ109" s="428">
        <v>0.0</v>
      </c>
    </row>
    <row r="110" ht="15.75" customHeight="1">
      <c r="A110" s="431" t="s">
        <v>56</v>
      </c>
      <c r="B110" s="428">
        <v>0.0</v>
      </c>
      <c r="C110" s="428">
        <v>1.0</v>
      </c>
      <c r="D110" s="428">
        <v>0.0</v>
      </c>
      <c r="E110" s="428">
        <v>0.0</v>
      </c>
      <c r="F110" s="428">
        <v>1.0</v>
      </c>
      <c r="G110" s="428">
        <v>0.0</v>
      </c>
      <c r="H110" s="428">
        <v>46.0</v>
      </c>
      <c r="I110" s="428">
        <v>3.0</v>
      </c>
      <c r="J110" s="428">
        <v>64.0</v>
      </c>
      <c r="K110" s="428">
        <v>-18.0</v>
      </c>
      <c r="L110" s="428">
        <v>6.0</v>
      </c>
      <c r="M110" s="428">
        <v>0.0</v>
      </c>
      <c r="N110" s="428">
        <v>1030.0</v>
      </c>
      <c r="O110" s="428">
        <v>1067.0</v>
      </c>
      <c r="P110" s="428">
        <v>16.0</v>
      </c>
      <c r="Q110" s="428">
        <v>0.0</v>
      </c>
      <c r="R110" s="428">
        <v>3.0</v>
      </c>
      <c r="S110" s="428">
        <v>0.0</v>
      </c>
      <c r="T110" s="428">
        <v>0.0</v>
      </c>
      <c r="U110" s="428">
        <v>2.0</v>
      </c>
      <c r="V110" s="428">
        <v>0.0</v>
      </c>
      <c r="W110" s="428">
        <v>0.0</v>
      </c>
      <c r="X110" s="428">
        <v>0.0</v>
      </c>
      <c r="Y110" s="428">
        <v>2.0</v>
      </c>
      <c r="Z110" s="428">
        <v>0.0</v>
      </c>
      <c r="AA110" s="428">
        <v>0.0</v>
      </c>
      <c r="AB110" s="428">
        <v>0.0</v>
      </c>
      <c r="AC110" s="428">
        <v>0.0</v>
      </c>
      <c r="AD110" s="428">
        <v>0.0</v>
      </c>
      <c r="AE110" s="428">
        <v>0.0</v>
      </c>
      <c r="AF110" s="428">
        <v>0.0</v>
      </c>
      <c r="AG110" s="428">
        <v>0.0</v>
      </c>
      <c r="AH110" s="428">
        <v>0.0</v>
      </c>
      <c r="AI110" s="428">
        <v>0.0</v>
      </c>
      <c r="AJ110" s="428">
        <v>0.0</v>
      </c>
    </row>
    <row r="111" ht="15.75" customHeight="1">
      <c r="A111" s="431" t="s">
        <v>44</v>
      </c>
      <c r="B111" s="428">
        <v>0.0</v>
      </c>
      <c r="C111" s="428">
        <v>1.0</v>
      </c>
      <c r="D111" s="428">
        <v>0.0</v>
      </c>
      <c r="E111" s="428">
        <v>0.0</v>
      </c>
      <c r="F111" s="428">
        <v>1.0</v>
      </c>
      <c r="G111" s="428">
        <v>0.0</v>
      </c>
      <c r="H111" s="428">
        <v>56.0</v>
      </c>
      <c r="I111" s="428">
        <v>1.0</v>
      </c>
      <c r="J111" s="428">
        <v>83.0</v>
      </c>
      <c r="K111" s="428">
        <v>-27.0</v>
      </c>
      <c r="L111" s="428">
        <v>3.0</v>
      </c>
      <c r="M111" s="428">
        <v>0.0</v>
      </c>
      <c r="N111" s="428">
        <v>1030.0</v>
      </c>
      <c r="O111" s="428">
        <v>1067.0</v>
      </c>
      <c r="P111" s="428">
        <v>12.0</v>
      </c>
      <c r="Q111" s="428">
        <v>0.0</v>
      </c>
      <c r="R111" s="428">
        <v>8.0</v>
      </c>
      <c r="S111" s="428">
        <v>1.0</v>
      </c>
      <c r="T111" s="428">
        <v>0.0</v>
      </c>
      <c r="U111" s="428">
        <v>0.0</v>
      </c>
      <c r="V111" s="428">
        <v>0.0</v>
      </c>
      <c r="W111" s="428">
        <v>0.0</v>
      </c>
      <c r="X111" s="428">
        <v>0.0</v>
      </c>
      <c r="Y111" s="428">
        <v>0.0</v>
      </c>
      <c r="Z111" s="428">
        <v>0.0</v>
      </c>
      <c r="AA111" s="428">
        <v>0.0</v>
      </c>
      <c r="AB111" s="428">
        <v>0.0</v>
      </c>
      <c r="AC111" s="428">
        <v>0.0</v>
      </c>
      <c r="AD111" s="428">
        <v>0.0</v>
      </c>
      <c r="AE111" s="428">
        <v>0.0</v>
      </c>
      <c r="AF111" s="428">
        <v>0.0</v>
      </c>
      <c r="AG111" s="428">
        <v>0.0</v>
      </c>
      <c r="AH111" s="428">
        <v>0.0</v>
      </c>
      <c r="AI111" s="428">
        <v>0.0</v>
      </c>
      <c r="AJ111" s="428">
        <v>0.0</v>
      </c>
    </row>
    <row r="112" ht="15.75" customHeight="1">
      <c r="A112" s="432" t="s">
        <v>168</v>
      </c>
      <c r="B112" s="430">
        <v>1.0</v>
      </c>
      <c r="C112" s="430">
        <v>0.0</v>
      </c>
      <c r="D112" s="430">
        <v>1.0</v>
      </c>
      <c r="E112" s="430">
        <v>0.0</v>
      </c>
      <c r="F112" s="430">
        <v>0.0</v>
      </c>
      <c r="G112" s="430">
        <v>0.0</v>
      </c>
      <c r="H112" s="430">
        <v>0.0</v>
      </c>
      <c r="I112" s="430">
        <v>0.0</v>
      </c>
      <c r="J112" s="430">
        <v>0.0</v>
      </c>
      <c r="K112" s="430">
        <v>0.0</v>
      </c>
      <c r="L112" s="430">
        <v>0.0</v>
      </c>
      <c r="M112" s="430">
        <v>0.0</v>
      </c>
      <c r="N112" s="430">
        <v>0.0</v>
      </c>
      <c r="O112" s="430">
        <v>0.0</v>
      </c>
      <c r="P112" s="430">
        <v>0.0</v>
      </c>
      <c r="Q112" s="430">
        <v>0.0</v>
      </c>
      <c r="R112" s="430">
        <v>0.0</v>
      </c>
      <c r="S112" s="430">
        <v>0.0</v>
      </c>
      <c r="T112" s="430">
        <v>0.0</v>
      </c>
      <c r="U112" s="430">
        <v>0.0</v>
      </c>
      <c r="V112" s="430">
        <v>0.0</v>
      </c>
      <c r="W112" s="430">
        <v>0.0</v>
      </c>
      <c r="X112" s="430">
        <v>0.0</v>
      </c>
      <c r="Y112" s="430">
        <v>0.0</v>
      </c>
      <c r="Z112" s="430">
        <v>0.0</v>
      </c>
      <c r="AA112" s="430">
        <v>0.0</v>
      </c>
      <c r="AB112" s="430">
        <v>0.0</v>
      </c>
      <c r="AC112" s="430">
        <v>0.0</v>
      </c>
      <c r="AD112" s="430">
        <v>0.0</v>
      </c>
      <c r="AE112" s="430">
        <v>0.0</v>
      </c>
      <c r="AF112" s="430">
        <v>0.0</v>
      </c>
      <c r="AG112" s="430">
        <v>0.0</v>
      </c>
      <c r="AH112" s="430">
        <v>0.0</v>
      </c>
      <c r="AI112" s="430">
        <v>0.0</v>
      </c>
      <c r="AJ112" s="430">
        <v>0.0</v>
      </c>
    </row>
    <row r="113" ht="15.75" customHeight="1">
      <c r="A113" s="431" t="s">
        <v>153</v>
      </c>
      <c r="B113" s="428">
        <v>1.0</v>
      </c>
      <c r="C113" s="428">
        <v>1.0</v>
      </c>
      <c r="D113" s="428">
        <v>0.0</v>
      </c>
      <c r="E113" s="428">
        <v>1.0</v>
      </c>
      <c r="F113" s="428">
        <v>0.0</v>
      </c>
      <c r="G113" s="428">
        <v>0.0</v>
      </c>
      <c r="H113" s="428">
        <v>77.0</v>
      </c>
      <c r="I113" s="428">
        <v>3.0</v>
      </c>
      <c r="J113" s="428">
        <v>77.0</v>
      </c>
      <c r="K113" s="428">
        <v>0.0</v>
      </c>
      <c r="L113" s="428">
        <v>5.0</v>
      </c>
      <c r="M113" s="428">
        <v>1.0</v>
      </c>
      <c r="N113" s="428">
        <v>1141.0</v>
      </c>
      <c r="O113" s="428">
        <v>1194.0</v>
      </c>
      <c r="P113" s="428">
        <v>14.0</v>
      </c>
      <c r="Q113" s="428">
        <v>5.0</v>
      </c>
      <c r="R113" s="428">
        <v>12.0</v>
      </c>
      <c r="S113" s="428">
        <v>3.0</v>
      </c>
      <c r="T113" s="428">
        <v>0.0</v>
      </c>
      <c r="U113" s="428">
        <v>1.0</v>
      </c>
      <c r="V113" s="428">
        <v>0.0</v>
      </c>
      <c r="W113" s="428">
        <v>0.0</v>
      </c>
      <c r="X113" s="428">
        <v>0.0</v>
      </c>
      <c r="Y113" s="428">
        <v>1.0</v>
      </c>
      <c r="Z113" s="428">
        <v>0.0</v>
      </c>
      <c r="AA113" s="428">
        <v>0.0</v>
      </c>
      <c r="AB113" s="428">
        <v>0.0</v>
      </c>
      <c r="AC113" s="428">
        <v>0.0</v>
      </c>
      <c r="AD113" s="428">
        <v>0.0</v>
      </c>
      <c r="AE113" s="428">
        <v>0.0</v>
      </c>
      <c r="AF113" s="428">
        <v>0.0</v>
      </c>
      <c r="AG113" s="428">
        <v>0.0</v>
      </c>
      <c r="AH113" s="428">
        <v>0.0</v>
      </c>
      <c r="AI113" s="428">
        <v>3.0</v>
      </c>
      <c r="AJ113" s="428">
        <v>0.0</v>
      </c>
    </row>
    <row r="114" ht="15.75" customHeight="1">
      <c r="A114" s="431" t="s">
        <v>40</v>
      </c>
      <c r="B114" s="428">
        <v>1.0</v>
      </c>
      <c r="C114" s="428">
        <v>1.0</v>
      </c>
      <c r="D114" s="428">
        <v>0.0</v>
      </c>
      <c r="E114" s="428">
        <v>1.0</v>
      </c>
      <c r="F114" s="428">
        <v>0.0</v>
      </c>
      <c r="G114" s="428">
        <v>0.0</v>
      </c>
      <c r="H114" s="428">
        <v>69.0</v>
      </c>
      <c r="I114" s="428">
        <v>1.0</v>
      </c>
      <c r="J114" s="428">
        <v>69.0</v>
      </c>
      <c r="K114" s="428">
        <v>0.0</v>
      </c>
      <c r="L114" s="428">
        <v>4.0</v>
      </c>
      <c r="M114" s="428">
        <v>0.0</v>
      </c>
      <c r="N114" s="428">
        <v>1140.0</v>
      </c>
      <c r="O114" s="428">
        <v>1193.0</v>
      </c>
      <c r="P114" s="428">
        <v>16.0</v>
      </c>
      <c r="Q114" s="428">
        <v>2.0</v>
      </c>
      <c r="R114" s="428">
        <v>12.0</v>
      </c>
      <c r="S114" s="428">
        <v>2.0</v>
      </c>
      <c r="T114" s="428">
        <v>1.0</v>
      </c>
      <c r="U114" s="428">
        <v>0.0</v>
      </c>
      <c r="V114" s="428">
        <v>0.0</v>
      </c>
      <c r="W114" s="428">
        <v>0.0</v>
      </c>
      <c r="X114" s="428">
        <v>1.0</v>
      </c>
      <c r="Y114" s="428">
        <v>0.0</v>
      </c>
      <c r="Z114" s="428">
        <v>0.0</v>
      </c>
      <c r="AA114" s="428">
        <v>0.0</v>
      </c>
      <c r="AB114" s="428">
        <v>0.0</v>
      </c>
      <c r="AC114" s="428">
        <v>0.0</v>
      </c>
      <c r="AD114" s="428">
        <v>0.0</v>
      </c>
      <c r="AE114" s="428">
        <v>0.0</v>
      </c>
      <c r="AF114" s="428">
        <v>0.0</v>
      </c>
      <c r="AG114" s="428">
        <v>0.0</v>
      </c>
      <c r="AH114" s="428">
        <v>0.0</v>
      </c>
      <c r="AI114" s="428">
        <v>2.0</v>
      </c>
      <c r="AJ114" s="428">
        <v>0.0</v>
      </c>
    </row>
    <row r="115" ht="15.75" customHeight="1">
      <c r="A115" s="431" t="s">
        <v>104</v>
      </c>
      <c r="B115" s="428">
        <v>1.0</v>
      </c>
      <c r="C115" s="428">
        <v>1.0</v>
      </c>
      <c r="D115" s="428">
        <v>0.0</v>
      </c>
      <c r="E115" s="428">
        <v>1.0</v>
      </c>
      <c r="F115" s="428">
        <v>0.0</v>
      </c>
      <c r="G115" s="428">
        <v>1.0</v>
      </c>
      <c r="H115" s="428">
        <v>62.0</v>
      </c>
      <c r="I115" s="428">
        <v>2.0</v>
      </c>
      <c r="J115" s="428">
        <v>64.0</v>
      </c>
      <c r="K115" s="428">
        <v>-2.0</v>
      </c>
      <c r="L115" s="428">
        <v>3.0</v>
      </c>
      <c r="M115" s="428">
        <v>0.0</v>
      </c>
      <c r="N115" s="428">
        <v>1140.0</v>
      </c>
      <c r="O115" s="428">
        <v>1194.0</v>
      </c>
      <c r="P115" s="428">
        <v>17.0</v>
      </c>
      <c r="Q115" s="428">
        <v>4.0</v>
      </c>
      <c r="R115" s="428">
        <v>7.0</v>
      </c>
      <c r="S115" s="428">
        <v>2.0</v>
      </c>
      <c r="T115" s="428">
        <v>0.0</v>
      </c>
      <c r="U115" s="428">
        <v>0.0</v>
      </c>
      <c r="V115" s="428">
        <v>0.0</v>
      </c>
      <c r="W115" s="428">
        <v>0.0</v>
      </c>
      <c r="X115" s="428">
        <v>0.0</v>
      </c>
      <c r="Y115" s="428">
        <v>0.0</v>
      </c>
      <c r="Z115" s="428">
        <v>0.0</v>
      </c>
      <c r="AA115" s="428">
        <v>0.0</v>
      </c>
      <c r="AB115" s="428">
        <v>0.0</v>
      </c>
      <c r="AC115" s="428">
        <v>0.0</v>
      </c>
      <c r="AD115" s="428">
        <v>0.0</v>
      </c>
      <c r="AE115" s="428">
        <v>0.0</v>
      </c>
      <c r="AF115" s="428">
        <v>0.0</v>
      </c>
      <c r="AG115" s="428">
        <v>0.0</v>
      </c>
      <c r="AH115" s="428">
        <v>0.0</v>
      </c>
      <c r="AI115" s="428">
        <v>2.0</v>
      </c>
      <c r="AJ115" s="428">
        <v>0.0</v>
      </c>
    </row>
    <row r="116" ht="15.75" customHeight="1">
      <c r="A116" s="431" t="s">
        <v>109</v>
      </c>
      <c r="B116" s="428">
        <v>1.0</v>
      </c>
      <c r="C116" s="428">
        <v>1.0</v>
      </c>
      <c r="D116" s="428">
        <v>0.0</v>
      </c>
      <c r="E116" s="428">
        <v>1.0</v>
      </c>
      <c r="F116" s="428">
        <v>0.0</v>
      </c>
      <c r="G116" s="428">
        <v>4.0</v>
      </c>
      <c r="H116" s="428">
        <v>58.0</v>
      </c>
      <c r="I116" s="428">
        <v>1.0</v>
      </c>
      <c r="J116" s="428">
        <v>60.0</v>
      </c>
      <c r="K116" s="428">
        <v>-2.0</v>
      </c>
      <c r="L116" s="428">
        <v>5.0</v>
      </c>
      <c r="M116" s="428">
        <v>2.0</v>
      </c>
      <c r="N116" s="428">
        <v>1140.0</v>
      </c>
      <c r="O116" s="428">
        <v>1194.0</v>
      </c>
      <c r="P116" s="428">
        <v>19.0</v>
      </c>
      <c r="Q116" s="428">
        <v>1.0</v>
      </c>
      <c r="R116" s="428">
        <v>10.0</v>
      </c>
      <c r="S116" s="428">
        <v>0.0</v>
      </c>
      <c r="T116" s="428">
        <v>0.0</v>
      </c>
      <c r="U116" s="428">
        <v>2.0</v>
      </c>
      <c r="V116" s="428">
        <v>0.0</v>
      </c>
      <c r="W116" s="428">
        <v>0.0</v>
      </c>
      <c r="X116" s="428">
        <v>0.0</v>
      </c>
      <c r="Y116" s="428">
        <v>2.0</v>
      </c>
      <c r="Z116" s="428">
        <v>0.0</v>
      </c>
      <c r="AA116" s="428">
        <v>0.0</v>
      </c>
      <c r="AB116" s="428">
        <v>0.0</v>
      </c>
      <c r="AC116" s="428">
        <v>0.0</v>
      </c>
      <c r="AD116" s="428">
        <v>0.0</v>
      </c>
      <c r="AE116" s="428">
        <v>0.0</v>
      </c>
      <c r="AF116" s="428">
        <v>0.0</v>
      </c>
      <c r="AG116" s="428">
        <v>0.0</v>
      </c>
      <c r="AH116" s="428">
        <v>0.0</v>
      </c>
      <c r="AI116" s="428">
        <v>4.0</v>
      </c>
      <c r="AJ116" s="428">
        <v>0.0</v>
      </c>
    </row>
    <row r="117" ht="15.75" customHeight="1">
      <c r="A117" s="431" t="s">
        <v>42</v>
      </c>
      <c r="B117" s="428">
        <v>0.0</v>
      </c>
      <c r="C117" s="428">
        <v>1.0</v>
      </c>
      <c r="D117" s="428">
        <v>0.0</v>
      </c>
      <c r="E117" s="428">
        <v>0.0</v>
      </c>
      <c r="F117" s="428">
        <v>1.0</v>
      </c>
      <c r="G117" s="428">
        <v>2.0</v>
      </c>
      <c r="H117" s="428">
        <v>60.0</v>
      </c>
      <c r="I117" s="428">
        <v>1.0</v>
      </c>
      <c r="J117" s="428">
        <v>61.0</v>
      </c>
      <c r="K117" s="428">
        <v>-1.0</v>
      </c>
      <c r="L117" s="428">
        <v>7.0</v>
      </c>
      <c r="M117" s="428">
        <v>1.0</v>
      </c>
      <c r="N117" s="428">
        <v>1140.0</v>
      </c>
      <c r="O117" s="428">
        <v>1194.0</v>
      </c>
      <c r="P117" s="428">
        <v>18.0</v>
      </c>
      <c r="Q117" s="428">
        <v>4.0</v>
      </c>
      <c r="R117" s="428">
        <v>11.0</v>
      </c>
      <c r="S117" s="428">
        <v>4.0</v>
      </c>
      <c r="T117" s="428">
        <v>0.0</v>
      </c>
      <c r="U117" s="428">
        <v>2.0</v>
      </c>
      <c r="V117" s="428">
        <v>0.0</v>
      </c>
      <c r="W117" s="428">
        <v>0.0</v>
      </c>
      <c r="X117" s="428">
        <v>0.0</v>
      </c>
      <c r="Y117" s="428">
        <v>2.0</v>
      </c>
      <c r="Z117" s="428">
        <v>0.0</v>
      </c>
      <c r="AA117" s="428">
        <v>0.0</v>
      </c>
      <c r="AB117" s="428">
        <v>0.0</v>
      </c>
      <c r="AC117" s="428">
        <v>0.0</v>
      </c>
      <c r="AD117" s="428">
        <v>0.0</v>
      </c>
      <c r="AE117" s="428">
        <v>0.0</v>
      </c>
      <c r="AF117" s="428">
        <v>0.0</v>
      </c>
      <c r="AG117" s="428">
        <v>0.0</v>
      </c>
      <c r="AH117" s="428">
        <v>0.0</v>
      </c>
      <c r="AI117" s="428">
        <v>2.0</v>
      </c>
      <c r="AJ117" s="428">
        <v>0.0</v>
      </c>
    </row>
    <row r="118" ht="15.75" customHeight="1">
      <c r="A118" s="431" t="s">
        <v>114</v>
      </c>
      <c r="B118" s="428">
        <v>0.0</v>
      </c>
      <c r="C118" s="428">
        <v>1.0</v>
      </c>
      <c r="D118" s="428">
        <v>0.0</v>
      </c>
      <c r="E118" s="428">
        <v>0.0</v>
      </c>
      <c r="F118" s="428">
        <v>1.0</v>
      </c>
      <c r="G118" s="428">
        <v>1.0</v>
      </c>
      <c r="H118" s="428">
        <v>72.0</v>
      </c>
      <c r="I118" s="428">
        <v>3.0</v>
      </c>
      <c r="J118" s="428">
        <v>72.0</v>
      </c>
      <c r="K118" s="428">
        <v>0.0</v>
      </c>
      <c r="L118" s="428">
        <v>5.0</v>
      </c>
      <c r="M118" s="428">
        <v>4.0</v>
      </c>
      <c r="N118" s="428">
        <v>1140.0</v>
      </c>
      <c r="O118" s="428">
        <v>1193.0</v>
      </c>
      <c r="P118" s="428">
        <v>15.0</v>
      </c>
      <c r="Q118" s="428">
        <v>1.0</v>
      </c>
      <c r="R118" s="428">
        <v>12.0</v>
      </c>
      <c r="S118" s="428">
        <v>2.0</v>
      </c>
      <c r="T118" s="428">
        <v>2.0</v>
      </c>
      <c r="U118" s="428">
        <v>2.0</v>
      </c>
      <c r="V118" s="428">
        <v>0.0</v>
      </c>
      <c r="W118" s="428">
        <v>0.0</v>
      </c>
      <c r="X118" s="428">
        <v>1.0</v>
      </c>
      <c r="Y118" s="428">
        <v>2.0</v>
      </c>
      <c r="Z118" s="428">
        <v>0.0</v>
      </c>
      <c r="AA118" s="428">
        <v>0.0</v>
      </c>
      <c r="AB118" s="428">
        <v>0.0</v>
      </c>
      <c r="AC118" s="428">
        <v>1.0</v>
      </c>
      <c r="AD118" s="428">
        <v>0.0</v>
      </c>
      <c r="AE118" s="428">
        <v>0.0</v>
      </c>
      <c r="AF118" s="428">
        <v>0.0</v>
      </c>
      <c r="AG118" s="428">
        <v>0.0</v>
      </c>
      <c r="AH118" s="428">
        <v>0.0</v>
      </c>
      <c r="AI118" s="428">
        <v>1.0</v>
      </c>
      <c r="AJ118" s="428">
        <v>0.0</v>
      </c>
    </row>
    <row r="119" ht="15.75" customHeight="1">
      <c r="A119" s="431" t="s">
        <v>164</v>
      </c>
      <c r="B119" s="428">
        <v>0.0</v>
      </c>
      <c r="C119" s="428">
        <v>1.0</v>
      </c>
      <c r="D119" s="428">
        <v>0.0</v>
      </c>
      <c r="E119" s="428">
        <v>0.0</v>
      </c>
      <c r="F119" s="428">
        <v>1.0</v>
      </c>
      <c r="G119" s="428">
        <v>0.0</v>
      </c>
      <c r="H119" s="428">
        <v>77.0</v>
      </c>
      <c r="I119" s="428">
        <v>2.0</v>
      </c>
      <c r="J119" s="428">
        <v>67.0</v>
      </c>
      <c r="K119" s="428">
        <v>10.0</v>
      </c>
      <c r="L119" s="428">
        <v>6.0</v>
      </c>
      <c r="M119" s="428">
        <v>5.0</v>
      </c>
      <c r="N119" s="428">
        <v>1140.0</v>
      </c>
      <c r="O119" s="428">
        <v>1193.0</v>
      </c>
      <c r="P119" s="428">
        <v>17.0</v>
      </c>
      <c r="Q119" s="428">
        <v>2.0</v>
      </c>
      <c r="R119" s="428">
        <v>13.0</v>
      </c>
      <c r="S119" s="428">
        <v>5.0</v>
      </c>
      <c r="T119" s="428">
        <v>3.0</v>
      </c>
      <c r="U119" s="428">
        <v>2.0</v>
      </c>
      <c r="V119" s="428">
        <v>0.0</v>
      </c>
      <c r="W119" s="428">
        <v>0.0</v>
      </c>
      <c r="X119" s="428">
        <v>2.0</v>
      </c>
      <c r="Y119" s="428">
        <v>2.0</v>
      </c>
      <c r="Z119" s="428">
        <v>0.0</v>
      </c>
      <c r="AA119" s="428">
        <v>0.0</v>
      </c>
      <c r="AB119" s="428">
        <v>0.0</v>
      </c>
      <c r="AC119" s="428">
        <v>1.0</v>
      </c>
      <c r="AD119" s="428">
        <v>0.0</v>
      </c>
      <c r="AE119" s="428">
        <v>0.0</v>
      </c>
      <c r="AF119" s="428">
        <v>0.0</v>
      </c>
      <c r="AG119" s="428">
        <v>0.0</v>
      </c>
      <c r="AH119" s="428">
        <v>0.0</v>
      </c>
      <c r="AI119" s="428">
        <v>1.0</v>
      </c>
      <c r="AJ119" s="428">
        <v>0.0</v>
      </c>
    </row>
    <row r="120" ht="15.75" customHeight="1">
      <c r="A120" s="431" t="s">
        <v>113</v>
      </c>
      <c r="B120" s="428">
        <v>0.0</v>
      </c>
      <c r="C120" s="428">
        <v>1.0</v>
      </c>
      <c r="D120" s="428">
        <v>0.0</v>
      </c>
      <c r="E120" s="428">
        <v>0.0</v>
      </c>
      <c r="F120" s="428">
        <v>1.0</v>
      </c>
      <c r="G120" s="428">
        <v>1.0</v>
      </c>
      <c r="H120" s="428">
        <v>58.0</v>
      </c>
      <c r="I120" s="428">
        <v>0.0</v>
      </c>
      <c r="J120" s="428">
        <v>79.0</v>
      </c>
      <c r="K120" s="428">
        <v>-21.0</v>
      </c>
      <c r="L120" s="428">
        <v>3.0</v>
      </c>
      <c r="M120" s="428">
        <v>3.0</v>
      </c>
      <c r="N120" s="428">
        <v>1141.0</v>
      </c>
      <c r="O120" s="428">
        <v>1194.0</v>
      </c>
      <c r="P120" s="428">
        <v>14.0</v>
      </c>
      <c r="Q120" s="428">
        <v>0.0</v>
      </c>
      <c r="R120" s="428">
        <v>7.0</v>
      </c>
      <c r="S120" s="428">
        <v>2.0</v>
      </c>
      <c r="T120" s="428">
        <v>0.0</v>
      </c>
      <c r="U120" s="428">
        <v>0.0</v>
      </c>
      <c r="V120" s="428">
        <v>0.0</v>
      </c>
      <c r="W120" s="428">
        <v>0.0</v>
      </c>
      <c r="X120" s="428">
        <v>0.0</v>
      </c>
      <c r="Y120" s="428">
        <v>0.0</v>
      </c>
      <c r="Z120" s="428">
        <v>0.0</v>
      </c>
      <c r="AA120" s="428">
        <v>0.0</v>
      </c>
      <c r="AB120" s="428">
        <v>0.0</v>
      </c>
      <c r="AC120" s="428">
        <v>0.0</v>
      </c>
      <c r="AD120" s="428">
        <v>0.0</v>
      </c>
      <c r="AE120" s="428">
        <v>0.0</v>
      </c>
      <c r="AF120" s="428">
        <v>0.0</v>
      </c>
      <c r="AG120" s="428">
        <v>0.0</v>
      </c>
      <c r="AH120" s="428">
        <v>0.0</v>
      </c>
      <c r="AI120" s="428">
        <v>1.0</v>
      </c>
      <c r="AJ120" s="428">
        <v>0.0</v>
      </c>
    </row>
    <row r="121" ht="15.75" customHeight="1">
      <c r="A121" s="432" t="s">
        <v>47</v>
      </c>
      <c r="B121" s="430">
        <v>1.0</v>
      </c>
      <c r="C121" s="430">
        <v>0.0</v>
      </c>
      <c r="D121" s="430">
        <v>1.0</v>
      </c>
      <c r="E121" s="430">
        <v>0.0</v>
      </c>
      <c r="F121" s="430">
        <v>0.0</v>
      </c>
      <c r="G121" s="430">
        <v>0.0</v>
      </c>
      <c r="H121" s="430">
        <v>0.0</v>
      </c>
      <c r="I121" s="430">
        <v>0.0</v>
      </c>
      <c r="J121" s="430">
        <v>0.0</v>
      </c>
      <c r="K121" s="430">
        <v>0.0</v>
      </c>
      <c r="L121" s="430">
        <v>0.0</v>
      </c>
      <c r="M121" s="430">
        <v>0.0</v>
      </c>
      <c r="N121" s="430">
        <v>0.0</v>
      </c>
      <c r="O121" s="430">
        <v>0.0</v>
      </c>
      <c r="P121" s="430">
        <v>0.0</v>
      </c>
      <c r="Q121" s="430">
        <v>0.0</v>
      </c>
      <c r="R121" s="430">
        <v>0.0</v>
      </c>
      <c r="S121" s="430">
        <v>0.0</v>
      </c>
      <c r="T121" s="430">
        <v>0.0</v>
      </c>
      <c r="U121" s="430">
        <v>0.0</v>
      </c>
      <c r="V121" s="430">
        <v>0.0</v>
      </c>
      <c r="W121" s="430">
        <v>0.0</v>
      </c>
      <c r="X121" s="430">
        <v>0.0</v>
      </c>
      <c r="Y121" s="430">
        <v>0.0</v>
      </c>
      <c r="Z121" s="430">
        <v>0.0</v>
      </c>
      <c r="AA121" s="430">
        <v>0.0</v>
      </c>
      <c r="AB121" s="430">
        <v>0.0</v>
      </c>
      <c r="AC121" s="430">
        <v>0.0</v>
      </c>
      <c r="AD121" s="430">
        <v>0.0</v>
      </c>
      <c r="AE121" s="430">
        <v>0.0</v>
      </c>
      <c r="AF121" s="430">
        <v>0.0</v>
      </c>
      <c r="AG121" s="430">
        <v>0.0</v>
      </c>
      <c r="AH121" s="430">
        <v>0.0</v>
      </c>
      <c r="AI121" s="430">
        <v>0.0</v>
      </c>
      <c r="AJ121" s="430">
        <v>0.0</v>
      </c>
    </row>
    <row r="122" ht="15.75" customHeight="1">
      <c r="A122" s="431" t="s">
        <v>153</v>
      </c>
      <c r="B122" s="428">
        <v>0.0</v>
      </c>
      <c r="C122" s="428">
        <v>1.0</v>
      </c>
      <c r="D122" s="428">
        <v>0.0</v>
      </c>
      <c r="E122" s="428">
        <v>1.0</v>
      </c>
      <c r="F122" s="428">
        <v>0.0</v>
      </c>
      <c r="G122" s="428">
        <v>1.0</v>
      </c>
      <c r="H122" s="428">
        <v>202.0</v>
      </c>
      <c r="I122" s="428">
        <v>4.0</v>
      </c>
      <c r="J122" s="428">
        <v>195.0</v>
      </c>
      <c r="K122" s="428">
        <v>7.0</v>
      </c>
      <c r="L122" s="428">
        <v>7.0</v>
      </c>
      <c r="M122" s="428">
        <v>2.0</v>
      </c>
      <c r="N122" s="428">
        <v>2842.0</v>
      </c>
      <c r="O122" s="428">
        <v>2879.0</v>
      </c>
      <c r="P122" s="428">
        <v>14.0</v>
      </c>
      <c r="Q122" s="428">
        <v>2.0</v>
      </c>
      <c r="R122" s="428">
        <v>35.0</v>
      </c>
      <c r="S122" s="428">
        <v>8.0</v>
      </c>
      <c r="T122" s="428">
        <v>5.0</v>
      </c>
      <c r="U122" s="428">
        <v>3.0</v>
      </c>
      <c r="V122" s="428">
        <v>0.0</v>
      </c>
      <c r="W122" s="428">
        <v>0.0</v>
      </c>
      <c r="X122" s="428">
        <v>3.0</v>
      </c>
      <c r="Y122" s="428">
        <v>3.0</v>
      </c>
      <c r="Z122" s="428">
        <v>0.0</v>
      </c>
      <c r="AA122" s="428">
        <v>0.0</v>
      </c>
      <c r="AB122" s="428">
        <v>0.0</v>
      </c>
      <c r="AC122" s="428">
        <v>2.0</v>
      </c>
      <c r="AD122" s="428">
        <v>0.0</v>
      </c>
      <c r="AE122" s="428">
        <v>0.0</v>
      </c>
      <c r="AF122" s="428">
        <v>0.0</v>
      </c>
      <c r="AG122" s="428">
        <v>0.0</v>
      </c>
      <c r="AH122" s="428">
        <v>0.0</v>
      </c>
      <c r="AI122" s="428">
        <v>3.0</v>
      </c>
      <c r="AJ122" s="428">
        <v>0.0</v>
      </c>
    </row>
    <row r="123" ht="15.75" customHeight="1">
      <c r="A123" s="431" t="s">
        <v>40</v>
      </c>
      <c r="B123" s="428">
        <v>0.0</v>
      </c>
      <c r="C123" s="428">
        <v>1.0</v>
      </c>
      <c r="D123" s="428">
        <v>0.0</v>
      </c>
      <c r="E123" s="428">
        <v>1.0</v>
      </c>
      <c r="F123" s="428">
        <v>0.0</v>
      </c>
      <c r="G123" s="428">
        <v>2.0</v>
      </c>
      <c r="H123" s="428">
        <v>120.0</v>
      </c>
      <c r="I123" s="428">
        <v>4.0</v>
      </c>
      <c r="J123" s="428">
        <v>168.0</v>
      </c>
      <c r="K123" s="428">
        <v>-48.0</v>
      </c>
      <c r="L123" s="428">
        <v>5.0</v>
      </c>
      <c r="M123" s="428">
        <v>1.0</v>
      </c>
      <c r="N123" s="428">
        <v>2841.0</v>
      </c>
      <c r="O123" s="428">
        <v>2879.0</v>
      </c>
      <c r="P123" s="428">
        <v>16.0</v>
      </c>
      <c r="Q123" s="428">
        <v>6.0</v>
      </c>
      <c r="R123" s="428">
        <v>16.0</v>
      </c>
      <c r="S123" s="428">
        <v>1.0</v>
      </c>
      <c r="T123" s="428">
        <v>0.0</v>
      </c>
      <c r="U123" s="428">
        <v>1.0</v>
      </c>
      <c r="V123" s="428">
        <v>0.0</v>
      </c>
      <c r="W123" s="428">
        <v>0.0</v>
      </c>
      <c r="X123" s="428">
        <v>0.0</v>
      </c>
      <c r="Y123" s="428">
        <v>1.0</v>
      </c>
      <c r="Z123" s="428">
        <v>0.0</v>
      </c>
      <c r="AA123" s="428">
        <v>0.0</v>
      </c>
      <c r="AB123" s="428">
        <v>0.0</v>
      </c>
      <c r="AC123" s="428">
        <v>0.0</v>
      </c>
      <c r="AD123" s="428">
        <v>0.0</v>
      </c>
      <c r="AE123" s="428">
        <v>0.0</v>
      </c>
      <c r="AF123" s="428">
        <v>0.0</v>
      </c>
      <c r="AG123" s="428">
        <v>0.0</v>
      </c>
      <c r="AH123" s="428">
        <v>0.0</v>
      </c>
      <c r="AI123" s="428">
        <v>0.0</v>
      </c>
      <c r="AJ123" s="428">
        <v>0.0</v>
      </c>
    </row>
    <row r="124" ht="15.75" customHeight="1">
      <c r="A124" s="431" t="s">
        <v>104</v>
      </c>
      <c r="B124" s="428">
        <v>0.0</v>
      </c>
      <c r="C124" s="428">
        <v>1.0</v>
      </c>
      <c r="D124" s="428">
        <v>0.0</v>
      </c>
      <c r="E124" s="428">
        <v>1.0</v>
      </c>
      <c r="F124" s="428">
        <v>0.0</v>
      </c>
      <c r="G124" s="428">
        <v>1.0</v>
      </c>
      <c r="H124" s="428">
        <v>162.0</v>
      </c>
      <c r="I124" s="428">
        <v>4.0</v>
      </c>
      <c r="J124" s="428">
        <v>168.0</v>
      </c>
      <c r="K124" s="428">
        <v>-6.0</v>
      </c>
      <c r="L124" s="428">
        <v>5.0</v>
      </c>
      <c r="M124" s="428">
        <v>2.0</v>
      </c>
      <c r="N124" s="428">
        <v>2842.0</v>
      </c>
      <c r="O124" s="428">
        <v>2879.0</v>
      </c>
      <c r="P124" s="428">
        <v>16.0</v>
      </c>
      <c r="Q124" s="428">
        <v>6.0</v>
      </c>
      <c r="R124" s="428">
        <v>27.0</v>
      </c>
      <c r="S124" s="428">
        <v>4.0</v>
      </c>
      <c r="T124" s="428">
        <v>1.0</v>
      </c>
      <c r="U124" s="428">
        <v>3.0</v>
      </c>
      <c r="V124" s="428">
        <v>0.0</v>
      </c>
      <c r="W124" s="428">
        <v>0.0</v>
      </c>
      <c r="X124" s="428">
        <v>1.0</v>
      </c>
      <c r="Y124" s="428">
        <v>3.0</v>
      </c>
      <c r="Z124" s="428">
        <v>0.0</v>
      </c>
      <c r="AA124" s="428">
        <v>0.0</v>
      </c>
      <c r="AB124" s="428">
        <v>0.0</v>
      </c>
      <c r="AC124" s="428">
        <v>0.0</v>
      </c>
      <c r="AD124" s="428">
        <v>0.0</v>
      </c>
      <c r="AE124" s="428">
        <v>0.0</v>
      </c>
      <c r="AF124" s="428">
        <v>0.0</v>
      </c>
      <c r="AG124" s="428">
        <v>0.0</v>
      </c>
      <c r="AH124" s="428">
        <v>0.0</v>
      </c>
      <c r="AI124" s="428">
        <v>9.0</v>
      </c>
      <c r="AJ124" s="428">
        <v>0.0</v>
      </c>
    </row>
    <row r="125" ht="15.75" customHeight="1">
      <c r="A125" s="431" t="s">
        <v>109</v>
      </c>
      <c r="B125" s="428">
        <v>0.0</v>
      </c>
      <c r="C125" s="428">
        <v>1.0</v>
      </c>
      <c r="D125" s="428">
        <v>0.0</v>
      </c>
      <c r="E125" s="428">
        <v>1.0</v>
      </c>
      <c r="F125" s="428">
        <v>0.0</v>
      </c>
      <c r="G125" s="428">
        <v>1.0</v>
      </c>
      <c r="H125" s="428">
        <v>180.0</v>
      </c>
      <c r="I125" s="428">
        <v>4.0</v>
      </c>
      <c r="J125" s="428">
        <v>205.0</v>
      </c>
      <c r="K125" s="428">
        <v>-25.0</v>
      </c>
      <c r="L125" s="428">
        <v>7.0</v>
      </c>
      <c r="M125" s="428">
        <v>4.0</v>
      </c>
      <c r="N125" s="428">
        <v>2842.0</v>
      </c>
      <c r="O125" s="428">
        <v>2879.0</v>
      </c>
      <c r="P125" s="428">
        <v>13.0</v>
      </c>
      <c r="Q125" s="428">
        <v>2.0</v>
      </c>
      <c r="R125" s="428">
        <v>33.0</v>
      </c>
      <c r="S125" s="428">
        <v>7.0</v>
      </c>
      <c r="T125" s="428">
        <v>1.0</v>
      </c>
      <c r="U125" s="428">
        <v>2.0</v>
      </c>
      <c r="V125" s="428">
        <v>0.0</v>
      </c>
      <c r="W125" s="428">
        <v>0.0</v>
      </c>
      <c r="X125" s="428">
        <v>1.0</v>
      </c>
      <c r="Y125" s="428">
        <v>2.0</v>
      </c>
      <c r="Z125" s="428">
        <v>0.0</v>
      </c>
      <c r="AA125" s="428">
        <v>0.0</v>
      </c>
      <c r="AB125" s="428">
        <v>0.0</v>
      </c>
      <c r="AC125" s="428">
        <v>0.0</v>
      </c>
      <c r="AD125" s="428">
        <v>0.0</v>
      </c>
      <c r="AE125" s="428">
        <v>0.0</v>
      </c>
      <c r="AF125" s="428">
        <v>0.0</v>
      </c>
      <c r="AG125" s="428">
        <v>0.0</v>
      </c>
      <c r="AH125" s="428">
        <v>0.0</v>
      </c>
      <c r="AI125" s="428">
        <v>8.0</v>
      </c>
      <c r="AJ125" s="428">
        <v>0.0</v>
      </c>
    </row>
    <row r="126" ht="15.75" customHeight="1">
      <c r="A126" s="431" t="s">
        <v>31</v>
      </c>
      <c r="B126" s="428">
        <v>1.0</v>
      </c>
      <c r="C126" s="428">
        <v>1.0</v>
      </c>
      <c r="D126" s="428">
        <v>0.0</v>
      </c>
      <c r="E126" s="428">
        <v>0.0</v>
      </c>
      <c r="F126" s="428">
        <v>1.0</v>
      </c>
      <c r="G126" s="428">
        <v>0.0</v>
      </c>
      <c r="H126" s="428">
        <v>234.0</v>
      </c>
      <c r="I126" s="428">
        <v>7.0</v>
      </c>
      <c r="J126" s="428">
        <v>223.0</v>
      </c>
      <c r="K126" s="428">
        <v>11.0</v>
      </c>
      <c r="L126" s="428">
        <v>5.0</v>
      </c>
      <c r="M126" s="428">
        <v>7.0</v>
      </c>
      <c r="N126" s="428">
        <v>2842.0</v>
      </c>
      <c r="O126" s="428">
        <v>2879.0</v>
      </c>
      <c r="P126" s="428">
        <v>12.0</v>
      </c>
      <c r="Q126" s="428">
        <v>6.0</v>
      </c>
      <c r="R126" s="428">
        <v>44.0</v>
      </c>
      <c r="S126" s="428">
        <v>5.0</v>
      </c>
      <c r="T126" s="428">
        <v>0.0</v>
      </c>
      <c r="U126" s="428">
        <v>1.0</v>
      </c>
      <c r="V126" s="428">
        <v>0.0</v>
      </c>
      <c r="W126" s="428">
        <v>0.0</v>
      </c>
      <c r="X126" s="428">
        <v>0.0</v>
      </c>
      <c r="Y126" s="428">
        <v>1.0</v>
      </c>
      <c r="Z126" s="428">
        <v>0.0</v>
      </c>
      <c r="AA126" s="428">
        <v>0.0</v>
      </c>
      <c r="AB126" s="428">
        <v>0.0</v>
      </c>
      <c r="AC126" s="428">
        <v>0.0</v>
      </c>
      <c r="AD126" s="428">
        <v>0.0</v>
      </c>
      <c r="AE126" s="428">
        <v>0.0</v>
      </c>
      <c r="AF126" s="428">
        <v>0.0</v>
      </c>
      <c r="AG126" s="428">
        <v>0.0</v>
      </c>
      <c r="AH126" s="428">
        <v>0.0</v>
      </c>
      <c r="AI126" s="428">
        <v>1.0</v>
      </c>
      <c r="AJ126" s="428">
        <v>0.0</v>
      </c>
    </row>
    <row r="127" ht="15.75" customHeight="1">
      <c r="A127" s="431" t="s">
        <v>99</v>
      </c>
      <c r="B127" s="428">
        <v>1.0</v>
      </c>
      <c r="C127" s="428">
        <v>1.0</v>
      </c>
      <c r="D127" s="428">
        <v>0.0</v>
      </c>
      <c r="E127" s="428">
        <v>0.0</v>
      </c>
      <c r="F127" s="428">
        <v>1.0</v>
      </c>
      <c r="G127" s="428">
        <v>0.0</v>
      </c>
      <c r="H127" s="428">
        <v>132.0</v>
      </c>
      <c r="I127" s="428">
        <v>9.0</v>
      </c>
      <c r="J127" s="428">
        <v>172.0</v>
      </c>
      <c r="K127" s="428">
        <v>-40.0</v>
      </c>
      <c r="L127" s="428">
        <v>6.0</v>
      </c>
      <c r="M127" s="428">
        <v>3.0</v>
      </c>
      <c r="N127" s="428">
        <v>2842.0</v>
      </c>
      <c r="O127" s="428">
        <v>2879.0</v>
      </c>
      <c r="P127" s="428">
        <v>16.0</v>
      </c>
      <c r="Q127" s="428">
        <v>6.0</v>
      </c>
      <c r="R127" s="428">
        <v>17.0</v>
      </c>
      <c r="S127" s="428">
        <v>3.0</v>
      </c>
      <c r="T127" s="428">
        <v>1.0</v>
      </c>
      <c r="U127" s="428">
        <v>1.0</v>
      </c>
      <c r="V127" s="428">
        <v>0.0</v>
      </c>
      <c r="W127" s="428">
        <v>0.0</v>
      </c>
      <c r="X127" s="428">
        <v>1.0</v>
      </c>
      <c r="Y127" s="428">
        <v>1.0</v>
      </c>
      <c r="Z127" s="428">
        <v>0.0</v>
      </c>
      <c r="AA127" s="428">
        <v>0.0</v>
      </c>
      <c r="AB127" s="428">
        <v>0.0</v>
      </c>
      <c r="AC127" s="428">
        <v>0.0</v>
      </c>
      <c r="AD127" s="428">
        <v>0.0</v>
      </c>
      <c r="AE127" s="428">
        <v>0.0</v>
      </c>
      <c r="AF127" s="428">
        <v>0.0</v>
      </c>
      <c r="AG127" s="428">
        <v>0.0</v>
      </c>
      <c r="AH127" s="428">
        <v>0.0</v>
      </c>
      <c r="AI127" s="428">
        <v>2.0</v>
      </c>
      <c r="AJ127" s="428">
        <v>0.0</v>
      </c>
    </row>
    <row r="128" ht="15.75" customHeight="1">
      <c r="A128" s="431" t="s">
        <v>43</v>
      </c>
      <c r="B128" s="428">
        <v>1.0</v>
      </c>
      <c r="C128" s="428">
        <v>1.0</v>
      </c>
      <c r="D128" s="428">
        <v>0.0</v>
      </c>
      <c r="E128" s="428">
        <v>0.0</v>
      </c>
      <c r="F128" s="428">
        <v>1.0</v>
      </c>
      <c r="G128" s="428">
        <v>1.0</v>
      </c>
      <c r="H128" s="428">
        <v>213.0</v>
      </c>
      <c r="I128" s="428">
        <v>5.0</v>
      </c>
      <c r="J128" s="428">
        <v>130.0</v>
      </c>
      <c r="K128" s="428">
        <v>83.0</v>
      </c>
      <c r="L128" s="428">
        <v>9.0</v>
      </c>
      <c r="M128" s="428">
        <v>5.0</v>
      </c>
      <c r="N128" s="428">
        <v>2842.0</v>
      </c>
      <c r="O128" s="428">
        <v>2879.0</v>
      </c>
      <c r="P128" s="428">
        <v>21.0</v>
      </c>
      <c r="Q128" s="428">
        <v>6.0</v>
      </c>
      <c r="R128" s="428">
        <v>36.0</v>
      </c>
      <c r="S128" s="428">
        <v>9.0</v>
      </c>
      <c r="T128" s="428">
        <v>1.0</v>
      </c>
      <c r="U128" s="428">
        <v>6.0</v>
      </c>
      <c r="V128" s="428">
        <v>0.0</v>
      </c>
      <c r="W128" s="428">
        <v>0.0</v>
      </c>
      <c r="X128" s="428">
        <v>1.0</v>
      </c>
      <c r="Y128" s="428">
        <v>6.0</v>
      </c>
      <c r="Z128" s="428">
        <v>0.0</v>
      </c>
      <c r="AA128" s="428">
        <v>0.0</v>
      </c>
      <c r="AB128" s="428">
        <v>0.0</v>
      </c>
      <c r="AC128" s="428">
        <v>0.0</v>
      </c>
      <c r="AD128" s="428">
        <v>0.0</v>
      </c>
      <c r="AE128" s="428">
        <v>0.0</v>
      </c>
      <c r="AF128" s="428">
        <v>0.0</v>
      </c>
      <c r="AG128" s="428">
        <v>0.0</v>
      </c>
      <c r="AH128" s="428">
        <v>0.0</v>
      </c>
      <c r="AI128" s="428">
        <v>8.0</v>
      </c>
      <c r="AJ128" s="428">
        <v>0.0</v>
      </c>
    </row>
    <row r="129" ht="15.75" customHeight="1">
      <c r="A129" s="431" t="s">
        <v>88</v>
      </c>
      <c r="B129" s="428">
        <v>1.0</v>
      </c>
      <c r="C129" s="428">
        <v>1.0</v>
      </c>
      <c r="D129" s="428">
        <v>0.0</v>
      </c>
      <c r="E129" s="428">
        <v>0.0</v>
      </c>
      <c r="F129" s="428">
        <v>1.0</v>
      </c>
      <c r="G129" s="428">
        <v>1.0</v>
      </c>
      <c r="H129" s="428">
        <v>148.0</v>
      </c>
      <c r="I129" s="428">
        <v>4.0</v>
      </c>
      <c r="J129" s="428">
        <v>159.0</v>
      </c>
      <c r="K129" s="428">
        <v>-11.0</v>
      </c>
      <c r="L129" s="428">
        <v>5.0</v>
      </c>
      <c r="M129" s="428">
        <v>5.0</v>
      </c>
      <c r="N129" s="428">
        <v>2842.0</v>
      </c>
      <c r="O129" s="428">
        <v>2879.0</v>
      </c>
      <c r="P129" s="428">
        <v>17.0</v>
      </c>
      <c r="Q129" s="428">
        <v>3.0</v>
      </c>
      <c r="R129" s="428">
        <v>25.0</v>
      </c>
      <c r="S129" s="428">
        <v>6.0</v>
      </c>
      <c r="T129" s="428">
        <v>1.0</v>
      </c>
      <c r="U129" s="428">
        <v>2.0</v>
      </c>
      <c r="V129" s="428">
        <v>0.0</v>
      </c>
      <c r="W129" s="428">
        <v>0.0</v>
      </c>
      <c r="X129" s="428">
        <v>1.0</v>
      </c>
      <c r="Y129" s="428">
        <v>2.0</v>
      </c>
      <c r="Z129" s="428">
        <v>0.0</v>
      </c>
      <c r="AA129" s="428">
        <v>0.0</v>
      </c>
      <c r="AB129" s="428">
        <v>0.0</v>
      </c>
      <c r="AC129" s="428">
        <v>0.0</v>
      </c>
      <c r="AD129" s="428">
        <v>0.0</v>
      </c>
      <c r="AE129" s="428">
        <v>0.0</v>
      </c>
      <c r="AF129" s="428">
        <v>0.0</v>
      </c>
      <c r="AG129" s="428">
        <v>0.0</v>
      </c>
      <c r="AH129" s="428">
        <v>0.0</v>
      </c>
      <c r="AI129" s="428">
        <v>6.0</v>
      </c>
      <c r="AJ129" s="428">
        <v>0.0</v>
      </c>
    </row>
    <row r="130" ht="15.75" customHeight="1">
      <c r="A130" s="432" t="s">
        <v>377</v>
      </c>
      <c r="B130" s="430">
        <v>1.0</v>
      </c>
      <c r="C130" s="430">
        <v>0.0</v>
      </c>
      <c r="D130" s="430">
        <v>1.0</v>
      </c>
      <c r="E130" s="430">
        <v>0.0</v>
      </c>
      <c r="F130" s="430">
        <v>0.0</v>
      </c>
      <c r="G130" s="430">
        <v>0.0</v>
      </c>
      <c r="H130" s="430">
        <v>0.0</v>
      </c>
      <c r="I130" s="430">
        <v>0.0</v>
      </c>
      <c r="J130" s="430">
        <v>0.0</v>
      </c>
      <c r="K130" s="430">
        <v>0.0</v>
      </c>
      <c r="L130" s="430">
        <v>0.0</v>
      </c>
      <c r="M130" s="430">
        <v>0.0</v>
      </c>
      <c r="N130" s="430">
        <v>0.0</v>
      </c>
      <c r="O130" s="430">
        <v>0.0</v>
      </c>
      <c r="P130" s="430">
        <v>0.0</v>
      </c>
      <c r="Q130" s="430">
        <v>0.0</v>
      </c>
      <c r="R130" s="430">
        <v>0.0</v>
      </c>
      <c r="S130" s="430">
        <v>0.0</v>
      </c>
      <c r="T130" s="430">
        <v>0.0</v>
      </c>
      <c r="U130" s="430">
        <v>0.0</v>
      </c>
      <c r="V130" s="430">
        <v>0.0</v>
      </c>
      <c r="W130" s="430">
        <v>0.0</v>
      </c>
      <c r="X130" s="430">
        <v>0.0</v>
      </c>
      <c r="Y130" s="430">
        <v>0.0</v>
      </c>
      <c r="Z130" s="430">
        <v>0.0</v>
      </c>
      <c r="AA130" s="430">
        <v>0.0</v>
      </c>
      <c r="AB130" s="430">
        <v>0.0</v>
      </c>
      <c r="AC130" s="430">
        <v>0.0</v>
      </c>
      <c r="AD130" s="430">
        <v>0.0</v>
      </c>
      <c r="AE130" s="430">
        <v>0.0</v>
      </c>
      <c r="AF130" s="430">
        <v>0.0</v>
      </c>
      <c r="AG130" s="430">
        <v>0.0</v>
      </c>
      <c r="AH130" s="430">
        <v>0.0</v>
      </c>
      <c r="AI130" s="430">
        <v>0.0</v>
      </c>
      <c r="AJ130" s="430">
        <v>0.0</v>
      </c>
    </row>
    <row r="131" ht="15.75" customHeight="1">
      <c r="A131" s="433" t="s">
        <v>40</v>
      </c>
      <c r="B131" s="428">
        <v>1.0</v>
      </c>
      <c r="C131" s="428">
        <v>1.0</v>
      </c>
      <c r="D131" s="428">
        <v>0.0</v>
      </c>
      <c r="E131" s="428">
        <v>1.0</v>
      </c>
      <c r="F131" s="428">
        <v>0.0</v>
      </c>
      <c r="G131" s="428">
        <v>2.0</v>
      </c>
      <c r="H131" s="428">
        <v>51.0</v>
      </c>
      <c r="I131" s="428">
        <v>1.0</v>
      </c>
      <c r="J131" s="428">
        <v>40.0</v>
      </c>
      <c r="K131" s="428">
        <v>11.0</v>
      </c>
      <c r="L131" s="428">
        <v>7.0</v>
      </c>
      <c r="M131" s="428">
        <v>0.0</v>
      </c>
      <c r="N131" s="428">
        <v>704.0</v>
      </c>
      <c r="O131" s="428">
        <v>731.0</v>
      </c>
      <c r="P131" s="428">
        <v>17.0</v>
      </c>
      <c r="Q131" s="428">
        <v>2.0</v>
      </c>
      <c r="R131" s="428">
        <v>8.0</v>
      </c>
      <c r="S131" s="428">
        <v>2.0</v>
      </c>
      <c r="T131" s="428">
        <v>4.0</v>
      </c>
      <c r="U131" s="428">
        <v>1.0</v>
      </c>
      <c r="V131" s="428">
        <v>0.0</v>
      </c>
      <c r="W131" s="428">
        <v>0.0</v>
      </c>
      <c r="X131" s="428">
        <v>1.0</v>
      </c>
      <c r="Y131" s="428">
        <v>1.0</v>
      </c>
      <c r="Z131" s="428">
        <v>0.0</v>
      </c>
      <c r="AA131" s="428">
        <v>0.0</v>
      </c>
      <c r="AB131" s="428">
        <v>0.0</v>
      </c>
      <c r="AC131" s="428">
        <v>1.0</v>
      </c>
      <c r="AD131" s="428">
        <v>1.0</v>
      </c>
      <c r="AE131" s="428">
        <v>1.0</v>
      </c>
      <c r="AF131" s="428">
        <v>0.0</v>
      </c>
      <c r="AG131" s="428">
        <v>0.0</v>
      </c>
      <c r="AH131" s="428">
        <v>0.0</v>
      </c>
      <c r="AI131" s="428">
        <v>1.0</v>
      </c>
      <c r="AJ131" s="428">
        <v>0.0</v>
      </c>
    </row>
    <row r="132" ht="15.75" customHeight="1">
      <c r="A132" s="19" t="s">
        <v>153</v>
      </c>
      <c r="B132" s="428">
        <v>1.0</v>
      </c>
      <c r="C132" s="428">
        <v>1.0</v>
      </c>
      <c r="D132" s="428">
        <v>0.0</v>
      </c>
      <c r="E132" s="428">
        <v>1.0</v>
      </c>
      <c r="F132" s="428">
        <v>0.0</v>
      </c>
      <c r="G132" s="428">
        <v>1.0</v>
      </c>
      <c r="H132" s="428">
        <v>51.0</v>
      </c>
      <c r="I132" s="428">
        <v>4.0</v>
      </c>
      <c r="J132" s="428">
        <v>42.0</v>
      </c>
      <c r="K132" s="428">
        <v>9.0</v>
      </c>
      <c r="L132" s="428">
        <v>4.0</v>
      </c>
      <c r="M132" s="428">
        <v>1.0</v>
      </c>
      <c r="N132" s="428">
        <v>704.0</v>
      </c>
      <c r="O132" s="428">
        <v>731.0</v>
      </c>
      <c r="P132" s="428">
        <v>16.0</v>
      </c>
      <c r="Q132" s="428">
        <v>1.0</v>
      </c>
      <c r="R132" s="428">
        <v>13.0</v>
      </c>
      <c r="S132" s="428">
        <v>2.0</v>
      </c>
      <c r="T132" s="428">
        <v>1.0</v>
      </c>
      <c r="U132" s="428">
        <v>0.0</v>
      </c>
      <c r="V132" s="428">
        <v>0.0</v>
      </c>
      <c r="W132" s="428">
        <v>0.0</v>
      </c>
      <c r="X132" s="428">
        <v>1.0</v>
      </c>
      <c r="Y132" s="428">
        <v>0.0</v>
      </c>
      <c r="Z132" s="428">
        <v>0.0</v>
      </c>
      <c r="AA132" s="428">
        <v>0.0</v>
      </c>
      <c r="AB132" s="428">
        <v>0.0</v>
      </c>
      <c r="AC132" s="428">
        <v>0.0</v>
      </c>
      <c r="AD132" s="428">
        <v>0.0</v>
      </c>
      <c r="AE132" s="428">
        <v>0.0</v>
      </c>
      <c r="AF132" s="428">
        <v>0.0</v>
      </c>
      <c r="AG132" s="428">
        <v>0.0</v>
      </c>
      <c r="AH132" s="428">
        <v>0.0</v>
      </c>
      <c r="AI132" s="428">
        <v>0.0</v>
      </c>
      <c r="AJ132" s="428">
        <v>0.0</v>
      </c>
    </row>
    <row r="133" ht="15.75" customHeight="1">
      <c r="A133" s="19" t="s">
        <v>47</v>
      </c>
      <c r="B133" s="428">
        <v>1.0</v>
      </c>
      <c r="C133" s="428">
        <v>1.0</v>
      </c>
      <c r="D133" s="428">
        <v>0.0</v>
      </c>
      <c r="E133" s="428">
        <v>1.0</v>
      </c>
      <c r="F133" s="428">
        <v>0.0</v>
      </c>
      <c r="G133" s="428">
        <v>2.0</v>
      </c>
      <c r="H133" s="428">
        <v>45.0</v>
      </c>
      <c r="I133" s="428">
        <v>1.0</v>
      </c>
      <c r="J133" s="428">
        <v>41.0</v>
      </c>
      <c r="K133" s="428">
        <v>4.0</v>
      </c>
      <c r="L133" s="428">
        <v>5.0</v>
      </c>
      <c r="M133" s="428">
        <v>1.0</v>
      </c>
      <c r="N133" s="428">
        <v>704.0</v>
      </c>
      <c r="O133" s="428">
        <v>731.0</v>
      </c>
      <c r="P133" s="428">
        <v>17.0</v>
      </c>
      <c r="Q133" s="428">
        <v>2.0</v>
      </c>
      <c r="R133" s="428">
        <v>7.0</v>
      </c>
      <c r="S133" s="428">
        <v>1.0</v>
      </c>
      <c r="T133" s="428">
        <v>0.0</v>
      </c>
      <c r="U133" s="428">
        <v>1.0</v>
      </c>
      <c r="V133" s="428">
        <v>0.0</v>
      </c>
      <c r="W133" s="428">
        <v>0.0</v>
      </c>
      <c r="X133" s="428">
        <v>0.0</v>
      </c>
      <c r="Y133" s="428">
        <v>1.0</v>
      </c>
      <c r="Z133" s="428">
        <v>0.0</v>
      </c>
      <c r="AA133" s="428">
        <v>0.0</v>
      </c>
      <c r="AB133" s="428">
        <v>0.0</v>
      </c>
      <c r="AC133" s="428">
        <v>0.0</v>
      </c>
      <c r="AD133" s="428">
        <v>0.0</v>
      </c>
      <c r="AE133" s="428">
        <v>0.0</v>
      </c>
      <c r="AF133" s="428">
        <v>0.0</v>
      </c>
      <c r="AG133" s="428">
        <v>0.0</v>
      </c>
      <c r="AH133" s="428">
        <v>0.0</v>
      </c>
      <c r="AI133" s="428">
        <v>1.0</v>
      </c>
      <c r="AJ133" s="428">
        <v>0.0</v>
      </c>
    </row>
    <row r="134" ht="15.75" customHeight="1">
      <c r="A134" s="19" t="s">
        <v>109</v>
      </c>
      <c r="B134" s="428">
        <v>1.0</v>
      </c>
      <c r="C134" s="428">
        <v>1.0</v>
      </c>
      <c r="D134" s="428">
        <v>0.0</v>
      </c>
      <c r="E134" s="428">
        <v>1.0</v>
      </c>
      <c r="F134" s="428">
        <v>0.0</v>
      </c>
      <c r="G134" s="428">
        <v>0.0</v>
      </c>
      <c r="H134" s="428">
        <v>50.0</v>
      </c>
      <c r="I134" s="428">
        <v>2.0</v>
      </c>
      <c r="J134" s="428">
        <v>52.0</v>
      </c>
      <c r="K134" s="428">
        <v>-2.0</v>
      </c>
      <c r="L134" s="428">
        <v>6.0</v>
      </c>
      <c r="M134" s="428">
        <v>2.0</v>
      </c>
      <c r="N134" s="428">
        <v>704.0</v>
      </c>
      <c r="O134" s="428">
        <v>731.0</v>
      </c>
      <c r="P134" s="428">
        <v>13.0</v>
      </c>
      <c r="Q134" s="428">
        <v>1.0</v>
      </c>
      <c r="R134" s="428">
        <v>7.0</v>
      </c>
      <c r="S134" s="428">
        <v>4.0</v>
      </c>
      <c r="T134" s="428">
        <v>2.0</v>
      </c>
      <c r="U134" s="428">
        <v>1.0</v>
      </c>
      <c r="V134" s="428">
        <v>0.0</v>
      </c>
      <c r="W134" s="428">
        <v>0.0</v>
      </c>
      <c r="X134" s="428">
        <v>1.0</v>
      </c>
      <c r="Y134" s="428">
        <v>1.0</v>
      </c>
      <c r="Z134" s="428">
        <v>0.0</v>
      </c>
      <c r="AA134" s="428">
        <v>0.0</v>
      </c>
      <c r="AB134" s="428">
        <v>0.0</v>
      </c>
      <c r="AC134" s="428">
        <v>1.0</v>
      </c>
      <c r="AD134" s="428">
        <v>0.0</v>
      </c>
      <c r="AE134" s="428">
        <v>0.0</v>
      </c>
      <c r="AF134" s="428">
        <v>0.0</v>
      </c>
      <c r="AG134" s="428">
        <v>0.0</v>
      </c>
      <c r="AH134" s="428">
        <v>0.0</v>
      </c>
      <c r="AI134" s="428">
        <v>1.0</v>
      </c>
      <c r="AJ134" s="428">
        <v>0.0</v>
      </c>
    </row>
    <row r="135" ht="15.75" customHeight="1">
      <c r="A135" s="19" t="s">
        <v>115</v>
      </c>
      <c r="B135" s="428">
        <v>0.0</v>
      </c>
      <c r="C135" s="428">
        <v>1.0</v>
      </c>
      <c r="D135" s="428">
        <v>0.0</v>
      </c>
      <c r="E135" s="428">
        <v>0.0</v>
      </c>
      <c r="F135" s="428">
        <v>1.0</v>
      </c>
      <c r="G135" s="428">
        <v>0.0</v>
      </c>
      <c r="H135" s="428">
        <v>50.0</v>
      </c>
      <c r="I135" s="428">
        <v>0.0</v>
      </c>
      <c r="J135" s="428">
        <v>60.0</v>
      </c>
      <c r="K135" s="428">
        <v>-10.0</v>
      </c>
      <c r="L135" s="428">
        <v>3.0</v>
      </c>
      <c r="M135" s="428">
        <v>2.0</v>
      </c>
      <c r="N135" s="428">
        <v>704.0</v>
      </c>
      <c r="O135" s="428">
        <v>731.0</v>
      </c>
      <c r="P135" s="428">
        <v>11.0</v>
      </c>
      <c r="Q135" s="428">
        <v>2.0</v>
      </c>
      <c r="R135" s="428">
        <v>6.0</v>
      </c>
      <c r="S135" s="428">
        <v>2.0</v>
      </c>
      <c r="T135" s="428">
        <v>0.0</v>
      </c>
      <c r="U135" s="428">
        <v>0.0</v>
      </c>
      <c r="V135" s="428">
        <v>0.0</v>
      </c>
      <c r="W135" s="428">
        <v>0.0</v>
      </c>
      <c r="X135" s="428">
        <v>0.0</v>
      </c>
      <c r="Y135" s="428">
        <v>0.0</v>
      </c>
      <c r="Z135" s="428">
        <v>0.0</v>
      </c>
      <c r="AA135" s="428">
        <v>0.0</v>
      </c>
      <c r="AB135" s="428">
        <v>0.0</v>
      </c>
      <c r="AC135" s="428">
        <v>0.0</v>
      </c>
      <c r="AD135" s="428">
        <v>0.0</v>
      </c>
      <c r="AE135" s="428">
        <v>0.0</v>
      </c>
      <c r="AF135" s="428">
        <v>0.0</v>
      </c>
      <c r="AG135" s="428">
        <v>0.0</v>
      </c>
      <c r="AH135" s="428">
        <v>0.0</v>
      </c>
      <c r="AI135" s="428">
        <v>2.0</v>
      </c>
      <c r="AJ135" s="428">
        <v>0.0</v>
      </c>
    </row>
    <row r="136" ht="15.75" customHeight="1">
      <c r="A136" s="19" t="s">
        <v>44</v>
      </c>
      <c r="B136" s="428">
        <v>0.0</v>
      </c>
      <c r="C136" s="428">
        <v>1.0</v>
      </c>
      <c r="D136" s="428">
        <v>0.0</v>
      </c>
      <c r="E136" s="428">
        <v>0.0</v>
      </c>
      <c r="F136" s="428">
        <v>1.0</v>
      </c>
      <c r="G136" s="428">
        <v>0.0</v>
      </c>
      <c r="H136" s="428">
        <v>37.0</v>
      </c>
      <c r="I136" s="428">
        <v>0.0</v>
      </c>
      <c r="J136" s="428">
        <v>44.0</v>
      </c>
      <c r="K136" s="428">
        <v>-7.0</v>
      </c>
      <c r="L136" s="428">
        <v>5.0</v>
      </c>
      <c r="M136" s="428">
        <v>2.0</v>
      </c>
      <c r="N136" s="428">
        <v>704.0</v>
      </c>
      <c r="O136" s="428">
        <v>731.0</v>
      </c>
      <c r="P136" s="428">
        <v>16.0</v>
      </c>
      <c r="Q136" s="428">
        <v>2.0</v>
      </c>
      <c r="R136" s="428">
        <v>5.0</v>
      </c>
      <c r="S136" s="428">
        <v>1.0</v>
      </c>
      <c r="T136" s="428">
        <v>0.0</v>
      </c>
      <c r="U136" s="428">
        <v>1.0</v>
      </c>
      <c r="V136" s="428">
        <v>0.0</v>
      </c>
      <c r="W136" s="428">
        <v>0.0</v>
      </c>
      <c r="X136" s="428">
        <v>0.0</v>
      </c>
      <c r="Y136" s="428">
        <v>1.0</v>
      </c>
      <c r="Z136" s="428">
        <v>0.0</v>
      </c>
      <c r="AA136" s="428">
        <v>0.0</v>
      </c>
      <c r="AB136" s="428">
        <v>0.0</v>
      </c>
      <c r="AC136" s="428">
        <v>0.0</v>
      </c>
      <c r="AD136" s="428">
        <v>0.0</v>
      </c>
      <c r="AE136" s="428">
        <v>0.0</v>
      </c>
      <c r="AF136" s="428">
        <v>0.0</v>
      </c>
      <c r="AG136" s="428">
        <v>0.0</v>
      </c>
      <c r="AH136" s="428">
        <v>0.0</v>
      </c>
      <c r="AI136" s="428">
        <v>2.0</v>
      </c>
      <c r="AJ136" s="428">
        <v>0.0</v>
      </c>
    </row>
    <row r="137" ht="15.75" customHeight="1">
      <c r="A137" s="19" t="s">
        <v>56</v>
      </c>
      <c r="B137" s="428">
        <v>0.0</v>
      </c>
      <c r="C137" s="428">
        <v>1.0</v>
      </c>
      <c r="D137" s="428">
        <v>0.0</v>
      </c>
      <c r="E137" s="428">
        <v>0.0</v>
      </c>
      <c r="F137" s="428">
        <v>1.0</v>
      </c>
      <c r="G137" s="428">
        <v>0.0</v>
      </c>
      <c r="H137" s="428">
        <v>44.0</v>
      </c>
      <c r="I137" s="428">
        <v>3.0</v>
      </c>
      <c r="J137" s="428">
        <v>41.0</v>
      </c>
      <c r="K137" s="428">
        <v>3.0</v>
      </c>
      <c r="L137" s="428">
        <v>6.0</v>
      </c>
      <c r="M137" s="428">
        <v>2.0</v>
      </c>
      <c r="N137" s="428">
        <v>704.0</v>
      </c>
      <c r="O137" s="428">
        <v>731.0</v>
      </c>
      <c r="P137" s="428">
        <v>17.0</v>
      </c>
      <c r="Q137" s="428">
        <v>2.0</v>
      </c>
      <c r="R137" s="428">
        <v>6.0</v>
      </c>
      <c r="S137" s="428">
        <v>2.0</v>
      </c>
      <c r="T137" s="428">
        <v>2.0</v>
      </c>
      <c r="U137" s="428">
        <v>2.0</v>
      </c>
      <c r="V137" s="428">
        <v>0.0</v>
      </c>
      <c r="W137" s="428">
        <v>0.0</v>
      </c>
      <c r="X137" s="428">
        <v>1.0</v>
      </c>
      <c r="Y137" s="428">
        <v>2.0</v>
      </c>
      <c r="Z137" s="428">
        <v>0.0</v>
      </c>
      <c r="AA137" s="428">
        <v>0.0</v>
      </c>
      <c r="AB137" s="428">
        <v>0.0</v>
      </c>
      <c r="AC137" s="428">
        <v>1.0</v>
      </c>
      <c r="AD137" s="428">
        <v>0.0</v>
      </c>
      <c r="AE137" s="428">
        <v>0.0</v>
      </c>
      <c r="AF137" s="428">
        <v>0.0</v>
      </c>
      <c r="AG137" s="428">
        <v>0.0</v>
      </c>
      <c r="AH137" s="428">
        <v>0.0</v>
      </c>
      <c r="AI137" s="428">
        <v>1.0</v>
      </c>
      <c r="AJ137" s="428">
        <v>0.0</v>
      </c>
    </row>
    <row r="138" ht="15.75" customHeight="1">
      <c r="A138" s="19" t="s">
        <v>85</v>
      </c>
      <c r="B138" s="428">
        <v>0.0</v>
      </c>
      <c r="C138" s="428">
        <v>1.0</v>
      </c>
      <c r="D138" s="428">
        <v>0.0</v>
      </c>
      <c r="E138" s="428">
        <v>0.0</v>
      </c>
      <c r="F138" s="428">
        <v>1.0</v>
      </c>
      <c r="G138" s="428">
        <v>0.0</v>
      </c>
      <c r="H138" s="428">
        <v>40.0</v>
      </c>
      <c r="I138" s="428">
        <v>5.0</v>
      </c>
      <c r="J138" s="428">
        <v>60.0</v>
      </c>
      <c r="K138" s="428">
        <v>-20.0</v>
      </c>
      <c r="L138" s="428">
        <v>3.0</v>
      </c>
      <c r="M138" s="428">
        <v>2.0</v>
      </c>
      <c r="N138" s="428">
        <v>704.0</v>
      </c>
      <c r="O138" s="428">
        <v>731.0</v>
      </c>
      <c r="P138" s="428">
        <v>11.0</v>
      </c>
      <c r="Q138" s="428">
        <v>0.0</v>
      </c>
      <c r="R138" s="428">
        <v>7.0</v>
      </c>
      <c r="S138" s="428">
        <v>1.0</v>
      </c>
      <c r="T138" s="428">
        <v>0.0</v>
      </c>
      <c r="U138" s="428">
        <v>0.0</v>
      </c>
      <c r="V138" s="428">
        <v>0.0</v>
      </c>
      <c r="W138" s="428">
        <v>0.0</v>
      </c>
      <c r="X138" s="428">
        <v>0.0</v>
      </c>
      <c r="Y138" s="428">
        <v>0.0</v>
      </c>
      <c r="Z138" s="428">
        <v>0.0</v>
      </c>
      <c r="AA138" s="428">
        <v>0.0</v>
      </c>
      <c r="AB138" s="428">
        <v>0.0</v>
      </c>
      <c r="AC138" s="428">
        <v>0.0</v>
      </c>
      <c r="AD138" s="428">
        <v>0.0</v>
      </c>
      <c r="AE138" s="428">
        <v>0.0</v>
      </c>
      <c r="AF138" s="428">
        <v>0.0</v>
      </c>
      <c r="AG138" s="428">
        <v>0.0</v>
      </c>
      <c r="AH138" s="428">
        <v>0.0</v>
      </c>
      <c r="AI138" s="428">
        <v>1.0</v>
      </c>
      <c r="AJ138" s="428">
        <v>0.0</v>
      </c>
    </row>
    <row r="139" ht="15.75" customHeight="1">
      <c r="A139" s="429" t="s">
        <v>36</v>
      </c>
      <c r="B139" s="430">
        <v>0.0</v>
      </c>
      <c r="C139" s="430">
        <v>0.0</v>
      </c>
      <c r="D139" s="430">
        <v>1.0</v>
      </c>
      <c r="E139" s="430">
        <v>0.0</v>
      </c>
      <c r="F139" s="430">
        <v>0.0</v>
      </c>
      <c r="G139" s="430">
        <v>0.0</v>
      </c>
      <c r="H139" s="430">
        <v>0.0</v>
      </c>
      <c r="I139" s="430">
        <v>0.0</v>
      </c>
      <c r="J139" s="430">
        <v>0.0</v>
      </c>
      <c r="K139" s="430">
        <v>0.0</v>
      </c>
      <c r="L139" s="430">
        <v>0.0</v>
      </c>
      <c r="M139" s="430">
        <v>0.0</v>
      </c>
      <c r="N139" s="430">
        <v>0.0</v>
      </c>
      <c r="O139" s="430">
        <v>0.0</v>
      </c>
      <c r="P139" s="430">
        <v>0.0</v>
      </c>
      <c r="Q139" s="430">
        <v>0.0</v>
      </c>
      <c r="R139" s="430">
        <v>0.0</v>
      </c>
      <c r="S139" s="430">
        <v>0.0</v>
      </c>
      <c r="T139" s="430">
        <v>0.0</v>
      </c>
      <c r="U139" s="430">
        <v>0.0</v>
      </c>
      <c r="V139" s="430">
        <v>0.0</v>
      </c>
      <c r="W139" s="430">
        <v>0.0</v>
      </c>
      <c r="X139" s="430">
        <v>0.0</v>
      </c>
      <c r="Y139" s="430">
        <v>0.0</v>
      </c>
      <c r="Z139" s="430">
        <v>0.0</v>
      </c>
      <c r="AA139" s="430">
        <v>0.0</v>
      </c>
      <c r="AB139" s="430">
        <v>0.0</v>
      </c>
      <c r="AC139" s="430">
        <v>0.0</v>
      </c>
      <c r="AD139" s="430">
        <v>0.0</v>
      </c>
      <c r="AE139" s="430">
        <v>0.0</v>
      </c>
      <c r="AF139" s="430">
        <v>0.0</v>
      </c>
      <c r="AG139" s="430">
        <v>0.0</v>
      </c>
      <c r="AH139" s="430">
        <v>0.0</v>
      </c>
      <c r="AI139" s="430">
        <v>0.0</v>
      </c>
      <c r="AJ139" s="430">
        <v>0.0</v>
      </c>
    </row>
    <row r="140" ht="15.75" customHeight="1">
      <c r="A140" s="434" t="s">
        <v>153</v>
      </c>
      <c r="B140" s="435">
        <v>0.0</v>
      </c>
      <c r="C140" s="435">
        <v>1.0</v>
      </c>
      <c r="D140" s="435">
        <v>0.0</v>
      </c>
      <c r="E140" s="435">
        <v>1.0</v>
      </c>
      <c r="F140" s="435">
        <v>0.0</v>
      </c>
      <c r="G140" s="435">
        <v>1.0</v>
      </c>
      <c r="H140" s="435">
        <v>116.0</v>
      </c>
      <c r="I140" s="435">
        <v>5.0</v>
      </c>
      <c r="J140" s="435">
        <v>115.0</v>
      </c>
      <c r="K140" s="435">
        <v>1.0</v>
      </c>
      <c r="L140" s="435">
        <v>4.0</v>
      </c>
      <c r="M140" s="435">
        <v>3.0</v>
      </c>
      <c r="N140" s="435">
        <v>1815.0</v>
      </c>
      <c r="O140" s="435">
        <v>1866.0</v>
      </c>
      <c r="P140" s="435">
        <v>15.0</v>
      </c>
      <c r="Q140" s="435">
        <v>2.0</v>
      </c>
      <c r="R140" s="435">
        <v>20.0</v>
      </c>
      <c r="S140" s="435">
        <v>5.0</v>
      </c>
      <c r="T140" s="435">
        <v>2.0</v>
      </c>
      <c r="U140" s="435">
        <v>0.0</v>
      </c>
      <c r="V140" s="435">
        <v>0.0</v>
      </c>
      <c r="W140" s="435">
        <v>0.0</v>
      </c>
      <c r="X140" s="435">
        <v>2.0</v>
      </c>
      <c r="Y140" s="435">
        <v>0.0</v>
      </c>
      <c r="Z140" s="435">
        <v>0.0</v>
      </c>
      <c r="AA140" s="435">
        <v>0.0</v>
      </c>
      <c r="AB140" s="435">
        <v>0.0</v>
      </c>
      <c r="AC140" s="435">
        <v>0.0</v>
      </c>
      <c r="AD140" s="435">
        <v>0.0</v>
      </c>
      <c r="AE140" s="435">
        <v>0.0</v>
      </c>
      <c r="AF140" s="435">
        <v>0.0</v>
      </c>
      <c r="AG140" s="435">
        <v>0.0</v>
      </c>
      <c r="AH140" s="435">
        <v>0.0</v>
      </c>
      <c r="AI140" s="435">
        <v>1.0</v>
      </c>
      <c r="AJ140" s="435">
        <v>0.0</v>
      </c>
    </row>
    <row r="141" ht="15.75" customHeight="1">
      <c r="A141" s="434" t="s">
        <v>40</v>
      </c>
      <c r="B141" s="435">
        <v>0.0</v>
      </c>
      <c r="C141" s="435">
        <v>1.0</v>
      </c>
      <c r="D141" s="435">
        <v>0.0</v>
      </c>
      <c r="E141" s="435">
        <v>1.0</v>
      </c>
      <c r="F141" s="435">
        <v>0.0</v>
      </c>
      <c r="G141" s="435">
        <v>3.0</v>
      </c>
      <c r="H141" s="435">
        <v>108.0</v>
      </c>
      <c r="I141" s="435">
        <v>2.0</v>
      </c>
      <c r="J141" s="435">
        <v>109.0</v>
      </c>
      <c r="K141" s="435">
        <v>-1.0</v>
      </c>
      <c r="L141" s="435">
        <v>5.0</v>
      </c>
      <c r="M141" s="435">
        <v>1.0</v>
      </c>
      <c r="N141" s="435">
        <v>1814.0</v>
      </c>
      <c r="O141" s="435">
        <v>1865.0</v>
      </c>
      <c r="P141" s="435">
        <v>16.0</v>
      </c>
      <c r="Q141" s="435">
        <v>8.0</v>
      </c>
      <c r="R141" s="435">
        <v>25.0</v>
      </c>
      <c r="S141" s="435">
        <v>5.0</v>
      </c>
      <c r="T141" s="435">
        <v>3.0</v>
      </c>
      <c r="U141" s="435">
        <v>2.0</v>
      </c>
      <c r="V141" s="435">
        <v>0.0</v>
      </c>
      <c r="W141" s="435">
        <v>0.0</v>
      </c>
      <c r="X141" s="435">
        <v>2.0</v>
      </c>
      <c r="Y141" s="435">
        <v>2.0</v>
      </c>
      <c r="Z141" s="435">
        <v>0.0</v>
      </c>
      <c r="AA141" s="435">
        <v>0.0</v>
      </c>
      <c r="AB141" s="435">
        <v>0.0</v>
      </c>
      <c r="AC141" s="435">
        <v>1.0</v>
      </c>
      <c r="AD141" s="435">
        <v>0.0</v>
      </c>
      <c r="AE141" s="435">
        <v>0.0</v>
      </c>
      <c r="AF141" s="435">
        <v>0.0</v>
      </c>
      <c r="AG141" s="435">
        <v>0.0</v>
      </c>
      <c r="AH141" s="435">
        <v>0.0</v>
      </c>
      <c r="AI141" s="435">
        <v>3.0</v>
      </c>
      <c r="AJ141" s="435">
        <v>0.0</v>
      </c>
    </row>
    <row r="142" ht="15.75" customHeight="1">
      <c r="A142" s="434" t="s">
        <v>47</v>
      </c>
      <c r="B142" s="435">
        <v>0.0</v>
      </c>
      <c r="C142" s="435">
        <v>1.0</v>
      </c>
      <c r="D142" s="435">
        <v>0.0</v>
      </c>
      <c r="E142" s="435">
        <v>1.0</v>
      </c>
      <c r="F142" s="435">
        <v>0.0</v>
      </c>
      <c r="G142" s="435">
        <v>1.0</v>
      </c>
      <c r="H142" s="435">
        <v>104.0</v>
      </c>
      <c r="I142" s="435">
        <v>0.0</v>
      </c>
      <c r="J142" s="435">
        <v>113.0</v>
      </c>
      <c r="K142" s="435">
        <v>-9.0</v>
      </c>
      <c r="L142" s="435">
        <v>5.0</v>
      </c>
      <c r="M142" s="435">
        <v>3.0</v>
      </c>
      <c r="N142" s="435">
        <v>1815.0</v>
      </c>
      <c r="O142" s="435">
        <v>1866.0</v>
      </c>
      <c r="P142" s="435">
        <v>16.0</v>
      </c>
      <c r="Q142" s="435">
        <v>1.0</v>
      </c>
      <c r="R142" s="435">
        <v>19.0</v>
      </c>
      <c r="S142" s="435">
        <v>3.0</v>
      </c>
      <c r="T142" s="435">
        <v>2.0</v>
      </c>
      <c r="U142" s="435">
        <v>1.0</v>
      </c>
      <c r="V142" s="435">
        <v>0.0</v>
      </c>
      <c r="W142" s="435">
        <v>0.0</v>
      </c>
      <c r="X142" s="435">
        <v>1.0</v>
      </c>
      <c r="Y142" s="435">
        <v>1.0</v>
      </c>
      <c r="Z142" s="435">
        <v>0.0</v>
      </c>
      <c r="AA142" s="435">
        <v>0.0</v>
      </c>
      <c r="AB142" s="435">
        <v>0.0</v>
      </c>
      <c r="AC142" s="435">
        <v>1.0</v>
      </c>
      <c r="AD142" s="435">
        <v>0.0</v>
      </c>
      <c r="AE142" s="435">
        <v>0.0</v>
      </c>
      <c r="AF142" s="435">
        <v>0.0</v>
      </c>
      <c r="AG142" s="435">
        <v>0.0</v>
      </c>
      <c r="AH142" s="435">
        <v>0.0</v>
      </c>
      <c r="AI142" s="435">
        <v>5.0</v>
      </c>
      <c r="AJ142" s="435">
        <v>0.0</v>
      </c>
    </row>
    <row r="143" ht="15.75" customHeight="1">
      <c r="A143" s="434" t="s">
        <v>109</v>
      </c>
      <c r="B143" s="435">
        <v>0.0</v>
      </c>
      <c r="C143" s="435">
        <v>1.0</v>
      </c>
      <c r="D143" s="435">
        <v>0.0</v>
      </c>
      <c r="E143" s="435">
        <v>1.0</v>
      </c>
      <c r="F143" s="435">
        <v>0.0</v>
      </c>
      <c r="G143" s="435">
        <v>0.0</v>
      </c>
      <c r="H143" s="435">
        <v>82.0</v>
      </c>
      <c r="I143" s="435">
        <v>2.0</v>
      </c>
      <c r="J143" s="435">
        <v>115.0</v>
      </c>
      <c r="K143" s="435">
        <v>-33.0</v>
      </c>
      <c r="L143" s="435">
        <v>4.0</v>
      </c>
      <c r="M143" s="435">
        <v>3.0</v>
      </c>
      <c r="N143" s="435">
        <v>1814.0</v>
      </c>
      <c r="O143" s="435">
        <v>1866.0</v>
      </c>
      <c r="P143" s="435">
        <v>15.0</v>
      </c>
      <c r="Q143" s="435">
        <v>3.0</v>
      </c>
      <c r="R143" s="435">
        <v>9.0</v>
      </c>
      <c r="S143" s="435">
        <v>1.0</v>
      </c>
      <c r="T143" s="435">
        <v>0.0</v>
      </c>
      <c r="U143" s="435">
        <v>0.0</v>
      </c>
      <c r="V143" s="435">
        <v>0.0</v>
      </c>
      <c r="W143" s="435">
        <v>0.0</v>
      </c>
      <c r="X143" s="435">
        <v>0.0</v>
      </c>
      <c r="Y143" s="435">
        <v>0.0</v>
      </c>
      <c r="Z143" s="435">
        <v>0.0</v>
      </c>
      <c r="AA143" s="435">
        <v>0.0</v>
      </c>
      <c r="AB143" s="435">
        <v>0.0</v>
      </c>
      <c r="AC143" s="435">
        <v>0.0</v>
      </c>
      <c r="AD143" s="435">
        <v>0.0</v>
      </c>
      <c r="AE143" s="435">
        <v>0.0</v>
      </c>
      <c r="AF143" s="435">
        <v>0.0</v>
      </c>
      <c r="AG143" s="435">
        <v>0.0</v>
      </c>
      <c r="AH143" s="435">
        <v>0.0</v>
      </c>
      <c r="AI143" s="435">
        <v>1.0</v>
      </c>
      <c r="AJ143" s="435">
        <v>0.0</v>
      </c>
    </row>
    <row r="144" ht="15.75" customHeight="1">
      <c r="A144" s="434" t="s">
        <v>154</v>
      </c>
      <c r="B144" s="435">
        <v>1.0</v>
      </c>
      <c r="C144" s="435">
        <v>1.0</v>
      </c>
      <c r="D144" s="435">
        <v>0.0</v>
      </c>
      <c r="E144" s="435">
        <v>0.0</v>
      </c>
      <c r="F144" s="435">
        <v>1.0</v>
      </c>
      <c r="G144" s="435">
        <v>1.0</v>
      </c>
      <c r="H144" s="435">
        <v>109.0</v>
      </c>
      <c r="I144" s="435">
        <v>0.0</v>
      </c>
      <c r="J144" s="435">
        <v>104.0</v>
      </c>
      <c r="K144" s="435">
        <v>5.0</v>
      </c>
      <c r="L144" s="435">
        <v>5.0</v>
      </c>
      <c r="M144" s="435">
        <v>3.0</v>
      </c>
      <c r="N144" s="435">
        <v>1815.0</v>
      </c>
      <c r="O144" s="435">
        <v>1866.0</v>
      </c>
      <c r="P144" s="435">
        <v>17.0</v>
      </c>
      <c r="Q144" s="435">
        <v>1.0</v>
      </c>
      <c r="R144" s="435">
        <v>20.0</v>
      </c>
      <c r="S144" s="435">
        <v>5.0</v>
      </c>
      <c r="T144" s="435">
        <v>6.0</v>
      </c>
      <c r="U144" s="435">
        <v>3.0</v>
      </c>
      <c r="V144" s="435">
        <v>0.0</v>
      </c>
      <c r="W144" s="435">
        <v>0.0</v>
      </c>
      <c r="X144" s="435">
        <v>4.0</v>
      </c>
      <c r="Y144" s="435">
        <v>3.0</v>
      </c>
      <c r="Z144" s="435">
        <v>0.0</v>
      </c>
      <c r="AA144" s="435">
        <v>0.0</v>
      </c>
      <c r="AB144" s="435">
        <v>0.0</v>
      </c>
      <c r="AC144" s="435">
        <v>2.0</v>
      </c>
      <c r="AD144" s="435">
        <v>0.0</v>
      </c>
      <c r="AE144" s="435">
        <v>0.0</v>
      </c>
      <c r="AF144" s="435">
        <v>0.0</v>
      </c>
      <c r="AG144" s="435">
        <v>0.0</v>
      </c>
      <c r="AH144" s="435">
        <v>0.0</v>
      </c>
      <c r="AI144" s="435">
        <v>2.0</v>
      </c>
      <c r="AJ144" s="435">
        <v>0.0</v>
      </c>
    </row>
    <row r="145" ht="15.75" customHeight="1">
      <c r="A145" s="434" t="s">
        <v>126</v>
      </c>
      <c r="B145" s="435">
        <v>1.0</v>
      </c>
      <c r="C145" s="435">
        <v>1.0</v>
      </c>
      <c r="D145" s="435">
        <v>0.0</v>
      </c>
      <c r="E145" s="435">
        <v>0.0</v>
      </c>
      <c r="F145" s="435">
        <v>1.0</v>
      </c>
      <c r="G145" s="435">
        <v>0.0</v>
      </c>
      <c r="H145" s="435">
        <v>96.0</v>
      </c>
      <c r="I145" s="435">
        <v>5.0</v>
      </c>
      <c r="J145" s="435">
        <v>106.0</v>
      </c>
      <c r="K145" s="435">
        <v>-10.0</v>
      </c>
      <c r="L145" s="435">
        <v>7.0</v>
      </c>
      <c r="M145" s="435">
        <v>3.0</v>
      </c>
      <c r="N145" s="435">
        <v>1814.0</v>
      </c>
      <c r="O145" s="435">
        <v>1866.0</v>
      </c>
      <c r="P145" s="435">
        <v>17.0</v>
      </c>
      <c r="Q145" s="435">
        <v>0.0</v>
      </c>
      <c r="R145" s="435">
        <v>21.0</v>
      </c>
      <c r="S145" s="435">
        <v>1.0</v>
      </c>
      <c r="T145" s="435">
        <v>0.0</v>
      </c>
      <c r="U145" s="435">
        <v>1.0</v>
      </c>
      <c r="V145" s="435">
        <v>0.0</v>
      </c>
      <c r="W145" s="435">
        <v>0.0</v>
      </c>
      <c r="X145" s="435">
        <v>0.0</v>
      </c>
      <c r="Y145" s="435">
        <v>1.0</v>
      </c>
      <c r="Z145" s="435">
        <v>0.0</v>
      </c>
      <c r="AA145" s="435">
        <v>0.0</v>
      </c>
      <c r="AB145" s="435">
        <v>0.0</v>
      </c>
      <c r="AC145" s="435">
        <v>0.0</v>
      </c>
      <c r="AD145" s="435">
        <v>0.0</v>
      </c>
      <c r="AE145" s="435">
        <v>0.0</v>
      </c>
      <c r="AF145" s="435">
        <v>0.0</v>
      </c>
      <c r="AG145" s="435">
        <v>0.0</v>
      </c>
      <c r="AH145" s="435">
        <v>0.0</v>
      </c>
      <c r="AI145" s="435">
        <v>1.0</v>
      </c>
      <c r="AJ145" s="435">
        <v>0.0</v>
      </c>
    </row>
    <row r="146" ht="15.75" customHeight="1">
      <c r="A146" s="434" t="s">
        <v>134</v>
      </c>
      <c r="B146" s="435">
        <v>1.0</v>
      </c>
      <c r="C146" s="435">
        <v>1.0</v>
      </c>
      <c r="D146" s="435">
        <v>0.0</v>
      </c>
      <c r="E146" s="435">
        <v>0.0</v>
      </c>
      <c r="F146" s="435">
        <v>1.0</v>
      </c>
      <c r="G146" s="435">
        <v>2.0</v>
      </c>
      <c r="H146" s="435">
        <v>110.0</v>
      </c>
      <c r="I146" s="435">
        <v>2.0</v>
      </c>
      <c r="J146" s="435">
        <v>110.0</v>
      </c>
      <c r="K146" s="435">
        <v>0.0</v>
      </c>
      <c r="L146" s="435">
        <v>6.0</v>
      </c>
      <c r="M146" s="435">
        <v>4.0</v>
      </c>
      <c r="N146" s="435">
        <v>1814.0</v>
      </c>
      <c r="O146" s="435">
        <v>1865.0</v>
      </c>
      <c r="P146" s="435">
        <v>16.0</v>
      </c>
      <c r="Q146" s="435">
        <v>4.0</v>
      </c>
      <c r="R146" s="435">
        <v>21.0</v>
      </c>
      <c r="S146" s="435">
        <v>6.0</v>
      </c>
      <c r="T146" s="435">
        <v>4.0</v>
      </c>
      <c r="U146" s="435">
        <v>2.0</v>
      </c>
      <c r="V146" s="435">
        <v>0.0</v>
      </c>
      <c r="W146" s="435">
        <v>0.0</v>
      </c>
      <c r="X146" s="435">
        <v>4.0</v>
      </c>
      <c r="Y146" s="435">
        <v>2.0</v>
      </c>
      <c r="Z146" s="435">
        <v>0.0</v>
      </c>
      <c r="AA146" s="435">
        <v>0.0</v>
      </c>
      <c r="AB146" s="435">
        <v>0.0</v>
      </c>
      <c r="AC146" s="435">
        <v>0.0</v>
      </c>
      <c r="AD146" s="435">
        <v>0.0</v>
      </c>
      <c r="AE146" s="435">
        <v>0.0</v>
      </c>
      <c r="AF146" s="435">
        <v>0.0</v>
      </c>
      <c r="AG146" s="435">
        <v>0.0</v>
      </c>
      <c r="AH146" s="435">
        <v>0.0</v>
      </c>
      <c r="AI146" s="435">
        <v>3.0</v>
      </c>
      <c r="AJ146" s="435">
        <v>0.0</v>
      </c>
    </row>
    <row r="147" ht="15.75" customHeight="1">
      <c r="A147" s="434" t="s">
        <v>139</v>
      </c>
      <c r="B147" s="435">
        <v>1.0</v>
      </c>
      <c r="C147" s="435">
        <v>1.0</v>
      </c>
      <c r="D147" s="435">
        <v>0.0</v>
      </c>
      <c r="E147" s="435">
        <v>0.0</v>
      </c>
      <c r="F147" s="435">
        <v>1.0</v>
      </c>
      <c r="G147" s="435">
        <v>1.0</v>
      </c>
      <c r="H147" s="435">
        <v>127.0</v>
      </c>
      <c r="I147" s="435">
        <v>0.0</v>
      </c>
      <c r="J147" s="435">
        <v>103.0</v>
      </c>
      <c r="K147" s="435">
        <v>24.0</v>
      </c>
      <c r="L147" s="435">
        <v>5.0</v>
      </c>
      <c r="M147" s="435">
        <v>3.0</v>
      </c>
      <c r="N147" s="435">
        <v>1814.0</v>
      </c>
      <c r="O147" s="435">
        <v>1866.0</v>
      </c>
      <c r="P147" s="435">
        <v>17.0</v>
      </c>
      <c r="Q147" s="435">
        <v>5.0</v>
      </c>
      <c r="R147" s="435">
        <v>17.0</v>
      </c>
      <c r="S147" s="435">
        <v>6.0</v>
      </c>
      <c r="T147" s="435">
        <v>2.0</v>
      </c>
      <c r="U147" s="435">
        <v>1.0</v>
      </c>
      <c r="V147" s="435">
        <v>0.0</v>
      </c>
      <c r="W147" s="435">
        <v>0.0</v>
      </c>
      <c r="X147" s="435">
        <v>2.0</v>
      </c>
      <c r="Y147" s="435">
        <v>1.0</v>
      </c>
      <c r="Z147" s="435">
        <v>0.0</v>
      </c>
      <c r="AA147" s="435">
        <v>0.0</v>
      </c>
      <c r="AB147" s="435">
        <v>0.0</v>
      </c>
      <c r="AC147" s="435">
        <v>0.0</v>
      </c>
      <c r="AD147" s="435">
        <v>0.0</v>
      </c>
      <c r="AE147" s="435">
        <v>0.0</v>
      </c>
      <c r="AF147" s="435">
        <v>0.0</v>
      </c>
      <c r="AG147" s="435">
        <v>0.0</v>
      </c>
      <c r="AH147" s="435">
        <v>0.0</v>
      </c>
      <c r="AI147" s="435">
        <v>3.0</v>
      </c>
      <c r="AJ147" s="435">
        <v>0.0</v>
      </c>
    </row>
    <row r="148" ht="15.75" customHeight="1">
      <c r="A148" s="436" t="s">
        <v>167</v>
      </c>
      <c r="B148" s="437">
        <v>1.0</v>
      </c>
      <c r="C148" s="437">
        <v>0.0</v>
      </c>
      <c r="D148" s="437">
        <v>1.0</v>
      </c>
      <c r="E148" s="437">
        <v>0.0</v>
      </c>
      <c r="F148" s="437">
        <v>0.0</v>
      </c>
      <c r="G148" s="437">
        <v>0.0</v>
      </c>
      <c r="H148" s="437">
        <v>0.0</v>
      </c>
      <c r="I148" s="437">
        <v>0.0</v>
      </c>
      <c r="J148" s="437">
        <v>0.0</v>
      </c>
      <c r="K148" s="437">
        <v>0.0</v>
      </c>
      <c r="L148" s="437">
        <v>0.0</v>
      </c>
      <c r="M148" s="437">
        <v>0.0</v>
      </c>
      <c r="N148" s="437">
        <v>0.0</v>
      </c>
      <c r="O148" s="437">
        <v>0.0</v>
      </c>
      <c r="P148" s="437">
        <v>0.0</v>
      </c>
      <c r="Q148" s="437">
        <v>0.0</v>
      </c>
      <c r="R148" s="437">
        <v>0.0</v>
      </c>
      <c r="S148" s="437">
        <v>0.0</v>
      </c>
      <c r="T148" s="437">
        <v>0.0</v>
      </c>
      <c r="U148" s="437">
        <v>0.0</v>
      </c>
      <c r="V148" s="437">
        <v>0.0</v>
      </c>
      <c r="W148" s="437">
        <v>0.0</v>
      </c>
      <c r="X148" s="437">
        <v>0.0</v>
      </c>
      <c r="Y148" s="437">
        <v>0.0</v>
      </c>
      <c r="Z148" s="437">
        <v>0.0</v>
      </c>
      <c r="AA148" s="437">
        <v>0.0</v>
      </c>
      <c r="AB148" s="437">
        <v>0.0</v>
      </c>
      <c r="AC148" s="437">
        <v>0.0</v>
      </c>
      <c r="AD148" s="437">
        <v>0.0</v>
      </c>
      <c r="AE148" s="437">
        <v>0.0</v>
      </c>
      <c r="AF148" s="437">
        <v>0.0</v>
      </c>
      <c r="AG148" s="437">
        <v>0.0</v>
      </c>
      <c r="AH148" s="437">
        <v>0.0</v>
      </c>
      <c r="AI148" s="437">
        <v>0.0</v>
      </c>
      <c r="AJ148" s="437">
        <v>0.0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13"/>
    <col customWidth="1" min="2" max="2" width="5.63"/>
    <col customWidth="1" min="3" max="3" width="4.5"/>
    <col customWidth="1" min="4" max="4" width="6.88"/>
    <col customWidth="1" min="5" max="5" width="6.5"/>
    <col customWidth="1" min="6" max="6" width="6.63"/>
    <col customWidth="1" min="7" max="7" width="6.13"/>
    <col customWidth="1" min="8" max="8" width="8.5"/>
    <col customWidth="1" min="9" max="9" width="9.5"/>
    <col customWidth="1" min="10" max="10" width="10.38"/>
    <col customWidth="1" min="11" max="11" width="10.13"/>
    <col customWidth="1" min="12" max="13" width="9.0"/>
    <col customWidth="1" min="14" max="14" width="6.5"/>
    <col customWidth="1" min="15" max="15" width="7.63"/>
    <col customWidth="1" min="16" max="16" width="11.63"/>
    <col customWidth="1" min="17" max="17" width="8.0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8.25"/>
    <col customWidth="1" min="29" max="29" width="13.25"/>
  </cols>
  <sheetData>
    <row r="1" ht="15.75" customHeight="1">
      <c r="A1" s="438" t="s">
        <v>9</v>
      </c>
      <c r="B1" s="438" t="s">
        <v>346</v>
      </c>
      <c r="C1" s="438" t="s">
        <v>347</v>
      </c>
      <c r="D1" s="438" t="s">
        <v>348</v>
      </c>
      <c r="E1" s="438" t="s">
        <v>349</v>
      </c>
      <c r="F1" s="438" t="s">
        <v>350</v>
      </c>
      <c r="G1" s="438" t="s">
        <v>351</v>
      </c>
      <c r="H1" s="438" t="s">
        <v>352</v>
      </c>
      <c r="I1" s="438" t="s">
        <v>354</v>
      </c>
      <c r="J1" s="438" t="s">
        <v>356</v>
      </c>
      <c r="K1" s="438" t="s">
        <v>357</v>
      </c>
      <c r="L1" s="438" t="s">
        <v>358</v>
      </c>
      <c r="M1" s="438" t="s">
        <v>359</v>
      </c>
      <c r="N1" s="438" t="s">
        <v>360</v>
      </c>
      <c r="O1" s="438" t="s">
        <v>361</v>
      </c>
      <c r="P1" s="438" t="s">
        <v>362</v>
      </c>
      <c r="Q1" s="438" t="s">
        <v>363</v>
      </c>
      <c r="R1" s="438" t="s">
        <v>364</v>
      </c>
      <c r="S1" s="438" t="s">
        <v>365</v>
      </c>
      <c r="T1" s="438" t="s">
        <v>366</v>
      </c>
      <c r="U1" s="438" t="s">
        <v>367</v>
      </c>
      <c r="V1" s="438" t="s">
        <v>368</v>
      </c>
      <c r="W1" s="438" t="s">
        <v>369</v>
      </c>
      <c r="X1" s="438" t="s">
        <v>370</v>
      </c>
      <c r="Y1" s="438" t="s">
        <v>371</v>
      </c>
      <c r="Z1" s="438" t="s">
        <v>372</v>
      </c>
      <c r="AA1" s="438" t="s">
        <v>373</v>
      </c>
      <c r="AB1" s="438" t="s">
        <v>374</v>
      </c>
      <c r="AC1" s="438" t="s">
        <v>375</v>
      </c>
    </row>
    <row r="2" ht="15.75" customHeight="1">
      <c r="A2" s="438" t="s">
        <v>24</v>
      </c>
      <c r="B2" s="23">
        <v>0.0</v>
      </c>
      <c r="C2" s="23">
        <v>0.0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0.0</v>
      </c>
      <c r="R2" s="23">
        <v>0.0</v>
      </c>
      <c r="S2" s="23">
        <v>0.0</v>
      </c>
      <c r="T2" s="23">
        <v>0.0</v>
      </c>
      <c r="U2" s="23">
        <v>0.0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</row>
    <row r="3" ht="15.75" customHeight="1">
      <c r="A3" s="438" t="s">
        <v>31</v>
      </c>
      <c r="B3" s="23">
        <v>1.0</v>
      </c>
      <c r="C3" s="23">
        <v>546.0</v>
      </c>
      <c r="D3" s="23">
        <v>12.0</v>
      </c>
      <c r="E3" s="23">
        <v>482.0</v>
      </c>
      <c r="F3" s="23">
        <v>64.0</v>
      </c>
      <c r="G3" s="23">
        <v>30.0</v>
      </c>
      <c r="H3" s="23">
        <v>17.0</v>
      </c>
      <c r="I3" s="23">
        <v>6474.0</v>
      </c>
      <c r="J3" s="23">
        <v>16.0</v>
      </c>
      <c r="K3" s="23">
        <v>112.0</v>
      </c>
      <c r="L3" s="23">
        <v>21.0</v>
      </c>
      <c r="M3" s="23">
        <v>8.0</v>
      </c>
      <c r="N3" s="23">
        <v>8.0</v>
      </c>
      <c r="O3" s="23">
        <v>0.0</v>
      </c>
      <c r="P3" s="23">
        <v>0.0</v>
      </c>
      <c r="Q3" s="23">
        <v>5.0</v>
      </c>
      <c r="R3" s="23">
        <v>8.0</v>
      </c>
      <c r="S3" s="23">
        <v>0.0</v>
      </c>
      <c r="T3" s="23">
        <v>0.0</v>
      </c>
      <c r="U3" s="23">
        <v>0.0</v>
      </c>
      <c r="V3" s="23">
        <v>1.0</v>
      </c>
      <c r="W3" s="23">
        <v>1.0</v>
      </c>
      <c r="X3" s="23">
        <v>1.0</v>
      </c>
      <c r="Y3" s="23">
        <v>0.0</v>
      </c>
      <c r="Z3" s="23">
        <v>0.0</v>
      </c>
      <c r="AA3" s="23">
        <v>0.0</v>
      </c>
      <c r="AB3" s="23">
        <v>4.0</v>
      </c>
      <c r="AC3" s="23">
        <v>0.0</v>
      </c>
    </row>
    <row r="4" ht="15.75" customHeight="1">
      <c r="A4" s="438" t="s">
        <v>33</v>
      </c>
      <c r="B4" s="23">
        <v>1.0</v>
      </c>
      <c r="C4" s="23">
        <v>137.0</v>
      </c>
      <c r="D4" s="23">
        <v>6.0</v>
      </c>
      <c r="E4" s="23">
        <v>128.0</v>
      </c>
      <c r="F4" s="23">
        <v>9.0</v>
      </c>
      <c r="G4" s="23">
        <v>14.0</v>
      </c>
      <c r="H4" s="23">
        <v>10.0</v>
      </c>
      <c r="I4" s="23">
        <v>1974.0</v>
      </c>
      <c r="J4" s="23">
        <v>4.0</v>
      </c>
      <c r="K4" s="23">
        <v>25.0</v>
      </c>
      <c r="L4" s="23">
        <v>5.0</v>
      </c>
      <c r="M4" s="23">
        <v>1.0</v>
      </c>
      <c r="N4" s="23">
        <v>2.0</v>
      </c>
      <c r="O4" s="23">
        <v>0.0</v>
      </c>
      <c r="P4" s="23">
        <v>0.0</v>
      </c>
      <c r="Q4" s="23">
        <v>1.0</v>
      </c>
      <c r="R4" s="23">
        <v>2.0</v>
      </c>
      <c r="S4" s="23">
        <v>0.0</v>
      </c>
      <c r="T4" s="23">
        <v>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0.0</v>
      </c>
      <c r="AA4" s="23">
        <v>0.0</v>
      </c>
      <c r="AB4" s="23">
        <v>4.0</v>
      </c>
      <c r="AC4" s="23">
        <v>0.0</v>
      </c>
    </row>
    <row r="5" ht="15.75" customHeight="1">
      <c r="A5" s="438" t="s">
        <v>34</v>
      </c>
      <c r="B5" s="23">
        <v>0.0</v>
      </c>
      <c r="C5" s="23">
        <v>165.0</v>
      </c>
      <c r="D5" s="23">
        <v>4.0</v>
      </c>
      <c r="E5" s="23">
        <v>183.0</v>
      </c>
      <c r="F5" s="23">
        <v>-18.0</v>
      </c>
      <c r="G5" s="23">
        <v>14.0</v>
      </c>
      <c r="H5" s="23">
        <v>7.0</v>
      </c>
      <c r="I5" s="23">
        <v>2941.0</v>
      </c>
      <c r="J5" s="23">
        <v>4.0</v>
      </c>
      <c r="K5" s="23">
        <v>23.0</v>
      </c>
      <c r="L5" s="23">
        <v>6.0</v>
      </c>
      <c r="M5" s="23">
        <v>2.0</v>
      </c>
      <c r="N5" s="23">
        <v>1.0</v>
      </c>
      <c r="O5" s="23">
        <v>0.0</v>
      </c>
      <c r="P5" s="23">
        <v>0.0</v>
      </c>
      <c r="Q5" s="23">
        <v>2.0</v>
      </c>
      <c r="R5" s="23">
        <v>1.0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23">
        <v>0.0</v>
      </c>
      <c r="AB5" s="23">
        <v>5.0</v>
      </c>
      <c r="AC5" s="23">
        <v>0.0</v>
      </c>
    </row>
    <row r="6" ht="15.75" customHeight="1">
      <c r="A6" s="438" t="s">
        <v>36</v>
      </c>
      <c r="B6" s="23">
        <v>1.0</v>
      </c>
      <c r="C6" s="23">
        <v>200.0</v>
      </c>
      <c r="D6" s="23">
        <v>3.0</v>
      </c>
      <c r="E6" s="23">
        <v>191.0</v>
      </c>
      <c r="F6" s="23">
        <v>9.0</v>
      </c>
      <c r="G6" s="23">
        <v>15.0</v>
      </c>
      <c r="H6" s="23">
        <v>7.0</v>
      </c>
      <c r="I6" s="23">
        <v>2943.0</v>
      </c>
      <c r="J6" s="23">
        <v>1.0</v>
      </c>
      <c r="K6" s="23">
        <v>41.0</v>
      </c>
      <c r="L6" s="23">
        <v>8.0</v>
      </c>
      <c r="M6" s="23">
        <v>5.0</v>
      </c>
      <c r="N6" s="23">
        <v>3.0</v>
      </c>
      <c r="O6" s="23">
        <v>0.0</v>
      </c>
      <c r="P6" s="23">
        <v>0.0</v>
      </c>
      <c r="Q6" s="23">
        <v>2.0</v>
      </c>
      <c r="R6" s="23">
        <v>3.0</v>
      </c>
      <c r="S6" s="23">
        <v>0.0</v>
      </c>
      <c r="T6" s="23">
        <v>0.0</v>
      </c>
      <c r="U6" s="23">
        <v>0.0</v>
      </c>
      <c r="V6" s="23">
        <v>2.0</v>
      </c>
      <c r="W6" s="23">
        <v>1.0</v>
      </c>
      <c r="X6" s="23">
        <v>0.0</v>
      </c>
      <c r="Y6" s="23">
        <v>0.0</v>
      </c>
      <c r="Z6" s="23">
        <v>0.0</v>
      </c>
      <c r="AA6" s="23">
        <v>0.0</v>
      </c>
      <c r="AB6" s="23">
        <v>3.0</v>
      </c>
      <c r="AC6" s="23">
        <v>0.0</v>
      </c>
    </row>
    <row r="7" ht="15.75" customHeight="1">
      <c r="A7" s="438" t="s">
        <v>40</v>
      </c>
      <c r="B7" s="23">
        <v>11.0</v>
      </c>
      <c r="C7" s="23">
        <v>639.0</v>
      </c>
      <c r="D7" s="23">
        <v>17.0</v>
      </c>
      <c r="E7" s="23">
        <v>637.0</v>
      </c>
      <c r="F7" s="23">
        <v>2.0</v>
      </c>
      <c r="G7" s="23">
        <v>42.0</v>
      </c>
      <c r="H7" s="23">
        <v>9.0</v>
      </c>
      <c r="I7" s="23">
        <v>11646.0</v>
      </c>
      <c r="J7" s="23">
        <v>30.0</v>
      </c>
      <c r="K7" s="23">
        <v>122.0</v>
      </c>
      <c r="L7" s="23">
        <v>23.0</v>
      </c>
      <c r="M7" s="23">
        <v>14.0</v>
      </c>
      <c r="N7" s="23">
        <v>10.0</v>
      </c>
      <c r="O7" s="23">
        <v>0.0</v>
      </c>
      <c r="P7" s="23">
        <v>0.0</v>
      </c>
      <c r="Q7" s="23">
        <v>8.0</v>
      </c>
      <c r="R7" s="23">
        <v>10.0</v>
      </c>
      <c r="S7" s="23">
        <v>0.0</v>
      </c>
      <c r="T7" s="23">
        <v>0.0</v>
      </c>
      <c r="U7" s="23">
        <v>0.0</v>
      </c>
      <c r="V7" s="23">
        <v>3.0</v>
      </c>
      <c r="W7" s="23">
        <v>2.0</v>
      </c>
      <c r="X7" s="23">
        <v>1.0</v>
      </c>
      <c r="Y7" s="23">
        <v>0.0</v>
      </c>
      <c r="Z7" s="23">
        <v>0.0</v>
      </c>
      <c r="AA7" s="23">
        <v>0.0</v>
      </c>
      <c r="AB7" s="23">
        <v>7.0</v>
      </c>
      <c r="AC7" s="23">
        <v>0.0</v>
      </c>
    </row>
    <row r="8" ht="15.75" customHeight="1">
      <c r="A8" s="438" t="s">
        <v>41</v>
      </c>
      <c r="B8" s="23">
        <v>0.0</v>
      </c>
      <c r="C8" s="23">
        <v>104.0</v>
      </c>
      <c r="D8" s="23">
        <v>0.0</v>
      </c>
      <c r="E8" s="23">
        <v>207.0</v>
      </c>
      <c r="F8" s="23">
        <v>-103.0</v>
      </c>
      <c r="G8" s="23">
        <v>13.0</v>
      </c>
      <c r="H8" s="23">
        <v>1.0</v>
      </c>
      <c r="I8" s="23">
        <v>3042.0</v>
      </c>
      <c r="J8" s="23">
        <v>4.0</v>
      </c>
      <c r="K8" s="23">
        <v>14.0</v>
      </c>
      <c r="L8" s="23">
        <v>3.0</v>
      </c>
      <c r="M8" s="23">
        <v>2.0</v>
      </c>
      <c r="N8" s="23">
        <v>1.0</v>
      </c>
      <c r="O8" s="23">
        <v>0.0</v>
      </c>
      <c r="P8" s="23">
        <v>0.0</v>
      </c>
      <c r="Q8" s="23">
        <v>1.0</v>
      </c>
      <c r="R8" s="23">
        <v>1.0</v>
      </c>
      <c r="S8" s="23">
        <v>0.0</v>
      </c>
      <c r="T8" s="23">
        <v>0.0</v>
      </c>
      <c r="U8" s="23">
        <v>0.0</v>
      </c>
      <c r="V8" s="23">
        <v>1.0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5.0</v>
      </c>
      <c r="AC8" s="23">
        <v>0.0</v>
      </c>
    </row>
    <row r="9" ht="15.75" customHeight="1">
      <c r="A9" s="438" t="s">
        <v>43</v>
      </c>
      <c r="B9" s="23">
        <v>11.0</v>
      </c>
      <c r="C9" s="23">
        <v>423.0</v>
      </c>
      <c r="D9" s="23">
        <v>15.0</v>
      </c>
      <c r="E9" s="23">
        <v>267.0</v>
      </c>
      <c r="F9" s="23">
        <v>156.0</v>
      </c>
      <c r="G9" s="23">
        <v>36.0</v>
      </c>
      <c r="H9" s="23">
        <v>10.0</v>
      </c>
      <c r="I9" s="23">
        <v>6474.0</v>
      </c>
      <c r="J9" s="23">
        <v>12.0</v>
      </c>
      <c r="K9" s="23">
        <v>64.0</v>
      </c>
      <c r="L9" s="23">
        <v>20.0</v>
      </c>
      <c r="M9" s="23">
        <v>3.0</v>
      </c>
      <c r="N9" s="23">
        <v>12.0</v>
      </c>
      <c r="O9" s="23">
        <v>0.0</v>
      </c>
      <c r="P9" s="23">
        <v>0.0</v>
      </c>
      <c r="Q9" s="23">
        <v>3.0</v>
      </c>
      <c r="R9" s="23">
        <v>12.0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12.0</v>
      </c>
      <c r="AC9" s="23">
        <v>0.0</v>
      </c>
    </row>
    <row r="10" ht="15.75" customHeight="1">
      <c r="A10" s="438" t="s">
        <v>44</v>
      </c>
      <c r="B10" s="23">
        <v>0.0</v>
      </c>
      <c r="C10" s="23">
        <v>93.0</v>
      </c>
      <c r="D10" s="23">
        <v>1.0</v>
      </c>
      <c r="E10" s="23">
        <v>127.0</v>
      </c>
      <c r="F10" s="23">
        <v>-34.0</v>
      </c>
      <c r="G10" s="23">
        <v>8.0</v>
      </c>
      <c r="H10" s="23">
        <v>2.0</v>
      </c>
      <c r="I10" s="23">
        <v>1798.0</v>
      </c>
      <c r="J10" s="23">
        <v>2.0</v>
      </c>
      <c r="K10" s="23">
        <v>13.0</v>
      </c>
      <c r="L10" s="23">
        <v>2.0</v>
      </c>
      <c r="M10" s="23">
        <v>0.0</v>
      </c>
      <c r="N10" s="23">
        <v>1.0</v>
      </c>
      <c r="O10" s="23">
        <v>0.0</v>
      </c>
      <c r="P10" s="23">
        <v>0.0</v>
      </c>
      <c r="Q10" s="23">
        <v>0.0</v>
      </c>
      <c r="R10" s="23">
        <v>1.0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2.0</v>
      </c>
      <c r="AC10" s="23">
        <v>0.0</v>
      </c>
    </row>
    <row r="11" ht="15.75" customHeight="1">
      <c r="A11" s="438" t="s">
        <v>47</v>
      </c>
      <c r="B11" s="23">
        <v>6.0</v>
      </c>
      <c r="C11" s="23">
        <v>266.0</v>
      </c>
      <c r="D11" s="23">
        <v>4.0</v>
      </c>
      <c r="E11" s="23">
        <v>331.0</v>
      </c>
      <c r="F11" s="23">
        <v>-65.0</v>
      </c>
      <c r="G11" s="23">
        <v>17.0</v>
      </c>
      <c r="H11" s="23">
        <v>9.0</v>
      </c>
      <c r="I11" s="23">
        <v>5189.0</v>
      </c>
      <c r="J11" s="23">
        <v>8.0</v>
      </c>
      <c r="K11" s="23">
        <v>41.0</v>
      </c>
      <c r="L11" s="23">
        <v>5.0</v>
      </c>
      <c r="M11" s="23">
        <v>2.0</v>
      </c>
      <c r="N11" s="23">
        <v>2.0</v>
      </c>
      <c r="O11" s="23">
        <v>0.0</v>
      </c>
      <c r="P11" s="23">
        <v>0.0</v>
      </c>
      <c r="Q11" s="23">
        <v>1.0</v>
      </c>
      <c r="R11" s="23">
        <v>2.0</v>
      </c>
      <c r="S11" s="23">
        <v>0.0</v>
      </c>
      <c r="T11" s="23">
        <v>0.0</v>
      </c>
      <c r="U11" s="23">
        <v>0.0</v>
      </c>
      <c r="V11" s="23">
        <v>1.0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8.0</v>
      </c>
      <c r="AC11" s="23">
        <v>0.0</v>
      </c>
    </row>
    <row r="12" ht="15.75" customHeight="1">
      <c r="A12" s="438" t="s">
        <v>52</v>
      </c>
      <c r="B12" s="23">
        <v>0.0</v>
      </c>
      <c r="C12" s="23">
        <v>38.0</v>
      </c>
      <c r="D12" s="23">
        <v>1.0</v>
      </c>
      <c r="E12" s="23">
        <v>33.0</v>
      </c>
      <c r="F12" s="23">
        <v>5.0</v>
      </c>
      <c r="G12" s="23">
        <v>3.0</v>
      </c>
      <c r="H12" s="23">
        <v>0.0</v>
      </c>
      <c r="I12" s="23">
        <v>883.0</v>
      </c>
      <c r="J12" s="23">
        <v>1.0</v>
      </c>
      <c r="K12" s="23">
        <v>7.0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</row>
    <row r="13" ht="15.75" customHeight="1">
      <c r="A13" s="438" t="s">
        <v>56</v>
      </c>
      <c r="B13" s="23">
        <v>0.0</v>
      </c>
      <c r="C13" s="23">
        <v>90.0</v>
      </c>
      <c r="D13" s="23">
        <v>6.0</v>
      </c>
      <c r="E13" s="23">
        <v>105.0</v>
      </c>
      <c r="F13" s="23">
        <v>-15.0</v>
      </c>
      <c r="G13" s="23">
        <v>12.0</v>
      </c>
      <c r="H13" s="23">
        <v>2.0</v>
      </c>
      <c r="I13" s="23">
        <v>1798.0</v>
      </c>
      <c r="J13" s="23">
        <v>2.0</v>
      </c>
      <c r="K13" s="23">
        <v>9.0</v>
      </c>
      <c r="L13" s="23">
        <v>2.0</v>
      </c>
      <c r="M13" s="23">
        <v>2.0</v>
      </c>
      <c r="N13" s="23">
        <v>4.0</v>
      </c>
      <c r="O13" s="23">
        <v>0.0</v>
      </c>
      <c r="P13" s="23">
        <v>0.0</v>
      </c>
      <c r="Q13" s="23">
        <v>1.0</v>
      </c>
      <c r="R13" s="23">
        <v>4.0</v>
      </c>
      <c r="S13" s="23">
        <v>0.0</v>
      </c>
      <c r="T13" s="23">
        <v>0.0</v>
      </c>
      <c r="U13" s="23">
        <v>0.0</v>
      </c>
      <c r="V13" s="23">
        <v>1.0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1.0</v>
      </c>
      <c r="AC13" s="23">
        <v>0.0</v>
      </c>
    </row>
    <row r="14" ht="15.75" customHeight="1">
      <c r="A14" s="438" t="s">
        <v>376</v>
      </c>
      <c r="B14" s="23">
        <v>0.0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</row>
    <row r="15" ht="15.75" customHeight="1">
      <c r="A15" s="438" t="s">
        <v>378</v>
      </c>
      <c r="B15" s="23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</row>
    <row r="16" ht="15.75" customHeight="1">
      <c r="A16" s="438" t="s">
        <v>69</v>
      </c>
      <c r="B16" s="23">
        <v>1.0</v>
      </c>
      <c r="C16" s="23">
        <v>18.0</v>
      </c>
      <c r="D16" s="23">
        <v>1.0</v>
      </c>
      <c r="E16" s="23">
        <v>14.0</v>
      </c>
      <c r="F16" s="23">
        <v>4.0</v>
      </c>
      <c r="G16" s="23">
        <v>4.0</v>
      </c>
      <c r="H16" s="23">
        <v>1.0</v>
      </c>
      <c r="I16" s="23">
        <v>274.0</v>
      </c>
      <c r="J16" s="23">
        <v>0.0</v>
      </c>
      <c r="K16" s="23">
        <v>3.0</v>
      </c>
      <c r="L16" s="23">
        <v>1.0</v>
      </c>
      <c r="M16" s="23">
        <v>1.0</v>
      </c>
      <c r="N16" s="23">
        <v>0.0</v>
      </c>
      <c r="O16" s="23">
        <v>0.0</v>
      </c>
      <c r="P16" s="23">
        <v>0.0</v>
      </c>
      <c r="Q16" s="23">
        <v>1.0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</row>
    <row r="17" ht="15.75" customHeight="1">
      <c r="A17" s="438" t="s">
        <v>82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</row>
    <row r="18" ht="15.75" customHeight="1">
      <c r="A18" s="438" t="s">
        <v>196</v>
      </c>
      <c r="B18" s="23">
        <v>1.0</v>
      </c>
      <c r="C18" s="23">
        <v>14.0</v>
      </c>
      <c r="D18" s="23">
        <v>0.0</v>
      </c>
      <c r="E18" s="23">
        <v>14.0</v>
      </c>
      <c r="F18" s="23">
        <v>0.0</v>
      </c>
      <c r="G18" s="23">
        <v>3.0</v>
      </c>
      <c r="H18" s="23">
        <v>0.0</v>
      </c>
      <c r="I18" s="23">
        <v>274.0</v>
      </c>
      <c r="J18" s="23">
        <v>1.0</v>
      </c>
      <c r="K18" s="23">
        <v>2.0</v>
      </c>
      <c r="L18" s="23">
        <v>1.0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</row>
    <row r="19" ht="15.75" customHeight="1">
      <c r="A19" s="438" t="s">
        <v>99</v>
      </c>
      <c r="B19" s="23">
        <v>1.0</v>
      </c>
      <c r="C19" s="23">
        <v>289.0</v>
      </c>
      <c r="D19" s="23">
        <v>15.0</v>
      </c>
      <c r="E19" s="23">
        <v>326.0</v>
      </c>
      <c r="F19" s="23">
        <v>-37.0</v>
      </c>
      <c r="G19" s="23">
        <v>24.0</v>
      </c>
      <c r="H19" s="23">
        <v>8.0</v>
      </c>
      <c r="I19" s="23">
        <v>5407.0</v>
      </c>
      <c r="J19" s="23">
        <v>8.0</v>
      </c>
      <c r="K19" s="23">
        <v>49.0</v>
      </c>
      <c r="L19" s="23">
        <v>11.0</v>
      </c>
      <c r="M19" s="23">
        <v>6.0</v>
      </c>
      <c r="N19" s="23">
        <v>5.0</v>
      </c>
      <c r="O19" s="23">
        <v>0.0</v>
      </c>
      <c r="P19" s="23">
        <v>0.0</v>
      </c>
      <c r="Q19" s="23">
        <v>4.0</v>
      </c>
      <c r="R19" s="23">
        <v>5.0</v>
      </c>
      <c r="S19" s="23">
        <v>0.0</v>
      </c>
      <c r="T19" s="23">
        <v>0.0</v>
      </c>
      <c r="U19" s="23">
        <v>0.0</v>
      </c>
      <c r="V19" s="23">
        <v>1.0</v>
      </c>
      <c r="W19" s="23">
        <v>1.0</v>
      </c>
      <c r="X19" s="23">
        <v>0.0</v>
      </c>
      <c r="Y19" s="23">
        <v>0.0</v>
      </c>
      <c r="Z19" s="23">
        <v>0.0</v>
      </c>
      <c r="AA19" s="23">
        <v>0.0</v>
      </c>
      <c r="AB19" s="23">
        <v>4.0</v>
      </c>
      <c r="AC19" s="23">
        <v>0.0</v>
      </c>
    </row>
    <row r="20" ht="15.75" customHeight="1">
      <c r="A20" s="438" t="s">
        <v>100</v>
      </c>
      <c r="B20" s="23">
        <v>1.0</v>
      </c>
      <c r="C20" s="23">
        <v>16.0</v>
      </c>
      <c r="D20" s="23">
        <v>0.0</v>
      </c>
      <c r="E20" s="23">
        <v>10.0</v>
      </c>
      <c r="F20" s="23">
        <v>6.0</v>
      </c>
      <c r="G20" s="23">
        <v>4.0</v>
      </c>
      <c r="H20" s="23">
        <v>1.0</v>
      </c>
      <c r="I20" s="23">
        <v>274.0</v>
      </c>
      <c r="J20" s="23">
        <v>1.0</v>
      </c>
      <c r="K20" s="23">
        <v>3.0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>
        <v>0.0</v>
      </c>
    </row>
    <row r="21" ht="15.75" customHeight="1">
      <c r="A21" s="438" t="s">
        <v>101</v>
      </c>
      <c r="B21" s="23">
        <v>3.0</v>
      </c>
      <c r="C21" s="23">
        <v>62.0</v>
      </c>
      <c r="D21" s="23">
        <v>3.0</v>
      </c>
      <c r="E21" s="23">
        <v>126.0</v>
      </c>
      <c r="F21" s="23">
        <v>-64.0</v>
      </c>
      <c r="G21" s="23">
        <v>9.0</v>
      </c>
      <c r="H21" s="23">
        <v>4.0</v>
      </c>
      <c r="I21" s="23">
        <v>2160.0</v>
      </c>
      <c r="J21" s="23">
        <v>4.0</v>
      </c>
      <c r="K21" s="23">
        <v>7.0</v>
      </c>
      <c r="L21" s="23">
        <v>0.0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3.0</v>
      </c>
      <c r="AC21" s="23">
        <v>0.0</v>
      </c>
    </row>
    <row r="22" ht="15.75" customHeight="1">
      <c r="A22" s="438" t="s">
        <v>104</v>
      </c>
      <c r="B22" s="23">
        <v>9.0</v>
      </c>
      <c r="C22" s="23">
        <v>459.0</v>
      </c>
      <c r="D22" s="23">
        <v>16.0</v>
      </c>
      <c r="E22" s="23">
        <v>490.0</v>
      </c>
      <c r="F22" s="23">
        <v>-31.0</v>
      </c>
      <c r="G22" s="23">
        <v>25.0</v>
      </c>
      <c r="H22" s="23">
        <v>11.0</v>
      </c>
      <c r="I22" s="23">
        <v>9049.0</v>
      </c>
      <c r="J22" s="23">
        <v>12.0</v>
      </c>
      <c r="K22" s="23">
        <v>74.0</v>
      </c>
      <c r="L22" s="23">
        <v>14.0</v>
      </c>
      <c r="M22" s="23">
        <v>2.0</v>
      </c>
      <c r="N22" s="23">
        <v>5.0</v>
      </c>
      <c r="O22" s="23">
        <v>0.0</v>
      </c>
      <c r="P22" s="23">
        <v>0.0</v>
      </c>
      <c r="Q22" s="23">
        <v>2.0</v>
      </c>
      <c r="R22" s="23">
        <v>5.0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23">
        <v>13.0</v>
      </c>
      <c r="AC22" s="23">
        <v>0.0</v>
      </c>
    </row>
    <row r="23" ht="15.75" customHeight="1">
      <c r="A23" s="438" t="s">
        <v>108</v>
      </c>
      <c r="B23" s="23">
        <v>0.0</v>
      </c>
      <c r="C23" s="23">
        <v>198.0</v>
      </c>
      <c r="D23" s="23">
        <v>9.0</v>
      </c>
      <c r="E23" s="23">
        <v>240.0</v>
      </c>
      <c r="F23" s="23">
        <v>-42.0</v>
      </c>
      <c r="G23" s="23">
        <v>21.0</v>
      </c>
      <c r="H23" s="23">
        <v>8.0</v>
      </c>
      <c r="I23" s="23">
        <v>3926.0</v>
      </c>
      <c r="J23" s="23">
        <v>4.0</v>
      </c>
      <c r="K23" s="23">
        <v>33.0</v>
      </c>
      <c r="L23" s="23">
        <v>3.0</v>
      </c>
      <c r="M23" s="23">
        <v>4.0</v>
      </c>
      <c r="N23" s="23">
        <v>3.0</v>
      </c>
      <c r="O23" s="23">
        <v>0.0</v>
      </c>
      <c r="P23" s="23">
        <v>0.0</v>
      </c>
      <c r="Q23" s="23">
        <v>1.0</v>
      </c>
      <c r="R23" s="23">
        <v>2.0</v>
      </c>
      <c r="S23" s="23">
        <v>1.0</v>
      </c>
      <c r="T23" s="23">
        <v>0.0</v>
      </c>
      <c r="U23" s="23">
        <v>0.0</v>
      </c>
      <c r="V23" s="23">
        <v>1.0</v>
      </c>
      <c r="W23" s="23">
        <v>1.0</v>
      </c>
      <c r="X23" s="23">
        <v>1.0</v>
      </c>
      <c r="Y23" s="23">
        <v>0.0</v>
      </c>
      <c r="Z23" s="23">
        <v>0.0</v>
      </c>
      <c r="AA23" s="23">
        <v>0.0</v>
      </c>
      <c r="AB23" s="23">
        <v>3.0</v>
      </c>
      <c r="AC23" s="23">
        <v>0.0</v>
      </c>
    </row>
    <row r="24" ht="15.75" customHeight="1">
      <c r="A24" s="438" t="s">
        <v>109</v>
      </c>
      <c r="B24" s="23">
        <v>9.0</v>
      </c>
      <c r="C24" s="23">
        <v>543.0</v>
      </c>
      <c r="D24" s="23">
        <v>11.0</v>
      </c>
      <c r="E24" s="23">
        <v>607.0</v>
      </c>
      <c r="F24" s="23">
        <v>-64.0</v>
      </c>
      <c r="G24" s="23">
        <v>42.0</v>
      </c>
      <c r="H24" s="23">
        <v>20.0</v>
      </c>
      <c r="I24" s="23">
        <v>10127.0</v>
      </c>
      <c r="J24" s="23">
        <v>10.0</v>
      </c>
      <c r="K24" s="23">
        <v>85.0</v>
      </c>
      <c r="L24" s="23">
        <v>15.0</v>
      </c>
      <c r="M24" s="23">
        <v>6.0</v>
      </c>
      <c r="N24" s="23">
        <v>8.0</v>
      </c>
      <c r="O24" s="23">
        <v>0.0</v>
      </c>
      <c r="P24" s="23">
        <v>0.0</v>
      </c>
      <c r="Q24" s="23">
        <v>3.0</v>
      </c>
      <c r="R24" s="23">
        <v>8.0</v>
      </c>
      <c r="S24" s="23">
        <v>0.0</v>
      </c>
      <c r="T24" s="23">
        <v>0.0</v>
      </c>
      <c r="U24" s="23">
        <v>0.0</v>
      </c>
      <c r="V24" s="23">
        <v>2.0</v>
      </c>
      <c r="W24" s="23">
        <v>1.0</v>
      </c>
      <c r="X24" s="23">
        <v>0.0</v>
      </c>
      <c r="Y24" s="23">
        <v>0.0</v>
      </c>
      <c r="Z24" s="23">
        <v>0.0</v>
      </c>
      <c r="AA24" s="23">
        <v>0.0</v>
      </c>
      <c r="AB24" s="23">
        <v>16.0</v>
      </c>
      <c r="AC24" s="23">
        <v>0.0</v>
      </c>
    </row>
    <row r="25" ht="15.75" customHeight="1">
      <c r="A25" s="438" t="s">
        <v>113</v>
      </c>
      <c r="B25" s="23">
        <v>3.0</v>
      </c>
      <c r="C25" s="23">
        <v>71.0</v>
      </c>
      <c r="D25" s="23">
        <v>0.0</v>
      </c>
      <c r="E25" s="23">
        <v>93.0</v>
      </c>
      <c r="F25" s="23">
        <v>-22.0</v>
      </c>
      <c r="G25" s="23">
        <v>5.0</v>
      </c>
      <c r="H25" s="23">
        <v>4.0</v>
      </c>
      <c r="I25" s="23">
        <v>1453.0</v>
      </c>
      <c r="J25" s="23">
        <v>0.0</v>
      </c>
      <c r="K25" s="23">
        <v>11.0</v>
      </c>
      <c r="L25" s="23">
        <v>2.0</v>
      </c>
      <c r="M25" s="23">
        <v>0.0</v>
      </c>
      <c r="N25" s="23">
        <v>0.0</v>
      </c>
      <c r="O25" s="23">
        <v>0.0</v>
      </c>
      <c r="P25" s="23">
        <v>0.0</v>
      </c>
      <c r="Q25" s="23">
        <v>0.0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1.0</v>
      </c>
      <c r="AC25" s="23">
        <v>0.0</v>
      </c>
    </row>
    <row r="26" ht="15.75" customHeight="1">
      <c r="A26" s="438" t="s">
        <v>114</v>
      </c>
      <c r="B26" s="23">
        <v>1.0</v>
      </c>
      <c r="C26" s="23">
        <v>91.0</v>
      </c>
      <c r="D26" s="23">
        <v>3.0</v>
      </c>
      <c r="E26" s="23">
        <v>84.0</v>
      </c>
      <c r="F26" s="23">
        <v>7.0</v>
      </c>
      <c r="G26" s="23">
        <v>11.0</v>
      </c>
      <c r="H26" s="23">
        <v>6.0</v>
      </c>
      <c r="I26" s="23">
        <v>1452.0</v>
      </c>
      <c r="J26" s="23">
        <v>2.0</v>
      </c>
      <c r="K26" s="23">
        <v>16.0</v>
      </c>
      <c r="L26" s="23">
        <v>3.0</v>
      </c>
      <c r="M26" s="23">
        <v>4.0</v>
      </c>
      <c r="N26" s="23">
        <v>3.0</v>
      </c>
      <c r="O26" s="23">
        <v>0.0</v>
      </c>
      <c r="P26" s="23">
        <v>0.0</v>
      </c>
      <c r="Q26" s="23">
        <v>2.0</v>
      </c>
      <c r="R26" s="23">
        <v>3.0</v>
      </c>
      <c r="S26" s="23">
        <v>0.0</v>
      </c>
      <c r="T26" s="23">
        <v>0.0</v>
      </c>
      <c r="U26" s="23">
        <v>0.0</v>
      </c>
      <c r="V26" s="23">
        <v>2.0</v>
      </c>
      <c r="W26" s="23">
        <v>0.0</v>
      </c>
      <c r="X26" s="23">
        <v>0.0</v>
      </c>
      <c r="Y26" s="23">
        <v>0.0</v>
      </c>
      <c r="Z26" s="23">
        <v>0.0</v>
      </c>
      <c r="AA26" s="23">
        <v>0.0</v>
      </c>
      <c r="AB26" s="23">
        <v>1.0</v>
      </c>
      <c r="AC26" s="23">
        <v>0.0</v>
      </c>
    </row>
    <row r="27" ht="15.75" customHeight="1">
      <c r="A27" s="438" t="s">
        <v>115</v>
      </c>
      <c r="B27" s="23">
        <v>1.0</v>
      </c>
      <c r="C27" s="23">
        <v>126.0</v>
      </c>
      <c r="D27" s="23">
        <v>3.0</v>
      </c>
      <c r="E27" s="23">
        <v>136.0</v>
      </c>
      <c r="F27" s="23">
        <v>-10.0</v>
      </c>
      <c r="G27" s="23">
        <v>8.0</v>
      </c>
      <c r="H27" s="23">
        <v>7.0</v>
      </c>
      <c r="I27" s="23">
        <v>1798.0</v>
      </c>
      <c r="J27" s="23">
        <v>4.0</v>
      </c>
      <c r="K27" s="23">
        <v>24.0</v>
      </c>
      <c r="L27" s="23">
        <v>4.0</v>
      </c>
      <c r="M27" s="23">
        <v>2.0</v>
      </c>
      <c r="N27" s="23">
        <v>2.0</v>
      </c>
      <c r="O27" s="23">
        <v>0.0</v>
      </c>
      <c r="P27" s="23">
        <v>0.0</v>
      </c>
      <c r="Q27" s="23">
        <v>1.0</v>
      </c>
      <c r="R27" s="23">
        <v>2.0</v>
      </c>
      <c r="S27" s="23">
        <v>0.0</v>
      </c>
      <c r="T27" s="23">
        <v>0.0</v>
      </c>
      <c r="U27" s="23">
        <v>0.0</v>
      </c>
      <c r="V27" s="23">
        <v>1.0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2.0</v>
      </c>
      <c r="AC27" s="23">
        <v>0.0</v>
      </c>
    </row>
    <row r="28" ht="15.75" customHeight="1">
      <c r="A28" s="438" t="s">
        <v>118</v>
      </c>
      <c r="B28" s="23">
        <v>0.0</v>
      </c>
      <c r="C28" s="23">
        <v>136.0</v>
      </c>
      <c r="D28" s="23">
        <v>5.0</v>
      </c>
      <c r="E28" s="23">
        <v>144.0</v>
      </c>
      <c r="F28" s="23">
        <v>-8.0</v>
      </c>
      <c r="G28" s="23">
        <v>19.0</v>
      </c>
      <c r="H28" s="23">
        <v>9.0</v>
      </c>
      <c r="I28" s="23">
        <v>2161.0</v>
      </c>
      <c r="J28" s="23">
        <v>1.0</v>
      </c>
      <c r="K28" s="23">
        <v>21.0</v>
      </c>
      <c r="L28" s="23">
        <v>7.0</v>
      </c>
      <c r="M28" s="23">
        <v>7.0</v>
      </c>
      <c r="N28" s="23">
        <v>2.0</v>
      </c>
      <c r="O28" s="23">
        <v>0.0</v>
      </c>
      <c r="P28" s="23">
        <v>0.0</v>
      </c>
      <c r="Q28" s="23">
        <v>4.0</v>
      </c>
      <c r="R28" s="23">
        <v>2.0</v>
      </c>
      <c r="S28" s="23">
        <v>0.0</v>
      </c>
      <c r="T28" s="23">
        <v>0.0</v>
      </c>
      <c r="U28" s="23">
        <v>0.0</v>
      </c>
      <c r="V28" s="23">
        <v>2.0</v>
      </c>
      <c r="W28" s="23">
        <v>1.0</v>
      </c>
      <c r="X28" s="23">
        <v>0.0</v>
      </c>
      <c r="Y28" s="23">
        <v>0.0</v>
      </c>
      <c r="Z28" s="23">
        <v>0.0</v>
      </c>
      <c r="AA28" s="23">
        <v>0.0</v>
      </c>
      <c r="AB28" s="23">
        <v>3.0</v>
      </c>
      <c r="AC28" s="23">
        <v>0.0</v>
      </c>
    </row>
    <row r="29" ht="15.75" customHeight="1">
      <c r="A29" s="438" t="s">
        <v>117</v>
      </c>
      <c r="B29" s="23">
        <v>5.0</v>
      </c>
      <c r="C29" s="23">
        <v>156.0</v>
      </c>
      <c r="D29" s="23">
        <v>8.0</v>
      </c>
      <c r="E29" s="23">
        <v>173.0</v>
      </c>
      <c r="F29" s="23">
        <v>-17.0</v>
      </c>
      <c r="G29" s="23">
        <v>14.0</v>
      </c>
      <c r="H29" s="23">
        <v>10.0</v>
      </c>
      <c r="I29" s="23">
        <v>2943.0</v>
      </c>
      <c r="J29" s="23">
        <v>5.0</v>
      </c>
      <c r="K29" s="23">
        <v>21.0</v>
      </c>
      <c r="L29" s="23">
        <v>6.0</v>
      </c>
      <c r="M29" s="23">
        <v>2.0</v>
      </c>
      <c r="N29" s="23">
        <v>3.0</v>
      </c>
      <c r="O29" s="23">
        <v>0.0</v>
      </c>
      <c r="P29" s="23">
        <v>0.0</v>
      </c>
      <c r="Q29" s="23">
        <v>1.0</v>
      </c>
      <c r="R29" s="23">
        <v>3.0</v>
      </c>
      <c r="S29" s="23">
        <v>0.0</v>
      </c>
      <c r="T29" s="23">
        <v>0.0</v>
      </c>
      <c r="U29" s="23">
        <v>0.0</v>
      </c>
      <c r="V29" s="23">
        <v>1.0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5.0</v>
      </c>
      <c r="AC29" s="23">
        <v>0.0</v>
      </c>
    </row>
    <row r="30" ht="15.75" customHeight="1">
      <c r="A30" s="438" t="s">
        <v>126</v>
      </c>
      <c r="B30" s="23">
        <v>0.0</v>
      </c>
      <c r="C30" s="23">
        <v>144.0</v>
      </c>
      <c r="D30" s="23">
        <v>6.0</v>
      </c>
      <c r="E30" s="23">
        <v>189.0</v>
      </c>
      <c r="F30" s="23">
        <v>-45.0</v>
      </c>
      <c r="G30" s="23">
        <v>10.0</v>
      </c>
      <c r="H30" s="23">
        <v>3.0</v>
      </c>
      <c r="I30" s="23">
        <v>3387.0</v>
      </c>
      <c r="J30" s="23">
        <v>1.0</v>
      </c>
      <c r="K30" s="23">
        <v>29.0</v>
      </c>
      <c r="L30" s="23">
        <v>2.0</v>
      </c>
      <c r="M30" s="23">
        <v>0.0</v>
      </c>
      <c r="N30" s="23">
        <v>1.0</v>
      </c>
      <c r="O30" s="23">
        <v>0.0</v>
      </c>
      <c r="P30" s="23">
        <v>0.0</v>
      </c>
      <c r="Q30" s="23">
        <v>0.0</v>
      </c>
      <c r="R30" s="23">
        <v>1.0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3">
        <v>0.0</v>
      </c>
      <c r="AA30" s="23">
        <v>0.0</v>
      </c>
      <c r="AB30" s="23">
        <v>3.0</v>
      </c>
      <c r="AC30" s="23">
        <v>0.0</v>
      </c>
    </row>
    <row r="31" ht="15.75" customHeight="1">
      <c r="A31" s="438" t="s">
        <v>131</v>
      </c>
      <c r="B31" s="23">
        <v>2.0</v>
      </c>
      <c r="C31" s="23">
        <v>160.0</v>
      </c>
      <c r="D31" s="23">
        <v>5.0</v>
      </c>
      <c r="E31" s="23">
        <v>154.0</v>
      </c>
      <c r="F31" s="23">
        <v>6.0</v>
      </c>
      <c r="G31" s="23">
        <v>14.0</v>
      </c>
      <c r="H31" s="23">
        <v>5.0</v>
      </c>
      <c r="I31" s="23">
        <v>2886.0</v>
      </c>
      <c r="J31" s="23">
        <v>9.0</v>
      </c>
      <c r="K31" s="23">
        <v>19.0</v>
      </c>
      <c r="L31" s="23">
        <v>5.0</v>
      </c>
      <c r="M31" s="23">
        <v>0.0</v>
      </c>
      <c r="N31" s="23">
        <v>2.0</v>
      </c>
      <c r="O31" s="23">
        <v>0.0</v>
      </c>
      <c r="P31" s="23">
        <v>0.0</v>
      </c>
      <c r="Q31" s="23">
        <v>0.0</v>
      </c>
      <c r="R31" s="23">
        <v>2.0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1.0</v>
      </c>
      <c r="AC31" s="23">
        <v>0.0</v>
      </c>
    </row>
    <row r="32" ht="15.75" customHeight="1">
      <c r="A32" s="438" t="s">
        <v>377</v>
      </c>
      <c r="B32" s="23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3">
        <v>0.0</v>
      </c>
      <c r="L32" s="23">
        <v>0.0</v>
      </c>
      <c r="M32" s="23">
        <v>0.0</v>
      </c>
      <c r="N32" s="23">
        <v>0.0</v>
      </c>
      <c r="O32" s="23">
        <v>0.0</v>
      </c>
      <c r="P32" s="23">
        <v>0.0</v>
      </c>
      <c r="Q32" s="23">
        <v>0.0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0.0</v>
      </c>
      <c r="AC32" s="23">
        <v>0.0</v>
      </c>
    </row>
    <row r="33" ht="15.75" customHeight="1">
      <c r="A33" s="438" t="s">
        <v>134</v>
      </c>
      <c r="B33" s="23">
        <v>4.0</v>
      </c>
      <c r="C33" s="23">
        <v>186.0</v>
      </c>
      <c r="D33" s="23">
        <v>4.0</v>
      </c>
      <c r="E33" s="23">
        <v>193.0</v>
      </c>
      <c r="F33" s="23">
        <v>-7.0</v>
      </c>
      <c r="G33" s="23">
        <v>11.0</v>
      </c>
      <c r="H33" s="23">
        <v>5.0</v>
      </c>
      <c r="I33" s="23">
        <v>3338.0</v>
      </c>
      <c r="J33" s="23">
        <v>9.0</v>
      </c>
      <c r="K33" s="23">
        <v>38.0</v>
      </c>
      <c r="L33" s="23">
        <v>6.0</v>
      </c>
      <c r="M33" s="23">
        <v>4.0</v>
      </c>
      <c r="N33" s="23">
        <v>3.0</v>
      </c>
      <c r="O33" s="23">
        <v>0.0</v>
      </c>
      <c r="P33" s="23">
        <v>0.0</v>
      </c>
      <c r="Q33" s="23">
        <v>4.0</v>
      </c>
      <c r="R33" s="23">
        <v>3.0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3">
        <v>0.0</v>
      </c>
      <c r="AB33" s="23">
        <v>7.0</v>
      </c>
      <c r="AC33" s="23">
        <v>0.0</v>
      </c>
    </row>
    <row r="34" ht="15.75" customHeight="1">
      <c r="A34" s="438" t="s">
        <v>138</v>
      </c>
      <c r="B34" s="23">
        <v>0.0</v>
      </c>
      <c r="C34" s="23">
        <v>1.0</v>
      </c>
      <c r="D34" s="23">
        <v>1.0</v>
      </c>
      <c r="E34" s="23">
        <v>17.0</v>
      </c>
      <c r="F34" s="23">
        <v>-16.0</v>
      </c>
      <c r="G34" s="23">
        <v>1.0</v>
      </c>
      <c r="H34" s="23">
        <v>0.0</v>
      </c>
      <c r="I34" s="23">
        <v>186.0</v>
      </c>
      <c r="J34" s="23">
        <v>0.0</v>
      </c>
      <c r="K34" s="23">
        <v>0.0</v>
      </c>
      <c r="L34" s="23">
        <v>0.0</v>
      </c>
      <c r="M34" s="23">
        <v>0.0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0.0</v>
      </c>
      <c r="U34" s="23">
        <v>0.0</v>
      </c>
      <c r="V34" s="23">
        <v>0.0</v>
      </c>
      <c r="W34" s="23">
        <v>0.0</v>
      </c>
      <c r="X34" s="23">
        <v>0.0</v>
      </c>
      <c r="Y34" s="23">
        <v>0.0</v>
      </c>
      <c r="Z34" s="23">
        <v>0.0</v>
      </c>
      <c r="AA34" s="23">
        <v>0.0</v>
      </c>
      <c r="AB34" s="23">
        <v>1.0</v>
      </c>
      <c r="AC34" s="23">
        <v>0.0</v>
      </c>
    </row>
    <row r="35" ht="15.75" customHeight="1">
      <c r="A35" s="438" t="s">
        <v>139</v>
      </c>
      <c r="B35" s="23">
        <v>4.0</v>
      </c>
      <c r="C35" s="23">
        <v>233.0</v>
      </c>
      <c r="D35" s="23">
        <v>3.0</v>
      </c>
      <c r="E35" s="23">
        <v>179.0</v>
      </c>
      <c r="F35" s="23">
        <v>54.0</v>
      </c>
      <c r="G35" s="23">
        <v>12.0</v>
      </c>
      <c r="H35" s="23">
        <v>8.0</v>
      </c>
      <c r="I35" s="23">
        <v>3388.0</v>
      </c>
      <c r="J35" s="23">
        <v>6.0</v>
      </c>
      <c r="K35" s="23">
        <v>37.0</v>
      </c>
      <c r="L35" s="23">
        <v>12.0</v>
      </c>
      <c r="M35" s="23">
        <v>4.0</v>
      </c>
      <c r="N35" s="23">
        <v>4.0</v>
      </c>
      <c r="O35" s="23">
        <v>0.0</v>
      </c>
      <c r="P35" s="23">
        <v>0.0</v>
      </c>
      <c r="Q35" s="23">
        <v>3.0</v>
      </c>
      <c r="R35" s="23">
        <v>4.0</v>
      </c>
      <c r="S35" s="23">
        <v>0.0</v>
      </c>
      <c r="T35" s="23">
        <v>0.0</v>
      </c>
      <c r="U35" s="23">
        <v>0.0</v>
      </c>
      <c r="V35" s="23">
        <v>1.0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4.0</v>
      </c>
      <c r="AC35" s="23">
        <v>0.0</v>
      </c>
    </row>
    <row r="36" ht="15.75" customHeight="1">
      <c r="A36" s="438" t="s">
        <v>380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0.0</v>
      </c>
      <c r="AC36" s="23">
        <v>0.0</v>
      </c>
    </row>
    <row r="37" ht="15.75" customHeight="1">
      <c r="A37" s="438" t="s">
        <v>153</v>
      </c>
      <c r="B37" s="23">
        <v>5.0</v>
      </c>
      <c r="C37" s="23">
        <v>759.0</v>
      </c>
      <c r="D37" s="23">
        <v>23.0</v>
      </c>
      <c r="E37" s="23">
        <v>694.0</v>
      </c>
      <c r="F37" s="23">
        <v>65.0</v>
      </c>
      <c r="G37" s="23">
        <v>42.0</v>
      </c>
      <c r="H37" s="23">
        <v>14.0</v>
      </c>
      <c r="I37" s="23">
        <v>11651.0</v>
      </c>
      <c r="J37" s="23">
        <v>17.0</v>
      </c>
      <c r="K37" s="23">
        <v>145.0</v>
      </c>
      <c r="L37" s="23">
        <v>27.0</v>
      </c>
      <c r="M37" s="23">
        <v>16.0</v>
      </c>
      <c r="N37" s="23">
        <v>11.0</v>
      </c>
      <c r="O37" s="23">
        <v>0.0</v>
      </c>
      <c r="P37" s="23">
        <v>0.0</v>
      </c>
      <c r="Q37" s="23">
        <v>10.0</v>
      </c>
      <c r="R37" s="23">
        <v>11.0</v>
      </c>
      <c r="S37" s="23">
        <v>0.0</v>
      </c>
      <c r="T37" s="23">
        <v>0.0</v>
      </c>
      <c r="U37" s="23">
        <v>0.0</v>
      </c>
      <c r="V37" s="23">
        <v>5.0</v>
      </c>
      <c r="W37" s="23">
        <v>1.0</v>
      </c>
      <c r="X37" s="23">
        <v>0.0</v>
      </c>
      <c r="Y37" s="23">
        <v>0.0</v>
      </c>
      <c r="Z37" s="23">
        <v>0.0</v>
      </c>
      <c r="AA37" s="23">
        <v>0.0</v>
      </c>
      <c r="AB37" s="23">
        <v>12.0</v>
      </c>
      <c r="AC37" s="23">
        <v>0.0</v>
      </c>
    </row>
    <row r="38" ht="15.75" customHeight="1">
      <c r="A38" s="438" t="s">
        <v>154</v>
      </c>
      <c r="B38" s="23">
        <v>1.0</v>
      </c>
      <c r="C38" s="23">
        <v>191.0</v>
      </c>
      <c r="D38" s="23">
        <v>2.0</v>
      </c>
      <c r="E38" s="23">
        <v>190.0</v>
      </c>
      <c r="F38" s="23">
        <v>1.0</v>
      </c>
      <c r="G38" s="23">
        <v>14.0</v>
      </c>
      <c r="H38" s="23">
        <v>6.0</v>
      </c>
      <c r="I38" s="23">
        <v>3388.0</v>
      </c>
      <c r="J38" s="23">
        <v>6.0</v>
      </c>
      <c r="K38" s="23">
        <v>32.0</v>
      </c>
      <c r="L38" s="23">
        <v>11.0</v>
      </c>
      <c r="M38" s="23">
        <v>14.0</v>
      </c>
      <c r="N38" s="23">
        <v>5.0</v>
      </c>
      <c r="O38" s="23">
        <v>0.0</v>
      </c>
      <c r="P38" s="23">
        <v>0.0</v>
      </c>
      <c r="Q38" s="23">
        <v>7.0</v>
      </c>
      <c r="R38" s="23">
        <v>5.0</v>
      </c>
      <c r="S38" s="23">
        <v>0.0</v>
      </c>
      <c r="T38" s="23">
        <v>0.0</v>
      </c>
      <c r="U38" s="23">
        <v>0.0</v>
      </c>
      <c r="V38" s="23">
        <v>4.0</v>
      </c>
      <c r="W38" s="23">
        <v>1.0</v>
      </c>
      <c r="X38" s="23">
        <v>1.0</v>
      </c>
      <c r="Y38" s="23">
        <v>1.0</v>
      </c>
      <c r="Z38" s="23">
        <v>0.0</v>
      </c>
      <c r="AA38" s="23">
        <v>0.0</v>
      </c>
      <c r="AB38" s="23">
        <v>6.0</v>
      </c>
      <c r="AC38" s="23">
        <v>0.0</v>
      </c>
    </row>
    <row r="39" ht="15.75" customHeight="1">
      <c r="A39" s="438" t="s">
        <v>155</v>
      </c>
      <c r="B39" s="23">
        <v>5.0</v>
      </c>
      <c r="C39" s="23">
        <v>182.0</v>
      </c>
      <c r="D39" s="23">
        <v>9.0</v>
      </c>
      <c r="E39" s="23">
        <v>168.0</v>
      </c>
      <c r="F39" s="23">
        <v>14.0</v>
      </c>
      <c r="G39" s="23">
        <v>21.0</v>
      </c>
      <c r="H39" s="23">
        <v>5.0</v>
      </c>
      <c r="I39" s="23">
        <v>3926.0</v>
      </c>
      <c r="J39" s="23">
        <v>9.0</v>
      </c>
      <c r="K39" s="23">
        <v>25.0</v>
      </c>
      <c r="L39" s="23">
        <v>2.0</v>
      </c>
      <c r="M39" s="23">
        <v>0.0</v>
      </c>
      <c r="N39" s="23">
        <v>4.0</v>
      </c>
      <c r="O39" s="23">
        <v>0.0</v>
      </c>
      <c r="P39" s="23">
        <v>0.0</v>
      </c>
      <c r="Q39" s="23">
        <v>0.0</v>
      </c>
      <c r="R39" s="23">
        <v>4.0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6.0</v>
      </c>
      <c r="AC39" s="23">
        <v>0.0</v>
      </c>
    </row>
    <row r="40" ht="15.75" customHeight="1">
      <c r="A40" s="438" t="s">
        <v>156</v>
      </c>
      <c r="B40" s="23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0.0</v>
      </c>
      <c r="L40" s="23">
        <v>0.0</v>
      </c>
      <c r="M40" s="23">
        <v>0.0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0.0</v>
      </c>
      <c r="AC40" s="23">
        <v>0.0</v>
      </c>
    </row>
    <row r="41" ht="15.75" customHeight="1">
      <c r="A41" s="438" t="s">
        <v>157</v>
      </c>
      <c r="B41" s="23">
        <v>1.0</v>
      </c>
      <c r="C41" s="23">
        <v>206.0</v>
      </c>
      <c r="D41" s="23">
        <v>11.0</v>
      </c>
      <c r="E41" s="23">
        <v>236.0</v>
      </c>
      <c r="F41" s="23">
        <v>-30.0</v>
      </c>
      <c r="G41" s="23">
        <v>17.0</v>
      </c>
      <c r="H41" s="23">
        <v>4.0</v>
      </c>
      <c r="I41" s="23">
        <v>3926.0</v>
      </c>
      <c r="J41" s="23">
        <v>2.0</v>
      </c>
      <c r="K41" s="23">
        <v>26.0</v>
      </c>
      <c r="L41" s="23">
        <v>8.0</v>
      </c>
      <c r="M41" s="23">
        <v>3.0</v>
      </c>
      <c r="N41" s="23">
        <v>2.0</v>
      </c>
      <c r="O41" s="23">
        <v>0.0</v>
      </c>
      <c r="P41" s="23">
        <v>0.0</v>
      </c>
      <c r="Q41" s="23">
        <v>2.0</v>
      </c>
      <c r="R41" s="23">
        <v>2.0</v>
      </c>
      <c r="S41" s="23">
        <v>0.0</v>
      </c>
      <c r="T41" s="23">
        <v>0.0</v>
      </c>
      <c r="U41" s="23">
        <v>0.0</v>
      </c>
      <c r="V41" s="23">
        <v>1.0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4.0</v>
      </c>
      <c r="AC41" s="23">
        <v>0.0</v>
      </c>
    </row>
    <row r="42" ht="15.75" customHeight="1">
      <c r="A42" s="438" t="s">
        <v>379</v>
      </c>
      <c r="B42" s="23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23">
        <v>0.0</v>
      </c>
      <c r="L42" s="23">
        <v>0.0</v>
      </c>
      <c r="M42" s="23">
        <v>0.0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0.0</v>
      </c>
      <c r="AC42" s="23">
        <v>0.0</v>
      </c>
    </row>
    <row r="43" ht="15.75" customHeight="1">
      <c r="A43" s="438" t="s">
        <v>164</v>
      </c>
      <c r="B43" s="23">
        <v>0.0</v>
      </c>
      <c r="C43" s="23">
        <v>102.0</v>
      </c>
      <c r="D43" s="23">
        <v>3.0</v>
      </c>
      <c r="E43" s="23">
        <v>77.0</v>
      </c>
      <c r="F43" s="23">
        <v>25.0</v>
      </c>
      <c r="G43" s="23">
        <v>10.0</v>
      </c>
      <c r="H43" s="23">
        <v>6.0</v>
      </c>
      <c r="I43" s="23">
        <v>1452.0</v>
      </c>
      <c r="J43" s="23">
        <v>2.0</v>
      </c>
      <c r="K43" s="23">
        <v>20.0</v>
      </c>
      <c r="L43" s="23">
        <v>8.0</v>
      </c>
      <c r="M43" s="23">
        <v>5.0</v>
      </c>
      <c r="N43" s="23">
        <v>2.0</v>
      </c>
      <c r="O43" s="23">
        <v>0.0</v>
      </c>
      <c r="P43" s="23">
        <v>0.0</v>
      </c>
      <c r="Q43" s="23">
        <v>4.0</v>
      </c>
      <c r="R43" s="23">
        <v>2.0</v>
      </c>
      <c r="S43" s="23">
        <v>0.0</v>
      </c>
      <c r="T43" s="23">
        <v>0.0</v>
      </c>
      <c r="U43" s="23">
        <v>0.0</v>
      </c>
      <c r="V43" s="23">
        <v>1.0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1.0</v>
      </c>
      <c r="AC43" s="23">
        <v>0.0</v>
      </c>
    </row>
    <row r="44" ht="15.75" customHeight="1">
      <c r="A44" s="438" t="s">
        <v>168</v>
      </c>
      <c r="B44" s="23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23">
        <v>0.0</v>
      </c>
      <c r="M44" s="23">
        <v>0.0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3">
        <v>0.0</v>
      </c>
      <c r="AB44" s="23">
        <v>0.0</v>
      </c>
      <c r="AC44" s="23">
        <v>0.0</v>
      </c>
    </row>
    <row r="45" ht="15.75" customHeight="1">
      <c r="A45" s="438" t="s">
        <v>42</v>
      </c>
      <c r="B45" s="23">
        <v>5.0</v>
      </c>
      <c r="C45" s="23">
        <v>73.0</v>
      </c>
      <c r="D45" s="23">
        <v>1.0</v>
      </c>
      <c r="E45" s="23">
        <v>71.0</v>
      </c>
      <c r="F45" s="23">
        <v>2.0</v>
      </c>
      <c r="G45" s="23">
        <v>12.0</v>
      </c>
      <c r="H45" s="23">
        <v>2.0</v>
      </c>
      <c r="I45" s="23">
        <v>1453.0</v>
      </c>
      <c r="J45" s="23">
        <v>4.0</v>
      </c>
      <c r="K45" s="23">
        <v>13.0</v>
      </c>
      <c r="L45" s="23">
        <v>5.0</v>
      </c>
      <c r="M45" s="23">
        <v>0.0</v>
      </c>
      <c r="N45" s="23">
        <v>3.0</v>
      </c>
      <c r="O45" s="23">
        <v>0.0</v>
      </c>
      <c r="P45" s="23">
        <v>0.0</v>
      </c>
      <c r="Q45" s="23">
        <v>0.0</v>
      </c>
      <c r="R45" s="23">
        <v>3.0</v>
      </c>
      <c r="S45" s="23">
        <v>0.0</v>
      </c>
      <c r="T45" s="23">
        <v>0.0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3">
        <v>0.0</v>
      </c>
      <c r="AA45" s="23">
        <v>0.0</v>
      </c>
      <c r="AB45" s="23">
        <v>2.0</v>
      </c>
      <c r="AC45" s="23">
        <v>0.0</v>
      </c>
    </row>
    <row r="46" ht="15.75" customHeight="1">
      <c r="A46" s="438" t="s">
        <v>88</v>
      </c>
      <c r="B46" s="23">
        <v>6.0</v>
      </c>
      <c r="C46" s="23">
        <v>386.0</v>
      </c>
      <c r="D46" s="23">
        <v>11.0</v>
      </c>
      <c r="E46" s="23">
        <v>380.0</v>
      </c>
      <c r="F46" s="23">
        <v>6.0</v>
      </c>
      <c r="G46" s="23">
        <v>29.0</v>
      </c>
      <c r="H46" s="23">
        <v>12.0</v>
      </c>
      <c r="I46" s="23">
        <v>6474.0</v>
      </c>
      <c r="J46" s="23">
        <v>6.0</v>
      </c>
      <c r="K46" s="23">
        <v>70.0</v>
      </c>
      <c r="L46" s="23">
        <v>18.0</v>
      </c>
      <c r="M46" s="23">
        <v>14.0</v>
      </c>
      <c r="N46" s="23">
        <v>8.0</v>
      </c>
      <c r="O46" s="23">
        <v>0.0</v>
      </c>
      <c r="P46" s="23">
        <v>0.0</v>
      </c>
      <c r="Q46" s="23">
        <v>9.0</v>
      </c>
      <c r="R46" s="23">
        <v>8.0</v>
      </c>
      <c r="S46" s="23">
        <v>0.0</v>
      </c>
      <c r="T46" s="23">
        <v>0.0</v>
      </c>
      <c r="U46" s="23">
        <v>0.0</v>
      </c>
      <c r="V46" s="23">
        <v>2.0</v>
      </c>
      <c r="W46" s="23">
        <v>1.0</v>
      </c>
      <c r="X46" s="23">
        <v>1.0</v>
      </c>
      <c r="Y46" s="23">
        <v>1.0</v>
      </c>
      <c r="Z46" s="23">
        <v>0.0</v>
      </c>
      <c r="AA46" s="23">
        <v>0.0</v>
      </c>
      <c r="AB46" s="23">
        <v>10.0</v>
      </c>
      <c r="AC46" s="23">
        <v>0.0</v>
      </c>
    </row>
    <row r="47" ht="15.75" customHeight="1">
      <c r="A47" s="438" t="s">
        <v>85</v>
      </c>
      <c r="B47" s="23">
        <v>0.0</v>
      </c>
      <c r="C47" s="23">
        <v>120.0</v>
      </c>
      <c r="D47" s="23">
        <v>7.0</v>
      </c>
      <c r="E47" s="23">
        <v>144.0</v>
      </c>
      <c r="F47" s="23">
        <v>-24.0</v>
      </c>
      <c r="G47" s="23">
        <v>7.0</v>
      </c>
      <c r="H47" s="23">
        <v>2.0</v>
      </c>
      <c r="I47" s="23">
        <v>1798.0</v>
      </c>
      <c r="J47" s="23">
        <v>2.0</v>
      </c>
      <c r="K47" s="23">
        <v>20.0</v>
      </c>
      <c r="L47" s="23">
        <v>6.0</v>
      </c>
      <c r="M47" s="23">
        <v>1.0</v>
      </c>
      <c r="N47" s="23">
        <v>0.0</v>
      </c>
      <c r="O47" s="23">
        <v>0.0</v>
      </c>
      <c r="P47" s="23">
        <v>0.0</v>
      </c>
      <c r="Q47" s="23">
        <v>1.0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1.0</v>
      </c>
      <c r="AC47" s="23">
        <v>0.0</v>
      </c>
    </row>
    <row r="48" ht="15.75" customHeight="1">
      <c r="A48" s="438" t="s">
        <v>111</v>
      </c>
      <c r="B48" s="23">
        <v>0.0</v>
      </c>
      <c r="C48" s="23">
        <v>121.0</v>
      </c>
      <c r="D48" s="23">
        <v>5.0</v>
      </c>
      <c r="E48" s="23">
        <v>152.0</v>
      </c>
      <c r="F48" s="23">
        <v>-31.0</v>
      </c>
      <c r="G48" s="23">
        <v>16.0</v>
      </c>
      <c r="H48" s="23">
        <v>3.0</v>
      </c>
      <c r="I48" s="23">
        <v>2161.0</v>
      </c>
      <c r="J48" s="23">
        <v>6.0</v>
      </c>
      <c r="K48" s="23">
        <v>15.0</v>
      </c>
      <c r="L48" s="23">
        <v>2.0</v>
      </c>
      <c r="M48" s="23">
        <v>2.0</v>
      </c>
      <c r="N48" s="23">
        <v>2.0</v>
      </c>
      <c r="O48" s="23">
        <v>0.0</v>
      </c>
      <c r="P48" s="23">
        <v>0.0</v>
      </c>
      <c r="Q48" s="23">
        <v>1.0</v>
      </c>
      <c r="R48" s="23">
        <v>2.0</v>
      </c>
      <c r="S48" s="23">
        <v>0.0</v>
      </c>
      <c r="T48" s="23">
        <v>0.0</v>
      </c>
      <c r="U48" s="23">
        <v>0.0</v>
      </c>
      <c r="V48" s="23">
        <v>1.0</v>
      </c>
      <c r="W48" s="23">
        <v>0.0</v>
      </c>
      <c r="X48" s="23">
        <v>0.0</v>
      </c>
      <c r="Y48" s="23">
        <v>0.0</v>
      </c>
      <c r="Z48" s="23">
        <v>0.0</v>
      </c>
      <c r="AA48" s="23">
        <v>0.0</v>
      </c>
      <c r="AB48" s="23">
        <v>4.0</v>
      </c>
      <c r="AC48" s="23">
        <v>0.0</v>
      </c>
    </row>
    <row r="49" ht="15.75" customHeight="1">
      <c r="A49" s="438" t="s">
        <v>167</v>
      </c>
      <c r="B49" s="23">
        <v>0.0</v>
      </c>
      <c r="C49" s="23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5.63"/>
    <col customWidth="1" min="3" max="3" width="4.5"/>
    <col customWidth="1" min="4" max="4" width="6.88"/>
    <col customWidth="1" min="5" max="5" width="6.5"/>
    <col customWidth="1" min="6" max="6" width="6.63"/>
    <col customWidth="1" min="7" max="7" width="6.13"/>
    <col customWidth="1" min="8" max="8" width="8.5"/>
    <col customWidth="1" min="9" max="9" width="9.5"/>
    <col customWidth="1" min="10" max="10" width="10.38"/>
    <col customWidth="1" min="11" max="11" width="10.13"/>
    <col customWidth="1" min="12" max="13" width="9.0"/>
    <col customWidth="1" min="14" max="14" width="6.5"/>
    <col customWidth="1" min="15" max="15" width="7.63"/>
    <col customWidth="1" min="16" max="16" width="11.63"/>
    <col customWidth="1" min="17" max="17" width="8.0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8.25"/>
    <col customWidth="1" min="29" max="29" width="13.25"/>
  </cols>
  <sheetData>
    <row r="1" ht="15.75" customHeight="1">
      <c r="A1" s="438" t="s">
        <v>9</v>
      </c>
      <c r="B1" s="438" t="s">
        <v>346</v>
      </c>
      <c r="C1" s="438" t="s">
        <v>347</v>
      </c>
      <c r="D1" s="438" t="s">
        <v>348</v>
      </c>
      <c r="E1" s="438" t="s">
        <v>349</v>
      </c>
      <c r="F1" s="438" t="s">
        <v>350</v>
      </c>
      <c r="G1" s="438" t="s">
        <v>351</v>
      </c>
      <c r="H1" s="438" t="s">
        <v>352</v>
      </c>
      <c r="I1" s="438" t="s">
        <v>354</v>
      </c>
      <c r="J1" s="438" t="s">
        <v>356</v>
      </c>
      <c r="K1" s="438" t="s">
        <v>357</v>
      </c>
      <c r="L1" s="438" t="s">
        <v>358</v>
      </c>
      <c r="M1" s="438" t="s">
        <v>359</v>
      </c>
      <c r="N1" s="438" t="s">
        <v>360</v>
      </c>
      <c r="O1" s="438" t="s">
        <v>361</v>
      </c>
      <c r="P1" s="438" t="s">
        <v>362</v>
      </c>
      <c r="Q1" s="438" t="s">
        <v>363</v>
      </c>
      <c r="R1" s="438" t="s">
        <v>364</v>
      </c>
      <c r="S1" s="438" t="s">
        <v>365</v>
      </c>
      <c r="T1" s="438" t="s">
        <v>366</v>
      </c>
      <c r="U1" s="438" t="s">
        <v>367</v>
      </c>
      <c r="V1" s="438" t="s">
        <v>368</v>
      </c>
      <c r="W1" s="438" t="s">
        <v>369</v>
      </c>
      <c r="X1" s="438" t="s">
        <v>370</v>
      </c>
      <c r="Y1" s="438" t="s">
        <v>371</v>
      </c>
      <c r="Z1" s="438" t="s">
        <v>372</v>
      </c>
      <c r="AA1" s="438" t="s">
        <v>373</v>
      </c>
      <c r="AB1" s="438" t="s">
        <v>374</v>
      </c>
      <c r="AC1" s="438" t="s">
        <v>375</v>
      </c>
    </row>
    <row r="2" ht="15.75" customHeight="1">
      <c r="A2" s="438" t="s">
        <v>15</v>
      </c>
      <c r="B2" s="23">
        <v>0.0</v>
      </c>
      <c r="C2" s="23">
        <v>0.0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0.0</v>
      </c>
      <c r="R2" s="23">
        <v>0.0</v>
      </c>
      <c r="S2" s="23">
        <v>0.0</v>
      </c>
      <c r="T2" s="23">
        <v>0.0</v>
      </c>
      <c r="U2" s="23">
        <v>0.0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</row>
    <row r="3" ht="15.75" customHeight="1">
      <c r="A3" s="438" t="s">
        <v>24</v>
      </c>
      <c r="B3" s="23">
        <v>2.0</v>
      </c>
      <c r="C3" s="23">
        <v>223.0</v>
      </c>
      <c r="D3" s="23">
        <v>13.0</v>
      </c>
      <c r="E3" s="23">
        <v>254.0</v>
      </c>
      <c r="F3" s="23">
        <v>-31.0</v>
      </c>
      <c r="G3" s="23">
        <v>19.0</v>
      </c>
      <c r="H3" s="23">
        <v>7.0</v>
      </c>
      <c r="I3" s="23">
        <v>4402.0</v>
      </c>
      <c r="J3" s="23">
        <v>12.0</v>
      </c>
      <c r="K3" s="23">
        <v>33.0</v>
      </c>
      <c r="L3" s="23">
        <v>8.0</v>
      </c>
      <c r="M3" s="23">
        <v>2.0</v>
      </c>
      <c r="N3" s="23">
        <v>3.0</v>
      </c>
      <c r="O3" s="23">
        <v>0.0</v>
      </c>
      <c r="P3" s="23">
        <v>0.0</v>
      </c>
      <c r="Q3" s="23">
        <v>2.0</v>
      </c>
      <c r="R3" s="23">
        <v>3.0</v>
      </c>
      <c r="S3" s="23">
        <v>0.0</v>
      </c>
      <c r="T3" s="23">
        <v>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0.0</v>
      </c>
      <c r="AA3" s="23">
        <v>0.0</v>
      </c>
      <c r="AB3" s="23">
        <v>20.0</v>
      </c>
      <c r="AC3" s="23">
        <v>0.0</v>
      </c>
    </row>
    <row r="4" ht="15.75" customHeight="1">
      <c r="A4" s="438" t="s">
        <v>45</v>
      </c>
      <c r="B4" s="23">
        <v>2.0</v>
      </c>
      <c r="C4" s="23">
        <v>94.0</v>
      </c>
      <c r="D4" s="23">
        <v>2.0</v>
      </c>
      <c r="E4" s="23">
        <v>77.0</v>
      </c>
      <c r="F4" s="23">
        <v>17.0</v>
      </c>
      <c r="G4" s="23">
        <v>11.0</v>
      </c>
      <c r="H4" s="23">
        <v>0.0</v>
      </c>
      <c r="I4" s="23">
        <v>1322.0</v>
      </c>
      <c r="J4" s="23">
        <v>6.0</v>
      </c>
      <c r="K4" s="23">
        <v>17.0</v>
      </c>
      <c r="L4" s="23">
        <v>3.0</v>
      </c>
      <c r="M4" s="23">
        <v>0.0</v>
      </c>
      <c r="N4" s="23">
        <v>2.0</v>
      </c>
      <c r="O4" s="23">
        <v>0.0</v>
      </c>
      <c r="P4" s="23">
        <v>0.0</v>
      </c>
      <c r="Q4" s="23">
        <v>0.0</v>
      </c>
      <c r="R4" s="23">
        <v>2.0</v>
      </c>
      <c r="S4" s="23">
        <v>0.0</v>
      </c>
      <c r="T4" s="23">
        <v>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0.0</v>
      </c>
      <c r="AA4" s="23">
        <v>0.0</v>
      </c>
      <c r="AB4" s="23">
        <v>0.0</v>
      </c>
      <c r="AC4" s="23">
        <v>0.0</v>
      </c>
    </row>
    <row r="5" ht="15.75" customHeight="1">
      <c r="A5" s="438" t="s">
        <v>46</v>
      </c>
      <c r="B5" s="23">
        <v>6.0</v>
      </c>
      <c r="C5" s="23">
        <v>633.0</v>
      </c>
      <c r="D5" s="23">
        <v>11.0</v>
      </c>
      <c r="E5" s="23">
        <v>572.0</v>
      </c>
      <c r="F5" s="23">
        <v>61.0</v>
      </c>
      <c r="G5" s="23">
        <v>49.0</v>
      </c>
      <c r="H5" s="23">
        <v>19.0</v>
      </c>
      <c r="I5" s="23">
        <v>9253.0</v>
      </c>
      <c r="J5" s="23">
        <v>11.0</v>
      </c>
      <c r="K5" s="23">
        <v>113.0</v>
      </c>
      <c r="L5" s="23">
        <v>31.0</v>
      </c>
      <c r="M5" s="23">
        <v>13.0</v>
      </c>
      <c r="N5" s="23">
        <v>16.0</v>
      </c>
      <c r="O5" s="23">
        <v>0.0</v>
      </c>
      <c r="P5" s="23">
        <v>0.0</v>
      </c>
      <c r="Q5" s="23">
        <v>9.0</v>
      </c>
      <c r="R5" s="23">
        <v>16.0</v>
      </c>
      <c r="S5" s="23">
        <v>0.0</v>
      </c>
      <c r="T5" s="23">
        <v>0.0</v>
      </c>
      <c r="U5" s="23">
        <v>0.0</v>
      </c>
      <c r="V5" s="23">
        <v>3.0</v>
      </c>
      <c r="W5" s="23">
        <v>1.0</v>
      </c>
      <c r="X5" s="23">
        <v>0.0</v>
      </c>
      <c r="Y5" s="23">
        <v>0.0</v>
      </c>
      <c r="Z5" s="23">
        <v>0.0</v>
      </c>
      <c r="AA5" s="23">
        <v>0.0</v>
      </c>
      <c r="AB5" s="23">
        <v>6.0</v>
      </c>
      <c r="AC5" s="23">
        <v>0.0</v>
      </c>
    </row>
    <row r="6" ht="15.75" customHeight="1">
      <c r="A6" s="438" t="s">
        <v>47</v>
      </c>
      <c r="B6" s="23">
        <v>6.0</v>
      </c>
      <c r="C6" s="23">
        <v>64.0</v>
      </c>
      <c r="D6" s="23">
        <v>3.0</v>
      </c>
      <c r="E6" s="23">
        <v>95.0</v>
      </c>
      <c r="F6" s="23">
        <v>-31.0</v>
      </c>
      <c r="G6" s="23">
        <v>9.0</v>
      </c>
      <c r="H6" s="23">
        <v>7.0</v>
      </c>
      <c r="I6" s="23">
        <v>1686.0</v>
      </c>
      <c r="J6" s="23">
        <v>1.0</v>
      </c>
      <c r="K6" s="23">
        <v>12.0</v>
      </c>
      <c r="L6" s="23">
        <v>2.0</v>
      </c>
      <c r="M6" s="23">
        <v>0.0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4.0</v>
      </c>
      <c r="AC6" s="23">
        <v>0.0</v>
      </c>
    </row>
    <row r="7" ht="15.75" customHeight="1">
      <c r="A7" s="438" t="s">
        <v>55</v>
      </c>
      <c r="B7" s="23">
        <v>0.0</v>
      </c>
      <c r="C7" s="23">
        <v>50.0</v>
      </c>
      <c r="D7" s="23">
        <v>3.0</v>
      </c>
      <c r="E7" s="23">
        <v>64.0</v>
      </c>
      <c r="F7" s="23">
        <v>-14.0</v>
      </c>
      <c r="G7" s="23">
        <v>6.0</v>
      </c>
      <c r="H7" s="23">
        <v>2.0</v>
      </c>
      <c r="I7" s="23">
        <v>870.0</v>
      </c>
      <c r="J7" s="23">
        <v>1.0</v>
      </c>
      <c r="K7" s="23">
        <v>8.0</v>
      </c>
      <c r="L7" s="23">
        <v>4.0</v>
      </c>
      <c r="M7" s="23">
        <v>2.0</v>
      </c>
      <c r="N7" s="23">
        <v>2.0</v>
      </c>
      <c r="O7" s="23">
        <v>0.0</v>
      </c>
      <c r="P7" s="23">
        <v>0.0</v>
      </c>
      <c r="Q7" s="23">
        <v>2.0</v>
      </c>
      <c r="R7" s="23">
        <v>2.0</v>
      </c>
      <c r="S7" s="23">
        <v>0.0</v>
      </c>
      <c r="T7" s="23">
        <v>0.0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23">
        <v>0.0</v>
      </c>
      <c r="AB7" s="23">
        <v>2.0</v>
      </c>
      <c r="AC7" s="23">
        <v>0.0</v>
      </c>
    </row>
    <row r="8" ht="15.75" customHeight="1">
      <c r="A8" s="438" t="s">
        <v>56</v>
      </c>
      <c r="B8" s="23">
        <v>1.0</v>
      </c>
      <c r="C8" s="23">
        <v>39.0</v>
      </c>
      <c r="D8" s="23">
        <v>1.0</v>
      </c>
      <c r="E8" s="23">
        <v>33.0</v>
      </c>
      <c r="F8" s="23">
        <v>6.0</v>
      </c>
      <c r="G8" s="23">
        <v>7.0</v>
      </c>
      <c r="H8" s="23">
        <v>0.0</v>
      </c>
      <c r="I8" s="23">
        <v>663.0</v>
      </c>
      <c r="J8" s="23">
        <v>1.0</v>
      </c>
      <c r="K8" s="23">
        <v>5.0</v>
      </c>
      <c r="L8" s="23">
        <v>2.0</v>
      </c>
      <c r="M8" s="23">
        <v>0.0</v>
      </c>
      <c r="N8" s="23">
        <v>1.0</v>
      </c>
      <c r="O8" s="23">
        <v>0.0</v>
      </c>
      <c r="P8" s="23">
        <v>0.0</v>
      </c>
      <c r="Q8" s="23">
        <v>0.0</v>
      </c>
      <c r="R8" s="23">
        <v>1.0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5.0</v>
      </c>
      <c r="AC8" s="23">
        <v>0.0</v>
      </c>
    </row>
    <row r="9" ht="15.75" customHeight="1">
      <c r="A9" s="438" t="s">
        <v>60</v>
      </c>
      <c r="B9" s="23">
        <v>2.0</v>
      </c>
      <c r="C9" s="23">
        <v>598.0</v>
      </c>
      <c r="D9" s="23">
        <v>14.0</v>
      </c>
      <c r="E9" s="23">
        <v>591.0</v>
      </c>
      <c r="F9" s="23">
        <v>7.0</v>
      </c>
      <c r="G9" s="23">
        <v>38.0</v>
      </c>
      <c r="H9" s="23">
        <v>23.0</v>
      </c>
      <c r="I9" s="23">
        <v>9134.0</v>
      </c>
      <c r="J9" s="23">
        <v>9.0</v>
      </c>
      <c r="K9" s="23">
        <v>106.0</v>
      </c>
      <c r="L9" s="23">
        <v>20.0</v>
      </c>
      <c r="M9" s="23">
        <v>9.0</v>
      </c>
      <c r="N9" s="23">
        <v>6.0</v>
      </c>
      <c r="O9" s="23">
        <v>0.0</v>
      </c>
      <c r="P9" s="23">
        <v>0.0</v>
      </c>
      <c r="Q9" s="23">
        <v>6.0</v>
      </c>
      <c r="R9" s="23">
        <v>6.0</v>
      </c>
      <c r="S9" s="23">
        <v>0.0</v>
      </c>
      <c r="T9" s="23">
        <v>0.0</v>
      </c>
      <c r="U9" s="23">
        <v>0.0</v>
      </c>
      <c r="V9" s="23">
        <v>2.0</v>
      </c>
      <c r="W9" s="23">
        <v>1.0</v>
      </c>
      <c r="X9" s="23">
        <v>0.0</v>
      </c>
      <c r="Y9" s="23">
        <v>0.0</v>
      </c>
      <c r="Z9" s="23">
        <v>0.0</v>
      </c>
      <c r="AA9" s="23">
        <v>0.0</v>
      </c>
      <c r="AB9" s="23">
        <v>5.0</v>
      </c>
      <c r="AC9" s="23">
        <v>0.0</v>
      </c>
    </row>
    <row r="10" ht="15.75" customHeight="1">
      <c r="A10" s="438" t="s">
        <v>61</v>
      </c>
      <c r="B10" s="23">
        <v>1.0</v>
      </c>
      <c r="C10" s="23">
        <v>415.0</v>
      </c>
      <c r="D10" s="23">
        <v>13.0</v>
      </c>
      <c r="E10" s="23">
        <v>339.0</v>
      </c>
      <c r="F10" s="23">
        <v>76.0</v>
      </c>
      <c r="G10" s="23">
        <v>36.0</v>
      </c>
      <c r="H10" s="23">
        <v>7.0</v>
      </c>
      <c r="I10" s="23">
        <v>5559.0</v>
      </c>
      <c r="J10" s="23">
        <v>16.0</v>
      </c>
      <c r="K10" s="23">
        <v>77.0</v>
      </c>
      <c r="L10" s="23">
        <v>21.0</v>
      </c>
      <c r="M10" s="23">
        <v>9.0</v>
      </c>
      <c r="N10" s="23">
        <v>12.0</v>
      </c>
      <c r="O10" s="23">
        <v>0.0</v>
      </c>
      <c r="P10" s="23">
        <v>0.0</v>
      </c>
      <c r="Q10" s="23">
        <v>7.0</v>
      </c>
      <c r="R10" s="23">
        <v>12.0</v>
      </c>
      <c r="S10" s="23">
        <v>0.0</v>
      </c>
      <c r="T10" s="23">
        <v>0.0</v>
      </c>
      <c r="U10" s="23">
        <v>0.0</v>
      </c>
      <c r="V10" s="23">
        <v>2.0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13.0</v>
      </c>
      <c r="AC10" s="23">
        <v>0.0</v>
      </c>
    </row>
    <row r="11" ht="15.75" customHeight="1">
      <c r="A11" s="438" t="s">
        <v>73</v>
      </c>
      <c r="B11" s="23">
        <v>3.0</v>
      </c>
      <c r="C11" s="23">
        <v>436.0</v>
      </c>
      <c r="D11" s="23">
        <v>11.0</v>
      </c>
      <c r="E11" s="23">
        <v>335.0</v>
      </c>
      <c r="F11" s="23">
        <v>101.0</v>
      </c>
      <c r="G11" s="23">
        <v>27.0</v>
      </c>
      <c r="H11" s="23">
        <v>11.0</v>
      </c>
      <c r="I11" s="23">
        <v>5806.0</v>
      </c>
      <c r="J11" s="23">
        <v>3.0</v>
      </c>
      <c r="K11" s="23">
        <v>90.0</v>
      </c>
      <c r="L11" s="23">
        <v>38.0</v>
      </c>
      <c r="M11" s="23">
        <v>15.0</v>
      </c>
      <c r="N11" s="23">
        <v>11.0</v>
      </c>
      <c r="O11" s="23">
        <v>0.0</v>
      </c>
      <c r="P11" s="23">
        <v>0.0</v>
      </c>
      <c r="Q11" s="23">
        <v>13.0</v>
      </c>
      <c r="R11" s="23">
        <v>11.0</v>
      </c>
      <c r="S11" s="23">
        <v>0.0</v>
      </c>
      <c r="T11" s="23">
        <v>0.0</v>
      </c>
      <c r="U11" s="23">
        <v>0.0</v>
      </c>
      <c r="V11" s="23">
        <v>2.0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8.0</v>
      </c>
      <c r="AC11" s="23">
        <v>0.0</v>
      </c>
    </row>
    <row r="12" ht="15.75" customHeight="1">
      <c r="A12" s="438" t="s">
        <v>80</v>
      </c>
      <c r="B12" s="23">
        <v>2.0</v>
      </c>
      <c r="C12" s="23">
        <v>500.0</v>
      </c>
      <c r="D12" s="23">
        <v>21.0</v>
      </c>
      <c r="E12" s="23">
        <v>547.0</v>
      </c>
      <c r="F12" s="23">
        <v>-47.0</v>
      </c>
      <c r="G12" s="23">
        <v>32.0</v>
      </c>
      <c r="H12" s="23">
        <v>16.0</v>
      </c>
      <c r="I12" s="23">
        <v>8503.0</v>
      </c>
      <c r="J12" s="23">
        <v>9.0</v>
      </c>
      <c r="K12" s="23">
        <v>89.0</v>
      </c>
      <c r="L12" s="23">
        <v>23.0</v>
      </c>
      <c r="M12" s="23">
        <v>12.0</v>
      </c>
      <c r="N12" s="23">
        <v>7.0</v>
      </c>
      <c r="O12" s="23">
        <v>0.0</v>
      </c>
      <c r="P12" s="23">
        <v>0.0</v>
      </c>
      <c r="Q12" s="23">
        <v>8.0</v>
      </c>
      <c r="R12" s="23">
        <v>7.0</v>
      </c>
      <c r="S12" s="23">
        <v>0.0</v>
      </c>
      <c r="T12" s="23">
        <v>0.0</v>
      </c>
      <c r="U12" s="23">
        <v>0.0</v>
      </c>
      <c r="V12" s="23">
        <v>2.0</v>
      </c>
      <c r="W12" s="23">
        <v>1.0</v>
      </c>
      <c r="X12" s="23">
        <v>1.0</v>
      </c>
      <c r="Y12" s="23">
        <v>0.0</v>
      </c>
      <c r="Z12" s="23">
        <v>0.0</v>
      </c>
      <c r="AA12" s="23">
        <v>0.0</v>
      </c>
      <c r="AB12" s="23">
        <v>7.0</v>
      </c>
      <c r="AC12" s="23">
        <v>0.0</v>
      </c>
    </row>
    <row r="13" ht="15.75" customHeight="1">
      <c r="A13" s="438" t="s">
        <v>98</v>
      </c>
      <c r="B13" s="23">
        <v>13.0</v>
      </c>
      <c r="C13" s="23">
        <v>409.0</v>
      </c>
      <c r="D13" s="23">
        <v>4.0</v>
      </c>
      <c r="E13" s="23">
        <v>431.0</v>
      </c>
      <c r="F13" s="23">
        <v>-22.0</v>
      </c>
      <c r="G13" s="23">
        <v>31.0</v>
      </c>
      <c r="H13" s="23">
        <v>11.0</v>
      </c>
      <c r="I13" s="23">
        <v>6982.0</v>
      </c>
      <c r="J13" s="23">
        <v>13.0</v>
      </c>
      <c r="K13" s="23">
        <v>74.0</v>
      </c>
      <c r="L13" s="23">
        <v>16.0</v>
      </c>
      <c r="M13" s="23">
        <v>3.0</v>
      </c>
      <c r="N13" s="23">
        <v>7.0</v>
      </c>
      <c r="O13" s="23">
        <v>0.0</v>
      </c>
      <c r="P13" s="23">
        <v>0.0</v>
      </c>
      <c r="Q13" s="23">
        <v>2.0</v>
      </c>
      <c r="R13" s="23">
        <v>7.0</v>
      </c>
      <c r="S13" s="23">
        <v>0.0</v>
      </c>
      <c r="T13" s="23">
        <v>0.0</v>
      </c>
      <c r="U13" s="23">
        <v>0.0</v>
      </c>
      <c r="V13" s="23">
        <v>1.0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9.0</v>
      </c>
      <c r="AC13" s="23">
        <v>0.0</v>
      </c>
    </row>
    <row r="14" ht="15.75" customHeight="1">
      <c r="A14" s="438" t="s">
        <v>381</v>
      </c>
      <c r="B14" s="23">
        <v>0.0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</row>
    <row r="15" ht="15.75" customHeight="1">
      <c r="A15" s="438" t="s">
        <v>102</v>
      </c>
      <c r="B15" s="23">
        <v>9.0</v>
      </c>
      <c r="C15" s="23">
        <v>287.0</v>
      </c>
      <c r="D15" s="23">
        <v>8.0</v>
      </c>
      <c r="E15" s="23">
        <v>368.0</v>
      </c>
      <c r="F15" s="23">
        <v>-81.0</v>
      </c>
      <c r="G15" s="23">
        <v>22.0</v>
      </c>
      <c r="H15" s="23">
        <v>5.0</v>
      </c>
      <c r="I15" s="23">
        <v>7568.0</v>
      </c>
      <c r="J15" s="23">
        <v>6.0</v>
      </c>
      <c r="K15" s="23">
        <v>28.0</v>
      </c>
      <c r="L15" s="23">
        <v>3.0</v>
      </c>
      <c r="M15" s="23">
        <v>0.0</v>
      </c>
      <c r="N15" s="23">
        <v>1.0</v>
      </c>
      <c r="O15" s="23">
        <v>0.0</v>
      </c>
      <c r="P15" s="23">
        <v>0.0</v>
      </c>
      <c r="Q15" s="23">
        <v>0.0</v>
      </c>
      <c r="R15" s="23">
        <v>1.0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10.0</v>
      </c>
      <c r="AC15" s="23">
        <v>0.0</v>
      </c>
    </row>
    <row r="16" ht="15.75" customHeight="1">
      <c r="A16" s="438" t="s">
        <v>104</v>
      </c>
      <c r="B16" s="23">
        <v>0.0</v>
      </c>
      <c r="C16" s="23">
        <v>37.0</v>
      </c>
      <c r="D16" s="23">
        <v>0.0</v>
      </c>
      <c r="E16" s="23">
        <v>40.0</v>
      </c>
      <c r="F16" s="23">
        <v>-3.0</v>
      </c>
      <c r="G16" s="23">
        <v>3.0</v>
      </c>
      <c r="H16" s="23">
        <v>2.0</v>
      </c>
      <c r="I16" s="23">
        <v>663.0</v>
      </c>
      <c r="J16" s="23">
        <v>3.0</v>
      </c>
      <c r="K16" s="23">
        <v>8.0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1.0</v>
      </c>
      <c r="AC16" s="23">
        <v>0.0</v>
      </c>
    </row>
    <row r="17" ht="15.75" customHeight="1">
      <c r="A17" s="438" t="s">
        <v>107</v>
      </c>
      <c r="B17" s="23">
        <v>6.0</v>
      </c>
      <c r="C17" s="23">
        <v>395.0</v>
      </c>
      <c r="D17" s="23">
        <v>13.0</v>
      </c>
      <c r="E17" s="23">
        <v>454.0</v>
      </c>
      <c r="F17" s="23">
        <v>-59.0</v>
      </c>
      <c r="G17" s="23">
        <v>33.0</v>
      </c>
      <c r="H17" s="23">
        <v>4.0</v>
      </c>
      <c r="I17" s="23">
        <v>7645.0</v>
      </c>
      <c r="J17" s="23">
        <v>11.0</v>
      </c>
      <c r="K17" s="23">
        <v>63.0</v>
      </c>
      <c r="L17" s="23">
        <v>17.0</v>
      </c>
      <c r="M17" s="23">
        <v>7.0</v>
      </c>
      <c r="N17" s="23">
        <v>6.0</v>
      </c>
      <c r="O17" s="23">
        <v>0.0</v>
      </c>
      <c r="P17" s="23">
        <v>0.0</v>
      </c>
      <c r="Q17" s="23">
        <v>6.0</v>
      </c>
      <c r="R17" s="23">
        <v>6.0</v>
      </c>
      <c r="S17" s="23">
        <v>0.0</v>
      </c>
      <c r="T17" s="23">
        <v>0.0</v>
      </c>
      <c r="U17" s="23">
        <v>0.0</v>
      </c>
      <c r="V17" s="23">
        <v>1.0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8.0</v>
      </c>
      <c r="AC17" s="23">
        <v>0.0</v>
      </c>
    </row>
    <row r="18" ht="15.75" customHeight="1">
      <c r="A18" s="438" t="s">
        <v>115</v>
      </c>
      <c r="B18" s="23">
        <v>0.0</v>
      </c>
      <c r="C18" s="23">
        <v>38.0</v>
      </c>
      <c r="D18" s="23">
        <v>2.0</v>
      </c>
      <c r="E18" s="23">
        <v>50.0</v>
      </c>
      <c r="F18" s="23">
        <v>-12.0</v>
      </c>
      <c r="G18" s="23">
        <v>4.0</v>
      </c>
      <c r="H18" s="23">
        <v>0.0</v>
      </c>
      <c r="I18" s="23">
        <v>663.0</v>
      </c>
      <c r="J18" s="23">
        <v>3.0</v>
      </c>
      <c r="K18" s="23">
        <v>7.0</v>
      </c>
      <c r="L18" s="23">
        <v>1.0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2.0</v>
      </c>
      <c r="AC18" s="23">
        <v>0.0</v>
      </c>
    </row>
    <row r="19" ht="15.75" customHeight="1">
      <c r="A19" s="438" t="s">
        <v>116</v>
      </c>
      <c r="B19" s="23">
        <v>1.0</v>
      </c>
      <c r="C19" s="23">
        <v>479.0</v>
      </c>
      <c r="D19" s="23">
        <v>12.0</v>
      </c>
      <c r="E19" s="23">
        <v>559.0</v>
      </c>
      <c r="F19" s="23">
        <v>-80.0</v>
      </c>
      <c r="G19" s="23">
        <v>33.0</v>
      </c>
      <c r="H19" s="23">
        <v>11.0</v>
      </c>
      <c r="I19" s="23">
        <v>7653.0</v>
      </c>
      <c r="J19" s="23">
        <v>10.0</v>
      </c>
      <c r="K19" s="23">
        <v>71.0</v>
      </c>
      <c r="L19" s="23">
        <v>13.0</v>
      </c>
      <c r="M19" s="23">
        <v>1.0</v>
      </c>
      <c r="N19" s="23">
        <v>4.0</v>
      </c>
      <c r="O19" s="23">
        <v>0.0</v>
      </c>
      <c r="P19" s="23">
        <v>0.0</v>
      </c>
      <c r="Q19" s="23">
        <v>1.0</v>
      </c>
      <c r="R19" s="23">
        <v>4.0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11.0</v>
      </c>
      <c r="AC19" s="23">
        <v>0.0</v>
      </c>
    </row>
    <row r="20" ht="15.75" customHeight="1">
      <c r="A20" s="438" t="s">
        <v>124</v>
      </c>
      <c r="B20" s="23">
        <v>1.0</v>
      </c>
      <c r="C20" s="23">
        <v>29.0</v>
      </c>
      <c r="D20" s="23">
        <v>1.0</v>
      </c>
      <c r="E20" s="23">
        <v>84.0</v>
      </c>
      <c r="F20" s="23">
        <v>-55.0</v>
      </c>
      <c r="G20" s="23">
        <v>4.0</v>
      </c>
      <c r="H20" s="23">
        <v>3.0</v>
      </c>
      <c r="I20" s="23">
        <v>1322.0</v>
      </c>
      <c r="J20" s="23">
        <v>1.0</v>
      </c>
      <c r="K20" s="23">
        <v>3.0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>
        <v>0.0</v>
      </c>
      <c r="AB20" s="23">
        <v>2.0</v>
      </c>
      <c r="AC20" s="23">
        <v>0.0</v>
      </c>
    </row>
    <row r="21" ht="15.75" customHeight="1">
      <c r="A21" s="438" t="s">
        <v>127</v>
      </c>
      <c r="B21" s="23">
        <v>7.0</v>
      </c>
      <c r="C21" s="23">
        <v>434.0</v>
      </c>
      <c r="D21" s="23">
        <v>14.0</v>
      </c>
      <c r="E21" s="23">
        <v>420.0</v>
      </c>
      <c r="F21" s="23">
        <v>14.0</v>
      </c>
      <c r="G21" s="23">
        <v>30.0</v>
      </c>
      <c r="H21" s="23">
        <v>12.0</v>
      </c>
      <c r="I21" s="23">
        <v>6991.0</v>
      </c>
      <c r="J21" s="23">
        <v>12.0</v>
      </c>
      <c r="K21" s="23">
        <v>67.0</v>
      </c>
      <c r="L21" s="23">
        <v>20.0</v>
      </c>
      <c r="M21" s="23">
        <v>6.0</v>
      </c>
      <c r="N21" s="23">
        <v>6.0</v>
      </c>
      <c r="O21" s="23">
        <v>0.0</v>
      </c>
      <c r="P21" s="23">
        <v>0.0</v>
      </c>
      <c r="Q21" s="23">
        <v>4.0</v>
      </c>
      <c r="R21" s="23">
        <v>6.0</v>
      </c>
      <c r="S21" s="23">
        <v>0.0</v>
      </c>
      <c r="T21" s="23">
        <v>0.0</v>
      </c>
      <c r="U21" s="23">
        <v>0.0</v>
      </c>
      <c r="V21" s="23">
        <v>2.0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12.0</v>
      </c>
      <c r="AC21" s="23">
        <v>0.0</v>
      </c>
    </row>
    <row r="22" ht="15.75" customHeight="1">
      <c r="A22" s="438" t="s">
        <v>129</v>
      </c>
      <c r="B22" s="23">
        <v>9.0</v>
      </c>
      <c r="C22" s="23">
        <v>462.0</v>
      </c>
      <c r="D22" s="23">
        <v>21.0</v>
      </c>
      <c r="E22" s="23">
        <v>540.0</v>
      </c>
      <c r="F22" s="23">
        <v>-78.0</v>
      </c>
      <c r="G22" s="23">
        <v>31.0</v>
      </c>
      <c r="H22" s="23">
        <v>18.0</v>
      </c>
      <c r="I22" s="23">
        <v>7654.0</v>
      </c>
      <c r="J22" s="23">
        <v>10.0</v>
      </c>
      <c r="K22" s="23">
        <v>78.0</v>
      </c>
      <c r="L22" s="23">
        <v>15.0</v>
      </c>
      <c r="M22" s="23">
        <v>8.0</v>
      </c>
      <c r="N22" s="23">
        <v>3.0</v>
      </c>
      <c r="O22" s="23">
        <v>0.0</v>
      </c>
      <c r="P22" s="23">
        <v>0.0</v>
      </c>
      <c r="Q22" s="23">
        <v>5.0</v>
      </c>
      <c r="R22" s="23">
        <v>3.0</v>
      </c>
      <c r="S22" s="23">
        <v>0.0</v>
      </c>
      <c r="T22" s="23">
        <v>0.0</v>
      </c>
      <c r="U22" s="23">
        <v>0.0</v>
      </c>
      <c r="V22" s="23">
        <v>2.0</v>
      </c>
      <c r="W22" s="23">
        <v>1.0</v>
      </c>
      <c r="X22" s="23">
        <v>0.0</v>
      </c>
      <c r="Y22" s="23">
        <v>0.0</v>
      </c>
      <c r="Z22" s="23">
        <v>0.0</v>
      </c>
      <c r="AA22" s="23">
        <v>0.0</v>
      </c>
      <c r="AB22" s="23">
        <v>11.0</v>
      </c>
      <c r="AC22" s="23">
        <v>0.0</v>
      </c>
    </row>
    <row r="23" ht="15.75" customHeight="1">
      <c r="A23" s="438" t="s">
        <v>377</v>
      </c>
      <c r="B23" s="23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23">
        <v>0.0</v>
      </c>
      <c r="N23" s="23">
        <v>0.0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3">
        <v>0.0</v>
      </c>
      <c r="AB23" s="23">
        <v>0.0</v>
      </c>
      <c r="AC23" s="23">
        <v>0.0</v>
      </c>
    </row>
    <row r="24" ht="15.75" customHeight="1">
      <c r="A24" s="438" t="s">
        <v>133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3">
        <v>0.0</v>
      </c>
      <c r="AB24" s="23">
        <v>0.0</v>
      </c>
      <c r="AC24" s="23">
        <v>0.0</v>
      </c>
    </row>
    <row r="25" ht="15.75" customHeight="1">
      <c r="A25" s="438" t="s">
        <v>136</v>
      </c>
      <c r="B25" s="23">
        <v>7.0</v>
      </c>
      <c r="C25" s="23">
        <v>442.0</v>
      </c>
      <c r="D25" s="23">
        <v>15.0</v>
      </c>
      <c r="E25" s="23">
        <v>454.0</v>
      </c>
      <c r="F25" s="23">
        <v>-12.0</v>
      </c>
      <c r="G25" s="23">
        <v>33.0</v>
      </c>
      <c r="H25" s="23">
        <v>11.0</v>
      </c>
      <c r="I25" s="23">
        <v>7645.0</v>
      </c>
      <c r="J25" s="23">
        <v>12.0</v>
      </c>
      <c r="K25" s="23">
        <v>71.0</v>
      </c>
      <c r="L25" s="23">
        <v>14.0</v>
      </c>
      <c r="M25" s="23">
        <v>1.0</v>
      </c>
      <c r="N25" s="23">
        <v>7.0</v>
      </c>
      <c r="O25" s="23">
        <v>0.0</v>
      </c>
      <c r="P25" s="23">
        <v>0.0</v>
      </c>
      <c r="Q25" s="23">
        <v>1.0</v>
      </c>
      <c r="R25" s="23">
        <v>7.0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6.0</v>
      </c>
      <c r="AC25" s="23">
        <v>0.0</v>
      </c>
    </row>
    <row r="26" ht="15.75" customHeight="1">
      <c r="A26" s="438" t="s">
        <v>142</v>
      </c>
      <c r="B26" s="23">
        <v>7.0</v>
      </c>
      <c r="C26" s="23">
        <v>261.0</v>
      </c>
      <c r="D26" s="23">
        <v>15.0</v>
      </c>
      <c r="E26" s="23">
        <v>255.0</v>
      </c>
      <c r="F26" s="23">
        <v>6.0</v>
      </c>
      <c r="G26" s="23">
        <v>27.0</v>
      </c>
      <c r="H26" s="23">
        <v>8.0</v>
      </c>
      <c r="I26" s="23">
        <v>4809.0</v>
      </c>
      <c r="J26" s="23">
        <v>8.0</v>
      </c>
      <c r="K26" s="23">
        <v>39.0</v>
      </c>
      <c r="L26" s="23">
        <v>8.0</v>
      </c>
      <c r="M26" s="23">
        <v>1.0</v>
      </c>
      <c r="N26" s="23">
        <v>5.0</v>
      </c>
      <c r="O26" s="23">
        <v>0.0</v>
      </c>
      <c r="P26" s="23">
        <v>0.0</v>
      </c>
      <c r="Q26" s="23">
        <v>1.0</v>
      </c>
      <c r="R26" s="23">
        <v>5.0</v>
      </c>
      <c r="S26" s="23">
        <v>0.0</v>
      </c>
      <c r="T26" s="23">
        <v>0.0</v>
      </c>
      <c r="U26" s="23">
        <v>0.0</v>
      </c>
      <c r="V26" s="23">
        <v>0.0</v>
      </c>
      <c r="W26" s="23">
        <v>0.0</v>
      </c>
      <c r="X26" s="23">
        <v>0.0</v>
      </c>
      <c r="Y26" s="23">
        <v>0.0</v>
      </c>
      <c r="Z26" s="23">
        <v>0.0</v>
      </c>
      <c r="AA26" s="23">
        <v>0.0</v>
      </c>
      <c r="AB26" s="23">
        <v>18.0</v>
      </c>
      <c r="AC26" s="23">
        <v>0.0</v>
      </c>
    </row>
    <row r="27" ht="15.75" customHeight="1">
      <c r="A27" s="438" t="s">
        <v>144</v>
      </c>
      <c r="B27" s="23">
        <v>18.0</v>
      </c>
      <c r="C27" s="23">
        <v>271.0</v>
      </c>
      <c r="D27" s="23">
        <v>3.0</v>
      </c>
      <c r="E27" s="23">
        <v>254.0</v>
      </c>
      <c r="F27" s="23">
        <v>17.0</v>
      </c>
      <c r="G27" s="23">
        <v>25.0</v>
      </c>
      <c r="H27" s="23">
        <v>4.0</v>
      </c>
      <c r="I27" s="23">
        <v>5807.0</v>
      </c>
      <c r="J27" s="23">
        <v>12.0</v>
      </c>
      <c r="K27" s="23">
        <v>47.0</v>
      </c>
      <c r="L27" s="23">
        <v>7.0</v>
      </c>
      <c r="M27" s="23">
        <v>1.0</v>
      </c>
      <c r="N27" s="23">
        <v>4.0</v>
      </c>
      <c r="O27" s="23">
        <v>0.0</v>
      </c>
      <c r="P27" s="23">
        <v>0.0</v>
      </c>
      <c r="Q27" s="23">
        <v>1.0</v>
      </c>
      <c r="R27" s="23">
        <v>4.0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8.0</v>
      </c>
      <c r="AC27" s="23">
        <v>0.0</v>
      </c>
    </row>
    <row r="28" ht="15.75" customHeight="1">
      <c r="A28" s="438" t="s">
        <v>153</v>
      </c>
      <c r="B28" s="23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</row>
    <row r="29" ht="15.75" customHeight="1">
      <c r="A29" s="438" t="s">
        <v>154</v>
      </c>
      <c r="B29" s="23">
        <v>0.0</v>
      </c>
      <c r="C29" s="23">
        <v>10.0</v>
      </c>
      <c r="D29" s="23">
        <v>2.0</v>
      </c>
      <c r="E29" s="23">
        <v>17.0</v>
      </c>
      <c r="F29" s="23">
        <v>-7.0</v>
      </c>
      <c r="G29" s="23">
        <v>3.0</v>
      </c>
      <c r="H29" s="23">
        <v>0.0</v>
      </c>
      <c r="I29" s="23">
        <v>407.0</v>
      </c>
      <c r="J29" s="23">
        <v>0.0</v>
      </c>
      <c r="K29" s="23">
        <v>2.0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</row>
    <row r="30" ht="15.75" customHeight="1">
      <c r="A30" s="438" t="s">
        <v>168</v>
      </c>
      <c r="B30" s="23">
        <v>0.0</v>
      </c>
      <c r="C30" s="23">
        <v>443.0</v>
      </c>
      <c r="D30" s="23">
        <v>10.0</v>
      </c>
      <c r="E30" s="23">
        <v>372.0</v>
      </c>
      <c r="F30" s="23">
        <v>71.0</v>
      </c>
      <c r="G30" s="23">
        <v>30.0</v>
      </c>
      <c r="H30" s="23">
        <v>6.0</v>
      </c>
      <c r="I30" s="23">
        <v>5807.0</v>
      </c>
      <c r="J30" s="23">
        <v>7.0</v>
      </c>
      <c r="K30" s="23">
        <v>88.0</v>
      </c>
      <c r="L30" s="23">
        <v>27.0</v>
      </c>
      <c r="M30" s="23">
        <v>18.0</v>
      </c>
      <c r="N30" s="23">
        <v>9.0</v>
      </c>
      <c r="O30" s="23">
        <v>0.0</v>
      </c>
      <c r="P30" s="23">
        <v>0.0</v>
      </c>
      <c r="Q30" s="23">
        <v>11.0</v>
      </c>
      <c r="R30" s="23">
        <v>9.0</v>
      </c>
      <c r="S30" s="23">
        <v>0.0</v>
      </c>
      <c r="T30" s="23">
        <v>0.0</v>
      </c>
      <c r="U30" s="23">
        <v>0.0</v>
      </c>
      <c r="V30" s="23">
        <v>3.0</v>
      </c>
      <c r="W30" s="23">
        <v>2.0</v>
      </c>
      <c r="X30" s="23">
        <v>1.0</v>
      </c>
      <c r="Y30" s="23">
        <v>1.0</v>
      </c>
      <c r="Z30" s="23">
        <v>0.0</v>
      </c>
      <c r="AA30" s="23">
        <v>0.0</v>
      </c>
      <c r="AB30" s="23">
        <v>11.0</v>
      </c>
      <c r="AC30" s="23">
        <v>0.0</v>
      </c>
    </row>
    <row r="31" ht="15.75" customHeight="1">
      <c r="A31" s="438" t="s">
        <v>42</v>
      </c>
      <c r="B31" s="23">
        <v>0.0</v>
      </c>
      <c r="C31" s="23">
        <v>18.0</v>
      </c>
      <c r="D31" s="23">
        <v>0.0</v>
      </c>
      <c r="E31" s="23">
        <v>25.0</v>
      </c>
      <c r="F31" s="23">
        <v>-7.0</v>
      </c>
      <c r="G31" s="23">
        <v>3.0</v>
      </c>
      <c r="H31" s="23">
        <v>1.0</v>
      </c>
      <c r="I31" s="23">
        <v>452.0</v>
      </c>
      <c r="J31" s="23">
        <v>0.0</v>
      </c>
      <c r="K31" s="23">
        <v>1.0</v>
      </c>
      <c r="L31" s="23">
        <v>1.0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</row>
    <row r="32" ht="15.75" customHeight="1">
      <c r="A32" s="438" t="s">
        <v>53</v>
      </c>
      <c r="B32" s="23">
        <v>1.0</v>
      </c>
      <c r="C32" s="23">
        <v>330.0</v>
      </c>
      <c r="D32" s="23">
        <v>13.0</v>
      </c>
      <c r="E32" s="23">
        <v>321.0</v>
      </c>
      <c r="F32" s="23">
        <v>9.0</v>
      </c>
      <c r="G32" s="23">
        <v>23.0</v>
      </c>
      <c r="H32" s="23">
        <v>11.0</v>
      </c>
      <c r="I32" s="23">
        <v>4809.0</v>
      </c>
      <c r="J32" s="23">
        <v>5.0</v>
      </c>
      <c r="K32" s="23">
        <v>70.0</v>
      </c>
      <c r="L32" s="23">
        <v>15.0</v>
      </c>
      <c r="M32" s="23">
        <v>4.0</v>
      </c>
      <c r="N32" s="23">
        <v>3.0</v>
      </c>
      <c r="O32" s="23">
        <v>0.0</v>
      </c>
      <c r="P32" s="23">
        <v>0.0</v>
      </c>
      <c r="Q32" s="23">
        <v>3.0</v>
      </c>
      <c r="R32" s="23">
        <v>3.0</v>
      </c>
      <c r="S32" s="23">
        <v>0.0</v>
      </c>
      <c r="T32" s="23">
        <v>0.0</v>
      </c>
      <c r="U32" s="23">
        <v>0.0</v>
      </c>
      <c r="V32" s="23">
        <v>1.0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8.0</v>
      </c>
      <c r="AC32" s="23">
        <v>0.0</v>
      </c>
    </row>
    <row r="33" ht="15.75" customHeight="1">
      <c r="A33" s="438" t="s">
        <v>382</v>
      </c>
      <c r="B33" s="23">
        <v>1.0</v>
      </c>
      <c r="C33" s="23">
        <v>62.0</v>
      </c>
      <c r="D33" s="23">
        <v>1.0</v>
      </c>
      <c r="E33" s="23">
        <v>98.0</v>
      </c>
      <c r="F33" s="23">
        <v>-36.0</v>
      </c>
      <c r="G33" s="23">
        <v>8.0</v>
      </c>
      <c r="H33" s="23">
        <v>0.0</v>
      </c>
      <c r="I33" s="23">
        <v>1322.0</v>
      </c>
      <c r="J33" s="23">
        <v>4.0</v>
      </c>
      <c r="K33" s="23">
        <v>8.0</v>
      </c>
      <c r="L33" s="23">
        <v>1.0</v>
      </c>
      <c r="M33" s="23">
        <v>2.0</v>
      </c>
      <c r="N33" s="23">
        <v>1.0</v>
      </c>
      <c r="O33" s="23">
        <v>0.0</v>
      </c>
      <c r="P33" s="23">
        <v>0.0</v>
      </c>
      <c r="Q33" s="23">
        <v>1.0</v>
      </c>
      <c r="R33" s="23">
        <v>1.0</v>
      </c>
      <c r="S33" s="23">
        <v>0.0</v>
      </c>
      <c r="T33" s="23">
        <v>0.0</v>
      </c>
      <c r="U33" s="23">
        <v>0.0</v>
      </c>
      <c r="V33" s="23">
        <v>1.0</v>
      </c>
      <c r="W33" s="23">
        <v>0.0</v>
      </c>
      <c r="X33" s="23">
        <v>0.0</v>
      </c>
      <c r="Y33" s="23">
        <v>0.0</v>
      </c>
      <c r="Z33" s="23">
        <v>0.0</v>
      </c>
      <c r="AA33" s="23">
        <v>0.0</v>
      </c>
      <c r="AB33" s="23">
        <v>2.0</v>
      </c>
      <c r="AC33" s="23">
        <v>0.0</v>
      </c>
    </row>
    <row r="34" ht="15.75" customHeight="1">
      <c r="A34" s="438" t="s">
        <v>84</v>
      </c>
      <c r="B34" s="23">
        <v>4.0</v>
      </c>
      <c r="C34" s="23">
        <v>537.0</v>
      </c>
      <c r="D34" s="23">
        <v>16.0</v>
      </c>
      <c r="E34" s="23">
        <v>492.0</v>
      </c>
      <c r="F34" s="23">
        <v>45.0</v>
      </c>
      <c r="G34" s="23">
        <v>44.0</v>
      </c>
      <c r="H34" s="23">
        <v>8.0</v>
      </c>
      <c r="I34" s="23">
        <v>7645.0</v>
      </c>
      <c r="J34" s="23">
        <v>11.0</v>
      </c>
      <c r="K34" s="23">
        <v>87.0</v>
      </c>
      <c r="L34" s="23">
        <v>17.0</v>
      </c>
      <c r="M34" s="23">
        <v>6.0</v>
      </c>
      <c r="N34" s="23">
        <v>11.0</v>
      </c>
      <c r="O34" s="23">
        <v>0.0</v>
      </c>
      <c r="P34" s="23">
        <v>0.0</v>
      </c>
      <c r="Q34" s="23">
        <v>4.0</v>
      </c>
      <c r="R34" s="23">
        <v>11.0</v>
      </c>
      <c r="S34" s="23">
        <v>0.0</v>
      </c>
      <c r="T34" s="23">
        <v>0.0</v>
      </c>
      <c r="U34" s="23">
        <v>0.0</v>
      </c>
      <c r="V34" s="23">
        <v>2.0</v>
      </c>
      <c r="W34" s="23">
        <v>0.0</v>
      </c>
      <c r="X34" s="23">
        <v>0.0</v>
      </c>
      <c r="Y34" s="23">
        <v>0.0</v>
      </c>
      <c r="Z34" s="23">
        <v>0.0</v>
      </c>
      <c r="AA34" s="23">
        <v>0.0</v>
      </c>
      <c r="AB34" s="23">
        <v>6.0</v>
      </c>
      <c r="AC34" s="23">
        <v>0.0</v>
      </c>
    </row>
    <row r="35" ht="15.75" customHeight="1">
      <c r="A35" s="438" t="s">
        <v>85</v>
      </c>
      <c r="B35" s="23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0.0</v>
      </c>
      <c r="AC35" s="23">
        <v>0.0</v>
      </c>
    </row>
    <row r="36" ht="15.75" customHeight="1">
      <c r="A36" s="438" t="s">
        <v>121</v>
      </c>
      <c r="B36" s="23">
        <v>1.0</v>
      </c>
      <c r="C36" s="23">
        <v>300.0</v>
      </c>
      <c r="D36" s="23">
        <v>7.0</v>
      </c>
      <c r="E36" s="23">
        <v>337.0</v>
      </c>
      <c r="F36" s="23">
        <v>-37.0</v>
      </c>
      <c r="G36" s="23">
        <v>26.0</v>
      </c>
      <c r="H36" s="23">
        <v>8.0</v>
      </c>
      <c r="I36" s="23">
        <v>5805.0</v>
      </c>
      <c r="J36" s="23">
        <v>2.0</v>
      </c>
      <c r="K36" s="23">
        <v>41.0</v>
      </c>
      <c r="L36" s="23">
        <v>12.0</v>
      </c>
      <c r="M36" s="23">
        <v>0.0</v>
      </c>
      <c r="N36" s="23">
        <v>5.0</v>
      </c>
      <c r="O36" s="23">
        <v>0.0</v>
      </c>
      <c r="P36" s="23">
        <v>0.0</v>
      </c>
      <c r="Q36" s="23">
        <v>0.0</v>
      </c>
      <c r="R36" s="23">
        <v>5.0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3.0</v>
      </c>
      <c r="AC36" s="23">
        <v>0.0</v>
      </c>
    </row>
    <row r="37" ht="15.75" customHeight="1">
      <c r="A37" s="438" t="s">
        <v>169</v>
      </c>
      <c r="B37" s="23">
        <v>6.0</v>
      </c>
      <c r="C37" s="23">
        <v>393.0</v>
      </c>
      <c r="D37" s="23">
        <v>6.0</v>
      </c>
      <c r="E37" s="23">
        <v>445.0</v>
      </c>
      <c r="F37" s="23">
        <v>-52.0</v>
      </c>
      <c r="G37" s="23">
        <v>32.0</v>
      </c>
      <c r="H37" s="23">
        <v>18.0</v>
      </c>
      <c r="I37" s="23">
        <v>6990.0</v>
      </c>
      <c r="J37" s="23">
        <v>17.0</v>
      </c>
      <c r="K37" s="23">
        <v>67.0</v>
      </c>
      <c r="L37" s="23">
        <v>19.0</v>
      </c>
      <c r="M37" s="23">
        <v>8.0</v>
      </c>
      <c r="N37" s="23">
        <v>6.0</v>
      </c>
      <c r="O37" s="23">
        <v>0.0</v>
      </c>
      <c r="P37" s="23">
        <v>0.0</v>
      </c>
      <c r="Q37" s="23">
        <v>7.0</v>
      </c>
      <c r="R37" s="23">
        <v>6.0</v>
      </c>
      <c r="S37" s="23">
        <v>0.0</v>
      </c>
      <c r="T37" s="23">
        <v>0.0</v>
      </c>
      <c r="U37" s="23">
        <v>0.0</v>
      </c>
      <c r="V37" s="23">
        <v>1.0</v>
      </c>
      <c r="W37" s="23">
        <v>0.0</v>
      </c>
      <c r="X37" s="23">
        <v>0.0</v>
      </c>
      <c r="Y37" s="23">
        <v>0.0</v>
      </c>
      <c r="Z37" s="23">
        <v>0.0</v>
      </c>
      <c r="AA37" s="23">
        <v>0.0</v>
      </c>
      <c r="AB37" s="23">
        <v>5.0</v>
      </c>
      <c r="AC37" s="23">
        <v>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13"/>
    <col customWidth="1" min="2" max="7" width="6.5"/>
    <col customWidth="1" min="8" max="8" width="9.13"/>
    <col customWidth="1" min="9" max="9" width="11.38"/>
    <col customWidth="1" min="10" max="10" width="16.5"/>
    <col customWidth="1" min="11" max="11" width="12.75"/>
    <col customWidth="1" min="12" max="12" width="16.38"/>
    <col customWidth="1" min="13" max="13" width="15.13"/>
    <col customWidth="1" min="14" max="15" width="6.5"/>
    <col customWidth="1" min="16" max="16" width="7.5"/>
    <col customWidth="1" min="17" max="17" width="10.13"/>
    <col customWidth="1" min="18" max="18" width="15.0"/>
    <col customWidth="1" min="19" max="19" width="12.13"/>
    <col customWidth="1" min="20" max="20" width="10.5"/>
    <col customWidth="1" min="21" max="21" width="8.75"/>
  </cols>
  <sheetData>
    <row r="1" ht="15.75" customHeight="1">
      <c r="N1" s="440"/>
      <c r="O1" s="440"/>
      <c r="P1" s="440"/>
      <c r="Q1" s="440"/>
      <c r="R1" s="441"/>
      <c r="S1" s="441"/>
      <c r="T1" s="442"/>
      <c r="U1" s="443"/>
      <c r="V1" s="443"/>
      <c r="W1" s="443"/>
      <c r="X1" s="443"/>
      <c r="Y1" s="443"/>
      <c r="Z1" s="443"/>
    </row>
    <row r="2" ht="15.75" customHeight="1">
      <c r="N2" s="444"/>
      <c r="O2" s="444"/>
      <c r="P2" s="444"/>
      <c r="Q2" s="444"/>
      <c r="R2" s="445"/>
      <c r="S2" s="445"/>
      <c r="T2" s="443"/>
      <c r="U2" s="443"/>
      <c r="V2" s="443"/>
      <c r="W2" s="443"/>
      <c r="X2" s="443"/>
      <c r="Y2" s="443"/>
      <c r="Z2" s="443"/>
    </row>
    <row r="3" ht="15.75" customHeight="1">
      <c r="N3" s="444"/>
      <c r="O3" s="444"/>
      <c r="P3" s="444"/>
      <c r="Q3" s="444"/>
      <c r="R3" s="445"/>
      <c r="S3" s="445"/>
      <c r="T3" s="443"/>
      <c r="U3" s="443"/>
      <c r="V3" s="443"/>
      <c r="W3" s="443"/>
      <c r="X3" s="443"/>
      <c r="Y3" s="443"/>
      <c r="Z3" s="443"/>
    </row>
    <row r="4" ht="15.75" customHeight="1">
      <c r="N4" s="444"/>
      <c r="O4" s="444"/>
      <c r="P4" s="444"/>
      <c r="Q4" s="444"/>
      <c r="R4" s="445"/>
      <c r="S4" s="445"/>
      <c r="T4" s="443"/>
      <c r="U4" s="443"/>
      <c r="V4" s="443"/>
      <c r="W4" s="443"/>
      <c r="X4" s="443"/>
      <c r="Y4" s="443"/>
      <c r="Z4" s="443"/>
    </row>
    <row r="5" ht="15.75" customHeight="1">
      <c r="N5" s="444"/>
      <c r="O5" s="444"/>
      <c r="P5" s="444"/>
      <c r="Q5" s="444"/>
      <c r="R5" s="445"/>
      <c r="S5" s="445"/>
      <c r="T5" s="443"/>
      <c r="U5" s="443"/>
      <c r="V5" s="443"/>
      <c r="W5" s="443"/>
      <c r="X5" s="443"/>
      <c r="Y5" s="443"/>
      <c r="Z5" s="443"/>
    </row>
    <row r="6" ht="15.75" customHeight="1">
      <c r="N6" s="444"/>
      <c r="O6" s="444"/>
      <c r="P6" s="444"/>
      <c r="Q6" s="444"/>
      <c r="R6" s="445"/>
      <c r="S6" s="445"/>
      <c r="T6" s="443"/>
      <c r="U6" s="443"/>
      <c r="V6" s="443"/>
      <c r="W6" s="443"/>
      <c r="X6" s="443"/>
      <c r="Y6" s="443"/>
      <c r="Z6" s="443"/>
    </row>
    <row r="7" ht="15.75" customHeight="1">
      <c r="N7" s="444"/>
      <c r="O7" s="444"/>
      <c r="P7" s="444"/>
      <c r="Q7" s="444"/>
      <c r="R7" s="445"/>
      <c r="S7" s="445"/>
      <c r="T7" s="443"/>
      <c r="U7" s="443"/>
      <c r="V7" s="443"/>
      <c r="W7" s="443"/>
      <c r="X7" s="443"/>
      <c r="Y7" s="443"/>
      <c r="Z7" s="443"/>
    </row>
    <row r="8" ht="15.75" customHeight="1">
      <c r="N8" s="444"/>
      <c r="O8" s="444"/>
      <c r="P8" s="444"/>
      <c r="Q8" s="444"/>
      <c r="R8" s="445"/>
      <c r="S8" s="445"/>
      <c r="T8" s="443"/>
      <c r="U8" s="443"/>
      <c r="V8" s="443"/>
      <c r="W8" s="443"/>
      <c r="X8" s="443"/>
      <c r="Y8" s="443"/>
      <c r="Z8" s="443"/>
    </row>
    <row r="9" ht="15.75" customHeight="1">
      <c r="N9" s="444"/>
      <c r="O9" s="444"/>
      <c r="P9" s="444"/>
      <c r="Q9" s="444"/>
      <c r="R9" s="445"/>
      <c r="S9" s="445"/>
      <c r="T9" s="443"/>
      <c r="U9" s="443"/>
      <c r="V9" s="443"/>
      <c r="W9" s="443"/>
      <c r="X9" s="443"/>
      <c r="Y9" s="443"/>
      <c r="Z9" s="443"/>
    </row>
    <row r="10" ht="15.75" customHeight="1">
      <c r="N10" s="444"/>
      <c r="O10" s="444"/>
      <c r="P10" s="444"/>
      <c r="Q10" s="444"/>
      <c r="R10" s="445"/>
      <c r="S10" s="445"/>
      <c r="T10" s="443"/>
      <c r="U10" s="443"/>
      <c r="V10" s="443"/>
      <c r="W10" s="443"/>
      <c r="X10" s="443"/>
      <c r="Y10" s="443"/>
      <c r="Z10" s="443"/>
    </row>
    <row r="11" ht="15.75" customHeight="1">
      <c r="N11" s="444"/>
      <c r="O11" s="444"/>
      <c r="P11" s="444"/>
      <c r="Q11" s="444"/>
      <c r="R11" s="445"/>
      <c r="S11" s="445"/>
      <c r="T11" s="443"/>
      <c r="U11" s="443"/>
      <c r="V11" s="443"/>
      <c r="W11" s="443"/>
      <c r="X11" s="443"/>
      <c r="Y11" s="443"/>
      <c r="Z11" s="443"/>
    </row>
    <row r="12" ht="15.75" customHeight="1">
      <c r="N12" s="444"/>
      <c r="O12" s="444"/>
      <c r="P12" s="444"/>
      <c r="Q12" s="444"/>
      <c r="R12" s="445"/>
      <c r="S12" s="445"/>
      <c r="T12" s="443"/>
      <c r="U12" s="443"/>
      <c r="V12" s="443"/>
      <c r="W12" s="443"/>
      <c r="X12" s="443"/>
      <c r="Y12" s="443"/>
      <c r="Z12" s="443"/>
    </row>
    <row r="13" ht="15.75" customHeight="1">
      <c r="N13" s="444"/>
      <c r="O13" s="444"/>
      <c r="P13" s="444"/>
      <c r="Q13" s="444"/>
      <c r="R13" s="445"/>
      <c r="S13" s="445"/>
      <c r="T13" s="443"/>
      <c r="U13" s="443"/>
      <c r="V13" s="443"/>
      <c r="W13" s="443"/>
      <c r="X13" s="443"/>
      <c r="Y13" s="443"/>
      <c r="Z13" s="443"/>
    </row>
    <row r="14" ht="15.75" customHeight="1">
      <c r="N14" s="444"/>
      <c r="O14" s="444"/>
      <c r="P14" s="444"/>
      <c r="Q14" s="444"/>
      <c r="R14" s="445"/>
      <c r="S14" s="445"/>
      <c r="T14" s="443"/>
      <c r="U14" s="443"/>
      <c r="V14" s="443"/>
      <c r="W14" s="443"/>
      <c r="X14" s="443"/>
      <c r="Y14" s="443"/>
      <c r="Z14" s="443"/>
    </row>
    <row r="15" ht="15.75" customHeight="1">
      <c r="N15" s="444"/>
      <c r="O15" s="444"/>
      <c r="P15" s="444"/>
      <c r="Q15" s="444"/>
      <c r="R15" s="445"/>
      <c r="S15" s="445"/>
      <c r="T15" s="443"/>
      <c r="U15" s="443"/>
      <c r="V15" s="443"/>
      <c r="W15" s="443"/>
      <c r="X15" s="443"/>
      <c r="Y15" s="443"/>
      <c r="Z15" s="443"/>
    </row>
    <row r="16" ht="15.75" customHeight="1">
      <c r="N16" s="444"/>
      <c r="O16" s="444"/>
      <c r="P16" s="444"/>
      <c r="Q16" s="444"/>
      <c r="R16" s="445"/>
      <c r="S16" s="445"/>
      <c r="T16" s="443"/>
      <c r="U16" s="443"/>
      <c r="V16" s="443"/>
      <c r="W16" s="443"/>
      <c r="X16" s="443"/>
      <c r="Y16" s="443"/>
      <c r="Z16" s="443"/>
    </row>
    <row r="17" ht="15.75" customHeight="1">
      <c r="N17" s="444"/>
      <c r="O17" s="444"/>
      <c r="P17" s="444"/>
      <c r="Q17" s="444"/>
      <c r="R17" s="445"/>
      <c r="S17" s="445"/>
      <c r="T17" s="443"/>
      <c r="U17" s="443"/>
      <c r="V17" s="443"/>
      <c r="W17" s="443"/>
      <c r="X17" s="443"/>
      <c r="Y17" s="443"/>
      <c r="Z17" s="443"/>
    </row>
    <row r="18" ht="15.75" customHeight="1">
      <c r="N18" s="444"/>
      <c r="O18" s="444"/>
      <c r="P18" s="444"/>
      <c r="Q18" s="444"/>
      <c r="R18" s="445"/>
      <c r="S18" s="445"/>
      <c r="T18" s="443"/>
      <c r="U18" s="443"/>
      <c r="V18" s="443"/>
      <c r="W18" s="443"/>
      <c r="X18" s="443"/>
      <c r="Y18" s="443"/>
      <c r="Z18" s="443"/>
    </row>
    <row r="19" ht="15.75" customHeight="1">
      <c r="N19" s="444"/>
      <c r="O19" s="444"/>
      <c r="P19" s="444"/>
      <c r="Q19" s="444"/>
      <c r="R19" s="445"/>
      <c r="S19" s="445"/>
      <c r="T19" s="443"/>
      <c r="U19" s="443"/>
      <c r="V19" s="443"/>
      <c r="W19" s="443"/>
      <c r="X19" s="443"/>
      <c r="Y19" s="443"/>
      <c r="Z19" s="443"/>
    </row>
    <row r="20" ht="15.75" customHeight="1">
      <c r="N20" s="444"/>
      <c r="O20" s="444"/>
      <c r="P20" s="444"/>
      <c r="Q20" s="444"/>
      <c r="R20" s="445"/>
      <c r="S20" s="445"/>
      <c r="T20" s="443"/>
      <c r="U20" s="443"/>
      <c r="V20" s="443"/>
      <c r="W20" s="443"/>
      <c r="X20" s="443"/>
      <c r="Y20" s="443"/>
      <c r="Z20" s="443"/>
    </row>
    <row r="21" ht="15.75" customHeight="1">
      <c r="N21" s="444"/>
      <c r="O21" s="444"/>
      <c r="P21" s="444"/>
      <c r="Q21" s="444"/>
      <c r="R21" s="445"/>
      <c r="S21" s="445"/>
      <c r="T21" s="443"/>
      <c r="U21" s="443"/>
      <c r="V21" s="443"/>
      <c r="W21" s="443"/>
      <c r="X21" s="443"/>
      <c r="Y21" s="443"/>
      <c r="Z21" s="443"/>
    </row>
    <row r="22" ht="15.75" customHeight="1">
      <c r="N22" s="444"/>
      <c r="O22" s="444"/>
      <c r="P22" s="444"/>
      <c r="Q22" s="444"/>
      <c r="R22" s="445"/>
      <c r="S22" s="445"/>
      <c r="T22" s="443"/>
      <c r="U22" s="443"/>
      <c r="V22" s="443"/>
      <c r="W22" s="443"/>
      <c r="X22" s="443"/>
      <c r="Y22" s="443"/>
      <c r="Z22" s="443"/>
    </row>
    <row r="23" ht="15.75" customHeight="1">
      <c r="N23" s="444"/>
      <c r="O23" s="444"/>
      <c r="P23" s="444"/>
      <c r="Q23" s="444"/>
      <c r="R23" s="445"/>
      <c r="S23" s="445"/>
      <c r="T23" s="443"/>
      <c r="U23" s="443"/>
      <c r="V23" s="443"/>
      <c r="W23" s="443"/>
      <c r="X23" s="443"/>
      <c r="Y23" s="443"/>
      <c r="Z23" s="443"/>
    </row>
    <row r="24" ht="15.75" customHeight="1">
      <c r="N24" s="444"/>
      <c r="O24" s="444"/>
      <c r="P24" s="444"/>
      <c r="Q24" s="444"/>
      <c r="R24" s="445"/>
      <c r="S24" s="445"/>
      <c r="T24" s="443"/>
      <c r="U24" s="443"/>
      <c r="V24" s="443"/>
      <c r="W24" s="443"/>
      <c r="X24" s="443"/>
      <c r="Y24" s="443"/>
      <c r="Z24" s="443"/>
    </row>
    <row r="25" ht="15.75" customHeight="1">
      <c r="N25" s="444"/>
      <c r="O25" s="444"/>
      <c r="P25" s="444"/>
      <c r="Q25" s="444"/>
      <c r="R25" s="445"/>
      <c r="S25" s="445"/>
      <c r="T25" s="443"/>
      <c r="U25" s="443"/>
      <c r="V25" s="443"/>
      <c r="W25" s="443"/>
      <c r="X25" s="443"/>
      <c r="Y25" s="443"/>
      <c r="Z25" s="443"/>
    </row>
    <row r="26" ht="15.75" customHeight="1">
      <c r="N26" s="444"/>
      <c r="O26" s="444"/>
      <c r="P26" s="444"/>
      <c r="Q26" s="444"/>
      <c r="R26" s="445"/>
      <c r="S26" s="445"/>
      <c r="T26" s="443"/>
      <c r="U26" s="443"/>
      <c r="V26" s="443"/>
      <c r="W26" s="443"/>
      <c r="X26" s="443"/>
      <c r="Y26" s="443"/>
      <c r="Z26" s="443"/>
    </row>
    <row r="27" ht="15.75" customHeight="1">
      <c r="N27" s="444"/>
      <c r="O27" s="444"/>
      <c r="P27" s="444"/>
      <c r="Q27" s="444"/>
      <c r="R27" s="445"/>
      <c r="S27" s="445"/>
      <c r="T27" s="443"/>
      <c r="U27" s="443"/>
      <c r="V27" s="443"/>
      <c r="W27" s="443"/>
      <c r="X27" s="443"/>
      <c r="Y27" s="443"/>
      <c r="Z27" s="443"/>
    </row>
    <row r="28" ht="15.75" customHeight="1">
      <c r="N28" s="444"/>
      <c r="O28" s="444"/>
      <c r="P28" s="444"/>
      <c r="Q28" s="444"/>
      <c r="R28" s="445"/>
      <c r="S28" s="445"/>
      <c r="T28" s="443"/>
      <c r="U28" s="443"/>
      <c r="V28" s="443"/>
      <c r="W28" s="443"/>
      <c r="X28" s="443"/>
      <c r="Y28" s="443"/>
      <c r="Z28" s="443"/>
    </row>
    <row r="29" ht="15.75" customHeight="1">
      <c r="N29" s="444"/>
      <c r="O29" s="444"/>
      <c r="P29" s="444"/>
      <c r="Q29" s="444"/>
      <c r="R29" s="445"/>
      <c r="S29" s="445"/>
      <c r="T29" s="443"/>
      <c r="U29" s="443"/>
      <c r="V29" s="443"/>
      <c r="W29" s="443"/>
      <c r="X29" s="443"/>
      <c r="Y29" s="443"/>
      <c r="Z29" s="443"/>
    </row>
    <row r="30" ht="15.75" customHeight="1">
      <c r="N30" s="444"/>
      <c r="O30" s="444"/>
      <c r="P30" s="444"/>
      <c r="Q30" s="444"/>
      <c r="R30" s="445"/>
      <c r="S30" s="445"/>
      <c r="T30" s="443"/>
      <c r="U30" s="443"/>
      <c r="V30" s="443"/>
      <c r="W30" s="443"/>
      <c r="X30" s="443"/>
      <c r="Y30" s="443"/>
      <c r="Z30" s="443"/>
    </row>
    <row r="31" ht="15.75" customHeight="1">
      <c r="N31" s="444"/>
      <c r="O31" s="444"/>
      <c r="P31" s="444"/>
      <c r="Q31" s="444"/>
      <c r="R31" s="445"/>
      <c r="S31" s="445"/>
      <c r="T31" s="443"/>
      <c r="U31" s="443"/>
      <c r="V31" s="443"/>
      <c r="W31" s="443"/>
      <c r="X31" s="443"/>
      <c r="Y31" s="443"/>
      <c r="Z31" s="443"/>
    </row>
    <row r="32" ht="15.75" customHeight="1">
      <c r="N32" s="444"/>
      <c r="O32" s="444"/>
      <c r="P32" s="444"/>
      <c r="Q32" s="444"/>
      <c r="R32" s="445"/>
      <c r="S32" s="445"/>
      <c r="T32" s="443"/>
      <c r="U32" s="443"/>
      <c r="V32" s="443"/>
      <c r="W32" s="443"/>
      <c r="X32" s="443"/>
      <c r="Y32" s="443"/>
      <c r="Z32" s="443"/>
    </row>
    <row r="33" ht="15.75" customHeight="1">
      <c r="N33" s="444"/>
      <c r="O33" s="444"/>
      <c r="P33" s="444"/>
      <c r="Q33" s="444"/>
      <c r="R33" s="445"/>
      <c r="S33" s="445"/>
      <c r="T33" s="443"/>
      <c r="U33" s="443"/>
      <c r="V33" s="443"/>
      <c r="W33" s="443"/>
      <c r="X33" s="443"/>
      <c r="Y33" s="443"/>
      <c r="Z33" s="443"/>
    </row>
    <row r="34" ht="15.75" customHeight="1">
      <c r="N34" s="444"/>
      <c r="O34" s="444"/>
      <c r="P34" s="444"/>
      <c r="Q34" s="444"/>
      <c r="R34" s="445"/>
      <c r="S34" s="445"/>
      <c r="T34" s="443"/>
      <c r="U34" s="443"/>
      <c r="V34" s="443"/>
      <c r="W34" s="443"/>
      <c r="X34" s="443"/>
      <c r="Y34" s="443"/>
      <c r="Z34" s="443"/>
    </row>
    <row r="35" ht="15.75" customHeight="1">
      <c r="N35" s="444"/>
      <c r="O35" s="444"/>
      <c r="P35" s="444"/>
      <c r="Q35" s="444"/>
      <c r="R35" s="445"/>
      <c r="S35" s="445"/>
      <c r="T35" s="443"/>
      <c r="U35" s="443"/>
      <c r="V35" s="443"/>
      <c r="W35" s="443"/>
      <c r="X35" s="443"/>
      <c r="Y35" s="443"/>
      <c r="Z35" s="443"/>
    </row>
    <row r="36" ht="15.75" customHeight="1">
      <c r="N36" s="444"/>
      <c r="O36" s="444"/>
      <c r="P36" s="444"/>
      <c r="Q36" s="444"/>
      <c r="R36" s="445"/>
      <c r="S36" s="445"/>
      <c r="T36" s="443"/>
      <c r="U36" s="443"/>
      <c r="V36" s="443"/>
      <c r="W36" s="443"/>
      <c r="X36" s="443"/>
      <c r="Y36" s="443"/>
      <c r="Z36" s="443"/>
    </row>
    <row r="37" ht="15.75" customHeight="1">
      <c r="N37" s="444"/>
      <c r="O37" s="444"/>
      <c r="P37" s="444"/>
      <c r="Q37" s="444"/>
      <c r="R37" s="445"/>
      <c r="S37" s="445"/>
      <c r="T37" s="443"/>
      <c r="U37" s="443"/>
      <c r="V37" s="443"/>
      <c r="W37" s="443"/>
      <c r="X37" s="443"/>
      <c r="Y37" s="443"/>
      <c r="Z37" s="443"/>
    </row>
    <row r="38" ht="15.75" customHeight="1">
      <c r="N38" s="444"/>
      <c r="O38" s="444"/>
      <c r="P38" s="444"/>
      <c r="Q38" s="444"/>
      <c r="R38" s="445"/>
      <c r="S38" s="445"/>
      <c r="T38" s="443"/>
      <c r="U38" s="443"/>
      <c r="V38" s="443"/>
      <c r="W38" s="443"/>
      <c r="X38" s="443"/>
      <c r="Y38" s="443"/>
      <c r="Z38" s="443"/>
    </row>
    <row r="39" ht="15.75" customHeight="1">
      <c r="N39" s="444"/>
      <c r="O39" s="444"/>
      <c r="P39" s="444"/>
      <c r="Q39" s="444"/>
      <c r="R39" s="445"/>
      <c r="S39" s="445"/>
      <c r="T39" s="443"/>
      <c r="U39" s="443"/>
      <c r="V39" s="443"/>
      <c r="W39" s="443"/>
      <c r="X39" s="443"/>
      <c r="Y39" s="443"/>
      <c r="Z39" s="443"/>
    </row>
    <row r="40" ht="15.75" customHeight="1">
      <c r="A40" s="443"/>
      <c r="B40" s="443"/>
      <c r="C40" s="443"/>
      <c r="D40" s="443"/>
      <c r="E40" s="443"/>
      <c r="F40" s="443"/>
      <c r="G40" s="443"/>
      <c r="H40" s="443"/>
      <c r="I40" s="443"/>
      <c r="J40" s="444"/>
      <c r="K40" s="444"/>
      <c r="L40" s="444"/>
      <c r="M40" s="444"/>
      <c r="N40" s="444"/>
      <c r="O40" s="444"/>
      <c r="P40" s="444"/>
      <c r="Q40" s="444"/>
      <c r="R40" s="445"/>
      <c r="S40" s="445"/>
      <c r="T40" s="443"/>
      <c r="U40" s="443"/>
      <c r="V40" s="443"/>
      <c r="W40" s="443"/>
      <c r="X40" s="443"/>
      <c r="Y40" s="443"/>
      <c r="Z40" s="443"/>
    </row>
    <row r="41" ht="15.75" customHeight="1">
      <c r="A41" s="443"/>
      <c r="B41" s="443"/>
      <c r="C41" s="443"/>
      <c r="D41" s="443"/>
      <c r="E41" s="443"/>
      <c r="F41" s="443"/>
      <c r="G41" s="443"/>
      <c r="H41" s="443"/>
      <c r="I41" s="443"/>
      <c r="J41" s="444"/>
      <c r="K41" s="444"/>
      <c r="L41" s="444"/>
      <c r="M41" s="444"/>
      <c r="N41" s="444"/>
      <c r="O41" s="444"/>
      <c r="P41" s="444"/>
      <c r="Q41" s="444"/>
      <c r="R41" s="445"/>
      <c r="S41" s="445"/>
      <c r="T41" s="443"/>
      <c r="U41" s="443"/>
      <c r="V41" s="443"/>
      <c r="W41" s="443"/>
      <c r="X41" s="443"/>
      <c r="Y41" s="443"/>
      <c r="Z41" s="443"/>
    </row>
    <row r="42" ht="15.75" customHeight="1">
      <c r="A42" s="443"/>
      <c r="B42" s="443"/>
      <c r="C42" s="443"/>
      <c r="D42" s="443"/>
      <c r="E42" s="443"/>
      <c r="F42" s="443"/>
      <c r="G42" s="443"/>
      <c r="H42" s="443"/>
      <c r="I42" s="443"/>
      <c r="J42" s="444"/>
      <c r="K42" s="444"/>
      <c r="L42" s="444"/>
      <c r="M42" s="444"/>
      <c r="N42" s="444"/>
      <c r="O42" s="444"/>
      <c r="P42" s="444"/>
      <c r="Q42" s="444"/>
      <c r="R42" s="445"/>
      <c r="S42" s="445"/>
      <c r="T42" s="443"/>
      <c r="U42" s="443"/>
      <c r="V42" s="443"/>
      <c r="W42" s="443"/>
      <c r="X42" s="443"/>
      <c r="Y42" s="443"/>
      <c r="Z42" s="443"/>
    </row>
    <row r="43" ht="15.75" customHeight="1">
      <c r="A43" s="443"/>
      <c r="B43" s="443"/>
      <c r="C43" s="443"/>
      <c r="D43" s="443"/>
      <c r="E43" s="443"/>
      <c r="F43" s="443"/>
      <c r="G43" s="443"/>
      <c r="H43" s="443"/>
      <c r="I43" s="443"/>
      <c r="J43" s="444"/>
      <c r="K43" s="444"/>
      <c r="L43" s="444"/>
      <c r="M43" s="444"/>
      <c r="N43" s="444"/>
      <c r="O43" s="444"/>
      <c r="P43" s="444"/>
      <c r="Q43" s="444"/>
      <c r="R43" s="445"/>
      <c r="S43" s="445"/>
      <c r="T43" s="443"/>
      <c r="U43" s="443"/>
      <c r="V43" s="443"/>
      <c r="W43" s="443"/>
      <c r="X43" s="443"/>
      <c r="Y43" s="443"/>
      <c r="Z43" s="443"/>
    </row>
    <row r="44" ht="15.75" customHeight="1">
      <c r="A44" s="443"/>
      <c r="B44" s="443"/>
      <c r="C44" s="443"/>
      <c r="D44" s="443"/>
      <c r="E44" s="443"/>
      <c r="F44" s="443"/>
      <c r="G44" s="443"/>
      <c r="H44" s="443"/>
      <c r="I44" s="443"/>
      <c r="J44" s="444"/>
      <c r="K44" s="444"/>
      <c r="L44" s="444"/>
      <c r="M44" s="444"/>
      <c r="N44" s="444"/>
      <c r="O44" s="444"/>
      <c r="P44" s="444"/>
      <c r="Q44" s="444"/>
      <c r="R44" s="445"/>
      <c r="S44" s="445"/>
      <c r="T44" s="443"/>
      <c r="U44" s="443"/>
      <c r="V44" s="443"/>
      <c r="W44" s="443"/>
      <c r="X44" s="443"/>
      <c r="Y44" s="443"/>
      <c r="Z44" s="443"/>
    </row>
    <row r="45" ht="15.75" customHeight="1">
      <c r="A45" s="443"/>
      <c r="B45" s="443"/>
      <c r="C45" s="443"/>
      <c r="D45" s="443"/>
      <c r="E45" s="443"/>
      <c r="F45" s="443"/>
      <c r="G45" s="443"/>
      <c r="H45" s="443"/>
      <c r="I45" s="443"/>
      <c r="J45" s="444"/>
      <c r="K45" s="444"/>
      <c r="L45" s="444"/>
      <c r="M45" s="444"/>
      <c r="N45" s="444"/>
      <c r="O45" s="444"/>
      <c r="P45" s="444"/>
      <c r="Q45" s="444"/>
      <c r="R45" s="445"/>
      <c r="S45" s="445"/>
      <c r="T45" s="443"/>
      <c r="U45" s="443"/>
      <c r="V45" s="443"/>
      <c r="W45" s="443"/>
      <c r="X45" s="443"/>
      <c r="Y45" s="443"/>
      <c r="Z45" s="443"/>
    </row>
    <row r="46" ht="15.75" customHeight="1">
      <c r="A46" s="443"/>
      <c r="B46" s="443"/>
      <c r="C46" s="443"/>
      <c r="D46" s="443"/>
      <c r="E46" s="443"/>
      <c r="F46" s="443"/>
      <c r="G46" s="443"/>
      <c r="H46" s="443"/>
      <c r="I46" s="443"/>
      <c r="J46" s="444"/>
      <c r="K46" s="444"/>
      <c r="L46" s="444"/>
      <c r="M46" s="444"/>
      <c r="N46" s="444"/>
      <c r="O46" s="444"/>
      <c r="P46" s="444"/>
      <c r="Q46" s="444"/>
      <c r="R46" s="445"/>
      <c r="S46" s="445"/>
      <c r="T46" s="443"/>
      <c r="U46" s="443"/>
      <c r="V46" s="443"/>
      <c r="W46" s="443"/>
      <c r="X46" s="443"/>
      <c r="Y46" s="443"/>
      <c r="Z46" s="443"/>
    </row>
    <row r="47" ht="15.75" customHeight="1">
      <c r="A47" s="443"/>
      <c r="B47" s="443"/>
      <c r="C47" s="443"/>
      <c r="D47" s="443"/>
      <c r="E47" s="443"/>
      <c r="F47" s="443"/>
      <c r="G47" s="443"/>
      <c r="H47" s="443"/>
      <c r="I47" s="443"/>
      <c r="J47" s="444"/>
      <c r="K47" s="444"/>
      <c r="L47" s="444"/>
      <c r="M47" s="444"/>
      <c r="N47" s="444"/>
      <c r="O47" s="444"/>
      <c r="P47" s="444"/>
      <c r="Q47" s="444"/>
      <c r="R47" s="445"/>
      <c r="S47" s="445"/>
      <c r="T47" s="443"/>
      <c r="U47" s="443"/>
      <c r="V47" s="443"/>
      <c r="W47" s="443"/>
      <c r="X47" s="443"/>
      <c r="Y47" s="443"/>
      <c r="Z47" s="443"/>
    </row>
    <row r="48" ht="15.75" customHeight="1">
      <c r="A48" s="443"/>
      <c r="B48" s="443"/>
      <c r="C48" s="443"/>
      <c r="D48" s="443"/>
      <c r="E48" s="443"/>
      <c r="F48" s="443"/>
      <c r="G48" s="443"/>
      <c r="H48" s="443"/>
      <c r="I48" s="443"/>
      <c r="J48" s="444"/>
      <c r="K48" s="444"/>
      <c r="L48" s="444"/>
      <c r="M48" s="444"/>
      <c r="N48" s="444"/>
      <c r="O48" s="444"/>
      <c r="P48" s="444"/>
      <c r="Q48" s="444"/>
      <c r="R48" s="445"/>
      <c r="S48" s="445"/>
      <c r="T48" s="443"/>
      <c r="U48" s="443"/>
      <c r="V48" s="443"/>
      <c r="W48" s="443"/>
      <c r="X48" s="443"/>
      <c r="Y48" s="443"/>
      <c r="Z48" s="443"/>
    </row>
    <row r="49" ht="15.75" customHeight="1">
      <c r="A49" s="443"/>
      <c r="B49" s="443"/>
      <c r="C49" s="443"/>
      <c r="D49" s="443"/>
      <c r="E49" s="443"/>
      <c r="F49" s="443"/>
      <c r="G49" s="443"/>
      <c r="H49" s="443"/>
      <c r="I49" s="443"/>
      <c r="J49" s="444"/>
      <c r="K49" s="444"/>
      <c r="L49" s="444"/>
      <c r="M49" s="444"/>
      <c r="N49" s="444"/>
      <c r="O49" s="444"/>
      <c r="P49" s="444"/>
      <c r="Q49" s="444"/>
      <c r="R49" s="445"/>
      <c r="S49" s="445"/>
      <c r="T49" s="443"/>
      <c r="U49" s="443"/>
      <c r="V49" s="443"/>
      <c r="W49" s="443"/>
      <c r="X49" s="443"/>
      <c r="Y49" s="443"/>
      <c r="Z49" s="443"/>
    </row>
    <row r="50" ht="15.75" customHeight="1">
      <c r="A50" s="443"/>
      <c r="B50" s="443"/>
      <c r="C50" s="443"/>
      <c r="D50" s="443"/>
      <c r="E50" s="443"/>
      <c r="F50" s="443"/>
      <c r="G50" s="443"/>
      <c r="H50" s="443"/>
      <c r="I50" s="443"/>
      <c r="J50" s="444"/>
      <c r="K50" s="444"/>
      <c r="L50" s="444"/>
      <c r="M50" s="444"/>
      <c r="N50" s="444"/>
      <c r="O50" s="444"/>
      <c r="P50" s="444"/>
      <c r="Q50" s="444"/>
      <c r="R50" s="445"/>
      <c r="S50" s="445"/>
      <c r="T50" s="443"/>
      <c r="U50" s="443"/>
      <c r="V50" s="443"/>
      <c r="W50" s="443"/>
      <c r="X50" s="443"/>
      <c r="Y50" s="443"/>
      <c r="Z50" s="443"/>
    </row>
    <row r="51" ht="15.75" customHeight="1">
      <c r="A51" s="443"/>
      <c r="B51" s="443"/>
      <c r="C51" s="443"/>
      <c r="D51" s="443"/>
      <c r="E51" s="443"/>
      <c r="F51" s="443"/>
      <c r="G51" s="443"/>
      <c r="H51" s="443"/>
      <c r="I51" s="443"/>
      <c r="J51" s="444"/>
      <c r="K51" s="444"/>
      <c r="L51" s="444"/>
      <c r="M51" s="444"/>
      <c r="N51" s="444"/>
      <c r="O51" s="444"/>
      <c r="P51" s="444"/>
      <c r="Q51" s="444"/>
      <c r="R51" s="445"/>
      <c r="S51" s="445"/>
      <c r="T51" s="443"/>
      <c r="U51" s="443"/>
      <c r="V51" s="443"/>
      <c r="W51" s="443"/>
      <c r="X51" s="443"/>
      <c r="Y51" s="443"/>
      <c r="Z51" s="443"/>
    </row>
    <row r="52" ht="15.75" customHeight="1">
      <c r="A52" s="443"/>
      <c r="B52" s="443"/>
      <c r="C52" s="443"/>
      <c r="D52" s="443"/>
      <c r="E52" s="443"/>
      <c r="F52" s="443"/>
      <c r="G52" s="443"/>
      <c r="H52" s="443"/>
      <c r="I52" s="443"/>
      <c r="J52" s="444"/>
      <c r="K52" s="444"/>
      <c r="L52" s="444"/>
      <c r="M52" s="444"/>
      <c r="N52" s="444"/>
      <c r="O52" s="444"/>
      <c r="P52" s="444"/>
      <c r="Q52" s="444"/>
      <c r="R52" s="445"/>
      <c r="S52" s="445"/>
      <c r="T52" s="443"/>
      <c r="U52" s="443"/>
      <c r="V52" s="443"/>
      <c r="W52" s="443"/>
      <c r="X52" s="443"/>
      <c r="Y52" s="443"/>
      <c r="Z52" s="443"/>
    </row>
    <row r="53" ht="15.75" customHeight="1">
      <c r="A53" s="443"/>
      <c r="B53" s="443"/>
      <c r="C53" s="443"/>
      <c r="D53" s="443"/>
      <c r="E53" s="443"/>
      <c r="F53" s="443"/>
      <c r="G53" s="443"/>
      <c r="H53" s="443"/>
      <c r="I53" s="443"/>
      <c r="J53" s="444"/>
      <c r="K53" s="444"/>
      <c r="L53" s="444"/>
      <c r="M53" s="444"/>
      <c r="N53" s="444"/>
      <c r="O53" s="444"/>
      <c r="P53" s="444"/>
      <c r="Q53" s="444"/>
      <c r="R53" s="445"/>
      <c r="S53" s="445"/>
      <c r="T53" s="443"/>
      <c r="U53" s="443"/>
      <c r="V53" s="443"/>
      <c r="W53" s="443"/>
      <c r="X53" s="443"/>
      <c r="Y53" s="443"/>
      <c r="Z53" s="443"/>
    </row>
    <row r="54" ht="15.75" customHeight="1">
      <c r="A54" s="443"/>
      <c r="B54" s="443"/>
      <c r="C54" s="443"/>
      <c r="D54" s="443"/>
      <c r="E54" s="443"/>
      <c r="F54" s="443"/>
      <c r="G54" s="443"/>
      <c r="H54" s="443"/>
      <c r="I54" s="443"/>
      <c r="J54" s="444"/>
      <c r="K54" s="444"/>
      <c r="L54" s="444"/>
      <c r="M54" s="444"/>
      <c r="N54" s="444"/>
      <c r="O54" s="444"/>
      <c r="P54" s="444"/>
      <c r="Q54" s="444"/>
      <c r="R54" s="445"/>
      <c r="S54" s="445"/>
      <c r="T54" s="443"/>
      <c r="U54" s="443"/>
      <c r="V54" s="443"/>
      <c r="W54" s="443"/>
      <c r="X54" s="443"/>
      <c r="Y54" s="443"/>
      <c r="Z54" s="443"/>
    </row>
    <row r="55" ht="15.75" customHeight="1">
      <c r="A55" s="443"/>
      <c r="B55" s="443"/>
      <c r="C55" s="443"/>
      <c r="D55" s="443"/>
      <c r="E55" s="443"/>
      <c r="F55" s="443"/>
      <c r="G55" s="443"/>
      <c r="H55" s="443"/>
      <c r="I55" s="443"/>
      <c r="J55" s="444"/>
      <c r="K55" s="444"/>
      <c r="L55" s="444"/>
      <c r="M55" s="444"/>
      <c r="N55" s="444"/>
      <c r="O55" s="444"/>
      <c r="P55" s="444"/>
      <c r="Q55" s="444"/>
      <c r="R55" s="445"/>
      <c r="S55" s="445"/>
      <c r="T55" s="443"/>
      <c r="U55" s="443"/>
      <c r="V55" s="443"/>
      <c r="W55" s="443"/>
      <c r="X55" s="443"/>
      <c r="Y55" s="443"/>
      <c r="Z55" s="443"/>
    </row>
    <row r="56" ht="15.75" customHeight="1">
      <c r="A56" s="443"/>
      <c r="B56" s="443"/>
      <c r="C56" s="443"/>
      <c r="D56" s="443"/>
      <c r="E56" s="443"/>
      <c r="F56" s="443"/>
      <c r="G56" s="443"/>
      <c r="H56" s="443"/>
      <c r="I56" s="443"/>
      <c r="J56" s="444"/>
      <c r="K56" s="444"/>
      <c r="L56" s="444"/>
      <c r="M56" s="444"/>
      <c r="N56" s="444"/>
      <c r="O56" s="444"/>
      <c r="P56" s="444"/>
      <c r="Q56" s="444"/>
      <c r="R56" s="445"/>
      <c r="S56" s="445"/>
      <c r="T56" s="443"/>
      <c r="U56" s="443"/>
      <c r="V56" s="443"/>
      <c r="W56" s="443"/>
      <c r="X56" s="443"/>
      <c r="Y56" s="443"/>
      <c r="Z56" s="443"/>
    </row>
    <row r="57" ht="15.75" customHeight="1">
      <c r="A57" s="443"/>
      <c r="B57" s="443"/>
      <c r="C57" s="443"/>
      <c r="D57" s="443"/>
      <c r="E57" s="443"/>
      <c r="F57" s="443"/>
      <c r="G57" s="443"/>
      <c r="H57" s="443"/>
      <c r="I57" s="443"/>
      <c r="J57" s="444"/>
      <c r="K57" s="444"/>
      <c r="L57" s="444"/>
      <c r="M57" s="444"/>
      <c r="N57" s="444"/>
      <c r="O57" s="444"/>
      <c r="P57" s="444"/>
      <c r="Q57" s="444"/>
      <c r="R57" s="445"/>
      <c r="S57" s="445"/>
      <c r="T57" s="443"/>
      <c r="U57" s="443"/>
      <c r="V57" s="443"/>
      <c r="W57" s="443"/>
      <c r="X57" s="443"/>
      <c r="Y57" s="443"/>
      <c r="Z57" s="443"/>
    </row>
    <row r="58" ht="15.75" customHeight="1">
      <c r="A58" s="443"/>
      <c r="B58" s="443"/>
      <c r="C58" s="443"/>
      <c r="D58" s="443"/>
      <c r="E58" s="443"/>
      <c r="F58" s="443"/>
      <c r="G58" s="443"/>
      <c r="H58" s="443"/>
      <c r="I58" s="443"/>
      <c r="J58" s="444"/>
      <c r="K58" s="444"/>
      <c r="L58" s="444"/>
      <c r="M58" s="444"/>
      <c r="N58" s="444"/>
      <c r="O58" s="444"/>
      <c r="P58" s="444"/>
      <c r="Q58" s="444"/>
      <c r="R58" s="445"/>
      <c r="S58" s="445"/>
      <c r="T58" s="443"/>
      <c r="U58" s="443"/>
      <c r="V58" s="443"/>
      <c r="W58" s="443"/>
      <c r="X58" s="443"/>
      <c r="Y58" s="443"/>
      <c r="Z58" s="443"/>
    </row>
    <row r="59" ht="15.75" customHeight="1">
      <c r="A59" s="443"/>
      <c r="B59" s="443"/>
      <c r="C59" s="443"/>
      <c r="D59" s="443"/>
      <c r="E59" s="443"/>
      <c r="F59" s="443"/>
      <c r="G59" s="443"/>
      <c r="H59" s="443"/>
      <c r="I59" s="443"/>
      <c r="J59" s="444"/>
      <c r="K59" s="444"/>
      <c r="L59" s="444"/>
      <c r="M59" s="444"/>
      <c r="N59" s="444"/>
      <c r="O59" s="444"/>
      <c r="P59" s="444"/>
      <c r="Q59" s="444"/>
      <c r="R59" s="445"/>
      <c r="S59" s="445"/>
      <c r="T59" s="443"/>
      <c r="U59" s="443"/>
      <c r="V59" s="443"/>
      <c r="W59" s="443"/>
      <c r="X59" s="443"/>
      <c r="Y59" s="443"/>
      <c r="Z59" s="443"/>
    </row>
    <row r="60" ht="15.75" customHeight="1">
      <c r="A60" s="443"/>
      <c r="B60" s="443"/>
      <c r="C60" s="443"/>
      <c r="D60" s="443"/>
      <c r="E60" s="443"/>
      <c r="F60" s="443"/>
      <c r="G60" s="443"/>
      <c r="H60" s="443"/>
      <c r="I60" s="443"/>
      <c r="J60" s="444"/>
      <c r="K60" s="444"/>
      <c r="L60" s="444"/>
      <c r="M60" s="444"/>
      <c r="N60" s="444"/>
      <c r="O60" s="444"/>
      <c r="P60" s="444"/>
      <c r="Q60" s="444"/>
      <c r="R60" s="445"/>
      <c r="S60" s="445"/>
      <c r="T60" s="443"/>
      <c r="U60" s="443"/>
      <c r="V60" s="443"/>
      <c r="W60" s="443"/>
      <c r="X60" s="443"/>
      <c r="Y60" s="443"/>
      <c r="Z60" s="443"/>
    </row>
    <row r="61" ht="15.75" customHeight="1">
      <c r="A61" s="443"/>
      <c r="B61" s="443"/>
      <c r="C61" s="443"/>
      <c r="D61" s="443"/>
      <c r="E61" s="443"/>
      <c r="F61" s="443"/>
      <c r="G61" s="443"/>
      <c r="H61" s="443"/>
      <c r="I61" s="443"/>
      <c r="J61" s="444"/>
      <c r="K61" s="444"/>
      <c r="L61" s="444"/>
      <c r="M61" s="444"/>
      <c r="N61" s="444"/>
      <c r="O61" s="444"/>
      <c r="P61" s="444"/>
      <c r="Q61" s="444"/>
      <c r="R61" s="445"/>
      <c r="S61" s="445"/>
      <c r="T61" s="443"/>
      <c r="U61" s="443"/>
      <c r="V61" s="443"/>
      <c r="W61" s="443"/>
      <c r="X61" s="443"/>
      <c r="Y61" s="443"/>
      <c r="Z61" s="443"/>
    </row>
    <row r="62" ht="15.75" customHeight="1">
      <c r="A62" s="443"/>
      <c r="B62" s="443"/>
      <c r="C62" s="443"/>
      <c r="D62" s="443"/>
      <c r="E62" s="443"/>
      <c r="F62" s="443"/>
      <c r="G62" s="443"/>
      <c r="H62" s="443"/>
      <c r="I62" s="443"/>
      <c r="J62" s="444"/>
      <c r="K62" s="444"/>
      <c r="L62" s="444"/>
      <c r="M62" s="444"/>
      <c r="N62" s="444"/>
      <c r="O62" s="444"/>
      <c r="P62" s="444"/>
      <c r="Q62" s="444"/>
      <c r="R62" s="445"/>
      <c r="S62" s="445"/>
      <c r="T62" s="443"/>
      <c r="U62" s="443"/>
      <c r="V62" s="443"/>
      <c r="W62" s="443"/>
      <c r="X62" s="443"/>
      <c r="Y62" s="443"/>
      <c r="Z62" s="443"/>
    </row>
    <row r="63" ht="15.75" customHeight="1">
      <c r="A63" s="443"/>
      <c r="B63" s="443"/>
      <c r="C63" s="443"/>
      <c r="D63" s="443"/>
      <c r="E63" s="443"/>
      <c r="F63" s="443"/>
      <c r="G63" s="443"/>
      <c r="H63" s="443"/>
      <c r="I63" s="443"/>
      <c r="J63" s="444"/>
      <c r="K63" s="444"/>
      <c r="L63" s="444"/>
      <c r="M63" s="444"/>
      <c r="N63" s="444"/>
      <c r="O63" s="444"/>
      <c r="P63" s="444"/>
      <c r="Q63" s="444"/>
      <c r="R63" s="445"/>
      <c r="S63" s="445"/>
      <c r="T63" s="443"/>
      <c r="U63" s="443"/>
      <c r="V63" s="443"/>
      <c r="W63" s="443"/>
      <c r="X63" s="443"/>
      <c r="Y63" s="443"/>
      <c r="Z63" s="443"/>
    </row>
    <row r="64" ht="15.75" customHeight="1">
      <c r="A64" s="443"/>
      <c r="B64" s="443"/>
      <c r="C64" s="443"/>
      <c r="D64" s="443"/>
      <c r="E64" s="443"/>
      <c r="F64" s="443"/>
      <c r="G64" s="443"/>
      <c r="H64" s="443"/>
      <c r="I64" s="443"/>
      <c r="J64" s="444"/>
      <c r="K64" s="444"/>
      <c r="L64" s="444"/>
      <c r="M64" s="444"/>
      <c r="N64" s="444"/>
      <c r="O64" s="444"/>
      <c r="P64" s="444"/>
      <c r="Q64" s="444"/>
      <c r="R64" s="445"/>
      <c r="S64" s="445"/>
      <c r="T64" s="443"/>
      <c r="U64" s="443"/>
      <c r="V64" s="443"/>
      <c r="W64" s="443"/>
      <c r="X64" s="443"/>
      <c r="Y64" s="443"/>
      <c r="Z64" s="443"/>
    </row>
    <row r="65" ht="15.75" customHeight="1">
      <c r="A65" s="443"/>
      <c r="B65" s="443"/>
      <c r="C65" s="443"/>
      <c r="D65" s="443"/>
      <c r="E65" s="443"/>
      <c r="F65" s="443"/>
      <c r="G65" s="443"/>
      <c r="H65" s="443"/>
      <c r="I65" s="443"/>
      <c r="J65" s="444"/>
      <c r="K65" s="444"/>
      <c r="L65" s="444"/>
      <c r="M65" s="444"/>
      <c r="N65" s="444"/>
      <c r="O65" s="444"/>
      <c r="P65" s="444"/>
      <c r="Q65" s="444"/>
      <c r="R65" s="445"/>
      <c r="S65" s="445"/>
      <c r="T65" s="443"/>
      <c r="U65" s="443"/>
      <c r="V65" s="443"/>
      <c r="W65" s="443"/>
      <c r="X65" s="443"/>
      <c r="Y65" s="443"/>
      <c r="Z65" s="443"/>
    </row>
    <row r="66" ht="15.75" customHeight="1">
      <c r="A66" s="443"/>
      <c r="B66" s="443"/>
      <c r="C66" s="443"/>
      <c r="D66" s="443"/>
      <c r="E66" s="443"/>
      <c r="F66" s="443"/>
      <c r="G66" s="443"/>
      <c r="H66" s="443"/>
      <c r="I66" s="443"/>
      <c r="J66" s="444"/>
      <c r="K66" s="444"/>
      <c r="L66" s="444"/>
      <c r="M66" s="444"/>
      <c r="N66" s="444"/>
      <c r="O66" s="444"/>
      <c r="P66" s="444"/>
      <c r="Q66" s="444"/>
      <c r="R66" s="445"/>
      <c r="S66" s="445"/>
      <c r="T66" s="443"/>
      <c r="U66" s="443"/>
      <c r="V66" s="443"/>
      <c r="W66" s="443"/>
      <c r="X66" s="443"/>
      <c r="Y66" s="443"/>
      <c r="Z66" s="443"/>
    </row>
    <row r="67" ht="15.75" customHeight="1">
      <c r="A67" s="443"/>
      <c r="B67" s="443"/>
      <c r="C67" s="443"/>
      <c r="D67" s="443"/>
      <c r="E67" s="443"/>
      <c r="F67" s="443"/>
      <c r="G67" s="443"/>
      <c r="H67" s="443"/>
      <c r="I67" s="443"/>
      <c r="J67" s="444"/>
      <c r="K67" s="444"/>
      <c r="L67" s="444"/>
      <c r="M67" s="444"/>
      <c r="N67" s="444"/>
      <c r="O67" s="444"/>
      <c r="P67" s="444"/>
      <c r="Q67" s="444"/>
      <c r="R67" s="445"/>
      <c r="S67" s="445"/>
      <c r="T67" s="443"/>
      <c r="U67" s="443"/>
      <c r="V67" s="443"/>
      <c r="W67" s="443"/>
      <c r="X67" s="443"/>
      <c r="Y67" s="443"/>
      <c r="Z67" s="443"/>
    </row>
    <row r="68" ht="15.75" customHeight="1">
      <c r="A68" s="443"/>
      <c r="B68" s="443"/>
      <c r="C68" s="443"/>
      <c r="D68" s="443"/>
      <c r="E68" s="443"/>
      <c r="F68" s="443"/>
      <c r="G68" s="443"/>
      <c r="H68" s="443"/>
      <c r="I68" s="443"/>
      <c r="J68" s="444"/>
      <c r="K68" s="444"/>
      <c r="L68" s="444"/>
      <c r="M68" s="444"/>
      <c r="N68" s="444"/>
      <c r="O68" s="444"/>
      <c r="P68" s="444"/>
      <c r="Q68" s="444"/>
      <c r="R68" s="445"/>
      <c r="S68" s="445"/>
      <c r="T68" s="443"/>
      <c r="U68" s="443"/>
      <c r="V68" s="443"/>
      <c r="W68" s="443"/>
      <c r="X68" s="443"/>
      <c r="Y68" s="443"/>
      <c r="Z68" s="443"/>
    </row>
    <row r="69" ht="15.75" customHeight="1">
      <c r="A69" s="443"/>
      <c r="B69" s="443"/>
      <c r="C69" s="443"/>
      <c r="D69" s="443"/>
      <c r="E69" s="443"/>
      <c r="F69" s="443"/>
      <c r="G69" s="443"/>
      <c r="H69" s="443"/>
      <c r="I69" s="443"/>
      <c r="J69" s="444"/>
      <c r="K69" s="444"/>
      <c r="L69" s="444"/>
      <c r="M69" s="444"/>
      <c r="N69" s="444"/>
      <c r="O69" s="444"/>
      <c r="P69" s="444"/>
      <c r="Q69" s="444"/>
      <c r="R69" s="445"/>
      <c r="S69" s="445"/>
      <c r="T69" s="443"/>
      <c r="U69" s="443"/>
      <c r="V69" s="443"/>
      <c r="W69" s="443"/>
      <c r="X69" s="443"/>
      <c r="Y69" s="443"/>
      <c r="Z69" s="443"/>
    </row>
    <row r="70" ht="15.75" customHeight="1">
      <c r="A70" s="443"/>
      <c r="B70" s="443"/>
      <c r="C70" s="443"/>
      <c r="D70" s="443"/>
      <c r="E70" s="443"/>
      <c r="F70" s="443"/>
      <c r="G70" s="443"/>
      <c r="H70" s="443"/>
      <c r="I70" s="443"/>
      <c r="J70" s="444"/>
      <c r="K70" s="444"/>
      <c r="L70" s="444"/>
      <c r="M70" s="444"/>
      <c r="N70" s="444"/>
      <c r="O70" s="444"/>
      <c r="P70" s="444"/>
      <c r="Q70" s="444"/>
      <c r="R70" s="445"/>
      <c r="S70" s="445"/>
      <c r="T70" s="443"/>
      <c r="U70" s="443"/>
      <c r="V70" s="443"/>
      <c r="W70" s="443"/>
      <c r="X70" s="443"/>
      <c r="Y70" s="443"/>
      <c r="Z70" s="443"/>
    </row>
    <row r="71" ht="15.75" customHeight="1">
      <c r="A71" s="443"/>
      <c r="B71" s="443"/>
      <c r="C71" s="443"/>
      <c r="D71" s="443"/>
      <c r="E71" s="443"/>
      <c r="F71" s="443"/>
      <c r="G71" s="443"/>
      <c r="H71" s="443"/>
      <c r="I71" s="443"/>
      <c r="J71" s="444"/>
      <c r="K71" s="444"/>
      <c r="L71" s="444"/>
      <c r="M71" s="444"/>
      <c r="N71" s="444"/>
      <c r="O71" s="444"/>
      <c r="P71" s="444"/>
      <c r="Q71" s="444"/>
      <c r="R71" s="445"/>
      <c r="S71" s="445"/>
      <c r="T71" s="443"/>
      <c r="U71" s="443"/>
      <c r="V71" s="443"/>
      <c r="W71" s="443"/>
      <c r="X71" s="443"/>
      <c r="Y71" s="443"/>
      <c r="Z71" s="443"/>
    </row>
    <row r="72" ht="15.75" customHeight="1">
      <c r="A72" s="443"/>
      <c r="B72" s="443"/>
      <c r="C72" s="443"/>
      <c r="D72" s="443"/>
      <c r="E72" s="443"/>
      <c r="F72" s="443"/>
      <c r="G72" s="443"/>
      <c r="H72" s="443"/>
      <c r="I72" s="443"/>
      <c r="J72" s="444"/>
      <c r="K72" s="444"/>
      <c r="L72" s="444"/>
      <c r="M72" s="444"/>
      <c r="N72" s="444"/>
      <c r="O72" s="444"/>
      <c r="P72" s="444"/>
      <c r="Q72" s="444"/>
      <c r="R72" s="445"/>
      <c r="S72" s="445"/>
      <c r="T72" s="443"/>
      <c r="U72" s="443"/>
      <c r="V72" s="443"/>
      <c r="W72" s="443"/>
      <c r="X72" s="443"/>
      <c r="Y72" s="443"/>
      <c r="Z72" s="443"/>
    </row>
    <row r="73" ht="15.75" customHeight="1">
      <c r="A73" s="443"/>
      <c r="B73" s="443"/>
      <c r="C73" s="443"/>
      <c r="D73" s="443"/>
      <c r="E73" s="443"/>
      <c r="F73" s="443"/>
      <c r="G73" s="443"/>
      <c r="H73" s="443"/>
      <c r="I73" s="443"/>
      <c r="J73" s="444"/>
      <c r="K73" s="444"/>
      <c r="L73" s="444"/>
      <c r="M73" s="444"/>
      <c r="N73" s="444"/>
      <c r="O73" s="444"/>
      <c r="P73" s="444"/>
      <c r="Q73" s="444"/>
      <c r="R73" s="445"/>
      <c r="S73" s="445"/>
      <c r="T73" s="443"/>
      <c r="U73" s="443"/>
      <c r="V73" s="443"/>
      <c r="W73" s="443"/>
      <c r="X73" s="443"/>
      <c r="Y73" s="443"/>
      <c r="Z73" s="443"/>
    </row>
    <row r="74" ht="15.75" customHeight="1">
      <c r="A74" s="443"/>
      <c r="B74" s="443"/>
      <c r="C74" s="443"/>
      <c r="D74" s="443"/>
      <c r="E74" s="443"/>
      <c r="F74" s="443"/>
      <c r="G74" s="443"/>
      <c r="H74" s="443"/>
      <c r="I74" s="443"/>
      <c r="J74" s="444"/>
      <c r="K74" s="444"/>
      <c r="L74" s="444"/>
      <c r="M74" s="444"/>
      <c r="N74" s="444"/>
      <c r="O74" s="444"/>
      <c r="P74" s="444"/>
      <c r="Q74" s="444"/>
      <c r="R74" s="445"/>
      <c r="S74" s="445"/>
      <c r="T74" s="443"/>
      <c r="U74" s="443"/>
      <c r="V74" s="443"/>
      <c r="W74" s="443"/>
      <c r="X74" s="443"/>
      <c r="Y74" s="443"/>
      <c r="Z74" s="443"/>
    </row>
    <row r="75" ht="15.75" customHeight="1">
      <c r="A75" s="443"/>
      <c r="B75" s="443"/>
      <c r="C75" s="443"/>
      <c r="D75" s="443"/>
      <c r="E75" s="443"/>
      <c r="F75" s="443"/>
      <c r="G75" s="443"/>
      <c r="H75" s="443"/>
      <c r="I75" s="443"/>
      <c r="J75" s="444"/>
      <c r="K75" s="444"/>
      <c r="L75" s="444"/>
      <c r="M75" s="444"/>
      <c r="N75" s="444"/>
      <c r="O75" s="444"/>
      <c r="P75" s="444"/>
      <c r="Q75" s="444"/>
      <c r="R75" s="445"/>
      <c r="S75" s="445"/>
      <c r="T75" s="443"/>
      <c r="U75" s="443"/>
      <c r="V75" s="443"/>
      <c r="W75" s="443"/>
      <c r="X75" s="443"/>
      <c r="Y75" s="443"/>
      <c r="Z75" s="443"/>
    </row>
    <row r="76" ht="15.75" customHeight="1">
      <c r="A76" s="443"/>
      <c r="B76" s="443"/>
      <c r="C76" s="443"/>
      <c r="D76" s="443"/>
      <c r="E76" s="443"/>
      <c r="F76" s="443"/>
      <c r="G76" s="443"/>
      <c r="H76" s="443"/>
      <c r="I76" s="443"/>
      <c r="J76" s="444"/>
      <c r="K76" s="444"/>
      <c r="L76" s="444"/>
      <c r="M76" s="444"/>
      <c r="N76" s="444"/>
      <c r="O76" s="444"/>
      <c r="P76" s="444"/>
      <c r="Q76" s="444"/>
      <c r="R76" s="445"/>
      <c r="S76" s="445"/>
      <c r="T76" s="443"/>
      <c r="U76" s="443"/>
      <c r="V76" s="443"/>
      <c r="W76" s="443"/>
      <c r="X76" s="443"/>
      <c r="Y76" s="443"/>
      <c r="Z76" s="443"/>
    </row>
    <row r="77" ht="15.75" customHeight="1">
      <c r="A77" s="443"/>
      <c r="B77" s="443"/>
      <c r="C77" s="443"/>
      <c r="D77" s="443"/>
      <c r="E77" s="443"/>
      <c r="F77" s="443"/>
      <c r="G77" s="443"/>
      <c r="H77" s="443"/>
      <c r="I77" s="443"/>
      <c r="J77" s="444"/>
      <c r="K77" s="444"/>
      <c r="L77" s="444"/>
      <c r="M77" s="444"/>
      <c r="N77" s="444"/>
      <c r="O77" s="444"/>
      <c r="P77" s="444"/>
      <c r="Q77" s="444"/>
      <c r="R77" s="445"/>
      <c r="S77" s="445"/>
      <c r="T77" s="443"/>
      <c r="U77" s="443"/>
      <c r="V77" s="443"/>
      <c r="W77" s="443"/>
      <c r="X77" s="443"/>
      <c r="Y77" s="443"/>
      <c r="Z77" s="443"/>
    </row>
    <row r="78" ht="15.75" customHeight="1">
      <c r="A78" s="443"/>
      <c r="B78" s="443"/>
      <c r="C78" s="443"/>
      <c r="D78" s="443"/>
      <c r="E78" s="443"/>
      <c r="F78" s="443"/>
      <c r="G78" s="443"/>
      <c r="H78" s="443"/>
      <c r="I78" s="443"/>
      <c r="J78" s="444"/>
      <c r="K78" s="444"/>
      <c r="L78" s="444"/>
      <c r="M78" s="444"/>
      <c r="N78" s="444"/>
      <c r="O78" s="444"/>
      <c r="P78" s="444"/>
      <c r="Q78" s="444"/>
      <c r="R78" s="445"/>
      <c r="S78" s="445"/>
      <c r="T78" s="443"/>
      <c r="U78" s="443"/>
      <c r="V78" s="443"/>
      <c r="W78" s="443"/>
      <c r="X78" s="443"/>
      <c r="Y78" s="443"/>
      <c r="Z78" s="443"/>
    </row>
    <row r="79" ht="15.75" customHeight="1">
      <c r="A79" s="443"/>
      <c r="B79" s="443"/>
      <c r="C79" s="443"/>
      <c r="D79" s="443"/>
      <c r="E79" s="443"/>
      <c r="F79" s="443"/>
      <c r="G79" s="443"/>
      <c r="H79" s="443"/>
      <c r="I79" s="443"/>
      <c r="J79" s="444"/>
      <c r="K79" s="444"/>
      <c r="L79" s="444"/>
      <c r="M79" s="444"/>
      <c r="N79" s="444"/>
      <c r="O79" s="444"/>
      <c r="P79" s="444"/>
      <c r="Q79" s="444"/>
      <c r="R79" s="445"/>
      <c r="S79" s="445"/>
      <c r="T79" s="443"/>
      <c r="U79" s="443"/>
      <c r="V79" s="443"/>
      <c r="W79" s="443"/>
      <c r="X79" s="443"/>
      <c r="Y79" s="443"/>
      <c r="Z79" s="443"/>
    </row>
    <row r="80" ht="15.75" customHeight="1">
      <c r="A80" s="443"/>
      <c r="B80" s="443"/>
      <c r="C80" s="443"/>
      <c r="D80" s="443"/>
      <c r="E80" s="443"/>
      <c r="F80" s="443"/>
      <c r="G80" s="443"/>
      <c r="H80" s="443"/>
      <c r="I80" s="443"/>
      <c r="J80" s="444"/>
      <c r="K80" s="444"/>
      <c r="L80" s="444"/>
      <c r="M80" s="444"/>
      <c r="N80" s="444"/>
      <c r="O80" s="444"/>
      <c r="P80" s="444"/>
      <c r="Q80" s="444"/>
      <c r="R80" s="445"/>
      <c r="S80" s="445"/>
      <c r="T80" s="443"/>
      <c r="U80" s="443"/>
      <c r="V80" s="443"/>
      <c r="W80" s="443"/>
      <c r="X80" s="443"/>
      <c r="Y80" s="443"/>
      <c r="Z80" s="443"/>
    </row>
    <row r="81" ht="15.75" customHeight="1">
      <c r="A81" s="443"/>
      <c r="B81" s="443"/>
      <c r="C81" s="443"/>
      <c r="D81" s="443"/>
      <c r="E81" s="443"/>
      <c r="F81" s="443"/>
      <c r="G81" s="443"/>
      <c r="H81" s="443"/>
      <c r="I81" s="443"/>
      <c r="J81" s="444"/>
      <c r="K81" s="444"/>
      <c r="L81" s="444"/>
      <c r="M81" s="444"/>
      <c r="N81" s="444"/>
      <c r="O81" s="444"/>
      <c r="P81" s="444"/>
      <c r="Q81" s="444"/>
      <c r="R81" s="445"/>
      <c r="S81" s="445"/>
      <c r="T81" s="443"/>
      <c r="U81" s="443"/>
      <c r="V81" s="443"/>
      <c r="W81" s="443"/>
      <c r="X81" s="443"/>
      <c r="Y81" s="443"/>
      <c r="Z81" s="443"/>
    </row>
    <row r="82" ht="15.75" customHeight="1">
      <c r="A82" s="443"/>
      <c r="B82" s="443"/>
      <c r="C82" s="443"/>
      <c r="D82" s="443"/>
      <c r="E82" s="443"/>
      <c r="F82" s="443"/>
      <c r="G82" s="443"/>
      <c r="H82" s="443"/>
      <c r="I82" s="443"/>
      <c r="J82" s="444"/>
      <c r="K82" s="444"/>
      <c r="L82" s="444"/>
      <c r="M82" s="444"/>
      <c r="N82" s="444"/>
      <c r="O82" s="444"/>
      <c r="P82" s="444"/>
      <c r="Q82" s="444"/>
      <c r="R82" s="445"/>
      <c r="S82" s="445"/>
      <c r="T82" s="443"/>
      <c r="U82" s="443"/>
      <c r="V82" s="443"/>
      <c r="W82" s="443"/>
      <c r="X82" s="443"/>
      <c r="Y82" s="443"/>
      <c r="Z82" s="443"/>
    </row>
    <row r="83" ht="15.75" customHeight="1">
      <c r="A83" s="443"/>
      <c r="B83" s="443"/>
      <c r="C83" s="443"/>
      <c r="D83" s="443"/>
      <c r="E83" s="443"/>
      <c r="F83" s="443"/>
      <c r="G83" s="443"/>
      <c r="H83" s="443"/>
      <c r="I83" s="443"/>
      <c r="J83" s="444"/>
      <c r="K83" s="444"/>
      <c r="L83" s="444"/>
      <c r="M83" s="444"/>
      <c r="N83" s="444"/>
      <c r="O83" s="444"/>
      <c r="P83" s="444"/>
      <c r="Q83" s="444"/>
      <c r="R83" s="445"/>
      <c r="S83" s="445"/>
      <c r="T83" s="443"/>
      <c r="U83" s="443"/>
      <c r="V83" s="443"/>
      <c r="W83" s="443"/>
      <c r="X83" s="443"/>
      <c r="Y83" s="443"/>
      <c r="Z83" s="443"/>
    </row>
    <row r="84" ht="15.75" customHeight="1">
      <c r="A84" s="443"/>
      <c r="B84" s="443"/>
      <c r="C84" s="443"/>
      <c r="D84" s="443"/>
      <c r="E84" s="443"/>
      <c r="F84" s="443"/>
      <c r="G84" s="443"/>
      <c r="H84" s="443"/>
      <c r="I84" s="443"/>
      <c r="J84" s="444"/>
      <c r="K84" s="444"/>
      <c r="L84" s="444"/>
      <c r="M84" s="444"/>
      <c r="N84" s="444"/>
      <c r="O84" s="444"/>
      <c r="P84" s="444"/>
      <c r="Q84" s="444"/>
      <c r="R84" s="445"/>
      <c r="S84" s="445"/>
      <c r="T84" s="443"/>
      <c r="U84" s="443"/>
      <c r="V84" s="443"/>
      <c r="W84" s="443"/>
      <c r="X84" s="443"/>
      <c r="Y84" s="443"/>
      <c r="Z84" s="443"/>
    </row>
    <row r="85" ht="15.75" customHeight="1">
      <c r="A85" s="443"/>
      <c r="B85" s="443"/>
      <c r="C85" s="443"/>
      <c r="D85" s="443"/>
      <c r="E85" s="443"/>
      <c r="F85" s="443"/>
      <c r="G85" s="443"/>
      <c r="H85" s="443"/>
      <c r="I85" s="443"/>
      <c r="J85" s="444"/>
      <c r="K85" s="444"/>
      <c r="L85" s="444"/>
      <c r="M85" s="444"/>
      <c r="N85" s="444"/>
      <c r="O85" s="444"/>
      <c r="P85" s="444"/>
      <c r="Q85" s="444"/>
      <c r="R85" s="445"/>
      <c r="S85" s="445"/>
      <c r="T85" s="443"/>
      <c r="U85" s="443"/>
      <c r="V85" s="443"/>
      <c r="W85" s="443"/>
      <c r="X85" s="443"/>
      <c r="Y85" s="443"/>
      <c r="Z85" s="443"/>
    </row>
    <row r="86" ht="15.75" customHeight="1">
      <c r="A86" s="443"/>
      <c r="B86" s="443"/>
      <c r="C86" s="443"/>
      <c r="D86" s="443"/>
      <c r="E86" s="443"/>
      <c r="F86" s="443"/>
      <c r="G86" s="443"/>
      <c r="H86" s="443"/>
      <c r="I86" s="443"/>
      <c r="J86" s="444"/>
      <c r="K86" s="444"/>
      <c r="L86" s="444"/>
      <c r="M86" s="444"/>
      <c r="N86" s="444"/>
      <c r="O86" s="444"/>
      <c r="P86" s="444"/>
      <c r="Q86" s="444"/>
      <c r="R86" s="445"/>
      <c r="S86" s="445"/>
      <c r="T86" s="443"/>
      <c r="U86" s="443"/>
      <c r="V86" s="443"/>
      <c r="W86" s="443"/>
      <c r="X86" s="443"/>
      <c r="Y86" s="443"/>
      <c r="Z86" s="443"/>
    </row>
    <row r="87" ht="15.75" customHeight="1">
      <c r="A87" s="443"/>
      <c r="B87" s="443"/>
      <c r="C87" s="443"/>
      <c r="D87" s="443"/>
      <c r="E87" s="443"/>
      <c r="F87" s="443"/>
      <c r="G87" s="443"/>
      <c r="H87" s="443"/>
      <c r="I87" s="443"/>
      <c r="J87" s="444"/>
      <c r="K87" s="444"/>
      <c r="L87" s="444"/>
      <c r="M87" s="444"/>
      <c r="N87" s="444"/>
      <c r="O87" s="444"/>
      <c r="P87" s="444"/>
      <c r="Q87" s="444"/>
      <c r="R87" s="445"/>
      <c r="S87" s="445"/>
      <c r="T87" s="443"/>
      <c r="U87" s="443"/>
      <c r="V87" s="443"/>
      <c r="W87" s="443"/>
      <c r="X87" s="443"/>
      <c r="Y87" s="443"/>
      <c r="Z87" s="443"/>
    </row>
    <row r="88" ht="15.75" customHeight="1">
      <c r="A88" s="443"/>
      <c r="B88" s="443"/>
      <c r="C88" s="443"/>
      <c r="D88" s="443"/>
      <c r="E88" s="443"/>
      <c r="F88" s="443"/>
      <c r="G88" s="443"/>
      <c r="H88" s="443"/>
      <c r="I88" s="443"/>
      <c r="J88" s="444"/>
      <c r="K88" s="444"/>
      <c r="L88" s="444"/>
      <c r="M88" s="444"/>
      <c r="N88" s="444"/>
      <c r="O88" s="444"/>
      <c r="P88" s="444"/>
      <c r="Q88" s="444"/>
      <c r="R88" s="445"/>
      <c r="S88" s="445"/>
      <c r="T88" s="443"/>
      <c r="U88" s="443"/>
      <c r="V88" s="443"/>
      <c r="W88" s="443"/>
      <c r="X88" s="443"/>
      <c r="Y88" s="443"/>
      <c r="Z88" s="443"/>
    </row>
    <row r="89" ht="15.75" customHeight="1">
      <c r="A89" s="443"/>
      <c r="B89" s="443"/>
      <c r="C89" s="443"/>
      <c r="D89" s="443"/>
      <c r="E89" s="443"/>
      <c r="F89" s="443"/>
      <c r="G89" s="443"/>
      <c r="H89" s="443"/>
      <c r="I89" s="443"/>
      <c r="J89" s="444"/>
      <c r="K89" s="444"/>
      <c r="L89" s="444"/>
      <c r="M89" s="444"/>
      <c r="N89" s="444"/>
      <c r="O89" s="444"/>
      <c r="P89" s="444"/>
      <c r="Q89" s="444"/>
      <c r="R89" s="445"/>
      <c r="S89" s="445"/>
      <c r="T89" s="443"/>
      <c r="U89" s="443"/>
      <c r="V89" s="443"/>
      <c r="W89" s="443"/>
      <c r="X89" s="443"/>
      <c r="Y89" s="443"/>
      <c r="Z89" s="443"/>
    </row>
    <row r="90" ht="15.75" customHeight="1">
      <c r="A90" s="443"/>
      <c r="B90" s="443"/>
      <c r="C90" s="443"/>
      <c r="D90" s="443"/>
      <c r="E90" s="443"/>
      <c r="F90" s="443"/>
      <c r="G90" s="443"/>
      <c r="H90" s="443"/>
      <c r="I90" s="443"/>
      <c r="J90" s="444"/>
      <c r="K90" s="444"/>
      <c r="L90" s="444"/>
      <c r="M90" s="444"/>
      <c r="N90" s="444"/>
      <c r="O90" s="444"/>
      <c r="P90" s="444"/>
      <c r="Q90" s="444"/>
      <c r="R90" s="445"/>
      <c r="S90" s="445"/>
      <c r="T90" s="443"/>
      <c r="U90" s="443"/>
      <c r="V90" s="443"/>
      <c r="W90" s="443"/>
      <c r="X90" s="443"/>
      <c r="Y90" s="443"/>
      <c r="Z90" s="443"/>
    </row>
    <row r="91" ht="15.75" customHeight="1">
      <c r="A91" s="443"/>
      <c r="B91" s="443"/>
      <c r="C91" s="443"/>
      <c r="D91" s="443"/>
      <c r="E91" s="443"/>
      <c r="F91" s="443"/>
      <c r="G91" s="443"/>
      <c r="H91" s="443"/>
      <c r="I91" s="443"/>
      <c r="J91" s="444"/>
      <c r="K91" s="444"/>
      <c r="L91" s="444"/>
      <c r="M91" s="444"/>
      <c r="N91" s="444"/>
      <c r="O91" s="444"/>
      <c r="P91" s="444"/>
      <c r="Q91" s="444"/>
      <c r="R91" s="445"/>
      <c r="S91" s="445"/>
      <c r="T91" s="443"/>
      <c r="U91" s="443"/>
      <c r="V91" s="443"/>
      <c r="W91" s="443"/>
      <c r="X91" s="443"/>
      <c r="Y91" s="443"/>
      <c r="Z91" s="443"/>
    </row>
    <row r="92" ht="15.75" customHeight="1">
      <c r="A92" s="443"/>
      <c r="B92" s="443"/>
      <c r="C92" s="443"/>
      <c r="D92" s="443"/>
      <c r="E92" s="443"/>
      <c r="F92" s="443"/>
      <c r="G92" s="443"/>
      <c r="H92" s="443"/>
      <c r="I92" s="443"/>
      <c r="J92" s="444"/>
      <c r="K92" s="444"/>
      <c r="L92" s="444"/>
      <c r="M92" s="444"/>
      <c r="N92" s="444"/>
      <c r="O92" s="444"/>
      <c r="P92" s="444"/>
      <c r="Q92" s="444"/>
      <c r="R92" s="445"/>
      <c r="S92" s="445"/>
      <c r="T92" s="443"/>
      <c r="U92" s="443"/>
      <c r="V92" s="443"/>
      <c r="W92" s="443"/>
      <c r="X92" s="443"/>
      <c r="Y92" s="443"/>
      <c r="Z92" s="443"/>
    </row>
    <row r="93" ht="15.75" customHeight="1">
      <c r="A93" s="443"/>
      <c r="B93" s="443"/>
      <c r="C93" s="443"/>
      <c r="D93" s="443"/>
      <c r="E93" s="443"/>
      <c r="F93" s="443"/>
      <c r="G93" s="443"/>
      <c r="H93" s="443"/>
      <c r="I93" s="443"/>
      <c r="J93" s="444"/>
      <c r="K93" s="444"/>
      <c r="L93" s="444"/>
      <c r="M93" s="444"/>
      <c r="N93" s="444"/>
      <c r="O93" s="444"/>
      <c r="P93" s="444"/>
      <c r="Q93" s="444"/>
      <c r="R93" s="445"/>
      <c r="S93" s="445"/>
      <c r="T93" s="443"/>
      <c r="U93" s="443"/>
      <c r="V93" s="443"/>
      <c r="W93" s="443"/>
      <c r="X93" s="443"/>
      <c r="Y93" s="443"/>
      <c r="Z93" s="443"/>
    </row>
    <row r="94" ht="15.75" customHeight="1">
      <c r="A94" s="443"/>
      <c r="B94" s="443"/>
      <c r="C94" s="443"/>
      <c r="D94" s="443"/>
      <c r="E94" s="443"/>
      <c r="F94" s="443"/>
      <c r="G94" s="443"/>
      <c r="H94" s="443"/>
      <c r="I94" s="443"/>
      <c r="J94" s="444"/>
      <c r="K94" s="444"/>
      <c r="L94" s="444"/>
      <c r="M94" s="444"/>
      <c r="N94" s="444"/>
      <c r="O94" s="444"/>
      <c r="P94" s="444"/>
      <c r="Q94" s="444"/>
      <c r="R94" s="445"/>
      <c r="S94" s="445"/>
      <c r="T94" s="443"/>
      <c r="U94" s="443"/>
      <c r="V94" s="443"/>
      <c r="W94" s="443"/>
      <c r="X94" s="443"/>
      <c r="Y94" s="443"/>
      <c r="Z94" s="443"/>
    </row>
    <row r="95" ht="15.75" customHeight="1">
      <c r="A95" s="443"/>
      <c r="B95" s="443"/>
      <c r="C95" s="443"/>
      <c r="D95" s="443"/>
      <c r="E95" s="443"/>
      <c r="F95" s="443"/>
      <c r="G95" s="443"/>
      <c r="H95" s="443"/>
      <c r="I95" s="443"/>
      <c r="J95" s="444"/>
      <c r="K95" s="444"/>
      <c r="L95" s="444"/>
      <c r="M95" s="444"/>
      <c r="N95" s="444"/>
      <c r="O95" s="444"/>
      <c r="P95" s="444"/>
      <c r="Q95" s="444"/>
      <c r="R95" s="445"/>
      <c r="S95" s="445"/>
      <c r="T95" s="443"/>
      <c r="U95" s="443"/>
      <c r="V95" s="443"/>
      <c r="W95" s="443"/>
      <c r="X95" s="443"/>
      <c r="Y95" s="443"/>
      <c r="Z95" s="443"/>
    </row>
    <row r="96" ht="15.75" customHeight="1">
      <c r="A96" s="443"/>
      <c r="B96" s="443"/>
      <c r="C96" s="443"/>
      <c r="D96" s="443"/>
      <c r="E96" s="443"/>
      <c r="F96" s="443"/>
      <c r="G96" s="443"/>
      <c r="H96" s="443"/>
      <c r="I96" s="443"/>
      <c r="J96" s="444"/>
      <c r="K96" s="444"/>
      <c r="L96" s="444"/>
      <c r="M96" s="444"/>
      <c r="N96" s="444"/>
      <c r="O96" s="444"/>
      <c r="P96" s="444"/>
      <c r="Q96" s="444"/>
      <c r="R96" s="445"/>
      <c r="S96" s="445"/>
      <c r="T96" s="443"/>
      <c r="U96" s="443"/>
      <c r="V96" s="443"/>
      <c r="W96" s="443"/>
      <c r="X96" s="443"/>
      <c r="Y96" s="443"/>
      <c r="Z96" s="443"/>
    </row>
    <row r="97" ht="15.75" customHeight="1">
      <c r="A97" s="443"/>
      <c r="B97" s="443"/>
      <c r="C97" s="443"/>
      <c r="D97" s="443"/>
      <c r="E97" s="443"/>
      <c r="F97" s="443"/>
      <c r="G97" s="443"/>
      <c r="H97" s="443"/>
      <c r="I97" s="443"/>
      <c r="J97" s="444"/>
      <c r="K97" s="444"/>
      <c r="L97" s="444"/>
      <c r="M97" s="444"/>
      <c r="N97" s="444"/>
      <c r="O97" s="444"/>
      <c r="P97" s="444"/>
      <c r="Q97" s="444"/>
      <c r="R97" s="445"/>
      <c r="S97" s="445"/>
      <c r="T97" s="443"/>
      <c r="U97" s="443"/>
      <c r="V97" s="443"/>
      <c r="W97" s="443"/>
      <c r="X97" s="443"/>
      <c r="Y97" s="443"/>
      <c r="Z97" s="443"/>
    </row>
    <row r="98" ht="15.75" customHeight="1">
      <c r="A98" s="443"/>
      <c r="B98" s="443"/>
      <c r="C98" s="443"/>
      <c r="D98" s="443"/>
      <c r="E98" s="443"/>
      <c r="F98" s="443"/>
      <c r="G98" s="443"/>
      <c r="H98" s="443"/>
      <c r="I98" s="443"/>
      <c r="J98" s="444"/>
      <c r="K98" s="444"/>
      <c r="L98" s="444"/>
      <c r="M98" s="444"/>
      <c r="N98" s="444"/>
      <c r="O98" s="444"/>
      <c r="P98" s="444"/>
      <c r="Q98" s="444"/>
      <c r="R98" s="445"/>
      <c r="S98" s="445"/>
      <c r="T98" s="443"/>
      <c r="U98" s="443"/>
      <c r="V98" s="443"/>
      <c r="W98" s="443"/>
      <c r="X98" s="443"/>
      <c r="Y98" s="443"/>
      <c r="Z98" s="443"/>
    </row>
    <row r="99" ht="15.75" customHeight="1">
      <c r="A99" s="443"/>
      <c r="B99" s="443"/>
      <c r="C99" s="443"/>
      <c r="D99" s="443"/>
      <c r="E99" s="443"/>
      <c r="F99" s="443"/>
      <c r="G99" s="443"/>
      <c r="H99" s="443"/>
      <c r="I99" s="443"/>
      <c r="J99" s="444"/>
      <c r="K99" s="444"/>
      <c r="L99" s="444"/>
      <c r="M99" s="444"/>
      <c r="N99" s="444"/>
      <c r="O99" s="444"/>
      <c r="P99" s="444"/>
      <c r="Q99" s="444"/>
      <c r="R99" s="445"/>
      <c r="S99" s="445"/>
      <c r="T99" s="443"/>
      <c r="U99" s="443"/>
      <c r="V99" s="443"/>
      <c r="W99" s="443"/>
      <c r="X99" s="443"/>
      <c r="Y99" s="443"/>
      <c r="Z99" s="443"/>
    </row>
    <row r="100" ht="15.75" customHeight="1">
      <c r="A100" s="443"/>
      <c r="B100" s="443"/>
      <c r="C100" s="443"/>
      <c r="D100" s="443"/>
      <c r="E100" s="443"/>
      <c r="F100" s="443"/>
      <c r="G100" s="443"/>
      <c r="H100" s="443"/>
      <c r="I100" s="443"/>
      <c r="J100" s="444"/>
      <c r="K100" s="444"/>
      <c r="L100" s="444"/>
      <c r="M100" s="444"/>
      <c r="N100" s="444"/>
      <c r="O100" s="444"/>
      <c r="P100" s="444"/>
      <c r="Q100" s="444"/>
      <c r="R100" s="445"/>
      <c r="S100" s="445"/>
      <c r="T100" s="443"/>
      <c r="U100" s="443"/>
      <c r="V100" s="443"/>
      <c r="W100" s="443"/>
      <c r="X100" s="443"/>
      <c r="Y100" s="443"/>
      <c r="Z100" s="443"/>
    </row>
    <row r="101" ht="15.75" customHeight="1">
      <c r="A101" s="443"/>
      <c r="B101" s="443"/>
      <c r="C101" s="443"/>
      <c r="D101" s="443"/>
      <c r="E101" s="443"/>
      <c r="F101" s="443"/>
      <c r="G101" s="443"/>
      <c r="H101" s="443"/>
      <c r="I101" s="443"/>
      <c r="J101" s="444"/>
      <c r="K101" s="444"/>
      <c r="L101" s="444"/>
      <c r="M101" s="444"/>
      <c r="N101" s="444"/>
      <c r="O101" s="444"/>
      <c r="P101" s="444"/>
      <c r="Q101" s="444"/>
      <c r="R101" s="445"/>
      <c r="S101" s="445"/>
      <c r="T101" s="443"/>
      <c r="U101" s="443"/>
      <c r="V101" s="443"/>
      <c r="W101" s="443"/>
      <c r="X101" s="443"/>
      <c r="Y101" s="443"/>
      <c r="Z101" s="443"/>
    </row>
    <row r="102" ht="15.75" customHeight="1">
      <c r="A102" s="443"/>
      <c r="B102" s="443"/>
      <c r="C102" s="443"/>
      <c r="D102" s="443"/>
      <c r="E102" s="443"/>
      <c r="F102" s="443"/>
      <c r="G102" s="443"/>
      <c r="H102" s="443"/>
      <c r="I102" s="443"/>
      <c r="J102" s="444"/>
      <c r="K102" s="444"/>
      <c r="L102" s="444"/>
      <c r="M102" s="444"/>
      <c r="N102" s="444"/>
      <c r="O102" s="444"/>
      <c r="P102" s="444"/>
      <c r="Q102" s="444"/>
      <c r="R102" s="445"/>
      <c r="S102" s="445"/>
      <c r="T102" s="443"/>
      <c r="U102" s="443"/>
      <c r="V102" s="443"/>
      <c r="W102" s="443"/>
      <c r="X102" s="443"/>
      <c r="Y102" s="443"/>
      <c r="Z102" s="443"/>
    </row>
    <row r="103" ht="15.75" customHeight="1">
      <c r="A103" s="443"/>
      <c r="B103" s="443"/>
      <c r="C103" s="443"/>
      <c r="D103" s="443"/>
      <c r="E103" s="443"/>
      <c r="F103" s="443"/>
      <c r="G103" s="443"/>
      <c r="H103" s="443"/>
      <c r="I103" s="443"/>
      <c r="J103" s="444"/>
      <c r="K103" s="444"/>
      <c r="L103" s="444"/>
      <c r="M103" s="444"/>
      <c r="N103" s="444"/>
      <c r="O103" s="444"/>
      <c r="P103" s="444"/>
      <c r="Q103" s="444"/>
      <c r="R103" s="445"/>
      <c r="S103" s="445"/>
      <c r="T103" s="443"/>
      <c r="U103" s="443"/>
      <c r="V103" s="443"/>
      <c r="W103" s="443"/>
      <c r="X103" s="443"/>
      <c r="Y103" s="443"/>
      <c r="Z103" s="443"/>
    </row>
    <row r="104" ht="15.75" customHeight="1">
      <c r="A104" s="443"/>
      <c r="B104" s="443"/>
      <c r="C104" s="443"/>
      <c r="D104" s="443"/>
      <c r="E104" s="443"/>
      <c r="F104" s="443"/>
      <c r="G104" s="443"/>
      <c r="H104" s="443"/>
      <c r="I104" s="443"/>
      <c r="J104" s="444"/>
      <c r="K104" s="444"/>
      <c r="L104" s="444"/>
      <c r="M104" s="444"/>
      <c r="N104" s="444"/>
      <c r="O104" s="444"/>
      <c r="P104" s="444"/>
      <c r="Q104" s="444"/>
      <c r="R104" s="445"/>
      <c r="S104" s="445"/>
      <c r="T104" s="443"/>
      <c r="U104" s="443"/>
      <c r="V104" s="443"/>
      <c r="W104" s="443"/>
      <c r="X104" s="443"/>
      <c r="Y104" s="443"/>
      <c r="Z104" s="443"/>
    </row>
    <row r="105" ht="15.75" customHeight="1">
      <c r="A105" s="443"/>
      <c r="B105" s="443"/>
      <c r="C105" s="443"/>
      <c r="D105" s="443"/>
      <c r="E105" s="443"/>
      <c r="F105" s="443"/>
      <c r="G105" s="443"/>
      <c r="H105" s="443"/>
      <c r="I105" s="443"/>
      <c r="J105" s="444"/>
      <c r="K105" s="444"/>
      <c r="L105" s="444"/>
      <c r="M105" s="444"/>
      <c r="N105" s="444"/>
      <c r="O105" s="444"/>
      <c r="P105" s="444"/>
      <c r="Q105" s="444"/>
      <c r="R105" s="445"/>
      <c r="S105" s="445"/>
      <c r="T105" s="443"/>
      <c r="U105" s="443"/>
      <c r="V105" s="443"/>
      <c r="W105" s="443"/>
      <c r="X105" s="443"/>
      <c r="Y105" s="443"/>
      <c r="Z105" s="443"/>
    </row>
    <row r="106" ht="15.75" customHeight="1">
      <c r="A106" s="443"/>
      <c r="B106" s="443"/>
      <c r="C106" s="443"/>
      <c r="D106" s="443"/>
      <c r="E106" s="443"/>
      <c r="F106" s="443"/>
      <c r="G106" s="443"/>
      <c r="H106" s="443"/>
      <c r="I106" s="443"/>
      <c r="J106" s="444"/>
      <c r="K106" s="444"/>
      <c r="L106" s="444"/>
      <c r="M106" s="444"/>
      <c r="N106" s="444"/>
      <c r="O106" s="444"/>
      <c r="P106" s="444"/>
      <c r="Q106" s="444"/>
      <c r="R106" s="445"/>
      <c r="S106" s="445"/>
      <c r="T106" s="443"/>
      <c r="U106" s="443"/>
      <c r="V106" s="443"/>
      <c r="W106" s="443"/>
      <c r="X106" s="443"/>
      <c r="Y106" s="443"/>
      <c r="Z106" s="443"/>
    </row>
    <row r="107" ht="15.75" customHeight="1">
      <c r="A107" s="443"/>
      <c r="B107" s="443"/>
      <c r="C107" s="443"/>
      <c r="D107" s="443"/>
      <c r="E107" s="443"/>
      <c r="F107" s="443"/>
      <c r="G107" s="443"/>
      <c r="H107" s="443"/>
      <c r="I107" s="443"/>
      <c r="J107" s="444"/>
      <c r="K107" s="444"/>
      <c r="L107" s="444"/>
      <c r="M107" s="444"/>
      <c r="N107" s="444"/>
      <c r="O107" s="444"/>
      <c r="P107" s="444"/>
      <c r="Q107" s="444"/>
      <c r="R107" s="445"/>
      <c r="S107" s="445"/>
      <c r="T107" s="443"/>
      <c r="U107" s="443"/>
      <c r="V107" s="443"/>
      <c r="W107" s="443"/>
      <c r="X107" s="443"/>
      <c r="Y107" s="443"/>
      <c r="Z107" s="443"/>
    </row>
    <row r="108" ht="15.75" customHeight="1">
      <c r="A108" s="443"/>
      <c r="B108" s="443"/>
      <c r="C108" s="443"/>
      <c r="D108" s="443"/>
      <c r="E108" s="443"/>
      <c r="F108" s="443"/>
      <c r="G108" s="443"/>
      <c r="H108" s="443"/>
      <c r="I108" s="443"/>
      <c r="J108" s="444"/>
      <c r="K108" s="444"/>
      <c r="L108" s="444"/>
      <c r="M108" s="444"/>
      <c r="N108" s="444"/>
      <c r="O108" s="444"/>
      <c r="P108" s="444"/>
      <c r="Q108" s="444"/>
      <c r="R108" s="445"/>
      <c r="S108" s="445"/>
      <c r="T108" s="443"/>
      <c r="U108" s="443"/>
      <c r="V108" s="443"/>
      <c r="W108" s="443"/>
      <c r="X108" s="443"/>
      <c r="Y108" s="443"/>
      <c r="Z108" s="443"/>
    </row>
    <row r="109" ht="15.75" customHeight="1">
      <c r="A109" s="443"/>
      <c r="B109" s="443"/>
      <c r="C109" s="443"/>
      <c r="D109" s="443"/>
      <c r="E109" s="443"/>
      <c r="F109" s="443"/>
      <c r="G109" s="443"/>
      <c r="H109" s="443"/>
      <c r="I109" s="443"/>
      <c r="J109" s="444"/>
      <c r="K109" s="444"/>
      <c r="L109" s="444"/>
      <c r="M109" s="444"/>
      <c r="N109" s="444"/>
      <c r="O109" s="444"/>
      <c r="P109" s="444"/>
      <c r="Q109" s="444"/>
      <c r="R109" s="445"/>
      <c r="S109" s="445"/>
      <c r="T109" s="443"/>
      <c r="U109" s="443"/>
      <c r="V109" s="443"/>
      <c r="W109" s="443"/>
      <c r="X109" s="443"/>
      <c r="Y109" s="443"/>
      <c r="Z109" s="443"/>
    </row>
    <row r="110" ht="15.75" customHeight="1">
      <c r="A110" s="443"/>
      <c r="B110" s="443"/>
      <c r="C110" s="443"/>
      <c r="D110" s="443"/>
      <c r="E110" s="443"/>
      <c r="F110" s="443"/>
      <c r="G110" s="443"/>
      <c r="H110" s="443"/>
      <c r="I110" s="443"/>
      <c r="J110" s="444"/>
      <c r="K110" s="444"/>
      <c r="L110" s="444"/>
      <c r="M110" s="444"/>
      <c r="N110" s="444"/>
      <c r="O110" s="444"/>
      <c r="P110" s="444"/>
      <c r="Q110" s="444"/>
      <c r="R110" s="445"/>
      <c r="S110" s="445"/>
      <c r="T110" s="443"/>
      <c r="U110" s="443"/>
      <c r="V110" s="443"/>
      <c r="W110" s="443"/>
      <c r="X110" s="443"/>
      <c r="Y110" s="443"/>
      <c r="Z110" s="443"/>
    </row>
    <row r="111" ht="15.75" customHeight="1">
      <c r="A111" s="443"/>
      <c r="B111" s="443"/>
      <c r="C111" s="443"/>
      <c r="D111" s="443"/>
      <c r="E111" s="443"/>
      <c r="F111" s="443"/>
      <c r="G111" s="443"/>
      <c r="H111" s="443"/>
      <c r="I111" s="443"/>
      <c r="J111" s="444"/>
      <c r="K111" s="444"/>
      <c r="L111" s="444"/>
      <c r="M111" s="444"/>
      <c r="N111" s="444"/>
      <c r="O111" s="444"/>
      <c r="P111" s="444"/>
      <c r="Q111" s="444"/>
      <c r="R111" s="445"/>
      <c r="S111" s="445"/>
      <c r="T111" s="443"/>
      <c r="U111" s="443"/>
      <c r="V111" s="443"/>
      <c r="W111" s="443"/>
      <c r="X111" s="443"/>
      <c r="Y111" s="443"/>
      <c r="Z111" s="443"/>
    </row>
    <row r="112" ht="15.75" customHeight="1">
      <c r="A112" s="443"/>
      <c r="B112" s="443"/>
      <c r="C112" s="443"/>
      <c r="D112" s="443"/>
      <c r="E112" s="443"/>
      <c r="F112" s="443"/>
      <c r="G112" s="443"/>
      <c r="H112" s="443"/>
      <c r="I112" s="443"/>
      <c r="J112" s="444"/>
      <c r="K112" s="444"/>
      <c r="L112" s="444"/>
      <c r="M112" s="444"/>
      <c r="N112" s="444"/>
      <c r="O112" s="444"/>
      <c r="P112" s="444"/>
      <c r="Q112" s="444"/>
      <c r="R112" s="445"/>
      <c r="S112" s="445"/>
      <c r="T112" s="443"/>
      <c r="U112" s="443"/>
      <c r="V112" s="443"/>
      <c r="W112" s="443"/>
      <c r="X112" s="443"/>
      <c r="Y112" s="443"/>
      <c r="Z112" s="443"/>
    </row>
    <row r="113" ht="15.75" customHeight="1">
      <c r="A113" s="443"/>
      <c r="B113" s="443"/>
      <c r="C113" s="443"/>
      <c r="D113" s="443"/>
      <c r="E113" s="443"/>
      <c r="F113" s="443"/>
      <c r="G113" s="443"/>
      <c r="H113" s="443"/>
      <c r="I113" s="443"/>
      <c r="J113" s="444"/>
      <c r="K113" s="444"/>
      <c r="L113" s="444"/>
      <c r="M113" s="444"/>
      <c r="N113" s="444"/>
      <c r="O113" s="444"/>
      <c r="P113" s="444"/>
      <c r="Q113" s="444"/>
      <c r="R113" s="445"/>
      <c r="S113" s="445"/>
      <c r="T113" s="443"/>
      <c r="U113" s="443"/>
      <c r="V113" s="443"/>
      <c r="W113" s="443"/>
      <c r="X113" s="443"/>
      <c r="Y113" s="443"/>
      <c r="Z113" s="443"/>
    </row>
    <row r="114" ht="15.75" customHeight="1">
      <c r="A114" s="443"/>
      <c r="B114" s="443"/>
      <c r="C114" s="443"/>
      <c r="D114" s="443"/>
      <c r="E114" s="443"/>
      <c r="F114" s="443"/>
      <c r="G114" s="443"/>
      <c r="H114" s="443"/>
      <c r="I114" s="443"/>
      <c r="J114" s="444"/>
      <c r="K114" s="444"/>
      <c r="L114" s="444"/>
      <c r="M114" s="444"/>
      <c r="N114" s="444"/>
      <c r="O114" s="444"/>
      <c r="P114" s="444"/>
      <c r="Q114" s="444"/>
      <c r="R114" s="445"/>
      <c r="S114" s="445"/>
      <c r="T114" s="443"/>
      <c r="U114" s="443"/>
      <c r="V114" s="443"/>
      <c r="W114" s="443"/>
      <c r="X114" s="443"/>
      <c r="Y114" s="443"/>
      <c r="Z114" s="443"/>
    </row>
    <row r="115" ht="15.75" customHeight="1">
      <c r="A115" s="443"/>
      <c r="B115" s="443"/>
      <c r="C115" s="443"/>
      <c r="D115" s="443"/>
      <c r="E115" s="443"/>
      <c r="F115" s="443"/>
      <c r="G115" s="443"/>
      <c r="H115" s="443"/>
      <c r="I115" s="443"/>
      <c r="J115" s="444"/>
      <c r="K115" s="444"/>
      <c r="L115" s="444"/>
      <c r="M115" s="444"/>
      <c r="N115" s="444"/>
      <c r="O115" s="444"/>
      <c r="P115" s="444"/>
      <c r="Q115" s="444"/>
      <c r="R115" s="445"/>
      <c r="S115" s="445"/>
      <c r="T115" s="443"/>
      <c r="U115" s="443"/>
      <c r="V115" s="443"/>
      <c r="W115" s="443"/>
      <c r="X115" s="443"/>
      <c r="Y115" s="443"/>
      <c r="Z115" s="443"/>
    </row>
    <row r="116" ht="15.75" customHeight="1">
      <c r="A116" s="443"/>
      <c r="B116" s="443"/>
      <c r="C116" s="443"/>
      <c r="D116" s="443"/>
      <c r="E116" s="443"/>
      <c r="F116" s="443"/>
      <c r="G116" s="443"/>
      <c r="H116" s="443"/>
      <c r="I116" s="443"/>
      <c r="J116" s="444"/>
      <c r="K116" s="444"/>
      <c r="L116" s="444"/>
      <c r="M116" s="444"/>
      <c r="N116" s="444"/>
      <c r="O116" s="444"/>
      <c r="P116" s="444"/>
      <c r="Q116" s="444"/>
      <c r="R116" s="445"/>
      <c r="S116" s="445"/>
      <c r="T116" s="443"/>
      <c r="U116" s="443"/>
      <c r="V116" s="443"/>
      <c r="W116" s="443"/>
      <c r="X116" s="443"/>
      <c r="Y116" s="443"/>
      <c r="Z116" s="443"/>
    </row>
    <row r="117" ht="15.75" customHeight="1">
      <c r="A117" s="443"/>
      <c r="B117" s="443"/>
      <c r="C117" s="443"/>
      <c r="D117" s="443"/>
      <c r="E117" s="443"/>
      <c r="F117" s="443"/>
      <c r="G117" s="443"/>
      <c r="H117" s="443"/>
      <c r="I117" s="443"/>
      <c r="J117" s="444"/>
      <c r="K117" s="444"/>
      <c r="L117" s="444"/>
      <c r="M117" s="444"/>
      <c r="N117" s="444"/>
      <c r="O117" s="444"/>
      <c r="P117" s="444"/>
      <c r="Q117" s="444"/>
      <c r="R117" s="445"/>
      <c r="S117" s="445"/>
      <c r="T117" s="443"/>
      <c r="U117" s="443"/>
      <c r="V117" s="443"/>
      <c r="W117" s="443"/>
      <c r="X117" s="443"/>
      <c r="Y117" s="443"/>
      <c r="Z117" s="443"/>
    </row>
    <row r="118" ht="15.75" customHeight="1">
      <c r="A118" s="443"/>
      <c r="B118" s="443"/>
      <c r="C118" s="443"/>
      <c r="D118" s="443"/>
      <c r="E118" s="443"/>
      <c r="F118" s="443"/>
      <c r="G118" s="443"/>
      <c r="H118" s="443"/>
      <c r="I118" s="443"/>
      <c r="J118" s="444"/>
      <c r="K118" s="444"/>
      <c r="L118" s="444"/>
      <c r="M118" s="444"/>
      <c r="N118" s="444"/>
      <c r="O118" s="444"/>
      <c r="P118" s="444"/>
      <c r="Q118" s="444"/>
      <c r="R118" s="445"/>
      <c r="S118" s="445"/>
      <c r="T118" s="443"/>
      <c r="U118" s="443"/>
      <c r="V118" s="443"/>
      <c r="W118" s="443"/>
      <c r="X118" s="443"/>
      <c r="Y118" s="443"/>
      <c r="Z118" s="443"/>
    </row>
    <row r="119" ht="15.75" customHeight="1">
      <c r="A119" s="443"/>
      <c r="B119" s="443"/>
      <c r="C119" s="443"/>
      <c r="D119" s="443"/>
      <c r="E119" s="443"/>
      <c r="F119" s="443"/>
      <c r="G119" s="443"/>
      <c r="H119" s="443"/>
      <c r="I119" s="443"/>
      <c r="J119" s="444"/>
      <c r="K119" s="444"/>
      <c r="L119" s="444"/>
      <c r="M119" s="444"/>
      <c r="N119" s="444"/>
      <c r="O119" s="444"/>
      <c r="P119" s="444"/>
      <c r="Q119" s="444"/>
      <c r="R119" s="445"/>
      <c r="S119" s="445"/>
      <c r="T119" s="443"/>
      <c r="U119" s="443"/>
      <c r="V119" s="443"/>
      <c r="W119" s="443"/>
      <c r="X119" s="443"/>
      <c r="Y119" s="443"/>
      <c r="Z119" s="443"/>
    </row>
    <row r="120" ht="15.75" customHeight="1">
      <c r="A120" s="443"/>
      <c r="B120" s="443"/>
      <c r="C120" s="443"/>
      <c r="D120" s="443"/>
      <c r="E120" s="443"/>
      <c r="F120" s="443"/>
      <c r="G120" s="443"/>
      <c r="H120" s="443"/>
      <c r="I120" s="443"/>
      <c r="J120" s="444"/>
      <c r="K120" s="444"/>
      <c r="L120" s="444"/>
      <c r="M120" s="444"/>
      <c r="N120" s="444"/>
      <c r="O120" s="444"/>
      <c r="P120" s="444"/>
      <c r="Q120" s="444"/>
      <c r="R120" s="445"/>
      <c r="S120" s="445"/>
      <c r="T120" s="443"/>
      <c r="U120" s="443"/>
      <c r="V120" s="443"/>
      <c r="W120" s="443"/>
      <c r="X120" s="443"/>
      <c r="Y120" s="443"/>
      <c r="Z120" s="443"/>
    </row>
    <row r="121" ht="15.75" customHeight="1">
      <c r="A121" s="443"/>
      <c r="B121" s="443"/>
      <c r="C121" s="443"/>
      <c r="D121" s="443"/>
      <c r="E121" s="443"/>
      <c r="F121" s="443"/>
      <c r="G121" s="443"/>
      <c r="H121" s="443"/>
      <c r="I121" s="443"/>
      <c r="J121" s="444"/>
      <c r="K121" s="444"/>
      <c r="L121" s="444"/>
      <c r="M121" s="444"/>
      <c r="N121" s="444"/>
      <c r="O121" s="444"/>
      <c r="P121" s="444"/>
      <c r="Q121" s="444"/>
      <c r="R121" s="445"/>
      <c r="S121" s="445"/>
      <c r="T121" s="443"/>
      <c r="U121" s="443"/>
      <c r="V121" s="443"/>
      <c r="W121" s="443"/>
      <c r="X121" s="443"/>
      <c r="Y121" s="443"/>
      <c r="Z121" s="443"/>
    </row>
    <row r="122" ht="15.75" customHeight="1">
      <c r="A122" s="443"/>
      <c r="B122" s="443"/>
      <c r="C122" s="443"/>
      <c r="D122" s="443"/>
      <c r="E122" s="443"/>
      <c r="F122" s="443"/>
      <c r="G122" s="443"/>
      <c r="H122" s="443"/>
      <c r="I122" s="443"/>
      <c r="J122" s="444"/>
      <c r="K122" s="444"/>
      <c r="L122" s="444"/>
      <c r="M122" s="444"/>
      <c r="N122" s="444"/>
      <c r="O122" s="444"/>
      <c r="P122" s="444"/>
      <c r="Q122" s="444"/>
      <c r="R122" s="445"/>
      <c r="S122" s="445"/>
      <c r="T122" s="443"/>
      <c r="U122" s="443"/>
      <c r="V122" s="443"/>
      <c r="W122" s="443"/>
      <c r="X122" s="443"/>
      <c r="Y122" s="443"/>
      <c r="Z122" s="443"/>
    </row>
    <row r="123" ht="15.75" customHeight="1">
      <c r="A123" s="443"/>
      <c r="B123" s="443"/>
      <c r="C123" s="443"/>
      <c r="D123" s="443"/>
      <c r="E123" s="443"/>
      <c r="F123" s="443"/>
      <c r="G123" s="443"/>
      <c r="H123" s="443"/>
      <c r="I123" s="443"/>
      <c r="J123" s="444"/>
      <c r="K123" s="444"/>
      <c r="L123" s="444"/>
      <c r="M123" s="444"/>
      <c r="N123" s="444"/>
      <c r="O123" s="444"/>
      <c r="P123" s="444"/>
      <c r="Q123" s="444"/>
      <c r="R123" s="445"/>
      <c r="S123" s="445"/>
      <c r="T123" s="443"/>
      <c r="U123" s="443"/>
      <c r="V123" s="443"/>
      <c r="W123" s="443"/>
      <c r="X123" s="443"/>
      <c r="Y123" s="443"/>
      <c r="Z123" s="443"/>
    </row>
    <row r="124" ht="15.75" customHeight="1">
      <c r="A124" s="443"/>
      <c r="B124" s="443"/>
      <c r="C124" s="443"/>
      <c r="D124" s="443"/>
      <c r="E124" s="443"/>
      <c r="F124" s="443"/>
      <c r="G124" s="443"/>
      <c r="H124" s="443"/>
      <c r="I124" s="443"/>
      <c r="J124" s="444"/>
      <c r="K124" s="444"/>
      <c r="L124" s="444"/>
      <c r="M124" s="444"/>
      <c r="N124" s="444"/>
      <c r="O124" s="444"/>
      <c r="P124" s="444"/>
      <c r="Q124" s="444"/>
      <c r="R124" s="445"/>
      <c r="S124" s="445"/>
      <c r="T124" s="443"/>
      <c r="U124" s="443"/>
      <c r="V124" s="443"/>
      <c r="W124" s="443"/>
      <c r="X124" s="443"/>
      <c r="Y124" s="443"/>
      <c r="Z124" s="443"/>
    </row>
    <row r="125" ht="15.75" customHeight="1">
      <c r="A125" s="443"/>
      <c r="B125" s="443"/>
      <c r="C125" s="443"/>
      <c r="D125" s="443"/>
      <c r="E125" s="443"/>
      <c r="F125" s="443"/>
      <c r="G125" s="443"/>
      <c r="H125" s="443"/>
      <c r="I125" s="443"/>
      <c r="J125" s="444"/>
      <c r="K125" s="444"/>
      <c r="L125" s="444"/>
      <c r="M125" s="444"/>
      <c r="N125" s="444"/>
      <c r="O125" s="444"/>
      <c r="P125" s="444"/>
      <c r="Q125" s="444"/>
      <c r="R125" s="445"/>
      <c r="S125" s="445"/>
      <c r="T125" s="443"/>
      <c r="U125" s="443"/>
      <c r="V125" s="443"/>
      <c r="W125" s="443"/>
      <c r="X125" s="443"/>
      <c r="Y125" s="443"/>
      <c r="Z125" s="443"/>
    </row>
    <row r="126" ht="15.75" customHeight="1">
      <c r="A126" s="443"/>
      <c r="B126" s="443"/>
      <c r="C126" s="443"/>
      <c r="D126" s="443"/>
      <c r="E126" s="443"/>
      <c r="F126" s="443"/>
      <c r="G126" s="443"/>
      <c r="H126" s="443"/>
      <c r="I126" s="443"/>
      <c r="J126" s="444"/>
      <c r="K126" s="444"/>
      <c r="L126" s="444"/>
      <c r="M126" s="444"/>
      <c r="N126" s="444"/>
      <c r="O126" s="444"/>
      <c r="P126" s="444"/>
      <c r="Q126" s="444"/>
      <c r="R126" s="445"/>
      <c r="S126" s="445"/>
      <c r="T126" s="443"/>
      <c r="U126" s="443"/>
      <c r="V126" s="443"/>
      <c r="W126" s="443"/>
      <c r="X126" s="443"/>
      <c r="Y126" s="443"/>
      <c r="Z126" s="443"/>
    </row>
    <row r="127" ht="15.75" customHeight="1">
      <c r="A127" s="443"/>
      <c r="B127" s="443"/>
      <c r="C127" s="443"/>
      <c r="D127" s="443"/>
      <c r="E127" s="443"/>
      <c r="F127" s="443"/>
      <c r="G127" s="443"/>
      <c r="H127" s="443"/>
      <c r="I127" s="443"/>
      <c r="J127" s="444"/>
      <c r="K127" s="444"/>
      <c r="L127" s="444"/>
      <c r="M127" s="444"/>
      <c r="N127" s="444"/>
      <c r="O127" s="444"/>
      <c r="P127" s="444"/>
      <c r="Q127" s="444"/>
      <c r="R127" s="445"/>
      <c r="S127" s="445"/>
      <c r="T127" s="443"/>
      <c r="U127" s="443"/>
      <c r="V127" s="443"/>
      <c r="W127" s="443"/>
      <c r="X127" s="443"/>
      <c r="Y127" s="443"/>
      <c r="Z127" s="443"/>
    </row>
    <row r="128" ht="15.75" customHeight="1">
      <c r="A128" s="443"/>
      <c r="B128" s="443"/>
      <c r="C128" s="443"/>
      <c r="D128" s="443"/>
      <c r="E128" s="443"/>
      <c r="F128" s="443"/>
      <c r="G128" s="443"/>
      <c r="H128" s="443"/>
      <c r="I128" s="443"/>
      <c r="J128" s="444"/>
      <c r="K128" s="444"/>
      <c r="L128" s="444"/>
      <c r="M128" s="444"/>
      <c r="N128" s="444"/>
      <c r="O128" s="444"/>
      <c r="P128" s="444"/>
      <c r="Q128" s="444"/>
      <c r="R128" s="445"/>
      <c r="S128" s="445"/>
      <c r="T128" s="443"/>
      <c r="U128" s="443"/>
      <c r="V128" s="443"/>
      <c r="W128" s="443"/>
      <c r="X128" s="443"/>
      <c r="Y128" s="443"/>
      <c r="Z128" s="443"/>
    </row>
    <row r="129" ht="15.75" customHeight="1">
      <c r="A129" s="443"/>
      <c r="B129" s="443"/>
      <c r="C129" s="443"/>
      <c r="D129" s="443"/>
      <c r="E129" s="443"/>
      <c r="F129" s="443"/>
      <c r="G129" s="443"/>
      <c r="H129" s="443"/>
      <c r="I129" s="443"/>
      <c r="J129" s="444"/>
      <c r="K129" s="444"/>
      <c r="L129" s="444"/>
      <c r="M129" s="444"/>
      <c r="N129" s="444"/>
      <c r="O129" s="444"/>
      <c r="P129" s="444"/>
      <c r="Q129" s="444"/>
      <c r="R129" s="445"/>
      <c r="S129" s="445"/>
      <c r="T129" s="443"/>
      <c r="U129" s="443"/>
      <c r="V129" s="443"/>
      <c r="W129" s="443"/>
      <c r="X129" s="443"/>
      <c r="Y129" s="443"/>
      <c r="Z129" s="443"/>
    </row>
    <row r="130" ht="15.75" customHeight="1">
      <c r="A130" s="443"/>
      <c r="B130" s="443"/>
      <c r="C130" s="443"/>
      <c r="D130" s="443"/>
      <c r="E130" s="443"/>
      <c r="F130" s="443"/>
      <c r="G130" s="443"/>
      <c r="H130" s="443"/>
      <c r="I130" s="443"/>
      <c r="J130" s="444"/>
      <c r="K130" s="444"/>
      <c r="L130" s="444"/>
      <c r="M130" s="444"/>
      <c r="N130" s="444"/>
      <c r="O130" s="444"/>
      <c r="P130" s="444"/>
      <c r="Q130" s="444"/>
      <c r="R130" s="445"/>
      <c r="S130" s="445"/>
      <c r="T130" s="443"/>
      <c r="U130" s="443"/>
      <c r="V130" s="443"/>
      <c r="W130" s="443"/>
      <c r="X130" s="443"/>
      <c r="Y130" s="443"/>
      <c r="Z130" s="443"/>
    </row>
    <row r="131" ht="15.75" customHeight="1">
      <c r="A131" s="443"/>
      <c r="B131" s="443"/>
      <c r="C131" s="443"/>
      <c r="D131" s="443"/>
      <c r="E131" s="443"/>
      <c r="F131" s="443"/>
      <c r="G131" s="443"/>
      <c r="H131" s="443"/>
      <c r="I131" s="443"/>
      <c r="J131" s="444"/>
      <c r="K131" s="444"/>
      <c r="L131" s="444"/>
      <c r="M131" s="444"/>
      <c r="N131" s="444"/>
      <c r="O131" s="444"/>
      <c r="P131" s="444"/>
      <c r="Q131" s="444"/>
      <c r="R131" s="445"/>
      <c r="S131" s="445"/>
      <c r="T131" s="443"/>
      <c r="U131" s="443"/>
      <c r="V131" s="443"/>
      <c r="W131" s="443"/>
      <c r="X131" s="443"/>
      <c r="Y131" s="443"/>
      <c r="Z131" s="443"/>
    </row>
    <row r="132" ht="15.75" customHeight="1">
      <c r="A132" s="443"/>
      <c r="B132" s="443"/>
      <c r="C132" s="443"/>
      <c r="D132" s="443"/>
      <c r="E132" s="443"/>
      <c r="F132" s="443"/>
      <c r="G132" s="443"/>
      <c r="H132" s="443"/>
      <c r="I132" s="443"/>
      <c r="J132" s="444"/>
      <c r="K132" s="444"/>
      <c r="L132" s="444"/>
      <c r="M132" s="444"/>
      <c r="N132" s="444"/>
      <c r="O132" s="444"/>
      <c r="P132" s="444"/>
      <c r="Q132" s="444"/>
      <c r="R132" s="445"/>
      <c r="S132" s="445"/>
      <c r="T132" s="443"/>
      <c r="U132" s="443"/>
      <c r="V132" s="443"/>
      <c r="W132" s="443"/>
      <c r="X132" s="443"/>
      <c r="Y132" s="443"/>
      <c r="Z132" s="443"/>
    </row>
    <row r="133" ht="15.75" customHeight="1">
      <c r="A133" s="443"/>
      <c r="B133" s="443"/>
      <c r="C133" s="443"/>
      <c r="D133" s="443"/>
      <c r="E133" s="443"/>
      <c r="F133" s="443"/>
      <c r="G133" s="443"/>
      <c r="H133" s="443"/>
      <c r="I133" s="443"/>
      <c r="J133" s="444"/>
      <c r="K133" s="444"/>
      <c r="L133" s="444"/>
      <c r="M133" s="444"/>
      <c r="N133" s="444"/>
      <c r="O133" s="444"/>
      <c r="P133" s="444"/>
      <c r="Q133" s="444"/>
      <c r="R133" s="445"/>
      <c r="S133" s="445"/>
      <c r="T133" s="443"/>
      <c r="U133" s="443"/>
      <c r="V133" s="443"/>
      <c r="W133" s="443"/>
      <c r="X133" s="443"/>
      <c r="Y133" s="443"/>
      <c r="Z133" s="443"/>
    </row>
    <row r="134" ht="15.75" customHeight="1">
      <c r="A134" s="443"/>
      <c r="B134" s="443"/>
      <c r="C134" s="443"/>
      <c r="D134" s="443"/>
      <c r="E134" s="443"/>
      <c r="F134" s="443"/>
      <c r="G134" s="443"/>
      <c r="H134" s="443"/>
      <c r="I134" s="443"/>
      <c r="J134" s="444"/>
      <c r="K134" s="444"/>
      <c r="L134" s="444"/>
      <c r="M134" s="444"/>
      <c r="N134" s="444"/>
      <c r="O134" s="444"/>
      <c r="P134" s="444"/>
      <c r="Q134" s="444"/>
      <c r="R134" s="445"/>
      <c r="S134" s="445"/>
      <c r="T134" s="443"/>
      <c r="U134" s="443"/>
      <c r="V134" s="443"/>
      <c r="W134" s="443"/>
      <c r="X134" s="443"/>
      <c r="Y134" s="443"/>
      <c r="Z134" s="443"/>
    </row>
    <row r="135" ht="15.75" customHeight="1">
      <c r="A135" s="443"/>
      <c r="B135" s="443"/>
      <c r="C135" s="443"/>
      <c r="D135" s="443"/>
      <c r="E135" s="443"/>
      <c r="F135" s="443"/>
      <c r="G135" s="443"/>
      <c r="H135" s="443"/>
      <c r="I135" s="443"/>
      <c r="J135" s="444"/>
      <c r="K135" s="444"/>
      <c r="L135" s="444"/>
      <c r="M135" s="444"/>
      <c r="N135" s="444"/>
      <c r="O135" s="444"/>
      <c r="P135" s="444"/>
      <c r="Q135" s="444"/>
      <c r="R135" s="445"/>
      <c r="S135" s="445"/>
      <c r="T135" s="443"/>
      <c r="U135" s="443"/>
      <c r="V135" s="443"/>
      <c r="W135" s="443"/>
      <c r="X135" s="443"/>
      <c r="Y135" s="443"/>
      <c r="Z135" s="443"/>
    </row>
    <row r="136" ht="15.75" customHeight="1">
      <c r="A136" s="443"/>
      <c r="B136" s="443"/>
      <c r="C136" s="443"/>
      <c r="D136" s="443"/>
      <c r="E136" s="443"/>
      <c r="F136" s="443"/>
      <c r="G136" s="443"/>
      <c r="H136" s="443"/>
      <c r="I136" s="443"/>
      <c r="J136" s="444"/>
      <c r="K136" s="444"/>
      <c r="L136" s="444"/>
      <c r="M136" s="444"/>
      <c r="N136" s="444"/>
      <c r="O136" s="444"/>
      <c r="P136" s="444"/>
      <c r="Q136" s="444"/>
      <c r="R136" s="445"/>
      <c r="S136" s="445"/>
      <c r="T136" s="443"/>
      <c r="U136" s="443"/>
      <c r="V136" s="443"/>
      <c r="W136" s="443"/>
      <c r="X136" s="443"/>
      <c r="Y136" s="443"/>
      <c r="Z136" s="443"/>
    </row>
    <row r="137" ht="15.75" customHeight="1">
      <c r="A137" s="443"/>
      <c r="B137" s="443"/>
      <c r="C137" s="443"/>
      <c r="D137" s="443"/>
      <c r="E137" s="443"/>
      <c r="F137" s="443"/>
      <c r="G137" s="443"/>
      <c r="H137" s="443"/>
      <c r="I137" s="443"/>
      <c r="J137" s="444"/>
      <c r="K137" s="444"/>
      <c r="L137" s="444"/>
      <c r="M137" s="444"/>
      <c r="N137" s="444"/>
      <c r="O137" s="444"/>
      <c r="P137" s="444"/>
      <c r="Q137" s="444"/>
      <c r="R137" s="445"/>
      <c r="S137" s="445"/>
      <c r="T137" s="443"/>
      <c r="U137" s="443"/>
      <c r="V137" s="443"/>
      <c r="W137" s="443"/>
      <c r="X137" s="443"/>
      <c r="Y137" s="443"/>
      <c r="Z137" s="443"/>
    </row>
    <row r="138" ht="15.75" customHeight="1">
      <c r="A138" s="443"/>
      <c r="B138" s="443"/>
      <c r="C138" s="443"/>
      <c r="D138" s="443"/>
      <c r="E138" s="443"/>
      <c r="F138" s="443"/>
      <c r="G138" s="443"/>
      <c r="H138" s="443"/>
      <c r="I138" s="443"/>
      <c r="J138" s="444"/>
      <c r="K138" s="444"/>
      <c r="L138" s="444"/>
      <c r="M138" s="444"/>
      <c r="N138" s="444"/>
      <c r="O138" s="444"/>
      <c r="P138" s="444"/>
      <c r="Q138" s="444"/>
      <c r="R138" s="445"/>
      <c r="S138" s="445"/>
      <c r="T138" s="443"/>
      <c r="U138" s="443"/>
      <c r="V138" s="443"/>
      <c r="W138" s="443"/>
      <c r="X138" s="443"/>
      <c r="Y138" s="443"/>
      <c r="Z138" s="443"/>
    </row>
    <row r="139" ht="15.75" customHeight="1">
      <c r="A139" s="443"/>
      <c r="B139" s="443"/>
      <c r="C139" s="443"/>
      <c r="D139" s="443"/>
      <c r="E139" s="443"/>
      <c r="F139" s="443"/>
      <c r="G139" s="443"/>
      <c r="H139" s="443"/>
      <c r="I139" s="443"/>
      <c r="J139" s="444"/>
      <c r="K139" s="444"/>
      <c r="L139" s="444"/>
      <c r="M139" s="444"/>
      <c r="N139" s="444"/>
      <c r="O139" s="444"/>
      <c r="P139" s="444"/>
      <c r="Q139" s="444"/>
      <c r="R139" s="445"/>
      <c r="S139" s="445"/>
      <c r="T139" s="443"/>
      <c r="U139" s="443"/>
      <c r="V139" s="443"/>
      <c r="W139" s="443"/>
      <c r="X139" s="443"/>
      <c r="Y139" s="443"/>
      <c r="Z139" s="443"/>
    </row>
    <row r="140" ht="15.75" customHeight="1">
      <c r="A140" s="443"/>
      <c r="B140" s="443"/>
      <c r="C140" s="443"/>
      <c r="D140" s="443"/>
      <c r="E140" s="443"/>
      <c r="F140" s="443"/>
      <c r="G140" s="443"/>
      <c r="H140" s="443"/>
      <c r="I140" s="443"/>
      <c r="J140" s="444"/>
      <c r="K140" s="444"/>
      <c r="L140" s="444"/>
      <c r="M140" s="444"/>
      <c r="N140" s="444"/>
      <c r="O140" s="444"/>
      <c r="P140" s="444"/>
      <c r="Q140" s="444"/>
      <c r="R140" s="445"/>
      <c r="S140" s="445"/>
      <c r="T140" s="443"/>
      <c r="U140" s="443"/>
      <c r="V140" s="443"/>
      <c r="W140" s="443"/>
      <c r="X140" s="443"/>
      <c r="Y140" s="443"/>
      <c r="Z140" s="443"/>
    </row>
    <row r="141" ht="15.75" customHeight="1">
      <c r="A141" s="443"/>
      <c r="B141" s="443"/>
      <c r="C141" s="443"/>
      <c r="D141" s="443"/>
      <c r="E141" s="443"/>
      <c r="F141" s="443"/>
      <c r="G141" s="443"/>
      <c r="H141" s="443"/>
      <c r="I141" s="443"/>
      <c r="J141" s="444"/>
      <c r="K141" s="444"/>
      <c r="L141" s="444"/>
      <c r="M141" s="444"/>
      <c r="N141" s="444"/>
      <c r="O141" s="444"/>
      <c r="P141" s="444"/>
      <c r="Q141" s="444"/>
      <c r="R141" s="445"/>
      <c r="S141" s="445"/>
      <c r="T141" s="443"/>
      <c r="U141" s="443"/>
      <c r="V141" s="443"/>
      <c r="W141" s="443"/>
      <c r="X141" s="443"/>
      <c r="Y141" s="443"/>
      <c r="Z141" s="443"/>
    </row>
    <row r="142" ht="15.75" customHeight="1">
      <c r="A142" s="443"/>
      <c r="B142" s="443"/>
      <c r="C142" s="443"/>
      <c r="D142" s="443"/>
      <c r="E142" s="443"/>
      <c r="F142" s="443"/>
      <c r="G142" s="443"/>
      <c r="H142" s="443"/>
      <c r="I142" s="443"/>
      <c r="J142" s="444"/>
      <c r="K142" s="444"/>
      <c r="L142" s="444"/>
      <c r="M142" s="444"/>
      <c r="N142" s="444"/>
      <c r="O142" s="444"/>
      <c r="P142" s="444"/>
      <c r="Q142" s="444"/>
      <c r="R142" s="445"/>
      <c r="S142" s="445"/>
      <c r="T142" s="443"/>
      <c r="U142" s="443"/>
      <c r="V142" s="443"/>
      <c r="W142" s="443"/>
      <c r="X142" s="443"/>
      <c r="Y142" s="443"/>
      <c r="Z142" s="443"/>
    </row>
    <row r="143" ht="15.75" customHeight="1">
      <c r="A143" s="443"/>
      <c r="B143" s="443"/>
      <c r="C143" s="443"/>
      <c r="D143" s="443"/>
      <c r="E143" s="443"/>
      <c r="F143" s="443"/>
      <c r="G143" s="443"/>
      <c r="H143" s="443"/>
      <c r="I143" s="443"/>
      <c r="J143" s="444"/>
      <c r="K143" s="444"/>
      <c r="L143" s="444"/>
      <c r="M143" s="444"/>
      <c r="N143" s="444"/>
      <c r="O143" s="444"/>
      <c r="P143" s="444"/>
      <c r="Q143" s="444"/>
      <c r="R143" s="445"/>
      <c r="S143" s="445"/>
      <c r="T143" s="443"/>
      <c r="U143" s="443"/>
      <c r="V143" s="443"/>
      <c r="W143" s="443"/>
      <c r="X143" s="443"/>
      <c r="Y143" s="443"/>
      <c r="Z143" s="443"/>
    </row>
    <row r="144" ht="15.75" customHeight="1">
      <c r="A144" s="443"/>
      <c r="B144" s="443"/>
      <c r="C144" s="443"/>
      <c r="D144" s="443"/>
      <c r="E144" s="443"/>
      <c r="F144" s="443"/>
      <c r="G144" s="443"/>
      <c r="H144" s="443"/>
      <c r="I144" s="443"/>
      <c r="J144" s="444"/>
      <c r="K144" s="444"/>
      <c r="L144" s="444"/>
      <c r="M144" s="444"/>
      <c r="N144" s="444"/>
      <c r="O144" s="444"/>
      <c r="P144" s="444"/>
      <c r="Q144" s="444"/>
      <c r="R144" s="445"/>
      <c r="S144" s="445"/>
      <c r="T144" s="443"/>
      <c r="U144" s="443"/>
      <c r="V144" s="443"/>
      <c r="W144" s="443"/>
      <c r="X144" s="443"/>
      <c r="Y144" s="443"/>
      <c r="Z144" s="443"/>
    </row>
    <row r="145" ht="15.75" customHeight="1">
      <c r="A145" s="443"/>
      <c r="B145" s="443"/>
      <c r="C145" s="443"/>
      <c r="D145" s="443"/>
      <c r="E145" s="443"/>
      <c r="F145" s="443"/>
      <c r="G145" s="443"/>
      <c r="H145" s="443"/>
      <c r="I145" s="443"/>
      <c r="J145" s="444"/>
      <c r="K145" s="444"/>
      <c r="L145" s="444"/>
      <c r="M145" s="444"/>
      <c r="N145" s="444"/>
      <c r="O145" s="444"/>
      <c r="P145" s="444"/>
      <c r="Q145" s="444"/>
      <c r="R145" s="445"/>
      <c r="S145" s="445"/>
      <c r="T145" s="443"/>
      <c r="U145" s="443"/>
      <c r="V145" s="443"/>
      <c r="W145" s="443"/>
      <c r="X145" s="443"/>
      <c r="Y145" s="443"/>
      <c r="Z145" s="443"/>
    </row>
    <row r="146" ht="15.75" customHeight="1">
      <c r="A146" s="443"/>
      <c r="B146" s="443"/>
      <c r="C146" s="443"/>
      <c r="D146" s="443"/>
      <c r="E146" s="443"/>
      <c r="F146" s="443"/>
      <c r="G146" s="443"/>
      <c r="H146" s="443"/>
      <c r="I146" s="443"/>
      <c r="J146" s="444"/>
      <c r="K146" s="444"/>
      <c r="L146" s="444"/>
      <c r="M146" s="444"/>
      <c r="N146" s="444"/>
      <c r="O146" s="444"/>
      <c r="P146" s="444"/>
      <c r="Q146" s="444"/>
      <c r="R146" s="445"/>
      <c r="S146" s="445"/>
      <c r="T146" s="443"/>
      <c r="U146" s="443"/>
      <c r="V146" s="443"/>
      <c r="W146" s="443"/>
      <c r="X146" s="443"/>
      <c r="Y146" s="443"/>
      <c r="Z146" s="443"/>
    </row>
    <row r="147" ht="15.75" customHeight="1">
      <c r="A147" s="443"/>
      <c r="B147" s="443"/>
      <c r="C147" s="443"/>
      <c r="D147" s="443"/>
      <c r="E147" s="443"/>
      <c r="F147" s="443"/>
      <c r="G147" s="443"/>
      <c r="H147" s="443"/>
      <c r="I147" s="443"/>
      <c r="J147" s="444"/>
      <c r="K147" s="444"/>
      <c r="L147" s="444"/>
      <c r="M147" s="444"/>
      <c r="N147" s="444"/>
      <c r="O147" s="444"/>
      <c r="P147" s="444"/>
      <c r="Q147" s="444"/>
      <c r="R147" s="445"/>
      <c r="S147" s="445"/>
      <c r="T147" s="443"/>
      <c r="U147" s="443"/>
      <c r="V147" s="443"/>
      <c r="W147" s="443"/>
      <c r="X147" s="443"/>
      <c r="Y147" s="443"/>
      <c r="Z147" s="443"/>
    </row>
    <row r="148" ht="15.75" customHeight="1">
      <c r="A148" s="443"/>
      <c r="B148" s="443"/>
      <c r="C148" s="443"/>
      <c r="D148" s="443"/>
      <c r="E148" s="443"/>
      <c r="F148" s="443"/>
      <c r="G148" s="443"/>
      <c r="H148" s="443"/>
      <c r="I148" s="443"/>
      <c r="J148" s="444"/>
      <c r="K148" s="444"/>
      <c r="L148" s="444"/>
      <c r="M148" s="444"/>
      <c r="N148" s="444"/>
      <c r="O148" s="444"/>
      <c r="P148" s="444"/>
      <c r="Q148" s="444"/>
      <c r="R148" s="445"/>
      <c r="S148" s="445"/>
      <c r="T148" s="443"/>
      <c r="U148" s="443"/>
      <c r="V148" s="443"/>
      <c r="W148" s="443"/>
      <c r="X148" s="443"/>
      <c r="Y148" s="443"/>
      <c r="Z148" s="443"/>
    </row>
    <row r="149" ht="15.75" customHeight="1">
      <c r="A149" s="443"/>
      <c r="B149" s="443"/>
      <c r="C149" s="443"/>
      <c r="D149" s="443"/>
      <c r="E149" s="443"/>
      <c r="F149" s="443"/>
      <c r="G149" s="443"/>
      <c r="H149" s="443"/>
      <c r="I149" s="443"/>
      <c r="J149" s="444"/>
      <c r="K149" s="444"/>
      <c r="L149" s="444"/>
      <c r="M149" s="444"/>
      <c r="N149" s="444"/>
      <c r="O149" s="444"/>
      <c r="P149" s="444"/>
      <c r="Q149" s="444"/>
      <c r="R149" s="445"/>
      <c r="S149" s="445"/>
      <c r="T149" s="443"/>
      <c r="U149" s="443"/>
      <c r="V149" s="443"/>
      <c r="W149" s="443"/>
      <c r="X149" s="443"/>
      <c r="Y149" s="443"/>
      <c r="Z149" s="443"/>
    </row>
    <row r="150" ht="15.75" customHeight="1">
      <c r="A150" s="443"/>
      <c r="B150" s="443"/>
      <c r="C150" s="443"/>
      <c r="D150" s="443"/>
      <c r="E150" s="443"/>
      <c r="F150" s="443"/>
      <c r="G150" s="443"/>
      <c r="H150" s="443"/>
      <c r="I150" s="443"/>
      <c r="J150" s="444"/>
      <c r="K150" s="444"/>
      <c r="L150" s="444"/>
      <c r="M150" s="444"/>
      <c r="N150" s="444"/>
      <c r="O150" s="444"/>
      <c r="P150" s="444"/>
      <c r="Q150" s="444"/>
      <c r="R150" s="445"/>
      <c r="S150" s="445"/>
      <c r="T150" s="443"/>
      <c r="U150" s="443"/>
      <c r="V150" s="443"/>
      <c r="W150" s="443"/>
      <c r="X150" s="443"/>
      <c r="Y150" s="443"/>
      <c r="Z150" s="443"/>
    </row>
    <row r="151" ht="15.75" customHeight="1">
      <c r="A151" s="443"/>
      <c r="B151" s="443"/>
      <c r="C151" s="443"/>
      <c r="D151" s="443"/>
      <c r="E151" s="443"/>
      <c r="F151" s="443"/>
      <c r="G151" s="443"/>
      <c r="H151" s="443"/>
      <c r="I151" s="443"/>
      <c r="J151" s="444"/>
      <c r="K151" s="444"/>
      <c r="L151" s="444"/>
      <c r="M151" s="444"/>
      <c r="N151" s="444"/>
      <c r="O151" s="444"/>
      <c r="P151" s="444"/>
      <c r="Q151" s="444"/>
      <c r="R151" s="445"/>
      <c r="S151" s="445"/>
      <c r="T151" s="443"/>
      <c r="U151" s="443"/>
      <c r="V151" s="443"/>
      <c r="W151" s="443"/>
      <c r="X151" s="443"/>
      <c r="Y151" s="443"/>
      <c r="Z151" s="443"/>
    </row>
    <row r="152" ht="15.75" customHeight="1">
      <c r="A152" s="443"/>
      <c r="B152" s="443"/>
      <c r="C152" s="443"/>
      <c r="D152" s="443"/>
      <c r="E152" s="443"/>
      <c r="F152" s="443"/>
      <c r="G152" s="443"/>
      <c r="H152" s="443"/>
      <c r="I152" s="443"/>
      <c r="J152" s="444"/>
      <c r="K152" s="444"/>
      <c r="L152" s="444"/>
      <c r="M152" s="444"/>
      <c r="N152" s="444"/>
      <c r="O152" s="444"/>
      <c r="P152" s="444"/>
      <c r="Q152" s="444"/>
      <c r="R152" s="445"/>
      <c r="S152" s="445"/>
      <c r="T152" s="443"/>
      <c r="U152" s="443"/>
      <c r="V152" s="443"/>
      <c r="W152" s="443"/>
      <c r="X152" s="443"/>
      <c r="Y152" s="443"/>
      <c r="Z152" s="443"/>
    </row>
    <row r="153" ht="15.75" customHeight="1">
      <c r="A153" s="443"/>
      <c r="B153" s="443"/>
      <c r="C153" s="443"/>
      <c r="D153" s="443"/>
      <c r="E153" s="443"/>
      <c r="F153" s="443"/>
      <c r="G153" s="443"/>
      <c r="H153" s="443"/>
      <c r="I153" s="443"/>
      <c r="J153" s="444"/>
      <c r="K153" s="444"/>
      <c r="L153" s="444"/>
      <c r="M153" s="444"/>
      <c r="N153" s="444"/>
      <c r="O153" s="444"/>
      <c r="P153" s="444"/>
      <c r="Q153" s="444"/>
      <c r="R153" s="445"/>
      <c r="S153" s="445"/>
      <c r="T153" s="443"/>
      <c r="U153" s="443"/>
      <c r="V153" s="443"/>
      <c r="W153" s="443"/>
      <c r="X153" s="443"/>
      <c r="Y153" s="443"/>
      <c r="Z153" s="443"/>
    </row>
    <row r="154" ht="15.75" customHeight="1">
      <c r="A154" s="443"/>
      <c r="B154" s="443"/>
      <c r="C154" s="443"/>
      <c r="D154" s="443"/>
      <c r="E154" s="443"/>
      <c r="F154" s="443"/>
      <c r="G154" s="443"/>
      <c r="H154" s="443"/>
      <c r="I154" s="443"/>
      <c r="J154" s="444"/>
      <c r="K154" s="444"/>
      <c r="L154" s="444"/>
      <c r="M154" s="444"/>
      <c r="N154" s="444"/>
      <c r="O154" s="444"/>
      <c r="P154" s="444"/>
      <c r="Q154" s="444"/>
      <c r="R154" s="445"/>
      <c r="S154" s="445"/>
      <c r="T154" s="443"/>
      <c r="U154" s="443"/>
      <c r="V154" s="443"/>
      <c r="W154" s="443"/>
      <c r="X154" s="443"/>
      <c r="Y154" s="443"/>
      <c r="Z154" s="443"/>
    </row>
    <row r="155" ht="15.75" customHeight="1">
      <c r="A155" s="443"/>
      <c r="B155" s="443"/>
      <c r="C155" s="443"/>
      <c r="D155" s="443"/>
      <c r="E155" s="443"/>
      <c r="F155" s="443"/>
      <c r="G155" s="443"/>
      <c r="H155" s="443"/>
      <c r="I155" s="443"/>
      <c r="J155" s="444"/>
      <c r="K155" s="444"/>
      <c r="L155" s="444"/>
      <c r="M155" s="444"/>
      <c r="N155" s="444"/>
      <c r="O155" s="444"/>
      <c r="P155" s="444"/>
      <c r="Q155" s="444"/>
      <c r="R155" s="445"/>
      <c r="S155" s="445"/>
      <c r="T155" s="443"/>
      <c r="U155" s="443"/>
      <c r="V155" s="443"/>
      <c r="W155" s="443"/>
      <c r="X155" s="443"/>
      <c r="Y155" s="443"/>
      <c r="Z155" s="443"/>
    </row>
    <row r="156" ht="15.75" customHeight="1">
      <c r="A156" s="443"/>
      <c r="B156" s="443"/>
      <c r="C156" s="443"/>
      <c r="D156" s="443"/>
      <c r="E156" s="443"/>
      <c r="F156" s="443"/>
      <c r="G156" s="443"/>
      <c r="H156" s="443"/>
      <c r="I156" s="443"/>
      <c r="J156" s="444"/>
      <c r="K156" s="444"/>
      <c r="L156" s="444"/>
      <c r="M156" s="444"/>
      <c r="N156" s="444"/>
      <c r="O156" s="444"/>
      <c r="P156" s="444"/>
      <c r="Q156" s="444"/>
      <c r="R156" s="445"/>
      <c r="S156" s="445"/>
      <c r="T156" s="443"/>
      <c r="U156" s="443"/>
      <c r="V156" s="443"/>
      <c r="W156" s="443"/>
      <c r="X156" s="443"/>
      <c r="Y156" s="443"/>
      <c r="Z156" s="443"/>
    </row>
    <row r="157" ht="15.75" customHeight="1">
      <c r="A157" s="443"/>
      <c r="B157" s="443"/>
      <c r="C157" s="443"/>
      <c r="D157" s="443"/>
      <c r="E157" s="443"/>
      <c r="F157" s="443"/>
      <c r="G157" s="443"/>
      <c r="H157" s="443"/>
      <c r="I157" s="443"/>
      <c r="J157" s="444"/>
      <c r="K157" s="444"/>
      <c r="L157" s="444"/>
      <c r="M157" s="444"/>
      <c r="N157" s="444"/>
      <c r="O157" s="444"/>
      <c r="P157" s="444"/>
      <c r="Q157" s="444"/>
      <c r="R157" s="445"/>
      <c r="S157" s="445"/>
      <c r="T157" s="443"/>
      <c r="U157" s="443"/>
      <c r="V157" s="443"/>
      <c r="W157" s="443"/>
      <c r="X157" s="443"/>
      <c r="Y157" s="443"/>
      <c r="Z157" s="443"/>
    </row>
    <row r="158" ht="15.75" customHeight="1">
      <c r="A158" s="443"/>
      <c r="B158" s="443"/>
      <c r="C158" s="443"/>
      <c r="D158" s="443"/>
      <c r="E158" s="443"/>
      <c r="F158" s="443"/>
      <c r="G158" s="443"/>
      <c r="H158" s="443"/>
      <c r="I158" s="443"/>
      <c r="J158" s="444"/>
      <c r="K158" s="444"/>
      <c r="L158" s="444"/>
      <c r="M158" s="444"/>
      <c r="N158" s="444"/>
      <c r="O158" s="444"/>
      <c r="P158" s="444"/>
      <c r="Q158" s="444"/>
      <c r="R158" s="445"/>
      <c r="S158" s="445"/>
      <c r="T158" s="443"/>
      <c r="U158" s="443"/>
      <c r="V158" s="443"/>
      <c r="W158" s="443"/>
      <c r="X158" s="443"/>
      <c r="Y158" s="443"/>
      <c r="Z158" s="443"/>
    </row>
    <row r="159" ht="15.75" customHeight="1">
      <c r="A159" s="443"/>
      <c r="B159" s="443"/>
      <c r="C159" s="443"/>
      <c r="D159" s="443"/>
      <c r="E159" s="443"/>
      <c r="F159" s="443"/>
      <c r="G159" s="443"/>
      <c r="H159" s="443"/>
      <c r="I159" s="443"/>
      <c r="J159" s="444"/>
      <c r="K159" s="444"/>
      <c r="L159" s="444"/>
      <c r="M159" s="444"/>
      <c r="N159" s="444"/>
      <c r="O159" s="444"/>
      <c r="P159" s="444"/>
      <c r="Q159" s="444"/>
      <c r="R159" s="445"/>
      <c r="S159" s="445"/>
      <c r="T159" s="443"/>
      <c r="U159" s="443"/>
      <c r="V159" s="443"/>
      <c r="W159" s="443"/>
      <c r="X159" s="443"/>
      <c r="Y159" s="443"/>
      <c r="Z159" s="443"/>
    </row>
    <row r="160" ht="15.75" customHeight="1">
      <c r="A160" s="443"/>
      <c r="B160" s="443"/>
      <c r="C160" s="443"/>
      <c r="D160" s="443"/>
      <c r="E160" s="443"/>
      <c r="F160" s="443"/>
      <c r="G160" s="443"/>
      <c r="H160" s="443"/>
      <c r="I160" s="443"/>
      <c r="J160" s="444"/>
      <c r="K160" s="444"/>
      <c r="L160" s="444"/>
      <c r="M160" s="444"/>
      <c r="N160" s="444"/>
      <c r="O160" s="444"/>
      <c r="P160" s="444"/>
      <c r="Q160" s="444"/>
      <c r="R160" s="445"/>
      <c r="S160" s="445"/>
      <c r="T160" s="443"/>
      <c r="U160" s="443"/>
      <c r="V160" s="443"/>
      <c r="W160" s="443"/>
      <c r="X160" s="443"/>
      <c r="Y160" s="443"/>
      <c r="Z160" s="443"/>
    </row>
    <row r="161" ht="15.75" customHeight="1">
      <c r="A161" s="443"/>
      <c r="B161" s="443"/>
      <c r="C161" s="443"/>
      <c r="D161" s="443"/>
      <c r="E161" s="443"/>
      <c r="F161" s="443"/>
      <c r="G161" s="443"/>
      <c r="H161" s="443"/>
      <c r="I161" s="443"/>
      <c r="J161" s="444"/>
      <c r="K161" s="444"/>
      <c r="L161" s="444"/>
      <c r="M161" s="444"/>
      <c r="N161" s="444"/>
      <c r="O161" s="444"/>
      <c r="P161" s="444"/>
      <c r="Q161" s="444"/>
      <c r="R161" s="445"/>
      <c r="S161" s="445"/>
      <c r="T161" s="443"/>
      <c r="U161" s="443"/>
      <c r="V161" s="443"/>
      <c r="W161" s="443"/>
      <c r="X161" s="443"/>
      <c r="Y161" s="443"/>
      <c r="Z161" s="443"/>
    </row>
    <row r="162" ht="15.75" customHeight="1">
      <c r="A162" s="443"/>
      <c r="B162" s="443"/>
      <c r="C162" s="443"/>
      <c r="D162" s="443"/>
      <c r="E162" s="443"/>
      <c r="F162" s="443"/>
      <c r="G162" s="443"/>
      <c r="H162" s="443"/>
      <c r="I162" s="443"/>
      <c r="J162" s="444"/>
      <c r="K162" s="444"/>
      <c r="L162" s="444"/>
      <c r="M162" s="444"/>
      <c r="N162" s="444"/>
      <c r="O162" s="444"/>
      <c r="P162" s="444"/>
      <c r="Q162" s="444"/>
      <c r="R162" s="445"/>
      <c r="S162" s="445"/>
      <c r="T162" s="443"/>
      <c r="U162" s="443"/>
      <c r="V162" s="443"/>
      <c r="W162" s="443"/>
      <c r="X162" s="443"/>
      <c r="Y162" s="443"/>
      <c r="Z162" s="443"/>
    </row>
    <row r="163" ht="15.75" customHeight="1">
      <c r="A163" s="443"/>
      <c r="B163" s="443"/>
      <c r="C163" s="443"/>
      <c r="D163" s="443"/>
      <c r="E163" s="443"/>
      <c r="F163" s="443"/>
      <c r="G163" s="443"/>
      <c r="H163" s="443"/>
      <c r="I163" s="443"/>
      <c r="J163" s="444"/>
      <c r="K163" s="444"/>
      <c r="L163" s="444"/>
      <c r="M163" s="444"/>
      <c r="N163" s="444"/>
      <c r="O163" s="444"/>
      <c r="P163" s="444"/>
      <c r="Q163" s="444"/>
      <c r="R163" s="445"/>
      <c r="S163" s="445"/>
      <c r="T163" s="443"/>
      <c r="U163" s="443"/>
      <c r="V163" s="443"/>
      <c r="W163" s="443"/>
      <c r="X163" s="443"/>
      <c r="Y163" s="443"/>
      <c r="Z163" s="443"/>
    </row>
    <row r="164" ht="15.75" customHeight="1">
      <c r="A164" s="443"/>
      <c r="B164" s="443"/>
      <c r="C164" s="443"/>
      <c r="D164" s="443"/>
      <c r="E164" s="443"/>
      <c r="F164" s="443"/>
      <c r="G164" s="443"/>
      <c r="H164" s="443"/>
      <c r="I164" s="443"/>
      <c r="J164" s="444"/>
      <c r="K164" s="444"/>
      <c r="L164" s="444"/>
      <c r="M164" s="444"/>
      <c r="N164" s="444"/>
      <c r="O164" s="444"/>
      <c r="P164" s="444"/>
      <c r="Q164" s="444"/>
      <c r="R164" s="445"/>
      <c r="S164" s="445"/>
      <c r="T164" s="443"/>
      <c r="U164" s="443"/>
      <c r="V164" s="443"/>
      <c r="W164" s="443"/>
      <c r="X164" s="443"/>
      <c r="Y164" s="443"/>
      <c r="Z164" s="443"/>
    </row>
    <row r="165" ht="15.75" customHeight="1">
      <c r="A165" s="443"/>
      <c r="B165" s="443"/>
      <c r="C165" s="443"/>
      <c r="D165" s="443"/>
      <c r="E165" s="443"/>
      <c r="F165" s="443"/>
      <c r="G165" s="443"/>
      <c r="H165" s="443"/>
      <c r="I165" s="443"/>
      <c r="J165" s="444"/>
      <c r="K165" s="444"/>
      <c r="L165" s="444"/>
      <c r="M165" s="444"/>
      <c r="N165" s="444"/>
      <c r="O165" s="444"/>
      <c r="P165" s="444"/>
      <c r="Q165" s="444"/>
      <c r="R165" s="445"/>
      <c r="S165" s="445"/>
      <c r="T165" s="443"/>
      <c r="U165" s="443"/>
      <c r="V165" s="443"/>
      <c r="W165" s="443"/>
      <c r="X165" s="443"/>
      <c r="Y165" s="443"/>
      <c r="Z165" s="443"/>
    </row>
    <row r="166" ht="15.75" customHeight="1">
      <c r="A166" s="443"/>
      <c r="B166" s="443"/>
      <c r="C166" s="443"/>
      <c r="D166" s="443"/>
      <c r="E166" s="443"/>
      <c r="F166" s="443"/>
      <c r="G166" s="443"/>
      <c r="H166" s="443"/>
      <c r="I166" s="443"/>
      <c r="J166" s="444"/>
      <c r="K166" s="444"/>
      <c r="L166" s="444"/>
      <c r="M166" s="444"/>
      <c r="N166" s="444"/>
      <c r="O166" s="444"/>
      <c r="P166" s="444"/>
      <c r="Q166" s="444"/>
      <c r="R166" s="445"/>
      <c r="S166" s="445"/>
      <c r="T166" s="443"/>
      <c r="U166" s="443"/>
      <c r="V166" s="443"/>
      <c r="W166" s="443"/>
      <c r="X166" s="443"/>
      <c r="Y166" s="443"/>
      <c r="Z166" s="443"/>
    </row>
    <row r="167" ht="15.75" customHeight="1">
      <c r="A167" s="443"/>
      <c r="B167" s="443"/>
      <c r="C167" s="443"/>
      <c r="D167" s="443"/>
      <c r="E167" s="443"/>
      <c r="F167" s="443"/>
      <c r="G167" s="443"/>
      <c r="H167" s="443"/>
      <c r="I167" s="443"/>
      <c r="J167" s="444"/>
      <c r="K167" s="444"/>
      <c r="L167" s="444"/>
      <c r="M167" s="444"/>
      <c r="N167" s="444"/>
      <c r="O167" s="444"/>
      <c r="P167" s="444"/>
      <c r="Q167" s="444"/>
      <c r="R167" s="445"/>
      <c r="S167" s="445"/>
      <c r="T167" s="443"/>
      <c r="U167" s="443"/>
      <c r="V167" s="443"/>
      <c r="W167" s="443"/>
      <c r="X167" s="443"/>
      <c r="Y167" s="443"/>
      <c r="Z167" s="443"/>
    </row>
    <row r="168" ht="15.75" customHeight="1">
      <c r="A168" s="443"/>
      <c r="B168" s="443"/>
      <c r="C168" s="443"/>
      <c r="D168" s="443"/>
      <c r="E168" s="443"/>
      <c r="F168" s="443"/>
      <c r="G168" s="443"/>
      <c r="H168" s="443"/>
      <c r="I168" s="443"/>
      <c r="J168" s="444"/>
      <c r="K168" s="444"/>
      <c r="L168" s="444"/>
      <c r="M168" s="444"/>
      <c r="N168" s="444"/>
      <c r="O168" s="444"/>
      <c r="P168" s="444"/>
      <c r="Q168" s="444"/>
      <c r="R168" s="445"/>
      <c r="S168" s="445"/>
      <c r="T168" s="443"/>
      <c r="U168" s="443"/>
      <c r="V168" s="443"/>
      <c r="W168" s="443"/>
      <c r="X168" s="443"/>
      <c r="Y168" s="443"/>
      <c r="Z168" s="443"/>
    </row>
    <row r="169" ht="15.75" customHeight="1">
      <c r="A169" s="443"/>
      <c r="B169" s="443"/>
      <c r="C169" s="443"/>
      <c r="D169" s="443"/>
      <c r="E169" s="443"/>
      <c r="F169" s="443"/>
      <c r="G169" s="443"/>
      <c r="H169" s="443"/>
      <c r="I169" s="443"/>
      <c r="J169" s="444"/>
      <c r="K169" s="444"/>
      <c r="L169" s="444"/>
      <c r="M169" s="444"/>
      <c r="N169" s="444"/>
      <c r="O169" s="444"/>
      <c r="P169" s="444"/>
      <c r="Q169" s="444"/>
      <c r="R169" s="445"/>
      <c r="S169" s="445"/>
      <c r="T169" s="443"/>
      <c r="U169" s="443"/>
      <c r="V169" s="443"/>
      <c r="W169" s="443"/>
      <c r="X169" s="443"/>
      <c r="Y169" s="443"/>
      <c r="Z169" s="443"/>
    </row>
    <row r="170" ht="15.75" customHeight="1">
      <c r="A170" s="443"/>
      <c r="B170" s="443"/>
      <c r="C170" s="443"/>
      <c r="D170" s="443"/>
      <c r="E170" s="443"/>
      <c r="F170" s="443"/>
      <c r="G170" s="443"/>
      <c r="H170" s="443"/>
      <c r="I170" s="443"/>
      <c r="J170" s="444"/>
      <c r="K170" s="444"/>
      <c r="L170" s="444"/>
      <c r="M170" s="444"/>
      <c r="N170" s="444"/>
      <c r="O170" s="444"/>
      <c r="P170" s="444"/>
      <c r="Q170" s="444"/>
      <c r="R170" s="445"/>
      <c r="S170" s="445"/>
      <c r="T170" s="443"/>
      <c r="U170" s="443"/>
      <c r="V170" s="443"/>
      <c r="W170" s="443"/>
      <c r="X170" s="443"/>
      <c r="Y170" s="443"/>
      <c r="Z170" s="443"/>
    </row>
    <row r="171" ht="15.75" customHeight="1">
      <c r="A171" s="443"/>
      <c r="B171" s="443"/>
      <c r="C171" s="443"/>
      <c r="D171" s="443"/>
      <c r="E171" s="443"/>
      <c r="F171" s="443"/>
      <c r="G171" s="443"/>
      <c r="H171" s="443"/>
      <c r="I171" s="443"/>
      <c r="J171" s="444"/>
      <c r="K171" s="444"/>
      <c r="L171" s="444"/>
      <c r="M171" s="444"/>
      <c r="N171" s="444"/>
      <c r="O171" s="444"/>
      <c r="P171" s="444"/>
      <c r="Q171" s="444"/>
      <c r="R171" s="445"/>
      <c r="S171" s="445"/>
      <c r="T171" s="443"/>
      <c r="U171" s="443"/>
      <c r="V171" s="443"/>
      <c r="W171" s="443"/>
      <c r="X171" s="443"/>
      <c r="Y171" s="443"/>
      <c r="Z171" s="443"/>
    </row>
    <row r="172" ht="15.75" customHeight="1">
      <c r="A172" s="443"/>
      <c r="B172" s="443"/>
      <c r="C172" s="443"/>
      <c r="D172" s="443"/>
      <c r="E172" s="443"/>
      <c r="F172" s="443"/>
      <c r="G172" s="443"/>
      <c r="H172" s="443"/>
      <c r="I172" s="443"/>
      <c r="J172" s="444"/>
      <c r="K172" s="444"/>
      <c r="L172" s="444"/>
      <c r="M172" s="444"/>
      <c r="N172" s="444"/>
      <c r="O172" s="444"/>
      <c r="P172" s="444"/>
      <c r="Q172" s="444"/>
      <c r="R172" s="445"/>
      <c r="S172" s="445"/>
      <c r="T172" s="443"/>
      <c r="U172" s="443"/>
      <c r="V172" s="443"/>
      <c r="W172" s="443"/>
      <c r="X172" s="443"/>
      <c r="Y172" s="443"/>
      <c r="Z172" s="443"/>
    </row>
    <row r="173" ht="15.75" customHeight="1">
      <c r="A173" s="443"/>
      <c r="B173" s="443"/>
      <c r="C173" s="443"/>
      <c r="D173" s="443"/>
      <c r="E173" s="443"/>
      <c r="F173" s="443"/>
      <c r="G173" s="443"/>
      <c r="H173" s="443"/>
      <c r="I173" s="443"/>
      <c r="J173" s="444"/>
      <c r="K173" s="444"/>
      <c r="L173" s="444"/>
      <c r="M173" s="444"/>
      <c r="N173" s="444"/>
      <c r="O173" s="444"/>
      <c r="P173" s="444"/>
      <c r="Q173" s="444"/>
      <c r="R173" s="445"/>
      <c r="S173" s="445"/>
      <c r="T173" s="443"/>
      <c r="U173" s="443"/>
      <c r="V173" s="443"/>
      <c r="W173" s="443"/>
      <c r="X173" s="443"/>
      <c r="Y173" s="443"/>
      <c r="Z173" s="443"/>
    </row>
    <row r="174" ht="15.75" customHeight="1">
      <c r="A174" s="443"/>
      <c r="B174" s="443"/>
      <c r="C174" s="443"/>
      <c r="D174" s="443"/>
      <c r="E174" s="443"/>
      <c r="F174" s="443"/>
      <c r="G174" s="443"/>
      <c r="H174" s="443"/>
      <c r="I174" s="443"/>
      <c r="J174" s="444"/>
      <c r="K174" s="444"/>
      <c r="L174" s="444"/>
      <c r="M174" s="444"/>
      <c r="N174" s="444"/>
      <c r="O174" s="444"/>
      <c r="P174" s="444"/>
      <c r="Q174" s="444"/>
      <c r="R174" s="445"/>
      <c r="S174" s="445"/>
      <c r="T174" s="443"/>
      <c r="U174" s="443"/>
      <c r="V174" s="443"/>
      <c r="W174" s="443"/>
      <c r="X174" s="443"/>
      <c r="Y174" s="443"/>
      <c r="Z174" s="443"/>
    </row>
    <row r="175" ht="15.75" customHeight="1">
      <c r="A175" s="443"/>
      <c r="B175" s="443"/>
      <c r="C175" s="443"/>
      <c r="D175" s="443"/>
      <c r="E175" s="443"/>
      <c r="F175" s="443"/>
      <c r="G175" s="443"/>
      <c r="H175" s="443"/>
      <c r="I175" s="443"/>
      <c r="J175" s="444"/>
      <c r="K175" s="444"/>
      <c r="L175" s="444"/>
      <c r="M175" s="444"/>
      <c r="N175" s="444"/>
      <c r="O175" s="444"/>
      <c r="P175" s="444"/>
      <c r="Q175" s="444"/>
      <c r="R175" s="445"/>
      <c r="S175" s="445"/>
      <c r="T175" s="443"/>
      <c r="U175" s="443"/>
      <c r="V175" s="443"/>
      <c r="W175" s="443"/>
      <c r="X175" s="443"/>
      <c r="Y175" s="443"/>
      <c r="Z175" s="443"/>
    </row>
    <row r="176" ht="15.75" customHeight="1">
      <c r="A176" s="443"/>
      <c r="B176" s="443"/>
      <c r="C176" s="443"/>
      <c r="D176" s="443"/>
      <c r="E176" s="443"/>
      <c r="F176" s="443"/>
      <c r="G176" s="443"/>
      <c r="H176" s="443"/>
      <c r="I176" s="443"/>
      <c r="J176" s="444"/>
      <c r="K176" s="444"/>
      <c r="L176" s="444"/>
      <c r="M176" s="444"/>
      <c r="N176" s="444"/>
      <c r="O176" s="444"/>
      <c r="P176" s="444"/>
      <c r="Q176" s="444"/>
      <c r="R176" s="445"/>
      <c r="S176" s="445"/>
      <c r="T176" s="443"/>
      <c r="U176" s="443"/>
      <c r="V176" s="443"/>
      <c r="W176" s="443"/>
      <c r="X176" s="443"/>
      <c r="Y176" s="443"/>
      <c r="Z176" s="443"/>
    </row>
    <row r="177" ht="15.75" customHeight="1">
      <c r="A177" s="443"/>
      <c r="B177" s="443"/>
      <c r="C177" s="443"/>
      <c r="D177" s="443"/>
      <c r="E177" s="443"/>
      <c r="F177" s="443"/>
      <c r="G177" s="443"/>
      <c r="H177" s="443"/>
      <c r="I177" s="443"/>
      <c r="J177" s="444"/>
      <c r="K177" s="444"/>
      <c r="L177" s="444"/>
      <c r="M177" s="444"/>
      <c r="N177" s="444"/>
      <c r="O177" s="444"/>
      <c r="P177" s="444"/>
      <c r="Q177" s="444"/>
      <c r="R177" s="445"/>
      <c r="S177" s="445"/>
      <c r="T177" s="443"/>
      <c r="U177" s="443"/>
      <c r="V177" s="443"/>
      <c r="W177" s="443"/>
      <c r="X177" s="443"/>
      <c r="Y177" s="443"/>
      <c r="Z177" s="443"/>
    </row>
    <row r="178" ht="15.75" customHeight="1">
      <c r="A178" s="443"/>
      <c r="B178" s="443"/>
      <c r="C178" s="443"/>
      <c r="D178" s="443"/>
      <c r="E178" s="443"/>
      <c r="F178" s="443"/>
      <c r="G178" s="443"/>
      <c r="H178" s="443"/>
      <c r="I178" s="443"/>
      <c r="J178" s="444"/>
      <c r="K178" s="444"/>
      <c r="L178" s="444"/>
      <c r="M178" s="444"/>
      <c r="N178" s="444"/>
      <c r="O178" s="444"/>
      <c r="P178" s="444"/>
      <c r="Q178" s="444"/>
      <c r="R178" s="445"/>
      <c r="S178" s="445"/>
      <c r="T178" s="443"/>
      <c r="U178" s="443"/>
      <c r="V178" s="443"/>
      <c r="W178" s="443"/>
      <c r="X178" s="443"/>
      <c r="Y178" s="443"/>
      <c r="Z178" s="443"/>
    </row>
    <row r="179" ht="15.75" customHeight="1">
      <c r="A179" s="443"/>
      <c r="B179" s="443"/>
      <c r="C179" s="443"/>
      <c r="D179" s="443"/>
      <c r="E179" s="443"/>
      <c r="F179" s="443"/>
      <c r="G179" s="443"/>
      <c r="H179" s="443"/>
      <c r="I179" s="443"/>
      <c r="J179" s="444"/>
      <c r="K179" s="444"/>
      <c r="L179" s="444"/>
      <c r="M179" s="444"/>
      <c r="N179" s="444"/>
      <c r="O179" s="444"/>
      <c r="P179" s="444"/>
      <c r="Q179" s="444"/>
      <c r="R179" s="445"/>
      <c r="S179" s="445"/>
      <c r="T179" s="443"/>
      <c r="U179" s="443"/>
      <c r="V179" s="443"/>
      <c r="W179" s="443"/>
      <c r="X179" s="443"/>
      <c r="Y179" s="443"/>
      <c r="Z179" s="443"/>
    </row>
    <row r="180" ht="15.75" customHeight="1">
      <c r="A180" s="443"/>
      <c r="B180" s="443"/>
      <c r="C180" s="443"/>
      <c r="D180" s="443"/>
      <c r="E180" s="443"/>
      <c r="F180" s="443"/>
      <c r="G180" s="443"/>
      <c r="H180" s="443"/>
      <c r="I180" s="443"/>
      <c r="J180" s="444"/>
      <c r="K180" s="444"/>
      <c r="L180" s="444"/>
      <c r="M180" s="444"/>
      <c r="N180" s="444"/>
      <c r="O180" s="444"/>
      <c r="P180" s="444"/>
      <c r="Q180" s="444"/>
      <c r="R180" s="445"/>
      <c r="S180" s="445"/>
      <c r="T180" s="443"/>
      <c r="U180" s="443"/>
      <c r="V180" s="443"/>
      <c r="W180" s="443"/>
      <c r="X180" s="443"/>
      <c r="Y180" s="443"/>
      <c r="Z180" s="443"/>
    </row>
    <row r="181" ht="15.75" customHeight="1">
      <c r="A181" s="443"/>
      <c r="B181" s="443"/>
      <c r="C181" s="443"/>
      <c r="D181" s="443"/>
      <c r="E181" s="443"/>
      <c r="F181" s="443"/>
      <c r="G181" s="443"/>
      <c r="H181" s="443"/>
      <c r="I181" s="443"/>
      <c r="J181" s="444"/>
      <c r="K181" s="444"/>
      <c r="L181" s="444"/>
      <c r="M181" s="444"/>
      <c r="N181" s="444"/>
      <c r="O181" s="444"/>
      <c r="P181" s="444"/>
      <c r="Q181" s="444"/>
      <c r="R181" s="445"/>
      <c r="S181" s="445"/>
      <c r="T181" s="443"/>
      <c r="U181" s="443"/>
      <c r="V181" s="443"/>
      <c r="W181" s="443"/>
      <c r="X181" s="443"/>
      <c r="Y181" s="443"/>
      <c r="Z181" s="443"/>
    </row>
    <row r="182" ht="15.75" customHeight="1">
      <c r="A182" s="443"/>
      <c r="B182" s="443"/>
      <c r="C182" s="443"/>
      <c r="D182" s="443"/>
      <c r="E182" s="443"/>
      <c r="F182" s="443"/>
      <c r="G182" s="443"/>
      <c r="H182" s="443"/>
      <c r="I182" s="443"/>
      <c r="J182" s="444"/>
      <c r="K182" s="444"/>
      <c r="L182" s="444"/>
      <c r="M182" s="444"/>
      <c r="N182" s="444"/>
      <c r="O182" s="444"/>
      <c r="P182" s="444"/>
      <c r="Q182" s="444"/>
      <c r="R182" s="445"/>
      <c r="S182" s="445"/>
      <c r="T182" s="443"/>
      <c r="U182" s="443"/>
      <c r="V182" s="443"/>
      <c r="W182" s="443"/>
      <c r="X182" s="443"/>
      <c r="Y182" s="443"/>
      <c r="Z182" s="443"/>
    </row>
    <row r="183" ht="15.75" customHeight="1">
      <c r="A183" s="443"/>
      <c r="B183" s="443"/>
      <c r="C183" s="443"/>
      <c r="D183" s="443"/>
      <c r="E183" s="443"/>
      <c r="F183" s="443"/>
      <c r="G183" s="443"/>
      <c r="H183" s="443"/>
      <c r="I183" s="443"/>
      <c r="J183" s="444"/>
      <c r="K183" s="444"/>
      <c r="L183" s="444"/>
      <c r="M183" s="444"/>
      <c r="N183" s="444"/>
      <c r="O183" s="444"/>
      <c r="P183" s="444"/>
      <c r="Q183" s="444"/>
      <c r="R183" s="445"/>
      <c r="S183" s="445"/>
      <c r="T183" s="443"/>
      <c r="U183" s="443"/>
      <c r="V183" s="443"/>
      <c r="W183" s="443"/>
      <c r="X183" s="443"/>
      <c r="Y183" s="443"/>
      <c r="Z183" s="443"/>
    </row>
    <row r="184" ht="15.75" customHeight="1">
      <c r="A184" s="443"/>
      <c r="B184" s="443"/>
      <c r="C184" s="443"/>
      <c r="D184" s="443"/>
      <c r="E184" s="443"/>
      <c r="F184" s="443"/>
      <c r="G184" s="443"/>
      <c r="H184" s="443"/>
      <c r="I184" s="443"/>
      <c r="J184" s="444"/>
      <c r="K184" s="444"/>
      <c r="L184" s="444"/>
      <c r="M184" s="444"/>
      <c r="N184" s="444"/>
      <c r="O184" s="444"/>
      <c r="P184" s="444"/>
      <c r="Q184" s="444"/>
      <c r="R184" s="445"/>
      <c r="S184" s="445"/>
      <c r="T184" s="443"/>
      <c r="U184" s="443"/>
      <c r="V184" s="443"/>
      <c r="W184" s="443"/>
      <c r="X184" s="443"/>
      <c r="Y184" s="443"/>
      <c r="Z184" s="443"/>
    </row>
    <row r="185" ht="15.75" customHeight="1">
      <c r="A185" s="443"/>
      <c r="B185" s="443"/>
      <c r="C185" s="443"/>
      <c r="D185" s="443"/>
      <c r="E185" s="443"/>
      <c r="F185" s="443"/>
      <c r="G185" s="443"/>
      <c r="H185" s="443"/>
      <c r="I185" s="443"/>
      <c r="J185" s="444"/>
      <c r="K185" s="444"/>
      <c r="L185" s="444"/>
      <c r="M185" s="444"/>
      <c r="N185" s="444"/>
      <c r="O185" s="444"/>
      <c r="P185" s="444"/>
      <c r="Q185" s="444"/>
      <c r="R185" s="445"/>
      <c r="S185" s="445"/>
      <c r="T185" s="443"/>
      <c r="U185" s="443"/>
      <c r="V185" s="443"/>
      <c r="W185" s="443"/>
      <c r="X185" s="443"/>
      <c r="Y185" s="443"/>
      <c r="Z185" s="443"/>
    </row>
    <row r="186" ht="15.75" customHeight="1">
      <c r="A186" s="443"/>
      <c r="B186" s="443"/>
      <c r="C186" s="443"/>
      <c r="D186" s="443"/>
      <c r="E186" s="443"/>
      <c r="F186" s="443"/>
      <c r="G186" s="443"/>
      <c r="H186" s="443"/>
      <c r="I186" s="443"/>
      <c r="J186" s="444"/>
      <c r="K186" s="444"/>
      <c r="L186" s="444"/>
      <c r="M186" s="444"/>
      <c r="N186" s="444"/>
      <c r="O186" s="444"/>
      <c r="P186" s="444"/>
      <c r="Q186" s="444"/>
      <c r="R186" s="445"/>
      <c r="S186" s="445"/>
      <c r="T186" s="443"/>
      <c r="U186" s="443"/>
      <c r="V186" s="443"/>
      <c r="W186" s="443"/>
      <c r="X186" s="443"/>
      <c r="Y186" s="443"/>
      <c r="Z186" s="443"/>
    </row>
    <row r="187" ht="15.75" customHeight="1">
      <c r="A187" s="443"/>
      <c r="B187" s="443"/>
      <c r="C187" s="443"/>
      <c r="D187" s="443"/>
      <c r="E187" s="443"/>
      <c r="F187" s="443"/>
      <c r="G187" s="443"/>
      <c r="H187" s="443"/>
      <c r="I187" s="443"/>
      <c r="J187" s="444"/>
      <c r="K187" s="444"/>
      <c r="L187" s="444"/>
      <c r="M187" s="444"/>
      <c r="N187" s="444"/>
      <c r="O187" s="444"/>
      <c r="P187" s="444"/>
      <c r="Q187" s="444"/>
      <c r="R187" s="445"/>
      <c r="S187" s="445"/>
      <c r="T187" s="443"/>
      <c r="U187" s="443"/>
      <c r="V187" s="443"/>
      <c r="W187" s="443"/>
      <c r="X187" s="443"/>
      <c r="Y187" s="443"/>
      <c r="Z187" s="443"/>
    </row>
    <row r="188" ht="15.75" customHeight="1">
      <c r="A188" s="443"/>
      <c r="B188" s="443"/>
      <c r="C188" s="443"/>
      <c r="D188" s="443"/>
      <c r="E188" s="443"/>
      <c r="F188" s="443"/>
      <c r="G188" s="443"/>
      <c r="H188" s="443"/>
      <c r="I188" s="443"/>
      <c r="J188" s="444"/>
      <c r="K188" s="444"/>
      <c r="L188" s="444"/>
      <c r="M188" s="444"/>
      <c r="N188" s="444"/>
      <c r="O188" s="444"/>
      <c r="P188" s="444"/>
      <c r="Q188" s="444"/>
      <c r="R188" s="445"/>
      <c r="S188" s="445"/>
      <c r="T188" s="443"/>
      <c r="U188" s="443"/>
      <c r="V188" s="443"/>
      <c r="W188" s="443"/>
      <c r="X188" s="443"/>
      <c r="Y188" s="443"/>
      <c r="Z188" s="443"/>
    </row>
    <row r="189" ht="15.75" customHeight="1">
      <c r="A189" s="443"/>
      <c r="B189" s="443"/>
      <c r="C189" s="443"/>
      <c r="D189" s="443"/>
      <c r="E189" s="443"/>
      <c r="F189" s="443"/>
      <c r="G189" s="443"/>
      <c r="H189" s="443"/>
      <c r="I189" s="443"/>
      <c r="J189" s="444"/>
      <c r="K189" s="444"/>
      <c r="L189" s="444"/>
      <c r="M189" s="444"/>
      <c r="N189" s="444"/>
      <c r="O189" s="444"/>
      <c r="P189" s="444"/>
      <c r="Q189" s="444"/>
      <c r="R189" s="445"/>
      <c r="S189" s="445"/>
      <c r="T189" s="443"/>
      <c r="U189" s="443"/>
      <c r="V189" s="443"/>
      <c r="W189" s="443"/>
      <c r="X189" s="443"/>
      <c r="Y189" s="443"/>
      <c r="Z189" s="443"/>
    </row>
    <row r="190" ht="15.75" customHeight="1">
      <c r="A190" s="443"/>
      <c r="B190" s="443"/>
      <c r="C190" s="443"/>
      <c r="D190" s="443"/>
      <c r="E190" s="443"/>
      <c r="F190" s="443"/>
      <c r="G190" s="443"/>
      <c r="H190" s="443"/>
      <c r="I190" s="443"/>
      <c r="J190" s="444"/>
      <c r="K190" s="444"/>
      <c r="L190" s="444"/>
      <c r="M190" s="444"/>
      <c r="N190" s="444"/>
      <c r="O190" s="444"/>
      <c r="P190" s="444"/>
      <c r="Q190" s="444"/>
      <c r="R190" s="445"/>
      <c r="S190" s="445"/>
      <c r="T190" s="443"/>
      <c r="U190" s="443"/>
      <c r="V190" s="443"/>
      <c r="W190" s="443"/>
      <c r="X190" s="443"/>
      <c r="Y190" s="443"/>
      <c r="Z190" s="443"/>
    </row>
    <row r="191" ht="15.75" customHeight="1">
      <c r="A191" s="443"/>
      <c r="B191" s="443"/>
      <c r="C191" s="443"/>
      <c r="D191" s="443"/>
      <c r="E191" s="443"/>
      <c r="F191" s="443"/>
      <c r="G191" s="443"/>
      <c r="H191" s="443"/>
      <c r="I191" s="443"/>
      <c r="J191" s="444"/>
      <c r="K191" s="444"/>
      <c r="L191" s="444"/>
      <c r="M191" s="444"/>
      <c r="N191" s="444"/>
      <c r="O191" s="444"/>
      <c r="P191" s="444"/>
      <c r="Q191" s="444"/>
      <c r="R191" s="445"/>
      <c r="S191" s="445"/>
      <c r="T191" s="443"/>
      <c r="U191" s="443"/>
      <c r="V191" s="443"/>
      <c r="W191" s="443"/>
      <c r="X191" s="443"/>
      <c r="Y191" s="443"/>
      <c r="Z191" s="443"/>
    </row>
    <row r="192" ht="15.75" customHeight="1">
      <c r="A192" s="443"/>
      <c r="B192" s="443"/>
      <c r="C192" s="443"/>
      <c r="D192" s="443"/>
      <c r="E192" s="443"/>
      <c r="F192" s="443"/>
      <c r="G192" s="443"/>
      <c r="H192" s="443"/>
      <c r="I192" s="443"/>
      <c r="J192" s="444"/>
      <c r="K192" s="444"/>
      <c r="L192" s="444"/>
      <c r="M192" s="444"/>
      <c r="N192" s="444"/>
      <c r="O192" s="444"/>
      <c r="P192" s="444"/>
      <c r="Q192" s="444"/>
      <c r="R192" s="445"/>
      <c r="S192" s="445"/>
      <c r="T192" s="443"/>
      <c r="U192" s="443"/>
      <c r="V192" s="443"/>
      <c r="W192" s="443"/>
      <c r="X192" s="443"/>
      <c r="Y192" s="443"/>
      <c r="Z192" s="443"/>
    </row>
    <row r="193" ht="15.75" customHeight="1">
      <c r="A193" s="443"/>
      <c r="B193" s="443"/>
      <c r="C193" s="443"/>
      <c r="D193" s="443"/>
      <c r="E193" s="443"/>
      <c r="F193" s="443"/>
      <c r="G193" s="443"/>
      <c r="H193" s="443"/>
      <c r="I193" s="443"/>
      <c r="J193" s="444"/>
      <c r="K193" s="444"/>
      <c r="L193" s="444"/>
      <c r="M193" s="444"/>
      <c r="N193" s="444"/>
      <c r="O193" s="444"/>
      <c r="P193" s="444"/>
      <c r="Q193" s="444"/>
      <c r="R193" s="445"/>
      <c r="S193" s="445"/>
      <c r="T193" s="443"/>
      <c r="U193" s="443"/>
      <c r="V193" s="443"/>
      <c r="W193" s="443"/>
      <c r="X193" s="443"/>
      <c r="Y193" s="443"/>
      <c r="Z193" s="443"/>
    </row>
    <row r="194" ht="15.75" customHeight="1">
      <c r="A194" s="443"/>
      <c r="B194" s="443"/>
      <c r="C194" s="443"/>
      <c r="D194" s="443"/>
      <c r="E194" s="443"/>
      <c r="F194" s="443"/>
      <c r="G194" s="443"/>
      <c r="H194" s="443"/>
      <c r="I194" s="443"/>
      <c r="J194" s="444"/>
      <c r="K194" s="444"/>
      <c r="L194" s="444"/>
      <c r="M194" s="444"/>
      <c r="N194" s="444"/>
      <c r="O194" s="444"/>
      <c r="P194" s="444"/>
      <c r="Q194" s="444"/>
      <c r="R194" s="445"/>
      <c r="S194" s="445"/>
      <c r="T194" s="443"/>
      <c r="U194" s="443"/>
      <c r="V194" s="443"/>
      <c r="W194" s="443"/>
      <c r="X194" s="443"/>
      <c r="Y194" s="443"/>
      <c r="Z194" s="443"/>
    </row>
    <row r="195" ht="15.75" customHeight="1">
      <c r="A195" s="443"/>
      <c r="B195" s="443"/>
      <c r="C195" s="443"/>
      <c r="D195" s="443"/>
      <c r="E195" s="443"/>
      <c r="F195" s="443"/>
      <c r="G195" s="443"/>
      <c r="H195" s="443"/>
      <c r="I195" s="443"/>
      <c r="J195" s="444"/>
      <c r="K195" s="444"/>
      <c r="L195" s="444"/>
      <c r="M195" s="444"/>
      <c r="N195" s="444"/>
      <c r="O195" s="444"/>
      <c r="P195" s="444"/>
      <c r="Q195" s="444"/>
      <c r="R195" s="445"/>
      <c r="S195" s="445"/>
      <c r="T195" s="443"/>
      <c r="U195" s="443"/>
      <c r="V195" s="443"/>
      <c r="W195" s="443"/>
      <c r="X195" s="443"/>
      <c r="Y195" s="443"/>
      <c r="Z195" s="443"/>
    </row>
    <row r="196" ht="15.75" customHeight="1">
      <c r="A196" s="443"/>
      <c r="B196" s="443"/>
      <c r="C196" s="443"/>
      <c r="D196" s="443"/>
      <c r="E196" s="443"/>
      <c r="F196" s="443"/>
      <c r="G196" s="443"/>
      <c r="H196" s="443"/>
      <c r="I196" s="443"/>
      <c r="J196" s="444"/>
      <c r="K196" s="444"/>
      <c r="L196" s="444"/>
      <c r="M196" s="444"/>
      <c r="N196" s="444"/>
      <c r="O196" s="444"/>
      <c r="P196" s="444"/>
      <c r="Q196" s="444"/>
      <c r="R196" s="445"/>
      <c r="S196" s="445"/>
      <c r="T196" s="443"/>
      <c r="U196" s="443"/>
      <c r="V196" s="443"/>
      <c r="W196" s="443"/>
      <c r="X196" s="443"/>
      <c r="Y196" s="443"/>
      <c r="Z196" s="443"/>
    </row>
    <row r="197" ht="15.75" customHeight="1">
      <c r="A197" s="443"/>
      <c r="B197" s="443"/>
      <c r="C197" s="443"/>
      <c r="D197" s="443"/>
      <c r="E197" s="443"/>
      <c r="F197" s="443"/>
      <c r="G197" s="443"/>
      <c r="H197" s="443"/>
      <c r="I197" s="443"/>
      <c r="J197" s="444"/>
      <c r="K197" s="444"/>
      <c r="L197" s="444"/>
      <c r="M197" s="444"/>
      <c r="N197" s="444"/>
      <c r="O197" s="444"/>
      <c r="P197" s="444"/>
      <c r="Q197" s="444"/>
      <c r="R197" s="445"/>
      <c r="S197" s="445"/>
      <c r="T197" s="443"/>
      <c r="U197" s="443"/>
      <c r="V197" s="443"/>
      <c r="W197" s="443"/>
      <c r="X197" s="443"/>
      <c r="Y197" s="443"/>
      <c r="Z197" s="443"/>
    </row>
    <row r="198" ht="15.75" customHeight="1">
      <c r="A198" s="443"/>
      <c r="B198" s="443"/>
      <c r="C198" s="443"/>
      <c r="D198" s="443"/>
      <c r="E198" s="443"/>
      <c r="F198" s="443"/>
      <c r="G198" s="443"/>
      <c r="H198" s="443"/>
      <c r="I198" s="443"/>
      <c r="J198" s="444"/>
      <c r="K198" s="444"/>
      <c r="L198" s="444"/>
      <c r="M198" s="444"/>
      <c r="N198" s="444"/>
      <c r="O198" s="444"/>
      <c r="P198" s="444"/>
      <c r="Q198" s="444"/>
      <c r="R198" s="445"/>
      <c r="S198" s="445"/>
      <c r="T198" s="443"/>
      <c r="U198" s="443"/>
      <c r="V198" s="443"/>
      <c r="W198" s="443"/>
      <c r="X198" s="443"/>
      <c r="Y198" s="443"/>
      <c r="Z198" s="443"/>
    </row>
    <row r="199" ht="15.75" customHeight="1">
      <c r="A199" s="443"/>
      <c r="B199" s="443"/>
      <c r="C199" s="443"/>
      <c r="D199" s="443"/>
      <c r="E199" s="443"/>
      <c r="F199" s="443"/>
      <c r="G199" s="443"/>
      <c r="H199" s="443"/>
      <c r="I199" s="443"/>
      <c r="J199" s="444"/>
      <c r="K199" s="444"/>
      <c r="L199" s="444"/>
      <c r="M199" s="444"/>
      <c r="N199" s="444"/>
      <c r="O199" s="444"/>
      <c r="P199" s="444"/>
      <c r="Q199" s="444"/>
      <c r="R199" s="445"/>
      <c r="S199" s="445"/>
      <c r="T199" s="443"/>
      <c r="U199" s="443"/>
      <c r="V199" s="443"/>
      <c r="W199" s="443"/>
      <c r="X199" s="443"/>
      <c r="Y199" s="443"/>
      <c r="Z199" s="443"/>
    </row>
    <row r="200" ht="15.75" customHeight="1">
      <c r="A200" s="443"/>
      <c r="B200" s="443"/>
      <c r="C200" s="443"/>
      <c r="D200" s="443"/>
      <c r="E200" s="443"/>
      <c r="F200" s="443"/>
      <c r="G200" s="443"/>
      <c r="H200" s="443"/>
      <c r="I200" s="443"/>
      <c r="J200" s="444"/>
      <c r="K200" s="444"/>
      <c r="L200" s="444"/>
      <c r="M200" s="444"/>
      <c r="N200" s="444"/>
      <c r="O200" s="444"/>
      <c r="P200" s="444"/>
      <c r="Q200" s="444"/>
      <c r="R200" s="445"/>
      <c r="S200" s="445"/>
      <c r="T200" s="443"/>
      <c r="U200" s="443"/>
      <c r="V200" s="443"/>
      <c r="W200" s="443"/>
      <c r="X200" s="443"/>
      <c r="Y200" s="443"/>
      <c r="Z200" s="443"/>
    </row>
    <row r="201" ht="15.75" customHeight="1">
      <c r="A201" s="443"/>
      <c r="B201" s="443"/>
      <c r="C201" s="443"/>
      <c r="D201" s="443"/>
      <c r="E201" s="443"/>
      <c r="F201" s="443"/>
      <c r="G201" s="443"/>
      <c r="H201" s="443"/>
      <c r="I201" s="443"/>
      <c r="J201" s="444"/>
      <c r="K201" s="444"/>
      <c r="L201" s="444"/>
      <c r="M201" s="444"/>
      <c r="N201" s="444"/>
      <c r="O201" s="444"/>
      <c r="P201" s="444"/>
      <c r="Q201" s="444"/>
      <c r="R201" s="445"/>
      <c r="S201" s="445"/>
      <c r="T201" s="443"/>
      <c r="U201" s="443"/>
      <c r="V201" s="443"/>
      <c r="W201" s="443"/>
      <c r="X201" s="443"/>
      <c r="Y201" s="443"/>
      <c r="Z201" s="443"/>
    </row>
    <row r="202" ht="15.75" customHeight="1">
      <c r="A202" s="443"/>
      <c r="B202" s="443"/>
      <c r="C202" s="443"/>
      <c r="D202" s="443"/>
      <c r="E202" s="443"/>
      <c r="F202" s="443"/>
      <c r="G202" s="443"/>
      <c r="H202" s="443"/>
      <c r="I202" s="443"/>
      <c r="J202" s="444"/>
      <c r="K202" s="444"/>
      <c r="L202" s="444"/>
      <c r="M202" s="444"/>
      <c r="N202" s="444"/>
      <c r="O202" s="444"/>
      <c r="P202" s="444"/>
      <c r="Q202" s="444"/>
      <c r="R202" s="445"/>
      <c r="S202" s="445"/>
      <c r="T202" s="443"/>
      <c r="U202" s="443"/>
      <c r="V202" s="443"/>
      <c r="W202" s="443"/>
      <c r="X202" s="443"/>
      <c r="Y202" s="443"/>
      <c r="Z202" s="443"/>
    </row>
    <row r="203" ht="15.75" customHeight="1">
      <c r="A203" s="443"/>
      <c r="B203" s="443"/>
      <c r="C203" s="443"/>
      <c r="D203" s="443"/>
      <c r="E203" s="443"/>
      <c r="F203" s="443"/>
      <c r="G203" s="443"/>
      <c r="H203" s="443"/>
      <c r="I203" s="443"/>
      <c r="J203" s="444"/>
      <c r="K203" s="444"/>
      <c r="L203" s="444"/>
      <c r="M203" s="444"/>
      <c r="N203" s="444"/>
      <c r="O203" s="444"/>
      <c r="P203" s="444"/>
      <c r="Q203" s="444"/>
      <c r="R203" s="445"/>
      <c r="S203" s="445"/>
      <c r="T203" s="443"/>
      <c r="U203" s="443"/>
      <c r="V203" s="443"/>
      <c r="W203" s="443"/>
      <c r="X203" s="443"/>
      <c r="Y203" s="443"/>
      <c r="Z203" s="443"/>
    </row>
    <row r="204" ht="15.75" customHeight="1">
      <c r="A204" s="443"/>
      <c r="B204" s="443"/>
      <c r="C204" s="443"/>
      <c r="D204" s="443"/>
      <c r="E204" s="443"/>
      <c r="F204" s="443"/>
      <c r="G204" s="443"/>
      <c r="H204" s="443"/>
      <c r="I204" s="443"/>
      <c r="J204" s="444"/>
      <c r="K204" s="444"/>
      <c r="L204" s="444"/>
      <c r="M204" s="444"/>
      <c r="N204" s="444"/>
      <c r="O204" s="444"/>
      <c r="P204" s="444"/>
      <c r="Q204" s="444"/>
      <c r="R204" s="445"/>
      <c r="S204" s="445"/>
      <c r="T204" s="443"/>
      <c r="U204" s="443"/>
      <c r="V204" s="443"/>
      <c r="W204" s="443"/>
      <c r="X204" s="443"/>
      <c r="Y204" s="443"/>
      <c r="Z204" s="443"/>
    </row>
    <row r="205" ht="15.75" customHeight="1">
      <c r="A205" s="443"/>
      <c r="B205" s="443"/>
      <c r="C205" s="443"/>
      <c r="D205" s="443"/>
      <c r="E205" s="443"/>
      <c r="F205" s="443"/>
      <c r="G205" s="443"/>
      <c r="H205" s="443"/>
      <c r="I205" s="443"/>
      <c r="J205" s="444"/>
      <c r="K205" s="444"/>
      <c r="L205" s="444"/>
      <c r="M205" s="444"/>
      <c r="N205" s="444"/>
      <c r="O205" s="444"/>
      <c r="P205" s="444"/>
      <c r="Q205" s="444"/>
      <c r="R205" s="445"/>
      <c r="S205" s="445"/>
      <c r="T205" s="443"/>
      <c r="U205" s="443"/>
      <c r="V205" s="443"/>
      <c r="W205" s="443"/>
      <c r="X205" s="443"/>
      <c r="Y205" s="443"/>
      <c r="Z205" s="443"/>
    </row>
    <row r="206" ht="15.75" customHeight="1">
      <c r="A206" s="443"/>
      <c r="B206" s="443"/>
      <c r="C206" s="443"/>
      <c r="D206" s="443"/>
      <c r="E206" s="443"/>
      <c r="F206" s="443"/>
      <c r="G206" s="443"/>
      <c r="H206" s="443"/>
      <c r="I206" s="443"/>
      <c r="J206" s="444"/>
      <c r="K206" s="444"/>
      <c r="L206" s="444"/>
      <c r="M206" s="444"/>
      <c r="N206" s="444"/>
      <c r="O206" s="444"/>
      <c r="P206" s="444"/>
      <c r="Q206" s="444"/>
      <c r="R206" s="445"/>
      <c r="S206" s="445"/>
      <c r="T206" s="443"/>
      <c r="U206" s="443"/>
      <c r="V206" s="443"/>
      <c r="W206" s="443"/>
      <c r="X206" s="443"/>
      <c r="Y206" s="443"/>
      <c r="Z206" s="443"/>
    </row>
    <row r="207" ht="15.75" customHeight="1">
      <c r="A207" s="443"/>
      <c r="B207" s="443"/>
      <c r="C207" s="443"/>
      <c r="D207" s="443"/>
      <c r="E207" s="443"/>
      <c r="F207" s="443"/>
      <c r="G207" s="443"/>
      <c r="H207" s="443"/>
      <c r="I207" s="443"/>
      <c r="J207" s="444"/>
      <c r="K207" s="444"/>
      <c r="L207" s="444"/>
      <c r="M207" s="444"/>
      <c r="N207" s="444"/>
      <c r="O207" s="444"/>
      <c r="P207" s="444"/>
      <c r="Q207" s="444"/>
      <c r="R207" s="445"/>
      <c r="S207" s="445"/>
      <c r="T207" s="443"/>
      <c r="U207" s="443"/>
      <c r="V207" s="443"/>
      <c r="W207" s="443"/>
      <c r="X207" s="443"/>
      <c r="Y207" s="443"/>
      <c r="Z207" s="443"/>
    </row>
    <row r="208" ht="15.75" customHeight="1">
      <c r="A208" s="443"/>
      <c r="B208" s="443"/>
      <c r="C208" s="443"/>
      <c r="D208" s="443"/>
      <c r="E208" s="443"/>
      <c r="F208" s="443"/>
      <c r="G208" s="443"/>
      <c r="H208" s="443"/>
      <c r="I208" s="443"/>
      <c r="J208" s="444"/>
      <c r="K208" s="444"/>
      <c r="L208" s="444"/>
      <c r="M208" s="444"/>
      <c r="N208" s="444"/>
      <c r="O208" s="444"/>
      <c r="P208" s="444"/>
      <c r="Q208" s="444"/>
      <c r="R208" s="445"/>
      <c r="S208" s="445"/>
      <c r="T208" s="443"/>
      <c r="U208" s="443"/>
      <c r="V208" s="443"/>
      <c r="W208" s="443"/>
      <c r="X208" s="443"/>
      <c r="Y208" s="443"/>
      <c r="Z208" s="443"/>
    </row>
    <row r="209" ht="15.75" customHeight="1">
      <c r="A209" s="443"/>
      <c r="B209" s="443"/>
      <c r="C209" s="443"/>
      <c r="D209" s="443"/>
      <c r="E209" s="443"/>
      <c r="F209" s="443"/>
      <c r="G209" s="443"/>
      <c r="H209" s="443"/>
      <c r="I209" s="443"/>
      <c r="J209" s="444"/>
      <c r="K209" s="444"/>
      <c r="L209" s="444"/>
      <c r="M209" s="444"/>
      <c r="N209" s="444"/>
      <c r="O209" s="444"/>
      <c r="P209" s="444"/>
      <c r="Q209" s="444"/>
      <c r="R209" s="445"/>
      <c r="S209" s="445"/>
      <c r="T209" s="443"/>
      <c r="U209" s="443"/>
      <c r="V209" s="443"/>
      <c r="W209" s="443"/>
      <c r="X209" s="443"/>
      <c r="Y209" s="443"/>
      <c r="Z209" s="443"/>
    </row>
    <row r="210" ht="15.75" customHeight="1">
      <c r="A210" s="443"/>
      <c r="B210" s="443"/>
      <c r="C210" s="443"/>
      <c r="D210" s="443"/>
      <c r="E210" s="443"/>
      <c r="F210" s="443"/>
      <c r="G210" s="443"/>
      <c r="H210" s="443"/>
      <c r="I210" s="443"/>
      <c r="J210" s="444"/>
      <c r="K210" s="444"/>
      <c r="L210" s="444"/>
      <c r="M210" s="444"/>
      <c r="N210" s="444"/>
      <c r="O210" s="444"/>
      <c r="P210" s="444"/>
      <c r="Q210" s="444"/>
      <c r="R210" s="445"/>
      <c r="S210" s="445"/>
      <c r="T210" s="443"/>
      <c r="U210" s="443"/>
      <c r="V210" s="443"/>
      <c r="W210" s="443"/>
      <c r="X210" s="443"/>
      <c r="Y210" s="443"/>
      <c r="Z210" s="443"/>
    </row>
    <row r="211" ht="15.75" customHeight="1">
      <c r="A211" s="443"/>
      <c r="B211" s="443"/>
      <c r="C211" s="443"/>
      <c r="D211" s="443"/>
      <c r="E211" s="443"/>
      <c r="F211" s="443"/>
      <c r="G211" s="443"/>
      <c r="H211" s="443"/>
      <c r="I211" s="443"/>
      <c r="J211" s="444"/>
      <c r="K211" s="444"/>
      <c r="L211" s="444"/>
      <c r="M211" s="444"/>
      <c r="N211" s="444"/>
      <c r="O211" s="444"/>
      <c r="P211" s="444"/>
      <c r="Q211" s="444"/>
      <c r="R211" s="445"/>
      <c r="S211" s="445"/>
      <c r="T211" s="443"/>
      <c r="U211" s="443"/>
      <c r="V211" s="443"/>
      <c r="W211" s="443"/>
      <c r="X211" s="443"/>
      <c r="Y211" s="443"/>
      <c r="Z211" s="443"/>
    </row>
    <row r="212" ht="15.75" customHeight="1">
      <c r="A212" s="443"/>
      <c r="B212" s="443"/>
      <c r="C212" s="443"/>
      <c r="D212" s="443"/>
      <c r="E212" s="443"/>
      <c r="F212" s="443"/>
      <c r="G212" s="443"/>
      <c r="H212" s="443"/>
      <c r="I212" s="443"/>
      <c r="J212" s="444"/>
      <c r="K212" s="444"/>
      <c r="L212" s="444"/>
      <c r="M212" s="444"/>
      <c r="N212" s="444"/>
      <c r="O212" s="444"/>
      <c r="P212" s="444"/>
      <c r="Q212" s="444"/>
      <c r="R212" s="445"/>
      <c r="S212" s="445"/>
      <c r="T212" s="443"/>
      <c r="U212" s="443"/>
      <c r="V212" s="443"/>
      <c r="W212" s="443"/>
      <c r="X212" s="443"/>
      <c r="Y212" s="443"/>
      <c r="Z212" s="443"/>
    </row>
    <row r="213" ht="15.75" customHeight="1">
      <c r="A213" s="443"/>
      <c r="B213" s="443"/>
      <c r="C213" s="443"/>
      <c r="D213" s="443"/>
      <c r="E213" s="443"/>
      <c r="F213" s="443"/>
      <c r="G213" s="443"/>
      <c r="H213" s="443"/>
      <c r="I213" s="443"/>
      <c r="J213" s="444"/>
      <c r="K213" s="444"/>
      <c r="L213" s="444"/>
      <c r="M213" s="444"/>
      <c r="N213" s="444"/>
      <c r="O213" s="444"/>
      <c r="P213" s="444"/>
      <c r="Q213" s="444"/>
      <c r="R213" s="445"/>
      <c r="S213" s="445"/>
      <c r="T213" s="443"/>
      <c r="U213" s="443"/>
      <c r="V213" s="443"/>
      <c r="W213" s="443"/>
      <c r="X213" s="443"/>
      <c r="Y213" s="443"/>
      <c r="Z213" s="443"/>
    </row>
    <row r="214" ht="15.75" customHeight="1">
      <c r="A214" s="443"/>
      <c r="B214" s="443"/>
      <c r="C214" s="443"/>
      <c r="D214" s="443"/>
      <c r="E214" s="443"/>
      <c r="F214" s="443"/>
      <c r="G214" s="443"/>
      <c r="H214" s="443"/>
      <c r="I214" s="443"/>
      <c r="J214" s="444"/>
      <c r="K214" s="444"/>
      <c r="L214" s="444"/>
      <c r="M214" s="444"/>
      <c r="N214" s="444"/>
      <c r="O214" s="444"/>
      <c r="P214" s="444"/>
      <c r="Q214" s="444"/>
      <c r="R214" s="445"/>
      <c r="S214" s="445"/>
      <c r="T214" s="443"/>
      <c r="U214" s="443"/>
      <c r="V214" s="443"/>
      <c r="W214" s="443"/>
      <c r="X214" s="443"/>
      <c r="Y214" s="443"/>
      <c r="Z214" s="443"/>
    </row>
    <row r="215" ht="15.75" customHeight="1">
      <c r="A215" s="443"/>
      <c r="B215" s="443"/>
      <c r="C215" s="443"/>
      <c r="D215" s="443"/>
      <c r="E215" s="443"/>
      <c r="F215" s="443"/>
      <c r="G215" s="443"/>
      <c r="H215" s="443"/>
      <c r="I215" s="443"/>
      <c r="J215" s="444"/>
      <c r="K215" s="444"/>
      <c r="L215" s="444"/>
      <c r="M215" s="444"/>
      <c r="N215" s="444"/>
      <c r="O215" s="444"/>
      <c r="P215" s="444"/>
      <c r="Q215" s="444"/>
      <c r="R215" s="445"/>
      <c r="S215" s="445"/>
      <c r="T215" s="443"/>
      <c r="U215" s="443"/>
      <c r="V215" s="443"/>
      <c r="W215" s="443"/>
      <c r="X215" s="443"/>
      <c r="Y215" s="443"/>
      <c r="Z215" s="443"/>
    </row>
    <row r="216" ht="15.75" customHeight="1">
      <c r="A216" s="443"/>
      <c r="B216" s="443"/>
      <c r="C216" s="443"/>
      <c r="D216" s="443"/>
      <c r="E216" s="443"/>
      <c r="F216" s="443"/>
      <c r="G216" s="443"/>
      <c r="H216" s="443"/>
      <c r="I216" s="443"/>
      <c r="J216" s="444"/>
      <c r="K216" s="444"/>
      <c r="L216" s="444"/>
      <c r="M216" s="444"/>
      <c r="N216" s="444"/>
      <c r="O216" s="444"/>
      <c r="P216" s="444"/>
      <c r="Q216" s="444"/>
      <c r="R216" s="445"/>
      <c r="S216" s="445"/>
      <c r="T216" s="443"/>
      <c r="U216" s="443"/>
      <c r="V216" s="443"/>
      <c r="W216" s="443"/>
      <c r="X216" s="443"/>
      <c r="Y216" s="443"/>
      <c r="Z216" s="443"/>
    </row>
    <row r="217" ht="15.75" customHeight="1">
      <c r="A217" s="443"/>
      <c r="B217" s="443"/>
      <c r="C217" s="443"/>
      <c r="D217" s="443"/>
      <c r="E217" s="443"/>
      <c r="F217" s="443"/>
      <c r="G217" s="443"/>
      <c r="H217" s="443"/>
      <c r="I217" s="443"/>
      <c r="J217" s="444"/>
      <c r="K217" s="444"/>
      <c r="L217" s="444"/>
      <c r="M217" s="444"/>
      <c r="N217" s="444"/>
      <c r="O217" s="444"/>
      <c r="P217" s="444"/>
      <c r="Q217" s="444"/>
      <c r="R217" s="445"/>
      <c r="S217" s="445"/>
      <c r="T217" s="443"/>
      <c r="U217" s="443"/>
      <c r="V217" s="443"/>
      <c r="W217" s="443"/>
      <c r="X217" s="443"/>
      <c r="Y217" s="443"/>
      <c r="Z217" s="443"/>
    </row>
    <row r="218" ht="15.75" customHeight="1">
      <c r="A218" s="443"/>
      <c r="B218" s="443"/>
      <c r="C218" s="443"/>
      <c r="D218" s="443"/>
      <c r="E218" s="443"/>
      <c r="F218" s="443"/>
      <c r="G218" s="443"/>
      <c r="H218" s="443"/>
      <c r="I218" s="443"/>
      <c r="J218" s="444"/>
      <c r="K218" s="444"/>
      <c r="L218" s="444"/>
      <c r="M218" s="444"/>
      <c r="N218" s="444"/>
      <c r="O218" s="444"/>
      <c r="P218" s="444"/>
      <c r="Q218" s="444"/>
      <c r="R218" s="445"/>
      <c r="S218" s="445"/>
      <c r="T218" s="443"/>
      <c r="U218" s="443"/>
      <c r="V218" s="443"/>
      <c r="W218" s="443"/>
      <c r="X218" s="443"/>
      <c r="Y218" s="443"/>
      <c r="Z218" s="443"/>
    </row>
    <row r="219" ht="15.75" customHeight="1">
      <c r="A219" s="443"/>
      <c r="B219" s="443"/>
      <c r="C219" s="443"/>
      <c r="D219" s="443"/>
      <c r="E219" s="443"/>
      <c r="F219" s="443"/>
      <c r="G219" s="443"/>
      <c r="H219" s="443"/>
      <c r="I219" s="443"/>
      <c r="J219" s="444"/>
      <c r="K219" s="444"/>
      <c r="L219" s="444"/>
      <c r="M219" s="444"/>
      <c r="N219" s="444"/>
      <c r="O219" s="444"/>
      <c r="P219" s="444"/>
      <c r="Q219" s="444"/>
      <c r="R219" s="445"/>
      <c r="S219" s="445"/>
      <c r="T219" s="443"/>
      <c r="U219" s="443"/>
      <c r="V219" s="443"/>
      <c r="W219" s="443"/>
      <c r="X219" s="443"/>
      <c r="Y219" s="443"/>
      <c r="Z219" s="443"/>
    </row>
    <row r="220" ht="15.75" customHeight="1">
      <c r="A220" s="443"/>
      <c r="B220" s="443"/>
      <c r="C220" s="443"/>
      <c r="D220" s="443"/>
      <c r="E220" s="443"/>
      <c r="F220" s="443"/>
      <c r="G220" s="443"/>
      <c r="H220" s="443"/>
      <c r="I220" s="443"/>
      <c r="J220" s="444"/>
      <c r="K220" s="444"/>
      <c r="L220" s="444"/>
      <c r="M220" s="444"/>
      <c r="N220" s="444"/>
      <c r="O220" s="444"/>
      <c r="P220" s="444"/>
      <c r="Q220" s="444"/>
      <c r="R220" s="445"/>
      <c r="S220" s="445"/>
      <c r="T220" s="443"/>
      <c r="U220" s="443"/>
      <c r="V220" s="443"/>
      <c r="W220" s="443"/>
      <c r="X220" s="443"/>
      <c r="Y220" s="443"/>
      <c r="Z220" s="4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8.63"/>
    <col customWidth="1" min="3" max="3" width="6.38"/>
    <col customWidth="1" min="4" max="4" width="8.63"/>
    <col customWidth="1" min="5" max="5" width="9.5"/>
    <col customWidth="1" min="6" max="6" width="10.5"/>
    <col customWidth="1" min="7" max="7" width="9.38"/>
    <col customWidth="1" min="8" max="8" width="3.63"/>
    <col customWidth="1" min="9" max="9" width="14.38"/>
    <col customWidth="1" min="10" max="10" width="8.63"/>
    <col customWidth="1" min="11" max="11" width="6.38"/>
    <col customWidth="1" min="12" max="12" width="8.63"/>
    <col customWidth="1" min="13" max="13" width="9.5"/>
    <col customWidth="1" min="14" max="14" width="10.5"/>
    <col customWidth="1" min="15" max="15" width="9.38"/>
    <col customWidth="1" min="16" max="16" width="9.75"/>
    <col customWidth="1" min="17" max="17" width="9.5"/>
    <col customWidth="1" min="18" max="18" width="11.5"/>
    <col customWidth="1" min="19" max="19" width="5.63"/>
    <col customWidth="1" min="20" max="20" width="10.5"/>
    <col customWidth="1" min="21" max="21" width="8.63"/>
    <col customWidth="1" min="22" max="22" width="7.88"/>
    <col customWidth="1" min="23" max="23" width="8.63"/>
    <col customWidth="1" min="24" max="24" width="9.5"/>
    <col customWidth="1" min="25" max="25" width="10.5"/>
    <col customWidth="1" min="26" max="26" width="9.38"/>
  </cols>
  <sheetData>
    <row r="1" ht="15.75" customHeight="1">
      <c r="A1" s="109" t="s">
        <v>191</v>
      </c>
      <c r="B1" s="446" t="s">
        <v>176</v>
      </c>
      <c r="C1" s="446" t="s">
        <v>177</v>
      </c>
      <c r="D1" s="446" t="s">
        <v>178</v>
      </c>
      <c r="E1" s="446" t="s">
        <v>179</v>
      </c>
      <c r="F1" s="446" t="s">
        <v>180</v>
      </c>
      <c r="G1" s="446" t="s">
        <v>181</v>
      </c>
      <c r="H1" s="447"/>
      <c r="I1" s="109" t="s">
        <v>191</v>
      </c>
      <c r="J1" s="448" t="s">
        <v>176</v>
      </c>
      <c r="K1" s="448" t="s">
        <v>177</v>
      </c>
      <c r="L1" s="448" t="s">
        <v>178</v>
      </c>
      <c r="M1" s="448" t="s">
        <v>179</v>
      </c>
      <c r="N1" s="448" t="s">
        <v>180</v>
      </c>
      <c r="O1" s="448" t="s">
        <v>181</v>
      </c>
      <c r="P1" s="448" t="s">
        <v>184</v>
      </c>
      <c r="Q1" s="448" t="s">
        <v>185</v>
      </c>
      <c r="R1" s="429"/>
      <c r="S1" s="429"/>
      <c r="T1" s="429"/>
      <c r="U1" s="449" t="s">
        <v>176</v>
      </c>
      <c r="V1" s="448" t="s">
        <v>177</v>
      </c>
      <c r="W1" s="448" t="s">
        <v>178</v>
      </c>
      <c r="X1" s="448" t="s">
        <v>179</v>
      </c>
      <c r="Y1" s="448" t="s">
        <v>180</v>
      </c>
      <c r="Z1" s="448" t="s">
        <v>181</v>
      </c>
    </row>
    <row r="2" ht="15.75" customHeight="1">
      <c r="A2" s="450" t="str">
        <f>ApgS!A2</f>
        <v>ASpence501</v>
      </c>
      <c r="B2" s="451">
        <f>IFERROR(VLOOKUP($A2,ApgS!$A:$G,2,0),)</f>
        <v>0.009267840593</v>
      </c>
      <c r="C2" s="451">
        <f>IFERROR(VLOOKUP($A2,ApgS!$A:$G,3,0),)</f>
        <v>0.593141798</v>
      </c>
      <c r="D2" s="451">
        <f>IFERROR(VLOOKUP($A2,ApgS!$A:$G,4,0),)</f>
        <v>0.1482854495</v>
      </c>
      <c r="E2" s="451">
        <f>IFERROR(VLOOKUP($A2,ApgS!$A:$G,5,0),)</f>
        <v>0.07414272475</v>
      </c>
      <c r="F2" s="451">
        <f>IFERROR(VLOOKUP($A2,ApgS!$A:$G,6,0),)</f>
        <v>1.037998146</v>
      </c>
      <c r="G2" s="451">
        <f>IFERROR(VLOOKUP($A2,ApgS!$A:$G,7,0),)</f>
        <v>0.1946246525</v>
      </c>
      <c r="H2" s="452"/>
      <c r="I2" s="450" t="str">
        <f>ApgS!A2</f>
        <v>ASpence501</v>
      </c>
      <c r="J2" s="453" t="str">
        <f t="shared" ref="J2:J39" si="2">IF(B2&lt;=$U$17,"F",IF(B2&lt;$U$15,"E",IF(B2&lt;$U$12,"D",IF(B2&lt;$U$9,"C",IF(B2&lt;$U$6,"B",IF(B2&lt;$U$3,"A","S"))))))</f>
        <v>D</v>
      </c>
      <c r="K2" s="453" t="str">
        <f t="shared" ref="K2:K39" si="3">IF(C2&lt;=$V$17,"F",IF(C2&lt;$V$15,"E",IF(C2&lt;$V$12,"D",IF(C2&lt;$V$9,"C",IF(C2&lt;$V$6,"B",IF(C2&lt;$V$3,"A","S"))))))</f>
        <v>S</v>
      </c>
      <c r="L2" s="453" t="str">
        <f t="shared" ref="L2:L39" si="4">IF(D2&lt;=$W$17,"F",IF(D2&lt;$W$15,"E",IF(D2&lt;$W$12,"D",IF(D2&lt;$W$9,"C",IF(D2&lt;$W$6,"B",IF(D2&lt;$W$3,"A","S"))))))</f>
        <v>S</v>
      </c>
      <c r="M2" s="453" t="str">
        <f t="shared" ref="M2:M39" si="5">IF(E2&lt;=$X$17,"F",IF(E2&lt;$X$15,"E",IF(E2&lt;$X$12,"D",IF(E2&lt;$X$9,"C",IF(E2&lt;$X$6,"B",IF(E2&lt;$X$3,"A","S"))))))</f>
        <v>S</v>
      </c>
      <c r="N2" s="453" t="str">
        <f t="shared" ref="N2:N39" si="6">IF(F2&lt;=$Y$17,"F",IF(F2&lt;$Y$15,"E",IF(F2&lt;$Y$12,"D",IF(F2&lt;$Y$9,"C",IF(F2&lt;$Y$6,"B",IF(F2&lt;$Y$3,"A","S"))))))</f>
        <v>S</v>
      </c>
      <c r="O2" s="453" t="str">
        <f t="shared" ref="O2:O39" si="7">IF(G2&lt;=$Z$17,"F",IF(G2&lt;$Z$15,"E",IF(G2&lt;$Z$12,"D",IF(G2&lt;$Z$9,"C",IF(G2&lt;$Z$6,"B",IF(G2&lt;$Z$3,"A","S"))))))</f>
        <v>A</v>
      </c>
      <c r="P2" s="116" t="str">
        <f t="shared" ref="P2:P39" si="8">IF(Q2&lt;=$S$23,"F",IF(Q2&lt;$S$21,"E",IF(Q2&lt;$S$19,"D",IF(Q2&lt;$S$17,"C",IF(Q2&lt;$S$15,"B",IF(Q2&lt;$S$13,"A","S"))))))</f>
        <v>A</v>
      </c>
      <c r="Q2" s="454">
        <f t="shared" ref="Q2:Q39" si="9">($S$26*(VLOOKUP(J2, $R$3:$S$9, 2, FALSE)))+($S$27*(VLOOKUP(K2, $R$3:$S$9, 2, FALSE)))+($S$28*(VLOOKUP(L2, $R$3:$S$9, 2, FALSE)))+($S$29*(VLOOKUP(M2, $R$3:$S$9, 2, FALSE)))+($S$30*(VLOOKUP(N2, $R$3:$S$9, 2, FALSE)))+($S$31*(VLOOKUP(O2, $R$3:$S$9, 2, FALSE)))</f>
        <v>15.7</v>
      </c>
      <c r="R2" s="455" t="s">
        <v>201</v>
      </c>
      <c r="S2" s="455" t="s">
        <v>394</v>
      </c>
      <c r="T2" s="456" t="s">
        <v>18</v>
      </c>
      <c r="U2" s="457">
        <f t="shared" ref="U2:Z2" si="1">U3</f>
        <v>0.08023015712</v>
      </c>
      <c r="V2" s="457">
        <f t="shared" si="1"/>
        <v>0.2974552396</v>
      </c>
      <c r="W2" s="457">
        <f t="shared" si="1"/>
        <v>0.1435570086</v>
      </c>
      <c r="X2" s="457">
        <f t="shared" si="1"/>
        <v>0.07188075095</v>
      </c>
      <c r="Y2" s="457">
        <f t="shared" si="1"/>
        <v>0.7883211679</v>
      </c>
      <c r="Z2" s="457">
        <f t="shared" si="1"/>
        <v>0.2168674699</v>
      </c>
    </row>
    <row r="3" ht="15.75" customHeight="1">
      <c r="A3" s="450" t="str">
        <f>ApgS!A3</f>
        <v>AtoneMilitant</v>
      </c>
      <c r="B3" s="451">
        <f>IFERROR(VLOOKUP($A3,ApgS!$A:$G,2,0),)</f>
        <v>0.03039513678</v>
      </c>
      <c r="C3" s="451">
        <f>IFERROR(VLOOKUP($A3,ApgS!$A:$G,3,0),)</f>
        <v>0.273556231</v>
      </c>
      <c r="D3" s="451">
        <f>IFERROR(VLOOKUP($A3,ApgS!$A:$G,4,0),)</f>
        <v>0.1215805471</v>
      </c>
      <c r="E3" s="451">
        <f>IFERROR(VLOOKUP($A3,ApgS!$A:$G,5,0),)</f>
        <v>0.06079027356</v>
      </c>
      <c r="F3" s="451">
        <f>IFERROR(VLOOKUP($A3,ApgS!$A:$G,6,0),)</f>
        <v>0.7598784195</v>
      </c>
      <c r="G3" s="451">
        <f>IFERROR(VLOOKUP($A3,ApgS!$A:$G,7,0),)</f>
        <v>0.1519756839</v>
      </c>
      <c r="H3" s="452"/>
      <c r="I3" s="450" t="str">
        <f>ApgS!A3</f>
        <v>AtoneMilitant</v>
      </c>
      <c r="J3" s="458" t="str">
        <f t="shared" si="2"/>
        <v>C</v>
      </c>
      <c r="K3" s="459" t="str">
        <f t="shared" si="3"/>
        <v>A</v>
      </c>
      <c r="L3" s="460" t="str">
        <f t="shared" si="4"/>
        <v>B</v>
      </c>
      <c r="M3" s="461" t="str">
        <f t="shared" si="5"/>
        <v>B</v>
      </c>
      <c r="N3" s="459" t="str">
        <f t="shared" si="6"/>
        <v>A</v>
      </c>
      <c r="O3" s="461" t="str">
        <f t="shared" si="7"/>
        <v>B</v>
      </c>
      <c r="P3" s="130" t="str">
        <f t="shared" si="8"/>
        <v>B</v>
      </c>
      <c r="Q3" s="454">
        <f t="shared" si="9"/>
        <v>13.1</v>
      </c>
      <c r="R3" s="85" t="s">
        <v>18</v>
      </c>
      <c r="S3" s="85">
        <v>7.0</v>
      </c>
      <c r="T3" s="462" t="s">
        <v>395</v>
      </c>
      <c r="U3" s="463">
        <f>(U4*112%)</f>
        <v>0.08023015712</v>
      </c>
      <c r="V3" s="463">
        <f>(V4*115%)</f>
        <v>0.2974552396</v>
      </c>
      <c r="W3" s="463">
        <f t="shared" ref="W3:X3" si="10">(W4*110%)</f>
        <v>0.1435570086</v>
      </c>
      <c r="X3" s="463">
        <f t="shared" si="10"/>
        <v>0.07188075095</v>
      </c>
      <c r="Y3" s="463">
        <f t="shared" ref="Y3:Z3" si="11">(Y4*120%)</f>
        <v>0.7883211679</v>
      </c>
      <c r="Z3" s="463">
        <f t="shared" si="11"/>
        <v>0.2168674699</v>
      </c>
    </row>
    <row r="4" ht="15.75" customHeight="1">
      <c r="A4" s="450" t="str">
        <f>ApgS!A4</f>
        <v>AwareMosquito</v>
      </c>
      <c r="B4" s="451">
        <f>IFERROR(VLOOKUP($A4,ApgS!$A:$G,2,0),)</f>
        <v>0</v>
      </c>
      <c r="C4" s="451">
        <f>IFERROR(VLOOKUP($A4,ApgS!$A:$G,3,0),)</f>
        <v>-0.3672220333</v>
      </c>
      <c r="D4" s="451">
        <f>IFERROR(VLOOKUP($A4,ApgS!$A:$G,4,0),)</f>
        <v>0.08160489629</v>
      </c>
      <c r="E4" s="451">
        <f>IFERROR(VLOOKUP($A4,ApgS!$A:$G,5,0),)</f>
        <v>0.02040122407</v>
      </c>
      <c r="F4" s="451">
        <f>IFERROR(VLOOKUP($A4,ApgS!$A:$G,6,0),)</f>
        <v>0.4692281537</v>
      </c>
      <c r="G4" s="451">
        <f>IFERROR(VLOOKUP($A4,ApgS!$A:$G,7,0),)</f>
        <v>0.1224073444</v>
      </c>
      <c r="H4" s="452"/>
      <c r="I4" s="450" t="str">
        <f>ApgS!A4</f>
        <v>AwareMosquito</v>
      </c>
      <c r="J4" s="464" t="str">
        <f t="shared" si="2"/>
        <v>F</v>
      </c>
      <c r="K4" s="459" t="str">
        <f t="shared" si="3"/>
        <v>D</v>
      </c>
      <c r="L4" s="459" t="str">
        <f t="shared" si="4"/>
        <v>C</v>
      </c>
      <c r="M4" s="461" t="str">
        <f t="shared" si="5"/>
        <v>E</v>
      </c>
      <c r="N4" s="459" t="str">
        <f t="shared" si="6"/>
        <v>D</v>
      </c>
      <c r="O4" s="464" t="str">
        <f t="shared" si="7"/>
        <v>C</v>
      </c>
      <c r="P4" s="126" t="str">
        <f t="shared" si="8"/>
        <v>D</v>
      </c>
      <c r="Q4" s="454">
        <f t="shared" si="9"/>
        <v>7.2</v>
      </c>
      <c r="R4" s="88" t="s">
        <v>17</v>
      </c>
      <c r="S4" s="88">
        <v>6.0</v>
      </c>
      <c r="T4" s="465" t="s">
        <v>396</v>
      </c>
      <c r="U4" s="466">
        <f t="shared" ref="U4:Z4" si="12">QUARTILE(B2:B39,3)</f>
        <v>0.07163406886</v>
      </c>
      <c r="V4" s="466">
        <f t="shared" si="12"/>
        <v>0.2586567301</v>
      </c>
      <c r="W4" s="466">
        <f t="shared" si="12"/>
        <v>0.1305063715</v>
      </c>
      <c r="X4" s="466">
        <f t="shared" si="12"/>
        <v>0.06534613723</v>
      </c>
      <c r="Y4" s="466">
        <f t="shared" si="12"/>
        <v>0.6569343066</v>
      </c>
      <c r="Z4" s="466">
        <f t="shared" si="12"/>
        <v>0.1807228916</v>
      </c>
    </row>
    <row r="5" ht="15.75" customHeight="1">
      <c r="A5" s="450" t="str">
        <f>ApgS!A5</f>
        <v>BeaM1n1</v>
      </c>
      <c r="B5" s="451">
        <f>IFERROR(VLOOKUP($A5,ApgS!$A:$G,2,0),)</f>
        <v>0.02038735984</v>
      </c>
      <c r="C5" s="451">
        <f>IFERROR(VLOOKUP($A5,ApgS!$A:$G,3,0),)</f>
        <v>0.1834862385</v>
      </c>
      <c r="D5" s="451">
        <f>IFERROR(VLOOKUP($A5,ApgS!$A:$G,4,0),)</f>
        <v>0.02038735984</v>
      </c>
      <c r="E5" s="451">
        <f>IFERROR(VLOOKUP($A5,ApgS!$A:$G,5,0),)</f>
        <v>0.06116207951</v>
      </c>
      <c r="F5" s="451">
        <f>IFERROR(VLOOKUP($A5,ApgS!$A:$G,6,0),)</f>
        <v>0.8358817533</v>
      </c>
      <c r="G5" s="451">
        <f>IFERROR(VLOOKUP($A5,ApgS!$A:$G,7,0),)</f>
        <v>0.1630988787</v>
      </c>
      <c r="H5" s="452"/>
      <c r="I5" s="450" t="str">
        <f>ApgS!A5</f>
        <v>BeaM1n1</v>
      </c>
      <c r="J5" s="459" t="str">
        <f t="shared" si="2"/>
        <v>D</v>
      </c>
      <c r="K5" s="453" t="str">
        <f t="shared" si="3"/>
        <v>B</v>
      </c>
      <c r="L5" s="453" t="str">
        <f t="shared" si="4"/>
        <v>F</v>
      </c>
      <c r="M5" s="453" t="str">
        <f t="shared" si="5"/>
        <v>B</v>
      </c>
      <c r="N5" s="453" t="str">
        <f t="shared" si="6"/>
        <v>S</v>
      </c>
      <c r="O5" s="453" t="str">
        <f t="shared" si="7"/>
        <v>B</v>
      </c>
      <c r="P5" s="128" t="str">
        <f t="shared" si="8"/>
        <v>B</v>
      </c>
      <c r="Q5" s="454">
        <f t="shared" si="9"/>
        <v>11.9</v>
      </c>
      <c r="R5" s="93" t="s">
        <v>16</v>
      </c>
      <c r="S5" s="93">
        <v>5.0</v>
      </c>
      <c r="T5" s="467" t="s">
        <v>397</v>
      </c>
      <c r="U5" s="463">
        <f>U4*90%</f>
        <v>0.06447066197</v>
      </c>
      <c r="V5" s="463">
        <f t="shared" ref="V5:Z5" si="13">V4*95%</f>
        <v>0.2457238936</v>
      </c>
      <c r="W5" s="463">
        <f t="shared" si="13"/>
        <v>0.1239810529</v>
      </c>
      <c r="X5" s="463">
        <f t="shared" si="13"/>
        <v>0.06207883037</v>
      </c>
      <c r="Y5" s="463">
        <f t="shared" si="13"/>
        <v>0.6240875912</v>
      </c>
      <c r="Z5" s="463">
        <f t="shared" si="13"/>
        <v>0.171686747</v>
      </c>
    </row>
    <row r="6" ht="15.75" customHeight="1">
      <c r="A6" s="450" t="str">
        <f>ApgS!A6</f>
        <v>CaptainSev004</v>
      </c>
      <c r="B6" s="451">
        <f>IFERROR(VLOOKUP($A6,ApgS!$A:$G,2,0),)</f>
        <v>0.05667181865</v>
      </c>
      <c r="C6" s="451">
        <f>IFERROR(VLOOKUP($A6,ApgS!$A:$G,3,0),)</f>
        <v>0.01030396703</v>
      </c>
      <c r="D6" s="451">
        <f>IFERROR(VLOOKUP($A6,ApgS!$A:$G,4,0),)</f>
        <v>0.1545595054</v>
      </c>
      <c r="E6" s="451">
        <f>IFERROR(VLOOKUP($A6,ApgS!$A:$G,5,0),)</f>
        <v>0.05151983514</v>
      </c>
      <c r="F6" s="451">
        <f>IFERROR(VLOOKUP($A6,ApgS!$A:$G,6,0),)</f>
        <v>0.6285419887</v>
      </c>
      <c r="G6" s="451">
        <f>IFERROR(VLOOKUP($A6,ApgS!$A:$G,7,0),)</f>
        <v>0.1184956208</v>
      </c>
      <c r="H6" s="452"/>
      <c r="I6" s="450" t="str">
        <f>ApgS!A6</f>
        <v>CaptainSev004</v>
      </c>
      <c r="J6" s="461" t="str">
        <f t="shared" si="2"/>
        <v>B</v>
      </c>
      <c r="K6" s="460" t="str">
        <f t="shared" si="3"/>
        <v>B</v>
      </c>
      <c r="L6" s="464" t="str">
        <f t="shared" si="4"/>
        <v>S</v>
      </c>
      <c r="M6" s="461" t="str">
        <f t="shared" si="5"/>
        <v>C</v>
      </c>
      <c r="N6" s="460" t="str">
        <f t="shared" si="6"/>
        <v>A</v>
      </c>
      <c r="O6" s="461" t="str">
        <f t="shared" si="7"/>
        <v>C</v>
      </c>
      <c r="P6" s="130" t="str">
        <f t="shared" si="8"/>
        <v>B</v>
      </c>
      <c r="Q6" s="454">
        <f t="shared" si="9"/>
        <v>12.2</v>
      </c>
      <c r="R6" s="95" t="s">
        <v>28</v>
      </c>
      <c r="S6" s="95">
        <v>4.0</v>
      </c>
      <c r="T6" s="468" t="s">
        <v>398</v>
      </c>
      <c r="U6" s="469">
        <f t="shared" ref="U6:Z6" si="14">U5</f>
        <v>0.06447066197</v>
      </c>
      <c r="V6" s="469">
        <f t="shared" si="14"/>
        <v>0.2457238936</v>
      </c>
      <c r="W6" s="469">
        <f t="shared" si="14"/>
        <v>0.1239810529</v>
      </c>
      <c r="X6" s="469">
        <f t="shared" si="14"/>
        <v>0.06207883037</v>
      </c>
      <c r="Y6" s="469">
        <f t="shared" si="14"/>
        <v>0.6240875912</v>
      </c>
      <c r="Z6" s="469">
        <f t="shared" si="14"/>
        <v>0.171686747</v>
      </c>
    </row>
    <row r="7" ht="15.75" customHeight="1">
      <c r="A7" s="450" t="str">
        <f>ApgS!A7</f>
        <v>Conra4859</v>
      </c>
      <c r="B7" s="451">
        <f>IFERROR(VLOOKUP($A7,ApgS!$A:$G,2,0),)</f>
        <v>0</v>
      </c>
      <c r="C7" s="451">
        <f>IFERROR(VLOOKUP($A7,ApgS!$A:$G,3,0),)</f>
        <v>-2.031558185</v>
      </c>
      <c r="D7" s="451">
        <f>IFERROR(VLOOKUP($A7,ApgS!$A:$G,4,0),)</f>
        <v>0.07889546351</v>
      </c>
      <c r="E7" s="451">
        <f>IFERROR(VLOOKUP($A7,ApgS!$A:$G,5,0),)</f>
        <v>0.01972386588</v>
      </c>
      <c r="F7" s="451">
        <f>IFERROR(VLOOKUP($A7,ApgS!$A:$G,6,0),)</f>
        <v>0.2761341223</v>
      </c>
      <c r="G7" s="451">
        <f>IFERROR(VLOOKUP($A7,ApgS!$A:$G,7,0),)</f>
        <v>0.05917159763</v>
      </c>
      <c r="H7" s="452"/>
      <c r="I7" s="450" t="str">
        <f>ApgS!A7</f>
        <v>Conra4859</v>
      </c>
      <c r="J7" s="461" t="str">
        <f t="shared" si="2"/>
        <v>F</v>
      </c>
      <c r="K7" s="453" t="str">
        <f t="shared" si="3"/>
        <v>F</v>
      </c>
      <c r="L7" s="453" t="str">
        <f t="shared" si="4"/>
        <v>D</v>
      </c>
      <c r="M7" s="470" t="str">
        <f t="shared" si="5"/>
        <v>E</v>
      </c>
      <c r="N7" s="470" t="str">
        <f t="shared" si="6"/>
        <v>E</v>
      </c>
      <c r="O7" s="460" t="str">
        <f t="shared" si="7"/>
        <v>E</v>
      </c>
      <c r="P7" s="126" t="str">
        <f t="shared" si="8"/>
        <v>E</v>
      </c>
      <c r="Q7" s="454">
        <f t="shared" si="9"/>
        <v>4.4</v>
      </c>
      <c r="R7" s="97" t="s">
        <v>23</v>
      </c>
      <c r="S7" s="97">
        <v>3.0</v>
      </c>
      <c r="T7" s="464" t="s">
        <v>399</v>
      </c>
      <c r="U7" s="471">
        <f t="shared" ref="U7:Z7" si="15">MEDIAN(U4,U10)</f>
        <v>0.05175842151</v>
      </c>
      <c r="V7" s="471">
        <f t="shared" si="15"/>
        <v>0.04648550979</v>
      </c>
      <c r="W7" s="471">
        <f t="shared" si="15"/>
        <v>0.1078008761</v>
      </c>
      <c r="X7" s="471">
        <f t="shared" si="15"/>
        <v>0.05903415382</v>
      </c>
      <c r="Y7" s="471">
        <f t="shared" si="15"/>
        <v>0.5911044871</v>
      </c>
      <c r="Z7" s="471">
        <f t="shared" si="15"/>
        <v>0.1514429046</v>
      </c>
    </row>
    <row r="8" ht="15.75" customHeight="1">
      <c r="A8" s="450" t="str">
        <f>ApgS!A8</f>
        <v>cxrnchip</v>
      </c>
      <c r="B8" s="451">
        <f>IFERROR(VLOOKUP($A8,ApgS!$A:$G,2,0),)</f>
        <v>0.2064693737</v>
      </c>
      <c r="C8" s="451">
        <f>IFERROR(VLOOKUP($A8,ApgS!$A:$G,3,0),)</f>
        <v>0.08258774948</v>
      </c>
      <c r="D8" s="451">
        <f>IFERROR(VLOOKUP($A8,ApgS!$A:$G,4,0),)</f>
        <v>0.165175499</v>
      </c>
      <c r="E8" s="451">
        <f>IFERROR(VLOOKUP($A8,ApgS!$A:$G,5,0),)</f>
        <v>0.1238816242</v>
      </c>
      <c r="F8" s="451">
        <f>IFERROR(VLOOKUP($A8,ApgS!$A:$G,6,0),)</f>
        <v>0.5368203716</v>
      </c>
      <c r="G8" s="451">
        <f>IFERROR(VLOOKUP($A8,ApgS!$A:$G,7,0),)</f>
        <v>0.2064693737</v>
      </c>
      <c r="H8" s="452"/>
      <c r="I8" s="450" t="str">
        <f>ApgS!A8</f>
        <v>cxrnchip</v>
      </c>
      <c r="J8" s="461" t="str">
        <f t="shared" si="2"/>
        <v>S</v>
      </c>
      <c r="K8" s="461" t="str">
        <f t="shared" si="3"/>
        <v>B</v>
      </c>
      <c r="L8" s="460" t="str">
        <f t="shared" si="4"/>
        <v>S</v>
      </c>
      <c r="M8" s="460" t="str">
        <f t="shared" si="5"/>
        <v>S</v>
      </c>
      <c r="N8" s="464" t="str">
        <f t="shared" si="6"/>
        <v>C</v>
      </c>
      <c r="O8" s="461" t="str">
        <f t="shared" si="7"/>
        <v>A</v>
      </c>
      <c r="P8" s="130" t="str">
        <f t="shared" si="8"/>
        <v>A</v>
      </c>
      <c r="Q8" s="454">
        <f t="shared" si="9"/>
        <v>14.7</v>
      </c>
      <c r="R8" s="99" t="s">
        <v>25</v>
      </c>
      <c r="S8" s="99">
        <v>2.0</v>
      </c>
      <c r="T8" s="472" t="s">
        <v>400</v>
      </c>
      <c r="U8" s="469">
        <f t="shared" ref="U8:Z8" si="16">U9</f>
        <v>0.0366651903</v>
      </c>
      <c r="V8" s="469">
        <f t="shared" si="16"/>
        <v>-0.05798999866</v>
      </c>
      <c r="W8" s="469">
        <f t="shared" si="16"/>
        <v>0.08679728835</v>
      </c>
      <c r="X8" s="469">
        <f t="shared" si="16"/>
        <v>0.05799438746</v>
      </c>
      <c r="Y8" s="469">
        <f t="shared" si="16"/>
        <v>0.551538401</v>
      </c>
      <c r="Z8" s="469">
        <f t="shared" si="16"/>
        <v>0.1276602489</v>
      </c>
    </row>
    <row r="9" ht="15.75" customHeight="1">
      <c r="A9" s="450" t="str">
        <f>ApgS!A9</f>
        <v>Dabb</v>
      </c>
      <c r="B9" s="451">
        <f>IFERROR(VLOOKUP($A9,ApgS!$A:$G,2,0),)</f>
        <v>0.1019462465</v>
      </c>
      <c r="C9" s="451">
        <f>IFERROR(VLOOKUP($A9,ApgS!$A:$G,3,0),)</f>
        <v>1.445783133</v>
      </c>
      <c r="D9" s="451">
        <f>IFERROR(VLOOKUP($A9,ApgS!$A:$G,4,0),)</f>
        <v>0.1112140871</v>
      </c>
      <c r="E9" s="451">
        <f>IFERROR(VLOOKUP($A9,ApgS!$A:$G,5,0),)</f>
        <v>0.1112140871</v>
      </c>
      <c r="F9" s="451">
        <f>IFERROR(VLOOKUP($A9,ApgS!$A:$G,6,0),)</f>
        <v>0.593141798</v>
      </c>
      <c r="G9" s="451">
        <f>IFERROR(VLOOKUP($A9,ApgS!$A:$G,7,0),)</f>
        <v>0.1853568119</v>
      </c>
      <c r="H9" s="452"/>
      <c r="I9" s="450" t="str">
        <f>ApgS!A9</f>
        <v>Dabb</v>
      </c>
      <c r="J9" s="460" t="str">
        <f t="shared" si="2"/>
        <v>S</v>
      </c>
      <c r="K9" s="460" t="str">
        <f t="shared" si="3"/>
        <v>S</v>
      </c>
      <c r="L9" s="464" t="str">
        <f t="shared" si="4"/>
        <v>B</v>
      </c>
      <c r="M9" s="458" t="str">
        <f t="shared" si="5"/>
        <v>S</v>
      </c>
      <c r="N9" s="470" t="str">
        <f t="shared" si="6"/>
        <v>B</v>
      </c>
      <c r="O9" s="470" t="str">
        <f t="shared" si="7"/>
        <v>A</v>
      </c>
      <c r="P9" s="127" t="str">
        <f t="shared" si="8"/>
        <v>A</v>
      </c>
      <c r="Q9" s="454">
        <f t="shared" si="9"/>
        <v>15.7</v>
      </c>
      <c r="R9" s="102" t="s">
        <v>66</v>
      </c>
      <c r="S9" s="102">
        <v>1.0</v>
      </c>
      <c r="T9" s="473" t="s">
        <v>401</v>
      </c>
      <c r="U9" s="474">
        <f>(U10*115%)</f>
        <v>0.0366651903</v>
      </c>
      <c r="V9" s="474">
        <f>(V10*35%)</f>
        <v>-0.05798999866</v>
      </c>
      <c r="W9" s="474">
        <f>(W10*102%)</f>
        <v>0.08679728835</v>
      </c>
      <c r="X9" s="474">
        <f>(X10*110%)</f>
        <v>0.05799438746</v>
      </c>
      <c r="Y9" s="474">
        <f>(Y10*105%)</f>
        <v>0.551538401</v>
      </c>
      <c r="Z9" s="474">
        <f>(Z10*104.5%)</f>
        <v>0.1276602489</v>
      </c>
    </row>
    <row r="10" ht="15.75" customHeight="1">
      <c r="A10" s="450" t="str">
        <f>ApgS!A10</f>
        <v>Dat Twinkie</v>
      </c>
      <c r="B10" s="451">
        <f>IFERROR(VLOOKUP($A10,ApgS!$A:$G,2,0),)</f>
        <v>0</v>
      </c>
      <c r="C10" s="451">
        <f>IFERROR(VLOOKUP($A10,ApgS!$A:$G,3,0),)</f>
        <v>-1.134593993</v>
      </c>
      <c r="D10" s="451">
        <f>IFERROR(VLOOKUP($A10,ApgS!$A:$G,4,0),)</f>
        <v>0.06674082314</v>
      </c>
      <c r="E10" s="451">
        <f>IFERROR(VLOOKUP($A10,ApgS!$A:$G,5,0),)</f>
        <v>0.03337041157</v>
      </c>
      <c r="F10" s="451">
        <f>IFERROR(VLOOKUP($A10,ApgS!$A:$G,6,0),)</f>
        <v>0.4338153504</v>
      </c>
      <c r="G10" s="451">
        <f>IFERROR(VLOOKUP($A10,ApgS!$A:$G,7,0),)</f>
        <v>0.06674082314</v>
      </c>
      <c r="H10" s="452"/>
      <c r="I10" s="450" t="str">
        <f>ApgS!A10</f>
        <v>Dat Twinkie</v>
      </c>
      <c r="J10" s="464" t="str">
        <f t="shared" si="2"/>
        <v>F</v>
      </c>
      <c r="K10" s="459" t="str">
        <f t="shared" si="3"/>
        <v>F</v>
      </c>
      <c r="L10" s="453" t="str">
        <f t="shared" si="4"/>
        <v>E</v>
      </c>
      <c r="M10" s="461" t="str">
        <f t="shared" si="5"/>
        <v>D</v>
      </c>
      <c r="N10" s="461" t="str">
        <f t="shared" si="6"/>
        <v>E</v>
      </c>
      <c r="O10" s="460" t="str">
        <f t="shared" si="7"/>
        <v>D</v>
      </c>
      <c r="P10" s="127" t="str">
        <f t="shared" si="8"/>
        <v>E</v>
      </c>
      <c r="Q10" s="454">
        <f t="shared" si="9"/>
        <v>5.3</v>
      </c>
      <c r="R10" s="452"/>
      <c r="S10" s="447"/>
      <c r="T10" s="475" t="s">
        <v>402</v>
      </c>
      <c r="U10" s="476">
        <f t="shared" ref="U10:Z10" si="17">QUARTILE(B2:B39,2)</f>
        <v>0.03188277417</v>
      </c>
      <c r="V10" s="476">
        <f t="shared" si="17"/>
        <v>-0.1656857105</v>
      </c>
      <c r="W10" s="476">
        <f t="shared" si="17"/>
        <v>0.08509538074</v>
      </c>
      <c r="X10" s="476">
        <f t="shared" si="17"/>
        <v>0.05272217041</v>
      </c>
      <c r="Y10" s="476">
        <f t="shared" si="17"/>
        <v>0.5252746677</v>
      </c>
      <c r="Z10" s="476">
        <f t="shared" si="17"/>
        <v>0.1221629176</v>
      </c>
    </row>
    <row r="11" ht="15.75" customHeight="1">
      <c r="A11" s="450" t="str">
        <f>ApgS!A11</f>
        <v>Doerstopper</v>
      </c>
      <c r="B11" s="451">
        <f>IFERROR(VLOOKUP($A11,ApgS!$A:$G,2,0),)</f>
        <v>0.06937752939</v>
      </c>
      <c r="C11" s="451">
        <f>IFERROR(VLOOKUP($A11,ApgS!$A:$G,3,0),)</f>
        <v>-0.7515899017</v>
      </c>
      <c r="D11" s="451">
        <f>IFERROR(VLOOKUP($A11,ApgS!$A:$G,4,0),)</f>
        <v>0.09250337252</v>
      </c>
      <c r="E11" s="451">
        <f>IFERROR(VLOOKUP($A11,ApgS!$A:$G,5,0),)</f>
        <v>0.02312584313</v>
      </c>
      <c r="F11" s="451">
        <f>IFERROR(VLOOKUP($A11,ApgS!$A:$G,6,0),)</f>
        <v>0.4740797842</v>
      </c>
      <c r="G11" s="451">
        <f>IFERROR(VLOOKUP($A11,ApgS!$A:$G,7,0),)</f>
        <v>0.05781460782</v>
      </c>
      <c r="H11" s="452"/>
      <c r="I11" s="450" t="str">
        <f>ApgS!A11</f>
        <v>Doerstopper</v>
      </c>
      <c r="J11" s="461" t="str">
        <f t="shared" si="2"/>
        <v>A</v>
      </c>
      <c r="K11" s="458" t="str">
        <f t="shared" si="3"/>
        <v>E</v>
      </c>
      <c r="L11" s="470" t="str">
        <f t="shared" si="4"/>
        <v>B</v>
      </c>
      <c r="M11" s="458" t="str">
        <f t="shared" si="5"/>
        <v>D</v>
      </c>
      <c r="N11" s="459" t="str">
        <f t="shared" si="6"/>
        <v>D</v>
      </c>
      <c r="O11" s="453" t="str">
        <f t="shared" si="7"/>
        <v>E</v>
      </c>
      <c r="P11" s="127" t="str">
        <f t="shared" si="8"/>
        <v>D</v>
      </c>
      <c r="Q11" s="454">
        <f t="shared" si="9"/>
        <v>7.7</v>
      </c>
      <c r="R11" s="447"/>
      <c r="S11" s="447"/>
      <c r="T11" s="477" t="s">
        <v>403</v>
      </c>
      <c r="U11" s="474">
        <f>(U10*90%)</f>
        <v>0.02869449676</v>
      </c>
      <c r="V11" s="474">
        <f>(V10*105%)</f>
        <v>-0.173969996</v>
      </c>
      <c r="W11" s="474">
        <f t="shared" ref="W11:Z11" si="18">(W10*95%)</f>
        <v>0.0808406117</v>
      </c>
      <c r="X11" s="474">
        <f t="shared" si="18"/>
        <v>0.05008606189</v>
      </c>
      <c r="Y11" s="474">
        <f t="shared" si="18"/>
        <v>0.4990109343</v>
      </c>
      <c r="Z11" s="474">
        <f t="shared" si="18"/>
        <v>0.1160547717</v>
      </c>
    </row>
    <row r="12" ht="15.75" customHeight="1">
      <c r="A12" s="450" t="str">
        <f>ApgS!A12</f>
        <v>EllisGotMyPills</v>
      </c>
      <c r="B12" s="451">
        <f>IFERROR(VLOOKUP($A12,ApgS!$A:$G,2,0),)</f>
        <v>0</v>
      </c>
      <c r="C12" s="451">
        <f>IFERROR(VLOOKUP($A12,ApgS!$A:$G,3,0),)</f>
        <v>0.3397508494</v>
      </c>
      <c r="D12" s="451">
        <f>IFERROR(VLOOKUP($A12,ApgS!$A:$G,4,0),)</f>
        <v>0.06795016988</v>
      </c>
      <c r="E12" s="451">
        <f>IFERROR(VLOOKUP($A12,ApgS!$A:$G,5,0),)</f>
        <v>0</v>
      </c>
      <c r="F12" s="451">
        <f>IFERROR(VLOOKUP($A12,ApgS!$A:$G,6,0),)</f>
        <v>0.4756511891</v>
      </c>
      <c r="G12" s="451">
        <f>IFERROR(VLOOKUP($A12,ApgS!$A:$G,7,0),)</f>
        <v>0</v>
      </c>
      <c r="H12" s="452"/>
      <c r="I12" s="450" t="str">
        <f>ApgS!A12</f>
        <v>EllisGotMyPills</v>
      </c>
      <c r="J12" s="453" t="str">
        <f t="shared" si="2"/>
        <v>F</v>
      </c>
      <c r="K12" s="459" t="str">
        <f t="shared" si="3"/>
        <v>S</v>
      </c>
      <c r="L12" s="464" t="str">
        <f t="shared" si="4"/>
        <v>E</v>
      </c>
      <c r="M12" s="460" t="str">
        <f t="shared" si="5"/>
        <v>F</v>
      </c>
      <c r="N12" s="460" t="str">
        <f t="shared" si="6"/>
        <v>D</v>
      </c>
      <c r="O12" s="461" t="str">
        <f t="shared" si="7"/>
        <v>F</v>
      </c>
      <c r="P12" s="127" t="str">
        <f t="shared" si="8"/>
        <v>D</v>
      </c>
      <c r="Q12" s="454">
        <f t="shared" si="9"/>
        <v>6.5</v>
      </c>
      <c r="R12" s="456" t="s">
        <v>18</v>
      </c>
      <c r="S12" s="478">
        <f>(S26*7)+(S27*7)+(S28*7)+(S29*7)+(S30*7)+(S31*7)</f>
        <v>17.5</v>
      </c>
      <c r="T12" s="479" t="s">
        <v>404</v>
      </c>
      <c r="U12" s="480">
        <f t="shared" ref="U12:Z12" si="19">U11</f>
        <v>0.02869449676</v>
      </c>
      <c r="V12" s="480">
        <f t="shared" si="19"/>
        <v>-0.173969996</v>
      </c>
      <c r="W12" s="480">
        <f t="shared" si="19"/>
        <v>0.0808406117</v>
      </c>
      <c r="X12" s="480">
        <f t="shared" si="19"/>
        <v>0.05008606189</v>
      </c>
      <c r="Y12" s="480">
        <f t="shared" si="19"/>
        <v>0.4990109343</v>
      </c>
      <c r="Z12" s="480">
        <f t="shared" si="19"/>
        <v>0.1160547717</v>
      </c>
    </row>
    <row r="13" ht="15.75" customHeight="1">
      <c r="A13" s="450" t="str">
        <f>ApgS!A13</f>
        <v>Frnzh</v>
      </c>
      <c r="B13" s="451">
        <f>IFERROR(VLOOKUP($A13,ApgS!$A:$G,2,0),)</f>
        <v>0</v>
      </c>
      <c r="C13" s="451">
        <f>IFERROR(VLOOKUP($A13,ApgS!$A:$G,3,0),)</f>
        <v>-0.5005561735</v>
      </c>
      <c r="D13" s="451">
        <f>IFERROR(VLOOKUP($A13,ApgS!$A:$G,4,0),)</f>
        <v>0.06674082314</v>
      </c>
      <c r="E13" s="451">
        <f>IFERROR(VLOOKUP($A13,ApgS!$A:$G,5,0),)</f>
        <v>0.1334816463</v>
      </c>
      <c r="F13" s="451">
        <f>IFERROR(VLOOKUP($A13,ApgS!$A:$G,6,0),)</f>
        <v>0.3003337041</v>
      </c>
      <c r="G13" s="451">
        <f>IFERROR(VLOOKUP($A13,ApgS!$A:$G,7,0),)</f>
        <v>0.06674082314</v>
      </c>
      <c r="H13" s="452"/>
      <c r="I13" s="450" t="str">
        <f>ApgS!A13</f>
        <v>Frnzh</v>
      </c>
      <c r="J13" s="464" t="str">
        <f t="shared" si="2"/>
        <v>F</v>
      </c>
      <c r="K13" s="453" t="str">
        <f t="shared" si="3"/>
        <v>E</v>
      </c>
      <c r="L13" s="470" t="str">
        <f t="shared" si="4"/>
        <v>E</v>
      </c>
      <c r="M13" s="470" t="str">
        <f t="shared" si="5"/>
        <v>S</v>
      </c>
      <c r="N13" s="459" t="str">
        <f t="shared" si="6"/>
        <v>E</v>
      </c>
      <c r="O13" s="459" t="str">
        <f t="shared" si="7"/>
        <v>D</v>
      </c>
      <c r="P13" s="126" t="str">
        <f t="shared" si="8"/>
        <v>D</v>
      </c>
      <c r="Q13" s="454">
        <f t="shared" si="9"/>
        <v>7.8</v>
      </c>
      <c r="R13" s="462" t="s">
        <v>405</v>
      </c>
      <c r="S13" s="481">
        <f>MEDIAN(S12,S14)</f>
        <v>16.25</v>
      </c>
      <c r="T13" s="461" t="s">
        <v>406</v>
      </c>
      <c r="U13" s="482">
        <f t="shared" ref="U13:Z13" si="20">MEDIAN(U10,U16)</f>
        <v>0.01594138709</v>
      </c>
      <c r="V13" s="482">
        <f t="shared" si="20"/>
        <v>-0.3861153825</v>
      </c>
      <c r="W13" s="482">
        <f t="shared" si="20"/>
        <v>0.07381438903</v>
      </c>
      <c r="X13" s="482">
        <f t="shared" si="20"/>
        <v>0.03630768792</v>
      </c>
      <c r="Y13" s="482">
        <f t="shared" si="20"/>
        <v>0.4800626158</v>
      </c>
      <c r="Z13" s="482">
        <f t="shared" si="20"/>
        <v>0.09161341081</v>
      </c>
    </row>
    <row r="14" ht="15.75" customHeight="1">
      <c r="A14" s="450" t="str">
        <f>ApgS!A14</f>
        <v>Havoc Puppies</v>
      </c>
      <c r="B14" s="451">
        <f>IFERROR(VLOOKUP($A14,ApgS!$A:$G,2,0),)</f>
        <v>0.2189781022</v>
      </c>
      <c r="C14" s="451">
        <f>IFERROR(VLOOKUP($A14,ApgS!$A:$G,3,0),)</f>
        <v>0.8759124088</v>
      </c>
      <c r="D14" s="451">
        <f>IFERROR(VLOOKUP($A14,ApgS!$A:$G,4,0),)</f>
        <v>0</v>
      </c>
      <c r="E14" s="451">
        <f>IFERROR(VLOOKUP($A14,ApgS!$A:$G,5,0),)</f>
        <v>0</v>
      </c>
      <c r="F14" s="451">
        <f>IFERROR(VLOOKUP($A14,ApgS!$A:$G,6,0),)</f>
        <v>0.6569343066</v>
      </c>
      <c r="G14" s="451">
        <f>IFERROR(VLOOKUP($A14,ApgS!$A:$G,7,0),)</f>
        <v>0.2189781022</v>
      </c>
      <c r="H14" s="452"/>
      <c r="I14" s="450" t="str">
        <f>ApgS!A14</f>
        <v>Havoc Puppies</v>
      </c>
      <c r="J14" s="458" t="str">
        <f t="shared" si="2"/>
        <v>S</v>
      </c>
      <c r="K14" s="458" t="str">
        <f t="shared" si="3"/>
        <v>S</v>
      </c>
      <c r="L14" s="458" t="str">
        <f t="shared" si="4"/>
        <v>F</v>
      </c>
      <c r="M14" s="458" t="str">
        <f t="shared" si="5"/>
        <v>F</v>
      </c>
      <c r="N14" s="460" t="str">
        <f t="shared" si="6"/>
        <v>A</v>
      </c>
      <c r="O14" s="458" t="str">
        <f t="shared" si="7"/>
        <v>S</v>
      </c>
      <c r="P14" s="131" t="str">
        <f t="shared" si="8"/>
        <v>B</v>
      </c>
      <c r="Q14" s="454">
        <f t="shared" si="9"/>
        <v>12.9</v>
      </c>
      <c r="R14" s="465" t="s">
        <v>17</v>
      </c>
      <c r="S14" s="483">
        <f>(S26*6)+(S27*6)+(S28*6)+(S29*6)+(S30*6)+(S31*6)</f>
        <v>15</v>
      </c>
      <c r="T14" s="484" t="s">
        <v>407</v>
      </c>
      <c r="U14" s="480">
        <f t="shared" ref="U14:Z14" si="21">U15</f>
        <v>0</v>
      </c>
      <c r="V14" s="480">
        <f t="shared" si="21"/>
        <v>-0.4852360437</v>
      </c>
      <c r="W14" s="480">
        <f t="shared" si="21"/>
        <v>0.06878673706</v>
      </c>
      <c r="X14" s="480">
        <f t="shared" si="21"/>
        <v>0.0208878657</v>
      </c>
      <c r="Y14" s="480">
        <f t="shared" si="21"/>
        <v>0.4565930921</v>
      </c>
      <c r="Z14" s="480">
        <f t="shared" si="21"/>
        <v>0.06472773825</v>
      </c>
    </row>
    <row r="15" ht="15.75" customHeight="1">
      <c r="A15" s="450" t="str">
        <f>ApgS!A15</f>
        <v>ixjaga</v>
      </c>
      <c r="B15" s="451">
        <f>IFERROR(VLOOKUP($A15,ApgS!$A:$G,2,0),)</f>
        <v>0</v>
      </c>
      <c r="C15" s="451">
        <f>IFERROR(VLOOKUP($A15,ApgS!$A:$G,3,0),)</f>
        <v>-0.8008898776</v>
      </c>
      <c r="D15" s="451">
        <f>IFERROR(VLOOKUP($A15,ApgS!$A:$G,4,0),)</f>
        <v>0.06674082314</v>
      </c>
      <c r="E15" s="451">
        <f>IFERROR(VLOOKUP($A15,ApgS!$A:$G,5,0),)</f>
        <v>0</v>
      </c>
      <c r="F15" s="451">
        <f>IFERROR(VLOOKUP($A15,ApgS!$A:$G,6,0),)</f>
        <v>0.6674082314</v>
      </c>
      <c r="G15" s="451">
        <f>IFERROR(VLOOKUP($A15,ApgS!$A:$G,7,0),)</f>
        <v>0.2002224694</v>
      </c>
      <c r="H15" s="452"/>
      <c r="I15" s="450" t="str">
        <f>ApgS!A15</f>
        <v>ixjaga</v>
      </c>
      <c r="J15" s="470" t="str">
        <f t="shared" si="2"/>
        <v>F</v>
      </c>
      <c r="K15" s="461" t="str">
        <f t="shared" si="3"/>
        <v>E</v>
      </c>
      <c r="L15" s="453" t="str">
        <f t="shared" si="4"/>
        <v>E</v>
      </c>
      <c r="M15" s="461" t="str">
        <f t="shared" si="5"/>
        <v>F</v>
      </c>
      <c r="N15" s="464" t="str">
        <f t="shared" si="6"/>
        <v>A</v>
      </c>
      <c r="O15" s="464" t="str">
        <f t="shared" si="7"/>
        <v>A</v>
      </c>
      <c r="P15" s="126" t="str">
        <f t="shared" si="8"/>
        <v>D</v>
      </c>
      <c r="Q15" s="454">
        <f t="shared" si="9"/>
        <v>8.2</v>
      </c>
      <c r="R15" s="467" t="s">
        <v>408</v>
      </c>
      <c r="S15" s="481">
        <f>MEDIAN(S14,S16)</f>
        <v>13.75</v>
      </c>
      <c r="T15" s="485" t="s">
        <v>409</v>
      </c>
      <c r="U15" s="486">
        <f>(U16*15%)+U16</f>
        <v>0</v>
      </c>
      <c r="V15" s="486">
        <f>(V16*80%)</f>
        <v>-0.4852360437</v>
      </c>
      <c r="W15" s="486">
        <f>(W16*110%)</f>
        <v>0.06878673706</v>
      </c>
      <c r="X15" s="486">
        <f t="shared" ref="X15:Y15" si="22">(X16*105%)</f>
        <v>0.0208878657</v>
      </c>
      <c r="Y15" s="486">
        <f t="shared" si="22"/>
        <v>0.4565930921</v>
      </c>
      <c r="Z15" s="486">
        <f>(Z16*106%)</f>
        <v>0.06472773825</v>
      </c>
    </row>
    <row r="16" ht="15.75" customHeight="1">
      <c r="A16" s="450" t="str">
        <f>ApgS!A16</f>
        <v>ixSqueeps</v>
      </c>
      <c r="B16" s="451">
        <f>IFERROR(VLOOKUP($A16,ApgS!$A:$G,2,0),)</f>
        <v>0.05560704356</v>
      </c>
      <c r="C16" s="451">
        <f>IFERROR(VLOOKUP($A16,ApgS!$A:$G,3,0),)</f>
        <v>0.05560704356</v>
      </c>
      <c r="D16" s="451">
        <f>IFERROR(VLOOKUP($A16,ApgS!$A:$G,4,0),)</f>
        <v>0.05560704356</v>
      </c>
      <c r="E16" s="451">
        <f>IFERROR(VLOOKUP($A16,ApgS!$A:$G,5,0),)</f>
        <v>0.07414272475</v>
      </c>
      <c r="F16" s="451">
        <f>IFERROR(VLOOKUP($A16,ApgS!$A:$G,6,0),)</f>
        <v>0.6487488415</v>
      </c>
      <c r="G16" s="451">
        <f>IFERROR(VLOOKUP($A16,ApgS!$A:$G,7,0),)</f>
        <v>0.1668211307</v>
      </c>
      <c r="H16" s="452"/>
      <c r="I16" s="450" t="str">
        <f>ApgS!A16</f>
        <v>ixSqueeps</v>
      </c>
      <c r="J16" s="453" t="str">
        <f t="shared" si="2"/>
        <v>B</v>
      </c>
      <c r="K16" s="453" t="str">
        <f t="shared" si="3"/>
        <v>B</v>
      </c>
      <c r="L16" s="464" t="str">
        <f t="shared" si="4"/>
        <v>F</v>
      </c>
      <c r="M16" s="453" t="str">
        <f t="shared" si="5"/>
        <v>S</v>
      </c>
      <c r="N16" s="453" t="str">
        <f t="shared" si="6"/>
        <v>A</v>
      </c>
      <c r="O16" s="453" t="str">
        <f t="shared" si="7"/>
        <v>B</v>
      </c>
      <c r="P16" s="126" t="str">
        <f t="shared" si="8"/>
        <v>B</v>
      </c>
      <c r="Q16" s="454">
        <f t="shared" si="9"/>
        <v>13.1</v>
      </c>
      <c r="R16" s="464" t="s">
        <v>16</v>
      </c>
      <c r="S16" s="487">
        <f>(S26*5)+(S27*5)+(S28*5)+(S29*5)+(S30*5)+(S31*5)</f>
        <v>12.5</v>
      </c>
      <c r="T16" s="488" t="s">
        <v>410</v>
      </c>
      <c r="U16" s="489">
        <f t="shared" ref="U16:Z16" si="23">QUARTILE(B2:B39,1)</f>
        <v>0</v>
      </c>
      <c r="V16" s="489">
        <f t="shared" si="23"/>
        <v>-0.6065450546</v>
      </c>
      <c r="W16" s="489">
        <f t="shared" si="23"/>
        <v>0.06253339733</v>
      </c>
      <c r="X16" s="489">
        <f t="shared" si="23"/>
        <v>0.01989320543</v>
      </c>
      <c r="Y16" s="489">
        <f t="shared" si="23"/>
        <v>0.4348505639</v>
      </c>
      <c r="Z16" s="489">
        <f t="shared" si="23"/>
        <v>0.06106390401</v>
      </c>
    </row>
    <row r="17" ht="15.75" customHeight="1">
      <c r="A17" s="450" t="str">
        <f>ApgS!A17</f>
        <v>KING RICKXL</v>
      </c>
      <c r="B17" s="451">
        <f>IFERROR(VLOOKUP($A17,ApgS!$A:$G,2,0),)</f>
        <v>0.2189781022</v>
      </c>
      <c r="C17" s="451">
        <f>IFERROR(VLOOKUP($A17,ApgS!$A:$G,3,0),)</f>
        <v>0</v>
      </c>
      <c r="D17" s="451">
        <f>IFERROR(VLOOKUP($A17,ApgS!$A:$G,4,0),)</f>
        <v>0.2189781022</v>
      </c>
      <c r="E17" s="451">
        <f>IFERROR(VLOOKUP($A17,ApgS!$A:$G,5,0),)</f>
        <v>0</v>
      </c>
      <c r="F17" s="451">
        <f>IFERROR(VLOOKUP($A17,ApgS!$A:$G,6,0),)</f>
        <v>0.4379562044</v>
      </c>
      <c r="G17" s="451">
        <f>IFERROR(VLOOKUP($A17,ApgS!$A:$G,7,0),)</f>
        <v>0.2189781022</v>
      </c>
      <c r="H17" s="452"/>
      <c r="I17" s="450" t="str">
        <f>ApgS!A17</f>
        <v>KING RICKXL</v>
      </c>
      <c r="J17" s="470" t="str">
        <f t="shared" si="2"/>
        <v>S</v>
      </c>
      <c r="K17" s="458" t="str">
        <f t="shared" si="3"/>
        <v>B</v>
      </c>
      <c r="L17" s="464" t="str">
        <f t="shared" si="4"/>
        <v>S</v>
      </c>
      <c r="M17" s="458" t="str">
        <f t="shared" si="5"/>
        <v>F</v>
      </c>
      <c r="N17" s="460" t="str">
        <f t="shared" si="6"/>
        <v>E</v>
      </c>
      <c r="O17" s="461" t="str">
        <f t="shared" si="7"/>
        <v>S</v>
      </c>
      <c r="P17" s="130" t="str">
        <f t="shared" si="8"/>
        <v>B</v>
      </c>
      <c r="Q17" s="454">
        <f t="shared" si="9"/>
        <v>11.5</v>
      </c>
      <c r="R17" s="468" t="s">
        <v>411</v>
      </c>
      <c r="S17" s="490">
        <f>MEDIAN(S16,S18)</f>
        <v>11.25</v>
      </c>
      <c r="T17" s="491" t="s">
        <v>412</v>
      </c>
      <c r="U17" s="486">
        <f>(U16*60%)</f>
        <v>0</v>
      </c>
      <c r="V17" s="486">
        <f>(V16*160%)</f>
        <v>-0.9704720873</v>
      </c>
      <c r="W17" s="486">
        <f>(W16*90%)</f>
        <v>0.05628005759</v>
      </c>
      <c r="X17" s="486">
        <f>(X16*60%)</f>
        <v>0.01193592326</v>
      </c>
      <c r="Y17" s="486">
        <f>(Y16*55%)</f>
        <v>0.2391678101</v>
      </c>
      <c r="Z17" s="486">
        <f>(Z16*60%)</f>
        <v>0.03663834241</v>
      </c>
    </row>
    <row r="18" ht="15.75" customHeight="1">
      <c r="A18" s="450" t="str">
        <f>ApgS!A18</f>
        <v>LaMeowlla</v>
      </c>
      <c r="B18" s="451">
        <f>IFERROR(VLOOKUP($A18,ApgS!$A:$G,2,0),)</f>
        <v>0.01109672647</v>
      </c>
      <c r="C18" s="451">
        <f>IFERROR(VLOOKUP($A18,ApgS!$A:$G,3,0),)</f>
        <v>-0.4105788792</v>
      </c>
      <c r="D18" s="451">
        <f>IFERROR(VLOOKUP($A18,ApgS!$A:$G,4,0),)</f>
        <v>0.08877381173</v>
      </c>
      <c r="E18" s="451">
        <f>IFERROR(VLOOKUP($A18,ApgS!$A:$G,5,0),)</f>
        <v>0.05548363233</v>
      </c>
      <c r="F18" s="451">
        <f>IFERROR(VLOOKUP($A18,ApgS!$A:$G,6,0),)</f>
        <v>0.5437395968</v>
      </c>
      <c r="G18" s="451">
        <f>IFERROR(VLOOKUP($A18,ApgS!$A:$G,7,0),)</f>
        <v>0.1220639911</v>
      </c>
      <c r="H18" s="452"/>
      <c r="I18" s="450" t="str">
        <f>ApgS!A18</f>
        <v>LaMeowlla</v>
      </c>
      <c r="J18" s="470" t="str">
        <f t="shared" si="2"/>
        <v>D</v>
      </c>
      <c r="K18" s="460" t="str">
        <f t="shared" si="3"/>
        <v>D</v>
      </c>
      <c r="L18" s="460" t="str">
        <f t="shared" si="4"/>
        <v>B</v>
      </c>
      <c r="M18" s="458" t="str">
        <f t="shared" si="5"/>
        <v>C</v>
      </c>
      <c r="N18" s="458" t="str">
        <f t="shared" si="6"/>
        <v>C</v>
      </c>
      <c r="O18" s="458" t="str">
        <f t="shared" si="7"/>
        <v>C</v>
      </c>
      <c r="P18" s="130" t="str">
        <f t="shared" si="8"/>
        <v>C</v>
      </c>
      <c r="Q18" s="454">
        <f t="shared" si="9"/>
        <v>9.4</v>
      </c>
      <c r="R18" s="475" t="s">
        <v>28</v>
      </c>
      <c r="S18" s="492">
        <f>(S26*4)+(S27*4)+(S28*4)+(S29*4)+(S30*4)+(S31*4)</f>
        <v>10</v>
      </c>
      <c r="T18" s="493" t="s">
        <v>66</v>
      </c>
      <c r="U18" s="494">
        <f t="shared" ref="U18:Z18" si="24">U17</f>
        <v>0</v>
      </c>
      <c r="V18" s="494">
        <f t="shared" si="24"/>
        <v>-0.9704720873</v>
      </c>
      <c r="W18" s="494">
        <f t="shared" si="24"/>
        <v>0.05628005759</v>
      </c>
      <c r="X18" s="494">
        <f t="shared" si="24"/>
        <v>0.01193592326</v>
      </c>
      <c r="Y18" s="494">
        <f t="shared" si="24"/>
        <v>0.2391678101</v>
      </c>
      <c r="Z18" s="494">
        <f t="shared" si="24"/>
        <v>0.03663834241</v>
      </c>
    </row>
    <row r="19" ht="15.75" customHeight="1">
      <c r="A19" s="450" t="str">
        <f>ApgS!A19</f>
        <v>LilSkelR1926</v>
      </c>
      <c r="B19" s="451">
        <f>IFERROR(VLOOKUP($A19,ApgS!$A:$G,2,0),)</f>
        <v>0.2189781022</v>
      </c>
      <c r="C19" s="451">
        <f>IFERROR(VLOOKUP($A19,ApgS!$A:$G,3,0),)</f>
        <v>1.313868613</v>
      </c>
      <c r="D19" s="451">
        <f>IFERROR(VLOOKUP($A19,ApgS!$A:$G,4,0),)</f>
        <v>0.2189781022</v>
      </c>
      <c r="E19" s="451">
        <f>IFERROR(VLOOKUP($A19,ApgS!$A:$G,5,0),)</f>
        <v>0</v>
      </c>
      <c r="F19" s="451">
        <f>IFERROR(VLOOKUP($A19,ApgS!$A:$G,6,0),)</f>
        <v>0.6569343066</v>
      </c>
      <c r="G19" s="451">
        <f>IFERROR(VLOOKUP($A19,ApgS!$A:$G,7,0),)</f>
        <v>0</v>
      </c>
      <c r="H19" s="452"/>
      <c r="I19" s="450" t="str">
        <f>ApgS!A19</f>
        <v>LilSkelR1926</v>
      </c>
      <c r="J19" s="458" t="str">
        <f t="shared" si="2"/>
        <v>S</v>
      </c>
      <c r="K19" s="464" t="str">
        <f t="shared" si="3"/>
        <v>S</v>
      </c>
      <c r="L19" s="460" t="str">
        <f t="shared" si="4"/>
        <v>S</v>
      </c>
      <c r="M19" s="464" t="str">
        <f t="shared" si="5"/>
        <v>F</v>
      </c>
      <c r="N19" s="459" t="str">
        <f t="shared" si="6"/>
        <v>A</v>
      </c>
      <c r="O19" s="459" t="str">
        <f t="shared" si="7"/>
        <v>F</v>
      </c>
      <c r="P19" s="130" t="str">
        <f t="shared" si="8"/>
        <v>C</v>
      </c>
      <c r="Q19" s="454">
        <f t="shared" si="9"/>
        <v>10.5</v>
      </c>
      <c r="R19" s="477" t="s">
        <v>413</v>
      </c>
      <c r="S19" s="495">
        <f>MEDIAN(S18,S20)</f>
        <v>8.75</v>
      </c>
      <c r="T19" s="452"/>
      <c r="U19" s="496"/>
      <c r="V19" s="497" t="s">
        <v>414</v>
      </c>
      <c r="W19" s="452"/>
      <c r="X19" s="452"/>
      <c r="Y19" s="452"/>
      <c r="Z19" s="452"/>
    </row>
    <row r="20" ht="15.75" customHeight="1">
      <c r="A20" s="450" t="str">
        <f>ApgS!A20</f>
        <v>Lmao Ninj0</v>
      </c>
      <c r="B20" s="451">
        <f>IFERROR(VLOOKUP($A20,ApgS!$A:$G,2,0),)</f>
        <v>0.08333333333</v>
      </c>
      <c r="C20" s="451">
        <f>IFERROR(VLOOKUP($A20,ApgS!$A:$G,3,0),)</f>
        <v>-1.777777778</v>
      </c>
      <c r="D20" s="451">
        <f>IFERROR(VLOOKUP($A20,ApgS!$A:$G,4,0),)</f>
        <v>0.1111111111</v>
      </c>
      <c r="E20" s="451">
        <f>IFERROR(VLOOKUP($A20,ApgS!$A:$G,5,0),)</f>
        <v>0</v>
      </c>
      <c r="F20" s="451">
        <f>IFERROR(VLOOKUP($A20,ApgS!$A:$G,6,0),)</f>
        <v>0.1944444444</v>
      </c>
      <c r="G20" s="451">
        <f>IFERROR(VLOOKUP($A20,ApgS!$A:$G,7,0),)</f>
        <v>0</v>
      </c>
      <c r="H20" s="452"/>
      <c r="I20" s="450" t="str">
        <f>ApgS!A20</f>
        <v>Lmao Ninj0</v>
      </c>
      <c r="J20" s="460" t="str">
        <f t="shared" si="2"/>
        <v>S</v>
      </c>
      <c r="K20" s="459" t="str">
        <f t="shared" si="3"/>
        <v>F</v>
      </c>
      <c r="L20" s="461" t="str">
        <f t="shared" si="4"/>
        <v>B</v>
      </c>
      <c r="M20" s="461" t="str">
        <f t="shared" si="5"/>
        <v>F</v>
      </c>
      <c r="N20" s="470" t="str">
        <f t="shared" si="6"/>
        <v>F</v>
      </c>
      <c r="O20" s="470" t="str">
        <f t="shared" si="7"/>
        <v>F</v>
      </c>
      <c r="P20" s="127" t="str">
        <f t="shared" si="8"/>
        <v>E</v>
      </c>
      <c r="Q20" s="454">
        <f t="shared" si="9"/>
        <v>5.1</v>
      </c>
      <c r="R20" s="461" t="s">
        <v>23</v>
      </c>
      <c r="S20" s="498">
        <f>(S26*3)+(S27*3)+(S28*3)+(S29*3)+(S30*3)+(S31*3)</f>
        <v>7.5</v>
      </c>
      <c r="T20" s="452"/>
      <c r="U20" s="496"/>
      <c r="V20" s="452"/>
      <c r="W20" s="452"/>
      <c r="X20" s="452"/>
      <c r="Y20" s="452"/>
      <c r="Z20" s="452"/>
    </row>
    <row r="21" ht="15.75" customHeight="1">
      <c r="A21" s="450" t="str">
        <f>ApgS!A21</f>
        <v>Mavbrid</v>
      </c>
      <c r="B21" s="451">
        <f>IFERROR(VLOOKUP($A21,ApgS!$A:$G,2,0),)</f>
        <v>0.05967510222</v>
      </c>
      <c r="C21" s="451">
        <f>IFERROR(VLOOKUP($A21,ApgS!$A:$G,3,0),)</f>
        <v>-0.2055475743</v>
      </c>
      <c r="D21" s="451">
        <f>IFERROR(VLOOKUP($A21,ApgS!$A:$G,4,0),)</f>
        <v>0.07956680296</v>
      </c>
      <c r="E21" s="451">
        <f>IFERROR(VLOOKUP($A21,ApgS!$A:$G,5,0),)</f>
        <v>0.03315283457</v>
      </c>
      <c r="F21" s="451">
        <f>IFERROR(VLOOKUP($A21,ApgS!$A:$G,6,0),)</f>
        <v>0.4906619516</v>
      </c>
      <c r="G21" s="451">
        <f>IFERROR(VLOOKUP($A21,ApgS!$A:$G,7,0),)</f>
        <v>0.09282793679</v>
      </c>
      <c r="H21" s="452"/>
      <c r="I21" s="450" t="str">
        <f>ApgS!A21</f>
        <v>Mavbrid</v>
      </c>
      <c r="J21" s="470" t="str">
        <f t="shared" si="2"/>
        <v>B</v>
      </c>
      <c r="K21" s="460" t="str">
        <f t="shared" si="3"/>
        <v>D</v>
      </c>
      <c r="L21" s="453" t="str">
        <f t="shared" si="4"/>
        <v>D</v>
      </c>
      <c r="M21" s="461" t="str">
        <f t="shared" si="5"/>
        <v>D</v>
      </c>
      <c r="N21" s="460" t="str">
        <f t="shared" si="6"/>
        <v>D</v>
      </c>
      <c r="O21" s="461" t="str">
        <f t="shared" si="7"/>
        <v>D</v>
      </c>
      <c r="P21" s="127" t="str">
        <f t="shared" si="8"/>
        <v>D</v>
      </c>
      <c r="Q21" s="454">
        <f t="shared" si="9"/>
        <v>8.1</v>
      </c>
      <c r="R21" s="499" t="s">
        <v>415</v>
      </c>
      <c r="S21" s="500">
        <f>MEDIAN(S20,S22)</f>
        <v>6.25</v>
      </c>
      <c r="T21" s="452"/>
      <c r="U21" s="496"/>
      <c r="V21" s="452"/>
      <c r="W21" s="452"/>
      <c r="X21" s="452"/>
      <c r="Y21" s="452"/>
      <c r="Z21" s="452"/>
    </row>
    <row r="22" ht="15.75" customHeight="1">
      <c r="A22" s="450" t="str">
        <f>ApgS!A22</f>
        <v>MoldyVolts</v>
      </c>
      <c r="B22" s="451">
        <f>IFERROR(VLOOKUP($A22,ApgS!$A:$G,2,0),)</f>
        <v>0</v>
      </c>
      <c r="C22" s="451">
        <f>IFERROR(VLOOKUP($A22,ApgS!$A:$G,3,0),)</f>
        <v>-0.6418746816</v>
      </c>
      <c r="D22" s="451">
        <f>IFERROR(VLOOKUP($A22,ApgS!$A:$G,4,0),)</f>
        <v>0.06113092206</v>
      </c>
      <c r="E22" s="451">
        <f>IFERROR(VLOOKUP($A22,ApgS!$A:$G,5,0),)</f>
        <v>0.04584819154</v>
      </c>
      <c r="F22" s="451">
        <f>IFERROR(VLOOKUP($A22,ApgS!$A:$G,6,0),)</f>
        <v>0.504330107</v>
      </c>
      <c r="G22" s="451">
        <f>IFERROR(VLOOKUP($A22,ApgS!$A:$G,7,0),)</f>
        <v>0.04584819154</v>
      </c>
      <c r="H22" s="452"/>
      <c r="I22" s="450" t="str">
        <f>ApgS!A22</f>
        <v>MoldyVolts</v>
      </c>
      <c r="J22" s="470" t="str">
        <f t="shared" si="2"/>
        <v>F</v>
      </c>
      <c r="K22" s="453" t="str">
        <f t="shared" si="3"/>
        <v>E</v>
      </c>
      <c r="L22" s="470" t="str">
        <f t="shared" si="4"/>
        <v>E</v>
      </c>
      <c r="M22" s="453" t="str">
        <f t="shared" si="5"/>
        <v>D</v>
      </c>
      <c r="N22" s="453" t="str">
        <f t="shared" si="6"/>
        <v>C</v>
      </c>
      <c r="O22" s="453" t="str">
        <f t="shared" si="7"/>
        <v>E</v>
      </c>
      <c r="P22" s="116" t="str">
        <f t="shared" si="8"/>
        <v>E</v>
      </c>
      <c r="Q22" s="454">
        <f t="shared" si="9"/>
        <v>6</v>
      </c>
      <c r="R22" s="488" t="s">
        <v>25</v>
      </c>
      <c r="S22" s="501">
        <f>(S26*2)+(S27*2)+(S28*2)+(S29*2)+(S30*2)+(S31*2)</f>
        <v>5</v>
      </c>
      <c r="T22" s="452"/>
      <c r="U22" s="496"/>
      <c r="V22" s="452"/>
      <c r="W22" s="452"/>
      <c r="X22" s="452"/>
      <c r="Y22" s="452"/>
      <c r="Z22" s="452"/>
    </row>
    <row r="23" ht="15.75" customHeight="1">
      <c r="A23" s="450" t="str">
        <f>ApgS!A23</f>
        <v>Mr Epic Beast</v>
      </c>
      <c r="B23" s="451">
        <f>IFERROR(VLOOKUP($A23,ApgS!$A:$G,2,0),)</f>
        <v>0.05332280043</v>
      </c>
      <c r="C23" s="451">
        <f>IFERROR(VLOOKUP($A23,ApgS!$A:$G,3,0),)</f>
        <v>-0.3791843586</v>
      </c>
      <c r="D23" s="451">
        <f>IFERROR(VLOOKUP($A23,ApgS!$A:$G,4,0),)</f>
        <v>0.05924755604</v>
      </c>
      <c r="E23" s="451">
        <f>IFERROR(VLOOKUP($A23,ApgS!$A:$G,5,0),)</f>
        <v>0.04739804483</v>
      </c>
      <c r="F23" s="451">
        <f>IFERROR(VLOOKUP($A23,ApgS!$A:$G,6,0),)</f>
        <v>0.5036042263</v>
      </c>
      <c r="G23" s="451">
        <f>IFERROR(VLOOKUP($A23,ApgS!$A:$G,7,0),)</f>
        <v>0.08887133406</v>
      </c>
      <c r="H23" s="452"/>
      <c r="I23" s="450" t="str">
        <f>ApgS!A23</f>
        <v>Mr Epic Beast</v>
      </c>
      <c r="J23" s="464" t="str">
        <f t="shared" si="2"/>
        <v>B</v>
      </c>
      <c r="K23" s="453" t="str">
        <f t="shared" si="3"/>
        <v>D</v>
      </c>
      <c r="L23" s="464" t="str">
        <f t="shared" si="4"/>
        <v>E</v>
      </c>
      <c r="M23" s="453" t="str">
        <f t="shared" si="5"/>
        <v>D</v>
      </c>
      <c r="N23" s="470" t="str">
        <f t="shared" si="6"/>
        <v>C</v>
      </c>
      <c r="O23" s="470" t="str">
        <f t="shared" si="7"/>
        <v>D</v>
      </c>
      <c r="P23" s="128" t="str">
        <f t="shared" si="8"/>
        <v>D</v>
      </c>
      <c r="Q23" s="454">
        <f t="shared" si="9"/>
        <v>8.3</v>
      </c>
      <c r="R23" s="491" t="s">
        <v>416</v>
      </c>
      <c r="S23" s="502">
        <f>MEDIAN(S22,S24)</f>
        <v>3.75</v>
      </c>
      <c r="T23" s="452"/>
      <c r="U23" s="496"/>
      <c r="V23" s="452"/>
      <c r="W23" s="452"/>
      <c r="X23" s="452"/>
      <c r="Y23" s="452"/>
      <c r="Z23" s="452"/>
    </row>
    <row r="24" ht="15.75" customHeight="1">
      <c r="A24" s="450" t="str">
        <f>ApgS!A24</f>
        <v>mstell96</v>
      </c>
      <c r="B24" s="451">
        <f>IFERROR(VLOOKUP($A24,ApgS!$A:$G,2,0),)</f>
        <v>0</v>
      </c>
      <c r="C24" s="451">
        <f>IFERROR(VLOOKUP($A24,ApgS!$A:$G,3,0),)</f>
        <v>-0.860712633</v>
      </c>
      <c r="D24" s="451">
        <f>IFERROR(VLOOKUP($A24,ApgS!$A:$G,4,0),)</f>
        <v>0.1665895419</v>
      </c>
      <c r="E24" s="451">
        <f>IFERROR(VLOOKUP($A24,ApgS!$A:$G,5,0),)</f>
        <v>0.05552984729</v>
      </c>
      <c r="F24" s="451">
        <f>IFERROR(VLOOKUP($A24,ApgS!$A:$G,6,0),)</f>
        <v>0.4164738547</v>
      </c>
      <c r="G24" s="451">
        <f>IFERROR(VLOOKUP($A24,ApgS!$A:$G,7,0),)</f>
        <v>0.05552984729</v>
      </c>
      <c r="H24" s="452"/>
      <c r="I24" s="450" t="str">
        <f>ApgS!A24</f>
        <v>mstell96</v>
      </c>
      <c r="J24" s="460" t="str">
        <f t="shared" si="2"/>
        <v>F</v>
      </c>
      <c r="K24" s="458" t="str">
        <f t="shared" si="3"/>
        <v>E</v>
      </c>
      <c r="L24" s="461" t="str">
        <f t="shared" si="4"/>
        <v>S</v>
      </c>
      <c r="M24" s="458" t="str">
        <f t="shared" si="5"/>
        <v>C</v>
      </c>
      <c r="N24" s="458" t="str">
        <f t="shared" si="6"/>
        <v>E</v>
      </c>
      <c r="O24" s="458" t="str">
        <f t="shared" si="7"/>
        <v>E</v>
      </c>
      <c r="P24" s="503" t="str">
        <f t="shared" si="8"/>
        <v>D</v>
      </c>
      <c r="Q24" s="454">
        <f t="shared" si="9"/>
        <v>6.7</v>
      </c>
      <c r="R24" s="493" t="s">
        <v>66</v>
      </c>
      <c r="S24" s="504">
        <f>(S26*1)+(S27*1)+(S28*1)+(S29*1)+(S30*1)+(S31*1)</f>
        <v>2.5</v>
      </c>
      <c r="T24" s="452"/>
      <c r="U24" s="496"/>
      <c r="V24" s="452"/>
      <c r="W24" s="452"/>
      <c r="X24" s="452"/>
      <c r="Y24" s="452"/>
      <c r="Z24" s="452"/>
    </row>
    <row r="25" ht="15.75" customHeight="1">
      <c r="A25" s="450" t="str">
        <f>ApgS!A25</f>
        <v>MuNgO PuNgO</v>
      </c>
      <c r="B25" s="451">
        <f>IFERROR(VLOOKUP($A25,ApgS!$A:$G,2,0),)</f>
        <v>0.1238816242</v>
      </c>
      <c r="C25" s="451">
        <f>IFERROR(VLOOKUP($A25,ApgS!$A:$G,3,0),)</f>
        <v>-0.9084652443</v>
      </c>
      <c r="D25" s="451">
        <f>IFERROR(VLOOKUP($A25,ApgS!$A:$G,4,0),)</f>
        <v>0</v>
      </c>
      <c r="E25" s="451">
        <f>IFERROR(VLOOKUP($A25,ApgS!$A:$G,5,0),)</f>
        <v>0</v>
      </c>
      <c r="F25" s="451">
        <f>IFERROR(VLOOKUP($A25,ApgS!$A:$G,6,0),)</f>
        <v>0.4542326222</v>
      </c>
      <c r="G25" s="451">
        <f>IFERROR(VLOOKUP($A25,ApgS!$A:$G,7,0),)</f>
        <v>0.08258774948</v>
      </c>
      <c r="H25" s="452"/>
      <c r="I25" s="450" t="str">
        <f>ApgS!A25</f>
        <v>MuNgO PuNgO</v>
      </c>
      <c r="J25" s="458" t="str">
        <f t="shared" si="2"/>
        <v>S</v>
      </c>
      <c r="K25" s="461" t="str">
        <f t="shared" si="3"/>
        <v>E</v>
      </c>
      <c r="L25" s="461" t="str">
        <f t="shared" si="4"/>
        <v>F</v>
      </c>
      <c r="M25" s="470" t="str">
        <f t="shared" si="5"/>
        <v>F</v>
      </c>
      <c r="N25" s="470" t="str">
        <f t="shared" si="6"/>
        <v>E</v>
      </c>
      <c r="O25" s="453" t="str">
        <f t="shared" si="7"/>
        <v>D</v>
      </c>
      <c r="P25" s="127" t="str">
        <f t="shared" si="8"/>
        <v>D</v>
      </c>
      <c r="Q25" s="454">
        <f t="shared" si="9"/>
        <v>6.4</v>
      </c>
      <c r="R25" s="447"/>
      <c r="S25" s="447"/>
      <c r="T25" s="452"/>
      <c r="U25" s="496"/>
      <c r="V25" s="452"/>
      <c r="W25" s="452"/>
      <c r="X25" s="452"/>
      <c r="Y25" s="452"/>
      <c r="Z25" s="452"/>
    </row>
    <row r="26" ht="15.75" customHeight="1">
      <c r="A26" s="450" t="str">
        <f>ApgS!A26</f>
        <v>Myst the Cold</v>
      </c>
      <c r="B26" s="451">
        <f>IFERROR(VLOOKUP($A26,ApgS!$A:$G,2,0),)</f>
        <v>0.04132231405</v>
      </c>
      <c r="C26" s="451">
        <f>IFERROR(VLOOKUP($A26,ApgS!$A:$G,3,0),)</f>
        <v>0.2892561983</v>
      </c>
      <c r="D26" s="451">
        <f>IFERROR(VLOOKUP($A26,ApgS!$A:$G,4,0),)</f>
        <v>0.0826446281</v>
      </c>
      <c r="E26" s="451">
        <f>IFERROR(VLOOKUP($A26,ApgS!$A:$G,5,0),)</f>
        <v>0.1239669421</v>
      </c>
      <c r="F26" s="451">
        <f>IFERROR(VLOOKUP($A26,ApgS!$A:$G,6,0),)</f>
        <v>0.6611570248</v>
      </c>
      <c r="G26" s="451">
        <f>IFERROR(VLOOKUP($A26,ApgS!$A:$G,7,0),)</f>
        <v>0.1239669421</v>
      </c>
      <c r="H26" s="452"/>
      <c r="I26" s="450" t="str">
        <f>ApgS!A26</f>
        <v>Myst the Cold</v>
      </c>
      <c r="J26" s="464" t="str">
        <f t="shared" si="2"/>
        <v>B</v>
      </c>
      <c r="K26" s="453" t="str">
        <f t="shared" si="3"/>
        <v>A</v>
      </c>
      <c r="L26" s="470" t="str">
        <f t="shared" si="4"/>
        <v>C</v>
      </c>
      <c r="M26" s="453" t="str">
        <f t="shared" si="5"/>
        <v>S</v>
      </c>
      <c r="N26" s="453" t="str">
        <f t="shared" si="6"/>
        <v>A</v>
      </c>
      <c r="O26" s="453" t="str">
        <f t="shared" si="7"/>
        <v>C</v>
      </c>
      <c r="P26" s="128" t="str">
        <f t="shared" si="8"/>
        <v>B</v>
      </c>
      <c r="Q26" s="454">
        <f t="shared" si="9"/>
        <v>13.6</v>
      </c>
      <c r="R26" s="505" t="s">
        <v>417</v>
      </c>
      <c r="S26" s="506">
        <v>0.3</v>
      </c>
      <c r="T26" s="452"/>
      <c r="U26" s="496"/>
      <c r="V26" s="452"/>
      <c r="W26" s="452"/>
      <c r="X26" s="452"/>
      <c r="Y26" s="452"/>
      <c r="Z26" s="452"/>
    </row>
    <row r="27" ht="15.75" customHeight="1">
      <c r="A27" s="450" t="str">
        <f>ApgS!A27</f>
        <v>MysticalNovice</v>
      </c>
      <c r="B27" s="451">
        <f>IFERROR(VLOOKUP($A27,ApgS!$A:$G,2,0),)</f>
        <v>0.03337041157</v>
      </c>
      <c r="C27" s="451">
        <f>IFERROR(VLOOKUP($A27,ApgS!$A:$G,3,0),)</f>
        <v>-0.3337041157</v>
      </c>
      <c r="D27" s="451">
        <f>IFERROR(VLOOKUP($A27,ApgS!$A:$G,4,0),)</f>
        <v>0.1334816463</v>
      </c>
      <c r="E27" s="451">
        <f>IFERROR(VLOOKUP($A27,ApgS!$A:$G,5,0),)</f>
        <v>0.06674082314</v>
      </c>
      <c r="F27" s="451">
        <f>IFERROR(VLOOKUP($A27,ApgS!$A:$G,6,0),)</f>
        <v>0.8008898776</v>
      </c>
      <c r="G27" s="451">
        <f>IFERROR(VLOOKUP($A27,ApgS!$A:$G,7,0),)</f>
        <v>0.1334816463</v>
      </c>
      <c r="H27" s="452"/>
      <c r="I27" s="450" t="str">
        <f>ApgS!A27</f>
        <v>MysticalNovice</v>
      </c>
      <c r="J27" s="461" t="str">
        <f t="shared" si="2"/>
        <v>C</v>
      </c>
      <c r="K27" s="461" t="str">
        <f t="shared" si="3"/>
        <v>D</v>
      </c>
      <c r="L27" s="464" t="str">
        <f t="shared" si="4"/>
        <v>A</v>
      </c>
      <c r="M27" s="461" t="str">
        <f t="shared" si="5"/>
        <v>A</v>
      </c>
      <c r="N27" s="459" t="str">
        <f t="shared" si="6"/>
        <v>S</v>
      </c>
      <c r="O27" s="461" t="str">
        <f t="shared" si="7"/>
        <v>B</v>
      </c>
      <c r="P27" s="127" t="str">
        <f t="shared" si="8"/>
        <v>B</v>
      </c>
      <c r="Q27" s="454">
        <f t="shared" si="9"/>
        <v>12.7</v>
      </c>
      <c r="R27" s="505" t="s">
        <v>418</v>
      </c>
      <c r="S27" s="506">
        <v>0.5</v>
      </c>
      <c r="T27" s="452"/>
      <c r="U27" s="496"/>
      <c r="V27" s="452"/>
      <c r="W27" s="452"/>
      <c r="X27" s="452"/>
      <c r="Y27" s="452"/>
      <c r="Z27" s="452"/>
    </row>
    <row r="28" ht="15.75" customHeight="1">
      <c r="A28" s="450" t="str">
        <f>ApgS!A28</f>
        <v>Nihilus</v>
      </c>
      <c r="B28" s="451">
        <f>IFERROR(VLOOKUP($A28,ApgS!$A:$G,2,0),)</f>
        <v>0.1019367992</v>
      </c>
      <c r="C28" s="451">
        <f>IFERROR(VLOOKUP($A28,ApgS!$A:$G,3,0),)</f>
        <v>-0.3465851172</v>
      </c>
      <c r="D28" s="451">
        <f>IFERROR(VLOOKUP($A28,ApgS!$A:$G,4,0),)</f>
        <v>0.1019367992</v>
      </c>
      <c r="E28" s="451">
        <f>IFERROR(VLOOKUP($A28,ApgS!$A:$G,5,0),)</f>
        <v>0.06116207951</v>
      </c>
      <c r="F28" s="451">
        <f>IFERROR(VLOOKUP($A28,ApgS!$A:$G,6,0),)</f>
        <v>0.4281345566</v>
      </c>
      <c r="G28" s="451">
        <f>IFERROR(VLOOKUP($A28,ApgS!$A:$G,7,0),)</f>
        <v>0.122324159</v>
      </c>
      <c r="H28" s="452"/>
      <c r="I28" s="450" t="str">
        <f>ApgS!A28</f>
        <v>Nihilus</v>
      </c>
      <c r="J28" s="461" t="str">
        <f t="shared" si="2"/>
        <v>S</v>
      </c>
      <c r="K28" s="464" t="str">
        <f t="shared" si="3"/>
        <v>D</v>
      </c>
      <c r="L28" s="453" t="str">
        <f t="shared" si="4"/>
        <v>B</v>
      </c>
      <c r="M28" s="459" t="str">
        <f t="shared" si="5"/>
        <v>B</v>
      </c>
      <c r="N28" s="470" t="str">
        <f t="shared" si="6"/>
        <v>E</v>
      </c>
      <c r="O28" s="470" t="str">
        <f t="shared" si="7"/>
        <v>C</v>
      </c>
      <c r="P28" s="128" t="str">
        <f t="shared" si="8"/>
        <v>C</v>
      </c>
      <c r="Q28" s="454">
        <f t="shared" si="9"/>
        <v>10.3</v>
      </c>
      <c r="R28" s="505" t="s">
        <v>419</v>
      </c>
      <c r="S28" s="506">
        <v>0.2</v>
      </c>
      <c r="T28" s="452"/>
      <c r="U28" s="496"/>
      <c r="V28" s="452"/>
      <c r="W28" s="452"/>
      <c r="X28" s="452"/>
      <c r="Y28" s="452"/>
      <c r="Z28" s="452"/>
    </row>
    <row r="29" ht="15.75" customHeight="1">
      <c r="A29" s="450" t="str">
        <f>ApgS!A29</f>
        <v>NKOTB4evah</v>
      </c>
      <c r="B29" s="451">
        <f>IFERROR(VLOOKUP($A29,ApgS!$A:$G,2,0),)</f>
        <v>0</v>
      </c>
      <c r="C29" s="451">
        <f>IFERROR(VLOOKUP($A29,ApgS!$A:$G,3,0),)</f>
        <v>-0.2221193892</v>
      </c>
      <c r="D29" s="451">
        <f>IFERROR(VLOOKUP($A29,ApgS!$A:$G,4,0),)</f>
        <v>0.02776492365</v>
      </c>
      <c r="E29" s="451">
        <f>IFERROR(VLOOKUP($A29,ApgS!$A:$G,5,0),)</f>
        <v>0.05552984729</v>
      </c>
      <c r="F29" s="451">
        <f>IFERROR(VLOOKUP($A29,ApgS!$A:$G,6,0),)</f>
        <v>0.5830633966</v>
      </c>
      <c r="G29" s="451">
        <f>IFERROR(VLOOKUP($A29,ApgS!$A:$G,7,0),)</f>
        <v>0.1943544655</v>
      </c>
      <c r="H29" s="452"/>
      <c r="I29" s="450" t="str">
        <f>ApgS!A29</f>
        <v>NKOTB4evah</v>
      </c>
      <c r="J29" s="453" t="str">
        <f t="shared" si="2"/>
        <v>F</v>
      </c>
      <c r="K29" s="453" t="str">
        <f t="shared" si="3"/>
        <v>D</v>
      </c>
      <c r="L29" s="470" t="str">
        <f t="shared" si="4"/>
        <v>F</v>
      </c>
      <c r="M29" s="459" t="str">
        <f t="shared" si="5"/>
        <v>C</v>
      </c>
      <c r="N29" s="470" t="str">
        <f t="shared" si="6"/>
        <v>B</v>
      </c>
      <c r="O29" s="453" t="str">
        <f t="shared" si="7"/>
        <v>A</v>
      </c>
      <c r="P29" s="128" t="str">
        <f t="shared" si="8"/>
        <v>C</v>
      </c>
      <c r="Q29" s="454">
        <f t="shared" si="9"/>
        <v>9.6</v>
      </c>
      <c r="R29" s="505" t="s">
        <v>420</v>
      </c>
      <c r="S29" s="506">
        <v>0.5</v>
      </c>
      <c r="T29" s="452"/>
      <c r="U29" s="496"/>
      <c r="V29" s="452"/>
      <c r="W29" s="452"/>
      <c r="X29" s="452"/>
      <c r="Y29" s="452"/>
      <c r="Z29" s="452"/>
    </row>
    <row r="30" ht="15.75" customHeight="1">
      <c r="A30" s="450" t="str">
        <f>ApgS!A30</f>
        <v>Priest XYZ</v>
      </c>
      <c r="B30" s="451">
        <f>IFERROR(VLOOKUP($A30,ApgS!$A:$G,2,0),)</f>
        <v>0</v>
      </c>
      <c r="C30" s="451">
        <f>IFERROR(VLOOKUP($A30,ApgS!$A:$G,3,0),)</f>
        <v>-0.7971656333</v>
      </c>
      <c r="D30" s="451">
        <f>IFERROR(VLOOKUP($A30,ApgS!$A:$G,4,0),)</f>
        <v>0.01771479185</v>
      </c>
      <c r="E30" s="451">
        <f>IFERROR(VLOOKUP($A30,ApgS!$A:$G,5,0),)</f>
        <v>0.01771479185</v>
      </c>
      <c r="F30" s="451">
        <f>IFERROR(VLOOKUP($A30,ApgS!$A:$G,6,0),)</f>
        <v>0.5137289637</v>
      </c>
      <c r="G30" s="451">
        <f>IFERROR(VLOOKUP($A30,ApgS!$A:$G,7,0),)</f>
        <v>0.0354295837</v>
      </c>
      <c r="H30" s="452"/>
      <c r="I30" s="450" t="str">
        <f>ApgS!A30</f>
        <v>Priest XYZ</v>
      </c>
      <c r="J30" s="458" t="str">
        <f t="shared" si="2"/>
        <v>F</v>
      </c>
      <c r="K30" s="458" t="str">
        <f t="shared" si="3"/>
        <v>E</v>
      </c>
      <c r="L30" s="458" t="str">
        <f t="shared" si="4"/>
        <v>F</v>
      </c>
      <c r="M30" s="458" t="str">
        <f t="shared" si="5"/>
        <v>E</v>
      </c>
      <c r="N30" s="458" t="str">
        <f t="shared" si="6"/>
        <v>C</v>
      </c>
      <c r="O30" s="458" t="str">
        <f t="shared" si="7"/>
        <v>F</v>
      </c>
      <c r="P30" s="131" t="str">
        <f t="shared" si="8"/>
        <v>E</v>
      </c>
      <c r="Q30" s="454">
        <f t="shared" si="9"/>
        <v>4.7</v>
      </c>
      <c r="R30" s="505" t="s">
        <v>421</v>
      </c>
      <c r="S30" s="506">
        <v>0.4</v>
      </c>
      <c r="T30" s="452"/>
      <c r="U30" s="496"/>
      <c r="V30" s="452"/>
      <c r="W30" s="452"/>
      <c r="X30" s="452"/>
      <c r="Y30" s="452"/>
      <c r="Z30" s="452"/>
    </row>
    <row r="31" ht="15.75" customHeight="1">
      <c r="A31" s="450" t="str">
        <f>ApgS!A31</f>
        <v>RDG NHL</v>
      </c>
      <c r="B31" s="451">
        <f>IFERROR(VLOOKUP($A31,ApgS!$A:$G,2,0),)</f>
        <v>0.04158004158</v>
      </c>
      <c r="C31" s="451">
        <f>IFERROR(VLOOKUP($A31,ApgS!$A:$G,3,0),)</f>
        <v>0.1247401247</v>
      </c>
      <c r="D31" s="451">
        <f>IFERROR(VLOOKUP($A31,ApgS!$A:$G,4,0),)</f>
        <v>0.1871101871</v>
      </c>
      <c r="E31" s="451">
        <f>IFERROR(VLOOKUP($A31,ApgS!$A:$G,5,0),)</f>
        <v>0.04158004158</v>
      </c>
      <c r="F31" s="451">
        <f>IFERROR(VLOOKUP($A31,ApgS!$A:$G,6,0),)</f>
        <v>0.395010395</v>
      </c>
      <c r="G31" s="451">
        <f>IFERROR(VLOOKUP($A31,ApgS!$A:$G,7,0),)</f>
        <v>0.103950104</v>
      </c>
      <c r="H31" s="452"/>
      <c r="I31" s="450" t="str">
        <f>ApgS!A31</f>
        <v>RDG NHL</v>
      </c>
      <c r="J31" s="453" t="str">
        <f t="shared" si="2"/>
        <v>B</v>
      </c>
      <c r="K31" s="453" t="str">
        <f t="shared" si="3"/>
        <v>B</v>
      </c>
      <c r="L31" s="453" t="str">
        <f t="shared" si="4"/>
        <v>S</v>
      </c>
      <c r="M31" s="453" t="str">
        <f t="shared" si="5"/>
        <v>D</v>
      </c>
      <c r="N31" s="470" t="str">
        <f t="shared" si="6"/>
        <v>E</v>
      </c>
      <c r="O31" s="470" t="str">
        <f t="shared" si="7"/>
        <v>D</v>
      </c>
      <c r="P31" s="128" t="str">
        <f t="shared" si="8"/>
        <v>C</v>
      </c>
      <c r="Q31" s="454">
        <f t="shared" si="9"/>
        <v>9.5</v>
      </c>
      <c r="R31" s="505" t="s">
        <v>422</v>
      </c>
      <c r="S31" s="506">
        <v>0.6</v>
      </c>
      <c r="T31" s="452"/>
      <c r="U31" s="496"/>
      <c r="V31" s="452"/>
      <c r="W31" s="452"/>
      <c r="X31" s="452"/>
      <c r="Y31" s="452"/>
      <c r="Z31" s="452"/>
    </row>
    <row r="32" ht="15.75" customHeight="1">
      <c r="A32" s="450" t="str">
        <f>ApgS!A32</f>
        <v>Reyas</v>
      </c>
      <c r="B32" s="451">
        <f>IFERROR(VLOOKUP($A32,ApgS!$A:$G,2,0),)</f>
        <v>0.07189934092</v>
      </c>
      <c r="C32" s="451">
        <f>IFERROR(VLOOKUP($A32,ApgS!$A:$G,3,0),)</f>
        <v>-0.1258238466</v>
      </c>
      <c r="D32" s="451">
        <f>IFERROR(VLOOKUP($A32,ApgS!$A:$G,4,0),)</f>
        <v>0.1617735171</v>
      </c>
      <c r="E32" s="451">
        <f>IFERROR(VLOOKUP($A32,ApgS!$A:$G,5,0),)</f>
        <v>0.05392450569</v>
      </c>
      <c r="F32" s="451">
        <f>IFERROR(VLOOKUP($A32,ApgS!$A:$G,6,0),)</f>
        <v>0.6830437388</v>
      </c>
      <c r="G32" s="451">
        <f>IFERROR(VLOOKUP($A32,ApgS!$A:$G,7,0),)</f>
        <v>0.1078490114</v>
      </c>
      <c r="H32" s="452"/>
      <c r="I32" s="450" t="str">
        <f>ApgS!A32</f>
        <v>Reyas</v>
      </c>
      <c r="J32" s="461" t="str">
        <f t="shared" si="2"/>
        <v>A</v>
      </c>
      <c r="K32" s="458" t="str">
        <f t="shared" si="3"/>
        <v>C</v>
      </c>
      <c r="L32" s="458" t="str">
        <f t="shared" si="4"/>
        <v>S</v>
      </c>
      <c r="M32" s="458" t="str">
        <f t="shared" si="5"/>
        <v>C</v>
      </c>
      <c r="N32" s="460" t="str">
        <f t="shared" si="6"/>
        <v>A</v>
      </c>
      <c r="O32" s="460" t="str">
        <f t="shared" si="7"/>
        <v>D</v>
      </c>
      <c r="P32" s="131" t="str">
        <f t="shared" si="8"/>
        <v>B</v>
      </c>
      <c r="Q32" s="454">
        <f t="shared" si="9"/>
        <v>11.4</v>
      </c>
      <c r="R32" s="505"/>
      <c r="S32" s="506"/>
      <c r="T32" s="452"/>
      <c r="U32" s="496"/>
      <c r="V32" s="452"/>
      <c r="W32" s="452"/>
      <c r="X32" s="452"/>
      <c r="Y32" s="452"/>
      <c r="Z32" s="452"/>
    </row>
    <row r="33" ht="15.75" customHeight="1">
      <c r="A33" s="450" t="str">
        <f>ApgS!A33</f>
        <v>ScarHead1995</v>
      </c>
      <c r="B33" s="451">
        <f>IFERROR(VLOOKUP($A33,ApgS!$A:$G,2,0),)</f>
        <v>0</v>
      </c>
      <c r="C33" s="451">
        <f>IFERROR(VLOOKUP($A33,ApgS!$A:$G,3,0),)</f>
        <v>-5.161290323</v>
      </c>
      <c r="D33" s="451">
        <f>IFERROR(VLOOKUP($A33,ApgS!$A:$G,4,0),)</f>
        <v>0</v>
      </c>
      <c r="E33" s="451">
        <f>IFERROR(VLOOKUP($A33,ApgS!$A:$G,5,0),)</f>
        <v>0</v>
      </c>
      <c r="F33" s="451">
        <f>IFERROR(VLOOKUP($A33,ApgS!$A:$G,6,0),)</f>
        <v>0</v>
      </c>
      <c r="G33" s="451">
        <f>IFERROR(VLOOKUP($A33,ApgS!$A:$G,7,0),)</f>
        <v>0</v>
      </c>
      <c r="H33" s="452"/>
      <c r="I33" s="450" t="str">
        <f>ApgS!A33</f>
        <v>ScarHead1995</v>
      </c>
      <c r="J33" s="461" t="str">
        <f t="shared" si="2"/>
        <v>F</v>
      </c>
      <c r="K33" s="459" t="str">
        <f t="shared" si="3"/>
        <v>F</v>
      </c>
      <c r="L33" s="464" t="str">
        <f t="shared" si="4"/>
        <v>F</v>
      </c>
      <c r="M33" s="464" t="str">
        <f t="shared" si="5"/>
        <v>F</v>
      </c>
      <c r="N33" s="464" t="str">
        <f t="shared" si="6"/>
        <v>F</v>
      </c>
      <c r="O33" s="464" t="str">
        <f t="shared" si="7"/>
        <v>F</v>
      </c>
      <c r="P33" s="127" t="str">
        <f t="shared" si="8"/>
        <v>F</v>
      </c>
      <c r="Q33" s="454">
        <f t="shared" si="9"/>
        <v>2.5</v>
      </c>
      <c r="R33" s="507"/>
      <c r="S33" s="506"/>
      <c r="T33" s="452"/>
      <c r="U33" s="496"/>
      <c r="V33" s="452"/>
      <c r="W33" s="452"/>
      <c r="X33" s="452"/>
      <c r="Y33" s="452"/>
      <c r="Z33" s="452"/>
    </row>
    <row r="34" ht="15.75" customHeight="1">
      <c r="A34" s="450" t="str">
        <f>ApgS!A34</f>
        <v>Scomancer</v>
      </c>
      <c r="B34" s="451">
        <f>IFERROR(VLOOKUP($A34,ApgS!$A:$G,2,0),)</f>
        <v>0.07083825266</v>
      </c>
      <c r="C34" s="451">
        <f>IFERROR(VLOOKUP($A34,ApgS!$A:$G,3,0),)</f>
        <v>0.9563164109</v>
      </c>
      <c r="D34" s="451">
        <f>IFERROR(VLOOKUP($A34,ApgS!$A:$G,4,0),)</f>
        <v>0.106257379</v>
      </c>
      <c r="E34" s="451">
        <f>IFERROR(VLOOKUP($A34,ApgS!$A:$G,5,0),)</f>
        <v>0.07083825266</v>
      </c>
      <c r="F34" s="451">
        <f>IFERROR(VLOOKUP($A34,ApgS!$A:$G,6,0),)</f>
        <v>0.6552538371</v>
      </c>
      <c r="G34" s="451">
        <f>IFERROR(VLOOKUP($A34,ApgS!$A:$G,7,0),)</f>
        <v>0.212514758</v>
      </c>
      <c r="H34" s="452"/>
      <c r="I34" s="450" t="str">
        <f>ApgS!A34</f>
        <v>Scomancer</v>
      </c>
      <c r="J34" s="459" t="str">
        <f t="shared" si="2"/>
        <v>A</v>
      </c>
      <c r="K34" s="461" t="str">
        <f t="shared" si="3"/>
        <v>S</v>
      </c>
      <c r="L34" s="460" t="str">
        <f t="shared" si="4"/>
        <v>B</v>
      </c>
      <c r="M34" s="453" t="str">
        <f t="shared" si="5"/>
        <v>A</v>
      </c>
      <c r="N34" s="470" t="str">
        <f t="shared" si="6"/>
        <v>A</v>
      </c>
      <c r="O34" s="470" t="str">
        <f t="shared" si="7"/>
        <v>A</v>
      </c>
      <c r="P34" s="127" t="str">
        <f t="shared" si="8"/>
        <v>A</v>
      </c>
      <c r="Q34" s="454">
        <f t="shared" si="9"/>
        <v>15.3</v>
      </c>
      <c r="R34" s="508" t="s">
        <v>423</v>
      </c>
      <c r="T34" s="452"/>
      <c r="U34" s="496"/>
      <c r="V34" s="452"/>
      <c r="W34" s="452"/>
      <c r="X34" s="452"/>
      <c r="Y34" s="452"/>
      <c r="Z34" s="452"/>
    </row>
    <row r="35" ht="15.75" customHeight="1">
      <c r="A35" s="450" t="str">
        <f>ApgS!A35</f>
        <v>The Piggies</v>
      </c>
      <c r="B35" s="451">
        <f>IFERROR(VLOOKUP($A35,ApgS!$A:$G,2,0),)</f>
        <v>0.02574886276</v>
      </c>
      <c r="C35" s="451">
        <f>IFERROR(VLOOKUP($A35,ApgS!$A:$G,3,0),)</f>
        <v>0.3347352159</v>
      </c>
      <c r="D35" s="451">
        <f>IFERROR(VLOOKUP($A35,ApgS!$A:$G,4,0),)</f>
        <v>0.08754613338</v>
      </c>
      <c r="E35" s="451">
        <f>IFERROR(VLOOKUP($A35,ApgS!$A:$G,5,0),)</f>
        <v>0.05664749807</v>
      </c>
      <c r="F35" s="451">
        <f>IFERROR(VLOOKUP($A35,ApgS!$A:$G,6,0),)</f>
        <v>0.74671702</v>
      </c>
      <c r="G35" s="451">
        <f>IFERROR(VLOOKUP($A35,ApgS!$A:$G,7,0),)</f>
        <v>0.1390438589</v>
      </c>
      <c r="H35" s="452"/>
      <c r="I35" s="450" t="str">
        <f>ApgS!A35</f>
        <v>The Piggies</v>
      </c>
      <c r="J35" s="453" t="str">
        <f t="shared" si="2"/>
        <v>D</v>
      </c>
      <c r="K35" s="461" t="str">
        <f t="shared" si="3"/>
        <v>S</v>
      </c>
      <c r="L35" s="460" t="str">
        <f t="shared" si="4"/>
        <v>B</v>
      </c>
      <c r="M35" s="458" t="str">
        <f t="shared" si="5"/>
        <v>C</v>
      </c>
      <c r="N35" s="461" t="str">
        <f t="shared" si="6"/>
        <v>A</v>
      </c>
      <c r="O35" s="460" t="str">
        <f t="shared" si="7"/>
        <v>B</v>
      </c>
      <c r="P35" s="130" t="str">
        <f t="shared" si="8"/>
        <v>B</v>
      </c>
      <c r="Q35" s="454">
        <f t="shared" si="9"/>
        <v>12.8</v>
      </c>
      <c r="R35" s="452"/>
      <c r="S35" s="452"/>
      <c r="T35" s="452"/>
      <c r="U35" s="496"/>
      <c r="V35" s="452"/>
      <c r="W35" s="452"/>
      <c r="X35" s="452"/>
      <c r="Y35" s="452"/>
      <c r="Z35" s="452"/>
    </row>
    <row r="36" ht="15.75" customHeight="1">
      <c r="A36" s="450" t="str">
        <f>ApgS!A36</f>
        <v>The Scet</v>
      </c>
      <c r="B36" s="451">
        <f>IFERROR(VLOOKUP($A36,ApgS!$A:$G,2,0),)</f>
        <v>0.01770956316</v>
      </c>
      <c r="C36" s="451">
        <f>IFERROR(VLOOKUP($A36,ApgS!$A:$G,3,0),)</f>
        <v>0.01770956316</v>
      </c>
      <c r="D36" s="451">
        <f>IFERROR(VLOOKUP($A36,ApgS!$A:$G,4,0),)</f>
        <v>0.106257379</v>
      </c>
      <c r="E36" s="451">
        <f>IFERROR(VLOOKUP($A36,ApgS!$A:$G,5,0),)</f>
        <v>0.08854781582</v>
      </c>
      <c r="F36" s="451">
        <f>IFERROR(VLOOKUP($A36,ApgS!$A:$G,6,0),)</f>
        <v>0.5667060213</v>
      </c>
      <c r="G36" s="451">
        <f>IFERROR(VLOOKUP($A36,ApgS!$A:$G,7,0),)</f>
        <v>0.1948051948</v>
      </c>
      <c r="H36" s="452"/>
      <c r="I36" s="450" t="str">
        <f>ApgS!A36</f>
        <v>The Scet</v>
      </c>
      <c r="J36" s="458" t="str">
        <f t="shared" si="2"/>
        <v>D</v>
      </c>
      <c r="K36" s="459" t="str">
        <f t="shared" si="3"/>
        <v>B</v>
      </c>
      <c r="L36" s="460" t="str">
        <f t="shared" si="4"/>
        <v>B</v>
      </c>
      <c r="M36" s="464" t="str">
        <f t="shared" si="5"/>
        <v>S</v>
      </c>
      <c r="N36" s="470" t="str">
        <f t="shared" si="6"/>
        <v>B</v>
      </c>
      <c r="O36" s="464" t="str">
        <f t="shared" si="7"/>
        <v>A</v>
      </c>
      <c r="P36" s="130" t="str">
        <f t="shared" si="8"/>
        <v>B</v>
      </c>
      <c r="Q36" s="454">
        <f t="shared" si="9"/>
        <v>13.5</v>
      </c>
      <c r="R36" s="452"/>
      <c r="S36" s="452"/>
      <c r="T36" s="452"/>
      <c r="U36" s="496"/>
      <c r="V36" s="452"/>
      <c r="W36" s="452"/>
      <c r="X36" s="452"/>
      <c r="Y36" s="452"/>
      <c r="Z36" s="452"/>
    </row>
    <row r="37" ht="15.75" customHeight="1">
      <c r="A37" s="450" t="str">
        <f>ApgS!A37</f>
        <v>TheAlphaTurtle</v>
      </c>
      <c r="B37" s="451">
        <f>IFERROR(VLOOKUP($A37,ApgS!$A:$G,2,0),)</f>
        <v>0.07641365257</v>
      </c>
      <c r="C37" s="451">
        <f>IFERROR(VLOOKUP($A37,ApgS!$A:$G,3,0),)</f>
        <v>0.2139582272</v>
      </c>
      <c r="D37" s="451">
        <f>IFERROR(VLOOKUP($A37,ApgS!$A:$G,4,0),)</f>
        <v>0.1375445746</v>
      </c>
      <c r="E37" s="451">
        <f>IFERROR(VLOOKUP($A37,ApgS!$A:$G,5,0),)</f>
        <v>0.06113092206</v>
      </c>
      <c r="F37" s="451">
        <f>IFERROR(VLOOKUP($A37,ApgS!$A:$G,6,0),)</f>
        <v>0.3820682629</v>
      </c>
      <c r="G37" s="451">
        <f>IFERROR(VLOOKUP($A37,ApgS!$A:$G,7,0),)</f>
        <v>0.03056546103</v>
      </c>
      <c r="H37" s="452"/>
      <c r="I37" s="450" t="str">
        <f>ApgS!A37</f>
        <v>TheAlphaTurtle</v>
      </c>
      <c r="J37" s="464" t="str">
        <f t="shared" si="2"/>
        <v>A</v>
      </c>
      <c r="K37" s="460" t="str">
        <f t="shared" si="3"/>
        <v>B</v>
      </c>
      <c r="L37" s="461" t="str">
        <f t="shared" si="4"/>
        <v>A</v>
      </c>
      <c r="M37" s="461" t="str">
        <f t="shared" si="5"/>
        <v>B</v>
      </c>
      <c r="N37" s="460" t="str">
        <f t="shared" si="6"/>
        <v>E</v>
      </c>
      <c r="O37" s="460" t="str">
        <f t="shared" si="7"/>
        <v>F</v>
      </c>
      <c r="P37" s="130" t="str">
        <f t="shared" si="8"/>
        <v>C</v>
      </c>
      <c r="Q37" s="454">
        <f t="shared" si="9"/>
        <v>9.4</v>
      </c>
      <c r="R37" s="452"/>
      <c r="S37" s="452"/>
      <c r="T37" s="452"/>
      <c r="U37" s="496"/>
      <c r="V37" s="452"/>
      <c r="W37" s="452"/>
      <c r="X37" s="452"/>
      <c r="Y37" s="452"/>
      <c r="Z37" s="452"/>
    </row>
    <row r="38" ht="15.75" customHeight="1">
      <c r="A38" s="450" t="str">
        <f>ApgS!A38</f>
        <v>TommyWstSide</v>
      </c>
      <c r="B38" s="451">
        <f>IFERROR(VLOOKUP($A38,ApgS!$A:$G,2,0),)</f>
        <v>0.01528273051</v>
      </c>
      <c r="C38" s="451">
        <f>IFERROR(VLOOKUP($A38,ApgS!$A:$G,3,0),)</f>
        <v>-0.4584819154</v>
      </c>
      <c r="D38" s="451">
        <f>IFERROR(VLOOKUP($A38,ApgS!$A:$G,4,0),)</f>
        <v>0.03056546103</v>
      </c>
      <c r="E38" s="451">
        <f>IFERROR(VLOOKUP($A38,ApgS!$A:$G,5,0),)</f>
        <v>0.03056546103</v>
      </c>
      <c r="F38" s="451">
        <f>IFERROR(VLOOKUP($A38,ApgS!$A:$G,6,0),)</f>
        <v>0.3973509934</v>
      </c>
      <c r="G38" s="451">
        <f>IFERROR(VLOOKUP($A38,ApgS!$A:$G,7,0),)</f>
        <v>0.1222618441</v>
      </c>
      <c r="H38" s="452"/>
      <c r="I38" s="450" t="str">
        <f>ApgS!A38</f>
        <v>TommyWstSide</v>
      </c>
      <c r="J38" s="453" t="str">
        <f t="shared" si="2"/>
        <v>D</v>
      </c>
      <c r="K38" s="461" t="str">
        <f t="shared" si="3"/>
        <v>D</v>
      </c>
      <c r="L38" s="470" t="str">
        <f t="shared" si="4"/>
        <v>F</v>
      </c>
      <c r="M38" s="459" t="str">
        <f t="shared" si="5"/>
        <v>D</v>
      </c>
      <c r="N38" s="459" t="str">
        <f t="shared" si="6"/>
        <v>E</v>
      </c>
      <c r="O38" s="459" t="str">
        <f t="shared" si="7"/>
        <v>C</v>
      </c>
      <c r="P38" s="126" t="str">
        <f t="shared" si="8"/>
        <v>D</v>
      </c>
      <c r="Q38" s="454">
        <f t="shared" si="9"/>
        <v>7.3</v>
      </c>
      <c r="R38" s="452"/>
      <c r="S38" s="452"/>
      <c r="T38" s="452"/>
      <c r="U38" s="496"/>
      <c r="V38" s="452"/>
      <c r="W38" s="452"/>
      <c r="X38" s="452"/>
      <c r="Y38" s="452"/>
      <c r="Z38" s="452"/>
    </row>
    <row r="39" ht="15.75" customHeight="1">
      <c r="A39" s="450" t="str">
        <f>ApgS!A39</f>
        <v>Wrecking Nerds</v>
      </c>
      <c r="B39" s="451">
        <f>IFERROR(VLOOKUP($A39,ApgS!$A:$G,2,0),)</f>
        <v>0</v>
      </c>
      <c r="C39" s="451">
        <f>IFERROR(VLOOKUP($A39,ApgS!$A:$G,3,0),)</f>
        <v>1.033057851</v>
      </c>
      <c r="D39" s="451">
        <f>IFERROR(VLOOKUP($A39,ApgS!$A:$G,4,0),)</f>
        <v>0.0826446281</v>
      </c>
      <c r="E39" s="451">
        <f>IFERROR(VLOOKUP($A39,ApgS!$A:$G,5,0),)</f>
        <v>0.0826446281</v>
      </c>
      <c r="F39" s="451">
        <f>IFERROR(VLOOKUP($A39,ApgS!$A:$G,6,0),)</f>
        <v>0.826446281</v>
      </c>
      <c r="G39" s="451">
        <f>IFERROR(VLOOKUP($A39,ApgS!$A:$G,7,0),)</f>
        <v>0.3305785124</v>
      </c>
      <c r="H39" s="452"/>
      <c r="I39" s="450" t="str">
        <f>ApgS!A39</f>
        <v>Wrecking Nerds</v>
      </c>
      <c r="J39" s="458" t="str">
        <f t="shared" si="2"/>
        <v>F</v>
      </c>
      <c r="K39" s="453" t="str">
        <f t="shared" si="3"/>
        <v>S</v>
      </c>
      <c r="L39" s="461" t="str">
        <f t="shared" si="4"/>
        <v>C</v>
      </c>
      <c r="M39" s="453" t="str">
        <f t="shared" si="5"/>
        <v>S</v>
      </c>
      <c r="N39" s="453" t="str">
        <f t="shared" si="6"/>
        <v>S</v>
      </c>
      <c r="O39" s="453" t="str">
        <f t="shared" si="7"/>
        <v>S</v>
      </c>
      <c r="P39" s="126" t="str">
        <f t="shared" si="8"/>
        <v>A</v>
      </c>
      <c r="Q39" s="454">
        <f t="shared" si="9"/>
        <v>15.1</v>
      </c>
      <c r="R39" s="452"/>
      <c r="S39" s="452"/>
      <c r="T39" s="452"/>
      <c r="U39" s="496"/>
      <c r="V39" s="452"/>
      <c r="W39" s="452"/>
      <c r="X39" s="452"/>
      <c r="Y39" s="452"/>
      <c r="Z39" s="45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34:S34"/>
  </mergeCells>
  <conditionalFormatting sqref="J1:P39">
    <cfRule type="cellIs" dxfId="0" priority="1" operator="equal">
      <formula>"F"</formula>
    </cfRule>
  </conditionalFormatting>
  <conditionalFormatting sqref="J1:P39">
    <cfRule type="cellIs" dxfId="1" priority="2" operator="equal">
      <formula>"E"</formula>
    </cfRule>
  </conditionalFormatting>
  <conditionalFormatting sqref="J1:P39">
    <cfRule type="cellIs" dxfId="2" priority="3" operator="equal">
      <formula>"D"</formula>
    </cfRule>
  </conditionalFormatting>
  <conditionalFormatting sqref="J1:P39">
    <cfRule type="cellIs" dxfId="6" priority="4" operator="equal">
      <formula>"C"</formula>
    </cfRule>
  </conditionalFormatting>
  <conditionalFormatting sqref="J1:P39">
    <cfRule type="cellIs" dxfId="5" priority="5" operator="equal">
      <formula>"B"</formula>
    </cfRule>
  </conditionalFormatting>
  <conditionalFormatting sqref="J1:P39">
    <cfRule type="cellIs" dxfId="13" priority="6" operator="equal">
      <formula>"A"</formula>
    </cfRule>
  </conditionalFormatting>
  <conditionalFormatting sqref="J1:P39">
    <cfRule type="cellIs" dxfId="14" priority="7" operator="equal">
      <formula>"S"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13"/>
    <col customWidth="1" hidden="1" min="2" max="6" width="12.63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hidden="1" min="14" max="14" width="8.88"/>
    <col customWidth="1" min="15" max="15" width="9.5"/>
    <col customWidth="1" hidden="1" min="16" max="16" width="10.5"/>
    <col customWidth="1" min="17" max="17" width="10.38"/>
    <col customWidth="1" min="18" max="18" width="10.13"/>
    <col customWidth="1" min="19" max="20" width="9.0"/>
    <col customWidth="1" min="21" max="21" width="6.5"/>
    <col customWidth="1" min="22" max="22" width="7.63"/>
    <col customWidth="1" min="23" max="23" width="11.63"/>
    <col customWidth="1" min="24" max="24" width="8.0"/>
    <col customWidth="1" min="25" max="25" width="11.63"/>
    <col customWidth="1" min="26" max="26" width="12.88"/>
    <col customWidth="1" min="27" max="27" width="11.88"/>
    <col customWidth="1" min="28" max="28" width="9.38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8.25"/>
    <col customWidth="1" min="36" max="36" width="13.25"/>
  </cols>
  <sheetData>
    <row r="1" ht="15.75" customHeight="1">
      <c r="A1" s="427" t="s">
        <v>9</v>
      </c>
      <c r="B1" s="427" t="s">
        <v>341</v>
      </c>
      <c r="C1" s="427" t="s">
        <v>342</v>
      </c>
      <c r="D1" s="427" t="s">
        <v>343</v>
      </c>
      <c r="E1" s="427" t="s">
        <v>344</v>
      </c>
      <c r="F1" s="427" t="s">
        <v>345</v>
      </c>
      <c r="G1" s="427" t="s">
        <v>346</v>
      </c>
      <c r="H1" s="427" t="s">
        <v>347</v>
      </c>
      <c r="I1" s="427" t="s">
        <v>348</v>
      </c>
      <c r="J1" s="427" t="s">
        <v>349</v>
      </c>
      <c r="K1" s="427" t="s">
        <v>350</v>
      </c>
      <c r="L1" s="427" t="s">
        <v>351</v>
      </c>
      <c r="M1" s="427" t="s">
        <v>352</v>
      </c>
      <c r="N1" s="427" t="s">
        <v>353</v>
      </c>
      <c r="O1" s="427" t="s">
        <v>354</v>
      </c>
      <c r="P1" s="427" t="s">
        <v>355</v>
      </c>
      <c r="Q1" s="427" t="s">
        <v>356</v>
      </c>
      <c r="R1" s="427" t="s">
        <v>357</v>
      </c>
      <c r="S1" s="427" t="s">
        <v>358</v>
      </c>
      <c r="T1" s="427" t="s">
        <v>359</v>
      </c>
      <c r="U1" s="427" t="s">
        <v>360</v>
      </c>
      <c r="V1" s="427" t="s">
        <v>361</v>
      </c>
      <c r="W1" s="427" t="s">
        <v>362</v>
      </c>
      <c r="X1" s="427" t="s">
        <v>363</v>
      </c>
      <c r="Y1" s="427" t="s">
        <v>364</v>
      </c>
      <c r="Z1" s="427" t="s">
        <v>365</v>
      </c>
      <c r="AA1" s="427" t="s">
        <v>366</v>
      </c>
      <c r="AB1" s="427" t="s">
        <v>367</v>
      </c>
      <c r="AC1" s="427" t="s">
        <v>368</v>
      </c>
      <c r="AD1" s="427" t="s">
        <v>369</v>
      </c>
      <c r="AE1" s="427" t="s">
        <v>370</v>
      </c>
      <c r="AF1" s="427" t="s">
        <v>371</v>
      </c>
      <c r="AG1" s="427" t="s">
        <v>372</v>
      </c>
      <c r="AH1" s="427" t="s">
        <v>373</v>
      </c>
      <c r="AI1" s="427" t="s">
        <v>374</v>
      </c>
      <c r="AJ1" s="427" t="s">
        <v>375</v>
      </c>
    </row>
    <row r="2" ht="15.75" customHeight="1">
      <c r="A2" s="19" t="s">
        <v>84</v>
      </c>
      <c r="B2" s="428">
        <v>1.0</v>
      </c>
      <c r="C2" s="428">
        <v>1.0</v>
      </c>
      <c r="D2" s="428">
        <v>0.0</v>
      </c>
      <c r="E2" s="428">
        <v>1.0</v>
      </c>
      <c r="F2" s="428">
        <v>0.0</v>
      </c>
      <c r="G2" s="428">
        <v>1.0</v>
      </c>
      <c r="H2" s="428">
        <v>92.0</v>
      </c>
      <c r="I2" s="428">
        <v>5.0</v>
      </c>
      <c r="J2" s="428">
        <v>83.0</v>
      </c>
      <c r="K2" s="428">
        <v>9.0</v>
      </c>
      <c r="L2" s="428">
        <v>6.0</v>
      </c>
      <c r="M2" s="428">
        <v>1.0</v>
      </c>
      <c r="N2" s="428">
        <v>1201.0</v>
      </c>
      <c r="O2" s="428">
        <v>1238.0</v>
      </c>
      <c r="P2" s="428">
        <v>14.0</v>
      </c>
      <c r="Q2" s="428">
        <v>1.0</v>
      </c>
      <c r="R2" s="428">
        <v>19.0</v>
      </c>
      <c r="S2" s="428">
        <v>4.0</v>
      </c>
      <c r="T2" s="428">
        <v>1.0</v>
      </c>
      <c r="U2" s="428">
        <v>1.0</v>
      </c>
      <c r="V2" s="428">
        <v>0.0</v>
      </c>
      <c r="W2" s="428">
        <v>0.0</v>
      </c>
      <c r="X2" s="428">
        <v>1.0</v>
      </c>
      <c r="Y2" s="428">
        <v>1.0</v>
      </c>
      <c r="Z2" s="428">
        <v>0.0</v>
      </c>
      <c r="AA2" s="428">
        <v>0.0</v>
      </c>
      <c r="AB2" s="428">
        <v>0.0</v>
      </c>
      <c r="AC2" s="428">
        <v>0.0</v>
      </c>
      <c r="AD2" s="428">
        <v>0.0</v>
      </c>
      <c r="AE2" s="428">
        <v>0.0</v>
      </c>
      <c r="AF2" s="428">
        <v>0.0</v>
      </c>
      <c r="AG2" s="428">
        <v>0.0</v>
      </c>
      <c r="AH2" s="428">
        <v>0.0</v>
      </c>
      <c r="AI2" s="428">
        <v>3.0</v>
      </c>
      <c r="AJ2" s="428">
        <v>0.0</v>
      </c>
    </row>
    <row r="3" ht="15.75" customHeight="1">
      <c r="A3" s="19" t="s">
        <v>136</v>
      </c>
      <c r="B3" s="428">
        <v>1.0</v>
      </c>
      <c r="C3" s="428">
        <v>1.0</v>
      </c>
      <c r="D3" s="428">
        <v>0.0</v>
      </c>
      <c r="E3" s="428">
        <v>1.0</v>
      </c>
      <c r="F3" s="428">
        <v>0.0</v>
      </c>
      <c r="G3" s="428">
        <v>0.0</v>
      </c>
      <c r="H3" s="428">
        <v>76.0</v>
      </c>
      <c r="I3" s="428">
        <v>4.0</v>
      </c>
      <c r="J3" s="428">
        <v>83.0</v>
      </c>
      <c r="K3" s="428">
        <v>-7.0</v>
      </c>
      <c r="L3" s="428">
        <v>5.0</v>
      </c>
      <c r="M3" s="428">
        <v>1.0</v>
      </c>
      <c r="N3" s="428">
        <v>1201.0</v>
      </c>
      <c r="O3" s="428">
        <v>1238.0</v>
      </c>
      <c r="P3" s="428">
        <v>14.0</v>
      </c>
      <c r="Q3" s="428">
        <v>0.0</v>
      </c>
      <c r="R3" s="428">
        <v>13.0</v>
      </c>
      <c r="S3" s="428">
        <v>3.0</v>
      </c>
      <c r="T3" s="428">
        <v>1.0</v>
      </c>
      <c r="U3" s="428">
        <v>1.0</v>
      </c>
      <c r="V3" s="428">
        <v>0.0</v>
      </c>
      <c r="W3" s="428">
        <v>0.0</v>
      </c>
      <c r="X3" s="428">
        <v>1.0</v>
      </c>
      <c r="Y3" s="428">
        <v>1.0</v>
      </c>
      <c r="Z3" s="428">
        <v>0.0</v>
      </c>
      <c r="AA3" s="428">
        <v>0.0</v>
      </c>
      <c r="AB3" s="428">
        <v>0.0</v>
      </c>
      <c r="AC3" s="428">
        <v>0.0</v>
      </c>
      <c r="AD3" s="428">
        <v>0.0</v>
      </c>
      <c r="AE3" s="428">
        <v>0.0</v>
      </c>
      <c r="AF3" s="428">
        <v>0.0</v>
      </c>
      <c r="AG3" s="428">
        <v>0.0</v>
      </c>
      <c r="AH3" s="428">
        <v>0.0</v>
      </c>
      <c r="AI3" s="428">
        <v>0.0</v>
      </c>
      <c r="AJ3" s="428">
        <v>0.0</v>
      </c>
    </row>
    <row r="4" ht="15.75" customHeight="1">
      <c r="A4" s="19" t="s">
        <v>107</v>
      </c>
      <c r="B4" s="428">
        <v>1.0</v>
      </c>
      <c r="C4" s="428">
        <v>1.0</v>
      </c>
      <c r="D4" s="428">
        <v>0.0</v>
      </c>
      <c r="E4" s="428">
        <v>1.0</v>
      </c>
      <c r="F4" s="428">
        <v>0.0</v>
      </c>
      <c r="G4" s="428">
        <v>1.0</v>
      </c>
      <c r="H4" s="428">
        <v>73.0</v>
      </c>
      <c r="I4" s="428">
        <v>3.0</v>
      </c>
      <c r="J4" s="428">
        <v>65.0</v>
      </c>
      <c r="K4" s="428">
        <v>8.0</v>
      </c>
      <c r="L4" s="428">
        <v>7.0</v>
      </c>
      <c r="M4" s="428">
        <v>0.0</v>
      </c>
      <c r="N4" s="428">
        <v>1201.0</v>
      </c>
      <c r="O4" s="428">
        <v>1238.0</v>
      </c>
      <c r="P4" s="428">
        <v>18.0</v>
      </c>
      <c r="Q4" s="428">
        <v>3.0</v>
      </c>
      <c r="R4" s="428">
        <v>15.0</v>
      </c>
      <c r="S4" s="428">
        <v>4.0</v>
      </c>
      <c r="T4" s="428">
        <v>1.0</v>
      </c>
      <c r="U4" s="428">
        <v>2.0</v>
      </c>
      <c r="V4" s="428">
        <v>0.0</v>
      </c>
      <c r="W4" s="428">
        <v>0.0</v>
      </c>
      <c r="X4" s="428">
        <v>1.0</v>
      </c>
      <c r="Y4" s="428">
        <v>2.0</v>
      </c>
      <c r="Z4" s="428">
        <v>0.0</v>
      </c>
      <c r="AA4" s="428">
        <v>0.0</v>
      </c>
      <c r="AB4" s="428">
        <v>0.0</v>
      </c>
      <c r="AC4" s="428">
        <v>0.0</v>
      </c>
      <c r="AD4" s="428">
        <v>0.0</v>
      </c>
      <c r="AE4" s="428">
        <v>0.0</v>
      </c>
      <c r="AF4" s="428">
        <v>0.0</v>
      </c>
      <c r="AG4" s="428">
        <v>0.0</v>
      </c>
      <c r="AH4" s="428">
        <v>0.0</v>
      </c>
      <c r="AI4" s="428">
        <v>2.0</v>
      </c>
      <c r="AJ4" s="428">
        <v>0.0</v>
      </c>
    </row>
    <row r="5" ht="15.75" customHeight="1">
      <c r="A5" s="19" t="s">
        <v>98</v>
      </c>
      <c r="B5" s="428">
        <v>1.0</v>
      </c>
      <c r="C5" s="428">
        <v>1.0</v>
      </c>
      <c r="D5" s="428">
        <v>0.0</v>
      </c>
      <c r="E5" s="428">
        <v>1.0</v>
      </c>
      <c r="F5" s="428">
        <v>0.0</v>
      </c>
      <c r="G5" s="428">
        <v>3.0</v>
      </c>
      <c r="H5" s="428">
        <v>94.0</v>
      </c>
      <c r="I5" s="428">
        <v>1.0</v>
      </c>
      <c r="J5" s="428">
        <v>79.0</v>
      </c>
      <c r="K5" s="428">
        <v>15.0</v>
      </c>
      <c r="L5" s="428">
        <v>6.0</v>
      </c>
      <c r="M5" s="428">
        <v>2.0</v>
      </c>
      <c r="N5" s="428">
        <v>1201.0</v>
      </c>
      <c r="O5" s="428">
        <v>1238.0</v>
      </c>
      <c r="P5" s="428">
        <v>15.0</v>
      </c>
      <c r="Q5" s="428">
        <v>3.0</v>
      </c>
      <c r="R5" s="428">
        <v>18.0</v>
      </c>
      <c r="S5" s="428">
        <v>5.0</v>
      </c>
      <c r="T5" s="428">
        <v>0.0</v>
      </c>
      <c r="U5" s="428">
        <v>3.0</v>
      </c>
      <c r="V5" s="428">
        <v>0.0</v>
      </c>
      <c r="W5" s="428">
        <v>0.0</v>
      </c>
      <c r="X5" s="428">
        <v>0.0</v>
      </c>
      <c r="Y5" s="428">
        <v>3.0</v>
      </c>
      <c r="Z5" s="428">
        <v>0.0</v>
      </c>
      <c r="AA5" s="428">
        <v>0.0</v>
      </c>
      <c r="AB5" s="428">
        <v>0.0</v>
      </c>
      <c r="AC5" s="428">
        <v>0.0</v>
      </c>
      <c r="AD5" s="428">
        <v>0.0</v>
      </c>
      <c r="AE5" s="428">
        <v>0.0</v>
      </c>
      <c r="AF5" s="428">
        <v>0.0</v>
      </c>
      <c r="AG5" s="428">
        <v>0.0</v>
      </c>
      <c r="AH5" s="428">
        <v>0.0</v>
      </c>
      <c r="AI5" s="428">
        <v>3.0</v>
      </c>
      <c r="AJ5" s="428">
        <v>0.0</v>
      </c>
    </row>
    <row r="6" ht="15.75" customHeight="1">
      <c r="A6" s="19" t="s">
        <v>116</v>
      </c>
      <c r="B6" s="428">
        <v>0.0</v>
      </c>
      <c r="C6" s="428">
        <v>1.0</v>
      </c>
      <c r="D6" s="428">
        <v>0.0</v>
      </c>
      <c r="E6" s="428">
        <v>0.0</v>
      </c>
      <c r="F6" s="428">
        <v>1.0</v>
      </c>
      <c r="G6" s="428">
        <v>0.0</v>
      </c>
      <c r="H6" s="428">
        <v>81.0</v>
      </c>
      <c r="I6" s="428">
        <v>3.0</v>
      </c>
      <c r="J6" s="428">
        <v>89.0</v>
      </c>
      <c r="K6" s="428">
        <v>-8.0</v>
      </c>
      <c r="L6" s="428">
        <v>4.0</v>
      </c>
      <c r="M6" s="428">
        <v>3.0</v>
      </c>
      <c r="N6" s="428">
        <v>1200.0</v>
      </c>
      <c r="O6" s="428">
        <v>1238.0</v>
      </c>
      <c r="P6" s="428">
        <v>13.0</v>
      </c>
      <c r="Q6" s="428">
        <v>1.0</v>
      </c>
      <c r="R6" s="428">
        <v>14.0</v>
      </c>
      <c r="S6" s="428">
        <v>2.0</v>
      </c>
      <c r="T6" s="428">
        <v>0.0</v>
      </c>
      <c r="U6" s="428">
        <v>0.0</v>
      </c>
      <c r="V6" s="428">
        <v>0.0</v>
      </c>
      <c r="W6" s="428">
        <v>0.0</v>
      </c>
      <c r="X6" s="428">
        <v>0.0</v>
      </c>
      <c r="Y6" s="428">
        <v>0.0</v>
      </c>
      <c r="Z6" s="428">
        <v>0.0</v>
      </c>
      <c r="AA6" s="428">
        <v>0.0</v>
      </c>
      <c r="AB6" s="428">
        <v>0.0</v>
      </c>
      <c r="AC6" s="428">
        <v>0.0</v>
      </c>
      <c r="AD6" s="428">
        <v>0.0</v>
      </c>
      <c r="AE6" s="428">
        <v>0.0</v>
      </c>
      <c r="AF6" s="428">
        <v>0.0</v>
      </c>
      <c r="AG6" s="428">
        <v>0.0</v>
      </c>
      <c r="AH6" s="428">
        <v>0.0</v>
      </c>
      <c r="AI6" s="428">
        <v>1.0</v>
      </c>
      <c r="AJ6" s="428">
        <v>0.0</v>
      </c>
    </row>
    <row r="7" ht="15.75" customHeight="1">
      <c r="A7" s="19" t="s">
        <v>127</v>
      </c>
      <c r="B7" s="428">
        <v>0.0</v>
      </c>
      <c r="C7" s="428">
        <v>1.0</v>
      </c>
      <c r="D7" s="428">
        <v>0.0</v>
      </c>
      <c r="E7" s="428">
        <v>0.0</v>
      </c>
      <c r="F7" s="428">
        <v>1.0</v>
      </c>
      <c r="G7" s="428">
        <v>2.0</v>
      </c>
      <c r="H7" s="428">
        <v>72.0</v>
      </c>
      <c r="I7" s="428">
        <v>1.0</v>
      </c>
      <c r="J7" s="428">
        <v>77.0</v>
      </c>
      <c r="K7" s="428">
        <v>-5.0</v>
      </c>
      <c r="L7" s="428">
        <v>6.0</v>
      </c>
      <c r="M7" s="428">
        <v>4.0</v>
      </c>
      <c r="N7" s="428">
        <v>1200.0</v>
      </c>
      <c r="O7" s="428">
        <v>1238.0</v>
      </c>
      <c r="P7" s="428">
        <v>15.0</v>
      </c>
      <c r="Q7" s="428">
        <v>2.0</v>
      </c>
      <c r="R7" s="428">
        <v>10.0</v>
      </c>
      <c r="S7" s="428">
        <v>3.0</v>
      </c>
      <c r="T7" s="428">
        <v>0.0</v>
      </c>
      <c r="U7" s="428">
        <v>1.0</v>
      </c>
      <c r="V7" s="428">
        <v>0.0</v>
      </c>
      <c r="W7" s="428">
        <v>0.0</v>
      </c>
      <c r="X7" s="428">
        <v>0.0</v>
      </c>
      <c r="Y7" s="428">
        <v>1.0</v>
      </c>
      <c r="Z7" s="428">
        <v>0.0</v>
      </c>
      <c r="AA7" s="428">
        <v>0.0</v>
      </c>
      <c r="AB7" s="428">
        <v>0.0</v>
      </c>
      <c r="AC7" s="428">
        <v>0.0</v>
      </c>
      <c r="AD7" s="428">
        <v>0.0</v>
      </c>
      <c r="AE7" s="428">
        <v>0.0</v>
      </c>
      <c r="AF7" s="428">
        <v>0.0</v>
      </c>
      <c r="AG7" s="428">
        <v>0.0</v>
      </c>
      <c r="AH7" s="428">
        <v>0.0</v>
      </c>
      <c r="AI7" s="428">
        <v>1.0</v>
      </c>
      <c r="AJ7" s="428">
        <v>0.0</v>
      </c>
    </row>
    <row r="8" ht="15.75" customHeight="1">
      <c r="A8" s="19" t="s">
        <v>129</v>
      </c>
      <c r="B8" s="428">
        <v>0.0</v>
      </c>
      <c r="C8" s="428">
        <v>1.0</v>
      </c>
      <c r="D8" s="428">
        <v>0.0</v>
      </c>
      <c r="E8" s="428">
        <v>0.0</v>
      </c>
      <c r="F8" s="428">
        <v>1.0</v>
      </c>
      <c r="G8" s="428">
        <v>0.0</v>
      </c>
      <c r="H8" s="428">
        <v>75.0</v>
      </c>
      <c r="I8" s="428">
        <v>6.0</v>
      </c>
      <c r="J8" s="428">
        <v>95.0</v>
      </c>
      <c r="K8" s="428">
        <v>-20.0</v>
      </c>
      <c r="L8" s="428">
        <v>3.0</v>
      </c>
      <c r="M8" s="428">
        <v>2.0</v>
      </c>
      <c r="N8" s="428">
        <v>1201.0</v>
      </c>
      <c r="O8" s="428">
        <v>1238.0</v>
      </c>
      <c r="P8" s="428">
        <v>12.0</v>
      </c>
      <c r="Q8" s="428">
        <v>2.0</v>
      </c>
      <c r="R8" s="428">
        <v>10.0</v>
      </c>
      <c r="S8" s="428">
        <v>1.0</v>
      </c>
      <c r="T8" s="428">
        <v>0.0</v>
      </c>
      <c r="U8" s="428">
        <v>0.0</v>
      </c>
      <c r="V8" s="428">
        <v>0.0</v>
      </c>
      <c r="W8" s="428">
        <v>0.0</v>
      </c>
      <c r="X8" s="428">
        <v>0.0</v>
      </c>
      <c r="Y8" s="428">
        <v>0.0</v>
      </c>
      <c r="Z8" s="428">
        <v>0.0</v>
      </c>
      <c r="AA8" s="428">
        <v>0.0</v>
      </c>
      <c r="AB8" s="428">
        <v>0.0</v>
      </c>
      <c r="AC8" s="428">
        <v>0.0</v>
      </c>
      <c r="AD8" s="428">
        <v>0.0</v>
      </c>
      <c r="AE8" s="428">
        <v>0.0</v>
      </c>
      <c r="AF8" s="428">
        <v>0.0</v>
      </c>
      <c r="AG8" s="428">
        <v>0.0</v>
      </c>
      <c r="AH8" s="428">
        <v>0.0</v>
      </c>
      <c r="AI8" s="428">
        <v>2.0</v>
      </c>
      <c r="AJ8" s="428">
        <v>0.0</v>
      </c>
    </row>
    <row r="9" ht="15.75" customHeight="1">
      <c r="A9" s="19" t="s">
        <v>169</v>
      </c>
      <c r="B9" s="428">
        <v>0.0</v>
      </c>
      <c r="C9" s="428">
        <v>1.0</v>
      </c>
      <c r="D9" s="428">
        <v>0.0</v>
      </c>
      <c r="E9" s="428">
        <v>0.0</v>
      </c>
      <c r="F9" s="428">
        <v>1.0</v>
      </c>
      <c r="G9" s="428">
        <v>0.0</v>
      </c>
      <c r="H9" s="428">
        <v>78.0</v>
      </c>
      <c r="I9" s="428">
        <v>0.0</v>
      </c>
      <c r="J9" s="428">
        <v>89.0</v>
      </c>
      <c r="K9" s="428">
        <v>-11.0</v>
      </c>
      <c r="L9" s="428">
        <v>6.0</v>
      </c>
      <c r="M9" s="428">
        <v>6.0</v>
      </c>
      <c r="N9" s="428">
        <v>1201.0</v>
      </c>
      <c r="O9" s="428">
        <v>1238.0</v>
      </c>
      <c r="P9" s="428">
        <v>13.0</v>
      </c>
      <c r="Q9" s="428">
        <v>2.0</v>
      </c>
      <c r="R9" s="428">
        <v>13.0</v>
      </c>
      <c r="S9" s="428">
        <v>6.0</v>
      </c>
      <c r="T9" s="428">
        <v>1.0</v>
      </c>
      <c r="U9" s="428">
        <v>2.0</v>
      </c>
      <c r="V9" s="428">
        <v>0.0</v>
      </c>
      <c r="W9" s="428">
        <v>0.0</v>
      </c>
      <c r="X9" s="428">
        <v>1.0</v>
      </c>
      <c r="Y9" s="428">
        <v>2.0</v>
      </c>
      <c r="Z9" s="428">
        <v>0.0</v>
      </c>
      <c r="AA9" s="428">
        <v>0.0</v>
      </c>
      <c r="AB9" s="428">
        <v>0.0</v>
      </c>
      <c r="AC9" s="428">
        <v>0.0</v>
      </c>
      <c r="AD9" s="428">
        <v>0.0</v>
      </c>
      <c r="AE9" s="428">
        <v>0.0</v>
      </c>
      <c r="AF9" s="428">
        <v>0.0</v>
      </c>
      <c r="AG9" s="428">
        <v>0.0</v>
      </c>
      <c r="AH9" s="428">
        <v>0.0</v>
      </c>
      <c r="AI9" s="428">
        <v>0.0</v>
      </c>
      <c r="AJ9" s="428">
        <v>0.0</v>
      </c>
    </row>
    <row r="10" ht="15.75" customHeight="1">
      <c r="A10" s="429" t="s">
        <v>47</v>
      </c>
      <c r="B10" s="430">
        <v>1.0</v>
      </c>
      <c r="C10" s="430">
        <v>0.0</v>
      </c>
      <c r="D10" s="430">
        <v>1.0</v>
      </c>
      <c r="E10" s="430">
        <v>0.0</v>
      </c>
      <c r="F10" s="430">
        <v>0.0</v>
      </c>
      <c r="G10" s="430">
        <v>0.0</v>
      </c>
      <c r="H10" s="430">
        <v>0.0</v>
      </c>
      <c r="I10" s="430">
        <v>0.0</v>
      </c>
      <c r="J10" s="430">
        <v>0.0</v>
      </c>
      <c r="K10" s="430">
        <v>0.0</v>
      </c>
      <c r="L10" s="430">
        <v>0.0</v>
      </c>
      <c r="M10" s="430">
        <v>0.0</v>
      </c>
      <c r="N10" s="430">
        <v>0.0</v>
      </c>
      <c r="O10" s="430">
        <v>0.0</v>
      </c>
      <c r="P10" s="430">
        <v>0.0</v>
      </c>
      <c r="Q10" s="430">
        <v>0.0</v>
      </c>
      <c r="R10" s="430">
        <v>0.0</v>
      </c>
      <c r="S10" s="430">
        <v>0.0</v>
      </c>
      <c r="T10" s="430">
        <v>0.0</v>
      </c>
      <c r="U10" s="430">
        <v>0.0</v>
      </c>
      <c r="V10" s="430">
        <v>0.0</v>
      </c>
      <c r="W10" s="430">
        <v>0.0</v>
      </c>
      <c r="X10" s="430">
        <v>0.0</v>
      </c>
      <c r="Y10" s="430">
        <v>0.0</v>
      </c>
      <c r="Z10" s="430">
        <v>0.0</v>
      </c>
      <c r="AA10" s="430">
        <v>0.0</v>
      </c>
      <c r="AB10" s="430">
        <v>0.0</v>
      </c>
      <c r="AC10" s="430">
        <v>0.0</v>
      </c>
      <c r="AD10" s="430">
        <v>0.0</v>
      </c>
      <c r="AE10" s="430">
        <v>0.0</v>
      </c>
      <c r="AF10" s="430">
        <v>0.0</v>
      </c>
      <c r="AG10" s="430">
        <v>0.0</v>
      </c>
      <c r="AH10" s="430">
        <v>0.0</v>
      </c>
      <c r="AI10" s="430">
        <v>0.0</v>
      </c>
      <c r="AJ10" s="430">
        <v>0.0</v>
      </c>
    </row>
    <row r="11" ht="15.75" customHeight="1">
      <c r="A11" s="19" t="s">
        <v>84</v>
      </c>
      <c r="B11" s="428">
        <v>1.0</v>
      </c>
      <c r="C11" s="428">
        <v>1.0</v>
      </c>
      <c r="D11" s="428">
        <v>0.0</v>
      </c>
      <c r="E11" s="428">
        <v>1.0</v>
      </c>
      <c r="F11" s="428">
        <v>0.0</v>
      </c>
      <c r="G11" s="428">
        <v>0.0</v>
      </c>
      <c r="H11" s="428">
        <v>145.0</v>
      </c>
      <c r="I11" s="428">
        <v>6.0</v>
      </c>
      <c r="J11" s="428">
        <v>129.0</v>
      </c>
      <c r="K11" s="428">
        <v>16.0</v>
      </c>
      <c r="L11" s="428">
        <v>8.0</v>
      </c>
      <c r="M11" s="428">
        <v>2.0</v>
      </c>
      <c r="N11" s="428">
        <v>1946.0</v>
      </c>
      <c r="O11" s="428">
        <v>1985.0</v>
      </c>
      <c r="P11" s="428">
        <v>15.0</v>
      </c>
      <c r="Q11" s="428">
        <v>5.0</v>
      </c>
      <c r="R11" s="428">
        <v>22.0</v>
      </c>
      <c r="S11" s="428">
        <v>1.0</v>
      </c>
      <c r="T11" s="428">
        <v>0.0</v>
      </c>
      <c r="U11" s="428">
        <v>2.0</v>
      </c>
      <c r="V11" s="428">
        <v>0.0</v>
      </c>
      <c r="W11" s="428">
        <v>0.0</v>
      </c>
      <c r="X11" s="428">
        <v>0.0</v>
      </c>
      <c r="Y11" s="428">
        <v>2.0</v>
      </c>
      <c r="Z11" s="428">
        <v>0.0</v>
      </c>
      <c r="AA11" s="428">
        <v>0.0</v>
      </c>
      <c r="AB11" s="428">
        <v>0.0</v>
      </c>
      <c r="AC11" s="428">
        <v>0.0</v>
      </c>
      <c r="AD11" s="428">
        <v>0.0</v>
      </c>
      <c r="AE11" s="428">
        <v>0.0</v>
      </c>
      <c r="AF11" s="428">
        <v>0.0</v>
      </c>
      <c r="AG11" s="428">
        <v>0.0</v>
      </c>
      <c r="AH11" s="428">
        <v>0.0</v>
      </c>
      <c r="AI11" s="428">
        <v>0.0</v>
      </c>
      <c r="AJ11" s="428">
        <v>0.0</v>
      </c>
    </row>
    <row r="12" ht="15.75" customHeight="1">
      <c r="A12" s="19" t="s">
        <v>136</v>
      </c>
      <c r="B12" s="428">
        <v>1.0</v>
      </c>
      <c r="C12" s="428">
        <v>1.0</v>
      </c>
      <c r="D12" s="428">
        <v>0.0</v>
      </c>
      <c r="E12" s="428">
        <v>1.0</v>
      </c>
      <c r="F12" s="428">
        <v>0.0</v>
      </c>
      <c r="G12" s="428">
        <v>3.0</v>
      </c>
      <c r="H12" s="428">
        <v>116.0</v>
      </c>
      <c r="I12" s="428">
        <v>5.0</v>
      </c>
      <c r="J12" s="428">
        <v>113.0</v>
      </c>
      <c r="K12" s="428">
        <v>3.0</v>
      </c>
      <c r="L12" s="428">
        <v>5.0</v>
      </c>
      <c r="M12" s="428">
        <v>5.0</v>
      </c>
      <c r="N12" s="428">
        <v>1946.0</v>
      </c>
      <c r="O12" s="428">
        <v>1985.0</v>
      </c>
      <c r="P12" s="428">
        <v>17.0</v>
      </c>
      <c r="Q12" s="428">
        <v>3.0</v>
      </c>
      <c r="R12" s="428">
        <v>14.0</v>
      </c>
      <c r="S12" s="428">
        <v>3.0</v>
      </c>
      <c r="T12" s="428">
        <v>0.0</v>
      </c>
      <c r="U12" s="428">
        <v>1.0</v>
      </c>
      <c r="V12" s="428">
        <v>0.0</v>
      </c>
      <c r="W12" s="428">
        <v>0.0</v>
      </c>
      <c r="X12" s="428">
        <v>0.0</v>
      </c>
      <c r="Y12" s="428">
        <v>1.0</v>
      </c>
      <c r="Z12" s="428">
        <v>0.0</v>
      </c>
      <c r="AA12" s="428">
        <v>0.0</v>
      </c>
      <c r="AB12" s="428">
        <v>0.0</v>
      </c>
      <c r="AC12" s="428">
        <v>0.0</v>
      </c>
      <c r="AD12" s="428">
        <v>0.0</v>
      </c>
      <c r="AE12" s="428">
        <v>0.0</v>
      </c>
      <c r="AF12" s="428">
        <v>0.0</v>
      </c>
      <c r="AG12" s="428">
        <v>0.0</v>
      </c>
      <c r="AH12" s="428">
        <v>0.0</v>
      </c>
      <c r="AI12" s="428">
        <v>2.0</v>
      </c>
      <c r="AJ12" s="428">
        <v>0.0</v>
      </c>
    </row>
    <row r="13" ht="15.75" customHeight="1">
      <c r="A13" s="19" t="s">
        <v>107</v>
      </c>
      <c r="B13" s="428">
        <v>1.0</v>
      </c>
      <c r="C13" s="428">
        <v>1.0</v>
      </c>
      <c r="D13" s="428">
        <v>0.0</v>
      </c>
      <c r="E13" s="428">
        <v>1.0</v>
      </c>
      <c r="F13" s="428">
        <v>0.0</v>
      </c>
      <c r="G13" s="428">
        <v>0.0</v>
      </c>
      <c r="H13" s="428">
        <v>92.0</v>
      </c>
      <c r="I13" s="428">
        <v>3.0</v>
      </c>
      <c r="J13" s="428">
        <v>131.0</v>
      </c>
      <c r="K13" s="428">
        <v>-39.0</v>
      </c>
      <c r="L13" s="428">
        <v>4.0</v>
      </c>
      <c r="M13" s="428">
        <v>1.0</v>
      </c>
      <c r="N13" s="428">
        <v>1946.0</v>
      </c>
      <c r="O13" s="428">
        <v>1985.0</v>
      </c>
      <c r="P13" s="428">
        <v>14.0</v>
      </c>
      <c r="Q13" s="428">
        <v>2.0</v>
      </c>
      <c r="R13" s="428">
        <v>11.0</v>
      </c>
      <c r="S13" s="428">
        <v>5.0</v>
      </c>
      <c r="T13" s="428">
        <v>2.0</v>
      </c>
      <c r="U13" s="428">
        <v>0.0</v>
      </c>
      <c r="V13" s="428">
        <v>0.0</v>
      </c>
      <c r="W13" s="428">
        <v>0.0</v>
      </c>
      <c r="X13" s="428">
        <v>2.0</v>
      </c>
      <c r="Y13" s="428">
        <v>0.0</v>
      </c>
      <c r="Z13" s="428">
        <v>0.0</v>
      </c>
      <c r="AA13" s="428">
        <v>0.0</v>
      </c>
      <c r="AB13" s="428">
        <v>0.0</v>
      </c>
      <c r="AC13" s="428">
        <v>0.0</v>
      </c>
      <c r="AD13" s="428">
        <v>0.0</v>
      </c>
      <c r="AE13" s="428">
        <v>0.0</v>
      </c>
      <c r="AF13" s="428">
        <v>0.0</v>
      </c>
      <c r="AG13" s="428">
        <v>0.0</v>
      </c>
      <c r="AH13" s="428">
        <v>0.0</v>
      </c>
      <c r="AI13" s="428">
        <v>2.0</v>
      </c>
      <c r="AJ13" s="428">
        <v>0.0</v>
      </c>
    </row>
    <row r="14" ht="15.75" customHeight="1">
      <c r="A14" s="19" t="s">
        <v>98</v>
      </c>
      <c r="B14" s="428">
        <v>1.0</v>
      </c>
      <c r="C14" s="428">
        <v>1.0</v>
      </c>
      <c r="D14" s="428">
        <v>0.0</v>
      </c>
      <c r="E14" s="428">
        <v>1.0</v>
      </c>
      <c r="F14" s="428">
        <v>0.0</v>
      </c>
      <c r="G14" s="428">
        <v>2.0</v>
      </c>
      <c r="H14" s="428">
        <v>99.0</v>
      </c>
      <c r="I14" s="428">
        <v>0.0</v>
      </c>
      <c r="J14" s="428">
        <v>132.0</v>
      </c>
      <c r="K14" s="428">
        <v>-33.0</v>
      </c>
      <c r="L14" s="428">
        <v>6.0</v>
      </c>
      <c r="M14" s="428">
        <v>6.0</v>
      </c>
      <c r="N14" s="428">
        <v>1946.0</v>
      </c>
      <c r="O14" s="428">
        <v>1985.0</v>
      </c>
      <c r="P14" s="428">
        <v>14.0</v>
      </c>
      <c r="Q14" s="428">
        <v>6.0</v>
      </c>
      <c r="R14" s="428">
        <v>11.0</v>
      </c>
      <c r="S14" s="428">
        <v>4.0</v>
      </c>
      <c r="T14" s="428">
        <v>2.0</v>
      </c>
      <c r="U14" s="428">
        <v>2.0</v>
      </c>
      <c r="V14" s="428">
        <v>0.0</v>
      </c>
      <c r="W14" s="428">
        <v>0.0</v>
      </c>
      <c r="X14" s="428">
        <v>1.0</v>
      </c>
      <c r="Y14" s="428">
        <v>2.0</v>
      </c>
      <c r="Z14" s="428">
        <v>0.0</v>
      </c>
      <c r="AA14" s="428">
        <v>0.0</v>
      </c>
      <c r="AB14" s="428">
        <v>0.0</v>
      </c>
      <c r="AC14" s="428">
        <v>1.0</v>
      </c>
      <c r="AD14" s="428">
        <v>0.0</v>
      </c>
      <c r="AE14" s="428">
        <v>0.0</v>
      </c>
      <c r="AF14" s="428">
        <v>0.0</v>
      </c>
      <c r="AG14" s="428">
        <v>0.0</v>
      </c>
      <c r="AH14" s="428">
        <v>0.0</v>
      </c>
      <c r="AI14" s="428">
        <v>1.0</v>
      </c>
      <c r="AJ14" s="428">
        <v>0.0</v>
      </c>
    </row>
    <row r="15" ht="15.75" customHeight="1">
      <c r="A15" s="19" t="s">
        <v>46</v>
      </c>
      <c r="B15" s="428">
        <v>0.0</v>
      </c>
      <c r="C15" s="428">
        <v>1.0</v>
      </c>
      <c r="D15" s="428">
        <v>0.0</v>
      </c>
      <c r="E15" s="428">
        <v>0.0</v>
      </c>
      <c r="F15" s="428">
        <v>1.0</v>
      </c>
      <c r="G15" s="428">
        <v>1.0</v>
      </c>
      <c r="H15" s="428">
        <v>142.0</v>
      </c>
      <c r="I15" s="428">
        <v>5.0</v>
      </c>
      <c r="J15" s="428">
        <v>105.0</v>
      </c>
      <c r="K15" s="428">
        <v>37.0</v>
      </c>
      <c r="L15" s="428">
        <v>7.0</v>
      </c>
      <c r="M15" s="428">
        <v>4.0</v>
      </c>
      <c r="N15" s="428">
        <v>1946.0</v>
      </c>
      <c r="O15" s="428">
        <v>1985.0</v>
      </c>
      <c r="P15" s="428">
        <v>18.0</v>
      </c>
      <c r="Q15" s="428">
        <v>0.0</v>
      </c>
      <c r="R15" s="428">
        <v>25.0</v>
      </c>
      <c r="S15" s="428">
        <v>7.0</v>
      </c>
      <c r="T15" s="428">
        <v>5.0</v>
      </c>
      <c r="U15" s="428">
        <v>4.0</v>
      </c>
      <c r="V15" s="428">
        <v>0.0</v>
      </c>
      <c r="W15" s="428">
        <v>0.0</v>
      </c>
      <c r="X15" s="428">
        <v>3.0</v>
      </c>
      <c r="Y15" s="428">
        <v>4.0</v>
      </c>
      <c r="Z15" s="428">
        <v>0.0</v>
      </c>
      <c r="AA15" s="428">
        <v>0.0</v>
      </c>
      <c r="AB15" s="428">
        <v>0.0</v>
      </c>
      <c r="AC15" s="428">
        <v>1.0</v>
      </c>
      <c r="AD15" s="428">
        <v>1.0</v>
      </c>
      <c r="AE15" s="428">
        <v>0.0</v>
      </c>
      <c r="AF15" s="428">
        <v>0.0</v>
      </c>
      <c r="AG15" s="428">
        <v>0.0</v>
      </c>
      <c r="AH15" s="428">
        <v>0.0</v>
      </c>
      <c r="AI15" s="428">
        <v>3.0</v>
      </c>
      <c r="AJ15" s="428">
        <v>0.0</v>
      </c>
    </row>
    <row r="16" ht="15.75" customHeight="1">
      <c r="A16" s="19" t="s">
        <v>60</v>
      </c>
      <c r="B16" s="428">
        <v>0.0</v>
      </c>
      <c r="C16" s="428">
        <v>1.0</v>
      </c>
      <c r="D16" s="428">
        <v>0.0</v>
      </c>
      <c r="E16" s="428">
        <v>0.0</v>
      </c>
      <c r="F16" s="428">
        <v>1.0</v>
      </c>
      <c r="G16" s="428">
        <v>1.0</v>
      </c>
      <c r="H16" s="428">
        <v>123.0</v>
      </c>
      <c r="I16" s="428">
        <v>4.0</v>
      </c>
      <c r="J16" s="428">
        <v>109.0</v>
      </c>
      <c r="K16" s="428">
        <v>14.0</v>
      </c>
      <c r="L16" s="428">
        <v>7.0</v>
      </c>
      <c r="M16" s="428">
        <v>6.0</v>
      </c>
      <c r="N16" s="428">
        <v>1946.0</v>
      </c>
      <c r="O16" s="428">
        <v>1985.0</v>
      </c>
      <c r="P16" s="428">
        <v>17.0</v>
      </c>
      <c r="Q16" s="428">
        <v>2.0</v>
      </c>
      <c r="R16" s="428">
        <v>18.0</v>
      </c>
      <c r="S16" s="428">
        <v>3.0</v>
      </c>
      <c r="T16" s="428">
        <v>2.0</v>
      </c>
      <c r="U16" s="428">
        <v>2.0</v>
      </c>
      <c r="V16" s="428">
        <v>0.0</v>
      </c>
      <c r="W16" s="428">
        <v>0.0</v>
      </c>
      <c r="X16" s="428">
        <v>1.0</v>
      </c>
      <c r="Y16" s="428">
        <v>2.0</v>
      </c>
      <c r="Z16" s="428">
        <v>0.0</v>
      </c>
      <c r="AA16" s="428">
        <v>0.0</v>
      </c>
      <c r="AB16" s="428">
        <v>0.0</v>
      </c>
      <c r="AC16" s="428">
        <v>1.0</v>
      </c>
      <c r="AD16" s="428">
        <v>0.0</v>
      </c>
      <c r="AE16" s="428">
        <v>0.0</v>
      </c>
      <c r="AF16" s="428">
        <v>0.0</v>
      </c>
      <c r="AG16" s="428">
        <v>0.0</v>
      </c>
      <c r="AH16" s="428">
        <v>0.0</v>
      </c>
      <c r="AI16" s="428">
        <v>2.0</v>
      </c>
      <c r="AJ16" s="428">
        <v>0.0</v>
      </c>
    </row>
    <row r="17" ht="15.75" customHeight="1">
      <c r="A17" s="19" t="s">
        <v>80</v>
      </c>
      <c r="B17" s="428">
        <v>0.0</v>
      </c>
      <c r="C17" s="428">
        <v>1.0</v>
      </c>
      <c r="D17" s="428">
        <v>0.0</v>
      </c>
      <c r="E17" s="428">
        <v>0.0</v>
      </c>
      <c r="F17" s="428">
        <v>1.0</v>
      </c>
      <c r="G17" s="428">
        <v>0.0</v>
      </c>
      <c r="H17" s="428">
        <v>117.0</v>
      </c>
      <c r="I17" s="428">
        <v>5.0</v>
      </c>
      <c r="J17" s="428">
        <v>127.0</v>
      </c>
      <c r="K17" s="428">
        <v>-10.0</v>
      </c>
      <c r="L17" s="428">
        <v>4.0</v>
      </c>
      <c r="M17" s="428">
        <v>6.0</v>
      </c>
      <c r="N17" s="428">
        <v>1946.0</v>
      </c>
      <c r="O17" s="428">
        <v>1985.0</v>
      </c>
      <c r="P17" s="428">
        <v>15.0</v>
      </c>
      <c r="Q17" s="428">
        <v>3.0</v>
      </c>
      <c r="R17" s="428">
        <v>20.0</v>
      </c>
      <c r="S17" s="428">
        <v>2.0</v>
      </c>
      <c r="T17" s="428">
        <v>2.0</v>
      </c>
      <c r="U17" s="428">
        <v>0.0</v>
      </c>
      <c r="V17" s="428">
        <v>0.0</v>
      </c>
      <c r="W17" s="428">
        <v>0.0</v>
      </c>
      <c r="X17" s="428">
        <v>2.0</v>
      </c>
      <c r="Y17" s="428">
        <v>0.0</v>
      </c>
      <c r="Z17" s="428">
        <v>0.0</v>
      </c>
      <c r="AA17" s="428">
        <v>0.0</v>
      </c>
      <c r="AB17" s="428">
        <v>0.0</v>
      </c>
      <c r="AC17" s="428">
        <v>0.0</v>
      </c>
      <c r="AD17" s="428">
        <v>0.0</v>
      </c>
      <c r="AE17" s="428">
        <v>0.0</v>
      </c>
      <c r="AF17" s="428">
        <v>0.0</v>
      </c>
      <c r="AG17" s="428">
        <v>0.0</v>
      </c>
      <c r="AH17" s="428">
        <v>0.0</v>
      </c>
      <c r="AI17" s="428">
        <v>1.0</v>
      </c>
      <c r="AJ17" s="428">
        <v>0.0</v>
      </c>
    </row>
    <row r="18" ht="15.75" customHeight="1">
      <c r="A18" s="19" t="s">
        <v>102</v>
      </c>
      <c r="B18" s="428">
        <v>0.0</v>
      </c>
      <c r="C18" s="428">
        <v>1.0</v>
      </c>
      <c r="D18" s="428">
        <v>0.0</v>
      </c>
      <c r="E18" s="428">
        <v>0.0</v>
      </c>
      <c r="F18" s="428">
        <v>1.0</v>
      </c>
      <c r="G18" s="428">
        <v>0.0</v>
      </c>
      <c r="H18" s="428">
        <v>109.0</v>
      </c>
      <c r="I18" s="428">
        <v>3.0</v>
      </c>
      <c r="J18" s="428">
        <v>129.0</v>
      </c>
      <c r="K18" s="428">
        <v>-20.0</v>
      </c>
      <c r="L18" s="428">
        <v>4.0</v>
      </c>
      <c r="M18" s="428">
        <v>2.0</v>
      </c>
      <c r="N18" s="428">
        <v>1946.0</v>
      </c>
      <c r="O18" s="428">
        <v>1985.0</v>
      </c>
      <c r="P18" s="428">
        <v>15.0</v>
      </c>
      <c r="Q18" s="428">
        <v>2.0</v>
      </c>
      <c r="R18" s="428">
        <v>13.0</v>
      </c>
      <c r="S18" s="428">
        <v>1.0</v>
      </c>
      <c r="T18" s="428">
        <v>0.0</v>
      </c>
      <c r="U18" s="428">
        <v>0.0</v>
      </c>
      <c r="V18" s="428">
        <v>0.0</v>
      </c>
      <c r="W18" s="428">
        <v>0.0</v>
      </c>
      <c r="X18" s="428">
        <v>0.0</v>
      </c>
      <c r="Y18" s="428">
        <v>0.0</v>
      </c>
      <c r="Z18" s="428">
        <v>0.0</v>
      </c>
      <c r="AA18" s="428">
        <v>0.0</v>
      </c>
      <c r="AB18" s="428">
        <v>0.0</v>
      </c>
      <c r="AC18" s="428">
        <v>0.0</v>
      </c>
      <c r="AD18" s="428">
        <v>0.0</v>
      </c>
      <c r="AE18" s="428">
        <v>0.0</v>
      </c>
      <c r="AF18" s="428">
        <v>0.0</v>
      </c>
      <c r="AG18" s="428">
        <v>0.0</v>
      </c>
      <c r="AH18" s="428">
        <v>0.0</v>
      </c>
      <c r="AI18" s="428">
        <v>3.0</v>
      </c>
      <c r="AJ18" s="428">
        <v>0.0</v>
      </c>
    </row>
    <row r="19" ht="15.75" customHeight="1">
      <c r="A19" s="429" t="s">
        <v>129</v>
      </c>
      <c r="B19" s="430">
        <v>0.0</v>
      </c>
      <c r="C19" s="430">
        <v>0.0</v>
      </c>
      <c r="D19" s="430">
        <v>1.0</v>
      </c>
      <c r="E19" s="430">
        <v>0.0</v>
      </c>
      <c r="F19" s="430">
        <v>0.0</v>
      </c>
      <c r="G19" s="430">
        <v>0.0</v>
      </c>
      <c r="H19" s="430">
        <v>0.0</v>
      </c>
      <c r="I19" s="430">
        <v>0.0</v>
      </c>
      <c r="J19" s="430">
        <v>0.0</v>
      </c>
      <c r="K19" s="430">
        <v>0.0</v>
      </c>
      <c r="L19" s="430">
        <v>0.0</v>
      </c>
      <c r="M19" s="430">
        <v>0.0</v>
      </c>
      <c r="N19" s="430">
        <v>0.0</v>
      </c>
      <c r="O19" s="430">
        <v>0.0</v>
      </c>
      <c r="P19" s="430">
        <v>0.0</v>
      </c>
      <c r="Q19" s="430">
        <v>0.0</v>
      </c>
      <c r="R19" s="430">
        <v>0.0</v>
      </c>
      <c r="S19" s="430">
        <v>0.0</v>
      </c>
      <c r="T19" s="430">
        <v>0.0</v>
      </c>
      <c r="U19" s="430">
        <v>0.0</v>
      </c>
      <c r="V19" s="430">
        <v>0.0</v>
      </c>
      <c r="W19" s="430">
        <v>0.0</v>
      </c>
      <c r="X19" s="430">
        <v>0.0</v>
      </c>
      <c r="Y19" s="430">
        <v>0.0</v>
      </c>
      <c r="Z19" s="430">
        <v>0.0</v>
      </c>
      <c r="AA19" s="430">
        <v>0.0</v>
      </c>
      <c r="AB19" s="430">
        <v>0.0</v>
      </c>
      <c r="AC19" s="430">
        <v>0.0</v>
      </c>
      <c r="AD19" s="430">
        <v>0.0</v>
      </c>
      <c r="AE19" s="430">
        <v>0.0</v>
      </c>
      <c r="AF19" s="430">
        <v>0.0</v>
      </c>
      <c r="AG19" s="430">
        <v>0.0</v>
      </c>
      <c r="AH19" s="430">
        <v>0.0</v>
      </c>
      <c r="AI19" s="430">
        <v>0.0</v>
      </c>
      <c r="AJ19" s="430">
        <v>0.0</v>
      </c>
    </row>
    <row r="20" ht="15.75" customHeight="1">
      <c r="A20" s="19" t="s">
        <v>116</v>
      </c>
      <c r="B20" s="428">
        <v>1.0</v>
      </c>
      <c r="C20" s="428">
        <v>1.0</v>
      </c>
      <c r="D20" s="428">
        <v>0.0</v>
      </c>
      <c r="E20" s="428">
        <v>1.0</v>
      </c>
      <c r="F20" s="428">
        <v>0.0</v>
      </c>
      <c r="G20" s="428">
        <v>0.0</v>
      </c>
      <c r="H20" s="428">
        <v>72.0</v>
      </c>
      <c r="I20" s="428">
        <v>3.0</v>
      </c>
      <c r="J20" s="428">
        <v>82.0</v>
      </c>
      <c r="K20" s="428">
        <v>-10.0</v>
      </c>
      <c r="L20" s="428">
        <v>4.0</v>
      </c>
      <c r="M20" s="428">
        <v>0.0</v>
      </c>
      <c r="N20" s="428">
        <v>1158.0</v>
      </c>
      <c r="O20" s="428">
        <v>1190.0</v>
      </c>
      <c r="P20" s="428">
        <v>14.0</v>
      </c>
      <c r="Q20" s="428">
        <v>3.0</v>
      </c>
      <c r="R20" s="428">
        <v>10.0</v>
      </c>
      <c r="S20" s="428">
        <v>2.0</v>
      </c>
      <c r="T20" s="428">
        <v>0.0</v>
      </c>
      <c r="U20" s="428">
        <v>0.0</v>
      </c>
      <c r="V20" s="428">
        <v>0.0</v>
      </c>
      <c r="W20" s="428">
        <v>0.0</v>
      </c>
      <c r="X20" s="428">
        <v>0.0</v>
      </c>
      <c r="Y20" s="428">
        <v>0.0</v>
      </c>
      <c r="Z20" s="428">
        <v>0.0</v>
      </c>
      <c r="AA20" s="428">
        <v>0.0</v>
      </c>
      <c r="AB20" s="428">
        <v>0.0</v>
      </c>
      <c r="AC20" s="428">
        <v>0.0</v>
      </c>
      <c r="AD20" s="428">
        <v>0.0</v>
      </c>
      <c r="AE20" s="428">
        <v>0.0</v>
      </c>
      <c r="AF20" s="428">
        <v>0.0</v>
      </c>
      <c r="AG20" s="428">
        <v>0.0</v>
      </c>
      <c r="AH20" s="428">
        <v>0.0</v>
      </c>
      <c r="AI20" s="428">
        <v>0.0</v>
      </c>
      <c r="AJ20" s="428">
        <v>0.0</v>
      </c>
    </row>
    <row r="21" ht="15.75" customHeight="1">
      <c r="A21" s="19" t="s">
        <v>127</v>
      </c>
      <c r="B21" s="428">
        <v>1.0</v>
      </c>
      <c r="C21" s="428">
        <v>1.0</v>
      </c>
      <c r="D21" s="428">
        <v>0.0</v>
      </c>
      <c r="E21" s="428">
        <v>1.0</v>
      </c>
      <c r="F21" s="428">
        <v>0.0</v>
      </c>
      <c r="G21" s="428">
        <v>2.0</v>
      </c>
      <c r="H21" s="428">
        <v>77.0</v>
      </c>
      <c r="I21" s="428">
        <v>2.0</v>
      </c>
      <c r="J21" s="428">
        <v>76.0</v>
      </c>
      <c r="K21" s="428">
        <v>1.0</v>
      </c>
      <c r="L21" s="428">
        <v>4.0</v>
      </c>
      <c r="M21" s="428">
        <v>2.0</v>
      </c>
      <c r="N21" s="428">
        <v>1158.0</v>
      </c>
      <c r="O21" s="428">
        <v>1190.0</v>
      </c>
      <c r="P21" s="428">
        <v>15.0</v>
      </c>
      <c r="Q21" s="428">
        <v>3.0</v>
      </c>
      <c r="R21" s="428">
        <v>13.0</v>
      </c>
      <c r="S21" s="428">
        <v>3.0</v>
      </c>
      <c r="T21" s="428">
        <v>0.0</v>
      </c>
      <c r="U21" s="428">
        <v>0.0</v>
      </c>
      <c r="V21" s="428">
        <v>0.0</v>
      </c>
      <c r="W21" s="428">
        <v>0.0</v>
      </c>
      <c r="X21" s="428">
        <v>0.0</v>
      </c>
      <c r="Y21" s="428">
        <v>0.0</v>
      </c>
      <c r="Z21" s="428">
        <v>0.0</v>
      </c>
      <c r="AA21" s="428">
        <v>0.0</v>
      </c>
      <c r="AB21" s="428">
        <v>0.0</v>
      </c>
      <c r="AC21" s="428">
        <v>0.0</v>
      </c>
      <c r="AD21" s="428">
        <v>0.0</v>
      </c>
      <c r="AE21" s="428">
        <v>0.0</v>
      </c>
      <c r="AF21" s="428">
        <v>0.0</v>
      </c>
      <c r="AG21" s="428">
        <v>0.0</v>
      </c>
      <c r="AH21" s="428">
        <v>0.0</v>
      </c>
      <c r="AI21" s="428">
        <v>1.0</v>
      </c>
      <c r="AJ21" s="428">
        <v>0.0</v>
      </c>
    </row>
    <row r="22" ht="15.75" customHeight="1">
      <c r="A22" s="19" t="s">
        <v>129</v>
      </c>
      <c r="B22" s="428">
        <v>1.0</v>
      </c>
      <c r="C22" s="428">
        <v>1.0</v>
      </c>
      <c r="D22" s="428">
        <v>0.0</v>
      </c>
      <c r="E22" s="428">
        <v>1.0</v>
      </c>
      <c r="F22" s="428">
        <v>0.0</v>
      </c>
      <c r="G22" s="428">
        <v>2.0</v>
      </c>
      <c r="H22" s="428">
        <v>79.0</v>
      </c>
      <c r="I22" s="428">
        <v>5.0</v>
      </c>
      <c r="J22" s="428">
        <v>77.0</v>
      </c>
      <c r="K22" s="428">
        <v>2.0</v>
      </c>
      <c r="L22" s="428">
        <v>5.0</v>
      </c>
      <c r="M22" s="428">
        <v>3.0</v>
      </c>
      <c r="N22" s="428">
        <v>1158.0</v>
      </c>
      <c r="O22" s="428">
        <v>1190.0</v>
      </c>
      <c r="P22" s="428">
        <v>15.0</v>
      </c>
      <c r="Q22" s="428">
        <v>3.0</v>
      </c>
      <c r="R22" s="428">
        <v>16.0</v>
      </c>
      <c r="S22" s="428">
        <v>3.0</v>
      </c>
      <c r="T22" s="428">
        <v>0.0</v>
      </c>
      <c r="U22" s="428">
        <v>1.0</v>
      </c>
      <c r="V22" s="428">
        <v>0.0</v>
      </c>
      <c r="W22" s="428">
        <v>0.0</v>
      </c>
      <c r="X22" s="428">
        <v>0.0</v>
      </c>
      <c r="Y22" s="428">
        <v>1.0</v>
      </c>
      <c r="Z22" s="428">
        <v>0.0</v>
      </c>
      <c r="AA22" s="428">
        <v>0.0</v>
      </c>
      <c r="AB22" s="428">
        <v>0.0</v>
      </c>
      <c r="AC22" s="428">
        <v>0.0</v>
      </c>
      <c r="AD22" s="428">
        <v>0.0</v>
      </c>
      <c r="AE22" s="428">
        <v>0.0</v>
      </c>
      <c r="AF22" s="428">
        <v>0.0</v>
      </c>
      <c r="AG22" s="428">
        <v>0.0</v>
      </c>
      <c r="AH22" s="428">
        <v>0.0</v>
      </c>
      <c r="AI22" s="428">
        <v>1.0</v>
      </c>
      <c r="AJ22" s="428">
        <v>0.0</v>
      </c>
    </row>
    <row r="23" ht="15.75" customHeight="1">
      <c r="A23" s="19" t="s">
        <v>169</v>
      </c>
      <c r="B23" s="428">
        <v>1.0</v>
      </c>
      <c r="C23" s="428">
        <v>1.0</v>
      </c>
      <c r="D23" s="428">
        <v>0.0</v>
      </c>
      <c r="E23" s="428">
        <v>1.0</v>
      </c>
      <c r="F23" s="428">
        <v>0.0</v>
      </c>
      <c r="G23" s="428">
        <v>1.0</v>
      </c>
      <c r="H23" s="428">
        <v>71.0</v>
      </c>
      <c r="I23" s="428">
        <v>2.0</v>
      </c>
      <c r="J23" s="428">
        <v>74.0</v>
      </c>
      <c r="K23" s="428">
        <v>-3.0</v>
      </c>
      <c r="L23" s="428">
        <v>4.0</v>
      </c>
      <c r="M23" s="428">
        <v>3.0</v>
      </c>
      <c r="N23" s="428">
        <v>1158.0</v>
      </c>
      <c r="O23" s="428">
        <v>1190.0</v>
      </c>
      <c r="P23" s="428">
        <v>15.0</v>
      </c>
      <c r="Q23" s="428">
        <v>4.0</v>
      </c>
      <c r="R23" s="428">
        <v>13.0</v>
      </c>
      <c r="S23" s="428">
        <v>3.0</v>
      </c>
      <c r="T23" s="428">
        <v>3.0</v>
      </c>
      <c r="U23" s="428">
        <v>0.0</v>
      </c>
      <c r="V23" s="428">
        <v>0.0</v>
      </c>
      <c r="W23" s="428">
        <v>0.0</v>
      </c>
      <c r="X23" s="428">
        <v>3.0</v>
      </c>
      <c r="Y23" s="428">
        <v>0.0</v>
      </c>
      <c r="Z23" s="428">
        <v>0.0</v>
      </c>
      <c r="AA23" s="428">
        <v>0.0</v>
      </c>
      <c r="AB23" s="428">
        <v>0.0</v>
      </c>
      <c r="AC23" s="428">
        <v>0.0</v>
      </c>
      <c r="AD23" s="428">
        <v>0.0</v>
      </c>
      <c r="AE23" s="428">
        <v>0.0</v>
      </c>
      <c r="AF23" s="428">
        <v>0.0</v>
      </c>
      <c r="AG23" s="428">
        <v>0.0</v>
      </c>
      <c r="AH23" s="428">
        <v>0.0</v>
      </c>
      <c r="AI23" s="428">
        <v>1.0</v>
      </c>
      <c r="AJ23" s="428">
        <v>0.0</v>
      </c>
    </row>
    <row r="24" ht="15.75" customHeight="1">
      <c r="A24" s="19" t="s">
        <v>24</v>
      </c>
      <c r="B24" s="428">
        <v>0.0</v>
      </c>
      <c r="C24" s="428">
        <v>1.0</v>
      </c>
      <c r="D24" s="428">
        <v>0.0</v>
      </c>
      <c r="E24" s="428">
        <v>0.0</v>
      </c>
      <c r="F24" s="428">
        <v>1.0</v>
      </c>
      <c r="G24" s="428">
        <v>0.0</v>
      </c>
      <c r="H24" s="428">
        <v>57.0</v>
      </c>
      <c r="I24" s="428">
        <v>1.0</v>
      </c>
      <c r="J24" s="428">
        <v>75.0</v>
      </c>
      <c r="K24" s="428">
        <v>-18.0</v>
      </c>
      <c r="L24" s="428">
        <v>5.0</v>
      </c>
      <c r="M24" s="428">
        <v>1.0</v>
      </c>
      <c r="N24" s="428">
        <v>1158.0</v>
      </c>
      <c r="O24" s="428">
        <v>1190.0</v>
      </c>
      <c r="P24" s="428">
        <v>15.0</v>
      </c>
      <c r="Q24" s="428">
        <v>2.0</v>
      </c>
      <c r="R24" s="428">
        <v>9.0</v>
      </c>
      <c r="S24" s="428">
        <v>1.0</v>
      </c>
      <c r="T24" s="428">
        <v>0.0</v>
      </c>
      <c r="U24" s="428">
        <v>1.0</v>
      </c>
      <c r="V24" s="428">
        <v>0.0</v>
      </c>
      <c r="W24" s="428">
        <v>0.0</v>
      </c>
      <c r="X24" s="428">
        <v>0.0</v>
      </c>
      <c r="Y24" s="428">
        <v>1.0</v>
      </c>
      <c r="Z24" s="428">
        <v>0.0</v>
      </c>
      <c r="AA24" s="428">
        <v>0.0</v>
      </c>
      <c r="AB24" s="428">
        <v>0.0</v>
      </c>
      <c r="AC24" s="428">
        <v>0.0</v>
      </c>
      <c r="AD24" s="428">
        <v>0.0</v>
      </c>
      <c r="AE24" s="428">
        <v>0.0</v>
      </c>
      <c r="AF24" s="428">
        <v>0.0</v>
      </c>
      <c r="AG24" s="428">
        <v>0.0</v>
      </c>
      <c r="AH24" s="428">
        <v>0.0</v>
      </c>
      <c r="AI24" s="428">
        <v>5.0</v>
      </c>
      <c r="AJ24" s="428">
        <v>0.0</v>
      </c>
    </row>
    <row r="25" ht="15.75" customHeight="1">
      <c r="A25" s="19" t="s">
        <v>53</v>
      </c>
      <c r="B25" s="428">
        <v>0.0</v>
      </c>
      <c r="C25" s="428">
        <v>1.0</v>
      </c>
      <c r="D25" s="428">
        <v>0.0</v>
      </c>
      <c r="E25" s="428">
        <v>0.0</v>
      </c>
      <c r="F25" s="428">
        <v>1.0</v>
      </c>
      <c r="G25" s="428">
        <v>0.0</v>
      </c>
      <c r="H25" s="428">
        <v>78.0</v>
      </c>
      <c r="I25" s="428">
        <v>2.0</v>
      </c>
      <c r="J25" s="428">
        <v>88.0</v>
      </c>
      <c r="K25" s="428">
        <v>-10.0</v>
      </c>
      <c r="L25" s="428">
        <v>5.0</v>
      </c>
      <c r="M25" s="428">
        <v>1.0</v>
      </c>
      <c r="N25" s="428">
        <v>1158.0</v>
      </c>
      <c r="O25" s="428">
        <v>1190.0</v>
      </c>
      <c r="P25" s="428">
        <v>13.0</v>
      </c>
      <c r="Q25" s="428">
        <v>0.0</v>
      </c>
      <c r="R25" s="428">
        <v>16.0</v>
      </c>
      <c r="S25" s="428">
        <v>2.0</v>
      </c>
      <c r="T25" s="428">
        <v>2.0</v>
      </c>
      <c r="U25" s="428">
        <v>1.0</v>
      </c>
      <c r="V25" s="428">
        <v>0.0</v>
      </c>
      <c r="W25" s="428">
        <v>0.0</v>
      </c>
      <c r="X25" s="428">
        <v>1.0</v>
      </c>
      <c r="Y25" s="428">
        <v>1.0</v>
      </c>
      <c r="Z25" s="428">
        <v>0.0</v>
      </c>
      <c r="AA25" s="428">
        <v>0.0</v>
      </c>
      <c r="AB25" s="428">
        <v>0.0</v>
      </c>
      <c r="AC25" s="428">
        <v>1.0</v>
      </c>
      <c r="AD25" s="428">
        <v>0.0</v>
      </c>
      <c r="AE25" s="428">
        <v>0.0</v>
      </c>
      <c r="AF25" s="428">
        <v>0.0</v>
      </c>
      <c r="AG25" s="428">
        <v>0.0</v>
      </c>
      <c r="AH25" s="428">
        <v>0.0</v>
      </c>
      <c r="AI25" s="428">
        <v>3.0</v>
      </c>
      <c r="AJ25" s="428">
        <v>0.0</v>
      </c>
    </row>
    <row r="26" ht="15.75" customHeight="1">
      <c r="A26" s="19" t="s">
        <v>142</v>
      </c>
      <c r="B26" s="428">
        <v>0.0</v>
      </c>
      <c r="C26" s="428">
        <v>1.0</v>
      </c>
      <c r="D26" s="428">
        <v>0.0</v>
      </c>
      <c r="E26" s="428">
        <v>0.0</v>
      </c>
      <c r="F26" s="428">
        <v>1.0</v>
      </c>
      <c r="G26" s="428">
        <v>1.0</v>
      </c>
      <c r="H26" s="428">
        <v>67.0</v>
      </c>
      <c r="I26" s="428">
        <v>3.0</v>
      </c>
      <c r="J26" s="428">
        <v>60.0</v>
      </c>
      <c r="K26" s="428">
        <v>7.0</v>
      </c>
      <c r="L26" s="428">
        <v>6.0</v>
      </c>
      <c r="M26" s="428">
        <v>4.0</v>
      </c>
      <c r="N26" s="428">
        <v>1158.0</v>
      </c>
      <c r="O26" s="428">
        <v>1190.0</v>
      </c>
      <c r="P26" s="428">
        <v>19.0</v>
      </c>
      <c r="Q26" s="428">
        <v>0.0</v>
      </c>
      <c r="R26" s="428">
        <v>9.0</v>
      </c>
      <c r="S26" s="428">
        <v>3.0</v>
      </c>
      <c r="T26" s="428">
        <v>1.0</v>
      </c>
      <c r="U26" s="428">
        <v>2.0</v>
      </c>
      <c r="V26" s="428">
        <v>0.0</v>
      </c>
      <c r="W26" s="428">
        <v>0.0</v>
      </c>
      <c r="X26" s="428">
        <v>1.0</v>
      </c>
      <c r="Y26" s="428">
        <v>2.0</v>
      </c>
      <c r="Z26" s="428">
        <v>0.0</v>
      </c>
      <c r="AA26" s="428">
        <v>0.0</v>
      </c>
      <c r="AB26" s="428">
        <v>0.0</v>
      </c>
      <c r="AC26" s="428">
        <v>0.0</v>
      </c>
      <c r="AD26" s="428">
        <v>0.0</v>
      </c>
      <c r="AE26" s="428">
        <v>0.0</v>
      </c>
      <c r="AF26" s="428">
        <v>0.0</v>
      </c>
      <c r="AG26" s="428">
        <v>0.0</v>
      </c>
      <c r="AH26" s="428">
        <v>0.0</v>
      </c>
      <c r="AI26" s="428">
        <v>4.0</v>
      </c>
      <c r="AJ26" s="428">
        <v>0.0</v>
      </c>
    </row>
    <row r="27" ht="15.75" customHeight="1">
      <c r="A27" s="19" t="s">
        <v>61</v>
      </c>
      <c r="B27" s="428">
        <v>0.0</v>
      </c>
      <c r="C27" s="428">
        <v>1.0</v>
      </c>
      <c r="D27" s="428">
        <v>0.0</v>
      </c>
      <c r="E27" s="428">
        <v>0.0</v>
      </c>
      <c r="F27" s="428">
        <v>1.0</v>
      </c>
      <c r="G27" s="428">
        <v>0.0</v>
      </c>
      <c r="H27" s="428">
        <v>99.0</v>
      </c>
      <c r="I27" s="428">
        <v>3.0</v>
      </c>
      <c r="J27" s="428">
        <v>82.0</v>
      </c>
      <c r="K27" s="428">
        <v>17.0</v>
      </c>
      <c r="L27" s="428">
        <v>6.0</v>
      </c>
      <c r="M27" s="428">
        <v>0.0</v>
      </c>
      <c r="N27" s="428">
        <v>1158.0</v>
      </c>
      <c r="O27" s="428">
        <v>1190.0</v>
      </c>
      <c r="P27" s="428">
        <v>14.0</v>
      </c>
      <c r="Q27" s="428">
        <v>4.0</v>
      </c>
      <c r="R27" s="428">
        <v>21.0</v>
      </c>
      <c r="S27" s="428">
        <v>7.0</v>
      </c>
      <c r="T27" s="428">
        <v>0.0</v>
      </c>
      <c r="U27" s="428">
        <v>4.0</v>
      </c>
      <c r="V27" s="428">
        <v>0.0</v>
      </c>
      <c r="W27" s="428">
        <v>0.0</v>
      </c>
      <c r="X27" s="428">
        <v>0.0</v>
      </c>
      <c r="Y27" s="428">
        <v>4.0</v>
      </c>
      <c r="Z27" s="428">
        <v>0.0</v>
      </c>
      <c r="AA27" s="428">
        <v>0.0</v>
      </c>
      <c r="AB27" s="428">
        <v>0.0</v>
      </c>
      <c r="AC27" s="428">
        <v>0.0</v>
      </c>
      <c r="AD27" s="428">
        <v>0.0</v>
      </c>
      <c r="AE27" s="428">
        <v>0.0</v>
      </c>
      <c r="AF27" s="428">
        <v>0.0</v>
      </c>
      <c r="AG27" s="428">
        <v>0.0</v>
      </c>
      <c r="AH27" s="428">
        <v>0.0</v>
      </c>
      <c r="AI27" s="428">
        <v>3.0</v>
      </c>
      <c r="AJ27" s="428">
        <v>0.0</v>
      </c>
    </row>
    <row r="28" ht="15.75" customHeight="1">
      <c r="A28" s="429" t="s">
        <v>47</v>
      </c>
      <c r="B28" s="430">
        <v>0.0</v>
      </c>
      <c r="C28" s="430">
        <v>0.0</v>
      </c>
      <c r="D28" s="430">
        <v>1.0</v>
      </c>
      <c r="E28" s="430">
        <v>0.0</v>
      </c>
      <c r="F28" s="430">
        <v>0.0</v>
      </c>
      <c r="G28" s="430">
        <v>0.0</v>
      </c>
      <c r="H28" s="430">
        <v>0.0</v>
      </c>
      <c r="I28" s="430">
        <v>0.0</v>
      </c>
      <c r="J28" s="430">
        <v>0.0</v>
      </c>
      <c r="K28" s="430">
        <v>0.0</v>
      </c>
      <c r="L28" s="430">
        <v>0.0</v>
      </c>
      <c r="M28" s="430">
        <v>0.0</v>
      </c>
      <c r="N28" s="430">
        <v>0.0</v>
      </c>
      <c r="O28" s="430">
        <v>0.0</v>
      </c>
      <c r="P28" s="430">
        <v>0.0</v>
      </c>
      <c r="Q28" s="430">
        <v>0.0</v>
      </c>
      <c r="R28" s="430">
        <v>0.0</v>
      </c>
      <c r="S28" s="430">
        <v>0.0</v>
      </c>
      <c r="T28" s="430">
        <v>0.0</v>
      </c>
      <c r="U28" s="430">
        <v>0.0</v>
      </c>
      <c r="V28" s="430">
        <v>0.0</v>
      </c>
      <c r="W28" s="430">
        <v>0.0</v>
      </c>
      <c r="X28" s="430">
        <v>0.0</v>
      </c>
      <c r="Y28" s="430">
        <v>0.0</v>
      </c>
      <c r="Z28" s="430">
        <v>0.0</v>
      </c>
      <c r="AA28" s="430">
        <v>0.0</v>
      </c>
      <c r="AB28" s="430">
        <v>0.0</v>
      </c>
      <c r="AC28" s="430">
        <v>0.0</v>
      </c>
      <c r="AD28" s="430">
        <v>0.0</v>
      </c>
      <c r="AE28" s="430">
        <v>0.0</v>
      </c>
      <c r="AF28" s="430">
        <v>0.0</v>
      </c>
      <c r="AG28" s="430">
        <v>0.0</v>
      </c>
      <c r="AH28" s="430">
        <v>0.0</v>
      </c>
      <c r="AI28" s="430">
        <v>0.0</v>
      </c>
      <c r="AJ28" s="430">
        <v>0.0</v>
      </c>
    </row>
    <row r="29" ht="15.75" customHeight="1">
      <c r="A29" s="19" t="s">
        <v>84</v>
      </c>
      <c r="B29" s="428">
        <v>1.0</v>
      </c>
      <c r="C29" s="428">
        <v>1.0</v>
      </c>
      <c r="D29" s="428">
        <v>0.0</v>
      </c>
      <c r="E29" s="428">
        <v>1.0</v>
      </c>
      <c r="F29" s="428">
        <v>0.0</v>
      </c>
      <c r="G29" s="428">
        <v>0.0</v>
      </c>
      <c r="H29" s="428">
        <v>48.0</v>
      </c>
      <c r="I29" s="428">
        <v>1.0</v>
      </c>
      <c r="J29" s="428">
        <v>56.0</v>
      </c>
      <c r="K29" s="428">
        <v>-8.0</v>
      </c>
      <c r="L29" s="428">
        <v>4.0</v>
      </c>
      <c r="M29" s="428">
        <v>2.0</v>
      </c>
      <c r="N29" s="428">
        <v>730.0</v>
      </c>
      <c r="O29" s="428">
        <v>766.0</v>
      </c>
      <c r="P29" s="428">
        <v>13.0</v>
      </c>
      <c r="Q29" s="428">
        <v>1.0</v>
      </c>
      <c r="R29" s="428">
        <v>7.0</v>
      </c>
      <c r="S29" s="428">
        <v>2.0</v>
      </c>
      <c r="T29" s="428">
        <v>0.0</v>
      </c>
      <c r="U29" s="428">
        <v>0.0</v>
      </c>
      <c r="V29" s="428">
        <v>0.0</v>
      </c>
      <c r="W29" s="428">
        <v>0.0</v>
      </c>
      <c r="X29" s="428">
        <v>0.0</v>
      </c>
      <c r="Y29" s="428">
        <v>0.0</v>
      </c>
      <c r="Z29" s="428">
        <v>0.0</v>
      </c>
      <c r="AA29" s="428">
        <v>0.0</v>
      </c>
      <c r="AB29" s="428">
        <v>0.0</v>
      </c>
      <c r="AC29" s="428">
        <v>0.0</v>
      </c>
      <c r="AD29" s="428">
        <v>0.0</v>
      </c>
      <c r="AE29" s="428">
        <v>0.0</v>
      </c>
      <c r="AF29" s="428">
        <v>0.0</v>
      </c>
      <c r="AG29" s="428">
        <v>0.0</v>
      </c>
      <c r="AH29" s="428">
        <v>0.0</v>
      </c>
      <c r="AI29" s="428">
        <v>0.0</v>
      </c>
      <c r="AJ29" s="428">
        <v>0.0</v>
      </c>
    </row>
    <row r="30" ht="15.75" customHeight="1">
      <c r="A30" s="19" t="s">
        <v>136</v>
      </c>
      <c r="B30" s="428">
        <v>1.0</v>
      </c>
      <c r="C30" s="428">
        <v>1.0</v>
      </c>
      <c r="D30" s="428">
        <v>0.0</v>
      </c>
      <c r="E30" s="428">
        <v>1.0</v>
      </c>
      <c r="F30" s="428">
        <v>0.0</v>
      </c>
      <c r="G30" s="428">
        <v>1.0</v>
      </c>
      <c r="H30" s="428">
        <v>44.0</v>
      </c>
      <c r="I30" s="428">
        <v>1.0</v>
      </c>
      <c r="J30" s="428">
        <v>44.0</v>
      </c>
      <c r="K30" s="428">
        <v>0.0</v>
      </c>
      <c r="L30" s="428">
        <v>5.0</v>
      </c>
      <c r="M30" s="428">
        <v>0.0</v>
      </c>
      <c r="N30" s="428">
        <v>730.0</v>
      </c>
      <c r="O30" s="428">
        <v>766.0</v>
      </c>
      <c r="P30" s="428">
        <v>16.0</v>
      </c>
      <c r="Q30" s="428">
        <v>0.0</v>
      </c>
      <c r="R30" s="428">
        <v>8.0</v>
      </c>
      <c r="S30" s="428">
        <v>1.0</v>
      </c>
      <c r="T30" s="428">
        <v>0.0</v>
      </c>
      <c r="U30" s="428">
        <v>1.0</v>
      </c>
      <c r="V30" s="428">
        <v>0.0</v>
      </c>
      <c r="W30" s="428">
        <v>0.0</v>
      </c>
      <c r="X30" s="428">
        <v>0.0</v>
      </c>
      <c r="Y30" s="428">
        <v>1.0</v>
      </c>
      <c r="Z30" s="428">
        <v>0.0</v>
      </c>
      <c r="AA30" s="428">
        <v>0.0</v>
      </c>
      <c r="AB30" s="428">
        <v>0.0</v>
      </c>
      <c r="AC30" s="428">
        <v>0.0</v>
      </c>
      <c r="AD30" s="428">
        <v>0.0</v>
      </c>
      <c r="AE30" s="428">
        <v>0.0</v>
      </c>
      <c r="AF30" s="428">
        <v>0.0</v>
      </c>
      <c r="AG30" s="428">
        <v>0.0</v>
      </c>
      <c r="AH30" s="428">
        <v>0.0</v>
      </c>
      <c r="AI30" s="428">
        <v>1.0</v>
      </c>
      <c r="AJ30" s="428">
        <v>0.0</v>
      </c>
    </row>
    <row r="31" ht="15.75" customHeight="1">
      <c r="A31" s="19" t="s">
        <v>107</v>
      </c>
      <c r="B31" s="428">
        <v>1.0</v>
      </c>
      <c r="C31" s="428">
        <v>1.0</v>
      </c>
      <c r="D31" s="428">
        <v>0.0</v>
      </c>
      <c r="E31" s="428">
        <v>1.0</v>
      </c>
      <c r="F31" s="428">
        <v>0.0</v>
      </c>
      <c r="G31" s="428">
        <v>2.0</v>
      </c>
      <c r="H31" s="428">
        <v>49.0</v>
      </c>
      <c r="I31" s="428">
        <v>0.0</v>
      </c>
      <c r="J31" s="428">
        <v>44.0</v>
      </c>
      <c r="K31" s="428">
        <v>5.0</v>
      </c>
      <c r="L31" s="428">
        <v>4.0</v>
      </c>
      <c r="M31" s="428">
        <v>0.0</v>
      </c>
      <c r="N31" s="428">
        <v>730.0</v>
      </c>
      <c r="O31" s="428">
        <v>766.0</v>
      </c>
      <c r="P31" s="428">
        <v>16.0</v>
      </c>
      <c r="Q31" s="428">
        <v>2.0</v>
      </c>
      <c r="R31" s="428">
        <v>9.0</v>
      </c>
      <c r="S31" s="428">
        <v>1.0</v>
      </c>
      <c r="T31" s="428">
        <v>0.0</v>
      </c>
      <c r="U31" s="428">
        <v>0.0</v>
      </c>
      <c r="V31" s="428">
        <v>0.0</v>
      </c>
      <c r="W31" s="428">
        <v>0.0</v>
      </c>
      <c r="X31" s="428">
        <v>0.0</v>
      </c>
      <c r="Y31" s="428">
        <v>0.0</v>
      </c>
      <c r="Z31" s="428">
        <v>0.0</v>
      </c>
      <c r="AA31" s="428">
        <v>0.0</v>
      </c>
      <c r="AB31" s="428">
        <v>0.0</v>
      </c>
      <c r="AC31" s="428">
        <v>0.0</v>
      </c>
      <c r="AD31" s="428">
        <v>0.0</v>
      </c>
      <c r="AE31" s="428">
        <v>0.0</v>
      </c>
      <c r="AF31" s="428">
        <v>0.0</v>
      </c>
      <c r="AG31" s="428">
        <v>0.0</v>
      </c>
      <c r="AH31" s="428">
        <v>0.0</v>
      </c>
      <c r="AI31" s="428">
        <v>2.0</v>
      </c>
      <c r="AJ31" s="428">
        <v>0.0</v>
      </c>
    </row>
    <row r="32" ht="15.75" customHeight="1">
      <c r="A32" s="431" t="s">
        <v>98</v>
      </c>
      <c r="B32" s="428">
        <v>1.0</v>
      </c>
      <c r="C32" s="428">
        <v>1.0</v>
      </c>
      <c r="D32" s="428">
        <v>0.0</v>
      </c>
      <c r="E32" s="428">
        <v>1.0</v>
      </c>
      <c r="F32" s="428">
        <v>0.0</v>
      </c>
      <c r="G32" s="428">
        <v>2.0</v>
      </c>
      <c r="H32" s="428">
        <v>44.0</v>
      </c>
      <c r="I32" s="428">
        <v>2.0</v>
      </c>
      <c r="J32" s="428">
        <v>33.0</v>
      </c>
      <c r="K32" s="428">
        <v>11.0</v>
      </c>
      <c r="L32" s="428">
        <v>7.0</v>
      </c>
      <c r="M32" s="428">
        <v>0.0</v>
      </c>
      <c r="N32" s="428">
        <v>730.0</v>
      </c>
      <c r="O32" s="428">
        <v>766.0</v>
      </c>
      <c r="P32" s="428">
        <v>22.0</v>
      </c>
      <c r="Q32" s="428">
        <v>1.0</v>
      </c>
      <c r="R32" s="428">
        <v>12.0</v>
      </c>
      <c r="S32" s="428">
        <v>3.0</v>
      </c>
      <c r="T32" s="428">
        <v>0.0</v>
      </c>
      <c r="U32" s="428">
        <v>2.0</v>
      </c>
      <c r="V32" s="428">
        <v>0.0</v>
      </c>
      <c r="W32" s="428">
        <v>0.0</v>
      </c>
      <c r="X32" s="428">
        <v>0.0</v>
      </c>
      <c r="Y32" s="428">
        <v>2.0</v>
      </c>
      <c r="Z32" s="428">
        <v>0.0</v>
      </c>
      <c r="AA32" s="428">
        <v>0.0</v>
      </c>
      <c r="AB32" s="428">
        <v>0.0</v>
      </c>
      <c r="AC32" s="428">
        <v>0.0</v>
      </c>
      <c r="AD32" s="428">
        <v>0.0</v>
      </c>
      <c r="AE32" s="428">
        <v>0.0</v>
      </c>
      <c r="AF32" s="428">
        <v>0.0</v>
      </c>
      <c r="AG32" s="428">
        <v>0.0</v>
      </c>
      <c r="AH32" s="428">
        <v>0.0</v>
      </c>
      <c r="AI32" s="428">
        <v>2.0</v>
      </c>
      <c r="AJ32" s="428">
        <v>0.0</v>
      </c>
    </row>
    <row r="33" ht="15.75" customHeight="1">
      <c r="A33" s="19" t="s">
        <v>168</v>
      </c>
      <c r="B33" s="428">
        <v>0.0</v>
      </c>
      <c r="C33" s="428">
        <v>1.0</v>
      </c>
      <c r="D33" s="428">
        <v>0.0</v>
      </c>
      <c r="E33" s="428">
        <v>0.0</v>
      </c>
      <c r="F33" s="428">
        <v>1.0</v>
      </c>
      <c r="G33" s="428">
        <v>0.0</v>
      </c>
      <c r="H33" s="428">
        <v>44.0</v>
      </c>
      <c r="I33" s="428">
        <v>0.0</v>
      </c>
      <c r="J33" s="428">
        <v>48.0</v>
      </c>
      <c r="K33" s="428">
        <v>-4.0</v>
      </c>
      <c r="L33" s="428">
        <v>4.0</v>
      </c>
      <c r="M33" s="428">
        <v>3.0</v>
      </c>
      <c r="N33" s="428">
        <v>730.0</v>
      </c>
      <c r="O33" s="428">
        <v>766.0</v>
      </c>
      <c r="P33" s="428">
        <v>15.0</v>
      </c>
      <c r="Q33" s="428">
        <v>1.0</v>
      </c>
      <c r="R33" s="428">
        <v>6.0</v>
      </c>
      <c r="S33" s="428">
        <v>4.0</v>
      </c>
      <c r="T33" s="428">
        <v>0.0</v>
      </c>
      <c r="U33" s="428">
        <v>0.0</v>
      </c>
      <c r="V33" s="428">
        <v>0.0</v>
      </c>
      <c r="W33" s="428">
        <v>0.0</v>
      </c>
      <c r="X33" s="428">
        <v>0.0</v>
      </c>
      <c r="Y33" s="428">
        <v>0.0</v>
      </c>
      <c r="Z33" s="428">
        <v>0.0</v>
      </c>
      <c r="AA33" s="428">
        <v>0.0</v>
      </c>
      <c r="AB33" s="428">
        <v>0.0</v>
      </c>
      <c r="AC33" s="428">
        <v>0.0</v>
      </c>
      <c r="AD33" s="428">
        <v>0.0</v>
      </c>
      <c r="AE33" s="428">
        <v>0.0</v>
      </c>
      <c r="AF33" s="428">
        <v>0.0</v>
      </c>
      <c r="AG33" s="428">
        <v>0.0</v>
      </c>
      <c r="AH33" s="428">
        <v>0.0</v>
      </c>
      <c r="AI33" s="428">
        <v>1.0</v>
      </c>
      <c r="AJ33" s="428">
        <v>0.0</v>
      </c>
    </row>
    <row r="34" ht="15.75" customHeight="1">
      <c r="A34" s="19" t="s">
        <v>121</v>
      </c>
      <c r="B34" s="428">
        <v>0.0</v>
      </c>
      <c r="C34" s="428">
        <v>1.0</v>
      </c>
      <c r="D34" s="428">
        <v>0.0</v>
      </c>
      <c r="E34" s="428">
        <v>0.0</v>
      </c>
      <c r="F34" s="428">
        <v>1.0</v>
      </c>
      <c r="G34" s="428">
        <v>0.0</v>
      </c>
      <c r="H34" s="428">
        <v>43.0</v>
      </c>
      <c r="I34" s="428">
        <v>1.0</v>
      </c>
      <c r="J34" s="428">
        <v>46.0</v>
      </c>
      <c r="K34" s="428">
        <v>-3.0</v>
      </c>
      <c r="L34" s="428">
        <v>6.0</v>
      </c>
      <c r="M34" s="428">
        <v>1.0</v>
      </c>
      <c r="N34" s="428">
        <v>730.0</v>
      </c>
      <c r="O34" s="428">
        <v>766.0</v>
      </c>
      <c r="P34" s="428">
        <v>15.0</v>
      </c>
      <c r="Q34" s="428">
        <v>0.0</v>
      </c>
      <c r="R34" s="428">
        <v>5.0</v>
      </c>
      <c r="S34" s="428">
        <v>2.0</v>
      </c>
      <c r="T34" s="428">
        <v>0.0</v>
      </c>
      <c r="U34" s="428">
        <v>1.0</v>
      </c>
      <c r="V34" s="428">
        <v>0.0</v>
      </c>
      <c r="W34" s="428">
        <v>0.0</v>
      </c>
      <c r="X34" s="428">
        <v>0.0</v>
      </c>
      <c r="Y34" s="428">
        <v>1.0</v>
      </c>
      <c r="Z34" s="428">
        <v>0.0</v>
      </c>
      <c r="AA34" s="428">
        <v>0.0</v>
      </c>
      <c r="AB34" s="428">
        <v>0.0</v>
      </c>
      <c r="AC34" s="428">
        <v>0.0</v>
      </c>
      <c r="AD34" s="428">
        <v>0.0</v>
      </c>
      <c r="AE34" s="428">
        <v>0.0</v>
      </c>
      <c r="AF34" s="428">
        <v>0.0</v>
      </c>
      <c r="AG34" s="428">
        <v>0.0</v>
      </c>
      <c r="AH34" s="428">
        <v>0.0</v>
      </c>
      <c r="AI34" s="428">
        <v>0.0</v>
      </c>
      <c r="AJ34" s="428">
        <v>0.0</v>
      </c>
    </row>
    <row r="35" ht="15.75" customHeight="1">
      <c r="A35" s="19" t="s">
        <v>73</v>
      </c>
      <c r="B35" s="428">
        <v>0.0</v>
      </c>
      <c r="C35" s="428">
        <v>1.0</v>
      </c>
      <c r="D35" s="428">
        <v>0.0</v>
      </c>
      <c r="E35" s="428">
        <v>0.0</v>
      </c>
      <c r="F35" s="428">
        <v>1.0</v>
      </c>
      <c r="G35" s="428">
        <v>1.0</v>
      </c>
      <c r="H35" s="428">
        <v>36.0</v>
      </c>
      <c r="I35" s="428">
        <v>1.0</v>
      </c>
      <c r="J35" s="428">
        <v>39.0</v>
      </c>
      <c r="K35" s="428">
        <v>-3.0</v>
      </c>
      <c r="L35" s="428">
        <v>4.0</v>
      </c>
      <c r="M35" s="428">
        <v>1.0</v>
      </c>
      <c r="N35" s="428">
        <v>730.0</v>
      </c>
      <c r="O35" s="428">
        <v>766.0</v>
      </c>
      <c r="P35" s="428">
        <v>18.0</v>
      </c>
      <c r="Q35" s="428">
        <v>0.0</v>
      </c>
      <c r="R35" s="428">
        <v>8.0</v>
      </c>
      <c r="S35" s="428">
        <v>4.0</v>
      </c>
      <c r="T35" s="428">
        <v>0.0</v>
      </c>
      <c r="U35" s="428">
        <v>0.0</v>
      </c>
      <c r="V35" s="428">
        <v>0.0</v>
      </c>
      <c r="W35" s="428">
        <v>0.0</v>
      </c>
      <c r="X35" s="428">
        <v>0.0</v>
      </c>
      <c r="Y35" s="428">
        <v>0.0</v>
      </c>
      <c r="Z35" s="428">
        <v>0.0</v>
      </c>
      <c r="AA35" s="428">
        <v>0.0</v>
      </c>
      <c r="AB35" s="428">
        <v>0.0</v>
      </c>
      <c r="AC35" s="428">
        <v>0.0</v>
      </c>
      <c r="AD35" s="428">
        <v>0.0</v>
      </c>
      <c r="AE35" s="428">
        <v>0.0</v>
      </c>
      <c r="AF35" s="428">
        <v>0.0</v>
      </c>
      <c r="AG35" s="428">
        <v>0.0</v>
      </c>
      <c r="AH35" s="428">
        <v>0.0</v>
      </c>
      <c r="AI35" s="428">
        <v>0.0</v>
      </c>
      <c r="AJ35" s="428">
        <v>0.0</v>
      </c>
    </row>
    <row r="36" ht="15.75" customHeight="1">
      <c r="A36" s="19" t="s">
        <v>144</v>
      </c>
      <c r="B36" s="428">
        <v>0.0</v>
      </c>
      <c r="C36" s="428">
        <v>1.0</v>
      </c>
      <c r="D36" s="428">
        <v>0.0</v>
      </c>
      <c r="E36" s="428">
        <v>0.0</v>
      </c>
      <c r="F36" s="428">
        <v>1.0</v>
      </c>
      <c r="G36" s="428">
        <v>1.0</v>
      </c>
      <c r="H36" s="428">
        <v>52.0</v>
      </c>
      <c r="I36" s="428">
        <v>1.0</v>
      </c>
      <c r="J36" s="428">
        <v>58.0</v>
      </c>
      <c r="K36" s="428">
        <v>-6.0</v>
      </c>
      <c r="L36" s="428">
        <v>4.0</v>
      </c>
      <c r="M36" s="428">
        <v>1.0</v>
      </c>
      <c r="N36" s="428">
        <v>730.0</v>
      </c>
      <c r="O36" s="428">
        <v>766.0</v>
      </c>
      <c r="P36" s="428">
        <v>12.0</v>
      </c>
      <c r="Q36" s="428">
        <v>3.0</v>
      </c>
      <c r="R36" s="428">
        <v>10.0</v>
      </c>
      <c r="S36" s="428">
        <v>4.0</v>
      </c>
      <c r="T36" s="428">
        <v>1.0</v>
      </c>
      <c r="U36" s="428">
        <v>0.0</v>
      </c>
      <c r="V36" s="428">
        <v>0.0</v>
      </c>
      <c r="W36" s="428">
        <v>0.0</v>
      </c>
      <c r="X36" s="428">
        <v>1.0</v>
      </c>
      <c r="Y36" s="428">
        <v>0.0</v>
      </c>
      <c r="Z36" s="428">
        <v>0.0</v>
      </c>
      <c r="AA36" s="428">
        <v>0.0</v>
      </c>
      <c r="AB36" s="428">
        <v>0.0</v>
      </c>
      <c r="AC36" s="428">
        <v>0.0</v>
      </c>
      <c r="AD36" s="428">
        <v>0.0</v>
      </c>
      <c r="AE36" s="428">
        <v>0.0</v>
      </c>
      <c r="AF36" s="428">
        <v>0.0</v>
      </c>
      <c r="AG36" s="428">
        <v>0.0</v>
      </c>
      <c r="AH36" s="428">
        <v>0.0</v>
      </c>
      <c r="AI36" s="428">
        <v>0.0</v>
      </c>
      <c r="AJ36" s="428">
        <v>0.0</v>
      </c>
    </row>
    <row r="37" ht="15.75" customHeight="1">
      <c r="A37" s="429" t="s">
        <v>42</v>
      </c>
      <c r="B37" s="430">
        <v>0.0</v>
      </c>
      <c r="C37" s="430">
        <v>0.0</v>
      </c>
      <c r="D37" s="430">
        <v>1.0</v>
      </c>
      <c r="E37" s="430">
        <v>0.0</v>
      </c>
      <c r="F37" s="430">
        <v>0.0</v>
      </c>
      <c r="G37" s="430">
        <v>0.0</v>
      </c>
      <c r="H37" s="430">
        <v>0.0</v>
      </c>
      <c r="I37" s="430">
        <v>0.0</v>
      </c>
      <c r="J37" s="430">
        <v>0.0</v>
      </c>
      <c r="K37" s="430">
        <v>0.0</v>
      </c>
      <c r="L37" s="430">
        <v>0.0</v>
      </c>
      <c r="M37" s="430">
        <v>0.0</v>
      </c>
      <c r="N37" s="430">
        <v>0.0</v>
      </c>
      <c r="O37" s="430">
        <v>0.0</v>
      </c>
      <c r="P37" s="430">
        <v>0.0</v>
      </c>
      <c r="Q37" s="430">
        <v>0.0</v>
      </c>
      <c r="R37" s="430">
        <v>0.0</v>
      </c>
      <c r="S37" s="430">
        <v>0.0</v>
      </c>
      <c r="T37" s="430">
        <v>0.0</v>
      </c>
      <c r="U37" s="430">
        <v>0.0</v>
      </c>
      <c r="V37" s="430">
        <v>0.0</v>
      </c>
      <c r="W37" s="430">
        <v>0.0</v>
      </c>
      <c r="X37" s="430">
        <v>0.0</v>
      </c>
      <c r="Y37" s="430">
        <v>0.0</v>
      </c>
      <c r="Z37" s="430">
        <v>0.0</v>
      </c>
      <c r="AA37" s="430">
        <v>0.0</v>
      </c>
      <c r="AB37" s="430">
        <v>0.0</v>
      </c>
      <c r="AC37" s="430">
        <v>0.0</v>
      </c>
      <c r="AD37" s="430">
        <v>0.0</v>
      </c>
      <c r="AE37" s="430">
        <v>0.0</v>
      </c>
      <c r="AF37" s="430">
        <v>0.0</v>
      </c>
      <c r="AG37" s="430">
        <v>0.0</v>
      </c>
      <c r="AH37" s="430">
        <v>0.0</v>
      </c>
      <c r="AI37" s="430">
        <v>0.0</v>
      </c>
      <c r="AJ37" s="430">
        <v>0.0</v>
      </c>
    </row>
    <row r="38" ht="15.75" customHeight="1">
      <c r="A38" s="431" t="s">
        <v>84</v>
      </c>
      <c r="B38" s="428">
        <v>0.0</v>
      </c>
      <c r="C38" s="428">
        <v>1.0</v>
      </c>
      <c r="D38" s="428">
        <v>0.0</v>
      </c>
      <c r="E38" s="428">
        <v>1.0</v>
      </c>
      <c r="F38" s="428">
        <v>0.0</v>
      </c>
      <c r="G38" s="428">
        <v>0.0</v>
      </c>
      <c r="H38" s="428">
        <v>35.0</v>
      </c>
      <c r="I38" s="428">
        <v>0.0</v>
      </c>
      <c r="J38" s="428">
        <v>22.0</v>
      </c>
      <c r="K38" s="428">
        <v>13.0</v>
      </c>
      <c r="L38" s="428">
        <v>6.0</v>
      </c>
      <c r="M38" s="428">
        <v>0.0</v>
      </c>
      <c r="N38" s="428">
        <v>427.0</v>
      </c>
      <c r="O38" s="428">
        <v>452.0</v>
      </c>
      <c r="P38" s="428">
        <v>19.0</v>
      </c>
      <c r="Q38" s="428">
        <v>0.0</v>
      </c>
      <c r="R38" s="428">
        <v>5.0</v>
      </c>
      <c r="S38" s="428">
        <v>1.0</v>
      </c>
      <c r="T38" s="428">
        <v>2.0</v>
      </c>
      <c r="U38" s="428">
        <v>1.0</v>
      </c>
      <c r="V38" s="428">
        <v>0.0</v>
      </c>
      <c r="W38" s="428">
        <v>0.0</v>
      </c>
      <c r="X38" s="428">
        <v>1.0</v>
      </c>
      <c r="Y38" s="428">
        <v>1.0</v>
      </c>
      <c r="Z38" s="428">
        <v>0.0</v>
      </c>
      <c r="AA38" s="428">
        <v>0.0</v>
      </c>
      <c r="AB38" s="428">
        <v>0.0</v>
      </c>
      <c r="AC38" s="428">
        <v>1.0</v>
      </c>
      <c r="AD38" s="428">
        <v>0.0</v>
      </c>
      <c r="AE38" s="428">
        <v>0.0</v>
      </c>
      <c r="AF38" s="428">
        <v>0.0</v>
      </c>
      <c r="AG38" s="428">
        <v>0.0</v>
      </c>
      <c r="AH38" s="428">
        <v>0.0</v>
      </c>
      <c r="AI38" s="428">
        <v>1.0</v>
      </c>
      <c r="AJ38" s="428">
        <v>0.0</v>
      </c>
    </row>
    <row r="39" ht="15.75" customHeight="1">
      <c r="A39" s="19" t="s">
        <v>136</v>
      </c>
      <c r="B39" s="428">
        <v>0.0</v>
      </c>
      <c r="C39" s="428">
        <v>1.0</v>
      </c>
      <c r="D39" s="428">
        <v>0.0</v>
      </c>
      <c r="E39" s="428">
        <v>1.0</v>
      </c>
      <c r="F39" s="428">
        <v>0.0</v>
      </c>
      <c r="G39" s="428">
        <v>2.0</v>
      </c>
      <c r="H39" s="428">
        <v>23.0</v>
      </c>
      <c r="I39" s="428">
        <v>1.0</v>
      </c>
      <c r="J39" s="428">
        <v>20.0</v>
      </c>
      <c r="K39" s="428">
        <v>3.0</v>
      </c>
      <c r="L39" s="428">
        <v>5.0</v>
      </c>
      <c r="M39" s="428">
        <v>1.0</v>
      </c>
      <c r="N39" s="428">
        <v>427.0</v>
      </c>
      <c r="O39" s="428">
        <v>452.0</v>
      </c>
      <c r="P39" s="428">
        <v>21.0</v>
      </c>
      <c r="Q39" s="428">
        <v>3.0</v>
      </c>
      <c r="R39" s="428">
        <v>4.0</v>
      </c>
      <c r="S39" s="428">
        <v>1.0</v>
      </c>
      <c r="T39" s="428">
        <v>0.0</v>
      </c>
      <c r="U39" s="428">
        <v>1.0</v>
      </c>
      <c r="V39" s="428">
        <v>0.0</v>
      </c>
      <c r="W39" s="428">
        <v>0.0</v>
      </c>
      <c r="X39" s="428">
        <v>0.0</v>
      </c>
      <c r="Y39" s="428">
        <v>1.0</v>
      </c>
      <c r="Z39" s="428">
        <v>0.0</v>
      </c>
      <c r="AA39" s="428">
        <v>0.0</v>
      </c>
      <c r="AB39" s="428">
        <v>0.0</v>
      </c>
      <c r="AC39" s="428">
        <v>0.0</v>
      </c>
      <c r="AD39" s="428">
        <v>0.0</v>
      </c>
      <c r="AE39" s="428">
        <v>0.0</v>
      </c>
      <c r="AF39" s="428">
        <v>0.0</v>
      </c>
      <c r="AG39" s="428">
        <v>0.0</v>
      </c>
      <c r="AH39" s="428">
        <v>0.0</v>
      </c>
      <c r="AI39" s="428">
        <v>0.0</v>
      </c>
      <c r="AJ39" s="428">
        <v>0.0</v>
      </c>
    </row>
    <row r="40" ht="15.75" customHeight="1">
      <c r="A40" s="19" t="s">
        <v>107</v>
      </c>
      <c r="B40" s="428">
        <v>0.0</v>
      </c>
      <c r="C40" s="428">
        <v>1.0</v>
      </c>
      <c r="D40" s="428">
        <v>0.0</v>
      </c>
      <c r="E40" s="428">
        <v>1.0</v>
      </c>
      <c r="F40" s="428">
        <v>0.0</v>
      </c>
      <c r="G40" s="428">
        <v>0.0</v>
      </c>
      <c r="H40" s="428">
        <v>23.0</v>
      </c>
      <c r="I40" s="428">
        <v>1.0</v>
      </c>
      <c r="J40" s="428">
        <v>29.0</v>
      </c>
      <c r="K40" s="428">
        <v>-6.0</v>
      </c>
      <c r="L40" s="428">
        <v>4.0</v>
      </c>
      <c r="M40" s="428">
        <v>0.0</v>
      </c>
      <c r="N40" s="428">
        <v>427.0</v>
      </c>
      <c r="O40" s="428">
        <v>452.0</v>
      </c>
      <c r="P40" s="428">
        <v>14.0</v>
      </c>
      <c r="Q40" s="428">
        <v>1.0</v>
      </c>
      <c r="R40" s="428">
        <v>5.0</v>
      </c>
      <c r="S40" s="428">
        <v>1.0</v>
      </c>
      <c r="T40" s="428">
        <v>1.0</v>
      </c>
      <c r="U40" s="428">
        <v>0.0</v>
      </c>
      <c r="V40" s="428">
        <v>0.0</v>
      </c>
      <c r="W40" s="428">
        <v>0.0</v>
      </c>
      <c r="X40" s="428">
        <v>1.0</v>
      </c>
      <c r="Y40" s="428">
        <v>0.0</v>
      </c>
      <c r="Z40" s="428">
        <v>0.0</v>
      </c>
      <c r="AA40" s="428">
        <v>0.0</v>
      </c>
      <c r="AB40" s="428">
        <v>0.0</v>
      </c>
      <c r="AC40" s="428">
        <v>0.0</v>
      </c>
      <c r="AD40" s="428">
        <v>0.0</v>
      </c>
      <c r="AE40" s="428">
        <v>0.0</v>
      </c>
      <c r="AF40" s="428">
        <v>0.0</v>
      </c>
      <c r="AG40" s="428">
        <v>0.0</v>
      </c>
      <c r="AH40" s="428">
        <v>0.0</v>
      </c>
      <c r="AI40" s="428">
        <v>0.0</v>
      </c>
      <c r="AJ40" s="428">
        <v>0.0</v>
      </c>
    </row>
    <row r="41" ht="15.75" customHeight="1">
      <c r="A41" s="19" t="s">
        <v>98</v>
      </c>
      <c r="B41" s="428">
        <v>0.0</v>
      </c>
      <c r="C41" s="428">
        <v>1.0</v>
      </c>
      <c r="D41" s="428">
        <v>0.0</v>
      </c>
      <c r="E41" s="428">
        <v>1.0</v>
      </c>
      <c r="F41" s="428">
        <v>0.0</v>
      </c>
      <c r="G41" s="428">
        <v>3.0</v>
      </c>
      <c r="H41" s="428">
        <v>32.0</v>
      </c>
      <c r="I41" s="428">
        <v>1.0</v>
      </c>
      <c r="J41" s="428">
        <v>21.0</v>
      </c>
      <c r="K41" s="428">
        <v>11.0</v>
      </c>
      <c r="L41" s="428">
        <v>4.0</v>
      </c>
      <c r="M41" s="428">
        <v>1.0</v>
      </c>
      <c r="N41" s="428">
        <v>427.0</v>
      </c>
      <c r="O41" s="428">
        <v>452.0</v>
      </c>
      <c r="P41" s="428">
        <v>20.0</v>
      </c>
      <c r="Q41" s="428">
        <v>1.0</v>
      </c>
      <c r="R41" s="428">
        <v>6.0</v>
      </c>
      <c r="S41" s="428">
        <v>1.0</v>
      </c>
      <c r="T41" s="428">
        <v>1.0</v>
      </c>
      <c r="U41" s="428">
        <v>0.0</v>
      </c>
      <c r="V41" s="428">
        <v>0.0</v>
      </c>
      <c r="W41" s="428">
        <v>0.0</v>
      </c>
      <c r="X41" s="428">
        <v>1.0</v>
      </c>
      <c r="Y41" s="428">
        <v>0.0</v>
      </c>
      <c r="Z41" s="428">
        <v>0.0</v>
      </c>
      <c r="AA41" s="428">
        <v>0.0</v>
      </c>
      <c r="AB41" s="428">
        <v>0.0</v>
      </c>
      <c r="AC41" s="428">
        <v>0.0</v>
      </c>
      <c r="AD41" s="428">
        <v>0.0</v>
      </c>
      <c r="AE41" s="428">
        <v>0.0</v>
      </c>
      <c r="AF41" s="428">
        <v>0.0</v>
      </c>
      <c r="AG41" s="428">
        <v>0.0</v>
      </c>
      <c r="AH41" s="428">
        <v>0.0</v>
      </c>
      <c r="AI41" s="428">
        <v>1.0</v>
      </c>
      <c r="AJ41" s="428">
        <v>0.0</v>
      </c>
    </row>
    <row r="42" ht="15.75" customHeight="1">
      <c r="A42" s="19" t="s">
        <v>124</v>
      </c>
      <c r="B42" s="428">
        <v>1.0</v>
      </c>
      <c r="C42" s="428">
        <v>1.0</v>
      </c>
      <c r="D42" s="428">
        <v>0.0</v>
      </c>
      <c r="E42" s="428">
        <v>0.0</v>
      </c>
      <c r="F42" s="428">
        <v>1.0</v>
      </c>
      <c r="G42" s="428">
        <v>0.0</v>
      </c>
      <c r="H42" s="428">
        <v>18.0</v>
      </c>
      <c r="I42" s="428">
        <v>0.0</v>
      </c>
      <c r="J42" s="428">
        <v>29.0</v>
      </c>
      <c r="K42" s="428">
        <v>-11.0</v>
      </c>
      <c r="L42" s="428">
        <v>2.0</v>
      </c>
      <c r="M42" s="428">
        <v>3.0</v>
      </c>
      <c r="N42" s="428">
        <v>427.0</v>
      </c>
      <c r="O42" s="428">
        <v>452.0</v>
      </c>
      <c r="P42" s="428">
        <v>14.0</v>
      </c>
      <c r="Q42" s="428">
        <v>1.0</v>
      </c>
      <c r="R42" s="428">
        <v>3.0</v>
      </c>
      <c r="S42" s="428">
        <v>0.0</v>
      </c>
      <c r="T42" s="428">
        <v>0.0</v>
      </c>
      <c r="U42" s="428">
        <v>0.0</v>
      </c>
      <c r="V42" s="428">
        <v>0.0</v>
      </c>
      <c r="W42" s="428">
        <v>0.0</v>
      </c>
      <c r="X42" s="428">
        <v>0.0</v>
      </c>
      <c r="Y42" s="428">
        <v>0.0</v>
      </c>
      <c r="Z42" s="428">
        <v>0.0</v>
      </c>
      <c r="AA42" s="428">
        <v>0.0</v>
      </c>
      <c r="AB42" s="428">
        <v>0.0</v>
      </c>
      <c r="AC42" s="428">
        <v>0.0</v>
      </c>
      <c r="AD42" s="428">
        <v>0.0</v>
      </c>
      <c r="AE42" s="428">
        <v>0.0</v>
      </c>
      <c r="AF42" s="428">
        <v>0.0</v>
      </c>
      <c r="AG42" s="428">
        <v>0.0</v>
      </c>
      <c r="AH42" s="428">
        <v>0.0</v>
      </c>
      <c r="AI42" s="428">
        <v>1.0</v>
      </c>
      <c r="AJ42" s="428">
        <v>0.0</v>
      </c>
    </row>
    <row r="43" ht="15.75" customHeight="1">
      <c r="A43" s="19" t="s">
        <v>382</v>
      </c>
      <c r="B43" s="428">
        <v>1.0</v>
      </c>
      <c r="C43" s="428">
        <v>1.0</v>
      </c>
      <c r="D43" s="428">
        <v>0.0</v>
      </c>
      <c r="E43" s="428">
        <v>0.0</v>
      </c>
      <c r="F43" s="428">
        <v>1.0</v>
      </c>
      <c r="G43" s="428">
        <v>0.0</v>
      </c>
      <c r="H43" s="428">
        <v>26.0</v>
      </c>
      <c r="I43" s="428">
        <v>1.0</v>
      </c>
      <c r="J43" s="428">
        <v>35.0</v>
      </c>
      <c r="K43" s="428">
        <v>-9.0</v>
      </c>
      <c r="L43" s="428">
        <v>5.0</v>
      </c>
      <c r="M43" s="428">
        <v>0.0</v>
      </c>
      <c r="N43" s="428">
        <v>427.0</v>
      </c>
      <c r="O43" s="428">
        <v>452.0</v>
      </c>
      <c r="P43" s="428">
        <v>12.0</v>
      </c>
      <c r="Q43" s="428">
        <v>0.0</v>
      </c>
      <c r="R43" s="428">
        <v>5.0</v>
      </c>
      <c r="S43" s="428">
        <v>1.0</v>
      </c>
      <c r="T43" s="428">
        <v>2.0</v>
      </c>
      <c r="U43" s="428">
        <v>1.0</v>
      </c>
      <c r="V43" s="428">
        <v>0.0</v>
      </c>
      <c r="W43" s="428">
        <v>0.0</v>
      </c>
      <c r="X43" s="428">
        <v>1.0</v>
      </c>
      <c r="Y43" s="428">
        <v>1.0</v>
      </c>
      <c r="Z43" s="428">
        <v>0.0</v>
      </c>
      <c r="AA43" s="428">
        <v>0.0</v>
      </c>
      <c r="AB43" s="428">
        <v>0.0</v>
      </c>
      <c r="AC43" s="428">
        <v>1.0</v>
      </c>
      <c r="AD43" s="428">
        <v>0.0</v>
      </c>
      <c r="AE43" s="428">
        <v>0.0</v>
      </c>
      <c r="AF43" s="428">
        <v>0.0</v>
      </c>
      <c r="AG43" s="428">
        <v>0.0</v>
      </c>
      <c r="AH43" s="428">
        <v>0.0</v>
      </c>
      <c r="AI43" s="428">
        <v>0.0</v>
      </c>
      <c r="AJ43" s="428">
        <v>0.0</v>
      </c>
    </row>
    <row r="44" ht="15.75" customHeight="1">
      <c r="A44" s="19" t="s">
        <v>45</v>
      </c>
      <c r="B44" s="428">
        <v>1.0</v>
      </c>
      <c r="C44" s="428">
        <v>1.0</v>
      </c>
      <c r="D44" s="428">
        <v>0.0</v>
      </c>
      <c r="E44" s="428">
        <v>0.0</v>
      </c>
      <c r="F44" s="428">
        <v>1.0</v>
      </c>
      <c r="G44" s="428">
        <v>0.0</v>
      </c>
      <c r="H44" s="428">
        <v>28.0</v>
      </c>
      <c r="I44" s="428">
        <v>0.0</v>
      </c>
      <c r="J44" s="428">
        <v>28.0</v>
      </c>
      <c r="K44" s="428">
        <v>0.0</v>
      </c>
      <c r="L44" s="428">
        <v>4.0</v>
      </c>
      <c r="M44" s="428">
        <v>0.0</v>
      </c>
      <c r="N44" s="428">
        <v>427.0</v>
      </c>
      <c r="O44" s="428">
        <v>452.0</v>
      </c>
      <c r="P44" s="428">
        <v>15.0</v>
      </c>
      <c r="Q44" s="428">
        <v>2.0</v>
      </c>
      <c r="R44" s="428">
        <v>4.0</v>
      </c>
      <c r="S44" s="428">
        <v>1.0</v>
      </c>
      <c r="T44" s="428">
        <v>0.0</v>
      </c>
      <c r="U44" s="428">
        <v>0.0</v>
      </c>
      <c r="V44" s="428">
        <v>0.0</v>
      </c>
      <c r="W44" s="428">
        <v>0.0</v>
      </c>
      <c r="X44" s="428">
        <v>0.0</v>
      </c>
      <c r="Y44" s="428">
        <v>0.0</v>
      </c>
      <c r="Z44" s="428">
        <v>0.0</v>
      </c>
      <c r="AA44" s="428">
        <v>0.0</v>
      </c>
      <c r="AB44" s="428">
        <v>0.0</v>
      </c>
      <c r="AC44" s="428">
        <v>0.0</v>
      </c>
      <c r="AD44" s="428">
        <v>0.0</v>
      </c>
      <c r="AE44" s="428">
        <v>0.0</v>
      </c>
      <c r="AF44" s="428">
        <v>0.0</v>
      </c>
      <c r="AG44" s="428">
        <v>0.0</v>
      </c>
      <c r="AH44" s="428">
        <v>0.0</v>
      </c>
      <c r="AI44" s="428">
        <v>0.0</v>
      </c>
      <c r="AJ44" s="428">
        <v>0.0</v>
      </c>
    </row>
    <row r="45" ht="15.75" customHeight="1">
      <c r="A45" s="19" t="s">
        <v>42</v>
      </c>
      <c r="B45" s="428">
        <v>1.0</v>
      </c>
      <c r="C45" s="428">
        <v>1.0</v>
      </c>
      <c r="D45" s="428">
        <v>0.0</v>
      </c>
      <c r="E45" s="428">
        <v>0.0</v>
      </c>
      <c r="F45" s="428">
        <v>1.0</v>
      </c>
      <c r="G45" s="428">
        <v>0.0</v>
      </c>
      <c r="H45" s="428">
        <v>18.0</v>
      </c>
      <c r="I45" s="428">
        <v>0.0</v>
      </c>
      <c r="J45" s="428">
        <v>25.0</v>
      </c>
      <c r="K45" s="428">
        <v>-7.0</v>
      </c>
      <c r="L45" s="428">
        <v>3.0</v>
      </c>
      <c r="M45" s="428">
        <v>1.0</v>
      </c>
      <c r="N45" s="428">
        <v>427.0</v>
      </c>
      <c r="O45" s="428">
        <v>452.0</v>
      </c>
      <c r="P45" s="428">
        <v>17.0</v>
      </c>
      <c r="Q45" s="428">
        <v>0.0</v>
      </c>
      <c r="R45" s="428">
        <v>1.0</v>
      </c>
      <c r="S45" s="428">
        <v>1.0</v>
      </c>
      <c r="T45" s="428">
        <v>0.0</v>
      </c>
      <c r="U45" s="428">
        <v>0.0</v>
      </c>
      <c r="V45" s="428">
        <v>0.0</v>
      </c>
      <c r="W45" s="428">
        <v>0.0</v>
      </c>
      <c r="X45" s="428">
        <v>0.0</v>
      </c>
      <c r="Y45" s="428">
        <v>0.0</v>
      </c>
      <c r="Z45" s="428">
        <v>0.0</v>
      </c>
      <c r="AA45" s="428">
        <v>0.0</v>
      </c>
      <c r="AB45" s="428">
        <v>0.0</v>
      </c>
      <c r="AC45" s="428">
        <v>0.0</v>
      </c>
      <c r="AD45" s="428">
        <v>0.0</v>
      </c>
      <c r="AE45" s="428">
        <v>0.0</v>
      </c>
      <c r="AF45" s="428">
        <v>0.0</v>
      </c>
      <c r="AG45" s="428">
        <v>0.0</v>
      </c>
      <c r="AH45" s="428">
        <v>0.0</v>
      </c>
      <c r="AI45" s="428">
        <v>0.0</v>
      </c>
      <c r="AJ45" s="428">
        <v>0.0</v>
      </c>
    </row>
    <row r="46" ht="15.75" customHeight="1">
      <c r="A46" s="429" t="s">
        <v>153</v>
      </c>
      <c r="B46" s="430">
        <v>1.0</v>
      </c>
      <c r="C46" s="430">
        <v>0.0</v>
      </c>
      <c r="D46" s="430">
        <v>1.0</v>
      </c>
      <c r="E46" s="430">
        <v>0.0</v>
      </c>
      <c r="F46" s="430">
        <v>0.0</v>
      </c>
      <c r="G46" s="430">
        <v>0.0</v>
      </c>
      <c r="H46" s="430">
        <v>0.0</v>
      </c>
      <c r="I46" s="430">
        <v>0.0</v>
      </c>
      <c r="J46" s="430">
        <v>0.0</v>
      </c>
      <c r="K46" s="430">
        <v>0.0</v>
      </c>
      <c r="L46" s="430">
        <v>0.0</v>
      </c>
      <c r="M46" s="430">
        <v>0.0</v>
      </c>
      <c r="N46" s="430">
        <v>0.0</v>
      </c>
      <c r="O46" s="430">
        <v>0.0</v>
      </c>
      <c r="P46" s="430">
        <v>0.0</v>
      </c>
      <c r="Q46" s="430">
        <v>0.0</v>
      </c>
      <c r="R46" s="430">
        <v>0.0</v>
      </c>
      <c r="S46" s="430">
        <v>0.0</v>
      </c>
      <c r="T46" s="430">
        <v>0.0</v>
      </c>
      <c r="U46" s="430">
        <v>0.0</v>
      </c>
      <c r="V46" s="430">
        <v>0.0</v>
      </c>
      <c r="W46" s="430">
        <v>0.0</v>
      </c>
      <c r="X46" s="430">
        <v>0.0</v>
      </c>
      <c r="Y46" s="430">
        <v>0.0</v>
      </c>
      <c r="Z46" s="430">
        <v>0.0</v>
      </c>
      <c r="AA46" s="430">
        <v>0.0</v>
      </c>
      <c r="AB46" s="430">
        <v>0.0</v>
      </c>
      <c r="AC46" s="430">
        <v>0.0</v>
      </c>
      <c r="AD46" s="430">
        <v>0.0</v>
      </c>
      <c r="AE46" s="430">
        <v>0.0</v>
      </c>
      <c r="AF46" s="430">
        <v>0.0</v>
      </c>
      <c r="AG46" s="430">
        <v>0.0</v>
      </c>
      <c r="AH46" s="430">
        <v>0.0</v>
      </c>
      <c r="AI46" s="430">
        <v>0.0</v>
      </c>
      <c r="AJ46" s="430">
        <v>0.0</v>
      </c>
    </row>
    <row r="47" ht="15.75" customHeight="1">
      <c r="A47" s="431" t="s">
        <v>168</v>
      </c>
      <c r="B47" s="428">
        <v>1.0</v>
      </c>
      <c r="C47" s="428">
        <v>1.0</v>
      </c>
      <c r="D47" s="428">
        <v>0.0</v>
      </c>
      <c r="E47" s="428">
        <v>1.0</v>
      </c>
      <c r="F47" s="428">
        <v>0.0</v>
      </c>
      <c r="G47" s="428">
        <v>0.0</v>
      </c>
      <c r="H47" s="428">
        <v>43.0</v>
      </c>
      <c r="I47" s="428">
        <v>1.0</v>
      </c>
      <c r="J47" s="428">
        <v>35.0</v>
      </c>
      <c r="K47" s="428">
        <v>8.0</v>
      </c>
      <c r="L47" s="428">
        <v>6.0</v>
      </c>
      <c r="M47" s="428">
        <v>0.0</v>
      </c>
      <c r="N47" s="428">
        <v>503.0</v>
      </c>
      <c r="O47" s="428">
        <v>528.0</v>
      </c>
      <c r="P47" s="428">
        <v>14.0</v>
      </c>
      <c r="Q47" s="428">
        <v>0.0</v>
      </c>
      <c r="R47" s="428">
        <v>10.0</v>
      </c>
      <c r="S47" s="428">
        <v>1.0</v>
      </c>
      <c r="T47" s="428">
        <v>3.0</v>
      </c>
      <c r="U47" s="428">
        <v>2.0</v>
      </c>
      <c r="V47" s="428">
        <v>0.0</v>
      </c>
      <c r="W47" s="428">
        <v>0.0</v>
      </c>
      <c r="X47" s="428">
        <v>1.0</v>
      </c>
      <c r="Y47" s="428">
        <v>2.0</v>
      </c>
      <c r="Z47" s="428">
        <v>0.0</v>
      </c>
      <c r="AA47" s="428">
        <v>0.0</v>
      </c>
      <c r="AB47" s="428">
        <v>0.0</v>
      </c>
      <c r="AC47" s="428">
        <v>1.0</v>
      </c>
      <c r="AD47" s="428">
        <v>1.0</v>
      </c>
      <c r="AE47" s="428">
        <v>0.0</v>
      </c>
      <c r="AF47" s="428">
        <v>0.0</v>
      </c>
      <c r="AG47" s="428">
        <v>0.0</v>
      </c>
      <c r="AH47" s="428">
        <v>0.0</v>
      </c>
      <c r="AI47" s="428">
        <v>0.0</v>
      </c>
      <c r="AJ47" s="428">
        <v>0.0</v>
      </c>
    </row>
    <row r="48" ht="15.75" customHeight="1">
      <c r="A48" s="19" t="s">
        <v>121</v>
      </c>
      <c r="B48" s="428">
        <v>1.0</v>
      </c>
      <c r="C48" s="428">
        <v>1.0</v>
      </c>
      <c r="D48" s="428">
        <v>0.0</v>
      </c>
      <c r="E48" s="428">
        <v>1.0</v>
      </c>
      <c r="F48" s="428">
        <v>0.0</v>
      </c>
      <c r="G48" s="428">
        <v>0.0</v>
      </c>
      <c r="H48" s="428">
        <v>30.0</v>
      </c>
      <c r="I48" s="428">
        <v>1.0</v>
      </c>
      <c r="J48" s="428">
        <v>28.0</v>
      </c>
      <c r="K48" s="428">
        <v>2.0</v>
      </c>
      <c r="L48" s="428">
        <v>6.0</v>
      </c>
      <c r="M48" s="428">
        <v>0.0</v>
      </c>
      <c r="N48" s="428">
        <v>503.0</v>
      </c>
      <c r="O48" s="428">
        <v>528.0</v>
      </c>
      <c r="P48" s="428">
        <v>17.0</v>
      </c>
      <c r="Q48" s="428">
        <v>2.0</v>
      </c>
      <c r="R48" s="428">
        <v>6.0</v>
      </c>
      <c r="S48" s="428">
        <v>1.0</v>
      </c>
      <c r="T48" s="428">
        <v>0.0</v>
      </c>
      <c r="U48" s="428">
        <v>1.0</v>
      </c>
      <c r="V48" s="428">
        <v>0.0</v>
      </c>
      <c r="W48" s="428">
        <v>0.0</v>
      </c>
      <c r="X48" s="428">
        <v>0.0</v>
      </c>
      <c r="Y48" s="428">
        <v>1.0</v>
      </c>
      <c r="Z48" s="428">
        <v>0.0</v>
      </c>
      <c r="AA48" s="428">
        <v>0.0</v>
      </c>
      <c r="AB48" s="428">
        <v>0.0</v>
      </c>
      <c r="AC48" s="428">
        <v>0.0</v>
      </c>
      <c r="AD48" s="428">
        <v>0.0</v>
      </c>
      <c r="AE48" s="428">
        <v>0.0</v>
      </c>
      <c r="AF48" s="428">
        <v>0.0</v>
      </c>
      <c r="AG48" s="428">
        <v>0.0</v>
      </c>
      <c r="AH48" s="428">
        <v>0.0</v>
      </c>
      <c r="AI48" s="428">
        <v>0.0</v>
      </c>
      <c r="AJ48" s="428">
        <v>0.0</v>
      </c>
    </row>
    <row r="49" ht="15.75" customHeight="1">
      <c r="A49" s="19" t="s">
        <v>73</v>
      </c>
      <c r="B49" s="428">
        <v>1.0</v>
      </c>
      <c r="C49" s="428">
        <v>1.0</v>
      </c>
      <c r="D49" s="428">
        <v>0.0</v>
      </c>
      <c r="E49" s="428">
        <v>1.0</v>
      </c>
      <c r="F49" s="428">
        <v>0.0</v>
      </c>
      <c r="G49" s="428">
        <v>0.0</v>
      </c>
      <c r="H49" s="428">
        <v>44.0</v>
      </c>
      <c r="I49" s="428">
        <v>1.0</v>
      </c>
      <c r="J49" s="428">
        <v>22.0</v>
      </c>
      <c r="K49" s="428">
        <v>22.0</v>
      </c>
      <c r="L49" s="428">
        <v>6.0</v>
      </c>
      <c r="M49" s="428">
        <v>2.0</v>
      </c>
      <c r="N49" s="428">
        <v>503.0</v>
      </c>
      <c r="O49" s="428">
        <v>528.0</v>
      </c>
      <c r="P49" s="428">
        <v>22.0</v>
      </c>
      <c r="Q49" s="428">
        <v>1.0</v>
      </c>
      <c r="R49" s="428">
        <v>9.0</v>
      </c>
      <c r="S49" s="428">
        <v>5.0</v>
      </c>
      <c r="T49" s="428">
        <v>2.0</v>
      </c>
      <c r="U49" s="428">
        <v>3.0</v>
      </c>
      <c r="V49" s="428">
        <v>0.0</v>
      </c>
      <c r="W49" s="428">
        <v>0.0</v>
      </c>
      <c r="X49" s="428">
        <v>2.0</v>
      </c>
      <c r="Y49" s="428">
        <v>3.0</v>
      </c>
      <c r="Z49" s="428">
        <v>0.0</v>
      </c>
      <c r="AA49" s="428">
        <v>0.0</v>
      </c>
      <c r="AB49" s="428">
        <v>0.0</v>
      </c>
      <c r="AC49" s="428">
        <v>0.0</v>
      </c>
      <c r="AD49" s="428">
        <v>0.0</v>
      </c>
      <c r="AE49" s="428">
        <v>0.0</v>
      </c>
      <c r="AF49" s="428">
        <v>0.0</v>
      </c>
      <c r="AG49" s="428">
        <v>0.0</v>
      </c>
      <c r="AH49" s="428">
        <v>0.0</v>
      </c>
      <c r="AI49" s="428">
        <v>3.0</v>
      </c>
      <c r="AJ49" s="428">
        <v>0.0</v>
      </c>
    </row>
    <row r="50" ht="15.75" customHeight="1">
      <c r="A50" s="19" t="s">
        <v>144</v>
      </c>
      <c r="B50" s="428">
        <v>1.0</v>
      </c>
      <c r="C50" s="428">
        <v>1.0</v>
      </c>
      <c r="D50" s="428">
        <v>0.0</v>
      </c>
      <c r="E50" s="428">
        <v>1.0</v>
      </c>
      <c r="F50" s="428">
        <v>0.0</v>
      </c>
      <c r="G50" s="428">
        <v>5.0</v>
      </c>
      <c r="H50" s="428">
        <v>22.0</v>
      </c>
      <c r="I50" s="428">
        <v>0.0</v>
      </c>
      <c r="J50" s="428">
        <v>17.0</v>
      </c>
      <c r="K50" s="428">
        <v>5.0</v>
      </c>
      <c r="L50" s="428">
        <v>3.0</v>
      </c>
      <c r="M50" s="428">
        <v>0.0</v>
      </c>
      <c r="N50" s="428">
        <v>503.0</v>
      </c>
      <c r="O50" s="428">
        <v>528.0</v>
      </c>
      <c r="P50" s="428">
        <v>29.0</v>
      </c>
      <c r="Q50" s="428">
        <v>0.0</v>
      </c>
      <c r="R50" s="428">
        <v>2.0</v>
      </c>
      <c r="S50" s="428">
        <v>0.0</v>
      </c>
      <c r="T50" s="428">
        <v>0.0</v>
      </c>
      <c r="U50" s="428">
        <v>0.0</v>
      </c>
      <c r="V50" s="428">
        <v>0.0</v>
      </c>
      <c r="W50" s="428">
        <v>0.0</v>
      </c>
      <c r="X50" s="428">
        <v>0.0</v>
      </c>
      <c r="Y50" s="428">
        <v>0.0</v>
      </c>
      <c r="Z50" s="428">
        <v>0.0</v>
      </c>
      <c r="AA50" s="428">
        <v>0.0</v>
      </c>
      <c r="AB50" s="428">
        <v>0.0</v>
      </c>
      <c r="AC50" s="428">
        <v>0.0</v>
      </c>
      <c r="AD50" s="428">
        <v>0.0</v>
      </c>
      <c r="AE50" s="428">
        <v>0.0</v>
      </c>
      <c r="AF50" s="428">
        <v>0.0</v>
      </c>
      <c r="AG50" s="428">
        <v>0.0</v>
      </c>
      <c r="AH50" s="428">
        <v>0.0</v>
      </c>
      <c r="AI50" s="428">
        <v>1.0</v>
      </c>
      <c r="AJ50" s="428">
        <v>0.0</v>
      </c>
    </row>
    <row r="51" ht="15.75" customHeight="1">
      <c r="A51" s="19" t="s">
        <v>46</v>
      </c>
      <c r="B51" s="428">
        <v>0.0</v>
      </c>
      <c r="C51" s="428">
        <v>1.0</v>
      </c>
      <c r="D51" s="428">
        <v>0.0</v>
      </c>
      <c r="E51" s="428">
        <v>0.0</v>
      </c>
      <c r="F51" s="428">
        <v>1.0</v>
      </c>
      <c r="G51" s="428">
        <v>0.0</v>
      </c>
      <c r="H51" s="428">
        <v>32.0</v>
      </c>
      <c r="I51" s="428">
        <v>1.0</v>
      </c>
      <c r="J51" s="428">
        <v>37.0</v>
      </c>
      <c r="K51" s="428">
        <v>-5.0</v>
      </c>
      <c r="L51" s="428">
        <v>5.0</v>
      </c>
      <c r="M51" s="428">
        <v>0.0</v>
      </c>
      <c r="N51" s="428">
        <v>503.0</v>
      </c>
      <c r="O51" s="428">
        <v>528.0</v>
      </c>
      <c r="P51" s="428">
        <v>13.0</v>
      </c>
      <c r="Q51" s="428">
        <v>0.0</v>
      </c>
      <c r="R51" s="428">
        <v>6.0</v>
      </c>
      <c r="S51" s="428">
        <v>2.0</v>
      </c>
      <c r="T51" s="428">
        <v>1.0</v>
      </c>
      <c r="U51" s="428">
        <v>1.0</v>
      </c>
      <c r="V51" s="428">
        <v>0.0</v>
      </c>
      <c r="W51" s="428">
        <v>0.0</v>
      </c>
      <c r="X51" s="428">
        <v>1.0</v>
      </c>
      <c r="Y51" s="428">
        <v>1.0</v>
      </c>
      <c r="Z51" s="428">
        <v>0.0</v>
      </c>
      <c r="AA51" s="428">
        <v>0.0</v>
      </c>
      <c r="AB51" s="428">
        <v>0.0</v>
      </c>
      <c r="AC51" s="428">
        <v>0.0</v>
      </c>
      <c r="AD51" s="428">
        <v>0.0</v>
      </c>
      <c r="AE51" s="428">
        <v>0.0</v>
      </c>
      <c r="AF51" s="428">
        <v>0.0</v>
      </c>
      <c r="AG51" s="428">
        <v>0.0</v>
      </c>
      <c r="AH51" s="428">
        <v>0.0</v>
      </c>
      <c r="AI51" s="428">
        <v>1.0</v>
      </c>
      <c r="AJ51" s="428">
        <v>0.0</v>
      </c>
    </row>
    <row r="52" ht="15.75" customHeight="1">
      <c r="A52" s="19" t="s">
        <v>60</v>
      </c>
      <c r="B52" s="428">
        <v>0.0</v>
      </c>
      <c r="C52" s="428">
        <v>1.0</v>
      </c>
      <c r="D52" s="428">
        <v>0.0</v>
      </c>
      <c r="E52" s="428">
        <v>0.0</v>
      </c>
      <c r="F52" s="428">
        <v>1.0</v>
      </c>
      <c r="G52" s="428">
        <v>0.0</v>
      </c>
      <c r="H52" s="428">
        <v>25.0</v>
      </c>
      <c r="I52" s="428">
        <v>0.0</v>
      </c>
      <c r="J52" s="428">
        <v>36.0</v>
      </c>
      <c r="K52" s="428">
        <v>-11.0</v>
      </c>
      <c r="L52" s="428">
        <v>3.0</v>
      </c>
      <c r="M52" s="428">
        <v>2.0</v>
      </c>
      <c r="N52" s="428">
        <v>503.0</v>
      </c>
      <c r="O52" s="428">
        <v>528.0</v>
      </c>
      <c r="P52" s="428">
        <v>13.0</v>
      </c>
      <c r="Q52" s="428">
        <v>0.0</v>
      </c>
      <c r="R52" s="428">
        <v>4.0</v>
      </c>
      <c r="S52" s="428">
        <v>1.0</v>
      </c>
      <c r="T52" s="428">
        <v>0.0</v>
      </c>
      <c r="U52" s="428">
        <v>0.0</v>
      </c>
      <c r="V52" s="428">
        <v>0.0</v>
      </c>
      <c r="W52" s="428">
        <v>0.0</v>
      </c>
      <c r="X52" s="428">
        <v>0.0</v>
      </c>
      <c r="Y52" s="428">
        <v>0.0</v>
      </c>
      <c r="Z52" s="428">
        <v>0.0</v>
      </c>
      <c r="AA52" s="428">
        <v>0.0</v>
      </c>
      <c r="AB52" s="428">
        <v>0.0</v>
      </c>
      <c r="AC52" s="428">
        <v>0.0</v>
      </c>
      <c r="AD52" s="428">
        <v>0.0</v>
      </c>
      <c r="AE52" s="428">
        <v>0.0</v>
      </c>
      <c r="AF52" s="428">
        <v>0.0</v>
      </c>
      <c r="AG52" s="428">
        <v>0.0</v>
      </c>
      <c r="AH52" s="428">
        <v>0.0</v>
      </c>
      <c r="AI52" s="428">
        <v>0.0</v>
      </c>
      <c r="AJ52" s="428">
        <v>0.0</v>
      </c>
    </row>
    <row r="53" ht="15.75" customHeight="1">
      <c r="A53" s="19" t="s">
        <v>80</v>
      </c>
      <c r="B53" s="428">
        <v>0.0</v>
      </c>
      <c r="C53" s="428">
        <v>1.0</v>
      </c>
      <c r="D53" s="428">
        <v>0.0</v>
      </c>
      <c r="E53" s="428">
        <v>0.0</v>
      </c>
      <c r="F53" s="428">
        <v>1.0</v>
      </c>
      <c r="G53" s="428">
        <v>0.0</v>
      </c>
      <c r="H53" s="428">
        <v>24.0</v>
      </c>
      <c r="I53" s="428">
        <v>2.0</v>
      </c>
      <c r="J53" s="428">
        <v>32.0</v>
      </c>
      <c r="K53" s="428">
        <v>-8.0</v>
      </c>
      <c r="L53" s="428">
        <v>3.0</v>
      </c>
      <c r="M53" s="428">
        <v>0.0</v>
      </c>
      <c r="N53" s="428">
        <v>504.0</v>
      </c>
      <c r="O53" s="428">
        <v>528.0</v>
      </c>
      <c r="P53" s="428">
        <v>15.0</v>
      </c>
      <c r="Q53" s="428">
        <v>1.0</v>
      </c>
      <c r="R53" s="428">
        <v>7.0</v>
      </c>
      <c r="S53" s="428">
        <v>1.0</v>
      </c>
      <c r="T53" s="428">
        <v>0.0</v>
      </c>
      <c r="U53" s="428">
        <v>0.0</v>
      </c>
      <c r="V53" s="428">
        <v>0.0</v>
      </c>
      <c r="W53" s="428">
        <v>0.0</v>
      </c>
      <c r="X53" s="428">
        <v>0.0</v>
      </c>
      <c r="Y53" s="428">
        <v>0.0</v>
      </c>
      <c r="Z53" s="428">
        <v>0.0</v>
      </c>
      <c r="AA53" s="428">
        <v>0.0</v>
      </c>
      <c r="AB53" s="428">
        <v>0.0</v>
      </c>
      <c r="AC53" s="428">
        <v>0.0</v>
      </c>
      <c r="AD53" s="428">
        <v>0.0</v>
      </c>
      <c r="AE53" s="428">
        <v>0.0</v>
      </c>
      <c r="AF53" s="428">
        <v>0.0</v>
      </c>
      <c r="AG53" s="428">
        <v>0.0</v>
      </c>
      <c r="AH53" s="428">
        <v>0.0</v>
      </c>
      <c r="AI53" s="428">
        <v>0.0</v>
      </c>
      <c r="AJ53" s="428">
        <v>0.0</v>
      </c>
    </row>
    <row r="54" ht="15.75" customHeight="1">
      <c r="A54" s="19" t="s">
        <v>47</v>
      </c>
      <c r="B54" s="428">
        <v>0.0</v>
      </c>
      <c r="C54" s="428">
        <v>1.0</v>
      </c>
      <c r="D54" s="428">
        <v>0.0</v>
      </c>
      <c r="E54" s="428">
        <v>0.0</v>
      </c>
      <c r="F54" s="428">
        <v>1.0</v>
      </c>
      <c r="G54" s="428">
        <v>0.0</v>
      </c>
      <c r="H54" s="428">
        <v>19.0</v>
      </c>
      <c r="I54" s="428">
        <v>3.0</v>
      </c>
      <c r="J54" s="428">
        <v>39.0</v>
      </c>
      <c r="K54" s="428">
        <v>-20.0</v>
      </c>
      <c r="L54" s="428">
        <v>2.0</v>
      </c>
      <c r="M54" s="428">
        <v>3.0</v>
      </c>
      <c r="N54" s="428">
        <v>503.0</v>
      </c>
      <c r="O54" s="428">
        <v>528.0</v>
      </c>
      <c r="P54" s="428">
        <v>12.0</v>
      </c>
      <c r="Q54" s="428">
        <v>0.0</v>
      </c>
      <c r="R54" s="428">
        <v>2.0</v>
      </c>
      <c r="S54" s="428">
        <v>0.0</v>
      </c>
      <c r="T54" s="428">
        <v>0.0</v>
      </c>
      <c r="U54" s="428">
        <v>0.0</v>
      </c>
      <c r="V54" s="428">
        <v>0.0</v>
      </c>
      <c r="W54" s="428">
        <v>0.0</v>
      </c>
      <c r="X54" s="428">
        <v>0.0</v>
      </c>
      <c r="Y54" s="428">
        <v>0.0</v>
      </c>
      <c r="Z54" s="428">
        <v>0.0</v>
      </c>
      <c r="AA54" s="428">
        <v>0.0</v>
      </c>
      <c r="AB54" s="428">
        <v>0.0</v>
      </c>
      <c r="AC54" s="428">
        <v>0.0</v>
      </c>
      <c r="AD54" s="428">
        <v>0.0</v>
      </c>
      <c r="AE54" s="428">
        <v>0.0</v>
      </c>
      <c r="AF54" s="428">
        <v>0.0</v>
      </c>
      <c r="AG54" s="428">
        <v>0.0</v>
      </c>
      <c r="AH54" s="428">
        <v>0.0</v>
      </c>
      <c r="AI54" s="428">
        <v>1.0</v>
      </c>
      <c r="AJ54" s="428">
        <v>0.0</v>
      </c>
    </row>
    <row r="55" ht="15.75" customHeight="1">
      <c r="A55" s="429" t="s">
        <v>85</v>
      </c>
      <c r="B55" s="430">
        <v>0.0</v>
      </c>
      <c r="C55" s="430">
        <v>0.0</v>
      </c>
      <c r="D55" s="430">
        <v>1.0</v>
      </c>
      <c r="E55" s="430">
        <v>0.0</v>
      </c>
      <c r="F55" s="430">
        <v>0.0</v>
      </c>
      <c r="G55" s="430">
        <v>0.0</v>
      </c>
      <c r="H55" s="430">
        <v>0.0</v>
      </c>
      <c r="I55" s="430">
        <v>0.0</v>
      </c>
      <c r="J55" s="430">
        <v>0.0</v>
      </c>
      <c r="K55" s="430">
        <v>0.0</v>
      </c>
      <c r="L55" s="430">
        <v>0.0</v>
      </c>
      <c r="M55" s="430">
        <v>0.0</v>
      </c>
      <c r="N55" s="430">
        <v>0.0</v>
      </c>
      <c r="O55" s="430">
        <v>0.0</v>
      </c>
      <c r="P55" s="430">
        <v>0.0</v>
      </c>
      <c r="Q55" s="430">
        <v>0.0</v>
      </c>
      <c r="R55" s="430">
        <v>0.0</v>
      </c>
      <c r="S55" s="430">
        <v>0.0</v>
      </c>
      <c r="T55" s="430">
        <v>0.0</v>
      </c>
      <c r="U55" s="430">
        <v>0.0</v>
      </c>
      <c r="V55" s="430">
        <v>0.0</v>
      </c>
      <c r="W55" s="430">
        <v>0.0</v>
      </c>
      <c r="X55" s="430">
        <v>0.0</v>
      </c>
      <c r="Y55" s="430">
        <v>0.0</v>
      </c>
      <c r="Z55" s="430">
        <v>0.0</v>
      </c>
      <c r="AA55" s="430">
        <v>0.0</v>
      </c>
      <c r="AB55" s="430">
        <v>0.0</v>
      </c>
      <c r="AC55" s="430">
        <v>0.0</v>
      </c>
      <c r="AD55" s="430">
        <v>0.0</v>
      </c>
      <c r="AE55" s="430">
        <v>0.0</v>
      </c>
      <c r="AF55" s="430">
        <v>0.0</v>
      </c>
      <c r="AG55" s="430">
        <v>0.0</v>
      </c>
      <c r="AH55" s="430">
        <v>0.0</v>
      </c>
      <c r="AI55" s="430">
        <v>0.0</v>
      </c>
      <c r="AJ55" s="430">
        <v>0.0</v>
      </c>
    </row>
    <row r="56" ht="15.75" customHeight="1">
      <c r="A56" s="19" t="s">
        <v>46</v>
      </c>
      <c r="B56" s="428">
        <v>1.0</v>
      </c>
      <c r="C56" s="428">
        <v>1.0</v>
      </c>
      <c r="D56" s="428">
        <v>0.0</v>
      </c>
      <c r="E56" s="428">
        <v>1.0</v>
      </c>
      <c r="F56" s="428">
        <v>0.0</v>
      </c>
      <c r="G56" s="428">
        <v>1.0</v>
      </c>
      <c r="H56" s="428">
        <v>29.0</v>
      </c>
      <c r="I56" s="428">
        <v>0.0</v>
      </c>
      <c r="J56" s="428">
        <v>13.0</v>
      </c>
      <c r="K56" s="428">
        <v>16.0</v>
      </c>
      <c r="L56" s="428">
        <v>7.0</v>
      </c>
      <c r="M56" s="428">
        <v>1.0</v>
      </c>
      <c r="N56" s="428">
        <v>378.0</v>
      </c>
      <c r="O56" s="428">
        <v>407.0</v>
      </c>
      <c r="P56" s="428">
        <v>29.0</v>
      </c>
      <c r="Q56" s="428">
        <v>0.0</v>
      </c>
      <c r="R56" s="428">
        <v>7.0</v>
      </c>
      <c r="S56" s="428">
        <v>4.0</v>
      </c>
      <c r="T56" s="428">
        <v>3.0</v>
      </c>
      <c r="U56" s="428">
        <v>1.0</v>
      </c>
      <c r="V56" s="428">
        <v>0.0</v>
      </c>
      <c r="W56" s="428">
        <v>0.0</v>
      </c>
      <c r="X56" s="428">
        <v>2.0</v>
      </c>
      <c r="Y56" s="428">
        <v>1.0</v>
      </c>
      <c r="Z56" s="428">
        <v>0.0</v>
      </c>
      <c r="AA56" s="428">
        <v>0.0</v>
      </c>
      <c r="AB56" s="428">
        <v>0.0</v>
      </c>
      <c r="AC56" s="428">
        <v>1.0</v>
      </c>
      <c r="AD56" s="428">
        <v>0.0</v>
      </c>
      <c r="AE56" s="428">
        <v>0.0</v>
      </c>
      <c r="AF56" s="428">
        <v>0.0</v>
      </c>
      <c r="AG56" s="428">
        <v>0.0</v>
      </c>
      <c r="AH56" s="428">
        <v>0.0</v>
      </c>
      <c r="AI56" s="428">
        <v>0.0</v>
      </c>
      <c r="AJ56" s="428">
        <v>0.0</v>
      </c>
    </row>
    <row r="57" ht="15.75" customHeight="1">
      <c r="A57" s="19" t="s">
        <v>60</v>
      </c>
      <c r="B57" s="428">
        <v>1.0</v>
      </c>
      <c r="C57" s="428">
        <v>1.0</v>
      </c>
      <c r="D57" s="428">
        <v>0.0</v>
      </c>
      <c r="E57" s="428">
        <v>1.0</v>
      </c>
      <c r="F57" s="428">
        <v>0.0</v>
      </c>
      <c r="G57" s="428">
        <v>0.0</v>
      </c>
      <c r="H57" s="428">
        <v>18.0</v>
      </c>
      <c r="I57" s="428">
        <v>0.0</v>
      </c>
      <c r="J57" s="428">
        <v>14.0</v>
      </c>
      <c r="K57" s="428">
        <v>4.0</v>
      </c>
      <c r="L57" s="428">
        <v>3.0</v>
      </c>
      <c r="M57" s="428">
        <v>1.0</v>
      </c>
      <c r="N57" s="428">
        <v>366.0</v>
      </c>
      <c r="O57" s="428">
        <v>287.0</v>
      </c>
      <c r="P57" s="428">
        <v>26.0</v>
      </c>
      <c r="Q57" s="428">
        <v>0.0</v>
      </c>
      <c r="R57" s="428">
        <v>5.0</v>
      </c>
      <c r="S57" s="428">
        <v>1.0</v>
      </c>
      <c r="T57" s="428">
        <v>0.0</v>
      </c>
      <c r="U57" s="428">
        <v>0.0</v>
      </c>
      <c r="V57" s="428">
        <v>0.0</v>
      </c>
      <c r="W57" s="428">
        <v>0.0</v>
      </c>
      <c r="X57" s="428">
        <v>0.0</v>
      </c>
      <c r="Y57" s="428">
        <v>0.0</v>
      </c>
      <c r="Z57" s="428">
        <v>0.0</v>
      </c>
      <c r="AA57" s="428">
        <v>0.0</v>
      </c>
      <c r="AB57" s="428">
        <v>0.0</v>
      </c>
      <c r="AC57" s="428">
        <v>0.0</v>
      </c>
      <c r="AD57" s="428">
        <v>0.0</v>
      </c>
      <c r="AE57" s="428">
        <v>0.0</v>
      </c>
      <c r="AF57" s="428">
        <v>0.0</v>
      </c>
      <c r="AG57" s="428">
        <v>0.0</v>
      </c>
      <c r="AH57" s="428">
        <v>0.0</v>
      </c>
      <c r="AI57" s="428">
        <v>0.0</v>
      </c>
      <c r="AJ57" s="428">
        <v>0.0</v>
      </c>
    </row>
    <row r="58" ht="15.75" customHeight="1">
      <c r="A58" s="19" t="s">
        <v>80</v>
      </c>
      <c r="B58" s="428">
        <v>1.0</v>
      </c>
      <c r="C58" s="428">
        <v>1.0</v>
      </c>
      <c r="D58" s="428">
        <v>0.0</v>
      </c>
      <c r="E58" s="428">
        <v>1.0</v>
      </c>
      <c r="F58" s="428">
        <v>0.0</v>
      </c>
      <c r="G58" s="428">
        <v>0.0</v>
      </c>
      <c r="H58" s="428">
        <v>14.0</v>
      </c>
      <c r="I58" s="428">
        <v>0.0</v>
      </c>
      <c r="J58" s="428">
        <v>11.0</v>
      </c>
      <c r="K58" s="428">
        <v>3.0</v>
      </c>
      <c r="L58" s="428">
        <v>3.0</v>
      </c>
      <c r="M58" s="428">
        <v>0.0</v>
      </c>
      <c r="N58" s="428">
        <v>378.0</v>
      </c>
      <c r="O58" s="428">
        <v>407.0</v>
      </c>
      <c r="P58" s="428">
        <v>34.0</v>
      </c>
      <c r="Q58" s="428">
        <v>1.0</v>
      </c>
      <c r="R58" s="428">
        <v>1.0</v>
      </c>
      <c r="S58" s="428">
        <v>0.0</v>
      </c>
      <c r="T58" s="428">
        <v>0.0</v>
      </c>
      <c r="U58" s="428">
        <v>0.0</v>
      </c>
      <c r="V58" s="428">
        <v>0.0</v>
      </c>
      <c r="W58" s="428">
        <v>0.0</v>
      </c>
      <c r="X58" s="428">
        <v>0.0</v>
      </c>
      <c r="Y58" s="428">
        <v>0.0</v>
      </c>
      <c r="Z58" s="428">
        <v>0.0</v>
      </c>
      <c r="AA58" s="428">
        <v>0.0</v>
      </c>
      <c r="AB58" s="428">
        <v>0.0</v>
      </c>
      <c r="AC58" s="428">
        <v>0.0</v>
      </c>
      <c r="AD58" s="428">
        <v>0.0</v>
      </c>
      <c r="AE58" s="428">
        <v>0.0</v>
      </c>
      <c r="AF58" s="428">
        <v>0.0</v>
      </c>
      <c r="AG58" s="428">
        <v>0.0</v>
      </c>
      <c r="AH58" s="428">
        <v>0.0</v>
      </c>
      <c r="AI58" s="428">
        <v>1.0</v>
      </c>
      <c r="AJ58" s="428">
        <v>0.0</v>
      </c>
    </row>
    <row r="59" ht="15.75" customHeight="1">
      <c r="A59" s="19" t="s">
        <v>47</v>
      </c>
      <c r="B59" s="428">
        <v>1.0</v>
      </c>
      <c r="C59" s="428">
        <v>1.0</v>
      </c>
      <c r="D59" s="428">
        <v>0.0</v>
      </c>
      <c r="E59" s="428">
        <v>1.0</v>
      </c>
      <c r="F59" s="428">
        <v>0.0</v>
      </c>
      <c r="G59" s="428">
        <v>4.0</v>
      </c>
      <c r="H59" s="428">
        <v>10.0</v>
      </c>
      <c r="I59" s="428">
        <v>0.0</v>
      </c>
      <c r="J59" s="428">
        <v>11.0</v>
      </c>
      <c r="K59" s="428">
        <v>-1.0</v>
      </c>
      <c r="L59" s="428">
        <v>4.0</v>
      </c>
      <c r="M59" s="428">
        <v>0.0</v>
      </c>
      <c r="N59" s="428">
        <v>378.0</v>
      </c>
      <c r="O59" s="428">
        <v>407.0</v>
      </c>
      <c r="P59" s="428">
        <v>34.0</v>
      </c>
      <c r="Q59" s="428">
        <v>1.0</v>
      </c>
      <c r="R59" s="428">
        <v>2.0</v>
      </c>
      <c r="S59" s="428">
        <v>1.0</v>
      </c>
      <c r="T59" s="428">
        <v>0.0</v>
      </c>
      <c r="U59" s="428">
        <v>0.0</v>
      </c>
      <c r="V59" s="428">
        <v>0.0</v>
      </c>
      <c r="W59" s="428">
        <v>0.0</v>
      </c>
      <c r="X59" s="428">
        <v>0.0</v>
      </c>
      <c r="Y59" s="428">
        <v>0.0</v>
      </c>
      <c r="Z59" s="428">
        <v>0.0</v>
      </c>
      <c r="AA59" s="428">
        <v>0.0</v>
      </c>
      <c r="AB59" s="428">
        <v>0.0</v>
      </c>
      <c r="AC59" s="428">
        <v>0.0</v>
      </c>
      <c r="AD59" s="428">
        <v>0.0</v>
      </c>
      <c r="AE59" s="428">
        <v>0.0</v>
      </c>
      <c r="AF59" s="428">
        <v>0.0</v>
      </c>
      <c r="AG59" s="428">
        <v>0.0</v>
      </c>
      <c r="AH59" s="428">
        <v>0.0</v>
      </c>
      <c r="AI59" s="428">
        <v>0.0</v>
      </c>
      <c r="AJ59" s="428">
        <v>0.0</v>
      </c>
    </row>
    <row r="60" ht="15.75" customHeight="1">
      <c r="A60" s="19" t="s">
        <v>53</v>
      </c>
      <c r="B60" s="428">
        <v>0.0</v>
      </c>
      <c r="C60" s="428">
        <v>1.0</v>
      </c>
      <c r="D60" s="428">
        <v>0.0</v>
      </c>
      <c r="E60" s="428">
        <v>0.0</v>
      </c>
      <c r="F60" s="428">
        <v>1.0</v>
      </c>
      <c r="G60" s="428">
        <v>0.0</v>
      </c>
      <c r="H60" s="428">
        <v>12.0</v>
      </c>
      <c r="I60" s="428">
        <v>3.0</v>
      </c>
      <c r="J60" s="428">
        <v>17.0</v>
      </c>
      <c r="K60" s="428">
        <v>-5.0</v>
      </c>
      <c r="L60" s="428">
        <v>4.0</v>
      </c>
      <c r="M60" s="428">
        <v>0.0</v>
      </c>
      <c r="N60" s="428">
        <v>378.0</v>
      </c>
      <c r="O60" s="428">
        <v>407.0</v>
      </c>
      <c r="P60" s="428">
        <v>22.0</v>
      </c>
      <c r="Q60" s="428">
        <v>0.0</v>
      </c>
      <c r="R60" s="428">
        <v>2.0</v>
      </c>
      <c r="S60" s="428">
        <v>1.0</v>
      </c>
      <c r="T60" s="428">
        <v>0.0</v>
      </c>
      <c r="U60" s="428">
        <v>0.0</v>
      </c>
      <c r="V60" s="428">
        <v>0.0</v>
      </c>
      <c r="W60" s="428">
        <v>0.0</v>
      </c>
      <c r="X60" s="428">
        <v>0.0</v>
      </c>
      <c r="Y60" s="428">
        <v>0.0</v>
      </c>
      <c r="Z60" s="428">
        <v>0.0</v>
      </c>
      <c r="AA60" s="428">
        <v>0.0</v>
      </c>
      <c r="AB60" s="428">
        <v>0.0</v>
      </c>
      <c r="AC60" s="428">
        <v>0.0</v>
      </c>
      <c r="AD60" s="428">
        <v>0.0</v>
      </c>
      <c r="AE60" s="428">
        <v>0.0</v>
      </c>
      <c r="AF60" s="428">
        <v>0.0</v>
      </c>
      <c r="AG60" s="428">
        <v>0.0</v>
      </c>
      <c r="AH60" s="428">
        <v>0.0</v>
      </c>
      <c r="AI60" s="428">
        <v>0.0</v>
      </c>
      <c r="AJ60" s="428">
        <v>0.0</v>
      </c>
    </row>
    <row r="61" ht="15.75" customHeight="1">
      <c r="A61" s="19" t="s">
        <v>142</v>
      </c>
      <c r="B61" s="428">
        <v>0.0</v>
      </c>
      <c r="C61" s="428">
        <v>1.0</v>
      </c>
      <c r="D61" s="428">
        <v>0.0</v>
      </c>
      <c r="E61" s="428">
        <v>0.0</v>
      </c>
      <c r="F61" s="428">
        <v>1.0</v>
      </c>
      <c r="G61" s="428">
        <v>0.0</v>
      </c>
      <c r="H61" s="428">
        <v>15.0</v>
      </c>
      <c r="I61" s="428">
        <v>0.0</v>
      </c>
      <c r="J61" s="428">
        <v>19.0</v>
      </c>
      <c r="K61" s="428">
        <v>-4.0</v>
      </c>
      <c r="L61" s="428">
        <v>5.0</v>
      </c>
      <c r="M61" s="428">
        <v>0.0</v>
      </c>
      <c r="N61" s="428">
        <v>378.0</v>
      </c>
      <c r="O61" s="428">
        <v>407.0</v>
      </c>
      <c r="P61" s="428">
        <v>19.0</v>
      </c>
      <c r="Q61" s="428">
        <v>0.0</v>
      </c>
      <c r="R61" s="428">
        <v>4.0</v>
      </c>
      <c r="S61" s="428">
        <v>1.0</v>
      </c>
      <c r="T61" s="428">
        <v>0.0</v>
      </c>
      <c r="U61" s="428">
        <v>1.0</v>
      </c>
      <c r="V61" s="428">
        <v>0.0</v>
      </c>
      <c r="W61" s="428">
        <v>0.0</v>
      </c>
      <c r="X61" s="428">
        <v>0.0</v>
      </c>
      <c r="Y61" s="428">
        <v>1.0</v>
      </c>
      <c r="Z61" s="428">
        <v>0.0</v>
      </c>
      <c r="AA61" s="428">
        <v>0.0</v>
      </c>
      <c r="AB61" s="428">
        <v>0.0</v>
      </c>
      <c r="AC61" s="428">
        <v>0.0</v>
      </c>
      <c r="AD61" s="428">
        <v>0.0</v>
      </c>
      <c r="AE61" s="428">
        <v>0.0</v>
      </c>
      <c r="AF61" s="428">
        <v>0.0</v>
      </c>
      <c r="AG61" s="428">
        <v>0.0</v>
      </c>
      <c r="AH61" s="428">
        <v>0.0</v>
      </c>
      <c r="AI61" s="428">
        <v>0.0</v>
      </c>
      <c r="AJ61" s="428">
        <v>0.0</v>
      </c>
    </row>
    <row r="62" ht="15.75" customHeight="1">
      <c r="A62" s="19" t="s">
        <v>61</v>
      </c>
      <c r="B62" s="428">
        <v>0.0</v>
      </c>
      <c r="C62" s="428">
        <v>1.0</v>
      </c>
      <c r="D62" s="428">
        <v>0.0</v>
      </c>
      <c r="E62" s="428">
        <v>0.0</v>
      </c>
      <c r="F62" s="428">
        <v>1.0</v>
      </c>
      <c r="G62" s="428">
        <v>0.0</v>
      </c>
      <c r="H62" s="428">
        <v>10.0</v>
      </c>
      <c r="I62" s="428">
        <v>1.0</v>
      </c>
      <c r="J62" s="428">
        <v>18.0</v>
      </c>
      <c r="K62" s="428">
        <v>-8.0</v>
      </c>
      <c r="L62" s="428">
        <v>5.0</v>
      </c>
      <c r="M62" s="428">
        <v>0.0</v>
      </c>
      <c r="N62" s="428">
        <v>378.0</v>
      </c>
      <c r="O62" s="428">
        <v>407.0</v>
      </c>
      <c r="P62" s="428">
        <v>21.0</v>
      </c>
      <c r="Q62" s="428">
        <v>0.0</v>
      </c>
      <c r="R62" s="428">
        <v>2.0</v>
      </c>
      <c r="S62" s="428">
        <v>0.0</v>
      </c>
      <c r="T62" s="428">
        <v>0.0</v>
      </c>
      <c r="U62" s="428">
        <v>1.0</v>
      </c>
      <c r="V62" s="428">
        <v>0.0</v>
      </c>
      <c r="W62" s="428">
        <v>0.0</v>
      </c>
      <c r="X62" s="428">
        <v>0.0</v>
      </c>
      <c r="Y62" s="428">
        <v>1.0</v>
      </c>
      <c r="Z62" s="428">
        <v>0.0</v>
      </c>
      <c r="AA62" s="428">
        <v>0.0</v>
      </c>
      <c r="AB62" s="428">
        <v>0.0</v>
      </c>
      <c r="AC62" s="428">
        <v>0.0</v>
      </c>
      <c r="AD62" s="428">
        <v>0.0</v>
      </c>
      <c r="AE62" s="428">
        <v>0.0</v>
      </c>
      <c r="AF62" s="428">
        <v>0.0</v>
      </c>
      <c r="AG62" s="428">
        <v>0.0</v>
      </c>
      <c r="AH62" s="428">
        <v>0.0</v>
      </c>
      <c r="AI62" s="428">
        <v>0.0</v>
      </c>
      <c r="AJ62" s="428">
        <v>0.0</v>
      </c>
    </row>
    <row r="63" ht="15.75" customHeight="1">
      <c r="A63" s="19" t="s">
        <v>154</v>
      </c>
      <c r="B63" s="428">
        <v>0.0</v>
      </c>
      <c r="C63" s="428">
        <v>1.0</v>
      </c>
      <c r="D63" s="428">
        <v>0.0</v>
      </c>
      <c r="E63" s="428">
        <v>0.0</v>
      </c>
      <c r="F63" s="428">
        <v>1.0</v>
      </c>
      <c r="G63" s="428">
        <v>0.0</v>
      </c>
      <c r="H63" s="428">
        <v>10.0</v>
      </c>
      <c r="I63" s="428">
        <v>2.0</v>
      </c>
      <c r="J63" s="428">
        <v>17.0</v>
      </c>
      <c r="K63" s="428">
        <v>-7.0</v>
      </c>
      <c r="L63" s="428">
        <v>3.0</v>
      </c>
      <c r="M63" s="428">
        <v>0.0</v>
      </c>
      <c r="N63" s="428">
        <v>378.0</v>
      </c>
      <c r="O63" s="428">
        <v>407.0</v>
      </c>
      <c r="P63" s="428">
        <v>22.0</v>
      </c>
      <c r="Q63" s="428">
        <v>0.0</v>
      </c>
      <c r="R63" s="428">
        <v>2.0</v>
      </c>
      <c r="S63" s="428">
        <v>0.0</v>
      </c>
      <c r="T63" s="428">
        <v>0.0</v>
      </c>
      <c r="U63" s="428">
        <v>0.0</v>
      </c>
      <c r="V63" s="428">
        <v>0.0</v>
      </c>
      <c r="W63" s="428">
        <v>0.0</v>
      </c>
      <c r="X63" s="428">
        <v>0.0</v>
      </c>
      <c r="Y63" s="428">
        <v>0.0</v>
      </c>
      <c r="Z63" s="428">
        <v>0.0</v>
      </c>
      <c r="AA63" s="428">
        <v>0.0</v>
      </c>
      <c r="AB63" s="428">
        <v>0.0</v>
      </c>
      <c r="AC63" s="428">
        <v>0.0</v>
      </c>
      <c r="AD63" s="428">
        <v>0.0</v>
      </c>
      <c r="AE63" s="428">
        <v>0.0</v>
      </c>
      <c r="AF63" s="428">
        <v>0.0</v>
      </c>
      <c r="AG63" s="428">
        <v>0.0</v>
      </c>
      <c r="AH63" s="428">
        <v>0.0</v>
      </c>
      <c r="AI63" s="428">
        <v>0.0</v>
      </c>
      <c r="AJ63" s="428">
        <v>0.0</v>
      </c>
    </row>
    <row r="64" ht="15.75" customHeight="1">
      <c r="A64" s="429" t="s">
        <v>168</v>
      </c>
      <c r="B64" s="430">
        <v>0.0</v>
      </c>
      <c r="C64" s="430">
        <v>0.0</v>
      </c>
      <c r="D64" s="430">
        <v>1.0</v>
      </c>
      <c r="E64" s="430">
        <v>0.0</v>
      </c>
      <c r="F64" s="430">
        <v>0.0</v>
      </c>
      <c r="G64" s="430">
        <v>0.0</v>
      </c>
      <c r="H64" s="430">
        <v>0.0</v>
      </c>
      <c r="I64" s="430">
        <v>0.0</v>
      </c>
      <c r="J64" s="430">
        <v>0.0</v>
      </c>
      <c r="K64" s="430">
        <v>0.0</v>
      </c>
      <c r="L64" s="430">
        <v>0.0</v>
      </c>
      <c r="M64" s="430">
        <v>0.0</v>
      </c>
      <c r="N64" s="430">
        <v>0.0</v>
      </c>
      <c r="O64" s="430">
        <v>0.0</v>
      </c>
      <c r="P64" s="430">
        <v>0.0</v>
      </c>
      <c r="Q64" s="430">
        <v>0.0</v>
      </c>
      <c r="R64" s="430">
        <v>0.0</v>
      </c>
      <c r="S64" s="430">
        <v>0.0</v>
      </c>
      <c r="T64" s="430">
        <v>0.0</v>
      </c>
      <c r="U64" s="430">
        <v>0.0</v>
      </c>
      <c r="V64" s="430">
        <v>0.0</v>
      </c>
      <c r="W64" s="430">
        <v>0.0</v>
      </c>
      <c r="X64" s="430">
        <v>0.0</v>
      </c>
      <c r="Y64" s="430">
        <v>0.0</v>
      </c>
      <c r="Z64" s="430">
        <v>0.0</v>
      </c>
      <c r="AA64" s="430">
        <v>0.0</v>
      </c>
      <c r="AB64" s="430">
        <v>0.0</v>
      </c>
      <c r="AC64" s="430">
        <v>0.0</v>
      </c>
      <c r="AD64" s="430">
        <v>0.0</v>
      </c>
      <c r="AE64" s="430">
        <v>0.0</v>
      </c>
      <c r="AF64" s="430">
        <v>0.0</v>
      </c>
      <c r="AG64" s="430">
        <v>0.0</v>
      </c>
      <c r="AH64" s="430">
        <v>0.0</v>
      </c>
      <c r="AI64" s="430">
        <v>0.0</v>
      </c>
      <c r="AJ64" s="430">
        <v>0.0</v>
      </c>
    </row>
    <row r="65" ht="15.75" customHeight="1">
      <c r="A65" s="19" t="s">
        <v>24</v>
      </c>
      <c r="B65" s="428">
        <v>0.0</v>
      </c>
      <c r="C65" s="428">
        <v>1.0</v>
      </c>
      <c r="D65" s="428">
        <v>0.0</v>
      </c>
      <c r="E65" s="428">
        <v>1.0</v>
      </c>
      <c r="F65" s="428">
        <v>0.0</v>
      </c>
      <c r="G65" s="428">
        <v>0.0</v>
      </c>
      <c r="H65" s="428">
        <v>49.0</v>
      </c>
      <c r="I65" s="428">
        <v>6.0</v>
      </c>
      <c r="J65" s="428">
        <v>42.0</v>
      </c>
      <c r="K65" s="428">
        <v>7.0</v>
      </c>
      <c r="L65" s="428">
        <v>4.0</v>
      </c>
      <c r="M65" s="428">
        <v>2.0</v>
      </c>
      <c r="N65" s="428">
        <v>821.0</v>
      </c>
      <c r="O65" s="428">
        <v>870.0</v>
      </c>
      <c r="P65" s="428">
        <v>19.0</v>
      </c>
      <c r="Q65" s="428">
        <v>5.0</v>
      </c>
      <c r="R65" s="428">
        <v>8.0</v>
      </c>
      <c r="S65" s="428">
        <v>2.0</v>
      </c>
      <c r="T65" s="428">
        <v>1.0</v>
      </c>
      <c r="U65" s="428">
        <v>0.0</v>
      </c>
      <c r="V65" s="428">
        <v>0.0</v>
      </c>
      <c r="W65" s="428">
        <v>0.0</v>
      </c>
      <c r="X65" s="428">
        <v>1.0</v>
      </c>
      <c r="Y65" s="428">
        <v>0.0</v>
      </c>
      <c r="Z65" s="428">
        <v>0.0</v>
      </c>
      <c r="AA65" s="428">
        <v>0.0</v>
      </c>
      <c r="AB65" s="428">
        <v>0.0</v>
      </c>
      <c r="AC65" s="428">
        <v>0.0</v>
      </c>
      <c r="AD65" s="428">
        <v>0.0</v>
      </c>
      <c r="AE65" s="428">
        <v>0.0</v>
      </c>
      <c r="AF65" s="428">
        <v>0.0</v>
      </c>
      <c r="AG65" s="428">
        <v>0.0</v>
      </c>
      <c r="AH65" s="428">
        <v>0.0</v>
      </c>
      <c r="AI65" s="428">
        <v>3.0</v>
      </c>
      <c r="AJ65" s="428">
        <v>0.0</v>
      </c>
    </row>
    <row r="66" ht="15.75" customHeight="1">
      <c r="A66" s="19" t="s">
        <v>53</v>
      </c>
      <c r="B66" s="428">
        <v>0.0</v>
      </c>
      <c r="C66" s="428">
        <v>1.0</v>
      </c>
      <c r="D66" s="428">
        <v>0.0</v>
      </c>
      <c r="E66" s="428">
        <v>1.0</v>
      </c>
      <c r="F66" s="428">
        <v>0.0</v>
      </c>
      <c r="G66" s="428">
        <v>0.0</v>
      </c>
      <c r="H66" s="428">
        <v>64.0</v>
      </c>
      <c r="I66" s="428">
        <v>7.0</v>
      </c>
      <c r="J66" s="428">
        <v>48.0</v>
      </c>
      <c r="K66" s="428">
        <v>16.0</v>
      </c>
      <c r="L66" s="428">
        <v>5.0</v>
      </c>
      <c r="M66" s="428">
        <v>3.0</v>
      </c>
      <c r="N66" s="428">
        <v>821.0</v>
      </c>
      <c r="O66" s="428">
        <v>870.0</v>
      </c>
      <c r="P66" s="428">
        <v>17.0</v>
      </c>
      <c r="Q66" s="428">
        <v>3.0</v>
      </c>
      <c r="R66" s="428">
        <v>15.0</v>
      </c>
      <c r="S66" s="428">
        <v>2.0</v>
      </c>
      <c r="T66" s="428">
        <v>1.0</v>
      </c>
      <c r="U66" s="428">
        <v>1.0</v>
      </c>
      <c r="V66" s="428">
        <v>0.0</v>
      </c>
      <c r="W66" s="428">
        <v>0.0</v>
      </c>
      <c r="X66" s="428">
        <v>1.0</v>
      </c>
      <c r="Y66" s="428">
        <v>1.0</v>
      </c>
      <c r="Z66" s="428">
        <v>0.0</v>
      </c>
      <c r="AA66" s="428">
        <v>0.0</v>
      </c>
      <c r="AB66" s="428">
        <v>0.0</v>
      </c>
      <c r="AC66" s="428">
        <v>0.0</v>
      </c>
      <c r="AD66" s="428">
        <v>0.0</v>
      </c>
      <c r="AE66" s="428">
        <v>0.0</v>
      </c>
      <c r="AF66" s="428">
        <v>0.0</v>
      </c>
      <c r="AG66" s="428">
        <v>0.0</v>
      </c>
      <c r="AH66" s="428">
        <v>0.0</v>
      </c>
      <c r="AI66" s="428">
        <v>0.0</v>
      </c>
      <c r="AJ66" s="428">
        <v>0.0</v>
      </c>
    </row>
    <row r="67" ht="15.75" customHeight="1">
      <c r="A67" s="19" t="s">
        <v>142</v>
      </c>
      <c r="B67" s="428">
        <v>0.0</v>
      </c>
      <c r="C67" s="428">
        <v>1.0</v>
      </c>
      <c r="D67" s="428">
        <v>0.0</v>
      </c>
      <c r="E67" s="428">
        <v>1.0</v>
      </c>
      <c r="F67" s="428">
        <v>0.0</v>
      </c>
      <c r="G67" s="428">
        <v>5.0</v>
      </c>
      <c r="H67" s="428">
        <v>37.0</v>
      </c>
      <c r="I67" s="428">
        <v>1.0</v>
      </c>
      <c r="J67" s="428">
        <v>38.0</v>
      </c>
      <c r="K67" s="428">
        <v>-1.0</v>
      </c>
      <c r="L67" s="428">
        <v>4.0</v>
      </c>
      <c r="M67" s="428">
        <v>0.0</v>
      </c>
      <c r="N67" s="428">
        <v>821.0</v>
      </c>
      <c r="O67" s="428">
        <v>870.0</v>
      </c>
      <c r="P67" s="428">
        <v>21.0</v>
      </c>
      <c r="Q67" s="428">
        <v>1.0</v>
      </c>
      <c r="R67" s="428">
        <v>2.0</v>
      </c>
      <c r="S67" s="428">
        <v>0.0</v>
      </c>
      <c r="T67" s="428">
        <v>0.0</v>
      </c>
      <c r="U67" s="428">
        <v>0.0</v>
      </c>
      <c r="V67" s="428">
        <v>0.0</v>
      </c>
      <c r="W67" s="428">
        <v>0.0</v>
      </c>
      <c r="X67" s="428">
        <v>0.0</v>
      </c>
      <c r="Y67" s="428">
        <v>0.0</v>
      </c>
      <c r="Z67" s="428">
        <v>0.0</v>
      </c>
      <c r="AA67" s="428">
        <v>0.0</v>
      </c>
      <c r="AB67" s="428">
        <v>0.0</v>
      </c>
      <c r="AC67" s="428">
        <v>0.0</v>
      </c>
      <c r="AD67" s="428">
        <v>0.0</v>
      </c>
      <c r="AE67" s="428">
        <v>0.0</v>
      </c>
      <c r="AF67" s="428">
        <v>0.0</v>
      </c>
      <c r="AG67" s="428">
        <v>0.0</v>
      </c>
      <c r="AH67" s="428">
        <v>0.0</v>
      </c>
      <c r="AI67" s="428">
        <v>5.0</v>
      </c>
      <c r="AJ67" s="428">
        <v>0.0</v>
      </c>
    </row>
    <row r="68" ht="15.75" customHeight="1">
      <c r="A68" s="19" t="s">
        <v>61</v>
      </c>
      <c r="B68" s="428">
        <v>0.0</v>
      </c>
      <c r="C68" s="428">
        <v>1.0</v>
      </c>
      <c r="D68" s="428">
        <v>0.0</v>
      </c>
      <c r="E68" s="428">
        <v>1.0</v>
      </c>
      <c r="F68" s="428">
        <v>0.0</v>
      </c>
      <c r="G68" s="428">
        <v>0.0</v>
      </c>
      <c r="H68" s="428">
        <v>79.0</v>
      </c>
      <c r="I68" s="428">
        <v>1.0</v>
      </c>
      <c r="J68" s="428">
        <v>44.0</v>
      </c>
      <c r="K68" s="428">
        <v>35.0</v>
      </c>
      <c r="L68" s="428">
        <v>6.0</v>
      </c>
      <c r="M68" s="428">
        <v>1.0</v>
      </c>
      <c r="N68" s="428">
        <v>821.0</v>
      </c>
      <c r="O68" s="428">
        <v>870.0</v>
      </c>
      <c r="P68" s="428">
        <v>18.0</v>
      </c>
      <c r="Q68" s="428">
        <v>5.0</v>
      </c>
      <c r="R68" s="428">
        <v>14.0</v>
      </c>
      <c r="S68" s="428">
        <v>6.0</v>
      </c>
      <c r="T68" s="428">
        <v>6.0</v>
      </c>
      <c r="U68" s="428">
        <v>3.0</v>
      </c>
      <c r="V68" s="428">
        <v>0.0</v>
      </c>
      <c r="W68" s="428">
        <v>0.0</v>
      </c>
      <c r="X68" s="428">
        <v>5.0</v>
      </c>
      <c r="Y68" s="428">
        <v>3.0</v>
      </c>
      <c r="Z68" s="428">
        <v>0.0</v>
      </c>
      <c r="AA68" s="428">
        <v>0.0</v>
      </c>
      <c r="AB68" s="428">
        <v>0.0</v>
      </c>
      <c r="AC68" s="428">
        <v>1.0</v>
      </c>
      <c r="AD68" s="428">
        <v>0.0</v>
      </c>
      <c r="AE68" s="428">
        <v>0.0</v>
      </c>
      <c r="AF68" s="428">
        <v>0.0</v>
      </c>
      <c r="AG68" s="428">
        <v>0.0</v>
      </c>
      <c r="AH68" s="428">
        <v>0.0</v>
      </c>
      <c r="AI68" s="428">
        <v>1.0</v>
      </c>
      <c r="AJ68" s="428">
        <v>0.0</v>
      </c>
    </row>
    <row r="69" ht="15.75" customHeight="1">
      <c r="A69" s="19" t="s">
        <v>124</v>
      </c>
      <c r="B69" s="428">
        <v>1.0</v>
      </c>
      <c r="C69" s="428">
        <v>1.0</v>
      </c>
      <c r="D69" s="428">
        <v>0.0</v>
      </c>
      <c r="E69" s="428">
        <v>0.0</v>
      </c>
      <c r="F69" s="428">
        <v>1.0</v>
      </c>
      <c r="G69" s="428">
        <v>1.0</v>
      </c>
      <c r="H69" s="428">
        <v>11.0</v>
      </c>
      <c r="I69" s="428">
        <v>1.0</v>
      </c>
      <c r="J69" s="428">
        <v>55.0</v>
      </c>
      <c r="K69" s="428">
        <v>-44.0</v>
      </c>
      <c r="L69" s="428">
        <v>2.0</v>
      </c>
      <c r="M69" s="428">
        <v>0.0</v>
      </c>
      <c r="N69" s="428">
        <v>821.0</v>
      </c>
      <c r="O69" s="428">
        <v>870.0</v>
      </c>
      <c r="P69" s="428">
        <v>14.0</v>
      </c>
      <c r="Q69" s="428">
        <v>0.0</v>
      </c>
      <c r="R69" s="428">
        <v>0.0</v>
      </c>
      <c r="S69" s="428">
        <v>0.0</v>
      </c>
      <c r="T69" s="428">
        <v>0.0</v>
      </c>
      <c r="U69" s="428">
        <v>0.0</v>
      </c>
      <c r="V69" s="428">
        <v>0.0</v>
      </c>
      <c r="W69" s="428">
        <v>0.0</v>
      </c>
      <c r="X69" s="428">
        <v>0.0</v>
      </c>
      <c r="Y69" s="428">
        <v>0.0</v>
      </c>
      <c r="Z69" s="428">
        <v>0.0</v>
      </c>
      <c r="AA69" s="428">
        <v>0.0</v>
      </c>
      <c r="AB69" s="428">
        <v>0.0</v>
      </c>
      <c r="AC69" s="428">
        <v>0.0</v>
      </c>
      <c r="AD69" s="428">
        <v>0.0</v>
      </c>
      <c r="AE69" s="428">
        <v>0.0</v>
      </c>
      <c r="AF69" s="428">
        <v>0.0</v>
      </c>
      <c r="AG69" s="428">
        <v>0.0</v>
      </c>
      <c r="AH69" s="428">
        <v>0.0</v>
      </c>
      <c r="AI69" s="428">
        <v>1.0</v>
      </c>
      <c r="AJ69" s="428">
        <v>0.0</v>
      </c>
    </row>
    <row r="70" ht="15.75" customHeight="1">
      <c r="A70" s="19" t="s">
        <v>382</v>
      </c>
      <c r="B70" s="428">
        <v>1.0</v>
      </c>
      <c r="C70" s="428">
        <v>1.0</v>
      </c>
      <c r="D70" s="428">
        <v>0.0</v>
      </c>
      <c r="E70" s="428">
        <v>0.0</v>
      </c>
      <c r="F70" s="428">
        <v>1.0</v>
      </c>
      <c r="G70" s="428">
        <v>1.0</v>
      </c>
      <c r="H70" s="428">
        <v>36.0</v>
      </c>
      <c r="I70" s="428">
        <v>0.0</v>
      </c>
      <c r="J70" s="428">
        <v>63.0</v>
      </c>
      <c r="K70" s="428">
        <v>-27.0</v>
      </c>
      <c r="L70" s="428">
        <v>3.0</v>
      </c>
      <c r="M70" s="428">
        <v>0.0</v>
      </c>
      <c r="N70" s="428">
        <v>821.0</v>
      </c>
      <c r="O70" s="428">
        <v>870.0</v>
      </c>
      <c r="P70" s="428">
        <v>13.0</v>
      </c>
      <c r="Q70" s="428">
        <v>4.0</v>
      </c>
      <c r="R70" s="428">
        <v>3.0</v>
      </c>
      <c r="S70" s="428">
        <v>0.0</v>
      </c>
      <c r="T70" s="428">
        <v>0.0</v>
      </c>
      <c r="U70" s="428">
        <v>0.0</v>
      </c>
      <c r="V70" s="428">
        <v>0.0</v>
      </c>
      <c r="W70" s="428">
        <v>0.0</v>
      </c>
      <c r="X70" s="428">
        <v>0.0</v>
      </c>
      <c r="Y70" s="428">
        <v>0.0</v>
      </c>
      <c r="Z70" s="428">
        <v>0.0</v>
      </c>
      <c r="AA70" s="428">
        <v>0.0</v>
      </c>
      <c r="AB70" s="428">
        <v>0.0</v>
      </c>
      <c r="AC70" s="428">
        <v>0.0</v>
      </c>
      <c r="AD70" s="428">
        <v>0.0</v>
      </c>
      <c r="AE70" s="428">
        <v>0.0</v>
      </c>
      <c r="AF70" s="428">
        <v>0.0</v>
      </c>
      <c r="AG70" s="428">
        <v>0.0</v>
      </c>
      <c r="AH70" s="428">
        <v>0.0</v>
      </c>
      <c r="AI70" s="428">
        <v>2.0</v>
      </c>
      <c r="AJ70" s="428">
        <v>0.0</v>
      </c>
    </row>
    <row r="71" ht="15.75" customHeight="1">
      <c r="A71" s="19" t="s">
        <v>45</v>
      </c>
      <c r="B71" s="428">
        <v>1.0</v>
      </c>
      <c r="C71" s="428">
        <v>1.0</v>
      </c>
      <c r="D71" s="428">
        <v>0.0</v>
      </c>
      <c r="E71" s="428">
        <v>0.0</v>
      </c>
      <c r="F71" s="428">
        <v>1.0</v>
      </c>
      <c r="G71" s="428">
        <v>2.0</v>
      </c>
      <c r="H71" s="428">
        <v>66.0</v>
      </c>
      <c r="I71" s="428">
        <v>2.0</v>
      </c>
      <c r="J71" s="428">
        <v>49.0</v>
      </c>
      <c r="K71" s="428">
        <v>17.0</v>
      </c>
      <c r="L71" s="428">
        <v>7.0</v>
      </c>
      <c r="M71" s="428">
        <v>0.0</v>
      </c>
      <c r="N71" s="428">
        <v>821.0</v>
      </c>
      <c r="O71" s="428">
        <v>870.0</v>
      </c>
      <c r="P71" s="428">
        <v>16.0</v>
      </c>
      <c r="Q71" s="428">
        <v>4.0</v>
      </c>
      <c r="R71" s="428">
        <v>13.0</v>
      </c>
      <c r="S71" s="428">
        <v>2.0</v>
      </c>
      <c r="T71" s="428">
        <v>0.0</v>
      </c>
      <c r="U71" s="428">
        <v>2.0</v>
      </c>
      <c r="V71" s="428">
        <v>0.0</v>
      </c>
      <c r="W71" s="428">
        <v>0.0</v>
      </c>
      <c r="X71" s="428">
        <v>0.0</v>
      </c>
      <c r="Y71" s="428">
        <v>2.0</v>
      </c>
      <c r="Z71" s="428">
        <v>0.0</v>
      </c>
      <c r="AA71" s="428">
        <v>0.0</v>
      </c>
      <c r="AB71" s="428">
        <v>0.0</v>
      </c>
      <c r="AC71" s="428">
        <v>0.0</v>
      </c>
      <c r="AD71" s="428">
        <v>0.0</v>
      </c>
      <c r="AE71" s="428">
        <v>0.0</v>
      </c>
      <c r="AF71" s="428">
        <v>0.0</v>
      </c>
      <c r="AG71" s="428">
        <v>0.0</v>
      </c>
      <c r="AH71" s="428">
        <v>0.0</v>
      </c>
      <c r="AI71" s="428">
        <v>0.0</v>
      </c>
      <c r="AJ71" s="428">
        <v>0.0</v>
      </c>
    </row>
    <row r="72" ht="15.75" customHeight="1">
      <c r="A72" s="19" t="s">
        <v>55</v>
      </c>
      <c r="B72" s="428">
        <v>1.0</v>
      </c>
      <c r="C72" s="428">
        <v>1.0</v>
      </c>
      <c r="D72" s="428">
        <v>0.0</v>
      </c>
      <c r="E72" s="428">
        <v>0.0</v>
      </c>
      <c r="F72" s="428">
        <v>1.0</v>
      </c>
      <c r="G72" s="428">
        <v>0.0</v>
      </c>
      <c r="H72" s="428">
        <v>50.0</v>
      </c>
      <c r="I72" s="428">
        <v>3.0</v>
      </c>
      <c r="J72" s="428">
        <v>64.0</v>
      </c>
      <c r="K72" s="428">
        <v>-14.0</v>
      </c>
      <c r="L72" s="428">
        <v>6.0</v>
      </c>
      <c r="M72" s="428">
        <v>2.0</v>
      </c>
      <c r="N72" s="428">
        <v>821.0</v>
      </c>
      <c r="O72" s="428">
        <v>870.0</v>
      </c>
      <c r="P72" s="428">
        <v>12.0</v>
      </c>
      <c r="Q72" s="428">
        <v>1.0</v>
      </c>
      <c r="R72" s="428">
        <v>8.0</v>
      </c>
      <c r="S72" s="428">
        <v>4.0</v>
      </c>
      <c r="T72" s="428">
        <v>2.0</v>
      </c>
      <c r="U72" s="428">
        <v>2.0</v>
      </c>
      <c r="V72" s="428">
        <v>0.0</v>
      </c>
      <c r="W72" s="428">
        <v>0.0</v>
      </c>
      <c r="X72" s="428">
        <v>2.0</v>
      </c>
      <c r="Y72" s="428">
        <v>2.0</v>
      </c>
      <c r="Z72" s="428">
        <v>0.0</v>
      </c>
      <c r="AA72" s="428">
        <v>0.0</v>
      </c>
      <c r="AB72" s="428">
        <v>0.0</v>
      </c>
      <c r="AC72" s="428">
        <v>0.0</v>
      </c>
      <c r="AD72" s="428">
        <v>0.0</v>
      </c>
      <c r="AE72" s="428">
        <v>0.0</v>
      </c>
      <c r="AF72" s="428">
        <v>0.0</v>
      </c>
      <c r="AG72" s="428">
        <v>0.0</v>
      </c>
      <c r="AH72" s="428">
        <v>0.0</v>
      </c>
      <c r="AI72" s="428">
        <v>2.0</v>
      </c>
      <c r="AJ72" s="428">
        <v>0.0</v>
      </c>
    </row>
    <row r="73" ht="15.75" customHeight="1">
      <c r="A73" s="429" t="s">
        <v>154</v>
      </c>
      <c r="B73" s="430">
        <v>0.0</v>
      </c>
      <c r="C73" s="430">
        <v>0.0</v>
      </c>
      <c r="D73" s="430">
        <v>1.0</v>
      </c>
      <c r="E73" s="430">
        <v>0.0</v>
      </c>
      <c r="F73" s="430">
        <v>0.0</v>
      </c>
      <c r="G73" s="430">
        <v>0.0</v>
      </c>
      <c r="H73" s="430">
        <v>0.0</v>
      </c>
      <c r="I73" s="430">
        <v>0.0</v>
      </c>
      <c r="J73" s="430">
        <v>0.0</v>
      </c>
      <c r="K73" s="430">
        <v>0.0</v>
      </c>
      <c r="L73" s="430">
        <v>0.0</v>
      </c>
      <c r="M73" s="430">
        <v>0.0</v>
      </c>
      <c r="N73" s="430">
        <v>0.0</v>
      </c>
      <c r="O73" s="430">
        <v>0.0</v>
      </c>
      <c r="P73" s="430">
        <v>0.0</v>
      </c>
      <c r="Q73" s="430">
        <v>0.0</v>
      </c>
      <c r="R73" s="430">
        <v>0.0</v>
      </c>
      <c r="S73" s="430">
        <v>0.0</v>
      </c>
      <c r="T73" s="430">
        <v>0.0</v>
      </c>
      <c r="U73" s="430">
        <v>0.0</v>
      </c>
      <c r="V73" s="430">
        <v>0.0</v>
      </c>
      <c r="W73" s="430">
        <v>0.0</v>
      </c>
      <c r="X73" s="430">
        <v>0.0</v>
      </c>
      <c r="Y73" s="430">
        <v>0.0</v>
      </c>
      <c r="Z73" s="430">
        <v>0.0</v>
      </c>
      <c r="AA73" s="430">
        <v>0.0</v>
      </c>
      <c r="AB73" s="430">
        <v>0.0</v>
      </c>
      <c r="AC73" s="430">
        <v>0.0</v>
      </c>
      <c r="AD73" s="430">
        <v>0.0</v>
      </c>
      <c r="AE73" s="430">
        <v>0.0</v>
      </c>
      <c r="AF73" s="430">
        <v>0.0</v>
      </c>
      <c r="AG73" s="430">
        <v>0.0</v>
      </c>
      <c r="AH73" s="430">
        <v>0.0</v>
      </c>
      <c r="AI73" s="430">
        <v>0.0</v>
      </c>
      <c r="AJ73" s="430">
        <v>0.0</v>
      </c>
    </row>
    <row r="74" ht="15.75" customHeight="1">
      <c r="A74" s="431" t="s">
        <v>46</v>
      </c>
      <c r="B74" s="428">
        <v>0.0</v>
      </c>
      <c r="C74" s="428">
        <v>1.0</v>
      </c>
      <c r="D74" s="428">
        <v>0.0</v>
      </c>
      <c r="E74" s="428">
        <v>1.0</v>
      </c>
      <c r="F74" s="428">
        <v>0.0</v>
      </c>
      <c r="G74" s="428">
        <v>1.0</v>
      </c>
      <c r="H74" s="428">
        <v>50.0</v>
      </c>
      <c r="I74" s="428">
        <v>1.0</v>
      </c>
      <c r="J74" s="428">
        <v>45.0</v>
      </c>
      <c r="K74" s="428">
        <v>5.0</v>
      </c>
      <c r="L74" s="428">
        <v>5.0</v>
      </c>
      <c r="M74" s="428">
        <v>0.0</v>
      </c>
      <c r="N74" s="428">
        <v>715.0</v>
      </c>
      <c r="O74" s="428">
        <v>751.0</v>
      </c>
      <c r="P74" s="428">
        <v>15.0</v>
      </c>
      <c r="Q74" s="428">
        <v>1.0</v>
      </c>
      <c r="R74" s="428">
        <v>10.0</v>
      </c>
      <c r="S74" s="428">
        <v>1.0</v>
      </c>
      <c r="T74" s="428">
        <v>0.0</v>
      </c>
      <c r="U74" s="428">
        <v>2.0</v>
      </c>
      <c r="V74" s="428">
        <v>0.0</v>
      </c>
      <c r="W74" s="428">
        <v>0.0</v>
      </c>
      <c r="X74" s="428">
        <v>0.0</v>
      </c>
      <c r="Y74" s="428">
        <v>2.0</v>
      </c>
      <c r="Z74" s="428">
        <v>0.0</v>
      </c>
      <c r="AA74" s="428">
        <v>0.0</v>
      </c>
      <c r="AB74" s="428">
        <v>0.0</v>
      </c>
      <c r="AC74" s="428">
        <v>0.0</v>
      </c>
      <c r="AD74" s="428">
        <v>0.0</v>
      </c>
      <c r="AE74" s="428">
        <v>0.0</v>
      </c>
      <c r="AF74" s="428">
        <v>0.0</v>
      </c>
      <c r="AG74" s="428">
        <v>0.0</v>
      </c>
      <c r="AH74" s="428">
        <v>0.0</v>
      </c>
      <c r="AI74" s="428">
        <v>0.0</v>
      </c>
      <c r="AJ74" s="428">
        <v>0.0</v>
      </c>
    </row>
    <row r="75" ht="15.75" customHeight="1">
      <c r="A75" s="19" t="s">
        <v>60</v>
      </c>
      <c r="B75" s="428">
        <v>0.0</v>
      </c>
      <c r="C75" s="428">
        <v>1.0</v>
      </c>
      <c r="D75" s="428">
        <v>0.0</v>
      </c>
      <c r="E75" s="428">
        <v>1.0</v>
      </c>
      <c r="F75" s="428">
        <v>0.0</v>
      </c>
      <c r="G75" s="428">
        <v>1.0</v>
      </c>
      <c r="H75" s="428">
        <v>58.0</v>
      </c>
      <c r="I75" s="428">
        <v>0.0</v>
      </c>
      <c r="J75" s="428">
        <v>46.0</v>
      </c>
      <c r="K75" s="428">
        <v>12.0</v>
      </c>
      <c r="L75" s="428">
        <v>4.0</v>
      </c>
      <c r="M75" s="428">
        <v>2.0</v>
      </c>
      <c r="N75" s="428">
        <v>715.0</v>
      </c>
      <c r="O75" s="428">
        <v>751.0</v>
      </c>
      <c r="P75" s="428">
        <v>15.0</v>
      </c>
      <c r="Q75" s="428">
        <v>2.0</v>
      </c>
      <c r="R75" s="428">
        <v>13.0</v>
      </c>
      <c r="S75" s="428">
        <v>3.0</v>
      </c>
      <c r="T75" s="428">
        <v>1.0</v>
      </c>
      <c r="U75" s="428">
        <v>0.0</v>
      </c>
      <c r="V75" s="428">
        <v>0.0</v>
      </c>
      <c r="W75" s="428">
        <v>0.0</v>
      </c>
      <c r="X75" s="428">
        <v>1.0</v>
      </c>
      <c r="Y75" s="428">
        <v>0.0</v>
      </c>
      <c r="Z75" s="428">
        <v>0.0</v>
      </c>
      <c r="AA75" s="428">
        <v>0.0</v>
      </c>
      <c r="AB75" s="428">
        <v>0.0</v>
      </c>
      <c r="AC75" s="428">
        <v>0.0</v>
      </c>
      <c r="AD75" s="428">
        <v>0.0</v>
      </c>
      <c r="AE75" s="428">
        <v>0.0</v>
      </c>
      <c r="AF75" s="428">
        <v>0.0</v>
      </c>
      <c r="AG75" s="428">
        <v>0.0</v>
      </c>
      <c r="AH75" s="428">
        <v>0.0</v>
      </c>
      <c r="AI75" s="428">
        <v>1.0</v>
      </c>
      <c r="AJ75" s="428">
        <v>0.0</v>
      </c>
    </row>
    <row r="76" ht="15.75" customHeight="1">
      <c r="A76" s="19" t="s">
        <v>61</v>
      </c>
      <c r="B76" s="428">
        <v>0.0</v>
      </c>
      <c r="C76" s="428">
        <v>1.0</v>
      </c>
      <c r="D76" s="428">
        <v>0.0</v>
      </c>
      <c r="E76" s="428">
        <v>1.0</v>
      </c>
      <c r="F76" s="428">
        <v>0.0</v>
      </c>
      <c r="G76" s="428">
        <v>1.0</v>
      </c>
      <c r="H76" s="428">
        <v>54.0</v>
      </c>
      <c r="I76" s="428">
        <v>1.0</v>
      </c>
      <c r="J76" s="428">
        <v>44.0</v>
      </c>
      <c r="K76" s="428">
        <v>10.0</v>
      </c>
      <c r="L76" s="428">
        <v>7.0</v>
      </c>
      <c r="M76" s="428">
        <v>1.0</v>
      </c>
      <c r="N76" s="428">
        <v>715.0</v>
      </c>
      <c r="O76" s="428">
        <v>750.0</v>
      </c>
      <c r="P76" s="428">
        <v>16.0</v>
      </c>
      <c r="Q76" s="428">
        <v>3.0</v>
      </c>
      <c r="R76" s="428">
        <v>10.0</v>
      </c>
      <c r="S76" s="428">
        <v>3.0</v>
      </c>
      <c r="T76" s="428">
        <v>0.0</v>
      </c>
      <c r="U76" s="428">
        <v>1.0</v>
      </c>
      <c r="V76" s="428">
        <v>0.0</v>
      </c>
      <c r="W76" s="428">
        <v>0.0</v>
      </c>
      <c r="X76" s="428">
        <v>0.0</v>
      </c>
      <c r="Y76" s="428">
        <v>1.0</v>
      </c>
      <c r="Z76" s="428">
        <v>0.0</v>
      </c>
      <c r="AA76" s="428">
        <v>0.0</v>
      </c>
      <c r="AB76" s="428">
        <v>0.0</v>
      </c>
      <c r="AC76" s="428">
        <v>0.0</v>
      </c>
      <c r="AD76" s="428">
        <v>0.0</v>
      </c>
      <c r="AE76" s="428">
        <v>0.0</v>
      </c>
      <c r="AF76" s="428">
        <v>0.0</v>
      </c>
      <c r="AG76" s="428">
        <v>0.0</v>
      </c>
      <c r="AH76" s="428">
        <v>0.0</v>
      </c>
      <c r="AI76" s="428">
        <v>2.0</v>
      </c>
      <c r="AJ76" s="428">
        <v>0.0</v>
      </c>
    </row>
    <row r="77" ht="15.75" customHeight="1">
      <c r="A77" s="19" t="s">
        <v>47</v>
      </c>
      <c r="B77" s="428">
        <v>0.0</v>
      </c>
      <c r="C77" s="428">
        <v>1.0</v>
      </c>
      <c r="D77" s="428">
        <v>0.0</v>
      </c>
      <c r="E77" s="428">
        <v>1.0</v>
      </c>
      <c r="F77" s="428">
        <v>0.0</v>
      </c>
      <c r="G77" s="428">
        <v>2.0</v>
      </c>
      <c r="H77" s="428">
        <v>35.0</v>
      </c>
      <c r="I77" s="428">
        <v>0.0</v>
      </c>
      <c r="J77" s="428">
        <v>45.0</v>
      </c>
      <c r="K77" s="428">
        <v>-10.0</v>
      </c>
      <c r="L77" s="428">
        <v>3.0</v>
      </c>
      <c r="M77" s="428">
        <v>4.0</v>
      </c>
      <c r="N77" s="428">
        <v>715.0</v>
      </c>
      <c r="O77" s="428">
        <v>751.0</v>
      </c>
      <c r="P77" s="428">
        <v>15.0</v>
      </c>
      <c r="Q77" s="428">
        <v>0.0</v>
      </c>
      <c r="R77" s="428">
        <v>8.0</v>
      </c>
      <c r="S77" s="428">
        <v>1.0</v>
      </c>
      <c r="T77" s="428">
        <v>0.0</v>
      </c>
      <c r="U77" s="428">
        <v>0.0</v>
      </c>
      <c r="V77" s="428">
        <v>0.0</v>
      </c>
      <c r="W77" s="428">
        <v>0.0</v>
      </c>
      <c r="X77" s="428">
        <v>0.0</v>
      </c>
      <c r="Y77" s="428">
        <v>0.0</v>
      </c>
      <c r="Z77" s="428">
        <v>0.0</v>
      </c>
      <c r="AA77" s="428">
        <v>0.0</v>
      </c>
      <c r="AB77" s="428">
        <v>0.0</v>
      </c>
      <c r="AC77" s="428">
        <v>0.0</v>
      </c>
      <c r="AD77" s="428">
        <v>0.0</v>
      </c>
      <c r="AE77" s="428">
        <v>0.0</v>
      </c>
      <c r="AF77" s="428">
        <v>0.0</v>
      </c>
      <c r="AG77" s="428">
        <v>0.0</v>
      </c>
      <c r="AH77" s="428">
        <v>0.0</v>
      </c>
      <c r="AI77" s="428">
        <v>3.0</v>
      </c>
      <c r="AJ77" s="428">
        <v>0.0</v>
      </c>
    </row>
    <row r="78" ht="15.75" customHeight="1">
      <c r="A78" s="19" t="s">
        <v>116</v>
      </c>
      <c r="B78" s="428">
        <v>1.0</v>
      </c>
      <c r="C78" s="428">
        <v>1.0</v>
      </c>
      <c r="D78" s="428">
        <v>0.0</v>
      </c>
      <c r="E78" s="428">
        <v>0.0</v>
      </c>
      <c r="F78" s="428">
        <v>1.0</v>
      </c>
      <c r="G78" s="428">
        <v>0.0</v>
      </c>
      <c r="H78" s="428">
        <v>38.0</v>
      </c>
      <c r="I78" s="428">
        <v>1.0</v>
      </c>
      <c r="J78" s="428">
        <v>56.0</v>
      </c>
      <c r="K78" s="428">
        <v>-18.0</v>
      </c>
      <c r="L78" s="428">
        <v>4.0</v>
      </c>
      <c r="M78" s="428">
        <v>1.0</v>
      </c>
      <c r="N78" s="428">
        <v>715.0</v>
      </c>
      <c r="O78" s="428">
        <v>750.0</v>
      </c>
      <c r="P78" s="428">
        <v>12.0</v>
      </c>
      <c r="Q78" s="428">
        <v>2.0</v>
      </c>
      <c r="R78" s="428">
        <v>6.0</v>
      </c>
      <c r="S78" s="428">
        <v>1.0</v>
      </c>
      <c r="T78" s="428">
        <v>0.0</v>
      </c>
      <c r="U78" s="428">
        <v>0.0</v>
      </c>
      <c r="V78" s="428">
        <v>0.0</v>
      </c>
      <c r="W78" s="428">
        <v>0.0</v>
      </c>
      <c r="X78" s="428">
        <v>0.0</v>
      </c>
      <c r="Y78" s="428">
        <v>0.0</v>
      </c>
      <c r="Z78" s="428">
        <v>0.0</v>
      </c>
      <c r="AA78" s="428">
        <v>0.0</v>
      </c>
      <c r="AB78" s="428">
        <v>0.0</v>
      </c>
      <c r="AC78" s="428">
        <v>0.0</v>
      </c>
      <c r="AD78" s="428">
        <v>0.0</v>
      </c>
      <c r="AE78" s="428">
        <v>0.0</v>
      </c>
      <c r="AF78" s="428">
        <v>0.0</v>
      </c>
      <c r="AG78" s="428">
        <v>0.0</v>
      </c>
      <c r="AH78" s="428">
        <v>0.0</v>
      </c>
      <c r="AI78" s="428">
        <v>0.0</v>
      </c>
      <c r="AJ78" s="428">
        <v>0.0</v>
      </c>
    </row>
    <row r="79" ht="15.75" customHeight="1">
      <c r="A79" s="19" t="s">
        <v>127</v>
      </c>
      <c r="B79" s="428">
        <v>1.0</v>
      </c>
      <c r="C79" s="428">
        <v>1.0</v>
      </c>
      <c r="D79" s="428">
        <v>0.0</v>
      </c>
      <c r="E79" s="428">
        <v>0.0</v>
      </c>
      <c r="F79" s="428">
        <v>1.0</v>
      </c>
      <c r="G79" s="428">
        <v>1.0</v>
      </c>
      <c r="H79" s="428">
        <v>37.0</v>
      </c>
      <c r="I79" s="428">
        <v>3.0</v>
      </c>
      <c r="J79" s="428">
        <v>42.0</v>
      </c>
      <c r="K79" s="428">
        <v>-5.0</v>
      </c>
      <c r="L79" s="428">
        <v>3.0</v>
      </c>
      <c r="M79" s="428">
        <v>2.0</v>
      </c>
      <c r="N79" s="428">
        <v>715.0</v>
      </c>
      <c r="O79" s="428">
        <v>751.0</v>
      </c>
      <c r="P79" s="428">
        <v>17.0</v>
      </c>
      <c r="Q79" s="428">
        <v>1.0</v>
      </c>
      <c r="R79" s="428">
        <v>3.0</v>
      </c>
      <c r="S79" s="428">
        <v>1.0</v>
      </c>
      <c r="T79" s="428">
        <v>0.0</v>
      </c>
      <c r="U79" s="428">
        <v>0.0</v>
      </c>
      <c r="V79" s="428">
        <v>0.0</v>
      </c>
      <c r="W79" s="428">
        <v>0.0</v>
      </c>
      <c r="X79" s="428">
        <v>0.0</v>
      </c>
      <c r="Y79" s="428">
        <v>0.0</v>
      </c>
      <c r="Z79" s="428">
        <v>0.0</v>
      </c>
      <c r="AA79" s="428">
        <v>0.0</v>
      </c>
      <c r="AB79" s="428">
        <v>0.0</v>
      </c>
      <c r="AC79" s="428">
        <v>0.0</v>
      </c>
      <c r="AD79" s="428">
        <v>0.0</v>
      </c>
      <c r="AE79" s="428">
        <v>0.0</v>
      </c>
      <c r="AF79" s="428">
        <v>0.0</v>
      </c>
      <c r="AG79" s="428">
        <v>0.0</v>
      </c>
      <c r="AH79" s="428">
        <v>0.0</v>
      </c>
      <c r="AI79" s="428">
        <v>1.0</v>
      </c>
      <c r="AJ79" s="428">
        <v>0.0</v>
      </c>
    </row>
    <row r="80" ht="15.75" customHeight="1">
      <c r="A80" s="19" t="s">
        <v>129</v>
      </c>
      <c r="B80" s="428">
        <v>1.0</v>
      </c>
      <c r="C80" s="428">
        <v>1.0</v>
      </c>
      <c r="D80" s="428">
        <v>0.0</v>
      </c>
      <c r="E80" s="428">
        <v>0.0</v>
      </c>
      <c r="F80" s="428">
        <v>1.0</v>
      </c>
      <c r="G80" s="428">
        <v>0.0</v>
      </c>
      <c r="H80" s="428">
        <v>50.0</v>
      </c>
      <c r="I80" s="428">
        <v>3.0</v>
      </c>
      <c r="J80" s="428">
        <v>56.0</v>
      </c>
      <c r="K80" s="428">
        <v>-6.0</v>
      </c>
      <c r="L80" s="428">
        <v>4.0</v>
      </c>
      <c r="M80" s="428">
        <v>1.0</v>
      </c>
      <c r="N80" s="428">
        <v>715.0</v>
      </c>
      <c r="O80" s="428">
        <v>751.0</v>
      </c>
      <c r="P80" s="428">
        <v>12.0</v>
      </c>
      <c r="Q80" s="428">
        <v>1.0</v>
      </c>
      <c r="R80" s="428">
        <v>8.0</v>
      </c>
      <c r="S80" s="428">
        <v>2.0</v>
      </c>
      <c r="T80" s="428">
        <v>0.0</v>
      </c>
      <c r="U80" s="428">
        <v>0.0</v>
      </c>
      <c r="V80" s="428">
        <v>0.0</v>
      </c>
      <c r="W80" s="428">
        <v>0.0</v>
      </c>
      <c r="X80" s="428">
        <v>0.0</v>
      </c>
      <c r="Y80" s="428">
        <v>0.0</v>
      </c>
      <c r="Z80" s="428">
        <v>0.0</v>
      </c>
      <c r="AA80" s="428">
        <v>0.0</v>
      </c>
      <c r="AB80" s="428">
        <v>0.0</v>
      </c>
      <c r="AC80" s="428">
        <v>0.0</v>
      </c>
      <c r="AD80" s="428">
        <v>0.0</v>
      </c>
      <c r="AE80" s="428">
        <v>0.0</v>
      </c>
      <c r="AF80" s="428">
        <v>0.0</v>
      </c>
      <c r="AG80" s="428">
        <v>0.0</v>
      </c>
      <c r="AH80" s="428">
        <v>0.0</v>
      </c>
      <c r="AI80" s="428">
        <v>0.0</v>
      </c>
      <c r="AJ80" s="428">
        <v>0.0</v>
      </c>
    </row>
    <row r="81" ht="15.75" customHeight="1">
      <c r="A81" s="19" t="s">
        <v>169</v>
      </c>
      <c r="B81" s="428">
        <v>1.0</v>
      </c>
      <c r="C81" s="428">
        <v>1.0</v>
      </c>
      <c r="D81" s="428">
        <v>0.0</v>
      </c>
      <c r="E81" s="428">
        <v>0.0</v>
      </c>
      <c r="F81" s="428">
        <v>1.0</v>
      </c>
      <c r="G81" s="428">
        <v>0.0</v>
      </c>
      <c r="H81" s="428">
        <v>48.0</v>
      </c>
      <c r="I81" s="428">
        <v>0.0</v>
      </c>
      <c r="J81" s="428">
        <v>47.0</v>
      </c>
      <c r="K81" s="428">
        <v>1.0</v>
      </c>
      <c r="L81" s="428">
        <v>7.0</v>
      </c>
      <c r="M81" s="428">
        <v>0.0</v>
      </c>
      <c r="N81" s="428">
        <v>715.0</v>
      </c>
      <c r="O81" s="428">
        <v>750.0</v>
      </c>
      <c r="P81" s="428">
        <v>15.0</v>
      </c>
      <c r="Q81" s="428">
        <v>3.0</v>
      </c>
      <c r="R81" s="428">
        <v>8.0</v>
      </c>
      <c r="S81" s="428">
        <v>3.0</v>
      </c>
      <c r="T81" s="428">
        <v>1.0</v>
      </c>
      <c r="U81" s="428">
        <v>1.0</v>
      </c>
      <c r="V81" s="428">
        <v>0.0</v>
      </c>
      <c r="W81" s="428">
        <v>0.0</v>
      </c>
      <c r="X81" s="428">
        <v>1.0</v>
      </c>
      <c r="Y81" s="428">
        <v>1.0</v>
      </c>
      <c r="Z81" s="428">
        <v>0.0</v>
      </c>
      <c r="AA81" s="428">
        <v>0.0</v>
      </c>
      <c r="AB81" s="428">
        <v>0.0</v>
      </c>
      <c r="AC81" s="428">
        <v>0.0</v>
      </c>
      <c r="AD81" s="428">
        <v>0.0</v>
      </c>
      <c r="AE81" s="428">
        <v>0.0</v>
      </c>
      <c r="AF81" s="428">
        <v>0.0</v>
      </c>
      <c r="AG81" s="428">
        <v>0.0</v>
      </c>
      <c r="AH81" s="428">
        <v>0.0</v>
      </c>
      <c r="AI81" s="428">
        <v>0.0</v>
      </c>
      <c r="AJ81" s="428">
        <v>0.0</v>
      </c>
    </row>
    <row r="82" ht="15.75" customHeight="1">
      <c r="A82" s="429" t="s">
        <v>168</v>
      </c>
      <c r="B82" s="430">
        <v>1.0</v>
      </c>
      <c r="C82" s="430">
        <v>0.0</v>
      </c>
      <c r="D82" s="430">
        <v>1.0</v>
      </c>
      <c r="E82" s="430">
        <v>0.0</v>
      </c>
      <c r="F82" s="430">
        <v>0.0</v>
      </c>
      <c r="G82" s="430">
        <v>0.0</v>
      </c>
      <c r="H82" s="430">
        <v>0.0</v>
      </c>
      <c r="I82" s="430">
        <v>0.0</v>
      </c>
      <c r="J82" s="430">
        <v>0.0</v>
      </c>
      <c r="K82" s="430">
        <v>0.0</v>
      </c>
      <c r="L82" s="430">
        <v>0.0</v>
      </c>
      <c r="M82" s="430">
        <v>0.0</v>
      </c>
      <c r="N82" s="430">
        <v>0.0</v>
      </c>
      <c r="O82" s="430">
        <v>0.0</v>
      </c>
      <c r="P82" s="430">
        <v>0.0</v>
      </c>
      <c r="Q82" s="430">
        <v>0.0</v>
      </c>
      <c r="R82" s="430">
        <v>0.0</v>
      </c>
      <c r="S82" s="430">
        <v>0.0</v>
      </c>
      <c r="T82" s="430">
        <v>0.0</v>
      </c>
      <c r="U82" s="430">
        <v>0.0</v>
      </c>
      <c r="V82" s="430">
        <v>0.0</v>
      </c>
      <c r="W82" s="430">
        <v>0.0</v>
      </c>
      <c r="X82" s="430">
        <v>0.0</v>
      </c>
      <c r="Y82" s="430">
        <v>0.0</v>
      </c>
      <c r="Z82" s="430">
        <v>0.0</v>
      </c>
      <c r="AA82" s="430">
        <v>0.0</v>
      </c>
      <c r="AB82" s="430">
        <v>0.0</v>
      </c>
      <c r="AC82" s="430">
        <v>0.0</v>
      </c>
      <c r="AD82" s="430">
        <v>0.0</v>
      </c>
      <c r="AE82" s="430">
        <v>0.0</v>
      </c>
      <c r="AF82" s="430">
        <v>0.0</v>
      </c>
      <c r="AG82" s="430">
        <v>0.0</v>
      </c>
      <c r="AH82" s="430">
        <v>0.0</v>
      </c>
      <c r="AI82" s="430">
        <v>0.0</v>
      </c>
      <c r="AJ82" s="430">
        <v>0.0</v>
      </c>
    </row>
    <row r="83" ht="15.75" customHeight="1">
      <c r="A83" s="19" t="s">
        <v>168</v>
      </c>
      <c r="B83" s="428">
        <v>0.0</v>
      </c>
      <c r="C83" s="428">
        <v>1.0</v>
      </c>
      <c r="D83" s="428">
        <v>0.0</v>
      </c>
      <c r="E83" s="428">
        <v>1.0</v>
      </c>
      <c r="F83" s="428">
        <v>0.0</v>
      </c>
      <c r="G83" s="428">
        <v>0.0</v>
      </c>
      <c r="H83" s="428">
        <v>113.0</v>
      </c>
      <c r="I83" s="428">
        <v>2.0</v>
      </c>
      <c r="J83" s="428">
        <v>100.0</v>
      </c>
      <c r="K83" s="428">
        <v>13.0</v>
      </c>
      <c r="L83" s="428">
        <v>7.0</v>
      </c>
      <c r="M83" s="428">
        <v>0.0</v>
      </c>
      <c r="N83" s="428">
        <v>1427.0</v>
      </c>
      <c r="O83" s="428">
        <v>1471.0</v>
      </c>
      <c r="P83" s="428">
        <v>14.0</v>
      </c>
      <c r="Q83" s="428">
        <v>3.0</v>
      </c>
      <c r="R83" s="428">
        <v>23.0</v>
      </c>
      <c r="S83" s="428">
        <v>8.0</v>
      </c>
      <c r="T83" s="428">
        <v>4.0</v>
      </c>
      <c r="U83" s="428">
        <v>1.0</v>
      </c>
      <c r="V83" s="428">
        <v>0.0</v>
      </c>
      <c r="W83" s="428">
        <v>0.0</v>
      </c>
      <c r="X83" s="428">
        <v>4.0</v>
      </c>
      <c r="Y83" s="428">
        <v>1.0</v>
      </c>
      <c r="Z83" s="428">
        <v>0.0</v>
      </c>
      <c r="AA83" s="428">
        <v>0.0</v>
      </c>
      <c r="AB83" s="428">
        <v>0.0</v>
      </c>
      <c r="AC83" s="428">
        <v>0.0</v>
      </c>
      <c r="AD83" s="428">
        <v>0.0</v>
      </c>
      <c r="AE83" s="428">
        <v>0.0</v>
      </c>
      <c r="AF83" s="428">
        <v>0.0</v>
      </c>
      <c r="AG83" s="428">
        <v>0.0</v>
      </c>
      <c r="AH83" s="428">
        <v>0.0</v>
      </c>
      <c r="AI83" s="428">
        <v>6.0</v>
      </c>
      <c r="AJ83" s="428">
        <v>0.0</v>
      </c>
    </row>
    <row r="84" ht="15.75" customHeight="1">
      <c r="A84" s="19" t="s">
        <v>121</v>
      </c>
      <c r="B84" s="428">
        <v>0.0</v>
      </c>
      <c r="C84" s="428">
        <v>1.0</v>
      </c>
      <c r="D84" s="428">
        <v>0.0</v>
      </c>
      <c r="E84" s="428">
        <v>1.0</v>
      </c>
      <c r="F84" s="428">
        <v>0.0</v>
      </c>
      <c r="G84" s="428">
        <v>1.0</v>
      </c>
      <c r="H84" s="428">
        <v>83.0</v>
      </c>
      <c r="I84" s="428">
        <v>2.0</v>
      </c>
      <c r="J84" s="428">
        <v>88.0</v>
      </c>
      <c r="K84" s="428">
        <v>-5.0</v>
      </c>
      <c r="L84" s="428">
        <v>3.0</v>
      </c>
      <c r="M84" s="428">
        <v>3.0</v>
      </c>
      <c r="N84" s="428">
        <v>1427.0</v>
      </c>
      <c r="O84" s="428">
        <v>1470.0</v>
      </c>
      <c r="P84" s="428">
        <v>16.0</v>
      </c>
      <c r="Q84" s="428">
        <v>0.0</v>
      </c>
      <c r="R84" s="428">
        <v>13.0</v>
      </c>
      <c r="S84" s="428">
        <v>3.0</v>
      </c>
      <c r="T84" s="428">
        <v>0.0</v>
      </c>
      <c r="U84" s="428">
        <v>0.0</v>
      </c>
      <c r="V84" s="428">
        <v>0.0</v>
      </c>
      <c r="W84" s="428">
        <v>0.0</v>
      </c>
      <c r="X84" s="428">
        <v>0.0</v>
      </c>
      <c r="Y84" s="428">
        <v>0.0</v>
      </c>
      <c r="Z84" s="428">
        <v>0.0</v>
      </c>
      <c r="AA84" s="428">
        <v>0.0</v>
      </c>
      <c r="AB84" s="428">
        <v>0.0</v>
      </c>
      <c r="AC84" s="428">
        <v>0.0</v>
      </c>
      <c r="AD84" s="428">
        <v>0.0</v>
      </c>
      <c r="AE84" s="428">
        <v>0.0</v>
      </c>
      <c r="AF84" s="428">
        <v>0.0</v>
      </c>
      <c r="AG84" s="428">
        <v>0.0</v>
      </c>
      <c r="AH84" s="428">
        <v>0.0</v>
      </c>
      <c r="AI84" s="428">
        <v>2.0</v>
      </c>
      <c r="AJ84" s="428">
        <v>0.0</v>
      </c>
    </row>
    <row r="85" ht="15.75" customHeight="1">
      <c r="A85" s="19" t="s">
        <v>73</v>
      </c>
      <c r="B85" s="428">
        <v>0.0</v>
      </c>
      <c r="C85" s="428">
        <v>1.0</v>
      </c>
      <c r="D85" s="428">
        <v>0.0</v>
      </c>
      <c r="E85" s="428">
        <v>1.0</v>
      </c>
      <c r="F85" s="428">
        <v>0.0</v>
      </c>
      <c r="G85" s="428">
        <v>0.0</v>
      </c>
      <c r="H85" s="428">
        <v>112.0</v>
      </c>
      <c r="I85" s="428">
        <v>4.0</v>
      </c>
      <c r="J85" s="428">
        <v>81.0</v>
      </c>
      <c r="K85" s="428">
        <v>31.0</v>
      </c>
      <c r="L85" s="428">
        <v>7.0</v>
      </c>
      <c r="M85" s="428">
        <v>3.0</v>
      </c>
      <c r="N85" s="428">
        <v>1427.0</v>
      </c>
      <c r="O85" s="428">
        <v>1470.0</v>
      </c>
      <c r="P85" s="428">
        <v>17.0</v>
      </c>
      <c r="Q85" s="428">
        <v>0.0</v>
      </c>
      <c r="R85" s="428">
        <v>23.0</v>
      </c>
      <c r="S85" s="428">
        <v>11.0</v>
      </c>
      <c r="T85" s="428">
        <v>6.0</v>
      </c>
      <c r="U85" s="428">
        <v>4.0</v>
      </c>
      <c r="V85" s="428">
        <v>0.0</v>
      </c>
      <c r="W85" s="428">
        <v>0.0</v>
      </c>
      <c r="X85" s="428">
        <v>5.0</v>
      </c>
      <c r="Y85" s="428">
        <v>4.0</v>
      </c>
      <c r="Z85" s="428">
        <v>0.0</v>
      </c>
      <c r="AA85" s="428">
        <v>0.0</v>
      </c>
      <c r="AB85" s="428">
        <v>0.0</v>
      </c>
      <c r="AC85" s="428">
        <v>1.0</v>
      </c>
      <c r="AD85" s="428">
        <v>0.0</v>
      </c>
      <c r="AE85" s="428">
        <v>0.0</v>
      </c>
      <c r="AF85" s="428">
        <v>0.0</v>
      </c>
      <c r="AG85" s="428">
        <v>0.0</v>
      </c>
      <c r="AH85" s="428">
        <v>0.0</v>
      </c>
      <c r="AI85" s="428">
        <v>2.0</v>
      </c>
      <c r="AJ85" s="428">
        <v>0.0</v>
      </c>
    </row>
    <row r="86" ht="15.75" customHeight="1">
      <c r="A86" s="19" t="s">
        <v>144</v>
      </c>
      <c r="B86" s="428">
        <v>0.0</v>
      </c>
      <c r="C86" s="428">
        <v>1.0</v>
      </c>
      <c r="D86" s="428">
        <v>0.0</v>
      </c>
      <c r="E86" s="428">
        <v>1.0</v>
      </c>
      <c r="F86" s="428">
        <v>0.0</v>
      </c>
      <c r="G86" s="428">
        <v>4.0</v>
      </c>
      <c r="H86" s="428">
        <v>71.0</v>
      </c>
      <c r="I86" s="428">
        <v>1.0</v>
      </c>
      <c r="J86" s="428">
        <v>63.0</v>
      </c>
      <c r="K86" s="428">
        <v>8.0</v>
      </c>
      <c r="L86" s="428">
        <v>5.0</v>
      </c>
      <c r="M86" s="428">
        <v>0.0</v>
      </c>
      <c r="N86" s="428">
        <v>1427.0</v>
      </c>
      <c r="O86" s="428">
        <v>1471.0</v>
      </c>
      <c r="P86" s="428">
        <v>22.0</v>
      </c>
      <c r="Q86" s="428">
        <v>5.0</v>
      </c>
      <c r="R86" s="428">
        <v>10.0</v>
      </c>
      <c r="S86" s="428">
        <v>0.0</v>
      </c>
      <c r="T86" s="428">
        <v>0.0</v>
      </c>
      <c r="U86" s="428">
        <v>1.0</v>
      </c>
      <c r="V86" s="428">
        <v>0.0</v>
      </c>
      <c r="W86" s="428">
        <v>0.0</v>
      </c>
      <c r="X86" s="428">
        <v>0.0</v>
      </c>
      <c r="Y86" s="428">
        <v>1.0</v>
      </c>
      <c r="Z86" s="428">
        <v>0.0</v>
      </c>
      <c r="AA86" s="428">
        <v>0.0</v>
      </c>
      <c r="AB86" s="428">
        <v>0.0</v>
      </c>
      <c r="AC86" s="428">
        <v>0.0</v>
      </c>
      <c r="AD86" s="428">
        <v>0.0</v>
      </c>
      <c r="AE86" s="428">
        <v>0.0</v>
      </c>
      <c r="AF86" s="428">
        <v>0.0</v>
      </c>
      <c r="AG86" s="428">
        <v>0.0</v>
      </c>
      <c r="AH86" s="428">
        <v>0.0</v>
      </c>
      <c r="AI86" s="428">
        <v>3.0</v>
      </c>
      <c r="AJ86" s="428">
        <v>0.0</v>
      </c>
    </row>
    <row r="87" ht="15.75" customHeight="1">
      <c r="A87" s="19" t="s">
        <v>127</v>
      </c>
      <c r="B87" s="428">
        <v>1.0</v>
      </c>
      <c r="C87" s="428">
        <v>1.0</v>
      </c>
      <c r="D87" s="428">
        <v>0.0</v>
      </c>
      <c r="E87" s="428">
        <v>0.0</v>
      </c>
      <c r="F87" s="428">
        <v>1.0</v>
      </c>
      <c r="G87" s="428">
        <v>1.0</v>
      </c>
      <c r="H87" s="428">
        <v>96.0</v>
      </c>
      <c r="I87" s="428">
        <v>2.0</v>
      </c>
      <c r="J87" s="428">
        <v>89.0</v>
      </c>
      <c r="K87" s="428">
        <v>7.0</v>
      </c>
      <c r="L87" s="428">
        <v>5.0</v>
      </c>
      <c r="M87" s="428">
        <v>0.0</v>
      </c>
      <c r="N87" s="428">
        <v>1427.0</v>
      </c>
      <c r="O87" s="428">
        <v>1470.0</v>
      </c>
      <c r="P87" s="428">
        <v>16.0</v>
      </c>
      <c r="Q87" s="428">
        <v>2.0</v>
      </c>
      <c r="R87" s="428">
        <v>18.0</v>
      </c>
      <c r="S87" s="428">
        <v>6.0</v>
      </c>
      <c r="T87" s="428">
        <v>1.0</v>
      </c>
      <c r="U87" s="428">
        <v>1.0</v>
      </c>
      <c r="V87" s="428">
        <v>0.0</v>
      </c>
      <c r="W87" s="428">
        <v>0.0</v>
      </c>
      <c r="X87" s="428">
        <v>1.0</v>
      </c>
      <c r="Y87" s="428">
        <v>1.0</v>
      </c>
      <c r="Z87" s="428">
        <v>0.0</v>
      </c>
      <c r="AA87" s="428">
        <v>0.0</v>
      </c>
      <c r="AB87" s="428">
        <v>0.0</v>
      </c>
      <c r="AC87" s="428">
        <v>0.0</v>
      </c>
      <c r="AD87" s="428">
        <v>0.0</v>
      </c>
      <c r="AE87" s="428">
        <v>0.0</v>
      </c>
      <c r="AF87" s="428">
        <v>0.0</v>
      </c>
      <c r="AG87" s="428">
        <v>0.0</v>
      </c>
      <c r="AH87" s="428">
        <v>0.0</v>
      </c>
      <c r="AI87" s="428">
        <v>4.0</v>
      </c>
      <c r="AJ87" s="428">
        <v>0.0</v>
      </c>
    </row>
    <row r="88" ht="15.75" customHeight="1">
      <c r="A88" s="19" t="s">
        <v>116</v>
      </c>
      <c r="B88" s="428">
        <v>1.0</v>
      </c>
      <c r="C88" s="428">
        <v>1.0</v>
      </c>
      <c r="D88" s="428">
        <v>0.0</v>
      </c>
      <c r="E88" s="428">
        <v>0.0</v>
      </c>
      <c r="F88" s="428">
        <v>1.0</v>
      </c>
      <c r="G88" s="428">
        <v>0.0</v>
      </c>
      <c r="H88" s="428">
        <v>89.0</v>
      </c>
      <c r="I88" s="428">
        <v>0.0</v>
      </c>
      <c r="J88" s="428">
        <v>111.0</v>
      </c>
      <c r="K88" s="428">
        <v>-22.0</v>
      </c>
      <c r="L88" s="428">
        <v>5.0</v>
      </c>
      <c r="M88" s="428">
        <v>0.0</v>
      </c>
      <c r="N88" s="428">
        <v>1427.0</v>
      </c>
      <c r="O88" s="428">
        <v>1470.0</v>
      </c>
      <c r="P88" s="428">
        <v>12.0</v>
      </c>
      <c r="Q88" s="428">
        <v>1.0</v>
      </c>
      <c r="R88" s="428">
        <v>10.0</v>
      </c>
      <c r="S88" s="428">
        <v>4.0</v>
      </c>
      <c r="T88" s="428">
        <v>1.0</v>
      </c>
      <c r="U88" s="428">
        <v>1.0</v>
      </c>
      <c r="V88" s="428">
        <v>0.0</v>
      </c>
      <c r="W88" s="428">
        <v>0.0</v>
      </c>
      <c r="X88" s="428">
        <v>1.0</v>
      </c>
      <c r="Y88" s="428">
        <v>1.0</v>
      </c>
      <c r="Z88" s="428">
        <v>0.0</v>
      </c>
      <c r="AA88" s="428">
        <v>0.0</v>
      </c>
      <c r="AB88" s="428">
        <v>0.0</v>
      </c>
      <c r="AC88" s="428">
        <v>0.0</v>
      </c>
      <c r="AD88" s="428">
        <v>0.0</v>
      </c>
      <c r="AE88" s="428">
        <v>0.0</v>
      </c>
      <c r="AF88" s="428">
        <v>0.0</v>
      </c>
      <c r="AG88" s="428">
        <v>0.0</v>
      </c>
      <c r="AH88" s="428">
        <v>0.0</v>
      </c>
      <c r="AI88" s="428">
        <v>6.0</v>
      </c>
      <c r="AJ88" s="428">
        <v>0.0</v>
      </c>
    </row>
    <row r="89" ht="15.75" customHeight="1">
      <c r="A89" s="19" t="s">
        <v>129</v>
      </c>
      <c r="B89" s="428">
        <v>1.0</v>
      </c>
      <c r="C89" s="428">
        <v>1.0</v>
      </c>
      <c r="D89" s="428">
        <v>0.0</v>
      </c>
      <c r="E89" s="428">
        <v>0.0</v>
      </c>
      <c r="F89" s="428">
        <v>1.0</v>
      </c>
      <c r="G89" s="428">
        <v>1.0</v>
      </c>
      <c r="H89" s="428">
        <v>77.0</v>
      </c>
      <c r="I89" s="428">
        <v>1.0</v>
      </c>
      <c r="J89" s="428">
        <v>105.0</v>
      </c>
      <c r="K89" s="428">
        <v>-28.0</v>
      </c>
      <c r="L89" s="428">
        <v>4.0</v>
      </c>
      <c r="M89" s="428">
        <v>4.0</v>
      </c>
      <c r="N89" s="428">
        <v>1427.0</v>
      </c>
      <c r="O89" s="428">
        <v>1470.0</v>
      </c>
      <c r="P89" s="428">
        <v>13.0</v>
      </c>
      <c r="Q89" s="428">
        <v>1.0</v>
      </c>
      <c r="R89" s="428">
        <v>11.0</v>
      </c>
      <c r="S89" s="428">
        <v>1.0</v>
      </c>
      <c r="T89" s="428">
        <v>1.0</v>
      </c>
      <c r="U89" s="428">
        <v>0.0</v>
      </c>
      <c r="V89" s="428">
        <v>0.0</v>
      </c>
      <c r="W89" s="428">
        <v>0.0</v>
      </c>
      <c r="X89" s="428">
        <v>1.0</v>
      </c>
      <c r="Y89" s="428">
        <v>0.0</v>
      </c>
      <c r="Z89" s="428">
        <v>0.0</v>
      </c>
      <c r="AA89" s="428">
        <v>0.0</v>
      </c>
      <c r="AB89" s="428">
        <v>0.0</v>
      </c>
      <c r="AC89" s="428">
        <v>0.0</v>
      </c>
      <c r="AD89" s="428">
        <v>0.0</v>
      </c>
      <c r="AE89" s="428">
        <v>0.0</v>
      </c>
      <c r="AF89" s="428">
        <v>0.0</v>
      </c>
      <c r="AG89" s="428">
        <v>0.0</v>
      </c>
      <c r="AH89" s="428">
        <v>0.0</v>
      </c>
      <c r="AI89" s="428">
        <v>0.0</v>
      </c>
      <c r="AJ89" s="428">
        <v>0.0</v>
      </c>
    </row>
    <row r="90" ht="15.75" customHeight="1">
      <c r="A90" s="19" t="s">
        <v>169</v>
      </c>
      <c r="B90" s="428">
        <v>1.0</v>
      </c>
      <c r="C90" s="428">
        <v>1.0</v>
      </c>
      <c r="D90" s="428">
        <v>0.0</v>
      </c>
      <c r="E90" s="428">
        <v>0.0</v>
      </c>
      <c r="F90" s="428">
        <v>1.0</v>
      </c>
      <c r="G90" s="428">
        <v>1.0</v>
      </c>
      <c r="H90" s="428">
        <v>64.0</v>
      </c>
      <c r="I90" s="428">
        <v>2.0</v>
      </c>
      <c r="J90" s="428">
        <v>80.0</v>
      </c>
      <c r="K90" s="428">
        <v>-16.0</v>
      </c>
      <c r="L90" s="428">
        <v>4.0</v>
      </c>
      <c r="M90" s="428">
        <v>2.0</v>
      </c>
      <c r="N90" s="428">
        <v>1427.0</v>
      </c>
      <c r="O90" s="428">
        <v>1470.0</v>
      </c>
      <c r="P90" s="428">
        <v>17.0</v>
      </c>
      <c r="Q90" s="428">
        <v>2.0</v>
      </c>
      <c r="R90" s="428">
        <v>11.0</v>
      </c>
      <c r="S90" s="428">
        <v>4.0</v>
      </c>
      <c r="T90" s="428">
        <v>0.0</v>
      </c>
      <c r="U90" s="428">
        <v>0.0</v>
      </c>
      <c r="V90" s="428">
        <v>0.0</v>
      </c>
      <c r="W90" s="428">
        <v>0.0</v>
      </c>
      <c r="X90" s="428">
        <v>0.0</v>
      </c>
      <c r="Y90" s="428">
        <v>0.0</v>
      </c>
      <c r="Z90" s="428">
        <v>0.0</v>
      </c>
      <c r="AA90" s="428">
        <v>0.0</v>
      </c>
      <c r="AB90" s="428">
        <v>0.0</v>
      </c>
      <c r="AC90" s="428">
        <v>0.0</v>
      </c>
      <c r="AD90" s="428">
        <v>0.0</v>
      </c>
      <c r="AE90" s="428">
        <v>0.0</v>
      </c>
      <c r="AF90" s="428">
        <v>0.0</v>
      </c>
      <c r="AG90" s="428">
        <v>0.0</v>
      </c>
      <c r="AH90" s="428">
        <v>0.0</v>
      </c>
      <c r="AI90" s="428">
        <v>2.0</v>
      </c>
      <c r="AJ90" s="428">
        <v>0.0</v>
      </c>
    </row>
    <row r="91" ht="15.75" customHeight="1">
      <c r="A91" s="429" t="s">
        <v>85</v>
      </c>
      <c r="B91" s="430">
        <v>0.0</v>
      </c>
      <c r="C91" s="430">
        <v>0.0</v>
      </c>
      <c r="D91" s="430">
        <v>1.0</v>
      </c>
      <c r="E91" s="430">
        <v>0.0</v>
      </c>
      <c r="F91" s="430">
        <v>0.0</v>
      </c>
      <c r="G91" s="430">
        <v>0.0</v>
      </c>
      <c r="H91" s="430">
        <v>0.0</v>
      </c>
      <c r="I91" s="430">
        <v>0.0</v>
      </c>
      <c r="J91" s="430">
        <v>0.0</v>
      </c>
      <c r="K91" s="430">
        <v>0.0</v>
      </c>
      <c r="L91" s="430">
        <v>0.0</v>
      </c>
      <c r="M91" s="430">
        <v>0.0</v>
      </c>
      <c r="N91" s="430">
        <v>0.0</v>
      </c>
      <c r="O91" s="430">
        <v>0.0</v>
      </c>
      <c r="P91" s="430">
        <v>0.0</v>
      </c>
      <c r="Q91" s="430">
        <v>0.0</v>
      </c>
      <c r="R91" s="430">
        <v>0.0</v>
      </c>
      <c r="S91" s="430">
        <v>0.0</v>
      </c>
      <c r="T91" s="430">
        <v>0.0</v>
      </c>
      <c r="U91" s="430">
        <v>0.0</v>
      </c>
      <c r="V91" s="430">
        <v>0.0</v>
      </c>
      <c r="W91" s="430">
        <v>0.0</v>
      </c>
      <c r="X91" s="430">
        <v>0.0</v>
      </c>
      <c r="Y91" s="430">
        <v>0.0</v>
      </c>
      <c r="Z91" s="430">
        <v>0.0</v>
      </c>
      <c r="AA91" s="430">
        <v>0.0</v>
      </c>
      <c r="AB91" s="430">
        <v>0.0</v>
      </c>
      <c r="AC91" s="430">
        <v>0.0</v>
      </c>
      <c r="AD91" s="430">
        <v>0.0</v>
      </c>
      <c r="AE91" s="430">
        <v>0.0</v>
      </c>
      <c r="AF91" s="430">
        <v>0.0</v>
      </c>
      <c r="AG91" s="430">
        <v>0.0</v>
      </c>
      <c r="AH91" s="430">
        <v>0.0</v>
      </c>
      <c r="AI91" s="430">
        <v>0.0</v>
      </c>
      <c r="AJ91" s="430">
        <v>0.0</v>
      </c>
    </row>
    <row r="92" ht="15.75" customHeight="1">
      <c r="A92" s="19" t="s">
        <v>46</v>
      </c>
      <c r="B92" s="428">
        <v>0.0</v>
      </c>
      <c r="C92" s="428">
        <v>1.0</v>
      </c>
      <c r="D92" s="428">
        <v>0.0</v>
      </c>
      <c r="E92" s="428">
        <v>1.0</v>
      </c>
      <c r="F92" s="428">
        <v>0.0</v>
      </c>
      <c r="G92" s="428">
        <v>1.0</v>
      </c>
      <c r="H92" s="428">
        <v>80.0</v>
      </c>
      <c r="I92" s="428">
        <v>1.0</v>
      </c>
      <c r="J92" s="428">
        <v>60.0</v>
      </c>
      <c r="K92" s="428">
        <v>20.0</v>
      </c>
      <c r="L92" s="428">
        <v>7.0</v>
      </c>
      <c r="M92" s="428">
        <v>2.0</v>
      </c>
      <c r="N92" s="428">
        <v>911.0</v>
      </c>
      <c r="O92" s="428">
        <v>941.0</v>
      </c>
      <c r="P92" s="428">
        <v>15.0</v>
      </c>
      <c r="Q92" s="428">
        <v>4.0</v>
      </c>
      <c r="R92" s="428">
        <v>14.0</v>
      </c>
      <c r="S92" s="428">
        <v>4.0</v>
      </c>
      <c r="T92" s="428">
        <v>2.0</v>
      </c>
      <c r="U92" s="428">
        <v>2.0</v>
      </c>
      <c r="V92" s="428">
        <v>0.0</v>
      </c>
      <c r="W92" s="428">
        <v>0.0</v>
      </c>
      <c r="X92" s="428">
        <v>2.0</v>
      </c>
      <c r="Y92" s="428">
        <v>2.0</v>
      </c>
      <c r="Z92" s="428">
        <v>0.0</v>
      </c>
      <c r="AA92" s="428">
        <v>0.0</v>
      </c>
      <c r="AB92" s="428">
        <v>0.0</v>
      </c>
      <c r="AC92" s="428">
        <v>0.0</v>
      </c>
      <c r="AD92" s="428">
        <v>0.0</v>
      </c>
      <c r="AE92" s="428">
        <v>0.0</v>
      </c>
      <c r="AF92" s="428">
        <v>0.0</v>
      </c>
      <c r="AG92" s="428">
        <v>0.0</v>
      </c>
      <c r="AH92" s="428">
        <v>0.0</v>
      </c>
      <c r="AI92" s="428">
        <v>0.0</v>
      </c>
      <c r="AJ92" s="428">
        <v>0.0</v>
      </c>
    </row>
    <row r="93" ht="15.75" customHeight="1">
      <c r="A93" s="19" t="s">
        <v>80</v>
      </c>
      <c r="B93" s="428">
        <v>0.0</v>
      </c>
      <c r="C93" s="428">
        <v>1.0</v>
      </c>
      <c r="D93" s="428">
        <v>0.0</v>
      </c>
      <c r="E93" s="428">
        <v>1.0</v>
      </c>
      <c r="F93" s="428">
        <v>0.0</v>
      </c>
      <c r="G93" s="428">
        <v>2.0</v>
      </c>
      <c r="H93" s="428">
        <v>58.0</v>
      </c>
      <c r="I93" s="428">
        <v>2.0</v>
      </c>
      <c r="J93" s="428">
        <v>54.0</v>
      </c>
      <c r="K93" s="428">
        <v>4.0</v>
      </c>
      <c r="L93" s="428">
        <v>6.0</v>
      </c>
      <c r="M93" s="428">
        <v>3.0</v>
      </c>
      <c r="N93" s="428">
        <v>911.0</v>
      </c>
      <c r="O93" s="428">
        <v>941.0</v>
      </c>
      <c r="P93" s="428">
        <v>16.0</v>
      </c>
      <c r="Q93" s="428">
        <v>1.0</v>
      </c>
      <c r="R93" s="428">
        <v>12.0</v>
      </c>
      <c r="S93" s="428">
        <v>3.0</v>
      </c>
      <c r="T93" s="428">
        <v>1.0</v>
      </c>
      <c r="U93" s="428">
        <v>2.0</v>
      </c>
      <c r="V93" s="428">
        <v>0.0</v>
      </c>
      <c r="W93" s="428">
        <v>0.0</v>
      </c>
      <c r="X93" s="428">
        <v>1.0</v>
      </c>
      <c r="Y93" s="428">
        <v>2.0</v>
      </c>
      <c r="Z93" s="428">
        <v>0.0</v>
      </c>
      <c r="AA93" s="428">
        <v>0.0</v>
      </c>
      <c r="AB93" s="428">
        <v>0.0</v>
      </c>
      <c r="AC93" s="428">
        <v>0.0</v>
      </c>
      <c r="AD93" s="428">
        <v>0.0</v>
      </c>
      <c r="AE93" s="428">
        <v>0.0</v>
      </c>
      <c r="AF93" s="428">
        <v>0.0</v>
      </c>
      <c r="AG93" s="428">
        <v>0.0</v>
      </c>
      <c r="AH93" s="428">
        <v>0.0</v>
      </c>
      <c r="AI93" s="428">
        <v>0.0</v>
      </c>
      <c r="AJ93" s="428">
        <v>0.0</v>
      </c>
    </row>
    <row r="94" ht="15.75" customHeight="1">
      <c r="A94" s="19" t="s">
        <v>60</v>
      </c>
      <c r="B94" s="428">
        <v>0.0</v>
      </c>
      <c r="C94" s="428">
        <v>1.0</v>
      </c>
      <c r="D94" s="428">
        <v>0.0</v>
      </c>
      <c r="E94" s="428">
        <v>1.0</v>
      </c>
      <c r="F94" s="428">
        <v>0.0</v>
      </c>
      <c r="G94" s="428">
        <v>0.0</v>
      </c>
      <c r="H94" s="428">
        <v>62.0</v>
      </c>
      <c r="I94" s="428">
        <v>2.0</v>
      </c>
      <c r="J94" s="428">
        <v>56.0</v>
      </c>
      <c r="K94" s="428">
        <v>6.0</v>
      </c>
      <c r="L94" s="428">
        <v>7.0</v>
      </c>
      <c r="M94" s="428">
        <v>2.0</v>
      </c>
      <c r="N94" s="428">
        <v>911.0</v>
      </c>
      <c r="O94" s="428">
        <v>941.0</v>
      </c>
      <c r="P94" s="428">
        <v>16.0</v>
      </c>
      <c r="Q94" s="428">
        <v>0.0</v>
      </c>
      <c r="R94" s="428">
        <v>13.0</v>
      </c>
      <c r="S94" s="428">
        <v>3.0</v>
      </c>
      <c r="T94" s="428">
        <v>0.0</v>
      </c>
      <c r="U94" s="428">
        <v>2.0</v>
      </c>
      <c r="V94" s="428">
        <v>0.0</v>
      </c>
      <c r="W94" s="428">
        <v>0.0</v>
      </c>
      <c r="X94" s="428">
        <v>0.0</v>
      </c>
      <c r="Y94" s="428">
        <v>2.0</v>
      </c>
      <c r="Z94" s="428">
        <v>0.0</v>
      </c>
      <c r="AA94" s="428">
        <v>0.0</v>
      </c>
      <c r="AB94" s="428">
        <v>0.0</v>
      </c>
      <c r="AC94" s="428">
        <v>0.0</v>
      </c>
      <c r="AD94" s="428">
        <v>0.0</v>
      </c>
      <c r="AE94" s="428">
        <v>0.0</v>
      </c>
      <c r="AF94" s="428">
        <v>0.0</v>
      </c>
      <c r="AG94" s="428">
        <v>0.0</v>
      </c>
      <c r="AH94" s="428">
        <v>0.0</v>
      </c>
      <c r="AI94" s="428">
        <v>0.0</v>
      </c>
      <c r="AJ94" s="428">
        <v>0.0</v>
      </c>
    </row>
    <row r="95" ht="15.75" customHeight="1">
      <c r="A95" s="19" t="s">
        <v>102</v>
      </c>
      <c r="B95" s="428">
        <v>0.0</v>
      </c>
      <c r="C95" s="428">
        <v>1.0</v>
      </c>
      <c r="D95" s="428">
        <v>0.0</v>
      </c>
      <c r="E95" s="428">
        <v>1.0</v>
      </c>
      <c r="F95" s="428">
        <v>0.0</v>
      </c>
      <c r="G95" s="428">
        <v>2.0</v>
      </c>
      <c r="H95" s="428">
        <v>42.0</v>
      </c>
      <c r="I95" s="428">
        <v>1.0</v>
      </c>
      <c r="J95" s="428">
        <v>44.0</v>
      </c>
      <c r="K95" s="428">
        <v>-2.0</v>
      </c>
      <c r="L95" s="428">
        <v>7.0</v>
      </c>
      <c r="M95" s="428">
        <v>2.0</v>
      </c>
      <c r="N95" s="428">
        <v>910.0</v>
      </c>
      <c r="O95" s="428">
        <v>941.0</v>
      </c>
      <c r="P95" s="428">
        <v>20.0</v>
      </c>
      <c r="Q95" s="428">
        <v>0.0</v>
      </c>
      <c r="R95" s="428">
        <v>5.0</v>
      </c>
      <c r="S95" s="428">
        <v>0.0</v>
      </c>
      <c r="T95" s="428">
        <v>0.0</v>
      </c>
      <c r="U95" s="428">
        <v>1.0</v>
      </c>
      <c r="V95" s="428">
        <v>0.0</v>
      </c>
      <c r="W95" s="428">
        <v>0.0</v>
      </c>
      <c r="X95" s="428">
        <v>0.0</v>
      </c>
      <c r="Y95" s="428">
        <v>1.0</v>
      </c>
      <c r="Z95" s="428">
        <v>0.0</v>
      </c>
      <c r="AA95" s="428">
        <v>0.0</v>
      </c>
      <c r="AB95" s="428">
        <v>0.0</v>
      </c>
      <c r="AC95" s="428">
        <v>0.0</v>
      </c>
      <c r="AD95" s="428">
        <v>0.0</v>
      </c>
      <c r="AE95" s="428">
        <v>0.0</v>
      </c>
      <c r="AF95" s="428">
        <v>0.0</v>
      </c>
      <c r="AG95" s="428">
        <v>0.0</v>
      </c>
      <c r="AH95" s="428">
        <v>0.0</v>
      </c>
      <c r="AI95" s="428">
        <v>0.0</v>
      </c>
      <c r="AJ95" s="428">
        <v>0.0</v>
      </c>
    </row>
    <row r="96" ht="15.75" customHeight="1">
      <c r="A96" s="19" t="s">
        <v>84</v>
      </c>
      <c r="B96" s="428">
        <v>1.0</v>
      </c>
      <c r="C96" s="428">
        <v>1.0</v>
      </c>
      <c r="D96" s="428">
        <v>0.0</v>
      </c>
      <c r="E96" s="428">
        <v>0.0</v>
      </c>
      <c r="F96" s="428">
        <v>1.0</v>
      </c>
      <c r="G96" s="428">
        <v>0.0</v>
      </c>
      <c r="H96" s="428">
        <v>71.0</v>
      </c>
      <c r="I96" s="428">
        <v>2.0</v>
      </c>
      <c r="J96" s="428">
        <v>62.0</v>
      </c>
      <c r="K96" s="428">
        <v>9.0</v>
      </c>
      <c r="L96" s="428">
        <v>6.0</v>
      </c>
      <c r="M96" s="428">
        <v>1.0</v>
      </c>
      <c r="N96" s="428">
        <v>910.0</v>
      </c>
      <c r="O96" s="428">
        <v>941.0</v>
      </c>
      <c r="P96" s="428">
        <v>14.0</v>
      </c>
      <c r="Q96" s="428">
        <v>0.0</v>
      </c>
      <c r="R96" s="428">
        <v>14.0</v>
      </c>
      <c r="S96" s="428">
        <v>4.0</v>
      </c>
      <c r="T96" s="428">
        <v>2.0</v>
      </c>
      <c r="U96" s="428">
        <v>3.0</v>
      </c>
      <c r="V96" s="428">
        <v>0.0</v>
      </c>
      <c r="W96" s="428">
        <v>0.0</v>
      </c>
      <c r="X96" s="428">
        <v>1.0</v>
      </c>
      <c r="Y96" s="428">
        <v>3.0</v>
      </c>
      <c r="Z96" s="428">
        <v>0.0</v>
      </c>
      <c r="AA96" s="428">
        <v>0.0</v>
      </c>
      <c r="AB96" s="428">
        <v>0.0</v>
      </c>
      <c r="AC96" s="428">
        <v>1.0</v>
      </c>
      <c r="AD96" s="428">
        <v>0.0</v>
      </c>
      <c r="AE96" s="428">
        <v>0.0</v>
      </c>
      <c r="AF96" s="428">
        <v>0.0</v>
      </c>
      <c r="AG96" s="428">
        <v>0.0</v>
      </c>
      <c r="AH96" s="428">
        <v>0.0</v>
      </c>
      <c r="AI96" s="428">
        <v>0.0</v>
      </c>
      <c r="AJ96" s="428">
        <v>0.0</v>
      </c>
    </row>
    <row r="97" ht="15.75" customHeight="1">
      <c r="A97" s="19" t="s">
        <v>136</v>
      </c>
      <c r="B97" s="428">
        <v>1.0</v>
      </c>
      <c r="C97" s="428">
        <v>1.0</v>
      </c>
      <c r="D97" s="428">
        <v>0.0</v>
      </c>
      <c r="E97" s="428">
        <v>0.0</v>
      </c>
      <c r="F97" s="428">
        <v>1.0</v>
      </c>
      <c r="G97" s="428">
        <v>0.0</v>
      </c>
      <c r="H97" s="428">
        <v>43.0</v>
      </c>
      <c r="I97" s="428">
        <v>0.0</v>
      </c>
      <c r="J97" s="428">
        <v>64.0</v>
      </c>
      <c r="K97" s="428">
        <v>-21.0</v>
      </c>
      <c r="L97" s="428">
        <v>3.0</v>
      </c>
      <c r="M97" s="428">
        <v>0.0</v>
      </c>
      <c r="N97" s="428">
        <v>910.0</v>
      </c>
      <c r="O97" s="428">
        <v>941.0</v>
      </c>
      <c r="P97" s="428">
        <v>14.0</v>
      </c>
      <c r="Q97" s="428">
        <v>2.0</v>
      </c>
      <c r="R97" s="428">
        <v>4.0</v>
      </c>
      <c r="S97" s="428">
        <v>1.0</v>
      </c>
      <c r="T97" s="428">
        <v>0.0</v>
      </c>
      <c r="U97" s="428">
        <v>0.0</v>
      </c>
      <c r="V97" s="428">
        <v>0.0</v>
      </c>
      <c r="W97" s="428">
        <v>0.0</v>
      </c>
      <c r="X97" s="428">
        <v>0.0</v>
      </c>
      <c r="Y97" s="428">
        <v>0.0</v>
      </c>
      <c r="Z97" s="428">
        <v>0.0</v>
      </c>
      <c r="AA97" s="428">
        <v>0.0</v>
      </c>
      <c r="AB97" s="428">
        <v>0.0</v>
      </c>
      <c r="AC97" s="428">
        <v>0.0</v>
      </c>
      <c r="AD97" s="428">
        <v>0.0</v>
      </c>
      <c r="AE97" s="428">
        <v>0.0</v>
      </c>
      <c r="AF97" s="428">
        <v>0.0</v>
      </c>
      <c r="AG97" s="428">
        <v>0.0</v>
      </c>
      <c r="AH97" s="428">
        <v>0.0</v>
      </c>
      <c r="AI97" s="428">
        <v>0.0</v>
      </c>
      <c r="AJ97" s="428">
        <v>0.0</v>
      </c>
    </row>
    <row r="98" ht="15.75" customHeight="1">
      <c r="A98" s="19" t="s">
        <v>98</v>
      </c>
      <c r="B98" s="428">
        <v>1.0</v>
      </c>
      <c r="C98" s="428">
        <v>1.0</v>
      </c>
      <c r="D98" s="428">
        <v>0.0</v>
      </c>
      <c r="E98" s="428">
        <v>0.0</v>
      </c>
      <c r="F98" s="428">
        <v>1.0</v>
      </c>
      <c r="G98" s="428">
        <v>1.0</v>
      </c>
      <c r="H98" s="428">
        <v>52.0</v>
      </c>
      <c r="I98" s="428">
        <v>0.0</v>
      </c>
      <c r="J98" s="428">
        <v>60.0</v>
      </c>
      <c r="K98" s="428">
        <v>-8.0</v>
      </c>
      <c r="L98" s="428">
        <v>4.0</v>
      </c>
      <c r="M98" s="428">
        <v>0.0</v>
      </c>
      <c r="N98" s="428">
        <v>910.0</v>
      </c>
      <c r="O98" s="428">
        <v>941.0</v>
      </c>
      <c r="P98" s="428">
        <v>15.0</v>
      </c>
      <c r="Q98" s="428">
        <v>1.0</v>
      </c>
      <c r="R98" s="428">
        <v>9.0</v>
      </c>
      <c r="S98" s="428">
        <v>2.0</v>
      </c>
      <c r="T98" s="428">
        <v>0.0</v>
      </c>
      <c r="U98" s="428">
        <v>0.0</v>
      </c>
      <c r="V98" s="428">
        <v>0.0</v>
      </c>
      <c r="W98" s="428">
        <v>0.0</v>
      </c>
      <c r="X98" s="428">
        <v>0.0</v>
      </c>
      <c r="Y98" s="428">
        <v>0.0</v>
      </c>
      <c r="Z98" s="428">
        <v>0.0</v>
      </c>
      <c r="AA98" s="428">
        <v>0.0</v>
      </c>
      <c r="AB98" s="428">
        <v>0.0</v>
      </c>
      <c r="AC98" s="428">
        <v>0.0</v>
      </c>
      <c r="AD98" s="428">
        <v>0.0</v>
      </c>
      <c r="AE98" s="428">
        <v>0.0</v>
      </c>
      <c r="AF98" s="428">
        <v>0.0</v>
      </c>
      <c r="AG98" s="428">
        <v>0.0</v>
      </c>
      <c r="AH98" s="428">
        <v>0.0</v>
      </c>
      <c r="AI98" s="428">
        <v>0.0</v>
      </c>
      <c r="AJ98" s="428">
        <v>0.0</v>
      </c>
    </row>
    <row r="99" ht="15.75" customHeight="1">
      <c r="A99" s="19" t="s">
        <v>107</v>
      </c>
      <c r="B99" s="428">
        <v>1.0</v>
      </c>
      <c r="C99" s="428">
        <v>1.0</v>
      </c>
      <c r="D99" s="428">
        <v>0.0</v>
      </c>
      <c r="E99" s="428">
        <v>0.0</v>
      </c>
      <c r="F99" s="428">
        <v>1.0</v>
      </c>
      <c r="G99" s="428">
        <v>0.0</v>
      </c>
      <c r="H99" s="428">
        <v>39.0</v>
      </c>
      <c r="I99" s="428">
        <v>1.0</v>
      </c>
      <c r="J99" s="428">
        <v>57.0</v>
      </c>
      <c r="K99" s="428">
        <v>-18.0</v>
      </c>
      <c r="L99" s="428">
        <v>4.0</v>
      </c>
      <c r="M99" s="428">
        <v>0.0</v>
      </c>
      <c r="N99" s="428">
        <v>910.0</v>
      </c>
      <c r="O99" s="428">
        <v>941.0</v>
      </c>
      <c r="P99" s="428">
        <v>15.0</v>
      </c>
      <c r="Q99" s="428">
        <v>0.0</v>
      </c>
      <c r="R99" s="428">
        <v>2.0</v>
      </c>
      <c r="S99" s="428">
        <v>0.0</v>
      </c>
      <c r="T99" s="428">
        <v>0.0</v>
      </c>
      <c r="U99" s="428">
        <v>0.0</v>
      </c>
      <c r="V99" s="428">
        <v>0.0</v>
      </c>
      <c r="W99" s="428">
        <v>0.0</v>
      </c>
      <c r="X99" s="428">
        <v>0.0</v>
      </c>
      <c r="Y99" s="428">
        <v>0.0</v>
      </c>
      <c r="Z99" s="428">
        <v>0.0</v>
      </c>
      <c r="AA99" s="428">
        <v>0.0</v>
      </c>
      <c r="AB99" s="428">
        <v>0.0</v>
      </c>
      <c r="AC99" s="428">
        <v>0.0</v>
      </c>
      <c r="AD99" s="428">
        <v>0.0</v>
      </c>
      <c r="AE99" s="428">
        <v>0.0</v>
      </c>
      <c r="AF99" s="428">
        <v>0.0</v>
      </c>
      <c r="AG99" s="428">
        <v>0.0</v>
      </c>
      <c r="AH99" s="428">
        <v>0.0</v>
      </c>
      <c r="AI99" s="428">
        <v>0.0</v>
      </c>
      <c r="AJ99" s="428">
        <v>0.0</v>
      </c>
    </row>
    <row r="100" ht="15.75" customHeight="1">
      <c r="A100" s="429" t="s">
        <v>381</v>
      </c>
      <c r="B100" s="430">
        <v>0.0</v>
      </c>
      <c r="C100" s="430">
        <v>0.0</v>
      </c>
      <c r="D100" s="430">
        <v>1.0</v>
      </c>
      <c r="E100" s="430">
        <v>0.0</v>
      </c>
      <c r="F100" s="430">
        <v>0.0</v>
      </c>
      <c r="G100" s="430">
        <v>0.0</v>
      </c>
      <c r="H100" s="430">
        <v>0.0</v>
      </c>
      <c r="I100" s="430">
        <v>0.0</v>
      </c>
      <c r="J100" s="430">
        <v>0.0</v>
      </c>
      <c r="K100" s="430">
        <v>0.0</v>
      </c>
      <c r="L100" s="430">
        <v>0.0</v>
      </c>
      <c r="M100" s="430">
        <v>0.0</v>
      </c>
      <c r="N100" s="430">
        <v>0.0</v>
      </c>
      <c r="O100" s="430">
        <v>0.0</v>
      </c>
      <c r="P100" s="430">
        <v>0.0</v>
      </c>
      <c r="Q100" s="430">
        <v>0.0</v>
      </c>
      <c r="R100" s="430">
        <v>0.0</v>
      </c>
      <c r="S100" s="430">
        <v>0.0</v>
      </c>
      <c r="T100" s="430">
        <v>0.0</v>
      </c>
      <c r="U100" s="430">
        <v>0.0</v>
      </c>
      <c r="V100" s="430">
        <v>0.0</v>
      </c>
      <c r="W100" s="430">
        <v>0.0</v>
      </c>
      <c r="X100" s="430">
        <v>0.0</v>
      </c>
      <c r="Y100" s="430">
        <v>0.0</v>
      </c>
      <c r="Z100" s="430">
        <v>0.0</v>
      </c>
      <c r="AA100" s="430">
        <v>0.0</v>
      </c>
      <c r="AB100" s="430">
        <v>0.0</v>
      </c>
      <c r="AC100" s="430">
        <v>0.0</v>
      </c>
      <c r="AD100" s="430">
        <v>0.0</v>
      </c>
      <c r="AE100" s="430">
        <v>0.0</v>
      </c>
      <c r="AF100" s="430">
        <v>0.0</v>
      </c>
      <c r="AG100" s="430">
        <v>0.0</v>
      </c>
      <c r="AH100" s="430">
        <v>0.0</v>
      </c>
      <c r="AI100" s="430">
        <v>0.0</v>
      </c>
      <c r="AJ100" s="430">
        <v>0.0</v>
      </c>
    </row>
    <row r="101" ht="15.75" customHeight="1">
      <c r="A101" s="19" t="s">
        <v>60</v>
      </c>
      <c r="B101" s="428">
        <v>1.0</v>
      </c>
      <c r="C101" s="428">
        <v>1.0</v>
      </c>
      <c r="D101" s="428">
        <v>0.0</v>
      </c>
      <c r="E101" s="428">
        <v>1.0</v>
      </c>
      <c r="F101" s="428">
        <v>0.0</v>
      </c>
      <c r="G101" s="428">
        <v>0.0</v>
      </c>
      <c r="H101" s="428">
        <v>128.0</v>
      </c>
      <c r="I101" s="428">
        <v>5.0</v>
      </c>
      <c r="J101" s="428">
        <v>118.0</v>
      </c>
      <c r="K101" s="428">
        <v>10.0</v>
      </c>
      <c r="L101" s="428">
        <v>6.0</v>
      </c>
      <c r="M101" s="428">
        <v>2.0</v>
      </c>
      <c r="N101" s="428">
        <v>1551.0</v>
      </c>
      <c r="O101" s="428">
        <v>1600.0</v>
      </c>
      <c r="P101" s="428">
        <v>13.0</v>
      </c>
      <c r="Q101" s="428">
        <v>3.0</v>
      </c>
      <c r="R101" s="428">
        <v>24.0</v>
      </c>
      <c r="S101" s="428">
        <v>8.0</v>
      </c>
      <c r="T101" s="428">
        <v>6.0</v>
      </c>
      <c r="U101" s="428">
        <v>2.0</v>
      </c>
      <c r="V101" s="428">
        <v>0.0</v>
      </c>
      <c r="W101" s="428">
        <v>0.0</v>
      </c>
      <c r="X101" s="428">
        <v>4.0</v>
      </c>
      <c r="Y101" s="428">
        <v>2.0</v>
      </c>
      <c r="Z101" s="428">
        <v>0.0</v>
      </c>
      <c r="AA101" s="428">
        <v>0.0</v>
      </c>
      <c r="AB101" s="428">
        <v>0.0</v>
      </c>
      <c r="AC101" s="428">
        <v>1.0</v>
      </c>
      <c r="AD101" s="428">
        <v>1.0</v>
      </c>
      <c r="AE101" s="428">
        <v>0.0</v>
      </c>
      <c r="AF101" s="428">
        <v>0.0</v>
      </c>
      <c r="AG101" s="428">
        <v>0.0</v>
      </c>
      <c r="AH101" s="428">
        <v>0.0</v>
      </c>
      <c r="AI101" s="428">
        <v>2.0</v>
      </c>
      <c r="AJ101" s="428">
        <v>0.0</v>
      </c>
    </row>
    <row r="102" ht="15.75" customHeight="1">
      <c r="A102" s="19" t="s">
        <v>80</v>
      </c>
      <c r="B102" s="428">
        <v>1.0</v>
      </c>
      <c r="C102" s="428">
        <v>1.0</v>
      </c>
      <c r="D102" s="428">
        <v>0.0</v>
      </c>
      <c r="E102" s="428">
        <v>1.0</v>
      </c>
      <c r="F102" s="428">
        <v>0.0</v>
      </c>
      <c r="G102" s="428">
        <v>0.0</v>
      </c>
      <c r="H102" s="428">
        <v>106.0</v>
      </c>
      <c r="I102" s="428">
        <v>4.0</v>
      </c>
      <c r="J102" s="428">
        <v>101.0</v>
      </c>
      <c r="K102" s="428">
        <v>5.0</v>
      </c>
      <c r="L102" s="428">
        <v>4.0</v>
      </c>
      <c r="M102" s="428">
        <v>3.0</v>
      </c>
      <c r="N102" s="428">
        <v>1551.0</v>
      </c>
      <c r="O102" s="428">
        <v>1600.0</v>
      </c>
      <c r="P102" s="428">
        <v>15.0</v>
      </c>
      <c r="Q102" s="428">
        <v>2.0</v>
      </c>
      <c r="R102" s="428">
        <v>20.0</v>
      </c>
      <c r="S102" s="428">
        <v>5.0</v>
      </c>
      <c r="T102" s="428">
        <v>0.0</v>
      </c>
      <c r="U102" s="428">
        <v>0.0</v>
      </c>
      <c r="V102" s="428">
        <v>0.0</v>
      </c>
      <c r="W102" s="428">
        <v>0.0</v>
      </c>
      <c r="X102" s="428">
        <v>0.0</v>
      </c>
      <c r="Y102" s="428">
        <v>0.0</v>
      </c>
      <c r="Z102" s="428">
        <v>0.0</v>
      </c>
      <c r="AA102" s="428">
        <v>0.0</v>
      </c>
      <c r="AB102" s="428">
        <v>0.0</v>
      </c>
      <c r="AC102" s="428">
        <v>0.0</v>
      </c>
      <c r="AD102" s="428">
        <v>0.0</v>
      </c>
      <c r="AE102" s="428">
        <v>0.0</v>
      </c>
      <c r="AF102" s="428">
        <v>0.0</v>
      </c>
      <c r="AG102" s="428">
        <v>0.0</v>
      </c>
      <c r="AH102" s="428">
        <v>0.0</v>
      </c>
      <c r="AI102" s="428">
        <v>3.0</v>
      </c>
      <c r="AJ102" s="428">
        <v>0.0</v>
      </c>
    </row>
    <row r="103" ht="15.75" customHeight="1">
      <c r="A103" s="19" t="s">
        <v>46</v>
      </c>
      <c r="B103" s="428">
        <v>1.0</v>
      </c>
      <c r="C103" s="428">
        <v>1.0</v>
      </c>
      <c r="D103" s="428">
        <v>0.0</v>
      </c>
      <c r="E103" s="428">
        <v>1.0</v>
      </c>
      <c r="F103" s="428">
        <v>0.0</v>
      </c>
      <c r="G103" s="428">
        <v>0.0</v>
      </c>
      <c r="H103" s="428">
        <v>99.0</v>
      </c>
      <c r="I103" s="428">
        <v>1.0</v>
      </c>
      <c r="J103" s="428">
        <v>104.0</v>
      </c>
      <c r="K103" s="428">
        <v>-5.0</v>
      </c>
      <c r="L103" s="428">
        <v>6.0</v>
      </c>
      <c r="M103" s="428">
        <v>5.0</v>
      </c>
      <c r="N103" s="428">
        <v>1550.0</v>
      </c>
      <c r="O103" s="428">
        <v>1599.0</v>
      </c>
      <c r="P103" s="428">
        <v>14.0</v>
      </c>
      <c r="Q103" s="428">
        <v>3.0</v>
      </c>
      <c r="R103" s="428">
        <v>15.0</v>
      </c>
      <c r="S103" s="428">
        <v>4.0</v>
      </c>
      <c r="T103" s="428">
        <v>2.0</v>
      </c>
      <c r="U103" s="428">
        <v>2.0</v>
      </c>
      <c r="V103" s="428">
        <v>0.0</v>
      </c>
      <c r="W103" s="428">
        <v>0.0</v>
      </c>
      <c r="X103" s="428">
        <v>1.0</v>
      </c>
      <c r="Y103" s="428">
        <v>2.0</v>
      </c>
      <c r="Z103" s="428">
        <v>0.0</v>
      </c>
      <c r="AA103" s="428">
        <v>0.0</v>
      </c>
      <c r="AB103" s="428">
        <v>0.0</v>
      </c>
      <c r="AC103" s="428">
        <v>1.0</v>
      </c>
      <c r="AD103" s="428">
        <v>0.0</v>
      </c>
      <c r="AE103" s="428">
        <v>0.0</v>
      </c>
      <c r="AF103" s="428">
        <v>0.0</v>
      </c>
      <c r="AG103" s="428">
        <v>0.0</v>
      </c>
      <c r="AH103" s="428">
        <v>0.0</v>
      </c>
      <c r="AI103" s="428">
        <v>2.0</v>
      </c>
      <c r="AJ103" s="428">
        <v>0.0</v>
      </c>
    </row>
    <row r="104" ht="15.75" customHeight="1">
      <c r="A104" s="19" t="s">
        <v>102</v>
      </c>
      <c r="B104" s="428">
        <v>1.0</v>
      </c>
      <c r="C104" s="428">
        <v>1.0</v>
      </c>
      <c r="D104" s="428">
        <v>0.0</v>
      </c>
      <c r="E104" s="428">
        <v>1.0</v>
      </c>
      <c r="F104" s="428">
        <v>0.0</v>
      </c>
      <c r="G104" s="428">
        <v>5.0</v>
      </c>
      <c r="H104" s="428">
        <v>44.0</v>
      </c>
      <c r="I104" s="428">
        <v>1.0</v>
      </c>
      <c r="J104" s="428">
        <v>61.0</v>
      </c>
      <c r="K104" s="428">
        <v>-17.0</v>
      </c>
      <c r="L104" s="428">
        <v>4.0</v>
      </c>
      <c r="M104" s="428">
        <v>1.0</v>
      </c>
      <c r="N104" s="428">
        <v>1551.0</v>
      </c>
      <c r="O104" s="428">
        <v>1600.0</v>
      </c>
      <c r="P104" s="428">
        <v>25.0</v>
      </c>
      <c r="Q104" s="428">
        <v>2.0</v>
      </c>
      <c r="R104" s="428">
        <v>3.0</v>
      </c>
      <c r="S104" s="428">
        <v>0.0</v>
      </c>
      <c r="T104" s="428">
        <v>0.0</v>
      </c>
      <c r="U104" s="428">
        <v>0.0</v>
      </c>
      <c r="V104" s="428">
        <v>0.0</v>
      </c>
      <c r="W104" s="428">
        <v>0.0</v>
      </c>
      <c r="X104" s="428">
        <v>0.0</v>
      </c>
      <c r="Y104" s="428">
        <v>0.0</v>
      </c>
      <c r="Z104" s="428">
        <v>0.0</v>
      </c>
      <c r="AA104" s="428">
        <v>0.0</v>
      </c>
      <c r="AB104" s="428">
        <v>0.0</v>
      </c>
      <c r="AC104" s="428">
        <v>0.0</v>
      </c>
      <c r="AD104" s="428">
        <v>0.0</v>
      </c>
      <c r="AE104" s="428">
        <v>0.0</v>
      </c>
      <c r="AF104" s="428">
        <v>0.0</v>
      </c>
      <c r="AG104" s="428">
        <v>0.0</v>
      </c>
      <c r="AH104" s="428">
        <v>0.0</v>
      </c>
      <c r="AI104" s="428">
        <v>1.0</v>
      </c>
      <c r="AJ104" s="428">
        <v>0.0</v>
      </c>
    </row>
    <row r="105" ht="15.75" customHeight="1">
      <c r="A105" s="19" t="s">
        <v>84</v>
      </c>
      <c r="B105" s="428">
        <v>0.0</v>
      </c>
      <c r="C105" s="428">
        <v>1.0</v>
      </c>
      <c r="D105" s="428">
        <v>0.0</v>
      </c>
      <c r="E105" s="428">
        <v>0.0</v>
      </c>
      <c r="F105" s="428">
        <v>1.0</v>
      </c>
      <c r="G105" s="428">
        <v>1.0</v>
      </c>
      <c r="H105" s="428">
        <v>102.0</v>
      </c>
      <c r="I105" s="428">
        <v>1.0</v>
      </c>
      <c r="J105" s="428">
        <v>97.0</v>
      </c>
      <c r="K105" s="428">
        <v>5.0</v>
      </c>
      <c r="L105" s="428">
        <v>8.0</v>
      </c>
      <c r="M105" s="428">
        <v>2.0</v>
      </c>
      <c r="N105" s="428">
        <v>1551.0</v>
      </c>
      <c r="O105" s="428">
        <v>1600.0</v>
      </c>
      <c r="P105" s="428">
        <v>15.0</v>
      </c>
      <c r="Q105" s="428">
        <v>2.0</v>
      </c>
      <c r="R105" s="428">
        <v>14.0</v>
      </c>
      <c r="S105" s="428">
        <v>2.0</v>
      </c>
      <c r="T105" s="428">
        <v>1.0</v>
      </c>
      <c r="U105" s="428">
        <v>2.0</v>
      </c>
      <c r="V105" s="428">
        <v>0.0</v>
      </c>
      <c r="W105" s="428">
        <v>0.0</v>
      </c>
      <c r="X105" s="428">
        <v>1.0</v>
      </c>
      <c r="Y105" s="428">
        <v>2.0</v>
      </c>
      <c r="Z105" s="428">
        <v>0.0</v>
      </c>
      <c r="AA105" s="428">
        <v>0.0</v>
      </c>
      <c r="AB105" s="428">
        <v>0.0</v>
      </c>
      <c r="AC105" s="428">
        <v>0.0</v>
      </c>
      <c r="AD105" s="428">
        <v>0.0</v>
      </c>
      <c r="AE105" s="428">
        <v>0.0</v>
      </c>
      <c r="AF105" s="428">
        <v>0.0</v>
      </c>
      <c r="AG105" s="428">
        <v>0.0</v>
      </c>
      <c r="AH105" s="428">
        <v>0.0</v>
      </c>
      <c r="AI105" s="428">
        <v>2.0</v>
      </c>
      <c r="AJ105" s="428">
        <v>0.0</v>
      </c>
    </row>
    <row r="106" ht="15.75" customHeight="1">
      <c r="A106" s="19" t="s">
        <v>136</v>
      </c>
      <c r="B106" s="428">
        <v>0.0</v>
      </c>
      <c r="C106" s="428">
        <v>1.0</v>
      </c>
      <c r="D106" s="428">
        <v>0.0</v>
      </c>
      <c r="E106" s="428">
        <v>0.0</v>
      </c>
      <c r="F106" s="428">
        <v>1.0</v>
      </c>
      <c r="G106" s="428">
        <v>0.0</v>
      </c>
      <c r="H106" s="428">
        <v>103.0</v>
      </c>
      <c r="I106" s="428">
        <v>3.0</v>
      </c>
      <c r="J106" s="428">
        <v>93.0</v>
      </c>
      <c r="K106" s="428">
        <v>10.0</v>
      </c>
      <c r="L106" s="428">
        <v>6.0</v>
      </c>
      <c r="M106" s="428">
        <v>2.0</v>
      </c>
      <c r="N106" s="428">
        <v>1551.0</v>
      </c>
      <c r="O106" s="428">
        <v>1600.0</v>
      </c>
      <c r="P106" s="428">
        <v>16.0</v>
      </c>
      <c r="Q106" s="428">
        <v>2.0</v>
      </c>
      <c r="R106" s="428">
        <v>21.0</v>
      </c>
      <c r="S106" s="428">
        <v>5.0</v>
      </c>
      <c r="T106" s="428">
        <v>0.0</v>
      </c>
      <c r="U106" s="428">
        <v>3.0</v>
      </c>
      <c r="V106" s="428">
        <v>0.0</v>
      </c>
      <c r="W106" s="428">
        <v>0.0</v>
      </c>
      <c r="X106" s="428">
        <v>0.0</v>
      </c>
      <c r="Y106" s="428">
        <v>3.0</v>
      </c>
      <c r="Z106" s="428">
        <v>0.0</v>
      </c>
      <c r="AA106" s="428">
        <v>0.0</v>
      </c>
      <c r="AB106" s="428">
        <v>0.0</v>
      </c>
      <c r="AC106" s="428">
        <v>0.0</v>
      </c>
      <c r="AD106" s="428">
        <v>0.0</v>
      </c>
      <c r="AE106" s="428">
        <v>0.0</v>
      </c>
      <c r="AF106" s="428">
        <v>0.0</v>
      </c>
      <c r="AG106" s="428">
        <v>0.0</v>
      </c>
      <c r="AH106" s="428">
        <v>0.0</v>
      </c>
      <c r="AI106" s="428">
        <v>0.0</v>
      </c>
      <c r="AJ106" s="428">
        <v>0.0</v>
      </c>
    </row>
    <row r="107" ht="15.75" customHeight="1">
      <c r="A107" s="19" t="s">
        <v>98</v>
      </c>
      <c r="B107" s="428">
        <v>0.0</v>
      </c>
      <c r="C107" s="428">
        <v>1.0</v>
      </c>
      <c r="D107" s="428">
        <v>0.0</v>
      </c>
      <c r="E107" s="428">
        <v>0.0</v>
      </c>
      <c r="F107" s="428">
        <v>1.0</v>
      </c>
      <c r="G107" s="428">
        <v>2.0</v>
      </c>
      <c r="H107" s="428">
        <v>88.0</v>
      </c>
      <c r="I107" s="428">
        <v>0.0</v>
      </c>
      <c r="J107" s="428">
        <v>106.0</v>
      </c>
      <c r="K107" s="428">
        <v>-18.0</v>
      </c>
      <c r="L107" s="428">
        <v>4.0</v>
      </c>
      <c r="M107" s="428">
        <v>2.0</v>
      </c>
      <c r="N107" s="428">
        <v>1551.0</v>
      </c>
      <c r="O107" s="428">
        <v>1600.0</v>
      </c>
      <c r="P107" s="428">
        <v>14.0</v>
      </c>
      <c r="Q107" s="428">
        <v>1.0</v>
      </c>
      <c r="R107" s="428">
        <v>18.0</v>
      </c>
      <c r="S107" s="428">
        <v>1.0</v>
      </c>
      <c r="T107" s="428">
        <v>0.0</v>
      </c>
      <c r="U107" s="428">
        <v>0.0</v>
      </c>
      <c r="V107" s="428">
        <v>0.0</v>
      </c>
      <c r="W107" s="428">
        <v>0.0</v>
      </c>
      <c r="X107" s="428">
        <v>0.0</v>
      </c>
      <c r="Y107" s="428">
        <v>0.0</v>
      </c>
      <c r="Z107" s="428">
        <v>0.0</v>
      </c>
      <c r="AA107" s="428">
        <v>0.0</v>
      </c>
      <c r="AB107" s="428">
        <v>0.0</v>
      </c>
      <c r="AC107" s="428">
        <v>0.0</v>
      </c>
      <c r="AD107" s="428">
        <v>0.0</v>
      </c>
      <c r="AE107" s="428">
        <v>0.0</v>
      </c>
      <c r="AF107" s="428">
        <v>0.0</v>
      </c>
      <c r="AG107" s="428">
        <v>0.0</v>
      </c>
      <c r="AH107" s="428">
        <v>0.0</v>
      </c>
      <c r="AI107" s="428">
        <v>2.0</v>
      </c>
      <c r="AJ107" s="428">
        <v>0.0</v>
      </c>
    </row>
    <row r="108" ht="15.75" customHeight="1">
      <c r="A108" s="19" t="s">
        <v>107</v>
      </c>
      <c r="B108" s="428">
        <v>0.0</v>
      </c>
      <c r="C108" s="428">
        <v>1.0</v>
      </c>
      <c r="D108" s="428">
        <v>0.0</v>
      </c>
      <c r="E108" s="428">
        <v>0.0</v>
      </c>
      <c r="F108" s="428">
        <v>1.0</v>
      </c>
      <c r="G108" s="428">
        <v>1.0</v>
      </c>
      <c r="H108" s="428">
        <v>80.0</v>
      </c>
      <c r="I108" s="428">
        <v>4.0</v>
      </c>
      <c r="J108" s="428">
        <v>88.0</v>
      </c>
      <c r="K108" s="428">
        <v>-8.0</v>
      </c>
      <c r="L108" s="428">
        <v>5.0</v>
      </c>
      <c r="M108" s="428">
        <v>1.0</v>
      </c>
      <c r="N108" s="428">
        <v>1551.0</v>
      </c>
      <c r="O108" s="428">
        <v>1600.0</v>
      </c>
      <c r="P108" s="428">
        <v>17.0</v>
      </c>
      <c r="Q108" s="428">
        <v>2.0</v>
      </c>
      <c r="R108" s="428">
        <v>12.0</v>
      </c>
      <c r="S108" s="428">
        <v>5.0</v>
      </c>
      <c r="T108" s="428">
        <v>2.0</v>
      </c>
      <c r="U108" s="428">
        <v>3.0</v>
      </c>
      <c r="V108" s="428">
        <v>0.0</v>
      </c>
      <c r="W108" s="428">
        <v>0.0</v>
      </c>
      <c r="X108" s="428">
        <v>1.0</v>
      </c>
      <c r="Y108" s="428">
        <v>3.0</v>
      </c>
      <c r="Z108" s="428">
        <v>0.0</v>
      </c>
      <c r="AA108" s="428">
        <v>0.0</v>
      </c>
      <c r="AB108" s="428">
        <v>0.0</v>
      </c>
      <c r="AC108" s="428">
        <v>1.0</v>
      </c>
      <c r="AD108" s="428">
        <v>0.0</v>
      </c>
      <c r="AE108" s="428">
        <v>0.0</v>
      </c>
      <c r="AF108" s="428">
        <v>0.0</v>
      </c>
      <c r="AG108" s="428">
        <v>0.0</v>
      </c>
      <c r="AH108" s="428">
        <v>0.0</v>
      </c>
      <c r="AI108" s="428">
        <v>0.0</v>
      </c>
      <c r="AJ108" s="428">
        <v>0.0</v>
      </c>
    </row>
    <row r="109" ht="15.75" customHeight="1">
      <c r="A109" s="429" t="s">
        <v>121</v>
      </c>
      <c r="B109" s="430">
        <v>0.0</v>
      </c>
      <c r="C109" s="430">
        <v>0.0</v>
      </c>
      <c r="D109" s="430">
        <v>1.0</v>
      </c>
      <c r="E109" s="430">
        <v>0.0</v>
      </c>
      <c r="F109" s="430">
        <v>0.0</v>
      </c>
      <c r="G109" s="430">
        <v>0.0</v>
      </c>
      <c r="H109" s="430">
        <v>0.0</v>
      </c>
      <c r="I109" s="430">
        <v>0.0</v>
      </c>
      <c r="J109" s="430">
        <v>0.0</v>
      </c>
      <c r="K109" s="430">
        <v>0.0</v>
      </c>
      <c r="L109" s="430">
        <v>0.0</v>
      </c>
      <c r="M109" s="430">
        <v>0.0</v>
      </c>
      <c r="N109" s="430">
        <v>0.0</v>
      </c>
      <c r="O109" s="430">
        <v>0.0</v>
      </c>
      <c r="P109" s="430">
        <v>0.0</v>
      </c>
      <c r="Q109" s="430">
        <v>0.0</v>
      </c>
      <c r="R109" s="430">
        <v>0.0</v>
      </c>
      <c r="S109" s="430">
        <v>0.0</v>
      </c>
      <c r="T109" s="430">
        <v>0.0</v>
      </c>
      <c r="U109" s="430">
        <v>0.0</v>
      </c>
      <c r="V109" s="430">
        <v>0.0</v>
      </c>
      <c r="W109" s="430">
        <v>0.0</v>
      </c>
      <c r="X109" s="430">
        <v>0.0</v>
      </c>
      <c r="Y109" s="430">
        <v>0.0</v>
      </c>
      <c r="Z109" s="430">
        <v>0.0</v>
      </c>
      <c r="AA109" s="430">
        <v>0.0</v>
      </c>
      <c r="AB109" s="430">
        <v>0.0</v>
      </c>
      <c r="AC109" s="430">
        <v>0.0</v>
      </c>
      <c r="AD109" s="430">
        <v>0.0</v>
      </c>
      <c r="AE109" s="430">
        <v>0.0</v>
      </c>
      <c r="AF109" s="430">
        <v>0.0</v>
      </c>
      <c r="AG109" s="430">
        <v>0.0</v>
      </c>
      <c r="AH109" s="430">
        <v>0.0</v>
      </c>
      <c r="AI109" s="430">
        <v>0.0</v>
      </c>
      <c r="AJ109" s="430">
        <v>0.0</v>
      </c>
    </row>
    <row r="110" ht="15.75" customHeight="1">
      <c r="A110" s="19" t="s">
        <v>168</v>
      </c>
      <c r="B110" s="428">
        <v>0.0</v>
      </c>
      <c r="C110" s="428">
        <v>1.0</v>
      </c>
      <c r="D110" s="428">
        <v>0.0</v>
      </c>
      <c r="E110" s="428">
        <v>1.0</v>
      </c>
      <c r="F110" s="428">
        <v>0.0</v>
      </c>
      <c r="G110" s="428">
        <v>0.0</v>
      </c>
      <c r="H110" s="428">
        <v>121.0</v>
      </c>
      <c r="I110" s="428">
        <v>4.0</v>
      </c>
      <c r="J110" s="428">
        <v>83.0</v>
      </c>
      <c r="K110" s="428">
        <v>38.0</v>
      </c>
      <c r="L110" s="428">
        <v>8.0</v>
      </c>
      <c r="M110" s="428">
        <v>2.0</v>
      </c>
      <c r="N110" s="428">
        <v>1301.0</v>
      </c>
      <c r="O110" s="428">
        <v>1346.0</v>
      </c>
      <c r="P110" s="428">
        <v>15.0</v>
      </c>
      <c r="Q110" s="428">
        <v>1.0</v>
      </c>
      <c r="R110" s="428">
        <v>23.0</v>
      </c>
      <c r="S110" s="428">
        <v>10.0</v>
      </c>
      <c r="T110" s="428">
        <v>9.0</v>
      </c>
      <c r="U110" s="428">
        <v>3.0</v>
      </c>
      <c r="V110" s="428">
        <v>0.0</v>
      </c>
      <c r="W110" s="428">
        <v>0.0</v>
      </c>
      <c r="X110" s="428">
        <v>5.0</v>
      </c>
      <c r="Y110" s="428">
        <v>3.0</v>
      </c>
      <c r="Z110" s="428">
        <v>0.0</v>
      </c>
      <c r="AA110" s="428">
        <v>0.0</v>
      </c>
      <c r="AB110" s="428">
        <v>0.0</v>
      </c>
      <c r="AC110" s="428">
        <v>1.0</v>
      </c>
      <c r="AD110" s="428">
        <v>1.0</v>
      </c>
      <c r="AE110" s="428">
        <v>1.0</v>
      </c>
      <c r="AF110" s="428">
        <v>1.0</v>
      </c>
      <c r="AG110" s="428">
        <v>0.0</v>
      </c>
      <c r="AH110" s="428">
        <v>0.0</v>
      </c>
      <c r="AI110" s="428">
        <v>1.0</v>
      </c>
      <c r="AJ110" s="428">
        <v>0.0</v>
      </c>
    </row>
    <row r="111" ht="15.75" customHeight="1">
      <c r="A111" s="19" t="s">
        <v>121</v>
      </c>
      <c r="B111" s="428">
        <v>0.0</v>
      </c>
      <c r="C111" s="428">
        <v>1.0</v>
      </c>
      <c r="D111" s="428">
        <v>0.0</v>
      </c>
      <c r="E111" s="428">
        <v>1.0</v>
      </c>
      <c r="F111" s="428">
        <v>0.0</v>
      </c>
      <c r="G111" s="428">
        <v>0.0</v>
      </c>
      <c r="H111" s="428">
        <v>65.0</v>
      </c>
      <c r="I111" s="428">
        <v>1.0</v>
      </c>
      <c r="J111" s="428">
        <v>82.0</v>
      </c>
      <c r="K111" s="428">
        <v>-17.0</v>
      </c>
      <c r="L111" s="428">
        <v>6.0</v>
      </c>
      <c r="M111" s="428">
        <v>2.0</v>
      </c>
      <c r="N111" s="428">
        <v>1301.0</v>
      </c>
      <c r="O111" s="428">
        <v>1346.0</v>
      </c>
      <c r="P111" s="428">
        <v>15.0</v>
      </c>
      <c r="Q111" s="428">
        <v>0.0</v>
      </c>
      <c r="R111" s="428">
        <v>9.0</v>
      </c>
      <c r="S111" s="428">
        <v>4.0</v>
      </c>
      <c r="T111" s="428">
        <v>0.0</v>
      </c>
      <c r="U111" s="428">
        <v>1.0</v>
      </c>
      <c r="V111" s="428">
        <v>0.0</v>
      </c>
      <c r="W111" s="428">
        <v>0.0</v>
      </c>
      <c r="X111" s="428">
        <v>0.0</v>
      </c>
      <c r="Y111" s="428">
        <v>1.0</v>
      </c>
      <c r="Z111" s="428">
        <v>0.0</v>
      </c>
      <c r="AA111" s="428">
        <v>0.0</v>
      </c>
      <c r="AB111" s="428">
        <v>0.0</v>
      </c>
      <c r="AC111" s="428">
        <v>0.0</v>
      </c>
      <c r="AD111" s="428">
        <v>0.0</v>
      </c>
      <c r="AE111" s="428">
        <v>0.0</v>
      </c>
      <c r="AF111" s="428">
        <v>0.0</v>
      </c>
      <c r="AG111" s="428">
        <v>0.0</v>
      </c>
      <c r="AH111" s="428">
        <v>0.0</v>
      </c>
      <c r="AI111" s="428">
        <v>1.0</v>
      </c>
      <c r="AJ111" s="428">
        <v>0.0</v>
      </c>
    </row>
    <row r="112" ht="15.75" customHeight="1">
      <c r="A112" s="19" t="s">
        <v>73</v>
      </c>
      <c r="B112" s="428">
        <v>0.0</v>
      </c>
      <c r="C112" s="428">
        <v>1.0</v>
      </c>
      <c r="D112" s="428">
        <v>0.0</v>
      </c>
      <c r="E112" s="428">
        <v>1.0</v>
      </c>
      <c r="F112" s="428">
        <v>0.0</v>
      </c>
      <c r="G112" s="428">
        <v>2.0</v>
      </c>
      <c r="H112" s="428">
        <v>114.0</v>
      </c>
      <c r="I112" s="428">
        <v>2.0</v>
      </c>
      <c r="J112" s="428">
        <v>86.0</v>
      </c>
      <c r="K112" s="428">
        <v>28.0</v>
      </c>
      <c r="L112" s="428">
        <v>5.0</v>
      </c>
      <c r="M112" s="428">
        <v>2.0</v>
      </c>
      <c r="N112" s="428">
        <v>1301.0</v>
      </c>
      <c r="O112" s="428">
        <v>1346.0</v>
      </c>
      <c r="P112" s="428">
        <v>15.0</v>
      </c>
      <c r="Q112" s="428">
        <v>0.0</v>
      </c>
      <c r="R112" s="428">
        <v>23.0</v>
      </c>
      <c r="S112" s="428">
        <v>10.0</v>
      </c>
      <c r="T112" s="428">
        <v>3.0</v>
      </c>
      <c r="U112" s="428">
        <v>2.0</v>
      </c>
      <c r="V112" s="428">
        <v>0.0</v>
      </c>
      <c r="W112" s="428">
        <v>0.0</v>
      </c>
      <c r="X112" s="428">
        <v>3.0</v>
      </c>
      <c r="Y112" s="428">
        <v>2.0</v>
      </c>
      <c r="Z112" s="428">
        <v>0.0</v>
      </c>
      <c r="AA112" s="428">
        <v>0.0</v>
      </c>
      <c r="AB112" s="428">
        <v>0.0</v>
      </c>
      <c r="AC112" s="428">
        <v>0.0</v>
      </c>
      <c r="AD112" s="428">
        <v>0.0</v>
      </c>
      <c r="AE112" s="428">
        <v>0.0</v>
      </c>
      <c r="AF112" s="428">
        <v>0.0</v>
      </c>
      <c r="AG112" s="428">
        <v>0.0</v>
      </c>
      <c r="AH112" s="428">
        <v>0.0</v>
      </c>
      <c r="AI112" s="428">
        <v>1.0</v>
      </c>
      <c r="AJ112" s="428">
        <v>0.0</v>
      </c>
    </row>
    <row r="113" ht="15.75" customHeight="1">
      <c r="A113" s="19" t="s">
        <v>144</v>
      </c>
      <c r="B113" s="428">
        <v>0.0</v>
      </c>
      <c r="C113" s="428">
        <v>1.0</v>
      </c>
      <c r="D113" s="428">
        <v>0.0</v>
      </c>
      <c r="E113" s="428">
        <v>1.0</v>
      </c>
      <c r="F113" s="428">
        <v>0.0</v>
      </c>
      <c r="G113" s="428">
        <v>3.0</v>
      </c>
      <c r="H113" s="428">
        <v>43.0</v>
      </c>
      <c r="I113" s="428">
        <v>0.0</v>
      </c>
      <c r="J113" s="428">
        <v>31.0</v>
      </c>
      <c r="K113" s="428">
        <v>12.0</v>
      </c>
      <c r="L113" s="428">
        <v>7.0</v>
      </c>
      <c r="M113" s="428">
        <v>0.0</v>
      </c>
      <c r="N113" s="428">
        <v>1301.0</v>
      </c>
      <c r="O113" s="428">
        <v>1346.0</v>
      </c>
      <c r="P113" s="428">
        <v>41.0</v>
      </c>
      <c r="Q113" s="428">
        <v>2.0</v>
      </c>
      <c r="R113" s="428">
        <v>8.0</v>
      </c>
      <c r="S113" s="428">
        <v>1.0</v>
      </c>
      <c r="T113" s="428">
        <v>0.0</v>
      </c>
      <c r="U113" s="428">
        <v>2.0</v>
      </c>
      <c r="V113" s="428">
        <v>0.0</v>
      </c>
      <c r="W113" s="428">
        <v>0.0</v>
      </c>
      <c r="X113" s="428">
        <v>0.0</v>
      </c>
      <c r="Y113" s="428">
        <v>2.0</v>
      </c>
      <c r="Z113" s="428">
        <v>0.0</v>
      </c>
      <c r="AA113" s="428">
        <v>0.0</v>
      </c>
      <c r="AB113" s="428">
        <v>0.0</v>
      </c>
      <c r="AC113" s="428">
        <v>0.0</v>
      </c>
      <c r="AD113" s="428">
        <v>0.0</v>
      </c>
      <c r="AE113" s="428">
        <v>0.0</v>
      </c>
      <c r="AF113" s="428">
        <v>0.0</v>
      </c>
      <c r="AG113" s="428">
        <v>0.0</v>
      </c>
      <c r="AH113" s="428">
        <v>0.0</v>
      </c>
      <c r="AI113" s="428">
        <v>3.0</v>
      </c>
      <c r="AJ113" s="428">
        <v>0.0</v>
      </c>
    </row>
    <row r="114" ht="15.75" customHeight="1">
      <c r="A114" s="19" t="s">
        <v>46</v>
      </c>
      <c r="B114" s="428">
        <v>1.0</v>
      </c>
      <c r="C114" s="428">
        <v>1.0</v>
      </c>
      <c r="D114" s="428">
        <v>0.0</v>
      </c>
      <c r="E114" s="428">
        <v>0.0</v>
      </c>
      <c r="F114" s="428">
        <v>1.0</v>
      </c>
      <c r="G114" s="428">
        <v>2.0</v>
      </c>
      <c r="H114" s="428">
        <v>89.0</v>
      </c>
      <c r="I114" s="428">
        <v>1.0</v>
      </c>
      <c r="J114" s="428">
        <v>95.0</v>
      </c>
      <c r="K114" s="428">
        <v>-6.0</v>
      </c>
      <c r="L114" s="428">
        <v>7.0</v>
      </c>
      <c r="M114" s="428">
        <v>6.0</v>
      </c>
      <c r="N114" s="428">
        <v>1301.0</v>
      </c>
      <c r="O114" s="428">
        <v>1346.0</v>
      </c>
      <c r="P114" s="428">
        <v>13.0</v>
      </c>
      <c r="Q114" s="428">
        <v>2.0</v>
      </c>
      <c r="R114" s="428">
        <v>15.0</v>
      </c>
      <c r="S114" s="428">
        <v>5.0</v>
      </c>
      <c r="T114" s="428">
        <v>0.0</v>
      </c>
      <c r="U114" s="428">
        <v>2.0</v>
      </c>
      <c r="V114" s="428">
        <v>0.0</v>
      </c>
      <c r="W114" s="428">
        <v>0.0</v>
      </c>
      <c r="X114" s="428">
        <v>0.0</v>
      </c>
      <c r="Y114" s="428">
        <v>2.0</v>
      </c>
      <c r="Z114" s="428">
        <v>0.0</v>
      </c>
      <c r="AA114" s="428">
        <v>0.0</v>
      </c>
      <c r="AB114" s="428">
        <v>0.0</v>
      </c>
      <c r="AC114" s="428">
        <v>0.0</v>
      </c>
      <c r="AD114" s="428">
        <v>0.0</v>
      </c>
      <c r="AE114" s="428">
        <v>0.0</v>
      </c>
      <c r="AF114" s="428">
        <v>0.0</v>
      </c>
      <c r="AG114" s="428">
        <v>0.0</v>
      </c>
      <c r="AH114" s="428">
        <v>0.0</v>
      </c>
      <c r="AI114" s="428">
        <v>0.0</v>
      </c>
      <c r="AJ114" s="428">
        <v>0.0</v>
      </c>
    </row>
    <row r="115" ht="15.75" customHeight="1">
      <c r="A115" s="19" t="s">
        <v>60</v>
      </c>
      <c r="B115" s="428">
        <v>1.0</v>
      </c>
      <c r="C115" s="428">
        <v>1.0</v>
      </c>
      <c r="D115" s="428">
        <v>0.0</v>
      </c>
      <c r="E115" s="428">
        <v>0.0</v>
      </c>
      <c r="F115" s="428">
        <v>1.0</v>
      </c>
      <c r="G115" s="428">
        <v>0.0</v>
      </c>
      <c r="H115" s="428">
        <v>79.0</v>
      </c>
      <c r="I115" s="428">
        <v>1.0</v>
      </c>
      <c r="J115" s="428">
        <v>91.0</v>
      </c>
      <c r="K115" s="428">
        <v>-12.0</v>
      </c>
      <c r="L115" s="428">
        <v>4.0</v>
      </c>
      <c r="M115" s="428">
        <v>4.0</v>
      </c>
      <c r="N115" s="428">
        <v>1301.0</v>
      </c>
      <c r="O115" s="428">
        <v>1347.0</v>
      </c>
      <c r="P115" s="428">
        <v>14.0</v>
      </c>
      <c r="Q115" s="428">
        <v>1.0</v>
      </c>
      <c r="R115" s="428">
        <v>12.0</v>
      </c>
      <c r="S115" s="428">
        <v>0.0</v>
      </c>
      <c r="T115" s="428">
        <v>0.0</v>
      </c>
      <c r="U115" s="428">
        <v>0.0</v>
      </c>
      <c r="V115" s="428">
        <v>0.0</v>
      </c>
      <c r="W115" s="428">
        <v>0.0</v>
      </c>
      <c r="X115" s="428">
        <v>0.0</v>
      </c>
      <c r="Y115" s="428">
        <v>0.0</v>
      </c>
      <c r="Z115" s="428">
        <v>0.0</v>
      </c>
      <c r="AA115" s="428">
        <v>0.0</v>
      </c>
      <c r="AB115" s="428">
        <v>0.0</v>
      </c>
      <c r="AC115" s="428">
        <v>0.0</v>
      </c>
      <c r="AD115" s="428">
        <v>0.0</v>
      </c>
      <c r="AE115" s="428">
        <v>0.0</v>
      </c>
      <c r="AF115" s="428">
        <v>0.0</v>
      </c>
      <c r="AG115" s="428">
        <v>0.0</v>
      </c>
      <c r="AH115" s="428">
        <v>0.0</v>
      </c>
      <c r="AI115" s="428">
        <v>0.0</v>
      </c>
      <c r="AJ115" s="428">
        <v>0.0</v>
      </c>
    </row>
    <row r="116" ht="15.75" customHeight="1">
      <c r="A116" s="19" t="s">
        <v>80</v>
      </c>
      <c r="B116" s="428">
        <v>1.0</v>
      </c>
      <c r="C116" s="428">
        <v>1.0</v>
      </c>
      <c r="D116" s="428">
        <v>0.0</v>
      </c>
      <c r="E116" s="428">
        <v>0.0</v>
      </c>
      <c r="F116" s="428">
        <v>1.0</v>
      </c>
      <c r="G116" s="428">
        <v>0.0</v>
      </c>
      <c r="H116" s="428">
        <v>60.0</v>
      </c>
      <c r="I116" s="428">
        <v>1.0</v>
      </c>
      <c r="J116" s="428">
        <v>96.0</v>
      </c>
      <c r="K116" s="428">
        <v>-36.0</v>
      </c>
      <c r="L116" s="428">
        <v>5.0</v>
      </c>
      <c r="M116" s="428">
        <v>3.0</v>
      </c>
      <c r="N116" s="428">
        <v>1301.0</v>
      </c>
      <c r="O116" s="428">
        <v>1346.0</v>
      </c>
      <c r="P116" s="428">
        <v>13.0</v>
      </c>
      <c r="Q116" s="428">
        <v>0.0</v>
      </c>
      <c r="R116" s="428">
        <v>8.0</v>
      </c>
      <c r="S116" s="428">
        <v>4.0</v>
      </c>
      <c r="T116" s="428">
        <v>1.0</v>
      </c>
      <c r="U116" s="428">
        <v>1.0</v>
      </c>
      <c r="V116" s="428">
        <v>0.0</v>
      </c>
      <c r="W116" s="428">
        <v>0.0</v>
      </c>
      <c r="X116" s="428">
        <v>1.0</v>
      </c>
      <c r="Y116" s="428">
        <v>1.0</v>
      </c>
      <c r="Z116" s="428">
        <v>0.0</v>
      </c>
      <c r="AA116" s="428">
        <v>0.0</v>
      </c>
      <c r="AB116" s="428">
        <v>0.0</v>
      </c>
      <c r="AC116" s="428">
        <v>0.0</v>
      </c>
      <c r="AD116" s="428">
        <v>0.0</v>
      </c>
      <c r="AE116" s="428">
        <v>0.0</v>
      </c>
      <c r="AF116" s="428">
        <v>0.0</v>
      </c>
      <c r="AG116" s="428">
        <v>0.0</v>
      </c>
      <c r="AH116" s="428">
        <v>0.0</v>
      </c>
      <c r="AI116" s="428">
        <v>0.0</v>
      </c>
      <c r="AJ116" s="428">
        <v>0.0</v>
      </c>
    </row>
    <row r="117" ht="15.75" customHeight="1">
      <c r="A117" s="19" t="s">
        <v>102</v>
      </c>
      <c r="B117" s="428">
        <v>1.0</v>
      </c>
      <c r="C117" s="428">
        <v>1.0</v>
      </c>
      <c r="D117" s="428">
        <v>0.0</v>
      </c>
      <c r="E117" s="428">
        <v>0.0</v>
      </c>
      <c r="F117" s="428">
        <v>1.0</v>
      </c>
      <c r="G117" s="428">
        <v>1.0</v>
      </c>
      <c r="H117" s="428">
        <v>48.0</v>
      </c>
      <c r="I117" s="428">
        <v>3.0</v>
      </c>
      <c r="J117" s="428">
        <v>74.0</v>
      </c>
      <c r="K117" s="428">
        <v>-26.0</v>
      </c>
      <c r="L117" s="428">
        <v>4.0</v>
      </c>
      <c r="M117" s="428">
        <v>0.0</v>
      </c>
      <c r="N117" s="428">
        <v>1301.0</v>
      </c>
      <c r="O117" s="428">
        <v>1346.0</v>
      </c>
      <c r="P117" s="428">
        <v>17.0</v>
      </c>
      <c r="Q117" s="428">
        <v>0.0</v>
      </c>
      <c r="R117" s="428">
        <v>3.0</v>
      </c>
      <c r="S117" s="428">
        <v>1.0</v>
      </c>
      <c r="T117" s="428">
        <v>0.0</v>
      </c>
      <c r="U117" s="428">
        <v>0.0</v>
      </c>
      <c r="V117" s="428">
        <v>0.0</v>
      </c>
      <c r="W117" s="428">
        <v>0.0</v>
      </c>
      <c r="X117" s="428">
        <v>0.0</v>
      </c>
      <c r="Y117" s="428">
        <v>0.0</v>
      </c>
      <c r="Z117" s="428">
        <v>0.0</v>
      </c>
      <c r="AA117" s="428">
        <v>0.0</v>
      </c>
      <c r="AB117" s="428">
        <v>0.0</v>
      </c>
      <c r="AC117" s="428">
        <v>0.0</v>
      </c>
      <c r="AD117" s="428">
        <v>0.0</v>
      </c>
      <c r="AE117" s="428">
        <v>0.0</v>
      </c>
      <c r="AF117" s="428">
        <v>0.0</v>
      </c>
      <c r="AG117" s="428">
        <v>0.0</v>
      </c>
      <c r="AH117" s="428">
        <v>0.0</v>
      </c>
      <c r="AI117" s="428">
        <v>1.0</v>
      </c>
      <c r="AJ117" s="428">
        <v>0.0</v>
      </c>
    </row>
    <row r="118" ht="15.75" customHeight="1">
      <c r="A118" s="19" t="s">
        <v>104</v>
      </c>
      <c r="B118" s="428">
        <v>0.0</v>
      </c>
      <c r="C118" s="428">
        <v>0.0</v>
      </c>
      <c r="D118" s="428">
        <v>1.0</v>
      </c>
      <c r="E118" s="428">
        <v>0.0</v>
      </c>
      <c r="F118" s="428">
        <v>0.0</v>
      </c>
      <c r="G118" s="428">
        <v>0.0</v>
      </c>
      <c r="H118" s="428">
        <v>0.0</v>
      </c>
      <c r="I118" s="428">
        <v>0.0</v>
      </c>
      <c r="J118" s="428">
        <v>0.0</v>
      </c>
      <c r="K118" s="428">
        <v>0.0</v>
      </c>
      <c r="L118" s="428">
        <v>0.0</v>
      </c>
      <c r="M118" s="428">
        <v>0.0</v>
      </c>
      <c r="N118" s="428">
        <v>0.0</v>
      </c>
      <c r="O118" s="428">
        <v>0.0</v>
      </c>
      <c r="P118" s="428">
        <v>0.0</v>
      </c>
      <c r="Q118" s="428">
        <v>0.0</v>
      </c>
      <c r="R118" s="428">
        <v>0.0</v>
      </c>
      <c r="S118" s="428">
        <v>0.0</v>
      </c>
      <c r="T118" s="428">
        <v>0.0</v>
      </c>
      <c r="U118" s="428">
        <v>0.0</v>
      </c>
      <c r="V118" s="428">
        <v>0.0</v>
      </c>
      <c r="W118" s="428">
        <v>0.0</v>
      </c>
      <c r="X118" s="428">
        <v>0.0</v>
      </c>
      <c r="Y118" s="428">
        <v>0.0</v>
      </c>
      <c r="Z118" s="428">
        <v>0.0</v>
      </c>
      <c r="AA118" s="428">
        <v>0.0</v>
      </c>
      <c r="AB118" s="428">
        <v>0.0</v>
      </c>
      <c r="AC118" s="428">
        <v>0.0</v>
      </c>
      <c r="AD118" s="428">
        <v>0.0</v>
      </c>
      <c r="AE118" s="428">
        <v>0.0</v>
      </c>
      <c r="AF118" s="428">
        <v>0.0</v>
      </c>
      <c r="AG118" s="428">
        <v>0.0</v>
      </c>
      <c r="AH118" s="428">
        <v>0.0</v>
      </c>
      <c r="AI118" s="428">
        <v>0.0</v>
      </c>
      <c r="AJ118" s="428">
        <v>0.0</v>
      </c>
    </row>
    <row r="119" ht="15.75" customHeight="1">
      <c r="A119" s="429" t="s">
        <v>377</v>
      </c>
      <c r="B119" s="430">
        <v>1.0</v>
      </c>
      <c r="C119" s="430">
        <v>0.0</v>
      </c>
      <c r="D119" s="430">
        <v>1.0</v>
      </c>
      <c r="E119" s="430">
        <v>0.0</v>
      </c>
      <c r="F119" s="430">
        <v>0.0</v>
      </c>
      <c r="G119" s="430">
        <v>0.0</v>
      </c>
      <c r="H119" s="430">
        <v>0.0</v>
      </c>
      <c r="I119" s="430">
        <v>0.0</v>
      </c>
      <c r="J119" s="430">
        <v>0.0</v>
      </c>
      <c r="K119" s="430">
        <v>0.0</v>
      </c>
      <c r="L119" s="430">
        <v>0.0</v>
      </c>
      <c r="M119" s="430">
        <v>0.0</v>
      </c>
      <c r="N119" s="430">
        <v>0.0</v>
      </c>
      <c r="O119" s="430">
        <v>0.0</v>
      </c>
      <c r="P119" s="430">
        <v>0.0</v>
      </c>
      <c r="Q119" s="430">
        <v>0.0</v>
      </c>
      <c r="R119" s="430">
        <v>0.0</v>
      </c>
      <c r="S119" s="430">
        <v>0.0</v>
      </c>
      <c r="T119" s="430">
        <v>0.0</v>
      </c>
      <c r="U119" s="430">
        <v>0.0</v>
      </c>
      <c r="V119" s="430">
        <v>0.0</v>
      </c>
      <c r="W119" s="430">
        <v>0.0</v>
      </c>
      <c r="X119" s="430">
        <v>0.0</v>
      </c>
      <c r="Y119" s="430">
        <v>0.0</v>
      </c>
      <c r="Z119" s="430">
        <v>0.0</v>
      </c>
      <c r="AA119" s="430">
        <v>0.0</v>
      </c>
      <c r="AB119" s="430">
        <v>0.0</v>
      </c>
      <c r="AC119" s="430">
        <v>0.0</v>
      </c>
      <c r="AD119" s="430">
        <v>0.0</v>
      </c>
      <c r="AE119" s="430">
        <v>0.0</v>
      </c>
      <c r="AF119" s="430">
        <v>0.0</v>
      </c>
      <c r="AG119" s="430">
        <v>0.0</v>
      </c>
      <c r="AH119" s="430">
        <v>0.0</v>
      </c>
      <c r="AI119" s="430">
        <v>0.0</v>
      </c>
      <c r="AJ119" s="430">
        <v>0.0</v>
      </c>
    </row>
    <row r="120" ht="15.75" customHeight="1">
      <c r="A120" s="19" t="s">
        <v>73</v>
      </c>
      <c r="B120" s="428">
        <v>0.0</v>
      </c>
      <c r="C120" s="428">
        <v>1.0</v>
      </c>
      <c r="D120" s="428">
        <v>0.0</v>
      </c>
      <c r="E120" s="428">
        <v>1.0</v>
      </c>
      <c r="F120" s="428">
        <v>0.0</v>
      </c>
      <c r="G120" s="428">
        <v>0.0</v>
      </c>
      <c r="H120" s="428">
        <v>130.0</v>
      </c>
      <c r="I120" s="428">
        <v>3.0</v>
      </c>
      <c r="J120" s="428">
        <v>107.0</v>
      </c>
      <c r="K120" s="428">
        <v>23.0</v>
      </c>
      <c r="L120" s="428">
        <v>5.0</v>
      </c>
      <c r="M120" s="428">
        <v>3.0</v>
      </c>
      <c r="N120" s="428">
        <v>1664.0</v>
      </c>
      <c r="O120" s="428">
        <v>1696.0</v>
      </c>
      <c r="P120" s="428">
        <v>15.0</v>
      </c>
      <c r="Q120" s="428">
        <v>2.0</v>
      </c>
      <c r="R120" s="428">
        <v>27.0</v>
      </c>
      <c r="S120" s="428">
        <v>8.0</v>
      </c>
      <c r="T120" s="428">
        <v>4.0</v>
      </c>
      <c r="U120" s="428">
        <v>2.0</v>
      </c>
      <c r="V120" s="428">
        <v>0.0</v>
      </c>
      <c r="W120" s="428">
        <v>0.0</v>
      </c>
      <c r="X120" s="428">
        <v>3.0</v>
      </c>
      <c r="Y120" s="428">
        <v>2.0</v>
      </c>
      <c r="Z120" s="428">
        <v>0.0</v>
      </c>
      <c r="AA120" s="428">
        <v>0.0</v>
      </c>
      <c r="AB120" s="428">
        <v>0.0</v>
      </c>
      <c r="AC120" s="428">
        <v>1.0</v>
      </c>
      <c r="AD120" s="428">
        <v>0.0</v>
      </c>
      <c r="AE120" s="428">
        <v>0.0</v>
      </c>
      <c r="AF120" s="428">
        <v>0.0</v>
      </c>
      <c r="AG120" s="428">
        <v>0.0</v>
      </c>
      <c r="AH120" s="428">
        <v>0.0</v>
      </c>
      <c r="AI120" s="428">
        <v>2.0</v>
      </c>
      <c r="AJ120" s="428">
        <v>0.0</v>
      </c>
    </row>
    <row r="121" ht="15.75" customHeight="1">
      <c r="A121" s="19" t="s">
        <v>168</v>
      </c>
      <c r="B121" s="428">
        <v>0.0</v>
      </c>
      <c r="C121" s="428">
        <v>1.0</v>
      </c>
      <c r="D121" s="428">
        <v>0.0</v>
      </c>
      <c r="E121" s="428">
        <v>1.0</v>
      </c>
      <c r="F121" s="428">
        <v>0.0</v>
      </c>
      <c r="G121" s="428">
        <v>0.0</v>
      </c>
      <c r="H121" s="428">
        <v>122.0</v>
      </c>
      <c r="I121" s="428">
        <v>3.0</v>
      </c>
      <c r="J121" s="428">
        <v>106.0</v>
      </c>
      <c r="K121" s="428">
        <v>16.0</v>
      </c>
      <c r="L121" s="428">
        <v>5.0</v>
      </c>
      <c r="M121" s="428">
        <v>1.0</v>
      </c>
      <c r="N121" s="428">
        <v>1664.0</v>
      </c>
      <c r="O121" s="428">
        <v>1696.0</v>
      </c>
      <c r="P121" s="428">
        <v>15.0</v>
      </c>
      <c r="Q121" s="428">
        <v>2.0</v>
      </c>
      <c r="R121" s="428">
        <v>26.0</v>
      </c>
      <c r="S121" s="428">
        <v>4.0</v>
      </c>
      <c r="T121" s="428">
        <v>2.0</v>
      </c>
      <c r="U121" s="428">
        <v>3.0</v>
      </c>
      <c r="V121" s="428">
        <v>0.0</v>
      </c>
      <c r="W121" s="428">
        <v>0.0</v>
      </c>
      <c r="X121" s="428">
        <v>1.0</v>
      </c>
      <c r="Y121" s="428">
        <v>3.0</v>
      </c>
      <c r="Z121" s="428">
        <v>0.0</v>
      </c>
      <c r="AA121" s="428">
        <v>0.0</v>
      </c>
      <c r="AB121" s="428">
        <v>0.0</v>
      </c>
      <c r="AC121" s="428">
        <v>1.0</v>
      </c>
      <c r="AD121" s="428">
        <v>0.0</v>
      </c>
      <c r="AE121" s="428">
        <v>0.0</v>
      </c>
      <c r="AF121" s="428">
        <v>0.0</v>
      </c>
      <c r="AG121" s="428">
        <v>0.0</v>
      </c>
      <c r="AH121" s="428">
        <v>0.0</v>
      </c>
      <c r="AI121" s="428">
        <v>3.0</v>
      </c>
      <c r="AJ121" s="428">
        <v>0.0</v>
      </c>
    </row>
    <row r="122" ht="15.75" customHeight="1">
      <c r="A122" s="19" t="s">
        <v>144</v>
      </c>
      <c r="B122" s="428">
        <v>0.0</v>
      </c>
      <c r="C122" s="428">
        <v>1.0</v>
      </c>
      <c r="D122" s="428">
        <v>0.0</v>
      </c>
      <c r="E122" s="428">
        <v>1.0</v>
      </c>
      <c r="F122" s="428">
        <v>0.0</v>
      </c>
      <c r="G122" s="428">
        <v>5.0</v>
      </c>
      <c r="H122" s="428">
        <v>83.0</v>
      </c>
      <c r="I122" s="428">
        <v>1.0</v>
      </c>
      <c r="J122" s="428">
        <v>85.0</v>
      </c>
      <c r="K122" s="428">
        <v>-2.0</v>
      </c>
      <c r="L122" s="428">
        <v>6.0</v>
      </c>
      <c r="M122" s="428">
        <v>3.0</v>
      </c>
      <c r="N122" s="428">
        <v>1664.0</v>
      </c>
      <c r="O122" s="428">
        <v>1696.0</v>
      </c>
      <c r="P122" s="428">
        <v>19.0</v>
      </c>
      <c r="Q122" s="428">
        <v>2.0</v>
      </c>
      <c r="R122" s="428">
        <v>17.0</v>
      </c>
      <c r="S122" s="428">
        <v>2.0</v>
      </c>
      <c r="T122" s="428">
        <v>0.0</v>
      </c>
      <c r="U122" s="428">
        <v>1.0</v>
      </c>
      <c r="V122" s="428">
        <v>0.0</v>
      </c>
      <c r="W122" s="428">
        <v>0.0</v>
      </c>
      <c r="X122" s="428">
        <v>0.0</v>
      </c>
      <c r="Y122" s="428">
        <v>1.0</v>
      </c>
      <c r="Z122" s="428">
        <v>0.0</v>
      </c>
      <c r="AA122" s="428">
        <v>0.0</v>
      </c>
      <c r="AB122" s="428">
        <v>0.0</v>
      </c>
      <c r="AC122" s="428">
        <v>0.0</v>
      </c>
      <c r="AD122" s="428">
        <v>0.0</v>
      </c>
      <c r="AE122" s="428">
        <v>0.0</v>
      </c>
      <c r="AF122" s="428">
        <v>0.0</v>
      </c>
      <c r="AG122" s="428">
        <v>0.0</v>
      </c>
      <c r="AH122" s="428">
        <v>0.0</v>
      </c>
      <c r="AI122" s="428">
        <v>1.0</v>
      </c>
      <c r="AJ122" s="428">
        <v>0.0</v>
      </c>
    </row>
    <row r="123" ht="15.75" customHeight="1">
      <c r="A123" s="19" t="s">
        <v>121</v>
      </c>
      <c r="B123" s="428">
        <v>0.0</v>
      </c>
      <c r="C123" s="428">
        <v>1.0</v>
      </c>
      <c r="D123" s="428">
        <v>0.0</v>
      </c>
      <c r="E123" s="428">
        <v>1.0</v>
      </c>
      <c r="F123" s="428">
        <v>0.0</v>
      </c>
      <c r="G123" s="428">
        <v>0.0</v>
      </c>
      <c r="H123" s="428">
        <v>79.0</v>
      </c>
      <c r="I123" s="428">
        <v>2.0</v>
      </c>
      <c r="J123" s="428">
        <v>93.0</v>
      </c>
      <c r="K123" s="428">
        <v>-14.0</v>
      </c>
      <c r="L123" s="428">
        <v>5.0</v>
      </c>
      <c r="M123" s="428">
        <v>2.0</v>
      </c>
      <c r="N123" s="428">
        <v>1664.0</v>
      </c>
      <c r="O123" s="428">
        <v>1695.0</v>
      </c>
      <c r="P123" s="428">
        <v>17.0</v>
      </c>
      <c r="Q123" s="428">
        <v>0.0</v>
      </c>
      <c r="R123" s="428">
        <v>8.0</v>
      </c>
      <c r="S123" s="428">
        <v>2.0</v>
      </c>
      <c r="T123" s="428">
        <v>0.0</v>
      </c>
      <c r="U123" s="428">
        <v>2.0</v>
      </c>
      <c r="V123" s="428">
        <v>0.0</v>
      </c>
      <c r="W123" s="428">
        <v>0.0</v>
      </c>
      <c r="X123" s="428">
        <v>0.0</v>
      </c>
      <c r="Y123" s="428">
        <v>2.0</v>
      </c>
      <c r="Z123" s="428">
        <v>0.0</v>
      </c>
      <c r="AA123" s="428">
        <v>0.0</v>
      </c>
      <c r="AB123" s="428">
        <v>0.0</v>
      </c>
      <c r="AC123" s="428">
        <v>0.0</v>
      </c>
      <c r="AD123" s="428">
        <v>0.0</v>
      </c>
      <c r="AE123" s="428">
        <v>0.0</v>
      </c>
      <c r="AF123" s="428">
        <v>0.0</v>
      </c>
      <c r="AG123" s="428">
        <v>0.0</v>
      </c>
      <c r="AH123" s="428">
        <v>0.0</v>
      </c>
      <c r="AI123" s="428">
        <v>0.0</v>
      </c>
      <c r="AJ123" s="428">
        <v>0.0</v>
      </c>
    </row>
    <row r="124" ht="15.75" customHeight="1">
      <c r="A124" s="19" t="s">
        <v>80</v>
      </c>
      <c r="B124" s="428">
        <v>1.0</v>
      </c>
      <c r="C124" s="428">
        <v>1.0</v>
      </c>
      <c r="D124" s="428">
        <v>0.0</v>
      </c>
      <c r="E124" s="428">
        <v>0.0</v>
      </c>
      <c r="F124" s="428">
        <v>1.0</v>
      </c>
      <c r="G124" s="428">
        <v>0.0</v>
      </c>
      <c r="H124" s="428">
        <v>121.0</v>
      </c>
      <c r="I124" s="428">
        <v>7.0</v>
      </c>
      <c r="J124" s="428">
        <v>126.0</v>
      </c>
      <c r="K124" s="428">
        <v>-5.0</v>
      </c>
      <c r="L124" s="428">
        <v>7.0</v>
      </c>
      <c r="M124" s="428">
        <v>1.0</v>
      </c>
      <c r="N124" s="428">
        <v>1664.0</v>
      </c>
      <c r="O124" s="428">
        <v>1696.0</v>
      </c>
      <c r="P124" s="428">
        <v>13.0</v>
      </c>
      <c r="Q124" s="428">
        <v>1.0</v>
      </c>
      <c r="R124" s="428">
        <v>21.0</v>
      </c>
      <c r="S124" s="428">
        <v>8.0</v>
      </c>
      <c r="T124" s="428">
        <v>8.0</v>
      </c>
      <c r="U124" s="428">
        <v>4.0</v>
      </c>
      <c r="V124" s="428">
        <v>0.0</v>
      </c>
      <c r="W124" s="428">
        <v>0.0</v>
      </c>
      <c r="X124" s="428">
        <v>4.0</v>
      </c>
      <c r="Y124" s="428">
        <v>4.0</v>
      </c>
      <c r="Z124" s="428">
        <v>0.0</v>
      </c>
      <c r="AA124" s="428">
        <v>0.0</v>
      </c>
      <c r="AB124" s="428">
        <v>0.0</v>
      </c>
      <c r="AC124" s="428">
        <v>2.0</v>
      </c>
      <c r="AD124" s="428">
        <v>1.0</v>
      </c>
      <c r="AE124" s="428">
        <v>1.0</v>
      </c>
      <c r="AF124" s="428">
        <v>0.0</v>
      </c>
      <c r="AG124" s="428">
        <v>0.0</v>
      </c>
      <c r="AH124" s="428">
        <v>0.0</v>
      </c>
      <c r="AI124" s="428">
        <v>2.0</v>
      </c>
      <c r="AJ124" s="428">
        <v>0.0</v>
      </c>
    </row>
    <row r="125" ht="15.75" customHeight="1">
      <c r="A125" s="19" t="s">
        <v>46</v>
      </c>
      <c r="B125" s="428">
        <v>1.0</v>
      </c>
      <c r="C125" s="428">
        <v>1.0</v>
      </c>
      <c r="D125" s="428">
        <v>0.0</v>
      </c>
      <c r="E125" s="428">
        <v>0.0</v>
      </c>
      <c r="F125" s="428">
        <v>1.0</v>
      </c>
      <c r="G125" s="428">
        <v>0.0</v>
      </c>
      <c r="H125" s="428">
        <v>112.0</v>
      </c>
      <c r="I125" s="428">
        <v>1.0</v>
      </c>
      <c r="J125" s="428">
        <v>113.0</v>
      </c>
      <c r="K125" s="428">
        <v>-1.0</v>
      </c>
      <c r="L125" s="428">
        <v>5.0</v>
      </c>
      <c r="M125" s="428">
        <v>1.0</v>
      </c>
      <c r="N125" s="428">
        <v>1664.0</v>
      </c>
      <c r="O125" s="428">
        <v>1696.0</v>
      </c>
      <c r="P125" s="428">
        <v>14.0</v>
      </c>
      <c r="Q125" s="428">
        <v>1.0</v>
      </c>
      <c r="R125" s="428">
        <v>21.0</v>
      </c>
      <c r="S125" s="428">
        <v>4.0</v>
      </c>
      <c r="T125" s="428">
        <v>0.0</v>
      </c>
      <c r="U125" s="428">
        <v>2.0</v>
      </c>
      <c r="V125" s="428">
        <v>0.0</v>
      </c>
      <c r="W125" s="428">
        <v>0.0</v>
      </c>
      <c r="X125" s="428">
        <v>0.0</v>
      </c>
      <c r="Y125" s="428">
        <v>2.0</v>
      </c>
      <c r="Z125" s="428">
        <v>0.0</v>
      </c>
      <c r="AA125" s="428">
        <v>0.0</v>
      </c>
      <c r="AB125" s="428">
        <v>0.0</v>
      </c>
      <c r="AC125" s="428">
        <v>0.0</v>
      </c>
      <c r="AD125" s="428">
        <v>0.0</v>
      </c>
      <c r="AE125" s="428">
        <v>0.0</v>
      </c>
      <c r="AF125" s="428">
        <v>0.0</v>
      </c>
      <c r="AG125" s="428">
        <v>0.0</v>
      </c>
      <c r="AH125" s="428">
        <v>0.0</v>
      </c>
      <c r="AI125" s="428">
        <v>0.0</v>
      </c>
      <c r="AJ125" s="428">
        <v>0.0</v>
      </c>
    </row>
    <row r="126" ht="15.75" customHeight="1">
      <c r="A126" s="19" t="s">
        <v>60</v>
      </c>
      <c r="B126" s="428">
        <v>1.0</v>
      </c>
      <c r="C126" s="428">
        <v>1.0</v>
      </c>
      <c r="D126" s="428">
        <v>0.0</v>
      </c>
      <c r="E126" s="428">
        <v>0.0</v>
      </c>
      <c r="F126" s="428">
        <v>1.0</v>
      </c>
      <c r="G126" s="428">
        <v>0.0</v>
      </c>
      <c r="H126" s="428">
        <v>105.0</v>
      </c>
      <c r="I126" s="428">
        <v>2.0</v>
      </c>
      <c r="J126" s="428">
        <v>121.0</v>
      </c>
      <c r="K126" s="428">
        <v>-16.0</v>
      </c>
      <c r="L126" s="428">
        <v>4.0</v>
      </c>
      <c r="M126" s="428">
        <v>4.0</v>
      </c>
      <c r="N126" s="428">
        <v>1664.0</v>
      </c>
      <c r="O126" s="428">
        <v>1695.0</v>
      </c>
      <c r="P126" s="428">
        <v>13.0</v>
      </c>
      <c r="Q126" s="428">
        <v>1.0</v>
      </c>
      <c r="R126" s="428">
        <v>17.0</v>
      </c>
      <c r="S126" s="428">
        <v>1.0</v>
      </c>
      <c r="T126" s="428">
        <v>0.0</v>
      </c>
      <c r="U126" s="428">
        <v>0.0</v>
      </c>
      <c r="V126" s="428">
        <v>0.0</v>
      </c>
      <c r="W126" s="428">
        <v>0.0</v>
      </c>
      <c r="X126" s="428">
        <v>0.0</v>
      </c>
      <c r="Y126" s="428">
        <v>0.0</v>
      </c>
      <c r="Z126" s="428">
        <v>0.0</v>
      </c>
      <c r="AA126" s="428">
        <v>0.0</v>
      </c>
      <c r="AB126" s="428">
        <v>0.0</v>
      </c>
      <c r="AC126" s="428">
        <v>0.0</v>
      </c>
      <c r="AD126" s="428">
        <v>0.0</v>
      </c>
      <c r="AE126" s="428">
        <v>0.0</v>
      </c>
      <c r="AF126" s="428">
        <v>0.0</v>
      </c>
      <c r="AG126" s="428">
        <v>0.0</v>
      </c>
      <c r="AH126" s="428">
        <v>0.0</v>
      </c>
      <c r="AI126" s="428">
        <v>0.0</v>
      </c>
      <c r="AJ126" s="428">
        <v>0.0</v>
      </c>
    </row>
    <row r="127" ht="15.75" customHeight="1">
      <c r="A127" s="19" t="s">
        <v>102</v>
      </c>
      <c r="B127" s="428">
        <v>1.0</v>
      </c>
      <c r="C127" s="428">
        <v>1.0</v>
      </c>
      <c r="D127" s="428">
        <v>0.0</v>
      </c>
      <c r="E127" s="428">
        <v>0.0</v>
      </c>
      <c r="F127" s="428">
        <v>1.0</v>
      </c>
      <c r="G127" s="428">
        <v>1.0</v>
      </c>
      <c r="H127" s="428">
        <v>44.0</v>
      </c>
      <c r="I127" s="428">
        <v>0.0</v>
      </c>
      <c r="J127" s="428">
        <v>60.0</v>
      </c>
      <c r="K127" s="428">
        <v>-16.0</v>
      </c>
      <c r="L127" s="428">
        <v>3.0</v>
      </c>
      <c r="M127" s="428">
        <v>0.0</v>
      </c>
      <c r="N127" s="428">
        <v>1664.0</v>
      </c>
      <c r="O127" s="428">
        <v>1696.0</v>
      </c>
      <c r="P127" s="428">
        <v>27.0</v>
      </c>
      <c r="Q127" s="428">
        <v>2.0</v>
      </c>
      <c r="R127" s="428">
        <v>4.0</v>
      </c>
      <c r="S127" s="428">
        <v>1.0</v>
      </c>
      <c r="T127" s="428">
        <v>0.0</v>
      </c>
      <c r="U127" s="428">
        <v>0.0</v>
      </c>
      <c r="V127" s="428">
        <v>0.0</v>
      </c>
      <c r="W127" s="428">
        <v>0.0</v>
      </c>
      <c r="X127" s="428">
        <v>0.0</v>
      </c>
      <c r="Y127" s="428">
        <v>0.0</v>
      </c>
      <c r="Z127" s="428">
        <v>0.0</v>
      </c>
      <c r="AA127" s="428">
        <v>0.0</v>
      </c>
      <c r="AB127" s="428">
        <v>0.0</v>
      </c>
      <c r="AC127" s="428">
        <v>0.0</v>
      </c>
      <c r="AD127" s="428">
        <v>0.0</v>
      </c>
      <c r="AE127" s="428">
        <v>0.0</v>
      </c>
      <c r="AF127" s="428">
        <v>0.0</v>
      </c>
      <c r="AG127" s="428">
        <v>0.0</v>
      </c>
      <c r="AH127" s="428">
        <v>0.0</v>
      </c>
      <c r="AI127" s="428">
        <v>5.0</v>
      </c>
      <c r="AJ127" s="428">
        <v>0.0</v>
      </c>
    </row>
    <row r="128" ht="15.75" customHeight="1">
      <c r="A128" s="19" t="s">
        <v>104</v>
      </c>
      <c r="B128" s="428">
        <v>0.0</v>
      </c>
      <c r="C128" s="428">
        <v>0.0</v>
      </c>
      <c r="D128" s="428">
        <v>1.0</v>
      </c>
      <c r="E128" s="428">
        <v>0.0</v>
      </c>
      <c r="F128" s="428">
        <v>0.0</v>
      </c>
      <c r="G128" s="428">
        <v>0.0</v>
      </c>
      <c r="H128" s="428">
        <v>0.0</v>
      </c>
      <c r="I128" s="428">
        <v>0.0</v>
      </c>
      <c r="J128" s="428">
        <v>0.0</v>
      </c>
      <c r="K128" s="428">
        <v>0.0</v>
      </c>
      <c r="L128" s="428">
        <v>0.0</v>
      </c>
      <c r="M128" s="428">
        <v>0.0</v>
      </c>
      <c r="N128" s="428">
        <v>0.0</v>
      </c>
      <c r="O128" s="428">
        <v>0.0</v>
      </c>
      <c r="P128" s="428">
        <v>0.0</v>
      </c>
      <c r="Q128" s="428">
        <v>0.0</v>
      </c>
      <c r="R128" s="428">
        <v>0.0</v>
      </c>
      <c r="S128" s="428">
        <v>0.0</v>
      </c>
      <c r="T128" s="428">
        <v>0.0</v>
      </c>
      <c r="U128" s="428">
        <v>0.0</v>
      </c>
      <c r="V128" s="428">
        <v>0.0</v>
      </c>
      <c r="W128" s="428">
        <v>0.0</v>
      </c>
      <c r="X128" s="428">
        <v>0.0</v>
      </c>
      <c r="Y128" s="428">
        <v>0.0</v>
      </c>
      <c r="Z128" s="428">
        <v>0.0</v>
      </c>
      <c r="AA128" s="428">
        <v>0.0</v>
      </c>
      <c r="AB128" s="428">
        <v>0.0</v>
      </c>
      <c r="AC128" s="428">
        <v>0.0</v>
      </c>
      <c r="AD128" s="428">
        <v>0.0</v>
      </c>
      <c r="AE128" s="428">
        <v>0.0</v>
      </c>
      <c r="AF128" s="428">
        <v>0.0</v>
      </c>
      <c r="AG128" s="428">
        <v>0.0</v>
      </c>
      <c r="AH128" s="428">
        <v>0.0</v>
      </c>
      <c r="AI128" s="428">
        <v>0.0</v>
      </c>
      <c r="AJ128" s="428">
        <v>0.0</v>
      </c>
    </row>
    <row r="129" ht="15.75" customHeight="1">
      <c r="A129" s="429" t="s">
        <v>15</v>
      </c>
      <c r="B129" s="430">
        <v>1.0</v>
      </c>
      <c r="C129" s="430">
        <v>0.0</v>
      </c>
      <c r="D129" s="430">
        <v>1.0</v>
      </c>
      <c r="E129" s="430">
        <v>0.0</v>
      </c>
      <c r="F129" s="430">
        <v>0.0</v>
      </c>
      <c r="G129" s="430">
        <v>0.0</v>
      </c>
      <c r="H129" s="430">
        <v>0.0</v>
      </c>
      <c r="I129" s="430">
        <v>0.0</v>
      </c>
      <c r="J129" s="430">
        <v>0.0</v>
      </c>
      <c r="K129" s="430">
        <v>0.0</v>
      </c>
      <c r="L129" s="430">
        <v>0.0</v>
      </c>
      <c r="M129" s="430">
        <v>0.0</v>
      </c>
      <c r="N129" s="430">
        <v>0.0</v>
      </c>
      <c r="O129" s="430">
        <v>0.0</v>
      </c>
      <c r="P129" s="430">
        <v>0.0</v>
      </c>
      <c r="Q129" s="430">
        <v>0.0</v>
      </c>
      <c r="R129" s="430">
        <v>0.0</v>
      </c>
      <c r="S129" s="430">
        <v>0.0</v>
      </c>
      <c r="T129" s="430">
        <v>0.0</v>
      </c>
      <c r="U129" s="430">
        <v>0.0</v>
      </c>
      <c r="V129" s="430">
        <v>0.0</v>
      </c>
      <c r="W129" s="430">
        <v>0.0</v>
      </c>
      <c r="X129" s="430">
        <v>0.0</v>
      </c>
      <c r="Y129" s="430">
        <v>0.0</v>
      </c>
      <c r="Z129" s="430">
        <v>0.0</v>
      </c>
      <c r="AA129" s="430">
        <v>0.0</v>
      </c>
      <c r="AB129" s="430">
        <v>0.0</v>
      </c>
      <c r="AC129" s="430">
        <v>0.0</v>
      </c>
      <c r="AD129" s="430">
        <v>0.0</v>
      </c>
      <c r="AE129" s="430">
        <v>0.0</v>
      </c>
      <c r="AF129" s="430">
        <v>0.0</v>
      </c>
      <c r="AG129" s="430">
        <v>0.0</v>
      </c>
      <c r="AH129" s="430">
        <v>0.0</v>
      </c>
      <c r="AI129" s="430">
        <v>0.0</v>
      </c>
      <c r="AJ129" s="430">
        <v>0.0</v>
      </c>
    </row>
    <row r="130" ht="15.75" customHeight="1">
      <c r="A130" s="19" t="s">
        <v>116</v>
      </c>
      <c r="B130" s="428">
        <v>1.0</v>
      </c>
      <c r="C130" s="428">
        <v>1.0</v>
      </c>
      <c r="D130" s="428">
        <v>0.0</v>
      </c>
      <c r="E130" s="428">
        <v>1.0</v>
      </c>
      <c r="F130" s="428">
        <v>0.0</v>
      </c>
      <c r="G130" s="428">
        <v>1.0</v>
      </c>
      <c r="H130" s="428">
        <v>66.0</v>
      </c>
      <c r="I130" s="428">
        <v>1.0</v>
      </c>
      <c r="J130" s="428">
        <v>56.0</v>
      </c>
      <c r="K130" s="428">
        <v>10.0</v>
      </c>
      <c r="L130" s="428">
        <v>5.0</v>
      </c>
      <c r="M130" s="428">
        <v>2.0</v>
      </c>
      <c r="N130" s="428">
        <v>837.0</v>
      </c>
      <c r="O130" s="428">
        <v>867.0</v>
      </c>
      <c r="P130" s="428">
        <v>14.0</v>
      </c>
      <c r="Q130" s="428">
        <v>0.0</v>
      </c>
      <c r="R130" s="428">
        <v>14.0</v>
      </c>
      <c r="S130" s="428">
        <v>2.0</v>
      </c>
      <c r="T130" s="428">
        <v>0.0</v>
      </c>
      <c r="U130" s="428">
        <v>2.0</v>
      </c>
      <c r="V130" s="428">
        <v>0.0</v>
      </c>
      <c r="W130" s="428">
        <v>0.0</v>
      </c>
      <c r="X130" s="428">
        <v>0.0</v>
      </c>
      <c r="Y130" s="428">
        <v>2.0</v>
      </c>
      <c r="Z130" s="428">
        <v>0.0</v>
      </c>
      <c r="AA130" s="428">
        <v>0.0</v>
      </c>
      <c r="AB130" s="428">
        <v>0.0</v>
      </c>
      <c r="AC130" s="428">
        <v>0.0</v>
      </c>
      <c r="AD130" s="428">
        <v>0.0</v>
      </c>
      <c r="AE130" s="428">
        <v>0.0</v>
      </c>
      <c r="AF130" s="428">
        <v>0.0</v>
      </c>
      <c r="AG130" s="428">
        <v>0.0</v>
      </c>
      <c r="AH130" s="428">
        <v>0.0</v>
      </c>
      <c r="AI130" s="428">
        <v>0.0</v>
      </c>
      <c r="AJ130" s="428">
        <v>0.0</v>
      </c>
    </row>
    <row r="131" ht="15.75" customHeight="1">
      <c r="A131" s="19" t="s">
        <v>129</v>
      </c>
      <c r="B131" s="428">
        <v>1.0</v>
      </c>
      <c r="C131" s="428">
        <v>1.0</v>
      </c>
      <c r="D131" s="428">
        <v>0.0</v>
      </c>
      <c r="E131" s="428">
        <v>1.0</v>
      </c>
      <c r="F131" s="428">
        <v>0.0</v>
      </c>
      <c r="G131" s="428">
        <v>1.0</v>
      </c>
      <c r="H131" s="428">
        <v>50.0</v>
      </c>
      <c r="I131" s="428">
        <v>3.0</v>
      </c>
      <c r="J131" s="428">
        <v>56.0</v>
      </c>
      <c r="K131" s="428">
        <v>-6.0</v>
      </c>
      <c r="L131" s="428">
        <v>5.0</v>
      </c>
      <c r="M131" s="428">
        <v>1.0</v>
      </c>
      <c r="N131" s="428">
        <v>837.0</v>
      </c>
      <c r="O131" s="428">
        <v>867.0</v>
      </c>
      <c r="P131" s="428">
        <v>14.0</v>
      </c>
      <c r="Q131" s="428">
        <v>1.0</v>
      </c>
      <c r="R131" s="428">
        <v>8.0</v>
      </c>
      <c r="S131" s="428">
        <v>1.0</v>
      </c>
      <c r="T131" s="428">
        <v>2.0</v>
      </c>
      <c r="U131" s="428">
        <v>1.0</v>
      </c>
      <c r="V131" s="428">
        <v>0.0</v>
      </c>
      <c r="W131" s="428">
        <v>0.0</v>
      </c>
      <c r="X131" s="428">
        <v>1.0</v>
      </c>
      <c r="Y131" s="428">
        <v>1.0</v>
      </c>
      <c r="Z131" s="428">
        <v>0.0</v>
      </c>
      <c r="AA131" s="428">
        <v>0.0</v>
      </c>
      <c r="AB131" s="428">
        <v>0.0</v>
      </c>
      <c r="AC131" s="428">
        <v>1.0</v>
      </c>
      <c r="AD131" s="428">
        <v>0.0</v>
      </c>
      <c r="AE131" s="428">
        <v>0.0</v>
      </c>
      <c r="AF131" s="428">
        <v>0.0</v>
      </c>
      <c r="AG131" s="428">
        <v>0.0</v>
      </c>
      <c r="AH131" s="428">
        <v>0.0</v>
      </c>
      <c r="AI131" s="428">
        <v>1.0</v>
      </c>
      <c r="AJ131" s="428">
        <v>0.0</v>
      </c>
    </row>
    <row r="132" ht="15.75" customHeight="1">
      <c r="A132" s="19" t="s">
        <v>169</v>
      </c>
      <c r="B132" s="428">
        <v>1.0</v>
      </c>
      <c r="C132" s="428">
        <v>1.0</v>
      </c>
      <c r="D132" s="428">
        <v>0.0</v>
      </c>
      <c r="E132" s="428">
        <v>1.0</v>
      </c>
      <c r="F132" s="428">
        <v>0.0</v>
      </c>
      <c r="G132" s="428">
        <v>2.0</v>
      </c>
      <c r="H132" s="428">
        <v>52.0</v>
      </c>
      <c r="I132" s="428">
        <v>2.0</v>
      </c>
      <c r="J132" s="428">
        <v>63.0</v>
      </c>
      <c r="K132" s="428">
        <v>-11.0</v>
      </c>
      <c r="L132" s="428">
        <v>6.0</v>
      </c>
      <c r="M132" s="428">
        <v>0.0</v>
      </c>
      <c r="N132" s="428">
        <v>837.0</v>
      </c>
      <c r="O132" s="428">
        <v>867.0</v>
      </c>
      <c r="P132" s="428">
        <v>13.0</v>
      </c>
      <c r="Q132" s="428">
        <v>1.0</v>
      </c>
      <c r="R132" s="428">
        <v>10.0</v>
      </c>
      <c r="S132" s="428">
        <v>1.0</v>
      </c>
      <c r="T132" s="428">
        <v>0.0</v>
      </c>
      <c r="U132" s="428">
        <v>1.0</v>
      </c>
      <c r="V132" s="428">
        <v>0.0</v>
      </c>
      <c r="W132" s="428">
        <v>0.0</v>
      </c>
      <c r="X132" s="428">
        <v>0.0</v>
      </c>
      <c r="Y132" s="428">
        <v>1.0</v>
      </c>
      <c r="Z132" s="428">
        <v>0.0</v>
      </c>
      <c r="AA132" s="428">
        <v>0.0</v>
      </c>
      <c r="AB132" s="428">
        <v>0.0</v>
      </c>
      <c r="AC132" s="428">
        <v>0.0</v>
      </c>
      <c r="AD132" s="428">
        <v>0.0</v>
      </c>
      <c r="AE132" s="428">
        <v>0.0</v>
      </c>
      <c r="AF132" s="428">
        <v>0.0</v>
      </c>
      <c r="AG132" s="428">
        <v>0.0</v>
      </c>
      <c r="AH132" s="428">
        <v>0.0</v>
      </c>
      <c r="AI132" s="428">
        <v>0.0</v>
      </c>
      <c r="AJ132" s="428">
        <v>0.0</v>
      </c>
    </row>
    <row r="133" ht="15.75" customHeight="1">
      <c r="A133" s="19" t="s">
        <v>127</v>
      </c>
      <c r="B133" s="428">
        <v>1.0</v>
      </c>
      <c r="C133" s="428">
        <v>1.0</v>
      </c>
      <c r="D133" s="428">
        <v>0.0</v>
      </c>
      <c r="E133" s="428">
        <v>1.0</v>
      </c>
      <c r="F133" s="428">
        <v>0.0</v>
      </c>
      <c r="G133" s="428">
        <v>1.0</v>
      </c>
      <c r="H133" s="428">
        <v>55.0</v>
      </c>
      <c r="I133" s="428">
        <v>2.0</v>
      </c>
      <c r="J133" s="428">
        <v>47.0</v>
      </c>
      <c r="K133" s="428">
        <v>8.0</v>
      </c>
      <c r="L133" s="428">
        <v>6.0</v>
      </c>
      <c r="M133" s="428">
        <v>0.0</v>
      </c>
      <c r="N133" s="428">
        <v>837.0</v>
      </c>
      <c r="O133" s="428">
        <v>867.0</v>
      </c>
      <c r="P133" s="428">
        <v>17.0</v>
      </c>
      <c r="Q133" s="428">
        <v>2.0</v>
      </c>
      <c r="R133" s="428">
        <v>6.0</v>
      </c>
      <c r="S133" s="428">
        <v>3.0</v>
      </c>
      <c r="T133" s="428">
        <v>1.0</v>
      </c>
      <c r="U133" s="428">
        <v>1.0</v>
      </c>
      <c r="V133" s="428">
        <v>0.0</v>
      </c>
      <c r="W133" s="428">
        <v>0.0</v>
      </c>
      <c r="X133" s="428">
        <v>1.0</v>
      </c>
      <c r="Y133" s="428">
        <v>1.0</v>
      </c>
      <c r="Z133" s="428">
        <v>0.0</v>
      </c>
      <c r="AA133" s="428">
        <v>0.0</v>
      </c>
      <c r="AB133" s="428">
        <v>0.0</v>
      </c>
      <c r="AC133" s="428">
        <v>0.0</v>
      </c>
      <c r="AD133" s="428">
        <v>0.0</v>
      </c>
      <c r="AE133" s="428">
        <v>0.0</v>
      </c>
      <c r="AF133" s="428">
        <v>0.0</v>
      </c>
      <c r="AG133" s="428">
        <v>0.0</v>
      </c>
      <c r="AH133" s="428">
        <v>0.0</v>
      </c>
      <c r="AI133" s="428">
        <v>0.0</v>
      </c>
      <c r="AJ133" s="428">
        <v>0.0</v>
      </c>
    </row>
    <row r="134" ht="15.75" customHeight="1">
      <c r="A134" s="19" t="s">
        <v>53</v>
      </c>
      <c r="B134" s="428">
        <v>0.0</v>
      </c>
      <c r="C134" s="428">
        <v>1.0</v>
      </c>
      <c r="D134" s="428">
        <v>0.0</v>
      </c>
      <c r="E134" s="428">
        <v>0.0</v>
      </c>
      <c r="F134" s="428">
        <v>1.0</v>
      </c>
      <c r="G134" s="428">
        <v>0.0</v>
      </c>
      <c r="H134" s="428">
        <v>69.0</v>
      </c>
      <c r="I134" s="428">
        <v>0.0</v>
      </c>
      <c r="J134" s="428">
        <v>65.0</v>
      </c>
      <c r="K134" s="428">
        <v>4.0</v>
      </c>
      <c r="L134" s="428">
        <v>4.0</v>
      </c>
      <c r="M134" s="428">
        <v>3.0</v>
      </c>
      <c r="N134" s="428">
        <v>837.0</v>
      </c>
      <c r="O134" s="428">
        <v>867.0</v>
      </c>
      <c r="P134" s="428">
        <v>12.0</v>
      </c>
      <c r="Q134" s="428">
        <v>0.0</v>
      </c>
      <c r="R134" s="428">
        <v>17.0</v>
      </c>
      <c r="S134" s="428">
        <v>4.0</v>
      </c>
      <c r="T134" s="428">
        <v>0.0</v>
      </c>
      <c r="U134" s="428">
        <v>0.0</v>
      </c>
      <c r="V134" s="428">
        <v>0.0</v>
      </c>
      <c r="W134" s="428">
        <v>0.0</v>
      </c>
      <c r="X134" s="428">
        <v>0.0</v>
      </c>
      <c r="Y134" s="428">
        <v>0.0</v>
      </c>
      <c r="Z134" s="428">
        <v>0.0</v>
      </c>
      <c r="AA134" s="428">
        <v>0.0</v>
      </c>
      <c r="AB134" s="428">
        <v>0.0</v>
      </c>
      <c r="AC134" s="428">
        <v>0.0</v>
      </c>
      <c r="AD134" s="428">
        <v>0.0</v>
      </c>
      <c r="AE134" s="428">
        <v>0.0</v>
      </c>
      <c r="AF134" s="428">
        <v>0.0</v>
      </c>
      <c r="AG134" s="428">
        <v>0.0</v>
      </c>
      <c r="AH134" s="428">
        <v>0.0</v>
      </c>
      <c r="AI134" s="428">
        <v>4.0</v>
      </c>
      <c r="AJ134" s="428">
        <v>0.0</v>
      </c>
    </row>
    <row r="135" ht="15.75" customHeight="1">
      <c r="A135" s="19" t="s">
        <v>142</v>
      </c>
      <c r="B135" s="428">
        <v>0.0</v>
      </c>
      <c r="C135" s="428">
        <v>1.0</v>
      </c>
      <c r="D135" s="428">
        <v>0.0</v>
      </c>
      <c r="E135" s="428">
        <v>0.0</v>
      </c>
      <c r="F135" s="428">
        <v>1.0</v>
      </c>
      <c r="G135" s="428">
        <v>1.0</v>
      </c>
      <c r="H135" s="428">
        <v>50.0</v>
      </c>
      <c r="I135" s="428">
        <v>4.0</v>
      </c>
      <c r="J135" s="428">
        <v>46.0</v>
      </c>
      <c r="K135" s="428">
        <v>4.0</v>
      </c>
      <c r="L135" s="428">
        <v>5.0</v>
      </c>
      <c r="M135" s="428">
        <v>0.0</v>
      </c>
      <c r="N135" s="428">
        <v>837.0</v>
      </c>
      <c r="O135" s="428">
        <v>867.0</v>
      </c>
      <c r="P135" s="428">
        <v>18.0</v>
      </c>
      <c r="Q135" s="428">
        <v>3.0</v>
      </c>
      <c r="R135" s="428">
        <v>8.0</v>
      </c>
      <c r="S135" s="428">
        <v>0.0</v>
      </c>
      <c r="T135" s="428">
        <v>0.0</v>
      </c>
      <c r="U135" s="428">
        <v>1.0</v>
      </c>
      <c r="V135" s="428">
        <v>0.0</v>
      </c>
      <c r="W135" s="428">
        <v>0.0</v>
      </c>
      <c r="X135" s="428">
        <v>0.0</v>
      </c>
      <c r="Y135" s="428">
        <v>1.0</v>
      </c>
      <c r="Z135" s="428">
        <v>0.0</v>
      </c>
      <c r="AA135" s="428">
        <v>0.0</v>
      </c>
      <c r="AB135" s="428">
        <v>0.0</v>
      </c>
      <c r="AC135" s="428">
        <v>0.0</v>
      </c>
      <c r="AD135" s="428">
        <v>0.0</v>
      </c>
      <c r="AE135" s="428">
        <v>0.0</v>
      </c>
      <c r="AF135" s="428">
        <v>0.0</v>
      </c>
      <c r="AG135" s="428">
        <v>0.0</v>
      </c>
      <c r="AH135" s="428">
        <v>0.0</v>
      </c>
      <c r="AI135" s="428">
        <v>4.0</v>
      </c>
      <c r="AJ135" s="428">
        <v>0.0</v>
      </c>
    </row>
    <row r="136" ht="15.75" customHeight="1">
      <c r="A136" s="19" t="s">
        <v>24</v>
      </c>
      <c r="B136" s="428">
        <v>0.0</v>
      </c>
      <c r="C136" s="428">
        <v>1.0</v>
      </c>
      <c r="D136" s="428">
        <v>0.0</v>
      </c>
      <c r="E136" s="428">
        <v>0.0</v>
      </c>
      <c r="F136" s="428">
        <v>1.0</v>
      </c>
      <c r="G136" s="428">
        <v>0.0</v>
      </c>
      <c r="H136" s="428">
        <v>47.0</v>
      </c>
      <c r="I136" s="428">
        <v>3.0</v>
      </c>
      <c r="J136" s="428">
        <v>60.0</v>
      </c>
      <c r="K136" s="428">
        <v>-13.0</v>
      </c>
      <c r="L136" s="428">
        <v>5.0</v>
      </c>
      <c r="M136" s="428">
        <v>1.0</v>
      </c>
      <c r="N136" s="428">
        <v>837.0</v>
      </c>
      <c r="O136" s="428">
        <v>867.0</v>
      </c>
      <c r="P136" s="428">
        <v>13.0</v>
      </c>
      <c r="Q136" s="428">
        <v>4.0</v>
      </c>
      <c r="R136" s="428">
        <v>9.0</v>
      </c>
      <c r="S136" s="428">
        <v>2.0</v>
      </c>
      <c r="T136" s="428">
        <v>0.0</v>
      </c>
      <c r="U136" s="428">
        <v>1.0</v>
      </c>
      <c r="V136" s="428">
        <v>0.0</v>
      </c>
      <c r="W136" s="428">
        <v>0.0</v>
      </c>
      <c r="X136" s="428">
        <v>0.0</v>
      </c>
      <c r="Y136" s="428">
        <v>1.0</v>
      </c>
      <c r="Z136" s="428">
        <v>0.0</v>
      </c>
      <c r="AA136" s="428">
        <v>0.0</v>
      </c>
      <c r="AB136" s="428">
        <v>0.0</v>
      </c>
      <c r="AC136" s="428">
        <v>0.0</v>
      </c>
      <c r="AD136" s="428">
        <v>0.0</v>
      </c>
      <c r="AE136" s="428">
        <v>0.0</v>
      </c>
      <c r="AF136" s="428">
        <v>0.0</v>
      </c>
      <c r="AG136" s="428">
        <v>0.0</v>
      </c>
      <c r="AH136" s="428">
        <v>0.0</v>
      </c>
      <c r="AI136" s="428">
        <v>5.0</v>
      </c>
      <c r="AJ136" s="428">
        <v>0.0</v>
      </c>
    </row>
    <row r="137" ht="15.75" customHeight="1">
      <c r="A137" s="19" t="s">
        <v>61</v>
      </c>
      <c r="B137" s="428">
        <v>0.0</v>
      </c>
      <c r="C137" s="428">
        <v>1.0</v>
      </c>
      <c r="D137" s="428">
        <v>0.0</v>
      </c>
      <c r="E137" s="428">
        <v>0.0</v>
      </c>
      <c r="F137" s="428">
        <v>1.0</v>
      </c>
      <c r="G137" s="428">
        <v>0.0</v>
      </c>
      <c r="H137" s="428">
        <v>53.0</v>
      </c>
      <c r="I137" s="428">
        <v>2.0</v>
      </c>
      <c r="J137" s="428">
        <v>57.0</v>
      </c>
      <c r="K137" s="428">
        <v>-4.0</v>
      </c>
      <c r="L137" s="428">
        <v>7.0</v>
      </c>
      <c r="M137" s="428">
        <v>1.0</v>
      </c>
      <c r="N137" s="428">
        <v>837.0</v>
      </c>
      <c r="O137" s="428">
        <v>867.0</v>
      </c>
      <c r="P137" s="428">
        <v>14.0</v>
      </c>
      <c r="Q137" s="428">
        <v>2.0</v>
      </c>
      <c r="R137" s="428">
        <v>10.0</v>
      </c>
      <c r="S137" s="428">
        <v>2.0</v>
      </c>
      <c r="T137" s="428">
        <v>1.0</v>
      </c>
      <c r="U137" s="428">
        <v>1.0</v>
      </c>
      <c r="V137" s="428">
        <v>0.0</v>
      </c>
      <c r="W137" s="428">
        <v>0.0</v>
      </c>
      <c r="X137" s="428">
        <v>1.0</v>
      </c>
      <c r="Y137" s="428">
        <v>1.0</v>
      </c>
      <c r="Z137" s="428">
        <v>0.0</v>
      </c>
      <c r="AA137" s="428">
        <v>0.0</v>
      </c>
      <c r="AB137" s="428">
        <v>0.0</v>
      </c>
      <c r="AC137" s="428">
        <v>0.0</v>
      </c>
      <c r="AD137" s="428">
        <v>0.0</v>
      </c>
      <c r="AE137" s="428">
        <v>0.0</v>
      </c>
      <c r="AF137" s="428">
        <v>0.0</v>
      </c>
      <c r="AG137" s="428">
        <v>0.0</v>
      </c>
      <c r="AH137" s="428">
        <v>0.0</v>
      </c>
      <c r="AI137" s="428">
        <v>2.0</v>
      </c>
      <c r="AJ137" s="428">
        <v>0.0</v>
      </c>
    </row>
    <row r="138" ht="15.75" customHeight="1">
      <c r="A138" s="429" t="s">
        <v>121</v>
      </c>
      <c r="B138" s="430">
        <v>0.0</v>
      </c>
      <c r="C138" s="430">
        <v>0.0</v>
      </c>
      <c r="D138" s="430">
        <v>1.0</v>
      </c>
      <c r="E138" s="430">
        <v>0.0</v>
      </c>
      <c r="F138" s="430">
        <v>0.0</v>
      </c>
      <c r="G138" s="430">
        <v>0.0</v>
      </c>
      <c r="H138" s="430">
        <v>0.0</v>
      </c>
      <c r="I138" s="430">
        <v>0.0</v>
      </c>
      <c r="J138" s="430">
        <v>0.0</v>
      </c>
      <c r="K138" s="430">
        <v>0.0</v>
      </c>
      <c r="L138" s="430">
        <v>0.0</v>
      </c>
      <c r="M138" s="430">
        <v>0.0</v>
      </c>
      <c r="N138" s="430">
        <v>0.0</v>
      </c>
      <c r="O138" s="430">
        <v>0.0</v>
      </c>
      <c r="P138" s="430">
        <v>0.0</v>
      </c>
      <c r="Q138" s="430">
        <v>0.0</v>
      </c>
      <c r="R138" s="430">
        <v>0.0</v>
      </c>
      <c r="S138" s="430">
        <v>0.0</v>
      </c>
      <c r="T138" s="430">
        <v>0.0</v>
      </c>
      <c r="U138" s="430">
        <v>0.0</v>
      </c>
      <c r="V138" s="430">
        <v>0.0</v>
      </c>
      <c r="W138" s="430">
        <v>0.0</v>
      </c>
      <c r="X138" s="430">
        <v>0.0</v>
      </c>
      <c r="Y138" s="430">
        <v>0.0</v>
      </c>
      <c r="Z138" s="430">
        <v>0.0</v>
      </c>
      <c r="AA138" s="430">
        <v>0.0</v>
      </c>
      <c r="AB138" s="430">
        <v>0.0</v>
      </c>
      <c r="AC138" s="430">
        <v>0.0</v>
      </c>
      <c r="AD138" s="430">
        <v>0.0</v>
      </c>
      <c r="AE138" s="430">
        <v>0.0</v>
      </c>
      <c r="AF138" s="430">
        <v>0.0</v>
      </c>
      <c r="AG138" s="430">
        <v>0.0</v>
      </c>
      <c r="AH138" s="430">
        <v>0.0</v>
      </c>
      <c r="AI138" s="430">
        <v>0.0</v>
      </c>
      <c r="AJ138" s="430">
        <v>0.0</v>
      </c>
    </row>
    <row r="139" ht="15.75" customHeight="1">
      <c r="A139" s="19" t="s">
        <v>129</v>
      </c>
      <c r="B139" s="428">
        <v>0.0</v>
      </c>
      <c r="C139" s="428">
        <v>1.0</v>
      </c>
      <c r="D139" s="428">
        <v>0.0</v>
      </c>
      <c r="E139" s="428">
        <v>1.0</v>
      </c>
      <c r="F139" s="428">
        <v>0.0</v>
      </c>
      <c r="G139" s="428">
        <v>3.0</v>
      </c>
      <c r="H139" s="428">
        <v>88.0</v>
      </c>
      <c r="I139" s="428">
        <v>2.0</v>
      </c>
      <c r="J139" s="428">
        <v>106.0</v>
      </c>
      <c r="K139" s="428">
        <v>-18.0</v>
      </c>
      <c r="L139" s="428">
        <v>4.0</v>
      </c>
      <c r="M139" s="428">
        <v>2.0</v>
      </c>
      <c r="N139" s="428">
        <v>1432.0</v>
      </c>
      <c r="O139" s="428">
        <v>1475.0</v>
      </c>
      <c r="P139" s="428">
        <v>13.0</v>
      </c>
      <c r="Q139" s="428">
        <v>2.0</v>
      </c>
      <c r="R139" s="428">
        <v>17.0</v>
      </c>
      <c r="S139" s="428">
        <v>3.0</v>
      </c>
      <c r="T139" s="428">
        <v>0.0</v>
      </c>
      <c r="U139" s="428">
        <v>0.0</v>
      </c>
      <c r="V139" s="428">
        <v>0.0</v>
      </c>
      <c r="W139" s="428">
        <v>0.0</v>
      </c>
      <c r="X139" s="428">
        <v>0.0</v>
      </c>
      <c r="Y139" s="428">
        <v>0.0</v>
      </c>
      <c r="Z139" s="428">
        <v>0.0</v>
      </c>
      <c r="AA139" s="428">
        <v>0.0</v>
      </c>
      <c r="AB139" s="428">
        <v>0.0</v>
      </c>
      <c r="AC139" s="428">
        <v>0.0</v>
      </c>
      <c r="AD139" s="428">
        <v>0.0</v>
      </c>
      <c r="AE139" s="428">
        <v>0.0</v>
      </c>
      <c r="AF139" s="428">
        <v>0.0</v>
      </c>
      <c r="AG139" s="428">
        <v>0.0</v>
      </c>
      <c r="AH139" s="428">
        <v>0.0</v>
      </c>
      <c r="AI139" s="428">
        <v>7.0</v>
      </c>
      <c r="AJ139" s="428">
        <v>0.0</v>
      </c>
    </row>
    <row r="140" ht="15.75" customHeight="1">
      <c r="A140" s="19" t="s">
        <v>127</v>
      </c>
      <c r="B140" s="428">
        <v>0.0</v>
      </c>
      <c r="C140" s="428">
        <v>1.0</v>
      </c>
      <c r="D140" s="428">
        <v>0.0</v>
      </c>
      <c r="E140" s="428">
        <v>1.0</v>
      </c>
      <c r="F140" s="428">
        <v>0.0</v>
      </c>
      <c r="G140" s="428">
        <v>0.0</v>
      </c>
      <c r="H140" s="428">
        <v>97.0</v>
      </c>
      <c r="I140" s="428">
        <v>4.0</v>
      </c>
      <c r="J140" s="428">
        <v>89.0</v>
      </c>
      <c r="K140" s="428">
        <v>8.0</v>
      </c>
      <c r="L140" s="428">
        <v>6.0</v>
      </c>
      <c r="M140" s="428">
        <v>4.0</v>
      </c>
      <c r="N140" s="428">
        <v>1432.0</v>
      </c>
      <c r="O140" s="428">
        <v>1475.0</v>
      </c>
      <c r="P140" s="428">
        <v>16.0</v>
      </c>
      <c r="Q140" s="428">
        <v>2.0</v>
      </c>
      <c r="R140" s="428">
        <v>17.0</v>
      </c>
      <c r="S140" s="428">
        <v>4.0</v>
      </c>
      <c r="T140" s="428">
        <v>4.0</v>
      </c>
      <c r="U140" s="428">
        <v>3.0</v>
      </c>
      <c r="V140" s="428">
        <v>0.0</v>
      </c>
      <c r="W140" s="428">
        <v>0.0</v>
      </c>
      <c r="X140" s="428">
        <v>2.0</v>
      </c>
      <c r="Y140" s="428">
        <v>3.0</v>
      </c>
      <c r="Z140" s="428">
        <v>0.0</v>
      </c>
      <c r="AA140" s="428">
        <v>0.0</v>
      </c>
      <c r="AB140" s="428">
        <v>0.0</v>
      </c>
      <c r="AC140" s="428">
        <v>2.0</v>
      </c>
      <c r="AD140" s="428">
        <v>0.0</v>
      </c>
      <c r="AE140" s="428">
        <v>0.0</v>
      </c>
      <c r="AF140" s="428">
        <v>0.0</v>
      </c>
      <c r="AG140" s="428">
        <v>0.0</v>
      </c>
      <c r="AH140" s="428">
        <v>0.0</v>
      </c>
      <c r="AI140" s="428">
        <v>5.0</v>
      </c>
      <c r="AJ140" s="428">
        <v>0.0</v>
      </c>
    </row>
    <row r="141" ht="15.75" customHeight="1">
      <c r="A141" s="19" t="s">
        <v>169</v>
      </c>
      <c r="B141" s="428">
        <v>0.0</v>
      </c>
      <c r="C141" s="428">
        <v>1.0</v>
      </c>
      <c r="D141" s="428">
        <v>0.0</v>
      </c>
      <c r="E141" s="428">
        <v>1.0</v>
      </c>
      <c r="F141" s="428">
        <v>0.0</v>
      </c>
      <c r="G141" s="428">
        <v>2.0</v>
      </c>
      <c r="H141" s="428">
        <v>80.0</v>
      </c>
      <c r="I141" s="428">
        <v>0.0</v>
      </c>
      <c r="J141" s="428">
        <v>92.0</v>
      </c>
      <c r="K141" s="428">
        <v>-12.0</v>
      </c>
      <c r="L141" s="428">
        <v>5.0</v>
      </c>
      <c r="M141" s="428">
        <v>7.0</v>
      </c>
      <c r="N141" s="428">
        <v>1432.0</v>
      </c>
      <c r="O141" s="428">
        <v>1475.0</v>
      </c>
      <c r="P141" s="428">
        <v>15.0</v>
      </c>
      <c r="Q141" s="428">
        <v>5.0</v>
      </c>
      <c r="R141" s="428">
        <v>12.0</v>
      </c>
      <c r="S141" s="428">
        <v>2.0</v>
      </c>
      <c r="T141" s="428">
        <v>3.0</v>
      </c>
      <c r="U141" s="428">
        <v>2.0</v>
      </c>
      <c r="V141" s="428">
        <v>0.0</v>
      </c>
      <c r="W141" s="428">
        <v>0.0</v>
      </c>
      <c r="X141" s="428">
        <v>2.0</v>
      </c>
      <c r="Y141" s="428">
        <v>2.0</v>
      </c>
      <c r="Z141" s="428">
        <v>0.0</v>
      </c>
      <c r="AA141" s="428">
        <v>0.0</v>
      </c>
      <c r="AB141" s="428">
        <v>0.0</v>
      </c>
      <c r="AC141" s="428">
        <v>1.0</v>
      </c>
      <c r="AD141" s="428">
        <v>0.0</v>
      </c>
      <c r="AE141" s="428">
        <v>0.0</v>
      </c>
      <c r="AF141" s="428">
        <v>0.0</v>
      </c>
      <c r="AG141" s="428">
        <v>0.0</v>
      </c>
      <c r="AH141" s="428">
        <v>0.0</v>
      </c>
      <c r="AI141" s="428">
        <v>2.0</v>
      </c>
      <c r="AJ141" s="428">
        <v>0.0</v>
      </c>
    </row>
    <row r="142" ht="15.75" customHeight="1">
      <c r="A142" s="19" t="s">
        <v>116</v>
      </c>
      <c r="B142" s="428">
        <v>0.0</v>
      </c>
      <c r="C142" s="428">
        <v>1.0</v>
      </c>
      <c r="D142" s="428">
        <v>0.0</v>
      </c>
      <c r="E142" s="428">
        <v>1.0</v>
      </c>
      <c r="F142" s="428">
        <v>0.0</v>
      </c>
      <c r="G142" s="428">
        <v>0.0</v>
      </c>
      <c r="H142" s="428">
        <v>86.0</v>
      </c>
      <c r="I142" s="428">
        <v>4.0</v>
      </c>
      <c r="J142" s="428">
        <v>117.0</v>
      </c>
      <c r="K142" s="428">
        <v>-31.0</v>
      </c>
      <c r="L142" s="428">
        <v>4.0</v>
      </c>
      <c r="M142" s="428">
        <v>4.0</v>
      </c>
      <c r="N142" s="428">
        <v>1432.0</v>
      </c>
      <c r="O142" s="428">
        <v>1475.0</v>
      </c>
      <c r="P142" s="428">
        <v>12.0</v>
      </c>
      <c r="Q142" s="428">
        <v>1.0</v>
      </c>
      <c r="R142" s="428">
        <v>9.0</v>
      </c>
      <c r="S142" s="428">
        <v>1.0</v>
      </c>
      <c r="T142" s="428">
        <v>0.0</v>
      </c>
      <c r="U142" s="428">
        <v>0.0</v>
      </c>
      <c r="V142" s="428">
        <v>0.0</v>
      </c>
      <c r="W142" s="428">
        <v>0.0</v>
      </c>
      <c r="X142" s="428">
        <v>0.0</v>
      </c>
      <c r="Y142" s="428">
        <v>0.0</v>
      </c>
      <c r="Z142" s="428">
        <v>0.0</v>
      </c>
      <c r="AA142" s="428">
        <v>0.0</v>
      </c>
      <c r="AB142" s="428">
        <v>0.0</v>
      </c>
      <c r="AC142" s="428">
        <v>0.0</v>
      </c>
      <c r="AD142" s="428">
        <v>0.0</v>
      </c>
      <c r="AE142" s="428">
        <v>0.0</v>
      </c>
      <c r="AF142" s="428">
        <v>0.0</v>
      </c>
      <c r="AG142" s="428">
        <v>0.0</v>
      </c>
      <c r="AH142" s="428">
        <v>0.0</v>
      </c>
      <c r="AI142" s="428">
        <v>2.0</v>
      </c>
      <c r="AJ142" s="428">
        <v>0.0</v>
      </c>
    </row>
    <row r="143" ht="15.75" customHeight="1">
      <c r="A143" s="19" t="s">
        <v>61</v>
      </c>
      <c r="B143" s="428">
        <v>1.0</v>
      </c>
      <c r="C143" s="428">
        <v>1.0</v>
      </c>
      <c r="D143" s="428">
        <v>0.0</v>
      </c>
      <c r="E143" s="428">
        <v>0.0</v>
      </c>
      <c r="F143" s="428">
        <v>1.0</v>
      </c>
      <c r="G143" s="428">
        <v>0.0</v>
      </c>
      <c r="H143" s="428">
        <v>120.0</v>
      </c>
      <c r="I143" s="428">
        <v>5.0</v>
      </c>
      <c r="J143" s="428">
        <v>94.0</v>
      </c>
      <c r="K143" s="428">
        <v>26.0</v>
      </c>
      <c r="L143" s="428">
        <v>5.0</v>
      </c>
      <c r="M143" s="428">
        <v>4.0</v>
      </c>
      <c r="N143" s="428">
        <v>1432.0</v>
      </c>
      <c r="O143" s="428">
        <v>1475.0</v>
      </c>
      <c r="P143" s="428">
        <v>15.0</v>
      </c>
      <c r="Q143" s="428">
        <v>2.0</v>
      </c>
      <c r="R143" s="428">
        <v>20.0</v>
      </c>
      <c r="S143" s="428">
        <v>3.0</v>
      </c>
      <c r="T143" s="428">
        <v>2.0</v>
      </c>
      <c r="U143" s="428">
        <v>2.0</v>
      </c>
      <c r="V143" s="428">
        <v>0.0</v>
      </c>
      <c r="W143" s="428">
        <v>0.0</v>
      </c>
      <c r="X143" s="428">
        <v>1.0</v>
      </c>
      <c r="Y143" s="428">
        <v>2.0</v>
      </c>
      <c r="Z143" s="428">
        <v>0.0</v>
      </c>
      <c r="AA143" s="428">
        <v>0.0</v>
      </c>
      <c r="AB143" s="428">
        <v>0.0</v>
      </c>
      <c r="AC143" s="428">
        <v>1.0</v>
      </c>
      <c r="AD143" s="428">
        <v>0.0</v>
      </c>
      <c r="AE143" s="428">
        <v>0.0</v>
      </c>
      <c r="AF143" s="428">
        <v>0.0</v>
      </c>
      <c r="AG143" s="428">
        <v>0.0</v>
      </c>
      <c r="AH143" s="428">
        <v>0.0</v>
      </c>
      <c r="AI143" s="428">
        <v>5.0</v>
      </c>
      <c r="AJ143" s="428">
        <v>0.0</v>
      </c>
    </row>
    <row r="144" ht="15.75" customHeight="1">
      <c r="A144" s="19" t="s">
        <v>53</v>
      </c>
      <c r="B144" s="428">
        <v>1.0</v>
      </c>
      <c r="C144" s="428">
        <v>1.0</v>
      </c>
      <c r="D144" s="428">
        <v>0.0</v>
      </c>
      <c r="E144" s="428">
        <v>0.0</v>
      </c>
      <c r="F144" s="428">
        <v>1.0</v>
      </c>
      <c r="G144" s="428">
        <v>1.0</v>
      </c>
      <c r="H144" s="428">
        <v>107.0</v>
      </c>
      <c r="I144" s="428">
        <v>1.0</v>
      </c>
      <c r="J144" s="428">
        <v>103.0</v>
      </c>
      <c r="K144" s="428">
        <v>4.0</v>
      </c>
      <c r="L144" s="428">
        <v>5.0</v>
      </c>
      <c r="M144" s="428">
        <v>4.0</v>
      </c>
      <c r="N144" s="428">
        <v>1432.0</v>
      </c>
      <c r="O144" s="428">
        <v>1475.0</v>
      </c>
      <c r="P144" s="428">
        <v>13.0</v>
      </c>
      <c r="Q144" s="428">
        <v>2.0</v>
      </c>
      <c r="R144" s="428">
        <v>20.0</v>
      </c>
      <c r="S144" s="428">
        <v>6.0</v>
      </c>
      <c r="T144" s="428">
        <v>1.0</v>
      </c>
      <c r="U144" s="428">
        <v>1.0</v>
      </c>
      <c r="V144" s="428">
        <v>0.0</v>
      </c>
      <c r="W144" s="428">
        <v>0.0</v>
      </c>
      <c r="X144" s="428">
        <v>1.0</v>
      </c>
      <c r="Y144" s="428">
        <v>1.0</v>
      </c>
      <c r="Z144" s="428">
        <v>0.0</v>
      </c>
      <c r="AA144" s="428">
        <v>0.0</v>
      </c>
      <c r="AB144" s="428">
        <v>0.0</v>
      </c>
      <c r="AC144" s="428">
        <v>0.0</v>
      </c>
      <c r="AD144" s="428">
        <v>0.0</v>
      </c>
      <c r="AE144" s="428">
        <v>0.0</v>
      </c>
      <c r="AF144" s="428">
        <v>0.0</v>
      </c>
      <c r="AG144" s="428">
        <v>0.0</v>
      </c>
      <c r="AH144" s="428">
        <v>0.0</v>
      </c>
      <c r="AI144" s="428">
        <v>1.0</v>
      </c>
      <c r="AJ144" s="428">
        <v>0.0</v>
      </c>
    </row>
    <row r="145" ht="15.75" customHeight="1">
      <c r="A145" s="19" t="s">
        <v>142</v>
      </c>
      <c r="B145" s="428">
        <v>1.0</v>
      </c>
      <c r="C145" s="428">
        <v>1.0</v>
      </c>
      <c r="D145" s="428">
        <v>0.0</v>
      </c>
      <c r="E145" s="428">
        <v>0.0</v>
      </c>
      <c r="F145" s="428">
        <v>1.0</v>
      </c>
      <c r="G145" s="428">
        <v>0.0</v>
      </c>
      <c r="H145" s="428">
        <v>92.0</v>
      </c>
      <c r="I145" s="428">
        <v>7.0</v>
      </c>
      <c r="J145" s="428">
        <v>92.0</v>
      </c>
      <c r="K145" s="428">
        <v>0.0</v>
      </c>
      <c r="L145" s="428">
        <v>7.0</v>
      </c>
      <c r="M145" s="428">
        <v>4.0</v>
      </c>
      <c r="N145" s="428">
        <v>1432.0</v>
      </c>
      <c r="O145" s="428">
        <v>1475.0</v>
      </c>
      <c r="P145" s="428">
        <v>15.0</v>
      </c>
      <c r="Q145" s="428">
        <v>4.0</v>
      </c>
      <c r="R145" s="428">
        <v>16.0</v>
      </c>
      <c r="S145" s="428">
        <v>4.0</v>
      </c>
      <c r="T145" s="428">
        <v>0.0</v>
      </c>
      <c r="U145" s="428">
        <v>1.0</v>
      </c>
      <c r="V145" s="428">
        <v>0.0</v>
      </c>
      <c r="W145" s="428">
        <v>0.0</v>
      </c>
      <c r="X145" s="428">
        <v>0.0</v>
      </c>
      <c r="Y145" s="428">
        <v>1.0</v>
      </c>
      <c r="Z145" s="428">
        <v>0.0</v>
      </c>
      <c r="AA145" s="428">
        <v>0.0</v>
      </c>
      <c r="AB145" s="428">
        <v>0.0</v>
      </c>
      <c r="AC145" s="428">
        <v>0.0</v>
      </c>
      <c r="AD145" s="428">
        <v>0.0</v>
      </c>
      <c r="AE145" s="428">
        <v>0.0</v>
      </c>
      <c r="AF145" s="428">
        <v>0.0</v>
      </c>
      <c r="AG145" s="428">
        <v>0.0</v>
      </c>
      <c r="AH145" s="428">
        <v>0.0</v>
      </c>
      <c r="AI145" s="428">
        <v>5.0</v>
      </c>
      <c r="AJ145" s="428">
        <v>0.0</v>
      </c>
    </row>
    <row r="146" ht="15.75" customHeight="1">
      <c r="A146" s="19" t="s">
        <v>24</v>
      </c>
      <c r="B146" s="428">
        <v>1.0</v>
      </c>
      <c r="C146" s="428">
        <v>1.0</v>
      </c>
      <c r="D146" s="428">
        <v>0.0</v>
      </c>
      <c r="E146" s="428">
        <v>0.0</v>
      </c>
      <c r="F146" s="428">
        <v>1.0</v>
      </c>
      <c r="G146" s="428">
        <v>2.0</v>
      </c>
      <c r="H146" s="428">
        <v>70.0</v>
      </c>
      <c r="I146" s="428">
        <v>3.0</v>
      </c>
      <c r="J146" s="428">
        <v>77.0</v>
      </c>
      <c r="K146" s="428">
        <v>-7.0</v>
      </c>
      <c r="L146" s="428">
        <v>5.0</v>
      </c>
      <c r="M146" s="428">
        <v>3.0</v>
      </c>
      <c r="N146" s="428">
        <v>1432.0</v>
      </c>
      <c r="O146" s="428">
        <v>1475.0</v>
      </c>
      <c r="P146" s="428">
        <v>18.0</v>
      </c>
      <c r="Q146" s="428">
        <v>1.0</v>
      </c>
      <c r="R146" s="428">
        <v>7.0</v>
      </c>
      <c r="S146" s="428">
        <v>3.0</v>
      </c>
      <c r="T146" s="428">
        <v>1.0</v>
      </c>
      <c r="U146" s="428">
        <v>1.0</v>
      </c>
      <c r="V146" s="428">
        <v>0.0</v>
      </c>
      <c r="W146" s="428">
        <v>0.0</v>
      </c>
      <c r="X146" s="428">
        <v>1.0</v>
      </c>
      <c r="Y146" s="428">
        <v>1.0</v>
      </c>
      <c r="Z146" s="428">
        <v>0.0</v>
      </c>
      <c r="AA146" s="428">
        <v>0.0</v>
      </c>
      <c r="AB146" s="428">
        <v>0.0</v>
      </c>
      <c r="AC146" s="428">
        <v>0.0</v>
      </c>
      <c r="AD146" s="428">
        <v>0.0</v>
      </c>
      <c r="AE146" s="428">
        <v>0.0</v>
      </c>
      <c r="AF146" s="428">
        <v>0.0</v>
      </c>
      <c r="AG146" s="428">
        <v>0.0</v>
      </c>
      <c r="AH146" s="428">
        <v>0.0</v>
      </c>
      <c r="AI146" s="428">
        <v>7.0</v>
      </c>
      <c r="AJ146" s="428">
        <v>0.0</v>
      </c>
    </row>
    <row r="147" ht="15.75" customHeight="1">
      <c r="A147" s="429" t="s">
        <v>133</v>
      </c>
      <c r="B147" s="430">
        <v>0.0</v>
      </c>
      <c r="C147" s="430">
        <v>0.0</v>
      </c>
      <c r="D147" s="430">
        <v>1.0</v>
      </c>
      <c r="E147" s="430">
        <v>0.0</v>
      </c>
      <c r="F147" s="430">
        <v>0.0</v>
      </c>
      <c r="G147" s="430">
        <v>0.0</v>
      </c>
      <c r="H147" s="430">
        <v>0.0</v>
      </c>
      <c r="I147" s="430">
        <v>0.0</v>
      </c>
      <c r="J147" s="430">
        <v>0.0</v>
      </c>
      <c r="K147" s="430">
        <v>0.0</v>
      </c>
      <c r="L147" s="430">
        <v>0.0</v>
      </c>
      <c r="M147" s="430">
        <v>0.0</v>
      </c>
      <c r="N147" s="430">
        <v>0.0</v>
      </c>
      <c r="O147" s="430">
        <v>0.0</v>
      </c>
      <c r="P147" s="430">
        <v>0.0</v>
      </c>
      <c r="Q147" s="430">
        <v>0.0</v>
      </c>
      <c r="R147" s="430">
        <v>0.0</v>
      </c>
      <c r="S147" s="430">
        <v>0.0</v>
      </c>
      <c r="T147" s="430">
        <v>0.0</v>
      </c>
      <c r="U147" s="430">
        <v>0.0</v>
      </c>
      <c r="V147" s="430">
        <v>0.0</v>
      </c>
      <c r="W147" s="430">
        <v>0.0</v>
      </c>
      <c r="X147" s="430">
        <v>0.0</v>
      </c>
      <c r="Y147" s="430">
        <v>0.0</v>
      </c>
      <c r="Z147" s="430">
        <v>0.0</v>
      </c>
      <c r="AA147" s="430">
        <v>0.0</v>
      </c>
      <c r="AB147" s="430">
        <v>0.0</v>
      </c>
      <c r="AC147" s="430">
        <v>0.0</v>
      </c>
      <c r="AD147" s="430">
        <v>0.0</v>
      </c>
      <c r="AE147" s="430">
        <v>0.0</v>
      </c>
      <c r="AF147" s="430">
        <v>0.0</v>
      </c>
      <c r="AG147" s="430">
        <v>0.0</v>
      </c>
      <c r="AH147" s="430">
        <v>0.0</v>
      </c>
      <c r="AI147" s="430">
        <v>0.0</v>
      </c>
      <c r="AJ147" s="430">
        <v>0.0</v>
      </c>
    </row>
    <row r="148" ht="15.75" customHeight="1">
      <c r="A148" s="19" t="s">
        <v>107</v>
      </c>
      <c r="B148" s="428">
        <v>0.0</v>
      </c>
      <c r="C148" s="428">
        <v>1.0</v>
      </c>
      <c r="D148" s="428">
        <v>0.0</v>
      </c>
      <c r="E148" s="428">
        <v>1.0</v>
      </c>
      <c r="F148" s="428">
        <v>0.0</v>
      </c>
      <c r="G148" s="428">
        <v>2.0</v>
      </c>
      <c r="H148" s="428">
        <v>39.0</v>
      </c>
      <c r="I148" s="428">
        <v>1.0</v>
      </c>
      <c r="J148" s="428">
        <v>40.0</v>
      </c>
      <c r="K148" s="428">
        <v>-1.0</v>
      </c>
      <c r="L148" s="428">
        <v>5.0</v>
      </c>
      <c r="M148" s="428">
        <v>2.0</v>
      </c>
      <c r="N148" s="428">
        <v>614.0</v>
      </c>
      <c r="O148" s="428">
        <v>663.0</v>
      </c>
      <c r="P148" s="428">
        <v>15.0</v>
      </c>
      <c r="Q148" s="428">
        <v>1.0</v>
      </c>
      <c r="R148" s="428">
        <v>9.0</v>
      </c>
      <c r="S148" s="428">
        <v>1.0</v>
      </c>
      <c r="T148" s="428">
        <v>1.0</v>
      </c>
      <c r="U148" s="428">
        <v>1.0</v>
      </c>
      <c r="V148" s="428">
        <v>0.0</v>
      </c>
      <c r="W148" s="428">
        <v>0.0</v>
      </c>
      <c r="X148" s="428">
        <v>1.0</v>
      </c>
      <c r="Y148" s="428">
        <v>1.0</v>
      </c>
      <c r="Z148" s="428">
        <v>0.0</v>
      </c>
      <c r="AA148" s="428">
        <v>0.0</v>
      </c>
      <c r="AB148" s="428">
        <v>0.0</v>
      </c>
      <c r="AC148" s="428">
        <v>0.0</v>
      </c>
      <c r="AD148" s="428">
        <v>0.0</v>
      </c>
      <c r="AE148" s="428">
        <v>0.0</v>
      </c>
      <c r="AF148" s="428">
        <v>0.0</v>
      </c>
      <c r="AG148" s="428">
        <v>0.0</v>
      </c>
      <c r="AH148" s="428">
        <v>0.0</v>
      </c>
      <c r="AI148" s="428">
        <v>2.0</v>
      </c>
      <c r="AJ148" s="428">
        <v>0.0</v>
      </c>
    </row>
    <row r="149" ht="15.75" customHeight="1">
      <c r="A149" s="19" t="s">
        <v>84</v>
      </c>
      <c r="B149" s="428">
        <v>0.0</v>
      </c>
      <c r="C149" s="428">
        <v>1.0</v>
      </c>
      <c r="D149" s="428">
        <v>0.0</v>
      </c>
      <c r="E149" s="428">
        <v>1.0</v>
      </c>
      <c r="F149" s="428">
        <v>0.0</v>
      </c>
      <c r="G149" s="428">
        <v>2.0</v>
      </c>
      <c r="H149" s="428">
        <v>44.0</v>
      </c>
      <c r="I149" s="428">
        <v>1.0</v>
      </c>
      <c r="J149" s="428">
        <v>43.0</v>
      </c>
      <c r="K149" s="428">
        <v>1.0</v>
      </c>
      <c r="L149" s="428">
        <v>6.0</v>
      </c>
      <c r="M149" s="428">
        <v>0.0</v>
      </c>
      <c r="N149" s="428">
        <v>614.0</v>
      </c>
      <c r="O149" s="428">
        <v>663.0</v>
      </c>
      <c r="P149" s="428">
        <v>14.0</v>
      </c>
      <c r="Q149" s="428">
        <v>2.0</v>
      </c>
      <c r="R149" s="428">
        <v>6.0</v>
      </c>
      <c r="S149" s="428">
        <v>3.0</v>
      </c>
      <c r="T149" s="428">
        <v>0.0</v>
      </c>
      <c r="U149" s="428">
        <v>2.0</v>
      </c>
      <c r="V149" s="428">
        <v>0.0</v>
      </c>
      <c r="W149" s="428">
        <v>0.0</v>
      </c>
      <c r="X149" s="428">
        <v>0.0</v>
      </c>
      <c r="Y149" s="428">
        <v>2.0</v>
      </c>
      <c r="Z149" s="428">
        <v>0.0</v>
      </c>
      <c r="AA149" s="428">
        <v>0.0</v>
      </c>
      <c r="AB149" s="428">
        <v>0.0</v>
      </c>
      <c r="AC149" s="428">
        <v>0.0</v>
      </c>
      <c r="AD149" s="428">
        <v>0.0</v>
      </c>
      <c r="AE149" s="428">
        <v>0.0</v>
      </c>
      <c r="AF149" s="428">
        <v>0.0</v>
      </c>
      <c r="AG149" s="428">
        <v>0.0</v>
      </c>
      <c r="AH149" s="428">
        <v>0.0</v>
      </c>
      <c r="AI149" s="428">
        <v>0.0</v>
      </c>
      <c r="AJ149" s="428">
        <v>0.0</v>
      </c>
    </row>
    <row r="150" ht="15.75" customHeight="1">
      <c r="A150" s="19" t="s">
        <v>115</v>
      </c>
      <c r="B150" s="428">
        <v>0.0</v>
      </c>
      <c r="C150" s="428">
        <v>1.0</v>
      </c>
      <c r="D150" s="428">
        <v>0.0</v>
      </c>
      <c r="E150" s="428">
        <v>1.0</v>
      </c>
      <c r="F150" s="428">
        <v>0.0</v>
      </c>
      <c r="G150" s="428">
        <v>0.0</v>
      </c>
      <c r="H150" s="428">
        <v>38.0</v>
      </c>
      <c r="I150" s="428">
        <v>2.0</v>
      </c>
      <c r="J150" s="428">
        <v>50.0</v>
      </c>
      <c r="K150" s="428">
        <v>-12.0</v>
      </c>
      <c r="L150" s="428">
        <v>4.0</v>
      </c>
      <c r="M150" s="428">
        <v>0.0</v>
      </c>
      <c r="N150" s="428">
        <v>614.0</v>
      </c>
      <c r="O150" s="428">
        <v>663.0</v>
      </c>
      <c r="P150" s="428">
        <v>12.0</v>
      </c>
      <c r="Q150" s="428">
        <v>3.0</v>
      </c>
      <c r="R150" s="428">
        <v>7.0</v>
      </c>
      <c r="S150" s="428">
        <v>1.0</v>
      </c>
      <c r="T150" s="428">
        <v>0.0</v>
      </c>
      <c r="U150" s="428">
        <v>0.0</v>
      </c>
      <c r="V150" s="428">
        <v>0.0</v>
      </c>
      <c r="W150" s="428">
        <v>0.0</v>
      </c>
      <c r="X150" s="428">
        <v>0.0</v>
      </c>
      <c r="Y150" s="428">
        <v>0.0</v>
      </c>
      <c r="Z150" s="428">
        <v>0.0</v>
      </c>
      <c r="AA150" s="428">
        <v>0.0</v>
      </c>
      <c r="AB150" s="428">
        <v>0.0</v>
      </c>
      <c r="AC150" s="428">
        <v>0.0</v>
      </c>
      <c r="AD150" s="428">
        <v>0.0</v>
      </c>
      <c r="AE150" s="428">
        <v>0.0</v>
      </c>
      <c r="AF150" s="428">
        <v>0.0</v>
      </c>
      <c r="AG150" s="428">
        <v>0.0</v>
      </c>
      <c r="AH150" s="428">
        <v>0.0</v>
      </c>
      <c r="AI150" s="428">
        <v>2.0</v>
      </c>
      <c r="AJ150" s="428">
        <v>0.0</v>
      </c>
    </row>
    <row r="151" ht="15.75" customHeight="1">
      <c r="A151" s="19" t="s">
        <v>136</v>
      </c>
      <c r="B151" s="428">
        <v>0.0</v>
      </c>
      <c r="C151" s="428">
        <v>1.0</v>
      </c>
      <c r="D151" s="428">
        <v>0.0</v>
      </c>
      <c r="E151" s="428">
        <v>1.0</v>
      </c>
      <c r="F151" s="428">
        <v>0.0</v>
      </c>
      <c r="G151" s="428">
        <v>1.0</v>
      </c>
      <c r="H151" s="428">
        <v>37.0</v>
      </c>
      <c r="I151" s="428">
        <v>1.0</v>
      </c>
      <c r="J151" s="428">
        <v>37.0</v>
      </c>
      <c r="K151" s="428">
        <v>0.0</v>
      </c>
      <c r="L151" s="428">
        <v>4.0</v>
      </c>
      <c r="M151" s="428">
        <v>2.0</v>
      </c>
      <c r="N151" s="428">
        <v>614.0</v>
      </c>
      <c r="O151" s="428">
        <v>663.0</v>
      </c>
      <c r="P151" s="428">
        <v>16.0</v>
      </c>
      <c r="Q151" s="428">
        <v>2.0</v>
      </c>
      <c r="R151" s="428">
        <v>7.0</v>
      </c>
      <c r="S151" s="428">
        <v>0.0</v>
      </c>
      <c r="T151" s="428">
        <v>0.0</v>
      </c>
      <c r="U151" s="428">
        <v>0.0</v>
      </c>
      <c r="V151" s="428">
        <v>0.0</v>
      </c>
      <c r="W151" s="428">
        <v>0.0</v>
      </c>
      <c r="X151" s="428">
        <v>0.0</v>
      </c>
      <c r="Y151" s="428">
        <v>0.0</v>
      </c>
      <c r="Z151" s="428">
        <v>0.0</v>
      </c>
      <c r="AA151" s="428">
        <v>0.0</v>
      </c>
      <c r="AB151" s="428">
        <v>0.0</v>
      </c>
      <c r="AC151" s="428">
        <v>0.0</v>
      </c>
      <c r="AD151" s="428">
        <v>0.0</v>
      </c>
      <c r="AE151" s="428">
        <v>0.0</v>
      </c>
      <c r="AF151" s="428">
        <v>0.0</v>
      </c>
      <c r="AG151" s="428">
        <v>0.0</v>
      </c>
      <c r="AH151" s="428">
        <v>0.0</v>
      </c>
      <c r="AI151" s="428">
        <v>3.0</v>
      </c>
      <c r="AJ151" s="428">
        <v>0.0</v>
      </c>
    </row>
    <row r="152" ht="15.75" customHeight="1">
      <c r="A152" s="19" t="s">
        <v>56</v>
      </c>
      <c r="B152" s="428">
        <v>1.0</v>
      </c>
      <c r="C152" s="428">
        <v>1.0</v>
      </c>
      <c r="D152" s="428">
        <v>0.0</v>
      </c>
      <c r="E152" s="428">
        <v>0.0</v>
      </c>
      <c r="F152" s="428">
        <v>1.0</v>
      </c>
      <c r="G152" s="428">
        <v>1.0</v>
      </c>
      <c r="H152" s="428">
        <v>39.0</v>
      </c>
      <c r="I152" s="428">
        <v>1.0</v>
      </c>
      <c r="J152" s="428">
        <v>33.0</v>
      </c>
      <c r="K152" s="428">
        <v>6.0</v>
      </c>
      <c r="L152" s="428">
        <v>7.0</v>
      </c>
      <c r="M152" s="428">
        <v>0.0</v>
      </c>
      <c r="N152" s="428">
        <v>612.0</v>
      </c>
      <c r="O152" s="428">
        <v>663.0</v>
      </c>
      <c r="P152" s="428">
        <v>18.0</v>
      </c>
      <c r="Q152" s="428">
        <v>1.0</v>
      </c>
      <c r="R152" s="428">
        <v>5.0</v>
      </c>
      <c r="S152" s="428">
        <v>2.0</v>
      </c>
      <c r="T152" s="428">
        <v>0.0</v>
      </c>
      <c r="U152" s="428">
        <v>1.0</v>
      </c>
      <c r="V152" s="428">
        <v>0.0</v>
      </c>
      <c r="W152" s="428">
        <v>0.0</v>
      </c>
      <c r="X152" s="428">
        <v>0.0</v>
      </c>
      <c r="Y152" s="428">
        <v>1.0</v>
      </c>
      <c r="Z152" s="428">
        <v>0.0</v>
      </c>
      <c r="AA152" s="428">
        <v>0.0</v>
      </c>
      <c r="AB152" s="428">
        <v>0.0</v>
      </c>
      <c r="AC152" s="428">
        <v>0.0</v>
      </c>
      <c r="AD152" s="428">
        <v>0.0</v>
      </c>
      <c r="AE152" s="428">
        <v>0.0</v>
      </c>
      <c r="AF152" s="428">
        <v>0.0</v>
      </c>
      <c r="AG152" s="428">
        <v>0.0</v>
      </c>
      <c r="AH152" s="428">
        <v>0.0</v>
      </c>
      <c r="AI152" s="428">
        <v>5.0</v>
      </c>
      <c r="AJ152" s="428">
        <v>0.0</v>
      </c>
    </row>
    <row r="153" ht="15.75" customHeight="1">
      <c r="A153" s="19" t="s">
        <v>116</v>
      </c>
      <c r="B153" s="428">
        <v>1.0</v>
      </c>
      <c r="C153" s="428">
        <v>1.0</v>
      </c>
      <c r="D153" s="428">
        <v>0.0</v>
      </c>
      <c r="E153" s="428">
        <v>0.0</v>
      </c>
      <c r="F153" s="428">
        <v>1.0</v>
      </c>
      <c r="G153" s="428">
        <v>0.0</v>
      </c>
      <c r="H153" s="428">
        <v>47.0</v>
      </c>
      <c r="I153" s="428">
        <v>0.0</v>
      </c>
      <c r="J153" s="428">
        <v>48.0</v>
      </c>
      <c r="K153" s="428">
        <v>-1.0</v>
      </c>
      <c r="L153" s="428">
        <v>7.0</v>
      </c>
      <c r="M153" s="428">
        <v>1.0</v>
      </c>
      <c r="N153" s="428">
        <v>614.0</v>
      </c>
      <c r="O153" s="428">
        <v>663.0</v>
      </c>
      <c r="P153" s="428">
        <v>12.0</v>
      </c>
      <c r="Q153" s="428">
        <v>2.0</v>
      </c>
      <c r="R153" s="428">
        <v>8.0</v>
      </c>
      <c r="S153" s="428">
        <v>1.0</v>
      </c>
      <c r="T153" s="428">
        <v>0.0</v>
      </c>
      <c r="U153" s="428">
        <v>1.0</v>
      </c>
      <c r="V153" s="428">
        <v>0.0</v>
      </c>
      <c r="W153" s="428">
        <v>0.0</v>
      </c>
      <c r="X153" s="428">
        <v>0.0</v>
      </c>
      <c r="Y153" s="428">
        <v>1.0</v>
      </c>
      <c r="Z153" s="428">
        <v>0.0</v>
      </c>
      <c r="AA153" s="428">
        <v>0.0</v>
      </c>
      <c r="AB153" s="428">
        <v>0.0</v>
      </c>
      <c r="AC153" s="428">
        <v>0.0</v>
      </c>
      <c r="AD153" s="428">
        <v>0.0</v>
      </c>
      <c r="AE153" s="428">
        <v>0.0</v>
      </c>
      <c r="AF153" s="428">
        <v>0.0</v>
      </c>
      <c r="AG153" s="428">
        <v>0.0</v>
      </c>
      <c r="AH153" s="428">
        <v>0.0</v>
      </c>
      <c r="AI153" s="428">
        <v>2.0</v>
      </c>
      <c r="AJ153" s="428">
        <v>0.0</v>
      </c>
    </row>
    <row r="154" ht="15.75" customHeight="1">
      <c r="A154" s="19" t="s">
        <v>129</v>
      </c>
      <c r="B154" s="428">
        <v>1.0</v>
      </c>
      <c r="C154" s="428">
        <v>1.0</v>
      </c>
      <c r="D154" s="428">
        <v>0.0</v>
      </c>
      <c r="E154" s="428">
        <v>0.0</v>
      </c>
      <c r="F154" s="428">
        <v>1.0</v>
      </c>
      <c r="G154" s="428">
        <v>2.0</v>
      </c>
      <c r="H154" s="428">
        <v>43.0</v>
      </c>
      <c r="I154" s="428">
        <v>1.0</v>
      </c>
      <c r="J154" s="428">
        <v>45.0</v>
      </c>
      <c r="K154" s="428">
        <v>-2.0</v>
      </c>
      <c r="L154" s="428">
        <v>6.0</v>
      </c>
      <c r="M154" s="428">
        <v>5.0</v>
      </c>
      <c r="N154" s="428">
        <v>614.0</v>
      </c>
      <c r="O154" s="428">
        <v>663.0</v>
      </c>
      <c r="P154" s="428">
        <v>13.0</v>
      </c>
      <c r="Q154" s="428">
        <v>0.0</v>
      </c>
      <c r="R154" s="428">
        <v>8.0</v>
      </c>
      <c r="S154" s="428">
        <v>4.0</v>
      </c>
      <c r="T154" s="428">
        <v>5.0</v>
      </c>
      <c r="U154" s="428">
        <v>1.0</v>
      </c>
      <c r="V154" s="428">
        <v>0.0</v>
      </c>
      <c r="W154" s="428">
        <v>0.0</v>
      </c>
      <c r="X154" s="428">
        <v>3.0</v>
      </c>
      <c r="Y154" s="428">
        <v>1.0</v>
      </c>
      <c r="Z154" s="428">
        <v>0.0</v>
      </c>
      <c r="AA154" s="428">
        <v>0.0</v>
      </c>
      <c r="AB154" s="428">
        <v>0.0</v>
      </c>
      <c r="AC154" s="428">
        <v>1.0</v>
      </c>
      <c r="AD154" s="428">
        <v>1.0</v>
      </c>
      <c r="AE154" s="428">
        <v>0.0</v>
      </c>
      <c r="AF154" s="428">
        <v>0.0</v>
      </c>
      <c r="AG154" s="428">
        <v>0.0</v>
      </c>
      <c r="AH154" s="428">
        <v>0.0</v>
      </c>
      <c r="AI154" s="428">
        <v>0.0</v>
      </c>
      <c r="AJ154" s="428">
        <v>0.0</v>
      </c>
    </row>
    <row r="155" ht="15.75" customHeight="1">
      <c r="A155" s="19" t="s">
        <v>104</v>
      </c>
      <c r="B155" s="428">
        <v>1.0</v>
      </c>
      <c r="C155" s="428">
        <v>1.0</v>
      </c>
      <c r="D155" s="428">
        <v>0.0</v>
      </c>
      <c r="E155" s="428">
        <v>0.0</v>
      </c>
      <c r="F155" s="428">
        <v>1.0</v>
      </c>
      <c r="G155" s="428">
        <v>0.0</v>
      </c>
      <c r="H155" s="428">
        <v>37.0</v>
      </c>
      <c r="I155" s="428">
        <v>0.0</v>
      </c>
      <c r="J155" s="428">
        <v>40.0</v>
      </c>
      <c r="K155" s="428">
        <v>-3.0</v>
      </c>
      <c r="L155" s="428">
        <v>3.0</v>
      </c>
      <c r="M155" s="428">
        <v>2.0</v>
      </c>
      <c r="N155" s="428">
        <v>614.0</v>
      </c>
      <c r="O155" s="428">
        <v>663.0</v>
      </c>
      <c r="P155" s="428">
        <v>15.0</v>
      </c>
      <c r="Q155" s="428">
        <v>3.0</v>
      </c>
      <c r="R155" s="428">
        <v>8.0</v>
      </c>
      <c r="S155" s="428">
        <v>0.0</v>
      </c>
      <c r="T155" s="428">
        <v>0.0</v>
      </c>
      <c r="U155" s="428">
        <v>0.0</v>
      </c>
      <c r="V155" s="428">
        <v>0.0</v>
      </c>
      <c r="W155" s="428">
        <v>0.0</v>
      </c>
      <c r="X155" s="428">
        <v>0.0</v>
      </c>
      <c r="Y155" s="428">
        <v>0.0</v>
      </c>
      <c r="Z155" s="428">
        <v>0.0</v>
      </c>
      <c r="AA155" s="428">
        <v>0.0</v>
      </c>
      <c r="AB155" s="428">
        <v>0.0</v>
      </c>
      <c r="AC155" s="428">
        <v>0.0</v>
      </c>
      <c r="AD155" s="428">
        <v>0.0</v>
      </c>
      <c r="AE155" s="428">
        <v>0.0</v>
      </c>
      <c r="AF155" s="428">
        <v>0.0</v>
      </c>
      <c r="AG155" s="428">
        <v>0.0</v>
      </c>
      <c r="AH155" s="428">
        <v>0.0</v>
      </c>
      <c r="AI155" s="428">
        <v>1.0</v>
      </c>
      <c r="AJ155" s="428">
        <v>0.0</v>
      </c>
    </row>
    <row r="156" ht="15.75" customHeight="1">
      <c r="A156" s="429" t="s">
        <v>61</v>
      </c>
      <c r="B156" s="430">
        <v>0.0</v>
      </c>
      <c r="C156" s="430">
        <v>0.0</v>
      </c>
      <c r="D156" s="430">
        <v>1.0</v>
      </c>
      <c r="E156" s="430">
        <v>0.0</v>
      </c>
      <c r="F156" s="430">
        <v>0.0</v>
      </c>
      <c r="G156" s="430">
        <v>0.0</v>
      </c>
      <c r="H156" s="430">
        <v>0.0</v>
      </c>
      <c r="I156" s="430">
        <v>0.0</v>
      </c>
      <c r="J156" s="430">
        <v>0.0</v>
      </c>
      <c r="K156" s="430">
        <v>0.0</v>
      </c>
      <c r="L156" s="430">
        <v>0.0</v>
      </c>
      <c r="M156" s="430">
        <v>0.0</v>
      </c>
      <c r="N156" s="430">
        <v>0.0</v>
      </c>
      <c r="O156" s="430">
        <v>0.0</v>
      </c>
      <c r="P156" s="430">
        <v>0.0</v>
      </c>
      <c r="Q156" s="430">
        <v>0.0</v>
      </c>
      <c r="R156" s="430">
        <v>0.0</v>
      </c>
      <c r="S156" s="430">
        <v>0.0</v>
      </c>
      <c r="T156" s="430">
        <v>0.0</v>
      </c>
      <c r="U156" s="430">
        <v>0.0</v>
      </c>
      <c r="V156" s="430">
        <v>0.0</v>
      </c>
      <c r="W156" s="430">
        <v>0.0</v>
      </c>
      <c r="X156" s="430">
        <v>0.0</v>
      </c>
      <c r="Y156" s="430">
        <v>0.0</v>
      </c>
      <c r="Z156" s="430">
        <v>0.0</v>
      </c>
      <c r="AA156" s="430">
        <v>0.0</v>
      </c>
      <c r="AB156" s="430">
        <v>0.0</v>
      </c>
      <c r="AC156" s="430">
        <v>0.0</v>
      </c>
      <c r="AD156" s="430">
        <v>0.0</v>
      </c>
      <c r="AE156" s="430">
        <v>0.0</v>
      </c>
      <c r="AF156" s="430">
        <v>0.0</v>
      </c>
      <c r="AG156" s="430">
        <v>0.0</v>
      </c>
      <c r="AH156" s="430">
        <v>0.0</v>
      </c>
      <c r="AI156" s="430">
        <v>0.0</v>
      </c>
      <c r="AJ156" s="430">
        <v>0.0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13"/>
    <col customWidth="1" min="2" max="2" width="5.63"/>
    <col customWidth="1" min="3" max="3" width="4.5"/>
    <col customWidth="1" min="4" max="4" width="6.88"/>
    <col customWidth="1" min="5" max="5" width="6.5"/>
    <col customWidth="1" min="6" max="6" width="6.63"/>
    <col customWidth="1" min="7" max="7" width="6.13"/>
    <col customWidth="1" min="8" max="8" width="8.5"/>
    <col customWidth="1" min="9" max="9" width="9.5"/>
    <col customWidth="1" min="10" max="10" width="10.38"/>
    <col customWidth="1" min="11" max="11" width="10.13"/>
    <col customWidth="1" min="12" max="13" width="9.0"/>
    <col customWidth="1" min="14" max="14" width="6.5"/>
    <col customWidth="1" min="15" max="15" width="7.63"/>
    <col customWidth="1" min="16" max="16" width="11.63"/>
    <col customWidth="1" min="17" max="17" width="8.0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8.25"/>
    <col customWidth="1" min="29" max="29" width="13.25"/>
  </cols>
  <sheetData>
    <row r="1" ht="15.75" customHeight="1">
      <c r="A1" s="438" t="s">
        <v>9</v>
      </c>
      <c r="B1" s="438" t="s">
        <v>346</v>
      </c>
      <c r="C1" s="438" t="s">
        <v>347</v>
      </c>
      <c r="D1" s="438" t="s">
        <v>348</v>
      </c>
      <c r="E1" s="438" t="s">
        <v>349</v>
      </c>
      <c r="F1" s="438" t="s">
        <v>350</v>
      </c>
      <c r="G1" s="438" t="s">
        <v>351</v>
      </c>
      <c r="H1" s="438" t="s">
        <v>352</v>
      </c>
      <c r="I1" s="438" t="s">
        <v>354</v>
      </c>
      <c r="J1" s="438" t="s">
        <v>356</v>
      </c>
      <c r="K1" s="438" t="s">
        <v>357</v>
      </c>
      <c r="L1" s="438" t="s">
        <v>358</v>
      </c>
      <c r="M1" s="438" t="s">
        <v>359</v>
      </c>
      <c r="N1" s="438" t="s">
        <v>360</v>
      </c>
      <c r="O1" s="438" t="s">
        <v>361</v>
      </c>
      <c r="P1" s="438" t="s">
        <v>362</v>
      </c>
      <c r="Q1" s="438" t="s">
        <v>363</v>
      </c>
      <c r="R1" s="438" t="s">
        <v>364</v>
      </c>
      <c r="S1" s="438" t="s">
        <v>365</v>
      </c>
      <c r="T1" s="438" t="s">
        <v>366</v>
      </c>
      <c r="U1" s="438" t="s">
        <v>367</v>
      </c>
      <c r="V1" s="438" t="s">
        <v>368</v>
      </c>
      <c r="W1" s="438" t="s">
        <v>369</v>
      </c>
      <c r="X1" s="438" t="s">
        <v>370</v>
      </c>
      <c r="Y1" s="438" t="s">
        <v>371</v>
      </c>
      <c r="Z1" s="438" t="s">
        <v>372</v>
      </c>
      <c r="AA1" s="438" t="s">
        <v>373</v>
      </c>
      <c r="AB1" s="438" t="s">
        <v>374</v>
      </c>
      <c r="AC1" s="438" t="s">
        <v>375</v>
      </c>
    </row>
    <row r="2" ht="15.75" customHeight="1">
      <c r="A2" s="427" t="s">
        <v>24</v>
      </c>
      <c r="B2" s="428">
        <v>2.0</v>
      </c>
      <c r="C2" s="428">
        <v>223.0</v>
      </c>
      <c r="D2" s="428">
        <v>13.0</v>
      </c>
      <c r="E2" s="428">
        <v>254.0</v>
      </c>
      <c r="F2" s="428">
        <v>-31.0</v>
      </c>
      <c r="G2" s="428">
        <v>19.0</v>
      </c>
      <c r="H2" s="428">
        <v>7.0</v>
      </c>
      <c r="I2" s="428">
        <v>4402.0</v>
      </c>
      <c r="J2" s="428">
        <v>12.0</v>
      </c>
      <c r="K2" s="428">
        <v>33.0</v>
      </c>
      <c r="L2" s="428">
        <v>8.0</v>
      </c>
      <c r="M2" s="428">
        <v>2.0</v>
      </c>
      <c r="N2" s="428">
        <v>3.0</v>
      </c>
      <c r="O2" s="428">
        <v>0.0</v>
      </c>
      <c r="P2" s="428">
        <v>0.0</v>
      </c>
      <c r="Q2" s="428">
        <v>2.0</v>
      </c>
      <c r="R2" s="428">
        <v>3.0</v>
      </c>
      <c r="S2" s="428">
        <v>0.0</v>
      </c>
      <c r="T2" s="428">
        <v>0.0</v>
      </c>
      <c r="U2" s="428">
        <v>0.0</v>
      </c>
      <c r="V2" s="428">
        <v>0.0</v>
      </c>
      <c r="W2" s="428">
        <v>0.0</v>
      </c>
      <c r="X2" s="428">
        <v>0.0</v>
      </c>
      <c r="Y2" s="428">
        <v>0.0</v>
      </c>
      <c r="Z2" s="428">
        <v>0.0</v>
      </c>
      <c r="AA2" s="428">
        <v>0.0</v>
      </c>
      <c r="AB2" s="428">
        <v>20.0</v>
      </c>
      <c r="AC2" s="428">
        <v>0.0</v>
      </c>
    </row>
    <row r="3" ht="15.75" customHeight="1">
      <c r="A3" s="438" t="s">
        <v>31</v>
      </c>
      <c r="B3" s="23">
        <v>1.0</v>
      </c>
      <c r="C3" s="23">
        <v>546.0</v>
      </c>
      <c r="D3" s="23">
        <v>12.0</v>
      </c>
      <c r="E3" s="23">
        <v>482.0</v>
      </c>
      <c r="F3" s="23">
        <v>64.0</v>
      </c>
      <c r="G3" s="23">
        <v>30.0</v>
      </c>
      <c r="H3" s="23">
        <v>17.0</v>
      </c>
      <c r="I3" s="23">
        <v>6474.0</v>
      </c>
      <c r="J3" s="23">
        <v>16.0</v>
      </c>
      <c r="K3" s="23">
        <v>112.0</v>
      </c>
      <c r="L3" s="23">
        <v>21.0</v>
      </c>
      <c r="M3" s="23">
        <v>8.0</v>
      </c>
      <c r="N3" s="23">
        <v>8.0</v>
      </c>
      <c r="O3" s="23">
        <v>0.0</v>
      </c>
      <c r="P3" s="23">
        <v>0.0</v>
      </c>
      <c r="Q3" s="23">
        <v>5.0</v>
      </c>
      <c r="R3" s="23">
        <v>8.0</v>
      </c>
      <c r="S3" s="23">
        <v>0.0</v>
      </c>
      <c r="T3" s="23">
        <v>0.0</v>
      </c>
      <c r="U3" s="23">
        <v>0.0</v>
      </c>
      <c r="V3" s="23">
        <v>1.0</v>
      </c>
      <c r="W3" s="23">
        <v>1.0</v>
      </c>
      <c r="X3" s="23">
        <v>1.0</v>
      </c>
      <c r="Y3" s="23">
        <v>0.0</v>
      </c>
      <c r="Z3" s="23">
        <v>0.0</v>
      </c>
      <c r="AA3" s="23">
        <v>0.0</v>
      </c>
      <c r="AB3" s="23">
        <v>4.0</v>
      </c>
      <c r="AC3" s="23">
        <v>0.0</v>
      </c>
    </row>
    <row r="4" ht="15.75" customHeight="1">
      <c r="A4" s="438" t="s">
        <v>33</v>
      </c>
      <c r="B4" s="23">
        <v>1.0</v>
      </c>
      <c r="C4" s="23">
        <v>137.0</v>
      </c>
      <c r="D4" s="23">
        <v>6.0</v>
      </c>
      <c r="E4" s="23">
        <v>128.0</v>
      </c>
      <c r="F4" s="23">
        <v>9.0</v>
      </c>
      <c r="G4" s="23">
        <v>14.0</v>
      </c>
      <c r="H4" s="23">
        <v>10.0</v>
      </c>
      <c r="I4" s="23">
        <v>1974.0</v>
      </c>
      <c r="J4" s="23">
        <v>4.0</v>
      </c>
      <c r="K4" s="23">
        <v>25.0</v>
      </c>
      <c r="L4" s="23">
        <v>5.0</v>
      </c>
      <c r="M4" s="23">
        <v>1.0</v>
      </c>
      <c r="N4" s="23">
        <v>2.0</v>
      </c>
      <c r="O4" s="23">
        <v>0.0</v>
      </c>
      <c r="P4" s="23">
        <v>0.0</v>
      </c>
      <c r="Q4" s="23">
        <v>1.0</v>
      </c>
      <c r="R4" s="23">
        <v>2.0</v>
      </c>
      <c r="S4" s="23">
        <v>0.0</v>
      </c>
      <c r="T4" s="23">
        <v>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0.0</v>
      </c>
      <c r="AA4" s="23">
        <v>0.0</v>
      </c>
      <c r="AB4" s="23">
        <v>4.0</v>
      </c>
      <c r="AC4" s="23">
        <v>0.0</v>
      </c>
    </row>
    <row r="5" ht="15.75" customHeight="1">
      <c r="A5" s="438" t="s">
        <v>34</v>
      </c>
      <c r="B5" s="23">
        <v>0.0</v>
      </c>
      <c r="C5" s="23">
        <v>165.0</v>
      </c>
      <c r="D5" s="23">
        <v>4.0</v>
      </c>
      <c r="E5" s="23">
        <v>183.0</v>
      </c>
      <c r="F5" s="23">
        <v>-18.0</v>
      </c>
      <c r="G5" s="23">
        <v>14.0</v>
      </c>
      <c r="H5" s="23">
        <v>7.0</v>
      </c>
      <c r="I5" s="23">
        <v>2941.0</v>
      </c>
      <c r="J5" s="23">
        <v>4.0</v>
      </c>
      <c r="K5" s="23">
        <v>23.0</v>
      </c>
      <c r="L5" s="23">
        <v>6.0</v>
      </c>
      <c r="M5" s="23">
        <v>2.0</v>
      </c>
      <c r="N5" s="23">
        <v>1.0</v>
      </c>
      <c r="O5" s="23">
        <v>0.0</v>
      </c>
      <c r="P5" s="23">
        <v>0.0</v>
      </c>
      <c r="Q5" s="23">
        <v>2.0</v>
      </c>
      <c r="R5" s="23">
        <v>1.0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23">
        <v>0.0</v>
      </c>
      <c r="AB5" s="23">
        <v>5.0</v>
      </c>
      <c r="AC5" s="23">
        <v>0.0</v>
      </c>
    </row>
    <row r="6" ht="15.75" customHeight="1">
      <c r="A6" s="438" t="s">
        <v>36</v>
      </c>
      <c r="B6" s="23">
        <v>1.0</v>
      </c>
      <c r="C6" s="23">
        <v>200.0</v>
      </c>
      <c r="D6" s="23">
        <v>3.0</v>
      </c>
      <c r="E6" s="23">
        <v>191.0</v>
      </c>
      <c r="F6" s="23">
        <v>9.0</v>
      </c>
      <c r="G6" s="23">
        <v>15.0</v>
      </c>
      <c r="H6" s="23">
        <v>7.0</v>
      </c>
      <c r="I6" s="23">
        <v>2943.0</v>
      </c>
      <c r="J6" s="23">
        <v>1.0</v>
      </c>
      <c r="K6" s="23">
        <v>41.0</v>
      </c>
      <c r="L6" s="23">
        <v>8.0</v>
      </c>
      <c r="M6" s="23">
        <v>5.0</v>
      </c>
      <c r="N6" s="23">
        <v>3.0</v>
      </c>
      <c r="O6" s="23">
        <v>0.0</v>
      </c>
      <c r="P6" s="23">
        <v>0.0</v>
      </c>
      <c r="Q6" s="23">
        <v>2.0</v>
      </c>
      <c r="R6" s="23">
        <v>3.0</v>
      </c>
      <c r="S6" s="23">
        <v>0.0</v>
      </c>
      <c r="T6" s="23">
        <v>0.0</v>
      </c>
      <c r="U6" s="23">
        <v>0.0</v>
      </c>
      <c r="V6" s="23">
        <v>2.0</v>
      </c>
      <c r="W6" s="23">
        <v>1.0</v>
      </c>
      <c r="X6" s="23">
        <v>0.0</v>
      </c>
      <c r="Y6" s="23">
        <v>0.0</v>
      </c>
      <c r="Z6" s="23">
        <v>0.0</v>
      </c>
      <c r="AA6" s="23">
        <v>0.0</v>
      </c>
      <c r="AB6" s="23">
        <v>3.0</v>
      </c>
      <c r="AC6" s="23">
        <v>0.0</v>
      </c>
    </row>
    <row r="7" ht="15.75" customHeight="1">
      <c r="A7" s="438" t="s">
        <v>40</v>
      </c>
      <c r="B7" s="23">
        <v>11.0</v>
      </c>
      <c r="C7" s="23">
        <v>639.0</v>
      </c>
      <c r="D7" s="23">
        <v>17.0</v>
      </c>
      <c r="E7" s="23">
        <v>637.0</v>
      </c>
      <c r="F7" s="23">
        <v>2.0</v>
      </c>
      <c r="G7" s="23">
        <v>42.0</v>
      </c>
      <c r="H7" s="23">
        <v>9.0</v>
      </c>
      <c r="I7" s="23">
        <v>11646.0</v>
      </c>
      <c r="J7" s="23">
        <v>30.0</v>
      </c>
      <c r="K7" s="23">
        <v>122.0</v>
      </c>
      <c r="L7" s="23">
        <v>23.0</v>
      </c>
      <c r="M7" s="23">
        <v>14.0</v>
      </c>
      <c r="N7" s="23">
        <v>10.0</v>
      </c>
      <c r="O7" s="23">
        <v>0.0</v>
      </c>
      <c r="P7" s="23">
        <v>0.0</v>
      </c>
      <c r="Q7" s="23">
        <v>8.0</v>
      </c>
      <c r="R7" s="23">
        <v>10.0</v>
      </c>
      <c r="S7" s="23">
        <v>0.0</v>
      </c>
      <c r="T7" s="23">
        <v>0.0</v>
      </c>
      <c r="U7" s="23">
        <v>0.0</v>
      </c>
      <c r="V7" s="23">
        <v>3.0</v>
      </c>
      <c r="W7" s="23">
        <v>2.0</v>
      </c>
      <c r="X7" s="23">
        <v>1.0</v>
      </c>
      <c r="Y7" s="23">
        <v>0.0</v>
      </c>
      <c r="Z7" s="23">
        <v>0.0</v>
      </c>
      <c r="AA7" s="23">
        <v>0.0</v>
      </c>
      <c r="AB7" s="23">
        <v>7.0</v>
      </c>
      <c r="AC7" s="23">
        <v>0.0</v>
      </c>
    </row>
    <row r="8" ht="15.75" customHeight="1">
      <c r="A8" s="438" t="s">
        <v>41</v>
      </c>
      <c r="B8" s="23">
        <v>0.0</v>
      </c>
      <c r="C8" s="23">
        <v>104.0</v>
      </c>
      <c r="D8" s="23">
        <v>0.0</v>
      </c>
      <c r="E8" s="23">
        <v>207.0</v>
      </c>
      <c r="F8" s="23">
        <v>-103.0</v>
      </c>
      <c r="G8" s="23">
        <v>13.0</v>
      </c>
      <c r="H8" s="23">
        <v>1.0</v>
      </c>
      <c r="I8" s="23">
        <v>3042.0</v>
      </c>
      <c r="J8" s="23">
        <v>4.0</v>
      </c>
      <c r="K8" s="23">
        <v>14.0</v>
      </c>
      <c r="L8" s="23">
        <v>3.0</v>
      </c>
      <c r="M8" s="23">
        <v>2.0</v>
      </c>
      <c r="N8" s="23">
        <v>1.0</v>
      </c>
      <c r="O8" s="23">
        <v>0.0</v>
      </c>
      <c r="P8" s="23">
        <v>0.0</v>
      </c>
      <c r="Q8" s="23">
        <v>1.0</v>
      </c>
      <c r="R8" s="23">
        <v>1.0</v>
      </c>
      <c r="S8" s="23">
        <v>0.0</v>
      </c>
      <c r="T8" s="23">
        <v>0.0</v>
      </c>
      <c r="U8" s="23">
        <v>0.0</v>
      </c>
      <c r="V8" s="23">
        <v>1.0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5.0</v>
      </c>
      <c r="AC8" s="23">
        <v>0.0</v>
      </c>
    </row>
    <row r="9" ht="15.75" customHeight="1">
      <c r="A9" s="438" t="s">
        <v>42</v>
      </c>
      <c r="B9" s="509">
        <v>5.0</v>
      </c>
      <c r="C9" s="509">
        <v>91.0</v>
      </c>
      <c r="D9" s="509">
        <v>1.0</v>
      </c>
      <c r="E9" s="509">
        <v>96.0</v>
      </c>
      <c r="F9" s="509">
        <v>-5.0</v>
      </c>
      <c r="G9" s="509">
        <v>15.0</v>
      </c>
      <c r="H9" s="509">
        <v>3.0</v>
      </c>
      <c r="I9" s="509">
        <v>1905.0</v>
      </c>
      <c r="J9" s="509">
        <v>4.0</v>
      </c>
      <c r="K9" s="509">
        <v>14.0</v>
      </c>
      <c r="L9" s="509">
        <v>6.0</v>
      </c>
      <c r="M9" s="509">
        <v>0.0</v>
      </c>
      <c r="N9" s="509">
        <v>3.0</v>
      </c>
      <c r="O9" s="509">
        <v>0.0</v>
      </c>
      <c r="P9" s="509">
        <v>0.0</v>
      </c>
      <c r="Q9" s="509">
        <v>0.0</v>
      </c>
      <c r="R9" s="509">
        <v>3.0</v>
      </c>
      <c r="S9" s="509">
        <v>0.0</v>
      </c>
      <c r="T9" s="509">
        <v>0.0</v>
      </c>
      <c r="U9" s="509">
        <v>0.0</v>
      </c>
      <c r="V9" s="509">
        <v>0.0</v>
      </c>
      <c r="W9" s="509">
        <v>0.0</v>
      </c>
      <c r="X9" s="509">
        <v>0.0</v>
      </c>
      <c r="Y9" s="509">
        <v>0.0</v>
      </c>
      <c r="Z9" s="509">
        <v>0.0</v>
      </c>
      <c r="AA9" s="509">
        <v>0.0</v>
      </c>
      <c r="AB9" s="509">
        <v>2.0</v>
      </c>
      <c r="AC9" s="509">
        <v>0.0</v>
      </c>
    </row>
    <row r="10" ht="15.75" customHeight="1">
      <c r="A10" s="438" t="s">
        <v>43</v>
      </c>
      <c r="B10" s="23">
        <v>11.0</v>
      </c>
      <c r="C10" s="23">
        <v>423.0</v>
      </c>
      <c r="D10" s="23">
        <v>15.0</v>
      </c>
      <c r="E10" s="23">
        <v>267.0</v>
      </c>
      <c r="F10" s="23">
        <v>156.0</v>
      </c>
      <c r="G10" s="23">
        <v>36.0</v>
      </c>
      <c r="H10" s="23">
        <v>10.0</v>
      </c>
      <c r="I10" s="23">
        <v>6474.0</v>
      </c>
      <c r="J10" s="23">
        <v>12.0</v>
      </c>
      <c r="K10" s="23">
        <v>64.0</v>
      </c>
      <c r="L10" s="23">
        <v>20.0</v>
      </c>
      <c r="M10" s="23">
        <v>3.0</v>
      </c>
      <c r="N10" s="23">
        <v>12.0</v>
      </c>
      <c r="O10" s="23">
        <v>0.0</v>
      </c>
      <c r="P10" s="23">
        <v>0.0</v>
      </c>
      <c r="Q10" s="23">
        <v>3.0</v>
      </c>
      <c r="R10" s="23">
        <v>12.0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12.0</v>
      </c>
      <c r="AC10" s="23">
        <v>0.0</v>
      </c>
    </row>
    <row r="11" ht="15.75" customHeight="1">
      <c r="A11" s="438" t="s">
        <v>44</v>
      </c>
      <c r="B11" s="23">
        <v>0.0</v>
      </c>
      <c r="C11" s="23">
        <v>93.0</v>
      </c>
      <c r="D11" s="23">
        <v>1.0</v>
      </c>
      <c r="E11" s="23">
        <v>127.0</v>
      </c>
      <c r="F11" s="23">
        <v>-34.0</v>
      </c>
      <c r="G11" s="23">
        <v>8.0</v>
      </c>
      <c r="H11" s="23">
        <v>2.0</v>
      </c>
      <c r="I11" s="23">
        <v>1798.0</v>
      </c>
      <c r="J11" s="23">
        <v>2.0</v>
      </c>
      <c r="K11" s="23">
        <v>13.0</v>
      </c>
      <c r="L11" s="23">
        <v>2.0</v>
      </c>
      <c r="M11" s="23">
        <v>0.0</v>
      </c>
      <c r="N11" s="23">
        <v>1.0</v>
      </c>
      <c r="O11" s="23">
        <v>0.0</v>
      </c>
      <c r="P11" s="23">
        <v>0.0</v>
      </c>
      <c r="Q11" s="23">
        <v>0.0</v>
      </c>
      <c r="R11" s="23">
        <v>1.0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2.0</v>
      </c>
      <c r="AC11" s="23">
        <v>0.0</v>
      </c>
    </row>
    <row r="12" ht="15.75" customHeight="1">
      <c r="A12" s="427" t="s">
        <v>45</v>
      </c>
      <c r="B12" s="428">
        <v>2.0</v>
      </c>
      <c r="C12" s="428">
        <v>94.0</v>
      </c>
      <c r="D12" s="428">
        <v>2.0</v>
      </c>
      <c r="E12" s="428">
        <v>77.0</v>
      </c>
      <c r="F12" s="428">
        <v>17.0</v>
      </c>
      <c r="G12" s="428">
        <v>11.0</v>
      </c>
      <c r="H12" s="428">
        <v>0.0</v>
      </c>
      <c r="I12" s="428">
        <v>1322.0</v>
      </c>
      <c r="J12" s="428">
        <v>6.0</v>
      </c>
      <c r="K12" s="428">
        <v>17.0</v>
      </c>
      <c r="L12" s="428">
        <v>3.0</v>
      </c>
      <c r="M12" s="428">
        <v>0.0</v>
      </c>
      <c r="N12" s="428">
        <v>2.0</v>
      </c>
      <c r="O12" s="428">
        <v>0.0</v>
      </c>
      <c r="P12" s="428">
        <v>0.0</v>
      </c>
      <c r="Q12" s="428">
        <v>0.0</v>
      </c>
      <c r="R12" s="428">
        <v>2.0</v>
      </c>
      <c r="S12" s="428">
        <v>0.0</v>
      </c>
      <c r="T12" s="428">
        <v>0.0</v>
      </c>
      <c r="U12" s="428">
        <v>0.0</v>
      </c>
      <c r="V12" s="428">
        <v>0.0</v>
      </c>
      <c r="W12" s="428">
        <v>0.0</v>
      </c>
      <c r="X12" s="428">
        <v>0.0</v>
      </c>
      <c r="Y12" s="428">
        <v>0.0</v>
      </c>
      <c r="Z12" s="428">
        <v>0.0</v>
      </c>
      <c r="AA12" s="428">
        <v>0.0</v>
      </c>
      <c r="AB12" s="428">
        <v>0.0</v>
      </c>
      <c r="AC12" s="428">
        <v>0.0</v>
      </c>
    </row>
    <row r="13" ht="15.75" customHeight="1">
      <c r="A13" s="427" t="s">
        <v>46</v>
      </c>
      <c r="B13" s="428">
        <v>6.0</v>
      </c>
      <c r="C13" s="428">
        <v>633.0</v>
      </c>
      <c r="D13" s="428">
        <v>11.0</v>
      </c>
      <c r="E13" s="428">
        <v>572.0</v>
      </c>
      <c r="F13" s="428">
        <v>61.0</v>
      </c>
      <c r="G13" s="428">
        <v>49.0</v>
      </c>
      <c r="H13" s="428">
        <v>19.0</v>
      </c>
      <c r="I13" s="428">
        <v>9253.0</v>
      </c>
      <c r="J13" s="428">
        <v>11.0</v>
      </c>
      <c r="K13" s="428">
        <v>113.0</v>
      </c>
      <c r="L13" s="428">
        <v>31.0</v>
      </c>
      <c r="M13" s="428">
        <v>13.0</v>
      </c>
      <c r="N13" s="428">
        <v>16.0</v>
      </c>
      <c r="O13" s="428">
        <v>0.0</v>
      </c>
      <c r="P13" s="428">
        <v>0.0</v>
      </c>
      <c r="Q13" s="428">
        <v>9.0</v>
      </c>
      <c r="R13" s="428">
        <v>16.0</v>
      </c>
      <c r="S13" s="428">
        <v>0.0</v>
      </c>
      <c r="T13" s="428">
        <v>0.0</v>
      </c>
      <c r="U13" s="428">
        <v>0.0</v>
      </c>
      <c r="V13" s="428">
        <v>3.0</v>
      </c>
      <c r="W13" s="428">
        <v>1.0</v>
      </c>
      <c r="X13" s="428">
        <v>0.0</v>
      </c>
      <c r="Y13" s="428">
        <v>0.0</v>
      </c>
      <c r="Z13" s="428">
        <v>0.0</v>
      </c>
      <c r="AA13" s="428">
        <v>0.0</v>
      </c>
      <c r="AB13" s="428">
        <v>6.0</v>
      </c>
      <c r="AC13" s="428">
        <v>0.0</v>
      </c>
    </row>
    <row r="14" ht="15.75" customHeight="1">
      <c r="A14" s="438" t="s">
        <v>47</v>
      </c>
      <c r="B14" s="509">
        <v>12.0</v>
      </c>
      <c r="C14" s="509">
        <v>330.0</v>
      </c>
      <c r="D14" s="509">
        <v>7.0</v>
      </c>
      <c r="E14" s="509">
        <v>426.0</v>
      </c>
      <c r="F14" s="509">
        <v>-96.0</v>
      </c>
      <c r="G14" s="509">
        <v>26.0</v>
      </c>
      <c r="H14" s="509">
        <v>16.0</v>
      </c>
      <c r="I14" s="509">
        <v>6875.0</v>
      </c>
      <c r="J14" s="509">
        <v>9.0</v>
      </c>
      <c r="K14" s="509">
        <v>53.0</v>
      </c>
      <c r="L14" s="509">
        <v>7.0</v>
      </c>
      <c r="M14" s="509">
        <v>2.0</v>
      </c>
      <c r="N14" s="509">
        <v>2.0</v>
      </c>
      <c r="O14" s="509">
        <v>0.0</v>
      </c>
      <c r="P14" s="509">
        <v>0.0</v>
      </c>
      <c r="Q14" s="509">
        <v>1.0</v>
      </c>
      <c r="R14" s="509">
        <v>2.0</v>
      </c>
      <c r="S14" s="509">
        <v>0.0</v>
      </c>
      <c r="T14" s="509">
        <v>0.0</v>
      </c>
      <c r="U14" s="509">
        <v>0.0</v>
      </c>
      <c r="V14" s="509">
        <v>1.0</v>
      </c>
      <c r="W14" s="509">
        <v>0.0</v>
      </c>
      <c r="X14" s="509">
        <v>0.0</v>
      </c>
      <c r="Y14" s="509">
        <v>0.0</v>
      </c>
      <c r="Z14" s="509">
        <v>0.0</v>
      </c>
      <c r="AA14" s="509">
        <v>0.0</v>
      </c>
      <c r="AB14" s="509">
        <v>12.0</v>
      </c>
      <c r="AC14" s="509">
        <v>0.0</v>
      </c>
    </row>
    <row r="15" ht="15.75" customHeight="1">
      <c r="A15" s="438" t="s">
        <v>52</v>
      </c>
      <c r="B15" s="23">
        <v>0.0</v>
      </c>
      <c r="C15" s="23">
        <v>38.0</v>
      </c>
      <c r="D15" s="23">
        <v>1.0</v>
      </c>
      <c r="E15" s="23">
        <v>33.0</v>
      </c>
      <c r="F15" s="23">
        <v>5.0</v>
      </c>
      <c r="G15" s="23">
        <v>3.0</v>
      </c>
      <c r="H15" s="23">
        <v>0.0</v>
      </c>
      <c r="I15" s="23">
        <v>883.0</v>
      </c>
      <c r="J15" s="23">
        <v>1.0</v>
      </c>
      <c r="K15" s="23">
        <v>7.0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</row>
    <row r="16" ht="15.75" customHeight="1">
      <c r="A16" s="427" t="s">
        <v>53</v>
      </c>
      <c r="B16" s="428">
        <v>1.0</v>
      </c>
      <c r="C16" s="428">
        <v>330.0</v>
      </c>
      <c r="D16" s="428">
        <v>13.0</v>
      </c>
      <c r="E16" s="428">
        <v>321.0</v>
      </c>
      <c r="F16" s="428">
        <v>9.0</v>
      </c>
      <c r="G16" s="428">
        <v>23.0</v>
      </c>
      <c r="H16" s="428">
        <v>11.0</v>
      </c>
      <c r="I16" s="428">
        <v>4809.0</v>
      </c>
      <c r="J16" s="428">
        <v>5.0</v>
      </c>
      <c r="K16" s="428">
        <v>70.0</v>
      </c>
      <c r="L16" s="428">
        <v>15.0</v>
      </c>
      <c r="M16" s="428">
        <v>4.0</v>
      </c>
      <c r="N16" s="428">
        <v>3.0</v>
      </c>
      <c r="O16" s="428">
        <v>0.0</v>
      </c>
      <c r="P16" s="428">
        <v>0.0</v>
      </c>
      <c r="Q16" s="428">
        <v>3.0</v>
      </c>
      <c r="R16" s="428">
        <v>3.0</v>
      </c>
      <c r="S16" s="428">
        <v>0.0</v>
      </c>
      <c r="T16" s="428">
        <v>0.0</v>
      </c>
      <c r="U16" s="428">
        <v>0.0</v>
      </c>
      <c r="V16" s="428">
        <v>1.0</v>
      </c>
      <c r="W16" s="428">
        <v>0.0</v>
      </c>
      <c r="X16" s="428">
        <v>0.0</v>
      </c>
      <c r="Y16" s="428">
        <v>0.0</v>
      </c>
      <c r="Z16" s="428">
        <v>0.0</v>
      </c>
      <c r="AA16" s="428">
        <v>0.0</v>
      </c>
      <c r="AB16" s="428">
        <v>8.0</v>
      </c>
      <c r="AC16" s="428">
        <v>0.0</v>
      </c>
    </row>
    <row r="17" ht="15.75" customHeight="1">
      <c r="A17" s="427" t="s">
        <v>55</v>
      </c>
      <c r="B17" s="428">
        <v>0.0</v>
      </c>
      <c r="C17" s="428">
        <v>50.0</v>
      </c>
      <c r="D17" s="428">
        <v>3.0</v>
      </c>
      <c r="E17" s="428">
        <v>64.0</v>
      </c>
      <c r="F17" s="428">
        <v>-14.0</v>
      </c>
      <c r="G17" s="428">
        <v>6.0</v>
      </c>
      <c r="H17" s="428">
        <v>2.0</v>
      </c>
      <c r="I17" s="428">
        <v>870.0</v>
      </c>
      <c r="J17" s="428">
        <v>1.0</v>
      </c>
      <c r="K17" s="428">
        <v>8.0</v>
      </c>
      <c r="L17" s="428">
        <v>4.0</v>
      </c>
      <c r="M17" s="428">
        <v>2.0</v>
      </c>
      <c r="N17" s="428">
        <v>2.0</v>
      </c>
      <c r="O17" s="428">
        <v>0.0</v>
      </c>
      <c r="P17" s="428">
        <v>0.0</v>
      </c>
      <c r="Q17" s="428">
        <v>2.0</v>
      </c>
      <c r="R17" s="428">
        <v>2.0</v>
      </c>
      <c r="S17" s="428">
        <v>0.0</v>
      </c>
      <c r="T17" s="428">
        <v>0.0</v>
      </c>
      <c r="U17" s="428">
        <v>0.0</v>
      </c>
      <c r="V17" s="428">
        <v>0.0</v>
      </c>
      <c r="W17" s="428">
        <v>0.0</v>
      </c>
      <c r="X17" s="428">
        <v>0.0</v>
      </c>
      <c r="Y17" s="428">
        <v>0.0</v>
      </c>
      <c r="Z17" s="428">
        <v>0.0</v>
      </c>
      <c r="AA17" s="428">
        <v>0.0</v>
      </c>
      <c r="AB17" s="428">
        <v>2.0</v>
      </c>
      <c r="AC17" s="428">
        <v>0.0</v>
      </c>
    </row>
    <row r="18" ht="15.75" customHeight="1">
      <c r="A18" s="438" t="s">
        <v>56</v>
      </c>
      <c r="B18" s="509">
        <v>1.0</v>
      </c>
      <c r="C18" s="509">
        <v>129.0</v>
      </c>
      <c r="D18" s="509">
        <v>7.0</v>
      </c>
      <c r="E18" s="509">
        <v>138.0</v>
      </c>
      <c r="F18" s="509">
        <v>-9.0</v>
      </c>
      <c r="G18" s="509">
        <v>19.0</v>
      </c>
      <c r="H18" s="509">
        <v>2.0</v>
      </c>
      <c r="I18" s="509">
        <v>2461.0</v>
      </c>
      <c r="J18" s="509">
        <v>3.0</v>
      </c>
      <c r="K18" s="509">
        <v>14.0</v>
      </c>
      <c r="L18" s="509">
        <v>4.0</v>
      </c>
      <c r="M18" s="509">
        <v>2.0</v>
      </c>
      <c r="N18" s="509">
        <v>5.0</v>
      </c>
      <c r="O18" s="509">
        <v>0.0</v>
      </c>
      <c r="P18" s="509">
        <v>0.0</v>
      </c>
      <c r="Q18" s="509">
        <v>1.0</v>
      </c>
      <c r="R18" s="509">
        <v>5.0</v>
      </c>
      <c r="S18" s="509">
        <v>0.0</v>
      </c>
      <c r="T18" s="509">
        <v>0.0</v>
      </c>
      <c r="U18" s="509">
        <v>0.0</v>
      </c>
      <c r="V18" s="509">
        <v>1.0</v>
      </c>
      <c r="W18" s="509">
        <v>0.0</v>
      </c>
      <c r="X18" s="509">
        <v>0.0</v>
      </c>
      <c r="Y18" s="509">
        <v>0.0</v>
      </c>
      <c r="Z18" s="509">
        <v>0.0</v>
      </c>
      <c r="AA18" s="509">
        <v>0.0</v>
      </c>
      <c r="AB18" s="509">
        <v>6.0</v>
      </c>
      <c r="AC18" s="509">
        <v>0.0</v>
      </c>
    </row>
    <row r="19" ht="15.75" customHeight="1">
      <c r="A19" s="427" t="s">
        <v>60</v>
      </c>
      <c r="B19" s="428">
        <v>2.0</v>
      </c>
      <c r="C19" s="428">
        <v>598.0</v>
      </c>
      <c r="D19" s="428">
        <v>14.0</v>
      </c>
      <c r="E19" s="428">
        <v>591.0</v>
      </c>
      <c r="F19" s="428">
        <v>7.0</v>
      </c>
      <c r="G19" s="428">
        <v>38.0</v>
      </c>
      <c r="H19" s="428">
        <v>23.0</v>
      </c>
      <c r="I19" s="428">
        <v>9134.0</v>
      </c>
      <c r="J19" s="428">
        <v>9.0</v>
      </c>
      <c r="K19" s="428">
        <v>106.0</v>
      </c>
      <c r="L19" s="428">
        <v>20.0</v>
      </c>
      <c r="M19" s="428">
        <v>9.0</v>
      </c>
      <c r="N19" s="428">
        <v>6.0</v>
      </c>
      <c r="O19" s="428">
        <v>0.0</v>
      </c>
      <c r="P19" s="428">
        <v>0.0</v>
      </c>
      <c r="Q19" s="428">
        <v>6.0</v>
      </c>
      <c r="R19" s="428">
        <v>6.0</v>
      </c>
      <c r="S19" s="428">
        <v>0.0</v>
      </c>
      <c r="T19" s="428">
        <v>0.0</v>
      </c>
      <c r="U19" s="428">
        <v>0.0</v>
      </c>
      <c r="V19" s="428">
        <v>2.0</v>
      </c>
      <c r="W19" s="428">
        <v>1.0</v>
      </c>
      <c r="X19" s="428">
        <v>0.0</v>
      </c>
      <c r="Y19" s="428">
        <v>0.0</v>
      </c>
      <c r="Z19" s="428">
        <v>0.0</v>
      </c>
      <c r="AA19" s="428">
        <v>0.0</v>
      </c>
      <c r="AB19" s="428">
        <v>5.0</v>
      </c>
      <c r="AC19" s="428">
        <v>0.0</v>
      </c>
    </row>
    <row r="20" ht="15.75" customHeight="1">
      <c r="A20" s="427" t="s">
        <v>61</v>
      </c>
      <c r="B20" s="428">
        <v>1.0</v>
      </c>
      <c r="C20" s="428">
        <v>415.0</v>
      </c>
      <c r="D20" s="428">
        <v>13.0</v>
      </c>
      <c r="E20" s="428">
        <v>339.0</v>
      </c>
      <c r="F20" s="428">
        <v>76.0</v>
      </c>
      <c r="G20" s="428">
        <v>36.0</v>
      </c>
      <c r="H20" s="428">
        <v>7.0</v>
      </c>
      <c r="I20" s="428">
        <v>5559.0</v>
      </c>
      <c r="J20" s="428">
        <v>16.0</v>
      </c>
      <c r="K20" s="428">
        <v>77.0</v>
      </c>
      <c r="L20" s="428">
        <v>21.0</v>
      </c>
      <c r="M20" s="428">
        <v>9.0</v>
      </c>
      <c r="N20" s="428">
        <v>12.0</v>
      </c>
      <c r="O20" s="428">
        <v>0.0</v>
      </c>
      <c r="P20" s="428">
        <v>0.0</v>
      </c>
      <c r="Q20" s="428">
        <v>7.0</v>
      </c>
      <c r="R20" s="428">
        <v>12.0</v>
      </c>
      <c r="S20" s="428">
        <v>0.0</v>
      </c>
      <c r="T20" s="428">
        <v>0.0</v>
      </c>
      <c r="U20" s="428">
        <v>0.0</v>
      </c>
      <c r="V20" s="428">
        <v>2.0</v>
      </c>
      <c r="W20" s="428">
        <v>0.0</v>
      </c>
      <c r="X20" s="428">
        <v>0.0</v>
      </c>
      <c r="Y20" s="428">
        <v>0.0</v>
      </c>
      <c r="Z20" s="428">
        <v>0.0</v>
      </c>
      <c r="AA20" s="428">
        <v>0.0</v>
      </c>
      <c r="AB20" s="428">
        <v>13.0</v>
      </c>
      <c r="AC20" s="428">
        <v>0.0</v>
      </c>
    </row>
    <row r="21" ht="15.75" customHeight="1">
      <c r="A21" s="427" t="s">
        <v>382</v>
      </c>
      <c r="B21" s="428">
        <v>1.0</v>
      </c>
      <c r="C21" s="428">
        <v>62.0</v>
      </c>
      <c r="D21" s="428">
        <v>1.0</v>
      </c>
      <c r="E21" s="428">
        <v>98.0</v>
      </c>
      <c r="F21" s="428">
        <v>-36.0</v>
      </c>
      <c r="G21" s="428">
        <v>8.0</v>
      </c>
      <c r="H21" s="428">
        <v>0.0</v>
      </c>
      <c r="I21" s="428">
        <v>1322.0</v>
      </c>
      <c r="J21" s="428">
        <v>4.0</v>
      </c>
      <c r="K21" s="428">
        <v>8.0</v>
      </c>
      <c r="L21" s="428">
        <v>1.0</v>
      </c>
      <c r="M21" s="428">
        <v>2.0</v>
      </c>
      <c r="N21" s="428">
        <v>1.0</v>
      </c>
      <c r="O21" s="428">
        <v>0.0</v>
      </c>
      <c r="P21" s="428">
        <v>0.0</v>
      </c>
      <c r="Q21" s="428">
        <v>1.0</v>
      </c>
      <c r="R21" s="428">
        <v>1.0</v>
      </c>
      <c r="S21" s="428">
        <v>0.0</v>
      </c>
      <c r="T21" s="428">
        <v>0.0</v>
      </c>
      <c r="U21" s="428">
        <v>0.0</v>
      </c>
      <c r="V21" s="428">
        <v>1.0</v>
      </c>
      <c r="W21" s="428">
        <v>0.0</v>
      </c>
      <c r="X21" s="428">
        <v>0.0</v>
      </c>
      <c r="Y21" s="428">
        <v>0.0</v>
      </c>
      <c r="Z21" s="428">
        <v>0.0</v>
      </c>
      <c r="AA21" s="428">
        <v>0.0</v>
      </c>
      <c r="AB21" s="428">
        <v>2.0</v>
      </c>
      <c r="AC21" s="428">
        <v>0.0</v>
      </c>
    </row>
    <row r="22" ht="15.75" customHeight="1">
      <c r="A22" s="438" t="s">
        <v>69</v>
      </c>
      <c r="B22" s="23">
        <v>1.0</v>
      </c>
      <c r="C22" s="23">
        <v>18.0</v>
      </c>
      <c r="D22" s="23">
        <v>1.0</v>
      </c>
      <c r="E22" s="23">
        <v>14.0</v>
      </c>
      <c r="F22" s="23">
        <v>4.0</v>
      </c>
      <c r="G22" s="23">
        <v>4.0</v>
      </c>
      <c r="H22" s="23">
        <v>1.0</v>
      </c>
      <c r="I22" s="23">
        <v>274.0</v>
      </c>
      <c r="J22" s="23">
        <v>0.0</v>
      </c>
      <c r="K22" s="23">
        <v>3.0</v>
      </c>
      <c r="L22" s="23">
        <v>1.0</v>
      </c>
      <c r="M22" s="23">
        <v>1.0</v>
      </c>
      <c r="N22" s="23">
        <v>0.0</v>
      </c>
      <c r="O22" s="23">
        <v>0.0</v>
      </c>
      <c r="P22" s="23">
        <v>0.0</v>
      </c>
      <c r="Q22" s="23">
        <v>1.0</v>
      </c>
      <c r="R22" s="23">
        <v>0.0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23">
        <v>0.0</v>
      </c>
      <c r="AC22" s="23">
        <v>0.0</v>
      </c>
    </row>
    <row r="23" ht="15.75" customHeight="1">
      <c r="A23" s="427" t="s">
        <v>73</v>
      </c>
      <c r="B23" s="428">
        <v>3.0</v>
      </c>
      <c r="C23" s="428">
        <v>436.0</v>
      </c>
      <c r="D23" s="428">
        <v>11.0</v>
      </c>
      <c r="E23" s="428">
        <v>335.0</v>
      </c>
      <c r="F23" s="428">
        <v>101.0</v>
      </c>
      <c r="G23" s="428">
        <v>27.0</v>
      </c>
      <c r="H23" s="428">
        <v>11.0</v>
      </c>
      <c r="I23" s="428">
        <v>5806.0</v>
      </c>
      <c r="J23" s="428">
        <v>3.0</v>
      </c>
      <c r="K23" s="428">
        <v>90.0</v>
      </c>
      <c r="L23" s="428">
        <v>38.0</v>
      </c>
      <c r="M23" s="428">
        <v>15.0</v>
      </c>
      <c r="N23" s="428">
        <v>11.0</v>
      </c>
      <c r="O23" s="428">
        <v>0.0</v>
      </c>
      <c r="P23" s="428">
        <v>0.0</v>
      </c>
      <c r="Q23" s="428">
        <v>13.0</v>
      </c>
      <c r="R23" s="428">
        <v>11.0</v>
      </c>
      <c r="S23" s="428">
        <v>0.0</v>
      </c>
      <c r="T23" s="428">
        <v>0.0</v>
      </c>
      <c r="U23" s="428">
        <v>0.0</v>
      </c>
      <c r="V23" s="428">
        <v>2.0</v>
      </c>
      <c r="W23" s="428">
        <v>0.0</v>
      </c>
      <c r="X23" s="428">
        <v>0.0</v>
      </c>
      <c r="Y23" s="428">
        <v>0.0</v>
      </c>
      <c r="Z23" s="428">
        <v>0.0</v>
      </c>
      <c r="AA23" s="428">
        <v>0.0</v>
      </c>
      <c r="AB23" s="428">
        <v>8.0</v>
      </c>
      <c r="AC23" s="428">
        <v>0.0</v>
      </c>
    </row>
    <row r="24" ht="15.75" customHeight="1">
      <c r="A24" s="427" t="s">
        <v>80</v>
      </c>
      <c r="B24" s="428">
        <v>2.0</v>
      </c>
      <c r="C24" s="428">
        <v>500.0</v>
      </c>
      <c r="D24" s="428">
        <v>21.0</v>
      </c>
      <c r="E24" s="428">
        <v>547.0</v>
      </c>
      <c r="F24" s="428">
        <v>-47.0</v>
      </c>
      <c r="G24" s="428">
        <v>32.0</v>
      </c>
      <c r="H24" s="428">
        <v>16.0</v>
      </c>
      <c r="I24" s="428">
        <v>8503.0</v>
      </c>
      <c r="J24" s="428">
        <v>9.0</v>
      </c>
      <c r="K24" s="428">
        <v>89.0</v>
      </c>
      <c r="L24" s="428">
        <v>23.0</v>
      </c>
      <c r="M24" s="428">
        <v>12.0</v>
      </c>
      <c r="N24" s="428">
        <v>7.0</v>
      </c>
      <c r="O24" s="428">
        <v>0.0</v>
      </c>
      <c r="P24" s="428">
        <v>0.0</v>
      </c>
      <c r="Q24" s="428">
        <v>8.0</v>
      </c>
      <c r="R24" s="428">
        <v>7.0</v>
      </c>
      <c r="S24" s="428">
        <v>0.0</v>
      </c>
      <c r="T24" s="428">
        <v>0.0</v>
      </c>
      <c r="U24" s="428">
        <v>0.0</v>
      </c>
      <c r="V24" s="428">
        <v>2.0</v>
      </c>
      <c r="W24" s="428">
        <v>1.0</v>
      </c>
      <c r="X24" s="428">
        <v>1.0</v>
      </c>
      <c r="Y24" s="428">
        <v>0.0</v>
      </c>
      <c r="Z24" s="428">
        <v>0.0</v>
      </c>
      <c r="AA24" s="428">
        <v>0.0</v>
      </c>
      <c r="AB24" s="428">
        <v>7.0</v>
      </c>
      <c r="AC24" s="428">
        <v>0.0</v>
      </c>
    </row>
    <row r="25" ht="15.75" customHeight="1">
      <c r="A25" s="427" t="s">
        <v>84</v>
      </c>
      <c r="B25" s="428">
        <v>4.0</v>
      </c>
      <c r="C25" s="428">
        <v>537.0</v>
      </c>
      <c r="D25" s="428">
        <v>16.0</v>
      </c>
      <c r="E25" s="428">
        <v>492.0</v>
      </c>
      <c r="F25" s="428">
        <v>45.0</v>
      </c>
      <c r="G25" s="428">
        <v>44.0</v>
      </c>
      <c r="H25" s="428">
        <v>8.0</v>
      </c>
      <c r="I25" s="428">
        <v>7645.0</v>
      </c>
      <c r="J25" s="428">
        <v>11.0</v>
      </c>
      <c r="K25" s="428">
        <v>87.0</v>
      </c>
      <c r="L25" s="428">
        <v>17.0</v>
      </c>
      <c r="M25" s="428">
        <v>6.0</v>
      </c>
      <c r="N25" s="428">
        <v>11.0</v>
      </c>
      <c r="O25" s="428">
        <v>0.0</v>
      </c>
      <c r="P25" s="428">
        <v>0.0</v>
      </c>
      <c r="Q25" s="428">
        <v>4.0</v>
      </c>
      <c r="R25" s="428">
        <v>11.0</v>
      </c>
      <c r="S25" s="428">
        <v>0.0</v>
      </c>
      <c r="T25" s="428">
        <v>0.0</v>
      </c>
      <c r="U25" s="428">
        <v>0.0</v>
      </c>
      <c r="V25" s="428">
        <v>2.0</v>
      </c>
      <c r="W25" s="428">
        <v>0.0</v>
      </c>
      <c r="X25" s="428">
        <v>0.0</v>
      </c>
      <c r="Y25" s="428">
        <v>0.0</v>
      </c>
      <c r="Z25" s="428">
        <v>0.0</v>
      </c>
      <c r="AA25" s="428">
        <v>0.0</v>
      </c>
      <c r="AB25" s="428">
        <v>6.0</v>
      </c>
      <c r="AC25" s="428">
        <v>0.0</v>
      </c>
    </row>
    <row r="26" ht="15.75" customHeight="1">
      <c r="A26" s="438" t="s">
        <v>85</v>
      </c>
      <c r="B26" s="23">
        <v>0.0</v>
      </c>
      <c r="C26" s="23">
        <v>120.0</v>
      </c>
      <c r="D26" s="23">
        <v>7.0</v>
      </c>
      <c r="E26" s="23">
        <v>144.0</v>
      </c>
      <c r="F26" s="23">
        <v>-24.0</v>
      </c>
      <c r="G26" s="23">
        <v>7.0</v>
      </c>
      <c r="H26" s="23">
        <v>2.0</v>
      </c>
      <c r="I26" s="23">
        <v>1798.0</v>
      </c>
      <c r="J26" s="23">
        <v>2.0</v>
      </c>
      <c r="K26" s="23">
        <v>20.0</v>
      </c>
      <c r="L26" s="23">
        <v>6.0</v>
      </c>
      <c r="M26" s="23">
        <v>1.0</v>
      </c>
      <c r="N26" s="23">
        <v>0.0</v>
      </c>
      <c r="O26" s="23">
        <v>0.0</v>
      </c>
      <c r="P26" s="23">
        <v>0.0</v>
      </c>
      <c r="Q26" s="23">
        <v>1.0</v>
      </c>
      <c r="R26" s="23">
        <v>0.0</v>
      </c>
      <c r="S26" s="23">
        <v>0.0</v>
      </c>
      <c r="T26" s="23">
        <v>0.0</v>
      </c>
      <c r="U26" s="23">
        <v>0.0</v>
      </c>
      <c r="V26" s="23">
        <v>0.0</v>
      </c>
      <c r="W26" s="23">
        <v>0.0</v>
      </c>
      <c r="X26" s="23">
        <v>0.0</v>
      </c>
      <c r="Y26" s="23">
        <v>0.0</v>
      </c>
      <c r="Z26" s="23">
        <v>0.0</v>
      </c>
      <c r="AA26" s="23">
        <v>0.0</v>
      </c>
      <c r="AB26" s="23">
        <v>1.0</v>
      </c>
      <c r="AC26" s="23">
        <v>0.0</v>
      </c>
    </row>
    <row r="27" ht="15.75" customHeight="1">
      <c r="A27" s="438" t="s">
        <v>88</v>
      </c>
      <c r="B27" s="23">
        <v>6.0</v>
      </c>
      <c r="C27" s="23">
        <v>386.0</v>
      </c>
      <c r="D27" s="23">
        <v>11.0</v>
      </c>
      <c r="E27" s="23">
        <v>380.0</v>
      </c>
      <c r="F27" s="23">
        <v>6.0</v>
      </c>
      <c r="G27" s="23">
        <v>29.0</v>
      </c>
      <c r="H27" s="23">
        <v>12.0</v>
      </c>
      <c r="I27" s="23">
        <v>6474.0</v>
      </c>
      <c r="J27" s="23">
        <v>6.0</v>
      </c>
      <c r="K27" s="23">
        <v>70.0</v>
      </c>
      <c r="L27" s="23">
        <v>18.0</v>
      </c>
      <c r="M27" s="23">
        <v>14.0</v>
      </c>
      <c r="N27" s="23">
        <v>8.0</v>
      </c>
      <c r="O27" s="23">
        <v>0.0</v>
      </c>
      <c r="P27" s="23">
        <v>0.0</v>
      </c>
      <c r="Q27" s="23">
        <v>9.0</v>
      </c>
      <c r="R27" s="23">
        <v>8.0</v>
      </c>
      <c r="S27" s="23">
        <v>0.0</v>
      </c>
      <c r="T27" s="23">
        <v>0.0</v>
      </c>
      <c r="U27" s="23">
        <v>0.0</v>
      </c>
      <c r="V27" s="23">
        <v>2.0</v>
      </c>
      <c r="W27" s="23">
        <v>1.0</v>
      </c>
      <c r="X27" s="23">
        <v>1.0</v>
      </c>
      <c r="Y27" s="23">
        <v>1.0</v>
      </c>
      <c r="Z27" s="23">
        <v>0.0</v>
      </c>
      <c r="AA27" s="23">
        <v>0.0</v>
      </c>
      <c r="AB27" s="23">
        <v>10.0</v>
      </c>
      <c r="AC27" s="23">
        <v>0.0</v>
      </c>
    </row>
    <row r="28" ht="15.75" customHeight="1">
      <c r="A28" s="427" t="s">
        <v>98</v>
      </c>
      <c r="B28" s="428">
        <v>13.0</v>
      </c>
      <c r="C28" s="428">
        <v>409.0</v>
      </c>
      <c r="D28" s="428">
        <v>4.0</v>
      </c>
      <c r="E28" s="428">
        <v>431.0</v>
      </c>
      <c r="F28" s="428">
        <v>-22.0</v>
      </c>
      <c r="G28" s="428">
        <v>31.0</v>
      </c>
      <c r="H28" s="428">
        <v>11.0</v>
      </c>
      <c r="I28" s="428">
        <v>6982.0</v>
      </c>
      <c r="J28" s="428">
        <v>13.0</v>
      </c>
      <c r="K28" s="428">
        <v>74.0</v>
      </c>
      <c r="L28" s="428">
        <v>16.0</v>
      </c>
      <c r="M28" s="428">
        <v>3.0</v>
      </c>
      <c r="N28" s="428">
        <v>7.0</v>
      </c>
      <c r="O28" s="428">
        <v>0.0</v>
      </c>
      <c r="P28" s="428">
        <v>0.0</v>
      </c>
      <c r="Q28" s="428">
        <v>2.0</v>
      </c>
      <c r="R28" s="428">
        <v>7.0</v>
      </c>
      <c r="S28" s="428">
        <v>0.0</v>
      </c>
      <c r="T28" s="428">
        <v>0.0</v>
      </c>
      <c r="U28" s="428">
        <v>0.0</v>
      </c>
      <c r="V28" s="428">
        <v>1.0</v>
      </c>
      <c r="W28" s="428">
        <v>0.0</v>
      </c>
      <c r="X28" s="428">
        <v>0.0</v>
      </c>
      <c r="Y28" s="428">
        <v>0.0</v>
      </c>
      <c r="Z28" s="428">
        <v>0.0</v>
      </c>
      <c r="AA28" s="428">
        <v>0.0</v>
      </c>
      <c r="AB28" s="428">
        <v>9.0</v>
      </c>
      <c r="AC28" s="428">
        <v>0.0</v>
      </c>
    </row>
    <row r="29" ht="15.75" customHeight="1">
      <c r="A29" s="438" t="s">
        <v>196</v>
      </c>
      <c r="B29" s="23">
        <v>1.0</v>
      </c>
      <c r="C29" s="23">
        <v>14.0</v>
      </c>
      <c r="D29" s="23">
        <v>0.0</v>
      </c>
      <c r="E29" s="23">
        <v>14.0</v>
      </c>
      <c r="F29" s="23">
        <v>0.0</v>
      </c>
      <c r="G29" s="23">
        <v>3.0</v>
      </c>
      <c r="H29" s="23">
        <v>0.0</v>
      </c>
      <c r="I29" s="23">
        <v>274.0</v>
      </c>
      <c r="J29" s="23">
        <v>1.0</v>
      </c>
      <c r="K29" s="23">
        <v>2.0</v>
      </c>
      <c r="L29" s="23">
        <v>1.0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</row>
    <row r="30" ht="15.75" customHeight="1">
      <c r="A30" s="438" t="s">
        <v>99</v>
      </c>
      <c r="B30" s="23">
        <v>1.0</v>
      </c>
      <c r="C30" s="23">
        <v>289.0</v>
      </c>
      <c r="D30" s="23">
        <v>15.0</v>
      </c>
      <c r="E30" s="23">
        <v>326.0</v>
      </c>
      <c r="F30" s="23">
        <v>-37.0</v>
      </c>
      <c r="G30" s="23">
        <v>24.0</v>
      </c>
      <c r="H30" s="23">
        <v>8.0</v>
      </c>
      <c r="I30" s="23">
        <v>5407.0</v>
      </c>
      <c r="J30" s="23">
        <v>8.0</v>
      </c>
      <c r="K30" s="23">
        <v>49.0</v>
      </c>
      <c r="L30" s="23">
        <v>11.0</v>
      </c>
      <c r="M30" s="23">
        <v>6.0</v>
      </c>
      <c r="N30" s="23">
        <v>5.0</v>
      </c>
      <c r="O30" s="23">
        <v>0.0</v>
      </c>
      <c r="P30" s="23">
        <v>0.0</v>
      </c>
      <c r="Q30" s="23">
        <v>4.0</v>
      </c>
      <c r="R30" s="23">
        <v>5.0</v>
      </c>
      <c r="S30" s="23">
        <v>0.0</v>
      </c>
      <c r="T30" s="23">
        <v>0.0</v>
      </c>
      <c r="U30" s="23">
        <v>0.0</v>
      </c>
      <c r="V30" s="23">
        <v>1.0</v>
      </c>
      <c r="W30" s="23">
        <v>1.0</v>
      </c>
      <c r="X30" s="23">
        <v>0.0</v>
      </c>
      <c r="Y30" s="23">
        <v>0.0</v>
      </c>
      <c r="Z30" s="23">
        <v>0.0</v>
      </c>
      <c r="AA30" s="23">
        <v>0.0</v>
      </c>
      <c r="AB30" s="23">
        <v>4.0</v>
      </c>
      <c r="AC30" s="23">
        <v>0.0</v>
      </c>
    </row>
    <row r="31" ht="15.75" customHeight="1">
      <c r="A31" s="438" t="s">
        <v>100</v>
      </c>
      <c r="B31" s="23">
        <v>1.0</v>
      </c>
      <c r="C31" s="23">
        <v>16.0</v>
      </c>
      <c r="D31" s="23">
        <v>0.0</v>
      </c>
      <c r="E31" s="23">
        <v>10.0</v>
      </c>
      <c r="F31" s="23">
        <v>6.0</v>
      </c>
      <c r="G31" s="23">
        <v>4.0</v>
      </c>
      <c r="H31" s="23">
        <v>1.0</v>
      </c>
      <c r="I31" s="23">
        <v>274.0</v>
      </c>
      <c r="J31" s="23">
        <v>1.0</v>
      </c>
      <c r="K31" s="23">
        <v>3.0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</row>
    <row r="32" ht="15.75" customHeight="1">
      <c r="A32" s="438" t="s">
        <v>101</v>
      </c>
      <c r="B32" s="23">
        <v>3.0</v>
      </c>
      <c r="C32" s="23">
        <v>62.0</v>
      </c>
      <c r="D32" s="23">
        <v>3.0</v>
      </c>
      <c r="E32" s="23">
        <v>126.0</v>
      </c>
      <c r="F32" s="23">
        <v>-64.0</v>
      </c>
      <c r="G32" s="23">
        <v>9.0</v>
      </c>
      <c r="H32" s="23">
        <v>4.0</v>
      </c>
      <c r="I32" s="23">
        <v>2160.0</v>
      </c>
      <c r="J32" s="23">
        <v>4.0</v>
      </c>
      <c r="K32" s="23">
        <v>7.0</v>
      </c>
      <c r="L32" s="23">
        <v>0.0</v>
      </c>
      <c r="M32" s="23">
        <v>0.0</v>
      </c>
      <c r="N32" s="23">
        <v>0.0</v>
      </c>
      <c r="O32" s="23">
        <v>0.0</v>
      </c>
      <c r="P32" s="23">
        <v>0.0</v>
      </c>
      <c r="Q32" s="23">
        <v>0.0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3.0</v>
      </c>
      <c r="AC32" s="23">
        <v>0.0</v>
      </c>
    </row>
    <row r="33" ht="15.75" customHeight="1">
      <c r="A33" s="427" t="s">
        <v>102</v>
      </c>
      <c r="B33" s="428">
        <v>9.0</v>
      </c>
      <c r="C33" s="428">
        <v>287.0</v>
      </c>
      <c r="D33" s="428">
        <v>8.0</v>
      </c>
      <c r="E33" s="428">
        <v>368.0</v>
      </c>
      <c r="F33" s="428">
        <v>-81.0</v>
      </c>
      <c r="G33" s="428">
        <v>22.0</v>
      </c>
      <c r="H33" s="428">
        <v>5.0</v>
      </c>
      <c r="I33" s="428">
        <v>7568.0</v>
      </c>
      <c r="J33" s="428">
        <v>6.0</v>
      </c>
      <c r="K33" s="428">
        <v>28.0</v>
      </c>
      <c r="L33" s="428">
        <v>3.0</v>
      </c>
      <c r="M33" s="428">
        <v>0.0</v>
      </c>
      <c r="N33" s="428">
        <v>1.0</v>
      </c>
      <c r="O33" s="428">
        <v>0.0</v>
      </c>
      <c r="P33" s="428">
        <v>0.0</v>
      </c>
      <c r="Q33" s="428">
        <v>0.0</v>
      </c>
      <c r="R33" s="428">
        <v>1.0</v>
      </c>
      <c r="S33" s="428">
        <v>0.0</v>
      </c>
      <c r="T33" s="428">
        <v>0.0</v>
      </c>
      <c r="U33" s="428">
        <v>0.0</v>
      </c>
      <c r="V33" s="428">
        <v>0.0</v>
      </c>
      <c r="W33" s="428">
        <v>0.0</v>
      </c>
      <c r="X33" s="428">
        <v>0.0</v>
      </c>
      <c r="Y33" s="428">
        <v>0.0</v>
      </c>
      <c r="Z33" s="428">
        <v>0.0</v>
      </c>
      <c r="AA33" s="428">
        <v>0.0</v>
      </c>
      <c r="AB33" s="428">
        <v>10.0</v>
      </c>
      <c r="AC33" s="428">
        <v>0.0</v>
      </c>
    </row>
    <row r="34" ht="15.75" customHeight="1">
      <c r="A34" s="438" t="s">
        <v>104</v>
      </c>
      <c r="B34" s="509">
        <v>9.0</v>
      </c>
      <c r="C34" s="509">
        <v>496.0</v>
      </c>
      <c r="D34" s="509">
        <v>16.0</v>
      </c>
      <c r="E34" s="509">
        <v>530.0</v>
      </c>
      <c r="F34" s="509">
        <v>-34.0</v>
      </c>
      <c r="G34" s="509">
        <v>28.0</v>
      </c>
      <c r="H34" s="509">
        <v>13.0</v>
      </c>
      <c r="I34" s="509">
        <v>9712.0</v>
      </c>
      <c r="J34" s="509">
        <v>15.0</v>
      </c>
      <c r="K34" s="509">
        <v>82.0</v>
      </c>
      <c r="L34" s="509">
        <v>14.0</v>
      </c>
      <c r="M34" s="509">
        <v>2.0</v>
      </c>
      <c r="N34" s="509">
        <v>5.0</v>
      </c>
      <c r="O34" s="509">
        <v>0.0</v>
      </c>
      <c r="P34" s="509">
        <v>0.0</v>
      </c>
      <c r="Q34" s="509">
        <v>2.0</v>
      </c>
      <c r="R34" s="509">
        <v>5.0</v>
      </c>
      <c r="S34" s="509">
        <v>0.0</v>
      </c>
      <c r="T34" s="509">
        <v>0.0</v>
      </c>
      <c r="U34" s="509">
        <v>0.0</v>
      </c>
      <c r="V34" s="509">
        <v>0.0</v>
      </c>
      <c r="W34" s="509">
        <v>0.0</v>
      </c>
      <c r="X34" s="509">
        <v>0.0</v>
      </c>
      <c r="Y34" s="509">
        <v>0.0</v>
      </c>
      <c r="Z34" s="509">
        <v>0.0</v>
      </c>
      <c r="AA34" s="509">
        <v>0.0</v>
      </c>
      <c r="AB34" s="509">
        <v>14.0</v>
      </c>
      <c r="AC34" s="509">
        <v>0.0</v>
      </c>
    </row>
    <row r="35" ht="15.75" customHeight="1">
      <c r="A35" s="427" t="s">
        <v>107</v>
      </c>
      <c r="B35" s="428">
        <v>6.0</v>
      </c>
      <c r="C35" s="428">
        <v>395.0</v>
      </c>
      <c r="D35" s="428">
        <v>13.0</v>
      </c>
      <c r="E35" s="428">
        <v>454.0</v>
      </c>
      <c r="F35" s="428">
        <v>-59.0</v>
      </c>
      <c r="G35" s="428">
        <v>33.0</v>
      </c>
      <c r="H35" s="428">
        <v>4.0</v>
      </c>
      <c r="I35" s="428">
        <v>7645.0</v>
      </c>
      <c r="J35" s="428">
        <v>11.0</v>
      </c>
      <c r="K35" s="428">
        <v>63.0</v>
      </c>
      <c r="L35" s="428">
        <v>17.0</v>
      </c>
      <c r="M35" s="428">
        <v>7.0</v>
      </c>
      <c r="N35" s="428">
        <v>6.0</v>
      </c>
      <c r="O35" s="428">
        <v>0.0</v>
      </c>
      <c r="P35" s="428">
        <v>0.0</v>
      </c>
      <c r="Q35" s="428">
        <v>6.0</v>
      </c>
      <c r="R35" s="428">
        <v>6.0</v>
      </c>
      <c r="S35" s="428">
        <v>0.0</v>
      </c>
      <c r="T35" s="428">
        <v>0.0</v>
      </c>
      <c r="U35" s="428">
        <v>0.0</v>
      </c>
      <c r="V35" s="428">
        <v>1.0</v>
      </c>
      <c r="W35" s="428">
        <v>0.0</v>
      </c>
      <c r="X35" s="428">
        <v>0.0</v>
      </c>
      <c r="Y35" s="428">
        <v>0.0</v>
      </c>
      <c r="Z35" s="428">
        <v>0.0</v>
      </c>
      <c r="AA35" s="428">
        <v>0.0</v>
      </c>
      <c r="AB35" s="428">
        <v>8.0</v>
      </c>
      <c r="AC35" s="428">
        <v>0.0</v>
      </c>
    </row>
    <row r="36" ht="15.75" customHeight="1">
      <c r="A36" s="438" t="s">
        <v>108</v>
      </c>
      <c r="B36" s="23">
        <v>0.0</v>
      </c>
      <c r="C36" s="23">
        <v>198.0</v>
      </c>
      <c r="D36" s="23">
        <v>9.0</v>
      </c>
      <c r="E36" s="23">
        <v>240.0</v>
      </c>
      <c r="F36" s="23">
        <v>-42.0</v>
      </c>
      <c r="G36" s="23">
        <v>21.0</v>
      </c>
      <c r="H36" s="23">
        <v>8.0</v>
      </c>
      <c r="I36" s="23">
        <v>3926.0</v>
      </c>
      <c r="J36" s="23">
        <v>4.0</v>
      </c>
      <c r="K36" s="23">
        <v>33.0</v>
      </c>
      <c r="L36" s="23">
        <v>3.0</v>
      </c>
      <c r="M36" s="23">
        <v>4.0</v>
      </c>
      <c r="N36" s="23">
        <v>3.0</v>
      </c>
      <c r="O36" s="23">
        <v>0.0</v>
      </c>
      <c r="P36" s="23">
        <v>0.0</v>
      </c>
      <c r="Q36" s="23">
        <v>1.0</v>
      </c>
      <c r="R36" s="23">
        <v>2.0</v>
      </c>
      <c r="S36" s="23">
        <v>1.0</v>
      </c>
      <c r="T36" s="23">
        <v>0.0</v>
      </c>
      <c r="U36" s="23">
        <v>0.0</v>
      </c>
      <c r="V36" s="23">
        <v>1.0</v>
      </c>
      <c r="W36" s="23">
        <v>1.0</v>
      </c>
      <c r="X36" s="23">
        <v>1.0</v>
      </c>
      <c r="Y36" s="23">
        <v>0.0</v>
      </c>
      <c r="Z36" s="23">
        <v>0.0</v>
      </c>
      <c r="AA36" s="23">
        <v>0.0</v>
      </c>
      <c r="AB36" s="23">
        <v>3.0</v>
      </c>
      <c r="AC36" s="23">
        <v>0.0</v>
      </c>
    </row>
    <row r="37" ht="15.75" customHeight="1">
      <c r="A37" s="438" t="s">
        <v>109</v>
      </c>
      <c r="B37" s="23">
        <v>9.0</v>
      </c>
      <c r="C37" s="23">
        <v>543.0</v>
      </c>
      <c r="D37" s="23">
        <v>11.0</v>
      </c>
      <c r="E37" s="23">
        <v>607.0</v>
      </c>
      <c r="F37" s="23">
        <v>-64.0</v>
      </c>
      <c r="G37" s="23">
        <v>42.0</v>
      </c>
      <c r="H37" s="23">
        <v>20.0</v>
      </c>
      <c r="I37" s="23">
        <v>10127.0</v>
      </c>
      <c r="J37" s="23">
        <v>10.0</v>
      </c>
      <c r="K37" s="23">
        <v>85.0</v>
      </c>
      <c r="L37" s="23">
        <v>15.0</v>
      </c>
      <c r="M37" s="23">
        <v>6.0</v>
      </c>
      <c r="N37" s="23">
        <v>8.0</v>
      </c>
      <c r="O37" s="23">
        <v>0.0</v>
      </c>
      <c r="P37" s="23">
        <v>0.0</v>
      </c>
      <c r="Q37" s="23">
        <v>3.0</v>
      </c>
      <c r="R37" s="23">
        <v>8.0</v>
      </c>
      <c r="S37" s="23">
        <v>0.0</v>
      </c>
      <c r="T37" s="23">
        <v>0.0</v>
      </c>
      <c r="U37" s="23">
        <v>0.0</v>
      </c>
      <c r="V37" s="23">
        <v>2.0</v>
      </c>
      <c r="W37" s="23">
        <v>1.0</v>
      </c>
      <c r="X37" s="23">
        <v>0.0</v>
      </c>
      <c r="Y37" s="23">
        <v>0.0</v>
      </c>
      <c r="Z37" s="23">
        <v>0.0</v>
      </c>
      <c r="AA37" s="23">
        <v>0.0</v>
      </c>
      <c r="AB37" s="23">
        <v>16.0</v>
      </c>
      <c r="AC37" s="23">
        <v>0.0</v>
      </c>
    </row>
    <row r="38" ht="15.75" customHeight="1">
      <c r="A38" s="438" t="s">
        <v>111</v>
      </c>
      <c r="B38" s="23">
        <v>0.0</v>
      </c>
      <c r="C38" s="23">
        <v>121.0</v>
      </c>
      <c r="D38" s="23">
        <v>5.0</v>
      </c>
      <c r="E38" s="23">
        <v>152.0</v>
      </c>
      <c r="F38" s="23">
        <v>-31.0</v>
      </c>
      <c r="G38" s="23">
        <v>16.0</v>
      </c>
      <c r="H38" s="23">
        <v>3.0</v>
      </c>
      <c r="I38" s="23">
        <v>2161.0</v>
      </c>
      <c r="J38" s="23">
        <v>6.0</v>
      </c>
      <c r="K38" s="23">
        <v>15.0</v>
      </c>
      <c r="L38" s="23">
        <v>2.0</v>
      </c>
      <c r="M38" s="23">
        <v>2.0</v>
      </c>
      <c r="N38" s="23">
        <v>2.0</v>
      </c>
      <c r="O38" s="23">
        <v>0.0</v>
      </c>
      <c r="P38" s="23">
        <v>0.0</v>
      </c>
      <c r="Q38" s="23">
        <v>1.0</v>
      </c>
      <c r="R38" s="23">
        <v>2.0</v>
      </c>
      <c r="S38" s="23">
        <v>0.0</v>
      </c>
      <c r="T38" s="23">
        <v>0.0</v>
      </c>
      <c r="U38" s="23">
        <v>0.0</v>
      </c>
      <c r="V38" s="23">
        <v>1.0</v>
      </c>
      <c r="W38" s="23">
        <v>0.0</v>
      </c>
      <c r="X38" s="23">
        <v>0.0</v>
      </c>
      <c r="Y38" s="23">
        <v>0.0</v>
      </c>
      <c r="Z38" s="23">
        <v>0.0</v>
      </c>
      <c r="AA38" s="23">
        <v>0.0</v>
      </c>
      <c r="AB38" s="23">
        <v>4.0</v>
      </c>
      <c r="AC38" s="23">
        <v>0.0</v>
      </c>
    </row>
    <row r="39" ht="15.75" customHeight="1">
      <c r="A39" s="438" t="s">
        <v>113</v>
      </c>
      <c r="B39" s="23">
        <v>3.0</v>
      </c>
      <c r="C39" s="23">
        <v>71.0</v>
      </c>
      <c r="D39" s="23">
        <v>0.0</v>
      </c>
      <c r="E39" s="23">
        <v>93.0</v>
      </c>
      <c r="F39" s="23">
        <v>-22.0</v>
      </c>
      <c r="G39" s="23">
        <v>5.0</v>
      </c>
      <c r="H39" s="23">
        <v>4.0</v>
      </c>
      <c r="I39" s="23">
        <v>1453.0</v>
      </c>
      <c r="J39" s="23">
        <v>0.0</v>
      </c>
      <c r="K39" s="23">
        <v>11.0</v>
      </c>
      <c r="L39" s="23">
        <v>2.0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1.0</v>
      </c>
      <c r="AC39" s="23">
        <v>0.0</v>
      </c>
    </row>
    <row r="40" ht="15.75" customHeight="1">
      <c r="A40" s="438" t="s">
        <v>114</v>
      </c>
      <c r="B40" s="23">
        <v>1.0</v>
      </c>
      <c r="C40" s="23">
        <v>91.0</v>
      </c>
      <c r="D40" s="23">
        <v>3.0</v>
      </c>
      <c r="E40" s="23">
        <v>84.0</v>
      </c>
      <c r="F40" s="23">
        <v>7.0</v>
      </c>
      <c r="G40" s="23">
        <v>11.0</v>
      </c>
      <c r="H40" s="23">
        <v>6.0</v>
      </c>
      <c r="I40" s="23">
        <v>1452.0</v>
      </c>
      <c r="J40" s="23">
        <v>2.0</v>
      </c>
      <c r="K40" s="23">
        <v>16.0</v>
      </c>
      <c r="L40" s="23">
        <v>3.0</v>
      </c>
      <c r="M40" s="23">
        <v>4.0</v>
      </c>
      <c r="N40" s="23">
        <v>3.0</v>
      </c>
      <c r="O40" s="23">
        <v>0.0</v>
      </c>
      <c r="P40" s="23">
        <v>0.0</v>
      </c>
      <c r="Q40" s="23">
        <v>2.0</v>
      </c>
      <c r="R40" s="23">
        <v>3.0</v>
      </c>
      <c r="S40" s="23">
        <v>0.0</v>
      </c>
      <c r="T40" s="23">
        <v>0.0</v>
      </c>
      <c r="U40" s="23">
        <v>0.0</v>
      </c>
      <c r="V40" s="23">
        <v>2.0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1.0</v>
      </c>
      <c r="AC40" s="23">
        <v>0.0</v>
      </c>
    </row>
    <row r="41" ht="15.75" customHeight="1">
      <c r="A41" s="438" t="s">
        <v>115</v>
      </c>
      <c r="B41" s="509">
        <v>1.0</v>
      </c>
      <c r="C41" s="509">
        <v>164.0</v>
      </c>
      <c r="D41" s="509">
        <v>5.0</v>
      </c>
      <c r="E41" s="509">
        <v>186.0</v>
      </c>
      <c r="F41" s="509">
        <v>-22.0</v>
      </c>
      <c r="G41" s="509">
        <v>12.0</v>
      </c>
      <c r="H41" s="509">
        <v>7.0</v>
      </c>
      <c r="I41" s="509">
        <v>2461.0</v>
      </c>
      <c r="J41" s="509">
        <v>7.0</v>
      </c>
      <c r="K41" s="509">
        <v>31.0</v>
      </c>
      <c r="L41" s="509">
        <v>5.0</v>
      </c>
      <c r="M41" s="509">
        <v>2.0</v>
      </c>
      <c r="N41" s="509">
        <v>2.0</v>
      </c>
      <c r="O41" s="509">
        <v>0.0</v>
      </c>
      <c r="P41" s="509">
        <v>0.0</v>
      </c>
      <c r="Q41" s="509">
        <v>1.0</v>
      </c>
      <c r="R41" s="509">
        <v>2.0</v>
      </c>
      <c r="S41" s="509">
        <v>0.0</v>
      </c>
      <c r="T41" s="509">
        <v>0.0</v>
      </c>
      <c r="U41" s="509">
        <v>0.0</v>
      </c>
      <c r="V41" s="509">
        <v>1.0</v>
      </c>
      <c r="W41" s="509">
        <v>0.0</v>
      </c>
      <c r="X41" s="509">
        <v>0.0</v>
      </c>
      <c r="Y41" s="509">
        <v>0.0</v>
      </c>
      <c r="Z41" s="509">
        <v>0.0</v>
      </c>
      <c r="AA41" s="509">
        <v>0.0</v>
      </c>
      <c r="AB41" s="509">
        <v>4.0</v>
      </c>
      <c r="AC41" s="509">
        <v>0.0</v>
      </c>
    </row>
    <row r="42" ht="15.75" customHeight="1">
      <c r="A42" s="427" t="s">
        <v>116</v>
      </c>
      <c r="B42" s="428">
        <v>1.0</v>
      </c>
      <c r="C42" s="428">
        <v>479.0</v>
      </c>
      <c r="D42" s="428">
        <v>12.0</v>
      </c>
      <c r="E42" s="428">
        <v>559.0</v>
      </c>
      <c r="F42" s="428">
        <v>-80.0</v>
      </c>
      <c r="G42" s="428">
        <v>33.0</v>
      </c>
      <c r="H42" s="428">
        <v>11.0</v>
      </c>
      <c r="I42" s="428">
        <v>7653.0</v>
      </c>
      <c r="J42" s="428">
        <v>10.0</v>
      </c>
      <c r="K42" s="428">
        <v>71.0</v>
      </c>
      <c r="L42" s="428">
        <v>13.0</v>
      </c>
      <c r="M42" s="428">
        <v>1.0</v>
      </c>
      <c r="N42" s="428">
        <v>4.0</v>
      </c>
      <c r="O42" s="428">
        <v>0.0</v>
      </c>
      <c r="P42" s="428">
        <v>0.0</v>
      </c>
      <c r="Q42" s="428">
        <v>1.0</v>
      </c>
      <c r="R42" s="428">
        <v>4.0</v>
      </c>
      <c r="S42" s="428">
        <v>0.0</v>
      </c>
      <c r="T42" s="428">
        <v>0.0</v>
      </c>
      <c r="U42" s="428">
        <v>0.0</v>
      </c>
      <c r="V42" s="428">
        <v>0.0</v>
      </c>
      <c r="W42" s="428">
        <v>0.0</v>
      </c>
      <c r="X42" s="428">
        <v>0.0</v>
      </c>
      <c r="Y42" s="428">
        <v>0.0</v>
      </c>
      <c r="Z42" s="428">
        <v>0.0</v>
      </c>
      <c r="AA42" s="428">
        <v>0.0</v>
      </c>
      <c r="AB42" s="428">
        <v>11.0</v>
      </c>
      <c r="AC42" s="428">
        <v>0.0</v>
      </c>
    </row>
    <row r="43" ht="15.75" customHeight="1">
      <c r="A43" s="438" t="s">
        <v>117</v>
      </c>
      <c r="B43" s="23">
        <v>5.0</v>
      </c>
      <c r="C43" s="23">
        <v>156.0</v>
      </c>
      <c r="D43" s="23">
        <v>8.0</v>
      </c>
      <c r="E43" s="23">
        <v>173.0</v>
      </c>
      <c r="F43" s="23">
        <v>-17.0</v>
      </c>
      <c r="G43" s="23">
        <v>14.0</v>
      </c>
      <c r="H43" s="23">
        <v>10.0</v>
      </c>
      <c r="I43" s="23">
        <v>2943.0</v>
      </c>
      <c r="J43" s="23">
        <v>5.0</v>
      </c>
      <c r="K43" s="23">
        <v>21.0</v>
      </c>
      <c r="L43" s="23">
        <v>6.0</v>
      </c>
      <c r="M43" s="23">
        <v>2.0</v>
      </c>
      <c r="N43" s="23">
        <v>3.0</v>
      </c>
      <c r="O43" s="23">
        <v>0.0</v>
      </c>
      <c r="P43" s="23">
        <v>0.0</v>
      </c>
      <c r="Q43" s="23">
        <v>1.0</v>
      </c>
      <c r="R43" s="23">
        <v>3.0</v>
      </c>
      <c r="S43" s="23">
        <v>0.0</v>
      </c>
      <c r="T43" s="23">
        <v>0.0</v>
      </c>
      <c r="U43" s="23">
        <v>0.0</v>
      </c>
      <c r="V43" s="23">
        <v>1.0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5.0</v>
      </c>
      <c r="AC43" s="23">
        <v>0.0</v>
      </c>
    </row>
    <row r="44" ht="15.75" customHeight="1">
      <c r="A44" s="438" t="s">
        <v>118</v>
      </c>
      <c r="B44" s="23">
        <v>0.0</v>
      </c>
      <c r="C44" s="23">
        <v>136.0</v>
      </c>
      <c r="D44" s="23">
        <v>5.0</v>
      </c>
      <c r="E44" s="23">
        <v>144.0</v>
      </c>
      <c r="F44" s="23">
        <v>-8.0</v>
      </c>
      <c r="G44" s="23">
        <v>19.0</v>
      </c>
      <c r="H44" s="23">
        <v>9.0</v>
      </c>
      <c r="I44" s="23">
        <v>2161.0</v>
      </c>
      <c r="J44" s="23">
        <v>1.0</v>
      </c>
      <c r="K44" s="23">
        <v>21.0</v>
      </c>
      <c r="L44" s="23">
        <v>7.0</v>
      </c>
      <c r="M44" s="23">
        <v>7.0</v>
      </c>
      <c r="N44" s="23">
        <v>2.0</v>
      </c>
      <c r="O44" s="23">
        <v>0.0</v>
      </c>
      <c r="P44" s="23">
        <v>0.0</v>
      </c>
      <c r="Q44" s="23">
        <v>4.0</v>
      </c>
      <c r="R44" s="23">
        <v>2.0</v>
      </c>
      <c r="S44" s="23">
        <v>0.0</v>
      </c>
      <c r="T44" s="23">
        <v>0.0</v>
      </c>
      <c r="U44" s="23">
        <v>0.0</v>
      </c>
      <c r="V44" s="23">
        <v>2.0</v>
      </c>
      <c r="W44" s="23">
        <v>1.0</v>
      </c>
      <c r="X44" s="23">
        <v>0.0</v>
      </c>
      <c r="Y44" s="23">
        <v>0.0</v>
      </c>
      <c r="Z44" s="23">
        <v>0.0</v>
      </c>
      <c r="AA44" s="23">
        <v>0.0</v>
      </c>
      <c r="AB44" s="23">
        <v>3.0</v>
      </c>
      <c r="AC44" s="23">
        <v>0.0</v>
      </c>
    </row>
    <row r="45" ht="15.75" customHeight="1">
      <c r="A45" s="427" t="s">
        <v>121</v>
      </c>
      <c r="B45" s="428">
        <v>1.0</v>
      </c>
      <c r="C45" s="428">
        <v>300.0</v>
      </c>
      <c r="D45" s="428">
        <v>7.0</v>
      </c>
      <c r="E45" s="428">
        <v>337.0</v>
      </c>
      <c r="F45" s="428">
        <v>-37.0</v>
      </c>
      <c r="G45" s="428">
        <v>26.0</v>
      </c>
      <c r="H45" s="428">
        <v>8.0</v>
      </c>
      <c r="I45" s="428">
        <v>5805.0</v>
      </c>
      <c r="J45" s="428">
        <v>2.0</v>
      </c>
      <c r="K45" s="428">
        <v>41.0</v>
      </c>
      <c r="L45" s="428">
        <v>12.0</v>
      </c>
      <c r="M45" s="428">
        <v>0.0</v>
      </c>
      <c r="N45" s="428">
        <v>5.0</v>
      </c>
      <c r="O45" s="428">
        <v>0.0</v>
      </c>
      <c r="P45" s="428">
        <v>0.0</v>
      </c>
      <c r="Q45" s="428">
        <v>0.0</v>
      </c>
      <c r="R45" s="428">
        <v>5.0</v>
      </c>
      <c r="S45" s="428">
        <v>0.0</v>
      </c>
      <c r="T45" s="428">
        <v>0.0</v>
      </c>
      <c r="U45" s="428">
        <v>0.0</v>
      </c>
      <c r="V45" s="428">
        <v>0.0</v>
      </c>
      <c r="W45" s="428">
        <v>0.0</v>
      </c>
      <c r="X45" s="428">
        <v>0.0</v>
      </c>
      <c r="Y45" s="428">
        <v>0.0</v>
      </c>
      <c r="Z45" s="428">
        <v>0.0</v>
      </c>
      <c r="AA45" s="428">
        <v>0.0</v>
      </c>
      <c r="AB45" s="428">
        <v>3.0</v>
      </c>
      <c r="AC45" s="428">
        <v>0.0</v>
      </c>
    </row>
    <row r="46" ht="15.75" customHeight="1">
      <c r="A46" s="427" t="s">
        <v>124</v>
      </c>
      <c r="B46" s="428">
        <v>1.0</v>
      </c>
      <c r="C46" s="428">
        <v>29.0</v>
      </c>
      <c r="D46" s="428">
        <v>1.0</v>
      </c>
      <c r="E46" s="428">
        <v>84.0</v>
      </c>
      <c r="F46" s="428">
        <v>-55.0</v>
      </c>
      <c r="G46" s="428">
        <v>4.0</v>
      </c>
      <c r="H46" s="428">
        <v>3.0</v>
      </c>
      <c r="I46" s="428">
        <v>1322.0</v>
      </c>
      <c r="J46" s="428">
        <v>1.0</v>
      </c>
      <c r="K46" s="428">
        <v>3.0</v>
      </c>
      <c r="L46" s="428">
        <v>0.0</v>
      </c>
      <c r="M46" s="428">
        <v>0.0</v>
      </c>
      <c r="N46" s="428">
        <v>0.0</v>
      </c>
      <c r="O46" s="428">
        <v>0.0</v>
      </c>
      <c r="P46" s="428">
        <v>0.0</v>
      </c>
      <c r="Q46" s="428">
        <v>0.0</v>
      </c>
      <c r="R46" s="428">
        <v>0.0</v>
      </c>
      <c r="S46" s="428">
        <v>0.0</v>
      </c>
      <c r="T46" s="428">
        <v>0.0</v>
      </c>
      <c r="U46" s="428">
        <v>0.0</v>
      </c>
      <c r="V46" s="428">
        <v>0.0</v>
      </c>
      <c r="W46" s="428">
        <v>0.0</v>
      </c>
      <c r="X46" s="428">
        <v>0.0</v>
      </c>
      <c r="Y46" s="428">
        <v>0.0</v>
      </c>
      <c r="Z46" s="428">
        <v>0.0</v>
      </c>
      <c r="AA46" s="428">
        <v>0.0</v>
      </c>
      <c r="AB46" s="428">
        <v>2.0</v>
      </c>
      <c r="AC46" s="428">
        <v>0.0</v>
      </c>
    </row>
    <row r="47" ht="15.75" customHeight="1">
      <c r="A47" s="438" t="s">
        <v>126</v>
      </c>
      <c r="B47" s="23">
        <v>0.0</v>
      </c>
      <c r="C47" s="23">
        <v>144.0</v>
      </c>
      <c r="D47" s="23">
        <v>6.0</v>
      </c>
      <c r="E47" s="23">
        <v>189.0</v>
      </c>
      <c r="F47" s="23">
        <v>-45.0</v>
      </c>
      <c r="G47" s="23">
        <v>10.0</v>
      </c>
      <c r="H47" s="23">
        <v>3.0</v>
      </c>
      <c r="I47" s="23">
        <v>3387.0</v>
      </c>
      <c r="J47" s="23">
        <v>1.0</v>
      </c>
      <c r="K47" s="23">
        <v>29.0</v>
      </c>
      <c r="L47" s="23">
        <v>2.0</v>
      </c>
      <c r="M47" s="23">
        <v>0.0</v>
      </c>
      <c r="N47" s="23">
        <v>1.0</v>
      </c>
      <c r="O47" s="23">
        <v>0.0</v>
      </c>
      <c r="P47" s="23">
        <v>0.0</v>
      </c>
      <c r="Q47" s="23">
        <v>0.0</v>
      </c>
      <c r="R47" s="23">
        <v>1.0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3.0</v>
      </c>
      <c r="AC47" s="23">
        <v>0.0</v>
      </c>
    </row>
    <row r="48" ht="15.75" customHeight="1">
      <c r="A48" s="427" t="s">
        <v>127</v>
      </c>
      <c r="B48" s="428">
        <v>7.0</v>
      </c>
      <c r="C48" s="428">
        <v>434.0</v>
      </c>
      <c r="D48" s="428">
        <v>14.0</v>
      </c>
      <c r="E48" s="428">
        <v>420.0</v>
      </c>
      <c r="F48" s="428">
        <v>14.0</v>
      </c>
      <c r="G48" s="428">
        <v>30.0</v>
      </c>
      <c r="H48" s="428">
        <v>12.0</v>
      </c>
      <c r="I48" s="428">
        <v>6991.0</v>
      </c>
      <c r="J48" s="428">
        <v>12.0</v>
      </c>
      <c r="K48" s="428">
        <v>67.0</v>
      </c>
      <c r="L48" s="428">
        <v>20.0</v>
      </c>
      <c r="M48" s="428">
        <v>6.0</v>
      </c>
      <c r="N48" s="428">
        <v>6.0</v>
      </c>
      <c r="O48" s="428">
        <v>0.0</v>
      </c>
      <c r="P48" s="428">
        <v>0.0</v>
      </c>
      <c r="Q48" s="428">
        <v>4.0</v>
      </c>
      <c r="R48" s="428">
        <v>6.0</v>
      </c>
      <c r="S48" s="428">
        <v>0.0</v>
      </c>
      <c r="T48" s="428">
        <v>0.0</v>
      </c>
      <c r="U48" s="428">
        <v>0.0</v>
      </c>
      <c r="V48" s="428">
        <v>2.0</v>
      </c>
      <c r="W48" s="428">
        <v>0.0</v>
      </c>
      <c r="X48" s="428">
        <v>0.0</v>
      </c>
      <c r="Y48" s="428">
        <v>0.0</v>
      </c>
      <c r="Z48" s="428">
        <v>0.0</v>
      </c>
      <c r="AA48" s="428">
        <v>0.0</v>
      </c>
      <c r="AB48" s="428">
        <v>12.0</v>
      </c>
      <c r="AC48" s="428">
        <v>0.0</v>
      </c>
    </row>
    <row r="49" ht="15.75" customHeight="1">
      <c r="A49" s="427" t="s">
        <v>129</v>
      </c>
      <c r="B49" s="428">
        <v>9.0</v>
      </c>
      <c r="C49" s="428">
        <v>462.0</v>
      </c>
      <c r="D49" s="428">
        <v>21.0</v>
      </c>
      <c r="E49" s="428">
        <v>540.0</v>
      </c>
      <c r="F49" s="428">
        <v>-78.0</v>
      </c>
      <c r="G49" s="428">
        <v>31.0</v>
      </c>
      <c r="H49" s="428">
        <v>18.0</v>
      </c>
      <c r="I49" s="428">
        <v>7654.0</v>
      </c>
      <c r="J49" s="428">
        <v>10.0</v>
      </c>
      <c r="K49" s="428">
        <v>78.0</v>
      </c>
      <c r="L49" s="428">
        <v>15.0</v>
      </c>
      <c r="M49" s="428">
        <v>8.0</v>
      </c>
      <c r="N49" s="428">
        <v>3.0</v>
      </c>
      <c r="O49" s="428">
        <v>0.0</v>
      </c>
      <c r="P49" s="428">
        <v>0.0</v>
      </c>
      <c r="Q49" s="428">
        <v>5.0</v>
      </c>
      <c r="R49" s="428">
        <v>3.0</v>
      </c>
      <c r="S49" s="428">
        <v>0.0</v>
      </c>
      <c r="T49" s="428">
        <v>0.0</v>
      </c>
      <c r="U49" s="428">
        <v>0.0</v>
      </c>
      <c r="V49" s="428">
        <v>2.0</v>
      </c>
      <c r="W49" s="428">
        <v>1.0</v>
      </c>
      <c r="X49" s="428">
        <v>0.0</v>
      </c>
      <c r="Y49" s="428">
        <v>0.0</v>
      </c>
      <c r="Z49" s="428">
        <v>0.0</v>
      </c>
      <c r="AA49" s="428">
        <v>0.0</v>
      </c>
      <c r="AB49" s="428">
        <v>11.0</v>
      </c>
      <c r="AC49" s="428">
        <v>0.0</v>
      </c>
    </row>
    <row r="50" ht="15.75" customHeight="1">
      <c r="A50" s="438" t="s">
        <v>131</v>
      </c>
      <c r="B50" s="23">
        <v>2.0</v>
      </c>
      <c r="C50" s="23">
        <v>160.0</v>
      </c>
      <c r="D50" s="23">
        <v>5.0</v>
      </c>
      <c r="E50" s="23">
        <v>154.0</v>
      </c>
      <c r="F50" s="23">
        <v>6.0</v>
      </c>
      <c r="G50" s="23">
        <v>14.0</v>
      </c>
      <c r="H50" s="23">
        <v>5.0</v>
      </c>
      <c r="I50" s="23">
        <v>2886.0</v>
      </c>
      <c r="J50" s="23">
        <v>9.0</v>
      </c>
      <c r="K50" s="23">
        <v>19.0</v>
      </c>
      <c r="L50" s="23">
        <v>5.0</v>
      </c>
      <c r="M50" s="23">
        <v>0.0</v>
      </c>
      <c r="N50" s="23">
        <v>2.0</v>
      </c>
      <c r="O50" s="23">
        <v>0.0</v>
      </c>
      <c r="P50" s="23">
        <v>0.0</v>
      </c>
      <c r="Q50" s="23">
        <v>0.0</v>
      </c>
      <c r="R50" s="23">
        <v>2.0</v>
      </c>
      <c r="S50" s="23">
        <v>0.0</v>
      </c>
      <c r="T50" s="23">
        <v>0.0</v>
      </c>
      <c r="U50" s="23">
        <v>0.0</v>
      </c>
      <c r="V50" s="23">
        <v>0.0</v>
      </c>
      <c r="W50" s="23">
        <v>0.0</v>
      </c>
      <c r="X50" s="23">
        <v>0.0</v>
      </c>
      <c r="Y50" s="23">
        <v>0.0</v>
      </c>
      <c r="Z50" s="23">
        <v>0.0</v>
      </c>
      <c r="AA50" s="23">
        <v>0.0</v>
      </c>
      <c r="AB50" s="23">
        <v>1.0</v>
      </c>
      <c r="AC50" s="23">
        <v>0.0</v>
      </c>
    </row>
    <row r="51" ht="15.75" customHeight="1">
      <c r="A51" s="438" t="s">
        <v>134</v>
      </c>
      <c r="B51" s="23">
        <v>4.0</v>
      </c>
      <c r="C51" s="23">
        <v>186.0</v>
      </c>
      <c r="D51" s="23">
        <v>4.0</v>
      </c>
      <c r="E51" s="23">
        <v>193.0</v>
      </c>
      <c r="F51" s="23">
        <v>-7.0</v>
      </c>
      <c r="G51" s="23">
        <v>11.0</v>
      </c>
      <c r="H51" s="23">
        <v>5.0</v>
      </c>
      <c r="I51" s="23">
        <v>3338.0</v>
      </c>
      <c r="J51" s="23">
        <v>9.0</v>
      </c>
      <c r="K51" s="23">
        <v>38.0</v>
      </c>
      <c r="L51" s="23">
        <v>6.0</v>
      </c>
      <c r="M51" s="23">
        <v>4.0</v>
      </c>
      <c r="N51" s="23">
        <v>3.0</v>
      </c>
      <c r="O51" s="23">
        <v>0.0</v>
      </c>
      <c r="P51" s="23">
        <v>0.0</v>
      </c>
      <c r="Q51" s="23">
        <v>4.0</v>
      </c>
      <c r="R51" s="23">
        <v>3.0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3">
        <v>0.0</v>
      </c>
      <c r="AA51" s="23">
        <v>0.0</v>
      </c>
      <c r="AB51" s="23">
        <v>7.0</v>
      </c>
      <c r="AC51" s="23">
        <v>0.0</v>
      </c>
    </row>
    <row r="52" ht="15.75" customHeight="1">
      <c r="A52" s="427" t="s">
        <v>136</v>
      </c>
      <c r="B52" s="428">
        <v>7.0</v>
      </c>
      <c r="C52" s="428">
        <v>442.0</v>
      </c>
      <c r="D52" s="428">
        <v>15.0</v>
      </c>
      <c r="E52" s="428">
        <v>454.0</v>
      </c>
      <c r="F52" s="428">
        <v>-12.0</v>
      </c>
      <c r="G52" s="428">
        <v>33.0</v>
      </c>
      <c r="H52" s="428">
        <v>11.0</v>
      </c>
      <c r="I52" s="428">
        <v>7645.0</v>
      </c>
      <c r="J52" s="428">
        <v>12.0</v>
      </c>
      <c r="K52" s="428">
        <v>71.0</v>
      </c>
      <c r="L52" s="428">
        <v>14.0</v>
      </c>
      <c r="M52" s="428">
        <v>1.0</v>
      </c>
      <c r="N52" s="428">
        <v>7.0</v>
      </c>
      <c r="O52" s="428">
        <v>0.0</v>
      </c>
      <c r="P52" s="428">
        <v>0.0</v>
      </c>
      <c r="Q52" s="428">
        <v>1.0</v>
      </c>
      <c r="R52" s="428">
        <v>7.0</v>
      </c>
      <c r="S52" s="428">
        <v>0.0</v>
      </c>
      <c r="T52" s="428">
        <v>0.0</v>
      </c>
      <c r="U52" s="428">
        <v>0.0</v>
      </c>
      <c r="V52" s="428">
        <v>0.0</v>
      </c>
      <c r="W52" s="428">
        <v>0.0</v>
      </c>
      <c r="X52" s="428">
        <v>0.0</v>
      </c>
      <c r="Y52" s="428">
        <v>0.0</v>
      </c>
      <c r="Z52" s="428">
        <v>0.0</v>
      </c>
      <c r="AA52" s="428">
        <v>0.0</v>
      </c>
      <c r="AB52" s="428">
        <v>6.0</v>
      </c>
      <c r="AC52" s="428">
        <v>0.0</v>
      </c>
    </row>
    <row r="53" ht="15.75" customHeight="1">
      <c r="A53" s="438" t="s">
        <v>138</v>
      </c>
      <c r="B53" s="23">
        <v>0.0</v>
      </c>
      <c r="C53" s="23">
        <v>1.0</v>
      </c>
      <c r="D53" s="23">
        <v>1.0</v>
      </c>
      <c r="E53" s="23">
        <v>17.0</v>
      </c>
      <c r="F53" s="23">
        <v>-16.0</v>
      </c>
      <c r="G53" s="23">
        <v>1.0</v>
      </c>
      <c r="H53" s="23">
        <v>0.0</v>
      </c>
      <c r="I53" s="23">
        <v>186.0</v>
      </c>
      <c r="J53" s="23">
        <v>0.0</v>
      </c>
      <c r="K53" s="23">
        <v>0.0</v>
      </c>
      <c r="L53" s="23">
        <v>0.0</v>
      </c>
      <c r="M53" s="23">
        <v>0.0</v>
      </c>
      <c r="N53" s="23">
        <v>0.0</v>
      </c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0.0</v>
      </c>
      <c r="AA53" s="23">
        <v>0.0</v>
      </c>
      <c r="AB53" s="23">
        <v>1.0</v>
      </c>
      <c r="AC53" s="23">
        <v>0.0</v>
      </c>
    </row>
    <row r="54" ht="15.75" customHeight="1">
      <c r="A54" s="438" t="s">
        <v>139</v>
      </c>
      <c r="B54" s="23">
        <v>4.0</v>
      </c>
      <c r="C54" s="23">
        <v>233.0</v>
      </c>
      <c r="D54" s="23">
        <v>3.0</v>
      </c>
      <c r="E54" s="23">
        <v>179.0</v>
      </c>
      <c r="F54" s="23">
        <v>54.0</v>
      </c>
      <c r="G54" s="23">
        <v>12.0</v>
      </c>
      <c r="H54" s="23">
        <v>8.0</v>
      </c>
      <c r="I54" s="23">
        <v>3388.0</v>
      </c>
      <c r="J54" s="23">
        <v>6.0</v>
      </c>
      <c r="K54" s="23">
        <v>37.0</v>
      </c>
      <c r="L54" s="23">
        <v>12.0</v>
      </c>
      <c r="M54" s="23">
        <v>4.0</v>
      </c>
      <c r="N54" s="23">
        <v>4.0</v>
      </c>
      <c r="O54" s="23">
        <v>0.0</v>
      </c>
      <c r="P54" s="23">
        <v>0.0</v>
      </c>
      <c r="Q54" s="23">
        <v>3.0</v>
      </c>
      <c r="R54" s="23">
        <v>4.0</v>
      </c>
      <c r="S54" s="23">
        <v>0.0</v>
      </c>
      <c r="T54" s="23">
        <v>0.0</v>
      </c>
      <c r="U54" s="23">
        <v>0.0</v>
      </c>
      <c r="V54" s="23">
        <v>1.0</v>
      </c>
      <c r="W54" s="23">
        <v>0.0</v>
      </c>
      <c r="X54" s="23">
        <v>0.0</v>
      </c>
      <c r="Y54" s="23">
        <v>0.0</v>
      </c>
      <c r="Z54" s="23">
        <v>0.0</v>
      </c>
      <c r="AA54" s="23">
        <v>0.0</v>
      </c>
      <c r="AB54" s="23">
        <v>4.0</v>
      </c>
      <c r="AC54" s="23">
        <v>0.0</v>
      </c>
    </row>
    <row r="55" ht="15.75" customHeight="1">
      <c r="A55" s="427" t="s">
        <v>142</v>
      </c>
      <c r="B55" s="428">
        <v>7.0</v>
      </c>
      <c r="C55" s="428">
        <v>261.0</v>
      </c>
      <c r="D55" s="428">
        <v>15.0</v>
      </c>
      <c r="E55" s="428">
        <v>255.0</v>
      </c>
      <c r="F55" s="428">
        <v>6.0</v>
      </c>
      <c r="G55" s="428">
        <v>27.0</v>
      </c>
      <c r="H55" s="428">
        <v>8.0</v>
      </c>
      <c r="I55" s="428">
        <v>4809.0</v>
      </c>
      <c r="J55" s="428">
        <v>8.0</v>
      </c>
      <c r="K55" s="428">
        <v>39.0</v>
      </c>
      <c r="L55" s="428">
        <v>8.0</v>
      </c>
      <c r="M55" s="428">
        <v>1.0</v>
      </c>
      <c r="N55" s="428">
        <v>5.0</v>
      </c>
      <c r="O55" s="428">
        <v>0.0</v>
      </c>
      <c r="P55" s="428">
        <v>0.0</v>
      </c>
      <c r="Q55" s="428">
        <v>1.0</v>
      </c>
      <c r="R55" s="428">
        <v>5.0</v>
      </c>
      <c r="S55" s="428">
        <v>0.0</v>
      </c>
      <c r="T55" s="428">
        <v>0.0</v>
      </c>
      <c r="U55" s="428">
        <v>0.0</v>
      </c>
      <c r="V55" s="428">
        <v>0.0</v>
      </c>
      <c r="W55" s="428">
        <v>0.0</v>
      </c>
      <c r="X55" s="428">
        <v>0.0</v>
      </c>
      <c r="Y55" s="428">
        <v>0.0</v>
      </c>
      <c r="Z55" s="428">
        <v>0.0</v>
      </c>
      <c r="AA55" s="428">
        <v>0.0</v>
      </c>
      <c r="AB55" s="428">
        <v>18.0</v>
      </c>
      <c r="AC55" s="428">
        <v>0.0</v>
      </c>
    </row>
    <row r="56" ht="15.75" customHeight="1">
      <c r="A56" s="427" t="s">
        <v>144</v>
      </c>
      <c r="B56" s="428">
        <v>18.0</v>
      </c>
      <c r="C56" s="428">
        <v>271.0</v>
      </c>
      <c r="D56" s="428">
        <v>3.0</v>
      </c>
      <c r="E56" s="428">
        <v>254.0</v>
      </c>
      <c r="F56" s="428">
        <v>17.0</v>
      </c>
      <c r="G56" s="428">
        <v>25.0</v>
      </c>
      <c r="H56" s="428">
        <v>4.0</v>
      </c>
      <c r="I56" s="428">
        <v>5807.0</v>
      </c>
      <c r="J56" s="428">
        <v>12.0</v>
      </c>
      <c r="K56" s="428">
        <v>47.0</v>
      </c>
      <c r="L56" s="428">
        <v>7.0</v>
      </c>
      <c r="M56" s="428">
        <v>1.0</v>
      </c>
      <c r="N56" s="428">
        <v>4.0</v>
      </c>
      <c r="O56" s="428">
        <v>0.0</v>
      </c>
      <c r="P56" s="428">
        <v>0.0</v>
      </c>
      <c r="Q56" s="428">
        <v>1.0</v>
      </c>
      <c r="R56" s="428">
        <v>4.0</v>
      </c>
      <c r="S56" s="428">
        <v>0.0</v>
      </c>
      <c r="T56" s="428">
        <v>0.0</v>
      </c>
      <c r="U56" s="428">
        <v>0.0</v>
      </c>
      <c r="V56" s="428">
        <v>0.0</v>
      </c>
      <c r="W56" s="428">
        <v>0.0</v>
      </c>
      <c r="X56" s="428">
        <v>0.0</v>
      </c>
      <c r="Y56" s="428">
        <v>0.0</v>
      </c>
      <c r="Z56" s="428">
        <v>0.0</v>
      </c>
      <c r="AA56" s="428">
        <v>0.0</v>
      </c>
      <c r="AB56" s="428">
        <v>8.0</v>
      </c>
      <c r="AC56" s="428">
        <v>0.0</v>
      </c>
    </row>
    <row r="57" ht="15.75" customHeight="1">
      <c r="A57" s="438" t="s">
        <v>153</v>
      </c>
      <c r="B57" s="23">
        <v>5.0</v>
      </c>
      <c r="C57" s="23">
        <v>759.0</v>
      </c>
      <c r="D57" s="23">
        <v>23.0</v>
      </c>
      <c r="E57" s="23">
        <v>694.0</v>
      </c>
      <c r="F57" s="23">
        <v>65.0</v>
      </c>
      <c r="G57" s="23">
        <v>42.0</v>
      </c>
      <c r="H57" s="23">
        <v>14.0</v>
      </c>
      <c r="I57" s="23">
        <v>11651.0</v>
      </c>
      <c r="J57" s="23">
        <v>17.0</v>
      </c>
      <c r="K57" s="23">
        <v>145.0</v>
      </c>
      <c r="L57" s="23">
        <v>27.0</v>
      </c>
      <c r="M57" s="23">
        <v>16.0</v>
      </c>
      <c r="N57" s="23">
        <v>11.0</v>
      </c>
      <c r="O57" s="23">
        <v>0.0</v>
      </c>
      <c r="P57" s="23">
        <v>0.0</v>
      </c>
      <c r="Q57" s="23">
        <v>10.0</v>
      </c>
      <c r="R57" s="23">
        <v>11.0</v>
      </c>
      <c r="S57" s="23">
        <v>0.0</v>
      </c>
      <c r="T57" s="23">
        <v>0.0</v>
      </c>
      <c r="U57" s="23">
        <v>0.0</v>
      </c>
      <c r="V57" s="23">
        <v>5.0</v>
      </c>
      <c r="W57" s="23">
        <v>1.0</v>
      </c>
      <c r="X57" s="23">
        <v>0.0</v>
      </c>
      <c r="Y57" s="23">
        <v>0.0</v>
      </c>
      <c r="Z57" s="23">
        <v>0.0</v>
      </c>
      <c r="AA57" s="23">
        <v>0.0</v>
      </c>
      <c r="AB57" s="23">
        <v>12.0</v>
      </c>
      <c r="AC57" s="23">
        <v>0.0</v>
      </c>
    </row>
    <row r="58" ht="15.75" customHeight="1">
      <c r="A58" s="438" t="s">
        <v>154</v>
      </c>
      <c r="B58" s="509">
        <v>1.0</v>
      </c>
      <c r="C58" s="509">
        <v>201.0</v>
      </c>
      <c r="D58" s="509">
        <v>4.0</v>
      </c>
      <c r="E58" s="509">
        <v>207.0</v>
      </c>
      <c r="F58" s="509">
        <v>-6.0</v>
      </c>
      <c r="G58" s="509">
        <v>17.0</v>
      </c>
      <c r="H58" s="509">
        <v>6.0</v>
      </c>
      <c r="I58" s="509">
        <v>3795.0</v>
      </c>
      <c r="J58" s="509">
        <v>6.0</v>
      </c>
      <c r="K58" s="509">
        <v>34.0</v>
      </c>
      <c r="L58" s="509">
        <v>11.0</v>
      </c>
      <c r="M58" s="509">
        <v>14.0</v>
      </c>
      <c r="N58" s="509">
        <v>5.0</v>
      </c>
      <c r="O58" s="509">
        <v>0.0</v>
      </c>
      <c r="P58" s="509">
        <v>0.0</v>
      </c>
      <c r="Q58" s="509">
        <v>7.0</v>
      </c>
      <c r="R58" s="509">
        <v>5.0</v>
      </c>
      <c r="S58" s="509">
        <v>0.0</v>
      </c>
      <c r="T58" s="509">
        <v>0.0</v>
      </c>
      <c r="U58" s="509">
        <v>0.0</v>
      </c>
      <c r="V58" s="509">
        <v>4.0</v>
      </c>
      <c r="W58" s="509">
        <v>1.0</v>
      </c>
      <c r="X58" s="509">
        <v>1.0</v>
      </c>
      <c r="Y58" s="509">
        <v>1.0</v>
      </c>
      <c r="Z58" s="509">
        <v>0.0</v>
      </c>
      <c r="AA58" s="509">
        <v>0.0</v>
      </c>
      <c r="AB58" s="509">
        <v>6.0</v>
      </c>
      <c r="AC58" s="509">
        <v>0.0</v>
      </c>
    </row>
    <row r="59" ht="15.75" customHeight="1">
      <c r="A59" s="438" t="s">
        <v>155</v>
      </c>
      <c r="B59" s="23">
        <v>5.0</v>
      </c>
      <c r="C59" s="23">
        <v>182.0</v>
      </c>
      <c r="D59" s="23">
        <v>9.0</v>
      </c>
      <c r="E59" s="23">
        <v>168.0</v>
      </c>
      <c r="F59" s="23">
        <v>14.0</v>
      </c>
      <c r="G59" s="23">
        <v>21.0</v>
      </c>
      <c r="H59" s="23">
        <v>5.0</v>
      </c>
      <c r="I59" s="23">
        <v>3926.0</v>
      </c>
      <c r="J59" s="23">
        <v>9.0</v>
      </c>
      <c r="K59" s="23">
        <v>25.0</v>
      </c>
      <c r="L59" s="23">
        <v>2.0</v>
      </c>
      <c r="M59" s="23">
        <v>0.0</v>
      </c>
      <c r="N59" s="23">
        <v>4.0</v>
      </c>
      <c r="O59" s="23">
        <v>0.0</v>
      </c>
      <c r="P59" s="23">
        <v>0.0</v>
      </c>
      <c r="Q59" s="23">
        <v>0.0</v>
      </c>
      <c r="R59" s="23">
        <v>4.0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6.0</v>
      </c>
      <c r="AC59" s="23">
        <v>0.0</v>
      </c>
    </row>
    <row r="60" ht="15.75" customHeight="1">
      <c r="A60" s="438" t="s">
        <v>157</v>
      </c>
      <c r="B60" s="23">
        <v>1.0</v>
      </c>
      <c r="C60" s="23">
        <v>206.0</v>
      </c>
      <c r="D60" s="23">
        <v>11.0</v>
      </c>
      <c r="E60" s="23">
        <v>236.0</v>
      </c>
      <c r="F60" s="23">
        <v>-30.0</v>
      </c>
      <c r="G60" s="23">
        <v>17.0</v>
      </c>
      <c r="H60" s="23">
        <v>4.0</v>
      </c>
      <c r="I60" s="23">
        <v>3926.0</v>
      </c>
      <c r="J60" s="23">
        <v>2.0</v>
      </c>
      <c r="K60" s="23">
        <v>26.0</v>
      </c>
      <c r="L60" s="23">
        <v>8.0</v>
      </c>
      <c r="M60" s="23">
        <v>3.0</v>
      </c>
      <c r="N60" s="23">
        <v>2.0</v>
      </c>
      <c r="O60" s="23">
        <v>0.0</v>
      </c>
      <c r="P60" s="23">
        <v>0.0</v>
      </c>
      <c r="Q60" s="23">
        <v>2.0</v>
      </c>
      <c r="R60" s="23">
        <v>2.0</v>
      </c>
      <c r="S60" s="23">
        <v>0.0</v>
      </c>
      <c r="T60" s="23">
        <v>0.0</v>
      </c>
      <c r="U60" s="23">
        <v>0.0</v>
      </c>
      <c r="V60" s="23">
        <v>1.0</v>
      </c>
      <c r="W60" s="23">
        <v>0.0</v>
      </c>
      <c r="X60" s="23">
        <v>0.0</v>
      </c>
      <c r="Y60" s="23">
        <v>0.0</v>
      </c>
      <c r="Z60" s="23">
        <v>0.0</v>
      </c>
      <c r="AA60" s="23">
        <v>0.0</v>
      </c>
      <c r="AB60" s="23">
        <v>4.0</v>
      </c>
      <c r="AC60" s="23">
        <v>0.0</v>
      </c>
    </row>
    <row r="61" ht="15.75" customHeight="1">
      <c r="A61" s="438" t="s">
        <v>164</v>
      </c>
      <c r="B61" s="23">
        <v>0.0</v>
      </c>
      <c r="C61" s="23">
        <v>102.0</v>
      </c>
      <c r="D61" s="23">
        <v>3.0</v>
      </c>
      <c r="E61" s="23">
        <v>77.0</v>
      </c>
      <c r="F61" s="23">
        <v>25.0</v>
      </c>
      <c r="G61" s="23">
        <v>10.0</v>
      </c>
      <c r="H61" s="23">
        <v>6.0</v>
      </c>
      <c r="I61" s="23">
        <v>1452.0</v>
      </c>
      <c r="J61" s="23">
        <v>2.0</v>
      </c>
      <c r="K61" s="23">
        <v>20.0</v>
      </c>
      <c r="L61" s="23">
        <v>8.0</v>
      </c>
      <c r="M61" s="23">
        <v>5.0</v>
      </c>
      <c r="N61" s="23">
        <v>2.0</v>
      </c>
      <c r="O61" s="23">
        <v>0.0</v>
      </c>
      <c r="P61" s="23">
        <v>0.0</v>
      </c>
      <c r="Q61" s="23">
        <v>4.0</v>
      </c>
      <c r="R61" s="23">
        <v>2.0</v>
      </c>
      <c r="S61" s="23">
        <v>0.0</v>
      </c>
      <c r="T61" s="23">
        <v>0.0</v>
      </c>
      <c r="U61" s="23">
        <v>0.0</v>
      </c>
      <c r="V61" s="23">
        <v>1.0</v>
      </c>
      <c r="W61" s="23">
        <v>0.0</v>
      </c>
      <c r="X61" s="23">
        <v>0.0</v>
      </c>
      <c r="Y61" s="23">
        <v>0.0</v>
      </c>
      <c r="Z61" s="23">
        <v>0.0</v>
      </c>
      <c r="AA61" s="23">
        <v>0.0</v>
      </c>
      <c r="AB61" s="23">
        <v>1.0</v>
      </c>
      <c r="AC61" s="23">
        <v>0.0</v>
      </c>
    </row>
    <row r="62" ht="15.75" customHeight="1">
      <c r="A62" s="427" t="s">
        <v>168</v>
      </c>
      <c r="B62" s="428">
        <v>0.0</v>
      </c>
      <c r="C62" s="428">
        <v>443.0</v>
      </c>
      <c r="D62" s="428">
        <v>10.0</v>
      </c>
      <c r="E62" s="428">
        <v>372.0</v>
      </c>
      <c r="F62" s="428">
        <v>71.0</v>
      </c>
      <c r="G62" s="428">
        <v>30.0</v>
      </c>
      <c r="H62" s="428">
        <v>6.0</v>
      </c>
      <c r="I62" s="428">
        <v>5807.0</v>
      </c>
      <c r="J62" s="428">
        <v>7.0</v>
      </c>
      <c r="K62" s="428">
        <v>88.0</v>
      </c>
      <c r="L62" s="428">
        <v>27.0</v>
      </c>
      <c r="M62" s="428">
        <v>18.0</v>
      </c>
      <c r="N62" s="428">
        <v>9.0</v>
      </c>
      <c r="O62" s="428">
        <v>0.0</v>
      </c>
      <c r="P62" s="428">
        <v>0.0</v>
      </c>
      <c r="Q62" s="428">
        <v>11.0</v>
      </c>
      <c r="R62" s="428">
        <v>9.0</v>
      </c>
      <c r="S62" s="428">
        <v>0.0</v>
      </c>
      <c r="T62" s="428">
        <v>0.0</v>
      </c>
      <c r="U62" s="428">
        <v>0.0</v>
      </c>
      <c r="V62" s="428">
        <v>3.0</v>
      </c>
      <c r="W62" s="428">
        <v>2.0</v>
      </c>
      <c r="X62" s="428">
        <v>1.0</v>
      </c>
      <c r="Y62" s="428">
        <v>1.0</v>
      </c>
      <c r="Z62" s="428">
        <v>0.0</v>
      </c>
      <c r="AA62" s="428">
        <v>0.0</v>
      </c>
      <c r="AB62" s="428">
        <v>11.0</v>
      </c>
      <c r="AC62" s="428">
        <v>0.0</v>
      </c>
    </row>
    <row r="63" ht="15.75" customHeight="1">
      <c r="A63" s="427" t="s">
        <v>169</v>
      </c>
      <c r="B63" s="428">
        <v>6.0</v>
      </c>
      <c r="C63" s="428">
        <v>393.0</v>
      </c>
      <c r="D63" s="428">
        <v>6.0</v>
      </c>
      <c r="E63" s="428">
        <v>445.0</v>
      </c>
      <c r="F63" s="428">
        <v>-52.0</v>
      </c>
      <c r="G63" s="428">
        <v>32.0</v>
      </c>
      <c r="H63" s="428">
        <v>18.0</v>
      </c>
      <c r="I63" s="428">
        <v>6990.0</v>
      </c>
      <c r="J63" s="428">
        <v>17.0</v>
      </c>
      <c r="K63" s="428">
        <v>67.0</v>
      </c>
      <c r="L63" s="428">
        <v>19.0</v>
      </c>
      <c r="M63" s="428">
        <v>8.0</v>
      </c>
      <c r="N63" s="428">
        <v>6.0</v>
      </c>
      <c r="O63" s="428">
        <v>0.0</v>
      </c>
      <c r="P63" s="428">
        <v>0.0</v>
      </c>
      <c r="Q63" s="428">
        <v>7.0</v>
      </c>
      <c r="R63" s="428">
        <v>6.0</v>
      </c>
      <c r="S63" s="428">
        <v>0.0</v>
      </c>
      <c r="T63" s="428">
        <v>0.0</v>
      </c>
      <c r="U63" s="428">
        <v>0.0</v>
      </c>
      <c r="V63" s="428">
        <v>1.0</v>
      </c>
      <c r="W63" s="428">
        <v>0.0</v>
      </c>
      <c r="X63" s="428">
        <v>0.0</v>
      </c>
      <c r="Y63" s="428">
        <v>0.0</v>
      </c>
      <c r="Z63" s="428">
        <v>0.0</v>
      </c>
      <c r="AA63" s="428">
        <v>0.0</v>
      </c>
      <c r="AB63" s="428">
        <v>5.0</v>
      </c>
      <c r="AC63" s="428">
        <v>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7" width="6.5"/>
    <col customWidth="1" min="8" max="8" width="9.13"/>
    <col customWidth="1" min="9" max="9" width="11.38"/>
    <col customWidth="1" min="10" max="10" width="16.5"/>
    <col customWidth="1" min="11" max="11" width="12.75"/>
    <col customWidth="1" min="12" max="12" width="16.38"/>
    <col customWidth="1" min="13" max="13" width="15.13"/>
    <col customWidth="1" min="14" max="15" width="6.5"/>
    <col customWidth="1" min="16" max="16" width="7.5"/>
    <col customWidth="1" min="17" max="17" width="10.13"/>
    <col customWidth="1" min="18" max="18" width="15.0"/>
    <col customWidth="1" min="19" max="19" width="12.13"/>
    <col customWidth="1" min="20" max="20" width="10.5"/>
  </cols>
  <sheetData>
    <row r="1" ht="15.75" customHeight="1">
      <c r="N1" s="440"/>
      <c r="O1" s="440"/>
      <c r="P1" s="440"/>
      <c r="Q1" s="440"/>
      <c r="R1" s="510"/>
      <c r="S1" s="510"/>
      <c r="T1" s="511"/>
    </row>
    <row r="2" ht="15.75" customHeight="1">
      <c r="N2" s="444"/>
      <c r="O2" s="444"/>
      <c r="P2" s="444"/>
      <c r="Q2" s="444"/>
      <c r="R2" s="512"/>
      <c r="S2" s="512"/>
    </row>
    <row r="3" ht="15.75" customHeight="1">
      <c r="N3" s="444"/>
      <c r="O3" s="444"/>
      <c r="P3" s="444"/>
      <c r="Q3" s="444"/>
      <c r="R3" s="512"/>
      <c r="S3" s="512"/>
    </row>
    <row r="4" ht="15.75" customHeight="1">
      <c r="N4" s="444"/>
      <c r="O4" s="444"/>
      <c r="P4" s="444"/>
      <c r="Q4" s="444"/>
      <c r="R4" s="512"/>
      <c r="S4" s="512"/>
    </row>
    <row r="5" ht="15.75" customHeight="1">
      <c r="N5" s="444"/>
      <c r="O5" s="444"/>
      <c r="P5" s="444"/>
      <c r="Q5" s="444"/>
      <c r="R5" s="512"/>
      <c r="S5" s="512"/>
    </row>
    <row r="6" ht="15.75" customHeight="1">
      <c r="N6" s="444"/>
      <c r="O6" s="444"/>
      <c r="P6" s="444"/>
      <c r="Q6" s="444"/>
      <c r="R6" s="512"/>
      <c r="S6" s="512"/>
    </row>
    <row r="7" ht="15.75" customHeight="1">
      <c r="N7" s="444"/>
      <c r="O7" s="444"/>
      <c r="P7" s="444"/>
      <c r="Q7" s="444"/>
      <c r="R7" s="512"/>
      <c r="S7" s="512"/>
    </row>
    <row r="8" ht="15.75" customHeight="1">
      <c r="N8" s="444"/>
      <c r="O8" s="444"/>
      <c r="P8" s="444"/>
      <c r="Q8" s="444"/>
      <c r="R8" s="512"/>
      <c r="S8" s="512"/>
    </row>
    <row r="9" ht="15.75" customHeight="1">
      <c r="N9" s="444"/>
      <c r="O9" s="444"/>
      <c r="P9" s="444"/>
      <c r="Q9" s="444"/>
      <c r="R9" s="512"/>
      <c r="S9" s="512"/>
    </row>
    <row r="10" ht="15.75" customHeight="1">
      <c r="N10" s="444"/>
      <c r="O10" s="444"/>
      <c r="P10" s="444"/>
      <c r="Q10" s="444"/>
      <c r="R10" s="512"/>
      <c r="S10" s="512"/>
    </row>
    <row r="11" ht="15.75" customHeight="1">
      <c r="N11" s="444"/>
      <c r="O11" s="444"/>
      <c r="P11" s="444"/>
      <c r="Q11" s="444"/>
      <c r="R11" s="512"/>
      <c r="S11" s="512"/>
    </row>
    <row r="12" ht="15.75" customHeight="1">
      <c r="N12" s="444"/>
      <c r="O12" s="444"/>
      <c r="P12" s="444"/>
      <c r="Q12" s="444"/>
      <c r="R12" s="512"/>
      <c r="S12" s="512"/>
    </row>
    <row r="13" ht="15.75" customHeight="1">
      <c r="N13" s="444"/>
      <c r="O13" s="444"/>
      <c r="P13" s="444"/>
      <c r="Q13" s="444"/>
      <c r="R13" s="512"/>
      <c r="S13" s="512"/>
    </row>
    <row r="14" ht="15.75" customHeight="1">
      <c r="N14" s="444"/>
      <c r="O14" s="444"/>
      <c r="P14" s="444"/>
      <c r="Q14" s="444"/>
      <c r="R14" s="512"/>
      <c r="S14" s="512"/>
    </row>
    <row r="15" ht="15.75" customHeight="1">
      <c r="N15" s="444"/>
      <c r="O15" s="444"/>
      <c r="P15" s="444"/>
      <c r="Q15" s="444"/>
      <c r="R15" s="512"/>
      <c r="S15" s="512"/>
    </row>
    <row r="16" ht="15.75" customHeight="1">
      <c r="N16" s="444"/>
      <c r="O16" s="444"/>
      <c r="P16" s="444"/>
      <c r="Q16" s="444"/>
      <c r="R16" s="512"/>
      <c r="S16" s="512"/>
    </row>
    <row r="17" ht="15.75" customHeight="1">
      <c r="N17" s="444"/>
      <c r="O17" s="444"/>
      <c r="P17" s="444"/>
      <c r="Q17" s="444"/>
      <c r="R17" s="512"/>
      <c r="S17" s="512"/>
    </row>
    <row r="18" ht="15.75" customHeight="1">
      <c r="N18" s="444"/>
      <c r="O18" s="444"/>
      <c r="P18" s="444"/>
      <c r="Q18" s="444"/>
      <c r="R18" s="512"/>
      <c r="S18" s="512"/>
    </row>
    <row r="19" ht="15.75" customHeight="1">
      <c r="N19" s="444"/>
      <c r="O19" s="444"/>
      <c r="P19" s="444"/>
      <c r="Q19" s="444"/>
      <c r="R19" s="512"/>
      <c r="S19" s="512"/>
    </row>
    <row r="20" ht="15.75" customHeight="1">
      <c r="N20" s="444"/>
      <c r="O20" s="444"/>
      <c r="P20" s="444"/>
      <c r="Q20" s="444"/>
      <c r="R20" s="512"/>
      <c r="S20" s="512"/>
    </row>
    <row r="21" ht="15.75" customHeight="1">
      <c r="N21" s="444"/>
      <c r="O21" s="444"/>
      <c r="P21" s="444"/>
      <c r="Q21" s="444"/>
      <c r="R21" s="512"/>
      <c r="S21" s="512"/>
    </row>
    <row r="22" ht="15.75" customHeight="1">
      <c r="N22" s="444"/>
      <c r="O22" s="444"/>
      <c r="P22" s="444"/>
      <c r="Q22" s="444"/>
      <c r="R22" s="512"/>
      <c r="S22" s="512"/>
    </row>
    <row r="23" ht="15.75" customHeight="1">
      <c r="N23" s="444"/>
      <c r="O23" s="444"/>
      <c r="P23" s="444"/>
      <c r="Q23" s="444"/>
      <c r="R23" s="512"/>
      <c r="S23" s="512"/>
    </row>
    <row r="24" ht="15.75" customHeight="1">
      <c r="N24" s="444"/>
      <c r="O24" s="444"/>
      <c r="P24" s="444"/>
      <c r="Q24" s="444"/>
      <c r="R24" s="512"/>
      <c r="S24" s="512"/>
    </row>
    <row r="25" ht="15.75" customHeight="1">
      <c r="N25" s="444"/>
      <c r="O25" s="444"/>
      <c r="P25" s="444"/>
      <c r="Q25" s="444"/>
      <c r="R25" s="512"/>
      <c r="S25" s="512"/>
    </row>
    <row r="26" ht="15.75" customHeight="1">
      <c r="N26" s="444"/>
      <c r="O26" s="444"/>
      <c r="P26" s="444"/>
      <c r="Q26" s="444"/>
      <c r="R26" s="512"/>
      <c r="S26" s="512"/>
    </row>
    <row r="27" ht="15.75" customHeight="1">
      <c r="N27" s="444"/>
      <c r="O27" s="444"/>
      <c r="P27" s="444"/>
      <c r="Q27" s="444"/>
      <c r="R27" s="512"/>
      <c r="S27" s="512"/>
    </row>
    <row r="28" ht="15.75" customHeight="1">
      <c r="N28" s="444"/>
      <c r="O28" s="444"/>
      <c r="P28" s="444"/>
      <c r="Q28" s="444"/>
      <c r="R28" s="512"/>
      <c r="S28" s="512"/>
    </row>
    <row r="29" ht="15.75" customHeight="1">
      <c r="N29" s="444"/>
      <c r="O29" s="444"/>
      <c r="P29" s="444"/>
      <c r="Q29" s="444"/>
      <c r="R29" s="512"/>
      <c r="S29" s="512"/>
    </row>
    <row r="30" ht="15.75" customHeight="1">
      <c r="N30" s="444"/>
      <c r="O30" s="444"/>
      <c r="P30" s="444"/>
      <c r="Q30" s="444"/>
      <c r="R30" s="512"/>
      <c r="S30" s="512"/>
    </row>
    <row r="31" ht="15.75" customHeight="1">
      <c r="N31" s="444"/>
      <c r="O31" s="444"/>
      <c r="P31" s="444"/>
      <c r="Q31" s="444"/>
      <c r="R31" s="512"/>
      <c r="S31" s="512"/>
    </row>
    <row r="32" ht="15.75" customHeight="1">
      <c r="A32" s="426"/>
      <c r="B32" s="426"/>
      <c r="C32" s="426"/>
      <c r="D32" s="426"/>
      <c r="E32" s="426"/>
      <c r="F32" s="426"/>
      <c r="G32" s="426"/>
      <c r="H32" s="426"/>
      <c r="I32" s="426"/>
      <c r="J32" s="444"/>
      <c r="K32" s="444"/>
      <c r="L32" s="444"/>
      <c r="M32" s="444"/>
      <c r="N32" s="444"/>
      <c r="O32" s="444"/>
      <c r="P32" s="444"/>
      <c r="Q32" s="444"/>
      <c r="R32" s="512"/>
      <c r="S32" s="512"/>
    </row>
    <row r="33" ht="15.75" customHeight="1">
      <c r="A33" s="426"/>
      <c r="B33" s="426"/>
      <c r="C33" s="426"/>
      <c r="D33" s="426"/>
      <c r="E33" s="426"/>
      <c r="F33" s="426"/>
      <c r="G33" s="426"/>
      <c r="H33" s="426"/>
      <c r="I33" s="426"/>
      <c r="J33" s="444"/>
      <c r="K33" s="444"/>
      <c r="L33" s="444"/>
      <c r="M33" s="444"/>
      <c r="N33" s="444"/>
      <c r="O33" s="444"/>
      <c r="P33" s="444"/>
      <c r="Q33" s="444"/>
      <c r="R33" s="512"/>
      <c r="S33" s="512"/>
    </row>
    <row r="34" ht="15.7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44"/>
      <c r="K34" s="444"/>
      <c r="L34" s="444"/>
      <c r="M34" s="444"/>
      <c r="N34" s="444"/>
      <c r="O34" s="444"/>
      <c r="P34" s="444"/>
      <c r="Q34" s="444"/>
      <c r="R34" s="512"/>
      <c r="S34" s="512"/>
    </row>
    <row r="35" ht="15.75" customHeight="1">
      <c r="A35" s="426"/>
      <c r="B35" s="426"/>
      <c r="C35" s="426"/>
      <c r="D35" s="426"/>
      <c r="E35" s="426"/>
      <c r="F35" s="426"/>
      <c r="G35" s="426"/>
      <c r="H35" s="426"/>
      <c r="I35" s="426"/>
      <c r="J35" s="444"/>
      <c r="K35" s="444"/>
      <c r="L35" s="444"/>
      <c r="M35" s="444"/>
      <c r="N35" s="444"/>
      <c r="O35" s="444"/>
      <c r="P35" s="444"/>
      <c r="Q35" s="444"/>
      <c r="R35" s="512"/>
      <c r="S35" s="512"/>
    </row>
    <row r="36" ht="15.75" customHeight="1">
      <c r="A36" s="426"/>
      <c r="B36" s="426"/>
      <c r="C36" s="426"/>
      <c r="D36" s="426"/>
      <c r="E36" s="426"/>
      <c r="F36" s="426"/>
      <c r="G36" s="426"/>
      <c r="H36" s="426"/>
      <c r="I36" s="426"/>
      <c r="J36" s="444"/>
      <c r="K36" s="444"/>
      <c r="L36" s="444"/>
      <c r="M36" s="444"/>
      <c r="N36" s="444"/>
      <c r="O36" s="444"/>
      <c r="P36" s="444"/>
      <c r="Q36" s="444"/>
      <c r="R36" s="512"/>
      <c r="S36" s="512"/>
    </row>
    <row r="37" ht="15.75" customHeight="1">
      <c r="A37" s="426"/>
      <c r="B37" s="426"/>
      <c r="C37" s="426"/>
      <c r="D37" s="426"/>
      <c r="E37" s="426"/>
      <c r="F37" s="426"/>
      <c r="G37" s="426"/>
      <c r="H37" s="426"/>
      <c r="I37" s="426"/>
      <c r="J37" s="444"/>
      <c r="K37" s="444"/>
      <c r="L37" s="444"/>
      <c r="M37" s="444"/>
      <c r="N37" s="444"/>
      <c r="O37" s="444"/>
      <c r="P37" s="444"/>
      <c r="Q37" s="444"/>
      <c r="R37" s="512"/>
      <c r="S37" s="512"/>
    </row>
    <row r="38" ht="15.75" customHeight="1">
      <c r="A38" s="426"/>
      <c r="B38" s="426"/>
      <c r="C38" s="426"/>
      <c r="D38" s="426"/>
      <c r="E38" s="426"/>
      <c r="F38" s="426"/>
      <c r="G38" s="426"/>
      <c r="H38" s="426"/>
      <c r="I38" s="426"/>
      <c r="J38" s="444"/>
      <c r="K38" s="444"/>
      <c r="L38" s="444"/>
      <c r="M38" s="444"/>
      <c r="N38" s="444"/>
      <c r="O38" s="444"/>
      <c r="P38" s="444"/>
      <c r="Q38" s="444"/>
      <c r="R38" s="512"/>
      <c r="S38" s="512"/>
    </row>
    <row r="39" ht="15.75" customHeight="1">
      <c r="A39" s="426"/>
      <c r="B39" s="426"/>
      <c r="C39" s="426"/>
      <c r="D39" s="426"/>
      <c r="E39" s="426"/>
      <c r="F39" s="426"/>
      <c r="G39" s="426"/>
      <c r="H39" s="426"/>
      <c r="I39" s="426"/>
      <c r="J39" s="444"/>
      <c r="K39" s="444"/>
      <c r="L39" s="444"/>
      <c r="M39" s="444"/>
      <c r="N39" s="444"/>
      <c r="O39" s="444"/>
      <c r="P39" s="444"/>
      <c r="Q39" s="444"/>
      <c r="R39" s="512"/>
      <c r="S39" s="512"/>
    </row>
    <row r="40" ht="15.75" customHeight="1">
      <c r="A40" s="426"/>
      <c r="B40" s="426"/>
      <c r="C40" s="426"/>
      <c r="D40" s="426"/>
      <c r="E40" s="426"/>
      <c r="F40" s="426"/>
      <c r="G40" s="426"/>
      <c r="H40" s="426"/>
      <c r="I40" s="426"/>
      <c r="J40" s="444"/>
      <c r="K40" s="444"/>
      <c r="L40" s="444"/>
      <c r="M40" s="444"/>
      <c r="N40" s="444"/>
      <c r="O40" s="444"/>
      <c r="P40" s="444"/>
      <c r="Q40" s="444"/>
      <c r="R40" s="512"/>
      <c r="S40" s="512"/>
    </row>
    <row r="41" ht="15.75" customHeight="1">
      <c r="A41" s="426"/>
      <c r="B41" s="426"/>
      <c r="C41" s="426"/>
      <c r="D41" s="426"/>
      <c r="E41" s="426"/>
      <c r="F41" s="426"/>
      <c r="G41" s="426"/>
      <c r="H41" s="426"/>
      <c r="I41" s="426"/>
      <c r="J41" s="444"/>
      <c r="K41" s="444"/>
      <c r="L41" s="444"/>
      <c r="M41" s="444"/>
      <c r="N41" s="444"/>
      <c r="O41" s="444"/>
      <c r="P41" s="444"/>
      <c r="Q41" s="444"/>
      <c r="R41" s="512"/>
      <c r="S41" s="512"/>
    </row>
    <row r="42" ht="15.75" customHeight="1">
      <c r="A42" s="426"/>
      <c r="B42" s="426"/>
      <c r="C42" s="426"/>
      <c r="D42" s="426"/>
      <c r="E42" s="426"/>
      <c r="F42" s="426"/>
      <c r="G42" s="426"/>
      <c r="H42" s="426"/>
      <c r="I42" s="426"/>
      <c r="J42" s="444"/>
      <c r="K42" s="444"/>
      <c r="L42" s="444"/>
      <c r="M42" s="444"/>
      <c r="N42" s="444"/>
      <c r="O42" s="444"/>
      <c r="P42" s="444"/>
      <c r="Q42" s="444"/>
      <c r="R42" s="512"/>
      <c r="S42" s="512"/>
    </row>
    <row r="43" ht="15.75" customHeight="1">
      <c r="A43" s="426"/>
      <c r="B43" s="426"/>
      <c r="C43" s="426"/>
      <c r="D43" s="426"/>
      <c r="E43" s="426"/>
      <c r="F43" s="426"/>
      <c r="G43" s="426"/>
      <c r="H43" s="426"/>
      <c r="I43" s="426"/>
      <c r="J43" s="444"/>
      <c r="K43" s="444"/>
      <c r="L43" s="444"/>
      <c r="M43" s="444"/>
      <c r="N43" s="444"/>
      <c r="O43" s="444"/>
      <c r="P43" s="444"/>
      <c r="Q43" s="444"/>
      <c r="R43" s="512"/>
      <c r="S43" s="512"/>
    </row>
    <row r="44" ht="15.75" customHeight="1">
      <c r="A44" s="426"/>
      <c r="B44" s="426"/>
      <c r="C44" s="426"/>
      <c r="D44" s="426"/>
      <c r="E44" s="426"/>
      <c r="F44" s="426"/>
      <c r="G44" s="426"/>
      <c r="H44" s="426"/>
      <c r="I44" s="426"/>
      <c r="J44" s="444"/>
      <c r="K44" s="444"/>
      <c r="L44" s="444"/>
      <c r="M44" s="444"/>
      <c r="N44" s="444"/>
      <c r="O44" s="444"/>
      <c r="P44" s="444"/>
      <c r="Q44" s="444"/>
      <c r="R44" s="512"/>
      <c r="S44" s="512"/>
    </row>
    <row r="45" ht="15.75" customHeight="1">
      <c r="A45" s="426"/>
      <c r="B45" s="426"/>
      <c r="C45" s="426"/>
      <c r="D45" s="426"/>
      <c r="E45" s="426"/>
      <c r="F45" s="426"/>
      <c r="G45" s="426"/>
      <c r="H45" s="426"/>
      <c r="I45" s="426"/>
      <c r="J45" s="444"/>
      <c r="K45" s="444"/>
      <c r="L45" s="444"/>
      <c r="M45" s="444"/>
      <c r="N45" s="444"/>
      <c r="O45" s="444"/>
      <c r="P45" s="444"/>
      <c r="Q45" s="444"/>
      <c r="R45" s="512"/>
      <c r="S45" s="512"/>
    </row>
    <row r="46" ht="15.75" customHeight="1">
      <c r="A46" s="426"/>
      <c r="B46" s="426"/>
      <c r="C46" s="426"/>
      <c r="D46" s="426"/>
      <c r="E46" s="426"/>
      <c r="F46" s="426"/>
      <c r="G46" s="426"/>
      <c r="H46" s="426"/>
      <c r="I46" s="426"/>
      <c r="J46" s="444"/>
      <c r="K46" s="444"/>
      <c r="L46" s="444"/>
      <c r="M46" s="444"/>
      <c r="N46" s="444"/>
      <c r="O46" s="444"/>
      <c r="P46" s="444"/>
      <c r="Q46" s="444"/>
      <c r="R46" s="512"/>
      <c r="S46" s="512"/>
    </row>
    <row r="47" ht="15.75" customHeight="1">
      <c r="A47" s="426"/>
      <c r="B47" s="426"/>
      <c r="C47" s="426"/>
      <c r="D47" s="426"/>
      <c r="E47" s="426"/>
      <c r="F47" s="426"/>
      <c r="G47" s="426"/>
      <c r="H47" s="426"/>
      <c r="I47" s="426"/>
      <c r="J47" s="444"/>
      <c r="K47" s="444"/>
      <c r="L47" s="444"/>
      <c r="M47" s="444"/>
      <c r="N47" s="444"/>
      <c r="O47" s="444"/>
      <c r="P47" s="444"/>
      <c r="Q47" s="444"/>
      <c r="R47" s="512"/>
      <c r="S47" s="512"/>
    </row>
    <row r="48" ht="15.75" customHeight="1">
      <c r="A48" s="426"/>
      <c r="B48" s="426"/>
      <c r="C48" s="426"/>
      <c r="D48" s="426"/>
      <c r="E48" s="426"/>
      <c r="F48" s="426"/>
      <c r="G48" s="426"/>
      <c r="H48" s="426"/>
      <c r="I48" s="426"/>
      <c r="J48" s="444"/>
      <c r="K48" s="444"/>
      <c r="L48" s="444"/>
      <c r="M48" s="444"/>
      <c r="N48" s="444"/>
      <c r="O48" s="444"/>
      <c r="P48" s="444"/>
      <c r="Q48" s="444"/>
      <c r="R48" s="512"/>
      <c r="S48" s="512"/>
    </row>
    <row r="49" ht="15.75" customHeight="1">
      <c r="A49" s="426"/>
      <c r="B49" s="426"/>
      <c r="C49" s="426"/>
      <c r="D49" s="426"/>
      <c r="E49" s="426"/>
      <c r="F49" s="426"/>
      <c r="G49" s="426"/>
      <c r="H49" s="426"/>
      <c r="I49" s="426"/>
      <c r="J49" s="444"/>
      <c r="K49" s="444"/>
      <c r="L49" s="444"/>
      <c r="M49" s="444"/>
      <c r="N49" s="444"/>
      <c r="O49" s="444"/>
      <c r="P49" s="444"/>
      <c r="Q49" s="444"/>
      <c r="R49" s="512"/>
      <c r="S49" s="512"/>
    </row>
    <row r="50" ht="15.75" customHeight="1">
      <c r="A50" s="426"/>
      <c r="B50" s="426"/>
      <c r="C50" s="426"/>
      <c r="D50" s="426"/>
      <c r="E50" s="426"/>
      <c r="F50" s="426"/>
      <c r="G50" s="426"/>
      <c r="H50" s="426"/>
      <c r="I50" s="426"/>
      <c r="J50" s="444"/>
      <c r="K50" s="444"/>
      <c r="L50" s="444"/>
      <c r="M50" s="444"/>
      <c r="N50" s="444"/>
      <c r="O50" s="444"/>
      <c r="P50" s="444"/>
      <c r="Q50" s="444"/>
      <c r="R50" s="512"/>
      <c r="S50" s="512"/>
    </row>
    <row r="51" ht="15.75" customHeight="1">
      <c r="A51" s="426"/>
      <c r="B51" s="426"/>
      <c r="C51" s="426"/>
      <c r="D51" s="426"/>
      <c r="E51" s="426"/>
      <c r="F51" s="426"/>
      <c r="G51" s="426"/>
      <c r="H51" s="426"/>
      <c r="I51" s="426"/>
      <c r="J51" s="444"/>
      <c r="K51" s="444"/>
      <c r="L51" s="444"/>
      <c r="M51" s="444"/>
      <c r="N51" s="444"/>
      <c r="O51" s="444"/>
      <c r="P51" s="444"/>
      <c r="Q51" s="444"/>
      <c r="R51" s="512"/>
      <c r="S51" s="512"/>
    </row>
    <row r="52" ht="15.75" customHeight="1">
      <c r="A52" s="426"/>
      <c r="B52" s="426"/>
      <c r="C52" s="426"/>
      <c r="D52" s="426"/>
      <c r="E52" s="426"/>
      <c r="F52" s="426"/>
      <c r="G52" s="426"/>
      <c r="H52" s="426"/>
      <c r="I52" s="426"/>
      <c r="J52" s="444"/>
      <c r="K52" s="444"/>
      <c r="L52" s="444"/>
      <c r="M52" s="444"/>
      <c r="N52" s="444"/>
      <c r="O52" s="444"/>
      <c r="P52" s="444"/>
      <c r="Q52" s="444"/>
      <c r="R52" s="512"/>
      <c r="S52" s="512"/>
    </row>
    <row r="53" ht="15.75" customHeight="1">
      <c r="A53" s="426"/>
      <c r="B53" s="426"/>
      <c r="C53" s="426"/>
      <c r="D53" s="426"/>
      <c r="E53" s="426"/>
      <c r="F53" s="426"/>
      <c r="G53" s="426"/>
      <c r="H53" s="426"/>
      <c r="I53" s="426"/>
      <c r="J53" s="444"/>
      <c r="K53" s="444"/>
      <c r="L53" s="444"/>
      <c r="M53" s="444"/>
      <c r="N53" s="444"/>
      <c r="O53" s="444"/>
      <c r="P53" s="444"/>
      <c r="Q53" s="444"/>
      <c r="R53" s="512"/>
      <c r="S53" s="512"/>
    </row>
    <row r="54" ht="15.75" customHeight="1">
      <c r="A54" s="426"/>
      <c r="B54" s="426"/>
      <c r="C54" s="426"/>
      <c r="D54" s="426"/>
      <c r="E54" s="426"/>
      <c r="F54" s="426"/>
      <c r="G54" s="426"/>
      <c r="H54" s="426"/>
      <c r="I54" s="426"/>
      <c r="J54" s="444"/>
      <c r="K54" s="444"/>
      <c r="L54" s="444"/>
      <c r="M54" s="444"/>
      <c r="N54" s="444"/>
      <c r="O54" s="444"/>
      <c r="P54" s="444"/>
      <c r="Q54" s="444"/>
      <c r="R54" s="512"/>
      <c r="S54" s="512"/>
    </row>
    <row r="55" ht="15.75" customHeight="1">
      <c r="A55" s="426"/>
      <c r="B55" s="426"/>
      <c r="C55" s="426"/>
      <c r="D55" s="426"/>
      <c r="E55" s="426"/>
      <c r="F55" s="426"/>
      <c r="G55" s="426"/>
      <c r="H55" s="426"/>
      <c r="I55" s="426"/>
      <c r="J55" s="444"/>
      <c r="K55" s="444"/>
      <c r="L55" s="444"/>
      <c r="M55" s="444"/>
      <c r="N55" s="444"/>
      <c r="O55" s="444"/>
      <c r="P55" s="444"/>
      <c r="Q55" s="444"/>
      <c r="R55" s="512"/>
      <c r="S55" s="512"/>
    </row>
    <row r="56" ht="15.75" customHeight="1">
      <c r="A56" s="426"/>
      <c r="B56" s="426"/>
      <c r="C56" s="426"/>
      <c r="D56" s="426"/>
      <c r="E56" s="426"/>
      <c r="F56" s="426"/>
      <c r="G56" s="426"/>
      <c r="H56" s="426"/>
      <c r="I56" s="426"/>
      <c r="J56" s="444"/>
      <c r="K56" s="444"/>
      <c r="L56" s="444"/>
      <c r="M56" s="444"/>
      <c r="N56" s="444"/>
      <c r="O56" s="444"/>
      <c r="P56" s="444"/>
      <c r="Q56" s="444"/>
      <c r="R56" s="512"/>
      <c r="S56" s="512"/>
    </row>
    <row r="57" ht="15.75" customHeight="1">
      <c r="A57" s="426"/>
      <c r="B57" s="426"/>
      <c r="C57" s="426"/>
      <c r="D57" s="426"/>
      <c r="E57" s="426"/>
      <c r="F57" s="426"/>
      <c r="G57" s="426"/>
      <c r="H57" s="426"/>
      <c r="I57" s="426"/>
      <c r="J57" s="444"/>
      <c r="K57" s="444"/>
      <c r="L57" s="444"/>
      <c r="M57" s="444"/>
      <c r="N57" s="444"/>
      <c r="O57" s="444"/>
      <c r="P57" s="444"/>
      <c r="Q57" s="444"/>
      <c r="R57" s="512"/>
      <c r="S57" s="512"/>
    </row>
    <row r="58" ht="15.75" customHeight="1">
      <c r="A58" s="426"/>
      <c r="B58" s="426"/>
      <c r="C58" s="426"/>
      <c r="D58" s="426"/>
      <c r="E58" s="426"/>
      <c r="F58" s="426"/>
      <c r="G58" s="426"/>
      <c r="H58" s="426"/>
      <c r="I58" s="426"/>
      <c r="J58" s="444"/>
      <c r="K58" s="444"/>
      <c r="L58" s="444"/>
      <c r="M58" s="444"/>
      <c r="N58" s="444"/>
      <c r="O58" s="444"/>
      <c r="P58" s="444"/>
      <c r="Q58" s="444"/>
      <c r="R58" s="512"/>
      <c r="S58" s="512"/>
    </row>
    <row r="59" ht="15.75" customHeight="1">
      <c r="A59" s="426"/>
      <c r="B59" s="426"/>
      <c r="C59" s="426"/>
      <c r="D59" s="426"/>
      <c r="E59" s="426"/>
      <c r="F59" s="426"/>
      <c r="G59" s="426"/>
      <c r="H59" s="426"/>
      <c r="I59" s="426"/>
      <c r="J59" s="444"/>
      <c r="K59" s="444"/>
      <c r="L59" s="444"/>
      <c r="M59" s="444"/>
      <c r="N59" s="444"/>
      <c r="O59" s="444"/>
      <c r="P59" s="444"/>
      <c r="Q59" s="444"/>
      <c r="R59" s="512"/>
      <c r="S59" s="512"/>
    </row>
    <row r="60" ht="15.75" customHeight="1">
      <c r="A60" s="426"/>
      <c r="B60" s="426"/>
      <c r="C60" s="426"/>
      <c r="D60" s="426"/>
      <c r="E60" s="426"/>
      <c r="F60" s="426"/>
      <c r="G60" s="426"/>
      <c r="H60" s="426"/>
      <c r="I60" s="426"/>
      <c r="J60" s="444"/>
      <c r="K60" s="444"/>
      <c r="L60" s="444"/>
      <c r="M60" s="444"/>
      <c r="N60" s="444"/>
      <c r="O60" s="444"/>
      <c r="P60" s="444"/>
      <c r="Q60" s="444"/>
      <c r="R60" s="512"/>
      <c r="S60" s="512"/>
    </row>
    <row r="61" ht="15.75" customHeight="1">
      <c r="A61" s="426"/>
      <c r="B61" s="426"/>
      <c r="C61" s="426"/>
      <c r="D61" s="426"/>
      <c r="E61" s="426"/>
      <c r="F61" s="426"/>
      <c r="G61" s="426"/>
      <c r="H61" s="426"/>
      <c r="I61" s="426"/>
      <c r="J61" s="444"/>
      <c r="K61" s="444"/>
      <c r="L61" s="444"/>
      <c r="M61" s="444"/>
      <c r="N61" s="444"/>
      <c r="O61" s="444"/>
      <c r="P61" s="444"/>
      <c r="Q61" s="444"/>
      <c r="R61" s="512"/>
      <c r="S61" s="512"/>
    </row>
    <row r="62" ht="15.75" customHeight="1">
      <c r="A62" s="426"/>
      <c r="B62" s="426"/>
      <c r="C62" s="426"/>
      <c r="D62" s="426"/>
      <c r="E62" s="426"/>
      <c r="F62" s="426"/>
      <c r="G62" s="426"/>
      <c r="H62" s="426"/>
      <c r="I62" s="426"/>
      <c r="J62" s="444"/>
      <c r="K62" s="444"/>
      <c r="L62" s="444"/>
      <c r="M62" s="444"/>
      <c r="N62" s="444"/>
      <c r="O62" s="444"/>
      <c r="P62" s="444"/>
      <c r="Q62" s="444"/>
      <c r="R62" s="512"/>
      <c r="S62" s="512"/>
    </row>
    <row r="63" ht="15.75" customHeight="1">
      <c r="A63" s="426"/>
      <c r="B63" s="426"/>
      <c r="C63" s="426"/>
      <c r="D63" s="426"/>
      <c r="E63" s="426"/>
      <c r="F63" s="426"/>
      <c r="G63" s="426"/>
      <c r="H63" s="426"/>
      <c r="I63" s="426"/>
      <c r="J63" s="444"/>
      <c r="K63" s="444"/>
      <c r="L63" s="444"/>
      <c r="M63" s="444"/>
      <c r="N63" s="444"/>
      <c r="O63" s="444"/>
      <c r="P63" s="444"/>
      <c r="Q63" s="444"/>
      <c r="R63" s="512"/>
      <c r="S63" s="512"/>
    </row>
    <row r="64" ht="15.75" customHeight="1">
      <c r="A64" s="426"/>
      <c r="B64" s="426"/>
      <c r="C64" s="426"/>
      <c r="D64" s="426"/>
      <c r="E64" s="426"/>
      <c r="F64" s="426"/>
      <c r="G64" s="426"/>
      <c r="H64" s="426"/>
      <c r="I64" s="426"/>
      <c r="J64" s="444"/>
      <c r="K64" s="444"/>
      <c r="L64" s="444"/>
      <c r="M64" s="444"/>
      <c r="N64" s="444"/>
      <c r="O64" s="444"/>
      <c r="P64" s="444"/>
      <c r="Q64" s="444"/>
      <c r="R64" s="512"/>
      <c r="S64" s="512"/>
    </row>
    <row r="65" ht="15.75" customHeight="1">
      <c r="A65" s="426"/>
      <c r="B65" s="426"/>
      <c r="C65" s="426"/>
      <c r="D65" s="426"/>
      <c r="E65" s="426"/>
      <c r="F65" s="426"/>
      <c r="G65" s="426"/>
      <c r="H65" s="426"/>
      <c r="I65" s="426"/>
      <c r="J65" s="444"/>
      <c r="K65" s="444"/>
      <c r="L65" s="444"/>
      <c r="M65" s="444"/>
      <c r="N65" s="444"/>
      <c r="O65" s="444"/>
      <c r="P65" s="444"/>
      <c r="Q65" s="444"/>
      <c r="R65" s="512"/>
      <c r="S65" s="512"/>
    </row>
    <row r="66" ht="15.75" customHeight="1">
      <c r="A66" s="426"/>
      <c r="B66" s="426"/>
      <c r="C66" s="426"/>
      <c r="D66" s="426"/>
      <c r="E66" s="426"/>
      <c r="F66" s="426"/>
      <c r="G66" s="426"/>
      <c r="H66" s="426"/>
      <c r="I66" s="426"/>
      <c r="J66" s="444"/>
      <c r="K66" s="444"/>
      <c r="L66" s="444"/>
      <c r="M66" s="444"/>
      <c r="N66" s="444"/>
      <c r="O66" s="444"/>
      <c r="P66" s="444"/>
      <c r="Q66" s="444"/>
      <c r="R66" s="512"/>
      <c r="S66" s="512"/>
    </row>
    <row r="67" ht="15.75" customHeight="1">
      <c r="A67" s="426"/>
      <c r="B67" s="426"/>
      <c r="C67" s="426"/>
      <c r="D67" s="426"/>
      <c r="E67" s="426"/>
      <c r="F67" s="426"/>
      <c r="G67" s="426"/>
      <c r="H67" s="426"/>
      <c r="I67" s="426"/>
      <c r="J67" s="444"/>
      <c r="K67" s="444"/>
      <c r="L67" s="444"/>
      <c r="M67" s="444"/>
      <c r="N67" s="444"/>
      <c r="O67" s="444"/>
      <c r="P67" s="444"/>
      <c r="Q67" s="444"/>
      <c r="R67" s="512"/>
      <c r="S67" s="512"/>
    </row>
    <row r="68" ht="15.75" customHeight="1">
      <c r="A68" s="426"/>
      <c r="B68" s="426"/>
      <c r="C68" s="426"/>
      <c r="D68" s="426"/>
      <c r="E68" s="426"/>
      <c r="F68" s="426"/>
      <c r="G68" s="426"/>
      <c r="H68" s="426"/>
      <c r="I68" s="426"/>
      <c r="J68" s="444"/>
      <c r="K68" s="444"/>
      <c r="L68" s="444"/>
      <c r="M68" s="444"/>
      <c r="N68" s="444"/>
      <c r="O68" s="444"/>
      <c r="P68" s="444"/>
      <c r="Q68" s="444"/>
      <c r="R68" s="512"/>
      <c r="S68" s="512"/>
    </row>
    <row r="69" ht="15.75" customHeight="1">
      <c r="A69" s="426"/>
      <c r="B69" s="426"/>
      <c r="C69" s="426"/>
      <c r="D69" s="426"/>
      <c r="E69" s="426"/>
      <c r="F69" s="426"/>
      <c r="G69" s="426"/>
      <c r="H69" s="426"/>
      <c r="I69" s="426"/>
      <c r="J69" s="444"/>
      <c r="K69" s="444"/>
      <c r="L69" s="444"/>
      <c r="M69" s="444"/>
      <c r="N69" s="444"/>
      <c r="O69" s="444"/>
      <c r="P69" s="444"/>
      <c r="Q69" s="444"/>
      <c r="R69" s="512"/>
      <c r="S69" s="512"/>
    </row>
    <row r="70" ht="15.75" customHeight="1">
      <c r="A70" s="426"/>
      <c r="B70" s="426"/>
      <c r="C70" s="426"/>
      <c r="D70" s="426"/>
      <c r="E70" s="426"/>
      <c r="F70" s="426"/>
      <c r="G70" s="426"/>
      <c r="H70" s="426"/>
      <c r="I70" s="426"/>
      <c r="J70" s="444"/>
      <c r="K70" s="444"/>
      <c r="L70" s="444"/>
      <c r="M70" s="444"/>
      <c r="N70" s="444"/>
      <c r="O70" s="444"/>
      <c r="P70" s="444"/>
      <c r="Q70" s="444"/>
      <c r="R70" s="512"/>
      <c r="S70" s="512"/>
    </row>
    <row r="71" ht="15.75" customHeight="1">
      <c r="A71" s="426"/>
      <c r="B71" s="426"/>
      <c r="C71" s="426"/>
      <c r="D71" s="426"/>
      <c r="E71" s="426"/>
      <c r="F71" s="426"/>
      <c r="G71" s="426"/>
      <c r="H71" s="426"/>
      <c r="I71" s="426"/>
      <c r="J71" s="444"/>
      <c r="K71" s="444"/>
      <c r="L71" s="444"/>
      <c r="M71" s="444"/>
      <c r="N71" s="444"/>
      <c r="O71" s="444"/>
      <c r="P71" s="444"/>
      <c r="Q71" s="444"/>
      <c r="R71" s="512"/>
      <c r="S71" s="512"/>
    </row>
    <row r="72" ht="15.75" customHeight="1">
      <c r="A72" s="426"/>
      <c r="B72" s="426"/>
      <c r="C72" s="426"/>
      <c r="D72" s="426"/>
      <c r="E72" s="426"/>
      <c r="F72" s="426"/>
      <c r="G72" s="426"/>
      <c r="H72" s="426"/>
      <c r="I72" s="426"/>
      <c r="J72" s="444"/>
      <c r="K72" s="444"/>
      <c r="L72" s="444"/>
      <c r="M72" s="444"/>
      <c r="N72" s="444"/>
      <c r="O72" s="444"/>
      <c r="P72" s="444"/>
      <c r="Q72" s="444"/>
      <c r="R72" s="512"/>
      <c r="S72" s="512"/>
    </row>
    <row r="73" ht="15.75" customHeight="1">
      <c r="A73" s="426"/>
      <c r="B73" s="426"/>
      <c r="C73" s="426"/>
      <c r="D73" s="426"/>
      <c r="E73" s="426"/>
      <c r="F73" s="426"/>
      <c r="G73" s="426"/>
      <c r="H73" s="426"/>
      <c r="I73" s="426"/>
      <c r="J73" s="444"/>
      <c r="K73" s="444"/>
      <c r="L73" s="444"/>
      <c r="M73" s="444"/>
      <c r="N73" s="444"/>
      <c r="O73" s="444"/>
      <c r="P73" s="444"/>
      <c r="Q73" s="444"/>
      <c r="R73" s="512"/>
      <c r="S73" s="512"/>
    </row>
    <row r="74" ht="15.75" customHeight="1">
      <c r="A74" s="426"/>
      <c r="B74" s="426"/>
      <c r="C74" s="426"/>
      <c r="D74" s="426"/>
      <c r="E74" s="426"/>
      <c r="F74" s="426"/>
      <c r="G74" s="426"/>
      <c r="H74" s="426"/>
      <c r="I74" s="426"/>
      <c r="J74" s="444"/>
      <c r="K74" s="444"/>
      <c r="L74" s="444"/>
      <c r="M74" s="444"/>
      <c r="N74" s="444"/>
      <c r="O74" s="444"/>
      <c r="P74" s="444"/>
      <c r="Q74" s="444"/>
      <c r="R74" s="512"/>
      <c r="S74" s="512"/>
    </row>
    <row r="75" ht="15.75" customHeight="1">
      <c r="A75" s="426"/>
      <c r="B75" s="426"/>
      <c r="C75" s="426"/>
      <c r="D75" s="426"/>
      <c r="E75" s="426"/>
      <c r="F75" s="426"/>
      <c r="G75" s="426"/>
      <c r="H75" s="426"/>
      <c r="I75" s="426"/>
      <c r="J75" s="444"/>
      <c r="K75" s="444"/>
      <c r="L75" s="444"/>
      <c r="M75" s="444"/>
      <c r="N75" s="444"/>
      <c r="O75" s="444"/>
      <c r="P75" s="444"/>
      <c r="Q75" s="444"/>
      <c r="R75" s="512"/>
      <c r="S75" s="512"/>
    </row>
    <row r="76" ht="15.75" customHeight="1">
      <c r="A76" s="426"/>
      <c r="B76" s="426"/>
      <c r="C76" s="426"/>
      <c r="D76" s="426"/>
      <c r="E76" s="426"/>
      <c r="F76" s="426"/>
      <c r="G76" s="426"/>
      <c r="H76" s="426"/>
      <c r="I76" s="426"/>
      <c r="J76" s="444"/>
      <c r="K76" s="444"/>
      <c r="L76" s="444"/>
      <c r="M76" s="444"/>
      <c r="N76" s="444"/>
      <c r="O76" s="444"/>
      <c r="P76" s="444"/>
      <c r="Q76" s="444"/>
      <c r="R76" s="512"/>
      <c r="S76" s="512"/>
    </row>
    <row r="77" ht="15.75" customHeight="1">
      <c r="A77" s="426"/>
      <c r="B77" s="426"/>
      <c r="C77" s="426"/>
      <c r="D77" s="426"/>
      <c r="E77" s="426"/>
      <c r="F77" s="426"/>
      <c r="G77" s="426"/>
      <c r="H77" s="426"/>
      <c r="I77" s="426"/>
      <c r="J77" s="444"/>
      <c r="K77" s="444"/>
      <c r="L77" s="444"/>
      <c r="M77" s="444"/>
      <c r="N77" s="444"/>
      <c r="O77" s="444"/>
      <c r="P77" s="444"/>
      <c r="Q77" s="444"/>
      <c r="R77" s="512"/>
      <c r="S77" s="512"/>
    </row>
    <row r="78" ht="15.75" customHeight="1">
      <c r="A78" s="426"/>
      <c r="B78" s="426"/>
      <c r="C78" s="426"/>
      <c r="D78" s="426"/>
      <c r="E78" s="426"/>
      <c r="F78" s="426"/>
      <c r="G78" s="426"/>
      <c r="H78" s="426"/>
      <c r="I78" s="426"/>
      <c r="J78" s="444"/>
      <c r="K78" s="444"/>
      <c r="L78" s="444"/>
      <c r="M78" s="444"/>
      <c r="N78" s="444"/>
      <c r="O78" s="444"/>
      <c r="P78" s="444"/>
      <c r="Q78" s="444"/>
      <c r="R78" s="512"/>
      <c r="S78" s="512"/>
    </row>
    <row r="79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44"/>
      <c r="K79" s="444"/>
      <c r="L79" s="444"/>
      <c r="M79" s="444"/>
      <c r="N79" s="444"/>
      <c r="O79" s="444"/>
      <c r="P79" s="444"/>
      <c r="Q79" s="444"/>
      <c r="R79" s="512"/>
      <c r="S79" s="512"/>
    </row>
    <row r="80" ht="15.75" customHeight="1">
      <c r="A80" s="426"/>
      <c r="B80" s="426"/>
      <c r="C80" s="426"/>
      <c r="D80" s="426"/>
      <c r="E80" s="426"/>
      <c r="F80" s="426"/>
      <c r="G80" s="426"/>
      <c r="H80" s="426"/>
      <c r="I80" s="426"/>
      <c r="J80" s="444"/>
      <c r="K80" s="444"/>
      <c r="L80" s="444"/>
      <c r="M80" s="444"/>
      <c r="N80" s="444"/>
      <c r="O80" s="444"/>
      <c r="P80" s="444"/>
      <c r="Q80" s="444"/>
      <c r="R80" s="512"/>
      <c r="S80" s="512"/>
    </row>
    <row r="81" ht="15.75" customHeight="1">
      <c r="A81" s="426"/>
      <c r="B81" s="426"/>
      <c r="C81" s="426"/>
      <c r="D81" s="426"/>
      <c r="E81" s="426"/>
      <c r="F81" s="426"/>
      <c r="G81" s="426"/>
      <c r="H81" s="426"/>
      <c r="I81" s="426"/>
      <c r="J81" s="444"/>
      <c r="K81" s="444"/>
      <c r="L81" s="444"/>
      <c r="M81" s="444"/>
      <c r="N81" s="444"/>
      <c r="O81" s="444"/>
      <c r="P81" s="444"/>
      <c r="Q81" s="444"/>
      <c r="R81" s="512"/>
      <c r="S81" s="512"/>
    </row>
    <row r="82" ht="15.75" customHeight="1">
      <c r="A82" s="426"/>
      <c r="B82" s="426"/>
      <c r="C82" s="426"/>
      <c r="D82" s="426"/>
      <c r="E82" s="426"/>
      <c r="F82" s="426"/>
      <c r="G82" s="426"/>
      <c r="H82" s="426"/>
      <c r="I82" s="426"/>
      <c r="J82" s="444"/>
      <c r="K82" s="444"/>
      <c r="L82" s="444"/>
      <c r="M82" s="444"/>
      <c r="N82" s="444"/>
      <c r="O82" s="444"/>
      <c r="P82" s="444"/>
      <c r="Q82" s="444"/>
      <c r="R82" s="512"/>
      <c r="S82" s="512"/>
    </row>
    <row r="83" ht="15.75" customHeight="1">
      <c r="A83" s="426"/>
      <c r="B83" s="426"/>
      <c r="C83" s="426"/>
      <c r="D83" s="426"/>
      <c r="E83" s="426"/>
      <c r="F83" s="426"/>
      <c r="G83" s="426"/>
      <c r="H83" s="426"/>
      <c r="I83" s="426"/>
      <c r="J83" s="444"/>
      <c r="K83" s="444"/>
      <c r="L83" s="444"/>
      <c r="M83" s="444"/>
      <c r="N83" s="444"/>
      <c r="O83" s="444"/>
      <c r="P83" s="444"/>
      <c r="Q83" s="444"/>
      <c r="R83" s="512"/>
      <c r="S83" s="512"/>
    </row>
    <row r="84" ht="15.75" customHeight="1">
      <c r="A84" s="426"/>
      <c r="B84" s="426"/>
      <c r="C84" s="426"/>
      <c r="D84" s="426"/>
      <c r="E84" s="426"/>
      <c r="F84" s="426"/>
      <c r="G84" s="426"/>
      <c r="H84" s="426"/>
      <c r="I84" s="426"/>
      <c r="J84" s="444"/>
      <c r="K84" s="444"/>
      <c r="L84" s="444"/>
      <c r="M84" s="444"/>
      <c r="N84" s="444"/>
      <c r="O84" s="444"/>
      <c r="P84" s="444"/>
      <c r="Q84" s="444"/>
      <c r="R84" s="512"/>
      <c r="S84" s="512"/>
    </row>
    <row r="85" ht="15.75" customHeight="1">
      <c r="A85" s="426"/>
      <c r="B85" s="426"/>
      <c r="C85" s="426"/>
      <c r="D85" s="426"/>
      <c r="E85" s="426"/>
      <c r="F85" s="426"/>
      <c r="G85" s="426"/>
      <c r="H85" s="426"/>
      <c r="I85" s="426"/>
      <c r="J85" s="444"/>
      <c r="K85" s="444"/>
      <c r="L85" s="444"/>
      <c r="M85" s="444"/>
      <c r="N85" s="444"/>
      <c r="O85" s="444"/>
      <c r="P85" s="444"/>
      <c r="Q85" s="444"/>
      <c r="R85" s="512"/>
      <c r="S85" s="512"/>
    </row>
    <row r="86" ht="15.75" customHeight="1">
      <c r="A86" s="426"/>
      <c r="B86" s="426"/>
      <c r="C86" s="426"/>
      <c r="D86" s="426"/>
      <c r="E86" s="426"/>
      <c r="F86" s="426"/>
      <c r="G86" s="426"/>
      <c r="H86" s="426"/>
      <c r="I86" s="426"/>
      <c r="J86" s="444"/>
      <c r="K86" s="444"/>
      <c r="L86" s="444"/>
      <c r="M86" s="444"/>
      <c r="N86" s="444"/>
      <c r="O86" s="444"/>
      <c r="P86" s="444"/>
      <c r="Q86" s="444"/>
      <c r="R86" s="512"/>
      <c r="S86" s="512"/>
    </row>
    <row r="87" ht="15.75" customHeight="1">
      <c r="A87" s="426"/>
      <c r="B87" s="426"/>
      <c r="C87" s="426"/>
      <c r="D87" s="426"/>
      <c r="E87" s="426"/>
      <c r="F87" s="426"/>
      <c r="G87" s="426"/>
      <c r="H87" s="426"/>
      <c r="I87" s="426"/>
      <c r="J87" s="444"/>
      <c r="K87" s="444"/>
      <c r="L87" s="444"/>
      <c r="M87" s="444"/>
      <c r="N87" s="444"/>
      <c r="O87" s="444"/>
      <c r="P87" s="444"/>
      <c r="Q87" s="444"/>
      <c r="R87" s="512"/>
      <c r="S87" s="512"/>
    </row>
    <row r="88" ht="15.75" customHeight="1">
      <c r="A88" s="426"/>
      <c r="B88" s="426"/>
      <c r="C88" s="426"/>
      <c r="D88" s="426"/>
      <c r="E88" s="426"/>
      <c r="F88" s="426"/>
      <c r="G88" s="426"/>
      <c r="H88" s="426"/>
      <c r="I88" s="426"/>
      <c r="J88" s="444"/>
      <c r="K88" s="444"/>
      <c r="L88" s="444"/>
      <c r="M88" s="444"/>
      <c r="N88" s="444"/>
      <c r="O88" s="444"/>
      <c r="P88" s="444"/>
      <c r="Q88" s="444"/>
      <c r="R88" s="512"/>
      <c r="S88" s="512"/>
    </row>
    <row r="89" ht="15.75" customHeight="1">
      <c r="A89" s="426"/>
      <c r="B89" s="426"/>
      <c r="C89" s="426"/>
      <c r="D89" s="426"/>
      <c r="E89" s="426"/>
      <c r="F89" s="426"/>
      <c r="G89" s="426"/>
      <c r="H89" s="426"/>
      <c r="I89" s="426"/>
      <c r="J89" s="444"/>
      <c r="K89" s="444"/>
      <c r="L89" s="444"/>
      <c r="M89" s="444"/>
      <c r="N89" s="444"/>
      <c r="O89" s="444"/>
      <c r="P89" s="444"/>
      <c r="Q89" s="444"/>
      <c r="R89" s="512"/>
      <c r="S89" s="512"/>
    </row>
    <row r="90" ht="15.75" customHeight="1">
      <c r="A90" s="426"/>
      <c r="B90" s="426"/>
      <c r="C90" s="426"/>
      <c r="D90" s="426"/>
      <c r="E90" s="426"/>
      <c r="F90" s="426"/>
      <c r="G90" s="426"/>
      <c r="H90" s="426"/>
      <c r="I90" s="426"/>
      <c r="J90" s="444"/>
      <c r="K90" s="444"/>
      <c r="L90" s="444"/>
      <c r="M90" s="444"/>
      <c r="N90" s="444"/>
      <c r="O90" s="444"/>
      <c r="P90" s="444"/>
      <c r="Q90" s="444"/>
      <c r="R90" s="512"/>
      <c r="S90" s="512"/>
    </row>
    <row r="91" ht="15.75" customHeight="1">
      <c r="A91" s="426"/>
      <c r="B91" s="426"/>
      <c r="C91" s="426"/>
      <c r="D91" s="426"/>
      <c r="E91" s="426"/>
      <c r="F91" s="426"/>
      <c r="G91" s="426"/>
      <c r="H91" s="426"/>
      <c r="I91" s="426"/>
      <c r="J91" s="444"/>
      <c r="K91" s="444"/>
      <c r="L91" s="444"/>
      <c r="M91" s="444"/>
      <c r="N91" s="444"/>
      <c r="O91" s="444"/>
      <c r="P91" s="444"/>
      <c r="Q91" s="444"/>
      <c r="R91" s="512"/>
      <c r="S91" s="512"/>
    </row>
    <row r="92" ht="15.75" customHeight="1">
      <c r="A92" s="426"/>
      <c r="B92" s="426"/>
      <c r="C92" s="426"/>
      <c r="D92" s="426"/>
      <c r="E92" s="426"/>
      <c r="F92" s="426"/>
      <c r="G92" s="426"/>
      <c r="H92" s="426"/>
      <c r="I92" s="426"/>
      <c r="J92" s="444"/>
      <c r="K92" s="444"/>
      <c r="L92" s="444"/>
      <c r="M92" s="444"/>
      <c r="N92" s="444"/>
      <c r="O92" s="444"/>
      <c r="P92" s="444"/>
      <c r="Q92" s="444"/>
      <c r="R92" s="512"/>
      <c r="S92" s="512"/>
    </row>
    <row r="93" ht="15.75" customHeight="1">
      <c r="A93" s="426"/>
      <c r="B93" s="426"/>
      <c r="C93" s="426"/>
      <c r="D93" s="426"/>
      <c r="E93" s="426"/>
      <c r="F93" s="426"/>
      <c r="G93" s="426"/>
      <c r="H93" s="426"/>
      <c r="I93" s="426"/>
      <c r="J93" s="444"/>
      <c r="K93" s="444"/>
      <c r="L93" s="444"/>
      <c r="M93" s="444"/>
      <c r="N93" s="444"/>
      <c r="O93" s="444"/>
      <c r="P93" s="444"/>
      <c r="Q93" s="444"/>
      <c r="R93" s="512"/>
      <c r="S93" s="512"/>
    </row>
    <row r="94" ht="15.75" customHeight="1">
      <c r="A94" s="426"/>
      <c r="B94" s="426"/>
      <c r="C94" s="426"/>
      <c r="D94" s="426"/>
      <c r="E94" s="426"/>
      <c r="F94" s="426"/>
      <c r="G94" s="426"/>
      <c r="H94" s="426"/>
      <c r="I94" s="426"/>
      <c r="J94" s="444"/>
      <c r="K94" s="444"/>
      <c r="L94" s="444"/>
      <c r="M94" s="444"/>
      <c r="N94" s="444"/>
      <c r="O94" s="444"/>
      <c r="P94" s="444"/>
      <c r="Q94" s="444"/>
      <c r="R94" s="512"/>
      <c r="S94" s="512"/>
    </row>
    <row r="95" ht="15.75" customHeight="1">
      <c r="A95" s="426"/>
      <c r="B95" s="426"/>
      <c r="C95" s="426"/>
      <c r="D95" s="426"/>
      <c r="E95" s="426"/>
      <c r="F95" s="426"/>
      <c r="G95" s="426"/>
      <c r="H95" s="426"/>
      <c r="I95" s="426"/>
      <c r="J95" s="444"/>
      <c r="K95" s="444"/>
      <c r="L95" s="444"/>
      <c r="M95" s="444"/>
      <c r="N95" s="444"/>
      <c r="O95" s="444"/>
      <c r="P95" s="444"/>
      <c r="Q95" s="444"/>
      <c r="R95" s="512"/>
      <c r="S95" s="512"/>
    </row>
    <row r="96" ht="15.75" customHeight="1">
      <c r="A96" s="426"/>
      <c r="B96" s="426"/>
      <c r="C96" s="426"/>
      <c r="D96" s="426"/>
      <c r="E96" s="426"/>
      <c r="F96" s="426"/>
      <c r="G96" s="426"/>
      <c r="H96" s="426"/>
      <c r="I96" s="426"/>
      <c r="J96" s="444"/>
      <c r="K96" s="444"/>
      <c r="L96" s="444"/>
      <c r="M96" s="444"/>
      <c r="N96" s="444"/>
      <c r="O96" s="444"/>
      <c r="P96" s="444"/>
      <c r="Q96" s="444"/>
      <c r="R96" s="512"/>
      <c r="S96" s="512"/>
    </row>
    <row r="97" ht="15.75" customHeight="1">
      <c r="A97" s="426"/>
      <c r="B97" s="426"/>
      <c r="C97" s="426"/>
      <c r="D97" s="426"/>
      <c r="E97" s="426"/>
      <c r="F97" s="426"/>
      <c r="G97" s="426"/>
      <c r="H97" s="426"/>
      <c r="I97" s="426"/>
      <c r="J97" s="444"/>
      <c r="K97" s="444"/>
      <c r="L97" s="444"/>
      <c r="M97" s="444"/>
      <c r="N97" s="444"/>
      <c r="O97" s="444"/>
      <c r="P97" s="444"/>
      <c r="Q97" s="444"/>
      <c r="R97" s="512"/>
      <c r="S97" s="512"/>
    </row>
    <row r="98" ht="15.75" customHeight="1">
      <c r="A98" s="426"/>
      <c r="B98" s="426"/>
      <c r="C98" s="426"/>
      <c r="D98" s="426"/>
      <c r="E98" s="426"/>
      <c r="F98" s="426"/>
      <c r="G98" s="426"/>
      <c r="H98" s="426"/>
      <c r="I98" s="426"/>
      <c r="J98" s="444"/>
      <c r="K98" s="444"/>
      <c r="L98" s="444"/>
      <c r="M98" s="444"/>
      <c r="N98" s="444"/>
      <c r="O98" s="444"/>
      <c r="P98" s="444"/>
      <c r="Q98" s="444"/>
      <c r="R98" s="512"/>
      <c r="S98" s="512"/>
    </row>
    <row r="99" ht="15.75" customHeight="1">
      <c r="A99" s="426"/>
      <c r="B99" s="426"/>
      <c r="C99" s="426"/>
      <c r="D99" s="426"/>
      <c r="E99" s="426"/>
      <c r="F99" s="426"/>
      <c r="G99" s="426"/>
      <c r="H99" s="426"/>
      <c r="I99" s="426"/>
      <c r="J99" s="444"/>
      <c r="K99" s="444"/>
      <c r="L99" s="444"/>
      <c r="M99" s="444"/>
      <c r="N99" s="444"/>
      <c r="O99" s="444"/>
      <c r="P99" s="444"/>
      <c r="Q99" s="444"/>
      <c r="R99" s="512"/>
      <c r="S99" s="512"/>
    </row>
    <row r="100" ht="15.75" customHeight="1">
      <c r="A100" s="426"/>
      <c r="B100" s="426"/>
      <c r="C100" s="426"/>
      <c r="D100" s="426"/>
      <c r="E100" s="426"/>
      <c r="F100" s="426"/>
      <c r="G100" s="426"/>
      <c r="H100" s="426"/>
      <c r="I100" s="426"/>
      <c r="J100" s="444"/>
      <c r="K100" s="444"/>
      <c r="L100" s="444"/>
      <c r="M100" s="444"/>
      <c r="N100" s="444"/>
      <c r="O100" s="444"/>
      <c r="P100" s="444"/>
      <c r="Q100" s="444"/>
      <c r="R100" s="512"/>
      <c r="S100" s="512"/>
    </row>
    <row r="101" ht="15.75" customHeight="1">
      <c r="A101" s="426"/>
      <c r="B101" s="426"/>
      <c r="C101" s="426"/>
      <c r="D101" s="426"/>
      <c r="E101" s="426"/>
      <c r="F101" s="426"/>
      <c r="G101" s="426"/>
      <c r="H101" s="426"/>
      <c r="I101" s="426"/>
      <c r="J101" s="444"/>
      <c r="K101" s="444"/>
      <c r="L101" s="444"/>
      <c r="M101" s="444"/>
      <c r="N101" s="444"/>
      <c r="O101" s="444"/>
      <c r="P101" s="444"/>
      <c r="Q101" s="444"/>
      <c r="R101" s="512"/>
      <c r="S101" s="512"/>
    </row>
    <row r="102" ht="15.75" customHeight="1">
      <c r="A102" s="426"/>
      <c r="B102" s="426"/>
      <c r="C102" s="426"/>
      <c r="D102" s="426"/>
      <c r="E102" s="426"/>
      <c r="F102" s="426"/>
      <c r="G102" s="426"/>
      <c r="H102" s="426"/>
      <c r="I102" s="426"/>
      <c r="J102" s="444"/>
      <c r="K102" s="444"/>
      <c r="L102" s="444"/>
      <c r="M102" s="444"/>
      <c r="N102" s="444"/>
      <c r="O102" s="444"/>
      <c r="P102" s="444"/>
      <c r="Q102" s="444"/>
      <c r="R102" s="512"/>
      <c r="S102" s="512"/>
    </row>
    <row r="103" ht="15.75" customHeight="1">
      <c r="A103" s="426"/>
      <c r="B103" s="426"/>
      <c r="C103" s="426"/>
      <c r="D103" s="426"/>
      <c r="E103" s="426"/>
      <c r="F103" s="426"/>
      <c r="G103" s="426"/>
      <c r="H103" s="426"/>
      <c r="I103" s="426"/>
      <c r="J103" s="444"/>
      <c r="K103" s="444"/>
      <c r="L103" s="444"/>
      <c r="M103" s="444"/>
      <c r="N103" s="444"/>
      <c r="O103" s="444"/>
      <c r="P103" s="444"/>
      <c r="Q103" s="444"/>
      <c r="R103" s="512"/>
      <c r="S103" s="512"/>
    </row>
    <row r="104" ht="15.75" customHeight="1">
      <c r="A104" s="426"/>
      <c r="B104" s="426"/>
      <c r="C104" s="426"/>
      <c r="D104" s="426"/>
      <c r="E104" s="426"/>
      <c r="F104" s="426"/>
      <c r="G104" s="426"/>
      <c r="H104" s="426"/>
      <c r="I104" s="426"/>
      <c r="J104" s="444"/>
      <c r="K104" s="444"/>
      <c r="L104" s="444"/>
      <c r="M104" s="444"/>
      <c r="N104" s="444"/>
      <c r="O104" s="444"/>
      <c r="P104" s="444"/>
      <c r="Q104" s="444"/>
      <c r="R104" s="512"/>
      <c r="S104" s="512"/>
    </row>
    <row r="105" ht="15.75" customHeight="1">
      <c r="A105" s="426"/>
      <c r="B105" s="426"/>
      <c r="C105" s="426"/>
      <c r="D105" s="426"/>
      <c r="E105" s="426"/>
      <c r="F105" s="426"/>
      <c r="G105" s="426"/>
      <c r="H105" s="426"/>
      <c r="I105" s="426"/>
      <c r="J105" s="444"/>
      <c r="K105" s="444"/>
      <c r="L105" s="444"/>
      <c r="M105" s="444"/>
      <c r="N105" s="444"/>
      <c r="O105" s="444"/>
      <c r="P105" s="444"/>
      <c r="Q105" s="444"/>
      <c r="R105" s="512"/>
      <c r="S105" s="512"/>
    </row>
    <row r="106" ht="15.75" customHeight="1">
      <c r="A106" s="426"/>
      <c r="B106" s="426"/>
      <c r="C106" s="426"/>
      <c r="D106" s="426"/>
      <c r="E106" s="426"/>
      <c r="F106" s="426"/>
      <c r="G106" s="426"/>
      <c r="H106" s="426"/>
      <c r="I106" s="426"/>
      <c r="J106" s="444"/>
      <c r="K106" s="444"/>
      <c r="L106" s="444"/>
      <c r="M106" s="444"/>
      <c r="N106" s="444"/>
      <c r="O106" s="444"/>
      <c r="P106" s="444"/>
      <c r="Q106" s="444"/>
      <c r="R106" s="512"/>
      <c r="S106" s="512"/>
    </row>
    <row r="107" ht="15.75" customHeight="1">
      <c r="A107" s="426"/>
      <c r="B107" s="426"/>
      <c r="C107" s="426"/>
      <c r="D107" s="426"/>
      <c r="E107" s="426"/>
      <c r="F107" s="426"/>
      <c r="G107" s="426"/>
      <c r="H107" s="426"/>
      <c r="I107" s="426"/>
      <c r="J107" s="444"/>
      <c r="K107" s="444"/>
      <c r="L107" s="444"/>
      <c r="M107" s="444"/>
      <c r="N107" s="444"/>
      <c r="O107" s="444"/>
      <c r="P107" s="444"/>
      <c r="Q107" s="444"/>
      <c r="R107" s="512"/>
      <c r="S107" s="512"/>
    </row>
    <row r="108" ht="15.75" customHeight="1">
      <c r="A108" s="426"/>
      <c r="B108" s="426"/>
      <c r="C108" s="426"/>
      <c r="D108" s="426"/>
      <c r="E108" s="426"/>
      <c r="F108" s="426"/>
      <c r="G108" s="426"/>
      <c r="H108" s="426"/>
      <c r="I108" s="426"/>
      <c r="J108" s="444"/>
      <c r="K108" s="444"/>
      <c r="L108" s="444"/>
      <c r="M108" s="444"/>
      <c r="N108" s="444"/>
      <c r="O108" s="444"/>
      <c r="P108" s="444"/>
      <c r="Q108" s="444"/>
      <c r="R108" s="512"/>
      <c r="S108" s="512"/>
    </row>
    <row r="109" ht="15.75" customHeight="1">
      <c r="A109" s="426"/>
      <c r="B109" s="426"/>
      <c r="C109" s="426"/>
      <c r="D109" s="426"/>
      <c r="E109" s="426"/>
      <c r="F109" s="426"/>
      <c r="G109" s="426"/>
      <c r="H109" s="426"/>
      <c r="I109" s="426"/>
      <c r="J109" s="444"/>
      <c r="K109" s="444"/>
      <c r="L109" s="444"/>
      <c r="M109" s="444"/>
      <c r="N109" s="444"/>
      <c r="O109" s="444"/>
      <c r="P109" s="444"/>
      <c r="Q109" s="444"/>
      <c r="R109" s="512"/>
      <c r="S109" s="512"/>
    </row>
    <row r="110" ht="15.75" customHeight="1">
      <c r="A110" s="426"/>
      <c r="B110" s="426"/>
      <c r="C110" s="426"/>
      <c r="D110" s="426"/>
      <c r="E110" s="426"/>
      <c r="F110" s="426"/>
      <c r="G110" s="426"/>
      <c r="H110" s="426"/>
      <c r="I110" s="426"/>
      <c r="J110" s="444"/>
      <c r="K110" s="444"/>
      <c r="L110" s="444"/>
      <c r="M110" s="444"/>
      <c r="N110" s="444"/>
      <c r="O110" s="444"/>
      <c r="P110" s="444"/>
      <c r="Q110" s="444"/>
      <c r="R110" s="512"/>
      <c r="S110" s="512"/>
    </row>
    <row r="111" ht="15.75" customHeight="1">
      <c r="A111" s="426"/>
      <c r="B111" s="426"/>
      <c r="C111" s="426"/>
      <c r="D111" s="426"/>
      <c r="E111" s="426"/>
      <c r="F111" s="426"/>
      <c r="G111" s="426"/>
      <c r="H111" s="426"/>
      <c r="I111" s="426"/>
      <c r="J111" s="444"/>
      <c r="K111" s="444"/>
      <c r="L111" s="444"/>
      <c r="M111" s="444"/>
      <c r="N111" s="444"/>
      <c r="O111" s="444"/>
      <c r="P111" s="444"/>
      <c r="Q111" s="444"/>
      <c r="R111" s="512"/>
      <c r="S111" s="512"/>
    </row>
    <row r="112" ht="15.75" customHeight="1">
      <c r="A112" s="426"/>
      <c r="B112" s="426"/>
      <c r="C112" s="426"/>
      <c r="D112" s="426"/>
      <c r="E112" s="426"/>
      <c r="F112" s="426"/>
      <c r="G112" s="426"/>
      <c r="H112" s="426"/>
      <c r="I112" s="426"/>
      <c r="J112" s="444"/>
      <c r="K112" s="444"/>
      <c r="L112" s="444"/>
      <c r="M112" s="444"/>
      <c r="N112" s="444"/>
      <c r="O112" s="444"/>
      <c r="P112" s="444"/>
      <c r="Q112" s="444"/>
      <c r="R112" s="512"/>
      <c r="S112" s="512"/>
    </row>
    <row r="113" ht="15.75" customHeight="1">
      <c r="A113" s="426"/>
      <c r="B113" s="426"/>
      <c r="C113" s="426"/>
      <c r="D113" s="426"/>
      <c r="E113" s="426"/>
      <c r="F113" s="426"/>
      <c r="G113" s="426"/>
      <c r="H113" s="426"/>
      <c r="I113" s="426"/>
      <c r="J113" s="444"/>
      <c r="K113" s="444"/>
      <c r="L113" s="444"/>
      <c r="M113" s="444"/>
      <c r="N113" s="444"/>
      <c r="O113" s="444"/>
      <c r="P113" s="444"/>
      <c r="Q113" s="444"/>
      <c r="R113" s="512"/>
      <c r="S113" s="512"/>
    </row>
    <row r="114" ht="15.75" customHeight="1">
      <c r="A114" s="426"/>
      <c r="B114" s="426"/>
      <c r="C114" s="426"/>
      <c r="D114" s="426"/>
      <c r="E114" s="426"/>
      <c r="F114" s="426"/>
      <c r="G114" s="426"/>
      <c r="H114" s="426"/>
      <c r="I114" s="426"/>
      <c r="J114" s="444"/>
      <c r="K114" s="444"/>
      <c r="L114" s="444"/>
      <c r="M114" s="444"/>
      <c r="N114" s="444"/>
      <c r="O114" s="444"/>
      <c r="P114" s="444"/>
      <c r="Q114" s="444"/>
      <c r="R114" s="512"/>
      <c r="S114" s="512"/>
    </row>
    <row r="115" ht="15.75" customHeight="1">
      <c r="A115" s="426"/>
      <c r="B115" s="426"/>
      <c r="C115" s="426"/>
      <c r="D115" s="426"/>
      <c r="E115" s="426"/>
      <c r="F115" s="426"/>
      <c r="G115" s="426"/>
      <c r="H115" s="426"/>
      <c r="I115" s="426"/>
      <c r="J115" s="444"/>
      <c r="K115" s="444"/>
      <c r="L115" s="444"/>
      <c r="M115" s="444"/>
      <c r="N115" s="444"/>
      <c r="O115" s="444"/>
      <c r="P115" s="444"/>
      <c r="Q115" s="444"/>
      <c r="R115" s="512"/>
      <c r="S115" s="512"/>
    </row>
    <row r="116" ht="15.75" customHeight="1">
      <c r="A116" s="426"/>
      <c r="B116" s="426"/>
      <c r="C116" s="426"/>
      <c r="D116" s="426"/>
      <c r="E116" s="426"/>
      <c r="F116" s="426"/>
      <c r="G116" s="426"/>
      <c r="H116" s="426"/>
      <c r="I116" s="426"/>
      <c r="J116" s="444"/>
      <c r="K116" s="444"/>
      <c r="L116" s="444"/>
      <c r="M116" s="444"/>
      <c r="N116" s="444"/>
      <c r="O116" s="444"/>
      <c r="P116" s="444"/>
      <c r="Q116" s="444"/>
      <c r="R116" s="512"/>
      <c r="S116" s="512"/>
    </row>
    <row r="117" ht="15.75" customHeight="1">
      <c r="A117" s="426"/>
      <c r="B117" s="426"/>
      <c r="C117" s="426"/>
      <c r="D117" s="426"/>
      <c r="E117" s="426"/>
      <c r="F117" s="426"/>
      <c r="G117" s="426"/>
      <c r="H117" s="426"/>
      <c r="I117" s="426"/>
      <c r="J117" s="444"/>
      <c r="K117" s="444"/>
      <c r="L117" s="444"/>
      <c r="M117" s="444"/>
      <c r="N117" s="444"/>
      <c r="O117" s="444"/>
      <c r="P117" s="444"/>
      <c r="Q117" s="444"/>
      <c r="R117" s="512"/>
      <c r="S117" s="512"/>
    </row>
    <row r="118" ht="15.75" customHeight="1">
      <c r="A118" s="426"/>
      <c r="B118" s="426"/>
      <c r="C118" s="426"/>
      <c r="D118" s="426"/>
      <c r="E118" s="426"/>
      <c r="F118" s="426"/>
      <c r="G118" s="426"/>
      <c r="H118" s="426"/>
      <c r="I118" s="426"/>
      <c r="J118" s="444"/>
      <c r="K118" s="444"/>
      <c r="L118" s="444"/>
      <c r="M118" s="444"/>
      <c r="N118" s="444"/>
      <c r="O118" s="444"/>
      <c r="P118" s="444"/>
      <c r="Q118" s="444"/>
      <c r="R118" s="512"/>
      <c r="S118" s="512"/>
    </row>
    <row r="119" ht="15.75" customHeight="1">
      <c r="A119" s="426"/>
      <c r="B119" s="426"/>
      <c r="C119" s="426"/>
      <c r="D119" s="426"/>
      <c r="E119" s="426"/>
      <c r="F119" s="426"/>
      <c r="G119" s="426"/>
      <c r="H119" s="426"/>
      <c r="I119" s="426"/>
      <c r="J119" s="444"/>
      <c r="K119" s="444"/>
      <c r="L119" s="444"/>
      <c r="M119" s="444"/>
      <c r="N119" s="444"/>
      <c r="O119" s="444"/>
      <c r="P119" s="444"/>
      <c r="Q119" s="444"/>
      <c r="R119" s="512"/>
      <c r="S119" s="512"/>
    </row>
    <row r="120" ht="15.75" customHeight="1">
      <c r="A120" s="426"/>
      <c r="B120" s="426"/>
      <c r="C120" s="426"/>
      <c r="D120" s="426"/>
      <c r="E120" s="426"/>
      <c r="F120" s="426"/>
      <c r="G120" s="426"/>
      <c r="H120" s="426"/>
      <c r="I120" s="426"/>
      <c r="J120" s="444"/>
      <c r="K120" s="444"/>
      <c r="L120" s="444"/>
      <c r="M120" s="444"/>
      <c r="N120" s="444"/>
      <c r="O120" s="444"/>
      <c r="P120" s="444"/>
      <c r="Q120" s="444"/>
      <c r="R120" s="512"/>
      <c r="S120" s="512"/>
    </row>
    <row r="121" ht="15.75" customHeight="1">
      <c r="A121" s="426"/>
      <c r="B121" s="426"/>
      <c r="C121" s="426"/>
      <c r="D121" s="426"/>
      <c r="E121" s="426"/>
      <c r="F121" s="426"/>
      <c r="G121" s="426"/>
      <c r="H121" s="426"/>
      <c r="I121" s="426"/>
      <c r="J121" s="444"/>
      <c r="K121" s="444"/>
      <c r="L121" s="444"/>
      <c r="M121" s="444"/>
      <c r="N121" s="444"/>
      <c r="O121" s="444"/>
      <c r="P121" s="444"/>
      <c r="Q121" s="444"/>
      <c r="R121" s="512"/>
      <c r="S121" s="512"/>
    </row>
    <row r="122" ht="15.75" customHeight="1">
      <c r="A122" s="426"/>
      <c r="B122" s="426"/>
      <c r="C122" s="426"/>
      <c r="D122" s="426"/>
      <c r="E122" s="426"/>
      <c r="F122" s="426"/>
      <c r="G122" s="426"/>
      <c r="H122" s="426"/>
      <c r="I122" s="426"/>
      <c r="J122" s="444"/>
      <c r="K122" s="444"/>
      <c r="L122" s="444"/>
      <c r="M122" s="444"/>
      <c r="N122" s="444"/>
      <c r="O122" s="444"/>
      <c r="P122" s="444"/>
      <c r="Q122" s="444"/>
      <c r="R122" s="512"/>
      <c r="S122" s="512"/>
    </row>
    <row r="123" ht="15.75" customHeight="1">
      <c r="A123" s="426"/>
      <c r="B123" s="426"/>
      <c r="C123" s="426"/>
      <c r="D123" s="426"/>
      <c r="E123" s="426"/>
      <c r="F123" s="426"/>
      <c r="G123" s="426"/>
      <c r="H123" s="426"/>
      <c r="I123" s="426"/>
      <c r="J123" s="444"/>
      <c r="K123" s="444"/>
      <c r="L123" s="444"/>
      <c r="M123" s="444"/>
      <c r="N123" s="444"/>
      <c r="O123" s="444"/>
      <c r="P123" s="444"/>
      <c r="Q123" s="444"/>
      <c r="R123" s="512"/>
      <c r="S123" s="512"/>
    </row>
    <row r="124" ht="15.75" customHeight="1">
      <c r="A124" s="426"/>
      <c r="B124" s="426"/>
      <c r="C124" s="426"/>
      <c r="D124" s="426"/>
      <c r="E124" s="426"/>
      <c r="F124" s="426"/>
      <c r="G124" s="426"/>
      <c r="H124" s="426"/>
      <c r="I124" s="426"/>
      <c r="J124" s="444"/>
      <c r="K124" s="444"/>
      <c r="L124" s="444"/>
      <c r="M124" s="444"/>
      <c r="N124" s="444"/>
      <c r="O124" s="444"/>
      <c r="P124" s="444"/>
      <c r="Q124" s="444"/>
      <c r="R124" s="512"/>
      <c r="S124" s="512"/>
    </row>
    <row r="125" ht="15.75" customHeight="1">
      <c r="A125" s="426"/>
      <c r="B125" s="426"/>
      <c r="C125" s="426"/>
      <c r="D125" s="426"/>
      <c r="E125" s="426"/>
      <c r="F125" s="426"/>
      <c r="G125" s="426"/>
      <c r="H125" s="426"/>
      <c r="I125" s="426"/>
      <c r="J125" s="444"/>
      <c r="K125" s="444"/>
      <c r="L125" s="444"/>
      <c r="M125" s="444"/>
      <c r="N125" s="444"/>
      <c r="O125" s="444"/>
      <c r="P125" s="444"/>
      <c r="Q125" s="444"/>
      <c r="R125" s="512"/>
      <c r="S125" s="512"/>
    </row>
    <row r="126" ht="15.75" customHeight="1">
      <c r="A126" s="426"/>
      <c r="B126" s="426"/>
      <c r="C126" s="426"/>
      <c r="D126" s="426"/>
      <c r="E126" s="426"/>
      <c r="F126" s="426"/>
      <c r="G126" s="426"/>
      <c r="H126" s="426"/>
      <c r="I126" s="426"/>
      <c r="J126" s="444"/>
      <c r="K126" s="444"/>
      <c r="L126" s="444"/>
      <c r="M126" s="444"/>
      <c r="N126" s="444"/>
      <c r="O126" s="444"/>
      <c r="P126" s="444"/>
      <c r="Q126" s="444"/>
      <c r="R126" s="512"/>
      <c r="S126" s="512"/>
    </row>
    <row r="127" ht="15.75" customHeight="1">
      <c r="A127" s="426"/>
      <c r="B127" s="426"/>
      <c r="C127" s="426"/>
      <c r="D127" s="426"/>
      <c r="E127" s="426"/>
      <c r="F127" s="426"/>
      <c r="G127" s="426"/>
      <c r="H127" s="426"/>
      <c r="I127" s="426"/>
      <c r="J127" s="444"/>
      <c r="K127" s="444"/>
      <c r="L127" s="444"/>
      <c r="M127" s="444"/>
      <c r="N127" s="444"/>
      <c r="O127" s="444"/>
      <c r="P127" s="444"/>
      <c r="Q127" s="444"/>
      <c r="R127" s="512"/>
      <c r="S127" s="512"/>
    </row>
    <row r="128" ht="15.75" customHeight="1">
      <c r="A128" s="426"/>
      <c r="B128" s="426"/>
      <c r="C128" s="426"/>
      <c r="D128" s="426"/>
      <c r="E128" s="426"/>
      <c r="F128" s="426"/>
      <c r="G128" s="426"/>
      <c r="H128" s="426"/>
      <c r="I128" s="426"/>
      <c r="J128" s="444"/>
      <c r="K128" s="444"/>
      <c r="L128" s="444"/>
      <c r="M128" s="444"/>
      <c r="N128" s="444"/>
      <c r="O128" s="444"/>
      <c r="P128" s="444"/>
      <c r="Q128" s="444"/>
      <c r="R128" s="512"/>
      <c r="S128" s="512"/>
    </row>
    <row r="129" ht="15.75" customHeight="1">
      <c r="A129" s="426"/>
      <c r="B129" s="426"/>
      <c r="C129" s="426"/>
      <c r="D129" s="426"/>
      <c r="E129" s="426"/>
      <c r="F129" s="426"/>
      <c r="G129" s="426"/>
      <c r="H129" s="426"/>
      <c r="I129" s="426"/>
      <c r="J129" s="444"/>
      <c r="K129" s="444"/>
      <c r="L129" s="444"/>
      <c r="M129" s="444"/>
      <c r="N129" s="444"/>
      <c r="O129" s="444"/>
      <c r="P129" s="444"/>
      <c r="Q129" s="444"/>
      <c r="R129" s="512"/>
      <c r="S129" s="512"/>
    </row>
    <row r="130" ht="15.75" customHeight="1">
      <c r="A130" s="426"/>
      <c r="B130" s="426"/>
      <c r="C130" s="426"/>
      <c r="D130" s="426"/>
      <c r="E130" s="426"/>
      <c r="F130" s="426"/>
      <c r="G130" s="426"/>
      <c r="H130" s="426"/>
      <c r="I130" s="426"/>
      <c r="J130" s="444"/>
      <c r="K130" s="444"/>
      <c r="L130" s="444"/>
      <c r="M130" s="444"/>
      <c r="N130" s="444"/>
      <c r="O130" s="444"/>
      <c r="P130" s="444"/>
      <c r="Q130" s="444"/>
      <c r="R130" s="512"/>
      <c r="S130" s="512"/>
    </row>
    <row r="131" ht="15.75" customHeight="1">
      <c r="A131" s="426"/>
      <c r="B131" s="426"/>
      <c r="C131" s="426"/>
      <c r="D131" s="426"/>
      <c r="E131" s="426"/>
      <c r="F131" s="426"/>
      <c r="G131" s="426"/>
      <c r="H131" s="426"/>
      <c r="I131" s="426"/>
      <c r="J131" s="444"/>
      <c r="K131" s="444"/>
      <c r="L131" s="444"/>
      <c r="M131" s="444"/>
      <c r="N131" s="444"/>
      <c r="O131" s="444"/>
      <c r="P131" s="444"/>
      <c r="Q131" s="444"/>
      <c r="R131" s="512"/>
      <c r="S131" s="512"/>
    </row>
    <row r="132" ht="15.75" customHeight="1">
      <c r="A132" s="426"/>
      <c r="B132" s="426"/>
      <c r="C132" s="426"/>
      <c r="D132" s="426"/>
      <c r="E132" s="426"/>
      <c r="F132" s="426"/>
      <c r="G132" s="426"/>
      <c r="H132" s="426"/>
      <c r="I132" s="426"/>
      <c r="J132" s="444"/>
      <c r="K132" s="444"/>
      <c r="L132" s="444"/>
      <c r="M132" s="444"/>
      <c r="N132" s="444"/>
      <c r="O132" s="444"/>
      <c r="P132" s="444"/>
      <c r="Q132" s="444"/>
      <c r="R132" s="512"/>
      <c r="S132" s="512"/>
    </row>
    <row r="133" ht="15.75" customHeight="1">
      <c r="A133" s="426"/>
      <c r="B133" s="426"/>
      <c r="C133" s="426"/>
      <c r="D133" s="426"/>
      <c r="E133" s="426"/>
      <c r="F133" s="426"/>
      <c r="G133" s="426"/>
      <c r="H133" s="426"/>
      <c r="I133" s="426"/>
      <c r="J133" s="444"/>
      <c r="K133" s="444"/>
      <c r="L133" s="444"/>
      <c r="M133" s="444"/>
      <c r="N133" s="444"/>
      <c r="O133" s="444"/>
      <c r="P133" s="444"/>
      <c r="Q133" s="444"/>
      <c r="R133" s="512"/>
      <c r="S133" s="512"/>
    </row>
    <row r="134" ht="15.75" customHeight="1">
      <c r="A134" s="426"/>
      <c r="B134" s="426"/>
      <c r="C134" s="426"/>
      <c r="D134" s="426"/>
      <c r="E134" s="426"/>
      <c r="F134" s="426"/>
      <c r="G134" s="426"/>
      <c r="H134" s="426"/>
      <c r="I134" s="426"/>
      <c r="J134" s="444"/>
      <c r="K134" s="444"/>
      <c r="L134" s="444"/>
      <c r="M134" s="444"/>
      <c r="N134" s="444"/>
      <c r="O134" s="444"/>
      <c r="P134" s="444"/>
      <c r="Q134" s="444"/>
      <c r="R134" s="512"/>
      <c r="S134" s="512"/>
    </row>
    <row r="135" ht="15.75" customHeight="1">
      <c r="A135" s="426"/>
      <c r="B135" s="426"/>
      <c r="C135" s="426"/>
      <c r="D135" s="426"/>
      <c r="E135" s="426"/>
      <c r="F135" s="426"/>
      <c r="G135" s="426"/>
      <c r="H135" s="426"/>
      <c r="I135" s="426"/>
      <c r="J135" s="444"/>
      <c r="K135" s="444"/>
      <c r="L135" s="444"/>
      <c r="M135" s="444"/>
      <c r="N135" s="444"/>
      <c r="O135" s="444"/>
      <c r="P135" s="444"/>
      <c r="Q135" s="444"/>
      <c r="R135" s="512"/>
      <c r="S135" s="512"/>
    </row>
    <row r="136" ht="15.75" customHeight="1">
      <c r="A136" s="426"/>
      <c r="B136" s="426"/>
      <c r="C136" s="426"/>
      <c r="D136" s="426"/>
      <c r="E136" s="426"/>
      <c r="F136" s="426"/>
      <c r="G136" s="426"/>
      <c r="H136" s="426"/>
      <c r="I136" s="426"/>
      <c r="J136" s="444"/>
      <c r="K136" s="444"/>
      <c r="L136" s="444"/>
      <c r="M136" s="444"/>
      <c r="N136" s="444"/>
      <c r="O136" s="444"/>
      <c r="P136" s="444"/>
      <c r="Q136" s="444"/>
      <c r="R136" s="512"/>
      <c r="S136" s="512"/>
    </row>
    <row r="137" ht="15.75" customHeight="1">
      <c r="A137" s="426"/>
      <c r="B137" s="426"/>
      <c r="C137" s="426"/>
      <c r="D137" s="426"/>
      <c r="E137" s="426"/>
      <c r="F137" s="426"/>
      <c r="G137" s="426"/>
      <c r="H137" s="426"/>
      <c r="I137" s="426"/>
      <c r="J137" s="444"/>
      <c r="K137" s="444"/>
      <c r="L137" s="444"/>
      <c r="M137" s="444"/>
      <c r="N137" s="444"/>
      <c r="O137" s="444"/>
      <c r="P137" s="444"/>
      <c r="Q137" s="444"/>
      <c r="R137" s="512"/>
      <c r="S137" s="512"/>
    </row>
    <row r="138" ht="15.75" customHeight="1">
      <c r="A138" s="426"/>
      <c r="B138" s="426"/>
      <c r="C138" s="426"/>
      <c r="D138" s="426"/>
      <c r="E138" s="426"/>
      <c r="F138" s="426"/>
      <c r="G138" s="426"/>
      <c r="H138" s="426"/>
      <c r="I138" s="426"/>
      <c r="J138" s="444"/>
      <c r="K138" s="444"/>
      <c r="L138" s="444"/>
      <c r="M138" s="444"/>
      <c r="N138" s="444"/>
      <c r="O138" s="444"/>
      <c r="P138" s="444"/>
      <c r="Q138" s="444"/>
      <c r="R138" s="512"/>
      <c r="S138" s="512"/>
    </row>
    <row r="139" ht="15.75" customHeight="1">
      <c r="A139" s="426"/>
      <c r="B139" s="426"/>
      <c r="C139" s="426"/>
      <c r="D139" s="426"/>
      <c r="E139" s="426"/>
      <c r="F139" s="426"/>
      <c r="G139" s="426"/>
      <c r="H139" s="426"/>
      <c r="I139" s="426"/>
      <c r="J139" s="444"/>
      <c r="K139" s="444"/>
      <c r="L139" s="444"/>
      <c r="M139" s="444"/>
      <c r="N139" s="444"/>
      <c r="O139" s="444"/>
      <c r="P139" s="444"/>
      <c r="Q139" s="444"/>
      <c r="R139" s="512"/>
      <c r="S139" s="512"/>
    </row>
    <row r="140" ht="15.75" customHeight="1">
      <c r="A140" s="426"/>
      <c r="B140" s="426"/>
      <c r="C140" s="426"/>
      <c r="D140" s="426"/>
      <c r="E140" s="426"/>
      <c r="F140" s="426"/>
      <c r="G140" s="426"/>
      <c r="H140" s="426"/>
      <c r="I140" s="426"/>
      <c r="J140" s="444"/>
      <c r="K140" s="444"/>
      <c r="L140" s="444"/>
      <c r="M140" s="444"/>
      <c r="N140" s="444"/>
      <c r="O140" s="444"/>
      <c r="P140" s="444"/>
      <c r="Q140" s="444"/>
      <c r="R140" s="512"/>
      <c r="S140" s="512"/>
    </row>
    <row r="141" ht="15.75" customHeight="1">
      <c r="A141" s="426"/>
      <c r="B141" s="426"/>
      <c r="C141" s="426"/>
      <c r="D141" s="426"/>
      <c r="E141" s="426"/>
      <c r="F141" s="426"/>
      <c r="G141" s="426"/>
      <c r="H141" s="426"/>
      <c r="I141" s="426"/>
      <c r="J141" s="444"/>
      <c r="K141" s="444"/>
      <c r="L141" s="444"/>
      <c r="M141" s="444"/>
      <c r="N141" s="444"/>
      <c r="O141" s="444"/>
      <c r="P141" s="444"/>
      <c r="Q141" s="444"/>
      <c r="R141" s="512"/>
      <c r="S141" s="512"/>
    </row>
    <row r="142" ht="15.75" customHeight="1">
      <c r="A142" s="426"/>
      <c r="B142" s="426"/>
      <c r="C142" s="426"/>
      <c r="D142" s="426"/>
      <c r="E142" s="426"/>
      <c r="F142" s="426"/>
      <c r="G142" s="426"/>
      <c r="H142" s="426"/>
      <c r="I142" s="426"/>
      <c r="J142" s="444"/>
      <c r="K142" s="444"/>
      <c r="L142" s="444"/>
      <c r="M142" s="444"/>
      <c r="N142" s="444"/>
      <c r="O142" s="444"/>
      <c r="P142" s="444"/>
      <c r="Q142" s="444"/>
      <c r="R142" s="512"/>
      <c r="S142" s="512"/>
    </row>
    <row r="143" ht="15.75" customHeight="1">
      <c r="A143" s="426"/>
      <c r="B143" s="426"/>
      <c r="C143" s="426"/>
      <c r="D143" s="426"/>
      <c r="E143" s="426"/>
      <c r="F143" s="426"/>
      <c r="G143" s="426"/>
      <c r="H143" s="426"/>
      <c r="I143" s="426"/>
      <c r="J143" s="444"/>
      <c r="K143" s="444"/>
      <c r="L143" s="444"/>
      <c r="M143" s="444"/>
      <c r="N143" s="444"/>
      <c r="O143" s="444"/>
      <c r="P143" s="444"/>
      <c r="Q143" s="444"/>
      <c r="R143" s="512"/>
      <c r="S143" s="512"/>
    </row>
    <row r="144" ht="15.75" customHeight="1">
      <c r="A144" s="426"/>
      <c r="B144" s="426"/>
      <c r="C144" s="426"/>
      <c r="D144" s="426"/>
      <c r="E144" s="426"/>
      <c r="F144" s="426"/>
      <c r="G144" s="426"/>
      <c r="H144" s="426"/>
      <c r="I144" s="426"/>
      <c r="J144" s="444"/>
      <c r="K144" s="444"/>
      <c r="L144" s="444"/>
      <c r="M144" s="444"/>
      <c r="N144" s="444"/>
      <c r="O144" s="444"/>
      <c r="P144" s="444"/>
      <c r="Q144" s="444"/>
      <c r="R144" s="512"/>
      <c r="S144" s="512"/>
    </row>
    <row r="145" ht="15.75" customHeight="1">
      <c r="A145" s="426"/>
      <c r="B145" s="426"/>
      <c r="C145" s="426"/>
      <c r="D145" s="426"/>
      <c r="E145" s="426"/>
      <c r="F145" s="426"/>
      <c r="G145" s="426"/>
      <c r="H145" s="426"/>
      <c r="I145" s="426"/>
      <c r="J145" s="444"/>
      <c r="K145" s="444"/>
      <c r="L145" s="444"/>
      <c r="M145" s="444"/>
      <c r="N145" s="444"/>
      <c r="O145" s="444"/>
      <c r="P145" s="444"/>
      <c r="Q145" s="444"/>
      <c r="R145" s="512"/>
      <c r="S145" s="512"/>
    </row>
    <row r="146" ht="15.75" customHeight="1">
      <c r="A146" s="426"/>
      <c r="B146" s="426"/>
      <c r="C146" s="426"/>
      <c r="D146" s="426"/>
      <c r="E146" s="426"/>
      <c r="F146" s="426"/>
      <c r="G146" s="426"/>
      <c r="H146" s="426"/>
      <c r="I146" s="426"/>
      <c r="J146" s="444"/>
      <c r="K146" s="444"/>
      <c r="L146" s="444"/>
      <c r="M146" s="444"/>
      <c r="N146" s="444"/>
      <c r="O146" s="444"/>
      <c r="P146" s="444"/>
      <c r="Q146" s="444"/>
      <c r="R146" s="512"/>
      <c r="S146" s="512"/>
    </row>
    <row r="147" ht="15.75" customHeight="1">
      <c r="A147" s="426"/>
      <c r="B147" s="426"/>
      <c r="C147" s="426"/>
      <c r="D147" s="426"/>
      <c r="E147" s="426"/>
      <c r="F147" s="426"/>
      <c r="G147" s="426"/>
      <c r="H147" s="426"/>
      <c r="I147" s="426"/>
      <c r="J147" s="444"/>
      <c r="K147" s="444"/>
      <c r="L147" s="444"/>
      <c r="M147" s="444"/>
      <c r="N147" s="444"/>
      <c r="O147" s="444"/>
      <c r="P147" s="444"/>
      <c r="Q147" s="444"/>
      <c r="R147" s="512"/>
      <c r="S147" s="512"/>
    </row>
    <row r="148" ht="15.75" customHeight="1">
      <c r="A148" s="426"/>
      <c r="B148" s="426"/>
      <c r="C148" s="426"/>
      <c r="D148" s="426"/>
      <c r="E148" s="426"/>
      <c r="F148" s="426"/>
      <c r="G148" s="426"/>
      <c r="H148" s="426"/>
      <c r="I148" s="426"/>
      <c r="J148" s="444"/>
      <c r="K148" s="444"/>
      <c r="L148" s="444"/>
      <c r="M148" s="444"/>
      <c r="N148" s="444"/>
      <c r="O148" s="444"/>
      <c r="P148" s="444"/>
      <c r="Q148" s="444"/>
      <c r="R148" s="512"/>
      <c r="S148" s="512"/>
    </row>
    <row r="149" ht="15.75" customHeight="1">
      <c r="A149" s="426"/>
      <c r="B149" s="426"/>
      <c r="C149" s="426"/>
      <c r="D149" s="426"/>
      <c r="E149" s="426"/>
      <c r="F149" s="426"/>
      <c r="G149" s="426"/>
      <c r="H149" s="426"/>
      <c r="I149" s="426"/>
      <c r="J149" s="444"/>
      <c r="K149" s="444"/>
      <c r="L149" s="444"/>
      <c r="M149" s="444"/>
      <c r="N149" s="444"/>
      <c r="O149" s="444"/>
      <c r="P149" s="444"/>
      <c r="Q149" s="444"/>
      <c r="R149" s="512"/>
      <c r="S149" s="512"/>
    </row>
    <row r="150" ht="15.75" customHeight="1">
      <c r="A150" s="426"/>
      <c r="B150" s="426"/>
      <c r="C150" s="426"/>
      <c r="D150" s="426"/>
      <c r="E150" s="426"/>
      <c r="F150" s="426"/>
      <c r="G150" s="426"/>
      <c r="H150" s="426"/>
      <c r="I150" s="426"/>
      <c r="J150" s="444"/>
      <c r="K150" s="444"/>
      <c r="L150" s="444"/>
      <c r="M150" s="444"/>
      <c r="N150" s="444"/>
      <c r="O150" s="444"/>
      <c r="P150" s="444"/>
      <c r="Q150" s="444"/>
      <c r="R150" s="512"/>
      <c r="S150" s="512"/>
    </row>
    <row r="151" ht="15.75" customHeight="1">
      <c r="A151" s="426"/>
      <c r="B151" s="426"/>
      <c r="C151" s="426"/>
      <c r="D151" s="426"/>
      <c r="E151" s="426"/>
      <c r="F151" s="426"/>
      <c r="G151" s="426"/>
      <c r="H151" s="426"/>
      <c r="I151" s="426"/>
      <c r="J151" s="444"/>
      <c r="K151" s="444"/>
      <c r="L151" s="444"/>
      <c r="M151" s="444"/>
      <c r="N151" s="444"/>
      <c r="O151" s="444"/>
      <c r="P151" s="444"/>
      <c r="Q151" s="444"/>
      <c r="R151" s="512"/>
      <c r="S151" s="512"/>
    </row>
    <row r="152" ht="15.75" customHeight="1">
      <c r="A152" s="426"/>
      <c r="B152" s="426"/>
      <c r="C152" s="426"/>
      <c r="D152" s="426"/>
      <c r="E152" s="426"/>
      <c r="F152" s="426"/>
      <c r="G152" s="426"/>
      <c r="H152" s="426"/>
      <c r="I152" s="426"/>
      <c r="J152" s="444"/>
      <c r="K152" s="444"/>
      <c r="L152" s="444"/>
      <c r="M152" s="444"/>
      <c r="N152" s="444"/>
      <c r="O152" s="444"/>
      <c r="P152" s="444"/>
      <c r="Q152" s="444"/>
      <c r="R152" s="512"/>
      <c r="S152" s="512"/>
    </row>
    <row r="153" ht="15.75" customHeight="1">
      <c r="A153" s="426"/>
      <c r="B153" s="426"/>
      <c r="C153" s="426"/>
      <c r="D153" s="426"/>
      <c r="E153" s="426"/>
      <c r="F153" s="426"/>
      <c r="G153" s="426"/>
      <c r="H153" s="426"/>
      <c r="I153" s="426"/>
      <c r="J153" s="444"/>
      <c r="K153" s="444"/>
      <c r="L153" s="444"/>
      <c r="M153" s="444"/>
      <c r="N153" s="444"/>
      <c r="O153" s="444"/>
      <c r="P153" s="444"/>
      <c r="Q153" s="444"/>
      <c r="R153" s="512"/>
      <c r="S153" s="512"/>
    </row>
    <row r="154" ht="15.75" customHeight="1">
      <c r="A154" s="426"/>
      <c r="B154" s="426"/>
      <c r="C154" s="426"/>
      <c r="D154" s="426"/>
      <c r="E154" s="426"/>
      <c r="F154" s="426"/>
      <c r="G154" s="426"/>
      <c r="H154" s="426"/>
      <c r="I154" s="426"/>
      <c r="J154" s="444"/>
      <c r="K154" s="444"/>
      <c r="L154" s="444"/>
      <c r="M154" s="444"/>
      <c r="N154" s="444"/>
      <c r="O154" s="444"/>
      <c r="P154" s="444"/>
      <c r="Q154" s="444"/>
      <c r="R154" s="512"/>
      <c r="S154" s="512"/>
    </row>
    <row r="155" ht="15.75" customHeight="1">
      <c r="A155" s="426"/>
      <c r="B155" s="426"/>
      <c r="C155" s="426"/>
      <c r="D155" s="426"/>
      <c r="E155" s="426"/>
      <c r="F155" s="426"/>
      <c r="G155" s="426"/>
      <c r="H155" s="426"/>
      <c r="I155" s="426"/>
      <c r="J155" s="444"/>
      <c r="K155" s="444"/>
      <c r="L155" s="444"/>
      <c r="M155" s="444"/>
      <c r="N155" s="444"/>
      <c r="O155" s="444"/>
      <c r="P155" s="444"/>
      <c r="Q155" s="444"/>
      <c r="R155" s="512"/>
      <c r="S155" s="512"/>
    </row>
    <row r="156" ht="15.75" customHeight="1">
      <c r="A156" s="426"/>
      <c r="B156" s="426"/>
      <c r="C156" s="426"/>
      <c r="D156" s="426"/>
      <c r="E156" s="426"/>
      <c r="F156" s="426"/>
      <c r="G156" s="426"/>
      <c r="H156" s="426"/>
      <c r="I156" s="426"/>
      <c r="J156" s="444"/>
      <c r="K156" s="444"/>
      <c r="L156" s="444"/>
      <c r="M156" s="444"/>
      <c r="N156" s="444"/>
      <c r="O156" s="444"/>
      <c r="P156" s="444"/>
      <c r="Q156" s="444"/>
      <c r="R156" s="512"/>
      <c r="S156" s="512"/>
    </row>
    <row r="157" ht="15.75" customHeight="1">
      <c r="A157" s="426"/>
      <c r="B157" s="426"/>
      <c r="C157" s="426"/>
      <c r="D157" s="426"/>
      <c r="E157" s="426"/>
      <c r="F157" s="426"/>
      <c r="G157" s="426"/>
      <c r="H157" s="426"/>
      <c r="I157" s="426"/>
      <c r="J157" s="444"/>
      <c r="K157" s="444"/>
      <c r="L157" s="444"/>
      <c r="M157" s="444"/>
      <c r="N157" s="444"/>
      <c r="O157" s="444"/>
      <c r="P157" s="444"/>
      <c r="Q157" s="444"/>
      <c r="R157" s="512"/>
      <c r="S157" s="512"/>
    </row>
    <row r="158" ht="15.75" customHeight="1">
      <c r="A158" s="426"/>
      <c r="B158" s="426"/>
      <c r="C158" s="426"/>
      <c r="D158" s="426"/>
      <c r="E158" s="426"/>
      <c r="F158" s="426"/>
      <c r="G158" s="426"/>
      <c r="H158" s="426"/>
      <c r="I158" s="426"/>
      <c r="J158" s="444"/>
      <c r="K158" s="444"/>
      <c r="L158" s="444"/>
      <c r="M158" s="444"/>
      <c r="N158" s="444"/>
      <c r="O158" s="444"/>
      <c r="P158" s="444"/>
      <c r="Q158" s="444"/>
      <c r="R158" s="512"/>
      <c r="S158" s="512"/>
    </row>
    <row r="159" ht="15.75" customHeight="1">
      <c r="A159" s="426"/>
      <c r="B159" s="426"/>
      <c r="C159" s="426"/>
      <c r="D159" s="426"/>
      <c r="E159" s="426"/>
      <c r="F159" s="426"/>
      <c r="G159" s="426"/>
      <c r="H159" s="426"/>
      <c r="I159" s="426"/>
      <c r="J159" s="444"/>
      <c r="K159" s="444"/>
      <c r="L159" s="444"/>
      <c r="M159" s="444"/>
      <c r="N159" s="444"/>
      <c r="O159" s="444"/>
      <c r="P159" s="444"/>
      <c r="Q159" s="444"/>
      <c r="R159" s="512"/>
      <c r="S159" s="512"/>
    </row>
    <row r="160" ht="15.75" customHeight="1">
      <c r="A160" s="426"/>
      <c r="B160" s="426"/>
      <c r="C160" s="426"/>
      <c r="D160" s="426"/>
      <c r="E160" s="426"/>
      <c r="F160" s="426"/>
      <c r="G160" s="426"/>
      <c r="H160" s="426"/>
      <c r="I160" s="426"/>
      <c r="J160" s="444"/>
      <c r="K160" s="444"/>
      <c r="L160" s="444"/>
      <c r="M160" s="444"/>
      <c r="N160" s="444"/>
      <c r="O160" s="444"/>
      <c r="P160" s="444"/>
      <c r="Q160" s="444"/>
      <c r="R160" s="512"/>
      <c r="S160" s="512"/>
    </row>
    <row r="161" ht="15.75" customHeight="1">
      <c r="A161" s="426"/>
      <c r="B161" s="426"/>
      <c r="C161" s="426"/>
      <c r="D161" s="426"/>
      <c r="E161" s="426"/>
      <c r="F161" s="426"/>
      <c r="G161" s="426"/>
      <c r="H161" s="426"/>
      <c r="I161" s="426"/>
      <c r="J161" s="444"/>
      <c r="K161" s="444"/>
      <c r="L161" s="444"/>
      <c r="M161" s="444"/>
      <c r="N161" s="444"/>
      <c r="O161" s="444"/>
      <c r="P161" s="444"/>
      <c r="Q161" s="444"/>
      <c r="R161" s="512"/>
      <c r="S161" s="512"/>
    </row>
    <row r="162" ht="15.75" customHeight="1">
      <c r="A162" s="426"/>
      <c r="B162" s="426"/>
      <c r="C162" s="426"/>
      <c r="D162" s="426"/>
      <c r="E162" s="426"/>
      <c r="F162" s="426"/>
      <c r="G162" s="426"/>
      <c r="H162" s="426"/>
      <c r="I162" s="426"/>
      <c r="J162" s="444"/>
      <c r="K162" s="444"/>
      <c r="L162" s="444"/>
      <c r="M162" s="444"/>
      <c r="N162" s="444"/>
      <c r="O162" s="444"/>
      <c r="P162" s="444"/>
      <c r="Q162" s="444"/>
      <c r="R162" s="512"/>
      <c r="S162" s="512"/>
    </row>
    <row r="163" ht="15.75" customHeight="1">
      <c r="A163" s="426"/>
      <c r="B163" s="426"/>
      <c r="C163" s="426"/>
      <c r="D163" s="426"/>
      <c r="E163" s="426"/>
      <c r="F163" s="426"/>
      <c r="G163" s="426"/>
      <c r="H163" s="426"/>
      <c r="I163" s="426"/>
      <c r="J163" s="444"/>
      <c r="K163" s="444"/>
      <c r="L163" s="444"/>
      <c r="M163" s="444"/>
      <c r="N163" s="444"/>
      <c r="O163" s="444"/>
      <c r="P163" s="444"/>
      <c r="Q163" s="444"/>
      <c r="R163" s="512"/>
      <c r="S163" s="512"/>
    </row>
    <row r="164" ht="15.75" customHeight="1">
      <c r="A164" s="426"/>
      <c r="B164" s="426"/>
      <c r="C164" s="426"/>
      <c r="D164" s="426"/>
      <c r="E164" s="426"/>
      <c r="F164" s="426"/>
      <c r="G164" s="426"/>
      <c r="H164" s="426"/>
      <c r="I164" s="426"/>
      <c r="J164" s="444"/>
      <c r="K164" s="444"/>
      <c r="L164" s="444"/>
      <c r="M164" s="444"/>
      <c r="N164" s="444"/>
      <c r="O164" s="444"/>
      <c r="P164" s="444"/>
      <c r="Q164" s="444"/>
      <c r="R164" s="512"/>
      <c r="S164" s="512"/>
    </row>
    <row r="165" ht="15.75" customHeight="1">
      <c r="A165" s="426"/>
      <c r="B165" s="426"/>
      <c r="C165" s="426"/>
      <c r="D165" s="426"/>
      <c r="E165" s="426"/>
      <c r="F165" s="426"/>
      <c r="G165" s="426"/>
      <c r="H165" s="426"/>
      <c r="I165" s="426"/>
      <c r="J165" s="444"/>
      <c r="K165" s="444"/>
      <c r="L165" s="444"/>
      <c r="M165" s="444"/>
      <c r="N165" s="444"/>
      <c r="O165" s="444"/>
      <c r="P165" s="444"/>
      <c r="Q165" s="444"/>
      <c r="R165" s="512"/>
      <c r="S165" s="512"/>
    </row>
    <row r="166" ht="15.75" customHeight="1">
      <c r="A166" s="426"/>
      <c r="B166" s="426"/>
      <c r="C166" s="426"/>
      <c r="D166" s="426"/>
      <c r="E166" s="426"/>
      <c r="F166" s="426"/>
      <c r="G166" s="426"/>
      <c r="H166" s="426"/>
      <c r="I166" s="426"/>
      <c r="J166" s="444"/>
      <c r="K166" s="444"/>
      <c r="L166" s="444"/>
      <c r="M166" s="444"/>
      <c r="N166" s="444"/>
      <c r="O166" s="444"/>
      <c r="P166" s="444"/>
      <c r="Q166" s="444"/>
      <c r="R166" s="512"/>
      <c r="S166" s="512"/>
    </row>
    <row r="167" ht="15.75" customHeight="1">
      <c r="A167" s="426"/>
      <c r="B167" s="426"/>
      <c r="C167" s="426"/>
      <c r="D167" s="426"/>
      <c r="E167" s="426"/>
      <c r="F167" s="426"/>
      <c r="G167" s="426"/>
      <c r="H167" s="426"/>
      <c r="I167" s="426"/>
      <c r="J167" s="444"/>
      <c r="K167" s="444"/>
      <c r="L167" s="444"/>
      <c r="M167" s="444"/>
      <c r="N167" s="444"/>
      <c r="O167" s="444"/>
      <c r="P167" s="444"/>
      <c r="Q167" s="444"/>
      <c r="R167" s="512"/>
      <c r="S167" s="512"/>
    </row>
    <row r="168" ht="15.75" customHeight="1">
      <c r="A168" s="426"/>
      <c r="B168" s="426"/>
      <c r="C168" s="426"/>
      <c r="D168" s="426"/>
      <c r="E168" s="426"/>
      <c r="F168" s="426"/>
      <c r="G168" s="426"/>
      <c r="H168" s="426"/>
      <c r="I168" s="426"/>
      <c r="J168" s="444"/>
      <c r="K168" s="444"/>
      <c r="L168" s="444"/>
      <c r="M168" s="444"/>
      <c r="N168" s="444"/>
      <c r="O168" s="444"/>
      <c r="P168" s="444"/>
      <c r="Q168" s="444"/>
      <c r="R168" s="512"/>
      <c r="S168" s="512"/>
    </row>
    <row r="169" ht="15.75" customHeight="1">
      <c r="A169" s="426"/>
      <c r="B169" s="426"/>
      <c r="C169" s="426"/>
      <c r="D169" s="426"/>
      <c r="E169" s="426"/>
      <c r="F169" s="426"/>
      <c r="G169" s="426"/>
      <c r="H169" s="426"/>
      <c r="I169" s="426"/>
      <c r="J169" s="444"/>
      <c r="K169" s="444"/>
      <c r="L169" s="444"/>
      <c r="M169" s="444"/>
      <c r="N169" s="444"/>
      <c r="O169" s="444"/>
      <c r="P169" s="444"/>
      <c r="Q169" s="444"/>
      <c r="R169" s="512"/>
      <c r="S169" s="512"/>
    </row>
    <row r="170" ht="15.75" customHeight="1">
      <c r="A170" s="426"/>
      <c r="B170" s="426"/>
      <c r="C170" s="426"/>
      <c r="D170" s="426"/>
      <c r="E170" s="426"/>
      <c r="F170" s="426"/>
      <c r="G170" s="426"/>
      <c r="H170" s="426"/>
      <c r="I170" s="426"/>
      <c r="J170" s="444"/>
      <c r="K170" s="444"/>
      <c r="L170" s="444"/>
      <c r="M170" s="444"/>
      <c r="N170" s="444"/>
      <c r="O170" s="444"/>
      <c r="P170" s="444"/>
      <c r="Q170" s="444"/>
      <c r="R170" s="512"/>
      <c r="S170" s="512"/>
    </row>
    <row r="171" ht="15.75" customHeight="1">
      <c r="A171" s="426"/>
      <c r="B171" s="426"/>
      <c r="C171" s="426"/>
      <c r="D171" s="426"/>
      <c r="E171" s="426"/>
      <c r="F171" s="426"/>
      <c r="G171" s="426"/>
      <c r="H171" s="426"/>
      <c r="I171" s="426"/>
      <c r="J171" s="444"/>
      <c r="K171" s="444"/>
      <c r="L171" s="444"/>
      <c r="M171" s="444"/>
      <c r="N171" s="444"/>
      <c r="O171" s="444"/>
      <c r="P171" s="444"/>
      <c r="Q171" s="444"/>
      <c r="R171" s="512"/>
      <c r="S171" s="512"/>
    </row>
    <row r="172" ht="15.75" customHeight="1">
      <c r="A172" s="426"/>
      <c r="B172" s="426"/>
      <c r="C172" s="426"/>
      <c r="D172" s="426"/>
      <c r="E172" s="426"/>
      <c r="F172" s="426"/>
      <c r="G172" s="426"/>
      <c r="H172" s="426"/>
      <c r="I172" s="426"/>
      <c r="J172" s="444"/>
      <c r="K172" s="444"/>
      <c r="L172" s="444"/>
      <c r="M172" s="444"/>
      <c r="N172" s="444"/>
      <c r="O172" s="444"/>
      <c r="P172" s="444"/>
      <c r="Q172" s="444"/>
      <c r="R172" s="512"/>
      <c r="S172" s="512"/>
    </row>
    <row r="173" ht="15.75" customHeight="1">
      <c r="A173" s="426"/>
      <c r="B173" s="426"/>
      <c r="C173" s="426"/>
      <c r="D173" s="426"/>
      <c r="E173" s="426"/>
      <c r="F173" s="426"/>
      <c r="G173" s="426"/>
      <c r="H173" s="426"/>
      <c r="I173" s="426"/>
      <c r="J173" s="444"/>
      <c r="K173" s="444"/>
      <c r="L173" s="444"/>
      <c r="M173" s="444"/>
      <c r="N173" s="444"/>
      <c r="O173" s="444"/>
      <c r="P173" s="444"/>
      <c r="Q173" s="444"/>
      <c r="R173" s="512"/>
      <c r="S173" s="512"/>
    </row>
    <row r="174" ht="15.75" customHeight="1">
      <c r="A174" s="426"/>
      <c r="B174" s="426"/>
      <c r="C174" s="426"/>
      <c r="D174" s="426"/>
      <c r="E174" s="426"/>
      <c r="F174" s="426"/>
      <c r="G174" s="426"/>
      <c r="H174" s="426"/>
      <c r="I174" s="426"/>
      <c r="J174" s="444"/>
      <c r="K174" s="444"/>
      <c r="L174" s="444"/>
      <c r="M174" s="444"/>
      <c r="N174" s="444"/>
      <c r="O174" s="444"/>
      <c r="P174" s="444"/>
      <c r="Q174" s="444"/>
      <c r="R174" s="512"/>
      <c r="S174" s="512"/>
    </row>
    <row r="175" ht="15.75" customHeight="1">
      <c r="A175" s="426"/>
      <c r="B175" s="426"/>
      <c r="C175" s="426"/>
      <c r="D175" s="426"/>
      <c r="E175" s="426"/>
      <c r="F175" s="426"/>
      <c r="G175" s="426"/>
      <c r="H175" s="426"/>
      <c r="I175" s="426"/>
      <c r="J175" s="444"/>
      <c r="K175" s="444"/>
      <c r="L175" s="444"/>
      <c r="M175" s="444"/>
      <c r="N175" s="444"/>
      <c r="O175" s="444"/>
      <c r="P175" s="444"/>
      <c r="Q175" s="444"/>
      <c r="R175" s="512"/>
      <c r="S175" s="512"/>
    </row>
    <row r="176" ht="15.75" customHeight="1">
      <c r="A176" s="426"/>
      <c r="B176" s="426"/>
      <c r="C176" s="426"/>
      <c r="D176" s="426"/>
      <c r="E176" s="426"/>
      <c r="F176" s="426"/>
      <c r="G176" s="426"/>
      <c r="H176" s="426"/>
      <c r="I176" s="426"/>
      <c r="J176" s="444"/>
      <c r="K176" s="444"/>
      <c r="L176" s="444"/>
      <c r="M176" s="444"/>
      <c r="N176" s="444"/>
      <c r="O176" s="444"/>
      <c r="P176" s="444"/>
      <c r="Q176" s="444"/>
      <c r="R176" s="512"/>
      <c r="S176" s="512"/>
    </row>
    <row r="177" ht="15.75" customHeight="1">
      <c r="A177" s="426"/>
      <c r="B177" s="426"/>
      <c r="C177" s="426"/>
      <c r="D177" s="426"/>
      <c r="E177" s="426"/>
      <c r="F177" s="426"/>
      <c r="G177" s="426"/>
      <c r="H177" s="426"/>
      <c r="I177" s="426"/>
      <c r="J177" s="444"/>
      <c r="K177" s="444"/>
      <c r="L177" s="444"/>
      <c r="M177" s="444"/>
      <c r="N177" s="444"/>
      <c r="O177" s="444"/>
      <c r="P177" s="444"/>
      <c r="Q177" s="444"/>
      <c r="R177" s="512"/>
      <c r="S177" s="512"/>
    </row>
    <row r="178" ht="15.75" customHeight="1">
      <c r="A178" s="426"/>
      <c r="B178" s="426"/>
      <c r="C178" s="426"/>
      <c r="D178" s="426"/>
      <c r="E178" s="426"/>
      <c r="F178" s="426"/>
      <c r="G178" s="426"/>
      <c r="H178" s="426"/>
      <c r="I178" s="426"/>
      <c r="J178" s="444"/>
      <c r="K178" s="444"/>
      <c r="L178" s="444"/>
      <c r="M178" s="444"/>
      <c r="N178" s="444"/>
      <c r="O178" s="444"/>
      <c r="P178" s="444"/>
      <c r="Q178" s="444"/>
      <c r="R178" s="512"/>
      <c r="S178" s="512"/>
    </row>
    <row r="179" ht="15.75" customHeight="1">
      <c r="A179" s="426"/>
      <c r="B179" s="426"/>
      <c r="C179" s="426"/>
      <c r="D179" s="426"/>
      <c r="E179" s="426"/>
      <c r="F179" s="426"/>
      <c r="G179" s="426"/>
      <c r="H179" s="426"/>
      <c r="I179" s="426"/>
      <c r="J179" s="444"/>
      <c r="K179" s="444"/>
      <c r="L179" s="444"/>
      <c r="M179" s="444"/>
      <c r="N179" s="444"/>
      <c r="O179" s="444"/>
      <c r="P179" s="444"/>
      <c r="Q179" s="444"/>
      <c r="R179" s="512"/>
      <c r="S179" s="512"/>
    </row>
    <row r="180" ht="15.75" customHeight="1">
      <c r="A180" s="426"/>
      <c r="B180" s="426"/>
      <c r="C180" s="426"/>
      <c r="D180" s="426"/>
      <c r="E180" s="426"/>
      <c r="F180" s="426"/>
      <c r="G180" s="426"/>
      <c r="H180" s="426"/>
      <c r="I180" s="426"/>
      <c r="J180" s="444"/>
      <c r="K180" s="444"/>
      <c r="L180" s="444"/>
      <c r="M180" s="444"/>
      <c r="N180" s="444"/>
      <c r="O180" s="444"/>
      <c r="P180" s="444"/>
      <c r="Q180" s="444"/>
      <c r="R180" s="512"/>
      <c r="S180" s="512"/>
    </row>
    <row r="181" ht="15.75" customHeight="1">
      <c r="A181" s="426"/>
      <c r="B181" s="426"/>
      <c r="C181" s="426"/>
      <c r="D181" s="426"/>
      <c r="E181" s="426"/>
      <c r="F181" s="426"/>
      <c r="G181" s="426"/>
      <c r="H181" s="426"/>
      <c r="I181" s="426"/>
      <c r="J181" s="444"/>
      <c r="K181" s="444"/>
      <c r="L181" s="444"/>
      <c r="M181" s="444"/>
      <c r="N181" s="444"/>
      <c r="O181" s="444"/>
      <c r="P181" s="444"/>
      <c r="Q181" s="444"/>
      <c r="R181" s="512"/>
      <c r="S181" s="512"/>
    </row>
    <row r="182" ht="15.75" customHeight="1">
      <c r="A182" s="426"/>
      <c r="B182" s="426"/>
      <c r="C182" s="426"/>
      <c r="D182" s="426"/>
      <c r="E182" s="426"/>
      <c r="F182" s="426"/>
      <c r="G182" s="426"/>
      <c r="H182" s="426"/>
      <c r="I182" s="426"/>
      <c r="J182" s="444"/>
      <c r="K182" s="444"/>
      <c r="L182" s="444"/>
      <c r="M182" s="444"/>
      <c r="N182" s="444"/>
      <c r="O182" s="444"/>
      <c r="P182" s="444"/>
      <c r="Q182" s="444"/>
      <c r="R182" s="512"/>
      <c r="S182" s="512"/>
    </row>
    <row r="183" ht="15.75" customHeight="1">
      <c r="A183" s="426"/>
      <c r="B183" s="426"/>
      <c r="C183" s="426"/>
      <c r="D183" s="426"/>
      <c r="E183" s="426"/>
      <c r="F183" s="426"/>
      <c r="G183" s="426"/>
      <c r="H183" s="426"/>
      <c r="I183" s="426"/>
      <c r="J183" s="444"/>
      <c r="K183" s="444"/>
      <c r="L183" s="444"/>
      <c r="M183" s="444"/>
      <c r="N183" s="444"/>
      <c r="O183" s="444"/>
      <c r="P183" s="444"/>
      <c r="Q183" s="444"/>
      <c r="R183" s="512"/>
      <c r="S183" s="512"/>
    </row>
    <row r="184" ht="15.75" customHeight="1">
      <c r="A184" s="426"/>
      <c r="B184" s="426"/>
      <c r="C184" s="426"/>
      <c r="D184" s="426"/>
      <c r="E184" s="426"/>
      <c r="F184" s="426"/>
      <c r="G184" s="426"/>
      <c r="H184" s="426"/>
      <c r="I184" s="426"/>
      <c r="J184" s="444"/>
      <c r="K184" s="444"/>
      <c r="L184" s="444"/>
      <c r="M184" s="444"/>
      <c r="N184" s="444"/>
      <c r="O184" s="444"/>
      <c r="P184" s="444"/>
      <c r="Q184" s="444"/>
      <c r="R184" s="512"/>
      <c r="S184" s="512"/>
    </row>
    <row r="185" ht="15.75" customHeight="1">
      <c r="A185" s="426"/>
      <c r="B185" s="426"/>
      <c r="C185" s="426"/>
      <c r="D185" s="426"/>
      <c r="E185" s="426"/>
      <c r="F185" s="426"/>
      <c r="G185" s="426"/>
      <c r="H185" s="426"/>
      <c r="I185" s="426"/>
      <c r="J185" s="444"/>
      <c r="K185" s="444"/>
      <c r="L185" s="444"/>
      <c r="M185" s="444"/>
      <c r="N185" s="444"/>
      <c r="O185" s="444"/>
      <c r="P185" s="444"/>
      <c r="Q185" s="444"/>
      <c r="R185" s="512"/>
      <c r="S185" s="512"/>
    </row>
    <row r="186" ht="15.75" customHeight="1">
      <c r="A186" s="426"/>
      <c r="B186" s="426"/>
      <c r="C186" s="426"/>
      <c r="D186" s="426"/>
      <c r="E186" s="426"/>
      <c r="F186" s="426"/>
      <c r="G186" s="426"/>
      <c r="H186" s="426"/>
      <c r="I186" s="426"/>
      <c r="J186" s="444"/>
      <c r="K186" s="444"/>
      <c r="L186" s="444"/>
      <c r="M186" s="444"/>
      <c r="N186" s="444"/>
      <c r="O186" s="444"/>
      <c r="P186" s="444"/>
      <c r="Q186" s="444"/>
      <c r="R186" s="512"/>
      <c r="S186" s="512"/>
    </row>
    <row r="187" ht="15.75" customHeight="1">
      <c r="A187" s="426"/>
      <c r="B187" s="426"/>
      <c r="C187" s="426"/>
      <c r="D187" s="426"/>
      <c r="E187" s="426"/>
      <c r="F187" s="426"/>
      <c r="G187" s="426"/>
      <c r="H187" s="426"/>
      <c r="I187" s="426"/>
      <c r="J187" s="444"/>
      <c r="K187" s="444"/>
      <c r="L187" s="444"/>
      <c r="M187" s="444"/>
      <c r="N187" s="444"/>
      <c r="O187" s="444"/>
      <c r="P187" s="444"/>
      <c r="Q187" s="444"/>
      <c r="R187" s="512"/>
      <c r="S187" s="512"/>
    </row>
    <row r="188" ht="15.75" customHeight="1">
      <c r="A188" s="426"/>
      <c r="B188" s="426"/>
      <c r="C188" s="426"/>
      <c r="D188" s="426"/>
      <c r="E188" s="426"/>
      <c r="F188" s="426"/>
      <c r="G188" s="426"/>
      <c r="H188" s="426"/>
      <c r="I188" s="426"/>
      <c r="J188" s="444"/>
      <c r="K188" s="444"/>
      <c r="L188" s="444"/>
      <c r="M188" s="444"/>
      <c r="N188" s="444"/>
      <c r="O188" s="444"/>
      <c r="P188" s="444"/>
      <c r="Q188" s="444"/>
      <c r="R188" s="512"/>
      <c r="S188" s="512"/>
    </row>
    <row r="189" ht="15.75" customHeight="1">
      <c r="A189" s="426"/>
      <c r="B189" s="426"/>
      <c r="C189" s="426"/>
      <c r="D189" s="426"/>
      <c r="E189" s="426"/>
      <c r="F189" s="426"/>
      <c r="G189" s="426"/>
      <c r="H189" s="426"/>
      <c r="I189" s="426"/>
      <c r="J189" s="444"/>
      <c r="K189" s="444"/>
      <c r="L189" s="444"/>
      <c r="M189" s="444"/>
      <c r="N189" s="444"/>
      <c r="O189" s="444"/>
      <c r="P189" s="444"/>
      <c r="Q189" s="444"/>
      <c r="R189" s="512"/>
      <c r="S189" s="512"/>
    </row>
    <row r="190" ht="15.75" customHeight="1">
      <c r="A190" s="426"/>
      <c r="B190" s="426"/>
      <c r="C190" s="426"/>
      <c r="D190" s="426"/>
      <c r="E190" s="426"/>
      <c r="F190" s="426"/>
      <c r="G190" s="426"/>
      <c r="H190" s="426"/>
      <c r="I190" s="426"/>
      <c r="J190" s="444"/>
      <c r="K190" s="444"/>
      <c r="L190" s="444"/>
      <c r="M190" s="444"/>
      <c r="N190" s="444"/>
      <c r="O190" s="444"/>
      <c r="P190" s="444"/>
      <c r="Q190" s="444"/>
      <c r="R190" s="512"/>
      <c r="S190" s="512"/>
    </row>
    <row r="191" ht="15.75" customHeight="1">
      <c r="A191" s="426"/>
      <c r="B191" s="426"/>
      <c r="C191" s="426"/>
      <c r="D191" s="426"/>
      <c r="E191" s="426"/>
      <c r="F191" s="426"/>
      <c r="G191" s="426"/>
      <c r="H191" s="426"/>
      <c r="I191" s="426"/>
      <c r="J191" s="444"/>
      <c r="K191" s="444"/>
      <c r="L191" s="444"/>
      <c r="M191" s="444"/>
      <c r="N191" s="444"/>
      <c r="O191" s="444"/>
      <c r="P191" s="444"/>
      <c r="Q191" s="444"/>
      <c r="R191" s="512"/>
      <c r="S191" s="512"/>
    </row>
    <row r="192" ht="15.75" customHeight="1">
      <c r="A192" s="426"/>
      <c r="B192" s="426"/>
      <c r="C192" s="426"/>
      <c r="D192" s="426"/>
      <c r="E192" s="426"/>
      <c r="F192" s="426"/>
      <c r="G192" s="426"/>
      <c r="H192" s="426"/>
      <c r="I192" s="426"/>
      <c r="J192" s="444"/>
      <c r="K192" s="444"/>
      <c r="L192" s="444"/>
      <c r="M192" s="444"/>
      <c r="N192" s="444"/>
      <c r="O192" s="444"/>
      <c r="P192" s="444"/>
      <c r="Q192" s="444"/>
      <c r="R192" s="512"/>
      <c r="S192" s="512"/>
    </row>
    <row r="193" ht="15.75" customHeight="1">
      <c r="A193" s="426"/>
      <c r="B193" s="426"/>
      <c r="C193" s="426"/>
      <c r="D193" s="426"/>
      <c r="E193" s="426"/>
      <c r="F193" s="426"/>
      <c r="G193" s="426"/>
      <c r="H193" s="426"/>
      <c r="I193" s="426"/>
      <c r="J193" s="444"/>
      <c r="K193" s="444"/>
      <c r="L193" s="444"/>
      <c r="M193" s="444"/>
      <c r="N193" s="444"/>
      <c r="O193" s="444"/>
      <c r="P193" s="444"/>
      <c r="Q193" s="444"/>
      <c r="R193" s="512"/>
      <c r="S193" s="512"/>
    </row>
    <row r="194" ht="15.75" customHeight="1">
      <c r="A194" s="426"/>
      <c r="B194" s="426"/>
      <c r="C194" s="426"/>
      <c r="D194" s="426"/>
      <c r="E194" s="426"/>
      <c r="F194" s="426"/>
      <c r="G194" s="426"/>
      <c r="H194" s="426"/>
      <c r="I194" s="426"/>
      <c r="J194" s="444"/>
      <c r="K194" s="444"/>
      <c r="L194" s="444"/>
      <c r="M194" s="444"/>
      <c r="N194" s="444"/>
      <c r="O194" s="444"/>
      <c r="P194" s="444"/>
      <c r="Q194" s="444"/>
      <c r="R194" s="512"/>
      <c r="S194" s="512"/>
    </row>
    <row r="195" ht="15.75" customHeight="1">
      <c r="A195" s="426"/>
      <c r="B195" s="426"/>
      <c r="C195" s="426"/>
      <c r="D195" s="426"/>
      <c r="E195" s="426"/>
      <c r="F195" s="426"/>
      <c r="G195" s="426"/>
      <c r="H195" s="426"/>
      <c r="I195" s="426"/>
      <c r="J195" s="444"/>
      <c r="K195" s="444"/>
      <c r="L195" s="444"/>
      <c r="M195" s="444"/>
      <c r="N195" s="444"/>
      <c r="O195" s="444"/>
      <c r="P195" s="444"/>
      <c r="Q195" s="444"/>
      <c r="R195" s="512"/>
      <c r="S195" s="512"/>
    </row>
    <row r="196" ht="15.75" customHeight="1">
      <c r="A196" s="426"/>
      <c r="B196" s="426"/>
      <c r="C196" s="426"/>
      <c r="D196" s="426"/>
      <c r="E196" s="426"/>
      <c r="F196" s="426"/>
      <c r="G196" s="426"/>
      <c r="H196" s="426"/>
      <c r="I196" s="426"/>
      <c r="J196" s="444"/>
      <c r="K196" s="444"/>
      <c r="L196" s="444"/>
      <c r="M196" s="444"/>
      <c r="N196" s="444"/>
      <c r="O196" s="444"/>
      <c r="P196" s="444"/>
      <c r="Q196" s="444"/>
      <c r="R196" s="512"/>
      <c r="S196" s="512"/>
    </row>
    <row r="197" ht="15.75" customHeight="1">
      <c r="A197" s="426"/>
      <c r="B197" s="426"/>
      <c r="C197" s="426"/>
      <c r="D197" s="426"/>
      <c r="E197" s="426"/>
      <c r="F197" s="426"/>
      <c r="G197" s="426"/>
      <c r="H197" s="426"/>
      <c r="I197" s="426"/>
      <c r="J197" s="444"/>
      <c r="K197" s="444"/>
      <c r="L197" s="444"/>
      <c r="M197" s="444"/>
      <c r="N197" s="444"/>
      <c r="O197" s="444"/>
      <c r="P197" s="444"/>
      <c r="Q197" s="444"/>
      <c r="R197" s="512"/>
      <c r="S197" s="512"/>
    </row>
    <row r="198" ht="15.75" customHeight="1">
      <c r="A198" s="426"/>
      <c r="B198" s="426"/>
      <c r="C198" s="426"/>
      <c r="D198" s="426"/>
      <c r="E198" s="426"/>
      <c r="F198" s="426"/>
      <c r="G198" s="426"/>
      <c r="H198" s="426"/>
      <c r="I198" s="426"/>
      <c r="J198" s="444"/>
      <c r="K198" s="444"/>
      <c r="L198" s="444"/>
      <c r="M198" s="444"/>
      <c r="N198" s="444"/>
      <c r="O198" s="444"/>
      <c r="P198" s="444"/>
      <c r="Q198" s="444"/>
      <c r="R198" s="512"/>
      <c r="S198" s="512"/>
    </row>
    <row r="199" ht="15.75" customHeight="1">
      <c r="A199" s="426"/>
      <c r="B199" s="426"/>
      <c r="C199" s="426"/>
      <c r="D199" s="426"/>
      <c r="E199" s="426"/>
      <c r="F199" s="426"/>
      <c r="G199" s="426"/>
      <c r="H199" s="426"/>
      <c r="I199" s="426"/>
      <c r="J199" s="444"/>
      <c r="K199" s="444"/>
      <c r="L199" s="444"/>
      <c r="M199" s="444"/>
      <c r="N199" s="444"/>
      <c r="O199" s="444"/>
      <c r="P199" s="444"/>
      <c r="Q199" s="444"/>
      <c r="R199" s="512"/>
      <c r="S199" s="512"/>
    </row>
    <row r="200" ht="15.75" customHeight="1">
      <c r="A200" s="426"/>
      <c r="B200" s="426"/>
      <c r="C200" s="426"/>
      <c r="D200" s="426"/>
      <c r="E200" s="426"/>
      <c r="F200" s="426"/>
      <c r="G200" s="426"/>
      <c r="H200" s="426"/>
      <c r="I200" s="426"/>
      <c r="J200" s="444"/>
      <c r="K200" s="444"/>
      <c r="L200" s="444"/>
      <c r="M200" s="444"/>
      <c r="N200" s="444"/>
      <c r="O200" s="444"/>
      <c r="P200" s="444"/>
      <c r="Q200" s="444"/>
      <c r="R200" s="512"/>
      <c r="S200" s="512"/>
    </row>
    <row r="201" ht="15.75" customHeight="1">
      <c r="A201" s="426"/>
      <c r="B201" s="426"/>
      <c r="C201" s="426"/>
      <c r="D201" s="426"/>
      <c r="E201" s="426"/>
      <c r="F201" s="426"/>
      <c r="G201" s="426"/>
      <c r="H201" s="426"/>
      <c r="I201" s="426"/>
      <c r="J201" s="444"/>
      <c r="K201" s="444"/>
      <c r="L201" s="444"/>
      <c r="M201" s="444"/>
      <c r="N201" s="444"/>
      <c r="O201" s="444"/>
      <c r="P201" s="444"/>
      <c r="Q201" s="444"/>
      <c r="R201" s="512"/>
      <c r="S201" s="512"/>
    </row>
    <row r="202" ht="15.75" customHeight="1">
      <c r="A202" s="426"/>
      <c r="B202" s="426"/>
      <c r="C202" s="426"/>
      <c r="D202" s="426"/>
      <c r="E202" s="426"/>
      <c r="F202" s="426"/>
      <c r="G202" s="426"/>
      <c r="H202" s="426"/>
      <c r="I202" s="426"/>
      <c r="J202" s="444"/>
      <c r="K202" s="444"/>
      <c r="L202" s="444"/>
      <c r="M202" s="444"/>
      <c r="N202" s="444"/>
      <c r="O202" s="444"/>
      <c r="P202" s="444"/>
      <c r="Q202" s="444"/>
      <c r="R202" s="512"/>
      <c r="S202" s="512"/>
    </row>
    <row r="203" ht="15.75" customHeight="1">
      <c r="A203" s="426"/>
      <c r="B203" s="426"/>
      <c r="C203" s="426"/>
      <c r="D203" s="426"/>
      <c r="E203" s="426"/>
      <c r="F203" s="426"/>
      <c r="G203" s="426"/>
      <c r="H203" s="426"/>
      <c r="I203" s="426"/>
      <c r="J203" s="444"/>
      <c r="K203" s="444"/>
      <c r="L203" s="444"/>
      <c r="M203" s="444"/>
      <c r="N203" s="444"/>
      <c r="O203" s="444"/>
      <c r="P203" s="444"/>
      <c r="Q203" s="444"/>
      <c r="R203" s="512"/>
      <c r="S203" s="512"/>
    </row>
    <row r="204" ht="15.75" customHeight="1">
      <c r="A204" s="426"/>
      <c r="B204" s="426"/>
      <c r="C204" s="426"/>
      <c r="D204" s="426"/>
      <c r="E204" s="426"/>
      <c r="F204" s="426"/>
      <c r="G204" s="426"/>
      <c r="H204" s="426"/>
      <c r="I204" s="426"/>
      <c r="J204" s="444"/>
      <c r="K204" s="444"/>
      <c r="L204" s="444"/>
      <c r="M204" s="444"/>
      <c r="N204" s="444"/>
      <c r="O204" s="444"/>
      <c r="P204" s="444"/>
      <c r="Q204" s="444"/>
      <c r="R204" s="512"/>
      <c r="S204" s="512"/>
    </row>
    <row r="205" ht="15.75" customHeight="1">
      <c r="A205" s="426"/>
      <c r="B205" s="426"/>
      <c r="C205" s="426"/>
      <c r="D205" s="426"/>
      <c r="E205" s="426"/>
      <c r="F205" s="426"/>
      <c r="G205" s="426"/>
      <c r="H205" s="426"/>
      <c r="I205" s="426"/>
      <c r="J205" s="444"/>
      <c r="K205" s="444"/>
      <c r="L205" s="444"/>
      <c r="M205" s="444"/>
      <c r="N205" s="444"/>
      <c r="O205" s="444"/>
      <c r="P205" s="444"/>
      <c r="Q205" s="444"/>
      <c r="R205" s="512"/>
      <c r="S205" s="512"/>
    </row>
    <row r="206" ht="15.75" customHeight="1">
      <c r="A206" s="426"/>
      <c r="B206" s="426"/>
      <c r="C206" s="426"/>
      <c r="D206" s="426"/>
      <c r="E206" s="426"/>
      <c r="F206" s="426"/>
      <c r="G206" s="426"/>
      <c r="H206" s="426"/>
      <c r="I206" s="426"/>
      <c r="J206" s="444"/>
      <c r="K206" s="444"/>
      <c r="L206" s="444"/>
      <c r="M206" s="444"/>
      <c r="N206" s="444"/>
      <c r="O206" s="444"/>
      <c r="P206" s="444"/>
      <c r="Q206" s="444"/>
      <c r="R206" s="512"/>
      <c r="S206" s="512"/>
    </row>
    <row r="207" ht="15.75" customHeight="1">
      <c r="A207" s="426"/>
      <c r="B207" s="426"/>
      <c r="C207" s="426"/>
      <c r="D207" s="426"/>
      <c r="E207" s="426"/>
      <c r="F207" s="426"/>
      <c r="G207" s="426"/>
      <c r="H207" s="426"/>
      <c r="I207" s="426"/>
      <c r="J207" s="444"/>
      <c r="K207" s="444"/>
      <c r="L207" s="444"/>
      <c r="M207" s="444"/>
      <c r="N207" s="444"/>
      <c r="O207" s="444"/>
      <c r="P207" s="444"/>
      <c r="Q207" s="444"/>
      <c r="R207" s="512"/>
      <c r="S207" s="512"/>
    </row>
    <row r="208" ht="15.75" customHeight="1">
      <c r="A208" s="426"/>
      <c r="B208" s="426"/>
      <c r="C208" s="426"/>
      <c r="D208" s="426"/>
      <c r="E208" s="426"/>
      <c r="F208" s="426"/>
      <c r="G208" s="426"/>
      <c r="H208" s="426"/>
      <c r="I208" s="426"/>
      <c r="J208" s="444"/>
      <c r="K208" s="444"/>
      <c r="L208" s="444"/>
      <c r="M208" s="444"/>
      <c r="N208" s="444"/>
      <c r="O208" s="444"/>
      <c r="P208" s="444"/>
      <c r="Q208" s="444"/>
      <c r="R208" s="512"/>
      <c r="S208" s="512"/>
    </row>
    <row r="209" ht="15.75" customHeight="1">
      <c r="A209" s="426"/>
      <c r="B209" s="426"/>
      <c r="C209" s="426"/>
      <c r="D209" s="426"/>
      <c r="E209" s="426"/>
      <c r="F209" s="426"/>
      <c r="G209" s="426"/>
      <c r="H209" s="426"/>
      <c r="I209" s="426"/>
      <c r="J209" s="444"/>
      <c r="K209" s="444"/>
      <c r="L209" s="444"/>
      <c r="M209" s="444"/>
      <c r="N209" s="444"/>
      <c r="O209" s="444"/>
      <c r="P209" s="444"/>
      <c r="Q209" s="444"/>
      <c r="R209" s="512"/>
      <c r="S209" s="512"/>
    </row>
    <row r="210" ht="15.75" customHeight="1">
      <c r="A210" s="426"/>
      <c r="B210" s="426"/>
      <c r="C210" s="426"/>
      <c r="D210" s="426"/>
      <c r="E210" s="426"/>
      <c r="F210" s="426"/>
      <c r="G210" s="426"/>
      <c r="H210" s="426"/>
      <c r="I210" s="426"/>
      <c r="J210" s="444"/>
      <c r="K210" s="444"/>
      <c r="L210" s="444"/>
      <c r="M210" s="444"/>
      <c r="N210" s="444"/>
      <c r="O210" s="444"/>
      <c r="P210" s="444"/>
      <c r="Q210" s="444"/>
      <c r="R210" s="512"/>
      <c r="S210" s="512"/>
    </row>
    <row r="211" ht="15.75" customHeight="1">
      <c r="A211" s="426"/>
      <c r="B211" s="426"/>
      <c r="C211" s="426"/>
      <c r="D211" s="426"/>
      <c r="E211" s="426"/>
      <c r="F211" s="426"/>
      <c r="G211" s="426"/>
      <c r="H211" s="426"/>
      <c r="I211" s="426"/>
      <c r="J211" s="444"/>
      <c r="K211" s="444"/>
      <c r="L211" s="444"/>
      <c r="M211" s="444"/>
      <c r="N211" s="444"/>
      <c r="O211" s="444"/>
      <c r="P211" s="444"/>
      <c r="Q211" s="444"/>
      <c r="R211" s="512"/>
      <c r="S211" s="512"/>
    </row>
    <row r="212" ht="15.75" customHeight="1">
      <c r="A212" s="426"/>
      <c r="B212" s="426"/>
      <c r="C212" s="426"/>
      <c r="D212" s="426"/>
      <c r="E212" s="426"/>
      <c r="F212" s="426"/>
      <c r="G212" s="426"/>
      <c r="H212" s="426"/>
      <c r="I212" s="426"/>
      <c r="J212" s="444"/>
      <c r="K212" s="444"/>
      <c r="L212" s="444"/>
      <c r="M212" s="444"/>
      <c r="N212" s="444"/>
      <c r="O212" s="444"/>
      <c r="P212" s="444"/>
      <c r="Q212" s="444"/>
      <c r="R212" s="512"/>
      <c r="S212" s="512"/>
    </row>
    <row r="213" ht="15.75" customHeight="1">
      <c r="A213" s="426"/>
      <c r="B213" s="426"/>
      <c r="C213" s="426"/>
      <c r="D213" s="426"/>
      <c r="E213" s="426"/>
      <c r="F213" s="426"/>
      <c r="G213" s="426"/>
      <c r="H213" s="426"/>
      <c r="I213" s="426"/>
      <c r="J213" s="444"/>
      <c r="K213" s="444"/>
      <c r="L213" s="444"/>
      <c r="M213" s="444"/>
      <c r="N213" s="444"/>
      <c r="O213" s="444"/>
      <c r="P213" s="444"/>
      <c r="Q213" s="444"/>
      <c r="R213" s="512"/>
      <c r="S213" s="512"/>
    </row>
    <row r="214" ht="15.75" customHeight="1">
      <c r="A214" s="426"/>
      <c r="B214" s="426"/>
      <c r="C214" s="426"/>
      <c r="D214" s="426"/>
      <c r="E214" s="426"/>
      <c r="F214" s="426"/>
      <c r="G214" s="426"/>
      <c r="H214" s="426"/>
      <c r="I214" s="426"/>
      <c r="J214" s="444"/>
      <c r="K214" s="444"/>
      <c r="L214" s="444"/>
      <c r="M214" s="444"/>
      <c r="N214" s="444"/>
      <c r="O214" s="444"/>
      <c r="P214" s="444"/>
      <c r="Q214" s="444"/>
      <c r="R214" s="512"/>
      <c r="S214" s="512"/>
    </row>
    <row r="215" ht="15.75" customHeight="1">
      <c r="A215" s="426"/>
      <c r="B215" s="426"/>
      <c r="C215" s="426"/>
      <c r="D215" s="426"/>
      <c r="E215" s="426"/>
      <c r="F215" s="426"/>
      <c r="G215" s="426"/>
      <c r="H215" s="426"/>
      <c r="I215" s="426"/>
      <c r="J215" s="444"/>
      <c r="K215" s="444"/>
      <c r="L215" s="444"/>
      <c r="M215" s="444"/>
      <c r="N215" s="444"/>
      <c r="O215" s="444"/>
      <c r="P215" s="444"/>
      <c r="Q215" s="444"/>
      <c r="R215" s="512"/>
      <c r="S215" s="512"/>
    </row>
    <row r="216" ht="15.75" customHeight="1">
      <c r="A216" s="426"/>
      <c r="B216" s="426"/>
      <c r="C216" s="426"/>
      <c r="D216" s="426"/>
      <c r="E216" s="426"/>
      <c r="F216" s="426"/>
      <c r="G216" s="426"/>
      <c r="H216" s="426"/>
      <c r="I216" s="426"/>
      <c r="J216" s="444"/>
      <c r="K216" s="444"/>
      <c r="L216" s="444"/>
      <c r="M216" s="444"/>
      <c r="N216" s="444"/>
      <c r="O216" s="444"/>
      <c r="P216" s="444"/>
      <c r="Q216" s="444"/>
      <c r="R216" s="512"/>
      <c r="S216" s="512"/>
    </row>
    <row r="217" ht="15.75" customHeight="1">
      <c r="A217" s="426"/>
      <c r="B217" s="426"/>
      <c r="C217" s="426"/>
      <c r="D217" s="426"/>
      <c r="E217" s="426"/>
      <c r="F217" s="426"/>
      <c r="G217" s="426"/>
      <c r="H217" s="426"/>
      <c r="I217" s="426"/>
      <c r="J217" s="444"/>
      <c r="K217" s="444"/>
      <c r="L217" s="444"/>
      <c r="M217" s="444"/>
      <c r="N217" s="444"/>
      <c r="O217" s="444"/>
      <c r="P217" s="444"/>
      <c r="Q217" s="444"/>
      <c r="R217" s="512"/>
      <c r="S217" s="512"/>
    </row>
    <row r="218" ht="15.75" customHeight="1">
      <c r="A218" s="426"/>
      <c r="B218" s="426"/>
      <c r="C218" s="426"/>
      <c r="D218" s="426"/>
      <c r="E218" s="426"/>
      <c r="F218" s="426"/>
      <c r="G218" s="426"/>
      <c r="H218" s="426"/>
      <c r="I218" s="426"/>
      <c r="J218" s="444"/>
      <c r="K218" s="444"/>
      <c r="L218" s="444"/>
      <c r="M218" s="444"/>
      <c r="N218" s="444"/>
      <c r="O218" s="444"/>
      <c r="P218" s="444"/>
      <c r="Q218" s="444"/>
      <c r="R218" s="512"/>
      <c r="S218" s="512"/>
    </row>
    <row r="219" ht="15.75" customHeight="1">
      <c r="A219" s="426"/>
      <c r="B219" s="426"/>
      <c r="C219" s="426"/>
      <c r="D219" s="426"/>
      <c r="E219" s="426"/>
      <c r="F219" s="426"/>
      <c r="G219" s="426"/>
      <c r="H219" s="426"/>
      <c r="I219" s="426"/>
      <c r="J219" s="444"/>
      <c r="K219" s="444"/>
      <c r="L219" s="444"/>
      <c r="M219" s="444"/>
      <c r="N219" s="444"/>
      <c r="O219" s="444"/>
      <c r="P219" s="444"/>
      <c r="Q219" s="444"/>
      <c r="R219" s="512"/>
      <c r="S219" s="512"/>
    </row>
    <row r="220" ht="15.75" customHeight="1">
      <c r="A220" s="426"/>
      <c r="B220" s="426"/>
      <c r="C220" s="426"/>
      <c r="D220" s="426"/>
      <c r="E220" s="426"/>
      <c r="F220" s="426"/>
      <c r="G220" s="426"/>
      <c r="H220" s="426"/>
      <c r="I220" s="426"/>
      <c r="J220" s="444"/>
      <c r="K220" s="444"/>
      <c r="L220" s="444"/>
      <c r="M220" s="444"/>
      <c r="N220" s="444"/>
      <c r="O220" s="444"/>
      <c r="P220" s="444"/>
      <c r="Q220" s="444"/>
      <c r="R220" s="512"/>
      <c r="S220" s="5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7" width="6.5"/>
    <col customWidth="1" min="8" max="8" width="9.13"/>
    <col customWidth="1" min="9" max="9" width="11.38"/>
    <col customWidth="1" min="10" max="10" width="16.5"/>
    <col customWidth="1" min="11" max="11" width="12.75"/>
    <col customWidth="1" min="12" max="12" width="16.38"/>
    <col customWidth="1" min="13" max="13" width="15.13"/>
    <col customWidth="1" min="14" max="15" width="6.5"/>
    <col customWidth="1" min="16" max="16" width="7.5"/>
    <col customWidth="1" min="17" max="17" width="10.13"/>
    <col customWidth="1" min="18" max="18" width="15.0"/>
    <col customWidth="1" min="19" max="19" width="12.13"/>
    <col customWidth="1" min="20" max="20" width="10.5"/>
  </cols>
  <sheetData>
    <row r="1" ht="15.75" customHeight="1">
      <c r="N1" s="440"/>
      <c r="O1" s="440"/>
      <c r="P1" s="440"/>
      <c r="Q1" s="440"/>
      <c r="R1" s="510"/>
      <c r="S1" s="510"/>
      <c r="T1" s="511"/>
    </row>
    <row r="2" ht="15.75" customHeight="1">
      <c r="N2" s="444"/>
      <c r="O2" s="444"/>
      <c r="P2" s="444"/>
      <c r="Q2" s="444"/>
      <c r="R2" s="512"/>
      <c r="S2" s="512"/>
    </row>
    <row r="3" ht="15.75" customHeight="1">
      <c r="N3" s="444"/>
      <c r="O3" s="444"/>
      <c r="P3" s="444"/>
      <c r="Q3" s="444"/>
      <c r="R3" s="512"/>
      <c r="S3" s="512"/>
    </row>
    <row r="4" ht="15.75" customHeight="1">
      <c r="N4" s="444"/>
      <c r="O4" s="444"/>
      <c r="P4" s="444"/>
      <c r="Q4" s="444"/>
      <c r="R4" s="512"/>
      <c r="S4" s="512"/>
    </row>
    <row r="5" ht="15.75" customHeight="1">
      <c r="N5" s="444"/>
      <c r="O5" s="444"/>
      <c r="P5" s="444"/>
      <c r="Q5" s="444"/>
      <c r="R5" s="512"/>
      <c r="S5" s="512"/>
    </row>
    <row r="6" ht="15.75" customHeight="1">
      <c r="N6" s="444"/>
      <c r="O6" s="444"/>
      <c r="P6" s="444"/>
      <c r="Q6" s="444"/>
      <c r="R6" s="512"/>
      <c r="S6" s="512"/>
    </row>
    <row r="7" ht="15.75" customHeight="1">
      <c r="N7" s="444"/>
      <c r="O7" s="444"/>
      <c r="P7" s="444"/>
      <c r="Q7" s="444"/>
      <c r="R7" s="512"/>
      <c r="S7" s="512"/>
    </row>
    <row r="8" ht="15.75" customHeight="1">
      <c r="N8" s="444"/>
      <c r="O8" s="444"/>
      <c r="P8" s="444"/>
      <c r="Q8" s="444"/>
      <c r="R8" s="512"/>
      <c r="S8" s="512"/>
    </row>
    <row r="9" ht="15.75" customHeight="1">
      <c r="N9" s="444"/>
      <c r="O9" s="444"/>
      <c r="P9" s="444"/>
      <c r="Q9" s="444"/>
      <c r="R9" s="512"/>
      <c r="S9" s="512"/>
    </row>
    <row r="10" ht="15.75" customHeight="1">
      <c r="N10" s="444"/>
      <c r="O10" s="444"/>
      <c r="P10" s="444"/>
      <c r="Q10" s="444"/>
      <c r="R10" s="512"/>
      <c r="S10" s="512"/>
    </row>
    <row r="11" ht="15.75" customHeight="1">
      <c r="N11" s="444"/>
      <c r="O11" s="444"/>
      <c r="P11" s="444"/>
      <c r="Q11" s="444"/>
      <c r="R11" s="512"/>
      <c r="S11" s="512"/>
    </row>
    <row r="12" ht="15.75" customHeight="1">
      <c r="N12" s="444"/>
      <c r="O12" s="444"/>
      <c r="P12" s="444"/>
      <c r="Q12" s="444"/>
      <c r="R12" s="512"/>
      <c r="S12" s="512"/>
    </row>
    <row r="13" ht="15.75" customHeight="1">
      <c r="N13" s="444"/>
      <c r="O13" s="444"/>
      <c r="P13" s="444"/>
      <c r="Q13" s="444"/>
      <c r="R13" s="512"/>
      <c r="S13" s="512"/>
    </row>
    <row r="14" ht="15.75" customHeight="1">
      <c r="N14" s="444"/>
      <c r="O14" s="444"/>
      <c r="P14" s="444"/>
      <c r="Q14" s="444"/>
      <c r="R14" s="512"/>
      <c r="S14" s="512"/>
    </row>
    <row r="15" ht="15.75" customHeight="1">
      <c r="N15" s="444"/>
      <c r="O15" s="444"/>
      <c r="P15" s="444"/>
      <c r="Q15" s="444"/>
      <c r="R15" s="512"/>
      <c r="S15" s="512"/>
    </row>
    <row r="16" ht="15.75" customHeight="1">
      <c r="N16" s="444"/>
      <c r="O16" s="444"/>
      <c r="P16" s="444"/>
      <c r="Q16" s="444"/>
      <c r="R16" s="512"/>
      <c r="S16" s="512"/>
    </row>
    <row r="17" ht="15.75" customHeight="1">
      <c r="N17" s="444"/>
      <c r="O17" s="444"/>
      <c r="P17" s="444"/>
      <c r="Q17" s="444"/>
      <c r="R17" s="512"/>
      <c r="S17" s="512"/>
    </row>
    <row r="18" ht="15.75" customHeight="1">
      <c r="N18" s="444"/>
      <c r="O18" s="444"/>
      <c r="P18" s="444"/>
      <c r="Q18" s="444"/>
      <c r="R18" s="512"/>
      <c r="S18" s="512"/>
    </row>
    <row r="19" ht="15.75" customHeight="1">
      <c r="N19" s="444"/>
      <c r="O19" s="444"/>
      <c r="P19" s="444"/>
      <c r="Q19" s="444"/>
      <c r="R19" s="512"/>
      <c r="S19" s="512"/>
    </row>
    <row r="20" ht="15.75" customHeight="1">
      <c r="N20" s="444"/>
      <c r="O20" s="444"/>
      <c r="P20" s="444"/>
      <c r="Q20" s="444"/>
      <c r="R20" s="512"/>
      <c r="S20" s="512"/>
    </row>
    <row r="21" ht="15.75" customHeight="1">
      <c r="N21" s="444"/>
      <c r="O21" s="444"/>
      <c r="P21" s="444"/>
      <c r="Q21" s="444"/>
      <c r="R21" s="512"/>
      <c r="S21" s="512"/>
    </row>
    <row r="22" ht="15.75" customHeight="1">
      <c r="N22" s="444"/>
      <c r="O22" s="444"/>
      <c r="P22" s="444"/>
      <c r="Q22" s="444"/>
      <c r="R22" s="512"/>
      <c r="S22" s="512"/>
    </row>
    <row r="23" ht="15.75" customHeight="1">
      <c r="N23" s="444"/>
      <c r="O23" s="444"/>
      <c r="P23" s="444"/>
      <c r="Q23" s="444"/>
      <c r="R23" s="512"/>
      <c r="S23" s="512"/>
    </row>
    <row r="24" ht="15.75" customHeight="1">
      <c r="N24" s="444"/>
      <c r="O24" s="444"/>
      <c r="P24" s="444"/>
      <c r="Q24" s="444"/>
      <c r="R24" s="512"/>
      <c r="S24" s="512"/>
    </row>
    <row r="25" ht="15.75" customHeight="1">
      <c r="N25" s="444"/>
      <c r="O25" s="444"/>
      <c r="P25" s="444"/>
      <c r="Q25" s="444"/>
      <c r="R25" s="512"/>
      <c r="S25" s="512"/>
    </row>
    <row r="26" ht="15.75" customHeight="1">
      <c r="N26" s="444"/>
      <c r="O26" s="444"/>
      <c r="P26" s="444"/>
      <c r="Q26" s="444"/>
      <c r="R26" s="512"/>
      <c r="S26" s="512"/>
    </row>
    <row r="27" ht="15.75" customHeight="1">
      <c r="N27" s="444"/>
      <c r="O27" s="444"/>
      <c r="P27" s="444"/>
      <c r="Q27" s="444"/>
      <c r="R27" s="512"/>
      <c r="S27" s="512"/>
    </row>
    <row r="28" ht="15.75" customHeight="1">
      <c r="N28" s="444"/>
      <c r="O28" s="444"/>
      <c r="P28" s="444"/>
      <c r="Q28" s="444"/>
      <c r="R28" s="512"/>
      <c r="S28" s="512"/>
    </row>
    <row r="29" ht="15.75" customHeight="1">
      <c r="N29" s="444"/>
      <c r="O29" s="444"/>
      <c r="P29" s="444"/>
      <c r="Q29" s="444"/>
      <c r="R29" s="512"/>
      <c r="S29" s="512"/>
    </row>
    <row r="30" ht="15.75" customHeight="1">
      <c r="N30" s="444"/>
      <c r="O30" s="444"/>
      <c r="P30" s="444"/>
      <c r="Q30" s="444"/>
      <c r="R30" s="512"/>
      <c r="S30" s="512"/>
    </row>
    <row r="31" ht="15.75" customHeight="1">
      <c r="N31" s="444"/>
      <c r="O31" s="444"/>
      <c r="P31" s="444"/>
      <c r="Q31" s="444"/>
      <c r="R31" s="512"/>
      <c r="S31" s="512"/>
    </row>
    <row r="32" ht="15.75" customHeight="1">
      <c r="N32" s="444"/>
      <c r="O32" s="444"/>
      <c r="P32" s="444"/>
      <c r="Q32" s="444"/>
      <c r="R32" s="512"/>
      <c r="S32" s="512"/>
    </row>
    <row r="33" ht="15.75" customHeight="1">
      <c r="N33" s="444"/>
      <c r="O33" s="444"/>
      <c r="P33" s="444"/>
      <c r="Q33" s="444"/>
      <c r="R33" s="512"/>
      <c r="S33" s="512"/>
    </row>
    <row r="34" ht="15.75" customHeight="1">
      <c r="N34" s="444"/>
      <c r="O34" s="444"/>
      <c r="P34" s="444"/>
      <c r="Q34" s="444"/>
      <c r="R34" s="512"/>
      <c r="S34" s="512"/>
    </row>
    <row r="35" ht="15.75" customHeight="1">
      <c r="N35" s="444"/>
      <c r="O35" s="444"/>
      <c r="P35" s="444"/>
      <c r="Q35" s="444"/>
      <c r="R35" s="512"/>
      <c r="S35" s="512"/>
    </row>
    <row r="36" ht="15.75" customHeight="1">
      <c r="N36" s="444"/>
      <c r="O36" s="444"/>
      <c r="P36" s="444"/>
      <c r="Q36" s="444"/>
      <c r="R36" s="512"/>
      <c r="S36" s="512"/>
    </row>
    <row r="37" ht="15.75" customHeight="1">
      <c r="N37" s="444"/>
      <c r="O37" s="444"/>
      <c r="P37" s="444"/>
      <c r="Q37" s="444"/>
      <c r="R37" s="512"/>
      <c r="S37" s="512"/>
    </row>
    <row r="38" ht="15.75" customHeight="1">
      <c r="N38" s="444"/>
      <c r="O38" s="444"/>
      <c r="P38" s="444"/>
      <c r="Q38" s="444"/>
      <c r="R38" s="512"/>
      <c r="S38" s="512"/>
    </row>
    <row r="39" ht="15.75" customHeight="1">
      <c r="N39" s="444"/>
      <c r="O39" s="444"/>
      <c r="P39" s="444"/>
      <c r="Q39" s="444"/>
      <c r="R39" s="512"/>
      <c r="S39" s="512"/>
    </row>
    <row r="40" ht="15.75" customHeight="1">
      <c r="N40" s="444"/>
      <c r="O40" s="444"/>
      <c r="P40" s="444"/>
      <c r="Q40" s="444"/>
      <c r="R40" s="512"/>
      <c r="S40" s="512"/>
    </row>
    <row r="41" ht="15.75" customHeight="1">
      <c r="N41" s="444"/>
      <c r="O41" s="444"/>
      <c r="P41" s="444"/>
      <c r="Q41" s="444"/>
      <c r="R41" s="512"/>
      <c r="S41" s="512"/>
    </row>
    <row r="42" ht="15.75" customHeight="1">
      <c r="N42" s="444"/>
      <c r="O42" s="444"/>
      <c r="P42" s="444"/>
      <c r="Q42" s="444"/>
      <c r="R42" s="512"/>
      <c r="S42" s="512"/>
    </row>
    <row r="43" ht="15.75" customHeight="1">
      <c r="N43" s="444"/>
      <c r="O43" s="444"/>
      <c r="P43" s="444"/>
      <c r="Q43" s="444"/>
      <c r="R43" s="512"/>
      <c r="S43" s="512"/>
    </row>
    <row r="44" ht="15.75" customHeight="1">
      <c r="N44" s="444"/>
      <c r="O44" s="444"/>
      <c r="P44" s="444"/>
      <c r="Q44" s="444"/>
      <c r="R44" s="512"/>
      <c r="S44" s="512"/>
    </row>
    <row r="45" ht="15.75" customHeight="1">
      <c r="N45" s="444"/>
      <c r="O45" s="444"/>
      <c r="P45" s="444"/>
      <c r="Q45" s="444"/>
      <c r="R45" s="512"/>
      <c r="S45" s="512"/>
    </row>
    <row r="46" ht="15.75" customHeight="1">
      <c r="N46" s="444"/>
      <c r="O46" s="444"/>
      <c r="P46" s="444"/>
      <c r="Q46" s="444"/>
      <c r="R46" s="512"/>
      <c r="S46" s="512"/>
    </row>
    <row r="47" ht="15.75" customHeight="1">
      <c r="N47" s="444"/>
      <c r="O47" s="444"/>
      <c r="P47" s="444"/>
      <c r="Q47" s="444"/>
      <c r="R47" s="512"/>
      <c r="S47" s="512"/>
    </row>
    <row r="48" ht="15.75" customHeight="1">
      <c r="N48" s="444"/>
      <c r="O48" s="444"/>
      <c r="P48" s="444"/>
      <c r="Q48" s="444"/>
      <c r="R48" s="512"/>
      <c r="S48" s="512"/>
    </row>
    <row r="49" ht="15.75" customHeight="1">
      <c r="N49" s="444"/>
      <c r="O49" s="444"/>
      <c r="P49" s="444"/>
      <c r="Q49" s="444"/>
      <c r="R49" s="512"/>
      <c r="S49" s="512"/>
    </row>
    <row r="50" ht="15.75" customHeight="1">
      <c r="N50" s="444"/>
      <c r="O50" s="444"/>
      <c r="P50" s="444"/>
      <c r="Q50" s="444"/>
      <c r="R50" s="512"/>
      <c r="S50" s="512"/>
    </row>
    <row r="51" ht="15.75" customHeight="1">
      <c r="N51" s="444"/>
      <c r="O51" s="444"/>
      <c r="P51" s="444"/>
      <c r="Q51" s="444"/>
      <c r="R51" s="512"/>
      <c r="S51" s="512"/>
    </row>
    <row r="52" ht="15.75" customHeight="1">
      <c r="N52" s="444"/>
      <c r="O52" s="444"/>
      <c r="P52" s="444"/>
      <c r="Q52" s="444"/>
      <c r="R52" s="512"/>
      <c r="S52" s="512"/>
    </row>
    <row r="53" ht="15.75" customHeight="1">
      <c r="N53" s="444"/>
      <c r="O53" s="444"/>
      <c r="P53" s="444"/>
      <c r="Q53" s="444"/>
      <c r="R53" s="512"/>
      <c r="S53" s="512"/>
    </row>
    <row r="54" ht="15.75" customHeight="1">
      <c r="N54" s="444"/>
      <c r="O54" s="444"/>
      <c r="P54" s="444"/>
      <c r="Q54" s="444"/>
      <c r="R54" s="512"/>
      <c r="S54" s="512"/>
    </row>
    <row r="55" ht="15.75" customHeight="1">
      <c r="N55" s="444"/>
      <c r="O55" s="444"/>
      <c r="P55" s="444"/>
      <c r="Q55" s="444"/>
      <c r="R55" s="512"/>
      <c r="S55" s="512"/>
    </row>
    <row r="56" ht="15.75" customHeight="1">
      <c r="N56" s="444"/>
      <c r="O56" s="444"/>
      <c r="P56" s="444"/>
      <c r="Q56" s="444"/>
      <c r="R56" s="512"/>
      <c r="S56" s="512"/>
    </row>
    <row r="57" ht="15.75" customHeight="1">
      <c r="N57" s="444"/>
      <c r="O57" s="444"/>
      <c r="P57" s="444"/>
      <c r="Q57" s="444"/>
      <c r="R57" s="512"/>
      <c r="S57" s="512"/>
    </row>
    <row r="58" ht="15.75" customHeight="1">
      <c r="N58" s="444"/>
      <c r="O58" s="444"/>
      <c r="P58" s="444"/>
      <c r="Q58" s="444"/>
      <c r="R58" s="512"/>
      <c r="S58" s="512"/>
    </row>
    <row r="59" ht="15.75" customHeight="1">
      <c r="N59" s="444"/>
      <c r="O59" s="444"/>
      <c r="P59" s="444"/>
      <c r="Q59" s="444"/>
      <c r="R59" s="512"/>
      <c r="S59" s="512"/>
    </row>
    <row r="60" ht="15.75" customHeight="1">
      <c r="N60" s="444"/>
      <c r="O60" s="444"/>
      <c r="P60" s="444"/>
      <c r="Q60" s="444"/>
      <c r="R60" s="512"/>
      <c r="S60" s="512"/>
    </row>
    <row r="61" ht="15.75" customHeight="1">
      <c r="N61" s="444"/>
      <c r="O61" s="444"/>
      <c r="P61" s="444"/>
      <c r="Q61" s="444"/>
      <c r="R61" s="512"/>
      <c r="S61" s="512"/>
    </row>
    <row r="62" ht="15.75" customHeight="1">
      <c r="N62" s="444"/>
      <c r="O62" s="444"/>
      <c r="P62" s="444"/>
      <c r="Q62" s="444"/>
      <c r="R62" s="512"/>
      <c r="S62" s="512"/>
    </row>
    <row r="63" ht="15.75" customHeight="1">
      <c r="N63" s="444"/>
      <c r="O63" s="444"/>
      <c r="P63" s="444"/>
      <c r="Q63" s="444"/>
      <c r="R63" s="512"/>
      <c r="S63" s="512"/>
    </row>
    <row r="64" ht="15.75" customHeight="1">
      <c r="A64" s="426"/>
      <c r="B64" s="426"/>
      <c r="C64" s="426"/>
      <c r="D64" s="426"/>
      <c r="E64" s="426"/>
      <c r="F64" s="426"/>
      <c r="G64" s="426"/>
      <c r="H64" s="426"/>
      <c r="I64" s="426"/>
      <c r="J64" s="444"/>
      <c r="K64" s="444"/>
      <c r="L64" s="444"/>
      <c r="M64" s="444"/>
      <c r="N64" s="444"/>
      <c r="O64" s="444"/>
      <c r="P64" s="444"/>
      <c r="Q64" s="444"/>
      <c r="R64" s="512"/>
      <c r="S64" s="512"/>
    </row>
    <row r="65" ht="15.75" customHeight="1">
      <c r="A65" s="426"/>
      <c r="B65" s="426"/>
      <c r="C65" s="426"/>
      <c r="D65" s="426"/>
      <c r="E65" s="426"/>
      <c r="F65" s="426"/>
      <c r="G65" s="426"/>
      <c r="H65" s="426"/>
      <c r="I65" s="426"/>
      <c r="J65" s="444"/>
      <c r="K65" s="444"/>
      <c r="L65" s="444"/>
      <c r="M65" s="444"/>
      <c r="N65" s="444"/>
      <c r="O65" s="444"/>
      <c r="P65" s="444"/>
      <c r="Q65" s="444"/>
      <c r="R65" s="512"/>
      <c r="S65" s="512"/>
    </row>
    <row r="66" ht="15.75" customHeight="1">
      <c r="A66" s="426"/>
      <c r="B66" s="426"/>
      <c r="C66" s="426"/>
      <c r="D66" s="426"/>
      <c r="E66" s="426"/>
      <c r="F66" s="426"/>
      <c r="G66" s="426"/>
      <c r="H66" s="426"/>
      <c r="I66" s="426"/>
      <c r="J66" s="444"/>
      <c r="K66" s="444"/>
      <c r="L66" s="444"/>
      <c r="M66" s="444"/>
      <c r="N66" s="444"/>
      <c r="O66" s="444"/>
      <c r="P66" s="444"/>
      <c r="Q66" s="444"/>
      <c r="R66" s="512"/>
      <c r="S66" s="512"/>
    </row>
    <row r="67" ht="15.75" customHeight="1">
      <c r="A67" s="426"/>
      <c r="B67" s="426"/>
      <c r="C67" s="426"/>
      <c r="D67" s="426"/>
      <c r="E67" s="426"/>
      <c r="F67" s="426"/>
      <c r="G67" s="426"/>
      <c r="H67" s="426"/>
      <c r="I67" s="426"/>
      <c r="J67" s="444"/>
      <c r="K67" s="444"/>
      <c r="L67" s="444"/>
      <c r="M67" s="444"/>
      <c r="N67" s="444"/>
      <c r="O67" s="444"/>
      <c r="P67" s="444"/>
      <c r="Q67" s="444"/>
      <c r="R67" s="512"/>
      <c r="S67" s="512"/>
    </row>
    <row r="68" ht="15.75" customHeight="1">
      <c r="A68" s="426"/>
      <c r="B68" s="426"/>
      <c r="C68" s="426"/>
      <c r="D68" s="426"/>
      <c r="E68" s="426"/>
      <c r="F68" s="426"/>
      <c r="G68" s="426"/>
      <c r="H68" s="426"/>
      <c r="I68" s="426"/>
      <c r="J68" s="444"/>
      <c r="K68" s="444"/>
      <c r="L68" s="444"/>
      <c r="M68" s="444"/>
      <c r="N68" s="444"/>
      <c r="O68" s="444"/>
      <c r="P68" s="444"/>
      <c r="Q68" s="444"/>
      <c r="R68" s="512"/>
      <c r="S68" s="512"/>
    </row>
    <row r="69" ht="15.75" customHeight="1">
      <c r="A69" s="426"/>
      <c r="B69" s="426"/>
      <c r="C69" s="426"/>
      <c r="D69" s="426"/>
      <c r="E69" s="426"/>
      <c r="F69" s="426"/>
      <c r="G69" s="426"/>
      <c r="H69" s="426"/>
      <c r="I69" s="426"/>
      <c r="J69" s="444"/>
      <c r="K69" s="444"/>
      <c r="L69" s="444"/>
      <c r="M69" s="444"/>
      <c r="N69" s="444"/>
      <c r="O69" s="444"/>
      <c r="P69" s="444"/>
      <c r="Q69" s="444"/>
      <c r="R69" s="512"/>
      <c r="S69" s="512"/>
    </row>
    <row r="70" ht="15.75" customHeight="1">
      <c r="A70" s="426"/>
      <c r="B70" s="426"/>
      <c r="C70" s="426"/>
      <c r="D70" s="426"/>
      <c r="E70" s="426"/>
      <c r="F70" s="426"/>
      <c r="G70" s="426"/>
      <c r="H70" s="426"/>
      <c r="I70" s="426"/>
      <c r="J70" s="444"/>
      <c r="K70" s="444"/>
      <c r="L70" s="444"/>
      <c r="M70" s="444"/>
      <c r="N70" s="444"/>
      <c r="O70" s="444"/>
      <c r="P70" s="444"/>
      <c r="Q70" s="444"/>
      <c r="R70" s="512"/>
      <c r="S70" s="512"/>
    </row>
    <row r="71" ht="15.75" customHeight="1">
      <c r="A71" s="426"/>
      <c r="B71" s="426"/>
      <c r="C71" s="426"/>
      <c r="D71" s="426"/>
      <c r="E71" s="426"/>
      <c r="F71" s="426"/>
      <c r="G71" s="426"/>
      <c r="H71" s="426"/>
      <c r="I71" s="426"/>
      <c r="J71" s="444"/>
      <c r="K71" s="444"/>
      <c r="L71" s="444"/>
      <c r="M71" s="444"/>
      <c r="N71" s="444"/>
      <c r="O71" s="444"/>
      <c r="P71" s="444"/>
      <c r="Q71" s="444"/>
      <c r="R71" s="512"/>
      <c r="S71" s="512"/>
    </row>
    <row r="72" ht="15.75" customHeight="1">
      <c r="A72" s="426"/>
      <c r="B72" s="426"/>
      <c r="C72" s="426"/>
      <c r="D72" s="426"/>
      <c r="E72" s="426"/>
      <c r="F72" s="426"/>
      <c r="G72" s="426"/>
      <c r="H72" s="426"/>
      <c r="I72" s="426"/>
      <c r="J72" s="444"/>
      <c r="K72" s="444"/>
      <c r="L72" s="444"/>
      <c r="M72" s="444"/>
      <c r="N72" s="444"/>
      <c r="O72" s="444"/>
      <c r="P72" s="444"/>
      <c r="Q72" s="444"/>
      <c r="R72" s="512"/>
      <c r="S72" s="512"/>
    </row>
    <row r="73" ht="15.75" customHeight="1">
      <c r="A73" s="426"/>
      <c r="B73" s="426"/>
      <c r="C73" s="426"/>
      <c r="D73" s="426"/>
      <c r="E73" s="426"/>
      <c r="F73" s="426"/>
      <c r="G73" s="426"/>
      <c r="H73" s="426"/>
      <c r="I73" s="426"/>
      <c r="J73" s="444"/>
      <c r="K73" s="444"/>
      <c r="L73" s="444"/>
      <c r="M73" s="444"/>
      <c r="N73" s="444"/>
      <c r="O73" s="444"/>
      <c r="P73" s="444"/>
      <c r="Q73" s="444"/>
      <c r="R73" s="512"/>
      <c r="S73" s="512"/>
    </row>
    <row r="74" ht="15.75" customHeight="1">
      <c r="A74" s="426"/>
      <c r="B74" s="426"/>
      <c r="C74" s="426"/>
      <c r="D74" s="426"/>
      <c r="E74" s="426"/>
      <c r="F74" s="426"/>
      <c r="G74" s="426"/>
      <c r="H74" s="426"/>
      <c r="I74" s="426"/>
      <c r="J74" s="444"/>
      <c r="K74" s="444"/>
      <c r="L74" s="444"/>
      <c r="M74" s="444"/>
      <c r="N74" s="444"/>
      <c r="O74" s="444"/>
      <c r="P74" s="444"/>
      <c r="Q74" s="444"/>
      <c r="R74" s="512"/>
      <c r="S74" s="512"/>
    </row>
    <row r="75" ht="15.75" customHeight="1">
      <c r="A75" s="426"/>
      <c r="B75" s="426"/>
      <c r="C75" s="426"/>
      <c r="D75" s="426"/>
      <c r="E75" s="426"/>
      <c r="F75" s="426"/>
      <c r="G75" s="426"/>
      <c r="H75" s="426"/>
      <c r="I75" s="426"/>
      <c r="J75" s="444"/>
      <c r="K75" s="444"/>
      <c r="L75" s="444"/>
      <c r="M75" s="444"/>
      <c r="N75" s="444"/>
      <c r="O75" s="444"/>
      <c r="P75" s="444"/>
      <c r="Q75" s="444"/>
      <c r="R75" s="512"/>
      <c r="S75" s="512"/>
    </row>
    <row r="76" ht="15.75" customHeight="1">
      <c r="A76" s="426"/>
      <c r="B76" s="426"/>
      <c r="C76" s="426"/>
      <c r="D76" s="426"/>
      <c r="E76" s="426"/>
      <c r="F76" s="426"/>
      <c r="G76" s="426"/>
      <c r="H76" s="426"/>
      <c r="I76" s="426"/>
      <c r="J76" s="444"/>
      <c r="K76" s="444"/>
      <c r="L76" s="444"/>
      <c r="M76" s="444"/>
      <c r="N76" s="444"/>
      <c r="O76" s="444"/>
      <c r="P76" s="444"/>
      <c r="Q76" s="444"/>
      <c r="R76" s="512"/>
      <c r="S76" s="512"/>
    </row>
    <row r="77" ht="15.75" customHeight="1">
      <c r="A77" s="426"/>
      <c r="B77" s="426"/>
      <c r="C77" s="426"/>
      <c r="D77" s="426"/>
      <c r="E77" s="426"/>
      <c r="F77" s="426"/>
      <c r="G77" s="426"/>
      <c r="H77" s="426"/>
      <c r="I77" s="426"/>
      <c r="J77" s="444"/>
      <c r="K77" s="444"/>
      <c r="L77" s="444"/>
      <c r="M77" s="444"/>
      <c r="N77" s="444"/>
      <c r="O77" s="444"/>
      <c r="P77" s="444"/>
      <c r="Q77" s="444"/>
      <c r="R77" s="512"/>
      <c r="S77" s="512"/>
    </row>
    <row r="78" ht="15.75" customHeight="1">
      <c r="A78" s="426"/>
      <c r="B78" s="426"/>
      <c r="C78" s="426"/>
      <c r="D78" s="426"/>
      <c r="E78" s="426"/>
      <c r="F78" s="426"/>
      <c r="G78" s="426"/>
      <c r="H78" s="426"/>
      <c r="I78" s="426"/>
      <c r="J78" s="444"/>
      <c r="K78" s="444"/>
      <c r="L78" s="444"/>
      <c r="M78" s="444"/>
      <c r="N78" s="444"/>
      <c r="O78" s="444"/>
      <c r="P78" s="444"/>
      <c r="Q78" s="444"/>
      <c r="R78" s="512"/>
      <c r="S78" s="512"/>
    </row>
    <row r="79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44"/>
      <c r="K79" s="444"/>
      <c r="L79" s="444"/>
      <c r="M79" s="444"/>
      <c r="N79" s="444"/>
      <c r="O79" s="444"/>
      <c r="P79" s="444"/>
      <c r="Q79" s="444"/>
      <c r="R79" s="512"/>
      <c r="S79" s="512"/>
    </row>
    <row r="80" ht="15.75" customHeight="1">
      <c r="A80" s="426"/>
      <c r="B80" s="426"/>
      <c r="C80" s="426"/>
      <c r="D80" s="426"/>
      <c r="E80" s="426"/>
      <c r="F80" s="426"/>
      <c r="G80" s="426"/>
      <c r="H80" s="426"/>
      <c r="I80" s="426"/>
      <c r="J80" s="444"/>
      <c r="K80" s="444"/>
      <c r="L80" s="444"/>
      <c r="M80" s="444"/>
      <c r="N80" s="444"/>
      <c r="O80" s="444"/>
      <c r="P80" s="444"/>
      <c r="Q80" s="444"/>
      <c r="R80" s="512"/>
      <c r="S80" s="512"/>
    </row>
    <row r="81" ht="15.75" customHeight="1">
      <c r="A81" s="426"/>
      <c r="B81" s="426"/>
      <c r="C81" s="426"/>
      <c r="D81" s="426"/>
      <c r="E81" s="426"/>
      <c r="F81" s="426"/>
      <c r="G81" s="426"/>
      <c r="H81" s="426"/>
      <c r="I81" s="426"/>
      <c r="J81" s="444"/>
      <c r="K81" s="444"/>
      <c r="L81" s="444"/>
      <c r="M81" s="444"/>
      <c r="N81" s="444"/>
      <c r="O81" s="444"/>
      <c r="P81" s="444"/>
      <c r="Q81" s="444"/>
      <c r="R81" s="512"/>
      <c r="S81" s="512"/>
    </row>
    <row r="82" ht="15.75" customHeight="1">
      <c r="A82" s="426"/>
      <c r="B82" s="426"/>
      <c r="C82" s="426"/>
      <c r="D82" s="426"/>
      <c r="E82" s="426"/>
      <c r="F82" s="426"/>
      <c r="G82" s="426"/>
      <c r="H82" s="426"/>
      <c r="I82" s="426"/>
      <c r="J82" s="444"/>
      <c r="K82" s="444"/>
      <c r="L82" s="444"/>
      <c r="M82" s="444"/>
      <c r="N82" s="444"/>
      <c r="O82" s="444"/>
      <c r="P82" s="444"/>
      <c r="Q82" s="444"/>
      <c r="R82" s="512"/>
      <c r="S82" s="512"/>
    </row>
    <row r="83" ht="15.75" customHeight="1">
      <c r="A83" s="426"/>
      <c r="B83" s="426"/>
      <c r="C83" s="426"/>
      <c r="D83" s="426"/>
      <c r="E83" s="426"/>
      <c r="F83" s="426"/>
      <c r="G83" s="426"/>
      <c r="H83" s="426"/>
      <c r="I83" s="426"/>
      <c r="J83" s="444"/>
      <c r="K83" s="444"/>
      <c r="L83" s="444"/>
      <c r="M83" s="444"/>
      <c r="N83" s="444"/>
      <c r="O83" s="444"/>
      <c r="P83" s="444"/>
      <c r="Q83" s="444"/>
      <c r="R83" s="512"/>
      <c r="S83" s="512"/>
    </row>
    <row r="84" ht="15.75" customHeight="1">
      <c r="A84" s="426"/>
      <c r="B84" s="426"/>
      <c r="C84" s="426"/>
      <c r="D84" s="426"/>
      <c r="E84" s="426"/>
      <c r="F84" s="426"/>
      <c r="G84" s="426"/>
      <c r="H84" s="426"/>
      <c r="I84" s="426"/>
      <c r="J84" s="444"/>
      <c r="K84" s="444"/>
      <c r="L84" s="444"/>
      <c r="M84" s="444"/>
      <c r="N84" s="444"/>
      <c r="O84" s="444"/>
      <c r="P84" s="444"/>
      <c r="Q84" s="444"/>
      <c r="R84" s="512"/>
      <c r="S84" s="512"/>
    </row>
    <row r="85" ht="15.75" customHeight="1">
      <c r="A85" s="426"/>
      <c r="B85" s="426"/>
      <c r="C85" s="426"/>
      <c r="D85" s="426"/>
      <c r="E85" s="426"/>
      <c r="F85" s="426"/>
      <c r="G85" s="426"/>
      <c r="H85" s="426"/>
      <c r="I85" s="426"/>
      <c r="J85" s="444"/>
      <c r="K85" s="444"/>
      <c r="L85" s="444"/>
      <c r="M85" s="444"/>
      <c r="N85" s="444"/>
      <c r="O85" s="444"/>
      <c r="P85" s="444"/>
      <c r="Q85" s="444"/>
      <c r="R85" s="512"/>
      <c r="S85" s="512"/>
    </row>
    <row r="86" ht="15.75" customHeight="1">
      <c r="A86" s="426"/>
      <c r="B86" s="426"/>
      <c r="C86" s="426"/>
      <c r="D86" s="426"/>
      <c r="E86" s="426"/>
      <c r="F86" s="426"/>
      <c r="G86" s="426"/>
      <c r="H86" s="426"/>
      <c r="I86" s="426"/>
      <c r="J86" s="444"/>
      <c r="K86" s="444"/>
      <c r="L86" s="444"/>
      <c r="M86" s="444"/>
      <c r="N86" s="444"/>
      <c r="O86" s="444"/>
      <c r="P86" s="444"/>
      <c r="Q86" s="444"/>
      <c r="R86" s="512"/>
      <c r="S86" s="512"/>
    </row>
    <row r="87" ht="15.75" customHeight="1">
      <c r="A87" s="426"/>
      <c r="B87" s="426"/>
      <c r="C87" s="426"/>
      <c r="D87" s="426"/>
      <c r="E87" s="426"/>
      <c r="F87" s="426"/>
      <c r="G87" s="426"/>
      <c r="H87" s="426"/>
      <c r="I87" s="426"/>
      <c r="J87" s="444"/>
      <c r="K87" s="444"/>
      <c r="L87" s="444"/>
      <c r="M87" s="444"/>
      <c r="N87" s="444"/>
      <c r="O87" s="444"/>
      <c r="P87" s="444"/>
      <c r="Q87" s="444"/>
      <c r="R87" s="512"/>
      <c r="S87" s="512"/>
    </row>
    <row r="88" ht="15.75" customHeight="1">
      <c r="A88" s="426"/>
      <c r="B88" s="426"/>
      <c r="C88" s="426"/>
      <c r="D88" s="426"/>
      <c r="E88" s="426"/>
      <c r="F88" s="426"/>
      <c r="G88" s="426"/>
      <c r="H88" s="426"/>
      <c r="I88" s="426"/>
      <c r="J88" s="444"/>
      <c r="K88" s="444"/>
      <c r="L88" s="444"/>
      <c r="M88" s="444"/>
      <c r="N88" s="444"/>
      <c r="O88" s="444"/>
      <c r="P88" s="444"/>
      <c r="Q88" s="444"/>
      <c r="R88" s="512"/>
      <c r="S88" s="512"/>
    </row>
    <row r="89" ht="15.75" customHeight="1">
      <c r="A89" s="426"/>
      <c r="B89" s="426"/>
      <c r="C89" s="426"/>
      <c r="D89" s="426"/>
      <c r="E89" s="426"/>
      <c r="F89" s="426"/>
      <c r="G89" s="426"/>
      <c r="H89" s="426"/>
      <c r="I89" s="426"/>
      <c r="J89" s="444"/>
      <c r="K89" s="444"/>
      <c r="L89" s="444"/>
      <c r="M89" s="444"/>
      <c r="N89" s="444"/>
      <c r="O89" s="444"/>
      <c r="P89" s="444"/>
      <c r="Q89" s="444"/>
      <c r="R89" s="512"/>
      <c r="S89" s="512"/>
    </row>
    <row r="90" ht="15.75" customHeight="1">
      <c r="A90" s="426"/>
      <c r="B90" s="426"/>
      <c r="C90" s="426"/>
      <c r="D90" s="426"/>
      <c r="E90" s="426"/>
      <c r="F90" s="426"/>
      <c r="G90" s="426"/>
      <c r="H90" s="426"/>
      <c r="I90" s="426"/>
      <c r="J90" s="444"/>
      <c r="K90" s="444"/>
      <c r="L90" s="444"/>
      <c r="M90" s="444"/>
      <c r="N90" s="444"/>
      <c r="O90" s="444"/>
      <c r="P90" s="444"/>
      <c r="Q90" s="444"/>
      <c r="R90" s="512"/>
      <c r="S90" s="512"/>
    </row>
    <row r="91" ht="15.75" customHeight="1">
      <c r="A91" s="426"/>
      <c r="B91" s="426"/>
      <c r="C91" s="426"/>
      <c r="D91" s="426"/>
      <c r="E91" s="426"/>
      <c r="F91" s="426"/>
      <c r="G91" s="426"/>
      <c r="H91" s="426"/>
      <c r="I91" s="426"/>
      <c r="J91" s="444"/>
      <c r="K91" s="444"/>
      <c r="L91" s="444"/>
      <c r="M91" s="444"/>
      <c r="N91" s="444"/>
      <c r="O91" s="444"/>
      <c r="P91" s="444"/>
      <c r="Q91" s="444"/>
      <c r="R91" s="512"/>
      <c r="S91" s="512"/>
    </row>
    <row r="92" ht="15.75" customHeight="1">
      <c r="A92" s="426"/>
      <c r="B92" s="426"/>
      <c r="C92" s="426"/>
      <c r="D92" s="426"/>
      <c r="E92" s="426"/>
      <c r="F92" s="426"/>
      <c r="G92" s="426"/>
      <c r="H92" s="426"/>
      <c r="I92" s="426"/>
      <c r="J92" s="444"/>
      <c r="K92" s="444"/>
      <c r="L92" s="444"/>
      <c r="M92" s="444"/>
      <c r="N92" s="444"/>
      <c r="O92" s="444"/>
      <c r="P92" s="444"/>
      <c r="Q92" s="444"/>
      <c r="R92" s="512"/>
      <c r="S92" s="512"/>
    </row>
    <row r="93" ht="15.75" customHeight="1">
      <c r="A93" s="426"/>
      <c r="B93" s="426"/>
      <c r="C93" s="426"/>
      <c r="D93" s="426"/>
      <c r="E93" s="426"/>
      <c r="F93" s="426"/>
      <c r="G93" s="426"/>
      <c r="H93" s="426"/>
      <c r="I93" s="426"/>
      <c r="J93" s="444"/>
      <c r="K93" s="444"/>
      <c r="L93" s="444"/>
      <c r="M93" s="444"/>
      <c r="N93" s="444"/>
      <c r="O93" s="444"/>
      <c r="P93" s="444"/>
      <c r="Q93" s="444"/>
      <c r="R93" s="512"/>
      <c r="S93" s="512"/>
    </row>
    <row r="94" ht="15.75" customHeight="1">
      <c r="A94" s="426"/>
      <c r="B94" s="426"/>
      <c r="C94" s="426"/>
      <c r="D94" s="426"/>
      <c r="E94" s="426"/>
      <c r="F94" s="426"/>
      <c r="G94" s="426"/>
      <c r="H94" s="426"/>
      <c r="I94" s="426"/>
      <c r="J94" s="444"/>
      <c r="K94" s="444"/>
      <c r="L94" s="444"/>
      <c r="M94" s="444"/>
      <c r="N94" s="444"/>
      <c r="O94" s="444"/>
      <c r="P94" s="444"/>
      <c r="Q94" s="444"/>
      <c r="R94" s="512"/>
      <c r="S94" s="512"/>
    </row>
    <row r="95" ht="15.75" customHeight="1">
      <c r="A95" s="426"/>
      <c r="B95" s="426"/>
      <c r="C95" s="426"/>
      <c r="D95" s="426"/>
      <c r="E95" s="426"/>
      <c r="F95" s="426"/>
      <c r="G95" s="426"/>
      <c r="H95" s="426"/>
      <c r="I95" s="426"/>
      <c r="J95" s="444"/>
      <c r="K95" s="444"/>
      <c r="L95" s="444"/>
      <c r="M95" s="444"/>
      <c r="N95" s="444"/>
      <c r="O95" s="444"/>
      <c r="P95" s="444"/>
      <c r="Q95" s="444"/>
      <c r="R95" s="512"/>
      <c r="S95" s="512"/>
    </row>
    <row r="96" ht="15.75" customHeight="1">
      <c r="A96" s="426"/>
      <c r="B96" s="426"/>
      <c r="C96" s="426"/>
      <c r="D96" s="426"/>
      <c r="E96" s="426"/>
      <c r="F96" s="426"/>
      <c r="G96" s="426"/>
      <c r="H96" s="426"/>
      <c r="I96" s="426"/>
      <c r="J96" s="444"/>
      <c r="K96" s="444"/>
      <c r="L96" s="444"/>
      <c r="M96" s="444"/>
      <c r="N96" s="444"/>
      <c r="O96" s="444"/>
      <c r="P96" s="444"/>
      <c r="Q96" s="444"/>
      <c r="R96" s="512"/>
      <c r="S96" s="512"/>
    </row>
    <row r="97" ht="15.75" customHeight="1">
      <c r="A97" s="426"/>
      <c r="B97" s="426"/>
      <c r="C97" s="426"/>
      <c r="D97" s="426"/>
      <c r="E97" s="426"/>
      <c r="F97" s="426"/>
      <c r="G97" s="426"/>
      <c r="H97" s="426"/>
      <c r="I97" s="426"/>
      <c r="J97" s="444"/>
      <c r="K97" s="444"/>
      <c r="L97" s="444"/>
      <c r="M97" s="444"/>
      <c r="N97" s="444"/>
      <c r="O97" s="444"/>
      <c r="P97" s="444"/>
      <c r="Q97" s="444"/>
      <c r="R97" s="512"/>
      <c r="S97" s="512"/>
    </row>
    <row r="98" ht="15.75" customHeight="1">
      <c r="A98" s="426"/>
      <c r="B98" s="426"/>
      <c r="C98" s="426"/>
      <c r="D98" s="426"/>
      <c r="E98" s="426"/>
      <c r="F98" s="426"/>
      <c r="G98" s="426"/>
      <c r="H98" s="426"/>
      <c r="I98" s="426"/>
      <c r="J98" s="444"/>
      <c r="K98" s="444"/>
      <c r="L98" s="444"/>
      <c r="M98" s="444"/>
      <c r="N98" s="444"/>
      <c r="O98" s="444"/>
      <c r="P98" s="444"/>
      <c r="Q98" s="444"/>
      <c r="R98" s="512"/>
      <c r="S98" s="512"/>
    </row>
    <row r="99" ht="15.75" customHeight="1">
      <c r="A99" s="426"/>
      <c r="B99" s="426"/>
      <c r="C99" s="426"/>
      <c r="D99" s="426"/>
      <c r="E99" s="426"/>
      <c r="F99" s="426"/>
      <c r="G99" s="426"/>
      <c r="H99" s="426"/>
      <c r="I99" s="426"/>
      <c r="J99" s="444"/>
      <c r="K99" s="444"/>
      <c r="L99" s="444"/>
      <c r="M99" s="444"/>
      <c r="N99" s="444"/>
      <c r="O99" s="444"/>
      <c r="P99" s="444"/>
      <c r="Q99" s="444"/>
      <c r="R99" s="512"/>
      <c r="S99" s="512"/>
    </row>
    <row r="100" ht="15.75" customHeight="1">
      <c r="A100" s="426"/>
      <c r="B100" s="426"/>
      <c r="C100" s="426"/>
      <c r="D100" s="426"/>
      <c r="E100" s="426"/>
      <c r="F100" s="426"/>
      <c r="G100" s="426"/>
      <c r="H100" s="426"/>
      <c r="I100" s="426"/>
      <c r="J100" s="444"/>
      <c r="K100" s="444"/>
      <c r="L100" s="444"/>
      <c r="M100" s="444"/>
      <c r="N100" s="444"/>
      <c r="O100" s="444"/>
      <c r="P100" s="444"/>
      <c r="Q100" s="444"/>
      <c r="R100" s="512"/>
      <c r="S100" s="512"/>
    </row>
    <row r="101" ht="15.75" customHeight="1">
      <c r="A101" s="426"/>
      <c r="B101" s="426"/>
      <c r="C101" s="426"/>
      <c r="D101" s="426"/>
      <c r="E101" s="426"/>
      <c r="F101" s="426"/>
      <c r="G101" s="426"/>
      <c r="H101" s="426"/>
      <c r="I101" s="426"/>
      <c r="J101" s="444"/>
      <c r="K101" s="444"/>
      <c r="L101" s="444"/>
      <c r="M101" s="444"/>
      <c r="N101" s="444"/>
      <c r="O101" s="444"/>
      <c r="P101" s="444"/>
      <c r="Q101" s="444"/>
      <c r="R101" s="512"/>
      <c r="S101" s="512"/>
    </row>
    <row r="102" ht="15.75" customHeight="1">
      <c r="A102" s="426"/>
      <c r="B102" s="426"/>
      <c r="C102" s="426"/>
      <c r="D102" s="426"/>
      <c r="E102" s="426"/>
      <c r="F102" s="426"/>
      <c r="G102" s="426"/>
      <c r="H102" s="426"/>
      <c r="I102" s="426"/>
      <c r="J102" s="444"/>
      <c r="K102" s="444"/>
      <c r="L102" s="444"/>
      <c r="M102" s="444"/>
      <c r="N102" s="444"/>
      <c r="O102" s="444"/>
      <c r="P102" s="444"/>
      <c r="Q102" s="444"/>
      <c r="R102" s="512"/>
      <c r="S102" s="512"/>
    </row>
    <row r="103" ht="15.75" customHeight="1">
      <c r="A103" s="426"/>
      <c r="B103" s="426"/>
      <c r="C103" s="426"/>
      <c r="D103" s="426"/>
      <c r="E103" s="426"/>
      <c r="F103" s="426"/>
      <c r="G103" s="426"/>
      <c r="H103" s="426"/>
      <c r="I103" s="426"/>
      <c r="J103" s="444"/>
      <c r="K103" s="444"/>
      <c r="L103" s="444"/>
      <c r="M103" s="444"/>
      <c r="N103" s="444"/>
      <c r="O103" s="444"/>
      <c r="P103" s="444"/>
      <c r="Q103" s="444"/>
      <c r="R103" s="512"/>
      <c r="S103" s="512"/>
    </row>
    <row r="104" ht="15.75" customHeight="1">
      <c r="A104" s="426"/>
      <c r="B104" s="426"/>
      <c r="C104" s="426"/>
      <c r="D104" s="426"/>
      <c r="E104" s="426"/>
      <c r="F104" s="426"/>
      <c r="G104" s="426"/>
      <c r="H104" s="426"/>
      <c r="I104" s="426"/>
      <c r="J104" s="444"/>
      <c r="K104" s="444"/>
      <c r="L104" s="444"/>
      <c r="M104" s="444"/>
      <c r="N104" s="444"/>
      <c r="O104" s="444"/>
      <c r="P104" s="444"/>
      <c r="Q104" s="444"/>
      <c r="R104" s="512"/>
      <c r="S104" s="512"/>
    </row>
    <row r="105" ht="15.75" customHeight="1">
      <c r="A105" s="426"/>
      <c r="B105" s="426"/>
      <c r="C105" s="426"/>
      <c r="D105" s="426"/>
      <c r="E105" s="426"/>
      <c r="F105" s="426"/>
      <c r="G105" s="426"/>
      <c r="H105" s="426"/>
      <c r="I105" s="426"/>
      <c r="J105" s="444"/>
      <c r="K105" s="444"/>
      <c r="L105" s="444"/>
      <c r="M105" s="444"/>
      <c r="N105" s="444"/>
      <c r="O105" s="444"/>
      <c r="P105" s="444"/>
      <c r="Q105" s="444"/>
      <c r="R105" s="512"/>
      <c r="S105" s="512"/>
    </row>
    <row r="106" ht="15.75" customHeight="1">
      <c r="A106" s="426"/>
      <c r="B106" s="426"/>
      <c r="C106" s="426"/>
      <c r="D106" s="426"/>
      <c r="E106" s="426"/>
      <c r="F106" s="426"/>
      <c r="G106" s="426"/>
      <c r="H106" s="426"/>
      <c r="I106" s="426"/>
      <c r="J106" s="444"/>
      <c r="K106" s="444"/>
      <c r="L106" s="444"/>
      <c r="M106" s="444"/>
      <c r="N106" s="444"/>
      <c r="O106" s="444"/>
      <c r="P106" s="444"/>
      <c r="Q106" s="444"/>
      <c r="R106" s="512"/>
      <c r="S106" s="512"/>
    </row>
    <row r="107" ht="15.75" customHeight="1">
      <c r="A107" s="426"/>
      <c r="B107" s="426"/>
      <c r="C107" s="426"/>
      <c r="D107" s="426"/>
      <c r="E107" s="426"/>
      <c r="F107" s="426"/>
      <c r="G107" s="426"/>
      <c r="H107" s="426"/>
      <c r="I107" s="426"/>
      <c r="J107" s="444"/>
      <c r="K107" s="444"/>
      <c r="L107" s="444"/>
      <c r="M107" s="444"/>
      <c r="N107" s="444"/>
      <c r="O107" s="444"/>
      <c r="P107" s="444"/>
      <c r="Q107" s="444"/>
      <c r="R107" s="512"/>
      <c r="S107" s="512"/>
    </row>
    <row r="108" ht="15.75" customHeight="1">
      <c r="A108" s="426"/>
      <c r="B108" s="426"/>
      <c r="C108" s="426"/>
      <c r="D108" s="426"/>
      <c r="E108" s="426"/>
      <c r="F108" s="426"/>
      <c r="G108" s="426"/>
      <c r="H108" s="426"/>
      <c r="I108" s="426"/>
      <c r="J108" s="444"/>
      <c r="K108" s="444"/>
      <c r="L108" s="444"/>
      <c r="M108" s="444"/>
      <c r="N108" s="444"/>
      <c r="O108" s="444"/>
      <c r="P108" s="444"/>
      <c r="Q108" s="444"/>
      <c r="R108" s="512"/>
      <c r="S108" s="512"/>
    </row>
    <row r="109" ht="15.75" customHeight="1">
      <c r="A109" s="426"/>
      <c r="B109" s="426"/>
      <c r="C109" s="426"/>
      <c r="D109" s="426"/>
      <c r="E109" s="426"/>
      <c r="F109" s="426"/>
      <c r="G109" s="426"/>
      <c r="H109" s="426"/>
      <c r="I109" s="426"/>
      <c r="J109" s="444"/>
      <c r="K109" s="444"/>
      <c r="L109" s="444"/>
      <c r="M109" s="444"/>
      <c r="N109" s="444"/>
      <c r="O109" s="444"/>
      <c r="P109" s="444"/>
      <c r="Q109" s="444"/>
      <c r="R109" s="512"/>
      <c r="S109" s="512"/>
    </row>
    <row r="110" ht="15.75" customHeight="1">
      <c r="A110" s="426"/>
      <c r="B110" s="426"/>
      <c r="C110" s="426"/>
      <c r="D110" s="426"/>
      <c r="E110" s="426"/>
      <c r="F110" s="426"/>
      <c r="G110" s="426"/>
      <c r="H110" s="426"/>
      <c r="I110" s="426"/>
      <c r="J110" s="444"/>
      <c r="K110" s="444"/>
      <c r="L110" s="444"/>
      <c r="M110" s="444"/>
      <c r="N110" s="444"/>
      <c r="O110" s="444"/>
      <c r="P110" s="444"/>
      <c r="Q110" s="444"/>
      <c r="R110" s="512"/>
      <c r="S110" s="512"/>
    </row>
    <row r="111" ht="15.75" customHeight="1">
      <c r="A111" s="426"/>
      <c r="B111" s="426"/>
      <c r="C111" s="426"/>
      <c r="D111" s="426"/>
      <c r="E111" s="426"/>
      <c r="F111" s="426"/>
      <c r="G111" s="426"/>
      <c r="H111" s="426"/>
      <c r="I111" s="426"/>
      <c r="J111" s="444"/>
      <c r="K111" s="444"/>
      <c r="L111" s="444"/>
      <c r="M111" s="444"/>
      <c r="N111" s="444"/>
      <c r="O111" s="444"/>
      <c r="P111" s="444"/>
      <c r="Q111" s="444"/>
      <c r="R111" s="512"/>
      <c r="S111" s="512"/>
    </row>
    <row r="112" ht="15.75" customHeight="1">
      <c r="A112" s="426"/>
      <c r="B112" s="426"/>
      <c r="C112" s="426"/>
      <c r="D112" s="426"/>
      <c r="E112" s="426"/>
      <c r="F112" s="426"/>
      <c r="G112" s="426"/>
      <c r="H112" s="426"/>
      <c r="I112" s="426"/>
      <c r="J112" s="444"/>
      <c r="K112" s="444"/>
      <c r="L112" s="444"/>
      <c r="M112" s="444"/>
      <c r="N112" s="444"/>
      <c r="O112" s="444"/>
      <c r="P112" s="444"/>
      <c r="Q112" s="444"/>
      <c r="R112" s="512"/>
      <c r="S112" s="512"/>
    </row>
    <row r="113" ht="15.75" customHeight="1">
      <c r="A113" s="426"/>
      <c r="B113" s="426"/>
      <c r="C113" s="426"/>
      <c r="D113" s="426"/>
      <c r="E113" s="426"/>
      <c r="F113" s="426"/>
      <c r="G113" s="426"/>
      <c r="H113" s="426"/>
      <c r="I113" s="426"/>
      <c r="J113" s="444"/>
      <c r="K113" s="444"/>
      <c r="L113" s="444"/>
      <c r="M113" s="444"/>
      <c r="N113" s="444"/>
      <c r="O113" s="444"/>
      <c r="P113" s="444"/>
      <c r="Q113" s="444"/>
      <c r="R113" s="512"/>
      <c r="S113" s="512"/>
    </row>
    <row r="114" ht="15.75" customHeight="1">
      <c r="A114" s="426"/>
      <c r="B114" s="426"/>
      <c r="C114" s="426"/>
      <c r="D114" s="426"/>
      <c r="E114" s="426"/>
      <c r="F114" s="426"/>
      <c r="G114" s="426"/>
      <c r="H114" s="426"/>
      <c r="I114" s="426"/>
      <c r="J114" s="444"/>
      <c r="K114" s="444"/>
      <c r="L114" s="444"/>
      <c r="M114" s="444"/>
      <c r="N114" s="444"/>
      <c r="O114" s="444"/>
      <c r="P114" s="444"/>
      <c r="Q114" s="444"/>
      <c r="R114" s="512"/>
      <c r="S114" s="512"/>
    </row>
    <row r="115" ht="15.75" customHeight="1">
      <c r="A115" s="426"/>
      <c r="B115" s="426"/>
      <c r="C115" s="426"/>
      <c r="D115" s="426"/>
      <c r="E115" s="426"/>
      <c r="F115" s="426"/>
      <c r="G115" s="426"/>
      <c r="H115" s="426"/>
      <c r="I115" s="426"/>
      <c r="J115" s="444"/>
      <c r="K115" s="444"/>
      <c r="L115" s="444"/>
      <c r="M115" s="444"/>
      <c r="N115" s="444"/>
      <c r="O115" s="444"/>
      <c r="P115" s="444"/>
      <c r="Q115" s="444"/>
      <c r="R115" s="512"/>
      <c r="S115" s="512"/>
    </row>
    <row r="116" ht="15.75" customHeight="1">
      <c r="A116" s="426"/>
      <c r="B116" s="426"/>
      <c r="C116" s="426"/>
      <c r="D116" s="426"/>
      <c r="E116" s="426"/>
      <c r="F116" s="426"/>
      <c r="G116" s="426"/>
      <c r="H116" s="426"/>
      <c r="I116" s="426"/>
      <c r="J116" s="444"/>
      <c r="K116" s="444"/>
      <c r="L116" s="444"/>
      <c r="M116" s="444"/>
      <c r="N116" s="444"/>
      <c r="O116" s="444"/>
      <c r="P116" s="444"/>
      <c r="Q116" s="444"/>
      <c r="R116" s="512"/>
      <c r="S116" s="512"/>
    </row>
    <row r="117" ht="15.75" customHeight="1">
      <c r="A117" s="426"/>
      <c r="B117" s="426"/>
      <c r="C117" s="426"/>
      <c r="D117" s="426"/>
      <c r="E117" s="426"/>
      <c r="F117" s="426"/>
      <c r="G117" s="426"/>
      <c r="H117" s="426"/>
      <c r="I117" s="426"/>
      <c r="J117" s="444"/>
      <c r="K117" s="444"/>
      <c r="L117" s="444"/>
      <c r="M117" s="444"/>
      <c r="N117" s="444"/>
      <c r="O117" s="444"/>
      <c r="P117" s="444"/>
      <c r="Q117" s="444"/>
      <c r="R117" s="512"/>
      <c r="S117" s="512"/>
    </row>
    <row r="118" ht="15.75" customHeight="1">
      <c r="A118" s="426"/>
      <c r="B118" s="426"/>
      <c r="C118" s="426"/>
      <c r="D118" s="426"/>
      <c r="E118" s="426"/>
      <c r="F118" s="426"/>
      <c r="G118" s="426"/>
      <c r="H118" s="426"/>
      <c r="I118" s="426"/>
      <c r="J118" s="444"/>
      <c r="K118" s="444"/>
      <c r="L118" s="444"/>
      <c r="M118" s="444"/>
      <c r="N118" s="444"/>
      <c r="O118" s="444"/>
      <c r="P118" s="444"/>
      <c r="Q118" s="444"/>
      <c r="R118" s="512"/>
      <c r="S118" s="512"/>
    </row>
    <row r="119" ht="15.75" customHeight="1">
      <c r="A119" s="426"/>
      <c r="B119" s="426"/>
      <c r="C119" s="426"/>
      <c r="D119" s="426"/>
      <c r="E119" s="426"/>
      <c r="F119" s="426"/>
      <c r="G119" s="426"/>
      <c r="H119" s="426"/>
      <c r="I119" s="426"/>
      <c r="J119" s="444"/>
      <c r="K119" s="444"/>
      <c r="L119" s="444"/>
      <c r="M119" s="444"/>
      <c r="N119" s="444"/>
      <c r="O119" s="444"/>
      <c r="P119" s="444"/>
      <c r="Q119" s="444"/>
      <c r="R119" s="512"/>
      <c r="S119" s="512"/>
    </row>
    <row r="120" ht="15.75" customHeight="1">
      <c r="A120" s="426"/>
      <c r="B120" s="426"/>
      <c r="C120" s="426"/>
      <c r="D120" s="426"/>
      <c r="E120" s="426"/>
      <c r="F120" s="426"/>
      <c r="G120" s="426"/>
      <c r="H120" s="426"/>
      <c r="I120" s="426"/>
      <c r="J120" s="444"/>
      <c r="K120" s="444"/>
      <c r="L120" s="444"/>
      <c r="M120" s="444"/>
      <c r="N120" s="444"/>
      <c r="O120" s="444"/>
      <c r="P120" s="444"/>
      <c r="Q120" s="444"/>
      <c r="R120" s="512"/>
      <c r="S120" s="512"/>
    </row>
    <row r="121" ht="15.75" customHeight="1">
      <c r="A121" s="426"/>
      <c r="B121" s="426"/>
      <c r="C121" s="426"/>
      <c r="D121" s="426"/>
      <c r="E121" s="426"/>
      <c r="F121" s="426"/>
      <c r="G121" s="426"/>
      <c r="H121" s="426"/>
      <c r="I121" s="426"/>
      <c r="J121" s="444"/>
      <c r="K121" s="444"/>
      <c r="L121" s="444"/>
      <c r="M121" s="444"/>
      <c r="N121" s="444"/>
      <c r="O121" s="444"/>
      <c r="P121" s="444"/>
      <c r="Q121" s="444"/>
      <c r="R121" s="512"/>
      <c r="S121" s="512"/>
    </row>
    <row r="122" ht="15.75" customHeight="1">
      <c r="A122" s="426"/>
      <c r="B122" s="426"/>
      <c r="C122" s="426"/>
      <c r="D122" s="426"/>
      <c r="E122" s="426"/>
      <c r="F122" s="426"/>
      <c r="G122" s="426"/>
      <c r="H122" s="426"/>
      <c r="I122" s="426"/>
      <c r="J122" s="444"/>
      <c r="K122" s="444"/>
      <c r="L122" s="444"/>
      <c r="M122" s="444"/>
      <c r="N122" s="444"/>
      <c r="O122" s="444"/>
      <c r="P122" s="444"/>
      <c r="Q122" s="444"/>
      <c r="R122" s="512"/>
      <c r="S122" s="512"/>
    </row>
    <row r="123" ht="15.75" customHeight="1">
      <c r="A123" s="426"/>
      <c r="B123" s="426"/>
      <c r="C123" s="426"/>
      <c r="D123" s="426"/>
      <c r="E123" s="426"/>
      <c r="F123" s="426"/>
      <c r="G123" s="426"/>
      <c r="H123" s="426"/>
      <c r="I123" s="426"/>
      <c r="J123" s="444"/>
      <c r="K123" s="444"/>
      <c r="L123" s="444"/>
      <c r="M123" s="444"/>
      <c r="N123" s="444"/>
      <c r="O123" s="444"/>
      <c r="P123" s="444"/>
      <c r="Q123" s="444"/>
      <c r="R123" s="512"/>
      <c r="S123" s="512"/>
    </row>
    <row r="124" ht="15.75" customHeight="1">
      <c r="A124" s="426"/>
      <c r="B124" s="426"/>
      <c r="C124" s="426"/>
      <c r="D124" s="426"/>
      <c r="E124" s="426"/>
      <c r="F124" s="426"/>
      <c r="G124" s="426"/>
      <c r="H124" s="426"/>
      <c r="I124" s="426"/>
      <c r="J124" s="444"/>
      <c r="K124" s="444"/>
      <c r="L124" s="444"/>
      <c r="M124" s="444"/>
      <c r="N124" s="444"/>
      <c r="O124" s="444"/>
      <c r="P124" s="444"/>
      <c r="Q124" s="444"/>
      <c r="R124" s="512"/>
      <c r="S124" s="512"/>
    </row>
    <row r="125" ht="15.75" customHeight="1">
      <c r="A125" s="426"/>
      <c r="B125" s="426"/>
      <c r="C125" s="426"/>
      <c r="D125" s="426"/>
      <c r="E125" s="426"/>
      <c r="F125" s="426"/>
      <c r="G125" s="426"/>
      <c r="H125" s="426"/>
      <c r="I125" s="426"/>
      <c r="J125" s="444"/>
      <c r="K125" s="444"/>
      <c r="L125" s="444"/>
      <c r="M125" s="444"/>
      <c r="N125" s="444"/>
      <c r="O125" s="444"/>
      <c r="P125" s="444"/>
      <c r="Q125" s="444"/>
      <c r="R125" s="512"/>
      <c r="S125" s="512"/>
    </row>
    <row r="126" ht="15.75" customHeight="1">
      <c r="A126" s="426"/>
      <c r="B126" s="426"/>
      <c r="C126" s="426"/>
      <c r="D126" s="426"/>
      <c r="E126" s="426"/>
      <c r="F126" s="426"/>
      <c r="G126" s="426"/>
      <c r="H126" s="426"/>
      <c r="I126" s="426"/>
      <c r="J126" s="444"/>
      <c r="K126" s="444"/>
      <c r="L126" s="444"/>
      <c r="M126" s="444"/>
      <c r="N126" s="444"/>
      <c r="O126" s="444"/>
      <c r="P126" s="444"/>
      <c r="Q126" s="444"/>
      <c r="R126" s="512"/>
      <c r="S126" s="512"/>
    </row>
    <row r="127" ht="15.75" customHeight="1">
      <c r="A127" s="426"/>
      <c r="B127" s="426"/>
      <c r="C127" s="426"/>
      <c r="D127" s="426"/>
      <c r="E127" s="426"/>
      <c r="F127" s="426"/>
      <c r="G127" s="426"/>
      <c r="H127" s="426"/>
      <c r="I127" s="426"/>
      <c r="J127" s="444"/>
      <c r="K127" s="444"/>
      <c r="L127" s="444"/>
      <c r="M127" s="444"/>
      <c r="N127" s="444"/>
      <c r="O127" s="444"/>
      <c r="P127" s="444"/>
      <c r="Q127" s="444"/>
      <c r="R127" s="512"/>
      <c r="S127" s="512"/>
    </row>
    <row r="128" ht="15.75" customHeight="1">
      <c r="A128" s="426"/>
      <c r="B128" s="426"/>
      <c r="C128" s="426"/>
      <c r="D128" s="426"/>
      <c r="E128" s="426"/>
      <c r="F128" s="426"/>
      <c r="G128" s="426"/>
      <c r="H128" s="426"/>
      <c r="I128" s="426"/>
      <c r="J128" s="444"/>
      <c r="K128" s="444"/>
      <c r="L128" s="444"/>
      <c r="M128" s="444"/>
      <c r="N128" s="444"/>
      <c r="O128" s="444"/>
      <c r="P128" s="444"/>
      <c r="Q128" s="444"/>
      <c r="R128" s="512"/>
      <c r="S128" s="512"/>
    </row>
    <row r="129" ht="15.75" customHeight="1">
      <c r="A129" s="426"/>
      <c r="B129" s="426"/>
      <c r="C129" s="426"/>
      <c r="D129" s="426"/>
      <c r="E129" s="426"/>
      <c r="F129" s="426"/>
      <c r="G129" s="426"/>
      <c r="H129" s="426"/>
      <c r="I129" s="426"/>
      <c r="J129" s="444"/>
      <c r="K129" s="444"/>
      <c r="L129" s="444"/>
      <c r="M129" s="444"/>
      <c r="N129" s="444"/>
      <c r="O129" s="444"/>
      <c r="P129" s="444"/>
      <c r="Q129" s="444"/>
      <c r="R129" s="512"/>
      <c r="S129" s="512"/>
    </row>
    <row r="130" ht="15.75" customHeight="1">
      <c r="A130" s="426"/>
      <c r="B130" s="426"/>
      <c r="C130" s="426"/>
      <c r="D130" s="426"/>
      <c r="E130" s="426"/>
      <c r="F130" s="426"/>
      <c r="G130" s="426"/>
      <c r="H130" s="426"/>
      <c r="I130" s="426"/>
      <c r="J130" s="444"/>
      <c r="K130" s="444"/>
      <c r="L130" s="444"/>
      <c r="M130" s="444"/>
      <c r="N130" s="444"/>
      <c r="O130" s="444"/>
      <c r="P130" s="444"/>
      <c r="Q130" s="444"/>
      <c r="R130" s="512"/>
      <c r="S130" s="512"/>
    </row>
    <row r="131" ht="15.75" customHeight="1">
      <c r="A131" s="426"/>
      <c r="B131" s="426"/>
      <c r="C131" s="426"/>
      <c r="D131" s="426"/>
      <c r="E131" s="426"/>
      <c r="F131" s="426"/>
      <c r="G131" s="426"/>
      <c r="H131" s="426"/>
      <c r="I131" s="426"/>
      <c r="J131" s="444"/>
      <c r="K131" s="444"/>
      <c r="L131" s="444"/>
      <c r="M131" s="444"/>
      <c r="N131" s="444"/>
      <c r="O131" s="444"/>
      <c r="P131" s="444"/>
      <c r="Q131" s="444"/>
      <c r="R131" s="512"/>
      <c r="S131" s="512"/>
    </row>
    <row r="132" ht="15.75" customHeight="1">
      <c r="A132" s="426"/>
      <c r="B132" s="426"/>
      <c r="C132" s="426"/>
      <c r="D132" s="426"/>
      <c r="E132" s="426"/>
      <c r="F132" s="426"/>
      <c r="G132" s="426"/>
      <c r="H132" s="426"/>
      <c r="I132" s="426"/>
      <c r="J132" s="444"/>
      <c r="K132" s="444"/>
      <c r="L132" s="444"/>
      <c r="M132" s="444"/>
      <c r="N132" s="444"/>
      <c r="O132" s="444"/>
      <c r="P132" s="444"/>
      <c r="Q132" s="444"/>
      <c r="R132" s="512"/>
      <c r="S132" s="512"/>
    </row>
    <row r="133" ht="15.75" customHeight="1">
      <c r="A133" s="426"/>
      <c r="B133" s="426"/>
      <c r="C133" s="426"/>
      <c r="D133" s="426"/>
      <c r="E133" s="426"/>
      <c r="F133" s="426"/>
      <c r="G133" s="426"/>
      <c r="H133" s="426"/>
      <c r="I133" s="426"/>
      <c r="J133" s="444"/>
      <c r="K133" s="444"/>
      <c r="L133" s="444"/>
      <c r="M133" s="444"/>
      <c r="N133" s="444"/>
      <c r="O133" s="444"/>
      <c r="P133" s="444"/>
      <c r="Q133" s="444"/>
      <c r="R133" s="512"/>
      <c r="S133" s="512"/>
    </row>
    <row r="134" ht="15.75" customHeight="1">
      <c r="A134" s="426"/>
      <c r="B134" s="426"/>
      <c r="C134" s="426"/>
      <c r="D134" s="426"/>
      <c r="E134" s="426"/>
      <c r="F134" s="426"/>
      <c r="G134" s="426"/>
      <c r="H134" s="426"/>
      <c r="I134" s="426"/>
      <c r="J134" s="444"/>
      <c r="K134" s="444"/>
      <c r="L134" s="444"/>
      <c r="M134" s="444"/>
      <c r="N134" s="444"/>
      <c r="O134" s="444"/>
      <c r="P134" s="444"/>
      <c r="Q134" s="444"/>
      <c r="R134" s="512"/>
      <c r="S134" s="512"/>
    </row>
    <row r="135" ht="15.75" customHeight="1">
      <c r="A135" s="426"/>
      <c r="B135" s="426"/>
      <c r="C135" s="426"/>
      <c r="D135" s="426"/>
      <c r="E135" s="426"/>
      <c r="F135" s="426"/>
      <c r="G135" s="426"/>
      <c r="H135" s="426"/>
      <c r="I135" s="426"/>
      <c r="J135" s="444"/>
      <c r="K135" s="444"/>
      <c r="L135" s="444"/>
      <c r="M135" s="444"/>
      <c r="N135" s="444"/>
      <c r="O135" s="444"/>
      <c r="P135" s="444"/>
      <c r="Q135" s="444"/>
      <c r="R135" s="512"/>
      <c r="S135" s="512"/>
    </row>
    <row r="136" ht="15.75" customHeight="1">
      <c r="A136" s="426"/>
      <c r="B136" s="426"/>
      <c r="C136" s="426"/>
      <c r="D136" s="426"/>
      <c r="E136" s="426"/>
      <c r="F136" s="426"/>
      <c r="G136" s="426"/>
      <c r="H136" s="426"/>
      <c r="I136" s="426"/>
      <c r="J136" s="444"/>
      <c r="K136" s="444"/>
      <c r="L136" s="444"/>
      <c r="M136" s="444"/>
      <c r="N136" s="444"/>
      <c r="O136" s="444"/>
      <c r="P136" s="444"/>
      <c r="Q136" s="444"/>
      <c r="R136" s="512"/>
      <c r="S136" s="512"/>
    </row>
    <row r="137" ht="15.75" customHeight="1">
      <c r="A137" s="426"/>
      <c r="B137" s="426"/>
      <c r="C137" s="426"/>
      <c r="D137" s="426"/>
      <c r="E137" s="426"/>
      <c r="F137" s="426"/>
      <c r="G137" s="426"/>
      <c r="H137" s="426"/>
      <c r="I137" s="426"/>
      <c r="J137" s="444"/>
      <c r="K137" s="444"/>
      <c r="L137" s="444"/>
      <c r="M137" s="444"/>
      <c r="N137" s="444"/>
      <c r="O137" s="444"/>
      <c r="P137" s="444"/>
      <c r="Q137" s="444"/>
      <c r="R137" s="512"/>
      <c r="S137" s="512"/>
    </row>
    <row r="138" ht="15.75" customHeight="1">
      <c r="A138" s="426"/>
      <c r="B138" s="426"/>
      <c r="C138" s="426"/>
      <c r="D138" s="426"/>
      <c r="E138" s="426"/>
      <c r="F138" s="426"/>
      <c r="G138" s="426"/>
      <c r="H138" s="426"/>
      <c r="I138" s="426"/>
      <c r="J138" s="444"/>
      <c r="K138" s="444"/>
      <c r="L138" s="444"/>
      <c r="M138" s="444"/>
      <c r="N138" s="444"/>
      <c r="O138" s="444"/>
      <c r="P138" s="444"/>
      <c r="Q138" s="444"/>
      <c r="R138" s="512"/>
      <c r="S138" s="512"/>
    </row>
    <row r="139" ht="15.75" customHeight="1">
      <c r="A139" s="426"/>
      <c r="B139" s="426"/>
      <c r="C139" s="426"/>
      <c r="D139" s="426"/>
      <c r="E139" s="426"/>
      <c r="F139" s="426"/>
      <c r="G139" s="426"/>
      <c r="H139" s="426"/>
      <c r="I139" s="426"/>
      <c r="J139" s="444"/>
      <c r="K139" s="444"/>
      <c r="L139" s="444"/>
      <c r="M139" s="444"/>
      <c r="N139" s="444"/>
      <c r="O139" s="444"/>
      <c r="P139" s="444"/>
      <c r="Q139" s="444"/>
      <c r="R139" s="512"/>
      <c r="S139" s="512"/>
    </row>
    <row r="140" ht="15.75" customHeight="1">
      <c r="A140" s="426"/>
      <c r="B140" s="426"/>
      <c r="C140" s="426"/>
      <c r="D140" s="426"/>
      <c r="E140" s="426"/>
      <c r="F140" s="426"/>
      <c r="G140" s="426"/>
      <c r="H140" s="426"/>
      <c r="I140" s="426"/>
      <c r="J140" s="444"/>
      <c r="K140" s="444"/>
      <c r="L140" s="444"/>
      <c r="M140" s="444"/>
      <c r="N140" s="444"/>
      <c r="O140" s="444"/>
      <c r="P140" s="444"/>
      <c r="Q140" s="444"/>
      <c r="R140" s="512"/>
      <c r="S140" s="512"/>
    </row>
    <row r="141" ht="15.75" customHeight="1">
      <c r="A141" s="426"/>
      <c r="B141" s="426"/>
      <c r="C141" s="426"/>
      <c r="D141" s="426"/>
      <c r="E141" s="426"/>
      <c r="F141" s="426"/>
      <c r="G141" s="426"/>
      <c r="H141" s="426"/>
      <c r="I141" s="426"/>
      <c r="J141" s="444"/>
      <c r="K141" s="444"/>
      <c r="L141" s="444"/>
      <c r="M141" s="444"/>
      <c r="N141" s="444"/>
      <c r="O141" s="444"/>
      <c r="P141" s="444"/>
      <c r="Q141" s="444"/>
      <c r="R141" s="512"/>
      <c r="S141" s="512"/>
    </row>
    <row r="142" ht="15.75" customHeight="1">
      <c r="A142" s="426"/>
      <c r="B142" s="426"/>
      <c r="C142" s="426"/>
      <c r="D142" s="426"/>
      <c r="E142" s="426"/>
      <c r="F142" s="426"/>
      <c r="G142" s="426"/>
      <c r="H142" s="426"/>
      <c r="I142" s="426"/>
      <c r="J142" s="444"/>
      <c r="K142" s="444"/>
      <c r="L142" s="444"/>
      <c r="M142" s="444"/>
      <c r="N142" s="444"/>
      <c r="O142" s="444"/>
      <c r="P142" s="444"/>
      <c r="Q142" s="444"/>
      <c r="R142" s="512"/>
      <c r="S142" s="512"/>
    </row>
    <row r="143" ht="15.75" customHeight="1">
      <c r="A143" s="426"/>
      <c r="B143" s="426"/>
      <c r="C143" s="426"/>
      <c r="D143" s="426"/>
      <c r="E143" s="426"/>
      <c r="F143" s="426"/>
      <c r="G143" s="426"/>
      <c r="H143" s="426"/>
      <c r="I143" s="426"/>
      <c r="J143" s="444"/>
      <c r="K143" s="444"/>
      <c r="L143" s="444"/>
      <c r="M143" s="444"/>
      <c r="N143" s="444"/>
      <c r="O143" s="444"/>
      <c r="P143" s="444"/>
      <c r="Q143" s="444"/>
      <c r="R143" s="512"/>
      <c r="S143" s="512"/>
    </row>
    <row r="144" ht="15.75" customHeight="1">
      <c r="A144" s="426"/>
      <c r="B144" s="426"/>
      <c r="C144" s="426"/>
      <c r="D144" s="426"/>
      <c r="E144" s="426"/>
      <c r="F144" s="426"/>
      <c r="G144" s="426"/>
      <c r="H144" s="426"/>
      <c r="I144" s="426"/>
      <c r="J144" s="444"/>
      <c r="K144" s="444"/>
      <c r="L144" s="444"/>
      <c r="M144" s="444"/>
      <c r="N144" s="444"/>
      <c r="O144" s="444"/>
      <c r="P144" s="444"/>
      <c r="Q144" s="444"/>
      <c r="R144" s="512"/>
      <c r="S144" s="512"/>
    </row>
    <row r="145" ht="15.75" customHeight="1">
      <c r="A145" s="426"/>
      <c r="B145" s="426"/>
      <c r="C145" s="426"/>
      <c r="D145" s="426"/>
      <c r="E145" s="426"/>
      <c r="F145" s="426"/>
      <c r="G145" s="426"/>
      <c r="H145" s="426"/>
      <c r="I145" s="426"/>
      <c r="J145" s="444"/>
      <c r="K145" s="444"/>
      <c r="L145" s="444"/>
      <c r="M145" s="444"/>
      <c r="N145" s="444"/>
      <c r="O145" s="444"/>
      <c r="P145" s="444"/>
      <c r="Q145" s="444"/>
      <c r="R145" s="512"/>
      <c r="S145" s="512"/>
    </row>
    <row r="146" ht="15.75" customHeight="1">
      <c r="A146" s="426"/>
      <c r="B146" s="426"/>
      <c r="C146" s="426"/>
      <c r="D146" s="426"/>
      <c r="E146" s="426"/>
      <c r="F146" s="426"/>
      <c r="G146" s="426"/>
      <c r="H146" s="426"/>
      <c r="I146" s="426"/>
      <c r="J146" s="444"/>
      <c r="K146" s="444"/>
      <c r="L146" s="444"/>
      <c r="M146" s="444"/>
      <c r="N146" s="444"/>
      <c r="O146" s="444"/>
      <c r="P146" s="444"/>
      <c r="Q146" s="444"/>
      <c r="R146" s="512"/>
      <c r="S146" s="512"/>
    </row>
    <row r="147" ht="15.75" customHeight="1">
      <c r="A147" s="426"/>
      <c r="B147" s="426"/>
      <c r="C147" s="426"/>
      <c r="D147" s="426"/>
      <c r="E147" s="426"/>
      <c r="F147" s="426"/>
      <c r="G147" s="426"/>
      <c r="H147" s="426"/>
      <c r="I147" s="426"/>
      <c r="J147" s="444"/>
      <c r="K147" s="444"/>
      <c r="L147" s="444"/>
      <c r="M147" s="444"/>
      <c r="N147" s="444"/>
      <c r="O147" s="444"/>
      <c r="P147" s="444"/>
      <c r="Q147" s="444"/>
      <c r="R147" s="512"/>
      <c r="S147" s="512"/>
    </row>
    <row r="148" ht="15.75" customHeight="1">
      <c r="A148" s="426"/>
      <c r="B148" s="426"/>
      <c r="C148" s="426"/>
      <c r="D148" s="426"/>
      <c r="E148" s="426"/>
      <c r="F148" s="426"/>
      <c r="G148" s="426"/>
      <c r="H148" s="426"/>
      <c r="I148" s="426"/>
      <c r="J148" s="444"/>
      <c r="K148" s="444"/>
      <c r="L148" s="444"/>
      <c r="M148" s="444"/>
      <c r="N148" s="444"/>
      <c r="O148" s="444"/>
      <c r="P148" s="444"/>
      <c r="Q148" s="444"/>
      <c r="R148" s="512"/>
      <c r="S148" s="512"/>
    </row>
    <row r="149" ht="15.75" customHeight="1">
      <c r="A149" s="426"/>
      <c r="B149" s="426"/>
      <c r="C149" s="426"/>
      <c r="D149" s="426"/>
      <c r="E149" s="426"/>
      <c r="F149" s="426"/>
      <c r="G149" s="426"/>
      <c r="H149" s="426"/>
      <c r="I149" s="426"/>
      <c r="J149" s="444"/>
      <c r="K149" s="444"/>
      <c r="L149" s="444"/>
      <c r="M149" s="444"/>
      <c r="N149" s="444"/>
      <c r="O149" s="444"/>
      <c r="P149" s="444"/>
      <c r="Q149" s="444"/>
      <c r="R149" s="512"/>
      <c r="S149" s="512"/>
    </row>
    <row r="150" ht="15.75" customHeight="1">
      <c r="A150" s="426"/>
      <c r="B150" s="426"/>
      <c r="C150" s="426"/>
      <c r="D150" s="426"/>
      <c r="E150" s="426"/>
      <c r="F150" s="426"/>
      <c r="G150" s="426"/>
      <c r="H150" s="426"/>
      <c r="I150" s="426"/>
      <c r="J150" s="444"/>
      <c r="K150" s="444"/>
      <c r="L150" s="444"/>
      <c r="M150" s="444"/>
      <c r="N150" s="444"/>
      <c r="O150" s="444"/>
      <c r="P150" s="444"/>
      <c r="Q150" s="444"/>
      <c r="R150" s="512"/>
      <c r="S150" s="512"/>
    </row>
    <row r="151" ht="15.75" customHeight="1">
      <c r="A151" s="426"/>
      <c r="B151" s="426"/>
      <c r="C151" s="426"/>
      <c r="D151" s="426"/>
      <c r="E151" s="426"/>
      <c r="F151" s="426"/>
      <c r="G151" s="426"/>
      <c r="H151" s="426"/>
      <c r="I151" s="426"/>
      <c r="J151" s="444"/>
      <c r="K151" s="444"/>
      <c r="L151" s="444"/>
      <c r="M151" s="444"/>
      <c r="N151" s="444"/>
      <c r="O151" s="444"/>
      <c r="P151" s="444"/>
      <c r="Q151" s="444"/>
      <c r="R151" s="512"/>
      <c r="S151" s="512"/>
    </row>
    <row r="152" ht="15.75" customHeight="1">
      <c r="A152" s="426"/>
      <c r="B152" s="426"/>
      <c r="C152" s="426"/>
      <c r="D152" s="426"/>
      <c r="E152" s="426"/>
      <c r="F152" s="426"/>
      <c r="G152" s="426"/>
      <c r="H152" s="426"/>
      <c r="I152" s="426"/>
      <c r="J152" s="444"/>
      <c r="K152" s="444"/>
      <c r="L152" s="444"/>
      <c r="M152" s="444"/>
      <c r="N152" s="444"/>
      <c r="O152" s="444"/>
      <c r="P152" s="444"/>
      <c r="Q152" s="444"/>
      <c r="R152" s="512"/>
      <c r="S152" s="512"/>
    </row>
    <row r="153" ht="15.75" customHeight="1">
      <c r="A153" s="426"/>
      <c r="B153" s="426"/>
      <c r="C153" s="426"/>
      <c r="D153" s="426"/>
      <c r="E153" s="426"/>
      <c r="F153" s="426"/>
      <c r="G153" s="426"/>
      <c r="H153" s="426"/>
      <c r="I153" s="426"/>
      <c r="J153" s="444"/>
      <c r="K153" s="444"/>
      <c r="L153" s="444"/>
      <c r="M153" s="444"/>
      <c r="N153" s="444"/>
      <c r="O153" s="444"/>
      <c r="P153" s="444"/>
      <c r="Q153" s="444"/>
      <c r="R153" s="512"/>
      <c r="S153" s="512"/>
    </row>
    <row r="154" ht="15.75" customHeight="1">
      <c r="A154" s="426"/>
      <c r="B154" s="426"/>
      <c r="C154" s="426"/>
      <c r="D154" s="426"/>
      <c r="E154" s="426"/>
      <c r="F154" s="426"/>
      <c r="G154" s="426"/>
      <c r="H154" s="426"/>
      <c r="I154" s="426"/>
      <c r="J154" s="444"/>
      <c r="K154" s="444"/>
      <c r="L154" s="444"/>
      <c r="M154" s="444"/>
      <c r="N154" s="444"/>
      <c r="O154" s="444"/>
      <c r="P154" s="444"/>
      <c r="Q154" s="444"/>
      <c r="R154" s="512"/>
      <c r="S154" s="512"/>
    </row>
    <row r="155" ht="15.75" customHeight="1">
      <c r="A155" s="426"/>
      <c r="B155" s="426"/>
      <c r="C155" s="426"/>
      <c r="D155" s="426"/>
      <c r="E155" s="426"/>
      <c r="F155" s="426"/>
      <c r="G155" s="426"/>
      <c r="H155" s="426"/>
      <c r="I155" s="426"/>
      <c r="J155" s="444"/>
      <c r="K155" s="444"/>
      <c r="L155" s="444"/>
      <c r="M155" s="444"/>
      <c r="N155" s="444"/>
      <c r="O155" s="444"/>
      <c r="P155" s="444"/>
      <c r="Q155" s="444"/>
      <c r="R155" s="512"/>
      <c r="S155" s="512"/>
    </row>
    <row r="156" ht="15.75" customHeight="1">
      <c r="A156" s="426"/>
      <c r="B156" s="426"/>
      <c r="C156" s="426"/>
      <c r="D156" s="426"/>
      <c r="E156" s="426"/>
      <c r="F156" s="426"/>
      <c r="G156" s="426"/>
      <c r="H156" s="426"/>
      <c r="I156" s="426"/>
      <c r="J156" s="444"/>
      <c r="K156" s="444"/>
      <c r="L156" s="444"/>
      <c r="M156" s="444"/>
      <c r="N156" s="444"/>
      <c r="O156" s="444"/>
      <c r="P156" s="444"/>
      <c r="Q156" s="444"/>
      <c r="R156" s="512"/>
      <c r="S156" s="512"/>
    </row>
    <row r="157" ht="15.75" customHeight="1">
      <c r="A157" s="426"/>
      <c r="B157" s="426"/>
      <c r="C157" s="426"/>
      <c r="D157" s="426"/>
      <c r="E157" s="426"/>
      <c r="F157" s="426"/>
      <c r="G157" s="426"/>
      <c r="H157" s="426"/>
      <c r="I157" s="426"/>
      <c r="J157" s="444"/>
      <c r="K157" s="444"/>
      <c r="L157" s="444"/>
      <c r="M157" s="444"/>
      <c r="N157" s="444"/>
      <c r="O157" s="444"/>
      <c r="P157" s="444"/>
      <c r="Q157" s="444"/>
      <c r="R157" s="512"/>
      <c r="S157" s="512"/>
    </row>
    <row r="158" ht="15.75" customHeight="1">
      <c r="A158" s="426"/>
      <c r="B158" s="426"/>
      <c r="C158" s="426"/>
      <c r="D158" s="426"/>
      <c r="E158" s="426"/>
      <c r="F158" s="426"/>
      <c r="G158" s="426"/>
      <c r="H158" s="426"/>
      <c r="I158" s="426"/>
      <c r="J158" s="444"/>
      <c r="K158" s="444"/>
      <c r="L158" s="444"/>
      <c r="M158" s="444"/>
      <c r="N158" s="444"/>
      <c r="O158" s="444"/>
      <c r="P158" s="444"/>
      <c r="Q158" s="444"/>
      <c r="R158" s="512"/>
      <c r="S158" s="512"/>
    </row>
    <row r="159" ht="15.75" customHeight="1">
      <c r="A159" s="426"/>
      <c r="B159" s="426"/>
      <c r="C159" s="426"/>
      <c r="D159" s="426"/>
      <c r="E159" s="426"/>
      <c r="F159" s="426"/>
      <c r="G159" s="426"/>
      <c r="H159" s="426"/>
      <c r="I159" s="426"/>
      <c r="J159" s="444"/>
      <c r="K159" s="444"/>
      <c r="L159" s="444"/>
      <c r="M159" s="444"/>
      <c r="N159" s="444"/>
      <c r="O159" s="444"/>
      <c r="P159" s="444"/>
      <c r="Q159" s="444"/>
      <c r="R159" s="512"/>
      <c r="S159" s="512"/>
    </row>
    <row r="160" ht="15.75" customHeight="1">
      <c r="A160" s="426"/>
      <c r="B160" s="426"/>
      <c r="C160" s="426"/>
      <c r="D160" s="426"/>
      <c r="E160" s="426"/>
      <c r="F160" s="426"/>
      <c r="G160" s="426"/>
      <c r="H160" s="426"/>
      <c r="I160" s="426"/>
      <c r="J160" s="444"/>
      <c r="K160" s="444"/>
      <c r="L160" s="444"/>
      <c r="M160" s="444"/>
      <c r="N160" s="444"/>
      <c r="O160" s="444"/>
      <c r="P160" s="444"/>
      <c r="Q160" s="444"/>
      <c r="R160" s="512"/>
      <c r="S160" s="512"/>
    </row>
    <row r="161" ht="15.75" customHeight="1">
      <c r="A161" s="426"/>
      <c r="B161" s="426"/>
      <c r="C161" s="426"/>
      <c r="D161" s="426"/>
      <c r="E161" s="426"/>
      <c r="F161" s="426"/>
      <c r="G161" s="426"/>
      <c r="H161" s="426"/>
      <c r="I161" s="426"/>
      <c r="J161" s="444"/>
      <c r="K161" s="444"/>
      <c r="L161" s="444"/>
      <c r="M161" s="444"/>
      <c r="N161" s="444"/>
      <c r="O161" s="444"/>
      <c r="P161" s="444"/>
      <c r="Q161" s="444"/>
      <c r="R161" s="512"/>
      <c r="S161" s="512"/>
    </row>
    <row r="162" ht="15.75" customHeight="1">
      <c r="A162" s="426"/>
      <c r="B162" s="426"/>
      <c r="C162" s="426"/>
      <c r="D162" s="426"/>
      <c r="E162" s="426"/>
      <c r="F162" s="426"/>
      <c r="G162" s="426"/>
      <c r="H162" s="426"/>
      <c r="I162" s="426"/>
      <c r="J162" s="444"/>
      <c r="K162" s="444"/>
      <c r="L162" s="444"/>
      <c r="M162" s="444"/>
      <c r="N162" s="444"/>
      <c r="O162" s="444"/>
      <c r="P162" s="444"/>
      <c r="Q162" s="444"/>
      <c r="R162" s="512"/>
      <c r="S162" s="512"/>
    </row>
    <row r="163" ht="15.75" customHeight="1">
      <c r="A163" s="426"/>
      <c r="B163" s="426"/>
      <c r="C163" s="426"/>
      <c r="D163" s="426"/>
      <c r="E163" s="426"/>
      <c r="F163" s="426"/>
      <c r="G163" s="426"/>
      <c r="H163" s="426"/>
      <c r="I163" s="426"/>
      <c r="J163" s="444"/>
      <c r="K163" s="444"/>
      <c r="L163" s="444"/>
      <c r="M163" s="444"/>
      <c r="N163" s="444"/>
      <c r="O163" s="444"/>
      <c r="P163" s="444"/>
      <c r="Q163" s="444"/>
      <c r="R163" s="512"/>
      <c r="S163" s="512"/>
    </row>
    <row r="164" ht="15.75" customHeight="1">
      <c r="A164" s="426"/>
      <c r="B164" s="426"/>
      <c r="C164" s="426"/>
      <c r="D164" s="426"/>
      <c r="E164" s="426"/>
      <c r="F164" s="426"/>
      <c r="G164" s="426"/>
      <c r="H164" s="426"/>
      <c r="I164" s="426"/>
      <c r="J164" s="444"/>
      <c r="K164" s="444"/>
      <c r="L164" s="444"/>
      <c r="M164" s="444"/>
      <c r="N164" s="444"/>
      <c r="O164" s="444"/>
      <c r="P164" s="444"/>
      <c r="Q164" s="444"/>
      <c r="R164" s="512"/>
      <c r="S164" s="512"/>
    </row>
    <row r="165" ht="15.75" customHeight="1">
      <c r="A165" s="426"/>
      <c r="B165" s="426"/>
      <c r="C165" s="426"/>
      <c r="D165" s="426"/>
      <c r="E165" s="426"/>
      <c r="F165" s="426"/>
      <c r="G165" s="426"/>
      <c r="H165" s="426"/>
      <c r="I165" s="426"/>
      <c r="J165" s="444"/>
      <c r="K165" s="444"/>
      <c r="L165" s="444"/>
      <c r="M165" s="444"/>
      <c r="N165" s="444"/>
      <c r="O165" s="444"/>
      <c r="P165" s="444"/>
      <c r="Q165" s="444"/>
      <c r="R165" s="512"/>
      <c r="S165" s="512"/>
    </row>
    <row r="166" ht="15.75" customHeight="1">
      <c r="A166" s="426"/>
      <c r="B166" s="426"/>
      <c r="C166" s="426"/>
      <c r="D166" s="426"/>
      <c r="E166" s="426"/>
      <c r="F166" s="426"/>
      <c r="G166" s="426"/>
      <c r="H166" s="426"/>
      <c r="I166" s="426"/>
      <c r="J166" s="444"/>
      <c r="K166" s="444"/>
      <c r="L166" s="444"/>
      <c r="M166" s="444"/>
      <c r="N166" s="444"/>
      <c r="O166" s="444"/>
      <c r="P166" s="444"/>
      <c r="Q166" s="444"/>
      <c r="R166" s="512"/>
      <c r="S166" s="512"/>
    </row>
    <row r="167" ht="15.75" customHeight="1">
      <c r="A167" s="426"/>
      <c r="B167" s="426"/>
      <c r="C167" s="426"/>
      <c r="D167" s="426"/>
      <c r="E167" s="426"/>
      <c r="F167" s="426"/>
      <c r="G167" s="426"/>
      <c r="H167" s="426"/>
      <c r="I167" s="426"/>
      <c r="J167" s="444"/>
      <c r="K167" s="444"/>
      <c r="L167" s="444"/>
      <c r="M167" s="444"/>
      <c r="N167" s="444"/>
      <c r="O167" s="444"/>
      <c r="P167" s="444"/>
      <c r="Q167" s="444"/>
      <c r="R167" s="512"/>
      <c r="S167" s="512"/>
    </row>
    <row r="168" ht="15.75" customHeight="1">
      <c r="A168" s="426"/>
      <c r="B168" s="426"/>
      <c r="C168" s="426"/>
      <c r="D168" s="426"/>
      <c r="E168" s="426"/>
      <c r="F168" s="426"/>
      <c r="G168" s="426"/>
      <c r="H168" s="426"/>
      <c r="I168" s="426"/>
      <c r="J168" s="444"/>
      <c r="K168" s="444"/>
      <c r="L168" s="444"/>
      <c r="M168" s="444"/>
      <c r="N168" s="444"/>
      <c r="O168" s="444"/>
      <c r="P168" s="444"/>
      <c r="Q168" s="444"/>
      <c r="R168" s="512"/>
      <c r="S168" s="512"/>
    </row>
    <row r="169" ht="15.75" customHeight="1">
      <c r="A169" s="426"/>
      <c r="B169" s="426"/>
      <c r="C169" s="426"/>
      <c r="D169" s="426"/>
      <c r="E169" s="426"/>
      <c r="F169" s="426"/>
      <c r="G169" s="426"/>
      <c r="H169" s="426"/>
      <c r="I169" s="426"/>
      <c r="J169" s="444"/>
      <c r="K169" s="444"/>
      <c r="L169" s="444"/>
      <c r="M169" s="444"/>
      <c r="N169" s="444"/>
      <c r="O169" s="444"/>
      <c r="P169" s="444"/>
      <c r="Q169" s="444"/>
      <c r="R169" s="512"/>
      <c r="S169" s="512"/>
    </row>
    <row r="170" ht="15.75" customHeight="1">
      <c r="A170" s="426"/>
      <c r="B170" s="426"/>
      <c r="C170" s="426"/>
      <c r="D170" s="426"/>
      <c r="E170" s="426"/>
      <c r="F170" s="426"/>
      <c r="G170" s="426"/>
      <c r="H170" s="426"/>
      <c r="I170" s="426"/>
      <c r="J170" s="444"/>
      <c r="K170" s="444"/>
      <c r="L170" s="444"/>
      <c r="M170" s="444"/>
      <c r="N170" s="444"/>
      <c r="O170" s="444"/>
      <c r="P170" s="444"/>
      <c r="Q170" s="444"/>
      <c r="R170" s="512"/>
      <c r="S170" s="512"/>
    </row>
    <row r="171" ht="15.75" customHeight="1">
      <c r="A171" s="426"/>
      <c r="B171" s="426"/>
      <c r="C171" s="426"/>
      <c r="D171" s="426"/>
      <c r="E171" s="426"/>
      <c r="F171" s="426"/>
      <c r="G171" s="426"/>
      <c r="H171" s="426"/>
      <c r="I171" s="426"/>
      <c r="J171" s="444"/>
      <c r="K171" s="444"/>
      <c r="L171" s="444"/>
      <c r="M171" s="444"/>
      <c r="N171" s="444"/>
      <c r="O171" s="444"/>
      <c r="P171" s="444"/>
      <c r="Q171" s="444"/>
      <c r="R171" s="512"/>
      <c r="S171" s="512"/>
    </row>
    <row r="172" ht="15.75" customHeight="1">
      <c r="A172" s="426"/>
      <c r="B172" s="426"/>
      <c r="C172" s="426"/>
      <c r="D172" s="426"/>
      <c r="E172" s="426"/>
      <c r="F172" s="426"/>
      <c r="G172" s="426"/>
      <c r="H172" s="426"/>
      <c r="I172" s="426"/>
      <c r="J172" s="444"/>
      <c r="K172" s="444"/>
      <c r="L172" s="444"/>
      <c r="M172" s="444"/>
      <c r="N172" s="444"/>
      <c r="O172" s="444"/>
      <c r="P172" s="444"/>
      <c r="Q172" s="444"/>
      <c r="R172" s="512"/>
      <c r="S172" s="512"/>
    </row>
    <row r="173" ht="15.75" customHeight="1">
      <c r="A173" s="426"/>
      <c r="B173" s="426"/>
      <c r="C173" s="426"/>
      <c r="D173" s="426"/>
      <c r="E173" s="426"/>
      <c r="F173" s="426"/>
      <c r="G173" s="426"/>
      <c r="H173" s="426"/>
      <c r="I173" s="426"/>
      <c r="J173" s="444"/>
      <c r="K173" s="444"/>
      <c r="L173" s="444"/>
      <c r="M173" s="444"/>
      <c r="N173" s="444"/>
      <c r="O173" s="444"/>
      <c r="P173" s="444"/>
      <c r="Q173" s="444"/>
      <c r="R173" s="512"/>
      <c r="S173" s="512"/>
    </row>
    <row r="174" ht="15.75" customHeight="1">
      <c r="A174" s="426"/>
      <c r="B174" s="426"/>
      <c r="C174" s="426"/>
      <c r="D174" s="426"/>
      <c r="E174" s="426"/>
      <c r="F174" s="426"/>
      <c r="G174" s="426"/>
      <c r="H174" s="426"/>
      <c r="I174" s="426"/>
      <c r="J174" s="444"/>
      <c r="K174" s="444"/>
      <c r="L174" s="444"/>
      <c r="M174" s="444"/>
      <c r="N174" s="444"/>
      <c r="O174" s="444"/>
      <c r="P174" s="444"/>
      <c r="Q174" s="444"/>
      <c r="R174" s="512"/>
      <c r="S174" s="512"/>
    </row>
    <row r="175" ht="15.75" customHeight="1">
      <c r="A175" s="426"/>
      <c r="B175" s="426"/>
      <c r="C175" s="426"/>
      <c r="D175" s="426"/>
      <c r="E175" s="426"/>
      <c r="F175" s="426"/>
      <c r="G175" s="426"/>
      <c r="H175" s="426"/>
      <c r="I175" s="426"/>
      <c r="J175" s="444"/>
      <c r="K175" s="444"/>
      <c r="L175" s="444"/>
      <c r="M175" s="444"/>
      <c r="N175" s="444"/>
      <c r="O175" s="444"/>
      <c r="P175" s="444"/>
      <c r="Q175" s="444"/>
      <c r="R175" s="512"/>
      <c r="S175" s="512"/>
    </row>
    <row r="176" ht="15.75" customHeight="1">
      <c r="A176" s="426"/>
      <c r="B176" s="426"/>
      <c r="C176" s="426"/>
      <c r="D176" s="426"/>
      <c r="E176" s="426"/>
      <c r="F176" s="426"/>
      <c r="G176" s="426"/>
      <c r="H176" s="426"/>
      <c r="I176" s="426"/>
      <c r="J176" s="444"/>
      <c r="K176" s="444"/>
      <c r="L176" s="444"/>
      <c r="M176" s="444"/>
      <c r="N176" s="444"/>
      <c r="O176" s="444"/>
      <c r="P176" s="444"/>
      <c r="Q176" s="444"/>
      <c r="R176" s="512"/>
      <c r="S176" s="512"/>
    </row>
    <row r="177" ht="15.75" customHeight="1">
      <c r="A177" s="426"/>
      <c r="B177" s="426"/>
      <c r="C177" s="426"/>
      <c r="D177" s="426"/>
      <c r="E177" s="426"/>
      <c r="F177" s="426"/>
      <c r="G177" s="426"/>
      <c r="H177" s="426"/>
      <c r="I177" s="426"/>
      <c r="J177" s="444"/>
      <c r="K177" s="444"/>
      <c r="L177" s="444"/>
      <c r="M177" s="444"/>
      <c r="N177" s="444"/>
      <c r="O177" s="444"/>
      <c r="P177" s="444"/>
      <c r="Q177" s="444"/>
      <c r="R177" s="512"/>
      <c r="S177" s="512"/>
    </row>
    <row r="178" ht="15.75" customHeight="1">
      <c r="A178" s="426"/>
      <c r="B178" s="426"/>
      <c r="C178" s="426"/>
      <c r="D178" s="426"/>
      <c r="E178" s="426"/>
      <c r="F178" s="426"/>
      <c r="G178" s="426"/>
      <c r="H178" s="426"/>
      <c r="I178" s="426"/>
      <c r="J178" s="444"/>
      <c r="K178" s="444"/>
      <c r="L178" s="444"/>
      <c r="M178" s="444"/>
      <c r="N178" s="444"/>
      <c r="O178" s="444"/>
      <c r="P178" s="444"/>
      <c r="Q178" s="444"/>
      <c r="R178" s="512"/>
      <c r="S178" s="512"/>
    </row>
    <row r="179" ht="15.75" customHeight="1">
      <c r="A179" s="426"/>
      <c r="B179" s="426"/>
      <c r="C179" s="426"/>
      <c r="D179" s="426"/>
      <c r="E179" s="426"/>
      <c r="F179" s="426"/>
      <c r="G179" s="426"/>
      <c r="H179" s="426"/>
      <c r="I179" s="426"/>
      <c r="J179" s="444"/>
      <c r="K179" s="444"/>
      <c r="L179" s="444"/>
      <c r="M179" s="444"/>
      <c r="N179" s="444"/>
      <c r="O179" s="444"/>
      <c r="P179" s="444"/>
      <c r="Q179" s="444"/>
      <c r="R179" s="512"/>
      <c r="S179" s="512"/>
    </row>
    <row r="180" ht="15.75" customHeight="1">
      <c r="A180" s="426"/>
      <c r="B180" s="426"/>
      <c r="C180" s="426"/>
      <c r="D180" s="426"/>
      <c r="E180" s="426"/>
      <c r="F180" s="426"/>
      <c r="G180" s="426"/>
      <c r="H180" s="426"/>
      <c r="I180" s="426"/>
      <c r="J180" s="444"/>
      <c r="K180" s="444"/>
      <c r="L180" s="444"/>
      <c r="M180" s="444"/>
      <c r="N180" s="444"/>
      <c r="O180" s="444"/>
      <c r="P180" s="444"/>
      <c r="Q180" s="444"/>
      <c r="R180" s="512"/>
      <c r="S180" s="512"/>
    </row>
    <row r="181" ht="15.75" customHeight="1">
      <c r="A181" s="426"/>
      <c r="B181" s="426"/>
      <c r="C181" s="426"/>
      <c r="D181" s="426"/>
      <c r="E181" s="426"/>
      <c r="F181" s="426"/>
      <c r="G181" s="426"/>
      <c r="H181" s="426"/>
      <c r="I181" s="426"/>
      <c r="J181" s="444"/>
      <c r="K181" s="444"/>
      <c r="L181" s="444"/>
      <c r="M181" s="444"/>
      <c r="N181" s="444"/>
      <c r="O181" s="444"/>
      <c r="P181" s="444"/>
      <c r="Q181" s="444"/>
      <c r="R181" s="512"/>
      <c r="S181" s="512"/>
    </row>
    <row r="182" ht="15.75" customHeight="1">
      <c r="A182" s="426"/>
      <c r="B182" s="426"/>
      <c r="C182" s="426"/>
      <c r="D182" s="426"/>
      <c r="E182" s="426"/>
      <c r="F182" s="426"/>
      <c r="G182" s="426"/>
      <c r="H182" s="426"/>
      <c r="I182" s="426"/>
      <c r="J182" s="444"/>
      <c r="K182" s="444"/>
      <c r="L182" s="444"/>
      <c r="M182" s="444"/>
      <c r="N182" s="444"/>
      <c r="O182" s="444"/>
      <c r="P182" s="444"/>
      <c r="Q182" s="444"/>
      <c r="R182" s="512"/>
      <c r="S182" s="512"/>
    </row>
    <row r="183" ht="15.75" customHeight="1">
      <c r="A183" s="426"/>
      <c r="B183" s="426"/>
      <c r="C183" s="426"/>
      <c r="D183" s="426"/>
      <c r="E183" s="426"/>
      <c r="F183" s="426"/>
      <c r="G183" s="426"/>
      <c r="H183" s="426"/>
      <c r="I183" s="426"/>
      <c r="J183" s="444"/>
      <c r="K183" s="444"/>
      <c r="L183" s="444"/>
      <c r="M183" s="444"/>
      <c r="N183" s="444"/>
      <c r="O183" s="444"/>
      <c r="P183" s="444"/>
      <c r="Q183" s="444"/>
      <c r="R183" s="512"/>
      <c r="S183" s="512"/>
    </row>
    <row r="184" ht="15.75" customHeight="1">
      <c r="A184" s="426"/>
      <c r="B184" s="426"/>
      <c r="C184" s="426"/>
      <c r="D184" s="426"/>
      <c r="E184" s="426"/>
      <c r="F184" s="426"/>
      <c r="G184" s="426"/>
      <c r="H184" s="426"/>
      <c r="I184" s="426"/>
      <c r="J184" s="444"/>
      <c r="K184" s="444"/>
      <c r="L184" s="444"/>
      <c r="M184" s="444"/>
      <c r="N184" s="444"/>
      <c r="O184" s="444"/>
      <c r="P184" s="444"/>
      <c r="Q184" s="444"/>
      <c r="R184" s="512"/>
      <c r="S184" s="512"/>
    </row>
    <row r="185" ht="15.75" customHeight="1">
      <c r="A185" s="426"/>
      <c r="B185" s="426"/>
      <c r="C185" s="426"/>
      <c r="D185" s="426"/>
      <c r="E185" s="426"/>
      <c r="F185" s="426"/>
      <c r="G185" s="426"/>
      <c r="H185" s="426"/>
      <c r="I185" s="426"/>
      <c r="J185" s="444"/>
      <c r="K185" s="444"/>
      <c r="L185" s="444"/>
      <c r="M185" s="444"/>
      <c r="N185" s="444"/>
      <c r="O185" s="444"/>
      <c r="P185" s="444"/>
      <c r="Q185" s="444"/>
      <c r="R185" s="512"/>
      <c r="S185" s="512"/>
    </row>
    <row r="186" ht="15.75" customHeight="1">
      <c r="A186" s="426"/>
      <c r="B186" s="426"/>
      <c r="C186" s="426"/>
      <c r="D186" s="426"/>
      <c r="E186" s="426"/>
      <c r="F186" s="426"/>
      <c r="G186" s="426"/>
      <c r="H186" s="426"/>
      <c r="I186" s="426"/>
      <c r="J186" s="444"/>
      <c r="K186" s="444"/>
      <c r="L186" s="444"/>
      <c r="M186" s="444"/>
      <c r="N186" s="444"/>
      <c r="O186" s="444"/>
      <c r="P186" s="444"/>
      <c r="Q186" s="444"/>
      <c r="R186" s="512"/>
      <c r="S186" s="512"/>
    </row>
    <row r="187" ht="15.75" customHeight="1">
      <c r="A187" s="426"/>
      <c r="B187" s="426"/>
      <c r="C187" s="426"/>
      <c r="D187" s="426"/>
      <c r="E187" s="426"/>
      <c r="F187" s="426"/>
      <c r="G187" s="426"/>
      <c r="H187" s="426"/>
      <c r="I187" s="426"/>
      <c r="J187" s="444"/>
      <c r="K187" s="444"/>
      <c r="L187" s="444"/>
      <c r="M187" s="444"/>
      <c r="N187" s="444"/>
      <c r="O187" s="444"/>
      <c r="P187" s="444"/>
      <c r="Q187" s="444"/>
      <c r="R187" s="512"/>
      <c r="S187" s="512"/>
    </row>
    <row r="188" ht="15.75" customHeight="1">
      <c r="A188" s="426"/>
      <c r="B188" s="426"/>
      <c r="C188" s="426"/>
      <c r="D188" s="426"/>
      <c r="E188" s="426"/>
      <c r="F188" s="426"/>
      <c r="G188" s="426"/>
      <c r="H188" s="426"/>
      <c r="I188" s="426"/>
      <c r="J188" s="444"/>
      <c r="K188" s="444"/>
      <c r="L188" s="444"/>
      <c r="M188" s="444"/>
      <c r="N188" s="444"/>
      <c r="O188" s="444"/>
      <c r="P188" s="444"/>
      <c r="Q188" s="444"/>
      <c r="R188" s="512"/>
      <c r="S188" s="512"/>
    </row>
    <row r="189" ht="15.75" customHeight="1">
      <c r="A189" s="426"/>
      <c r="B189" s="426"/>
      <c r="C189" s="426"/>
      <c r="D189" s="426"/>
      <c r="E189" s="426"/>
      <c r="F189" s="426"/>
      <c r="G189" s="426"/>
      <c r="H189" s="426"/>
      <c r="I189" s="426"/>
      <c r="J189" s="444"/>
      <c r="K189" s="444"/>
      <c r="L189" s="444"/>
      <c r="M189" s="444"/>
      <c r="N189" s="444"/>
      <c r="O189" s="444"/>
      <c r="P189" s="444"/>
      <c r="Q189" s="444"/>
      <c r="R189" s="512"/>
      <c r="S189" s="512"/>
    </row>
    <row r="190" ht="15.75" customHeight="1">
      <c r="A190" s="426"/>
      <c r="B190" s="426"/>
      <c r="C190" s="426"/>
      <c r="D190" s="426"/>
      <c r="E190" s="426"/>
      <c r="F190" s="426"/>
      <c r="G190" s="426"/>
      <c r="H190" s="426"/>
      <c r="I190" s="426"/>
      <c r="J190" s="444"/>
      <c r="K190" s="444"/>
      <c r="L190" s="444"/>
      <c r="M190" s="444"/>
      <c r="N190" s="444"/>
      <c r="O190" s="444"/>
      <c r="P190" s="444"/>
      <c r="Q190" s="444"/>
      <c r="R190" s="512"/>
      <c r="S190" s="512"/>
    </row>
    <row r="191" ht="15.75" customHeight="1">
      <c r="A191" s="426"/>
      <c r="B191" s="426"/>
      <c r="C191" s="426"/>
      <c r="D191" s="426"/>
      <c r="E191" s="426"/>
      <c r="F191" s="426"/>
      <c r="G191" s="426"/>
      <c r="H191" s="426"/>
      <c r="I191" s="426"/>
      <c r="J191" s="444"/>
      <c r="K191" s="444"/>
      <c r="L191" s="444"/>
      <c r="M191" s="444"/>
      <c r="N191" s="444"/>
      <c r="O191" s="444"/>
      <c r="P191" s="444"/>
      <c r="Q191" s="444"/>
      <c r="R191" s="512"/>
      <c r="S191" s="512"/>
    </row>
    <row r="192" ht="15.75" customHeight="1">
      <c r="A192" s="426"/>
      <c r="B192" s="426"/>
      <c r="C192" s="426"/>
      <c r="D192" s="426"/>
      <c r="E192" s="426"/>
      <c r="F192" s="426"/>
      <c r="G192" s="426"/>
      <c r="H192" s="426"/>
      <c r="I192" s="426"/>
      <c r="J192" s="444"/>
      <c r="K192" s="444"/>
      <c r="L192" s="444"/>
      <c r="M192" s="444"/>
      <c r="N192" s="444"/>
      <c r="O192" s="444"/>
      <c r="P192" s="444"/>
      <c r="Q192" s="444"/>
      <c r="R192" s="512"/>
      <c r="S192" s="512"/>
    </row>
    <row r="193" ht="15.75" customHeight="1">
      <c r="A193" s="426"/>
      <c r="B193" s="426"/>
      <c r="C193" s="426"/>
      <c r="D193" s="426"/>
      <c r="E193" s="426"/>
      <c r="F193" s="426"/>
      <c r="G193" s="426"/>
      <c r="H193" s="426"/>
      <c r="I193" s="426"/>
      <c r="J193" s="444"/>
      <c r="K193" s="444"/>
      <c r="L193" s="444"/>
      <c r="M193" s="444"/>
      <c r="N193" s="444"/>
      <c r="O193" s="444"/>
      <c r="P193" s="444"/>
      <c r="Q193" s="444"/>
      <c r="R193" s="512"/>
      <c r="S193" s="512"/>
    </row>
    <row r="194" ht="15.75" customHeight="1">
      <c r="A194" s="426"/>
      <c r="B194" s="426"/>
      <c r="C194" s="426"/>
      <c r="D194" s="426"/>
      <c r="E194" s="426"/>
      <c r="F194" s="426"/>
      <c r="G194" s="426"/>
      <c r="H194" s="426"/>
      <c r="I194" s="426"/>
      <c r="J194" s="444"/>
      <c r="K194" s="444"/>
      <c r="L194" s="444"/>
      <c r="M194" s="444"/>
      <c r="N194" s="444"/>
      <c r="O194" s="444"/>
      <c r="P194" s="444"/>
      <c r="Q194" s="444"/>
      <c r="R194" s="512"/>
      <c r="S194" s="512"/>
    </row>
    <row r="195" ht="15.75" customHeight="1">
      <c r="A195" s="426"/>
      <c r="B195" s="426"/>
      <c r="C195" s="426"/>
      <c r="D195" s="426"/>
      <c r="E195" s="426"/>
      <c r="F195" s="426"/>
      <c r="G195" s="426"/>
      <c r="H195" s="426"/>
      <c r="I195" s="426"/>
      <c r="J195" s="444"/>
      <c r="K195" s="444"/>
      <c r="L195" s="444"/>
      <c r="M195" s="444"/>
      <c r="N195" s="444"/>
      <c r="O195" s="444"/>
      <c r="P195" s="444"/>
      <c r="Q195" s="444"/>
      <c r="R195" s="512"/>
      <c r="S195" s="512"/>
    </row>
    <row r="196" ht="15.75" customHeight="1">
      <c r="A196" s="426"/>
      <c r="B196" s="426"/>
      <c r="C196" s="426"/>
      <c r="D196" s="426"/>
      <c r="E196" s="426"/>
      <c r="F196" s="426"/>
      <c r="G196" s="426"/>
      <c r="H196" s="426"/>
      <c r="I196" s="426"/>
      <c r="J196" s="444"/>
      <c r="K196" s="444"/>
      <c r="L196" s="444"/>
      <c r="M196" s="444"/>
      <c r="N196" s="444"/>
      <c r="O196" s="444"/>
      <c r="P196" s="444"/>
      <c r="Q196" s="444"/>
      <c r="R196" s="512"/>
      <c r="S196" s="512"/>
    </row>
    <row r="197" ht="15.75" customHeight="1">
      <c r="A197" s="426"/>
      <c r="B197" s="426"/>
      <c r="C197" s="426"/>
      <c r="D197" s="426"/>
      <c r="E197" s="426"/>
      <c r="F197" s="426"/>
      <c r="G197" s="426"/>
      <c r="H197" s="426"/>
      <c r="I197" s="426"/>
      <c r="J197" s="444"/>
      <c r="K197" s="444"/>
      <c r="L197" s="444"/>
      <c r="M197" s="444"/>
      <c r="N197" s="444"/>
      <c r="O197" s="444"/>
      <c r="P197" s="444"/>
      <c r="Q197" s="444"/>
      <c r="R197" s="512"/>
      <c r="S197" s="512"/>
    </row>
    <row r="198" ht="15.75" customHeight="1">
      <c r="A198" s="426"/>
      <c r="B198" s="426"/>
      <c r="C198" s="426"/>
      <c r="D198" s="426"/>
      <c r="E198" s="426"/>
      <c r="F198" s="426"/>
      <c r="G198" s="426"/>
      <c r="H198" s="426"/>
      <c r="I198" s="426"/>
      <c r="J198" s="444"/>
      <c r="K198" s="444"/>
      <c r="L198" s="444"/>
      <c r="M198" s="444"/>
      <c r="N198" s="444"/>
      <c r="O198" s="444"/>
      <c r="P198" s="444"/>
      <c r="Q198" s="444"/>
      <c r="R198" s="512"/>
      <c r="S198" s="512"/>
    </row>
    <row r="199" ht="15.75" customHeight="1">
      <c r="A199" s="426"/>
      <c r="B199" s="426"/>
      <c r="C199" s="426"/>
      <c r="D199" s="426"/>
      <c r="E199" s="426"/>
      <c r="F199" s="426"/>
      <c r="G199" s="426"/>
      <c r="H199" s="426"/>
      <c r="I199" s="426"/>
      <c r="J199" s="444"/>
      <c r="K199" s="444"/>
      <c r="L199" s="444"/>
      <c r="M199" s="444"/>
      <c r="N199" s="444"/>
      <c r="O199" s="444"/>
      <c r="P199" s="444"/>
      <c r="Q199" s="444"/>
      <c r="R199" s="512"/>
      <c r="S199" s="512"/>
    </row>
    <row r="200" ht="15.75" customHeight="1">
      <c r="A200" s="426"/>
      <c r="B200" s="426"/>
      <c r="C200" s="426"/>
      <c r="D200" s="426"/>
      <c r="E200" s="426"/>
      <c r="F200" s="426"/>
      <c r="G200" s="426"/>
      <c r="H200" s="426"/>
      <c r="I200" s="426"/>
      <c r="J200" s="444"/>
      <c r="K200" s="444"/>
      <c r="L200" s="444"/>
      <c r="M200" s="444"/>
      <c r="N200" s="444"/>
      <c r="O200" s="444"/>
      <c r="P200" s="444"/>
      <c r="Q200" s="444"/>
      <c r="R200" s="512"/>
      <c r="S200" s="512"/>
    </row>
    <row r="201" ht="15.75" customHeight="1">
      <c r="A201" s="426"/>
      <c r="B201" s="426"/>
      <c r="C201" s="426"/>
      <c r="D201" s="426"/>
      <c r="E201" s="426"/>
      <c r="F201" s="426"/>
      <c r="G201" s="426"/>
      <c r="H201" s="426"/>
      <c r="I201" s="426"/>
      <c r="J201" s="444"/>
      <c r="K201" s="444"/>
      <c r="L201" s="444"/>
      <c r="M201" s="444"/>
      <c r="N201" s="444"/>
      <c r="O201" s="444"/>
      <c r="P201" s="444"/>
      <c r="Q201" s="444"/>
      <c r="R201" s="512"/>
      <c r="S201" s="512"/>
    </row>
    <row r="202" ht="15.75" customHeight="1">
      <c r="A202" s="426"/>
      <c r="B202" s="426"/>
      <c r="C202" s="426"/>
      <c r="D202" s="426"/>
      <c r="E202" s="426"/>
      <c r="F202" s="426"/>
      <c r="G202" s="426"/>
      <c r="H202" s="426"/>
      <c r="I202" s="426"/>
      <c r="J202" s="444"/>
      <c r="K202" s="444"/>
      <c r="L202" s="444"/>
      <c r="M202" s="444"/>
      <c r="N202" s="444"/>
      <c r="O202" s="444"/>
      <c r="P202" s="444"/>
      <c r="Q202" s="444"/>
      <c r="R202" s="512"/>
      <c r="S202" s="512"/>
    </row>
    <row r="203" ht="15.75" customHeight="1">
      <c r="A203" s="426"/>
      <c r="B203" s="426"/>
      <c r="C203" s="426"/>
      <c r="D203" s="426"/>
      <c r="E203" s="426"/>
      <c r="F203" s="426"/>
      <c r="G203" s="426"/>
      <c r="H203" s="426"/>
      <c r="I203" s="426"/>
      <c r="J203" s="444"/>
      <c r="K203" s="444"/>
      <c r="L203" s="444"/>
      <c r="M203" s="444"/>
      <c r="N203" s="444"/>
      <c r="O203" s="444"/>
      <c r="P203" s="444"/>
      <c r="Q203" s="444"/>
      <c r="R203" s="512"/>
      <c r="S203" s="512"/>
    </row>
    <row r="204" ht="15.75" customHeight="1">
      <c r="A204" s="426"/>
      <c r="B204" s="426"/>
      <c r="C204" s="426"/>
      <c r="D204" s="426"/>
      <c r="E204" s="426"/>
      <c r="F204" s="426"/>
      <c r="G204" s="426"/>
      <c r="H204" s="426"/>
      <c r="I204" s="426"/>
      <c r="J204" s="444"/>
      <c r="K204" s="444"/>
      <c r="L204" s="444"/>
      <c r="M204" s="444"/>
      <c r="N204" s="444"/>
      <c r="O204" s="444"/>
      <c r="P204" s="444"/>
      <c r="Q204" s="444"/>
      <c r="R204" s="512"/>
      <c r="S204" s="512"/>
    </row>
    <row r="205" ht="15.75" customHeight="1">
      <c r="A205" s="426"/>
      <c r="B205" s="426"/>
      <c r="C205" s="426"/>
      <c r="D205" s="426"/>
      <c r="E205" s="426"/>
      <c r="F205" s="426"/>
      <c r="G205" s="426"/>
      <c r="H205" s="426"/>
      <c r="I205" s="426"/>
      <c r="J205" s="444"/>
      <c r="K205" s="444"/>
      <c r="L205" s="444"/>
      <c r="M205" s="444"/>
      <c r="N205" s="444"/>
      <c r="O205" s="444"/>
      <c r="P205" s="444"/>
      <c r="Q205" s="444"/>
      <c r="R205" s="512"/>
      <c r="S205" s="512"/>
    </row>
    <row r="206" ht="15.75" customHeight="1">
      <c r="A206" s="426"/>
      <c r="B206" s="426"/>
      <c r="C206" s="426"/>
      <c r="D206" s="426"/>
      <c r="E206" s="426"/>
      <c r="F206" s="426"/>
      <c r="G206" s="426"/>
      <c r="H206" s="426"/>
      <c r="I206" s="426"/>
      <c r="J206" s="444"/>
      <c r="K206" s="444"/>
      <c r="L206" s="444"/>
      <c r="M206" s="444"/>
      <c r="N206" s="444"/>
      <c r="O206" s="444"/>
      <c r="P206" s="444"/>
      <c r="Q206" s="444"/>
      <c r="R206" s="512"/>
      <c r="S206" s="512"/>
    </row>
    <row r="207" ht="15.75" customHeight="1">
      <c r="A207" s="426"/>
      <c r="B207" s="426"/>
      <c r="C207" s="426"/>
      <c r="D207" s="426"/>
      <c r="E207" s="426"/>
      <c r="F207" s="426"/>
      <c r="G207" s="426"/>
      <c r="H207" s="426"/>
      <c r="I207" s="426"/>
      <c r="J207" s="444"/>
      <c r="K207" s="444"/>
      <c r="L207" s="444"/>
      <c r="M207" s="444"/>
      <c r="N207" s="444"/>
      <c r="O207" s="444"/>
      <c r="P207" s="444"/>
      <c r="Q207" s="444"/>
      <c r="R207" s="512"/>
      <c r="S207" s="512"/>
    </row>
    <row r="208" ht="15.75" customHeight="1">
      <c r="A208" s="426"/>
      <c r="B208" s="426"/>
      <c r="C208" s="426"/>
      <c r="D208" s="426"/>
      <c r="E208" s="426"/>
      <c r="F208" s="426"/>
      <c r="G208" s="426"/>
      <c r="H208" s="426"/>
      <c r="I208" s="426"/>
      <c r="J208" s="444"/>
      <c r="K208" s="444"/>
      <c r="L208" s="444"/>
      <c r="M208" s="444"/>
      <c r="N208" s="444"/>
      <c r="O208" s="444"/>
      <c r="P208" s="444"/>
      <c r="Q208" s="444"/>
      <c r="R208" s="512"/>
      <c r="S208" s="512"/>
    </row>
    <row r="209" ht="15.75" customHeight="1">
      <c r="A209" s="426"/>
      <c r="B209" s="426"/>
      <c r="C209" s="426"/>
      <c r="D209" s="426"/>
      <c r="E209" s="426"/>
      <c r="F209" s="426"/>
      <c r="G209" s="426"/>
      <c r="H209" s="426"/>
      <c r="I209" s="426"/>
      <c r="J209" s="444"/>
      <c r="K209" s="444"/>
      <c r="L209" s="444"/>
      <c r="M209" s="444"/>
      <c r="N209" s="444"/>
      <c r="O209" s="444"/>
      <c r="P209" s="444"/>
      <c r="Q209" s="444"/>
      <c r="R209" s="512"/>
      <c r="S209" s="512"/>
    </row>
    <row r="210" ht="15.75" customHeight="1">
      <c r="A210" s="426"/>
      <c r="B210" s="426"/>
      <c r="C210" s="426"/>
      <c r="D210" s="426"/>
      <c r="E210" s="426"/>
      <c r="F210" s="426"/>
      <c r="G210" s="426"/>
      <c r="H210" s="426"/>
      <c r="I210" s="426"/>
      <c r="J210" s="444"/>
      <c r="K210" s="444"/>
      <c r="L210" s="444"/>
      <c r="M210" s="444"/>
      <c r="N210" s="444"/>
      <c r="O210" s="444"/>
      <c r="P210" s="444"/>
      <c r="Q210" s="444"/>
      <c r="R210" s="512"/>
      <c r="S210" s="512"/>
    </row>
    <row r="211" ht="15.75" customHeight="1">
      <c r="A211" s="426"/>
      <c r="B211" s="426"/>
      <c r="C211" s="426"/>
      <c r="D211" s="426"/>
      <c r="E211" s="426"/>
      <c r="F211" s="426"/>
      <c r="G211" s="426"/>
      <c r="H211" s="426"/>
      <c r="I211" s="426"/>
      <c r="J211" s="444"/>
      <c r="K211" s="444"/>
      <c r="L211" s="444"/>
      <c r="M211" s="444"/>
      <c r="N211" s="444"/>
      <c r="O211" s="444"/>
      <c r="P211" s="444"/>
      <c r="Q211" s="444"/>
      <c r="R211" s="512"/>
      <c r="S211" s="512"/>
    </row>
    <row r="212" ht="15.75" customHeight="1">
      <c r="A212" s="426"/>
      <c r="B212" s="426"/>
      <c r="C212" s="426"/>
      <c r="D212" s="426"/>
      <c r="E212" s="426"/>
      <c r="F212" s="426"/>
      <c r="G212" s="426"/>
      <c r="H212" s="426"/>
      <c r="I212" s="426"/>
      <c r="J212" s="444"/>
      <c r="K212" s="444"/>
      <c r="L212" s="444"/>
      <c r="M212" s="444"/>
      <c r="N212" s="444"/>
      <c r="O212" s="444"/>
      <c r="P212" s="444"/>
      <c r="Q212" s="444"/>
      <c r="R212" s="512"/>
      <c r="S212" s="512"/>
    </row>
    <row r="213" ht="15.75" customHeight="1">
      <c r="A213" s="426"/>
      <c r="B213" s="426"/>
      <c r="C213" s="426"/>
      <c r="D213" s="426"/>
      <c r="E213" s="426"/>
      <c r="F213" s="426"/>
      <c r="G213" s="426"/>
      <c r="H213" s="426"/>
      <c r="I213" s="426"/>
      <c r="J213" s="444"/>
      <c r="K213" s="444"/>
      <c r="L213" s="444"/>
      <c r="M213" s="444"/>
      <c r="N213" s="444"/>
      <c r="O213" s="444"/>
      <c r="P213" s="444"/>
      <c r="Q213" s="444"/>
      <c r="R213" s="512"/>
      <c r="S213" s="512"/>
    </row>
    <row r="214" ht="15.75" customHeight="1">
      <c r="A214" s="426"/>
      <c r="B214" s="426"/>
      <c r="C214" s="426"/>
      <c r="D214" s="426"/>
      <c r="E214" s="426"/>
      <c r="F214" s="426"/>
      <c r="G214" s="426"/>
      <c r="H214" s="426"/>
      <c r="I214" s="426"/>
      <c r="J214" s="444"/>
      <c r="K214" s="444"/>
      <c r="L214" s="444"/>
      <c r="M214" s="444"/>
      <c r="N214" s="444"/>
      <c r="O214" s="444"/>
      <c r="P214" s="444"/>
      <c r="Q214" s="444"/>
      <c r="R214" s="512"/>
      <c r="S214" s="512"/>
    </row>
    <row r="215" ht="15.75" customHeight="1">
      <c r="A215" s="426"/>
      <c r="B215" s="426"/>
      <c r="C215" s="426"/>
      <c r="D215" s="426"/>
      <c r="E215" s="426"/>
      <c r="F215" s="426"/>
      <c r="G215" s="426"/>
      <c r="H215" s="426"/>
      <c r="I215" s="426"/>
      <c r="J215" s="444"/>
      <c r="K215" s="444"/>
      <c r="L215" s="444"/>
      <c r="M215" s="444"/>
      <c r="N215" s="444"/>
      <c r="O215" s="444"/>
      <c r="P215" s="444"/>
      <c r="Q215" s="444"/>
      <c r="R215" s="512"/>
      <c r="S215" s="512"/>
    </row>
    <row r="216" ht="15.75" customHeight="1">
      <c r="A216" s="426"/>
      <c r="B216" s="426"/>
      <c r="C216" s="426"/>
      <c r="D216" s="426"/>
      <c r="E216" s="426"/>
      <c r="F216" s="426"/>
      <c r="G216" s="426"/>
      <c r="H216" s="426"/>
      <c r="I216" s="426"/>
      <c r="J216" s="444"/>
      <c r="K216" s="444"/>
      <c r="L216" s="444"/>
      <c r="M216" s="444"/>
      <c r="N216" s="444"/>
      <c r="O216" s="444"/>
      <c r="P216" s="444"/>
      <c r="Q216" s="444"/>
      <c r="R216" s="512"/>
      <c r="S216" s="512"/>
    </row>
    <row r="217" ht="15.75" customHeight="1">
      <c r="A217" s="426"/>
      <c r="B217" s="426"/>
      <c r="C217" s="426"/>
      <c r="D217" s="426"/>
      <c r="E217" s="426"/>
      <c r="F217" s="426"/>
      <c r="G217" s="426"/>
      <c r="H217" s="426"/>
      <c r="I217" s="426"/>
      <c r="J217" s="444"/>
      <c r="K217" s="444"/>
      <c r="L217" s="444"/>
      <c r="M217" s="444"/>
      <c r="N217" s="444"/>
      <c r="O217" s="444"/>
      <c r="P217" s="444"/>
      <c r="Q217" s="444"/>
      <c r="R217" s="512"/>
      <c r="S217" s="512"/>
    </row>
    <row r="218" ht="15.75" customHeight="1">
      <c r="A218" s="426"/>
      <c r="B218" s="426"/>
      <c r="C218" s="426"/>
      <c r="D218" s="426"/>
      <c r="E218" s="426"/>
      <c r="F218" s="426"/>
      <c r="G218" s="426"/>
      <c r="H218" s="426"/>
      <c r="I218" s="426"/>
      <c r="J218" s="444"/>
      <c r="K218" s="444"/>
      <c r="L218" s="444"/>
      <c r="M218" s="444"/>
      <c r="N218" s="444"/>
      <c r="O218" s="444"/>
      <c r="P218" s="444"/>
      <c r="Q218" s="444"/>
      <c r="R218" s="512"/>
      <c r="S218" s="512"/>
    </row>
    <row r="219" ht="15.75" customHeight="1">
      <c r="A219" s="426"/>
      <c r="B219" s="426"/>
      <c r="C219" s="426"/>
      <c r="D219" s="426"/>
      <c r="E219" s="426"/>
      <c r="F219" s="426"/>
      <c r="G219" s="426"/>
      <c r="H219" s="426"/>
      <c r="I219" s="426"/>
      <c r="J219" s="444"/>
      <c r="K219" s="444"/>
      <c r="L219" s="444"/>
      <c r="M219" s="444"/>
      <c r="N219" s="444"/>
      <c r="O219" s="444"/>
      <c r="P219" s="444"/>
      <c r="Q219" s="444"/>
      <c r="R219" s="512"/>
      <c r="S219" s="512"/>
    </row>
    <row r="220" ht="15.75" customHeight="1">
      <c r="A220" s="426"/>
      <c r="B220" s="426"/>
      <c r="C220" s="426"/>
      <c r="D220" s="426"/>
      <c r="E220" s="426"/>
      <c r="F220" s="426"/>
      <c r="G220" s="426"/>
      <c r="H220" s="426"/>
      <c r="I220" s="426"/>
      <c r="J220" s="444"/>
      <c r="K220" s="444"/>
      <c r="L220" s="444"/>
      <c r="M220" s="444"/>
      <c r="N220" s="444"/>
      <c r="O220" s="444"/>
      <c r="P220" s="444"/>
      <c r="Q220" s="444"/>
      <c r="R220" s="512"/>
      <c r="S220" s="5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8.63"/>
    <col customWidth="1" min="3" max="3" width="6.38"/>
    <col customWidth="1" min="4" max="4" width="8.63"/>
    <col customWidth="1" min="5" max="5" width="9.5"/>
    <col customWidth="1" min="6" max="6" width="10.5"/>
    <col customWidth="1" min="7" max="7" width="9.38"/>
    <col customWidth="1" min="8" max="8" width="3.63"/>
    <col customWidth="1" min="9" max="9" width="14.38"/>
    <col customWidth="1" min="10" max="10" width="8.63"/>
    <col customWidth="1" min="11" max="11" width="6.38"/>
    <col customWidth="1" min="12" max="12" width="8.63"/>
    <col customWidth="1" min="13" max="13" width="9.5"/>
    <col customWidth="1" min="14" max="14" width="10.5"/>
    <col customWidth="1" min="15" max="15" width="9.38"/>
    <col customWidth="1" min="16" max="16" width="9.75"/>
    <col customWidth="1" min="17" max="17" width="9.5"/>
    <col customWidth="1" min="18" max="18" width="11.5"/>
    <col customWidth="1" min="19" max="19" width="5.63"/>
    <col customWidth="1" min="20" max="20" width="10.5"/>
    <col customWidth="1" min="21" max="21" width="8.63"/>
    <col customWidth="1" min="22" max="22" width="7.88"/>
    <col customWidth="1" min="23" max="23" width="8.63"/>
    <col customWidth="1" min="24" max="24" width="9.5"/>
    <col customWidth="1" min="25" max="25" width="10.5"/>
    <col customWidth="1" min="26" max="26" width="9.38"/>
  </cols>
  <sheetData>
    <row r="1" ht="15.75" customHeight="1">
      <c r="A1" s="109" t="s">
        <v>191</v>
      </c>
      <c r="B1" s="446" t="s">
        <v>176</v>
      </c>
      <c r="C1" s="446" t="s">
        <v>177</v>
      </c>
      <c r="D1" s="446" t="s">
        <v>178</v>
      </c>
      <c r="E1" s="446" t="s">
        <v>179</v>
      </c>
      <c r="F1" s="446" t="s">
        <v>180</v>
      </c>
      <c r="G1" s="446" t="s">
        <v>181</v>
      </c>
      <c r="H1" s="447"/>
      <c r="I1" s="109" t="s">
        <v>191</v>
      </c>
      <c r="J1" s="448" t="s">
        <v>176</v>
      </c>
      <c r="K1" s="448" t="s">
        <v>177</v>
      </c>
      <c r="L1" s="448" t="s">
        <v>178</v>
      </c>
      <c r="M1" s="448" t="s">
        <v>179</v>
      </c>
      <c r="N1" s="448" t="s">
        <v>180</v>
      </c>
      <c r="O1" s="448" t="s">
        <v>181</v>
      </c>
      <c r="P1" s="448" t="s">
        <v>184</v>
      </c>
      <c r="Q1" s="448" t="s">
        <v>185</v>
      </c>
      <c r="R1" s="429"/>
      <c r="S1" s="429"/>
      <c r="T1" s="429"/>
      <c r="U1" s="449" t="s">
        <v>176</v>
      </c>
      <c r="V1" s="448" t="s">
        <v>177</v>
      </c>
      <c r="W1" s="448" t="s">
        <v>178</v>
      </c>
      <c r="X1" s="448" t="s">
        <v>179</v>
      </c>
      <c r="Y1" s="448" t="s">
        <v>180</v>
      </c>
      <c r="Z1" s="448" t="s">
        <v>181</v>
      </c>
    </row>
    <row r="2" ht="15.75" customHeight="1">
      <c r="A2" s="450" t="str">
        <f>PpgS!A2</f>
        <v>AJ DaJuiceMayne</v>
      </c>
      <c r="B2" s="451">
        <f>IFERROR(VLOOKUP($A2,PpgS!$A:$G,2,0),)</f>
        <v>0.02726033621</v>
      </c>
      <c r="C2" s="451">
        <f>IFERROR(VLOOKUP($A2,PpgS!$A:$G,3,0),)</f>
        <v>-0.4225352113</v>
      </c>
      <c r="D2" s="451">
        <f>IFERROR(VLOOKUP($A2,PpgS!$A:$G,4,0),)</f>
        <v>0.1635620173</v>
      </c>
      <c r="E2" s="451">
        <f>IFERROR(VLOOKUP($A2,PpgS!$A:$G,5,0),)</f>
        <v>0.04089050432</v>
      </c>
      <c r="F2" s="451">
        <f>IFERROR(VLOOKUP($A2,PpgS!$A:$G,6,0),)</f>
        <v>0.4497955475</v>
      </c>
      <c r="G2" s="451">
        <f>IFERROR(VLOOKUP($A2,PpgS!$A:$G,7,0),)</f>
        <v>0.1090413448</v>
      </c>
      <c r="H2" s="452"/>
      <c r="I2" s="450" t="str">
        <f>PpgS!A2</f>
        <v>AJ DaJuiceMayne</v>
      </c>
      <c r="J2" s="453" t="str">
        <f t="shared" ref="J2:J31" si="2">IF(B2&lt;=$U$17,"F",IF(B2&lt;$U$15,"E",IF(B2&lt;$U$12,"D",IF(B2&lt;$U$9,"C",IF(B2&lt;$U$6,"B",IF(B2&lt;$U$3,"A","S"))))))</f>
        <v>D</v>
      </c>
      <c r="K2" s="453" t="str">
        <f t="shared" ref="K2:K31" si="3">IF(C2&lt;=$V$17,"F",IF(C2&lt;$V$15,"E",IF(C2&lt;$V$12,"D",IF(C2&lt;$V$9,"C",IF(C2&lt;$V$6,"B",IF(C2&lt;$V$3,"A","S"))))))</f>
        <v>D</v>
      </c>
      <c r="L2" s="453" t="str">
        <f t="shared" ref="L2:L31" si="4">IF(D2&lt;=$W$17,"F",IF(D2&lt;$W$15,"E",IF(D2&lt;$W$12,"D",IF(D2&lt;$W$9,"C",IF(D2&lt;$W$6,"B",IF(D2&lt;$W$3,"A","S"))))))</f>
        <v>S</v>
      </c>
      <c r="M2" s="453" t="str">
        <f t="shared" ref="M2:M31" si="5">IF(E2&lt;=$X$17,"F",IF(E2&lt;$X$15,"E",IF(E2&lt;$X$12,"D",IF(E2&lt;$X$9,"C",IF(E2&lt;$X$6,"B",IF(E2&lt;$X$3,"A","S"))))))</f>
        <v>D</v>
      </c>
      <c r="N2" s="453" t="str">
        <f t="shared" ref="N2:N31" si="6">IF(F2&lt;=$Y$17,"F",IF(F2&lt;$Y$15,"E",IF(F2&lt;$Y$12,"D",IF(F2&lt;$Y$9,"C",IF(F2&lt;$Y$6,"B",IF(F2&lt;$Y$3,"A","S"))))))</f>
        <v>E</v>
      </c>
      <c r="O2" s="453" t="str">
        <f t="shared" ref="O2:O31" si="7">IF(G2&lt;=$Z$17,"F",IF(G2&lt;$Z$15,"E",IF(G2&lt;$Z$12,"D",IF(G2&lt;$Z$9,"C",IF(G2&lt;$Z$6,"B",IF(G2&lt;$Z$3,"A","S"))))))</f>
        <v>D</v>
      </c>
      <c r="P2" s="116" t="str">
        <f t="shared" ref="P2:P31" si="8">IF(Q2&lt;=$S$23,"F",IF(Q2&lt;$S$21,"E",IF(Q2&lt;$S$19,"D",IF(Q2&lt;$S$17,"C",IF(Q2&lt;$S$15,"B",IF(Q2&lt;$S$13,"A","S"))))))</f>
        <v>D</v>
      </c>
      <c r="Q2" s="454">
        <f t="shared" ref="Q2:Q31" si="9">($S$26*(VLOOKUP(J2, $R$3:$S$9, 2, FALSE)))+($S$27*(VLOOKUP(K2, $R$3:$S$9, 2, FALSE)))+($S$28*(VLOOKUP(L2, $R$3:$S$9, 2, FALSE)))+($S$29*(VLOOKUP(M2, $R$3:$S$9, 2, FALSE)))+($S$30*(VLOOKUP(N2, $R$3:$S$9, 2, FALSE)))+($S$31*(VLOOKUP(O2, $R$3:$S$9, 2, FALSE)))</f>
        <v>7.9</v>
      </c>
      <c r="R2" s="455" t="s">
        <v>201</v>
      </c>
      <c r="S2" s="455" t="s">
        <v>394</v>
      </c>
      <c r="T2" s="456" t="s">
        <v>18</v>
      </c>
      <c r="U2" s="457">
        <f t="shared" ref="U2:Z2" si="1">U3</f>
        <v>0.0760847582</v>
      </c>
      <c r="V2" s="457">
        <f t="shared" si="1"/>
        <v>0.1860426061</v>
      </c>
      <c r="W2" s="457">
        <f t="shared" si="1"/>
        <v>0.1330121954</v>
      </c>
      <c r="X2" s="457">
        <f t="shared" si="1"/>
        <v>0.08837835533</v>
      </c>
      <c r="Y2" s="457">
        <f t="shared" si="1"/>
        <v>0.8315093507</v>
      </c>
      <c r="Z2" s="457">
        <f t="shared" si="1"/>
        <v>0.2034113756</v>
      </c>
    </row>
    <row r="3" ht="15.75" customHeight="1">
      <c r="A3" s="450" t="str">
        <f>PpgS!A3</f>
        <v>cxrnchip</v>
      </c>
      <c r="B3" s="451">
        <f>IFERROR(VLOOKUP($A3,PpgS!$A:$G,2,0),)</f>
        <v>0</v>
      </c>
      <c r="C3" s="451">
        <f>IFERROR(VLOOKUP($A3,PpgS!$A:$G,3,0),)</f>
        <v>-0.9292035398</v>
      </c>
      <c r="D3" s="451">
        <f>IFERROR(VLOOKUP($A3,PpgS!$A:$G,4,0),)</f>
        <v>0</v>
      </c>
      <c r="E3" s="451">
        <f>IFERROR(VLOOKUP($A3,PpgS!$A:$G,5,0),)</f>
        <v>0</v>
      </c>
      <c r="F3" s="451">
        <f>IFERROR(VLOOKUP($A3,PpgS!$A:$G,6,0),)</f>
        <v>0.1327433628</v>
      </c>
      <c r="G3" s="451">
        <f>IFERROR(VLOOKUP($A3,PpgS!$A:$G,7,0),)</f>
        <v>0.1327433628</v>
      </c>
      <c r="H3" s="452"/>
      <c r="I3" s="450" t="str">
        <f>PpgS!A3</f>
        <v>cxrnchip</v>
      </c>
      <c r="J3" s="458" t="str">
        <f t="shared" si="2"/>
        <v>F</v>
      </c>
      <c r="K3" s="459" t="str">
        <f t="shared" si="3"/>
        <v>E</v>
      </c>
      <c r="L3" s="460" t="str">
        <f t="shared" si="4"/>
        <v>F</v>
      </c>
      <c r="M3" s="461" t="str">
        <f t="shared" si="5"/>
        <v>F</v>
      </c>
      <c r="N3" s="459" t="str">
        <f t="shared" si="6"/>
        <v>F</v>
      </c>
      <c r="O3" s="461" t="str">
        <f t="shared" si="7"/>
        <v>C</v>
      </c>
      <c r="P3" s="130" t="str">
        <f t="shared" si="8"/>
        <v>E</v>
      </c>
      <c r="Q3" s="454">
        <f t="shared" si="9"/>
        <v>4.8</v>
      </c>
      <c r="R3" s="85" t="s">
        <v>18</v>
      </c>
      <c r="S3" s="85">
        <v>7.0</v>
      </c>
      <c r="T3" s="462" t="s">
        <v>395</v>
      </c>
      <c r="U3" s="463">
        <f>(U4*112%)</f>
        <v>0.0760847582</v>
      </c>
      <c r="V3" s="463">
        <f>(V4*115%)</f>
        <v>0.1860426061</v>
      </c>
      <c r="W3" s="463">
        <f t="shared" ref="W3:X3" si="10">(W4*110%)</f>
        <v>0.1330121954</v>
      </c>
      <c r="X3" s="463">
        <f t="shared" si="10"/>
        <v>0.08837835533</v>
      </c>
      <c r="Y3" s="463">
        <f t="shared" ref="Y3:Z3" si="11">(Y4*120%)</f>
        <v>0.8315093507</v>
      </c>
      <c r="Z3" s="463">
        <f t="shared" si="11"/>
        <v>0.2034113756</v>
      </c>
    </row>
    <row r="4" ht="15.75" customHeight="1">
      <c r="A4" s="450" t="str">
        <f>PpgS!A4</f>
        <v>DCleak</v>
      </c>
      <c r="B4" s="451">
        <f>IFERROR(VLOOKUP($A4,PpgS!$A:$G,2,0),)</f>
        <v>0.09077155825</v>
      </c>
      <c r="C4" s="451">
        <f>IFERROR(VLOOKUP($A4,PpgS!$A:$G,3,0),)</f>
        <v>0.7715582451</v>
      </c>
      <c r="D4" s="451">
        <f>IFERROR(VLOOKUP($A4,PpgS!$A:$G,4,0),)</f>
        <v>0.2723146747</v>
      </c>
      <c r="E4" s="451">
        <f>IFERROR(VLOOKUP($A4,PpgS!$A:$G,5,0),)</f>
        <v>0.09077155825</v>
      </c>
      <c r="F4" s="451">
        <f>IFERROR(VLOOKUP($A4,PpgS!$A:$G,6,0),)</f>
        <v>0.7715582451</v>
      </c>
      <c r="G4" s="451">
        <f>IFERROR(VLOOKUP($A4,PpgS!$A:$G,7,0),)</f>
        <v>0.1361573374</v>
      </c>
      <c r="H4" s="452"/>
      <c r="I4" s="450" t="str">
        <f>PpgS!A4</f>
        <v>DCleak</v>
      </c>
      <c r="J4" s="464" t="str">
        <f t="shared" si="2"/>
        <v>S</v>
      </c>
      <c r="K4" s="459" t="str">
        <f t="shared" si="3"/>
        <v>S</v>
      </c>
      <c r="L4" s="459" t="str">
        <f t="shared" si="4"/>
        <v>S</v>
      </c>
      <c r="M4" s="461" t="str">
        <f t="shared" si="5"/>
        <v>S</v>
      </c>
      <c r="N4" s="459" t="str">
        <f t="shared" si="6"/>
        <v>A</v>
      </c>
      <c r="O4" s="464" t="str">
        <f t="shared" si="7"/>
        <v>C</v>
      </c>
      <c r="P4" s="126" t="str">
        <f t="shared" si="8"/>
        <v>A</v>
      </c>
      <c r="Q4" s="454">
        <f t="shared" si="9"/>
        <v>15.3</v>
      </c>
      <c r="R4" s="88" t="s">
        <v>17</v>
      </c>
      <c r="S4" s="88">
        <v>6.0</v>
      </c>
      <c r="T4" s="465" t="s">
        <v>396</v>
      </c>
      <c r="U4" s="466">
        <f t="shared" ref="U4:Z4" si="12">QUARTILE(B2:B31,3)</f>
        <v>0.06793281982</v>
      </c>
      <c r="V4" s="466">
        <f t="shared" si="12"/>
        <v>0.1617761792</v>
      </c>
      <c r="W4" s="466">
        <f t="shared" si="12"/>
        <v>0.1209201777</v>
      </c>
      <c r="X4" s="466">
        <f t="shared" si="12"/>
        <v>0.08034395939</v>
      </c>
      <c r="Y4" s="466">
        <f t="shared" si="12"/>
        <v>0.6929244589</v>
      </c>
      <c r="Z4" s="466">
        <f t="shared" si="12"/>
        <v>0.1695094797</v>
      </c>
    </row>
    <row r="5" ht="15.75" customHeight="1">
      <c r="A5" s="450" t="str">
        <f>PpgS!A5</f>
        <v>DlGITAL PAIN</v>
      </c>
      <c r="B5" s="451">
        <f>IFERROR(VLOOKUP($A5,PpgS!$A:$G,2,0),)</f>
        <v>0.03890630066</v>
      </c>
      <c r="C5" s="451">
        <f>IFERROR(VLOOKUP($A5,PpgS!$A:$G,3,0),)</f>
        <v>0.39554739</v>
      </c>
      <c r="D5" s="451">
        <f>IFERROR(VLOOKUP($A5,PpgS!$A:$G,4,0),)</f>
        <v>0.07132821788</v>
      </c>
      <c r="E5" s="451">
        <f>IFERROR(VLOOKUP($A5,PpgS!$A:$G,5,0),)</f>
        <v>0.1037501351</v>
      </c>
      <c r="F5" s="451">
        <f>IFERROR(VLOOKUP($A5,PpgS!$A:$G,6,0),)</f>
        <v>0.7327353291</v>
      </c>
      <c r="G5" s="451">
        <f>IFERROR(VLOOKUP($A5,PpgS!$A:$G,7,0),)</f>
        <v>0.2010158867</v>
      </c>
      <c r="H5" s="452"/>
      <c r="I5" s="450" t="str">
        <f>PpgS!A5</f>
        <v>DlGITAL PAIN</v>
      </c>
      <c r="J5" s="459" t="str">
        <f t="shared" si="2"/>
        <v>C</v>
      </c>
      <c r="K5" s="453" t="str">
        <f t="shared" si="3"/>
        <v>S</v>
      </c>
      <c r="L5" s="453" t="str">
        <f t="shared" si="4"/>
        <v>D</v>
      </c>
      <c r="M5" s="453" t="str">
        <f t="shared" si="5"/>
        <v>S</v>
      </c>
      <c r="N5" s="453" t="str">
        <f t="shared" si="6"/>
        <v>A</v>
      </c>
      <c r="O5" s="453" t="str">
        <f t="shared" si="7"/>
        <v>A</v>
      </c>
      <c r="P5" s="128" t="str">
        <f t="shared" si="8"/>
        <v>A</v>
      </c>
      <c r="Q5" s="454">
        <f t="shared" si="9"/>
        <v>14.8</v>
      </c>
      <c r="R5" s="93" t="s">
        <v>16</v>
      </c>
      <c r="S5" s="93">
        <v>5.0</v>
      </c>
      <c r="T5" s="467" t="s">
        <v>397</v>
      </c>
      <c r="U5" s="463">
        <f>U4*90%</f>
        <v>0.06113953784</v>
      </c>
      <c r="V5" s="463">
        <f t="shared" ref="V5:Z5" si="13">V4*95%</f>
        <v>0.1536873702</v>
      </c>
      <c r="W5" s="463">
        <f t="shared" si="13"/>
        <v>0.1148741688</v>
      </c>
      <c r="X5" s="463">
        <f t="shared" si="13"/>
        <v>0.07632676142</v>
      </c>
      <c r="Y5" s="463">
        <f t="shared" si="13"/>
        <v>0.658278236</v>
      </c>
      <c r="Z5" s="463">
        <f t="shared" si="13"/>
        <v>0.1610340057</v>
      </c>
    </row>
    <row r="6" ht="15.75" customHeight="1">
      <c r="A6" s="450" t="str">
        <f>PpgS!A6</f>
        <v>Doerstopper</v>
      </c>
      <c r="B6" s="451">
        <f>IFERROR(VLOOKUP($A6,PpgS!$A:$G,2,0),)</f>
        <v>0.2135231317</v>
      </c>
      <c r="C6" s="451">
        <f>IFERROR(VLOOKUP($A6,PpgS!$A:$G,3,0),)</f>
        <v>-1.103202847</v>
      </c>
      <c r="D6" s="451">
        <f>IFERROR(VLOOKUP($A6,PpgS!$A:$G,4,0),)</f>
        <v>0.03558718861</v>
      </c>
      <c r="E6" s="451">
        <f>IFERROR(VLOOKUP($A6,PpgS!$A:$G,5,0),)</f>
        <v>0</v>
      </c>
      <c r="F6" s="451">
        <f>IFERROR(VLOOKUP($A6,PpgS!$A:$G,6,0),)</f>
        <v>0.4270462633</v>
      </c>
      <c r="G6" s="451">
        <f>IFERROR(VLOOKUP($A6,PpgS!$A:$G,7,0),)</f>
        <v>0.07117437722</v>
      </c>
      <c r="H6" s="452"/>
      <c r="I6" s="450" t="str">
        <f>PpgS!A6</f>
        <v>Doerstopper</v>
      </c>
      <c r="J6" s="461" t="str">
        <f t="shared" si="2"/>
        <v>S</v>
      </c>
      <c r="K6" s="460" t="str">
        <f t="shared" si="3"/>
        <v>F</v>
      </c>
      <c r="L6" s="464" t="str">
        <f t="shared" si="4"/>
        <v>F</v>
      </c>
      <c r="M6" s="461" t="str">
        <f t="shared" si="5"/>
        <v>F</v>
      </c>
      <c r="N6" s="460" t="str">
        <f t="shared" si="6"/>
        <v>E</v>
      </c>
      <c r="O6" s="461" t="str">
        <f t="shared" si="7"/>
        <v>E</v>
      </c>
      <c r="P6" s="130" t="str">
        <f t="shared" si="8"/>
        <v>E</v>
      </c>
      <c r="Q6" s="454">
        <f t="shared" si="9"/>
        <v>5.3</v>
      </c>
      <c r="R6" s="95" t="s">
        <v>28</v>
      </c>
      <c r="S6" s="95">
        <v>4.0</v>
      </c>
      <c r="T6" s="468" t="s">
        <v>398</v>
      </c>
      <c r="U6" s="469">
        <f t="shared" ref="U6:Z6" si="14">U5</f>
        <v>0.06113953784</v>
      </c>
      <c r="V6" s="469">
        <f t="shared" si="14"/>
        <v>0.1536873702</v>
      </c>
      <c r="W6" s="469">
        <f t="shared" si="14"/>
        <v>0.1148741688</v>
      </c>
      <c r="X6" s="469">
        <f t="shared" si="14"/>
        <v>0.07632676142</v>
      </c>
      <c r="Y6" s="469">
        <f t="shared" si="14"/>
        <v>0.658278236</v>
      </c>
      <c r="Z6" s="469">
        <f t="shared" si="14"/>
        <v>0.1610340057</v>
      </c>
    </row>
    <row r="7" ht="15.75" customHeight="1">
      <c r="A7" s="450" t="str">
        <f>PpgS!A7</f>
        <v>eTazedd</v>
      </c>
      <c r="B7" s="451">
        <f>IFERROR(VLOOKUP($A7,PpgS!$A:$G,2,0),)</f>
        <v>0.01247660636</v>
      </c>
      <c r="C7" s="451">
        <f>IFERROR(VLOOKUP($A7,PpgS!$A:$G,3,0),)</f>
        <v>0.1122894573</v>
      </c>
      <c r="D7" s="451">
        <f>IFERROR(VLOOKUP($A7,PpgS!$A:$G,4,0),)</f>
        <v>0.06238303182</v>
      </c>
      <c r="E7" s="451">
        <f>IFERROR(VLOOKUP($A7,PpgS!$A:$G,5,0),)</f>
        <v>0.03742981909</v>
      </c>
      <c r="F7" s="451">
        <f>IFERROR(VLOOKUP($A7,PpgS!$A:$G,6,0),)</f>
        <v>0.8733624454</v>
      </c>
      <c r="G7" s="451">
        <f>IFERROR(VLOOKUP($A7,PpgS!$A:$G,7,0),)</f>
        <v>0.1871490954</v>
      </c>
      <c r="H7" s="452"/>
      <c r="I7" s="450" t="str">
        <f>PpgS!A7</f>
        <v>eTazedd</v>
      </c>
      <c r="J7" s="461" t="str">
        <f t="shared" si="2"/>
        <v>D</v>
      </c>
      <c r="K7" s="453" t="str">
        <f t="shared" si="3"/>
        <v>B</v>
      </c>
      <c r="L7" s="453" t="str">
        <f t="shared" si="4"/>
        <v>E</v>
      </c>
      <c r="M7" s="470" t="str">
        <f t="shared" si="5"/>
        <v>D</v>
      </c>
      <c r="N7" s="470" t="str">
        <f t="shared" si="6"/>
        <v>S</v>
      </c>
      <c r="O7" s="460" t="str">
        <f t="shared" si="7"/>
        <v>A</v>
      </c>
      <c r="P7" s="126" t="str">
        <f t="shared" si="8"/>
        <v>B</v>
      </c>
      <c r="Q7" s="454">
        <f t="shared" si="9"/>
        <v>11.7</v>
      </c>
      <c r="R7" s="97" t="s">
        <v>23</v>
      </c>
      <c r="S7" s="97">
        <v>3.0</v>
      </c>
      <c r="T7" s="464" t="s">
        <v>399</v>
      </c>
      <c r="U7" s="471">
        <f t="shared" ref="U7:Z7" si="15">MEDIAN(U4,U10)</f>
        <v>0.05154125192</v>
      </c>
      <c r="V7" s="471">
        <f t="shared" si="15"/>
        <v>-0.06989712701</v>
      </c>
      <c r="W7" s="471">
        <f t="shared" si="15"/>
        <v>0.1016429795</v>
      </c>
      <c r="X7" s="471">
        <f t="shared" si="15"/>
        <v>0.06429296281</v>
      </c>
      <c r="Y7" s="471">
        <f t="shared" si="15"/>
        <v>0.6295252239</v>
      </c>
      <c r="Z7" s="471">
        <f t="shared" si="15"/>
        <v>0.1507848985</v>
      </c>
    </row>
    <row r="8" ht="15.75" customHeight="1">
      <c r="A8" s="450" t="str">
        <f>PpgS!A8</f>
        <v>Fanciest Pants</v>
      </c>
      <c r="B8" s="451">
        <f>IFERROR(VLOOKUP($A8,PpgS!$A:$G,2,0),)</f>
        <v>0</v>
      </c>
      <c r="C8" s="451">
        <f>IFERROR(VLOOKUP($A8,PpgS!$A:$G,3,0),)</f>
        <v>-0.9655172414</v>
      </c>
      <c r="D8" s="451">
        <f>IFERROR(VLOOKUP($A8,PpgS!$A:$G,4,0),)</f>
        <v>0.06896551724</v>
      </c>
      <c r="E8" s="451">
        <f>IFERROR(VLOOKUP($A8,PpgS!$A:$G,5,0),)</f>
        <v>0.1379310345</v>
      </c>
      <c r="F8" s="451">
        <f>IFERROR(VLOOKUP($A8,PpgS!$A:$G,6,0),)</f>
        <v>0.5517241379</v>
      </c>
      <c r="G8" s="451">
        <f>IFERROR(VLOOKUP($A8,PpgS!$A:$G,7,0),)</f>
        <v>0.275862069</v>
      </c>
      <c r="H8" s="452"/>
      <c r="I8" s="450" t="str">
        <f>PpgS!A8</f>
        <v>Fanciest Pants</v>
      </c>
      <c r="J8" s="461" t="str">
        <f t="shared" si="2"/>
        <v>F</v>
      </c>
      <c r="K8" s="461" t="str">
        <f t="shared" si="3"/>
        <v>E</v>
      </c>
      <c r="L8" s="460" t="str">
        <f t="shared" si="4"/>
        <v>D</v>
      </c>
      <c r="M8" s="460" t="str">
        <f t="shared" si="5"/>
        <v>S</v>
      </c>
      <c r="N8" s="464" t="str">
        <f t="shared" si="6"/>
        <v>C</v>
      </c>
      <c r="O8" s="461" t="str">
        <f t="shared" si="7"/>
        <v>S</v>
      </c>
      <c r="P8" s="130" t="str">
        <f t="shared" si="8"/>
        <v>C</v>
      </c>
      <c r="Q8" s="454">
        <f t="shared" si="9"/>
        <v>11.2</v>
      </c>
      <c r="R8" s="99" t="s">
        <v>25</v>
      </c>
      <c r="S8" s="99">
        <v>2.0</v>
      </c>
      <c r="T8" s="472" t="s">
        <v>400</v>
      </c>
      <c r="U8" s="469">
        <f t="shared" ref="U8:Z8" si="16">U9</f>
        <v>0.04042213661</v>
      </c>
      <c r="V8" s="469">
        <f t="shared" si="16"/>
        <v>-0.1055496516</v>
      </c>
      <c r="W8" s="469">
        <f t="shared" si="16"/>
        <v>0.08401309685</v>
      </c>
      <c r="X8" s="469">
        <f t="shared" si="16"/>
        <v>0.05306616285</v>
      </c>
      <c r="Y8" s="469">
        <f t="shared" si="16"/>
        <v>0.5944322884</v>
      </c>
      <c r="Z8" s="469">
        <f t="shared" si="16"/>
        <v>0.1380030316</v>
      </c>
    </row>
    <row r="9" ht="15.75" customHeight="1">
      <c r="A9" s="450" t="str">
        <f>PpgS!A9</f>
        <v>Frnzh</v>
      </c>
      <c r="B9" s="451">
        <f>IFERROR(VLOOKUP($A9,PpgS!$A:$G,2,0),)</f>
        <v>0.09049773756</v>
      </c>
      <c r="C9" s="451">
        <f>IFERROR(VLOOKUP($A9,PpgS!$A:$G,3,0),)</f>
        <v>0.5429864253</v>
      </c>
      <c r="D9" s="451">
        <f>IFERROR(VLOOKUP($A9,PpgS!$A:$G,4,0),)</f>
        <v>0.09049773756</v>
      </c>
      <c r="E9" s="451">
        <f>IFERROR(VLOOKUP($A9,PpgS!$A:$G,5,0),)</f>
        <v>0.09049773756</v>
      </c>
      <c r="F9" s="451">
        <f>IFERROR(VLOOKUP($A9,PpgS!$A:$G,6,0),)</f>
        <v>0.4524886878</v>
      </c>
      <c r="G9" s="451">
        <f>IFERROR(VLOOKUP($A9,PpgS!$A:$G,7,0),)</f>
        <v>0.1809954751</v>
      </c>
      <c r="H9" s="452"/>
      <c r="I9" s="450" t="str">
        <f>PpgS!A9</f>
        <v>Frnzh</v>
      </c>
      <c r="J9" s="460" t="str">
        <f t="shared" si="2"/>
        <v>S</v>
      </c>
      <c r="K9" s="460" t="str">
        <f t="shared" si="3"/>
        <v>S</v>
      </c>
      <c r="L9" s="464" t="str">
        <f t="shared" si="4"/>
        <v>B</v>
      </c>
      <c r="M9" s="458" t="str">
        <f t="shared" si="5"/>
        <v>S</v>
      </c>
      <c r="N9" s="470" t="str">
        <f t="shared" si="6"/>
        <v>E</v>
      </c>
      <c r="O9" s="470" t="str">
        <f t="shared" si="7"/>
        <v>A</v>
      </c>
      <c r="P9" s="127" t="str">
        <f t="shared" si="8"/>
        <v>A</v>
      </c>
      <c r="Q9" s="454">
        <f t="shared" si="9"/>
        <v>14.5</v>
      </c>
      <c r="R9" s="102" t="s">
        <v>66</v>
      </c>
      <c r="S9" s="102">
        <v>1.0</v>
      </c>
      <c r="T9" s="473" t="s">
        <v>401</v>
      </c>
      <c r="U9" s="474">
        <f>(U10*115%)</f>
        <v>0.04042213661</v>
      </c>
      <c r="V9" s="474">
        <f>(V10*35%)</f>
        <v>-0.1055496516</v>
      </c>
      <c r="W9" s="474">
        <f>(W10*102%)</f>
        <v>0.08401309685</v>
      </c>
      <c r="X9" s="474">
        <f>(X10*110%)</f>
        <v>0.05306616285</v>
      </c>
      <c r="Y9" s="474">
        <f>(Y10*105%)</f>
        <v>0.5944322884</v>
      </c>
      <c r="Z9" s="474">
        <f>(Z10*104.5%)</f>
        <v>0.1380030316</v>
      </c>
    </row>
    <row r="10" ht="15.75" customHeight="1">
      <c r="A10" s="450" t="str">
        <f>PpgS!A10</f>
        <v>Galvann</v>
      </c>
      <c r="B10" s="451">
        <f>IFERROR(VLOOKUP($A10,PpgS!$A:$G,2,0),)</f>
        <v>0.01313772717</v>
      </c>
      <c r="C10" s="451">
        <f>IFERROR(VLOOKUP($A10,PpgS!$A:$G,3,0),)</f>
        <v>0.04598204511</v>
      </c>
      <c r="D10" s="451">
        <f>IFERROR(VLOOKUP($A10,PpgS!$A:$G,4,0),)</f>
        <v>0.05911977228</v>
      </c>
      <c r="E10" s="451">
        <f>IFERROR(VLOOKUP($A10,PpgS!$A:$G,5,0),)</f>
        <v>0.03941318152</v>
      </c>
      <c r="F10" s="451">
        <f>IFERROR(VLOOKUP($A10,PpgS!$A:$G,6,0),)</f>
        <v>0.6962995402</v>
      </c>
      <c r="G10" s="451">
        <f>IFERROR(VLOOKUP($A10,PpgS!$A:$G,7,0),)</f>
        <v>0.1313772717</v>
      </c>
      <c r="H10" s="452"/>
      <c r="I10" s="450" t="str">
        <f>PpgS!A10</f>
        <v>Galvann</v>
      </c>
      <c r="J10" s="464" t="str">
        <f t="shared" si="2"/>
        <v>D</v>
      </c>
      <c r="K10" s="459" t="str">
        <f t="shared" si="3"/>
        <v>B</v>
      </c>
      <c r="L10" s="453" t="str">
        <f t="shared" si="4"/>
        <v>E</v>
      </c>
      <c r="M10" s="461" t="str">
        <f t="shared" si="5"/>
        <v>D</v>
      </c>
      <c r="N10" s="461" t="str">
        <f t="shared" si="6"/>
        <v>A</v>
      </c>
      <c r="O10" s="460" t="str">
        <f t="shared" si="7"/>
        <v>C</v>
      </c>
      <c r="P10" s="127" t="str">
        <f t="shared" si="8"/>
        <v>C</v>
      </c>
      <c r="Q10" s="454">
        <f t="shared" si="9"/>
        <v>10.1</v>
      </c>
      <c r="R10" s="452"/>
      <c r="S10" s="447"/>
      <c r="T10" s="475" t="s">
        <v>402</v>
      </c>
      <c r="U10" s="476">
        <f t="shared" ref="U10:Z10" si="17">QUARTILE(B2:B31,2)</f>
        <v>0.03514968401</v>
      </c>
      <c r="V10" s="476">
        <f t="shared" si="17"/>
        <v>-0.3015704332</v>
      </c>
      <c r="W10" s="476">
        <f t="shared" si="17"/>
        <v>0.08236578123</v>
      </c>
      <c r="X10" s="476">
        <f t="shared" si="17"/>
        <v>0.04824196623</v>
      </c>
      <c r="Y10" s="476">
        <f t="shared" si="17"/>
        <v>0.566125989</v>
      </c>
      <c r="Z10" s="476">
        <f t="shared" si="17"/>
        <v>0.1320603173</v>
      </c>
    </row>
    <row r="11" ht="15.75" customHeight="1">
      <c r="A11" s="450" t="str">
        <f>PpgS!A11</f>
        <v>GodSnipezX</v>
      </c>
      <c r="B11" s="451">
        <f>IFERROR(VLOOKUP($A11,PpgS!$A:$G,2,0),)</f>
        <v>0.01079330815</v>
      </c>
      <c r="C11" s="451">
        <f>IFERROR(VLOOKUP($A11,PpgS!$A:$G,3,0),)</f>
        <v>0.8202914193</v>
      </c>
      <c r="D11" s="451">
        <f>IFERROR(VLOOKUP($A11,PpgS!$A:$G,4,0),)</f>
        <v>0.1726929304</v>
      </c>
      <c r="E11" s="451">
        <f>IFERROR(VLOOKUP($A11,PpgS!$A:$G,5,0),)</f>
        <v>0.1295196978</v>
      </c>
      <c r="F11" s="451">
        <f>IFERROR(VLOOKUP($A11,PpgS!$A:$G,6,0),)</f>
        <v>0.8310847275</v>
      </c>
      <c r="G11" s="451">
        <f>IFERROR(VLOOKUP($A11,PpgS!$A:$G,7,0),)</f>
        <v>0.2266594711</v>
      </c>
      <c r="H11" s="452"/>
      <c r="I11" s="450" t="str">
        <f>PpgS!A11</f>
        <v>GodSnipezX</v>
      </c>
      <c r="J11" s="461" t="str">
        <f t="shared" si="2"/>
        <v>E</v>
      </c>
      <c r="K11" s="458" t="str">
        <f t="shared" si="3"/>
        <v>S</v>
      </c>
      <c r="L11" s="470" t="str">
        <f t="shared" si="4"/>
        <v>S</v>
      </c>
      <c r="M11" s="458" t="str">
        <f t="shared" si="5"/>
        <v>S</v>
      </c>
      <c r="N11" s="459" t="str">
        <f t="shared" si="6"/>
        <v>A</v>
      </c>
      <c r="O11" s="453" t="str">
        <f t="shared" si="7"/>
        <v>S</v>
      </c>
      <c r="P11" s="127" t="str">
        <f t="shared" si="8"/>
        <v>A</v>
      </c>
      <c r="Q11" s="454">
        <f t="shared" si="9"/>
        <v>15.6</v>
      </c>
      <c r="R11" s="447"/>
      <c r="S11" s="447"/>
      <c r="T11" s="477" t="s">
        <v>403</v>
      </c>
      <c r="U11" s="474">
        <f>(U10*90%)</f>
        <v>0.03163471561</v>
      </c>
      <c r="V11" s="474">
        <f>(V10*105%)</f>
        <v>-0.3166489549</v>
      </c>
      <c r="W11" s="474">
        <f t="shared" ref="W11:Z11" si="18">(W10*95%)</f>
        <v>0.07824749217</v>
      </c>
      <c r="X11" s="474">
        <f t="shared" si="18"/>
        <v>0.04582986792</v>
      </c>
      <c r="Y11" s="474">
        <f t="shared" si="18"/>
        <v>0.5378196895</v>
      </c>
      <c r="Z11" s="474">
        <f t="shared" si="18"/>
        <v>0.1254573014</v>
      </c>
    </row>
    <row r="12" ht="15.75" customHeight="1">
      <c r="A12" s="450" t="str">
        <f>PpgS!A12</f>
        <v>halfbreed105</v>
      </c>
      <c r="B12" s="451">
        <f>IFERROR(VLOOKUP($A12,PpgS!$A:$G,2,0),)</f>
        <v>0.04538577912</v>
      </c>
      <c r="C12" s="451">
        <f>IFERROR(VLOOKUP($A12,PpgS!$A:$G,3,0),)</f>
        <v>-1.633888048</v>
      </c>
      <c r="D12" s="451">
        <f>IFERROR(VLOOKUP($A12,PpgS!$A:$G,4,0),)</f>
        <v>0.1815431165</v>
      </c>
      <c r="E12" s="451">
        <f>IFERROR(VLOOKUP($A12,PpgS!$A:$G,5,0),)</f>
        <v>0.04538577912</v>
      </c>
      <c r="F12" s="451">
        <f>IFERROR(VLOOKUP($A12,PpgS!$A:$G,6,0),)</f>
        <v>0.363086233</v>
      </c>
      <c r="G12" s="451">
        <f>IFERROR(VLOOKUP($A12,PpgS!$A:$G,7,0),)</f>
        <v>0.04538577912</v>
      </c>
      <c r="H12" s="452"/>
      <c r="I12" s="450" t="str">
        <f>PpgS!A12</f>
        <v>halfbreed105</v>
      </c>
      <c r="J12" s="453" t="str">
        <f t="shared" si="2"/>
        <v>B</v>
      </c>
      <c r="K12" s="459" t="str">
        <f t="shared" si="3"/>
        <v>F</v>
      </c>
      <c r="L12" s="464" t="str">
        <f t="shared" si="4"/>
        <v>S</v>
      </c>
      <c r="M12" s="460" t="str">
        <f t="shared" si="5"/>
        <v>D</v>
      </c>
      <c r="N12" s="460" t="str">
        <f t="shared" si="6"/>
        <v>E</v>
      </c>
      <c r="O12" s="461" t="str">
        <f t="shared" si="7"/>
        <v>F</v>
      </c>
      <c r="P12" s="127" t="str">
        <f t="shared" si="8"/>
        <v>D</v>
      </c>
      <c r="Q12" s="454">
        <f t="shared" si="9"/>
        <v>6.3</v>
      </c>
      <c r="R12" s="456" t="s">
        <v>18</v>
      </c>
      <c r="S12" s="478">
        <f>(S26*7)+(S27*7)+(S28*7)+(S29*7)+(S30*7)+(S31*7)</f>
        <v>17.5</v>
      </c>
      <c r="T12" s="479" t="s">
        <v>404</v>
      </c>
      <c r="U12" s="480">
        <f t="shared" ref="U12:Z12" si="19">U11</f>
        <v>0.03163471561</v>
      </c>
      <c r="V12" s="480">
        <f t="shared" si="19"/>
        <v>-0.3166489549</v>
      </c>
      <c r="W12" s="480">
        <f t="shared" si="19"/>
        <v>0.07824749217</v>
      </c>
      <c r="X12" s="480">
        <f t="shared" si="19"/>
        <v>0.04582986792</v>
      </c>
      <c r="Y12" s="480">
        <f t="shared" si="19"/>
        <v>0.5378196895</v>
      </c>
      <c r="Z12" s="480">
        <f t="shared" si="19"/>
        <v>0.1254573014</v>
      </c>
    </row>
    <row r="13" ht="15.75" customHeight="1">
      <c r="A13" s="450" t="str">
        <f>PpgS!A13</f>
        <v>Icey Tanker</v>
      </c>
      <c r="B13" s="451">
        <f>IFERROR(VLOOKUP($A13,PpgS!$A:$G,2,0),)</f>
        <v>0.0310024113</v>
      </c>
      <c r="C13" s="451">
        <f>IFERROR(VLOOKUP($A13,PpgS!$A:$G,3,0),)</f>
        <v>1.043747847</v>
      </c>
      <c r="D13" s="451">
        <f>IFERROR(VLOOKUP($A13,PpgS!$A:$G,4,0),)</f>
        <v>0.0310024113</v>
      </c>
      <c r="E13" s="451">
        <f>IFERROR(VLOOKUP($A13,PpgS!$A:$G,5,0),)</f>
        <v>0.1136755081</v>
      </c>
      <c r="F13" s="451">
        <f>IFERROR(VLOOKUP($A13,PpgS!$A:$G,6,0),)</f>
        <v>0.930072339</v>
      </c>
      <c r="G13" s="451">
        <f>IFERROR(VLOOKUP($A13,PpgS!$A:$G,7,0),)</f>
        <v>0.3926972098</v>
      </c>
      <c r="H13" s="452"/>
      <c r="I13" s="450" t="str">
        <f>PpgS!A13</f>
        <v>Icey Tanker</v>
      </c>
      <c r="J13" s="464" t="str">
        <f t="shared" si="2"/>
        <v>D</v>
      </c>
      <c r="K13" s="453" t="str">
        <f t="shared" si="3"/>
        <v>S</v>
      </c>
      <c r="L13" s="470" t="str">
        <f t="shared" si="4"/>
        <v>F</v>
      </c>
      <c r="M13" s="470" t="str">
        <f t="shared" si="5"/>
        <v>S</v>
      </c>
      <c r="N13" s="459" t="str">
        <f t="shared" si="6"/>
        <v>S</v>
      </c>
      <c r="O13" s="459" t="str">
        <f t="shared" si="7"/>
        <v>S</v>
      </c>
      <c r="P13" s="126" t="str">
        <f t="shared" si="8"/>
        <v>A</v>
      </c>
      <c r="Q13" s="454">
        <f t="shared" si="9"/>
        <v>15.1</v>
      </c>
      <c r="R13" s="462" t="s">
        <v>405</v>
      </c>
      <c r="S13" s="481">
        <f>MEDIAN(S12,S14)</f>
        <v>16.25</v>
      </c>
      <c r="T13" s="461" t="s">
        <v>406</v>
      </c>
      <c r="U13" s="482">
        <f t="shared" ref="U13:Z13" si="20">MEDIAN(U10,U16)</f>
        <v>0.02279997452</v>
      </c>
      <c r="V13" s="482">
        <f t="shared" si="20"/>
        <v>-0.47000244</v>
      </c>
      <c r="W13" s="482">
        <f t="shared" si="20"/>
        <v>0.0711506842</v>
      </c>
      <c r="X13" s="482">
        <f t="shared" si="20"/>
        <v>0.03685993269</v>
      </c>
      <c r="Y13" s="482">
        <f t="shared" si="20"/>
        <v>0.5082974108</v>
      </c>
      <c r="Z13" s="482">
        <f t="shared" si="20"/>
        <v>0.1124434166</v>
      </c>
    </row>
    <row r="14" ht="15.75" customHeight="1">
      <c r="A14" s="450" t="str">
        <f>PpgS!A14</f>
        <v>Invayda Zim</v>
      </c>
      <c r="B14" s="451">
        <f>IFERROR(VLOOKUP($A14,PpgS!$A:$G,2,0),)</f>
        <v>0.01411266612</v>
      </c>
      <c r="C14" s="451">
        <f>IFERROR(VLOOKUP($A14,PpgS!$A:$G,3,0),)</f>
        <v>-0.3316476538</v>
      </c>
      <c r="D14" s="451">
        <f>IFERROR(VLOOKUP($A14,PpgS!$A:$G,4,0),)</f>
        <v>0.06350699753</v>
      </c>
      <c r="E14" s="451">
        <f>IFERROR(VLOOKUP($A14,PpgS!$A:$G,5,0),)</f>
        <v>0.04939433141</v>
      </c>
      <c r="F14" s="451">
        <f>IFERROR(VLOOKUP($A14,PpgS!$A:$G,6,0),)</f>
        <v>0.6280136422</v>
      </c>
      <c r="G14" s="451">
        <f>IFERROR(VLOOKUP($A14,PpgS!$A:$G,7,0),)</f>
        <v>0.1622956604</v>
      </c>
      <c r="H14" s="452"/>
      <c r="I14" s="450" t="str">
        <f>PpgS!A14</f>
        <v>Invayda Zim</v>
      </c>
      <c r="J14" s="458" t="str">
        <f t="shared" si="2"/>
        <v>D</v>
      </c>
      <c r="K14" s="458" t="str">
        <f t="shared" si="3"/>
        <v>D</v>
      </c>
      <c r="L14" s="458" t="str">
        <f t="shared" si="4"/>
        <v>E</v>
      </c>
      <c r="M14" s="458" t="str">
        <f t="shared" si="5"/>
        <v>C</v>
      </c>
      <c r="N14" s="460" t="str">
        <f t="shared" si="6"/>
        <v>B</v>
      </c>
      <c r="O14" s="458" t="str">
        <f t="shared" si="7"/>
        <v>A</v>
      </c>
      <c r="P14" s="131" t="str">
        <f t="shared" si="8"/>
        <v>C</v>
      </c>
      <c r="Q14" s="454">
        <f t="shared" si="9"/>
        <v>10.4</v>
      </c>
      <c r="R14" s="465" t="s">
        <v>17</v>
      </c>
      <c r="S14" s="483">
        <f>(S26*6)+(S27*6)+(S28*6)+(S29*6)+(S30*6)+(S31*6)</f>
        <v>15</v>
      </c>
      <c r="T14" s="484" t="s">
        <v>407</v>
      </c>
      <c r="U14" s="480">
        <f t="shared" ref="U14:Z14" si="21">U15</f>
        <v>0.01201780477</v>
      </c>
      <c r="V14" s="480">
        <f t="shared" si="21"/>
        <v>-0.5107475574</v>
      </c>
      <c r="W14" s="480">
        <f t="shared" si="21"/>
        <v>0.06592914588</v>
      </c>
      <c r="X14" s="480">
        <f t="shared" si="21"/>
        <v>0.0267517941</v>
      </c>
      <c r="Y14" s="480">
        <f t="shared" si="21"/>
        <v>0.4729922742</v>
      </c>
      <c r="Z14" s="480">
        <f t="shared" si="21"/>
        <v>0.09839610685</v>
      </c>
    </row>
    <row r="15" ht="15.75" customHeight="1">
      <c r="A15" s="450" t="str">
        <f>PpgS!A15</f>
        <v>ixGingy</v>
      </c>
      <c r="B15" s="451">
        <f>IFERROR(VLOOKUP($A15,PpgS!$A:$G,2,0),)</f>
        <v>0.03139306736</v>
      </c>
      <c r="C15" s="451">
        <f>IFERROR(VLOOKUP($A15,PpgS!$A:$G,3,0),)</f>
        <v>0.3531720078</v>
      </c>
      <c r="D15" s="451">
        <f>IFERROR(VLOOKUP($A15,PpgS!$A:$G,4,0),)</f>
        <v>0.08633093525</v>
      </c>
      <c r="E15" s="451">
        <f>IFERROR(VLOOKUP($A15,PpgS!$A:$G,5,0),)</f>
        <v>0.08633093525</v>
      </c>
      <c r="F15" s="451">
        <f>IFERROR(VLOOKUP($A15,PpgS!$A:$G,6,0),)</f>
        <v>0.6827992152</v>
      </c>
      <c r="G15" s="451">
        <f>IFERROR(VLOOKUP($A15,PpgS!$A:$G,7,0),)</f>
        <v>0.1334205363</v>
      </c>
      <c r="H15" s="452"/>
      <c r="I15" s="450" t="str">
        <f>PpgS!A15</f>
        <v>ixGingy</v>
      </c>
      <c r="J15" s="470" t="str">
        <f t="shared" si="2"/>
        <v>D</v>
      </c>
      <c r="K15" s="461" t="str">
        <f t="shared" si="3"/>
        <v>S</v>
      </c>
      <c r="L15" s="453" t="str">
        <f t="shared" si="4"/>
        <v>B</v>
      </c>
      <c r="M15" s="461" t="str">
        <f t="shared" si="5"/>
        <v>A</v>
      </c>
      <c r="N15" s="464" t="str">
        <f t="shared" si="6"/>
        <v>A</v>
      </c>
      <c r="O15" s="464" t="str">
        <f t="shared" si="7"/>
        <v>C</v>
      </c>
      <c r="P15" s="126" t="str">
        <f t="shared" si="8"/>
        <v>B</v>
      </c>
      <c r="Q15" s="454">
        <f t="shared" si="9"/>
        <v>13.2</v>
      </c>
      <c r="R15" s="467" t="s">
        <v>408</v>
      </c>
      <c r="S15" s="481">
        <f>MEDIAN(S14,S16)</f>
        <v>13.75</v>
      </c>
      <c r="T15" s="485" t="s">
        <v>409</v>
      </c>
      <c r="U15" s="486">
        <f>(U16*15%)+U16</f>
        <v>0.01201780477</v>
      </c>
      <c r="V15" s="486">
        <f>(V16*80%)</f>
        <v>-0.5107475574</v>
      </c>
      <c r="W15" s="486">
        <f>(W16*110%)</f>
        <v>0.06592914588</v>
      </c>
      <c r="X15" s="486">
        <f t="shared" ref="X15:Y15" si="22">(X16*105%)</f>
        <v>0.0267517941</v>
      </c>
      <c r="Y15" s="486">
        <f t="shared" si="22"/>
        <v>0.4729922742</v>
      </c>
      <c r="Z15" s="486">
        <f>(Z16*106%)</f>
        <v>0.09839610685</v>
      </c>
    </row>
    <row r="16" ht="15.75" customHeight="1">
      <c r="A16" s="450" t="str">
        <f>PpgS!A16</f>
        <v>Killerz Legit</v>
      </c>
      <c r="B16" s="451">
        <f>IFERROR(VLOOKUP($A16,PpgS!$A:$G,2,0),)</f>
        <v>0.1117158407</v>
      </c>
      <c r="C16" s="451">
        <f>IFERROR(VLOOKUP($A16,PpgS!$A:$G,3,0),)</f>
        <v>-0.1890575766</v>
      </c>
      <c r="D16" s="451">
        <f>IFERROR(VLOOKUP($A16,PpgS!$A:$G,4,0),)</f>
        <v>0.1117158407</v>
      </c>
      <c r="E16" s="451">
        <f>IFERROR(VLOOKUP($A16,PpgS!$A:$G,5,0),)</f>
        <v>0.06015468347</v>
      </c>
      <c r="F16" s="451">
        <f>IFERROR(VLOOKUP($A16,PpgS!$A:$G,6,0),)</f>
        <v>0.6359209396</v>
      </c>
      <c r="G16" s="451">
        <f>IFERROR(VLOOKUP($A16,PpgS!$A:$G,7,0),)</f>
        <v>0.1374964194</v>
      </c>
      <c r="H16" s="452"/>
      <c r="I16" s="450" t="str">
        <f>PpgS!A16</f>
        <v>Killerz Legit</v>
      </c>
      <c r="J16" s="453" t="str">
        <f t="shared" si="2"/>
        <v>S</v>
      </c>
      <c r="K16" s="453" t="str">
        <f t="shared" si="3"/>
        <v>C</v>
      </c>
      <c r="L16" s="464" t="str">
        <f t="shared" si="4"/>
        <v>B</v>
      </c>
      <c r="M16" s="453" t="str">
        <f t="shared" si="5"/>
        <v>B</v>
      </c>
      <c r="N16" s="453" t="str">
        <f t="shared" si="6"/>
        <v>B</v>
      </c>
      <c r="O16" s="453" t="str">
        <f t="shared" si="7"/>
        <v>C</v>
      </c>
      <c r="P16" s="126" t="str">
        <f t="shared" si="8"/>
        <v>B</v>
      </c>
      <c r="Q16" s="454">
        <f t="shared" si="9"/>
        <v>12</v>
      </c>
      <c r="R16" s="464" t="s">
        <v>16</v>
      </c>
      <c r="S16" s="487">
        <f>(S26*5)+(S27*5)+(S28*5)+(S29*5)+(S30*5)+(S31*5)</f>
        <v>12.5</v>
      </c>
      <c r="T16" s="488" t="s">
        <v>410</v>
      </c>
      <c r="U16" s="489">
        <f t="shared" ref="U16:Z16" si="23">QUARTILE(B2:B31,1)</f>
        <v>0.01045026502</v>
      </c>
      <c r="V16" s="489">
        <f t="shared" si="23"/>
        <v>-0.6384344468</v>
      </c>
      <c r="W16" s="489">
        <f t="shared" si="23"/>
        <v>0.05993558716</v>
      </c>
      <c r="X16" s="489">
        <f t="shared" si="23"/>
        <v>0.02547789915</v>
      </c>
      <c r="Y16" s="489">
        <f t="shared" si="23"/>
        <v>0.4504688326</v>
      </c>
      <c r="Z16" s="489">
        <f t="shared" si="23"/>
        <v>0.09282651589</v>
      </c>
    </row>
    <row r="17" ht="15.75" customHeight="1">
      <c r="A17" s="450" t="str">
        <f>PpgS!A17</f>
        <v>ManCanonPls</v>
      </c>
      <c r="B17" s="451">
        <f>IFERROR(VLOOKUP($A17,PpgS!$A:$G,2,0),)</f>
        <v>0.07135306554</v>
      </c>
      <c r="C17" s="451">
        <f>IFERROR(VLOOKUP($A17,PpgS!$A:$G,3,0),)</f>
        <v>-0.6421775899</v>
      </c>
      <c r="D17" s="451">
        <f>IFERROR(VLOOKUP($A17,PpgS!$A:$G,4,0),)</f>
        <v>0.04756871036</v>
      </c>
      <c r="E17" s="451">
        <f>IFERROR(VLOOKUP($A17,PpgS!$A:$G,5,0),)</f>
        <v>0.007928118393</v>
      </c>
      <c r="F17" s="451">
        <f>IFERROR(VLOOKUP($A17,PpgS!$A:$G,6,0),)</f>
        <v>0.221987315</v>
      </c>
      <c r="G17" s="451">
        <f>IFERROR(VLOOKUP($A17,PpgS!$A:$G,7,0),)</f>
        <v>0.02378435518</v>
      </c>
      <c r="H17" s="452"/>
      <c r="I17" s="450" t="str">
        <f>PpgS!A17</f>
        <v>ManCanonPls</v>
      </c>
      <c r="J17" s="470" t="str">
        <f t="shared" si="2"/>
        <v>A</v>
      </c>
      <c r="K17" s="458" t="str">
        <f t="shared" si="3"/>
        <v>E</v>
      </c>
      <c r="L17" s="464" t="str">
        <f t="shared" si="4"/>
        <v>F</v>
      </c>
      <c r="M17" s="458" t="str">
        <f t="shared" si="5"/>
        <v>F</v>
      </c>
      <c r="N17" s="460" t="str">
        <f t="shared" si="6"/>
        <v>F</v>
      </c>
      <c r="O17" s="461" t="str">
        <f t="shared" si="7"/>
        <v>F</v>
      </c>
      <c r="P17" s="130" t="str">
        <f t="shared" si="8"/>
        <v>E</v>
      </c>
      <c r="Q17" s="454">
        <f t="shared" si="9"/>
        <v>4.5</v>
      </c>
      <c r="R17" s="468" t="s">
        <v>411</v>
      </c>
      <c r="S17" s="490">
        <f>MEDIAN(S16,S18)</f>
        <v>11.25</v>
      </c>
      <c r="T17" s="491" t="s">
        <v>412</v>
      </c>
      <c r="U17" s="486">
        <f>(U16*60%)</f>
        <v>0.006270159013</v>
      </c>
      <c r="V17" s="486">
        <f>(V16*160%)</f>
        <v>-1.021495115</v>
      </c>
      <c r="W17" s="486">
        <f>(W16*90%)</f>
        <v>0.05394202845</v>
      </c>
      <c r="X17" s="486">
        <f>(X16*60%)</f>
        <v>0.01528673949</v>
      </c>
      <c r="Y17" s="486">
        <f>(Y16*55%)</f>
        <v>0.2477578579</v>
      </c>
      <c r="Z17" s="486">
        <f>(Z16*60%)</f>
        <v>0.05569590954</v>
      </c>
    </row>
    <row r="18" ht="15.75" customHeight="1">
      <c r="A18" s="450" t="str">
        <f>PpgS!A18</f>
        <v>Mavbrid</v>
      </c>
      <c r="B18" s="451">
        <f>IFERROR(VLOOKUP($A18,PpgS!$A:$G,2,0),)</f>
        <v>0</v>
      </c>
      <c r="C18" s="451">
        <f>IFERROR(VLOOKUP($A18,PpgS!$A:$G,3,0),)</f>
        <v>-0.2714932127</v>
      </c>
      <c r="D18" s="451">
        <f>IFERROR(VLOOKUP($A18,PpgS!$A:$G,4,0),)</f>
        <v>0.2714932127</v>
      </c>
      <c r="E18" s="451">
        <f>IFERROR(VLOOKUP($A18,PpgS!$A:$G,5,0),)</f>
        <v>0</v>
      </c>
      <c r="F18" s="451">
        <f>IFERROR(VLOOKUP($A18,PpgS!$A:$G,6,0),)</f>
        <v>0.7239819005</v>
      </c>
      <c r="G18" s="451">
        <f>IFERROR(VLOOKUP($A18,PpgS!$A:$G,7,0),)</f>
        <v>0</v>
      </c>
      <c r="H18" s="452"/>
      <c r="I18" s="450" t="str">
        <f>PpgS!A18</f>
        <v>Mavbrid</v>
      </c>
      <c r="J18" s="470" t="str">
        <f t="shared" si="2"/>
        <v>F</v>
      </c>
      <c r="K18" s="460" t="str">
        <f t="shared" si="3"/>
        <v>C</v>
      </c>
      <c r="L18" s="460" t="str">
        <f t="shared" si="4"/>
        <v>S</v>
      </c>
      <c r="M18" s="458" t="str">
        <f t="shared" si="5"/>
        <v>F</v>
      </c>
      <c r="N18" s="458" t="str">
        <f t="shared" si="6"/>
        <v>A</v>
      </c>
      <c r="O18" s="458" t="str">
        <f t="shared" si="7"/>
        <v>F</v>
      </c>
      <c r="P18" s="130" t="str">
        <f t="shared" si="8"/>
        <v>D</v>
      </c>
      <c r="Q18" s="454">
        <f t="shared" si="9"/>
        <v>7.2</v>
      </c>
      <c r="R18" s="475" t="s">
        <v>28</v>
      </c>
      <c r="S18" s="492">
        <f>(S26*4)+(S27*4)+(S28*4)+(S29*4)+(S30*4)+(S31*4)</f>
        <v>10</v>
      </c>
      <c r="T18" s="493" t="s">
        <v>66</v>
      </c>
      <c r="U18" s="494">
        <f t="shared" ref="U18:Z18" si="24">U17</f>
        <v>0.006270159013</v>
      </c>
      <c r="V18" s="494">
        <f t="shared" si="24"/>
        <v>-1.021495115</v>
      </c>
      <c r="W18" s="494">
        <f t="shared" si="24"/>
        <v>0.05394202845</v>
      </c>
      <c r="X18" s="494">
        <f t="shared" si="24"/>
        <v>0.01528673949</v>
      </c>
      <c r="Y18" s="494">
        <f t="shared" si="24"/>
        <v>0.2477578579</v>
      </c>
      <c r="Z18" s="494">
        <f t="shared" si="24"/>
        <v>0.05569590954</v>
      </c>
    </row>
    <row r="19" ht="15.75" customHeight="1">
      <c r="A19" s="450" t="str">
        <f>PpgS!A19</f>
        <v>Ming Crusader</v>
      </c>
      <c r="B19" s="451">
        <f>IFERROR(VLOOKUP($A19,PpgS!$A:$G,2,0),)</f>
        <v>0.04708960105</v>
      </c>
      <c r="C19" s="451">
        <f>IFERROR(VLOOKUP($A19,PpgS!$A:$G,3,0),)</f>
        <v>-0.4630477436</v>
      </c>
      <c r="D19" s="451">
        <f>IFERROR(VLOOKUP($A19,PpgS!$A:$G,4,0),)</f>
        <v>0.08633093525</v>
      </c>
      <c r="E19" s="451">
        <f>IFERROR(VLOOKUP($A19,PpgS!$A:$G,5,0),)</f>
        <v>0.04708960105</v>
      </c>
      <c r="F19" s="451">
        <f>IFERROR(VLOOKUP($A19,PpgS!$A:$G,6,0),)</f>
        <v>0.494440811</v>
      </c>
      <c r="G19" s="451">
        <f>IFERROR(VLOOKUP($A19,PpgS!$A:$G,7,0),)</f>
        <v>0.1334205363</v>
      </c>
      <c r="H19" s="452"/>
      <c r="I19" s="450" t="str">
        <f>PpgS!A19</f>
        <v>Ming Crusader</v>
      </c>
      <c r="J19" s="458" t="str">
        <f t="shared" si="2"/>
        <v>B</v>
      </c>
      <c r="K19" s="464" t="str">
        <f t="shared" si="3"/>
        <v>D</v>
      </c>
      <c r="L19" s="460" t="str">
        <f t="shared" si="4"/>
        <v>B</v>
      </c>
      <c r="M19" s="464" t="str">
        <f t="shared" si="5"/>
        <v>C</v>
      </c>
      <c r="N19" s="459" t="str">
        <f t="shared" si="6"/>
        <v>D</v>
      </c>
      <c r="O19" s="459" t="str">
        <f t="shared" si="7"/>
        <v>C</v>
      </c>
      <c r="P19" s="130" t="str">
        <f t="shared" si="8"/>
        <v>C</v>
      </c>
      <c r="Q19" s="454">
        <f t="shared" si="9"/>
        <v>9.6</v>
      </c>
      <c r="R19" s="477" t="s">
        <v>413</v>
      </c>
      <c r="S19" s="495">
        <f>MEDIAN(S18,S20)</f>
        <v>8.75</v>
      </c>
      <c r="T19" s="452"/>
      <c r="U19" s="496"/>
      <c r="V19" s="497" t="s">
        <v>414</v>
      </c>
      <c r="W19" s="452"/>
      <c r="X19" s="452"/>
      <c r="Y19" s="452"/>
      <c r="Z19" s="452"/>
    </row>
    <row r="20" ht="15.75" customHeight="1">
      <c r="A20" s="450" t="str">
        <f>PpgS!A20</f>
        <v>MysticalNovice</v>
      </c>
      <c r="B20" s="451">
        <f>IFERROR(VLOOKUP($A20,PpgS!$A:$G,2,0),)</f>
        <v>0</v>
      </c>
      <c r="C20" s="451">
        <f>IFERROR(VLOOKUP($A20,PpgS!$A:$G,3,0),)</f>
        <v>-1.085972851</v>
      </c>
      <c r="D20" s="451">
        <f>IFERROR(VLOOKUP($A20,PpgS!$A:$G,4,0),)</f>
        <v>0.2714932127</v>
      </c>
      <c r="E20" s="451">
        <f>IFERROR(VLOOKUP($A20,PpgS!$A:$G,5,0),)</f>
        <v>0</v>
      </c>
      <c r="F20" s="451">
        <f>IFERROR(VLOOKUP($A20,PpgS!$A:$G,6,0),)</f>
        <v>0.6334841629</v>
      </c>
      <c r="G20" s="451">
        <f>IFERROR(VLOOKUP($A20,PpgS!$A:$G,7,0),)</f>
        <v>0.09049773756</v>
      </c>
      <c r="H20" s="452"/>
      <c r="I20" s="450" t="str">
        <f>PpgS!A20</f>
        <v>MysticalNovice</v>
      </c>
      <c r="J20" s="460" t="str">
        <f t="shared" si="2"/>
        <v>F</v>
      </c>
      <c r="K20" s="459" t="str">
        <f t="shared" si="3"/>
        <v>F</v>
      </c>
      <c r="L20" s="461" t="str">
        <f t="shared" si="4"/>
        <v>S</v>
      </c>
      <c r="M20" s="461" t="str">
        <f t="shared" si="5"/>
        <v>F</v>
      </c>
      <c r="N20" s="470" t="str">
        <f t="shared" si="6"/>
        <v>B</v>
      </c>
      <c r="O20" s="470" t="str">
        <f t="shared" si="7"/>
        <v>E</v>
      </c>
      <c r="P20" s="127" t="str">
        <f t="shared" si="8"/>
        <v>E</v>
      </c>
      <c r="Q20" s="454">
        <f t="shared" si="9"/>
        <v>5.9</v>
      </c>
      <c r="R20" s="461" t="s">
        <v>23</v>
      </c>
      <c r="S20" s="498">
        <f>(S26*3)+(S27*3)+(S28*3)+(S29*3)+(S30*3)+(S31*3)</f>
        <v>7.5</v>
      </c>
      <c r="T20" s="452"/>
      <c r="U20" s="496"/>
      <c r="V20" s="452"/>
      <c r="W20" s="452"/>
      <c r="X20" s="452"/>
      <c r="Y20" s="452"/>
      <c r="Z20" s="452"/>
    </row>
    <row r="21" ht="15.75" customHeight="1">
      <c r="A21" s="450" t="str">
        <f>PpgS!A21</f>
        <v>NetsPride15</v>
      </c>
      <c r="B21" s="451">
        <f>IFERROR(VLOOKUP($A21,PpgS!$A:$G,2,0),)</f>
        <v>0.007840062721</v>
      </c>
      <c r="C21" s="451">
        <f>IFERROR(VLOOKUP($A21,PpgS!$A:$G,3,0),)</f>
        <v>-0.6272050176</v>
      </c>
      <c r="D21" s="451">
        <f>IFERROR(VLOOKUP($A21,PpgS!$A:$G,4,0),)</f>
        <v>0.07840062721</v>
      </c>
      <c r="E21" s="451">
        <f>IFERROR(VLOOKUP($A21,PpgS!$A:$G,5,0),)</f>
        <v>0.03136025088</v>
      </c>
      <c r="F21" s="451">
        <f>IFERROR(VLOOKUP($A21,PpgS!$A:$G,6,0),)</f>
        <v>0.5566444532</v>
      </c>
      <c r="G21" s="451">
        <f>IFERROR(VLOOKUP($A21,PpgS!$A:$G,7,0),)</f>
        <v>0.1019208154</v>
      </c>
      <c r="H21" s="452"/>
      <c r="I21" s="450" t="str">
        <f>PpgS!A21</f>
        <v>NetsPride15</v>
      </c>
      <c r="J21" s="470" t="str">
        <f t="shared" si="2"/>
        <v>E</v>
      </c>
      <c r="K21" s="460" t="str">
        <f t="shared" si="3"/>
        <v>E</v>
      </c>
      <c r="L21" s="453" t="str">
        <f t="shared" si="4"/>
        <v>C</v>
      </c>
      <c r="M21" s="461" t="str">
        <f t="shared" si="5"/>
        <v>D</v>
      </c>
      <c r="N21" s="460" t="str">
        <f t="shared" si="6"/>
        <v>C</v>
      </c>
      <c r="O21" s="461" t="str">
        <f t="shared" si="7"/>
        <v>D</v>
      </c>
      <c r="P21" s="127" t="str">
        <f t="shared" si="8"/>
        <v>D</v>
      </c>
      <c r="Q21" s="454">
        <f t="shared" si="9"/>
        <v>7.3</v>
      </c>
      <c r="R21" s="499" t="s">
        <v>415</v>
      </c>
      <c r="S21" s="500">
        <f>MEDIAN(S20,S22)</f>
        <v>6.25</v>
      </c>
      <c r="T21" s="452"/>
      <c r="U21" s="496"/>
      <c r="V21" s="452"/>
      <c r="W21" s="452"/>
      <c r="X21" s="452"/>
      <c r="Y21" s="452"/>
      <c r="Z21" s="452"/>
    </row>
    <row r="22" ht="15.75" customHeight="1">
      <c r="A22" s="450" t="str">
        <f>PpgS!A22</f>
        <v>oDhmon</v>
      </c>
      <c r="B22" s="451">
        <f>IFERROR(VLOOKUP($A22,PpgS!$A:$G,2,0),)</f>
        <v>0.01033591731</v>
      </c>
      <c r="C22" s="451">
        <f>IFERROR(VLOOKUP($A22,PpgS!$A:$G,3,0),)</f>
        <v>-0.3824289406</v>
      </c>
      <c r="D22" s="451">
        <f>IFERROR(VLOOKUP($A22,PpgS!$A:$G,4,0),)</f>
        <v>0.02067183463</v>
      </c>
      <c r="E22" s="451">
        <f>IFERROR(VLOOKUP($A22,PpgS!$A:$G,5,0),)</f>
        <v>0.05167958656</v>
      </c>
      <c r="F22" s="451">
        <f>IFERROR(VLOOKUP($A22,PpgS!$A:$G,6,0),)</f>
        <v>0.4237726098</v>
      </c>
      <c r="G22" s="451">
        <f>IFERROR(VLOOKUP($A22,PpgS!$A:$G,7,0),)</f>
        <v>0.1240310078</v>
      </c>
      <c r="H22" s="452"/>
      <c r="I22" s="450" t="str">
        <f>PpgS!A22</f>
        <v>oDhmon</v>
      </c>
      <c r="J22" s="470" t="str">
        <f t="shared" si="2"/>
        <v>E</v>
      </c>
      <c r="K22" s="453" t="str">
        <f t="shared" si="3"/>
        <v>D</v>
      </c>
      <c r="L22" s="470" t="str">
        <f t="shared" si="4"/>
        <v>F</v>
      </c>
      <c r="M22" s="453" t="str">
        <f t="shared" si="5"/>
        <v>C</v>
      </c>
      <c r="N22" s="453" t="str">
        <f t="shared" si="6"/>
        <v>E</v>
      </c>
      <c r="O22" s="453" t="str">
        <f t="shared" si="7"/>
        <v>D</v>
      </c>
      <c r="P22" s="116" t="str">
        <f t="shared" si="8"/>
        <v>D</v>
      </c>
      <c r="Q22" s="454">
        <f t="shared" si="9"/>
        <v>6.9</v>
      </c>
      <c r="R22" s="488" t="s">
        <v>25</v>
      </c>
      <c r="S22" s="501">
        <f>(S26*2)+(S27*2)+(S28*2)+(S29*2)+(S30*2)+(S31*2)</f>
        <v>5</v>
      </c>
      <c r="T22" s="452"/>
      <c r="U22" s="496"/>
      <c r="V22" s="452"/>
      <c r="W22" s="452"/>
      <c r="X22" s="452"/>
      <c r="Y22" s="452"/>
      <c r="Z22" s="452"/>
    </row>
    <row r="23" ht="15.75" customHeight="1">
      <c r="A23" s="450" t="str">
        <f>PpgS!A23</f>
        <v>OVERweightGOAT</v>
      </c>
      <c r="B23" s="451">
        <f>IFERROR(VLOOKUP($A23,PpgS!$A:$G,2,0),)</f>
        <v>0.04538577912</v>
      </c>
      <c r="C23" s="451">
        <f>IFERROR(VLOOKUP($A23,PpgS!$A:$G,3,0),)</f>
        <v>-2.496217852</v>
      </c>
      <c r="D23" s="451">
        <f>IFERROR(VLOOKUP($A23,PpgS!$A:$G,4,0),)</f>
        <v>0.04538577912</v>
      </c>
      <c r="E23" s="451">
        <f>IFERROR(VLOOKUP($A23,PpgS!$A:$G,5,0),)</f>
        <v>0</v>
      </c>
      <c r="F23" s="451">
        <f>IFERROR(VLOOKUP($A23,PpgS!$A:$G,6,0),)</f>
        <v>0.1361573374</v>
      </c>
      <c r="G23" s="451">
        <f>IFERROR(VLOOKUP($A23,PpgS!$A:$G,7,0),)</f>
        <v>0</v>
      </c>
      <c r="H23" s="452"/>
      <c r="I23" s="450" t="str">
        <f>PpgS!A23</f>
        <v>OVERweightGOAT</v>
      </c>
      <c r="J23" s="464" t="str">
        <f t="shared" si="2"/>
        <v>B</v>
      </c>
      <c r="K23" s="453" t="str">
        <f t="shared" si="3"/>
        <v>F</v>
      </c>
      <c r="L23" s="464" t="str">
        <f t="shared" si="4"/>
        <v>F</v>
      </c>
      <c r="M23" s="453" t="str">
        <f t="shared" si="5"/>
        <v>F</v>
      </c>
      <c r="N23" s="470" t="str">
        <f t="shared" si="6"/>
        <v>F</v>
      </c>
      <c r="O23" s="470" t="str">
        <f t="shared" si="7"/>
        <v>F</v>
      </c>
      <c r="P23" s="128" t="str">
        <f t="shared" si="8"/>
        <v>F</v>
      </c>
      <c r="Q23" s="454">
        <f t="shared" si="9"/>
        <v>3.7</v>
      </c>
      <c r="R23" s="491" t="s">
        <v>416</v>
      </c>
      <c r="S23" s="502">
        <f>MEDIAN(S22,S24)</f>
        <v>3.75</v>
      </c>
      <c r="T23" s="452"/>
      <c r="U23" s="496"/>
      <c r="V23" s="452"/>
      <c r="W23" s="452"/>
      <c r="X23" s="452"/>
      <c r="Y23" s="452"/>
      <c r="Z23" s="452"/>
    </row>
    <row r="24" ht="15.75" customHeight="1">
      <c r="A24" s="450" t="str">
        <f>PpgS!A24</f>
        <v>QueOtaSaintz</v>
      </c>
      <c r="B24" s="451">
        <f>IFERROR(VLOOKUP($A24,PpgS!$A:$G,2,0),)</f>
        <v>0.06007724217</v>
      </c>
      <c r="C24" s="451">
        <f>IFERROR(VLOOKUP($A24,PpgS!$A:$G,3,0),)</f>
        <v>0.1201544843</v>
      </c>
      <c r="D24" s="451">
        <f>IFERROR(VLOOKUP($A24,PpgS!$A:$G,4,0),)</f>
        <v>0.102989558</v>
      </c>
      <c r="E24" s="451">
        <f>IFERROR(VLOOKUP($A24,PpgS!$A:$G,5,0),)</f>
        <v>0.051494779</v>
      </c>
      <c r="F24" s="451">
        <f>IFERROR(VLOOKUP($A24,PpgS!$A:$G,6,0),)</f>
        <v>0.5750250322</v>
      </c>
      <c r="G24" s="451">
        <f>IFERROR(VLOOKUP($A24,PpgS!$A:$G,7,0),)</f>
        <v>0.1716492633</v>
      </c>
      <c r="H24" s="452"/>
      <c r="I24" s="450" t="str">
        <f>PpgS!A24</f>
        <v>QueOtaSaintz</v>
      </c>
      <c r="J24" s="460" t="str">
        <f t="shared" si="2"/>
        <v>B</v>
      </c>
      <c r="K24" s="458" t="str">
        <f t="shared" si="3"/>
        <v>B</v>
      </c>
      <c r="L24" s="461" t="str">
        <f t="shared" si="4"/>
        <v>B</v>
      </c>
      <c r="M24" s="458" t="str">
        <f t="shared" si="5"/>
        <v>C</v>
      </c>
      <c r="N24" s="458" t="str">
        <f t="shared" si="6"/>
        <v>C</v>
      </c>
      <c r="O24" s="458" t="str">
        <f t="shared" si="7"/>
        <v>A</v>
      </c>
      <c r="P24" s="503" t="str">
        <f t="shared" si="8"/>
        <v>B</v>
      </c>
      <c r="Q24" s="454">
        <f t="shared" si="9"/>
        <v>12.2</v>
      </c>
      <c r="R24" s="493" t="s">
        <v>66</v>
      </c>
      <c r="S24" s="504">
        <f>(S26*1)+(S27*1)+(S28*1)+(S29*1)+(S30*1)+(S31*1)</f>
        <v>2.5</v>
      </c>
      <c r="T24" s="452"/>
      <c r="U24" s="496"/>
      <c r="V24" s="452"/>
      <c r="W24" s="452"/>
      <c r="X24" s="452"/>
      <c r="Y24" s="452"/>
      <c r="Z24" s="452"/>
    </row>
    <row r="25" ht="15.75" customHeight="1">
      <c r="A25" s="450" t="str">
        <f>PpgS!A25</f>
        <v>Rage More Nerd</v>
      </c>
      <c r="B25" s="451">
        <f>IFERROR(VLOOKUP($A25,PpgS!$A:$G,2,0),)</f>
        <v>0.0705513457</v>
      </c>
      <c r="C25" s="451">
        <f>IFERROR(VLOOKUP($A25,PpgS!$A:$G,3,0),)</f>
        <v>-0.6114449961</v>
      </c>
      <c r="D25" s="451">
        <f>IFERROR(VLOOKUP($A25,PpgS!$A:$G,4,0),)</f>
        <v>0.07839038411</v>
      </c>
      <c r="E25" s="451">
        <f>IFERROR(VLOOKUP($A25,PpgS!$A:$G,5,0),)</f>
        <v>0.02351711523</v>
      </c>
      <c r="F25" s="451">
        <f>IFERROR(VLOOKUP($A25,PpgS!$A:$G,6,0),)</f>
        <v>0.6114449961</v>
      </c>
      <c r="G25" s="451">
        <f>IFERROR(VLOOKUP($A25,PpgS!$A:$G,7,0),)</f>
        <v>0.1175855762</v>
      </c>
      <c r="H25" s="452"/>
      <c r="I25" s="450" t="str">
        <f>PpgS!A25</f>
        <v>Rage More Nerd</v>
      </c>
      <c r="J25" s="458" t="str">
        <f t="shared" si="2"/>
        <v>A</v>
      </c>
      <c r="K25" s="461" t="str">
        <f t="shared" si="3"/>
        <v>E</v>
      </c>
      <c r="L25" s="461" t="str">
        <f t="shared" si="4"/>
        <v>C</v>
      </c>
      <c r="M25" s="470" t="str">
        <f t="shared" si="5"/>
        <v>E</v>
      </c>
      <c r="N25" s="470" t="str">
        <f t="shared" si="6"/>
        <v>B</v>
      </c>
      <c r="O25" s="453" t="str">
        <f t="shared" si="7"/>
        <v>D</v>
      </c>
      <c r="P25" s="127" t="str">
        <f t="shared" si="8"/>
        <v>D</v>
      </c>
      <c r="Q25" s="454">
        <f t="shared" si="9"/>
        <v>8.4</v>
      </c>
      <c r="R25" s="447"/>
      <c r="S25" s="447"/>
      <c r="T25" s="452"/>
      <c r="U25" s="496"/>
      <c r="V25" s="452"/>
      <c r="W25" s="452"/>
      <c r="X25" s="452"/>
      <c r="Y25" s="452"/>
      <c r="Z25" s="452"/>
    </row>
    <row r="26" ht="15.75" customHeight="1">
      <c r="A26" s="450" t="str">
        <f>PpgS!A26</f>
        <v>Sabasauros rex</v>
      </c>
      <c r="B26" s="451">
        <f>IFERROR(VLOOKUP($A26,PpgS!$A:$G,2,0),)</f>
        <v>0.05493786789</v>
      </c>
      <c r="C26" s="451">
        <f>IFERROR(VLOOKUP($A26,PpgS!$A:$G,3,0),)</f>
        <v>-0.09417920209</v>
      </c>
      <c r="D26" s="451">
        <f>IFERROR(VLOOKUP($A26,PpgS!$A:$G,4,0),)</f>
        <v>0.09417920209</v>
      </c>
      <c r="E26" s="451">
        <f>IFERROR(VLOOKUP($A26,PpgS!$A:$G,5,0),)</f>
        <v>0.05493786789</v>
      </c>
      <c r="F26" s="451">
        <f>IFERROR(VLOOKUP($A26,PpgS!$A:$G,6,0),)</f>
        <v>0.5572269457</v>
      </c>
      <c r="G26" s="451">
        <f>IFERROR(VLOOKUP($A26,PpgS!$A:$G,7,0),)</f>
        <v>0.1098757358</v>
      </c>
      <c r="H26" s="452"/>
      <c r="I26" s="450" t="str">
        <f>PpgS!A26</f>
        <v>Sabasauros rex</v>
      </c>
      <c r="J26" s="464" t="str">
        <f t="shared" si="2"/>
        <v>B</v>
      </c>
      <c r="K26" s="453" t="str">
        <f t="shared" si="3"/>
        <v>B</v>
      </c>
      <c r="L26" s="470" t="str">
        <f t="shared" si="4"/>
        <v>B</v>
      </c>
      <c r="M26" s="453" t="str">
        <f t="shared" si="5"/>
        <v>B</v>
      </c>
      <c r="N26" s="453" t="str">
        <f t="shared" si="6"/>
        <v>C</v>
      </c>
      <c r="O26" s="453" t="str">
        <f t="shared" si="7"/>
        <v>D</v>
      </c>
      <c r="P26" s="128" t="str">
        <f t="shared" si="8"/>
        <v>C</v>
      </c>
      <c r="Q26" s="454">
        <f t="shared" si="9"/>
        <v>10.9</v>
      </c>
      <c r="R26" s="505" t="s">
        <v>417</v>
      </c>
      <c r="S26" s="506">
        <v>0.3</v>
      </c>
      <c r="T26" s="452"/>
      <c r="U26" s="496"/>
      <c r="V26" s="452"/>
      <c r="W26" s="452"/>
      <c r="X26" s="452"/>
      <c r="Y26" s="452"/>
      <c r="Z26" s="452"/>
    </row>
    <row r="27" ht="15.75" customHeight="1">
      <c r="A27" s="450" t="str">
        <f>PpgS!A27</f>
        <v>Silva</v>
      </c>
      <c r="B27" s="451">
        <f>IFERROR(VLOOKUP($A27,PpgS!$A:$G,2,0),)</f>
        <v>0.08733624454</v>
      </c>
      <c r="C27" s="451">
        <f>IFERROR(VLOOKUP($A27,PpgS!$A:$G,3,0),)</f>
        <v>0.07485963818</v>
      </c>
      <c r="D27" s="451">
        <f>IFERROR(VLOOKUP($A27,PpgS!$A:$G,4,0),)</f>
        <v>0.0998128509</v>
      </c>
      <c r="E27" s="451">
        <f>IFERROR(VLOOKUP($A27,PpgS!$A:$G,5,0),)</f>
        <v>0.06238303182</v>
      </c>
      <c r="F27" s="451">
        <f>IFERROR(VLOOKUP($A27,PpgS!$A:$G,6,0),)</f>
        <v>0.4865876482</v>
      </c>
      <c r="G27" s="451">
        <f>IFERROR(VLOOKUP($A27,PpgS!$A:$G,7,0),)</f>
        <v>0.0998128509</v>
      </c>
      <c r="H27" s="452"/>
      <c r="I27" s="450" t="str">
        <f>PpgS!A27</f>
        <v>Silva</v>
      </c>
      <c r="J27" s="461" t="str">
        <f t="shared" si="2"/>
        <v>S</v>
      </c>
      <c r="K27" s="461" t="str">
        <f t="shared" si="3"/>
        <v>B</v>
      </c>
      <c r="L27" s="464" t="str">
        <f t="shared" si="4"/>
        <v>B</v>
      </c>
      <c r="M27" s="461" t="str">
        <f t="shared" si="5"/>
        <v>B</v>
      </c>
      <c r="N27" s="459" t="str">
        <f t="shared" si="6"/>
        <v>D</v>
      </c>
      <c r="O27" s="461" t="str">
        <f t="shared" si="7"/>
        <v>D</v>
      </c>
      <c r="P27" s="127" t="str">
        <f t="shared" si="8"/>
        <v>C</v>
      </c>
      <c r="Q27" s="454">
        <f t="shared" si="9"/>
        <v>11.1</v>
      </c>
      <c r="R27" s="505" t="s">
        <v>418</v>
      </c>
      <c r="S27" s="506">
        <v>0.5</v>
      </c>
      <c r="T27" s="452"/>
      <c r="U27" s="496"/>
      <c r="V27" s="452"/>
      <c r="W27" s="452"/>
      <c r="X27" s="452"/>
      <c r="Y27" s="452"/>
      <c r="Z27" s="452"/>
    </row>
    <row r="28" ht="15.75" customHeight="1">
      <c r="A28" s="450" t="str">
        <f>PpgS!A28</f>
        <v>Solace VIII</v>
      </c>
      <c r="B28" s="451">
        <f>IFERROR(VLOOKUP($A28,PpgS!$A:$G,2,0),)</f>
        <v>0.185982435</v>
      </c>
      <c r="C28" s="451">
        <f>IFERROR(VLOOKUP($A28,PpgS!$A:$G,3,0),)</f>
        <v>0.1756500775</v>
      </c>
      <c r="D28" s="451">
        <f>IFERROR(VLOOKUP($A28,PpgS!$A:$G,4,0),)</f>
        <v>0.12398829</v>
      </c>
      <c r="E28" s="451">
        <f>IFERROR(VLOOKUP($A28,PpgS!$A:$G,5,0),)</f>
        <v>0.04132943</v>
      </c>
      <c r="F28" s="451">
        <f>IFERROR(VLOOKUP($A28,PpgS!$A:$G,6,0),)</f>
        <v>0.4856208025</v>
      </c>
      <c r="G28" s="451">
        <f>IFERROR(VLOOKUP($A28,PpgS!$A:$G,7,0),)</f>
        <v>0.0723265025</v>
      </c>
      <c r="H28" s="452"/>
      <c r="I28" s="450" t="str">
        <f>PpgS!A28</f>
        <v>Solace VIII</v>
      </c>
      <c r="J28" s="461" t="str">
        <f t="shared" si="2"/>
        <v>S</v>
      </c>
      <c r="K28" s="464" t="str">
        <f t="shared" si="3"/>
        <v>A</v>
      </c>
      <c r="L28" s="453" t="str">
        <f t="shared" si="4"/>
        <v>A</v>
      </c>
      <c r="M28" s="459" t="str">
        <f t="shared" si="5"/>
        <v>D</v>
      </c>
      <c r="N28" s="470" t="str">
        <f t="shared" si="6"/>
        <v>D</v>
      </c>
      <c r="O28" s="470" t="str">
        <f t="shared" si="7"/>
        <v>E</v>
      </c>
      <c r="P28" s="128" t="str">
        <f t="shared" si="8"/>
        <v>C</v>
      </c>
      <c r="Q28" s="454">
        <f t="shared" si="9"/>
        <v>10.2</v>
      </c>
      <c r="R28" s="505" t="s">
        <v>419</v>
      </c>
      <c r="S28" s="506">
        <v>0.2</v>
      </c>
      <c r="T28" s="452"/>
      <c r="U28" s="496"/>
      <c r="V28" s="452"/>
      <c r="W28" s="452"/>
      <c r="X28" s="452"/>
      <c r="Y28" s="452"/>
      <c r="Z28" s="452"/>
    </row>
    <row r="29" ht="15.75" customHeight="1">
      <c r="A29" s="450" t="str">
        <f>PpgS!A29</f>
        <v>The Scet</v>
      </c>
      <c r="B29" s="451">
        <f>IFERROR(VLOOKUP($A29,PpgS!$A:$G,2,0),)</f>
        <v>0</v>
      </c>
      <c r="C29" s="451">
        <f>IFERROR(VLOOKUP($A29,PpgS!$A:$G,3,0),)</f>
        <v>-1.031941032</v>
      </c>
      <c r="D29" s="451">
        <f>IFERROR(VLOOKUP($A29,PpgS!$A:$G,4,0),)</f>
        <v>0</v>
      </c>
      <c r="E29" s="451">
        <f>IFERROR(VLOOKUP($A29,PpgS!$A:$G,5,0),)</f>
        <v>0</v>
      </c>
      <c r="F29" s="451">
        <f>IFERROR(VLOOKUP($A29,PpgS!$A:$G,6,0),)</f>
        <v>0.2948402948</v>
      </c>
      <c r="G29" s="451">
        <f>IFERROR(VLOOKUP($A29,PpgS!$A:$G,7,0),)</f>
        <v>0</v>
      </c>
      <c r="H29" s="452"/>
      <c r="I29" s="450" t="str">
        <f>PpgS!A29</f>
        <v>The Scet</v>
      </c>
      <c r="J29" s="453" t="str">
        <f t="shared" si="2"/>
        <v>F</v>
      </c>
      <c r="K29" s="453" t="str">
        <f t="shared" si="3"/>
        <v>F</v>
      </c>
      <c r="L29" s="470" t="str">
        <f t="shared" si="4"/>
        <v>F</v>
      </c>
      <c r="M29" s="459" t="str">
        <f t="shared" si="5"/>
        <v>F</v>
      </c>
      <c r="N29" s="470" t="str">
        <f t="shared" si="6"/>
        <v>E</v>
      </c>
      <c r="O29" s="453" t="str">
        <f t="shared" si="7"/>
        <v>F</v>
      </c>
      <c r="P29" s="128" t="str">
        <f t="shared" si="8"/>
        <v>F</v>
      </c>
      <c r="Q29" s="454">
        <f t="shared" si="9"/>
        <v>2.9</v>
      </c>
      <c r="R29" s="505" t="s">
        <v>420</v>
      </c>
      <c r="S29" s="506">
        <v>0.5</v>
      </c>
      <c r="T29" s="452"/>
      <c r="U29" s="496"/>
      <c r="V29" s="452"/>
      <c r="W29" s="452"/>
      <c r="X29" s="452"/>
      <c r="Y29" s="452"/>
      <c r="Z29" s="452"/>
    </row>
    <row r="30" ht="15.75" customHeight="1">
      <c r="A30" s="450" t="str">
        <f>PpgS!A30</f>
        <v>Yejis Aegyo</v>
      </c>
      <c r="B30" s="451">
        <f>IFERROR(VLOOKUP($A30,PpgS!$A:$G,2,0),)</f>
        <v>0</v>
      </c>
      <c r="C30" s="451">
        <f>IFERROR(VLOOKUP($A30,PpgS!$A:$G,3,0),)</f>
        <v>0.7335973825</v>
      </c>
      <c r="D30" s="451">
        <f>IFERROR(VLOOKUP($A30,PpgS!$A:$G,4,0),)</f>
        <v>0.0723265025</v>
      </c>
      <c r="E30" s="451">
        <f>IFERROR(VLOOKUP($A30,PpgS!$A:$G,5,0),)</f>
        <v>0.0929912175</v>
      </c>
      <c r="F30" s="451">
        <f>IFERROR(VLOOKUP($A30,PpgS!$A:$G,6,0),)</f>
        <v>0.90924746</v>
      </c>
      <c r="G30" s="451">
        <f>IFERROR(VLOOKUP($A30,PpgS!$A:$G,7,0),)</f>
        <v>0.2789736525</v>
      </c>
      <c r="H30" s="452"/>
      <c r="I30" s="450" t="str">
        <f>PpgS!A30</f>
        <v>Yejis Aegyo</v>
      </c>
      <c r="J30" s="458" t="str">
        <f t="shared" si="2"/>
        <v>F</v>
      </c>
      <c r="K30" s="458" t="str">
        <f t="shared" si="3"/>
        <v>S</v>
      </c>
      <c r="L30" s="458" t="str">
        <f t="shared" si="4"/>
        <v>D</v>
      </c>
      <c r="M30" s="458" t="str">
        <f t="shared" si="5"/>
        <v>S</v>
      </c>
      <c r="N30" s="458" t="str">
        <f t="shared" si="6"/>
        <v>S</v>
      </c>
      <c r="O30" s="458" t="str">
        <f t="shared" si="7"/>
        <v>S</v>
      </c>
      <c r="P30" s="131" t="str">
        <f t="shared" si="8"/>
        <v>A</v>
      </c>
      <c r="Q30" s="454">
        <f t="shared" si="9"/>
        <v>14.9</v>
      </c>
      <c r="R30" s="505" t="s">
        <v>421</v>
      </c>
      <c r="S30" s="506">
        <v>0.4</v>
      </c>
      <c r="T30" s="452"/>
      <c r="U30" s="496"/>
      <c r="V30" s="452"/>
      <c r="W30" s="452"/>
      <c r="X30" s="452"/>
      <c r="Y30" s="452"/>
      <c r="Z30" s="452"/>
    </row>
    <row r="31" ht="15.75" customHeight="1">
      <c r="A31" s="450" t="str">
        <f>PpgS!A31</f>
        <v>yLuxe</v>
      </c>
      <c r="B31" s="451">
        <f>IFERROR(VLOOKUP($A31,PpgS!$A:$G,2,0),)</f>
        <v>0.05150214592</v>
      </c>
      <c r="C31" s="451">
        <f>IFERROR(VLOOKUP($A31,PpgS!$A:$G,3,0),)</f>
        <v>-0.4463519313</v>
      </c>
      <c r="D31" s="451">
        <f>IFERROR(VLOOKUP($A31,PpgS!$A:$G,4,0),)</f>
        <v>0.1459227468</v>
      </c>
      <c r="E31" s="451">
        <f>IFERROR(VLOOKUP($A31,PpgS!$A:$G,5,0),)</f>
        <v>0.05150214592</v>
      </c>
      <c r="F31" s="451">
        <f>IFERROR(VLOOKUP($A31,PpgS!$A:$G,6,0),)</f>
        <v>0.5751072961</v>
      </c>
      <c r="G31" s="451">
        <f>IFERROR(VLOOKUP($A31,PpgS!$A:$G,7,0),)</f>
        <v>0.1630901288</v>
      </c>
      <c r="H31" s="452"/>
      <c r="I31" s="450" t="str">
        <f>PpgS!A31</f>
        <v>yLuxe</v>
      </c>
      <c r="J31" s="453" t="str">
        <f t="shared" si="2"/>
        <v>B</v>
      </c>
      <c r="K31" s="453" t="str">
        <f t="shared" si="3"/>
        <v>D</v>
      </c>
      <c r="L31" s="453" t="str">
        <f t="shared" si="4"/>
        <v>S</v>
      </c>
      <c r="M31" s="453" t="str">
        <f t="shared" si="5"/>
        <v>C</v>
      </c>
      <c r="N31" s="470" t="str">
        <f t="shared" si="6"/>
        <v>C</v>
      </c>
      <c r="O31" s="470" t="str">
        <f t="shared" si="7"/>
        <v>A</v>
      </c>
      <c r="P31" s="128" t="str">
        <f t="shared" si="8"/>
        <v>B</v>
      </c>
      <c r="Q31" s="454">
        <f t="shared" si="9"/>
        <v>11.6</v>
      </c>
      <c r="R31" s="505" t="s">
        <v>422</v>
      </c>
      <c r="S31" s="506">
        <v>0.6</v>
      </c>
      <c r="T31" s="452"/>
      <c r="U31" s="496"/>
      <c r="V31" s="452"/>
      <c r="W31" s="452"/>
      <c r="X31" s="452"/>
      <c r="Y31" s="452"/>
      <c r="Z31" s="45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:P31">
    <cfRule type="cellIs" dxfId="0" priority="1" operator="equal">
      <formula>"F"</formula>
    </cfRule>
  </conditionalFormatting>
  <conditionalFormatting sqref="J1:P31">
    <cfRule type="cellIs" dxfId="1" priority="2" operator="equal">
      <formula>"E"</formula>
    </cfRule>
  </conditionalFormatting>
  <conditionalFormatting sqref="J1:P31">
    <cfRule type="cellIs" dxfId="2" priority="3" operator="equal">
      <formula>"D"</formula>
    </cfRule>
  </conditionalFormatting>
  <conditionalFormatting sqref="J1:P31">
    <cfRule type="cellIs" dxfId="6" priority="4" operator="equal">
      <formula>"C"</formula>
    </cfRule>
  </conditionalFormatting>
  <conditionalFormatting sqref="J1:P31">
    <cfRule type="cellIs" dxfId="5" priority="5" operator="equal">
      <formula>"B"</formula>
    </cfRule>
  </conditionalFormatting>
  <conditionalFormatting sqref="J1:P31">
    <cfRule type="cellIs" dxfId="13" priority="6" operator="equal">
      <formula>"A"</formula>
    </cfRule>
  </conditionalFormatting>
  <conditionalFormatting sqref="J1:P31">
    <cfRule type="cellIs" dxfId="14" priority="7" operator="equal">
      <formula>"S"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8.63"/>
    <col customWidth="1" min="3" max="3" width="6.38"/>
    <col customWidth="1" min="4" max="4" width="8.63"/>
    <col customWidth="1" min="5" max="5" width="9.5"/>
    <col customWidth="1" min="6" max="6" width="10.5"/>
    <col customWidth="1" min="7" max="7" width="9.38"/>
    <col customWidth="1" min="8" max="8" width="3.63"/>
    <col customWidth="1" min="9" max="9" width="14.38"/>
    <col customWidth="1" min="10" max="10" width="8.63"/>
    <col customWidth="1" min="11" max="11" width="6.38"/>
    <col customWidth="1" min="12" max="12" width="8.63"/>
    <col customWidth="1" min="13" max="13" width="9.5"/>
    <col customWidth="1" min="14" max="14" width="10.5"/>
    <col customWidth="1" min="15" max="15" width="9.38"/>
    <col customWidth="1" min="16" max="16" width="9.75"/>
    <col customWidth="1" min="17" max="17" width="9.5"/>
    <col customWidth="1" min="18" max="18" width="11.5"/>
    <col customWidth="1" min="19" max="19" width="5.63"/>
    <col customWidth="1" min="20" max="20" width="10.5"/>
    <col customWidth="1" min="21" max="21" width="8.63"/>
    <col customWidth="1" min="22" max="22" width="7.88"/>
    <col customWidth="1" min="23" max="23" width="8.63"/>
    <col customWidth="1" min="24" max="24" width="9.5"/>
    <col customWidth="1" min="25" max="25" width="10.5"/>
    <col customWidth="1" min="26" max="26" width="9.38"/>
  </cols>
  <sheetData>
    <row r="1" ht="15.75" customHeight="1">
      <c r="A1" s="109" t="s">
        <v>191</v>
      </c>
      <c r="B1" s="446" t="s">
        <v>176</v>
      </c>
      <c r="C1" s="446" t="s">
        <v>177</v>
      </c>
      <c r="D1" s="446" t="s">
        <v>178</v>
      </c>
      <c r="E1" s="446" t="s">
        <v>179</v>
      </c>
      <c r="F1" s="446" t="s">
        <v>180</v>
      </c>
      <c r="G1" s="446" t="s">
        <v>181</v>
      </c>
      <c r="H1" s="447"/>
      <c r="I1" s="109" t="s">
        <v>191</v>
      </c>
      <c r="J1" s="448" t="s">
        <v>176</v>
      </c>
      <c r="K1" s="448" t="s">
        <v>177</v>
      </c>
      <c r="L1" s="448" t="s">
        <v>178</v>
      </c>
      <c r="M1" s="448" t="s">
        <v>179</v>
      </c>
      <c r="N1" s="448" t="s">
        <v>180</v>
      </c>
      <c r="O1" s="448" t="s">
        <v>181</v>
      </c>
      <c r="P1" s="448" t="s">
        <v>184</v>
      </c>
      <c r="Q1" s="448" t="s">
        <v>185</v>
      </c>
      <c r="R1" s="429"/>
      <c r="S1" s="429"/>
      <c r="T1" s="429"/>
      <c r="U1" s="449" t="s">
        <v>176</v>
      </c>
      <c r="V1" s="448" t="s">
        <v>177</v>
      </c>
      <c r="W1" s="448" t="s">
        <v>178</v>
      </c>
      <c r="X1" s="448" t="s">
        <v>179</v>
      </c>
      <c r="Y1" s="448" t="s">
        <v>180</v>
      </c>
      <c r="Z1" s="448" t="s">
        <v>181</v>
      </c>
    </row>
    <row r="2" ht="15.75" customHeight="1">
      <c r="A2" s="450" t="str">
        <f>CpgS!A2</f>
        <v>AJ DaJuiceMayne</v>
      </c>
      <c r="B2" s="451">
        <f>IFERROR(VLOOKUP($A2,CpgS!$A:$G,2,0),)</f>
        <v>0.02726033621</v>
      </c>
      <c r="C2" s="451">
        <f>IFERROR(VLOOKUP($A2,CpgS!$A:$G,3,0),)</f>
        <v>-0.4225352113</v>
      </c>
      <c r="D2" s="451">
        <f>IFERROR(VLOOKUP($A2,CpgS!$A:$G,4,0),)</f>
        <v>0.1635620173</v>
      </c>
      <c r="E2" s="451">
        <f>IFERROR(VLOOKUP($A2,CpgS!$A:$G,5,0),)</f>
        <v>0.04089050432</v>
      </c>
      <c r="F2" s="451">
        <f>IFERROR(VLOOKUP($A2,CpgS!$A:$G,6,0),)</f>
        <v>0.4497955475</v>
      </c>
      <c r="G2" s="451">
        <f>IFERROR(VLOOKUP($A2,CpgS!$A:$G,7,0),)</f>
        <v>0.1090413448</v>
      </c>
      <c r="H2" s="452"/>
      <c r="I2" s="450" t="str">
        <f>CpgS!A2</f>
        <v>AJ DaJuiceMayne</v>
      </c>
      <c r="J2" s="453" t="str">
        <f t="shared" ref="J2:J63" si="2">IF(B2&lt;=$U$17,"F",IF(B2&lt;$U$15,"E",IF(B2&lt;$U$12,"D",IF(B2&lt;$U$9,"C",IF(B2&lt;$U$6,"B",IF(B2&lt;$U$3,"A","S"))))))</f>
        <v>C</v>
      </c>
      <c r="K2" s="453" t="str">
        <f t="shared" ref="K2:K63" si="3">IF(C2&lt;=$V$17,"F",IF(C2&lt;$V$15,"E",IF(C2&lt;$V$12,"D",IF(C2&lt;$V$9,"C",IF(C2&lt;$V$6,"B",IF(C2&lt;$V$3,"A","S"))))))</f>
        <v>E</v>
      </c>
      <c r="L2" s="453" t="str">
        <f t="shared" ref="L2:L63" si="4">IF(D2&lt;=$W$17,"F",IF(D2&lt;$W$15,"E",IF(D2&lt;$W$12,"D",IF(D2&lt;$W$9,"C",IF(D2&lt;$W$6,"B",IF(D2&lt;$W$3,"A","S"))))))</f>
        <v>S</v>
      </c>
      <c r="M2" s="453" t="str">
        <f t="shared" ref="M2:M63" si="5">IF(E2&lt;=$X$17,"F",IF(E2&lt;$X$15,"E",IF(E2&lt;$X$12,"D",IF(E2&lt;$X$9,"C",IF(E2&lt;$X$6,"B",IF(E2&lt;$X$3,"A","S"))))))</f>
        <v>D</v>
      </c>
      <c r="N2" s="453" t="str">
        <f t="shared" ref="N2:N63" si="6">IF(F2&lt;=$Y$17,"F",IF(F2&lt;$Y$15,"E",IF(F2&lt;$Y$12,"D",IF(F2&lt;$Y$9,"C",IF(F2&lt;$Y$6,"B",IF(F2&lt;$Y$3,"A","S"))))))</f>
        <v>E</v>
      </c>
      <c r="O2" s="453" t="str">
        <f t="shared" ref="O2:O63" si="7">IF(G2&lt;=$Z$17,"F",IF(G2&lt;$Z$15,"E",IF(G2&lt;$Z$12,"D",IF(G2&lt;$Z$9,"C",IF(G2&lt;$Z$6,"B",IF(G2&lt;$Z$3,"A","S"))))))</f>
        <v>E</v>
      </c>
      <c r="P2" s="116" t="str">
        <f t="shared" ref="P2:P63" si="8">IF(Q2&lt;=$S$23,"F",IF(Q2&lt;$S$21,"E",IF(Q2&lt;$S$19,"D",IF(Q2&lt;$S$17,"C",IF(Q2&lt;$S$15,"B",IF(Q2&lt;$S$13,"A","S"))))))</f>
        <v>D</v>
      </c>
      <c r="Q2" s="454">
        <f t="shared" ref="Q2:Q63" si="9">($S$26*(VLOOKUP(J2, $R$3:$S$9, 2, FALSE)))+($S$27*(VLOOKUP(K2, $R$3:$S$9, 2, FALSE)))+($S$28*(VLOOKUP(L2, $R$3:$S$9, 2, FALSE)))+($S$29*(VLOOKUP(M2, $R$3:$S$9, 2, FALSE)))+($S$30*(VLOOKUP(N2, $R$3:$S$9, 2, FALSE)))+($S$31*(VLOOKUP(O2, $R$3:$S$9, 2, FALSE)))</f>
        <v>7.1</v>
      </c>
      <c r="R2" s="455" t="s">
        <v>201</v>
      </c>
      <c r="S2" s="455" t="s">
        <v>394</v>
      </c>
      <c r="T2" s="456" t="s">
        <v>18</v>
      </c>
      <c r="U2" s="457">
        <f t="shared" ref="U2:Z2" si="1">U3</f>
        <v>0.09211621815</v>
      </c>
      <c r="V2" s="457">
        <f t="shared" si="1"/>
        <v>0.4426965762</v>
      </c>
      <c r="W2" s="457">
        <f t="shared" si="1"/>
        <v>0.1569811651</v>
      </c>
      <c r="X2" s="457">
        <f t="shared" si="1"/>
        <v>0.09862754275</v>
      </c>
      <c r="Y2" s="457">
        <f t="shared" si="1"/>
        <v>0.8683516582</v>
      </c>
      <c r="Z2" s="457">
        <f t="shared" si="1"/>
        <v>0.2318551006</v>
      </c>
    </row>
    <row r="3" ht="15.75" customHeight="1">
      <c r="A3" s="450" t="str">
        <f>CpgS!A3</f>
        <v>ASpence501</v>
      </c>
      <c r="B3" s="451">
        <f>IFERROR(VLOOKUP($A3,CpgS!$A:$G,2,0),)</f>
        <v>0.009267840593</v>
      </c>
      <c r="C3" s="451">
        <f>IFERROR(VLOOKUP($A3,CpgS!$A:$G,3,0),)</f>
        <v>0.593141798</v>
      </c>
      <c r="D3" s="451">
        <f>IFERROR(VLOOKUP($A3,CpgS!$A:$G,4,0),)</f>
        <v>0.1482854495</v>
      </c>
      <c r="E3" s="451">
        <f>IFERROR(VLOOKUP($A3,CpgS!$A:$G,5,0),)</f>
        <v>0.07414272475</v>
      </c>
      <c r="F3" s="451">
        <f>IFERROR(VLOOKUP($A3,CpgS!$A:$G,6,0),)</f>
        <v>1.037998146</v>
      </c>
      <c r="G3" s="451">
        <f>IFERROR(VLOOKUP($A3,CpgS!$A:$G,7,0),)</f>
        <v>0.1946246525</v>
      </c>
      <c r="H3" s="452"/>
      <c r="I3" s="450" t="str">
        <f>CpgS!A3</f>
        <v>ASpence501</v>
      </c>
      <c r="J3" s="458" t="str">
        <f t="shared" si="2"/>
        <v>E</v>
      </c>
      <c r="K3" s="459" t="str">
        <f t="shared" si="3"/>
        <v>S</v>
      </c>
      <c r="L3" s="460" t="str">
        <f t="shared" si="4"/>
        <v>A</v>
      </c>
      <c r="M3" s="461" t="str">
        <f t="shared" si="5"/>
        <v>B</v>
      </c>
      <c r="N3" s="459" t="str">
        <f t="shared" si="6"/>
        <v>S</v>
      </c>
      <c r="O3" s="461" t="str">
        <f t="shared" si="7"/>
        <v>A</v>
      </c>
      <c r="P3" s="130" t="str">
        <f t="shared" si="8"/>
        <v>A</v>
      </c>
      <c r="Q3" s="454">
        <f t="shared" si="9"/>
        <v>14.2</v>
      </c>
      <c r="R3" s="85" t="s">
        <v>18</v>
      </c>
      <c r="S3" s="85">
        <v>7.0</v>
      </c>
      <c r="T3" s="462" t="s">
        <v>395</v>
      </c>
      <c r="U3" s="463">
        <f>(U4*112%)</f>
        <v>0.09211621815</v>
      </c>
      <c r="V3" s="463">
        <f>(V4*115%)</f>
        <v>0.4426965762</v>
      </c>
      <c r="W3" s="463">
        <f t="shared" ref="W3:X3" si="10">(W4*110%)</f>
        <v>0.1569811651</v>
      </c>
      <c r="X3" s="463">
        <f t="shared" si="10"/>
        <v>0.09862754275</v>
      </c>
      <c r="Y3" s="463">
        <f t="shared" ref="Y3:Z3" si="11">(Y4*120%)</f>
        <v>0.8683516582</v>
      </c>
      <c r="Z3" s="463">
        <f t="shared" si="11"/>
        <v>0.2318551006</v>
      </c>
    </row>
    <row r="4" ht="15.75" customHeight="1">
      <c r="A4" s="450" t="str">
        <f>CpgS!A4</f>
        <v>AtoneMilitant</v>
      </c>
      <c r="B4" s="451">
        <f>IFERROR(VLOOKUP($A4,CpgS!$A:$G,2,0),)</f>
        <v>0.03039513678</v>
      </c>
      <c r="C4" s="451">
        <f>IFERROR(VLOOKUP($A4,CpgS!$A:$G,3,0),)</f>
        <v>0.273556231</v>
      </c>
      <c r="D4" s="451">
        <f>IFERROR(VLOOKUP($A4,CpgS!$A:$G,4,0),)</f>
        <v>0.1215805471</v>
      </c>
      <c r="E4" s="451">
        <f>IFERROR(VLOOKUP($A4,CpgS!$A:$G,5,0),)</f>
        <v>0.06079027356</v>
      </c>
      <c r="F4" s="451">
        <f>IFERROR(VLOOKUP($A4,CpgS!$A:$G,6,0),)</f>
        <v>0.7598784195</v>
      </c>
      <c r="G4" s="451">
        <f>IFERROR(VLOOKUP($A4,CpgS!$A:$G,7,0),)</f>
        <v>0.1519756839</v>
      </c>
      <c r="H4" s="452"/>
      <c r="I4" s="450" t="str">
        <f>CpgS!A4</f>
        <v>AtoneMilitant</v>
      </c>
      <c r="J4" s="464" t="str">
        <f t="shared" si="2"/>
        <v>C</v>
      </c>
      <c r="K4" s="459" t="str">
        <f t="shared" si="3"/>
        <v>B</v>
      </c>
      <c r="L4" s="459" t="str">
        <f t="shared" si="4"/>
        <v>B</v>
      </c>
      <c r="M4" s="461" t="str">
        <f t="shared" si="5"/>
        <v>B</v>
      </c>
      <c r="N4" s="459" t="str">
        <f t="shared" si="6"/>
        <v>A</v>
      </c>
      <c r="O4" s="464" t="str">
        <f t="shared" si="7"/>
        <v>B</v>
      </c>
      <c r="P4" s="126" t="str">
        <f t="shared" si="8"/>
        <v>B</v>
      </c>
      <c r="Q4" s="454">
        <f t="shared" si="9"/>
        <v>12.6</v>
      </c>
      <c r="R4" s="88" t="s">
        <v>17</v>
      </c>
      <c r="S4" s="88">
        <v>6.0</v>
      </c>
      <c r="T4" s="465" t="s">
        <v>396</v>
      </c>
      <c r="U4" s="466">
        <f t="shared" ref="U4:Z4" si="12">QUARTILE(B2:B31,3)</f>
        <v>0.08224662335</v>
      </c>
      <c r="V4" s="466">
        <f t="shared" si="12"/>
        <v>0.3849535445</v>
      </c>
      <c r="W4" s="466">
        <f t="shared" si="12"/>
        <v>0.1427101501</v>
      </c>
      <c r="X4" s="466">
        <f t="shared" si="12"/>
        <v>0.0896614025</v>
      </c>
      <c r="Y4" s="466">
        <f t="shared" si="12"/>
        <v>0.7236263819</v>
      </c>
      <c r="Z4" s="466">
        <f t="shared" si="12"/>
        <v>0.1932125838</v>
      </c>
    </row>
    <row r="5" ht="15.75" customHeight="1">
      <c r="A5" s="450" t="str">
        <f>CpgS!A5</f>
        <v>AwareMosquito</v>
      </c>
      <c r="B5" s="451">
        <f>IFERROR(VLOOKUP($A5,CpgS!$A:$G,2,0),)</f>
        <v>0</v>
      </c>
      <c r="C5" s="451">
        <f>IFERROR(VLOOKUP($A5,CpgS!$A:$G,3,0),)</f>
        <v>-0.3672220333</v>
      </c>
      <c r="D5" s="451">
        <f>IFERROR(VLOOKUP($A5,CpgS!$A:$G,4,0),)</f>
        <v>0.08160489629</v>
      </c>
      <c r="E5" s="451">
        <f>IFERROR(VLOOKUP($A5,CpgS!$A:$G,5,0),)</f>
        <v>0.02040122407</v>
      </c>
      <c r="F5" s="451">
        <f>IFERROR(VLOOKUP($A5,CpgS!$A:$G,6,0),)</f>
        <v>0.4692281537</v>
      </c>
      <c r="G5" s="451">
        <f>IFERROR(VLOOKUP($A5,CpgS!$A:$G,7,0),)</f>
        <v>0.1224073444</v>
      </c>
      <c r="H5" s="452"/>
      <c r="I5" s="450" t="str">
        <f>CpgS!A5</f>
        <v>AwareMosquito</v>
      </c>
      <c r="J5" s="459" t="str">
        <f t="shared" si="2"/>
        <v>F</v>
      </c>
      <c r="K5" s="453" t="str">
        <f t="shared" si="3"/>
        <v>E</v>
      </c>
      <c r="L5" s="453" t="str">
        <f t="shared" si="4"/>
        <v>C</v>
      </c>
      <c r="M5" s="453" t="str">
        <f t="shared" si="5"/>
        <v>E</v>
      </c>
      <c r="N5" s="453" t="str">
        <f t="shared" si="6"/>
        <v>E</v>
      </c>
      <c r="O5" s="453" t="str">
        <f t="shared" si="7"/>
        <v>D</v>
      </c>
      <c r="P5" s="128" t="str">
        <f t="shared" si="8"/>
        <v>E</v>
      </c>
      <c r="Q5" s="454">
        <f t="shared" si="9"/>
        <v>5.7</v>
      </c>
      <c r="R5" s="93" t="s">
        <v>16</v>
      </c>
      <c r="S5" s="93">
        <v>5.0</v>
      </c>
      <c r="T5" s="467" t="s">
        <v>397</v>
      </c>
      <c r="U5" s="463">
        <f>U4*90%</f>
        <v>0.07402196101</v>
      </c>
      <c r="V5" s="463">
        <f t="shared" ref="V5:Z5" si="13">V4*95%</f>
        <v>0.3657058673</v>
      </c>
      <c r="W5" s="463">
        <f t="shared" si="13"/>
        <v>0.1355746426</v>
      </c>
      <c r="X5" s="463">
        <f t="shared" si="13"/>
        <v>0.08517833237</v>
      </c>
      <c r="Y5" s="463">
        <f t="shared" si="13"/>
        <v>0.6874450628</v>
      </c>
      <c r="Z5" s="463">
        <f t="shared" si="13"/>
        <v>0.1835519546</v>
      </c>
    </row>
    <row r="6" ht="15.75" customHeight="1">
      <c r="A6" s="450" t="str">
        <f>CpgS!A6</f>
        <v>BeaM1n1</v>
      </c>
      <c r="B6" s="451">
        <f>IFERROR(VLOOKUP($A6,CpgS!$A:$G,2,0),)</f>
        <v>0.02038735984</v>
      </c>
      <c r="C6" s="451">
        <f>IFERROR(VLOOKUP($A6,CpgS!$A:$G,3,0),)</f>
        <v>0.1834862385</v>
      </c>
      <c r="D6" s="451">
        <f>IFERROR(VLOOKUP($A6,CpgS!$A:$G,4,0),)</f>
        <v>0.02038735984</v>
      </c>
      <c r="E6" s="451">
        <f>IFERROR(VLOOKUP($A6,CpgS!$A:$G,5,0),)</f>
        <v>0.06116207951</v>
      </c>
      <c r="F6" s="451">
        <f>IFERROR(VLOOKUP($A6,CpgS!$A:$G,6,0),)</f>
        <v>0.8358817533</v>
      </c>
      <c r="G6" s="451">
        <f>IFERROR(VLOOKUP($A6,CpgS!$A:$G,7,0),)</f>
        <v>0.1630988787</v>
      </c>
      <c r="H6" s="452"/>
      <c r="I6" s="450" t="str">
        <f>CpgS!A6</f>
        <v>BeaM1n1</v>
      </c>
      <c r="J6" s="461" t="str">
        <f t="shared" si="2"/>
        <v>D</v>
      </c>
      <c r="K6" s="460" t="str">
        <f t="shared" si="3"/>
        <v>B</v>
      </c>
      <c r="L6" s="464" t="str">
        <f t="shared" si="4"/>
        <v>F</v>
      </c>
      <c r="M6" s="461" t="str">
        <f t="shared" si="5"/>
        <v>B</v>
      </c>
      <c r="N6" s="460" t="str">
        <f t="shared" si="6"/>
        <v>A</v>
      </c>
      <c r="O6" s="461" t="str">
        <f t="shared" si="7"/>
        <v>B</v>
      </c>
      <c r="P6" s="130" t="str">
        <f t="shared" si="8"/>
        <v>B</v>
      </c>
      <c r="Q6" s="454">
        <f t="shared" si="9"/>
        <v>11.5</v>
      </c>
      <c r="R6" s="95" t="s">
        <v>28</v>
      </c>
      <c r="S6" s="95">
        <v>4.0</v>
      </c>
      <c r="T6" s="468" t="s">
        <v>398</v>
      </c>
      <c r="U6" s="469">
        <f t="shared" ref="U6:Z6" si="14">U5</f>
        <v>0.07402196101</v>
      </c>
      <c r="V6" s="469">
        <f t="shared" si="14"/>
        <v>0.3657058673</v>
      </c>
      <c r="W6" s="469">
        <f t="shared" si="14"/>
        <v>0.1355746426</v>
      </c>
      <c r="X6" s="469">
        <f t="shared" si="14"/>
        <v>0.08517833237</v>
      </c>
      <c r="Y6" s="469">
        <f t="shared" si="14"/>
        <v>0.6874450628</v>
      </c>
      <c r="Z6" s="469">
        <f t="shared" si="14"/>
        <v>0.1835519546</v>
      </c>
    </row>
    <row r="7" ht="15.75" customHeight="1">
      <c r="A7" s="450" t="str">
        <f>CpgS!A7</f>
        <v>CaptainSev004</v>
      </c>
      <c r="B7" s="451">
        <f>IFERROR(VLOOKUP($A7,CpgS!$A:$G,2,0),)</f>
        <v>0.05667181865</v>
      </c>
      <c r="C7" s="451">
        <f>IFERROR(VLOOKUP($A7,CpgS!$A:$G,3,0),)</f>
        <v>0.01030396703</v>
      </c>
      <c r="D7" s="451">
        <f>IFERROR(VLOOKUP($A7,CpgS!$A:$G,4,0),)</f>
        <v>0.1545595054</v>
      </c>
      <c r="E7" s="451">
        <f>IFERROR(VLOOKUP($A7,CpgS!$A:$G,5,0),)</f>
        <v>0.05151983514</v>
      </c>
      <c r="F7" s="451">
        <f>IFERROR(VLOOKUP($A7,CpgS!$A:$G,6,0),)</f>
        <v>0.6285419887</v>
      </c>
      <c r="G7" s="451">
        <f>IFERROR(VLOOKUP($A7,CpgS!$A:$G,7,0),)</f>
        <v>0.1184956208</v>
      </c>
      <c r="H7" s="452"/>
      <c r="I7" s="450" t="str">
        <f>CpgS!A7</f>
        <v>CaptainSev004</v>
      </c>
      <c r="J7" s="461" t="str">
        <f t="shared" si="2"/>
        <v>B</v>
      </c>
      <c r="K7" s="453" t="str">
        <f t="shared" si="3"/>
        <v>D</v>
      </c>
      <c r="L7" s="453" t="str">
        <f t="shared" si="4"/>
        <v>A</v>
      </c>
      <c r="M7" s="470" t="str">
        <f t="shared" si="5"/>
        <v>C</v>
      </c>
      <c r="N7" s="470" t="str">
        <f t="shared" si="6"/>
        <v>C</v>
      </c>
      <c r="O7" s="460" t="str">
        <f t="shared" si="7"/>
        <v>D</v>
      </c>
      <c r="P7" s="126" t="str">
        <f t="shared" si="8"/>
        <v>C</v>
      </c>
      <c r="Q7" s="454">
        <f t="shared" si="9"/>
        <v>9.6</v>
      </c>
      <c r="R7" s="97" t="s">
        <v>23</v>
      </c>
      <c r="S7" s="97">
        <v>3.0</v>
      </c>
      <c r="T7" s="464" t="s">
        <v>399</v>
      </c>
      <c r="U7" s="471">
        <f t="shared" ref="U7:Z7" si="15">MEDIAN(U4,U10)</f>
        <v>0.05553717992</v>
      </c>
      <c r="V7" s="471">
        <f t="shared" si="15"/>
        <v>0.2065482753</v>
      </c>
      <c r="W7" s="471">
        <f t="shared" si="15"/>
        <v>0.111480165</v>
      </c>
      <c r="X7" s="471">
        <f t="shared" si="15"/>
        <v>0.07158156811</v>
      </c>
      <c r="Y7" s="471">
        <f t="shared" si="15"/>
        <v>0.677928923</v>
      </c>
      <c r="Z7" s="471">
        <f t="shared" si="15"/>
        <v>0.1689743177</v>
      </c>
    </row>
    <row r="8" ht="15.75" customHeight="1">
      <c r="A8" s="450" t="str">
        <f>CpgS!A8</f>
        <v>Conra4859</v>
      </c>
      <c r="B8" s="451">
        <f>IFERROR(VLOOKUP($A8,CpgS!$A:$G,2,0),)</f>
        <v>0</v>
      </c>
      <c r="C8" s="451">
        <f>IFERROR(VLOOKUP($A8,CpgS!$A:$G,3,0),)</f>
        <v>-2.031558185</v>
      </c>
      <c r="D8" s="451">
        <f>IFERROR(VLOOKUP($A8,CpgS!$A:$G,4,0),)</f>
        <v>0.07889546351</v>
      </c>
      <c r="E8" s="451">
        <f>IFERROR(VLOOKUP($A8,CpgS!$A:$G,5,0),)</f>
        <v>0.01972386588</v>
      </c>
      <c r="F8" s="451">
        <f>IFERROR(VLOOKUP($A8,CpgS!$A:$G,6,0),)</f>
        <v>0.2761341223</v>
      </c>
      <c r="G8" s="451">
        <f>IFERROR(VLOOKUP($A8,CpgS!$A:$G,7,0),)</f>
        <v>0.05917159763</v>
      </c>
      <c r="H8" s="452"/>
      <c r="I8" s="450" t="str">
        <f>CpgS!A8</f>
        <v>Conra4859</v>
      </c>
      <c r="J8" s="461" t="str">
        <f t="shared" si="2"/>
        <v>F</v>
      </c>
      <c r="K8" s="461" t="str">
        <f t="shared" si="3"/>
        <v>F</v>
      </c>
      <c r="L8" s="460" t="str">
        <f t="shared" si="4"/>
        <v>C</v>
      </c>
      <c r="M8" s="460" t="str">
        <f t="shared" si="5"/>
        <v>E</v>
      </c>
      <c r="N8" s="464" t="str">
        <f t="shared" si="6"/>
        <v>E</v>
      </c>
      <c r="O8" s="461" t="str">
        <f t="shared" si="7"/>
        <v>F</v>
      </c>
      <c r="P8" s="130" t="str">
        <f t="shared" si="8"/>
        <v>E</v>
      </c>
      <c r="Q8" s="454">
        <f t="shared" si="9"/>
        <v>4</v>
      </c>
      <c r="R8" s="99" t="s">
        <v>25</v>
      </c>
      <c r="S8" s="99">
        <v>2.0</v>
      </c>
      <c r="T8" s="472" t="s">
        <v>400</v>
      </c>
      <c r="U8" s="469">
        <f t="shared" ref="U8:Z8" si="16">U9</f>
        <v>0.03315189697</v>
      </c>
      <c r="V8" s="469">
        <f t="shared" si="16"/>
        <v>0.009850052123</v>
      </c>
      <c r="W8" s="469">
        <f t="shared" si="16"/>
        <v>0.0818551835</v>
      </c>
      <c r="X8" s="469">
        <f t="shared" si="16"/>
        <v>0.05885190711</v>
      </c>
      <c r="Y8" s="469">
        <f t="shared" si="16"/>
        <v>0.6638430373</v>
      </c>
      <c r="Z8" s="469">
        <f t="shared" si="16"/>
        <v>0.151249174</v>
      </c>
    </row>
    <row r="9" ht="15.75" customHeight="1">
      <c r="A9" s="450" t="str">
        <f>CpgS!A9</f>
        <v>cxrnchip</v>
      </c>
      <c r="B9" s="451">
        <f>IFERROR(VLOOKUP($A9,CpgS!$A:$G,2,0),)</f>
        <v>0.157480315</v>
      </c>
      <c r="C9" s="451">
        <f>IFERROR(VLOOKUP($A9,CpgS!$A:$G,3,0),)</f>
        <v>-0.157480315</v>
      </c>
      <c r="D9" s="451">
        <f>IFERROR(VLOOKUP($A9,CpgS!$A:$G,4,0),)</f>
        <v>0.125984252</v>
      </c>
      <c r="E9" s="451">
        <f>IFERROR(VLOOKUP($A9,CpgS!$A:$G,5,0),)</f>
        <v>0.09448818898</v>
      </c>
      <c r="F9" s="451">
        <f>IFERROR(VLOOKUP($A9,CpgS!$A:$G,6,0),)</f>
        <v>0.4409448819</v>
      </c>
      <c r="G9" s="451">
        <f>IFERROR(VLOOKUP($A9,CpgS!$A:$G,7,0),)</f>
        <v>0.188976378</v>
      </c>
      <c r="H9" s="452"/>
      <c r="I9" s="450" t="str">
        <f>CpgS!A9</f>
        <v>cxrnchip</v>
      </c>
      <c r="J9" s="460" t="str">
        <f t="shared" si="2"/>
        <v>S</v>
      </c>
      <c r="K9" s="460" t="str">
        <f t="shared" si="3"/>
        <v>D</v>
      </c>
      <c r="L9" s="464" t="str">
        <f t="shared" si="4"/>
        <v>B</v>
      </c>
      <c r="M9" s="458" t="str">
        <f t="shared" si="5"/>
        <v>A</v>
      </c>
      <c r="N9" s="470" t="str">
        <f t="shared" si="6"/>
        <v>E</v>
      </c>
      <c r="O9" s="470" t="str">
        <f t="shared" si="7"/>
        <v>A</v>
      </c>
      <c r="P9" s="127" t="str">
        <f t="shared" si="8"/>
        <v>B</v>
      </c>
      <c r="Q9" s="454">
        <f t="shared" si="9"/>
        <v>12</v>
      </c>
      <c r="R9" s="102" t="s">
        <v>66</v>
      </c>
      <c r="S9" s="102">
        <v>1.0</v>
      </c>
      <c r="T9" s="473" t="s">
        <v>401</v>
      </c>
      <c r="U9" s="474">
        <f>(U10*115%)</f>
        <v>0.03315189697</v>
      </c>
      <c r="V9" s="474">
        <f>(V10*35%)</f>
        <v>0.009850052123</v>
      </c>
      <c r="W9" s="474">
        <f>(W10*102%)</f>
        <v>0.0818551835</v>
      </c>
      <c r="X9" s="474">
        <f>(X10*110%)</f>
        <v>0.05885190711</v>
      </c>
      <c r="Y9" s="474">
        <f>(Y10*105%)</f>
        <v>0.6638430373</v>
      </c>
      <c r="Z9" s="474">
        <f>(Z10*104.5%)</f>
        <v>0.151249174</v>
      </c>
    </row>
    <row r="10" ht="15.75" customHeight="1">
      <c r="A10" s="450" t="str">
        <f>CpgS!A10</f>
        <v>Dabb</v>
      </c>
      <c r="B10" s="451">
        <f>IFERROR(VLOOKUP($A10,CpgS!$A:$G,2,0),)</f>
        <v>0.1019462465</v>
      </c>
      <c r="C10" s="451">
        <f>IFERROR(VLOOKUP($A10,CpgS!$A:$G,3,0),)</f>
        <v>1.445783133</v>
      </c>
      <c r="D10" s="451">
        <f>IFERROR(VLOOKUP($A10,CpgS!$A:$G,4,0),)</f>
        <v>0.1112140871</v>
      </c>
      <c r="E10" s="451">
        <f>IFERROR(VLOOKUP($A10,CpgS!$A:$G,5,0),)</f>
        <v>0.1112140871</v>
      </c>
      <c r="F10" s="451">
        <f>IFERROR(VLOOKUP($A10,CpgS!$A:$G,6,0),)</f>
        <v>0.593141798</v>
      </c>
      <c r="G10" s="451">
        <f>IFERROR(VLOOKUP($A10,CpgS!$A:$G,7,0),)</f>
        <v>0.1853568119</v>
      </c>
      <c r="H10" s="452"/>
      <c r="I10" s="450" t="str">
        <f>CpgS!A10</f>
        <v>Dabb</v>
      </c>
      <c r="J10" s="464" t="str">
        <f t="shared" si="2"/>
        <v>S</v>
      </c>
      <c r="K10" s="459" t="str">
        <f t="shared" si="3"/>
        <v>S</v>
      </c>
      <c r="L10" s="453" t="str">
        <f t="shared" si="4"/>
        <v>B</v>
      </c>
      <c r="M10" s="461" t="str">
        <f t="shared" si="5"/>
        <v>S</v>
      </c>
      <c r="N10" s="461" t="str">
        <f t="shared" si="6"/>
        <v>D</v>
      </c>
      <c r="O10" s="460" t="str">
        <f t="shared" si="7"/>
        <v>A</v>
      </c>
      <c r="P10" s="127" t="str">
        <f t="shared" si="8"/>
        <v>A</v>
      </c>
      <c r="Q10" s="454">
        <f t="shared" si="9"/>
        <v>14.9</v>
      </c>
      <c r="R10" s="452"/>
      <c r="S10" s="447"/>
      <c r="T10" s="475" t="s">
        <v>402</v>
      </c>
      <c r="U10" s="476">
        <f t="shared" ref="U10:Z10" si="17">QUARTILE(B2:B31,2)</f>
        <v>0.02882773649</v>
      </c>
      <c r="V10" s="476">
        <f t="shared" si="17"/>
        <v>0.02814300607</v>
      </c>
      <c r="W10" s="476">
        <f t="shared" si="17"/>
        <v>0.0802501799</v>
      </c>
      <c r="X10" s="476">
        <f t="shared" si="17"/>
        <v>0.05350173373</v>
      </c>
      <c r="Y10" s="476">
        <f t="shared" si="17"/>
        <v>0.6322314641</v>
      </c>
      <c r="Z10" s="476">
        <f t="shared" si="17"/>
        <v>0.1447360516</v>
      </c>
    </row>
    <row r="11" ht="15.75" customHeight="1">
      <c r="A11" s="450" t="str">
        <f>CpgS!A11</f>
        <v>Dat Twinkie</v>
      </c>
      <c r="B11" s="451">
        <f>IFERROR(VLOOKUP($A11,CpgS!$A:$G,2,0),)</f>
        <v>0</v>
      </c>
      <c r="C11" s="451">
        <f>IFERROR(VLOOKUP($A11,CpgS!$A:$G,3,0),)</f>
        <v>-1.134593993</v>
      </c>
      <c r="D11" s="451">
        <f>IFERROR(VLOOKUP($A11,CpgS!$A:$G,4,0),)</f>
        <v>0.06674082314</v>
      </c>
      <c r="E11" s="451">
        <f>IFERROR(VLOOKUP($A11,CpgS!$A:$G,5,0),)</f>
        <v>0.03337041157</v>
      </c>
      <c r="F11" s="451">
        <f>IFERROR(VLOOKUP($A11,CpgS!$A:$G,6,0),)</f>
        <v>0.4338153504</v>
      </c>
      <c r="G11" s="451">
        <f>IFERROR(VLOOKUP($A11,CpgS!$A:$G,7,0),)</f>
        <v>0.06674082314</v>
      </c>
      <c r="H11" s="452"/>
      <c r="I11" s="450" t="str">
        <f>CpgS!A11</f>
        <v>Dat Twinkie</v>
      </c>
      <c r="J11" s="461" t="str">
        <f t="shared" si="2"/>
        <v>F</v>
      </c>
      <c r="K11" s="458" t="str">
        <f t="shared" si="3"/>
        <v>F</v>
      </c>
      <c r="L11" s="470" t="str">
        <f t="shared" si="4"/>
        <v>E</v>
      </c>
      <c r="M11" s="458" t="str">
        <f t="shared" si="5"/>
        <v>D</v>
      </c>
      <c r="N11" s="459" t="str">
        <f t="shared" si="6"/>
        <v>E</v>
      </c>
      <c r="O11" s="453" t="str">
        <f t="shared" si="7"/>
        <v>F</v>
      </c>
      <c r="P11" s="127" t="str">
        <f t="shared" si="8"/>
        <v>E</v>
      </c>
      <c r="Q11" s="454">
        <f t="shared" si="9"/>
        <v>4.1</v>
      </c>
      <c r="R11" s="447"/>
      <c r="S11" s="447"/>
      <c r="T11" s="477" t="s">
        <v>403</v>
      </c>
      <c r="U11" s="474">
        <f>(U10*90%)</f>
        <v>0.02594496285</v>
      </c>
      <c r="V11" s="474">
        <f>(V10*105%)</f>
        <v>0.02955015637</v>
      </c>
      <c r="W11" s="474">
        <f t="shared" ref="W11:Z11" si="18">(W10*95%)</f>
        <v>0.07623767091</v>
      </c>
      <c r="X11" s="474">
        <f t="shared" si="18"/>
        <v>0.05082664705</v>
      </c>
      <c r="Y11" s="474">
        <f t="shared" si="18"/>
        <v>0.6006198909</v>
      </c>
      <c r="Z11" s="474">
        <f t="shared" si="18"/>
        <v>0.137499249</v>
      </c>
    </row>
    <row r="12" ht="15.75" customHeight="1">
      <c r="A12" s="450" t="str">
        <f>CpgS!A12</f>
        <v>DCleak</v>
      </c>
      <c r="B12" s="451">
        <f>IFERROR(VLOOKUP($A12,CpgS!$A:$G,2,0),)</f>
        <v>0.09077155825</v>
      </c>
      <c r="C12" s="451">
        <f>IFERROR(VLOOKUP($A12,CpgS!$A:$G,3,0),)</f>
        <v>0.7715582451</v>
      </c>
      <c r="D12" s="451">
        <f>IFERROR(VLOOKUP($A12,CpgS!$A:$G,4,0),)</f>
        <v>0.2723146747</v>
      </c>
      <c r="E12" s="451">
        <f>IFERROR(VLOOKUP($A12,CpgS!$A:$G,5,0),)</f>
        <v>0.09077155825</v>
      </c>
      <c r="F12" s="451">
        <f>IFERROR(VLOOKUP($A12,CpgS!$A:$G,6,0),)</f>
        <v>0.7715582451</v>
      </c>
      <c r="G12" s="451">
        <f>IFERROR(VLOOKUP($A12,CpgS!$A:$G,7,0),)</f>
        <v>0.1361573374</v>
      </c>
      <c r="H12" s="452"/>
      <c r="I12" s="450" t="str">
        <f>CpgS!A12</f>
        <v>DCleak</v>
      </c>
      <c r="J12" s="453" t="str">
        <f t="shared" si="2"/>
        <v>A</v>
      </c>
      <c r="K12" s="459" t="str">
        <f t="shared" si="3"/>
        <v>S</v>
      </c>
      <c r="L12" s="464" t="str">
        <f t="shared" si="4"/>
        <v>S</v>
      </c>
      <c r="M12" s="460" t="str">
        <f t="shared" si="5"/>
        <v>A</v>
      </c>
      <c r="N12" s="460" t="str">
        <f t="shared" si="6"/>
        <v>A</v>
      </c>
      <c r="O12" s="461" t="str">
        <f t="shared" si="7"/>
        <v>D</v>
      </c>
      <c r="P12" s="127" t="str">
        <f t="shared" si="8"/>
        <v>A</v>
      </c>
      <c r="Q12" s="454">
        <f t="shared" si="9"/>
        <v>13.9</v>
      </c>
      <c r="R12" s="456" t="s">
        <v>18</v>
      </c>
      <c r="S12" s="478">
        <f>(S26*7)+(S27*7)+(S28*7)+(S29*7)+(S30*7)+(S31*7)</f>
        <v>17.5</v>
      </c>
      <c r="T12" s="479" t="s">
        <v>404</v>
      </c>
      <c r="U12" s="480">
        <f t="shared" ref="U12:Z12" si="19">U11</f>
        <v>0.02594496285</v>
      </c>
      <c r="V12" s="480">
        <f t="shared" si="19"/>
        <v>0.02955015637</v>
      </c>
      <c r="W12" s="480">
        <f t="shared" si="19"/>
        <v>0.07623767091</v>
      </c>
      <c r="X12" s="480">
        <f t="shared" si="19"/>
        <v>0.05082664705</v>
      </c>
      <c r="Y12" s="480">
        <f t="shared" si="19"/>
        <v>0.6006198909</v>
      </c>
      <c r="Z12" s="480">
        <f t="shared" si="19"/>
        <v>0.137499249</v>
      </c>
    </row>
    <row r="13" ht="15.75" customHeight="1">
      <c r="A13" s="450" t="str">
        <f>CpgS!A13</f>
        <v>DlGITAL PAIN</v>
      </c>
      <c r="B13" s="451">
        <f>IFERROR(VLOOKUP($A13,CpgS!$A:$G,2,0),)</f>
        <v>0.03890630066</v>
      </c>
      <c r="C13" s="451">
        <f>IFERROR(VLOOKUP($A13,CpgS!$A:$G,3,0),)</f>
        <v>0.39554739</v>
      </c>
      <c r="D13" s="451">
        <f>IFERROR(VLOOKUP($A13,CpgS!$A:$G,4,0),)</f>
        <v>0.07132821788</v>
      </c>
      <c r="E13" s="451">
        <f>IFERROR(VLOOKUP($A13,CpgS!$A:$G,5,0),)</f>
        <v>0.1037501351</v>
      </c>
      <c r="F13" s="451">
        <f>IFERROR(VLOOKUP($A13,CpgS!$A:$G,6,0),)</f>
        <v>0.7327353291</v>
      </c>
      <c r="G13" s="451">
        <f>IFERROR(VLOOKUP($A13,CpgS!$A:$G,7,0),)</f>
        <v>0.2010158867</v>
      </c>
      <c r="H13" s="452"/>
      <c r="I13" s="450" t="str">
        <f>CpgS!A13</f>
        <v>DlGITAL PAIN</v>
      </c>
      <c r="J13" s="464" t="str">
        <f t="shared" si="2"/>
        <v>B</v>
      </c>
      <c r="K13" s="453" t="str">
        <f t="shared" si="3"/>
        <v>A</v>
      </c>
      <c r="L13" s="470" t="str">
        <f t="shared" si="4"/>
        <v>E</v>
      </c>
      <c r="M13" s="470" t="str">
        <f t="shared" si="5"/>
        <v>S</v>
      </c>
      <c r="N13" s="459" t="str">
        <f t="shared" si="6"/>
        <v>A</v>
      </c>
      <c r="O13" s="459" t="str">
        <f t="shared" si="7"/>
        <v>A</v>
      </c>
      <c r="P13" s="126" t="str">
        <f t="shared" si="8"/>
        <v>A</v>
      </c>
      <c r="Q13" s="454">
        <f t="shared" si="9"/>
        <v>14.4</v>
      </c>
      <c r="R13" s="462" t="s">
        <v>405</v>
      </c>
      <c r="S13" s="481">
        <f>MEDIAN(S12,S14)</f>
        <v>16.25</v>
      </c>
      <c r="T13" s="461" t="s">
        <v>406</v>
      </c>
      <c r="U13" s="482">
        <f t="shared" ref="U13:Z13" si="20">MEDIAN(U10,U16)</f>
        <v>0.01984844961</v>
      </c>
      <c r="V13" s="482">
        <f t="shared" si="20"/>
        <v>-0.1857983308</v>
      </c>
      <c r="W13" s="482">
        <f t="shared" si="20"/>
        <v>0.07349550152</v>
      </c>
      <c r="X13" s="482">
        <f t="shared" si="20"/>
        <v>0.03857262734</v>
      </c>
      <c r="Y13" s="482">
        <f t="shared" si="20"/>
        <v>0.5482237967</v>
      </c>
      <c r="Z13" s="482">
        <f t="shared" si="20"/>
        <v>0.1280704827</v>
      </c>
    </row>
    <row r="14" ht="15.75" customHeight="1">
      <c r="A14" s="450" t="str">
        <f>CpgS!A14</f>
        <v>Doerstopper</v>
      </c>
      <c r="B14" s="451">
        <f>IFERROR(VLOOKUP($A14,CpgS!$A:$G,2,0),)</f>
        <v>0.1047272727</v>
      </c>
      <c r="C14" s="451">
        <f>IFERROR(VLOOKUP($A14,CpgS!$A:$G,3,0),)</f>
        <v>-0.8378181818</v>
      </c>
      <c r="D14" s="451">
        <f>IFERROR(VLOOKUP($A14,CpgS!$A:$G,4,0),)</f>
        <v>0.07854545455</v>
      </c>
      <c r="E14" s="451">
        <f>IFERROR(VLOOKUP($A14,CpgS!$A:$G,5,0),)</f>
        <v>0.01745454545</v>
      </c>
      <c r="F14" s="451">
        <f>IFERROR(VLOOKUP($A14,CpgS!$A:$G,6,0),)</f>
        <v>0.4625454545</v>
      </c>
      <c r="G14" s="451">
        <f>IFERROR(VLOOKUP($A14,CpgS!$A:$G,7,0),)</f>
        <v>0.06109090909</v>
      </c>
      <c r="H14" s="452"/>
      <c r="I14" s="450" t="str">
        <f>CpgS!A14</f>
        <v>Doerstopper</v>
      </c>
      <c r="J14" s="458" t="str">
        <f t="shared" si="2"/>
        <v>S</v>
      </c>
      <c r="K14" s="458" t="str">
        <f t="shared" si="3"/>
        <v>F</v>
      </c>
      <c r="L14" s="458" t="str">
        <f t="shared" si="4"/>
        <v>C</v>
      </c>
      <c r="M14" s="458" t="str">
        <f t="shared" si="5"/>
        <v>E</v>
      </c>
      <c r="N14" s="460" t="str">
        <f t="shared" si="6"/>
        <v>E</v>
      </c>
      <c r="O14" s="458" t="str">
        <f t="shared" si="7"/>
        <v>F</v>
      </c>
      <c r="P14" s="131" t="str">
        <f t="shared" si="8"/>
        <v>E</v>
      </c>
      <c r="Q14" s="454">
        <f t="shared" si="9"/>
        <v>5.8</v>
      </c>
      <c r="R14" s="465" t="s">
        <v>17</v>
      </c>
      <c r="S14" s="483">
        <f>(S26*6)+(S27*6)+(S28*6)+(S29*6)+(S30*6)+(S31*6)</f>
        <v>15</v>
      </c>
      <c r="T14" s="484" t="s">
        <v>407</v>
      </c>
      <c r="U14" s="480">
        <f t="shared" ref="U14:Z14" si="21">U15</f>
        <v>0.01249953714</v>
      </c>
      <c r="V14" s="480">
        <f t="shared" si="21"/>
        <v>-0.3197917342</v>
      </c>
      <c r="W14" s="480">
        <f t="shared" si="21"/>
        <v>0.07341490545</v>
      </c>
      <c r="X14" s="480">
        <f t="shared" si="21"/>
        <v>0.02482569699</v>
      </c>
      <c r="Y14" s="480">
        <f t="shared" si="21"/>
        <v>0.4874269358</v>
      </c>
      <c r="Z14" s="480">
        <f t="shared" si="21"/>
        <v>0.1180892087</v>
      </c>
    </row>
    <row r="15" ht="15.75" customHeight="1">
      <c r="A15" s="450" t="str">
        <f>CpgS!A15</f>
        <v>EllisGotMyPills</v>
      </c>
      <c r="B15" s="451">
        <f>IFERROR(VLOOKUP($A15,CpgS!$A:$G,2,0),)</f>
        <v>0</v>
      </c>
      <c r="C15" s="451">
        <f>IFERROR(VLOOKUP($A15,CpgS!$A:$G,3,0),)</f>
        <v>0.3397508494</v>
      </c>
      <c r="D15" s="451">
        <f>IFERROR(VLOOKUP($A15,CpgS!$A:$G,4,0),)</f>
        <v>0.06795016988</v>
      </c>
      <c r="E15" s="451">
        <f>IFERROR(VLOOKUP($A15,CpgS!$A:$G,5,0),)</f>
        <v>0</v>
      </c>
      <c r="F15" s="451">
        <f>IFERROR(VLOOKUP($A15,CpgS!$A:$G,6,0),)</f>
        <v>0.4756511891</v>
      </c>
      <c r="G15" s="451">
        <f>IFERROR(VLOOKUP($A15,CpgS!$A:$G,7,0),)</f>
        <v>0</v>
      </c>
      <c r="H15" s="452"/>
      <c r="I15" s="450" t="str">
        <f>CpgS!A15</f>
        <v>EllisGotMyPills</v>
      </c>
      <c r="J15" s="470" t="str">
        <f t="shared" si="2"/>
        <v>F</v>
      </c>
      <c r="K15" s="461" t="str">
        <f t="shared" si="3"/>
        <v>B</v>
      </c>
      <c r="L15" s="453" t="str">
        <f t="shared" si="4"/>
        <v>E</v>
      </c>
      <c r="M15" s="461" t="str">
        <f t="shared" si="5"/>
        <v>F</v>
      </c>
      <c r="N15" s="464" t="str">
        <f t="shared" si="6"/>
        <v>E</v>
      </c>
      <c r="O15" s="464" t="str">
        <f t="shared" si="7"/>
        <v>F</v>
      </c>
      <c r="P15" s="126" t="str">
        <f t="shared" si="8"/>
        <v>E</v>
      </c>
      <c r="Q15" s="454">
        <f t="shared" si="9"/>
        <v>5.1</v>
      </c>
      <c r="R15" s="467" t="s">
        <v>408</v>
      </c>
      <c r="S15" s="481">
        <f>MEDIAN(S14,S16)</f>
        <v>13.75</v>
      </c>
      <c r="T15" s="485" t="s">
        <v>409</v>
      </c>
      <c r="U15" s="486">
        <f>(U16*15%)+U16</f>
        <v>0.01249953714</v>
      </c>
      <c r="V15" s="486">
        <f>(V16*80%)</f>
        <v>-0.3197917342</v>
      </c>
      <c r="W15" s="486">
        <f>(W16*110%)</f>
        <v>0.07341490545</v>
      </c>
      <c r="X15" s="486">
        <f t="shared" ref="X15:Y15" si="22">(X16*105%)</f>
        <v>0.02482569699</v>
      </c>
      <c r="Y15" s="486">
        <f t="shared" si="22"/>
        <v>0.4874269358</v>
      </c>
      <c r="Z15" s="486">
        <f>(Z16*106%)</f>
        <v>0.1180892087</v>
      </c>
    </row>
    <row r="16" ht="15.75" customHeight="1">
      <c r="A16" s="450" t="str">
        <f>CpgS!A16</f>
        <v>eTazedd</v>
      </c>
      <c r="B16" s="451">
        <f>IFERROR(VLOOKUP($A16,CpgS!$A:$G,2,0),)</f>
        <v>0.01247660636</v>
      </c>
      <c r="C16" s="451">
        <f>IFERROR(VLOOKUP($A16,CpgS!$A:$G,3,0),)</f>
        <v>0.1122894573</v>
      </c>
      <c r="D16" s="451">
        <f>IFERROR(VLOOKUP($A16,CpgS!$A:$G,4,0),)</f>
        <v>0.06238303182</v>
      </c>
      <c r="E16" s="451">
        <f>IFERROR(VLOOKUP($A16,CpgS!$A:$G,5,0),)</f>
        <v>0.03742981909</v>
      </c>
      <c r="F16" s="451">
        <f>IFERROR(VLOOKUP($A16,CpgS!$A:$G,6,0),)</f>
        <v>0.8733624454</v>
      </c>
      <c r="G16" s="451">
        <f>IFERROR(VLOOKUP($A16,CpgS!$A:$G,7,0),)</f>
        <v>0.1871490954</v>
      </c>
      <c r="H16" s="452"/>
      <c r="I16" s="450" t="str">
        <f>CpgS!A16</f>
        <v>eTazedd</v>
      </c>
      <c r="J16" s="453" t="str">
        <f t="shared" si="2"/>
        <v>E</v>
      </c>
      <c r="K16" s="453" t="str">
        <f t="shared" si="3"/>
        <v>B</v>
      </c>
      <c r="L16" s="464" t="str">
        <f t="shared" si="4"/>
        <v>E</v>
      </c>
      <c r="M16" s="453" t="str">
        <f t="shared" si="5"/>
        <v>D</v>
      </c>
      <c r="N16" s="453" t="str">
        <f t="shared" si="6"/>
        <v>S</v>
      </c>
      <c r="O16" s="453" t="str">
        <f t="shared" si="7"/>
        <v>A</v>
      </c>
      <c r="P16" s="126" t="str">
        <f t="shared" si="8"/>
        <v>B</v>
      </c>
      <c r="Q16" s="454">
        <f t="shared" si="9"/>
        <v>11.4</v>
      </c>
      <c r="R16" s="464" t="s">
        <v>16</v>
      </c>
      <c r="S16" s="487">
        <f>(S26*5)+(S27*5)+(S28*5)+(S29*5)+(S30*5)+(S31*5)</f>
        <v>12.5</v>
      </c>
      <c r="T16" s="488" t="s">
        <v>410</v>
      </c>
      <c r="U16" s="489">
        <f t="shared" ref="U16:Z16" si="23">QUARTILE(B2:B31,1)</f>
        <v>0.01086916273</v>
      </c>
      <c r="V16" s="489">
        <f t="shared" si="23"/>
        <v>-0.3997396678</v>
      </c>
      <c r="W16" s="489">
        <f t="shared" si="23"/>
        <v>0.06674082314</v>
      </c>
      <c r="X16" s="489">
        <f t="shared" si="23"/>
        <v>0.02364352095</v>
      </c>
      <c r="Y16" s="489">
        <f t="shared" si="23"/>
        <v>0.4642161293</v>
      </c>
      <c r="Z16" s="489">
        <f t="shared" si="23"/>
        <v>0.1114049138</v>
      </c>
    </row>
    <row r="17" ht="15.75" customHeight="1">
      <c r="A17" s="450" t="str">
        <f>CpgS!A17</f>
        <v>Fanciest Pants</v>
      </c>
      <c r="B17" s="451">
        <f>IFERROR(VLOOKUP($A17,CpgS!$A:$G,2,0),)</f>
        <v>0</v>
      </c>
      <c r="C17" s="451">
        <f>IFERROR(VLOOKUP($A17,CpgS!$A:$G,3,0),)</f>
        <v>-0.9655172414</v>
      </c>
      <c r="D17" s="451">
        <f>IFERROR(VLOOKUP($A17,CpgS!$A:$G,4,0),)</f>
        <v>0.06896551724</v>
      </c>
      <c r="E17" s="451">
        <f>IFERROR(VLOOKUP($A17,CpgS!$A:$G,5,0),)</f>
        <v>0.1379310345</v>
      </c>
      <c r="F17" s="451">
        <f>IFERROR(VLOOKUP($A17,CpgS!$A:$G,6,0),)</f>
        <v>0.5517241379</v>
      </c>
      <c r="G17" s="451">
        <f>IFERROR(VLOOKUP($A17,CpgS!$A:$G,7,0),)</f>
        <v>0.275862069</v>
      </c>
      <c r="H17" s="452"/>
      <c r="I17" s="450" t="str">
        <f>CpgS!A17</f>
        <v>Fanciest Pants</v>
      </c>
      <c r="J17" s="470" t="str">
        <f t="shared" si="2"/>
        <v>F</v>
      </c>
      <c r="K17" s="458" t="str">
        <f t="shared" si="3"/>
        <v>F</v>
      </c>
      <c r="L17" s="464" t="str">
        <f t="shared" si="4"/>
        <v>E</v>
      </c>
      <c r="M17" s="458" t="str">
        <f t="shared" si="5"/>
        <v>S</v>
      </c>
      <c r="N17" s="460" t="str">
        <f t="shared" si="6"/>
        <v>D</v>
      </c>
      <c r="O17" s="461" t="str">
        <f t="shared" si="7"/>
        <v>S</v>
      </c>
      <c r="P17" s="130" t="str">
        <f t="shared" si="8"/>
        <v>C</v>
      </c>
      <c r="Q17" s="454">
        <f t="shared" si="9"/>
        <v>10.1</v>
      </c>
      <c r="R17" s="468" t="s">
        <v>411</v>
      </c>
      <c r="S17" s="490">
        <f>MEDIAN(S16,S18)</f>
        <v>11.25</v>
      </c>
      <c r="T17" s="491" t="s">
        <v>412</v>
      </c>
      <c r="U17" s="486">
        <f>(U16*60%)</f>
        <v>0.006521497637</v>
      </c>
      <c r="V17" s="486">
        <f>(V16*160%)</f>
        <v>-0.6395834684</v>
      </c>
      <c r="W17" s="486">
        <f>(W16*90%)</f>
        <v>0.06006674082</v>
      </c>
      <c r="X17" s="486">
        <f>(X16*60%)</f>
        <v>0.01418611257</v>
      </c>
      <c r="Y17" s="486">
        <f>(Y16*55%)</f>
        <v>0.2553188711</v>
      </c>
      <c r="Z17" s="486">
        <f>(Z16*60%)</f>
        <v>0.0668429483</v>
      </c>
    </row>
    <row r="18" ht="15.75" customHeight="1">
      <c r="A18" s="450" t="str">
        <f>CpgS!A18</f>
        <v>Frnzh</v>
      </c>
      <c r="B18" s="451">
        <f>IFERROR(VLOOKUP($A18,CpgS!$A:$G,2,0),)</f>
        <v>0.0243803332</v>
      </c>
      <c r="C18" s="451">
        <f>IFERROR(VLOOKUP($A18,CpgS!$A:$G,3,0),)</f>
        <v>-0.2194229988</v>
      </c>
      <c r="D18" s="451">
        <f>IFERROR(VLOOKUP($A18,CpgS!$A:$G,4,0),)</f>
        <v>0.07314099959</v>
      </c>
      <c r="E18" s="451">
        <f>IFERROR(VLOOKUP($A18,CpgS!$A:$G,5,0),)</f>
        <v>0.121901666</v>
      </c>
      <c r="F18" s="451">
        <f>IFERROR(VLOOKUP($A18,CpgS!$A:$G,6,0),)</f>
        <v>0.3413246648</v>
      </c>
      <c r="G18" s="451">
        <f>IFERROR(VLOOKUP($A18,CpgS!$A:$G,7,0),)</f>
        <v>0.09752133279</v>
      </c>
      <c r="H18" s="452"/>
      <c r="I18" s="450" t="str">
        <f>CpgS!A18</f>
        <v>Frnzh</v>
      </c>
      <c r="J18" s="470" t="str">
        <f t="shared" si="2"/>
        <v>D</v>
      </c>
      <c r="K18" s="460" t="str">
        <f t="shared" si="3"/>
        <v>D</v>
      </c>
      <c r="L18" s="460" t="str">
        <f t="shared" si="4"/>
        <v>E</v>
      </c>
      <c r="M18" s="458" t="str">
        <f t="shared" si="5"/>
        <v>S</v>
      </c>
      <c r="N18" s="458" t="str">
        <f t="shared" si="6"/>
        <v>E</v>
      </c>
      <c r="O18" s="458" t="str">
        <f t="shared" si="7"/>
        <v>E</v>
      </c>
      <c r="P18" s="130" t="str">
        <f t="shared" si="8"/>
        <v>D</v>
      </c>
      <c r="Q18" s="454">
        <f t="shared" si="9"/>
        <v>8.3</v>
      </c>
      <c r="R18" s="475" t="s">
        <v>28</v>
      </c>
      <c r="S18" s="492">
        <f>(S26*4)+(S27*4)+(S28*4)+(S29*4)+(S30*4)+(S31*4)</f>
        <v>10</v>
      </c>
      <c r="T18" s="493" t="s">
        <v>66</v>
      </c>
      <c r="U18" s="494">
        <f t="shared" ref="U18:Z18" si="24">U17</f>
        <v>0.006521497637</v>
      </c>
      <c r="V18" s="494">
        <f t="shared" si="24"/>
        <v>-0.6395834684</v>
      </c>
      <c r="W18" s="494">
        <f t="shared" si="24"/>
        <v>0.06006674082</v>
      </c>
      <c r="X18" s="494">
        <f t="shared" si="24"/>
        <v>0.01418611257</v>
      </c>
      <c r="Y18" s="494">
        <f t="shared" si="24"/>
        <v>0.2553188711</v>
      </c>
      <c r="Z18" s="494">
        <f t="shared" si="24"/>
        <v>0.0668429483</v>
      </c>
    </row>
    <row r="19" ht="15.75" customHeight="1">
      <c r="A19" s="450" t="str">
        <f>CpgS!A19</f>
        <v>Galvann</v>
      </c>
      <c r="B19" s="451">
        <f>IFERROR(VLOOKUP($A19,CpgS!$A:$G,2,0),)</f>
        <v>0.01313772717</v>
      </c>
      <c r="C19" s="451">
        <f>IFERROR(VLOOKUP($A19,CpgS!$A:$G,3,0),)</f>
        <v>0.04598204511</v>
      </c>
      <c r="D19" s="451">
        <f>IFERROR(VLOOKUP($A19,CpgS!$A:$G,4,0),)</f>
        <v>0.05911977228</v>
      </c>
      <c r="E19" s="451">
        <f>IFERROR(VLOOKUP($A19,CpgS!$A:$G,5,0),)</f>
        <v>0.03941318152</v>
      </c>
      <c r="F19" s="451">
        <f>IFERROR(VLOOKUP($A19,CpgS!$A:$G,6,0),)</f>
        <v>0.6962995402</v>
      </c>
      <c r="G19" s="451">
        <f>IFERROR(VLOOKUP($A19,CpgS!$A:$G,7,0),)</f>
        <v>0.1313772717</v>
      </c>
      <c r="H19" s="452"/>
      <c r="I19" s="450" t="str">
        <f>CpgS!A19</f>
        <v>Galvann</v>
      </c>
      <c r="J19" s="458" t="str">
        <f t="shared" si="2"/>
        <v>D</v>
      </c>
      <c r="K19" s="464" t="str">
        <f t="shared" si="3"/>
        <v>B</v>
      </c>
      <c r="L19" s="460" t="str">
        <f t="shared" si="4"/>
        <v>F</v>
      </c>
      <c r="M19" s="464" t="str">
        <f t="shared" si="5"/>
        <v>D</v>
      </c>
      <c r="N19" s="459" t="str">
        <f t="shared" si="6"/>
        <v>A</v>
      </c>
      <c r="O19" s="459" t="str">
        <f t="shared" si="7"/>
        <v>D</v>
      </c>
      <c r="P19" s="130" t="str">
        <f t="shared" si="8"/>
        <v>C</v>
      </c>
      <c r="Q19" s="454">
        <f t="shared" si="9"/>
        <v>9.3</v>
      </c>
      <c r="R19" s="477" t="s">
        <v>413</v>
      </c>
      <c r="S19" s="495">
        <f>MEDIAN(S18,S20)</f>
        <v>8.75</v>
      </c>
      <c r="T19" s="452"/>
      <c r="U19" s="496"/>
      <c r="V19" s="497" t="s">
        <v>414</v>
      </c>
      <c r="W19" s="452"/>
      <c r="X19" s="452"/>
      <c r="Y19" s="452"/>
      <c r="Z19" s="452"/>
    </row>
    <row r="20" ht="15.75" customHeight="1">
      <c r="A20" s="450" t="str">
        <f>CpgS!A20</f>
        <v>GodSnipezX</v>
      </c>
      <c r="B20" s="451">
        <f>IFERROR(VLOOKUP($A20,CpgS!$A:$G,2,0),)</f>
        <v>0.01079330815</v>
      </c>
      <c r="C20" s="451">
        <f>IFERROR(VLOOKUP($A20,CpgS!$A:$G,3,0),)</f>
        <v>0.8202914193</v>
      </c>
      <c r="D20" s="451">
        <f>IFERROR(VLOOKUP($A20,CpgS!$A:$G,4,0),)</f>
        <v>0.1726929304</v>
      </c>
      <c r="E20" s="451">
        <f>IFERROR(VLOOKUP($A20,CpgS!$A:$G,5,0),)</f>
        <v>0.1295196978</v>
      </c>
      <c r="F20" s="451">
        <f>IFERROR(VLOOKUP($A20,CpgS!$A:$G,6,0),)</f>
        <v>0.8310847275</v>
      </c>
      <c r="G20" s="451">
        <f>IFERROR(VLOOKUP($A20,CpgS!$A:$G,7,0),)</f>
        <v>0.2266594711</v>
      </c>
      <c r="H20" s="452"/>
      <c r="I20" s="450" t="str">
        <f>CpgS!A20</f>
        <v>GodSnipezX</v>
      </c>
      <c r="J20" s="460" t="str">
        <f t="shared" si="2"/>
        <v>E</v>
      </c>
      <c r="K20" s="459" t="str">
        <f t="shared" si="3"/>
        <v>S</v>
      </c>
      <c r="L20" s="461" t="str">
        <f t="shared" si="4"/>
        <v>S</v>
      </c>
      <c r="M20" s="461" t="str">
        <f t="shared" si="5"/>
        <v>S</v>
      </c>
      <c r="N20" s="470" t="str">
        <f t="shared" si="6"/>
        <v>A</v>
      </c>
      <c r="O20" s="470" t="str">
        <f t="shared" si="7"/>
        <v>A</v>
      </c>
      <c r="P20" s="127" t="str">
        <f t="shared" si="8"/>
        <v>A</v>
      </c>
      <c r="Q20" s="454">
        <f t="shared" si="9"/>
        <v>15</v>
      </c>
      <c r="R20" s="461" t="s">
        <v>23</v>
      </c>
      <c r="S20" s="498">
        <f>(S26*3)+(S27*3)+(S28*3)+(S29*3)+(S30*3)+(S31*3)</f>
        <v>7.5</v>
      </c>
      <c r="T20" s="452"/>
      <c r="U20" s="496"/>
      <c r="V20" s="452"/>
      <c r="W20" s="452"/>
      <c r="X20" s="452"/>
      <c r="Y20" s="452"/>
      <c r="Z20" s="452"/>
    </row>
    <row r="21" ht="15.75" customHeight="1">
      <c r="A21" s="450" t="str">
        <f>CpgS!A21</f>
        <v>halfbreed105</v>
      </c>
      <c r="B21" s="451">
        <f>IFERROR(VLOOKUP($A21,CpgS!$A:$G,2,0),)</f>
        <v>0.04538577912</v>
      </c>
      <c r="C21" s="451">
        <f>IFERROR(VLOOKUP($A21,CpgS!$A:$G,3,0),)</f>
        <v>-1.633888048</v>
      </c>
      <c r="D21" s="451">
        <f>IFERROR(VLOOKUP($A21,CpgS!$A:$G,4,0),)</f>
        <v>0.1815431165</v>
      </c>
      <c r="E21" s="451">
        <f>IFERROR(VLOOKUP($A21,CpgS!$A:$G,5,0),)</f>
        <v>0.04538577912</v>
      </c>
      <c r="F21" s="451">
        <f>IFERROR(VLOOKUP($A21,CpgS!$A:$G,6,0),)</f>
        <v>0.363086233</v>
      </c>
      <c r="G21" s="451">
        <f>IFERROR(VLOOKUP($A21,CpgS!$A:$G,7,0),)</f>
        <v>0.04538577912</v>
      </c>
      <c r="H21" s="452"/>
      <c r="I21" s="450" t="str">
        <f>CpgS!A21</f>
        <v>halfbreed105</v>
      </c>
      <c r="J21" s="470" t="str">
        <f t="shared" si="2"/>
        <v>B</v>
      </c>
      <c r="K21" s="460" t="str">
        <f t="shared" si="3"/>
        <v>F</v>
      </c>
      <c r="L21" s="453" t="str">
        <f t="shared" si="4"/>
        <v>S</v>
      </c>
      <c r="M21" s="461" t="str">
        <f t="shared" si="5"/>
        <v>D</v>
      </c>
      <c r="N21" s="460" t="str">
        <f t="shared" si="6"/>
        <v>E</v>
      </c>
      <c r="O21" s="461" t="str">
        <f t="shared" si="7"/>
        <v>F</v>
      </c>
      <c r="P21" s="127" t="str">
        <f t="shared" si="8"/>
        <v>D</v>
      </c>
      <c r="Q21" s="454">
        <f t="shared" si="9"/>
        <v>6.3</v>
      </c>
      <c r="R21" s="499" t="s">
        <v>415</v>
      </c>
      <c r="S21" s="500">
        <f>MEDIAN(S20,S22)</f>
        <v>6.25</v>
      </c>
      <c r="T21" s="452"/>
      <c r="U21" s="496"/>
      <c r="V21" s="452"/>
      <c r="W21" s="452"/>
      <c r="X21" s="452"/>
      <c r="Y21" s="452"/>
      <c r="Z21" s="452"/>
    </row>
    <row r="22" ht="15.75" customHeight="1">
      <c r="A22" s="450" t="str">
        <f>CpgS!A22</f>
        <v>Havoc Puppies</v>
      </c>
      <c r="B22" s="451">
        <f>IFERROR(VLOOKUP($A22,CpgS!$A:$G,2,0),)</f>
        <v>0.2189781022</v>
      </c>
      <c r="C22" s="451">
        <f>IFERROR(VLOOKUP($A22,CpgS!$A:$G,3,0),)</f>
        <v>0.8759124088</v>
      </c>
      <c r="D22" s="451">
        <f>IFERROR(VLOOKUP($A22,CpgS!$A:$G,4,0),)</f>
        <v>0</v>
      </c>
      <c r="E22" s="451">
        <f>IFERROR(VLOOKUP($A22,CpgS!$A:$G,5,0),)</f>
        <v>0</v>
      </c>
      <c r="F22" s="451">
        <f>IFERROR(VLOOKUP($A22,CpgS!$A:$G,6,0),)</f>
        <v>0.6569343066</v>
      </c>
      <c r="G22" s="451">
        <f>IFERROR(VLOOKUP($A22,CpgS!$A:$G,7,0),)</f>
        <v>0.2189781022</v>
      </c>
      <c r="H22" s="452"/>
      <c r="I22" s="450" t="str">
        <f>CpgS!A22</f>
        <v>Havoc Puppies</v>
      </c>
      <c r="J22" s="470" t="str">
        <f t="shared" si="2"/>
        <v>S</v>
      </c>
      <c r="K22" s="453" t="str">
        <f t="shared" si="3"/>
        <v>S</v>
      </c>
      <c r="L22" s="470" t="str">
        <f t="shared" si="4"/>
        <v>F</v>
      </c>
      <c r="M22" s="453" t="str">
        <f t="shared" si="5"/>
        <v>F</v>
      </c>
      <c r="N22" s="453" t="str">
        <f t="shared" si="6"/>
        <v>C</v>
      </c>
      <c r="O22" s="453" t="str">
        <f t="shared" si="7"/>
        <v>A</v>
      </c>
      <c r="P22" s="116" t="str">
        <f t="shared" si="8"/>
        <v>B</v>
      </c>
      <c r="Q22" s="454">
        <f t="shared" si="9"/>
        <v>11.5</v>
      </c>
      <c r="R22" s="488" t="s">
        <v>25</v>
      </c>
      <c r="S22" s="501">
        <f>(S26*2)+(S27*2)+(S28*2)+(S29*2)+(S30*2)+(S31*2)</f>
        <v>5</v>
      </c>
      <c r="T22" s="452"/>
      <c r="U22" s="496"/>
      <c r="V22" s="452"/>
      <c r="W22" s="452"/>
      <c r="X22" s="452"/>
      <c r="Y22" s="452"/>
      <c r="Z22" s="452"/>
    </row>
    <row r="23" ht="15.75" customHeight="1">
      <c r="A23" s="450" t="str">
        <f>CpgS!A23</f>
        <v>Icey Tanker</v>
      </c>
      <c r="B23" s="451">
        <f>IFERROR(VLOOKUP($A23,CpgS!$A:$G,2,0),)</f>
        <v>0.0310024113</v>
      </c>
      <c r="C23" s="451">
        <f>IFERROR(VLOOKUP($A23,CpgS!$A:$G,3,0),)</f>
        <v>1.043747847</v>
      </c>
      <c r="D23" s="451">
        <f>IFERROR(VLOOKUP($A23,CpgS!$A:$G,4,0),)</f>
        <v>0.0310024113</v>
      </c>
      <c r="E23" s="451">
        <f>IFERROR(VLOOKUP($A23,CpgS!$A:$G,5,0),)</f>
        <v>0.1136755081</v>
      </c>
      <c r="F23" s="451">
        <f>IFERROR(VLOOKUP($A23,CpgS!$A:$G,6,0),)</f>
        <v>0.930072339</v>
      </c>
      <c r="G23" s="451">
        <f>IFERROR(VLOOKUP($A23,CpgS!$A:$G,7,0),)</f>
        <v>0.3926972098</v>
      </c>
      <c r="H23" s="452"/>
      <c r="I23" s="450" t="str">
        <f>CpgS!A23</f>
        <v>Icey Tanker</v>
      </c>
      <c r="J23" s="464" t="str">
        <f t="shared" si="2"/>
        <v>C</v>
      </c>
      <c r="K23" s="453" t="str">
        <f t="shared" si="3"/>
        <v>S</v>
      </c>
      <c r="L23" s="464" t="str">
        <f t="shared" si="4"/>
        <v>F</v>
      </c>
      <c r="M23" s="453" t="str">
        <f t="shared" si="5"/>
        <v>S</v>
      </c>
      <c r="N23" s="470" t="str">
        <f t="shared" si="6"/>
        <v>S</v>
      </c>
      <c r="O23" s="470" t="str">
        <f t="shared" si="7"/>
        <v>S</v>
      </c>
      <c r="P23" s="128" t="str">
        <f t="shared" si="8"/>
        <v>A</v>
      </c>
      <c r="Q23" s="454">
        <f t="shared" si="9"/>
        <v>15.4</v>
      </c>
      <c r="R23" s="491" t="s">
        <v>416</v>
      </c>
      <c r="S23" s="502">
        <f>MEDIAN(S22,S24)</f>
        <v>3.75</v>
      </c>
      <c r="T23" s="452"/>
      <c r="U23" s="496"/>
      <c r="V23" s="452"/>
      <c r="W23" s="452"/>
      <c r="X23" s="452"/>
      <c r="Y23" s="452"/>
      <c r="Z23" s="452"/>
    </row>
    <row r="24" ht="15.75" customHeight="1">
      <c r="A24" s="450" t="str">
        <f>CpgS!A24</f>
        <v>Invayda Zim</v>
      </c>
      <c r="B24" s="451">
        <f>IFERROR(VLOOKUP($A24,CpgS!$A:$G,2,0),)</f>
        <v>0.01411266612</v>
      </c>
      <c r="C24" s="451">
        <f>IFERROR(VLOOKUP($A24,CpgS!$A:$G,3,0),)</f>
        <v>-0.3316476538</v>
      </c>
      <c r="D24" s="451">
        <f>IFERROR(VLOOKUP($A24,CpgS!$A:$G,4,0),)</f>
        <v>0.06350699753</v>
      </c>
      <c r="E24" s="451">
        <f>IFERROR(VLOOKUP($A24,CpgS!$A:$G,5,0),)</f>
        <v>0.04939433141</v>
      </c>
      <c r="F24" s="451">
        <f>IFERROR(VLOOKUP($A24,CpgS!$A:$G,6,0),)</f>
        <v>0.6280136422</v>
      </c>
      <c r="G24" s="451">
        <f>IFERROR(VLOOKUP($A24,CpgS!$A:$G,7,0),)</f>
        <v>0.1622956604</v>
      </c>
      <c r="H24" s="452"/>
      <c r="I24" s="450" t="str">
        <f>CpgS!A24</f>
        <v>Invayda Zim</v>
      </c>
      <c r="J24" s="460" t="str">
        <f t="shared" si="2"/>
        <v>D</v>
      </c>
      <c r="K24" s="458" t="str">
        <f t="shared" si="3"/>
        <v>E</v>
      </c>
      <c r="L24" s="461" t="str">
        <f t="shared" si="4"/>
        <v>E</v>
      </c>
      <c r="M24" s="458" t="str">
        <f t="shared" si="5"/>
        <v>D</v>
      </c>
      <c r="N24" s="458" t="str">
        <f t="shared" si="6"/>
        <v>C</v>
      </c>
      <c r="O24" s="458" t="str">
        <f t="shared" si="7"/>
        <v>B</v>
      </c>
      <c r="P24" s="503" t="str">
        <f t="shared" si="8"/>
        <v>D</v>
      </c>
      <c r="Q24" s="454">
        <f t="shared" si="9"/>
        <v>8.4</v>
      </c>
      <c r="R24" s="493" t="s">
        <v>66</v>
      </c>
      <c r="S24" s="504">
        <f>(S26*1)+(S27*1)+(S28*1)+(S29*1)+(S30*1)+(S31*1)</f>
        <v>2.5</v>
      </c>
      <c r="T24" s="452"/>
      <c r="U24" s="496"/>
      <c r="V24" s="452"/>
      <c r="W24" s="452"/>
      <c r="X24" s="452"/>
      <c r="Y24" s="452"/>
      <c r="Z24" s="452"/>
    </row>
    <row r="25" ht="15.75" customHeight="1">
      <c r="A25" s="450" t="str">
        <f>CpgS!A25</f>
        <v>ixGingy</v>
      </c>
      <c r="B25" s="451">
        <f>IFERROR(VLOOKUP($A25,CpgS!$A:$G,2,0),)</f>
        <v>0.03139306736</v>
      </c>
      <c r="C25" s="451">
        <f>IFERROR(VLOOKUP($A25,CpgS!$A:$G,3,0),)</f>
        <v>0.3531720078</v>
      </c>
      <c r="D25" s="451">
        <f>IFERROR(VLOOKUP($A25,CpgS!$A:$G,4,0),)</f>
        <v>0.08633093525</v>
      </c>
      <c r="E25" s="451">
        <f>IFERROR(VLOOKUP($A25,CpgS!$A:$G,5,0),)</f>
        <v>0.08633093525</v>
      </c>
      <c r="F25" s="451">
        <f>IFERROR(VLOOKUP($A25,CpgS!$A:$G,6,0),)</f>
        <v>0.6827992152</v>
      </c>
      <c r="G25" s="451">
        <f>IFERROR(VLOOKUP($A25,CpgS!$A:$G,7,0),)</f>
        <v>0.1334205363</v>
      </c>
      <c r="H25" s="452"/>
      <c r="I25" s="450" t="str">
        <f>CpgS!A25</f>
        <v>ixGingy</v>
      </c>
      <c r="J25" s="458" t="str">
        <f t="shared" si="2"/>
        <v>C</v>
      </c>
      <c r="K25" s="461" t="str">
        <f t="shared" si="3"/>
        <v>B</v>
      </c>
      <c r="L25" s="461" t="str">
        <f t="shared" si="4"/>
        <v>B</v>
      </c>
      <c r="M25" s="470" t="str">
        <f t="shared" si="5"/>
        <v>A</v>
      </c>
      <c r="N25" s="470" t="str">
        <f t="shared" si="6"/>
        <v>B</v>
      </c>
      <c r="O25" s="453" t="str">
        <f t="shared" si="7"/>
        <v>D</v>
      </c>
      <c r="P25" s="127" t="str">
        <f t="shared" si="8"/>
        <v>B</v>
      </c>
      <c r="Q25" s="454">
        <f t="shared" si="9"/>
        <v>11.5</v>
      </c>
      <c r="R25" s="447"/>
      <c r="S25" s="447"/>
      <c r="T25" s="452"/>
      <c r="U25" s="496"/>
      <c r="V25" s="452"/>
      <c r="W25" s="452"/>
      <c r="X25" s="452"/>
      <c r="Y25" s="452"/>
      <c r="Z25" s="452"/>
    </row>
    <row r="26" ht="15.75" customHeight="1">
      <c r="A26" s="450" t="str">
        <f>CpgS!A26</f>
        <v>ixjaga</v>
      </c>
      <c r="B26" s="451">
        <f>IFERROR(VLOOKUP($A26,CpgS!$A:$G,2,0),)</f>
        <v>0</v>
      </c>
      <c r="C26" s="451">
        <f>IFERROR(VLOOKUP($A26,CpgS!$A:$G,3,0),)</f>
        <v>-0.8008898776</v>
      </c>
      <c r="D26" s="451">
        <f>IFERROR(VLOOKUP($A26,CpgS!$A:$G,4,0),)</f>
        <v>0.06674082314</v>
      </c>
      <c r="E26" s="451">
        <f>IFERROR(VLOOKUP($A26,CpgS!$A:$G,5,0),)</f>
        <v>0</v>
      </c>
      <c r="F26" s="451">
        <f>IFERROR(VLOOKUP($A26,CpgS!$A:$G,6,0),)</f>
        <v>0.6674082314</v>
      </c>
      <c r="G26" s="451">
        <f>IFERROR(VLOOKUP($A26,CpgS!$A:$G,7,0),)</f>
        <v>0.2002224694</v>
      </c>
      <c r="H26" s="452"/>
      <c r="I26" s="450" t="str">
        <f>CpgS!A26</f>
        <v>ixjaga</v>
      </c>
      <c r="J26" s="464" t="str">
        <f t="shared" si="2"/>
        <v>F</v>
      </c>
      <c r="K26" s="453" t="str">
        <f t="shared" si="3"/>
        <v>F</v>
      </c>
      <c r="L26" s="470" t="str">
        <f t="shared" si="4"/>
        <v>E</v>
      </c>
      <c r="M26" s="453" t="str">
        <f t="shared" si="5"/>
        <v>F</v>
      </c>
      <c r="N26" s="453" t="str">
        <f t="shared" si="6"/>
        <v>B</v>
      </c>
      <c r="O26" s="453" t="str">
        <f t="shared" si="7"/>
        <v>A</v>
      </c>
      <c r="P26" s="128" t="str">
        <f t="shared" si="8"/>
        <v>D</v>
      </c>
      <c r="Q26" s="454">
        <f t="shared" si="9"/>
        <v>7.3</v>
      </c>
      <c r="R26" s="505" t="s">
        <v>417</v>
      </c>
      <c r="S26" s="506">
        <v>0.3</v>
      </c>
      <c r="T26" s="452"/>
      <c r="U26" s="496"/>
      <c r="V26" s="452"/>
      <c r="W26" s="452"/>
      <c r="X26" s="452"/>
      <c r="Y26" s="452"/>
      <c r="Z26" s="452"/>
    </row>
    <row r="27" ht="15.75" customHeight="1">
      <c r="A27" s="450" t="str">
        <f>CpgS!A27</f>
        <v>ixSqueeps</v>
      </c>
      <c r="B27" s="451">
        <f>IFERROR(VLOOKUP($A27,CpgS!$A:$G,2,0),)</f>
        <v>0.05560704356</v>
      </c>
      <c r="C27" s="451">
        <f>IFERROR(VLOOKUP($A27,CpgS!$A:$G,3,0),)</f>
        <v>0.05560704356</v>
      </c>
      <c r="D27" s="451">
        <f>IFERROR(VLOOKUP($A27,CpgS!$A:$G,4,0),)</f>
        <v>0.05560704356</v>
      </c>
      <c r="E27" s="451">
        <f>IFERROR(VLOOKUP($A27,CpgS!$A:$G,5,0),)</f>
        <v>0.07414272475</v>
      </c>
      <c r="F27" s="451">
        <f>IFERROR(VLOOKUP($A27,CpgS!$A:$G,6,0),)</f>
        <v>0.6487488415</v>
      </c>
      <c r="G27" s="451">
        <f>IFERROR(VLOOKUP($A27,CpgS!$A:$G,7,0),)</f>
        <v>0.1668211307</v>
      </c>
      <c r="H27" s="452"/>
      <c r="I27" s="450" t="str">
        <f>CpgS!A27</f>
        <v>ixSqueeps</v>
      </c>
      <c r="J27" s="461" t="str">
        <f t="shared" si="2"/>
        <v>B</v>
      </c>
      <c r="K27" s="461" t="str">
        <f t="shared" si="3"/>
        <v>B</v>
      </c>
      <c r="L27" s="464" t="str">
        <f t="shared" si="4"/>
        <v>F</v>
      </c>
      <c r="M27" s="461" t="str">
        <f t="shared" si="5"/>
        <v>B</v>
      </c>
      <c r="N27" s="459" t="str">
        <f t="shared" si="6"/>
        <v>C</v>
      </c>
      <c r="O27" s="461" t="str">
        <f t="shared" si="7"/>
        <v>B</v>
      </c>
      <c r="P27" s="127" t="str">
        <f t="shared" si="8"/>
        <v>B</v>
      </c>
      <c r="Q27" s="454">
        <f t="shared" si="9"/>
        <v>11.3</v>
      </c>
      <c r="R27" s="505" t="s">
        <v>418</v>
      </c>
      <c r="S27" s="506">
        <v>0.5</v>
      </c>
      <c r="T27" s="452"/>
      <c r="U27" s="496"/>
      <c r="V27" s="452"/>
      <c r="W27" s="452"/>
      <c r="X27" s="452"/>
      <c r="Y27" s="452"/>
      <c r="Z27" s="452"/>
    </row>
    <row r="28" ht="15.75" customHeight="1">
      <c r="A28" s="450" t="str">
        <f>CpgS!A28</f>
        <v>Killerz Legit</v>
      </c>
      <c r="B28" s="451">
        <f>IFERROR(VLOOKUP($A28,CpgS!$A:$G,2,0),)</f>
        <v>0.1117158407</v>
      </c>
      <c r="C28" s="451">
        <f>IFERROR(VLOOKUP($A28,CpgS!$A:$G,3,0),)</f>
        <v>-0.1890575766</v>
      </c>
      <c r="D28" s="451">
        <f>IFERROR(VLOOKUP($A28,CpgS!$A:$G,4,0),)</f>
        <v>0.1117158407</v>
      </c>
      <c r="E28" s="451">
        <f>IFERROR(VLOOKUP($A28,CpgS!$A:$G,5,0),)</f>
        <v>0.06015468347</v>
      </c>
      <c r="F28" s="451">
        <f>IFERROR(VLOOKUP($A28,CpgS!$A:$G,6,0),)</f>
        <v>0.6359209396</v>
      </c>
      <c r="G28" s="451">
        <f>IFERROR(VLOOKUP($A28,CpgS!$A:$G,7,0),)</f>
        <v>0.1374964194</v>
      </c>
      <c r="H28" s="452"/>
      <c r="I28" s="450" t="str">
        <f>CpgS!A28</f>
        <v>Killerz Legit</v>
      </c>
      <c r="J28" s="461" t="str">
        <f t="shared" si="2"/>
        <v>S</v>
      </c>
      <c r="K28" s="464" t="str">
        <f t="shared" si="3"/>
        <v>D</v>
      </c>
      <c r="L28" s="453" t="str">
        <f t="shared" si="4"/>
        <v>B</v>
      </c>
      <c r="M28" s="459" t="str">
        <f t="shared" si="5"/>
        <v>B</v>
      </c>
      <c r="N28" s="470" t="str">
        <f t="shared" si="6"/>
        <v>C</v>
      </c>
      <c r="O28" s="470" t="str">
        <f t="shared" si="7"/>
        <v>D</v>
      </c>
      <c r="P28" s="128" t="str">
        <f t="shared" si="8"/>
        <v>C</v>
      </c>
      <c r="Q28" s="454">
        <f t="shared" si="9"/>
        <v>10.5</v>
      </c>
      <c r="R28" s="505" t="s">
        <v>419</v>
      </c>
      <c r="S28" s="506">
        <v>0.2</v>
      </c>
      <c r="T28" s="452"/>
      <c r="U28" s="496"/>
      <c r="V28" s="452"/>
      <c r="W28" s="452"/>
      <c r="X28" s="452"/>
      <c r="Y28" s="452"/>
      <c r="Z28" s="452"/>
    </row>
    <row r="29" ht="15.75" customHeight="1">
      <c r="A29" s="450" t="str">
        <f>CpgS!A29</f>
        <v>KING RICKXL</v>
      </c>
      <c r="B29" s="451">
        <f>IFERROR(VLOOKUP($A29,CpgS!$A:$G,2,0),)</f>
        <v>0.2189781022</v>
      </c>
      <c r="C29" s="451">
        <f>IFERROR(VLOOKUP($A29,CpgS!$A:$G,3,0),)</f>
        <v>0</v>
      </c>
      <c r="D29" s="451">
        <f>IFERROR(VLOOKUP($A29,CpgS!$A:$G,4,0),)</f>
        <v>0.2189781022</v>
      </c>
      <c r="E29" s="451">
        <f>IFERROR(VLOOKUP($A29,CpgS!$A:$G,5,0),)</f>
        <v>0</v>
      </c>
      <c r="F29" s="451">
        <f>IFERROR(VLOOKUP($A29,CpgS!$A:$G,6,0),)</f>
        <v>0.4379562044</v>
      </c>
      <c r="G29" s="451">
        <f>IFERROR(VLOOKUP($A29,CpgS!$A:$G,7,0),)</f>
        <v>0.2189781022</v>
      </c>
      <c r="H29" s="452"/>
      <c r="I29" s="450" t="str">
        <f>CpgS!A29</f>
        <v>KING RICKXL</v>
      </c>
      <c r="J29" s="453" t="str">
        <f t="shared" si="2"/>
        <v>S</v>
      </c>
      <c r="K29" s="453" t="str">
        <f t="shared" si="3"/>
        <v>D</v>
      </c>
      <c r="L29" s="470" t="str">
        <f t="shared" si="4"/>
        <v>S</v>
      </c>
      <c r="M29" s="459" t="str">
        <f t="shared" si="5"/>
        <v>F</v>
      </c>
      <c r="N29" s="470" t="str">
        <f t="shared" si="6"/>
        <v>E</v>
      </c>
      <c r="O29" s="453" t="str">
        <f t="shared" si="7"/>
        <v>A</v>
      </c>
      <c r="P29" s="128" t="str">
        <f t="shared" si="8"/>
        <v>C</v>
      </c>
      <c r="Q29" s="454">
        <f t="shared" si="9"/>
        <v>9.9</v>
      </c>
      <c r="R29" s="505" t="s">
        <v>420</v>
      </c>
      <c r="S29" s="506">
        <v>0.5</v>
      </c>
      <c r="T29" s="452"/>
      <c r="U29" s="496"/>
      <c r="V29" s="452"/>
      <c r="W29" s="452"/>
      <c r="X29" s="452"/>
      <c r="Y29" s="452"/>
      <c r="Z29" s="452"/>
    </row>
    <row r="30" ht="15.75" customHeight="1">
      <c r="A30" s="450" t="str">
        <f>CpgS!A30</f>
        <v>LaMeowlla</v>
      </c>
      <c r="B30" s="451">
        <f>IFERROR(VLOOKUP($A30,CpgS!$A:$G,2,0),)</f>
        <v>0.01109672647</v>
      </c>
      <c r="C30" s="451">
        <f>IFERROR(VLOOKUP($A30,CpgS!$A:$G,3,0),)</f>
        <v>-0.4105788792</v>
      </c>
      <c r="D30" s="451">
        <f>IFERROR(VLOOKUP($A30,CpgS!$A:$G,4,0),)</f>
        <v>0.08877381173</v>
      </c>
      <c r="E30" s="451">
        <f>IFERROR(VLOOKUP($A30,CpgS!$A:$G,5,0),)</f>
        <v>0.05548363233</v>
      </c>
      <c r="F30" s="451">
        <f>IFERROR(VLOOKUP($A30,CpgS!$A:$G,6,0),)</f>
        <v>0.5437395968</v>
      </c>
      <c r="G30" s="451">
        <f>IFERROR(VLOOKUP($A30,CpgS!$A:$G,7,0),)</f>
        <v>0.1220639911</v>
      </c>
      <c r="H30" s="452"/>
      <c r="I30" s="450" t="str">
        <f>CpgS!A30</f>
        <v>LaMeowlla</v>
      </c>
      <c r="J30" s="458" t="str">
        <f t="shared" si="2"/>
        <v>E</v>
      </c>
      <c r="K30" s="458" t="str">
        <f t="shared" si="3"/>
        <v>E</v>
      </c>
      <c r="L30" s="458" t="str">
        <f t="shared" si="4"/>
        <v>B</v>
      </c>
      <c r="M30" s="458" t="str">
        <f t="shared" si="5"/>
        <v>C</v>
      </c>
      <c r="N30" s="458" t="str">
        <f t="shared" si="6"/>
        <v>D</v>
      </c>
      <c r="O30" s="458" t="str">
        <f t="shared" si="7"/>
        <v>D</v>
      </c>
      <c r="P30" s="131" t="str">
        <f t="shared" si="8"/>
        <v>D</v>
      </c>
      <c r="Q30" s="454">
        <f t="shared" si="9"/>
        <v>7.6</v>
      </c>
      <c r="R30" s="505" t="s">
        <v>421</v>
      </c>
      <c r="S30" s="506">
        <v>0.4</v>
      </c>
      <c r="T30" s="452"/>
      <c r="U30" s="496"/>
      <c r="V30" s="452"/>
      <c r="W30" s="452"/>
      <c r="X30" s="452"/>
      <c r="Y30" s="452"/>
      <c r="Z30" s="452"/>
    </row>
    <row r="31" ht="15.75" customHeight="1">
      <c r="A31" s="450" t="str">
        <f>CpgS!A31</f>
        <v>LilSkelR1926</v>
      </c>
      <c r="B31" s="451">
        <f>IFERROR(VLOOKUP($A31,CpgS!$A:$G,2,0),)</f>
        <v>0.2189781022</v>
      </c>
      <c r="C31" s="451">
        <f>IFERROR(VLOOKUP($A31,CpgS!$A:$G,3,0),)</f>
        <v>1.313868613</v>
      </c>
      <c r="D31" s="451">
        <f>IFERROR(VLOOKUP($A31,CpgS!$A:$G,4,0),)</f>
        <v>0.2189781022</v>
      </c>
      <c r="E31" s="451">
        <f>IFERROR(VLOOKUP($A31,CpgS!$A:$G,5,0),)</f>
        <v>0</v>
      </c>
      <c r="F31" s="451">
        <f>IFERROR(VLOOKUP($A31,CpgS!$A:$G,6,0),)</f>
        <v>0.6569343066</v>
      </c>
      <c r="G31" s="451">
        <f>IFERROR(VLOOKUP($A31,CpgS!$A:$G,7,0),)</f>
        <v>0</v>
      </c>
      <c r="H31" s="452"/>
      <c r="I31" s="450" t="str">
        <f>CpgS!A31</f>
        <v>LilSkelR1926</v>
      </c>
      <c r="J31" s="453" t="str">
        <f t="shared" si="2"/>
        <v>S</v>
      </c>
      <c r="K31" s="453" t="str">
        <f t="shared" si="3"/>
        <v>S</v>
      </c>
      <c r="L31" s="453" t="str">
        <f t="shared" si="4"/>
        <v>S</v>
      </c>
      <c r="M31" s="453" t="str">
        <f t="shared" si="5"/>
        <v>F</v>
      </c>
      <c r="N31" s="470" t="str">
        <f t="shared" si="6"/>
        <v>C</v>
      </c>
      <c r="O31" s="470" t="str">
        <f t="shared" si="7"/>
        <v>F</v>
      </c>
      <c r="P31" s="128" t="str">
        <f t="shared" si="8"/>
        <v>C</v>
      </c>
      <c r="Q31" s="454">
        <f t="shared" si="9"/>
        <v>9.7</v>
      </c>
      <c r="R31" s="505" t="s">
        <v>422</v>
      </c>
      <c r="S31" s="506">
        <v>0.6</v>
      </c>
      <c r="T31" s="452"/>
      <c r="U31" s="496"/>
      <c r="V31" s="452"/>
      <c r="W31" s="452"/>
      <c r="X31" s="452"/>
      <c r="Y31" s="452"/>
      <c r="Z31" s="452"/>
    </row>
    <row r="32" ht="15.75" customHeight="1">
      <c r="A32" s="450" t="str">
        <f>CpgS!A32</f>
        <v>Lmao Ninj0</v>
      </c>
      <c r="B32" s="451">
        <f>IFERROR(VLOOKUP($A32,CpgS!$A:$G,2,0),)</f>
        <v>0.08333333333</v>
      </c>
      <c r="C32" s="451">
        <f>IFERROR(VLOOKUP($A32,CpgS!$A:$G,3,0),)</f>
        <v>-1.777777778</v>
      </c>
      <c r="D32" s="451">
        <f>IFERROR(VLOOKUP($A32,CpgS!$A:$G,4,0),)</f>
        <v>0.1111111111</v>
      </c>
      <c r="E32" s="451">
        <f>IFERROR(VLOOKUP($A32,CpgS!$A:$G,5,0),)</f>
        <v>0</v>
      </c>
      <c r="F32" s="451">
        <f>IFERROR(VLOOKUP($A32,CpgS!$A:$G,6,0),)</f>
        <v>0.1944444444</v>
      </c>
      <c r="G32" s="451">
        <f>IFERROR(VLOOKUP($A32,CpgS!$A:$G,7,0),)</f>
        <v>0</v>
      </c>
      <c r="H32" s="452"/>
      <c r="I32" s="450" t="str">
        <f>CpgS!A32</f>
        <v>Lmao Ninj0</v>
      </c>
      <c r="J32" s="453" t="str">
        <f t="shared" si="2"/>
        <v>A</v>
      </c>
      <c r="K32" s="453" t="str">
        <f t="shared" si="3"/>
        <v>F</v>
      </c>
      <c r="L32" s="453" t="str">
        <f t="shared" si="4"/>
        <v>B</v>
      </c>
      <c r="M32" s="453" t="str">
        <f t="shared" si="5"/>
        <v>F</v>
      </c>
      <c r="N32" s="470" t="str">
        <f t="shared" si="6"/>
        <v>F</v>
      </c>
      <c r="O32" s="470" t="str">
        <f t="shared" si="7"/>
        <v>F</v>
      </c>
      <c r="P32" s="128" t="str">
        <f t="shared" si="8"/>
        <v>E</v>
      </c>
      <c r="Q32" s="454">
        <f t="shared" si="9"/>
        <v>4.8</v>
      </c>
      <c r="R32" s="505"/>
      <c r="S32" s="513"/>
      <c r="T32" s="452"/>
      <c r="U32" s="496"/>
      <c r="V32" s="452"/>
      <c r="W32" s="452"/>
      <c r="X32" s="452"/>
      <c r="Y32" s="452"/>
      <c r="Z32" s="452"/>
    </row>
    <row r="33" ht="15.75" customHeight="1">
      <c r="A33" s="450" t="str">
        <f>CpgS!A33</f>
        <v>ManCanonPls</v>
      </c>
      <c r="B33" s="451">
        <f>IFERROR(VLOOKUP($A33,CpgS!$A:$G,2,0),)</f>
        <v>0.07135306554</v>
      </c>
      <c r="C33" s="451">
        <f>IFERROR(VLOOKUP($A33,CpgS!$A:$G,3,0),)</f>
        <v>-0.6421775899</v>
      </c>
      <c r="D33" s="451">
        <f>IFERROR(VLOOKUP($A33,CpgS!$A:$G,4,0),)</f>
        <v>0.04756871036</v>
      </c>
      <c r="E33" s="451">
        <f>IFERROR(VLOOKUP($A33,CpgS!$A:$G,5,0),)</f>
        <v>0.007928118393</v>
      </c>
      <c r="F33" s="451">
        <f>IFERROR(VLOOKUP($A33,CpgS!$A:$G,6,0),)</f>
        <v>0.221987315</v>
      </c>
      <c r="G33" s="451">
        <f>IFERROR(VLOOKUP($A33,CpgS!$A:$G,7,0),)</f>
        <v>0.02378435518</v>
      </c>
      <c r="H33" s="452"/>
      <c r="I33" s="450" t="str">
        <f>CpgS!A33</f>
        <v>ManCanonPls</v>
      </c>
      <c r="J33" s="453" t="str">
        <f t="shared" si="2"/>
        <v>B</v>
      </c>
      <c r="K33" s="453" t="str">
        <f t="shared" si="3"/>
        <v>F</v>
      </c>
      <c r="L33" s="453" t="str">
        <f t="shared" si="4"/>
        <v>F</v>
      </c>
      <c r="M33" s="453" t="str">
        <f t="shared" si="5"/>
        <v>F</v>
      </c>
      <c r="N33" s="470" t="str">
        <f t="shared" si="6"/>
        <v>F</v>
      </c>
      <c r="O33" s="470" t="str">
        <f t="shared" si="7"/>
        <v>F</v>
      </c>
      <c r="P33" s="128" t="str">
        <f t="shared" si="8"/>
        <v>F</v>
      </c>
      <c r="Q33" s="454">
        <f t="shared" si="9"/>
        <v>3.7</v>
      </c>
      <c r="R33" s="505"/>
      <c r="S33" s="513"/>
      <c r="T33" s="452"/>
      <c r="U33" s="496"/>
      <c r="V33" s="452"/>
      <c r="W33" s="452"/>
      <c r="X33" s="452"/>
      <c r="Y33" s="452"/>
      <c r="Z33" s="452"/>
    </row>
    <row r="34" ht="15.75" customHeight="1">
      <c r="A34" s="450" t="str">
        <f>CpgS!A34</f>
        <v>Mavbrid</v>
      </c>
      <c r="B34" s="451">
        <f>IFERROR(VLOOKUP($A34,CpgS!$A:$G,2,0),)</f>
        <v>0.05560131796</v>
      </c>
      <c r="C34" s="451">
        <f>IFERROR(VLOOKUP($A34,CpgS!$A:$G,3,0),)</f>
        <v>-0.2100494234</v>
      </c>
      <c r="D34" s="451">
        <f>IFERROR(VLOOKUP($A34,CpgS!$A:$G,4,0),)</f>
        <v>0.09266886326</v>
      </c>
      <c r="E34" s="451">
        <f>IFERROR(VLOOKUP($A34,CpgS!$A:$G,5,0),)</f>
        <v>0.03088962109</v>
      </c>
      <c r="F34" s="451">
        <f>IFERROR(VLOOKUP($A34,CpgS!$A:$G,6,0),)</f>
        <v>0.5065897858</v>
      </c>
      <c r="G34" s="451">
        <f>IFERROR(VLOOKUP($A34,CpgS!$A:$G,7,0),)</f>
        <v>0.08649093904</v>
      </c>
      <c r="H34" s="452"/>
      <c r="I34" s="450" t="str">
        <f>CpgS!A34</f>
        <v>Mavbrid</v>
      </c>
      <c r="J34" s="453" t="str">
        <f t="shared" si="2"/>
        <v>B</v>
      </c>
      <c r="K34" s="453" t="str">
        <f t="shared" si="3"/>
        <v>D</v>
      </c>
      <c r="L34" s="453" t="str">
        <f t="shared" si="4"/>
        <v>B</v>
      </c>
      <c r="M34" s="453" t="str">
        <f t="shared" si="5"/>
        <v>D</v>
      </c>
      <c r="N34" s="470" t="str">
        <f t="shared" si="6"/>
        <v>D</v>
      </c>
      <c r="O34" s="470" t="str">
        <f t="shared" si="7"/>
        <v>E</v>
      </c>
      <c r="P34" s="128" t="str">
        <f t="shared" si="8"/>
        <v>D</v>
      </c>
      <c r="Q34" s="454">
        <f t="shared" si="9"/>
        <v>7.9</v>
      </c>
      <c r="R34" s="505"/>
      <c r="S34" s="513"/>
      <c r="T34" s="452"/>
      <c r="U34" s="496"/>
      <c r="V34" s="452"/>
      <c r="W34" s="452"/>
      <c r="X34" s="452"/>
      <c r="Y34" s="452"/>
      <c r="Z34" s="452"/>
    </row>
    <row r="35" ht="15.75" customHeight="1">
      <c r="A35" s="450" t="str">
        <f>CpgS!A35</f>
        <v>Ming Crusader</v>
      </c>
      <c r="B35" s="451">
        <f>IFERROR(VLOOKUP($A35,CpgS!$A:$G,2,0),)</f>
        <v>0.04708960105</v>
      </c>
      <c r="C35" s="451">
        <f>IFERROR(VLOOKUP($A35,CpgS!$A:$G,3,0),)</f>
        <v>-0.4630477436</v>
      </c>
      <c r="D35" s="451">
        <f>IFERROR(VLOOKUP($A35,CpgS!$A:$G,4,0),)</f>
        <v>0.08633093525</v>
      </c>
      <c r="E35" s="451">
        <f>IFERROR(VLOOKUP($A35,CpgS!$A:$G,5,0),)</f>
        <v>0.04708960105</v>
      </c>
      <c r="F35" s="451">
        <f>IFERROR(VLOOKUP($A35,CpgS!$A:$G,6,0),)</f>
        <v>0.494440811</v>
      </c>
      <c r="G35" s="451">
        <f>IFERROR(VLOOKUP($A35,CpgS!$A:$G,7,0),)</f>
        <v>0.1334205363</v>
      </c>
      <c r="H35" s="452"/>
      <c r="I35" s="450" t="str">
        <f>CpgS!A35</f>
        <v>Ming Crusader</v>
      </c>
      <c r="J35" s="453" t="str">
        <f t="shared" si="2"/>
        <v>B</v>
      </c>
      <c r="K35" s="453" t="str">
        <f t="shared" si="3"/>
        <v>E</v>
      </c>
      <c r="L35" s="453" t="str">
        <f t="shared" si="4"/>
        <v>B</v>
      </c>
      <c r="M35" s="453" t="str">
        <f t="shared" si="5"/>
        <v>D</v>
      </c>
      <c r="N35" s="470" t="str">
        <f t="shared" si="6"/>
        <v>D</v>
      </c>
      <c r="O35" s="470" t="str">
        <f t="shared" si="7"/>
        <v>D</v>
      </c>
      <c r="P35" s="128" t="str">
        <f t="shared" si="8"/>
        <v>D</v>
      </c>
      <c r="Q35" s="454">
        <f t="shared" si="9"/>
        <v>8</v>
      </c>
      <c r="R35" s="505"/>
      <c r="S35" s="513"/>
      <c r="T35" s="452"/>
      <c r="U35" s="496"/>
      <c r="V35" s="452"/>
      <c r="W35" s="452"/>
      <c r="X35" s="452"/>
      <c r="Y35" s="452"/>
      <c r="Z35" s="452"/>
    </row>
    <row r="36" ht="15.75" customHeight="1">
      <c r="A36" s="450" t="str">
        <f>CpgS!A36</f>
        <v>MoldyVolts</v>
      </c>
      <c r="B36" s="451">
        <f>IFERROR(VLOOKUP($A36,CpgS!$A:$G,2,0),)</f>
        <v>0</v>
      </c>
      <c r="C36" s="451">
        <f>IFERROR(VLOOKUP($A36,CpgS!$A:$G,3,0),)</f>
        <v>-0.6418746816</v>
      </c>
      <c r="D36" s="451">
        <f>IFERROR(VLOOKUP($A36,CpgS!$A:$G,4,0),)</f>
        <v>0.06113092206</v>
      </c>
      <c r="E36" s="451">
        <f>IFERROR(VLOOKUP($A36,CpgS!$A:$G,5,0),)</f>
        <v>0.04584819154</v>
      </c>
      <c r="F36" s="451">
        <f>IFERROR(VLOOKUP($A36,CpgS!$A:$G,6,0),)</f>
        <v>0.504330107</v>
      </c>
      <c r="G36" s="451">
        <f>IFERROR(VLOOKUP($A36,CpgS!$A:$G,7,0),)</f>
        <v>0.04584819154</v>
      </c>
      <c r="H36" s="452"/>
      <c r="I36" s="450" t="str">
        <f>CpgS!A36</f>
        <v>MoldyVolts</v>
      </c>
      <c r="J36" s="453" t="str">
        <f t="shared" si="2"/>
        <v>F</v>
      </c>
      <c r="K36" s="453" t="str">
        <f t="shared" si="3"/>
        <v>F</v>
      </c>
      <c r="L36" s="453" t="str">
        <f t="shared" si="4"/>
        <v>E</v>
      </c>
      <c r="M36" s="453" t="str">
        <f t="shared" si="5"/>
        <v>D</v>
      </c>
      <c r="N36" s="470" t="str">
        <f t="shared" si="6"/>
        <v>D</v>
      </c>
      <c r="O36" s="470" t="str">
        <f t="shared" si="7"/>
        <v>F</v>
      </c>
      <c r="P36" s="128" t="str">
        <f t="shared" si="8"/>
        <v>E</v>
      </c>
      <c r="Q36" s="454">
        <f t="shared" si="9"/>
        <v>4.5</v>
      </c>
      <c r="R36" s="505"/>
      <c r="S36" s="513"/>
      <c r="T36" s="452"/>
      <c r="U36" s="496"/>
      <c r="V36" s="452"/>
      <c r="W36" s="452"/>
      <c r="X36" s="452"/>
      <c r="Y36" s="452"/>
      <c r="Z36" s="452"/>
    </row>
    <row r="37" ht="15.75" customHeight="1">
      <c r="A37" s="450" t="str">
        <f>CpgS!A37</f>
        <v>Mr Epic Beast</v>
      </c>
      <c r="B37" s="451">
        <f>IFERROR(VLOOKUP($A37,CpgS!$A:$G,2,0),)</f>
        <v>0.05332280043</v>
      </c>
      <c r="C37" s="451">
        <f>IFERROR(VLOOKUP($A37,CpgS!$A:$G,3,0),)</f>
        <v>-0.3791843586</v>
      </c>
      <c r="D37" s="451">
        <f>IFERROR(VLOOKUP($A37,CpgS!$A:$G,4,0),)</f>
        <v>0.05924755604</v>
      </c>
      <c r="E37" s="451">
        <f>IFERROR(VLOOKUP($A37,CpgS!$A:$G,5,0),)</f>
        <v>0.04739804483</v>
      </c>
      <c r="F37" s="451">
        <f>IFERROR(VLOOKUP($A37,CpgS!$A:$G,6,0),)</f>
        <v>0.5036042263</v>
      </c>
      <c r="G37" s="451">
        <f>IFERROR(VLOOKUP($A37,CpgS!$A:$G,7,0),)</f>
        <v>0.08887133406</v>
      </c>
      <c r="H37" s="452"/>
      <c r="I37" s="450" t="str">
        <f>CpgS!A37</f>
        <v>Mr Epic Beast</v>
      </c>
      <c r="J37" s="453" t="str">
        <f t="shared" si="2"/>
        <v>B</v>
      </c>
      <c r="K37" s="453" t="str">
        <f t="shared" si="3"/>
        <v>E</v>
      </c>
      <c r="L37" s="453" t="str">
        <f t="shared" si="4"/>
        <v>F</v>
      </c>
      <c r="M37" s="453" t="str">
        <f t="shared" si="5"/>
        <v>D</v>
      </c>
      <c r="N37" s="470" t="str">
        <f t="shared" si="6"/>
        <v>D</v>
      </c>
      <c r="O37" s="470" t="str">
        <f t="shared" si="7"/>
        <v>E</v>
      </c>
      <c r="P37" s="128" t="str">
        <f t="shared" si="8"/>
        <v>D</v>
      </c>
      <c r="Q37" s="454">
        <f t="shared" si="9"/>
        <v>6.6</v>
      </c>
      <c r="R37" s="505"/>
      <c r="S37" s="513"/>
      <c r="T37" s="452"/>
      <c r="U37" s="496"/>
      <c r="V37" s="452"/>
      <c r="W37" s="452"/>
      <c r="X37" s="452"/>
      <c r="Y37" s="452"/>
      <c r="Z37" s="452"/>
    </row>
    <row r="38" ht="15.75" customHeight="1">
      <c r="A38" s="450" t="str">
        <f>CpgS!A38</f>
        <v>mstell96</v>
      </c>
      <c r="B38" s="451">
        <f>IFERROR(VLOOKUP($A38,CpgS!$A:$G,2,0),)</f>
        <v>0</v>
      </c>
      <c r="C38" s="451">
        <f>IFERROR(VLOOKUP($A38,CpgS!$A:$G,3,0),)</f>
        <v>-0.860712633</v>
      </c>
      <c r="D38" s="451">
        <f>IFERROR(VLOOKUP($A38,CpgS!$A:$G,4,0),)</f>
        <v>0.1665895419</v>
      </c>
      <c r="E38" s="451">
        <f>IFERROR(VLOOKUP($A38,CpgS!$A:$G,5,0),)</f>
        <v>0.05552984729</v>
      </c>
      <c r="F38" s="451">
        <f>IFERROR(VLOOKUP($A38,CpgS!$A:$G,6,0),)</f>
        <v>0.4164738547</v>
      </c>
      <c r="G38" s="451">
        <f>IFERROR(VLOOKUP($A38,CpgS!$A:$G,7,0),)</f>
        <v>0.05552984729</v>
      </c>
      <c r="H38" s="452"/>
      <c r="I38" s="450" t="str">
        <f>CpgS!A38</f>
        <v>mstell96</v>
      </c>
      <c r="J38" s="453" t="str">
        <f t="shared" si="2"/>
        <v>F</v>
      </c>
      <c r="K38" s="453" t="str">
        <f t="shared" si="3"/>
        <v>F</v>
      </c>
      <c r="L38" s="453" t="str">
        <f t="shared" si="4"/>
        <v>S</v>
      </c>
      <c r="M38" s="453" t="str">
        <f t="shared" si="5"/>
        <v>C</v>
      </c>
      <c r="N38" s="470" t="str">
        <f t="shared" si="6"/>
        <v>E</v>
      </c>
      <c r="O38" s="470" t="str">
        <f t="shared" si="7"/>
        <v>F</v>
      </c>
      <c r="P38" s="128" t="str">
        <f t="shared" si="8"/>
        <v>E</v>
      </c>
      <c r="Q38" s="454">
        <f t="shared" si="9"/>
        <v>5.6</v>
      </c>
      <c r="R38" s="505"/>
      <c r="S38" s="513"/>
      <c r="T38" s="452"/>
      <c r="U38" s="496"/>
      <c r="V38" s="452"/>
      <c r="W38" s="452"/>
      <c r="X38" s="452"/>
      <c r="Y38" s="452"/>
      <c r="Z38" s="452"/>
    </row>
    <row r="39" ht="15.75" customHeight="1">
      <c r="A39" s="450" t="str">
        <f>CpgS!A39</f>
        <v>MuNgO PuNgO</v>
      </c>
      <c r="B39" s="451">
        <f>IFERROR(VLOOKUP($A39,CpgS!$A:$G,2,0),)</f>
        <v>0.1238816242</v>
      </c>
      <c r="C39" s="451">
        <f>IFERROR(VLOOKUP($A39,CpgS!$A:$G,3,0),)</f>
        <v>-0.9084652443</v>
      </c>
      <c r="D39" s="451">
        <f>IFERROR(VLOOKUP($A39,CpgS!$A:$G,4,0),)</f>
        <v>0</v>
      </c>
      <c r="E39" s="451">
        <f>IFERROR(VLOOKUP($A39,CpgS!$A:$G,5,0),)</f>
        <v>0</v>
      </c>
      <c r="F39" s="451">
        <f>IFERROR(VLOOKUP($A39,CpgS!$A:$G,6,0),)</f>
        <v>0.4542326222</v>
      </c>
      <c r="G39" s="451">
        <f>IFERROR(VLOOKUP($A39,CpgS!$A:$G,7,0),)</f>
        <v>0.08258774948</v>
      </c>
      <c r="H39" s="452"/>
      <c r="I39" s="450" t="str">
        <f>CpgS!A39</f>
        <v>MuNgO PuNgO</v>
      </c>
      <c r="J39" s="453" t="str">
        <f t="shared" si="2"/>
        <v>S</v>
      </c>
      <c r="K39" s="453" t="str">
        <f t="shared" si="3"/>
        <v>F</v>
      </c>
      <c r="L39" s="453" t="str">
        <f t="shared" si="4"/>
        <v>F</v>
      </c>
      <c r="M39" s="453" t="str">
        <f t="shared" si="5"/>
        <v>F</v>
      </c>
      <c r="N39" s="470" t="str">
        <f t="shared" si="6"/>
        <v>E</v>
      </c>
      <c r="O39" s="470" t="str">
        <f t="shared" si="7"/>
        <v>E</v>
      </c>
      <c r="P39" s="128" t="str">
        <f t="shared" si="8"/>
        <v>E</v>
      </c>
      <c r="Q39" s="454">
        <f t="shared" si="9"/>
        <v>5.3</v>
      </c>
      <c r="R39" s="505"/>
      <c r="S39" s="513"/>
      <c r="T39" s="452"/>
      <c r="U39" s="496"/>
      <c r="V39" s="452"/>
      <c r="W39" s="452"/>
      <c r="X39" s="452"/>
      <c r="Y39" s="452"/>
      <c r="Z39" s="452"/>
    </row>
    <row r="40" ht="15.75" customHeight="1">
      <c r="A40" s="450" t="str">
        <f>CpgS!A40</f>
        <v>Myst the Cold</v>
      </c>
      <c r="B40" s="451">
        <f>IFERROR(VLOOKUP($A40,CpgS!$A:$G,2,0),)</f>
        <v>0.04132231405</v>
      </c>
      <c r="C40" s="451">
        <f>IFERROR(VLOOKUP($A40,CpgS!$A:$G,3,0),)</f>
        <v>0.2892561983</v>
      </c>
      <c r="D40" s="451">
        <f>IFERROR(VLOOKUP($A40,CpgS!$A:$G,4,0),)</f>
        <v>0.0826446281</v>
      </c>
      <c r="E40" s="451">
        <f>IFERROR(VLOOKUP($A40,CpgS!$A:$G,5,0),)</f>
        <v>0.1239669421</v>
      </c>
      <c r="F40" s="451">
        <f>IFERROR(VLOOKUP($A40,CpgS!$A:$G,6,0),)</f>
        <v>0.6611570248</v>
      </c>
      <c r="G40" s="451">
        <f>IFERROR(VLOOKUP($A40,CpgS!$A:$G,7,0),)</f>
        <v>0.1239669421</v>
      </c>
      <c r="H40" s="452"/>
      <c r="I40" s="450" t="str">
        <f>CpgS!A40</f>
        <v>Myst the Cold</v>
      </c>
      <c r="J40" s="453" t="str">
        <f t="shared" si="2"/>
        <v>B</v>
      </c>
      <c r="K40" s="453" t="str">
        <f t="shared" si="3"/>
        <v>B</v>
      </c>
      <c r="L40" s="453" t="str">
        <f t="shared" si="4"/>
        <v>B</v>
      </c>
      <c r="M40" s="453" t="str">
        <f t="shared" si="5"/>
        <v>S</v>
      </c>
      <c r="N40" s="470" t="str">
        <f t="shared" si="6"/>
        <v>C</v>
      </c>
      <c r="O40" s="470" t="str">
        <f t="shared" si="7"/>
        <v>D</v>
      </c>
      <c r="P40" s="128" t="str">
        <f t="shared" si="8"/>
        <v>B</v>
      </c>
      <c r="Q40" s="454">
        <f t="shared" si="9"/>
        <v>11.9</v>
      </c>
      <c r="R40" s="505"/>
      <c r="S40" s="513"/>
      <c r="T40" s="452"/>
      <c r="U40" s="496"/>
      <c r="V40" s="452"/>
      <c r="W40" s="452"/>
      <c r="X40" s="452"/>
      <c r="Y40" s="452"/>
      <c r="Z40" s="452"/>
    </row>
    <row r="41" ht="15.75" customHeight="1">
      <c r="A41" s="450" t="str">
        <f>CpgS!A41</f>
        <v>MysticalNovice</v>
      </c>
      <c r="B41" s="451">
        <f>IFERROR(VLOOKUP($A41,CpgS!$A:$G,2,0),)</f>
        <v>0.0243803332</v>
      </c>
      <c r="C41" s="451">
        <f>IFERROR(VLOOKUP($A41,CpgS!$A:$G,3,0),)</f>
        <v>-0.5363673304</v>
      </c>
      <c r="D41" s="451">
        <f>IFERROR(VLOOKUP($A41,CpgS!$A:$G,4,0),)</f>
        <v>0.1706623324</v>
      </c>
      <c r="E41" s="451">
        <f>IFERROR(VLOOKUP($A41,CpgS!$A:$G,5,0),)</f>
        <v>0.0487606664</v>
      </c>
      <c r="F41" s="451">
        <f>IFERROR(VLOOKUP($A41,CpgS!$A:$G,6,0),)</f>
        <v>0.7557903291</v>
      </c>
      <c r="G41" s="451">
        <f>IFERROR(VLOOKUP($A41,CpgS!$A:$G,7,0),)</f>
        <v>0.121901666</v>
      </c>
      <c r="H41" s="452"/>
      <c r="I41" s="450" t="str">
        <f>CpgS!A41</f>
        <v>MysticalNovice</v>
      </c>
      <c r="J41" s="453" t="str">
        <f t="shared" si="2"/>
        <v>D</v>
      </c>
      <c r="K41" s="453" t="str">
        <f t="shared" si="3"/>
        <v>E</v>
      </c>
      <c r="L41" s="453" t="str">
        <f t="shared" si="4"/>
        <v>S</v>
      </c>
      <c r="M41" s="453" t="str">
        <f t="shared" si="5"/>
        <v>D</v>
      </c>
      <c r="N41" s="470" t="str">
        <f t="shared" si="6"/>
        <v>A</v>
      </c>
      <c r="O41" s="470" t="str">
        <f t="shared" si="7"/>
        <v>D</v>
      </c>
      <c r="P41" s="128" t="str">
        <f t="shared" si="8"/>
        <v>C</v>
      </c>
      <c r="Q41" s="454">
        <f t="shared" si="9"/>
        <v>9</v>
      </c>
      <c r="R41" s="505"/>
      <c r="S41" s="513"/>
      <c r="T41" s="452"/>
      <c r="U41" s="496"/>
      <c r="V41" s="452"/>
      <c r="W41" s="452"/>
      <c r="X41" s="452"/>
      <c r="Y41" s="452"/>
      <c r="Z41" s="452"/>
    </row>
    <row r="42" ht="15.75" customHeight="1">
      <c r="A42" s="450" t="str">
        <f>CpgS!A42</f>
        <v>NetsPride15</v>
      </c>
      <c r="B42" s="451">
        <f>IFERROR(VLOOKUP($A42,CpgS!$A:$G,2,0),)</f>
        <v>0.007840062721</v>
      </c>
      <c r="C42" s="451">
        <f>IFERROR(VLOOKUP($A42,CpgS!$A:$G,3,0),)</f>
        <v>-0.6272050176</v>
      </c>
      <c r="D42" s="451">
        <f>IFERROR(VLOOKUP($A42,CpgS!$A:$G,4,0),)</f>
        <v>0.07840062721</v>
      </c>
      <c r="E42" s="451">
        <f>IFERROR(VLOOKUP($A42,CpgS!$A:$G,5,0),)</f>
        <v>0.03136025088</v>
      </c>
      <c r="F42" s="451">
        <f>IFERROR(VLOOKUP($A42,CpgS!$A:$G,6,0),)</f>
        <v>0.5566444532</v>
      </c>
      <c r="G42" s="451">
        <f>IFERROR(VLOOKUP($A42,CpgS!$A:$G,7,0),)</f>
        <v>0.1019208154</v>
      </c>
      <c r="H42" s="452"/>
      <c r="I42" s="450" t="str">
        <f>CpgS!A42</f>
        <v>NetsPride15</v>
      </c>
      <c r="J42" s="453" t="str">
        <f t="shared" si="2"/>
        <v>E</v>
      </c>
      <c r="K42" s="453" t="str">
        <f t="shared" si="3"/>
        <v>E</v>
      </c>
      <c r="L42" s="453" t="str">
        <f t="shared" si="4"/>
        <v>C</v>
      </c>
      <c r="M42" s="453" t="str">
        <f t="shared" si="5"/>
        <v>D</v>
      </c>
      <c r="N42" s="470" t="str">
        <f t="shared" si="6"/>
        <v>D</v>
      </c>
      <c r="O42" s="470" t="str">
        <f t="shared" si="7"/>
        <v>E</v>
      </c>
      <c r="P42" s="128" t="str">
        <f t="shared" si="8"/>
        <v>D</v>
      </c>
      <c r="Q42" s="454">
        <f t="shared" si="9"/>
        <v>6.3</v>
      </c>
      <c r="R42" s="505"/>
      <c r="S42" s="513"/>
      <c r="T42" s="452"/>
      <c r="U42" s="496"/>
      <c r="V42" s="452"/>
      <c r="W42" s="452"/>
      <c r="X42" s="452"/>
      <c r="Y42" s="452"/>
      <c r="Z42" s="452"/>
    </row>
    <row r="43" ht="15.75" customHeight="1">
      <c r="A43" s="450" t="str">
        <f>CpgS!A43</f>
        <v>Nihilus</v>
      </c>
      <c r="B43" s="451">
        <f>IFERROR(VLOOKUP($A43,CpgS!$A:$G,2,0),)</f>
        <v>0.1019367992</v>
      </c>
      <c r="C43" s="451">
        <f>IFERROR(VLOOKUP($A43,CpgS!$A:$G,3,0),)</f>
        <v>-0.3465851172</v>
      </c>
      <c r="D43" s="451">
        <f>IFERROR(VLOOKUP($A43,CpgS!$A:$G,4,0),)</f>
        <v>0.1019367992</v>
      </c>
      <c r="E43" s="451">
        <f>IFERROR(VLOOKUP($A43,CpgS!$A:$G,5,0),)</f>
        <v>0.06116207951</v>
      </c>
      <c r="F43" s="451">
        <f>IFERROR(VLOOKUP($A43,CpgS!$A:$G,6,0),)</f>
        <v>0.4281345566</v>
      </c>
      <c r="G43" s="451">
        <f>IFERROR(VLOOKUP($A43,CpgS!$A:$G,7,0),)</f>
        <v>0.122324159</v>
      </c>
      <c r="H43" s="452"/>
      <c r="I43" s="450" t="str">
        <f>CpgS!A43</f>
        <v>Nihilus</v>
      </c>
      <c r="J43" s="453" t="str">
        <f t="shared" si="2"/>
        <v>S</v>
      </c>
      <c r="K43" s="453" t="str">
        <f t="shared" si="3"/>
        <v>E</v>
      </c>
      <c r="L43" s="453" t="str">
        <f t="shared" si="4"/>
        <v>B</v>
      </c>
      <c r="M43" s="453" t="str">
        <f t="shared" si="5"/>
        <v>B</v>
      </c>
      <c r="N43" s="470" t="str">
        <f t="shared" si="6"/>
        <v>E</v>
      </c>
      <c r="O43" s="470" t="str">
        <f t="shared" si="7"/>
        <v>D</v>
      </c>
      <c r="P43" s="128" t="str">
        <f t="shared" si="8"/>
        <v>C</v>
      </c>
      <c r="Q43" s="454">
        <f t="shared" si="9"/>
        <v>9.2</v>
      </c>
      <c r="R43" s="505"/>
      <c r="S43" s="513"/>
      <c r="T43" s="452"/>
      <c r="U43" s="496"/>
      <c r="V43" s="452"/>
      <c r="W43" s="452"/>
      <c r="X43" s="452"/>
      <c r="Y43" s="452"/>
      <c r="Z43" s="452"/>
    </row>
    <row r="44" ht="15.75" customHeight="1">
      <c r="A44" s="450" t="str">
        <f>CpgS!A44</f>
        <v>NKOTB4evah</v>
      </c>
      <c r="B44" s="451">
        <f>IFERROR(VLOOKUP($A44,CpgS!$A:$G,2,0),)</f>
        <v>0</v>
      </c>
      <c r="C44" s="451">
        <f>IFERROR(VLOOKUP($A44,CpgS!$A:$G,3,0),)</f>
        <v>-0.2221193892</v>
      </c>
      <c r="D44" s="451">
        <f>IFERROR(VLOOKUP($A44,CpgS!$A:$G,4,0),)</f>
        <v>0.02776492365</v>
      </c>
      <c r="E44" s="451">
        <f>IFERROR(VLOOKUP($A44,CpgS!$A:$G,5,0),)</f>
        <v>0.05552984729</v>
      </c>
      <c r="F44" s="451">
        <f>IFERROR(VLOOKUP($A44,CpgS!$A:$G,6,0),)</f>
        <v>0.5830633966</v>
      </c>
      <c r="G44" s="451">
        <f>IFERROR(VLOOKUP($A44,CpgS!$A:$G,7,0),)</f>
        <v>0.1943544655</v>
      </c>
      <c r="H44" s="452"/>
      <c r="I44" s="450" t="str">
        <f>CpgS!A44</f>
        <v>NKOTB4evah</v>
      </c>
      <c r="J44" s="453" t="str">
        <f t="shared" si="2"/>
        <v>F</v>
      </c>
      <c r="K44" s="453" t="str">
        <f t="shared" si="3"/>
        <v>D</v>
      </c>
      <c r="L44" s="453" t="str">
        <f t="shared" si="4"/>
        <v>F</v>
      </c>
      <c r="M44" s="453" t="str">
        <f t="shared" si="5"/>
        <v>C</v>
      </c>
      <c r="N44" s="470" t="str">
        <f t="shared" si="6"/>
        <v>D</v>
      </c>
      <c r="O44" s="470" t="str">
        <f t="shared" si="7"/>
        <v>A</v>
      </c>
      <c r="P44" s="128" t="str">
        <f t="shared" si="8"/>
        <v>C</v>
      </c>
      <c r="Q44" s="454">
        <f t="shared" si="9"/>
        <v>8.8</v>
      </c>
      <c r="R44" s="505"/>
      <c r="S44" s="513"/>
      <c r="T44" s="452"/>
      <c r="U44" s="496"/>
      <c r="V44" s="452"/>
      <c r="W44" s="452"/>
      <c r="X44" s="452"/>
      <c r="Y44" s="452"/>
      <c r="Z44" s="452"/>
    </row>
    <row r="45" ht="15.75" customHeight="1">
      <c r="A45" s="450" t="str">
        <f>CpgS!A45</f>
        <v>oDhmon</v>
      </c>
      <c r="B45" s="451">
        <f>IFERROR(VLOOKUP($A45,CpgS!$A:$G,2,0),)</f>
        <v>0.01033591731</v>
      </c>
      <c r="C45" s="451">
        <f>IFERROR(VLOOKUP($A45,CpgS!$A:$G,3,0),)</f>
        <v>-0.3824289406</v>
      </c>
      <c r="D45" s="451">
        <f>IFERROR(VLOOKUP($A45,CpgS!$A:$G,4,0),)</f>
        <v>0.02067183463</v>
      </c>
      <c r="E45" s="451">
        <f>IFERROR(VLOOKUP($A45,CpgS!$A:$G,5,0),)</f>
        <v>0.05167958656</v>
      </c>
      <c r="F45" s="451">
        <f>IFERROR(VLOOKUP($A45,CpgS!$A:$G,6,0),)</f>
        <v>0.4237726098</v>
      </c>
      <c r="G45" s="451">
        <f>IFERROR(VLOOKUP($A45,CpgS!$A:$G,7,0),)</f>
        <v>0.1240310078</v>
      </c>
      <c r="H45" s="452"/>
      <c r="I45" s="450" t="str">
        <f>CpgS!A45</f>
        <v>oDhmon</v>
      </c>
      <c r="J45" s="453" t="str">
        <f t="shared" si="2"/>
        <v>E</v>
      </c>
      <c r="K45" s="453" t="str">
        <f t="shared" si="3"/>
        <v>E</v>
      </c>
      <c r="L45" s="453" t="str">
        <f t="shared" si="4"/>
        <v>F</v>
      </c>
      <c r="M45" s="453" t="str">
        <f t="shared" si="5"/>
        <v>C</v>
      </c>
      <c r="N45" s="470" t="str">
        <f t="shared" si="6"/>
        <v>E</v>
      </c>
      <c r="O45" s="470" t="str">
        <f t="shared" si="7"/>
        <v>D</v>
      </c>
      <c r="P45" s="128" t="str">
        <f t="shared" si="8"/>
        <v>D</v>
      </c>
      <c r="Q45" s="454">
        <f t="shared" si="9"/>
        <v>6.4</v>
      </c>
      <c r="R45" s="505"/>
      <c r="S45" s="513"/>
      <c r="T45" s="452"/>
      <c r="U45" s="496"/>
      <c r="V45" s="452"/>
      <c r="W45" s="452"/>
      <c r="X45" s="452"/>
      <c r="Y45" s="452"/>
      <c r="Z45" s="452"/>
    </row>
    <row r="46" ht="15.75" customHeight="1">
      <c r="A46" s="450" t="str">
        <f>CpgS!A46</f>
        <v>OVERweightGOAT</v>
      </c>
      <c r="B46" s="451">
        <f>IFERROR(VLOOKUP($A46,CpgS!$A:$G,2,0),)</f>
        <v>0.04538577912</v>
      </c>
      <c r="C46" s="451">
        <f>IFERROR(VLOOKUP($A46,CpgS!$A:$G,3,0),)</f>
        <v>-2.496217852</v>
      </c>
      <c r="D46" s="451">
        <f>IFERROR(VLOOKUP($A46,CpgS!$A:$G,4,0),)</f>
        <v>0.04538577912</v>
      </c>
      <c r="E46" s="451">
        <f>IFERROR(VLOOKUP($A46,CpgS!$A:$G,5,0),)</f>
        <v>0</v>
      </c>
      <c r="F46" s="451">
        <f>IFERROR(VLOOKUP($A46,CpgS!$A:$G,6,0),)</f>
        <v>0.1361573374</v>
      </c>
      <c r="G46" s="451">
        <f>IFERROR(VLOOKUP($A46,CpgS!$A:$G,7,0),)</f>
        <v>0</v>
      </c>
      <c r="H46" s="452"/>
      <c r="I46" s="450" t="str">
        <f>CpgS!A46</f>
        <v>OVERweightGOAT</v>
      </c>
      <c r="J46" s="453" t="str">
        <f t="shared" si="2"/>
        <v>B</v>
      </c>
      <c r="K46" s="453" t="str">
        <f t="shared" si="3"/>
        <v>F</v>
      </c>
      <c r="L46" s="453" t="str">
        <f t="shared" si="4"/>
        <v>F</v>
      </c>
      <c r="M46" s="453" t="str">
        <f t="shared" si="5"/>
        <v>F</v>
      </c>
      <c r="N46" s="470" t="str">
        <f t="shared" si="6"/>
        <v>F</v>
      </c>
      <c r="O46" s="470" t="str">
        <f t="shared" si="7"/>
        <v>F</v>
      </c>
      <c r="P46" s="128" t="str">
        <f t="shared" si="8"/>
        <v>F</v>
      </c>
      <c r="Q46" s="454">
        <f t="shared" si="9"/>
        <v>3.7</v>
      </c>
      <c r="R46" s="505"/>
      <c r="S46" s="513"/>
      <c r="T46" s="452"/>
      <c r="U46" s="496"/>
      <c r="V46" s="452"/>
      <c r="W46" s="452"/>
      <c r="X46" s="452"/>
      <c r="Y46" s="452"/>
      <c r="Z46" s="452"/>
    </row>
    <row r="47" ht="15.75" customHeight="1">
      <c r="A47" s="450" t="str">
        <f>CpgS!A47</f>
        <v>Priest XYZ</v>
      </c>
      <c r="B47" s="451">
        <f>IFERROR(VLOOKUP($A47,CpgS!$A:$G,2,0),)</f>
        <v>0</v>
      </c>
      <c r="C47" s="451">
        <f>IFERROR(VLOOKUP($A47,CpgS!$A:$G,3,0),)</f>
        <v>-0.7971656333</v>
      </c>
      <c r="D47" s="451">
        <f>IFERROR(VLOOKUP($A47,CpgS!$A:$G,4,0),)</f>
        <v>0.01771479185</v>
      </c>
      <c r="E47" s="451">
        <f>IFERROR(VLOOKUP($A47,CpgS!$A:$G,5,0),)</f>
        <v>0.01771479185</v>
      </c>
      <c r="F47" s="451">
        <f>IFERROR(VLOOKUP($A47,CpgS!$A:$G,6,0),)</f>
        <v>0.5137289637</v>
      </c>
      <c r="G47" s="451">
        <f>IFERROR(VLOOKUP($A47,CpgS!$A:$G,7,0),)</f>
        <v>0.0354295837</v>
      </c>
      <c r="H47" s="452"/>
      <c r="I47" s="450" t="str">
        <f>CpgS!A47</f>
        <v>Priest XYZ</v>
      </c>
      <c r="J47" s="453" t="str">
        <f t="shared" si="2"/>
        <v>F</v>
      </c>
      <c r="K47" s="453" t="str">
        <f t="shared" si="3"/>
        <v>F</v>
      </c>
      <c r="L47" s="453" t="str">
        <f t="shared" si="4"/>
        <v>F</v>
      </c>
      <c r="M47" s="453" t="str">
        <f t="shared" si="5"/>
        <v>E</v>
      </c>
      <c r="N47" s="470" t="str">
        <f t="shared" si="6"/>
        <v>D</v>
      </c>
      <c r="O47" s="470" t="str">
        <f t="shared" si="7"/>
        <v>F</v>
      </c>
      <c r="P47" s="128" t="str">
        <f t="shared" si="8"/>
        <v>E</v>
      </c>
      <c r="Q47" s="454">
        <f t="shared" si="9"/>
        <v>3.8</v>
      </c>
      <c r="R47" s="505"/>
      <c r="S47" s="513"/>
      <c r="T47" s="452"/>
      <c r="U47" s="496"/>
      <c r="V47" s="452"/>
      <c r="W47" s="452"/>
      <c r="X47" s="452"/>
      <c r="Y47" s="452"/>
      <c r="Z47" s="452"/>
    </row>
    <row r="48" ht="15.75" customHeight="1">
      <c r="A48" s="450" t="str">
        <f>CpgS!A48</f>
        <v>QueOtaSaintz</v>
      </c>
      <c r="B48" s="451">
        <f>IFERROR(VLOOKUP($A48,CpgS!$A:$G,2,0),)</f>
        <v>0.06007724217</v>
      </c>
      <c r="C48" s="451">
        <f>IFERROR(VLOOKUP($A48,CpgS!$A:$G,3,0),)</f>
        <v>0.1201544843</v>
      </c>
      <c r="D48" s="451">
        <f>IFERROR(VLOOKUP($A48,CpgS!$A:$G,4,0),)</f>
        <v>0.102989558</v>
      </c>
      <c r="E48" s="451">
        <f>IFERROR(VLOOKUP($A48,CpgS!$A:$G,5,0),)</f>
        <v>0.051494779</v>
      </c>
      <c r="F48" s="451">
        <f>IFERROR(VLOOKUP($A48,CpgS!$A:$G,6,0),)</f>
        <v>0.5750250322</v>
      </c>
      <c r="G48" s="451">
        <f>IFERROR(VLOOKUP($A48,CpgS!$A:$G,7,0),)</f>
        <v>0.1716492633</v>
      </c>
      <c r="H48" s="452"/>
      <c r="I48" s="450" t="str">
        <f>CpgS!A48</f>
        <v>QueOtaSaintz</v>
      </c>
      <c r="J48" s="453" t="str">
        <f t="shared" si="2"/>
        <v>B</v>
      </c>
      <c r="K48" s="453" t="str">
        <f t="shared" si="3"/>
        <v>B</v>
      </c>
      <c r="L48" s="453" t="str">
        <f t="shared" si="4"/>
        <v>B</v>
      </c>
      <c r="M48" s="453" t="str">
        <f t="shared" si="5"/>
        <v>C</v>
      </c>
      <c r="N48" s="470" t="str">
        <f t="shared" si="6"/>
        <v>D</v>
      </c>
      <c r="O48" s="470" t="str">
        <f t="shared" si="7"/>
        <v>B</v>
      </c>
      <c r="P48" s="128" t="str">
        <f t="shared" si="8"/>
        <v>C</v>
      </c>
      <c r="Q48" s="454">
        <f t="shared" si="9"/>
        <v>11.2</v>
      </c>
      <c r="R48" s="505"/>
      <c r="S48" s="513"/>
      <c r="T48" s="452"/>
      <c r="U48" s="496"/>
      <c r="V48" s="452"/>
      <c r="W48" s="452"/>
      <c r="X48" s="452"/>
      <c r="Y48" s="452"/>
      <c r="Z48" s="452"/>
    </row>
    <row r="49" ht="15.75" customHeight="1">
      <c r="A49" s="450" t="str">
        <f>CpgS!A49</f>
        <v>Rage More Nerd</v>
      </c>
      <c r="B49" s="451">
        <f>IFERROR(VLOOKUP($A49,CpgS!$A:$G,2,0),)</f>
        <v>0.0705513457</v>
      </c>
      <c r="C49" s="451">
        <f>IFERROR(VLOOKUP($A49,CpgS!$A:$G,3,0),)</f>
        <v>-0.6114449961</v>
      </c>
      <c r="D49" s="451">
        <f>IFERROR(VLOOKUP($A49,CpgS!$A:$G,4,0),)</f>
        <v>0.07839038411</v>
      </c>
      <c r="E49" s="451">
        <f>IFERROR(VLOOKUP($A49,CpgS!$A:$G,5,0),)</f>
        <v>0.02351711523</v>
      </c>
      <c r="F49" s="451">
        <f>IFERROR(VLOOKUP($A49,CpgS!$A:$G,6,0),)</f>
        <v>0.6114449961</v>
      </c>
      <c r="G49" s="451">
        <f>IFERROR(VLOOKUP($A49,CpgS!$A:$G,7,0),)</f>
        <v>0.1175855762</v>
      </c>
      <c r="H49" s="452"/>
      <c r="I49" s="450" t="str">
        <f>CpgS!A49</f>
        <v>Rage More Nerd</v>
      </c>
      <c r="J49" s="453" t="str">
        <f t="shared" si="2"/>
        <v>B</v>
      </c>
      <c r="K49" s="453" t="str">
        <f t="shared" si="3"/>
        <v>E</v>
      </c>
      <c r="L49" s="453" t="str">
        <f t="shared" si="4"/>
        <v>C</v>
      </c>
      <c r="M49" s="453" t="str">
        <f t="shared" si="5"/>
        <v>E</v>
      </c>
      <c r="N49" s="470" t="str">
        <f t="shared" si="6"/>
        <v>C</v>
      </c>
      <c r="O49" s="470" t="str">
        <f t="shared" si="7"/>
        <v>E</v>
      </c>
      <c r="P49" s="128" t="str">
        <f t="shared" si="8"/>
        <v>D</v>
      </c>
      <c r="Q49" s="454">
        <f t="shared" si="9"/>
        <v>7.1</v>
      </c>
      <c r="R49" s="505"/>
      <c r="S49" s="513"/>
      <c r="T49" s="452"/>
      <c r="U49" s="496"/>
      <c r="V49" s="452"/>
      <c r="W49" s="452"/>
      <c r="X49" s="452"/>
      <c r="Y49" s="452"/>
      <c r="Z49" s="452"/>
    </row>
    <row r="50" ht="15.75" customHeight="1">
      <c r="A50" s="450" t="str">
        <f>CpgS!A50</f>
        <v>RDG NHL</v>
      </c>
      <c r="B50" s="451">
        <f>IFERROR(VLOOKUP($A50,CpgS!$A:$G,2,0),)</f>
        <v>0.04158004158</v>
      </c>
      <c r="C50" s="451">
        <f>IFERROR(VLOOKUP($A50,CpgS!$A:$G,3,0),)</f>
        <v>0.1247401247</v>
      </c>
      <c r="D50" s="451">
        <f>IFERROR(VLOOKUP($A50,CpgS!$A:$G,4,0),)</f>
        <v>0.1871101871</v>
      </c>
      <c r="E50" s="451">
        <f>IFERROR(VLOOKUP($A50,CpgS!$A:$G,5,0),)</f>
        <v>0.04158004158</v>
      </c>
      <c r="F50" s="451">
        <f>IFERROR(VLOOKUP($A50,CpgS!$A:$G,6,0),)</f>
        <v>0.395010395</v>
      </c>
      <c r="G50" s="451">
        <f>IFERROR(VLOOKUP($A50,CpgS!$A:$G,7,0),)</f>
        <v>0.103950104</v>
      </c>
      <c r="H50" s="452"/>
      <c r="I50" s="450" t="str">
        <f>CpgS!A50</f>
        <v>RDG NHL</v>
      </c>
      <c r="J50" s="453" t="str">
        <f t="shared" si="2"/>
        <v>B</v>
      </c>
      <c r="K50" s="453" t="str">
        <f t="shared" si="3"/>
        <v>B</v>
      </c>
      <c r="L50" s="453" t="str">
        <f t="shared" si="4"/>
        <v>S</v>
      </c>
      <c r="M50" s="453" t="str">
        <f t="shared" si="5"/>
        <v>D</v>
      </c>
      <c r="N50" s="470" t="str">
        <f t="shared" si="6"/>
        <v>E</v>
      </c>
      <c r="O50" s="470" t="str">
        <f t="shared" si="7"/>
        <v>E</v>
      </c>
      <c r="P50" s="128" t="str">
        <f t="shared" si="8"/>
        <v>C</v>
      </c>
      <c r="Q50" s="454">
        <f t="shared" si="9"/>
        <v>8.9</v>
      </c>
      <c r="R50" s="505"/>
      <c r="S50" s="513"/>
      <c r="T50" s="452"/>
      <c r="U50" s="496"/>
      <c r="V50" s="452"/>
      <c r="W50" s="452"/>
      <c r="X50" s="452"/>
      <c r="Y50" s="452"/>
      <c r="Z50" s="452"/>
    </row>
    <row r="51" ht="15.75" customHeight="1">
      <c r="A51" s="450" t="str">
        <f>CpgS!A51</f>
        <v>Reyas</v>
      </c>
      <c r="B51" s="451">
        <f>IFERROR(VLOOKUP($A51,CpgS!$A:$G,2,0),)</f>
        <v>0.07189934092</v>
      </c>
      <c r="C51" s="451">
        <f>IFERROR(VLOOKUP($A51,CpgS!$A:$G,3,0),)</f>
        <v>-0.1258238466</v>
      </c>
      <c r="D51" s="451">
        <f>IFERROR(VLOOKUP($A51,CpgS!$A:$G,4,0),)</f>
        <v>0.1617735171</v>
      </c>
      <c r="E51" s="451">
        <f>IFERROR(VLOOKUP($A51,CpgS!$A:$G,5,0),)</f>
        <v>0.05392450569</v>
      </c>
      <c r="F51" s="451">
        <f>IFERROR(VLOOKUP($A51,CpgS!$A:$G,6,0),)</f>
        <v>0.6830437388</v>
      </c>
      <c r="G51" s="451">
        <f>IFERROR(VLOOKUP($A51,CpgS!$A:$G,7,0),)</f>
        <v>0.1078490114</v>
      </c>
      <c r="H51" s="452"/>
      <c r="I51" s="450" t="str">
        <f>CpgS!A51</f>
        <v>Reyas</v>
      </c>
      <c r="J51" s="453" t="str">
        <f t="shared" si="2"/>
        <v>B</v>
      </c>
      <c r="K51" s="453" t="str">
        <f t="shared" si="3"/>
        <v>D</v>
      </c>
      <c r="L51" s="453" t="str">
        <f t="shared" si="4"/>
        <v>S</v>
      </c>
      <c r="M51" s="453" t="str">
        <f t="shared" si="5"/>
        <v>C</v>
      </c>
      <c r="N51" s="470" t="str">
        <f t="shared" si="6"/>
        <v>B</v>
      </c>
      <c r="O51" s="470" t="str">
        <f t="shared" si="7"/>
        <v>E</v>
      </c>
      <c r="P51" s="128" t="str">
        <f t="shared" si="8"/>
        <v>C</v>
      </c>
      <c r="Q51" s="454">
        <f t="shared" si="9"/>
        <v>9.6</v>
      </c>
      <c r="R51" s="505"/>
      <c r="S51" s="513"/>
      <c r="T51" s="452"/>
      <c r="U51" s="496"/>
      <c r="V51" s="452"/>
      <c r="W51" s="452"/>
      <c r="X51" s="452"/>
      <c r="Y51" s="452"/>
      <c r="Z51" s="452"/>
    </row>
    <row r="52" ht="15.75" customHeight="1">
      <c r="A52" s="450" t="str">
        <f>CpgS!A52</f>
        <v>Sabasauros rex</v>
      </c>
      <c r="B52" s="451">
        <f>IFERROR(VLOOKUP($A52,CpgS!$A:$G,2,0),)</f>
        <v>0.05493786789</v>
      </c>
      <c r="C52" s="451">
        <f>IFERROR(VLOOKUP($A52,CpgS!$A:$G,3,0),)</f>
        <v>-0.09417920209</v>
      </c>
      <c r="D52" s="451">
        <f>IFERROR(VLOOKUP($A52,CpgS!$A:$G,4,0),)</f>
        <v>0.09417920209</v>
      </c>
      <c r="E52" s="451">
        <f>IFERROR(VLOOKUP($A52,CpgS!$A:$G,5,0),)</f>
        <v>0.05493786789</v>
      </c>
      <c r="F52" s="451">
        <f>IFERROR(VLOOKUP($A52,CpgS!$A:$G,6,0),)</f>
        <v>0.5572269457</v>
      </c>
      <c r="G52" s="451">
        <f>IFERROR(VLOOKUP($A52,CpgS!$A:$G,7,0),)</f>
        <v>0.1098757358</v>
      </c>
      <c r="H52" s="452"/>
      <c r="I52" s="450" t="str">
        <f>CpgS!A52</f>
        <v>Sabasauros rex</v>
      </c>
      <c r="J52" s="453" t="str">
        <f t="shared" si="2"/>
        <v>B</v>
      </c>
      <c r="K52" s="453" t="str">
        <f t="shared" si="3"/>
        <v>D</v>
      </c>
      <c r="L52" s="453" t="str">
        <f t="shared" si="4"/>
        <v>B</v>
      </c>
      <c r="M52" s="453" t="str">
        <f t="shared" si="5"/>
        <v>C</v>
      </c>
      <c r="N52" s="470" t="str">
        <f t="shared" si="6"/>
        <v>D</v>
      </c>
      <c r="O52" s="470" t="str">
        <f t="shared" si="7"/>
        <v>E</v>
      </c>
      <c r="P52" s="128" t="str">
        <f t="shared" si="8"/>
        <v>D</v>
      </c>
      <c r="Q52" s="454">
        <f t="shared" si="9"/>
        <v>8.4</v>
      </c>
      <c r="R52" s="505"/>
      <c r="S52" s="513"/>
      <c r="T52" s="452"/>
      <c r="U52" s="496"/>
      <c r="V52" s="452"/>
      <c r="W52" s="452"/>
      <c r="X52" s="452"/>
      <c r="Y52" s="452"/>
      <c r="Z52" s="452"/>
    </row>
    <row r="53" ht="15.75" customHeight="1">
      <c r="A53" s="450" t="str">
        <f>CpgS!A53</f>
        <v>ScarHead1995</v>
      </c>
      <c r="B53" s="451">
        <f>IFERROR(VLOOKUP($A53,CpgS!$A:$G,2,0),)</f>
        <v>0</v>
      </c>
      <c r="C53" s="451">
        <f>IFERROR(VLOOKUP($A53,CpgS!$A:$G,3,0),)</f>
        <v>-5.161290323</v>
      </c>
      <c r="D53" s="451">
        <f>IFERROR(VLOOKUP($A53,CpgS!$A:$G,4,0),)</f>
        <v>0</v>
      </c>
      <c r="E53" s="451">
        <f>IFERROR(VLOOKUP($A53,CpgS!$A:$G,5,0),)</f>
        <v>0</v>
      </c>
      <c r="F53" s="451">
        <f>IFERROR(VLOOKUP($A53,CpgS!$A:$G,6,0),)</f>
        <v>0</v>
      </c>
      <c r="G53" s="451">
        <f>IFERROR(VLOOKUP($A53,CpgS!$A:$G,7,0),)</f>
        <v>0</v>
      </c>
      <c r="H53" s="452"/>
      <c r="I53" s="450" t="str">
        <f>CpgS!A53</f>
        <v>ScarHead1995</v>
      </c>
      <c r="J53" s="453" t="str">
        <f t="shared" si="2"/>
        <v>F</v>
      </c>
      <c r="K53" s="453" t="str">
        <f t="shared" si="3"/>
        <v>F</v>
      </c>
      <c r="L53" s="453" t="str">
        <f t="shared" si="4"/>
        <v>F</v>
      </c>
      <c r="M53" s="453" t="str">
        <f t="shared" si="5"/>
        <v>F</v>
      </c>
      <c r="N53" s="470" t="str">
        <f t="shared" si="6"/>
        <v>F</v>
      </c>
      <c r="O53" s="470" t="str">
        <f t="shared" si="7"/>
        <v>F</v>
      </c>
      <c r="P53" s="128" t="str">
        <f t="shared" si="8"/>
        <v>F</v>
      </c>
      <c r="Q53" s="454">
        <f t="shared" si="9"/>
        <v>2.5</v>
      </c>
      <c r="R53" s="505"/>
      <c r="S53" s="513"/>
      <c r="T53" s="452"/>
      <c r="U53" s="496"/>
      <c r="V53" s="452"/>
      <c r="W53" s="452"/>
      <c r="X53" s="452"/>
      <c r="Y53" s="452"/>
      <c r="Z53" s="452"/>
    </row>
    <row r="54" ht="15.75" customHeight="1">
      <c r="A54" s="450" t="str">
        <f>CpgS!A54</f>
        <v>Scomancer</v>
      </c>
      <c r="B54" s="451">
        <f>IFERROR(VLOOKUP($A54,CpgS!$A:$G,2,0),)</f>
        <v>0.07083825266</v>
      </c>
      <c r="C54" s="451">
        <f>IFERROR(VLOOKUP($A54,CpgS!$A:$G,3,0),)</f>
        <v>0.9563164109</v>
      </c>
      <c r="D54" s="451">
        <f>IFERROR(VLOOKUP($A54,CpgS!$A:$G,4,0),)</f>
        <v>0.106257379</v>
      </c>
      <c r="E54" s="451">
        <f>IFERROR(VLOOKUP($A54,CpgS!$A:$G,5,0),)</f>
        <v>0.07083825266</v>
      </c>
      <c r="F54" s="451">
        <f>IFERROR(VLOOKUP($A54,CpgS!$A:$G,6,0),)</f>
        <v>0.6552538371</v>
      </c>
      <c r="G54" s="451">
        <f>IFERROR(VLOOKUP($A54,CpgS!$A:$G,7,0),)</f>
        <v>0.212514758</v>
      </c>
      <c r="H54" s="452"/>
      <c r="I54" s="450" t="str">
        <f>CpgS!A54</f>
        <v>Scomancer</v>
      </c>
      <c r="J54" s="453" t="str">
        <f t="shared" si="2"/>
        <v>B</v>
      </c>
      <c r="K54" s="453" t="str">
        <f t="shared" si="3"/>
        <v>S</v>
      </c>
      <c r="L54" s="453" t="str">
        <f t="shared" si="4"/>
        <v>B</v>
      </c>
      <c r="M54" s="453" t="str">
        <f t="shared" si="5"/>
        <v>B</v>
      </c>
      <c r="N54" s="470" t="str">
        <f t="shared" si="6"/>
        <v>C</v>
      </c>
      <c r="O54" s="470" t="str">
        <f t="shared" si="7"/>
        <v>A</v>
      </c>
      <c r="P54" s="128" t="str">
        <f t="shared" si="8"/>
        <v>B</v>
      </c>
      <c r="Q54" s="454">
        <f t="shared" si="9"/>
        <v>13.7</v>
      </c>
      <c r="R54" s="505"/>
      <c r="S54" s="513"/>
      <c r="T54" s="452"/>
      <c r="U54" s="496"/>
      <c r="V54" s="452"/>
      <c r="W54" s="452"/>
      <c r="X54" s="452"/>
      <c r="Y54" s="452"/>
      <c r="Z54" s="452"/>
    </row>
    <row r="55" ht="15.75" customHeight="1">
      <c r="A55" s="450" t="str">
        <f>CpgS!A55</f>
        <v>Silva</v>
      </c>
      <c r="B55" s="451">
        <f>IFERROR(VLOOKUP($A55,CpgS!$A:$G,2,0),)</f>
        <v>0.08733624454</v>
      </c>
      <c r="C55" s="451">
        <f>IFERROR(VLOOKUP($A55,CpgS!$A:$G,3,0),)</f>
        <v>0.07485963818</v>
      </c>
      <c r="D55" s="451">
        <f>IFERROR(VLOOKUP($A55,CpgS!$A:$G,4,0),)</f>
        <v>0.0998128509</v>
      </c>
      <c r="E55" s="451">
        <f>IFERROR(VLOOKUP($A55,CpgS!$A:$G,5,0),)</f>
        <v>0.06238303182</v>
      </c>
      <c r="F55" s="451">
        <f>IFERROR(VLOOKUP($A55,CpgS!$A:$G,6,0),)</f>
        <v>0.4865876482</v>
      </c>
      <c r="G55" s="451">
        <f>IFERROR(VLOOKUP($A55,CpgS!$A:$G,7,0),)</f>
        <v>0.0998128509</v>
      </c>
      <c r="H55" s="452"/>
      <c r="I55" s="450" t="str">
        <f>CpgS!A55</f>
        <v>Silva</v>
      </c>
      <c r="J55" s="453" t="str">
        <f t="shared" si="2"/>
        <v>A</v>
      </c>
      <c r="K55" s="453" t="str">
        <f t="shared" si="3"/>
        <v>B</v>
      </c>
      <c r="L55" s="453" t="str">
        <f t="shared" si="4"/>
        <v>B</v>
      </c>
      <c r="M55" s="453" t="str">
        <f t="shared" si="5"/>
        <v>B</v>
      </c>
      <c r="N55" s="470" t="str">
        <f t="shared" si="6"/>
        <v>E</v>
      </c>
      <c r="O55" s="470" t="str">
        <f t="shared" si="7"/>
        <v>E</v>
      </c>
      <c r="P55" s="128" t="str">
        <f t="shared" si="8"/>
        <v>C</v>
      </c>
      <c r="Q55" s="454">
        <f t="shared" si="9"/>
        <v>9.8</v>
      </c>
      <c r="R55" s="505"/>
      <c r="S55" s="513"/>
      <c r="T55" s="452"/>
      <c r="U55" s="496"/>
      <c r="V55" s="452"/>
      <c r="W55" s="452"/>
      <c r="X55" s="452"/>
      <c r="Y55" s="452"/>
      <c r="Z55" s="452"/>
    </row>
    <row r="56" ht="15.75" customHeight="1">
      <c r="A56" s="450" t="str">
        <f>CpgS!A56</f>
        <v>Solace VIII</v>
      </c>
      <c r="B56" s="451">
        <f>IFERROR(VLOOKUP($A56,CpgS!$A:$G,2,0),)</f>
        <v>0.185982435</v>
      </c>
      <c r="C56" s="451">
        <f>IFERROR(VLOOKUP($A56,CpgS!$A:$G,3,0),)</f>
        <v>0.1756500775</v>
      </c>
      <c r="D56" s="451">
        <f>IFERROR(VLOOKUP($A56,CpgS!$A:$G,4,0),)</f>
        <v>0.12398829</v>
      </c>
      <c r="E56" s="451">
        <f>IFERROR(VLOOKUP($A56,CpgS!$A:$G,5,0),)</f>
        <v>0.04132943</v>
      </c>
      <c r="F56" s="451">
        <f>IFERROR(VLOOKUP($A56,CpgS!$A:$G,6,0),)</f>
        <v>0.4856208025</v>
      </c>
      <c r="G56" s="451">
        <f>IFERROR(VLOOKUP($A56,CpgS!$A:$G,7,0),)</f>
        <v>0.0723265025</v>
      </c>
      <c r="H56" s="452"/>
      <c r="I56" s="450" t="str">
        <f>CpgS!A56</f>
        <v>Solace VIII</v>
      </c>
      <c r="J56" s="453" t="str">
        <f t="shared" si="2"/>
        <v>S</v>
      </c>
      <c r="K56" s="453" t="str">
        <f t="shared" si="3"/>
        <v>B</v>
      </c>
      <c r="L56" s="453" t="str">
        <f t="shared" si="4"/>
        <v>B</v>
      </c>
      <c r="M56" s="453" t="str">
        <f t="shared" si="5"/>
        <v>D</v>
      </c>
      <c r="N56" s="470" t="str">
        <f t="shared" si="6"/>
        <v>E</v>
      </c>
      <c r="O56" s="470" t="str">
        <f t="shared" si="7"/>
        <v>E</v>
      </c>
      <c r="P56" s="128" t="str">
        <f t="shared" si="8"/>
        <v>C</v>
      </c>
      <c r="Q56" s="454">
        <f t="shared" si="9"/>
        <v>9.1</v>
      </c>
      <c r="R56" s="505"/>
      <c r="S56" s="513"/>
      <c r="T56" s="452"/>
      <c r="U56" s="496"/>
      <c r="V56" s="452"/>
      <c r="W56" s="452"/>
      <c r="X56" s="452"/>
      <c r="Y56" s="452"/>
      <c r="Z56" s="452"/>
    </row>
    <row r="57" ht="15.75" customHeight="1">
      <c r="A57" s="450" t="str">
        <f>CpgS!A57</f>
        <v>The Piggies</v>
      </c>
      <c r="B57" s="451">
        <f>IFERROR(VLOOKUP($A57,CpgS!$A:$G,2,0),)</f>
        <v>0.02574886276</v>
      </c>
      <c r="C57" s="451">
        <f>IFERROR(VLOOKUP($A57,CpgS!$A:$G,3,0),)</f>
        <v>0.3347352159</v>
      </c>
      <c r="D57" s="451">
        <f>IFERROR(VLOOKUP($A57,CpgS!$A:$G,4,0),)</f>
        <v>0.08754613338</v>
      </c>
      <c r="E57" s="451">
        <f>IFERROR(VLOOKUP($A57,CpgS!$A:$G,5,0),)</f>
        <v>0.05664749807</v>
      </c>
      <c r="F57" s="451">
        <f>IFERROR(VLOOKUP($A57,CpgS!$A:$G,6,0),)</f>
        <v>0.74671702</v>
      </c>
      <c r="G57" s="451">
        <f>IFERROR(VLOOKUP($A57,CpgS!$A:$G,7,0),)</f>
        <v>0.1390438589</v>
      </c>
      <c r="H57" s="452"/>
      <c r="I57" s="450" t="str">
        <f>CpgS!A57</f>
        <v>The Piggies</v>
      </c>
      <c r="J57" s="453" t="str">
        <f t="shared" si="2"/>
        <v>D</v>
      </c>
      <c r="K57" s="453" t="str">
        <f t="shared" si="3"/>
        <v>B</v>
      </c>
      <c r="L57" s="453" t="str">
        <f t="shared" si="4"/>
        <v>B</v>
      </c>
      <c r="M57" s="453" t="str">
        <f t="shared" si="5"/>
        <v>C</v>
      </c>
      <c r="N57" s="470" t="str">
        <f t="shared" si="6"/>
        <v>A</v>
      </c>
      <c r="O57" s="470" t="str">
        <f t="shared" si="7"/>
        <v>C</v>
      </c>
      <c r="P57" s="128" t="str">
        <f t="shared" si="8"/>
        <v>C</v>
      </c>
      <c r="Q57" s="454">
        <f t="shared" si="9"/>
        <v>11.2</v>
      </c>
      <c r="R57" s="505"/>
      <c r="S57" s="513"/>
      <c r="T57" s="452"/>
      <c r="U57" s="496"/>
      <c r="V57" s="452"/>
      <c r="W57" s="452"/>
      <c r="X57" s="452"/>
      <c r="Y57" s="452"/>
      <c r="Z57" s="452"/>
    </row>
    <row r="58" ht="15.75" customHeight="1">
      <c r="A58" s="450" t="str">
        <f>CpgS!A58</f>
        <v>The Scet</v>
      </c>
      <c r="B58" s="451">
        <f>IFERROR(VLOOKUP($A58,CpgS!$A:$G,2,0),)</f>
        <v>0.01581027668</v>
      </c>
      <c r="C58" s="451">
        <f>IFERROR(VLOOKUP($A58,CpgS!$A:$G,3,0),)</f>
        <v>-0.09486166008</v>
      </c>
      <c r="D58" s="451">
        <f>IFERROR(VLOOKUP($A58,CpgS!$A:$G,4,0),)</f>
        <v>0.09486166008</v>
      </c>
      <c r="E58" s="451">
        <f>IFERROR(VLOOKUP($A58,CpgS!$A:$G,5,0),)</f>
        <v>0.0790513834</v>
      </c>
      <c r="F58" s="451">
        <f>IFERROR(VLOOKUP($A58,CpgS!$A:$G,6,0),)</f>
        <v>0.5375494071</v>
      </c>
      <c r="G58" s="451">
        <f>IFERROR(VLOOKUP($A58,CpgS!$A:$G,7,0),)</f>
        <v>0.1739130435</v>
      </c>
      <c r="H58" s="452"/>
      <c r="I58" s="450" t="str">
        <f>CpgS!A58</f>
        <v>The Scet</v>
      </c>
      <c r="J58" s="453" t="str">
        <f t="shared" si="2"/>
        <v>D</v>
      </c>
      <c r="K58" s="453" t="str">
        <f t="shared" si="3"/>
        <v>D</v>
      </c>
      <c r="L58" s="453" t="str">
        <f t="shared" si="4"/>
        <v>B</v>
      </c>
      <c r="M58" s="453" t="str">
        <f t="shared" si="5"/>
        <v>B</v>
      </c>
      <c r="N58" s="470" t="str">
        <f t="shared" si="6"/>
        <v>D</v>
      </c>
      <c r="O58" s="470" t="str">
        <f t="shared" si="7"/>
        <v>B</v>
      </c>
      <c r="P58" s="128" t="str">
        <f t="shared" si="8"/>
        <v>C</v>
      </c>
      <c r="Q58" s="454">
        <f t="shared" si="9"/>
        <v>10.1</v>
      </c>
      <c r="R58" s="505"/>
      <c r="S58" s="513"/>
      <c r="T58" s="452"/>
      <c r="U58" s="496"/>
      <c r="V58" s="452"/>
      <c r="W58" s="452"/>
      <c r="X58" s="452"/>
      <c r="Y58" s="452"/>
      <c r="Z58" s="452"/>
    </row>
    <row r="59" ht="15.75" customHeight="1">
      <c r="A59" s="450" t="str">
        <f>CpgS!A59</f>
        <v>TheAlphaTurtle</v>
      </c>
      <c r="B59" s="451">
        <f>IFERROR(VLOOKUP($A59,CpgS!$A:$G,2,0),)</f>
        <v>0.07641365257</v>
      </c>
      <c r="C59" s="451">
        <f>IFERROR(VLOOKUP($A59,CpgS!$A:$G,3,0),)</f>
        <v>0.2139582272</v>
      </c>
      <c r="D59" s="451">
        <f>IFERROR(VLOOKUP($A59,CpgS!$A:$G,4,0),)</f>
        <v>0.1375445746</v>
      </c>
      <c r="E59" s="451">
        <f>IFERROR(VLOOKUP($A59,CpgS!$A:$G,5,0),)</f>
        <v>0.06113092206</v>
      </c>
      <c r="F59" s="451">
        <f>IFERROR(VLOOKUP($A59,CpgS!$A:$G,6,0),)</f>
        <v>0.3820682629</v>
      </c>
      <c r="G59" s="451">
        <f>IFERROR(VLOOKUP($A59,CpgS!$A:$G,7,0),)</f>
        <v>0.03056546103</v>
      </c>
      <c r="H59" s="452"/>
      <c r="I59" s="450" t="str">
        <f>CpgS!A59</f>
        <v>TheAlphaTurtle</v>
      </c>
      <c r="J59" s="453" t="str">
        <f t="shared" si="2"/>
        <v>A</v>
      </c>
      <c r="K59" s="453" t="str">
        <f t="shared" si="3"/>
        <v>B</v>
      </c>
      <c r="L59" s="453" t="str">
        <f t="shared" si="4"/>
        <v>A</v>
      </c>
      <c r="M59" s="453" t="str">
        <f t="shared" si="5"/>
        <v>B</v>
      </c>
      <c r="N59" s="470" t="str">
        <f t="shared" si="6"/>
        <v>E</v>
      </c>
      <c r="O59" s="470" t="str">
        <f t="shared" si="7"/>
        <v>F</v>
      </c>
      <c r="P59" s="128" t="str">
        <f t="shared" si="8"/>
        <v>C</v>
      </c>
      <c r="Q59" s="454">
        <f t="shared" si="9"/>
        <v>9.4</v>
      </c>
      <c r="R59" s="505"/>
      <c r="S59" s="513"/>
      <c r="T59" s="452"/>
      <c r="U59" s="496"/>
      <c r="V59" s="452"/>
      <c r="W59" s="452"/>
      <c r="X59" s="452"/>
      <c r="Y59" s="452"/>
      <c r="Z59" s="452"/>
    </row>
    <row r="60" ht="15.75" customHeight="1">
      <c r="A60" s="450" t="str">
        <f>CpgS!A60</f>
        <v>TommyWstSide</v>
      </c>
      <c r="B60" s="451">
        <f>IFERROR(VLOOKUP($A60,CpgS!$A:$G,2,0),)</f>
        <v>0.01528273051</v>
      </c>
      <c r="C60" s="451">
        <f>IFERROR(VLOOKUP($A60,CpgS!$A:$G,3,0),)</f>
        <v>-0.4584819154</v>
      </c>
      <c r="D60" s="451">
        <f>IFERROR(VLOOKUP($A60,CpgS!$A:$G,4,0),)</f>
        <v>0.03056546103</v>
      </c>
      <c r="E60" s="451">
        <f>IFERROR(VLOOKUP($A60,CpgS!$A:$G,5,0),)</f>
        <v>0.03056546103</v>
      </c>
      <c r="F60" s="451">
        <f>IFERROR(VLOOKUP($A60,CpgS!$A:$G,6,0),)</f>
        <v>0.3973509934</v>
      </c>
      <c r="G60" s="451">
        <f>IFERROR(VLOOKUP($A60,CpgS!$A:$G,7,0),)</f>
        <v>0.1222618441</v>
      </c>
      <c r="H60" s="452"/>
      <c r="I60" s="450" t="str">
        <f>CpgS!A60</f>
        <v>TommyWstSide</v>
      </c>
      <c r="J60" s="453" t="str">
        <f t="shared" si="2"/>
        <v>D</v>
      </c>
      <c r="K60" s="453" t="str">
        <f t="shared" si="3"/>
        <v>E</v>
      </c>
      <c r="L60" s="453" t="str">
        <f t="shared" si="4"/>
        <v>F</v>
      </c>
      <c r="M60" s="453" t="str">
        <f t="shared" si="5"/>
        <v>D</v>
      </c>
      <c r="N60" s="470" t="str">
        <f t="shared" si="6"/>
        <v>E</v>
      </c>
      <c r="O60" s="470" t="str">
        <f t="shared" si="7"/>
        <v>D</v>
      </c>
      <c r="P60" s="128" t="str">
        <f t="shared" si="8"/>
        <v>E</v>
      </c>
      <c r="Q60" s="454">
        <f t="shared" si="9"/>
        <v>6.2</v>
      </c>
      <c r="R60" s="505"/>
      <c r="S60" s="513"/>
      <c r="T60" s="452"/>
      <c r="U60" s="496"/>
      <c r="V60" s="452"/>
      <c r="W60" s="452"/>
      <c r="X60" s="452"/>
      <c r="Y60" s="452"/>
      <c r="Z60" s="452"/>
    </row>
    <row r="61" ht="15.75" customHeight="1">
      <c r="A61" s="450" t="str">
        <f>CpgS!A61</f>
        <v>Wrecking Nerds</v>
      </c>
      <c r="B61" s="451">
        <f>IFERROR(VLOOKUP($A61,CpgS!$A:$G,2,0),)</f>
        <v>0</v>
      </c>
      <c r="C61" s="451">
        <f>IFERROR(VLOOKUP($A61,CpgS!$A:$G,3,0),)</f>
        <v>1.033057851</v>
      </c>
      <c r="D61" s="451">
        <f>IFERROR(VLOOKUP($A61,CpgS!$A:$G,4,0),)</f>
        <v>0.0826446281</v>
      </c>
      <c r="E61" s="451">
        <f>IFERROR(VLOOKUP($A61,CpgS!$A:$G,5,0),)</f>
        <v>0.0826446281</v>
      </c>
      <c r="F61" s="451">
        <f>IFERROR(VLOOKUP($A61,CpgS!$A:$G,6,0),)</f>
        <v>0.826446281</v>
      </c>
      <c r="G61" s="451">
        <f>IFERROR(VLOOKUP($A61,CpgS!$A:$G,7,0),)</f>
        <v>0.3305785124</v>
      </c>
      <c r="H61" s="452"/>
      <c r="I61" s="450" t="str">
        <f>CpgS!A61</f>
        <v>Wrecking Nerds</v>
      </c>
      <c r="J61" s="453" t="str">
        <f t="shared" si="2"/>
        <v>F</v>
      </c>
      <c r="K61" s="453" t="str">
        <f t="shared" si="3"/>
        <v>S</v>
      </c>
      <c r="L61" s="453" t="str">
        <f t="shared" si="4"/>
        <v>B</v>
      </c>
      <c r="M61" s="453" t="str">
        <f t="shared" si="5"/>
        <v>B</v>
      </c>
      <c r="N61" s="470" t="str">
        <f t="shared" si="6"/>
        <v>A</v>
      </c>
      <c r="O61" s="470" t="str">
        <f t="shared" si="7"/>
        <v>S</v>
      </c>
      <c r="P61" s="128" t="str">
        <f t="shared" si="8"/>
        <v>A</v>
      </c>
      <c r="Q61" s="454">
        <f t="shared" si="9"/>
        <v>13.9</v>
      </c>
      <c r="R61" s="505"/>
      <c r="S61" s="513"/>
      <c r="T61" s="452"/>
      <c r="U61" s="496"/>
      <c r="V61" s="452"/>
      <c r="W61" s="452"/>
      <c r="X61" s="452"/>
      <c r="Y61" s="452"/>
      <c r="Z61" s="452"/>
    </row>
    <row r="62" ht="15.75" customHeight="1">
      <c r="A62" s="450" t="str">
        <f>CpgS!A62</f>
        <v>Yejis Aegyo</v>
      </c>
      <c r="B62" s="451">
        <f>IFERROR(VLOOKUP($A62,CpgS!$A:$G,2,0),)</f>
        <v>0</v>
      </c>
      <c r="C62" s="451">
        <f>IFERROR(VLOOKUP($A62,CpgS!$A:$G,3,0),)</f>
        <v>0.7335973825</v>
      </c>
      <c r="D62" s="451">
        <f>IFERROR(VLOOKUP($A62,CpgS!$A:$G,4,0),)</f>
        <v>0.0723265025</v>
      </c>
      <c r="E62" s="451">
        <f>IFERROR(VLOOKUP($A62,CpgS!$A:$G,5,0),)</f>
        <v>0.0929912175</v>
      </c>
      <c r="F62" s="451">
        <f>IFERROR(VLOOKUP($A62,CpgS!$A:$G,6,0),)</f>
        <v>0.90924746</v>
      </c>
      <c r="G62" s="451">
        <f>IFERROR(VLOOKUP($A62,CpgS!$A:$G,7,0),)</f>
        <v>0.2789736525</v>
      </c>
      <c r="H62" s="452"/>
      <c r="I62" s="450" t="str">
        <f>CpgS!A62</f>
        <v>Yejis Aegyo</v>
      </c>
      <c r="J62" s="453" t="str">
        <f t="shared" si="2"/>
        <v>F</v>
      </c>
      <c r="K62" s="453" t="str">
        <f t="shared" si="3"/>
        <v>S</v>
      </c>
      <c r="L62" s="453" t="str">
        <f t="shared" si="4"/>
        <v>E</v>
      </c>
      <c r="M62" s="453" t="str">
        <f t="shared" si="5"/>
        <v>A</v>
      </c>
      <c r="N62" s="470" t="str">
        <f t="shared" si="6"/>
        <v>S</v>
      </c>
      <c r="O62" s="470" t="str">
        <f t="shared" si="7"/>
        <v>S</v>
      </c>
      <c r="P62" s="128" t="str">
        <f t="shared" si="8"/>
        <v>A</v>
      </c>
      <c r="Q62" s="454">
        <f t="shared" si="9"/>
        <v>14.2</v>
      </c>
      <c r="R62" s="505"/>
      <c r="S62" s="513"/>
      <c r="T62" s="452"/>
      <c r="U62" s="496"/>
      <c r="V62" s="452"/>
      <c r="W62" s="452"/>
      <c r="X62" s="452"/>
      <c r="Y62" s="452"/>
      <c r="Z62" s="452"/>
    </row>
    <row r="63" ht="15.75" customHeight="1">
      <c r="A63" s="450" t="str">
        <f>CpgS!A63</f>
        <v>yLuxe</v>
      </c>
      <c r="B63" s="451">
        <f>IFERROR(VLOOKUP($A63,CpgS!$A:$G,2,0),)</f>
        <v>0.05150214592</v>
      </c>
      <c r="C63" s="451">
        <f>IFERROR(VLOOKUP($A63,CpgS!$A:$G,3,0),)</f>
        <v>-0.4463519313</v>
      </c>
      <c r="D63" s="451">
        <f>IFERROR(VLOOKUP($A63,CpgS!$A:$G,4,0),)</f>
        <v>0.1459227468</v>
      </c>
      <c r="E63" s="451">
        <f>IFERROR(VLOOKUP($A63,CpgS!$A:$G,5,0),)</f>
        <v>0.05150214592</v>
      </c>
      <c r="F63" s="451">
        <f>IFERROR(VLOOKUP($A63,CpgS!$A:$G,6,0),)</f>
        <v>0.5751072961</v>
      </c>
      <c r="G63" s="451">
        <f>IFERROR(VLOOKUP($A63,CpgS!$A:$G,7,0),)</f>
        <v>0.1630901288</v>
      </c>
      <c r="H63" s="452"/>
      <c r="I63" s="450" t="str">
        <f>CpgS!A63</f>
        <v>yLuxe</v>
      </c>
      <c r="J63" s="453" t="str">
        <f t="shared" si="2"/>
        <v>B</v>
      </c>
      <c r="K63" s="453" t="str">
        <f t="shared" si="3"/>
        <v>E</v>
      </c>
      <c r="L63" s="453" t="str">
        <f t="shared" si="4"/>
        <v>A</v>
      </c>
      <c r="M63" s="453" t="str">
        <f t="shared" si="5"/>
        <v>C</v>
      </c>
      <c r="N63" s="470" t="str">
        <f t="shared" si="6"/>
        <v>D</v>
      </c>
      <c r="O63" s="470" t="str">
        <f t="shared" si="7"/>
        <v>B</v>
      </c>
      <c r="P63" s="128" t="str">
        <f t="shared" si="8"/>
        <v>C</v>
      </c>
      <c r="Q63" s="454">
        <f t="shared" si="9"/>
        <v>9.9</v>
      </c>
      <c r="R63" s="505"/>
      <c r="S63" s="513"/>
      <c r="T63" s="452"/>
      <c r="U63" s="496"/>
      <c r="V63" s="452"/>
      <c r="W63" s="452"/>
      <c r="X63" s="452"/>
      <c r="Y63" s="452"/>
      <c r="Z63" s="452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:P63">
    <cfRule type="cellIs" dxfId="0" priority="1" operator="equal">
      <formula>"F"</formula>
    </cfRule>
  </conditionalFormatting>
  <conditionalFormatting sqref="J1:P63">
    <cfRule type="cellIs" dxfId="1" priority="2" operator="equal">
      <formula>"E"</formula>
    </cfRule>
  </conditionalFormatting>
  <conditionalFormatting sqref="J1:P63">
    <cfRule type="cellIs" dxfId="2" priority="3" operator="equal">
      <formula>"D"</formula>
    </cfRule>
  </conditionalFormatting>
  <conditionalFormatting sqref="J1:P63">
    <cfRule type="cellIs" dxfId="6" priority="4" operator="equal">
      <formula>"C"</formula>
    </cfRule>
  </conditionalFormatting>
  <conditionalFormatting sqref="J1:P63">
    <cfRule type="cellIs" dxfId="5" priority="5" operator="equal">
      <formula>"B"</formula>
    </cfRule>
  </conditionalFormatting>
  <conditionalFormatting sqref="J1:P63">
    <cfRule type="cellIs" dxfId="13" priority="6" operator="equal">
      <formula>"A"</formula>
    </cfRule>
  </conditionalFormatting>
  <conditionalFormatting sqref="J1:P63">
    <cfRule type="cellIs" dxfId="14" priority="7" operator="equal">
      <formula>"S"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6" width="12.63"/>
  </cols>
  <sheetData>
    <row r="1" ht="15.75" customHeight="1">
      <c r="A1" s="421" t="s">
        <v>9</v>
      </c>
      <c r="B1" s="421" t="s">
        <v>424</v>
      </c>
      <c r="C1" s="421" t="s">
        <v>425</v>
      </c>
      <c r="D1" s="421" t="s">
        <v>426</v>
      </c>
      <c r="E1" s="421" t="s">
        <v>427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5.75" customHeight="1">
      <c r="A2" s="5" t="s">
        <v>15</v>
      </c>
      <c r="B2" s="23" t="s">
        <v>17</v>
      </c>
      <c r="C2" s="23">
        <v>21.4</v>
      </c>
    </row>
    <row r="3" ht="15.75" customHeight="1">
      <c r="A3" s="19" t="s">
        <v>20</v>
      </c>
      <c r="B3" s="23" t="s">
        <v>23</v>
      </c>
      <c r="C3" s="23">
        <v>11.2</v>
      </c>
    </row>
    <row r="4" ht="15.75" customHeight="1">
      <c r="A4" s="22" t="s">
        <v>21</v>
      </c>
    </row>
    <row r="5" ht="15.75" customHeight="1">
      <c r="A5" s="23" t="s">
        <v>22</v>
      </c>
      <c r="B5" s="23" t="s">
        <v>28</v>
      </c>
      <c r="C5" s="23">
        <v>13.1</v>
      </c>
    </row>
    <row r="6" ht="15.75" customHeight="1">
      <c r="A6" s="5" t="s">
        <v>24</v>
      </c>
      <c r="B6" s="23" t="s">
        <v>18</v>
      </c>
      <c r="C6" s="23">
        <v>22.1</v>
      </c>
    </row>
    <row r="7" ht="15.75" customHeight="1">
      <c r="A7" s="19" t="s">
        <v>26</v>
      </c>
    </row>
    <row r="8" ht="15.75" customHeight="1">
      <c r="A8" s="22" t="s">
        <v>27</v>
      </c>
    </row>
    <row r="9" ht="15.75" customHeight="1">
      <c r="A9" s="5" t="s">
        <v>30</v>
      </c>
    </row>
    <row r="10" ht="15.75" customHeight="1">
      <c r="A10" s="5" t="s">
        <v>31</v>
      </c>
      <c r="B10" s="23" t="s">
        <v>28</v>
      </c>
      <c r="C10" s="23">
        <v>14.8</v>
      </c>
    </row>
    <row r="11" ht="15.75" customHeight="1">
      <c r="A11" s="5" t="s">
        <v>33</v>
      </c>
      <c r="B11" s="23" t="s">
        <v>28</v>
      </c>
      <c r="C11" s="23">
        <v>13.3</v>
      </c>
    </row>
    <row r="12" ht="15.75" customHeight="1">
      <c r="A12" s="5" t="s">
        <v>34</v>
      </c>
      <c r="B12" s="23" t="s">
        <v>23</v>
      </c>
      <c r="C12" s="23">
        <v>10.2</v>
      </c>
    </row>
    <row r="13" ht="15.75" customHeight="1">
      <c r="A13" s="5" t="s">
        <v>36</v>
      </c>
      <c r="B13" s="23" t="s">
        <v>16</v>
      </c>
      <c r="C13" s="23">
        <v>16.1</v>
      </c>
    </row>
    <row r="14" ht="15.75" customHeight="1">
      <c r="A14" s="5" t="s">
        <v>38</v>
      </c>
    </row>
    <row r="15" ht="15.75" customHeight="1">
      <c r="A15" s="22" t="s">
        <v>39</v>
      </c>
    </row>
    <row r="16" ht="15.75" customHeight="1">
      <c r="A16" s="5" t="s">
        <v>40</v>
      </c>
      <c r="B16" s="23" t="s">
        <v>23</v>
      </c>
      <c r="C16" s="23">
        <v>9.1</v>
      </c>
    </row>
    <row r="17" ht="15.75" customHeight="1">
      <c r="A17" s="5" t="s">
        <v>41</v>
      </c>
      <c r="B17" s="23" t="s">
        <v>25</v>
      </c>
      <c r="C17" s="23">
        <v>7.0</v>
      </c>
    </row>
    <row r="18" ht="15.75" customHeight="1">
      <c r="A18" s="5" t="s">
        <v>42</v>
      </c>
      <c r="B18" s="23" t="s">
        <v>16</v>
      </c>
      <c r="C18" s="23">
        <v>16.1</v>
      </c>
    </row>
    <row r="19" ht="15.75" customHeight="1">
      <c r="A19" s="5" t="s">
        <v>43</v>
      </c>
    </row>
    <row r="20" ht="15.75" customHeight="1">
      <c r="A20" s="19" t="s">
        <v>44</v>
      </c>
    </row>
    <row r="21" ht="15.75" customHeight="1">
      <c r="A21" s="5" t="s">
        <v>45</v>
      </c>
      <c r="B21" s="23" t="s">
        <v>16</v>
      </c>
      <c r="C21" s="23">
        <v>16.0</v>
      </c>
    </row>
    <row r="22" ht="15.75" customHeight="1">
      <c r="A22" s="5" t="s">
        <v>46</v>
      </c>
      <c r="B22" s="23" t="s">
        <v>17</v>
      </c>
      <c r="C22" s="23">
        <v>20.5</v>
      </c>
    </row>
    <row r="23" ht="15.75" customHeight="1">
      <c r="A23" s="5" t="s">
        <v>47</v>
      </c>
      <c r="B23" s="23" t="s">
        <v>23</v>
      </c>
      <c r="C23" s="23">
        <v>11.4</v>
      </c>
    </row>
    <row r="24" ht="15.75" customHeight="1">
      <c r="A24" s="22" t="s">
        <v>48</v>
      </c>
    </row>
    <row r="25" ht="15.75" customHeight="1">
      <c r="A25" s="19" t="s">
        <v>49</v>
      </c>
    </row>
    <row r="26" ht="15.75" customHeight="1">
      <c r="A26" s="19" t="s">
        <v>50</v>
      </c>
    </row>
    <row r="27" ht="15.75" customHeight="1">
      <c r="A27" s="5" t="s">
        <v>51</v>
      </c>
    </row>
    <row r="28" ht="15.75" customHeight="1">
      <c r="A28" s="5" t="s">
        <v>52</v>
      </c>
    </row>
    <row r="29" ht="15.75" customHeight="1">
      <c r="A29" s="5" t="s">
        <v>53</v>
      </c>
      <c r="B29" s="23" t="s">
        <v>28</v>
      </c>
      <c r="C29" s="23">
        <v>12.8</v>
      </c>
    </row>
    <row r="30" ht="15.75" customHeight="1">
      <c r="A30" s="5" t="s">
        <v>54</v>
      </c>
    </row>
    <row r="31" ht="15.75" customHeight="1">
      <c r="A31" s="5" t="s">
        <v>55</v>
      </c>
      <c r="B31" s="23" t="s">
        <v>16</v>
      </c>
      <c r="C31" s="23">
        <v>15.5</v>
      </c>
    </row>
    <row r="32" ht="15.75" customHeight="1">
      <c r="A32" s="5" t="s">
        <v>56</v>
      </c>
      <c r="B32" s="23" t="s">
        <v>23</v>
      </c>
      <c r="C32" s="23">
        <v>9.6</v>
      </c>
    </row>
    <row r="33" ht="15.75" customHeight="1">
      <c r="A33" s="22" t="s">
        <v>57</v>
      </c>
    </row>
    <row r="34" ht="15.75" customHeight="1">
      <c r="A34" s="5" t="s">
        <v>60</v>
      </c>
      <c r="B34" s="23" t="s">
        <v>17</v>
      </c>
      <c r="C34" s="23">
        <v>21.3</v>
      </c>
    </row>
    <row r="35" ht="15.75" customHeight="1">
      <c r="A35" s="5" t="s">
        <v>61</v>
      </c>
      <c r="B35" s="23" t="s">
        <v>16</v>
      </c>
      <c r="C35" s="23">
        <v>16.6</v>
      </c>
    </row>
    <row r="36" ht="15.75" customHeight="1">
      <c r="A36" s="22" t="s">
        <v>63</v>
      </c>
    </row>
    <row r="37" ht="15.75" customHeight="1">
      <c r="A37" s="19" t="s">
        <v>64</v>
      </c>
    </row>
    <row r="38" ht="15.75" customHeight="1">
      <c r="A38" s="19" t="s">
        <v>65</v>
      </c>
      <c r="B38" s="23" t="s">
        <v>25</v>
      </c>
      <c r="C38" s="23">
        <v>6.0</v>
      </c>
    </row>
    <row r="39" ht="15.75" customHeight="1">
      <c r="A39" s="5" t="s">
        <v>67</v>
      </c>
    </row>
    <row r="40" ht="15.75" customHeight="1">
      <c r="A40" s="22" t="s">
        <v>68</v>
      </c>
    </row>
    <row r="41" ht="15.75" customHeight="1">
      <c r="A41" s="19" t="s">
        <v>69</v>
      </c>
    </row>
    <row r="42" ht="15.75" customHeight="1">
      <c r="A42" s="5" t="s">
        <v>70</v>
      </c>
    </row>
    <row r="43" ht="15.75" customHeight="1">
      <c r="A43" s="19" t="s">
        <v>71</v>
      </c>
    </row>
    <row r="44" ht="15.75" customHeight="1">
      <c r="A44" s="5" t="s">
        <v>72</v>
      </c>
      <c r="B44" s="23" t="s">
        <v>28</v>
      </c>
      <c r="C44" s="23">
        <v>14.8</v>
      </c>
    </row>
    <row r="45" ht="15.75" customHeight="1">
      <c r="A45" s="5" t="s">
        <v>73</v>
      </c>
      <c r="B45" s="23" t="s">
        <v>17</v>
      </c>
      <c r="C45" s="23">
        <v>19.8</v>
      </c>
    </row>
    <row r="46" ht="15.75" customHeight="1">
      <c r="A46" s="5" t="s">
        <v>75</v>
      </c>
      <c r="B46" s="23" t="s">
        <v>23</v>
      </c>
      <c r="C46" s="23">
        <v>8.9</v>
      </c>
    </row>
    <row r="47" ht="15.75" customHeight="1">
      <c r="A47" s="19" t="s">
        <v>78</v>
      </c>
      <c r="B47" s="23" t="s">
        <v>25</v>
      </c>
      <c r="C47" s="23">
        <v>8.2</v>
      </c>
    </row>
    <row r="48" ht="15.75" customHeight="1">
      <c r="A48" s="5" t="s">
        <v>79</v>
      </c>
      <c r="B48" s="23" t="s">
        <v>25</v>
      </c>
      <c r="C48" s="23">
        <v>7.2</v>
      </c>
    </row>
    <row r="49" ht="15.75" customHeight="1">
      <c r="A49" s="5" t="s">
        <v>80</v>
      </c>
      <c r="B49" s="23" t="s">
        <v>28</v>
      </c>
      <c r="C49" s="23">
        <v>13.8</v>
      </c>
    </row>
    <row r="50" ht="15.75" customHeight="1">
      <c r="A50" s="19" t="s">
        <v>81</v>
      </c>
    </row>
    <row r="51" ht="15.75" customHeight="1">
      <c r="A51" s="5" t="s">
        <v>82</v>
      </c>
      <c r="B51" s="23" t="s">
        <v>25</v>
      </c>
      <c r="C51" s="23">
        <v>6.8</v>
      </c>
    </row>
    <row r="52" ht="15.75" customHeight="1">
      <c r="A52" s="19" t="s">
        <v>83</v>
      </c>
    </row>
    <row r="53" ht="15.75" customHeight="1">
      <c r="A53" s="5" t="s">
        <v>84</v>
      </c>
      <c r="B53" s="23" t="s">
        <v>16</v>
      </c>
      <c r="C53" s="23">
        <v>16.3</v>
      </c>
    </row>
    <row r="54" ht="15.75" customHeight="1">
      <c r="A54" s="5" t="s">
        <v>85</v>
      </c>
      <c r="B54" s="23" t="s">
        <v>28</v>
      </c>
      <c r="C54" s="23">
        <v>12.0</v>
      </c>
    </row>
    <row r="55" ht="15.75" customHeight="1">
      <c r="A55" s="5" t="s">
        <v>86</v>
      </c>
    </row>
    <row r="56" ht="15.75" customHeight="1">
      <c r="A56" s="5" t="s">
        <v>87</v>
      </c>
    </row>
    <row r="57" ht="15.75" customHeight="1">
      <c r="A57" s="5" t="s">
        <v>88</v>
      </c>
      <c r="B57" s="23" t="s">
        <v>25</v>
      </c>
      <c r="C57" s="23">
        <v>7.8</v>
      </c>
    </row>
    <row r="58" ht="15.75" customHeight="1">
      <c r="A58" s="22" t="s">
        <v>90</v>
      </c>
    </row>
    <row r="59" ht="15.75" customHeight="1">
      <c r="A59" s="5" t="s">
        <v>92</v>
      </c>
    </row>
    <row r="60" ht="15.75" customHeight="1">
      <c r="A60" s="5" t="s">
        <v>93</v>
      </c>
    </row>
    <row r="61" ht="15.75" customHeight="1">
      <c r="A61" s="5" t="s">
        <v>94</v>
      </c>
    </row>
    <row r="62" ht="15.75" customHeight="1">
      <c r="A62" s="5" t="s">
        <v>95</v>
      </c>
    </row>
    <row r="63" ht="15.75" customHeight="1">
      <c r="A63" s="5" t="s">
        <v>97</v>
      </c>
    </row>
    <row r="64" ht="15.75" customHeight="1">
      <c r="A64" s="19" t="s">
        <v>98</v>
      </c>
      <c r="B64" s="23" t="s">
        <v>16</v>
      </c>
      <c r="C64" s="23">
        <v>16.5</v>
      </c>
    </row>
    <row r="65" ht="15.75" customHeight="1">
      <c r="A65" s="5" t="s">
        <v>99</v>
      </c>
      <c r="B65" s="23" t="s">
        <v>25</v>
      </c>
      <c r="C65" s="23">
        <v>5.0</v>
      </c>
    </row>
    <row r="66" ht="15.75" customHeight="1">
      <c r="A66" s="19" t="s">
        <v>100</v>
      </c>
    </row>
    <row r="67" ht="15.75" customHeight="1">
      <c r="A67" s="5" t="s">
        <v>102</v>
      </c>
      <c r="B67" s="23" t="s">
        <v>23</v>
      </c>
      <c r="C67" s="23">
        <v>10.2</v>
      </c>
    </row>
    <row r="68" ht="15.75" customHeight="1">
      <c r="A68" s="19" t="s">
        <v>103</v>
      </c>
      <c r="B68" s="23" t="s">
        <v>17</v>
      </c>
      <c r="C68" s="23">
        <v>19.7</v>
      </c>
    </row>
    <row r="69" ht="15.75" customHeight="1">
      <c r="A69" s="5" t="s">
        <v>104</v>
      </c>
      <c r="B69" s="23" t="s">
        <v>23</v>
      </c>
      <c r="C69" s="23">
        <v>9.7</v>
      </c>
    </row>
    <row r="70" ht="15.75" customHeight="1">
      <c r="A70" s="19" t="s">
        <v>105</v>
      </c>
    </row>
    <row r="71" ht="15.75" customHeight="1">
      <c r="A71" s="23" t="s">
        <v>106</v>
      </c>
    </row>
    <row r="72" ht="15.75" customHeight="1">
      <c r="A72" s="19" t="s">
        <v>107</v>
      </c>
      <c r="B72" s="23" t="s">
        <v>28</v>
      </c>
      <c r="C72" s="23">
        <v>11.8</v>
      </c>
    </row>
    <row r="73" ht="15.75" customHeight="1">
      <c r="A73" s="19" t="s">
        <v>108</v>
      </c>
    </row>
    <row r="74" ht="15.75" customHeight="1">
      <c r="A74" s="19" t="s">
        <v>109</v>
      </c>
    </row>
    <row r="75" ht="15.75" customHeight="1">
      <c r="A75" s="19" t="s">
        <v>110</v>
      </c>
    </row>
    <row r="76" ht="15.75" customHeight="1">
      <c r="A76" s="5" t="s">
        <v>111</v>
      </c>
    </row>
    <row r="77" ht="15.75" customHeight="1">
      <c r="A77" s="5" t="s">
        <v>112</v>
      </c>
    </row>
    <row r="78" ht="15.75" customHeight="1">
      <c r="A78" s="5" t="s">
        <v>113</v>
      </c>
      <c r="B78" s="23" t="s">
        <v>23</v>
      </c>
      <c r="C78" s="23">
        <v>8.7</v>
      </c>
    </row>
    <row r="79" ht="15.75" customHeight="1">
      <c r="A79" s="5" t="s">
        <v>114</v>
      </c>
      <c r="B79" s="23" t="s">
        <v>25</v>
      </c>
      <c r="C79" s="23">
        <v>7.1</v>
      </c>
    </row>
    <row r="80" ht="15.75" customHeight="1">
      <c r="A80" s="5" t="s">
        <v>115</v>
      </c>
      <c r="B80" s="23" t="s">
        <v>23</v>
      </c>
      <c r="C80" s="23">
        <v>11.0</v>
      </c>
    </row>
    <row r="81" ht="15.75" customHeight="1">
      <c r="A81" s="19" t="s">
        <v>116</v>
      </c>
    </row>
    <row r="82" ht="15.75" customHeight="1">
      <c r="A82" s="5" t="s">
        <v>117</v>
      </c>
      <c r="B82" s="23" t="s">
        <v>16</v>
      </c>
      <c r="C82" s="23">
        <v>14.9</v>
      </c>
    </row>
    <row r="83" ht="15.75" customHeight="1">
      <c r="A83" s="5" t="s">
        <v>118</v>
      </c>
    </row>
    <row r="84" ht="15.75" customHeight="1">
      <c r="A84" s="5" t="s">
        <v>119</v>
      </c>
    </row>
    <row r="85" ht="15.75" customHeight="1">
      <c r="A85" s="19" t="s">
        <v>120</v>
      </c>
    </row>
    <row r="86" ht="15.75" customHeight="1">
      <c r="A86" s="5" t="s">
        <v>121</v>
      </c>
      <c r="B86" s="23" t="s">
        <v>17</v>
      </c>
      <c r="C86" s="23">
        <v>20.1</v>
      </c>
    </row>
    <row r="87" ht="15.75" customHeight="1">
      <c r="A87" s="5" t="s">
        <v>123</v>
      </c>
    </row>
    <row r="88" ht="15.75" customHeight="1">
      <c r="A88" s="5" t="s">
        <v>124</v>
      </c>
    </row>
    <row r="89" ht="15.75" customHeight="1">
      <c r="A89" s="19" t="s">
        <v>125</v>
      </c>
    </row>
    <row r="90" ht="15.75" customHeight="1">
      <c r="A90" s="5" t="s">
        <v>126</v>
      </c>
      <c r="B90" s="23" t="s">
        <v>28</v>
      </c>
      <c r="C90" s="23">
        <v>14.1</v>
      </c>
    </row>
    <row r="91" ht="15.75" customHeight="1">
      <c r="A91" s="5" t="s">
        <v>127</v>
      </c>
      <c r="B91" s="23" t="s">
        <v>28</v>
      </c>
      <c r="C91" s="23">
        <v>14.5</v>
      </c>
    </row>
    <row r="92" ht="15.75" customHeight="1">
      <c r="A92" s="19" t="s">
        <v>128</v>
      </c>
    </row>
    <row r="93" ht="15.75" customHeight="1">
      <c r="A93" s="5" t="s">
        <v>129</v>
      </c>
      <c r="B93" s="23" t="s">
        <v>28</v>
      </c>
      <c r="C93" s="23">
        <v>13.7</v>
      </c>
    </row>
    <row r="94" ht="15.75" customHeight="1">
      <c r="A94" s="19" t="s">
        <v>130</v>
      </c>
    </row>
    <row r="95" ht="15.75" customHeight="1">
      <c r="A95" s="5" t="s">
        <v>131</v>
      </c>
      <c r="B95" s="23" t="s">
        <v>17</v>
      </c>
      <c r="C95" s="23">
        <v>18.6</v>
      </c>
    </row>
    <row r="96" ht="15.75" customHeight="1">
      <c r="A96" s="19" t="s">
        <v>132</v>
      </c>
    </row>
    <row r="97" ht="15.75" customHeight="1">
      <c r="A97" s="19" t="s">
        <v>133</v>
      </c>
      <c r="B97" s="23" t="s">
        <v>17</v>
      </c>
      <c r="C97" s="23">
        <v>19.4</v>
      </c>
    </row>
    <row r="98" ht="15.75" customHeight="1">
      <c r="A98" s="5" t="s">
        <v>136</v>
      </c>
      <c r="B98" s="23" t="s">
        <v>16</v>
      </c>
      <c r="C98" s="23">
        <v>14.9</v>
      </c>
    </row>
    <row r="99" ht="15.75" customHeight="1">
      <c r="A99" s="5" t="s">
        <v>137</v>
      </c>
    </row>
    <row r="100" ht="15.75" customHeight="1">
      <c r="A100" s="5" t="s">
        <v>138</v>
      </c>
    </row>
    <row r="101" ht="15.75" customHeight="1">
      <c r="A101" s="19" t="s">
        <v>139</v>
      </c>
      <c r="B101" s="23" t="s">
        <v>25</v>
      </c>
      <c r="C101" s="23">
        <v>7.7</v>
      </c>
    </row>
    <row r="102" ht="15.75" customHeight="1">
      <c r="A102" s="5" t="s">
        <v>140</v>
      </c>
    </row>
    <row r="103" ht="15.75" customHeight="1">
      <c r="A103" s="5" t="s">
        <v>142</v>
      </c>
    </row>
    <row r="104" ht="15.75" customHeight="1">
      <c r="A104" s="5" t="s">
        <v>144</v>
      </c>
      <c r="B104" s="23" t="s">
        <v>17</v>
      </c>
      <c r="C104" s="23">
        <v>18.8</v>
      </c>
    </row>
    <row r="105" ht="15.75" customHeight="1">
      <c r="A105" s="19" t="s">
        <v>145</v>
      </c>
    </row>
    <row r="106" ht="15.75" customHeight="1">
      <c r="A106" s="5" t="s">
        <v>146</v>
      </c>
    </row>
    <row r="107" ht="15.75" customHeight="1">
      <c r="A107" s="19" t="s">
        <v>147</v>
      </c>
    </row>
    <row r="108" ht="15.75" customHeight="1">
      <c r="A108" s="5" t="s">
        <v>148</v>
      </c>
    </row>
    <row r="109" ht="15.75" customHeight="1">
      <c r="A109" s="5" t="s">
        <v>149</v>
      </c>
    </row>
    <row r="110" ht="15.75" customHeight="1">
      <c r="A110" s="19" t="s">
        <v>150</v>
      </c>
    </row>
    <row r="111" ht="15.75" customHeight="1">
      <c r="A111" s="5" t="s">
        <v>151</v>
      </c>
    </row>
    <row r="112" ht="15.75" customHeight="1">
      <c r="A112" s="19" t="s">
        <v>152</v>
      </c>
    </row>
    <row r="113" ht="15.75" customHeight="1">
      <c r="A113" s="19" t="s">
        <v>153</v>
      </c>
      <c r="B113" s="23" t="s">
        <v>23</v>
      </c>
      <c r="C113" s="23">
        <v>8.8</v>
      </c>
    </row>
    <row r="114" ht="15.75" customHeight="1">
      <c r="A114" s="5" t="s">
        <v>154</v>
      </c>
    </row>
    <row r="115" ht="15.75" customHeight="1">
      <c r="A115" s="5" t="s">
        <v>155</v>
      </c>
      <c r="B115" s="23" t="s">
        <v>28</v>
      </c>
      <c r="C115" s="23">
        <v>13.2</v>
      </c>
    </row>
    <row r="116" ht="15.75" customHeight="1">
      <c r="A116" s="19" t="s">
        <v>156</v>
      </c>
    </row>
    <row r="117" ht="15.75" customHeight="1">
      <c r="A117" s="5" t="s">
        <v>157</v>
      </c>
    </row>
    <row r="118" ht="15.75" customHeight="1">
      <c r="A118" s="5" t="s">
        <v>159</v>
      </c>
    </row>
    <row r="119" ht="15.75" customHeight="1">
      <c r="A119" s="22" t="s">
        <v>160</v>
      </c>
    </row>
    <row r="120" ht="15.75" customHeight="1">
      <c r="A120" s="5" t="s">
        <v>162</v>
      </c>
    </row>
    <row r="121" ht="15.75" customHeight="1">
      <c r="A121" s="19" t="s">
        <v>163</v>
      </c>
    </row>
    <row r="122" ht="15.75" customHeight="1">
      <c r="A122" s="5" t="s">
        <v>164</v>
      </c>
      <c r="B122" s="23" t="s">
        <v>23</v>
      </c>
      <c r="C122" s="23">
        <v>10.6</v>
      </c>
    </row>
    <row r="123" ht="15.75" customHeight="1">
      <c r="A123" s="22" t="s">
        <v>166</v>
      </c>
    </row>
    <row r="124" ht="15.75" customHeight="1">
      <c r="A124" s="5" t="s">
        <v>167</v>
      </c>
    </row>
    <row r="125" ht="15.75" customHeight="1">
      <c r="A125" s="5" t="s">
        <v>168</v>
      </c>
      <c r="B125" s="23" t="s">
        <v>16</v>
      </c>
      <c r="C125" s="23">
        <v>17.9</v>
      </c>
    </row>
    <row r="126" ht="15.75" customHeight="1">
      <c r="A126" s="5" t="s">
        <v>169</v>
      </c>
      <c r="B126" s="23" t="s">
        <v>23</v>
      </c>
      <c r="C126" s="23">
        <v>11.2</v>
      </c>
    </row>
    <row r="127" ht="15.75" customHeight="1">
      <c r="A127" s="19" t="s">
        <v>170</v>
      </c>
    </row>
    <row r="128" ht="15.75" customHeight="1">
      <c r="A128" s="5" t="s">
        <v>171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6" width="12.63"/>
  </cols>
  <sheetData>
    <row r="1" ht="15.75" customHeight="1">
      <c r="A1" s="421" t="s">
        <v>9</v>
      </c>
    </row>
    <row r="2" ht="15.75" customHeight="1">
      <c r="A2" s="5" t="s">
        <v>15</v>
      </c>
    </row>
    <row r="3" ht="15.75" customHeight="1">
      <c r="A3" s="19" t="s">
        <v>20</v>
      </c>
    </row>
    <row r="4" ht="15.75" customHeight="1">
      <c r="A4" s="22" t="s">
        <v>21</v>
      </c>
    </row>
    <row r="5" ht="15.75" customHeight="1">
      <c r="A5" s="23" t="s">
        <v>22</v>
      </c>
    </row>
    <row r="6" ht="15.75" customHeight="1">
      <c r="A6" s="5" t="s">
        <v>24</v>
      </c>
    </row>
    <row r="7" ht="15.75" customHeight="1">
      <c r="A7" s="19" t="s">
        <v>26</v>
      </c>
    </row>
    <row r="8" ht="15.75" customHeight="1">
      <c r="A8" s="22" t="s">
        <v>27</v>
      </c>
    </row>
    <row r="9" ht="15.75" customHeight="1">
      <c r="A9" s="5" t="s">
        <v>30</v>
      </c>
    </row>
    <row r="10" ht="15.75" customHeight="1">
      <c r="A10" s="5" t="s">
        <v>31</v>
      </c>
    </row>
    <row r="11" ht="15.75" customHeight="1">
      <c r="A11" s="5" t="s">
        <v>33</v>
      </c>
    </row>
    <row r="12" ht="15.75" customHeight="1">
      <c r="A12" s="5" t="s">
        <v>34</v>
      </c>
    </row>
    <row r="13" ht="15.75" customHeight="1">
      <c r="A13" s="5" t="s">
        <v>36</v>
      </c>
    </row>
    <row r="14" ht="15.75" customHeight="1">
      <c r="A14" s="5" t="s">
        <v>38</v>
      </c>
    </row>
    <row r="15" ht="15.75" customHeight="1">
      <c r="A15" s="22" t="s">
        <v>39</v>
      </c>
    </row>
    <row r="16" ht="15.75" customHeight="1">
      <c r="A16" s="5" t="s">
        <v>40</v>
      </c>
    </row>
    <row r="17" ht="15.75" customHeight="1">
      <c r="A17" s="5" t="s">
        <v>41</v>
      </c>
    </row>
    <row r="18" ht="15.75" customHeight="1">
      <c r="A18" s="5" t="s">
        <v>42</v>
      </c>
    </row>
    <row r="19" ht="15.75" customHeight="1">
      <c r="A19" s="5" t="s">
        <v>43</v>
      </c>
    </row>
    <row r="20" ht="15.75" customHeight="1">
      <c r="A20" s="19" t="s">
        <v>44</v>
      </c>
    </row>
    <row r="21" ht="15.75" customHeight="1">
      <c r="A21" s="5" t="s">
        <v>45</v>
      </c>
    </row>
    <row r="22" ht="15.75" customHeight="1">
      <c r="A22" s="5" t="s">
        <v>46</v>
      </c>
    </row>
    <row r="23" ht="15.75" customHeight="1">
      <c r="A23" s="5" t="s">
        <v>47</v>
      </c>
    </row>
    <row r="24" ht="15.75" customHeight="1">
      <c r="A24" s="22" t="s">
        <v>48</v>
      </c>
    </row>
    <row r="25" ht="15.75" customHeight="1">
      <c r="A25" s="19" t="s">
        <v>49</v>
      </c>
    </row>
    <row r="26" ht="15.75" customHeight="1">
      <c r="A26" s="19" t="s">
        <v>50</v>
      </c>
    </row>
    <row r="27" ht="15.75" customHeight="1">
      <c r="A27" s="5" t="s">
        <v>51</v>
      </c>
    </row>
    <row r="28" ht="15.75" customHeight="1">
      <c r="A28" s="5" t="s">
        <v>52</v>
      </c>
    </row>
    <row r="29" ht="15.75" customHeight="1">
      <c r="A29" s="5" t="s">
        <v>53</v>
      </c>
    </row>
    <row r="30" ht="15.75" customHeight="1">
      <c r="A30" s="5" t="s">
        <v>54</v>
      </c>
    </row>
    <row r="31" ht="15.75" customHeight="1">
      <c r="A31" s="5" t="s">
        <v>55</v>
      </c>
    </row>
    <row r="32" ht="15.75" customHeight="1">
      <c r="A32" s="5" t="s">
        <v>56</v>
      </c>
    </row>
    <row r="33" ht="15.75" customHeight="1">
      <c r="A33" s="22" t="s">
        <v>57</v>
      </c>
    </row>
    <row r="34" ht="15.75" customHeight="1">
      <c r="A34" s="5" t="s">
        <v>60</v>
      </c>
    </row>
    <row r="35" ht="15.75" customHeight="1">
      <c r="A35" s="5" t="s">
        <v>61</v>
      </c>
    </row>
    <row r="36" ht="15.75" customHeight="1">
      <c r="A36" s="22" t="s">
        <v>63</v>
      </c>
    </row>
    <row r="37" ht="15.75" customHeight="1">
      <c r="A37" s="19" t="s">
        <v>64</v>
      </c>
    </row>
    <row r="38" ht="15.75" customHeight="1">
      <c r="A38" s="19" t="s">
        <v>65</v>
      </c>
    </row>
    <row r="39" ht="15.75" customHeight="1">
      <c r="A39" s="5" t="s">
        <v>67</v>
      </c>
    </row>
    <row r="40" ht="15.75" customHeight="1">
      <c r="A40" s="22" t="s">
        <v>68</v>
      </c>
    </row>
    <row r="41" ht="15.75" customHeight="1">
      <c r="A41" s="19" t="s">
        <v>69</v>
      </c>
    </row>
    <row r="42" ht="15.75" customHeight="1">
      <c r="A42" s="5" t="s">
        <v>70</v>
      </c>
    </row>
    <row r="43" ht="15.75" customHeight="1">
      <c r="A43" s="19" t="s">
        <v>71</v>
      </c>
    </row>
    <row r="44" ht="15.75" customHeight="1">
      <c r="A44" s="5" t="s">
        <v>72</v>
      </c>
    </row>
    <row r="45" ht="15.75" customHeight="1">
      <c r="A45" s="5" t="s">
        <v>73</v>
      </c>
    </row>
    <row r="46" ht="15.75" customHeight="1">
      <c r="A46" s="5" t="s">
        <v>75</v>
      </c>
    </row>
    <row r="47" ht="15.75" customHeight="1">
      <c r="A47" s="19" t="s">
        <v>78</v>
      </c>
    </row>
    <row r="48" ht="15.75" customHeight="1">
      <c r="A48" s="5" t="s">
        <v>79</v>
      </c>
    </row>
    <row r="49" ht="15.75" customHeight="1">
      <c r="A49" s="5" t="s">
        <v>80</v>
      </c>
    </row>
    <row r="50" ht="15.75" customHeight="1">
      <c r="A50" s="19" t="s">
        <v>81</v>
      </c>
    </row>
    <row r="51" ht="15.75" customHeight="1">
      <c r="A51" s="5" t="s">
        <v>82</v>
      </c>
    </row>
    <row r="52" ht="15.75" customHeight="1">
      <c r="A52" s="19" t="s">
        <v>83</v>
      </c>
    </row>
    <row r="53" ht="15.75" customHeight="1">
      <c r="A53" s="5" t="s">
        <v>84</v>
      </c>
    </row>
    <row r="54" ht="15.75" customHeight="1">
      <c r="A54" s="5" t="s">
        <v>85</v>
      </c>
    </row>
    <row r="55" ht="15.75" customHeight="1">
      <c r="A55" s="5" t="s">
        <v>86</v>
      </c>
    </row>
    <row r="56" ht="15.75" customHeight="1">
      <c r="A56" s="5" t="s">
        <v>87</v>
      </c>
    </row>
    <row r="57" ht="15.75" customHeight="1">
      <c r="A57" s="5" t="s">
        <v>88</v>
      </c>
    </row>
    <row r="58" ht="15.75" customHeight="1">
      <c r="A58" s="22" t="s">
        <v>90</v>
      </c>
    </row>
    <row r="59" ht="15.75" customHeight="1">
      <c r="A59" s="5" t="s">
        <v>92</v>
      </c>
    </row>
    <row r="60" ht="15.75" customHeight="1">
      <c r="A60" s="5" t="s">
        <v>93</v>
      </c>
    </row>
    <row r="61" ht="15.75" customHeight="1">
      <c r="A61" s="5" t="s">
        <v>94</v>
      </c>
    </row>
    <row r="62" ht="15.75" customHeight="1">
      <c r="A62" s="5" t="s">
        <v>95</v>
      </c>
    </row>
    <row r="63" ht="15.75" customHeight="1">
      <c r="A63" s="5" t="s">
        <v>97</v>
      </c>
    </row>
    <row r="64" ht="15.75" customHeight="1">
      <c r="A64" s="19" t="s">
        <v>98</v>
      </c>
    </row>
    <row r="65" ht="15.75" customHeight="1">
      <c r="A65" s="5" t="s">
        <v>99</v>
      </c>
    </row>
    <row r="66" ht="15.75" customHeight="1">
      <c r="A66" s="19" t="s">
        <v>100</v>
      </c>
    </row>
    <row r="67" ht="15.75" customHeight="1">
      <c r="A67" s="5" t="s">
        <v>102</v>
      </c>
    </row>
    <row r="68" ht="15.75" customHeight="1">
      <c r="A68" s="19" t="s">
        <v>103</v>
      </c>
    </row>
    <row r="69" ht="15.75" customHeight="1">
      <c r="A69" s="5" t="s">
        <v>104</v>
      </c>
    </row>
    <row r="70" ht="15.75" customHeight="1">
      <c r="A70" s="19" t="s">
        <v>105</v>
      </c>
    </row>
    <row r="71" ht="15.75" customHeight="1">
      <c r="A71" s="23" t="s">
        <v>106</v>
      </c>
    </row>
    <row r="72" ht="15.75" customHeight="1">
      <c r="A72" s="19" t="s">
        <v>107</v>
      </c>
    </row>
    <row r="73" ht="15.75" customHeight="1">
      <c r="A73" s="19" t="s">
        <v>108</v>
      </c>
    </row>
    <row r="74" ht="15.75" customHeight="1">
      <c r="A74" s="19" t="s">
        <v>109</v>
      </c>
    </row>
    <row r="75" ht="15.75" customHeight="1">
      <c r="A75" s="19" t="s">
        <v>110</v>
      </c>
    </row>
    <row r="76" ht="15.75" customHeight="1">
      <c r="A76" s="5" t="s">
        <v>111</v>
      </c>
    </row>
    <row r="77" ht="15.75" customHeight="1">
      <c r="A77" s="5" t="s">
        <v>112</v>
      </c>
    </row>
    <row r="78" ht="15.75" customHeight="1">
      <c r="A78" s="5" t="s">
        <v>113</v>
      </c>
    </row>
    <row r="79" ht="15.75" customHeight="1">
      <c r="A79" s="5" t="s">
        <v>114</v>
      </c>
    </row>
    <row r="80" ht="15.75" customHeight="1">
      <c r="A80" s="5" t="s">
        <v>115</v>
      </c>
    </row>
    <row r="81" ht="15.75" customHeight="1">
      <c r="A81" s="19" t="s">
        <v>116</v>
      </c>
    </row>
    <row r="82" ht="15.75" customHeight="1">
      <c r="A82" s="5" t="s">
        <v>117</v>
      </c>
    </row>
    <row r="83" ht="15.75" customHeight="1">
      <c r="A83" s="5" t="s">
        <v>118</v>
      </c>
    </row>
    <row r="84" ht="15.75" customHeight="1">
      <c r="A84" s="5" t="s">
        <v>119</v>
      </c>
    </row>
    <row r="85" ht="15.75" customHeight="1">
      <c r="A85" s="19" t="s">
        <v>120</v>
      </c>
    </row>
    <row r="86" ht="15.75" customHeight="1">
      <c r="A86" s="5" t="s">
        <v>121</v>
      </c>
    </row>
    <row r="87" ht="15.75" customHeight="1">
      <c r="A87" s="5" t="s">
        <v>123</v>
      </c>
    </row>
    <row r="88" ht="15.75" customHeight="1">
      <c r="A88" s="5" t="s">
        <v>124</v>
      </c>
    </row>
    <row r="89" ht="15.75" customHeight="1">
      <c r="A89" s="19" t="s">
        <v>125</v>
      </c>
    </row>
    <row r="90" ht="15.75" customHeight="1">
      <c r="A90" s="5" t="s">
        <v>126</v>
      </c>
    </row>
    <row r="91" ht="15.75" customHeight="1">
      <c r="A91" s="5" t="s">
        <v>127</v>
      </c>
    </row>
    <row r="92" ht="15.75" customHeight="1">
      <c r="A92" s="19" t="s">
        <v>128</v>
      </c>
    </row>
    <row r="93" ht="15.75" customHeight="1">
      <c r="A93" s="5" t="s">
        <v>129</v>
      </c>
    </row>
    <row r="94" ht="15.75" customHeight="1">
      <c r="A94" s="19" t="s">
        <v>130</v>
      </c>
    </row>
    <row r="95" ht="15.75" customHeight="1">
      <c r="A95" s="5" t="s">
        <v>131</v>
      </c>
    </row>
    <row r="96" ht="15.75" customHeight="1">
      <c r="A96" s="19" t="s">
        <v>132</v>
      </c>
    </row>
    <row r="97" ht="15.75" customHeight="1">
      <c r="A97" s="19" t="s">
        <v>133</v>
      </c>
    </row>
    <row r="98" ht="15.75" customHeight="1">
      <c r="A98" s="5" t="s">
        <v>136</v>
      </c>
    </row>
    <row r="99" ht="15.75" customHeight="1">
      <c r="A99" s="5" t="s">
        <v>137</v>
      </c>
    </row>
    <row r="100" ht="15.75" customHeight="1">
      <c r="A100" s="5" t="s">
        <v>138</v>
      </c>
    </row>
    <row r="101" ht="15.75" customHeight="1">
      <c r="A101" s="19" t="s">
        <v>139</v>
      </c>
    </row>
    <row r="102" ht="15.75" customHeight="1">
      <c r="A102" s="5" t="s">
        <v>140</v>
      </c>
    </row>
    <row r="103" ht="15.75" customHeight="1">
      <c r="A103" s="5" t="s">
        <v>142</v>
      </c>
    </row>
    <row r="104" ht="15.75" customHeight="1">
      <c r="A104" s="5" t="s">
        <v>144</v>
      </c>
    </row>
    <row r="105" ht="15.75" customHeight="1">
      <c r="A105" s="19" t="s">
        <v>145</v>
      </c>
    </row>
    <row r="106" ht="15.75" customHeight="1">
      <c r="A106" s="5" t="s">
        <v>146</v>
      </c>
    </row>
    <row r="107" ht="15.75" customHeight="1">
      <c r="A107" s="19" t="s">
        <v>147</v>
      </c>
    </row>
    <row r="108" ht="15.75" customHeight="1">
      <c r="A108" s="5" t="s">
        <v>148</v>
      </c>
    </row>
    <row r="109" ht="15.75" customHeight="1">
      <c r="A109" s="5" t="s">
        <v>149</v>
      </c>
    </row>
    <row r="110" ht="15.75" customHeight="1">
      <c r="A110" s="19" t="s">
        <v>150</v>
      </c>
    </row>
    <row r="111" ht="15.75" customHeight="1">
      <c r="A111" s="5" t="s">
        <v>151</v>
      </c>
    </row>
    <row r="112" ht="15.75" customHeight="1">
      <c r="A112" s="19" t="s">
        <v>152</v>
      </c>
    </row>
    <row r="113" ht="15.75" customHeight="1">
      <c r="A113" s="19" t="s">
        <v>153</v>
      </c>
    </row>
    <row r="114" ht="15.75" customHeight="1">
      <c r="A114" s="5" t="s">
        <v>154</v>
      </c>
    </row>
    <row r="115" ht="15.75" customHeight="1">
      <c r="A115" s="5" t="s">
        <v>155</v>
      </c>
    </row>
    <row r="116" ht="15.75" customHeight="1">
      <c r="A116" s="19" t="s">
        <v>156</v>
      </c>
    </row>
    <row r="117" ht="15.75" customHeight="1">
      <c r="A117" s="5" t="s">
        <v>157</v>
      </c>
    </row>
    <row r="118" ht="15.75" customHeight="1">
      <c r="A118" s="5" t="s">
        <v>159</v>
      </c>
    </row>
    <row r="119" ht="15.75" customHeight="1">
      <c r="A119" s="22" t="s">
        <v>160</v>
      </c>
    </row>
    <row r="120" ht="15.75" customHeight="1">
      <c r="A120" s="5" t="s">
        <v>162</v>
      </c>
    </row>
    <row r="121" ht="15.75" customHeight="1">
      <c r="A121" s="19" t="s">
        <v>163</v>
      </c>
    </row>
    <row r="122" ht="15.75" customHeight="1">
      <c r="A122" s="5" t="s">
        <v>164</v>
      </c>
    </row>
    <row r="123" ht="15.75" customHeight="1">
      <c r="A123" s="22" t="s">
        <v>166</v>
      </c>
    </row>
    <row r="124" ht="15.75" customHeight="1">
      <c r="A124" s="5" t="s">
        <v>167</v>
      </c>
    </row>
    <row r="125" ht="15.75" customHeight="1">
      <c r="A125" s="5" t="s">
        <v>168</v>
      </c>
    </row>
    <row r="126" ht="15.75" customHeight="1">
      <c r="A126" s="5" t="s">
        <v>169</v>
      </c>
    </row>
    <row r="127" ht="15.75" customHeight="1">
      <c r="A127" s="19" t="s">
        <v>170</v>
      </c>
    </row>
    <row r="128" ht="15.75" customHeight="1">
      <c r="A128" s="5" t="s">
        <v>171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