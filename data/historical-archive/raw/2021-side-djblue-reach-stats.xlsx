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tatistics" sheetId="1" r:id="rId5"/>
    <sheet state="visible" name="Player Leaderboards" sheetId="2" r:id="rId6"/>
    <sheet state="visible" name="Team Leaderboards" sheetId="3" r:id="rId7"/>
    <sheet state="visible" name="Game Results" sheetId="4" r:id="rId8"/>
  </sheets>
  <definedNames>
    <definedName hidden="1" localSheetId="1" name="_xlnm._FilterDatabase">'Player Leaderboards'!$A$2:$AJ$54</definedName>
  </definedNames>
  <calcPr/>
</workbook>
</file>

<file path=xl/sharedStrings.xml><?xml version="1.0" encoding="utf-8"?>
<sst xmlns="http://schemas.openxmlformats.org/spreadsheetml/2006/main" count="1452" uniqueCount="136">
  <si>
    <t>Statistics for the Halo Reach Event of DJBluePDX's Grifball Summer Series presented by Dreamhack and powered by PlayGrifball.com</t>
  </si>
  <si>
    <t>Team</t>
  </si>
  <si>
    <t>Player</t>
  </si>
  <si>
    <t>Games</t>
  </si>
  <si>
    <t>Wins</t>
  </si>
  <si>
    <t>Minutes</t>
  </si>
  <si>
    <t>Score</t>
  </si>
  <si>
    <t>Kills</t>
  </si>
  <si>
    <t>Assists</t>
  </si>
  <si>
    <t>Deaths</t>
  </si>
  <si>
    <t>Spread</t>
  </si>
  <si>
    <t>K/D Ratio</t>
  </si>
  <si>
    <t>Average Life</t>
  </si>
  <si>
    <t>Medals</t>
  </si>
  <si>
    <t>Medals Recorded?</t>
  </si>
  <si>
    <t>Double Kill</t>
  </si>
  <si>
    <t>Triple Kill</t>
  </si>
  <si>
    <t>Overkill</t>
  </si>
  <si>
    <t>Killtacular</t>
  </si>
  <si>
    <t>Killing Spree</t>
  </si>
  <si>
    <t>Killing Frenzy</t>
  </si>
  <si>
    <t>Sword Spree</t>
  </si>
  <si>
    <t>Extermination</t>
  </si>
  <si>
    <t>Running Riot</t>
  </si>
  <si>
    <t>Rampage</t>
  </si>
  <si>
    <t>Killtrocity</t>
  </si>
  <si>
    <t>Killmanjaro</t>
  </si>
  <si>
    <t>Killpocalypse</t>
  </si>
  <si>
    <t>Killtastrophe</t>
  </si>
  <si>
    <t>Killionaire</t>
  </si>
  <si>
    <t>Noble Team</t>
  </si>
  <si>
    <t>TheNobleTV</t>
  </si>
  <si>
    <t>Spam Folder over BOGO Margs 5-4 - Nihilus NH</t>
  </si>
  <si>
    <t>Postgame Page 1</t>
  </si>
  <si>
    <t>BOGO Margs</t>
  </si>
  <si>
    <t>Postgame Page 3</t>
  </si>
  <si>
    <t>Medal Pages</t>
  </si>
  <si>
    <t>Goals</t>
  </si>
  <si>
    <t>Spam Folder</t>
  </si>
  <si>
    <t>ixjaga</t>
  </si>
  <si>
    <t>Icey Tanker</t>
  </si>
  <si>
    <t>Grunt Padre</t>
  </si>
  <si>
    <t>Originals</t>
  </si>
  <si>
    <t>The Scet</t>
  </si>
  <si>
    <t>Eurostars</t>
  </si>
  <si>
    <t>TommyWstSide</t>
  </si>
  <si>
    <t>Judasey</t>
  </si>
  <si>
    <t>ManCanonPls</t>
  </si>
  <si>
    <t>MoldyVolts</t>
  </si>
  <si>
    <t>Totals:</t>
  </si>
  <si>
    <t>Candice</t>
  </si>
  <si>
    <t>Ace B S1lentND1</t>
  </si>
  <si>
    <t>Eurostars over Candice 5-0 - Rage More Nerd NH</t>
  </si>
  <si>
    <t>Salvatores</t>
  </si>
  <si>
    <t>CaptainSev004</t>
  </si>
  <si>
    <t>oDhmon</t>
  </si>
  <si>
    <t>RDG NHL</t>
  </si>
  <si>
    <t>AwareMosquito</t>
  </si>
  <si>
    <t>ixGingy</t>
  </si>
  <si>
    <t>Godsnipezx</t>
  </si>
  <si>
    <t>LaMeowlla</t>
  </si>
  <si>
    <t>Mr_Epic_Beast</t>
  </si>
  <si>
    <t>Goon Squad</t>
  </si>
  <si>
    <t>DCleak</t>
  </si>
  <si>
    <t>Originals over Salvatores 5-1 - Priest XYZ NH</t>
  </si>
  <si>
    <t>Minor Threat</t>
  </si>
  <si>
    <t>Galvann</t>
  </si>
  <si>
    <t>Wrecking Nerds</t>
  </si>
  <si>
    <t>Diixvn</t>
  </si>
  <si>
    <t>nukiey</t>
  </si>
  <si>
    <t>Fat Mav</t>
  </si>
  <si>
    <t>ADhillyy</t>
  </si>
  <si>
    <t>Like Clockwork</t>
  </si>
  <si>
    <t>Yejis Aegyo</t>
  </si>
  <si>
    <t>Myst the Cold</t>
  </si>
  <si>
    <t>Beam1N1</t>
  </si>
  <si>
    <t>Goose's Girls</t>
  </si>
  <si>
    <t>Ouglaf11</t>
  </si>
  <si>
    <t>Goose's Girls over Minor Threat 5-1</t>
  </si>
  <si>
    <t>EU Squad w/o EUs</t>
  </si>
  <si>
    <t>DlGITAL PAIN</t>
  </si>
  <si>
    <t>Its bck</t>
  </si>
  <si>
    <t>Aspence501</t>
  </si>
  <si>
    <t>Its Low Mane</t>
  </si>
  <si>
    <t>Dat Twinkie</t>
  </si>
  <si>
    <t>cxrnchip</t>
  </si>
  <si>
    <t>Doerstopper</t>
  </si>
  <si>
    <t>You heard of us</t>
  </si>
  <si>
    <t>Noble Team over Like Clockwork 5-4 - DJBlue PDX NH</t>
  </si>
  <si>
    <t>Noble</t>
  </si>
  <si>
    <t>yLuxe</t>
  </si>
  <si>
    <t>Fanciest Pants</t>
  </si>
  <si>
    <t>mstell96</t>
  </si>
  <si>
    <t>eJolts</t>
  </si>
  <si>
    <t>Candice over Salvatores 5-3 - Doerstopper NH</t>
  </si>
  <si>
    <t>MsWolv3rine</t>
  </si>
  <si>
    <t>AJ DaJuiceMayne</t>
  </si>
  <si>
    <t>Fat Mav over Spam Folder 5-1 - Priest XYZ NH</t>
  </si>
  <si>
    <t>MysticalNovice</t>
  </si>
  <si>
    <t>Regresser</t>
  </si>
  <si>
    <t>Vex Loxodrome</t>
  </si>
  <si>
    <t>Maverick3192</t>
  </si>
  <si>
    <t>MuNgO PuNgO</t>
  </si>
  <si>
    <t>Originals over Eurostars 5-1 - Rage More Nerd NH</t>
  </si>
  <si>
    <t>EU Squad w/o EUs over Goose's Girls 5-3</t>
  </si>
  <si>
    <t>Noble Team over Goon Squad 5-1 - DJBlue PDX NH</t>
  </si>
  <si>
    <t>Spam Folder over Like Clockwork 5-1</t>
  </si>
  <si>
    <t>Eurostars over Minor Threat 5-3 - Priest XYZ NH</t>
  </si>
  <si>
    <t>Mystical Novice</t>
  </si>
  <si>
    <t>Goose's Girls over Candice 5-4 - Nihilus NH</t>
  </si>
  <si>
    <t>BOGO Margs over Goon Squad 5-1 - Nihilus NH</t>
  </si>
  <si>
    <t>SlMQ</t>
  </si>
  <si>
    <t>Spam Folder over Eurostars 5-4</t>
  </si>
  <si>
    <t>BOGO Margs over Goose's Girls 5-0 - Nihilus NH</t>
  </si>
  <si>
    <t>Mr Epic Beast</t>
  </si>
  <si>
    <t>Originals over Fat Mav 5-1 - Rage More Nerd NH</t>
  </si>
  <si>
    <t>Noble Team over EU Squad w/o EU Players 5-2 - KDSkill NH</t>
  </si>
  <si>
    <t>Frnzh</t>
  </si>
  <si>
    <t>grimm szn</t>
  </si>
  <si>
    <t>KillerDj Demon</t>
  </si>
  <si>
    <t>Scullen75</t>
  </si>
  <si>
    <t>BOGO Margs pver Fat Mav 5-3 - Nihilus NH</t>
  </si>
  <si>
    <t>Spam Folder over EU Squad w/o EU Players 5-2 - Star NH</t>
  </si>
  <si>
    <t>Spam Folder over BOGO Margs - Nihilus NH</t>
  </si>
  <si>
    <t>Originals over Noble Team 5-0 - DJBlue PDX NH</t>
  </si>
  <si>
    <t>Spam Folder over Noble Team 5-2 - yLuxe NH</t>
  </si>
  <si>
    <t>Originals over Spam Folder - DJBlue PDX NH</t>
  </si>
  <si>
    <t>Neutral Host:</t>
  </si>
  <si>
    <t>Rage More Nerd</t>
  </si>
  <si>
    <t>Priest XYZ</t>
  </si>
  <si>
    <t>DJBlue PDX</t>
  </si>
  <si>
    <t>Nihilus</t>
  </si>
  <si>
    <t>Star</t>
  </si>
  <si>
    <t>Doerstopped</t>
  </si>
  <si>
    <t>KDSkill</t>
  </si>
  <si>
    <t>eTazedd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</si>
</sst>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36.0"/>
      <color theme="1"/>
      <name val="Arial"/>
    </font>
    <font>
      <b/>
      <sz val="24.0"/>
      <color theme="1"/>
      <name val="Arial"/>
    </font>
    <font>
      <color rgb="FFFFFFFF"/>
      <name val="Arial"/>
    </font>
    <font>
      <color theme="1"/>
      <name val="Arial"/>
    </font>
    <font>
      <b/>
      <sz val="18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left" readingOrder="0" vertical="bottom"/>
    </xf>
    <xf borderId="0" fillId="2" fontId="2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6" fontId="3" numFmtId="1" xfId="0" applyAlignment="1" applyFill="1" applyFont="1" applyNumberFormat="1">
      <alignment horizontal="center" vertical="bottom"/>
    </xf>
    <xf borderId="0" fillId="7" fontId="4" numFmtId="0" xfId="0" applyAlignment="1" applyFill="1" applyFont="1">
      <alignment horizontal="center" readingOrder="0" vertical="bottom"/>
    </xf>
    <xf borderId="0" fillId="8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9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/>
    </xf>
    <xf borderId="0" fillId="0" fontId="4" numFmtId="1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/>
    </xf>
    <xf borderId="0" fillId="3" fontId="6" numFmtId="0" xfId="0" applyAlignment="1" applyFill="1" applyFont="1">
      <alignment horizontal="center"/>
    </xf>
    <xf borderId="0" fillId="4" fontId="7" numFmtId="0" xfId="0" applyAlignment="1" applyFill="1" applyFont="1">
      <alignment horizontal="center" vertical="bottom"/>
    </xf>
    <xf borderId="0" fillId="7" fontId="8" numFmtId="0" xfId="0" applyAlignment="1" applyFill="1" applyFont="1">
      <alignment horizontal="center" readingOrder="0" vertical="bottom"/>
    </xf>
    <xf borderId="0" fillId="5" fontId="7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6" fontId="7" numFmtId="1" xfId="0" applyAlignment="1" applyFill="1" applyFont="1" applyNumberForma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0" fontId="6" numFmtId="2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8" fontId="4" numFmtId="164" xfId="0" applyAlignment="1" applyFill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8" fontId="4" numFmtId="2" xfId="0" applyAlignment="1" applyFill="1" applyFont="1" applyNumberFormat="1">
      <alignment horizontal="center" vertical="bottom"/>
    </xf>
    <xf borderId="0" fillId="8" fontId="4" numFmtId="1" xfId="0" applyAlignment="1" applyFill="1" applyFont="1" applyNumberFormat="1">
      <alignment horizontal="center" readingOrder="0" vertical="bottom"/>
    </xf>
    <xf borderId="0" fillId="10" fontId="4" numFmtId="0" xfId="0" applyAlignment="1" applyFill="1" applyFont="1">
      <alignment horizontal="center" vertical="bottom"/>
    </xf>
    <xf borderId="0" fillId="10" fontId="4" numFmtId="164" xfId="0" applyAlignment="1" applyFill="1" applyFont="1" applyNumberFormat="1">
      <alignment horizontal="center" vertical="bottom"/>
    </xf>
    <xf borderId="0" fillId="10" fontId="4" numFmtId="2" xfId="0" applyAlignment="1" applyFill="1" applyFont="1" applyNumberFormat="1">
      <alignment horizontal="center" vertical="bottom"/>
    </xf>
    <xf borderId="0" fillId="10" fontId="4" numFmtId="0" xfId="0" applyAlignment="1" applyFill="1" applyFont="1">
      <alignment horizontal="center" vertical="bottom"/>
    </xf>
    <xf borderId="0" fillId="10" fontId="8" numFmtId="0" xfId="0" applyAlignment="1" applyFill="1" applyFont="1">
      <alignment horizontal="center" vertical="bottom"/>
    </xf>
    <xf borderId="0" fillId="10" fontId="4" numFmtId="1" xfId="0" applyAlignment="1" applyFill="1" applyFont="1" applyNumberFormat="1">
      <alignment horizontal="center" vertical="bottom"/>
    </xf>
    <xf borderId="0" fillId="0" fontId="6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25"/>
    <col customWidth="1" min="2" max="2" width="14.0"/>
    <col customWidth="1" min="3" max="3" width="6.13"/>
    <col customWidth="1" min="4" max="4" width="4.75"/>
    <col customWidth="1" min="5" max="5" width="6.88"/>
    <col customWidth="1" min="6" max="6" width="5.38"/>
    <col customWidth="1" min="7" max="7" width="4.0"/>
    <col customWidth="1" min="8" max="9" width="6.25"/>
    <col customWidth="1" min="10" max="10" width="6.38"/>
    <col customWidth="1" min="11" max="11" width="8.13"/>
    <col customWidth="1" min="12" max="12" width="10.38"/>
    <col customWidth="1" min="13" max="13" width="6.5"/>
    <col customWidth="1" min="14" max="14" width="15.0"/>
    <col customWidth="1" min="15" max="15" width="6.88"/>
    <col customWidth="1" min="16" max="16" width="9.63"/>
    <col customWidth="1" min="17" max="17" width="7.25"/>
    <col customWidth="1" min="18" max="18" width="9.0"/>
    <col customWidth="1" min="19" max="19" width="7.75"/>
    <col customWidth="1" min="20" max="20" width="11.25"/>
    <col customWidth="1" min="21" max="21" width="12.0"/>
    <col customWidth="1" min="22" max="22" width="10.38"/>
    <col customWidth="1" min="23" max="23" width="11.0"/>
    <col customWidth="1" min="24" max="24" width="10.63"/>
    <col customWidth="1" min="25" max="25" width="11.13"/>
    <col customWidth="1" min="26" max="26" width="7.63"/>
    <col customWidth="1" min="27" max="27" width="9.5"/>
    <col customWidth="1" min="28" max="28" width="11.0"/>
    <col customWidth="1" min="29" max="29" width="9.75"/>
    <col customWidth="1" min="30" max="30" width="10.63"/>
  </cols>
  <sheetData>
    <row r="1">
      <c r="A1" s="1"/>
      <c r="B1" s="1"/>
      <c r="C1" s="2" t="s">
        <v>0</v>
      </c>
    </row>
    <row r="2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9" t="s">
        <v>14</v>
      </c>
      <c r="O2" s="10" t="s">
        <v>5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</row>
    <row r="3">
      <c r="A3" s="11" t="s">
        <v>30</v>
      </c>
      <c r="B3" s="12" t="s">
        <v>31</v>
      </c>
      <c r="C3" s="13">
        <v>5.0</v>
      </c>
      <c r="D3" s="14">
        <f>SUM('Game Results'!C56+'Game Results'!C121+'Game Results'!C225+'Game Results'!C282+'Game Results'!C295)</f>
        <v>3</v>
      </c>
      <c r="E3" s="17">
        <f>SUM('Game Results'!D56+'Game Results'!D121+'Game Results'!D225+'Game Results'!D282+'Game Results'!D295)</f>
        <v>118.9</v>
      </c>
      <c r="F3" s="14">
        <f>SUM('Game Results'!E56+'Game Results'!E121+'Game Results'!E225+'Game Results'!E282+'Game Results'!E295)</f>
        <v>0</v>
      </c>
      <c r="G3" s="14">
        <f>SUM('Game Results'!F56+'Game Results'!F121+'Game Results'!F225+'Game Results'!F282+'Game Results'!F295)</f>
        <v>414</v>
      </c>
      <c r="H3" s="14">
        <f>SUM('Game Results'!G56+'Game Results'!G121+'Game Results'!G225+'Game Results'!G282+'Game Results'!G295)</f>
        <v>34</v>
      </c>
      <c r="I3" s="14">
        <f>SUM('Game Results'!H56+'Game Results'!H121+'Game Results'!H225+'Game Results'!H282+'Game Results'!H295)</f>
        <v>509</v>
      </c>
      <c r="J3" s="14">
        <f>SUM('Game Results'!I56+'Game Results'!I121+'Game Results'!I225+'Game Results'!I282+'Game Results'!I295)</f>
        <v>-95</v>
      </c>
      <c r="K3" s="29">
        <f t="shared" ref="K3:K6" si="1">SUM(G3/I3)</f>
        <v>0.8133595285</v>
      </c>
      <c r="L3" s="31">
        <f t="shared" ref="L3:L6" si="2">SUM((E3*60)/I3)</f>
        <v>14.01571709</v>
      </c>
      <c r="M3" s="14">
        <f>SUM('Game Results'!L56+'Game Results'!L121+'Game Results'!L225+'Game Results'!L282+'Game Results'!L295)</f>
        <v>655</v>
      </c>
      <c r="N3" s="14">
        <f>SUM('Game Results'!M56+'Game Results'!M121+'Game Results'!M225+'Game Results'!M282+'Game Results'!M295)</f>
        <v>5</v>
      </c>
      <c r="O3" s="17">
        <f>SUM('Game Results'!N56+'Game Results'!N121+'Game Results'!N225+'Game Results'!N282+'Game Results'!N295)</f>
        <v>118.9</v>
      </c>
      <c r="P3" s="14">
        <f>SUM('Game Results'!O56+'Game Results'!O121+'Game Results'!O225+'Game Results'!O282+'Game Results'!O295)</f>
        <v>52</v>
      </c>
      <c r="Q3" s="14">
        <f>SUM('Game Results'!P56+'Game Results'!P121+'Game Results'!P225+'Game Results'!P282+'Game Results'!P295)</f>
        <v>9</v>
      </c>
      <c r="R3" s="14">
        <f>SUM('Game Results'!Q56+'Game Results'!Q121+'Game Results'!Q225+'Game Results'!Q282+'Game Results'!Q295)</f>
        <v>3</v>
      </c>
      <c r="S3" s="14">
        <f>SUM('Game Results'!R56+'Game Results'!R121+'Game Results'!R225+'Game Results'!R282+'Game Results'!R295)</f>
        <v>0</v>
      </c>
      <c r="T3" s="14">
        <f>SUM('Game Results'!S56+'Game Results'!S121+'Game Results'!S225+'Game Results'!S282+'Game Results'!S295)</f>
        <v>2</v>
      </c>
      <c r="U3" s="14">
        <f>SUM('Game Results'!T56+'Game Results'!T121+'Game Results'!T225+'Game Results'!T282+'Game Results'!T295)</f>
        <v>0</v>
      </c>
      <c r="V3" s="14">
        <f>SUM('Game Results'!U56+'Game Results'!U121+'Game Results'!U225+'Game Results'!U282+'Game Results'!U295)</f>
        <v>0</v>
      </c>
      <c r="W3" s="14">
        <f>SUM('Game Results'!V56+'Game Results'!V121+'Game Results'!V225+'Game Results'!V282+'Game Results'!V295)</f>
        <v>0</v>
      </c>
      <c r="X3" s="14">
        <f>SUM('Game Results'!W56+'Game Results'!W121+'Game Results'!W225+'Game Results'!W282+'Game Results'!W295)</f>
        <v>0</v>
      </c>
      <c r="Y3" s="14">
        <f>SUM('Game Results'!X56+'Game Results'!X121+'Game Results'!X225+'Game Results'!X282+'Game Results'!X295)</f>
        <v>0</v>
      </c>
      <c r="Z3" s="14">
        <f>SUM('Game Results'!Y56+'Game Results'!Y121+'Game Results'!Y225+'Game Results'!Y282+'Game Results'!Y295)</f>
        <v>0</v>
      </c>
      <c r="AA3" s="14">
        <f>SUM('Game Results'!Z56+'Game Results'!Z121+'Game Results'!Z225+'Game Results'!Z282+'Game Results'!Z295)</f>
        <v>0</v>
      </c>
      <c r="AB3" s="14">
        <f>SUM('Game Results'!AA56+'Game Results'!AA121+'Game Results'!AA225+'Game Results'!AA282+'Game Results'!AA295)</f>
        <v>0</v>
      </c>
      <c r="AC3" s="14">
        <f>SUM('Game Results'!AB56+'Game Results'!AB121+'Game Results'!AB225+'Game Results'!AB282+'Game Results'!AB295)</f>
        <v>0</v>
      </c>
      <c r="AD3" s="14">
        <f>SUM('Game Results'!AC56+'Game Results'!AC121+'Game Results'!AC225+'Game Results'!AC282+'Game Results'!AC295)</f>
        <v>0</v>
      </c>
    </row>
    <row r="4">
      <c r="A4" s="11" t="s">
        <v>30</v>
      </c>
      <c r="B4" s="12" t="s">
        <v>51</v>
      </c>
      <c r="C4" s="13">
        <v>5.0</v>
      </c>
      <c r="D4" s="14">
        <f>SUM('Game Results'!C57+'Game Results'!C122+'Game Results'!C226+'Game Results'!C283+'Game Results'!C296)</f>
        <v>3</v>
      </c>
      <c r="E4" s="17">
        <f>SUM('Game Results'!D57+'Game Results'!D122+'Game Results'!D226+'Game Results'!D283+'Game Results'!D296)</f>
        <v>118.9</v>
      </c>
      <c r="F4" s="14">
        <f>SUM('Game Results'!E57+'Game Results'!E122+'Game Results'!E226+'Game Results'!E283+'Game Results'!E296)</f>
        <v>3</v>
      </c>
      <c r="G4" s="14">
        <f>SUM('Game Results'!F57+'Game Results'!F122+'Game Results'!F226+'Game Results'!F283+'Game Results'!F296)</f>
        <v>557</v>
      </c>
      <c r="H4" s="14">
        <f>SUM('Game Results'!G57+'Game Results'!G122+'Game Results'!G226+'Game Results'!G283+'Game Results'!G296)</f>
        <v>49</v>
      </c>
      <c r="I4" s="14">
        <f>SUM('Game Results'!H57+'Game Results'!H122+'Game Results'!H226+'Game Results'!H283+'Game Results'!H296)</f>
        <v>494</v>
      </c>
      <c r="J4" s="14">
        <f>SUM('Game Results'!I57+'Game Results'!I122+'Game Results'!I226+'Game Results'!I283+'Game Results'!I296)</f>
        <v>63</v>
      </c>
      <c r="K4" s="29">
        <f t="shared" si="1"/>
        <v>1.127530364</v>
      </c>
      <c r="L4" s="31">
        <f t="shared" si="2"/>
        <v>14.44129555</v>
      </c>
      <c r="M4" s="14">
        <f>SUM('Game Results'!L57+'Game Results'!L122+'Game Results'!L226+'Game Results'!L283+'Game Results'!L296)</f>
        <v>958</v>
      </c>
      <c r="N4" s="14">
        <f>SUM('Game Results'!M57+'Game Results'!M122+'Game Results'!M226+'Game Results'!M283+'Game Results'!M296)</f>
        <v>5</v>
      </c>
      <c r="O4" s="17">
        <f>SUM('Game Results'!N57+'Game Results'!N122+'Game Results'!N226+'Game Results'!N283+'Game Results'!N296)</f>
        <v>118.9</v>
      </c>
      <c r="P4" s="14">
        <f>SUM('Game Results'!O57+'Game Results'!O122+'Game Results'!O226+'Game Results'!O283+'Game Results'!O296)</f>
        <v>113</v>
      </c>
      <c r="Q4" s="14">
        <f>SUM('Game Results'!P57+'Game Results'!P122+'Game Results'!P226+'Game Results'!P283+'Game Results'!P296)</f>
        <v>22</v>
      </c>
      <c r="R4" s="14">
        <f>SUM('Game Results'!Q57+'Game Results'!Q122+'Game Results'!Q226+'Game Results'!Q283+'Game Results'!Q296)</f>
        <v>5</v>
      </c>
      <c r="S4" s="14">
        <f>SUM('Game Results'!R57+'Game Results'!R122+'Game Results'!R226+'Game Results'!R283+'Game Results'!R296)</f>
        <v>1</v>
      </c>
      <c r="T4" s="14">
        <f>SUM('Game Results'!S57+'Game Results'!S122+'Game Results'!S226+'Game Results'!S283+'Game Results'!S296)</f>
        <v>14</v>
      </c>
      <c r="U4" s="14">
        <f>SUM('Game Results'!T57+'Game Results'!T122+'Game Results'!T226+'Game Results'!T283+'Game Results'!T296)</f>
        <v>0</v>
      </c>
      <c r="V4" s="14">
        <f>SUM('Game Results'!U57+'Game Results'!U122+'Game Results'!U226+'Game Results'!U283+'Game Results'!U296)</f>
        <v>0</v>
      </c>
      <c r="W4" s="14">
        <f>SUM('Game Results'!V57+'Game Results'!V122+'Game Results'!V226+'Game Results'!V283+'Game Results'!V296)</f>
        <v>1</v>
      </c>
      <c r="X4" s="14">
        <f>SUM('Game Results'!W57+'Game Results'!W122+'Game Results'!W226+'Game Results'!W283+'Game Results'!W296)</f>
        <v>0</v>
      </c>
      <c r="Y4" s="14">
        <f>SUM('Game Results'!X57+'Game Results'!X122+'Game Results'!X226+'Game Results'!X283+'Game Results'!X296)</f>
        <v>0</v>
      </c>
      <c r="Z4" s="14">
        <f>SUM('Game Results'!Y57+'Game Results'!Y122+'Game Results'!Y226+'Game Results'!Y283+'Game Results'!Y296)</f>
        <v>1</v>
      </c>
      <c r="AA4" s="14">
        <f>SUM('Game Results'!Z57+'Game Results'!Z122+'Game Results'!Z226+'Game Results'!Z283+'Game Results'!Z296)</f>
        <v>0</v>
      </c>
      <c r="AB4" s="14">
        <f>SUM('Game Results'!AA57+'Game Results'!AA122+'Game Results'!AA226+'Game Results'!AA283+'Game Results'!AA296)</f>
        <v>0</v>
      </c>
      <c r="AC4" s="14">
        <f>SUM('Game Results'!AB57+'Game Results'!AB122+'Game Results'!AB226+'Game Results'!AB283+'Game Results'!AB296)</f>
        <v>0</v>
      </c>
      <c r="AD4" s="14">
        <f>SUM('Game Results'!AC57+'Game Results'!AC122+'Game Results'!AC226+'Game Results'!AC283+'Game Results'!AC296)</f>
        <v>0</v>
      </c>
    </row>
    <row r="5">
      <c r="A5" s="11" t="s">
        <v>30</v>
      </c>
      <c r="B5" s="12" t="s">
        <v>63</v>
      </c>
      <c r="C5" s="13">
        <v>5.0</v>
      </c>
      <c r="D5" s="14">
        <f>SUM('Game Results'!C58+'Game Results'!C123+'Game Results'!C227+'Game Results'!C284+'Game Results'!C297)</f>
        <v>3</v>
      </c>
      <c r="E5" s="17">
        <f>SUM('Game Results'!D58+'Game Results'!D123+'Game Results'!D227+'Game Results'!D284+'Game Results'!D297)</f>
        <v>118.9</v>
      </c>
      <c r="F5" s="14">
        <f>SUM('Game Results'!E58+'Game Results'!E123+'Game Results'!E227+'Game Results'!E284+'Game Results'!E297)</f>
        <v>1</v>
      </c>
      <c r="G5" s="14">
        <f>SUM('Game Results'!F58+'Game Results'!F123+'Game Results'!F227+'Game Results'!F284+'Game Results'!F297)</f>
        <v>487</v>
      </c>
      <c r="H5" s="14">
        <f>SUM('Game Results'!G58+'Game Results'!G123+'Game Results'!G227+'Game Results'!G284+'Game Results'!G297)</f>
        <v>44</v>
      </c>
      <c r="I5" s="14">
        <f>SUM('Game Results'!H58+'Game Results'!H123+'Game Results'!H227+'Game Results'!H284+'Game Results'!H297)</f>
        <v>530</v>
      </c>
      <c r="J5" s="14">
        <f>SUM('Game Results'!I58+'Game Results'!I123+'Game Results'!I227+'Game Results'!I284+'Game Results'!I297)</f>
        <v>-43</v>
      </c>
      <c r="K5" s="29">
        <f t="shared" si="1"/>
        <v>0.9188679245</v>
      </c>
      <c r="L5" s="31">
        <f t="shared" si="2"/>
        <v>13.46037736</v>
      </c>
      <c r="M5" s="14">
        <f>SUM('Game Results'!L58+'Game Results'!L123+'Game Results'!L227+'Game Results'!L284+'Game Results'!L297)</f>
        <v>784</v>
      </c>
      <c r="N5" s="14">
        <f>SUM('Game Results'!M58+'Game Results'!M123+'Game Results'!M227+'Game Results'!M284+'Game Results'!M297)</f>
        <v>5</v>
      </c>
      <c r="O5" s="17">
        <f>SUM('Game Results'!N58+'Game Results'!N123+'Game Results'!N227+'Game Results'!N284+'Game Results'!N297)</f>
        <v>118.9</v>
      </c>
      <c r="P5" s="14">
        <f>SUM('Game Results'!O58+'Game Results'!O123+'Game Results'!O227+'Game Results'!O284+'Game Results'!O297)</f>
        <v>80</v>
      </c>
      <c r="Q5" s="14">
        <f>SUM('Game Results'!P58+'Game Results'!P123+'Game Results'!P227+'Game Results'!P284+'Game Results'!P297)</f>
        <v>13</v>
      </c>
      <c r="R5" s="14">
        <f>SUM('Game Results'!Q58+'Game Results'!Q123+'Game Results'!Q227+'Game Results'!Q284+'Game Results'!Q297)</f>
        <v>1</v>
      </c>
      <c r="S5" s="14">
        <f>SUM('Game Results'!R58+'Game Results'!R123+'Game Results'!R227+'Game Results'!R284+'Game Results'!R297)</f>
        <v>0</v>
      </c>
      <c r="T5" s="14">
        <f>SUM('Game Results'!S58+'Game Results'!S123+'Game Results'!S227+'Game Results'!S284+'Game Results'!S297)</f>
        <v>2</v>
      </c>
      <c r="U5" s="14">
        <f>SUM('Game Results'!T58+'Game Results'!T123+'Game Results'!T227+'Game Results'!T284+'Game Results'!T297)</f>
        <v>0</v>
      </c>
      <c r="V5" s="14">
        <f>SUM('Game Results'!U58+'Game Results'!U123+'Game Results'!U227+'Game Results'!U284+'Game Results'!U297)</f>
        <v>0</v>
      </c>
      <c r="W5" s="14">
        <f>SUM('Game Results'!V58+'Game Results'!V123+'Game Results'!V227+'Game Results'!V284+'Game Results'!V297)</f>
        <v>0</v>
      </c>
      <c r="X5" s="14">
        <f>SUM('Game Results'!W58+'Game Results'!W123+'Game Results'!W227+'Game Results'!W284+'Game Results'!W297)</f>
        <v>0</v>
      </c>
      <c r="Y5" s="14">
        <f>SUM('Game Results'!X58+'Game Results'!X123+'Game Results'!X227+'Game Results'!X284+'Game Results'!X297)</f>
        <v>0</v>
      </c>
      <c r="Z5" s="14">
        <f>SUM('Game Results'!Y58+'Game Results'!Y123+'Game Results'!Y227+'Game Results'!Y284+'Game Results'!Y297)</f>
        <v>0</v>
      </c>
      <c r="AA5" s="14">
        <f>SUM('Game Results'!Z58+'Game Results'!Z123+'Game Results'!Z227+'Game Results'!Z284+'Game Results'!Z297)</f>
        <v>0</v>
      </c>
      <c r="AB5" s="14">
        <f>SUM('Game Results'!AA58+'Game Results'!AA123+'Game Results'!AA227+'Game Results'!AA284+'Game Results'!AA297)</f>
        <v>0</v>
      </c>
      <c r="AC5" s="14">
        <f>SUM('Game Results'!AB58+'Game Results'!AB123+'Game Results'!AB227+'Game Results'!AB284+'Game Results'!AB297)</f>
        <v>0</v>
      </c>
      <c r="AD5" s="14">
        <f>SUM('Game Results'!AC58+'Game Results'!AC123+'Game Results'!AC227+'Game Results'!AC284+'Game Results'!AC297)</f>
        <v>0</v>
      </c>
    </row>
    <row r="6">
      <c r="A6" s="11" t="s">
        <v>30</v>
      </c>
      <c r="B6" s="12" t="s">
        <v>77</v>
      </c>
      <c r="C6" s="13">
        <v>5.0</v>
      </c>
      <c r="D6" s="14">
        <f>SUM('Game Results'!C59+'Game Results'!C124+'Game Results'!C228+'Game Results'!C285+'Game Results'!C298)</f>
        <v>3</v>
      </c>
      <c r="E6" s="17">
        <f>SUM('Game Results'!D59+'Game Results'!D124+'Game Results'!D228+'Game Results'!D285+'Game Results'!D298)</f>
        <v>118.9</v>
      </c>
      <c r="F6" s="14">
        <f>SUM('Game Results'!E59+'Game Results'!E124+'Game Results'!E228+'Game Results'!E285+'Game Results'!E298)</f>
        <v>13</v>
      </c>
      <c r="G6" s="14">
        <f>SUM('Game Results'!F59+'Game Results'!F124+'Game Results'!F228+'Game Results'!F285+'Game Results'!F298)</f>
        <v>393</v>
      </c>
      <c r="H6" s="14">
        <f>SUM('Game Results'!G59+'Game Results'!G124+'Game Results'!G228+'Game Results'!G285+'Game Results'!G298)</f>
        <v>6</v>
      </c>
      <c r="I6" s="14">
        <f>SUM('Game Results'!H59+'Game Results'!H124+'Game Results'!H228+'Game Results'!H285+'Game Results'!H298)</f>
        <v>376</v>
      </c>
      <c r="J6" s="14">
        <f>SUM('Game Results'!I59+'Game Results'!I124+'Game Results'!I228+'Game Results'!I285+'Game Results'!I298)</f>
        <v>17</v>
      </c>
      <c r="K6" s="29">
        <f t="shared" si="1"/>
        <v>1.045212766</v>
      </c>
      <c r="L6" s="31">
        <f t="shared" si="2"/>
        <v>18.97340426</v>
      </c>
      <c r="M6" s="14">
        <f>SUM('Game Results'!L59+'Game Results'!L124+'Game Results'!L228+'Game Results'!L285+'Game Results'!L298)</f>
        <v>636</v>
      </c>
      <c r="N6" s="14">
        <f>SUM('Game Results'!M59+'Game Results'!M124+'Game Results'!M228+'Game Results'!M285+'Game Results'!M298)</f>
        <v>5</v>
      </c>
      <c r="O6" s="17">
        <f>SUM('Game Results'!N59+'Game Results'!N124+'Game Results'!N228+'Game Results'!N285+'Game Results'!N298)</f>
        <v>118.9</v>
      </c>
      <c r="P6" s="14">
        <f>SUM('Game Results'!O59+'Game Results'!O124+'Game Results'!O228+'Game Results'!O285+'Game Results'!O298)</f>
        <v>35</v>
      </c>
      <c r="Q6" s="14">
        <f>SUM('Game Results'!P59+'Game Results'!P124+'Game Results'!P228+'Game Results'!P285+'Game Results'!P298)</f>
        <v>7</v>
      </c>
      <c r="R6" s="14">
        <f>SUM('Game Results'!Q59+'Game Results'!Q124+'Game Results'!Q228+'Game Results'!Q285+'Game Results'!Q298)</f>
        <v>0</v>
      </c>
      <c r="S6" s="14">
        <f>SUM('Game Results'!R59+'Game Results'!R124+'Game Results'!R228+'Game Results'!R285+'Game Results'!R298)</f>
        <v>0</v>
      </c>
      <c r="T6" s="14">
        <f>SUM('Game Results'!S59+'Game Results'!S124+'Game Results'!S228+'Game Results'!S285+'Game Results'!S298)</f>
        <v>8</v>
      </c>
      <c r="U6" s="14">
        <f>SUM('Game Results'!T59+'Game Results'!T124+'Game Results'!T228+'Game Results'!T285+'Game Results'!T298)</f>
        <v>2</v>
      </c>
      <c r="V6" s="14">
        <f>SUM('Game Results'!U59+'Game Results'!U124+'Game Results'!U228+'Game Results'!U285+'Game Results'!U298)</f>
        <v>0</v>
      </c>
      <c r="W6" s="14">
        <f>SUM('Game Results'!V59+'Game Results'!V124+'Game Results'!V228+'Game Results'!V285+'Game Results'!V298)</f>
        <v>0</v>
      </c>
      <c r="X6" s="14">
        <f>SUM('Game Results'!W59+'Game Results'!W124+'Game Results'!W228+'Game Results'!W285+'Game Results'!W298)</f>
        <v>2</v>
      </c>
      <c r="Y6" s="14">
        <f>SUM('Game Results'!X59+'Game Results'!X124+'Game Results'!X228+'Game Results'!X285+'Game Results'!X298)</f>
        <v>0</v>
      </c>
      <c r="Z6" s="14">
        <f>SUM('Game Results'!Y59+'Game Results'!Y124+'Game Results'!Y228+'Game Results'!Y285+'Game Results'!Y298)</f>
        <v>0</v>
      </c>
      <c r="AA6" s="14">
        <f>SUM('Game Results'!Z59+'Game Results'!Z124+'Game Results'!Z228+'Game Results'!Z285+'Game Results'!Z298)</f>
        <v>0</v>
      </c>
      <c r="AB6" s="14">
        <f>SUM('Game Results'!AA59+'Game Results'!AA124+'Game Results'!AA228+'Game Results'!AA285+'Game Results'!AA298)</f>
        <v>0</v>
      </c>
      <c r="AC6" s="14">
        <f>SUM('Game Results'!AB59+'Game Results'!AB124+'Game Results'!AB228+'Game Results'!AB285+'Game Results'!AB298)</f>
        <v>0</v>
      </c>
      <c r="AD6" s="14">
        <f>SUM('Game Results'!AC59+'Game Results'!AC124+'Game Results'!AC228+'Game Results'!AC285+'Game Results'!AC298)</f>
        <v>0</v>
      </c>
    </row>
    <row r="7">
      <c r="A7" s="38" t="s">
        <v>49</v>
      </c>
      <c r="B7" s="34"/>
      <c r="C7" s="34">
        <f t="shared" ref="C7:E7" si="3">SUM(C3:C6)/4</f>
        <v>5</v>
      </c>
      <c r="D7" s="34">
        <f t="shared" si="3"/>
        <v>3</v>
      </c>
      <c r="E7" s="35">
        <f t="shared" si="3"/>
        <v>118.9</v>
      </c>
      <c r="F7" s="34">
        <f t="shared" ref="F7:J7" si="4">SUM(F3:F6)</f>
        <v>17</v>
      </c>
      <c r="G7" s="34">
        <f t="shared" si="4"/>
        <v>1851</v>
      </c>
      <c r="H7" s="34">
        <f t="shared" si="4"/>
        <v>133</v>
      </c>
      <c r="I7" s="34">
        <f t="shared" si="4"/>
        <v>1909</v>
      </c>
      <c r="J7" s="34">
        <f t="shared" si="4"/>
        <v>-58</v>
      </c>
      <c r="K7" s="36">
        <f>G7/I7</f>
        <v>0.9696176008</v>
      </c>
      <c r="L7" s="39">
        <f>SUM(L3:L6)/4</f>
        <v>15.22269856</v>
      </c>
      <c r="M7" s="34">
        <f t="shared" ref="M7:AD7" si="5">SUM(M3:M6)</f>
        <v>3033</v>
      </c>
      <c r="N7" s="34">
        <f t="shared" si="5"/>
        <v>20</v>
      </c>
      <c r="O7" s="39">
        <f t="shared" si="5"/>
        <v>475.6</v>
      </c>
      <c r="P7" s="34">
        <f t="shared" si="5"/>
        <v>280</v>
      </c>
      <c r="Q7" s="34">
        <f t="shared" si="5"/>
        <v>51</v>
      </c>
      <c r="R7" s="34">
        <f t="shared" si="5"/>
        <v>9</v>
      </c>
      <c r="S7" s="34">
        <f t="shared" si="5"/>
        <v>1</v>
      </c>
      <c r="T7" s="34">
        <f t="shared" si="5"/>
        <v>26</v>
      </c>
      <c r="U7" s="34">
        <f t="shared" si="5"/>
        <v>2</v>
      </c>
      <c r="V7" s="34">
        <f t="shared" si="5"/>
        <v>0</v>
      </c>
      <c r="W7" s="34">
        <f t="shared" si="5"/>
        <v>1</v>
      </c>
      <c r="X7" s="34">
        <f t="shared" si="5"/>
        <v>2</v>
      </c>
      <c r="Y7" s="34">
        <f t="shared" si="5"/>
        <v>0</v>
      </c>
      <c r="Z7" s="34">
        <f t="shared" si="5"/>
        <v>1</v>
      </c>
      <c r="AA7" s="34">
        <f t="shared" si="5"/>
        <v>0</v>
      </c>
      <c r="AB7" s="34">
        <f t="shared" si="5"/>
        <v>0</v>
      </c>
      <c r="AC7" s="34">
        <f t="shared" si="5"/>
        <v>0</v>
      </c>
      <c r="AD7" s="34">
        <f t="shared" si="5"/>
        <v>0</v>
      </c>
    </row>
    <row r="8">
      <c r="A8" s="11" t="s">
        <v>53</v>
      </c>
      <c r="B8" s="12" t="s">
        <v>71</v>
      </c>
      <c r="C8" s="40">
        <v>2.0</v>
      </c>
      <c r="D8" s="13">
        <f>SUM('Game Results'!C35+'Game Results'!C74)</f>
        <v>0</v>
      </c>
      <c r="E8" s="41">
        <f>SUM('Game Results'!D35+'Game Results'!D74)</f>
        <v>58.8</v>
      </c>
      <c r="F8" s="13">
        <f>SUM('Game Results'!E35+'Game Results'!E74)</f>
        <v>0</v>
      </c>
      <c r="G8" s="13">
        <f>SUM('Game Results'!F35+'Game Results'!F74)</f>
        <v>261</v>
      </c>
      <c r="H8" s="13">
        <f>SUM('Game Results'!G35+'Game Results'!G74)</f>
        <v>16</v>
      </c>
      <c r="I8" s="13">
        <f>SUM('Game Results'!H35+'Game Results'!H74)</f>
        <v>270</v>
      </c>
      <c r="J8" s="13">
        <f>SUM('Game Results'!I35+'Game Results'!I74)</f>
        <v>-9</v>
      </c>
      <c r="K8" s="29">
        <f t="shared" ref="K8:K11" si="6">SUM(G8/I8)</f>
        <v>0.9666666667</v>
      </c>
      <c r="L8" s="31">
        <f t="shared" ref="L8:L11" si="7">SUM((E8*60)/I8)</f>
        <v>13.06666667</v>
      </c>
      <c r="M8" s="13">
        <f>SUM('Game Results'!L35+'Game Results'!L74)</f>
        <v>403</v>
      </c>
      <c r="N8" s="13">
        <f>SUM('Game Results'!M35+'Game Results'!M74)</f>
        <v>2</v>
      </c>
      <c r="O8" s="42">
        <f>SUM('Game Results'!N35+'Game Results'!N74)</f>
        <v>58.8</v>
      </c>
      <c r="P8" s="13">
        <f>SUM('Game Results'!O35+'Game Results'!O74)</f>
        <v>49</v>
      </c>
      <c r="Q8" s="13">
        <f>SUM('Game Results'!P35+'Game Results'!P74)</f>
        <v>7</v>
      </c>
      <c r="R8" s="13">
        <f>SUM('Game Results'!Q35+'Game Results'!Q74)</f>
        <v>3</v>
      </c>
      <c r="S8" s="13">
        <f>SUM('Game Results'!R35+'Game Results'!R74)</f>
        <v>1</v>
      </c>
      <c r="T8" s="13">
        <f>SUM('Game Results'!S35+'Game Results'!S74)</f>
        <v>4</v>
      </c>
      <c r="U8" s="13">
        <f>SUM('Game Results'!T35+'Game Results'!T74)</f>
        <v>0</v>
      </c>
      <c r="V8" s="13">
        <f>SUM('Game Results'!U35+'Game Results'!U74)</f>
        <v>0</v>
      </c>
      <c r="W8" s="13">
        <f>SUM('Game Results'!V35+'Game Results'!V74)</f>
        <v>0</v>
      </c>
      <c r="X8" s="13">
        <f>SUM('Game Results'!W35+'Game Results'!W74)</f>
        <v>0</v>
      </c>
      <c r="Y8" s="13">
        <f>SUM('Game Results'!X35+'Game Results'!X74)</f>
        <v>0</v>
      </c>
      <c r="Z8" s="13">
        <f>SUM('Game Results'!Y35+'Game Results'!Y74)</f>
        <v>0</v>
      </c>
      <c r="AA8" s="13">
        <f>SUM('Game Results'!Z35+'Game Results'!Z74)</f>
        <v>0</v>
      </c>
      <c r="AB8" s="13">
        <f>SUM('Game Results'!AA35+'Game Results'!AA74)</f>
        <v>0</v>
      </c>
      <c r="AC8" s="13">
        <f>SUM('Game Results'!AB35+'Game Results'!AB74)</f>
        <v>0</v>
      </c>
      <c r="AD8" s="13">
        <f>SUM('Game Results'!AC35+'Game Results'!AC74)</f>
        <v>0</v>
      </c>
    </row>
    <row r="9">
      <c r="A9" s="11" t="s">
        <v>53</v>
      </c>
      <c r="B9" s="12" t="s">
        <v>73</v>
      </c>
      <c r="C9" s="13">
        <v>2.0</v>
      </c>
      <c r="D9" s="13">
        <f>SUM('Game Results'!C36+'Game Results'!C75)</f>
        <v>0</v>
      </c>
      <c r="E9" s="41">
        <f>SUM('Game Results'!D36+'Game Results'!D75)</f>
        <v>58.8</v>
      </c>
      <c r="F9" s="13">
        <f>SUM('Game Results'!E36+'Game Results'!E75)</f>
        <v>2</v>
      </c>
      <c r="G9" s="13">
        <f>SUM('Game Results'!F36+'Game Results'!F75)</f>
        <v>326</v>
      </c>
      <c r="H9" s="13">
        <f>SUM('Game Results'!G36+'Game Results'!G75)</f>
        <v>14</v>
      </c>
      <c r="I9" s="13">
        <f>SUM('Game Results'!H36+'Game Results'!H75)</f>
        <v>280</v>
      </c>
      <c r="J9" s="13">
        <f>SUM('Game Results'!I36+'Game Results'!I75)</f>
        <v>46</v>
      </c>
      <c r="K9" s="29">
        <f t="shared" si="6"/>
        <v>1.164285714</v>
      </c>
      <c r="L9" s="31">
        <f t="shared" si="7"/>
        <v>12.6</v>
      </c>
      <c r="M9" s="13">
        <f>SUM('Game Results'!L36+'Game Results'!L75)</f>
        <v>520</v>
      </c>
      <c r="N9" s="13">
        <f>SUM('Game Results'!M36+'Game Results'!M75)</f>
        <v>2</v>
      </c>
      <c r="O9" s="42">
        <f>SUM('Game Results'!N36+'Game Results'!N75)</f>
        <v>58.8</v>
      </c>
      <c r="P9" s="13">
        <f>SUM('Game Results'!O36+'Game Results'!O75)</f>
        <v>62</v>
      </c>
      <c r="Q9" s="13">
        <f>SUM('Game Results'!P36+'Game Results'!P75)</f>
        <v>11</v>
      </c>
      <c r="R9" s="13">
        <f>SUM('Game Results'!Q36+'Game Results'!Q75)</f>
        <v>1</v>
      </c>
      <c r="S9" s="13">
        <f>SUM('Game Results'!R36+'Game Results'!R75)</f>
        <v>0</v>
      </c>
      <c r="T9" s="13">
        <f>SUM('Game Results'!S36+'Game Results'!S75)</f>
        <v>2</v>
      </c>
      <c r="U9" s="13">
        <f>SUM('Game Results'!T36+'Game Results'!T75)</f>
        <v>0</v>
      </c>
      <c r="V9" s="13">
        <f>SUM('Game Results'!U36+'Game Results'!U75)</f>
        <v>0</v>
      </c>
      <c r="W9" s="13">
        <f>SUM('Game Results'!V36+'Game Results'!V75)</f>
        <v>0</v>
      </c>
      <c r="X9" s="13">
        <f>SUM('Game Results'!W36+'Game Results'!W75)</f>
        <v>0</v>
      </c>
      <c r="Y9" s="13">
        <f>SUM('Game Results'!X36+'Game Results'!X75)</f>
        <v>0</v>
      </c>
      <c r="Z9" s="13">
        <f>SUM('Game Results'!Y36+'Game Results'!Y75)</f>
        <v>0</v>
      </c>
      <c r="AA9" s="13">
        <f>SUM('Game Results'!Z36+'Game Results'!Z75)</f>
        <v>0</v>
      </c>
      <c r="AB9" s="13">
        <f>SUM('Game Results'!AA36+'Game Results'!AA75)</f>
        <v>0</v>
      </c>
      <c r="AC9" s="13">
        <f>SUM('Game Results'!AB36+'Game Results'!AB75)</f>
        <v>0</v>
      </c>
      <c r="AD9" s="13">
        <f>SUM('Game Results'!AC36+'Game Results'!AC75)</f>
        <v>0</v>
      </c>
    </row>
    <row r="10">
      <c r="A10" s="11" t="s">
        <v>53</v>
      </c>
      <c r="B10" s="12" t="s">
        <v>74</v>
      </c>
      <c r="C10" s="13">
        <v>2.0</v>
      </c>
      <c r="D10" s="13">
        <f>SUM('Game Results'!C37+'Game Results'!C76)</f>
        <v>0</v>
      </c>
      <c r="E10" s="41">
        <f>SUM('Game Results'!D37+'Game Results'!D76)</f>
        <v>58.8</v>
      </c>
      <c r="F10" s="13">
        <f>SUM('Game Results'!E37+'Game Results'!E76)</f>
        <v>0</v>
      </c>
      <c r="G10" s="13">
        <f>SUM('Game Results'!F37+'Game Results'!F76)</f>
        <v>249</v>
      </c>
      <c r="H10" s="13">
        <f>SUM('Game Results'!G37+'Game Results'!G76)</f>
        <v>21</v>
      </c>
      <c r="I10" s="13">
        <f>SUM('Game Results'!H37+'Game Results'!H76)</f>
        <v>280</v>
      </c>
      <c r="J10" s="13">
        <f>SUM('Game Results'!I37+'Game Results'!I76)</f>
        <v>-31</v>
      </c>
      <c r="K10" s="29">
        <f t="shared" si="6"/>
        <v>0.8892857143</v>
      </c>
      <c r="L10" s="31">
        <f t="shared" si="7"/>
        <v>12.6</v>
      </c>
      <c r="M10" s="13">
        <f>SUM('Game Results'!L37+'Game Results'!L76)</f>
        <v>398</v>
      </c>
      <c r="N10" s="13">
        <f>SUM('Game Results'!M37+'Game Results'!M76)</f>
        <v>2</v>
      </c>
      <c r="O10" s="42">
        <f>SUM('Game Results'!N37+'Game Results'!N76)</f>
        <v>58.8</v>
      </c>
      <c r="P10" s="13">
        <f>SUM('Game Results'!O37+'Game Results'!O76)</f>
        <v>43</v>
      </c>
      <c r="Q10" s="13">
        <f>SUM('Game Results'!P37+'Game Results'!P76)</f>
        <v>3</v>
      </c>
      <c r="R10" s="13">
        <f>SUM('Game Results'!Q37+'Game Results'!Q76)</f>
        <v>0</v>
      </c>
      <c r="S10" s="13">
        <f>SUM('Game Results'!R37+'Game Results'!R76)</f>
        <v>0</v>
      </c>
      <c r="T10" s="13">
        <f>SUM('Game Results'!S37+'Game Results'!S76)</f>
        <v>1</v>
      </c>
      <c r="U10" s="13">
        <f>SUM('Game Results'!T37+'Game Results'!T76)</f>
        <v>0</v>
      </c>
      <c r="V10" s="13">
        <f>SUM('Game Results'!U37+'Game Results'!U76)</f>
        <v>0</v>
      </c>
      <c r="W10" s="13">
        <f>SUM('Game Results'!V37+'Game Results'!V76)</f>
        <v>0</v>
      </c>
      <c r="X10" s="13">
        <f>SUM('Game Results'!W37+'Game Results'!W76)</f>
        <v>0</v>
      </c>
      <c r="Y10" s="13">
        <f>SUM('Game Results'!X37+'Game Results'!X76)</f>
        <v>0</v>
      </c>
      <c r="Z10" s="13">
        <f>SUM('Game Results'!Y37+'Game Results'!Y76)</f>
        <v>0</v>
      </c>
      <c r="AA10" s="13">
        <f>SUM('Game Results'!Z37+'Game Results'!Z76)</f>
        <v>0</v>
      </c>
      <c r="AB10" s="13">
        <f>SUM('Game Results'!AA37+'Game Results'!AA76)</f>
        <v>0</v>
      </c>
      <c r="AC10" s="13">
        <f>SUM('Game Results'!AB37+'Game Results'!AB76)</f>
        <v>0</v>
      </c>
      <c r="AD10" s="13">
        <f>SUM('Game Results'!AC37+'Game Results'!AC76)</f>
        <v>0</v>
      </c>
    </row>
    <row r="11">
      <c r="A11" s="11" t="s">
        <v>53</v>
      </c>
      <c r="B11" s="12" t="s">
        <v>75</v>
      </c>
      <c r="C11" s="13">
        <v>2.0</v>
      </c>
      <c r="D11" s="13">
        <f>SUM('Game Results'!C38+'Game Results'!C77)</f>
        <v>0</v>
      </c>
      <c r="E11" s="41">
        <f>SUM('Game Results'!D38+'Game Results'!D77)</f>
        <v>58.8</v>
      </c>
      <c r="F11" s="13">
        <f>SUM('Game Results'!E38+'Game Results'!E77)</f>
        <v>2</v>
      </c>
      <c r="G11" s="13">
        <f>SUM('Game Results'!F38+'Game Results'!F77)</f>
        <v>147</v>
      </c>
      <c r="H11" s="13">
        <f>SUM('Game Results'!G38+'Game Results'!G77)</f>
        <v>4</v>
      </c>
      <c r="I11" s="13">
        <f>SUM('Game Results'!H38+'Game Results'!H77)</f>
        <v>175</v>
      </c>
      <c r="J11" s="13">
        <f>SUM('Game Results'!I38+'Game Results'!I77)</f>
        <v>-28</v>
      </c>
      <c r="K11" s="29">
        <f t="shared" si="6"/>
        <v>0.84</v>
      </c>
      <c r="L11" s="31">
        <f t="shared" si="7"/>
        <v>20.16</v>
      </c>
      <c r="M11" s="13">
        <f>SUM('Game Results'!L38+'Game Results'!L77)</f>
        <v>225</v>
      </c>
      <c r="N11" s="13">
        <f>SUM('Game Results'!M38+'Game Results'!M77)</f>
        <v>2</v>
      </c>
      <c r="O11" s="42">
        <f>SUM('Game Results'!N38+'Game Results'!N77)</f>
        <v>58.8</v>
      </c>
      <c r="P11" s="13">
        <f>SUM('Game Results'!O38+'Game Results'!O77)</f>
        <v>18</v>
      </c>
      <c r="Q11" s="13">
        <f>SUM('Game Results'!P38+'Game Results'!P77)</f>
        <v>5</v>
      </c>
      <c r="R11" s="13">
        <f>SUM('Game Results'!Q38+'Game Results'!Q77)</f>
        <v>0</v>
      </c>
      <c r="S11" s="13">
        <f>SUM('Game Results'!R38+'Game Results'!R77)</f>
        <v>0</v>
      </c>
      <c r="T11" s="13">
        <f>SUM('Game Results'!S38+'Game Results'!S77)</f>
        <v>1</v>
      </c>
      <c r="U11" s="13">
        <f>SUM('Game Results'!T38+'Game Results'!T77)</f>
        <v>0</v>
      </c>
      <c r="V11" s="13">
        <f>SUM('Game Results'!U38+'Game Results'!U77)</f>
        <v>0</v>
      </c>
      <c r="W11" s="13">
        <f>SUM('Game Results'!V38+'Game Results'!V77)</f>
        <v>0</v>
      </c>
      <c r="X11" s="13">
        <f>SUM('Game Results'!W38+'Game Results'!W77)</f>
        <v>0</v>
      </c>
      <c r="Y11" s="13">
        <f>SUM('Game Results'!X38+'Game Results'!X77)</f>
        <v>0</v>
      </c>
      <c r="Z11" s="13">
        <f>SUM('Game Results'!Y38+'Game Results'!Y77)</f>
        <v>0</v>
      </c>
      <c r="AA11" s="13">
        <f>SUM('Game Results'!Z38+'Game Results'!Z77)</f>
        <v>0</v>
      </c>
      <c r="AB11" s="13">
        <f>SUM('Game Results'!AA38+'Game Results'!AA77)</f>
        <v>0</v>
      </c>
      <c r="AC11" s="13">
        <f>SUM('Game Results'!AB38+'Game Results'!AB77)</f>
        <v>0</v>
      </c>
      <c r="AD11" s="13">
        <f>SUM('Game Results'!AC38+'Game Results'!AC77)</f>
        <v>0</v>
      </c>
    </row>
    <row r="12">
      <c r="A12" s="38" t="s">
        <v>49</v>
      </c>
      <c r="B12" s="34"/>
      <c r="C12" s="34">
        <f t="shared" ref="C12:E12" si="8">SUM(C8:C11)/4</f>
        <v>2</v>
      </c>
      <c r="D12" s="34">
        <f t="shared" si="8"/>
        <v>0</v>
      </c>
      <c r="E12" s="35">
        <f t="shared" si="8"/>
        <v>58.8</v>
      </c>
      <c r="F12" s="34">
        <f t="shared" ref="F12:J12" si="9">SUM(F8:F11)</f>
        <v>4</v>
      </c>
      <c r="G12" s="34">
        <f t="shared" si="9"/>
        <v>983</v>
      </c>
      <c r="H12" s="34">
        <f t="shared" si="9"/>
        <v>55</v>
      </c>
      <c r="I12" s="34">
        <f t="shared" si="9"/>
        <v>1005</v>
      </c>
      <c r="J12" s="34">
        <f t="shared" si="9"/>
        <v>-22</v>
      </c>
      <c r="K12" s="36">
        <f>G12/I12</f>
        <v>0.9781094527</v>
      </c>
      <c r="L12" s="39">
        <f>SUM(L8:L11)/4</f>
        <v>14.60666667</v>
      </c>
      <c r="M12" s="34">
        <f t="shared" ref="M12:AD12" si="10">SUM(M8:M11)</f>
        <v>1546</v>
      </c>
      <c r="N12" s="34">
        <f t="shared" si="10"/>
        <v>8</v>
      </c>
      <c r="O12" s="39">
        <f t="shared" si="10"/>
        <v>235.2</v>
      </c>
      <c r="P12" s="34">
        <f t="shared" si="10"/>
        <v>172</v>
      </c>
      <c r="Q12" s="34">
        <f t="shared" si="10"/>
        <v>26</v>
      </c>
      <c r="R12" s="34">
        <f t="shared" si="10"/>
        <v>4</v>
      </c>
      <c r="S12" s="34">
        <f t="shared" si="10"/>
        <v>1</v>
      </c>
      <c r="T12" s="34">
        <f t="shared" si="10"/>
        <v>8</v>
      </c>
      <c r="U12" s="34">
        <f t="shared" si="10"/>
        <v>0</v>
      </c>
      <c r="V12" s="34">
        <f t="shared" si="10"/>
        <v>0</v>
      </c>
      <c r="W12" s="34">
        <f t="shared" si="10"/>
        <v>0</v>
      </c>
      <c r="X12" s="34">
        <f t="shared" si="10"/>
        <v>0</v>
      </c>
      <c r="Y12" s="34">
        <f t="shared" si="10"/>
        <v>0</v>
      </c>
      <c r="Z12" s="34">
        <f t="shared" si="10"/>
        <v>0</v>
      </c>
      <c r="AA12" s="34">
        <f t="shared" si="10"/>
        <v>0</v>
      </c>
      <c r="AB12" s="34">
        <f t="shared" si="10"/>
        <v>0</v>
      </c>
      <c r="AC12" s="34">
        <f t="shared" si="10"/>
        <v>0</v>
      </c>
      <c r="AD12" s="34">
        <f t="shared" si="10"/>
        <v>0</v>
      </c>
    </row>
    <row r="13">
      <c r="A13" s="11" t="s">
        <v>62</v>
      </c>
      <c r="B13" s="12" t="s">
        <v>95</v>
      </c>
      <c r="C13" s="40">
        <v>2.0</v>
      </c>
      <c r="D13" s="13">
        <f>SUM('Game Results'!C126+'Game Results'!C178)</f>
        <v>0</v>
      </c>
      <c r="E13" s="41">
        <f>SUM('Game Results'!D126+'Game Results'!D178)</f>
        <v>53.2</v>
      </c>
      <c r="F13" s="13">
        <f>SUM('Game Results'!E126+'Game Results'!E178)</f>
        <v>1</v>
      </c>
      <c r="G13" s="13">
        <f>SUM('Game Results'!F126+'Game Results'!F178)</f>
        <v>185</v>
      </c>
      <c r="H13" s="13">
        <f>SUM('Game Results'!G126+'Game Results'!G178)</f>
        <v>12</v>
      </c>
      <c r="I13" s="13">
        <f>SUM('Game Results'!H126+'Game Results'!H178)</f>
        <v>238</v>
      </c>
      <c r="J13" s="13">
        <f>SUM('Game Results'!I126+'Game Results'!I178)</f>
        <v>-53</v>
      </c>
      <c r="K13" s="29">
        <f t="shared" ref="K13:K16" si="11">SUM(G13/I13)</f>
        <v>0.7773109244</v>
      </c>
      <c r="L13" s="31">
        <f t="shared" ref="L13:L16" si="12">SUM((E13*60)/I13)</f>
        <v>13.41176471</v>
      </c>
      <c r="M13" s="13">
        <f>SUM('Game Results'!L126+'Game Results'!L178)</f>
        <v>276</v>
      </c>
      <c r="N13" s="13">
        <f>SUM('Game Results'!M126+'Game Results'!M178)</f>
        <v>2</v>
      </c>
      <c r="O13" s="42">
        <f>SUM('Game Results'!N126+'Game Results'!N178)</f>
        <v>53.2</v>
      </c>
      <c r="P13" s="13">
        <f>SUM('Game Results'!O126+'Game Results'!O178)</f>
        <v>19</v>
      </c>
      <c r="Q13" s="13">
        <f>SUM('Game Results'!P126+'Game Results'!P178)</f>
        <v>3</v>
      </c>
      <c r="R13" s="13">
        <f>SUM('Game Results'!Q126+'Game Results'!Q178)</f>
        <v>0</v>
      </c>
      <c r="S13" s="13">
        <f>SUM('Game Results'!R126+'Game Results'!R178)</f>
        <v>0</v>
      </c>
      <c r="T13" s="13">
        <f>SUM('Game Results'!S126+'Game Results'!S178)</f>
        <v>1</v>
      </c>
      <c r="U13" s="13">
        <f>SUM('Game Results'!T126+'Game Results'!T178)</f>
        <v>0</v>
      </c>
      <c r="V13" s="13">
        <f>SUM('Game Results'!U126+'Game Results'!U178)</f>
        <v>0</v>
      </c>
      <c r="W13" s="13">
        <f>SUM('Game Results'!V126+'Game Results'!V178)</f>
        <v>0</v>
      </c>
      <c r="X13" s="13">
        <f>SUM('Game Results'!W126+'Game Results'!W178)</f>
        <v>0</v>
      </c>
      <c r="Y13" s="13">
        <f>SUM('Game Results'!X126+'Game Results'!X178)</f>
        <v>0</v>
      </c>
      <c r="Z13" s="13">
        <f>SUM('Game Results'!Y126+'Game Results'!Y178)</f>
        <v>0</v>
      </c>
      <c r="AA13" s="13">
        <f>SUM('Game Results'!Z126+'Game Results'!Z178)</f>
        <v>0</v>
      </c>
      <c r="AB13" s="13">
        <f>SUM('Game Results'!AA126+'Game Results'!AA178)</f>
        <v>0</v>
      </c>
      <c r="AC13" s="13">
        <f>SUM('Game Results'!AB126+'Game Results'!AB178)</f>
        <v>0</v>
      </c>
      <c r="AD13" s="13">
        <f>SUM('Game Results'!AC126+'Game Results'!AC178)</f>
        <v>0</v>
      </c>
    </row>
    <row r="14">
      <c r="A14" s="11" t="s">
        <v>62</v>
      </c>
      <c r="B14" s="12" t="s">
        <v>96</v>
      </c>
      <c r="C14" s="13">
        <v>2.0</v>
      </c>
      <c r="D14" s="13">
        <f>SUM('Game Results'!C127+'Game Results'!C179)</f>
        <v>0</v>
      </c>
      <c r="E14" s="41">
        <f>SUM('Game Results'!D127+'Game Results'!D179)</f>
        <v>53.2</v>
      </c>
      <c r="F14" s="13">
        <f>SUM('Game Results'!E127+'Game Results'!E179)</f>
        <v>0</v>
      </c>
      <c r="G14" s="13">
        <f>SUM('Game Results'!F127+'Game Results'!F179)</f>
        <v>249</v>
      </c>
      <c r="H14" s="13">
        <f>SUM('Game Results'!G127+'Game Results'!G179)</f>
        <v>17</v>
      </c>
      <c r="I14" s="13">
        <f>SUM('Game Results'!H127+'Game Results'!H179)</f>
        <v>192</v>
      </c>
      <c r="J14" s="13">
        <f>SUM('Game Results'!I127+'Game Results'!I179)</f>
        <v>57</v>
      </c>
      <c r="K14" s="29">
        <f t="shared" si="11"/>
        <v>1.296875</v>
      </c>
      <c r="L14" s="31">
        <f t="shared" si="12"/>
        <v>16.625</v>
      </c>
      <c r="M14" s="13">
        <f>SUM('Game Results'!L127+'Game Results'!L179)</f>
        <v>419</v>
      </c>
      <c r="N14" s="13">
        <f>SUM('Game Results'!M127+'Game Results'!M179)</f>
        <v>2</v>
      </c>
      <c r="O14" s="42">
        <f>SUM('Game Results'!N127+'Game Results'!N179)</f>
        <v>53.2</v>
      </c>
      <c r="P14" s="13">
        <f>SUM('Game Results'!O127+'Game Results'!O179)</f>
        <v>49</v>
      </c>
      <c r="Q14" s="13">
        <f>SUM('Game Results'!P127+'Game Results'!P179)</f>
        <v>12</v>
      </c>
      <c r="R14" s="13">
        <f>SUM('Game Results'!Q127+'Game Results'!Q179)</f>
        <v>3</v>
      </c>
      <c r="S14" s="13">
        <f>SUM('Game Results'!R127+'Game Results'!R179)</f>
        <v>0</v>
      </c>
      <c r="T14" s="13">
        <f>SUM('Game Results'!S127+'Game Results'!S179)</f>
        <v>6</v>
      </c>
      <c r="U14" s="13">
        <f>SUM('Game Results'!T127+'Game Results'!T179)</f>
        <v>0</v>
      </c>
      <c r="V14" s="13">
        <f>SUM('Game Results'!U127+'Game Results'!U179)</f>
        <v>0</v>
      </c>
      <c r="W14" s="13">
        <f>SUM('Game Results'!V127+'Game Results'!V179)</f>
        <v>0</v>
      </c>
      <c r="X14" s="13">
        <f>SUM('Game Results'!W127+'Game Results'!W179)</f>
        <v>0</v>
      </c>
      <c r="Y14" s="13">
        <f>SUM('Game Results'!X127+'Game Results'!X179)</f>
        <v>0</v>
      </c>
      <c r="Z14" s="13">
        <f>SUM('Game Results'!Y127+'Game Results'!Y179)</f>
        <v>0</v>
      </c>
      <c r="AA14" s="13">
        <f>SUM('Game Results'!Z127+'Game Results'!Z179)</f>
        <v>0</v>
      </c>
      <c r="AB14" s="13">
        <f>SUM('Game Results'!AA127+'Game Results'!AA179)</f>
        <v>0</v>
      </c>
      <c r="AC14" s="13">
        <f>SUM('Game Results'!AB127+'Game Results'!AB179)</f>
        <v>0</v>
      </c>
      <c r="AD14" s="13">
        <f>SUM('Game Results'!AC127+'Game Results'!AC179)</f>
        <v>0</v>
      </c>
    </row>
    <row r="15">
      <c r="A15" s="11" t="s">
        <v>62</v>
      </c>
      <c r="B15" s="12" t="s">
        <v>98</v>
      </c>
      <c r="C15" s="13">
        <v>2.0</v>
      </c>
      <c r="D15" s="13">
        <f>SUM('Game Results'!C128+'Game Results'!C180)</f>
        <v>0</v>
      </c>
      <c r="E15" s="41">
        <f>SUM('Game Results'!D128+'Game Results'!D180)</f>
        <v>53.2</v>
      </c>
      <c r="F15" s="13">
        <f>SUM('Game Results'!E128+'Game Results'!E180)</f>
        <v>0</v>
      </c>
      <c r="G15" s="13">
        <f>SUM('Game Results'!F128+'Game Results'!F180)</f>
        <v>204</v>
      </c>
      <c r="H15" s="13">
        <f>SUM('Game Results'!G128+'Game Results'!G180)</f>
        <v>18</v>
      </c>
      <c r="I15" s="13">
        <f>SUM('Game Results'!H128+'Game Results'!H180)</f>
        <v>248</v>
      </c>
      <c r="J15" s="13">
        <f>SUM('Game Results'!I128+'Game Results'!I180)</f>
        <v>-44</v>
      </c>
      <c r="K15" s="29">
        <f t="shared" si="11"/>
        <v>0.8225806452</v>
      </c>
      <c r="L15" s="31">
        <f t="shared" si="12"/>
        <v>12.87096774</v>
      </c>
      <c r="M15" s="13">
        <f>SUM('Game Results'!L128+'Game Results'!L180)</f>
        <v>306</v>
      </c>
      <c r="N15" s="13">
        <f>SUM('Game Results'!M128+'Game Results'!M180)</f>
        <v>2</v>
      </c>
      <c r="O15" s="42">
        <f>SUM('Game Results'!N128+'Game Results'!N180)</f>
        <v>53.2</v>
      </c>
      <c r="P15" s="13">
        <f>SUM('Game Results'!O128+'Game Results'!O180)</f>
        <v>32</v>
      </c>
      <c r="Q15" s="13">
        <f>SUM('Game Results'!P128+'Game Results'!P180)</f>
        <v>2</v>
      </c>
      <c r="R15" s="13">
        <f>SUM('Game Results'!Q128+'Game Results'!Q180)</f>
        <v>0</v>
      </c>
      <c r="S15" s="13">
        <f>SUM('Game Results'!R128+'Game Results'!R180)</f>
        <v>0</v>
      </c>
      <c r="T15" s="13">
        <f>SUM('Game Results'!S128+'Game Results'!S180)</f>
        <v>0</v>
      </c>
      <c r="U15" s="13">
        <f>SUM('Game Results'!T128+'Game Results'!T180)</f>
        <v>0</v>
      </c>
      <c r="V15" s="13">
        <f>SUM('Game Results'!U128+'Game Results'!U180)</f>
        <v>0</v>
      </c>
      <c r="W15" s="13">
        <f>SUM('Game Results'!V128+'Game Results'!V180)</f>
        <v>0</v>
      </c>
      <c r="X15" s="13">
        <f>SUM('Game Results'!W128+'Game Results'!W180)</f>
        <v>0</v>
      </c>
      <c r="Y15" s="13">
        <f>SUM('Game Results'!X128+'Game Results'!X180)</f>
        <v>0</v>
      </c>
      <c r="Z15" s="13">
        <f>SUM('Game Results'!Y128+'Game Results'!Y180)</f>
        <v>0</v>
      </c>
      <c r="AA15" s="13">
        <f>SUM('Game Results'!Z128+'Game Results'!Z180)</f>
        <v>0</v>
      </c>
      <c r="AB15" s="13">
        <f>SUM('Game Results'!AA128+'Game Results'!AA180)</f>
        <v>0</v>
      </c>
      <c r="AC15" s="13">
        <f>SUM('Game Results'!AB128+'Game Results'!AB180)</f>
        <v>0</v>
      </c>
      <c r="AD15" s="13">
        <f>SUM('Game Results'!AC128+'Game Results'!AC180)</f>
        <v>0</v>
      </c>
    </row>
    <row r="16">
      <c r="A16" s="11" t="s">
        <v>62</v>
      </c>
      <c r="B16" s="12" t="s">
        <v>102</v>
      </c>
      <c r="C16" s="13">
        <v>2.0</v>
      </c>
      <c r="D16" s="13">
        <f>SUM('Game Results'!C129+'Game Results'!C181)</f>
        <v>0</v>
      </c>
      <c r="E16" s="41">
        <f>SUM('Game Results'!D129+'Game Results'!D181)</f>
        <v>53.2</v>
      </c>
      <c r="F16" s="13">
        <f>SUM('Game Results'!E129+'Game Results'!E181)</f>
        <v>1</v>
      </c>
      <c r="G16" s="13">
        <f>SUM('Game Results'!F129+'Game Results'!F181)</f>
        <v>130</v>
      </c>
      <c r="H16" s="13">
        <f>SUM('Game Results'!G129+'Game Results'!G181)</f>
        <v>8</v>
      </c>
      <c r="I16" s="13">
        <f>SUM('Game Results'!H129+'Game Results'!H181)</f>
        <v>162</v>
      </c>
      <c r="J16" s="13">
        <f>SUM('Game Results'!I129+'Game Results'!I181)</f>
        <v>-32</v>
      </c>
      <c r="K16" s="29">
        <f t="shared" si="11"/>
        <v>0.8024691358</v>
      </c>
      <c r="L16" s="31">
        <f t="shared" si="12"/>
        <v>19.7037037</v>
      </c>
      <c r="M16" s="13">
        <f>SUM('Game Results'!L129+'Game Results'!L181)</f>
        <v>198</v>
      </c>
      <c r="N16" s="13">
        <f>SUM('Game Results'!M129+'Game Results'!M181)</f>
        <v>2</v>
      </c>
      <c r="O16" s="42">
        <f>SUM('Game Results'!N129+'Game Results'!N181)</f>
        <v>53.2</v>
      </c>
      <c r="P16" s="13">
        <f>SUM('Game Results'!O129+'Game Results'!O181)</f>
        <v>10</v>
      </c>
      <c r="Q16" s="13">
        <f>SUM('Game Results'!P129+'Game Results'!P181)</f>
        <v>2</v>
      </c>
      <c r="R16" s="13">
        <f>SUM('Game Results'!Q129+'Game Results'!Q181)</f>
        <v>0</v>
      </c>
      <c r="S16" s="13">
        <f>SUM('Game Results'!R129+'Game Results'!R181)</f>
        <v>0</v>
      </c>
      <c r="T16" s="13">
        <f>SUM('Game Results'!S129+'Game Results'!S181)</f>
        <v>2</v>
      </c>
      <c r="U16" s="13">
        <f>SUM('Game Results'!T129+'Game Results'!T181)</f>
        <v>0</v>
      </c>
      <c r="V16" s="13">
        <f>SUM('Game Results'!U129+'Game Results'!U181)</f>
        <v>0</v>
      </c>
      <c r="W16" s="13">
        <f>SUM('Game Results'!V129+'Game Results'!V181)</f>
        <v>0</v>
      </c>
      <c r="X16" s="13">
        <f>SUM('Game Results'!W129+'Game Results'!W181)</f>
        <v>0</v>
      </c>
      <c r="Y16" s="13">
        <f>SUM('Game Results'!X129+'Game Results'!X181)</f>
        <v>0</v>
      </c>
      <c r="Z16" s="13">
        <f>SUM('Game Results'!Y129+'Game Results'!Y181)</f>
        <v>0</v>
      </c>
      <c r="AA16" s="13">
        <f>SUM('Game Results'!Z129+'Game Results'!Z181)</f>
        <v>0</v>
      </c>
      <c r="AB16" s="13">
        <f>SUM('Game Results'!AA129+'Game Results'!AA181)</f>
        <v>0</v>
      </c>
      <c r="AC16" s="13">
        <f>SUM('Game Results'!AB129+'Game Results'!AB181)</f>
        <v>0</v>
      </c>
      <c r="AD16" s="13">
        <f>SUM('Game Results'!AC129+'Game Results'!AC181)</f>
        <v>0</v>
      </c>
    </row>
    <row r="17">
      <c r="A17" s="38" t="s">
        <v>49</v>
      </c>
      <c r="B17" s="34"/>
      <c r="C17" s="34">
        <f t="shared" ref="C17:E17" si="13">SUM(C13:C16)/4</f>
        <v>2</v>
      </c>
      <c r="D17" s="34">
        <f t="shared" si="13"/>
        <v>0</v>
      </c>
      <c r="E17" s="35">
        <f t="shared" si="13"/>
        <v>53.2</v>
      </c>
      <c r="F17" s="34">
        <f t="shared" ref="F17:J17" si="14">SUM(F13:F16)</f>
        <v>2</v>
      </c>
      <c r="G17" s="34">
        <f t="shared" si="14"/>
        <v>768</v>
      </c>
      <c r="H17" s="34">
        <f t="shared" si="14"/>
        <v>55</v>
      </c>
      <c r="I17" s="34">
        <f t="shared" si="14"/>
        <v>840</v>
      </c>
      <c r="J17" s="34">
        <f t="shared" si="14"/>
        <v>-72</v>
      </c>
      <c r="K17" s="36">
        <f>G17/I17</f>
        <v>0.9142857143</v>
      </c>
      <c r="L17" s="39">
        <f>SUM(L13:L16)/4</f>
        <v>15.65285904</v>
      </c>
      <c r="M17" s="34">
        <f t="shared" ref="M17:AD17" si="15">SUM(M13:M16)</f>
        <v>1199</v>
      </c>
      <c r="N17" s="34">
        <f t="shared" si="15"/>
        <v>8</v>
      </c>
      <c r="O17" s="39">
        <f t="shared" si="15"/>
        <v>212.8</v>
      </c>
      <c r="P17" s="34">
        <f t="shared" si="15"/>
        <v>110</v>
      </c>
      <c r="Q17" s="34">
        <f t="shared" si="15"/>
        <v>19</v>
      </c>
      <c r="R17" s="34">
        <f t="shared" si="15"/>
        <v>3</v>
      </c>
      <c r="S17" s="34">
        <f t="shared" si="15"/>
        <v>0</v>
      </c>
      <c r="T17" s="34">
        <f t="shared" si="15"/>
        <v>9</v>
      </c>
      <c r="U17" s="34">
        <f t="shared" si="15"/>
        <v>0</v>
      </c>
      <c r="V17" s="34">
        <f t="shared" si="15"/>
        <v>0</v>
      </c>
      <c r="W17" s="34">
        <f t="shared" si="15"/>
        <v>0</v>
      </c>
      <c r="X17" s="34">
        <f t="shared" si="15"/>
        <v>0</v>
      </c>
      <c r="Y17" s="34">
        <f t="shared" si="15"/>
        <v>0</v>
      </c>
      <c r="Z17" s="34">
        <f t="shared" si="15"/>
        <v>0</v>
      </c>
      <c r="AA17" s="34">
        <f t="shared" si="15"/>
        <v>0</v>
      </c>
      <c r="AB17" s="34">
        <f t="shared" si="15"/>
        <v>0</v>
      </c>
      <c r="AC17" s="34">
        <f t="shared" si="15"/>
        <v>0</v>
      </c>
      <c r="AD17" s="34">
        <f t="shared" si="15"/>
        <v>0</v>
      </c>
    </row>
    <row r="18">
      <c r="A18" s="11" t="s">
        <v>34</v>
      </c>
      <c r="B18" s="12" t="s">
        <v>45</v>
      </c>
      <c r="C18" s="40">
        <v>5.0</v>
      </c>
      <c r="D18" s="13">
        <f>SUM('Game Results'!C9+'Game Results'!C173+'Game Results'!C199+'Game Results'!C238+'Game Results'!C269)</f>
        <v>3</v>
      </c>
      <c r="E18" s="41">
        <f>SUM('Game Results'!D9+'Game Results'!D173+'Game Results'!D199+'Game Results'!D238+'Game Results'!D269)</f>
        <v>169.85</v>
      </c>
      <c r="F18" s="13">
        <f>SUM('Game Results'!E9+'Game Results'!E173+'Game Results'!E199+'Game Results'!E238+'Game Results'!E269)</f>
        <v>16</v>
      </c>
      <c r="G18" s="13">
        <f>SUM('Game Results'!F9+'Game Results'!F173+'Game Results'!F199+'Game Results'!F238+'Game Results'!F269)</f>
        <v>446</v>
      </c>
      <c r="H18" s="13">
        <f>SUM('Game Results'!G9+'Game Results'!G173+'Game Results'!G199+'Game Results'!G238+'Game Results'!G269)</f>
        <v>13</v>
      </c>
      <c r="I18" s="13">
        <f>SUM('Game Results'!H9+'Game Results'!H173+'Game Results'!H199+'Game Results'!H238+'Game Results'!H269)</f>
        <v>389</v>
      </c>
      <c r="J18" s="13">
        <f>SUM('Game Results'!I9+'Game Results'!I173+'Game Results'!I199+'Game Results'!I238+'Game Results'!I269)</f>
        <v>57</v>
      </c>
      <c r="K18" s="29">
        <f t="shared" ref="K18:K21" si="16">SUM(G18/I18)</f>
        <v>1.146529563</v>
      </c>
      <c r="L18" s="31">
        <f t="shared" ref="L18:L21" si="17">SUM((E18*60)/I18)</f>
        <v>26.19794344</v>
      </c>
      <c r="M18" s="13">
        <f>SUM('Game Results'!L9+'Game Results'!L173+'Game Results'!L199+'Game Results'!L238+'Game Results'!L269)</f>
        <v>693</v>
      </c>
      <c r="N18" s="13">
        <f>SUM('Game Results'!M9+'Game Results'!M173+'Game Results'!M199+'Game Results'!M238+'Game Results'!M269)</f>
        <v>5</v>
      </c>
      <c r="O18" s="42">
        <f>SUM('Game Results'!N9+'Game Results'!N173+'Game Results'!N199+'Game Results'!N238+'Game Results'!N269)</f>
        <v>169.85</v>
      </c>
      <c r="P18" s="13">
        <f>SUM('Game Results'!O9+'Game Results'!O173+'Game Results'!O199+'Game Results'!O238+'Game Results'!O269)</f>
        <v>30</v>
      </c>
      <c r="Q18" s="13">
        <f>SUM('Game Results'!P9+'Game Results'!P173+'Game Results'!P199+'Game Results'!P238+'Game Results'!P269)</f>
        <v>2</v>
      </c>
      <c r="R18" s="13">
        <f>SUM('Game Results'!Q9+'Game Results'!Q173+'Game Results'!Q199+'Game Results'!Q238+'Game Results'!Q269)</f>
        <v>0</v>
      </c>
      <c r="S18" s="13">
        <f>SUM('Game Results'!R9+'Game Results'!R173+'Game Results'!R199+'Game Results'!R238+'Game Results'!R269)</f>
        <v>0</v>
      </c>
      <c r="T18" s="13">
        <f>SUM('Game Results'!S9+'Game Results'!S173+'Game Results'!S199+'Game Results'!S238+'Game Results'!S269)</f>
        <v>10</v>
      </c>
      <c r="U18" s="13">
        <f>SUM('Game Results'!T9+'Game Results'!T173+'Game Results'!T199+'Game Results'!T238+'Game Results'!T269)</f>
        <v>1</v>
      </c>
      <c r="V18" s="13">
        <f>SUM('Game Results'!U9+'Game Results'!U173+'Game Results'!U199+'Game Results'!U238+'Game Results'!U269)</f>
        <v>0</v>
      </c>
      <c r="W18" s="13">
        <f>SUM('Game Results'!V9+'Game Results'!V173+'Game Results'!V199+'Game Results'!V238+'Game Results'!V269)</f>
        <v>0</v>
      </c>
      <c r="X18" s="13">
        <f>SUM('Game Results'!W9+'Game Results'!W173+'Game Results'!W199+'Game Results'!W238+'Game Results'!W269)</f>
        <v>1</v>
      </c>
      <c r="Y18" s="13">
        <f>SUM('Game Results'!X9+'Game Results'!X173+'Game Results'!X199+'Game Results'!X238+'Game Results'!X269)</f>
        <v>0</v>
      </c>
      <c r="Z18" s="13">
        <f>SUM('Game Results'!Y9+'Game Results'!Y173+'Game Results'!Y199+'Game Results'!Y238+'Game Results'!Y269)</f>
        <v>0</v>
      </c>
      <c r="AA18" s="13">
        <f>SUM('Game Results'!Z9+'Game Results'!Z173+'Game Results'!Z199+'Game Results'!Z238+'Game Results'!Z269)</f>
        <v>0</v>
      </c>
      <c r="AB18" s="13">
        <f>SUM('Game Results'!AA9+'Game Results'!AA173+'Game Results'!AA199+'Game Results'!AA238+'Game Results'!AA269)</f>
        <v>0</v>
      </c>
      <c r="AC18" s="13">
        <f>SUM('Game Results'!AB9+'Game Results'!AB173+'Game Results'!AB199+'Game Results'!AB238+'Game Results'!AB269)</f>
        <v>0</v>
      </c>
      <c r="AD18" s="13">
        <f>SUM('Game Results'!AC9+'Game Results'!AC173+'Game Results'!AC199+'Game Results'!AC238+'Game Results'!AC269)</f>
        <v>0</v>
      </c>
    </row>
    <row r="19">
      <c r="A19" s="11" t="s">
        <v>34</v>
      </c>
      <c r="B19" s="12" t="s">
        <v>46</v>
      </c>
      <c r="C19" s="13">
        <v>5.0</v>
      </c>
      <c r="D19" s="13">
        <f>SUM('Game Results'!C10+'Game Results'!C174+'Game Results'!C200+'Game Results'!C239+'Game Results'!C270)</f>
        <v>3</v>
      </c>
      <c r="E19" s="41">
        <f>SUM('Game Results'!D10+'Game Results'!D174+'Game Results'!D200+'Game Results'!D239+'Game Results'!D270)</f>
        <v>169.85</v>
      </c>
      <c r="F19" s="13">
        <f>SUM('Game Results'!E10+'Game Results'!E174+'Game Results'!E200+'Game Results'!E239+'Game Results'!E270)</f>
        <v>2</v>
      </c>
      <c r="G19" s="13">
        <f>SUM('Game Results'!F10+'Game Results'!F174+'Game Results'!F200+'Game Results'!F239+'Game Results'!F270)</f>
        <v>859</v>
      </c>
      <c r="H19" s="13">
        <f>SUM('Game Results'!G10+'Game Results'!G174+'Game Results'!G200+'Game Results'!G239+'Game Results'!G270)</f>
        <v>55</v>
      </c>
      <c r="I19" s="13">
        <f>SUM('Game Results'!H10+'Game Results'!H174+'Game Results'!H200+'Game Results'!H239+'Game Results'!H270)</f>
        <v>667</v>
      </c>
      <c r="J19" s="13">
        <f>SUM('Game Results'!I10+'Game Results'!I174+'Game Results'!I200+'Game Results'!I239+'Game Results'!I270)</f>
        <v>192</v>
      </c>
      <c r="K19" s="29">
        <f t="shared" si="16"/>
        <v>1.287856072</v>
      </c>
      <c r="L19" s="31">
        <f t="shared" si="17"/>
        <v>15.27886057</v>
      </c>
      <c r="M19" s="13">
        <f>SUM('Game Results'!L10+'Game Results'!L174+'Game Results'!L200+'Game Results'!L239+'Game Results'!L270)</f>
        <v>1443</v>
      </c>
      <c r="N19" s="13">
        <f>SUM('Game Results'!M10+'Game Results'!M174+'Game Results'!M200+'Game Results'!M239+'Game Results'!M270)</f>
        <v>5</v>
      </c>
      <c r="O19" s="42">
        <f>SUM('Game Results'!N10+'Game Results'!N174+'Game Results'!N200+'Game Results'!N239+'Game Results'!N270)</f>
        <v>169.85</v>
      </c>
      <c r="P19" s="13">
        <f>SUM('Game Results'!O10+'Game Results'!O174+'Game Results'!O200+'Game Results'!O239+'Game Results'!O270)</f>
        <v>185</v>
      </c>
      <c r="Q19" s="13">
        <f>SUM('Game Results'!P10+'Game Results'!P174+'Game Results'!P200+'Game Results'!P239+'Game Results'!P270)</f>
        <v>61</v>
      </c>
      <c r="R19" s="13">
        <f>SUM('Game Results'!Q10+'Game Results'!Q174+'Game Results'!Q200+'Game Results'!Q239+'Game Results'!Q270)</f>
        <v>16</v>
      </c>
      <c r="S19" s="13">
        <f>SUM('Game Results'!R10+'Game Results'!R174+'Game Results'!R200+'Game Results'!R239+'Game Results'!R270)</f>
        <v>3</v>
      </c>
      <c r="T19" s="13">
        <f>SUM('Game Results'!S10+'Game Results'!S174+'Game Results'!S200+'Game Results'!S239+'Game Results'!S270)</f>
        <v>23</v>
      </c>
      <c r="U19" s="13">
        <f>SUM('Game Results'!T10+'Game Results'!T174+'Game Results'!T200+'Game Results'!T239+'Game Results'!T270)</f>
        <v>0</v>
      </c>
      <c r="V19" s="13">
        <f>SUM('Game Results'!U10+'Game Results'!U174+'Game Results'!U200+'Game Results'!U239+'Game Results'!U270)</f>
        <v>0</v>
      </c>
      <c r="W19" s="13">
        <f>SUM('Game Results'!V10+'Game Results'!V174+'Game Results'!V200+'Game Results'!V239+'Game Results'!V270)</f>
        <v>0</v>
      </c>
      <c r="X19" s="13">
        <f>SUM('Game Results'!W10+'Game Results'!W174+'Game Results'!W200+'Game Results'!W239+'Game Results'!W270)</f>
        <v>0</v>
      </c>
      <c r="Y19" s="13">
        <f>SUM('Game Results'!X10+'Game Results'!X174+'Game Results'!X200+'Game Results'!X239+'Game Results'!X270)</f>
        <v>0</v>
      </c>
      <c r="Z19" s="13">
        <f>SUM('Game Results'!Y10+'Game Results'!Y174+'Game Results'!Y200+'Game Results'!Y239+'Game Results'!Y270)</f>
        <v>1</v>
      </c>
      <c r="AA19" s="13">
        <f>SUM('Game Results'!Z10+'Game Results'!Z174+'Game Results'!Z200+'Game Results'!Z239+'Game Results'!Z270)</f>
        <v>0</v>
      </c>
      <c r="AB19" s="13">
        <f>SUM('Game Results'!AA10+'Game Results'!AA174+'Game Results'!AA200+'Game Results'!AA239+'Game Results'!AA270)</f>
        <v>0</v>
      </c>
      <c r="AC19" s="13">
        <f>SUM('Game Results'!AB10+'Game Results'!AB174+'Game Results'!AB200+'Game Results'!AB239+'Game Results'!AB270)</f>
        <v>0</v>
      </c>
      <c r="AD19" s="13">
        <f>SUM('Game Results'!AC10+'Game Results'!AC174+'Game Results'!AC200+'Game Results'!AC239+'Game Results'!AC270)</f>
        <v>0</v>
      </c>
    </row>
    <row r="20">
      <c r="A20" s="11" t="s">
        <v>34</v>
      </c>
      <c r="B20" s="12" t="s">
        <v>47</v>
      </c>
      <c r="C20" s="13">
        <v>5.0</v>
      </c>
      <c r="D20" s="13">
        <f>SUM('Game Results'!C11+'Game Results'!C175+'Game Results'!C201+'Game Results'!C240+'Game Results'!C271)</f>
        <v>3</v>
      </c>
      <c r="E20" s="41">
        <f>SUM('Game Results'!D11+'Game Results'!D175+'Game Results'!D201+'Game Results'!D240+'Game Results'!D271)</f>
        <v>169.85</v>
      </c>
      <c r="F20" s="13">
        <f>SUM('Game Results'!E11+'Game Results'!E175+'Game Results'!E201+'Game Results'!E240+'Game Results'!E271)</f>
        <v>2</v>
      </c>
      <c r="G20" s="13">
        <f>SUM('Game Results'!F11+'Game Results'!F175+'Game Results'!F201+'Game Results'!F240+'Game Results'!F271)</f>
        <v>629</v>
      </c>
      <c r="H20" s="13">
        <f>SUM('Game Results'!G11+'Game Results'!G175+'Game Results'!G201+'Game Results'!G240+'Game Results'!G271)</f>
        <v>32</v>
      </c>
      <c r="I20" s="13">
        <f>SUM('Game Results'!H11+'Game Results'!H175+'Game Results'!H201+'Game Results'!H240+'Game Results'!H271)</f>
        <v>642</v>
      </c>
      <c r="J20" s="13">
        <f>SUM('Game Results'!I11+'Game Results'!I175+'Game Results'!I201+'Game Results'!I240+'Game Results'!I271)</f>
        <v>-13</v>
      </c>
      <c r="K20" s="29">
        <f t="shared" si="16"/>
        <v>0.9797507788</v>
      </c>
      <c r="L20" s="31">
        <f t="shared" si="17"/>
        <v>15.87383178</v>
      </c>
      <c r="M20" s="13">
        <f>SUM('Game Results'!L11+'Game Results'!L175+'Game Results'!L201+'Game Results'!L240+'Game Results'!L271)</f>
        <v>929</v>
      </c>
      <c r="N20" s="13">
        <f>SUM('Game Results'!M11+'Game Results'!M175+'Game Results'!M201+'Game Results'!M240+'Game Results'!M271)</f>
        <v>5</v>
      </c>
      <c r="O20" s="42">
        <f>SUM('Game Results'!N11+'Game Results'!N175+'Game Results'!N201+'Game Results'!N240+'Game Results'!N271)</f>
        <v>169.85</v>
      </c>
      <c r="P20" s="13">
        <f>SUM('Game Results'!O11+'Game Results'!O175+'Game Results'!O201+'Game Results'!O240+'Game Results'!O271)</f>
        <v>95</v>
      </c>
      <c r="Q20" s="13">
        <f>SUM('Game Results'!P11+'Game Results'!P175+'Game Results'!P201+'Game Results'!P240+'Game Results'!P271)</f>
        <v>15</v>
      </c>
      <c r="R20" s="13">
        <f>SUM('Game Results'!Q11+'Game Results'!Q175+'Game Results'!Q201+'Game Results'!Q240+'Game Results'!Q271)</f>
        <v>2</v>
      </c>
      <c r="S20" s="13">
        <f>SUM('Game Results'!R11+'Game Results'!R175+'Game Results'!R201+'Game Results'!R240+'Game Results'!R271)</f>
        <v>0</v>
      </c>
      <c r="T20" s="13">
        <f>SUM('Game Results'!S11+'Game Results'!S175+'Game Results'!S201+'Game Results'!S240+'Game Results'!S271)</f>
        <v>3</v>
      </c>
      <c r="U20" s="13">
        <f>SUM('Game Results'!T11+'Game Results'!T175+'Game Results'!T201+'Game Results'!T240+'Game Results'!T271)</f>
        <v>0</v>
      </c>
      <c r="V20" s="13">
        <f>SUM('Game Results'!U11+'Game Results'!U175+'Game Results'!U201+'Game Results'!U240+'Game Results'!U271)</f>
        <v>0</v>
      </c>
      <c r="W20" s="13">
        <f>SUM('Game Results'!V11+'Game Results'!V175+'Game Results'!V201+'Game Results'!V240+'Game Results'!V271)</f>
        <v>0</v>
      </c>
      <c r="X20" s="13">
        <f>SUM('Game Results'!W11+'Game Results'!W175+'Game Results'!W201+'Game Results'!W240+'Game Results'!W271)</f>
        <v>0</v>
      </c>
      <c r="Y20" s="13">
        <f>SUM('Game Results'!X11+'Game Results'!X175+'Game Results'!X201+'Game Results'!X240+'Game Results'!X271)</f>
        <v>0</v>
      </c>
      <c r="Z20" s="13">
        <f>SUM('Game Results'!Y11+'Game Results'!Y175+'Game Results'!Y201+'Game Results'!Y240+'Game Results'!Y271)</f>
        <v>0</v>
      </c>
      <c r="AA20" s="13">
        <f>SUM('Game Results'!Z11+'Game Results'!Z175+'Game Results'!Z201+'Game Results'!Z240+'Game Results'!Z271)</f>
        <v>0</v>
      </c>
      <c r="AB20" s="13">
        <f>SUM('Game Results'!AA11+'Game Results'!AA175+'Game Results'!AA201+'Game Results'!AA240+'Game Results'!AA271)</f>
        <v>0</v>
      </c>
      <c r="AC20" s="13">
        <f>SUM('Game Results'!AB11+'Game Results'!AB175+'Game Results'!AB201+'Game Results'!AB240+'Game Results'!AB271)</f>
        <v>0</v>
      </c>
      <c r="AD20" s="13">
        <f>SUM('Game Results'!AC11+'Game Results'!AC175+'Game Results'!AC201+'Game Results'!AC240+'Game Results'!AC271)</f>
        <v>0</v>
      </c>
    </row>
    <row r="21">
      <c r="A21" s="11" t="s">
        <v>34</v>
      </c>
      <c r="B21" s="12" t="s">
        <v>48</v>
      </c>
      <c r="C21" s="13">
        <v>5.0</v>
      </c>
      <c r="D21" s="13">
        <f>SUM('Game Results'!C12+'Game Results'!C176+'Game Results'!C202+'Game Results'!C241+'Game Results'!C272)</f>
        <v>3</v>
      </c>
      <c r="E21" s="41">
        <f>SUM('Game Results'!D12+'Game Results'!D176+'Game Results'!D202+'Game Results'!D241+'Game Results'!D272)</f>
        <v>169.85</v>
      </c>
      <c r="F21" s="13">
        <f>SUM('Game Results'!E12+'Game Results'!E176+'Game Results'!E202+'Game Results'!E241+'Game Results'!E272)</f>
        <v>2</v>
      </c>
      <c r="G21" s="13">
        <f>SUM('Game Results'!F12+'Game Results'!F176+'Game Results'!F202+'Game Results'!F241+'Game Results'!F272)</f>
        <v>651</v>
      </c>
      <c r="H21" s="13">
        <f>SUM('Game Results'!G12+'Game Results'!G176+'Game Results'!G202+'Game Results'!G241+'Game Results'!G272)</f>
        <v>52</v>
      </c>
      <c r="I21" s="13">
        <f>SUM('Game Results'!H12+'Game Results'!H176+'Game Results'!H202+'Game Results'!H241+'Game Results'!H272)</f>
        <v>657</v>
      </c>
      <c r="J21" s="13">
        <f>SUM('Game Results'!I12+'Game Results'!I176+'Game Results'!I202+'Game Results'!I241+'Game Results'!I272)</f>
        <v>-6</v>
      </c>
      <c r="K21" s="29">
        <f t="shared" si="16"/>
        <v>0.9908675799</v>
      </c>
      <c r="L21" s="31">
        <f t="shared" si="17"/>
        <v>15.51141553</v>
      </c>
      <c r="M21" s="13">
        <f>SUM('Game Results'!L12+'Game Results'!L176+'Game Results'!L202+'Game Results'!L241+'Game Results'!L272)</f>
        <v>1055</v>
      </c>
      <c r="N21" s="13">
        <f>SUM('Game Results'!M12+'Game Results'!M176+'Game Results'!M202+'Game Results'!M241+'Game Results'!M272)</f>
        <v>5</v>
      </c>
      <c r="O21" s="42">
        <f>SUM('Game Results'!N12+'Game Results'!N176+'Game Results'!N202+'Game Results'!N241+'Game Results'!N272)</f>
        <v>169.85</v>
      </c>
      <c r="P21" s="13">
        <f>SUM('Game Results'!O12+'Game Results'!O176+'Game Results'!O202+'Game Results'!O241+'Game Results'!O272)</f>
        <v>106</v>
      </c>
      <c r="Q21" s="13">
        <f>SUM('Game Results'!P12+'Game Results'!P176+'Game Results'!P202+'Game Results'!P241+'Game Results'!P272)</f>
        <v>19</v>
      </c>
      <c r="R21" s="13">
        <f>SUM('Game Results'!Q12+'Game Results'!Q176+'Game Results'!Q202+'Game Results'!Q241+'Game Results'!Q272)</f>
        <v>2</v>
      </c>
      <c r="S21" s="13">
        <f>SUM('Game Results'!R12+'Game Results'!R176+'Game Results'!R202+'Game Results'!R241+'Game Results'!R272)</f>
        <v>1</v>
      </c>
      <c r="T21" s="13">
        <f>SUM('Game Results'!S12+'Game Results'!S176+'Game Results'!S202+'Game Results'!S241+'Game Results'!S272)</f>
        <v>9</v>
      </c>
      <c r="U21" s="13">
        <f>SUM('Game Results'!T12+'Game Results'!T176+'Game Results'!T202+'Game Results'!T241+'Game Results'!T272)</f>
        <v>0</v>
      </c>
      <c r="V21" s="13">
        <f>SUM('Game Results'!U12+'Game Results'!U176+'Game Results'!U202+'Game Results'!U241+'Game Results'!U272)</f>
        <v>0</v>
      </c>
      <c r="W21" s="13">
        <f>SUM('Game Results'!V12+'Game Results'!V176+'Game Results'!V202+'Game Results'!V241+'Game Results'!V272)</f>
        <v>0</v>
      </c>
      <c r="X21" s="13">
        <f>SUM('Game Results'!W12+'Game Results'!W176+'Game Results'!W202+'Game Results'!W241+'Game Results'!W272)</f>
        <v>0</v>
      </c>
      <c r="Y21" s="13">
        <f>SUM('Game Results'!X12+'Game Results'!X176+'Game Results'!X202+'Game Results'!X241+'Game Results'!X272)</f>
        <v>0</v>
      </c>
      <c r="Z21" s="13">
        <f>SUM('Game Results'!Y12+'Game Results'!Y176+'Game Results'!Y202+'Game Results'!Y241+'Game Results'!Y272)</f>
        <v>0</v>
      </c>
      <c r="AA21" s="13">
        <f>SUM('Game Results'!Z12+'Game Results'!Z176+'Game Results'!Z202+'Game Results'!Z241+'Game Results'!Z272)</f>
        <v>0</v>
      </c>
      <c r="AB21" s="13">
        <f>SUM('Game Results'!AA12+'Game Results'!AA176+'Game Results'!AA202+'Game Results'!AA241+'Game Results'!AA272)</f>
        <v>0</v>
      </c>
      <c r="AC21" s="13">
        <f>SUM('Game Results'!AB12+'Game Results'!AB176+'Game Results'!AB202+'Game Results'!AB241+'Game Results'!AB272)</f>
        <v>0</v>
      </c>
      <c r="AD21" s="13">
        <f>SUM('Game Results'!AC12+'Game Results'!AC176+'Game Results'!AC202+'Game Results'!AC241+'Game Results'!AC272)</f>
        <v>0</v>
      </c>
    </row>
    <row r="22">
      <c r="A22" s="38" t="s">
        <v>49</v>
      </c>
      <c r="B22" s="34"/>
      <c r="C22" s="34">
        <f t="shared" ref="C22:E22" si="18">SUM(C18:C21)/4</f>
        <v>5</v>
      </c>
      <c r="D22" s="34">
        <f t="shared" si="18"/>
        <v>3</v>
      </c>
      <c r="E22" s="35">
        <f t="shared" si="18"/>
        <v>169.85</v>
      </c>
      <c r="F22" s="34">
        <f t="shared" ref="F22:J22" si="19">SUM(F18:F21)</f>
        <v>22</v>
      </c>
      <c r="G22" s="34">
        <f t="shared" si="19"/>
        <v>2585</v>
      </c>
      <c r="H22" s="34">
        <f t="shared" si="19"/>
        <v>152</v>
      </c>
      <c r="I22" s="34">
        <f t="shared" si="19"/>
        <v>2355</v>
      </c>
      <c r="J22" s="34">
        <f t="shared" si="19"/>
        <v>230</v>
      </c>
      <c r="K22" s="36">
        <f>G22/I22</f>
        <v>1.097664544</v>
      </c>
      <c r="L22" s="39">
        <f>SUM(L18:L21)/4</f>
        <v>18.21551283</v>
      </c>
      <c r="M22" s="34">
        <f t="shared" ref="M22:AD22" si="20">SUM(M18:M21)</f>
        <v>4120</v>
      </c>
      <c r="N22" s="34">
        <f t="shared" si="20"/>
        <v>20</v>
      </c>
      <c r="O22" s="39">
        <f t="shared" si="20"/>
        <v>679.4</v>
      </c>
      <c r="P22" s="34">
        <f t="shared" si="20"/>
        <v>416</v>
      </c>
      <c r="Q22" s="34">
        <f t="shared" si="20"/>
        <v>97</v>
      </c>
      <c r="R22" s="34">
        <f t="shared" si="20"/>
        <v>20</v>
      </c>
      <c r="S22" s="34">
        <f t="shared" si="20"/>
        <v>4</v>
      </c>
      <c r="T22" s="34">
        <f t="shared" si="20"/>
        <v>45</v>
      </c>
      <c r="U22" s="34">
        <f t="shared" si="20"/>
        <v>1</v>
      </c>
      <c r="V22" s="34">
        <f t="shared" si="20"/>
        <v>0</v>
      </c>
      <c r="W22" s="34">
        <f t="shared" si="20"/>
        <v>0</v>
      </c>
      <c r="X22" s="34">
        <f t="shared" si="20"/>
        <v>1</v>
      </c>
      <c r="Y22" s="34">
        <f t="shared" si="20"/>
        <v>0</v>
      </c>
      <c r="Z22" s="34">
        <f t="shared" si="20"/>
        <v>1</v>
      </c>
      <c r="AA22" s="34">
        <f t="shared" si="20"/>
        <v>0</v>
      </c>
      <c r="AB22" s="34">
        <f t="shared" si="20"/>
        <v>0</v>
      </c>
      <c r="AC22" s="34">
        <f t="shared" si="20"/>
        <v>0</v>
      </c>
      <c r="AD22" s="34">
        <f t="shared" si="20"/>
        <v>0</v>
      </c>
    </row>
    <row r="23">
      <c r="A23" s="11" t="s">
        <v>65</v>
      </c>
      <c r="B23" s="12" t="s">
        <v>84</v>
      </c>
      <c r="C23" s="13">
        <v>2.0</v>
      </c>
      <c r="D23" s="14">
        <f>SUM('Game Results'!C48+'Game Results'!C152)</f>
        <v>0</v>
      </c>
      <c r="E23" s="31">
        <f>SUM('Game Results'!D48+'Game Results'!D152)</f>
        <v>82.7</v>
      </c>
      <c r="F23" s="14">
        <f>SUM('Game Results'!E48+'Game Results'!E152)</f>
        <v>0</v>
      </c>
      <c r="G23" s="14">
        <f>SUM('Game Results'!F48+'Game Results'!F152)</f>
        <v>399</v>
      </c>
      <c r="H23" s="14">
        <f>SUM('Game Results'!G48+'Game Results'!G152)</f>
        <v>33</v>
      </c>
      <c r="I23" s="14">
        <f>SUM('Game Results'!H48+'Game Results'!H152)</f>
        <v>411</v>
      </c>
      <c r="J23" s="14">
        <f>SUM('Game Results'!I48+'Game Results'!I152)</f>
        <v>-12</v>
      </c>
      <c r="K23" s="29">
        <f t="shared" ref="K23:K26" si="21">SUM(G23/I23)</f>
        <v>0.9708029197</v>
      </c>
      <c r="L23" s="31">
        <f t="shared" ref="L23:L26" si="22">SUM((E23*60)/I23)</f>
        <v>12.0729927</v>
      </c>
      <c r="M23" s="14">
        <f>SUM('Game Results'!L48+'Game Results'!L152)</f>
        <v>634</v>
      </c>
      <c r="N23" s="14">
        <f>SUM('Game Results'!M48+'Game Results'!M152)</f>
        <v>2</v>
      </c>
      <c r="O23" s="17">
        <f>SUM('Game Results'!N48+'Game Results'!N152)</f>
        <v>82.7</v>
      </c>
      <c r="P23" s="14">
        <f>SUM('Game Results'!O48+'Game Results'!O152)</f>
        <v>54</v>
      </c>
      <c r="Q23" s="14">
        <f>SUM('Game Results'!P48+'Game Results'!P152)</f>
        <v>20</v>
      </c>
      <c r="R23" s="14">
        <f>SUM('Game Results'!Q48+'Game Results'!Q152)</f>
        <v>4</v>
      </c>
      <c r="S23" s="14">
        <f>SUM('Game Results'!R48+'Game Results'!R152)</f>
        <v>2</v>
      </c>
      <c r="T23" s="14">
        <f>SUM('Game Results'!S48+'Game Results'!S152)</f>
        <v>3</v>
      </c>
      <c r="U23" s="14">
        <f>SUM('Game Results'!T48+'Game Results'!T152)</f>
        <v>0</v>
      </c>
      <c r="V23" s="14">
        <f>SUM('Game Results'!U48+'Game Results'!U152)</f>
        <v>0</v>
      </c>
      <c r="W23" s="14">
        <f>SUM('Game Results'!V48+'Game Results'!V152)</f>
        <v>0</v>
      </c>
      <c r="X23" s="14">
        <f>SUM('Game Results'!W48+'Game Results'!W152)</f>
        <v>0</v>
      </c>
      <c r="Y23" s="14">
        <f>SUM('Game Results'!X48+'Game Results'!X152)</f>
        <v>0</v>
      </c>
      <c r="Z23" s="14">
        <f>SUM('Game Results'!Y48+'Game Results'!Y152)</f>
        <v>1</v>
      </c>
      <c r="AA23" s="14">
        <f>SUM('Game Results'!Z48+'Game Results'!Z152)</f>
        <v>0</v>
      </c>
      <c r="AB23" s="14">
        <f>SUM('Game Results'!AA48+'Game Results'!AA152)</f>
        <v>0</v>
      </c>
      <c r="AC23" s="14">
        <f>SUM('Game Results'!AB48+'Game Results'!AB152)</f>
        <v>0</v>
      </c>
      <c r="AD23" s="14">
        <f>SUM('Game Results'!AC48+'Game Results'!AC152)</f>
        <v>0</v>
      </c>
    </row>
    <row r="24">
      <c r="A24" s="11" t="s">
        <v>65</v>
      </c>
      <c r="B24" s="12" t="s">
        <v>85</v>
      </c>
      <c r="C24" s="13">
        <v>2.0</v>
      </c>
      <c r="D24" s="14">
        <f>SUM('Game Results'!C49+'Game Results'!C153)</f>
        <v>0</v>
      </c>
      <c r="E24" s="31">
        <f>SUM('Game Results'!D49+'Game Results'!D153)</f>
        <v>86.16666667</v>
      </c>
      <c r="F24" s="14">
        <f>SUM('Game Results'!E49+'Game Results'!E153)</f>
        <v>0</v>
      </c>
      <c r="G24" s="14">
        <f>SUM('Game Results'!F49+'Game Results'!F153)</f>
        <v>339</v>
      </c>
      <c r="H24" s="14">
        <f>SUM('Game Results'!G49+'Game Results'!G153)</f>
        <v>26</v>
      </c>
      <c r="I24" s="14">
        <f>SUM('Game Results'!H49+'Game Results'!H153)</f>
        <v>271</v>
      </c>
      <c r="J24" s="14">
        <f>SUM('Game Results'!I49+'Game Results'!I153)</f>
        <v>68</v>
      </c>
      <c r="K24" s="29">
        <f t="shared" si="21"/>
        <v>1.250922509</v>
      </c>
      <c r="L24" s="31">
        <f t="shared" si="22"/>
        <v>19.07749077</v>
      </c>
      <c r="M24" s="14">
        <f>SUM('Game Results'!L49+'Game Results'!L153)</f>
        <v>557</v>
      </c>
      <c r="N24" s="14">
        <f>SUM('Game Results'!M49+'Game Results'!M153)</f>
        <v>2</v>
      </c>
      <c r="O24" s="17">
        <f>SUM('Game Results'!N49+'Game Results'!N153)</f>
        <v>86.16666667</v>
      </c>
      <c r="P24" s="14">
        <f>SUM('Game Results'!O49+'Game Results'!O153)</f>
        <v>51</v>
      </c>
      <c r="Q24" s="14">
        <f>SUM('Game Results'!P49+'Game Results'!P153)</f>
        <v>6</v>
      </c>
      <c r="R24" s="14">
        <f>SUM('Game Results'!Q49+'Game Results'!Q153)</f>
        <v>0</v>
      </c>
      <c r="S24" s="14">
        <f>SUM('Game Results'!R49+'Game Results'!R153)</f>
        <v>0</v>
      </c>
      <c r="T24" s="14">
        <f>SUM('Game Results'!S49+'Game Results'!S153)</f>
        <v>2</v>
      </c>
      <c r="U24" s="14">
        <f>SUM('Game Results'!T49+'Game Results'!T153)</f>
        <v>0</v>
      </c>
      <c r="V24" s="14">
        <f>SUM('Game Results'!U49+'Game Results'!U153)</f>
        <v>0</v>
      </c>
      <c r="W24" s="14">
        <f>SUM('Game Results'!V49+'Game Results'!V153)</f>
        <v>0</v>
      </c>
      <c r="X24" s="14">
        <f>SUM('Game Results'!W49+'Game Results'!W153)</f>
        <v>0</v>
      </c>
      <c r="Y24" s="14">
        <f>SUM('Game Results'!X49+'Game Results'!X153)</f>
        <v>0</v>
      </c>
      <c r="Z24" s="14">
        <f>SUM('Game Results'!Y49+'Game Results'!Y153)</f>
        <v>0</v>
      </c>
      <c r="AA24" s="14">
        <f>SUM('Game Results'!Z49+'Game Results'!Z153)</f>
        <v>0</v>
      </c>
      <c r="AB24" s="14">
        <f>SUM('Game Results'!AA49+'Game Results'!AA153)</f>
        <v>0</v>
      </c>
      <c r="AC24" s="14">
        <f>SUM('Game Results'!AB49+'Game Results'!AB153)</f>
        <v>0</v>
      </c>
      <c r="AD24" s="14">
        <f>SUM('Game Results'!AC49+'Game Results'!AC153)</f>
        <v>0</v>
      </c>
    </row>
    <row r="25">
      <c r="A25" s="11" t="s">
        <v>65</v>
      </c>
      <c r="B25" s="12" t="s">
        <v>86</v>
      </c>
      <c r="C25" s="13">
        <v>2.0</v>
      </c>
      <c r="D25" s="14">
        <f>SUM('Game Results'!C50+'Game Results'!C154)</f>
        <v>0</v>
      </c>
      <c r="E25" s="31">
        <f>SUM('Game Results'!D50+'Game Results'!D154)</f>
        <v>85.4</v>
      </c>
      <c r="F25" s="14">
        <f>SUM('Game Results'!E50+'Game Results'!E154)</f>
        <v>3</v>
      </c>
      <c r="G25" s="14">
        <f>SUM('Game Results'!F50+'Game Results'!F154)</f>
        <v>197</v>
      </c>
      <c r="H25" s="14">
        <f>SUM('Game Results'!G50+'Game Results'!G154)</f>
        <v>11</v>
      </c>
      <c r="I25" s="14">
        <f>SUM('Game Results'!H50+'Game Results'!H154)</f>
        <v>302</v>
      </c>
      <c r="J25" s="14">
        <f>SUM('Game Results'!I50+'Game Results'!I154)</f>
        <v>-105</v>
      </c>
      <c r="K25" s="29">
        <f t="shared" si="21"/>
        <v>0.6523178808</v>
      </c>
      <c r="L25" s="31">
        <f t="shared" si="22"/>
        <v>16.96688742</v>
      </c>
      <c r="M25" s="14">
        <f>SUM('Game Results'!L50+'Game Results'!L154)</f>
        <v>307</v>
      </c>
      <c r="N25" s="14">
        <f>SUM('Game Results'!M50+'Game Results'!M154)</f>
        <v>2</v>
      </c>
      <c r="O25" s="17">
        <f>SUM('Game Results'!N50+'Game Results'!N154)</f>
        <v>85.4</v>
      </c>
      <c r="P25" s="14">
        <f>SUM('Game Results'!O50+'Game Results'!O154)</f>
        <v>20</v>
      </c>
      <c r="Q25" s="14">
        <f>SUM('Game Results'!P50+'Game Results'!P154)</f>
        <v>2</v>
      </c>
      <c r="R25" s="14">
        <f>SUM('Game Results'!Q50+'Game Results'!Q154)</f>
        <v>0</v>
      </c>
      <c r="S25" s="14">
        <f>SUM('Game Results'!R50+'Game Results'!R154)</f>
        <v>0</v>
      </c>
      <c r="T25" s="14">
        <f>SUM('Game Results'!S50+'Game Results'!S154)</f>
        <v>1</v>
      </c>
      <c r="U25" s="14">
        <f>SUM('Game Results'!T50+'Game Results'!T154)</f>
        <v>0</v>
      </c>
      <c r="V25" s="14">
        <f>SUM('Game Results'!U50+'Game Results'!U154)</f>
        <v>0</v>
      </c>
      <c r="W25" s="14">
        <f>SUM('Game Results'!V50+'Game Results'!V154)</f>
        <v>0</v>
      </c>
      <c r="X25" s="14">
        <f>SUM('Game Results'!W50+'Game Results'!W154)</f>
        <v>0</v>
      </c>
      <c r="Y25" s="14">
        <f>SUM('Game Results'!X50+'Game Results'!X154)</f>
        <v>0</v>
      </c>
      <c r="Z25" s="14">
        <f>SUM('Game Results'!Y50+'Game Results'!Y154)</f>
        <v>0</v>
      </c>
      <c r="AA25" s="14">
        <f>SUM('Game Results'!Z50+'Game Results'!Z154)</f>
        <v>0</v>
      </c>
      <c r="AB25" s="14">
        <f>SUM('Game Results'!AA50+'Game Results'!AA154)</f>
        <v>0</v>
      </c>
      <c r="AC25" s="14">
        <f>SUM('Game Results'!AB50+'Game Results'!AB154)</f>
        <v>0</v>
      </c>
      <c r="AD25" s="14">
        <f>SUM('Game Results'!AC50+'Game Results'!AC154)</f>
        <v>0</v>
      </c>
    </row>
    <row r="26">
      <c r="A26" s="11" t="s">
        <v>65</v>
      </c>
      <c r="B26" s="12" t="s">
        <v>87</v>
      </c>
      <c r="C26" s="13">
        <v>2.0</v>
      </c>
      <c r="D26" s="14">
        <f>SUM('Game Results'!C51+'Game Results'!C155)</f>
        <v>0</v>
      </c>
      <c r="E26" s="31">
        <f>SUM('Game Results'!D51+'Game Results'!D155)</f>
        <v>83.45</v>
      </c>
      <c r="F26" s="14">
        <f>SUM('Game Results'!E51+'Game Results'!E155)</f>
        <v>0</v>
      </c>
      <c r="G26" s="14">
        <f>SUM('Game Results'!F51+'Game Results'!F155)</f>
        <v>342</v>
      </c>
      <c r="H26" s="14">
        <f>SUM('Game Results'!G51+'Game Results'!G155)</f>
        <v>20</v>
      </c>
      <c r="I26" s="14">
        <f>SUM('Game Results'!H51+'Game Results'!H155)</f>
        <v>423</v>
      </c>
      <c r="J26" s="14">
        <f>SUM('Game Results'!I51+'Game Results'!I155)</f>
        <v>-81</v>
      </c>
      <c r="K26" s="29">
        <f t="shared" si="21"/>
        <v>0.8085106383</v>
      </c>
      <c r="L26" s="31">
        <f t="shared" si="22"/>
        <v>11.83687943</v>
      </c>
      <c r="M26" s="14">
        <f>SUM('Game Results'!L51+'Game Results'!L155)</f>
        <v>528</v>
      </c>
      <c r="N26" s="14">
        <f>SUM('Game Results'!M51+'Game Results'!M155)</f>
        <v>2</v>
      </c>
      <c r="O26" s="17">
        <f>SUM('Game Results'!N51+'Game Results'!N155)</f>
        <v>83.45</v>
      </c>
      <c r="P26" s="14">
        <f>SUM('Game Results'!O51+'Game Results'!O155)</f>
        <v>52</v>
      </c>
      <c r="Q26" s="14">
        <f>SUM('Game Results'!P51+'Game Results'!P155)</f>
        <v>9</v>
      </c>
      <c r="R26" s="14">
        <f>SUM('Game Results'!Q51+'Game Results'!Q155)</f>
        <v>1</v>
      </c>
      <c r="S26" s="14">
        <f>SUM('Game Results'!R51+'Game Results'!R155)</f>
        <v>0</v>
      </c>
      <c r="T26" s="14">
        <f>SUM('Game Results'!S51+'Game Results'!S155)</f>
        <v>1</v>
      </c>
      <c r="U26" s="14">
        <f>SUM('Game Results'!T51+'Game Results'!T155)</f>
        <v>0</v>
      </c>
      <c r="V26" s="14">
        <f>SUM('Game Results'!U51+'Game Results'!U155)</f>
        <v>0</v>
      </c>
      <c r="W26" s="14">
        <f>SUM('Game Results'!V51+'Game Results'!V155)</f>
        <v>0</v>
      </c>
      <c r="X26" s="14">
        <f>SUM('Game Results'!W51+'Game Results'!W155)</f>
        <v>0</v>
      </c>
      <c r="Y26" s="14">
        <f>SUM('Game Results'!X51+'Game Results'!X155)</f>
        <v>0</v>
      </c>
      <c r="Z26" s="14">
        <f>SUM('Game Results'!Y51+'Game Results'!Y155)</f>
        <v>0</v>
      </c>
      <c r="AA26" s="14">
        <f>SUM('Game Results'!Z51+'Game Results'!Z155)</f>
        <v>0</v>
      </c>
      <c r="AB26" s="14">
        <f>SUM('Game Results'!AA51+'Game Results'!AA155)</f>
        <v>0</v>
      </c>
      <c r="AC26" s="14">
        <f>SUM('Game Results'!AB51+'Game Results'!AB155)</f>
        <v>0</v>
      </c>
      <c r="AD26" s="14">
        <f>SUM('Game Results'!AC51+'Game Results'!AC155)</f>
        <v>0</v>
      </c>
    </row>
    <row r="27">
      <c r="A27" s="38" t="s">
        <v>49</v>
      </c>
      <c r="B27" s="34"/>
      <c r="C27" s="34">
        <f t="shared" ref="C27:E27" si="23">SUM(C23:C26)/4</f>
        <v>2</v>
      </c>
      <c r="D27" s="34">
        <f t="shared" si="23"/>
        <v>0</v>
      </c>
      <c r="E27" s="35">
        <f t="shared" si="23"/>
        <v>84.42916667</v>
      </c>
      <c r="F27" s="34">
        <f t="shared" ref="F27:J27" si="24">SUM(F23:F26)</f>
        <v>3</v>
      </c>
      <c r="G27" s="34">
        <f t="shared" si="24"/>
        <v>1277</v>
      </c>
      <c r="H27" s="34">
        <f t="shared" si="24"/>
        <v>90</v>
      </c>
      <c r="I27" s="34">
        <f t="shared" si="24"/>
        <v>1407</v>
      </c>
      <c r="J27" s="34">
        <f t="shared" si="24"/>
        <v>-130</v>
      </c>
      <c r="K27" s="36">
        <f>G27/I27</f>
        <v>0.907604833</v>
      </c>
      <c r="L27" s="39">
        <f>SUM(L23:L26)/4</f>
        <v>14.98856258</v>
      </c>
      <c r="M27" s="34">
        <f t="shared" ref="M27:AD27" si="25">SUM(M23:M26)</f>
        <v>2026</v>
      </c>
      <c r="N27" s="34">
        <f t="shared" si="25"/>
        <v>8</v>
      </c>
      <c r="O27" s="39">
        <f t="shared" si="25"/>
        <v>337.7166667</v>
      </c>
      <c r="P27" s="34">
        <f t="shared" si="25"/>
        <v>177</v>
      </c>
      <c r="Q27" s="34">
        <f t="shared" si="25"/>
        <v>37</v>
      </c>
      <c r="R27" s="34">
        <f t="shared" si="25"/>
        <v>5</v>
      </c>
      <c r="S27" s="34">
        <f t="shared" si="25"/>
        <v>2</v>
      </c>
      <c r="T27" s="34">
        <f t="shared" si="25"/>
        <v>7</v>
      </c>
      <c r="U27" s="34">
        <f t="shared" si="25"/>
        <v>0</v>
      </c>
      <c r="V27" s="34">
        <f t="shared" si="25"/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4">
        <f t="shared" si="25"/>
        <v>1</v>
      </c>
      <c r="AA27" s="34">
        <f t="shared" si="25"/>
        <v>0</v>
      </c>
      <c r="AB27" s="34">
        <f t="shared" si="25"/>
        <v>0</v>
      </c>
      <c r="AC27" s="34">
        <f t="shared" si="25"/>
        <v>0</v>
      </c>
      <c r="AD27" s="34">
        <f t="shared" si="25"/>
        <v>0</v>
      </c>
    </row>
    <row r="28">
      <c r="A28" s="11" t="s">
        <v>44</v>
      </c>
      <c r="B28" s="12" t="s">
        <v>54</v>
      </c>
      <c r="C28" s="13">
        <v>4.0</v>
      </c>
      <c r="D28" s="14">
        <f>SUM('Game Results'!C17+'Game Results'!C100+'Game Results'!C147+'Game Results'!C191)</f>
        <v>2</v>
      </c>
      <c r="E28" s="31">
        <f>SUM('Game Results'!D17+'Game Results'!D100+'Game Results'!D147+'Game Results'!D191)</f>
        <v>206.9</v>
      </c>
      <c r="F28" s="14">
        <f>SUM('Game Results'!E17+'Game Results'!E100+'Game Results'!E147+'Game Results'!E191)</f>
        <v>2</v>
      </c>
      <c r="G28" s="14">
        <f>SUM('Game Results'!F17+'Game Results'!F100+'Game Results'!F147+'Game Results'!F191)</f>
        <v>787</v>
      </c>
      <c r="H28" s="14">
        <f>SUM('Game Results'!G17+'Game Results'!G100+'Game Results'!G147+'Game Results'!G191)</f>
        <v>34</v>
      </c>
      <c r="I28" s="14">
        <f>SUM('Game Results'!H17+'Game Results'!H100+'Game Results'!H147+'Game Results'!H191)</f>
        <v>842</v>
      </c>
      <c r="J28" s="14">
        <f>SUM('Game Results'!I17+'Game Results'!I100+'Game Results'!I147+'Game Results'!I191)</f>
        <v>-55</v>
      </c>
      <c r="K28" s="29">
        <f t="shared" ref="K28:K31" si="26">SUM(G28/I28)</f>
        <v>0.9346793349</v>
      </c>
      <c r="L28" s="31">
        <f t="shared" ref="L28:L31" si="27">SUM((E28*60)/I28)</f>
        <v>14.74346793</v>
      </c>
      <c r="M28" s="14">
        <f>SUM('Game Results'!L17+'Game Results'!L100+'Game Results'!L147+'Game Results'!L191)</f>
        <v>1137</v>
      </c>
      <c r="N28" s="14">
        <f>SUM('Game Results'!M17+'Game Results'!M100+'Game Results'!M147+'Game Results'!M191)</f>
        <v>4</v>
      </c>
      <c r="O28" s="17">
        <f>SUM('Game Results'!N17+'Game Results'!N100+'Game Results'!N147+'Game Results'!N191)</f>
        <v>206.9</v>
      </c>
      <c r="P28" s="14">
        <f>SUM('Game Results'!O17+'Game Results'!O100+'Game Results'!O147+'Game Results'!O191)</f>
        <v>96</v>
      </c>
      <c r="Q28" s="14">
        <f>SUM('Game Results'!P17+'Game Results'!P100+'Game Results'!P147+'Game Results'!P191)</f>
        <v>16</v>
      </c>
      <c r="R28" s="14">
        <f>SUM('Game Results'!Q17+'Game Results'!Q100+'Game Results'!Q147+'Game Results'!Q191)</f>
        <v>3</v>
      </c>
      <c r="S28" s="14">
        <f>SUM('Game Results'!R17+'Game Results'!R100+'Game Results'!R147+'Game Results'!R191)</f>
        <v>0</v>
      </c>
      <c r="T28" s="14">
        <f>SUM('Game Results'!S17+'Game Results'!S100+'Game Results'!S147+'Game Results'!S191)</f>
        <v>5</v>
      </c>
      <c r="U28" s="14">
        <f>SUM('Game Results'!T17+'Game Results'!T100+'Game Results'!T147+'Game Results'!T191)</f>
        <v>0</v>
      </c>
      <c r="V28" s="14">
        <f>SUM('Game Results'!U17+'Game Results'!U100+'Game Results'!U147+'Game Results'!U191)</f>
        <v>0</v>
      </c>
      <c r="W28" s="14">
        <f>SUM('Game Results'!V17+'Game Results'!V100+'Game Results'!V147+'Game Results'!V191)</f>
        <v>0</v>
      </c>
      <c r="X28" s="14">
        <f>SUM('Game Results'!W17+'Game Results'!W100+'Game Results'!W147+'Game Results'!W191)</f>
        <v>0</v>
      </c>
      <c r="Y28" s="14">
        <f>SUM('Game Results'!X17+'Game Results'!X100+'Game Results'!X147+'Game Results'!X191)</f>
        <v>0</v>
      </c>
      <c r="Z28" s="14">
        <f>SUM('Game Results'!Y17+'Game Results'!Y100+'Game Results'!Y147+'Game Results'!Y191)</f>
        <v>0</v>
      </c>
      <c r="AA28" s="14">
        <f>SUM('Game Results'!Z17+'Game Results'!Z100+'Game Results'!Z147+'Game Results'!Z191)</f>
        <v>0</v>
      </c>
      <c r="AB28" s="14">
        <f>SUM('Game Results'!AA17+'Game Results'!AA100+'Game Results'!AA147+'Game Results'!AA191)</f>
        <v>0</v>
      </c>
      <c r="AC28" s="14">
        <f>SUM('Game Results'!AB17+'Game Results'!AB100+'Game Results'!AB147+'Game Results'!AB191)</f>
        <v>0</v>
      </c>
      <c r="AD28" s="14">
        <f>SUM('Game Results'!AC17+'Game Results'!AC100+'Game Results'!AC147+'Game Results'!AC191)</f>
        <v>0</v>
      </c>
    </row>
    <row r="29">
      <c r="A29" s="11" t="s">
        <v>44</v>
      </c>
      <c r="B29" s="12" t="s">
        <v>55</v>
      </c>
      <c r="C29" s="13">
        <v>4.0</v>
      </c>
      <c r="D29" s="14">
        <f>SUM('Game Results'!C18+'Game Results'!C101+'Game Results'!C148+'Game Results'!C192)</f>
        <v>2</v>
      </c>
      <c r="E29" s="31">
        <f>SUM('Game Results'!D18+'Game Results'!D101+'Game Results'!D148+'Game Results'!D192)</f>
        <v>206.9</v>
      </c>
      <c r="F29" s="14">
        <f>SUM('Game Results'!E18+'Game Results'!E101+'Game Results'!E148+'Game Results'!E192)</f>
        <v>4</v>
      </c>
      <c r="G29" s="14">
        <f>SUM('Game Results'!F18+'Game Results'!F101+'Game Results'!F148+'Game Results'!F192)</f>
        <v>938</v>
      </c>
      <c r="H29" s="14">
        <f>SUM('Game Results'!G18+'Game Results'!G101+'Game Results'!G148+'Game Results'!G192)</f>
        <v>65</v>
      </c>
      <c r="I29" s="14">
        <f>SUM('Game Results'!H18+'Game Results'!H101+'Game Results'!H148+'Game Results'!H192)</f>
        <v>765</v>
      </c>
      <c r="J29" s="14">
        <f>SUM('Game Results'!I18+'Game Results'!I101+'Game Results'!I148+'Game Results'!I192)</f>
        <v>173</v>
      </c>
      <c r="K29" s="29">
        <f t="shared" si="26"/>
        <v>1.226143791</v>
      </c>
      <c r="L29" s="31">
        <f t="shared" si="27"/>
        <v>16.22745098</v>
      </c>
      <c r="M29" s="14">
        <f>SUM('Game Results'!L18+'Game Results'!L101+'Game Results'!L148+'Game Results'!L192)</f>
        <v>1511</v>
      </c>
      <c r="N29" s="14">
        <f>SUM('Game Results'!M18+'Game Results'!M101+'Game Results'!M148+'Game Results'!M192)</f>
        <v>4</v>
      </c>
      <c r="O29" s="17">
        <f>SUM('Game Results'!N18+'Game Results'!N101+'Game Results'!N148+'Game Results'!N192)</f>
        <v>206.9</v>
      </c>
      <c r="P29" s="14">
        <f>SUM('Game Results'!O18+'Game Results'!O101+'Game Results'!O148+'Game Results'!O192)</f>
        <v>152</v>
      </c>
      <c r="Q29" s="14">
        <f>SUM('Game Results'!P18+'Game Results'!P101+'Game Results'!P148+'Game Results'!P192)</f>
        <v>35</v>
      </c>
      <c r="R29" s="14">
        <f>SUM('Game Results'!Q18+'Game Results'!Q101+'Game Results'!Q148+'Game Results'!Q192)</f>
        <v>8</v>
      </c>
      <c r="S29" s="14">
        <f>SUM('Game Results'!R18+'Game Results'!R101+'Game Results'!R148+'Game Results'!R192)</f>
        <v>0</v>
      </c>
      <c r="T29" s="14">
        <f>SUM('Game Results'!S18+'Game Results'!S101+'Game Results'!S148+'Game Results'!S192)</f>
        <v>23</v>
      </c>
      <c r="U29" s="14">
        <f>SUM('Game Results'!T18+'Game Results'!T101+'Game Results'!T148+'Game Results'!T192)</f>
        <v>0</v>
      </c>
      <c r="V29" s="14">
        <f>SUM('Game Results'!U18+'Game Results'!U101+'Game Results'!U148+'Game Results'!U192)</f>
        <v>0</v>
      </c>
      <c r="W29" s="14">
        <f>SUM('Game Results'!V18+'Game Results'!V101+'Game Results'!V148+'Game Results'!V192)</f>
        <v>0</v>
      </c>
      <c r="X29" s="14">
        <f>SUM('Game Results'!W18+'Game Results'!W101+'Game Results'!W148+'Game Results'!W192)</f>
        <v>0</v>
      </c>
      <c r="Y29" s="14">
        <f>SUM('Game Results'!X18+'Game Results'!X101+'Game Results'!X148+'Game Results'!X192)</f>
        <v>0</v>
      </c>
      <c r="Z29" s="14">
        <f>SUM('Game Results'!Y18+'Game Results'!Y101+'Game Results'!Y148+'Game Results'!Y192)</f>
        <v>0</v>
      </c>
      <c r="AA29" s="14">
        <f>SUM('Game Results'!Z18+'Game Results'!Z101+'Game Results'!Z148+'Game Results'!Z192)</f>
        <v>0</v>
      </c>
      <c r="AB29" s="14">
        <f>SUM('Game Results'!AA18+'Game Results'!AA101+'Game Results'!AA148+'Game Results'!AA192)</f>
        <v>0</v>
      </c>
      <c r="AC29" s="14">
        <f>SUM('Game Results'!AB18+'Game Results'!AB101+'Game Results'!AB148+'Game Results'!AB192)</f>
        <v>0</v>
      </c>
      <c r="AD29" s="14">
        <f>SUM('Game Results'!AC18+'Game Results'!AC101+'Game Results'!AC148+'Game Results'!AC192)</f>
        <v>0</v>
      </c>
    </row>
    <row r="30">
      <c r="A30" s="11" t="s">
        <v>44</v>
      </c>
      <c r="B30" s="12" t="s">
        <v>111</v>
      </c>
      <c r="C30" s="13">
        <v>4.0</v>
      </c>
      <c r="D30" s="14">
        <f>SUM('Game Results'!C19+'Game Results'!C102+'Game Results'!C149+'Game Results'!C193)</f>
        <v>2</v>
      </c>
      <c r="E30" s="31">
        <f>SUM('Game Results'!D19+'Game Results'!D102+'Game Results'!D149+'Game Results'!D193)</f>
        <v>206.9</v>
      </c>
      <c r="F30" s="14">
        <f>SUM('Game Results'!E19+'Game Results'!E102+'Game Results'!E149+'Game Results'!E193)</f>
        <v>2</v>
      </c>
      <c r="G30" s="14">
        <f>SUM('Game Results'!F19+'Game Results'!F102+'Game Results'!F149+'Game Results'!F193)</f>
        <v>756</v>
      </c>
      <c r="H30" s="14">
        <f>SUM('Game Results'!G19+'Game Results'!G102+'Game Results'!G149+'Game Results'!G193)</f>
        <v>68</v>
      </c>
      <c r="I30" s="14">
        <f>SUM('Game Results'!H19+'Game Results'!H102+'Game Results'!H149+'Game Results'!H193)</f>
        <v>793</v>
      </c>
      <c r="J30" s="14">
        <f>SUM('Game Results'!I19+'Game Results'!I102+'Game Results'!I149+'Game Results'!I193)</f>
        <v>-37</v>
      </c>
      <c r="K30" s="29">
        <f t="shared" si="26"/>
        <v>0.9533417402</v>
      </c>
      <c r="L30" s="31">
        <f t="shared" si="27"/>
        <v>15.65447667</v>
      </c>
      <c r="M30" s="14">
        <f>SUM('Game Results'!L19+'Game Results'!L102+'Game Results'!L149+'Game Results'!L193)</f>
        <v>1149</v>
      </c>
      <c r="N30" s="14">
        <f>SUM('Game Results'!M19+'Game Results'!M102+'Game Results'!M149+'Game Results'!M193)</f>
        <v>4</v>
      </c>
      <c r="O30" s="17">
        <f>SUM('Game Results'!N19+'Game Results'!N102+'Game Results'!N149+'Game Results'!N193)</f>
        <v>206.9</v>
      </c>
      <c r="P30" s="14">
        <f>SUM('Game Results'!O19+'Game Results'!O102+'Game Results'!O149+'Game Results'!O193)</f>
        <v>98</v>
      </c>
      <c r="Q30" s="14">
        <f>SUM('Game Results'!P19+'Game Results'!P102+'Game Results'!P149+'Game Results'!P193)</f>
        <v>13</v>
      </c>
      <c r="R30" s="14">
        <f>SUM('Game Results'!Q19+'Game Results'!Q102+'Game Results'!Q149+'Game Results'!Q193)</f>
        <v>2</v>
      </c>
      <c r="S30" s="14">
        <f>SUM('Game Results'!R19+'Game Results'!R102+'Game Results'!R149+'Game Results'!R193)</f>
        <v>2</v>
      </c>
      <c r="T30" s="14">
        <f>SUM('Game Results'!S19+'Game Results'!S102+'Game Results'!S149+'Game Results'!S193)</f>
        <v>6</v>
      </c>
      <c r="U30" s="14">
        <f>SUM('Game Results'!T19+'Game Results'!T102+'Game Results'!T149+'Game Results'!T193)</f>
        <v>0</v>
      </c>
      <c r="V30" s="14">
        <f>SUM('Game Results'!U19+'Game Results'!U102+'Game Results'!U149+'Game Results'!U193)</f>
        <v>0</v>
      </c>
      <c r="W30" s="14">
        <f>SUM('Game Results'!V19+'Game Results'!V102+'Game Results'!V149+'Game Results'!V193)</f>
        <v>0</v>
      </c>
      <c r="X30" s="14">
        <f>SUM('Game Results'!W19+'Game Results'!W102+'Game Results'!W149+'Game Results'!W193)</f>
        <v>0</v>
      </c>
      <c r="Y30" s="14">
        <f>SUM('Game Results'!X19+'Game Results'!X102+'Game Results'!X149+'Game Results'!X193)</f>
        <v>0</v>
      </c>
      <c r="Z30" s="14">
        <f>SUM('Game Results'!Y19+'Game Results'!Y102+'Game Results'!Y149+'Game Results'!Y193)</f>
        <v>0</v>
      </c>
      <c r="AA30" s="14">
        <f>SUM('Game Results'!Z19+'Game Results'!Z102+'Game Results'!Z149+'Game Results'!Z193)</f>
        <v>0</v>
      </c>
      <c r="AB30" s="14">
        <f>SUM('Game Results'!AA19+'Game Results'!AA102+'Game Results'!AA149+'Game Results'!AA193)</f>
        <v>0</v>
      </c>
      <c r="AC30" s="14">
        <f>SUM('Game Results'!AB19+'Game Results'!AB102+'Game Results'!AB149+'Game Results'!AB193)</f>
        <v>0</v>
      </c>
      <c r="AD30" s="14">
        <f>SUM('Game Results'!AC19+'Game Results'!AC102+'Game Results'!AC149+'Game Results'!AC193)</f>
        <v>0</v>
      </c>
    </row>
    <row r="31">
      <c r="A31" s="11" t="s">
        <v>44</v>
      </c>
      <c r="B31" s="12" t="s">
        <v>57</v>
      </c>
      <c r="C31" s="13">
        <v>4.0</v>
      </c>
      <c r="D31" s="14">
        <f>SUM('Game Results'!C20+'Game Results'!C103+'Game Results'!C150+'Game Results'!C194)</f>
        <v>2</v>
      </c>
      <c r="E31" s="31">
        <f>SUM('Game Results'!D20+'Game Results'!D103+'Game Results'!D150+'Game Results'!D194)</f>
        <v>206.9</v>
      </c>
      <c r="F31" s="14">
        <f>SUM('Game Results'!E20+'Game Results'!E103+'Game Results'!E150+'Game Results'!E194)</f>
        <v>7</v>
      </c>
      <c r="G31" s="14">
        <f>SUM('Game Results'!F20+'Game Results'!F103+'Game Results'!F150+'Game Results'!F194)</f>
        <v>593</v>
      </c>
      <c r="H31" s="14">
        <f>SUM('Game Results'!G20+'Game Results'!G103+'Game Results'!G150+'Game Results'!G194)</f>
        <v>8</v>
      </c>
      <c r="I31" s="14">
        <f>SUM('Game Results'!H20+'Game Results'!H103+'Game Results'!H150+'Game Results'!H194)</f>
        <v>617</v>
      </c>
      <c r="J31" s="14">
        <f>SUM('Game Results'!I20+'Game Results'!I103+'Game Results'!I150+'Game Results'!I194)</f>
        <v>-24</v>
      </c>
      <c r="K31" s="29">
        <f t="shared" si="26"/>
        <v>0.961102107</v>
      </c>
      <c r="L31" s="31">
        <f t="shared" si="27"/>
        <v>20.11993517</v>
      </c>
      <c r="M31" s="14">
        <f>SUM('Game Results'!L20+'Game Results'!L103+'Game Results'!L150+'Game Results'!L194)</f>
        <v>813</v>
      </c>
      <c r="N31" s="14">
        <f>SUM('Game Results'!M20+'Game Results'!M103+'Game Results'!M150+'Game Results'!M194)</f>
        <v>4</v>
      </c>
      <c r="O31" s="17">
        <f>SUM('Game Results'!N20+'Game Results'!N103+'Game Results'!N150+'Game Results'!N194)</f>
        <v>206.9</v>
      </c>
      <c r="P31" s="14">
        <f>SUM('Game Results'!O20+'Game Results'!O103+'Game Results'!O150+'Game Results'!O194)</f>
        <v>54</v>
      </c>
      <c r="Q31" s="14">
        <f>SUM('Game Results'!P20+'Game Results'!P103+'Game Results'!P150+'Game Results'!P194)</f>
        <v>6</v>
      </c>
      <c r="R31" s="14">
        <f>SUM('Game Results'!Q20+'Game Results'!Q103+'Game Results'!Q150+'Game Results'!Q194)</f>
        <v>1</v>
      </c>
      <c r="S31" s="14">
        <f>SUM('Game Results'!R20+'Game Results'!R103+'Game Results'!R150+'Game Results'!R194)</f>
        <v>1</v>
      </c>
      <c r="T31" s="14">
        <f>SUM('Game Results'!S20+'Game Results'!S103+'Game Results'!S150+'Game Results'!S194)</f>
        <v>4</v>
      </c>
      <c r="U31" s="14">
        <f>SUM('Game Results'!T20+'Game Results'!T103+'Game Results'!T150+'Game Results'!T194)</f>
        <v>0</v>
      </c>
      <c r="V31" s="14">
        <f>SUM('Game Results'!U20+'Game Results'!U103+'Game Results'!U150+'Game Results'!U194)</f>
        <v>1</v>
      </c>
      <c r="W31" s="14">
        <f>SUM('Game Results'!V20+'Game Results'!V103+'Game Results'!V150+'Game Results'!V194)</f>
        <v>0</v>
      </c>
      <c r="X31" s="14">
        <f>SUM('Game Results'!W20+'Game Results'!W103+'Game Results'!W150+'Game Results'!W194)</f>
        <v>0</v>
      </c>
      <c r="Y31" s="14">
        <f>SUM('Game Results'!X20+'Game Results'!X103+'Game Results'!X150+'Game Results'!X194)</f>
        <v>0</v>
      </c>
      <c r="Z31" s="14">
        <f>SUM('Game Results'!Y20+'Game Results'!Y103+'Game Results'!Y150+'Game Results'!Y194)</f>
        <v>0</v>
      </c>
      <c r="AA31" s="14">
        <f>SUM('Game Results'!Z20+'Game Results'!Z103+'Game Results'!Z150+'Game Results'!Z194)</f>
        <v>0</v>
      </c>
      <c r="AB31" s="14">
        <f>SUM('Game Results'!AA20+'Game Results'!AA103+'Game Results'!AA150+'Game Results'!AA194)</f>
        <v>0</v>
      </c>
      <c r="AC31" s="14">
        <f>SUM('Game Results'!AB20+'Game Results'!AB103+'Game Results'!AB150+'Game Results'!AB194)</f>
        <v>0</v>
      </c>
      <c r="AD31" s="14">
        <f>SUM('Game Results'!AC20+'Game Results'!AC103+'Game Results'!AC150+'Game Results'!AC194)</f>
        <v>0</v>
      </c>
    </row>
    <row r="32">
      <c r="A32" s="38" t="s">
        <v>49</v>
      </c>
      <c r="B32" s="34"/>
      <c r="C32" s="34">
        <f t="shared" ref="C32:E32" si="28">SUM(C28:C31)/4</f>
        <v>4</v>
      </c>
      <c r="D32" s="34">
        <f t="shared" si="28"/>
        <v>2</v>
      </c>
      <c r="E32" s="35">
        <f t="shared" si="28"/>
        <v>206.9</v>
      </c>
      <c r="F32" s="34">
        <f t="shared" ref="F32:J32" si="29">SUM(F28:F31)</f>
        <v>15</v>
      </c>
      <c r="G32" s="34">
        <f t="shared" si="29"/>
        <v>3074</v>
      </c>
      <c r="H32" s="34">
        <f t="shared" si="29"/>
        <v>175</v>
      </c>
      <c r="I32" s="34">
        <f t="shared" si="29"/>
        <v>3017</v>
      </c>
      <c r="J32" s="34">
        <f t="shared" si="29"/>
        <v>57</v>
      </c>
      <c r="K32" s="36">
        <f>G32/I32</f>
        <v>1.01889294</v>
      </c>
      <c r="L32" s="39">
        <f>SUM(L28:L31)/4</f>
        <v>16.68633269</v>
      </c>
      <c r="M32" s="34">
        <f t="shared" ref="M32:AD32" si="30">SUM(M28:M31)</f>
        <v>4610</v>
      </c>
      <c r="N32" s="34">
        <f t="shared" si="30"/>
        <v>16</v>
      </c>
      <c r="O32" s="39">
        <f t="shared" si="30"/>
        <v>827.6</v>
      </c>
      <c r="P32" s="34">
        <f t="shared" si="30"/>
        <v>400</v>
      </c>
      <c r="Q32" s="34">
        <f t="shared" si="30"/>
        <v>70</v>
      </c>
      <c r="R32" s="34">
        <f t="shared" si="30"/>
        <v>14</v>
      </c>
      <c r="S32" s="34">
        <f t="shared" si="30"/>
        <v>3</v>
      </c>
      <c r="T32" s="34">
        <f t="shared" si="30"/>
        <v>38</v>
      </c>
      <c r="U32" s="34">
        <f t="shared" si="30"/>
        <v>0</v>
      </c>
      <c r="V32" s="34">
        <f t="shared" si="30"/>
        <v>1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4">
        <f t="shared" si="30"/>
        <v>0</v>
      </c>
      <c r="AA32" s="34">
        <f t="shared" si="30"/>
        <v>0</v>
      </c>
      <c r="AB32" s="34">
        <f t="shared" si="30"/>
        <v>0</v>
      </c>
      <c r="AC32" s="34">
        <f t="shared" si="30"/>
        <v>0</v>
      </c>
      <c r="AD32" s="34">
        <f t="shared" si="30"/>
        <v>0</v>
      </c>
    </row>
    <row r="33">
      <c r="A33" s="11" t="s">
        <v>38</v>
      </c>
      <c r="B33" s="12" t="s">
        <v>39</v>
      </c>
      <c r="C33" s="40">
        <v>8.0</v>
      </c>
      <c r="D33" s="13">
        <f>SUM('Game Results'!C4+'Game Results'!C87+'Game Results'!C134+'Game Results'!C186+'Game Results'!C251+'Game Results'!C264+'Game Results'!C290+'Game Results'!C308)</f>
        <v>6</v>
      </c>
      <c r="E33" s="41">
        <f>SUM('Game Results'!D4+'Game Results'!D87+'Game Results'!D134+'Game Results'!D186+'Game Results'!D251+'Game Results'!D264+'Game Results'!D290+'Game Results'!D308)</f>
        <v>282</v>
      </c>
      <c r="F33" s="13">
        <f>SUM('Game Results'!E4+'Game Results'!E87+'Game Results'!E134+'Game Results'!E186+'Game Results'!E251+'Game Results'!E264+'Game Results'!E290+'Game Results'!E308)</f>
        <v>3</v>
      </c>
      <c r="G33" s="13">
        <f>SUM('Game Results'!F4+'Game Results'!F87+'Game Results'!F134+'Game Results'!F186+'Game Results'!F251+'Game Results'!F264+'Game Results'!F290+'Game Results'!F308)</f>
        <v>1128</v>
      </c>
      <c r="H33" s="13">
        <f>SUM('Game Results'!G4+'Game Results'!G87+'Game Results'!G134+'Game Results'!G186+'Game Results'!G251+'Game Results'!G264+'Game Results'!G290+'Game Results'!G308)</f>
        <v>83</v>
      </c>
      <c r="I33" s="13">
        <f>SUM('Game Results'!H4+'Game Results'!H87+'Game Results'!H134+'Game Results'!H186+'Game Results'!H251+'Game Results'!H264+'Game Results'!H290+'Game Results'!H308)</f>
        <v>1144</v>
      </c>
      <c r="J33" s="13">
        <f>SUM('Game Results'!I4+'Game Results'!I87+'Game Results'!I134+'Game Results'!I186+'Game Results'!I251+'Game Results'!I264+'Game Results'!I290+'Game Results'!I308)</f>
        <v>-16</v>
      </c>
      <c r="K33" s="29">
        <f t="shared" ref="K33:K36" si="31">SUM(G33/I33)</f>
        <v>0.986013986</v>
      </c>
      <c r="L33" s="31">
        <f t="shared" ref="L33:L36" si="32">SUM((E33*60)/I33)</f>
        <v>14.79020979</v>
      </c>
      <c r="M33" s="13">
        <f>SUM('Game Results'!L4+'Game Results'!L87+'Game Results'!L134+'Game Results'!L186+'Game Results'!L251+'Game Results'!L264+'Game Results'!L290+'Game Results'!L308)</f>
        <v>1777</v>
      </c>
      <c r="N33" s="13">
        <f>SUM('Game Results'!M4+'Game Results'!M87+'Game Results'!M134+'Game Results'!M186+'Game Results'!M251+'Game Results'!M264+'Game Results'!M290+'Game Results'!M308)</f>
        <v>8</v>
      </c>
      <c r="O33" s="42">
        <f>SUM('Game Results'!N4+'Game Results'!N87+'Game Results'!N134+'Game Results'!N186+'Game Results'!N251+'Game Results'!N264+'Game Results'!N290+'Game Results'!N308)</f>
        <v>282</v>
      </c>
      <c r="P33" s="13">
        <f>SUM('Game Results'!O4+'Game Results'!O87+'Game Results'!O134+'Game Results'!O186+'Game Results'!O251+'Game Results'!O264+'Game Results'!O290+'Game Results'!O308)</f>
        <v>160</v>
      </c>
      <c r="Q33" s="13">
        <f>SUM('Game Results'!P4+'Game Results'!P87+'Game Results'!P134+'Game Results'!P186+'Game Results'!P251+'Game Results'!P264+'Game Results'!P290+'Game Results'!P308)</f>
        <v>16</v>
      </c>
      <c r="R33" s="13">
        <f>SUM('Game Results'!Q4+'Game Results'!Q87+'Game Results'!Q134+'Game Results'!Q186+'Game Results'!Q251+'Game Results'!Q264+'Game Results'!Q290+'Game Results'!Q308)</f>
        <v>1</v>
      </c>
      <c r="S33" s="13">
        <f>SUM('Game Results'!R4+'Game Results'!R87+'Game Results'!R134+'Game Results'!R186+'Game Results'!R251+'Game Results'!R264+'Game Results'!R290+'Game Results'!R308)</f>
        <v>1</v>
      </c>
      <c r="T33" s="13">
        <f>SUM('Game Results'!S4+'Game Results'!S87+'Game Results'!S134+'Game Results'!S186+'Game Results'!S251+'Game Results'!S264+'Game Results'!S290+'Game Results'!S308)</f>
        <v>13</v>
      </c>
      <c r="U33" s="13">
        <f>SUM('Game Results'!T4+'Game Results'!T87+'Game Results'!T134+'Game Results'!T186+'Game Results'!T251+'Game Results'!T264+'Game Results'!T290+'Game Results'!T308)</f>
        <v>1</v>
      </c>
      <c r="V33" s="13">
        <f>SUM('Game Results'!U4+'Game Results'!U87+'Game Results'!U134+'Game Results'!U186+'Game Results'!U251+'Game Results'!U264+'Game Results'!U290+'Game Results'!U308)</f>
        <v>0</v>
      </c>
      <c r="W33" s="13">
        <f>SUM('Game Results'!V4+'Game Results'!V87+'Game Results'!V134+'Game Results'!V186+'Game Results'!V251+'Game Results'!V264+'Game Results'!V290+'Game Results'!V308)</f>
        <v>0</v>
      </c>
      <c r="X33" s="13">
        <f>SUM('Game Results'!W4+'Game Results'!W87+'Game Results'!W134+'Game Results'!W186+'Game Results'!W251+'Game Results'!W264+'Game Results'!W290+'Game Results'!W308)</f>
        <v>0</v>
      </c>
      <c r="Y33" s="13">
        <f>SUM('Game Results'!X4+'Game Results'!X87+'Game Results'!X134+'Game Results'!X186+'Game Results'!X251+'Game Results'!X264+'Game Results'!X290+'Game Results'!X308)</f>
        <v>0</v>
      </c>
      <c r="Z33" s="13">
        <f>SUM('Game Results'!Y4+'Game Results'!Y87+'Game Results'!Y134+'Game Results'!Y186+'Game Results'!Y251+'Game Results'!Y264+'Game Results'!Y290+'Game Results'!Y308)</f>
        <v>0</v>
      </c>
      <c r="AA33" s="13">
        <f>SUM('Game Results'!Z4+'Game Results'!Z87+'Game Results'!Z134+'Game Results'!Z186+'Game Results'!Z251+'Game Results'!Z264+'Game Results'!Z290+'Game Results'!Z308)</f>
        <v>0</v>
      </c>
      <c r="AB33" s="13">
        <f>SUM('Game Results'!AA4+'Game Results'!AA87+'Game Results'!AA134+'Game Results'!AA186+'Game Results'!AA251+'Game Results'!AA264+'Game Results'!AA290+'Game Results'!AA308)</f>
        <v>0</v>
      </c>
      <c r="AC33" s="13">
        <f>SUM('Game Results'!AB4+'Game Results'!AB87+'Game Results'!AB134+'Game Results'!AB186+'Game Results'!AB251+'Game Results'!AB264+'Game Results'!AB290+'Game Results'!AB308)</f>
        <v>0</v>
      </c>
      <c r="AD33" s="13">
        <f>SUM('Game Results'!AC4+'Game Results'!AC87+'Game Results'!AC134+'Game Results'!AC186+'Game Results'!AC251+'Game Results'!AC264+'Game Results'!AC290+'Game Results'!AC308)</f>
        <v>0</v>
      </c>
    </row>
    <row r="34">
      <c r="A34" s="11" t="s">
        <v>38</v>
      </c>
      <c r="B34" s="12" t="s">
        <v>40</v>
      </c>
      <c r="C34" s="13">
        <v>8.0</v>
      </c>
      <c r="D34" s="13">
        <f>SUM('Game Results'!C5+'Game Results'!C88+'Game Results'!C135+'Game Results'!C187+'Game Results'!C252+'Game Results'!C265+'Game Results'!C291+'Game Results'!C309)</f>
        <v>6</v>
      </c>
      <c r="E34" s="41">
        <f>SUM('Game Results'!D5+'Game Results'!D88+'Game Results'!D135+'Game Results'!D187+'Game Results'!D252+'Game Results'!D265+'Game Results'!D291+'Game Results'!D309)</f>
        <v>282</v>
      </c>
      <c r="F34" s="13">
        <f>SUM('Game Results'!E5+'Game Results'!E88+'Game Results'!E135+'Game Results'!E187+'Game Results'!E252+'Game Results'!E265+'Game Results'!E291+'Game Results'!E309)</f>
        <v>9</v>
      </c>
      <c r="G34" s="13">
        <f>SUM('Game Results'!F5+'Game Results'!F88+'Game Results'!F135+'Game Results'!F187+'Game Results'!F252+'Game Results'!F265+'Game Results'!F291+'Game Results'!F309)</f>
        <v>1227</v>
      </c>
      <c r="H34" s="13">
        <f>SUM('Game Results'!G5+'Game Results'!G88+'Game Results'!G135+'Game Results'!G187+'Game Results'!G252+'Game Results'!G265+'Game Results'!G291+'Game Results'!G309)</f>
        <v>65</v>
      </c>
      <c r="I34" s="13">
        <f>SUM('Game Results'!H5+'Game Results'!H88+'Game Results'!H135+'Game Results'!H187+'Game Results'!H252+'Game Results'!H265+'Game Results'!H291+'Game Results'!H309)</f>
        <v>928</v>
      </c>
      <c r="J34" s="13">
        <f>SUM('Game Results'!I5+'Game Results'!I88+'Game Results'!I135+'Game Results'!I187+'Game Results'!I252+'Game Results'!I265+'Game Results'!I291+'Game Results'!I309)</f>
        <v>299</v>
      </c>
      <c r="K34" s="29">
        <f t="shared" si="31"/>
        <v>1.322198276</v>
      </c>
      <c r="L34" s="31">
        <f t="shared" si="32"/>
        <v>18.23275862</v>
      </c>
      <c r="M34" s="13">
        <f>SUM('Game Results'!L5+'Game Results'!L88+'Game Results'!L135+'Game Results'!L187+'Game Results'!L252+'Game Results'!L265+'Game Results'!L291+'Game Results'!L309)</f>
        <v>2057</v>
      </c>
      <c r="N34" s="13">
        <f>SUM('Game Results'!M5+'Game Results'!M88+'Game Results'!M135+'Game Results'!M187+'Game Results'!M252+'Game Results'!M265+'Game Results'!M291+'Game Results'!M309)</f>
        <v>8</v>
      </c>
      <c r="O34" s="42">
        <f>SUM('Game Results'!N5+'Game Results'!N88+'Game Results'!N135+'Game Results'!N187+'Game Results'!N252+'Game Results'!N265+'Game Results'!N291+'Game Results'!N309)</f>
        <v>282</v>
      </c>
      <c r="P34" s="13">
        <f>SUM('Game Results'!O5+'Game Results'!O88+'Game Results'!O135+'Game Results'!O187+'Game Results'!O252+'Game Results'!O265+'Game Results'!O291+'Game Results'!O309)</f>
        <v>223</v>
      </c>
      <c r="Q34" s="13">
        <f>SUM('Game Results'!P5+'Game Results'!P88+'Game Results'!P135+'Game Results'!P187+'Game Results'!P252+'Game Results'!P265+'Game Results'!P291+'Game Results'!P309)</f>
        <v>65</v>
      </c>
      <c r="R34" s="13">
        <f>SUM('Game Results'!Q5+'Game Results'!Q88+'Game Results'!Q135+'Game Results'!Q187+'Game Results'!Q252+'Game Results'!Q265+'Game Results'!Q291+'Game Results'!Q309)</f>
        <v>16</v>
      </c>
      <c r="S34" s="13">
        <f>SUM('Game Results'!R5+'Game Results'!R88+'Game Results'!R135+'Game Results'!R187+'Game Results'!R252+'Game Results'!R265+'Game Results'!R291+'Game Results'!R309)</f>
        <v>4</v>
      </c>
      <c r="T34" s="13">
        <f>SUM('Game Results'!S5+'Game Results'!S88+'Game Results'!S135+'Game Results'!S187+'Game Results'!S252+'Game Results'!S265+'Game Results'!S291+'Game Results'!S309)</f>
        <v>33</v>
      </c>
      <c r="U34" s="13">
        <f>SUM('Game Results'!T5+'Game Results'!T88+'Game Results'!T135+'Game Results'!T187+'Game Results'!T252+'Game Results'!T265+'Game Results'!T291+'Game Results'!T309)</f>
        <v>2</v>
      </c>
      <c r="V34" s="13">
        <f>SUM('Game Results'!U5+'Game Results'!U88+'Game Results'!U135+'Game Results'!U187+'Game Results'!U252+'Game Results'!U265+'Game Results'!U291+'Game Results'!U309)</f>
        <v>0</v>
      </c>
      <c r="W34" s="13">
        <f>SUM('Game Results'!V5+'Game Results'!V88+'Game Results'!V135+'Game Results'!V187+'Game Results'!V252+'Game Results'!V265+'Game Results'!V291+'Game Results'!V309)</f>
        <v>1</v>
      </c>
      <c r="X34" s="13">
        <f>SUM('Game Results'!W5+'Game Results'!W88+'Game Results'!W135+'Game Results'!W187+'Game Results'!W252+'Game Results'!W265+'Game Results'!W291+'Game Results'!W309)</f>
        <v>0</v>
      </c>
      <c r="Y34" s="13">
        <f>SUM('Game Results'!X5+'Game Results'!X88+'Game Results'!X135+'Game Results'!X187+'Game Results'!X252+'Game Results'!X265+'Game Results'!X291+'Game Results'!X309)</f>
        <v>0</v>
      </c>
      <c r="Z34" s="13">
        <f>SUM('Game Results'!Y5+'Game Results'!Y88+'Game Results'!Y135+'Game Results'!Y187+'Game Results'!Y252+'Game Results'!Y265+'Game Results'!Y291+'Game Results'!Y309)</f>
        <v>1</v>
      </c>
      <c r="AA34" s="13">
        <f>SUM('Game Results'!Z5+'Game Results'!Z88+'Game Results'!Z135+'Game Results'!Z187+'Game Results'!Z252+'Game Results'!Z265+'Game Results'!Z291+'Game Results'!Z309)</f>
        <v>1</v>
      </c>
      <c r="AB34" s="13">
        <f>SUM('Game Results'!AA5+'Game Results'!AA88+'Game Results'!AA135+'Game Results'!AA187+'Game Results'!AA252+'Game Results'!AA265+'Game Results'!AA291+'Game Results'!AA309)</f>
        <v>1</v>
      </c>
      <c r="AC34" s="13">
        <f>SUM('Game Results'!AB5+'Game Results'!AB88+'Game Results'!AB135+'Game Results'!AB187+'Game Results'!AB252+'Game Results'!AB265+'Game Results'!AB291+'Game Results'!AB309)</f>
        <v>0</v>
      </c>
      <c r="AD34" s="13">
        <f>SUM('Game Results'!AC5+'Game Results'!AC88+'Game Results'!AC135+'Game Results'!AC187+'Game Results'!AC252+'Game Results'!AC265+'Game Results'!AC291+'Game Results'!AC309)</f>
        <v>0</v>
      </c>
    </row>
    <row r="35">
      <c r="A35" s="11" t="s">
        <v>38</v>
      </c>
      <c r="B35" s="12" t="s">
        <v>41</v>
      </c>
      <c r="C35" s="13">
        <v>8.0</v>
      </c>
      <c r="D35" s="13">
        <f>SUM('Game Results'!C6+'Game Results'!C89+'Game Results'!C136+'Game Results'!C188+'Game Results'!C253+'Game Results'!C266+'Game Results'!C292+'Game Results'!C310)</f>
        <v>6</v>
      </c>
      <c r="E35" s="41">
        <f>SUM('Game Results'!D6+'Game Results'!D89+'Game Results'!D136+'Game Results'!D188+'Game Results'!D253+'Game Results'!D266+'Game Results'!D292+'Game Results'!D310)</f>
        <v>282</v>
      </c>
      <c r="F35" s="13">
        <f>SUM('Game Results'!E6+'Game Results'!E89+'Game Results'!E136+'Game Results'!E188+'Game Results'!E253+'Game Results'!E266+'Game Results'!E292+'Game Results'!E310)</f>
        <v>2</v>
      </c>
      <c r="G35" s="13">
        <f>SUM('Game Results'!F6+'Game Results'!F89+'Game Results'!F136+'Game Results'!F188+'Game Results'!F253+'Game Results'!F266+'Game Results'!F292+'Game Results'!F310)</f>
        <v>1096</v>
      </c>
      <c r="H35" s="13">
        <f>SUM('Game Results'!G6+'Game Results'!G89+'Game Results'!G136+'Game Results'!G188+'Game Results'!G253+'Game Results'!G266+'Game Results'!G292+'Game Results'!G310)</f>
        <v>77</v>
      </c>
      <c r="I35" s="13">
        <f>SUM('Game Results'!H6+'Game Results'!H89+'Game Results'!H136+'Game Results'!H188+'Game Results'!H253+'Game Results'!H266+'Game Results'!H292+'Game Results'!H310)</f>
        <v>1360</v>
      </c>
      <c r="J35" s="13">
        <f>SUM('Game Results'!I6+'Game Results'!I89+'Game Results'!I136+'Game Results'!I188+'Game Results'!I253+'Game Results'!I266+'Game Results'!I292+'Game Results'!I310)</f>
        <v>-264</v>
      </c>
      <c r="K35" s="29">
        <f t="shared" si="31"/>
        <v>0.8058823529</v>
      </c>
      <c r="L35" s="31">
        <f t="shared" si="32"/>
        <v>12.44117647</v>
      </c>
      <c r="M35" s="13">
        <f>SUM('Game Results'!L6+'Game Results'!L89+'Game Results'!L136+'Game Results'!L188+'Game Results'!L253+'Game Results'!L266+'Game Results'!L292+'Game Results'!L310)</f>
        <v>1732</v>
      </c>
      <c r="N35" s="13">
        <f>SUM('Game Results'!M6+'Game Results'!M89+'Game Results'!M136+'Game Results'!M188+'Game Results'!M253+'Game Results'!M266+'Game Results'!M292+'Game Results'!M310)</f>
        <v>8</v>
      </c>
      <c r="O35" s="42">
        <f>SUM('Game Results'!N6+'Game Results'!N89+'Game Results'!N136+'Game Results'!N188+'Game Results'!N253+'Game Results'!N266+'Game Results'!N292+'Game Results'!N310)</f>
        <v>282</v>
      </c>
      <c r="P35" s="13">
        <f>SUM('Game Results'!O6+'Game Results'!O89+'Game Results'!O136+'Game Results'!O188+'Game Results'!O253+'Game Results'!O266+'Game Results'!O292+'Game Results'!O310)</f>
        <v>185</v>
      </c>
      <c r="Q35" s="13">
        <f>SUM('Game Results'!P6+'Game Results'!P89+'Game Results'!P136+'Game Results'!P188+'Game Results'!P253+'Game Results'!P266+'Game Results'!P292+'Game Results'!P310)</f>
        <v>35</v>
      </c>
      <c r="R35" s="13">
        <f>SUM('Game Results'!Q6+'Game Results'!Q89+'Game Results'!Q136+'Game Results'!Q188+'Game Results'!Q253+'Game Results'!Q266+'Game Results'!Q292+'Game Results'!Q310)</f>
        <v>8</v>
      </c>
      <c r="S35" s="13">
        <f>SUM('Game Results'!R6+'Game Results'!R89+'Game Results'!R136+'Game Results'!R188+'Game Results'!R253+'Game Results'!R266+'Game Results'!R292+'Game Results'!R310)</f>
        <v>2</v>
      </c>
      <c r="T35" s="13">
        <f>SUM('Game Results'!S6+'Game Results'!S89+'Game Results'!S136+'Game Results'!S188+'Game Results'!S253+'Game Results'!S266+'Game Results'!S292+'Game Results'!S310)</f>
        <v>16</v>
      </c>
      <c r="U35" s="13">
        <f>SUM('Game Results'!T6+'Game Results'!T89+'Game Results'!T136+'Game Results'!T188+'Game Results'!T253+'Game Results'!T266+'Game Results'!T292+'Game Results'!T310)</f>
        <v>0</v>
      </c>
      <c r="V35" s="13">
        <f>SUM('Game Results'!U6+'Game Results'!U89+'Game Results'!U136+'Game Results'!U188+'Game Results'!U253+'Game Results'!U266+'Game Results'!U292+'Game Results'!U310)</f>
        <v>0</v>
      </c>
      <c r="W35" s="13">
        <f>SUM('Game Results'!V6+'Game Results'!V89+'Game Results'!V136+'Game Results'!V188+'Game Results'!V253+'Game Results'!V266+'Game Results'!V292+'Game Results'!V310)</f>
        <v>0</v>
      </c>
      <c r="X35" s="13">
        <f>SUM('Game Results'!W6+'Game Results'!W89+'Game Results'!W136+'Game Results'!W188+'Game Results'!W253+'Game Results'!W266+'Game Results'!W292+'Game Results'!W310)</f>
        <v>0</v>
      </c>
      <c r="Y35" s="13">
        <f>SUM('Game Results'!X6+'Game Results'!X89+'Game Results'!X136+'Game Results'!X188+'Game Results'!X253+'Game Results'!X266+'Game Results'!X292+'Game Results'!X310)</f>
        <v>0</v>
      </c>
      <c r="Z35" s="13">
        <f>SUM('Game Results'!Y6+'Game Results'!Y89+'Game Results'!Y136+'Game Results'!Y188+'Game Results'!Y253+'Game Results'!Y266+'Game Results'!Y292+'Game Results'!Y310)</f>
        <v>0</v>
      </c>
      <c r="AA35" s="13">
        <f>SUM('Game Results'!Z6+'Game Results'!Z89+'Game Results'!Z136+'Game Results'!Z188+'Game Results'!Z253+'Game Results'!Z266+'Game Results'!Z292+'Game Results'!Z310)</f>
        <v>0</v>
      </c>
      <c r="AB35" s="13">
        <f>SUM('Game Results'!AA6+'Game Results'!AA89+'Game Results'!AA136+'Game Results'!AA188+'Game Results'!AA253+'Game Results'!AA266+'Game Results'!AA292+'Game Results'!AA310)</f>
        <v>0</v>
      </c>
      <c r="AC35" s="13">
        <f>SUM('Game Results'!AB6+'Game Results'!AB89+'Game Results'!AB136+'Game Results'!AB188+'Game Results'!AB253+'Game Results'!AB266+'Game Results'!AB292+'Game Results'!AB310)</f>
        <v>0</v>
      </c>
      <c r="AD35" s="13">
        <f>SUM('Game Results'!AC6+'Game Results'!AC89+'Game Results'!AC136+'Game Results'!AC188+'Game Results'!AC253+'Game Results'!AC266+'Game Results'!AC292+'Game Results'!AC310)</f>
        <v>0</v>
      </c>
    </row>
    <row r="36">
      <c r="A36" s="11" t="s">
        <v>38</v>
      </c>
      <c r="B36" s="12" t="s">
        <v>43</v>
      </c>
      <c r="C36" s="13">
        <v>8.0</v>
      </c>
      <c r="D36" s="13">
        <f>SUM('Game Results'!C7+'Game Results'!C90+'Game Results'!C137+'Game Results'!C189+'Game Results'!C254+'Game Results'!C267+'Game Results'!C293+'Game Results'!C311)</f>
        <v>6</v>
      </c>
      <c r="E36" s="41">
        <f>SUM('Game Results'!D7+'Game Results'!D90+'Game Results'!D137+'Game Results'!D189+'Game Results'!D254+'Game Results'!D267+'Game Results'!D293+'Game Results'!D311)</f>
        <v>282</v>
      </c>
      <c r="F36" s="13">
        <f>SUM('Game Results'!E7+'Game Results'!E90+'Game Results'!E137+'Game Results'!E189+'Game Results'!E254+'Game Results'!E267+'Game Results'!E293+'Game Results'!E311)</f>
        <v>19</v>
      </c>
      <c r="G36" s="13">
        <f>SUM('Game Results'!F7+'Game Results'!F90+'Game Results'!F137+'Game Results'!F189+'Game Results'!F254+'Game Results'!F267+'Game Results'!F293+'Game Results'!F311)</f>
        <v>608</v>
      </c>
      <c r="H36" s="13">
        <f>SUM('Game Results'!G7+'Game Results'!G90+'Game Results'!G137+'Game Results'!G189+'Game Results'!G254+'Game Results'!G267+'Game Results'!G293+'Game Results'!G311)</f>
        <v>18</v>
      </c>
      <c r="I36" s="13">
        <f>SUM('Game Results'!H7+'Game Results'!H90+'Game Results'!H137+'Game Results'!H189+'Game Results'!H254+'Game Results'!H267+'Game Results'!H293+'Game Results'!H311)</f>
        <v>886</v>
      </c>
      <c r="J36" s="13">
        <f>SUM('Game Results'!I7+'Game Results'!I90+'Game Results'!I137+'Game Results'!I189+'Game Results'!I254+'Game Results'!I267+'Game Results'!I293+'Game Results'!I311)</f>
        <v>-278</v>
      </c>
      <c r="K36" s="29">
        <f t="shared" si="31"/>
        <v>0.6862302483</v>
      </c>
      <c r="L36" s="31">
        <f t="shared" si="32"/>
        <v>19.09706546</v>
      </c>
      <c r="M36" s="13">
        <f>SUM('Game Results'!L7+'Game Results'!L90+'Game Results'!L137+'Game Results'!L189+'Game Results'!L254+'Game Results'!L267+'Game Results'!L293+'Game Results'!L311)</f>
        <v>862</v>
      </c>
      <c r="N36" s="13">
        <f>SUM('Game Results'!M7+'Game Results'!M90+'Game Results'!M137+'Game Results'!M189+'Game Results'!M254+'Game Results'!M267+'Game Results'!M293+'Game Results'!M311)</f>
        <v>8</v>
      </c>
      <c r="O36" s="42">
        <f>SUM('Game Results'!N7+'Game Results'!N90+'Game Results'!N137+'Game Results'!N189+'Game Results'!N254+'Game Results'!N267+'Game Results'!N293+'Game Results'!N311)</f>
        <v>282</v>
      </c>
      <c r="P36" s="13">
        <f>SUM('Game Results'!O7+'Game Results'!O90+'Game Results'!O137+'Game Results'!O189+'Game Results'!O254+'Game Results'!O267+'Game Results'!O293+'Game Results'!O311)</f>
        <v>59</v>
      </c>
      <c r="Q36" s="13">
        <f>SUM('Game Results'!P7+'Game Results'!P90+'Game Results'!P137+'Game Results'!P189+'Game Results'!P254+'Game Results'!P267+'Game Results'!P293+'Game Results'!P311)</f>
        <v>8</v>
      </c>
      <c r="R36" s="13">
        <f>SUM('Game Results'!Q7+'Game Results'!Q90+'Game Results'!Q137+'Game Results'!Q189+'Game Results'!Q254+'Game Results'!Q267+'Game Results'!Q293+'Game Results'!Q311)</f>
        <v>0</v>
      </c>
      <c r="S36" s="13">
        <f>SUM('Game Results'!R7+'Game Results'!R90+'Game Results'!R137+'Game Results'!R189+'Game Results'!R254+'Game Results'!R267+'Game Results'!R293+'Game Results'!R311)</f>
        <v>0</v>
      </c>
      <c r="T36" s="13">
        <f>SUM('Game Results'!S7+'Game Results'!S90+'Game Results'!S137+'Game Results'!S189+'Game Results'!S254+'Game Results'!S267+'Game Results'!S293+'Game Results'!S311)</f>
        <v>0</v>
      </c>
      <c r="U36" s="13">
        <f>SUM('Game Results'!T7+'Game Results'!T90+'Game Results'!T137+'Game Results'!T189+'Game Results'!T254+'Game Results'!T267+'Game Results'!T293+'Game Results'!T311)</f>
        <v>0</v>
      </c>
      <c r="V36" s="13">
        <f>SUM('Game Results'!U7+'Game Results'!U90+'Game Results'!U137+'Game Results'!U189+'Game Results'!U254+'Game Results'!U267+'Game Results'!U293+'Game Results'!U311)</f>
        <v>0</v>
      </c>
      <c r="W36" s="13">
        <f>SUM('Game Results'!V7+'Game Results'!V90+'Game Results'!V137+'Game Results'!V189+'Game Results'!V254+'Game Results'!V267+'Game Results'!V293+'Game Results'!V311)</f>
        <v>0</v>
      </c>
      <c r="X36" s="13">
        <f>SUM('Game Results'!W7+'Game Results'!W90+'Game Results'!W137+'Game Results'!W189+'Game Results'!W254+'Game Results'!W267+'Game Results'!W293+'Game Results'!W311)</f>
        <v>0</v>
      </c>
      <c r="Y36" s="13">
        <f>SUM('Game Results'!X7+'Game Results'!X90+'Game Results'!X137+'Game Results'!X189+'Game Results'!X254+'Game Results'!X267+'Game Results'!X293+'Game Results'!X311)</f>
        <v>0</v>
      </c>
      <c r="Z36" s="13">
        <f>SUM('Game Results'!Y7+'Game Results'!Y90+'Game Results'!Y137+'Game Results'!Y189+'Game Results'!Y254+'Game Results'!Y267+'Game Results'!Y293+'Game Results'!Y311)</f>
        <v>0</v>
      </c>
      <c r="AA36" s="13">
        <f>SUM('Game Results'!Z7+'Game Results'!Z90+'Game Results'!Z137+'Game Results'!Z189+'Game Results'!Z254+'Game Results'!Z267+'Game Results'!Z293+'Game Results'!Z311)</f>
        <v>0</v>
      </c>
      <c r="AB36" s="13">
        <f>SUM('Game Results'!AA7+'Game Results'!AA90+'Game Results'!AA137+'Game Results'!AA189+'Game Results'!AA254+'Game Results'!AA267+'Game Results'!AA293+'Game Results'!AA311)</f>
        <v>0</v>
      </c>
      <c r="AC36" s="13">
        <f>SUM('Game Results'!AB7+'Game Results'!AB90+'Game Results'!AB137+'Game Results'!AB189+'Game Results'!AB254+'Game Results'!AB267+'Game Results'!AB293+'Game Results'!AB311)</f>
        <v>0</v>
      </c>
      <c r="AD36" s="13">
        <f>SUM('Game Results'!AC7+'Game Results'!AC90+'Game Results'!AC137+'Game Results'!AC189+'Game Results'!AC254+'Game Results'!AC267+'Game Results'!AC293+'Game Results'!AC311)</f>
        <v>0</v>
      </c>
    </row>
    <row r="37">
      <c r="A37" s="38" t="s">
        <v>49</v>
      </c>
      <c r="B37" s="34"/>
      <c r="C37" s="34">
        <f t="shared" ref="C37:E37" si="33">SUM(C33:C36)/4</f>
        <v>8</v>
      </c>
      <c r="D37" s="34">
        <f t="shared" si="33"/>
        <v>6</v>
      </c>
      <c r="E37" s="35">
        <f t="shared" si="33"/>
        <v>282</v>
      </c>
      <c r="F37" s="34">
        <f t="shared" ref="F37:J37" si="34">SUM(F33:F36)</f>
        <v>33</v>
      </c>
      <c r="G37" s="34">
        <f t="shared" si="34"/>
        <v>4059</v>
      </c>
      <c r="H37" s="34">
        <f t="shared" si="34"/>
        <v>243</v>
      </c>
      <c r="I37" s="34">
        <f t="shared" si="34"/>
        <v>4318</v>
      </c>
      <c r="J37" s="34">
        <f t="shared" si="34"/>
        <v>-259</v>
      </c>
      <c r="K37" s="36">
        <f>G37/I37</f>
        <v>0.9400185271</v>
      </c>
      <c r="L37" s="39">
        <f>SUM(L33:L36)/4</f>
        <v>16.14030259</v>
      </c>
      <c r="M37" s="34">
        <f t="shared" ref="M37:AD37" si="35">SUM(M33:M36)</f>
        <v>6428</v>
      </c>
      <c r="N37" s="34">
        <f t="shared" si="35"/>
        <v>32</v>
      </c>
      <c r="O37" s="39">
        <f t="shared" si="35"/>
        <v>1128</v>
      </c>
      <c r="P37" s="34">
        <f t="shared" si="35"/>
        <v>627</v>
      </c>
      <c r="Q37" s="34">
        <f t="shared" si="35"/>
        <v>124</v>
      </c>
      <c r="R37" s="34">
        <f t="shared" si="35"/>
        <v>25</v>
      </c>
      <c r="S37" s="34">
        <f t="shared" si="35"/>
        <v>7</v>
      </c>
      <c r="T37" s="34">
        <f t="shared" si="35"/>
        <v>62</v>
      </c>
      <c r="U37" s="34">
        <f t="shared" si="35"/>
        <v>3</v>
      </c>
      <c r="V37" s="34">
        <f t="shared" si="35"/>
        <v>0</v>
      </c>
      <c r="W37" s="34">
        <f t="shared" si="35"/>
        <v>1</v>
      </c>
      <c r="X37" s="34">
        <f t="shared" si="35"/>
        <v>0</v>
      </c>
      <c r="Y37" s="34">
        <f t="shared" si="35"/>
        <v>0</v>
      </c>
      <c r="Z37" s="34">
        <f t="shared" si="35"/>
        <v>1</v>
      </c>
      <c r="AA37" s="34">
        <f t="shared" si="35"/>
        <v>1</v>
      </c>
      <c r="AB37" s="34">
        <f t="shared" si="35"/>
        <v>1</v>
      </c>
      <c r="AC37" s="34">
        <f t="shared" si="35"/>
        <v>0</v>
      </c>
      <c r="AD37" s="34">
        <f t="shared" si="35"/>
        <v>0</v>
      </c>
    </row>
    <row r="38">
      <c r="A38" s="11" t="s">
        <v>72</v>
      </c>
      <c r="B38" s="12" t="s">
        <v>90</v>
      </c>
      <c r="C38" s="13">
        <v>2.0</v>
      </c>
      <c r="D38" s="14">
        <f>SUM('Game Results'!C61+'Game Results'!C139)</f>
        <v>0</v>
      </c>
      <c r="E38" s="31">
        <f>SUM('Game Results'!D61+'Game Results'!D139)</f>
        <v>39.4</v>
      </c>
      <c r="F38" s="14">
        <f>SUM('Game Results'!E61+'Game Results'!E139)</f>
        <v>4</v>
      </c>
      <c r="G38" s="14">
        <f>SUM('Game Results'!F61+'Game Results'!F139)</f>
        <v>159</v>
      </c>
      <c r="H38" s="14">
        <f>SUM('Game Results'!G61+'Game Results'!G139)</f>
        <v>5</v>
      </c>
      <c r="I38" s="14">
        <f>SUM('Game Results'!H61+'Game Results'!H139)</f>
        <v>161</v>
      </c>
      <c r="J38" s="14">
        <f>SUM('Game Results'!I61+'Game Results'!I139)</f>
        <v>-2</v>
      </c>
      <c r="K38" s="29">
        <f t="shared" ref="K38:K41" si="36">SUM(G38/I38)</f>
        <v>0.9875776398</v>
      </c>
      <c r="L38" s="31">
        <f t="shared" ref="L38:L41" si="37">SUM((E38*60)/I38)</f>
        <v>14.68322981</v>
      </c>
      <c r="M38" s="14">
        <f>SUM('Game Results'!L61+'Game Results'!L139)</f>
        <v>264</v>
      </c>
      <c r="N38" s="14">
        <f>SUM('Game Results'!M61+'Game Results'!M139)</f>
        <v>2</v>
      </c>
      <c r="O38" s="17">
        <f>SUM('Game Results'!N61+'Game Results'!N139)</f>
        <v>39.4</v>
      </c>
      <c r="P38" s="14">
        <f>SUM('Game Results'!O61+'Game Results'!O139)</f>
        <v>27</v>
      </c>
      <c r="Q38" s="14">
        <f>SUM('Game Results'!P61+'Game Results'!P139)</f>
        <v>5</v>
      </c>
      <c r="R38" s="14">
        <f>SUM('Game Results'!Q61+'Game Results'!Q139)</f>
        <v>1</v>
      </c>
      <c r="S38" s="14">
        <f>SUM('Game Results'!R61+'Game Results'!R139)</f>
        <v>1</v>
      </c>
      <c r="T38" s="14">
        <f>SUM('Game Results'!S61+'Game Results'!S139)</f>
        <v>3</v>
      </c>
      <c r="U38" s="14">
        <f>SUM('Game Results'!T61+'Game Results'!T139)</f>
        <v>0</v>
      </c>
      <c r="V38" s="14">
        <f>SUM('Game Results'!U61+'Game Results'!U139)</f>
        <v>0</v>
      </c>
      <c r="W38" s="14">
        <f>SUM('Game Results'!V61+'Game Results'!V139)</f>
        <v>0</v>
      </c>
      <c r="X38" s="14">
        <f>SUM('Game Results'!W61+'Game Results'!W139)</f>
        <v>0</v>
      </c>
      <c r="Y38" s="14">
        <f>SUM('Game Results'!X61+'Game Results'!X139)</f>
        <v>0</v>
      </c>
      <c r="Z38" s="14">
        <f>SUM('Game Results'!Y61+'Game Results'!Y139)</f>
        <v>0</v>
      </c>
      <c r="AA38" s="14">
        <f>SUM('Game Results'!Z61+'Game Results'!Z139)</f>
        <v>0</v>
      </c>
      <c r="AB38" s="14">
        <f>SUM('Game Results'!AA61+'Game Results'!AA139)</f>
        <v>0</v>
      </c>
      <c r="AC38" s="14">
        <f>SUM('Game Results'!AB61+'Game Results'!AB139)</f>
        <v>0</v>
      </c>
      <c r="AD38" s="14">
        <f>SUM('Game Results'!AC61+'Game Results'!AC139)</f>
        <v>0</v>
      </c>
    </row>
    <row r="39">
      <c r="A39" s="11" t="s">
        <v>72</v>
      </c>
      <c r="B39" s="12" t="s">
        <v>91</v>
      </c>
      <c r="C39" s="13">
        <v>2.0</v>
      </c>
      <c r="D39" s="14">
        <f>SUM('Game Results'!C62+'Game Results'!C140)</f>
        <v>0</v>
      </c>
      <c r="E39" s="31">
        <f>SUM('Game Results'!D62+'Game Results'!D140)</f>
        <v>39.4</v>
      </c>
      <c r="F39" s="14">
        <f>SUM('Game Results'!E62+'Game Results'!E140)</f>
        <v>0</v>
      </c>
      <c r="G39" s="14">
        <f>SUM('Game Results'!F62+'Game Results'!F140)</f>
        <v>184</v>
      </c>
      <c r="H39" s="14">
        <f>SUM('Game Results'!G62+'Game Results'!G140)</f>
        <v>19</v>
      </c>
      <c r="I39" s="14">
        <f>SUM('Game Results'!H62+'Game Results'!H140)</f>
        <v>173</v>
      </c>
      <c r="J39" s="14">
        <f>SUM('Game Results'!I62+'Game Results'!I140)</f>
        <v>11</v>
      </c>
      <c r="K39" s="29">
        <f t="shared" si="36"/>
        <v>1.063583815</v>
      </c>
      <c r="L39" s="31">
        <f t="shared" si="37"/>
        <v>13.66473988</v>
      </c>
      <c r="M39" s="14">
        <f>SUM('Game Results'!L62+'Game Results'!L140)</f>
        <v>314</v>
      </c>
      <c r="N39" s="14">
        <f>SUM('Game Results'!M62+'Game Results'!M140)</f>
        <v>2</v>
      </c>
      <c r="O39" s="17">
        <f>SUM('Game Results'!N62+'Game Results'!N140)</f>
        <v>39.4</v>
      </c>
      <c r="P39" s="14">
        <f>SUM('Game Results'!O62+'Game Results'!O140)</f>
        <v>34</v>
      </c>
      <c r="Q39" s="14">
        <f>SUM('Game Results'!P62+'Game Results'!P140)</f>
        <v>5</v>
      </c>
      <c r="R39" s="14">
        <f>SUM('Game Results'!Q62+'Game Results'!Q140)</f>
        <v>2</v>
      </c>
      <c r="S39" s="14">
        <f>SUM('Game Results'!R62+'Game Results'!R140)</f>
        <v>1</v>
      </c>
      <c r="T39" s="14">
        <f>SUM('Game Results'!S62+'Game Results'!S140)</f>
        <v>4</v>
      </c>
      <c r="U39" s="14">
        <f>SUM('Game Results'!T62+'Game Results'!T140)</f>
        <v>0</v>
      </c>
      <c r="V39" s="14">
        <f>SUM('Game Results'!U62+'Game Results'!U140)</f>
        <v>0</v>
      </c>
      <c r="W39" s="14">
        <f>SUM('Game Results'!V62+'Game Results'!V140)</f>
        <v>0</v>
      </c>
      <c r="X39" s="14">
        <f>SUM('Game Results'!W62+'Game Results'!W140)</f>
        <v>0</v>
      </c>
      <c r="Y39" s="14">
        <f>SUM('Game Results'!X62+'Game Results'!X140)</f>
        <v>0</v>
      </c>
      <c r="Z39" s="14">
        <f>SUM('Game Results'!Y62+'Game Results'!Y140)</f>
        <v>0</v>
      </c>
      <c r="AA39" s="14">
        <f>SUM('Game Results'!Z62+'Game Results'!Z140)</f>
        <v>0</v>
      </c>
      <c r="AB39" s="14">
        <f>SUM('Game Results'!AA62+'Game Results'!AA140)</f>
        <v>0</v>
      </c>
      <c r="AC39" s="14">
        <f>SUM('Game Results'!AB62+'Game Results'!AB140)</f>
        <v>0</v>
      </c>
      <c r="AD39" s="14">
        <f>SUM('Game Results'!AC62+'Game Results'!AC140)</f>
        <v>0</v>
      </c>
    </row>
    <row r="40">
      <c r="A40" s="11" t="s">
        <v>72</v>
      </c>
      <c r="B40" s="12" t="s">
        <v>92</v>
      </c>
      <c r="C40" s="13">
        <v>2.0</v>
      </c>
      <c r="D40" s="14">
        <f>SUM('Game Results'!C63+'Game Results'!C141)</f>
        <v>0</v>
      </c>
      <c r="E40" s="31">
        <f>SUM('Game Results'!D63+'Game Results'!D141)</f>
        <v>39.4</v>
      </c>
      <c r="F40" s="14">
        <f>SUM('Game Results'!E63+'Game Results'!E141)</f>
        <v>1</v>
      </c>
      <c r="G40" s="14">
        <f>SUM('Game Results'!F63+'Game Results'!F141)</f>
        <v>131</v>
      </c>
      <c r="H40" s="14">
        <f>SUM('Game Results'!G63+'Game Results'!G141)</f>
        <v>16</v>
      </c>
      <c r="I40" s="14">
        <f>SUM('Game Results'!H63+'Game Results'!H141)</f>
        <v>162</v>
      </c>
      <c r="J40" s="14">
        <f>SUM('Game Results'!I63+'Game Results'!I141)</f>
        <v>-31</v>
      </c>
      <c r="K40" s="29">
        <f t="shared" si="36"/>
        <v>0.8086419753</v>
      </c>
      <c r="L40" s="31">
        <f t="shared" si="37"/>
        <v>14.59259259</v>
      </c>
      <c r="M40" s="14">
        <f>SUM('Game Results'!L63+'Game Results'!L141)</f>
        <v>213</v>
      </c>
      <c r="N40" s="14">
        <f>SUM('Game Results'!M63+'Game Results'!M141)</f>
        <v>2</v>
      </c>
      <c r="O40" s="17">
        <f>SUM('Game Results'!N63+'Game Results'!N141)</f>
        <v>39.4</v>
      </c>
      <c r="P40" s="14">
        <f>SUM('Game Results'!O63+'Game Results'!O141)</f>
        <v>13</v>
      </c>
      <c r="Q40" s="14">
        <f>SUM('Game Results'!P63+'Game Results'!P141)</f>
        <v>1</v>
      </c>
      <c r="R40" s="14">
        <f>SUM('Game Results'!Q63+'Game Results'!Q141)</f>
        <v>1</v>
      </c>
      <c r="S40" s="14">
        <f>SUM('Game Results'!R63+'Game Results'!R141)</f>
        <v>0</v>
      </c>
      <c r="T40" s="14">
        <f>SUM('Game Results'!S63+'Game Results'!S141)</f>
        <v>2</v>
      </c>
      <c r="U40" s="14">
        <f>SUM('Game Results'!T63+'Game Results'!T141)</f>
        <v>0</v>
      </c>
      <c r="V40" s="14">
        <f>SUM('Game Results'!U63+'Game Results'!U141)</f>
        <v>0</v>
      </c>
      <c r="W40" s="14">
        <f>SUM('Game Results'!V63+'Game Results'!V141)</f>
        <v>0</v>
      </c>
      <c r="X40" s="14">
        <f>SUM('Game Results'!W63+'Game Results'!W141)</f>
        <v>0</v>
      </c>
      <c r="Y40" s="14">
        <f>SUM('Game Results'!X63+'Game Results'!X141)</f>
        <v>0</v>
      </c>
      <c r="Z40" s="14">
        <f>SUM('Game Results'!Y63+'Game Results'!Y141)</f>
        <v>0</v>
      </c>
      <c r="AA40" s="14">
        <f>SUM('Game Results'!Z63+'Game Results'!Z141)</f>
        <v>0</v>
      </c>
      <c r="AB40" s="14">
        <f>SUM('Game Results'!AA63+'Game Results'!AA141)</f>
        <v>0</v>
      </c>
      <c r="AC40" s="14">
        <f>SUM('Game Results'!AB63+'Game Results'!AB141)</f>
        <v>0</v>
      </c>
      <c r="AD40" s="14">
        <f>SUM('Game Results'!AC63+'Game Results'!AC141)</f>
        <v>0</v>
      </c>
    </row>
    <row r="41">
      <c r="A41" s="11" t="s">
        <v>72</v>
      </c>
      <c r="B41" s="12" t="s">
        <v>93</v>
      </c>
      <c r="C41" s="13">
        <v>2.0</v>
      </c>
      <c r="D41" s="14">
        <f>SUM('Game Results'!C64+'Game Results'!C142)</f>
        <v>0</v>
      </c>
      <c r="E41" s="31">
        <f>SUM('Game Results'!D64+'Game Results'!D142)</f>
        <v>39.4</v>
      </c>
      <c r="F41" s="14">
        <f>SUM('Game Results'!E64+'Game Results'!E142)</f>
        <v>0</v>
      </c>
      <c r="G41" s="14">
        <f>SUM('Game Results'!F64+'Game Results'!F142)</f>
        <v>121</v>
      </c>
      <c r="H41" s="14">
        <f>SUM('Game Results'!G64+'Game Results'!G142)</f>
        <v>15</v>
      </c>
      <c r="I41" s="14">
        <f>SUM('Game Results'!H64+'Game Results'!H142)</f>
        <v>195</v>
      </c>
      <c r="J41" s="14">
        <f>SUM('Game Results'!I64+'Game Results'!I142)</f>
        <v>-74</v>
      </c>
      <c r="K41" s="29">
        <f t="shared" si="36"/>
        <v>0.6205128205</v>
      </c>
      <c r="L41" s="31">
        <f t="shared" si="37"/>
        <v>12.12307692</v>
      </c>
      <c r="M41" s="14">
        <f>SUM('Game Results'!L64+'Game Results'!L142)</f>
        <v>180</v>
      </c>
      <c r="N41" s="14">
        <f>SUM('Game Results'!M64+'Game Results'!M142)</f>
        <v>2</v>
      </c>
      <c r="O41" s="17">
        <f>SUM('Game Results'!N64+'Game Results'!N142)</f>
        <v>39.4</v>
      </c>
      <c r="P41" s="14">
        <f>SUM('Game Results'!O64+'Game Results'!O142)</f>
        <v>10</v>
      </c>
      <c r="Q41" s="14">
        <f>SUM('Game Results'!P64+'Game Results'!P142)</f>
        <v>1</v>
      </c>
      <c r="R41" s="14">
        <f>SUM('Game Results'!Q64+'Game Results'!Q142)</f>
        <v>0</v>
      </c>
      <c r="S41" s="14">
        <f>SUM('Game Results'!R64+'Game Results'!R142)</f>
        <v>0</v>
      </c>
      <c r="T41" s="14">
        <f>SUM('Game Results'!S64+'Game Results'!S142)</f>
        <v>0</v>
      </c>
      <c r="U41" s="14">
        <f>SUM('Game Results'!T64+'Game Results'!T142)</f>
        <v>0</v>
      </c>
      <c r="V41" s="14">
        <f>SUM('Game Results'!U64+'Game Results'!U142)</f>
        <v>0</v>
      </c>
      <c r="W41" s="14">
        <f>SUM('Game Results'!V64+'Game Results'!V142)</f>
        <v>0</v>
      </c>
      <c r="X41" s="14">
        <f>SUM('Game Results'!W64+'Game Results'!W142)</f>
        <v>0</v>
      </c>
      <c r="Y41" s="14">
        <f>SUM('Game Results'!X64+'Game Results'!X142)</f>
        <v>0</v>
      </c>
      <c r="Z41" s="14">
        <f>SUM('Game Results'!Y64+'Game Results'!Y142)</f>
        <v>0</v>
      </c>
      <c r="AA41" s="14">
        <f>SUM('Game Results'!Z64+'Game Results'!Z142)</f>
        <v>0</v>
      </c>
      <c r="AB41" s="14">
        <f>SUM('Game Results'!AA64+'Game Results'!AA142)</f>
        <v>0</v>
      </c>
      <c r="AC41" s="14">
        <f>SUM('Game Results'!AB64+'Game Results'!AB142)</f>
        <v>0</v>
      </c>
      <c r="AD41" s="14">
        <f>SUM('Game Results'!AC64+'Game Results'!AC142)</f>
        <v>0</v>
      </c>
    </row>
    <row r="42">
      <c r="A42" s="38" t="s">
        <v>49</v>
      </c>
      <c r="B42" s="34"/>
      <c r="C42" s="34">
        <f t="shared" ref="C42:E42" si="38">SUM(C38:C41)/4</f>
        <v>2</v>
      </c>
      <c r="D42" s="34">
        <f t="shared" si="38"/>
        <v>0</v>
      </c>
      <c r="E42" s="35">
        <f t="shared" si="38"/>
        <v>39.4</v>
      </c>
      <c r="F42" s="34">
        <f t="shared" ref="F42:J42" si="39">SUM(F38:F41)</f>
        <v>5</v>
      </c>
      <c r="G42" s="34">
        <f t="shared" si="39"/>
        <v>595</v>
      </c>
      <c r="H42" s="34">
        <f t="shared" si="39"/>
        <v>55</v>
      </c>
      <c r="I42" s="34">
        <f t="shared" si="39"/>
        <v>691</v>
      </c>
      <c r="J42" s="34">
        <f t="shared" si="39"/>
        <v>-96</v>
      </c>
      <c r="K42" s="36">
        <f>G42/I42</f>
        <v>0.8610709117</v>
      </c>
      <c r="L42" s="39">
        <f>SUM(L38:L41)/4</f>
        <v>13.7659098</v>
      </c>
      <c r="M42" s="34">
        <f t="shared" ref="M42:AD42" si="40">SUM(M38:M41)</f>
        <v>971</v>
      </c>
      <c r="N42" s="34">
        <f t="shared" si="40"/>
        <v>8</v>
      </c>
      <c r="O42" s="39">
        <f t="shared" si="40"/>
        <v>157.6</v>
      </c>
      <c r="P42" s="34">
        <f t="shared" si="40"/>
        <v>84</v>
      </c>
      <c r="Q42" s="34">
        <f t="shared" si="40"/>
        <v>12</v>
      </c>
      <c r="R42" s="34">
        <f t="shared" si="40"/>
        <v>4</v>
      </c>
      <c r="S42" s="34">
        <f t="shared" si="40"/>
        <v>2</v>
      </c>
      <c r="T42" s="34">
        <f t="shared" si="40"/>
        <v>9</v>
      </c>
      <c r="U42" s="34">
        <f t="shared" si="40"/>
        <v>0</v>
      </c>
      <c r="V42" s="34">
        <f t="shared" si="40"/>
        <v>0</v>
      </c>
      <c r="W42" s="34">
        <f t="shared" si="40"/>
        <v>0</v>
      </c>
      <c r="X42" s="34">
        <f t="shared" si="40"/>
        <v>0</v>
      </c>
      <c r="Y42" s="34">
        <f t="shared" si="40"/>
        <v>0</v>
      </c>
      <c r="Z42" s="34">
        <f t="shared" si="40"/>
        <v>0</v>
      </c>
      <c r="AA42" s="34">
        <f t="shared" si="40"/>
        <v>0</v>
      </c>
      <c r="AB42" s="34">
        <f t="shared" si="40"/>
        <v>0</v>
      </c>
      <c r="AC42" s="34">
        <f t="shared" si="40"/>
        <v>0</v>
      </c>
      <c r="AD42" s="34">
        <f t="shared" si="40"/>
        <v>0</v>
      </c>
    </row>
    <row r="43">
      <c r="A43" s="11" t="s">
        <v>79</v>
      </c>
      <c r="B43" s="12" t="s">
        <v>117</v>
      </c>
      <c r="C43" s="40">
        <v>2.0</v>
      </c>
      <c r="D43" s="13">
        <f>SUM('Game Results'!C230+'Game Results'!C256)</f>
        <v>0</v>
      </c>
      <c r="E43" s="41">
        <f>SUM('Game Results'!D230+'Game Results'!D256)</f>
        <v>36.5</v>
      </c>
      <c r="F43" s="13">
        <f>SUM('Game Results'!E230+'Game Results'!E256)</f>
        <v>0</v>
      </c>
      <c r="G43" s="13">
        <f>SUM('Game Results'!F230+'Game Results'!F256)</f>
        <v>164</v>
      </c>
      <c r="H43" s="13">
        <f>SUM('Game Results'!G230+'Game Results'!G256)</f>
        <v>3</v>
      </c>
      <c r="I43" s="13">
        <f>SUM('Game Results'!H230+'Game Results'!H256)</f>
        <v>207</v>
      </c>
      <c r="J43" s="13">
        <f>SUM('Game Results'!I230+'Game Results'!I256)</f>
        <v>-43</v>
      </c>
      <c r="K43" s="29">
        <f t="shared" ref="K43:K46" si="41">SUM(G43/I43)</f>
        <v>0.7922705314</v>
      </c>
      <c r="L43" s="31">
        <f t="shared" ref="L43:L46" si="42">SUM((E43*60)/I43)</f>
        <v>10.57971014</v>
      </c>
      <c r="M43" s="13">
        <f>SUM('Game Results'!L230+'Game Results'!L256)</f>
        <v>237</v>
      </c>
      <c r="N43" s="13">
        <f>SUM('Game Results'!M230+'Game Results'!M256)</f>
        <v>2</v>
      </c>
      <c r="O43" s="42">
        <f>SUM('Game Results'!N230+'Game Results'!N256)</f>
        <v>36.5</v>
      </c>
      <c r="P43" s="13">
        <f>SUM('Game Results'!O230+'Game Results'!O256)</f>
        <v>33</v>
      </c>
      <c r="Q43" s="13">
        <f>SUM('Game Results'!P230+'Game Results'!P256)</f>
        <v>4</v>
      </c>
      <c r="R43" s="13">
        <f>SUM('Game Results'!Q230+'Game Results'!Q256)</f>
        <v>2</v>
      </c>
      <c r="S43" s="13">
        <f>SUM('Game Results'!R230+'Game Results'!R256)</f>
        <v>1</v>
      </c>
      <c r="T43" s="13">
        <f>SUM('Game Results'!S230+'Game Results'!S256)</f>
        <v>1</v>
      </c>
      <c r="U43" s="13">
        <f>SUM('Game Results'!T230+'Game Results'!T256)</f>
        <v>0</v>
      </c>
      <c r="V43" s="13">
        <f>SUM('Game Results'!U230+'Game Results'!U256)</f>
        <v>0</v>
      </c>
      <c r="W43" s="13">
        <f>SUM('Game Results'!V230+'Game Results'!V256)</f>
        <v>0</v>
      </c>
      <c r="X43" s="13">
        <f>SUM('Game Results'!W230+'Game Results'!W256)</f>
        <v>0</v>
      </c>
      <c r="Y43" s="13">
        <f>SUM('Game Results'!X230+'Game Results'!X256)</f>
        <v>0</v>
      </c>
      <c r="Z43" s="13">
        <f>SUM('Game Results'!Y230+'Game Results'!Y256)</f>
        <v>1</v>
      </c>
      <c r="AA43" s="13">
        <f>SUM('Game Results'!Z230+'Game Results'!Z256)</f>
        <v>0</v>
      </c>
      <c r="AB43" s="13">
        <f>SUM('Game Results'!AA230+'Game Results'!AA256)</f>
        <v>0</v>
      </c>
      <c r="AC43" s="13">
        <f>SUM('Game Results'!AB230+'Game Results'!AB256)</f>
        <v>0</v>
      </c>
      <c r="AD43" s="13">
        <f>SUM('Game Results'!AC230+'Game Results'!AC256)</f>
        <v>0</v>
      </c>
    </row>
    <row r="44">
      <c r="A44" s="11" t="s">
        <v>79</v>
      </c>
      <c r="B44" s="12" t="s">
        <v>118</v>
      </c>
      <c r="C44" s="13">
        <v>2.0</v>
      </c>
      <c r="D44" s="13">
        <f>SUM('Game Results'!C231+'Game Results'!C257)</f>
        <v>0</v>
      </c>
      <c r="E44" s="41">
        <f>SUM('Game Results'!D231+'Game Results'!D257)</f>
        <v>36.5</v>
      </c>
      <c r="F44" s="13">
        <f>SUM('Game Results'!E231+'Game Results'!E257)</f>
        <v>3</v>
      </c>
      <c r="G44" s="13">
        <f>SUM('Game Results'!F231+'Game Results'!F257)</f>
        <v>138</v>
      </c>
      <c r="H44" s="13">
        <f>SUM('Game Results'!G231+'Game Results'!G257)</f>
        <v>4</v>
      </c>
      <c r="I44" s="13">
        <f>SUM('Game Results'!H231+'Game Results'!H257)</f>
        <v>149</v>
      </c>
      <c r="J44" s="13">
        <f>SUM('Game Results'!I231+'Game Results'!I257)</f>
        <v>-11</v>
      </c>
      <c r="K44" s="29">
        <f t="shared" si="41"/>
        <v>0.9261744966</v>
      </c>
      <c r="L44" s="31">
        <f t="shared" si="42"/>
        <v>14.69798658</v>
      </c>
      <c r="M44" s="13">
        <f>SUM('Game Results'!L231+'Game Results'!L257)</f>
        <v>204</v>
      </c>
      <c r="N44" s="13">
        <f>SUM('Game Results'!M231+'Game Results'!M257)</f>
        <v>2</v>
      </c>
      <c r="O44" s="42">
        <f>SUM('Game Results'!N231+'Game Results'!N257)</f>
        <v>36.5</v>
      </c>
      <c r="P44" s="13">
        <f>SUM('Game Results'!O231+'Game Results'!O257)</f>
        <v>16</v>
      </c>
      <c r="Q44" s="13">
        <f>SUM('Game Results'!P231+'Game Results'!P257)</f>
        <v>1</v>
      </c>
      <c r="R44" s="13">
        <f>SUM('Game Results'!Q231+'Game Results'!Q257)</f>
        <v>0</v>
      </c>
      <c r="S44" s="13">
        <f>SUM('Game Results'!R231+'Game Results'!R257)</f>
        <v>0</v>
      </c>
      <c r="T44" s="13">
        <f>SUM('Game Results'!S231+'Game Results'!S257)</f>
        <v>1</v>
      </c>
      <c r="U44" s="13">
        <f>SUM('Game Results'!T231+'Game Results'!T257)</f>
        <v>0</v>
      </c>
      <c r="V44" s="13">
        <f>SUM('Game Results'!U231+'Game Results'!U257)</f>
        <v>0</v>
      </c>
      <c r="W44" s="13">
        <f>SUM('Game Results'!V231+'Game Results'!V257)</f>
        <v>0</v>
      </c>
      <c r="X44" s="13">
        <f>SUM('Game Results'!W231+'Game Results'!W257)</f>
        <v>0</v>
      </c>
      <c r="Y44" s="13">
        <f>SUM('Game Results'!X231+'Game Results'!X257)</f>
        <v>0</v>
      </c>
      <c r="Z44" s="13">
        <f>SUM('Game Results'!Y231+'Game Results'!Y257)</f>
        <v>0</v>
      </c>
      <c r="AA44" s="13">
        <f>SUM('Game Results'!Z231+'Game Results'!Z257)</f>
        <v>0</v>
      </c>
      <c r="AB44" s="13">
        <f>SUM('Game Results'!AA231+'Game Results'!AA257)</f>
        <v>0</v>
      </c>
      <c r="AC44" s="13">
        <f>SUM('Game Results'!AB231+'Game Results'!AB257)</f>
        <v>0</v>
      </c>
      <c r="AD44" s="13">
        <f>SUM('Game Results'!AC231+'Game Results'!AC257)</f>
        <v>0</v>
      </c>
    </row>
    <row r="45">
      <c r="A45" s="11" t="s">
        <v>79</v>
      </c>
      <c r="B45" s="12" t="s">
        <v>119</v>
      </c>
      <c r="C45" s="13">
        <v>2.0</v>
      </c>
      <c r="D45" s="13">
        <f>SUM('Game Results'!C232+'Game Results'!C258)</f>
        <v>0</v>
      </c>
      <c r="E45" s="41">
        <f>SUM('Game Results'!D232+'Game Results'!D258)</f>
        <v>36.5</v>
      </c>
      <c r="F45" s="13">
        <f>SUM('Game Results'!E232+'Game Results'!E258)</f>
        <v>0</v>
      </c>
      <c r="G45" s="13">
        <f>SUM('Game Results'!F232+'Game Results'!F258)</f>
        <v>151</v>
      </c>
      <c r="H45" s="13">
        <f>SUM('Game Results'!G232+'Game Results'!G258)</f>
        <v>12</v>
      </c>
      <c r="I45" s="13">
        <f>SUM('Game Results'!H232+'Game Results'!H258)</f>
        <v>187</v>
      </c>
      <c r="J45" s="13">
        <f>SUM('Game Results'!I232+'Game Results'!I258)</f>
        <v>-36</v>
      </c>
      <c r="K45" s="29">
        <f t="shared" si="41"/>
        <v>0.807486631</v>
      </c>
      <c r="L45" s="31">
        <f t="shared" si="42"/>
        <v>11.71122995</v>
      </c>
      <c r="M45" s="13">
        <f>SUM('Game Results'!L232+'Game Results'!L258)</f>
        <v>255</v>
      </c>
      <c r="N45" s="13">
        <f>SUM('Game Results'!M232+'Game Results'!M258)</f>
        <v>2</v>
      </c>
      <c r="O45" s="42">
        <f>SUM('Game Results'!N232+'Game Results'!N258)</f>
        <v>36.5</v>
      </c>
      <c r="P45" s="13">
        <f>SUM('Game Results'!O232+'Game Results'!O258)</f>
        <v>22</v>
      </c>
      <c r="Q45" s="13">
        <f>SUM('Game Results'!P232+'Game Results'!P258)</f>
        <v>3</v>
      </c>
      <c r="R45" s="13">
        <f>SUM('Game Results'!Q232+'Game Results'!Q258)</f>
        <v>1</v>
      </c>
      <c r="S45" s="13">
        <f>SUM('Game Results'!R232+'Game Results'!R258)</f>
        <v>0</v>
      </c>
      <c r="T45" s="13">
        <f>SUM('Game Results'!S232+'Game Results'!S258)</f>
        <v>0</v>
      </c>
      <c r="U45" s="13">
        <f>SUM('Game Results'!T232+'Game Results'!T258)</f>
        <v>0</v>
      </c>
      <c r="V45" s="13">
        <f>SUM('Game Results'!U232+'Game Results'!U258)</f>
        <v>0</v>
      </c>
      <c r="W45" s="13">
        <f>SUM('Game Results'!V232+'Game Results'!V258)</f>
        <v>0</v>
      </c>
      <c r="X45" s="13">
        <f>SUM('Game Results'!W232+'Game Results'!W258)</f>
        <v>0</v>
      </c>
      <c r="Y45" s="13">
        <f>SUM('Game Results'!X232+'Game Results'!X258)</f>
        <v>0</v>
      </c>
      <c r="Z45" s="13">
        <f>SUM('Game Results'!Y232+'Game Results'!Y258)</f>
        <v>0</v>
      </c>
      <c r="AA45" s="13">
        <f>SUM('Game Results'!Z232+'Game Results'!Z258)</f>
        <v>0</v>
      </c>
      <c r="AB45" s="13">
        <f>SUM('Game Results'!AA232+'Game Results'!AA258)</f>
        <v>0</v>
      </c>
      <c r="AC45" s="13">
        <f>SUM('Game Results'!AB232+'Game Results'!AB258)</f>
        <v>0</v>
      </c>
      <c r="AD45" s="13">
        <f>SUM('Game Results'!AC232+'Game Results'!AC258)</f>
        <v>0</v>
      </c>
    </row>
    <row r="46">
      <c r="A46" s="11" t="s">
        <v>79</v>
      </c>
      <c r="B46" s="12" t="s">
        <v>120</v>
      </c>
      <c r="C46" s="13">
        <v>2.0</v>
      </c>
      <c r="D46" s="13">
        <f>SUM('Game Results'!C233+'Game Results'!C259)</f>
        <v>0</v>
      </c>
      <c r="E46" s="41">
        <f>SUM('Game Results'!D233+'Game Results'!D259)</f>
        <v>36.5</v>
      </c>
      <c r="F46" s="13">
        <f>SUM('Game Results'!E233+'Game Results'!E259)</f>
        <v>1</v>
      </c>
      <c r="G46" s="13">
        <f>SUM('Game Results'!F233+'Game Results'!F259)</f>
        <v>109</v>
      </c>
      <c r="H46" s="13">
        <f>SUM('Game Results'!G233+'Game Results'!G259)</f>
        <v>4</v>
      </c>
      <c r="I46" s="13">
        <f>SUM('Game Results'!H233+'Game Results'!H259)</f>
        <v>180</v>
      </c>
      <c r="J46" s="13">
        <f>SUM('Game Results'!I233+'Game Results'!I259)</f>
        <v>-71</v>
      </c>
      <c r="K46" s="29">
        <f t="shared" si="41"/>
        <v>0.6055555556</v>
      </c>
      <c r="L46" s="31">
        <f t="shared" si="42"/>
        <v>12.16666667</v>
      </c>
      <c r="M46" s="13">
        <f>SUM('Game Results'!L233+'Game Results'!L259)</f>
        <v>163</v>
      </c>
      <c r="N46" s="13">
        <f>SUM('Game Results'!M233+'Game Results'!M259)</f>
        <v>2</v>
      </c>
      <c r="O46" s="42">
        <f>SUM('Game Results'!N233+'Game Results'!N259)</f>
        <v>36.5</v>
      </c>
      <c r="P46" s="13">
        <f>SUM('Game Results'!O233+'Game Results'!O259)</f>
        <v>10</v>
      </c>
      <c r="Q46" s="13">
        <f>SUM('Game Results'!P233+'Game Results'!P259)</f>
        <v>1</v>
      </c>
      <c r="R46" s="13">
        <f>SUM('Game Results'!Q233+'Game Results'!Q259)</f>
        <v>1</v>
      </c>
      <c r="S46" s="13">
        <f>SUM('Game Results'!R233+'Game Results'!R259)</f>
        <v>0</v>
      </c>
      <c r="T46" s="13">
        <f>SUM('Game Results'!S233+'Game Results'!S259)</f>
        <v>0</v>
      </c>
      <c r="U46" s="13">
        <f>SUM('Game Results'!T233+'Game Results'!T259)</f>
        <v>0</v>
      </c>
      <c r="V46" s="13">
        <f>SUM('Game Results'!U233+'Game Results'!U259)</f>
        <v>0</v>
      </c>
      <c r="W46" s="13">
        <f>SUM('Game Results'!V233+'Game Results'!V259)</f>
        <v>0</v>
      </c>
      <c r="X46" s="13">
        <f>SUM('Game Results'!W233+'Game Results'!W259)</f>
        <v>0</v>
      </c>
      <c r="Y46" s="13">
        <f>SUM('Game Results'!X233+'Game Results'!X259)</f>
        <v>0</v>
      </c>
      <c r="Z46" s="13">
        <f>SUM('Game Results'!Y233+'Game Results'!Y259)</f>
        <v>0</v>
      </c>
      <c r="AA46" s="13">
        <f>SUM('Game Results'!Z233+'Game Results'!Z259)</f>
        <v>0</v>
      </c>
      <c r="AB46" s="13">
        <f>SUM('Game Results'!AA233+'Game Results'!AA259)</f>
        <v>0</v>
      </c>
      <c r="AC46" s="13">
        <f>SUM('Game Results'!AB233+'Game Results'!AB259)</f>
        <v>0</v>
      </c>
      <c r="AD46" s="13">
        <f>SUM('Game Results'!AC233+'Game Results'!AC259)</f>
        <v>0</v>
      </c>
    </row>
    <row r="47">
      <c r="A47" s="38" t="s">
        <v>49</v>
      </c>
      <c r="B47" s="34"/>
      <c r="C47" s="34">
        <f t="shared" ref="C47:E47" si="43">SUM(C43:C46)/4</f>
        <v>2</v>
      </c>
      <c r="D47" s="34">
        <f t="shared" si="43"/>
        <v>0</v>
      </c>
      <c r="E47" s="35">
        <f t="shared" si="43"/>
        <v>36.5</v>
      </c>
      <c r="F47" s="34">
        <f t="shared" ref="F47:J47" si="44">SUM(F43:F46)</f>
        <v>4</v>
      </c>
      <c r="G47" s="34">
        <f t="shared" si="44"/>
        <v>562</v>
      </c>
      <c r="H47" s="34">
        <f t="shared" si="44"/>
        <v>23</v>
      </c>
      <c r="I47" s="34">
        <f t="shared" si="44"/>
        <v>723</v>
      </c>
      <c r="J47" s="34">
        <f t="shared" si="44"/>
        <v>-161</v>
      </c>
      <c r="K47" s="36">
        <f>G47/I47</f>
        <v>0.7773167358</v>
      </c>
      <c r="L47" s="39">
        <f>SUM(L43:L46)/4</f>
        <v>12.28889833</v>
      </c>
      <c r="M47" s="34">
        <f t="shared" ref="M47:AD47" si="45">SUM(M43:M46)</f>
        <v>859</v>
      </c>
      <c r="N47" s="34">
        <f t="shared" si="45"/>
        <v>8</v>
      </c>
      <c r="O47" s="39">
        <f t="shared" si="45"/>
        <v>146</v>
      </c>
      <c r="P47" s="34">
        <f t="shared" si="45"/>
        <v>81</v>
      </c>
      <c r="Q47" s="34">
        <f t="shared" si="45"/>
        <v>9</v>
      </c>
      <c r="R47" s="34">
        <f t="shared" si="45"/>
        <v>4</v>
      </c>
      <c r="S47" s="34">
        <f t="shared" si="45"/>
        <v>1</v>
      </c>
      <c r="T47" s="34">
        <f t="shared" si="45"/>
        <v>2</v>
      </c>
      <c r="U47" s="34">
        <f t="shared" si="45"/>
        <v>0</v>
      </c>
      <c r="V47" s="34">
        <f t="shared" si="45"/>
        <v>0</v>
      </c>
      <c r="W47" s="34">
        <f t="shared" si="45"/>
        <v>0</v>
      </c>
      <c r="X47" s="34">
        <f t="shared" si="45"/>
        <v>0</v>
      </c>
      <c r="Y47" s="34">
        <f t="shared" si="45"/>
        <v>0</v>
      </c>
      <c r="Z47" s="34">
        <f t="shared" si="45"/>
        <v>1</v>
      </c>
      <c r="AA47" s="34">
        <f t="shared" si="45"/>
        <v>0</v>
      </c>
      <c r="AB47" s="34">
        <f t="shared" si="45"/>
        <v>0</v>
      </c>
      <c r="AC47" s="34">
        <f t="shared" si="45"/>
        <v>0</v>
      </c>
      <c r="AD47" s="34">
        <f t="shared" si="45"/>
        <v>0</v>
      </c>
    </row>
    <row r="48">
      <c r="A48" s="11" t="s">
        <v>70</v>
      </c>
      <c r="B48" s="12" t="s">
        <v>99</v>
      </c>
      <c r="C48" s="13">
        <v>3.0</v>
      </c>
      <c r="D48" s="14">
        <f>SUM('Game Results'!C82+'Game Results'!C217+'Game Results'!C243)</f>
        <v>1</v>
      </c>
      <c r="E48" s="31">
        <f>SUM('Game Results'!D82+'Game Results'!D217+'Game Results'!D243)</f>
        <v>52.4</v>
      </c>
      <c r="F48" s="14">
        <f>SUM('Game Results'!E82+'Game Results'!E217+'Game Results'!E243)</f>
        <v>1</v>
      </c>
      <c r="G48" s="14">
        <f>SUM('Game Results'!F82+'Game Results'!F217+'Game Results'!F243)</f>
        <v>229</v>
      </c>
      <c r="H48" s="14">
        <f>SUM('Game Results'!G82+'Game Results'!G217+'Game Results'!G243)</f>
        <v>16</v>
      </c>
      <c r="I48" s="14">
        <f>SUM('Game Results'!H82+'Game Results'!H217+'Game Results'!H243)</f>
        <v>245</v>
      </c>
      <c r="J48" s="14">
        <f>SUM('Game Results'!I82+'Game Results'!I217+'Game Results'!I243)</f>
        <v>-16</v>
      </c>
      <c r="K48" s="29">
        <f t="shared" ref="K48:K51" si="46">SUM(G48/I48)</f>
        <v>0.9346938776</v>
      </c>
      <c r="L48" s="31">
        <f t="shared" ref="L48:L51" si="47">SUM((E48*60)/I48)</f>
        <v>12.83265306</v>
      </c>
      <c r="M48" s="14">
        <f>SUM('Game Results'!L82+'Game Results'!L217+'Game Results'!L243)</f>
        <v>380</v>
      </c>
      <c r="N48" s="14">
        <f>SUM('Game Results'!M82+'Game Results'!M217+'Game Results'!M243)</f>
        <v>3</v>
      </c>
      <c r="O48" s="17">
        <f>SUM('Game Results'!N82+'Game Results'!N217+'Game Results'!N243)</f>
        <v>52.4</v>
      </c>
      <c r="P48" s="14">
        <f>SUM('Game Results'!O82+'Game Results'!O217+'Game Results'!O243)</f>
        <v>40</v>
      </c>
      <c r="Q48" s="14">
        <f>SUM('Game Results'!P82+'Game Results'!P217+'Game Results'!P243)</f>
        <v>8</v>
      </c>
      <c r="R48" s="14">
        <f>SUM('Game Results'!Q82+'Game Results'!Q217+'Game Results'!Q243)</f>
        <v>2</v>
      </c>
      <c r="S48" s="14">
        <f>SUM('Game Results'!R82+'Game Results'!R217+'Game Results'!R243)</f>
        <v>0</v>
      </c>
      <c r="T48" s="14">
        <f>SUM('Game Results'!S82+'Game Results'!S217+'Game Results'!S243)</f>
        <v>5</v>
      </c>
      <c r="U48" s="14">
        <f>SUM('Game Results'!T82+'Game Results'!T217+'Game Results'!T243)</f>
        <v>0</v>
      </c>
      <c r="V48" s="14">
        <f>SUM('Game Results'!U82+'Game Results'!U217+'Game Results'!U243)</f>
        <v>0</v>
      </c>
      <c r="W48" s="14">
        <f>SUM('Game Results'!V82+'Game Results'!V217+'Game Results'!V243)</f>
        <v>0</v>
      </c>
      <c r="X48" s="14">
        <f>SUM('Game Results'!W82+'Game Results'!W217+'Game Results'!W243)</f>
        <v>0</v>
      </c>
      <c r="Y48" s="14">
        <f>SUM('Game Results'!X82+'Game Results'!X217+'Game Results'!X243)</f>
        <v>0</v>
      </c>
      <c r="Z48" s="14">
        <f>SUM('Game Results'!Y82+'Game Results'!Y217+'Game Results'!Y243)</f>
        <v>0</v>
      </c>
      <c r="AA48" s="14">
        <f>SUM('Game Results'!Z82+'Game Results'!Z217+'Game Results'!Z243)</f>
        <v>0</v>
      </c>
      <c r="AB48" s="14">
        <f>SUM('Game Results'!AA82+'Game Results'!AA217+'Game Results'!AA243)</f>
        <v>0</v>
      </c>
      <c r="AC48" s="14">
        <f>SUM('Game Results'!AB82+'Game Results'!AB217+'Game Results'!AB243)</f>
        <v>0</v>
      </c>
      <c r="AD48" s="14">
        <f>SUM('Game Results'!AC82+'Game Results'!AC217+'Game Results'!AC243)</f>
        <v>0</v>
      </c>
    </row>
    <row r="49">
      <c r="A49" s="11" t="s">
        <v>70</v>
      </c>
      <c r="B49" s="12" t="s">
        <v>100</v>
      </c>
      <c r="C49" s="13">
        <v>3.0</v>
      </c>
      <c r="D49" s="14">
        <f>SUM('Game Results'!C83+'Game Results'!C218+'Game Results'!C244)</f>
        <v>1</v>
      </c>
      <c r="E49" s="31">
        <f>SUM('Game Results'!D83+'Game Results'!D218+'Game Results'!D244)</f>
        <v>52.4</v>
      </c>
      <c r="F49" s="14">
        <f>SUM('Game Results'!E83+'Game Results'!E218+'Game Results'!E244)</f>
        <v>0</v>
      </c>
      <c r="G49" s="14">
        <f>SUM('Game Results'!F83+'Game Results'!F218+'Game Results'!F244)</f>
        <v>150</v>
      </c>
      <c r="H49" s="14">
        <f>SUM('Game Results'!G83+'Game Results'!G218+'Game Results'!G244)</f>
        <v>15</v>
      </c>
      <c r="I49" s="14">
        <f>SUM('Game Results'!H83+'Game Results'!H218+'Game Results'!H244)</f>
        <v>161</v>
      </c>
      <c r="J49" s="14">
        <f>SUM('Game Results'!I83+'Game Results'!I218+'Game Results'!I244)</f>
        <v>-11</v>
      </c>
      <c r="K49" s="29">
        <f t="shared" si="46"/>
        <v>0.9316770186</v>
      </c>
      <c r="L49" s="31">
        <f t="shared" si="47"/>
        <v>19.52795031</v>
      </c>
      <c r="M49" s="14">
        <f>SUM('Game Results'!L83+'Game Results'!L218+'Game Results'!L244)</f>
        <v>228</v>
      </c>
      <c r="N49" s="14">
        <f>SUM('Game Results'!M83+'Game Results'!M218+'Game Results'!M244)</f>
        <v>3</v>
      </c>
      <c r="O49" s="17">
        <f>SUM('Game Results'!N83+'Game Results'!N218+'Game Results'!N244)</f>
        <v>52.4</v>
      </c>
      <c r="P49" s="14">
        <f>SUM('Game Results'!O83+'Game Results'!O218+'Game Results'!O244)</f>
        <v>19</v>
      </c>
      <c r="Q49" s="14">
        <f>SUM('Game Results'!P83+'Game Results'!P218+'Game Results'!P244)</f>
        <v>2</v>
      </c>
      <c r="R49" s="14">
        <f>SUM('Game Results'!Q83+'Game Results'!Q218+'Game Results'!Q244)</f>
        <v>0</v>
      </c>
      <c r="S49" s="14">
        <f>SUM('Game Results'!R83+'Game Results'!R218+'Game Results'!R244)</f>
        <v>0</v>
      </c>
      <c r="T49" s="14">
        <f>SUM('Game Results'!S83+'Game Results'!S218+'Game Results'!S244)</f>
        <v>1</v>
      </c>
      <c r="U49" s="14">
        <f>SUM('Game Results'!T83+'Game Results'!T218+'Game Results'!T244)</f>
        <v>0</v>
      </c>
      <c r="V49" s="14">
        <f>SUM('Game Results'!U83+'Game Results'!U218+'Game Results'!U244)</f>
        <v>0</v>
      </c>
      <c r="W49" s="14">
        <f>SUM('Game Results'!V83+'Game Results'!V218+'Game Results'!V244)</f>
        <v>0</v>
      </c>
      <c r="X49" s="14">
        <f>SUM('Game Results'!W83+'Game Results'!W218+'Game Results'!W244)</f>
        <v>0</v>
      </c>
      <c r="Y49" s="14">
        <f>SUM('Game Results'!X83+'Game Results'!X218+'Game Results'!X244)</f>
        <v>0</v>
      </c>
      <c r="Z49" s="14">
        <f>SUM('Game Results'!Y83+'Game Results'!Y218+'Game Results'!Y244)</f>
        <v>0</v>
      </c>
      <c r="AA49" s="14">
        <f>SUM('Game Results'!Z83+'Game Results'!Z218+'Game Results'!Z244)</f>
        <v>0</v>
      </c>
      <c r="AB49" s="14">
        <f>SUM('Game Results'!AA83+'Game Results'!AA218+'Game Results'!AA244)</f>
        <v>0</v>
      </c>
      <c r="AC49" s="14">
        <f>SUM('Game Results'!AB83+'Game Results'!AB218+'Game Results'!AB244)</f>
        <v>0</v>
      </c>
      <c r="AD49" s="14">
        <f>SUM('Game Results'!AC83+'Game Results'!AC218+'Game Results'!AC244)</f>
        <v>0</v>
      </c>
    </row>
    <row r="50">
      <c r="A50" s="11" t="s">
        <v>70</v>
      </c>
      <c r="B50" s="12" t="s">
        <v>56</v>
      </c>
      <c r="C50" s="13">
        <v>3.0</v>
      </c>
      <c r="D50" s="14">
        <f>SUM('Game Results'!C84+'Game Results'!C219+'Game Results'!C245)</f>
        <v>1</v>
      </c>
      <c r="E50" s="31">
        <f>SUM('Game Results'!D84+'Game Results'!D219+'Game Results'!D245)</f>
        <v>52.4</v>
      </c>
      <c r="F50" s="14">
        <f>SUM('Game Results'!E84+'Game Results'!E219+'Game Results'!E245)</f>
        <v>2</v>
      </c>
      <c r="G50" s="14">
        <f>SUM('Game Results'!F84+'Game Results'!F219+'Game Results'!F245)</f>
        <v>201</v>
      </c>
      <c r="H50" s="14">
        <f>SUM('Game Results'!G84+'Game Results'!G219+'Game Results'!G245)</f>
        <v>9</v>
      </c>
      <c r="I50" s="14">
        <f>SUM('Game Results'!H84+'Game Results'!H219+'Game Results'!H245)</f>
        <v>194</v>
      </c>
      <c r="J50" s="14">
        <f>SUM('Game Results'!I84+'Game Results'!I219+'Game Results'!I245)</f>
        <v>7</v>
      </c>
      <c r="K50" s="29">
        <f t="shared" si="46"/>
        <v>1.036082474</v>
      </c>
      <c r="L50" s="31">
        <f t="shared" si="47"/>
        <v>16.20618557</v>
      </c>
      <c r="M50" s="14">
        <f>SUM('Game Results'!L84+'Game Results'!L219+'Game Results'!L245)</f>
        <v>309</v>
      </c>
      <c r="N50" s="14">
        <f>SUM('Game Results'!M84+'Game Results'!M219+'Game Results'!M245)</f>
        <v>3</v>
      </c>
      <c r="O50" s="17">
        <f>SUM('Game Results'!N84+'Game Results'!N219+'Game Results'!N245)</f>
        <v>52.4</v>
      </c>
      <c r="P50" s="14">
        <f>SUM('Game Results'!O84+'Game Results'!O219+'Game Results'!O245)</f>
        <v>32</v>
      </c>
      <c r="Q50" s="14">
        <f>SUM('Game Results'!P84+'Game Results'!P219+'Game Results'!P245)</f>
        <v>5</v>
      </c>
      <c r="R50" s="14">
        <f>SUM('Game Results'!Q84+'Game Results'!Q219+'Game Results'!Q245)</f>
        <v>0</v>
      </c>
      <c r="S50" s="14">
        <f>SUM('Game Results'!R84+'Game Results'!R219+'Game Results'!R245)</f>
        <v>0</v>
      </c>
      <c r="T50" s="14">
        <f>SUM('Game Results'!S84+'Game Results'!S219+'Game Results'!S245)</f>
        <v>1</v>
      </c>
      <c r="U50" s="14">
        <f>SUM('Game Results'!T84+'Game Results'!T219+'Game Results'!T245)</f>
        <v>0</v>
      </c>
      <c r="V50" s="14">
        <f>SUM('Game Results'!U84+'Game Results'!U219+'Game Results'!U245)</f>
        <v>0</v>
      </c>
      <c r="W50" s="14">
        <f>SUM('Game Results'!V84+'Game Results'!V219+'Game Results'!V245)</f>
        <v>0</v>
      </c>
      <c r="X50" s="14">
        <f>SUM('Game Results'!W84+'Game Results'!W219+'Game Results'!W245)</f>
        <v>0</v>
      </c>
      <c r="Y50" s="14">
        <f>SUM('Game Results'!X84+'Game Results'!X219+'Game Results'!X245)</f>
        <v>0</v>
      </c>
      <c r="Z50" s="14">
        <f>SUM('Game Results'!Y84+'Game Results'!Y219+'Game Results'!Y245)</f>
        <v>0</v>
      </c>
      <c r="AA50" s="14">
        <f>SUM('Game Results'!Z84+'Game Results'!Z219+'Game Results'!Z245)</f>
        <v>0</v>
      </c>
      <c r="AB50" s="14">
        <f>SUM('Game Results'!AA84+'Game Results'!AA219+'Game Results'!AA245)</f>
        <v>0</v>
      </c>
      <c r="AC50" s="14">
        <f>SUM('Game Results'!AB84+'Game Results'!AB219+'Game Results'!AB245)</f>
        <v>0</v>
      </c>
      <c r="AD50" s="14">
        <f>SUM('Game Results'!AC84+'Game Results'!AC219+'Game Results'!AC245)</f>
        <v>0</v>
      </c>
    </row>
    <row r="51">
      <c r="A51" s="11" t="s">
        <v>70</v>
      </c>
      <c r="B51" s="12" t="s">
        <v>101</v>
      </c>
      <c r="C51" s="13">
        <v>3.0</v>
      </c>
      <c r="D51" s="14">
        <f>SUM('Game Results'!C85+'Game Results'!C220+'Game Results'!C246)</f>
        <v>1</v>
      </c>
      <c r="E51" s="31">
        <f>SUM('Game Results'!D85+'Game Results'!D220+'Game Results'!D246)</f>
        <v>52.4</v>
      </c>
      <c r="F51" s="14">
        <f>SUM('Game Results'!E85+'Game Results'!E220+'Game Results'!E246)</f>
        <v>6</v>
      </c>
      <c r="G51" s="14">
        <f>SUM('Game Results'!F85+'Game Results'!F220+'Game Results'!F246)</f>
        <v>134</v>
      </c>
      <c r="H51" s="14">
        <f>SUM('Game Results'!G85+'Game Results'!G220+'Game Results'!G246)</f>
        <v>7</v>
      </c>
      <c r="I51" s="14">
        <f>SUM('Game Results'!H85+'Game Results'!H220+'Game Results'!H246)</f>
        <v>188</v>
      </c>
      <c r="J51" s="14">
        <f>SUM('Game Results'!I85+'Game Results'!I220+'Game Results'!I246)</f>
        <v>-54</v>
      </c>
      <c r="K51" s="29">
        <f t="shared" si="46"/>
        <v>0.7127659574</v>
      </c>
      <c r="L51" s="31">
        <f t="shared" si="47"/>
        <v>16.72340426</v>
      </c>
      <c r="M51" s="14">
        <f>SUM('Game Results'!L85+'Game Results'!L220+'Game Results'!L246)</f>
        <v>198</v>
      </c>
      <c r="N51" s="14">
        <f>SUM('Game Results'!M85+'Game Results'!M220+'Game Results'!M246)</f>
        <v>3</v>
      </c>
      <c r="O51" s="17">
        <f>SUM('Game Results'!N85+'Game Results'!N220+'Game Results'!N246)</f>
        <v>52.4</v>
      </c>
      <c r="P51" s="14">
        <f>SUM('Game Results'!O85+'Game Results'!O220+'Game Results'!O246)</f>
        <v>12</v>
      </c>
      <c r="Q51" s="14">
        <f>SUM('Game Results'!P85+'Game Results'!P220+'Game Results'!P246)</f>
        <v>0</v>
      </c>
      <c r="R51" s="14">
        <f>SUM('Game Results'!Q85+'Game Results'!Q220+'Game Results'!Q246)</f>
        <v>0</v>
      </c>
      <c r="S51" s="14">
        <f>SUM('Game Results'!R85+'Game Results'!R220+'Game Results'!R246)</f>
        <v>0</v>
      </c>
      <c r="T51" s="14">
        <f>SUM('Game Results'!S85+'Game Results'!S220+'Game Results'!S246)</f>
        <v>1</v>
      </c>
      <c r="U51" s="14">
        <f>SUM('Game Results'!T85+'Game Results'!T220+'Game Results'!T246)</f>
        <v>0</v>
      </c>
      <c r="V51" s="14">
        <f>SUM('Game Results'!U85+'Game Results'!U220+'Game Results'!U246)</f>
        <v>0</v>
      </c>
      <c r="W51" s="14">
        <f>SUM('Game Results'!V85+'Game Results'!V220+'Game Results'!V246)</f>
        <v>0</v>
      </c>
      <c r="X51" s="14">
        <f>SUM('Game Results'!W85+'Game Results'!W220+'Game Results'!W246)</f>
        <v>0</v>
      </c>
      <c r="Y51" s="14">
        <f>SUM('Game Results'!X85+'Game Results'!X220+'Game Results'!X246)</f>
        <v>0</v>
      </c>
      <c r="Z51" s="14">
        <f>SUM('Game Results'!Y85+'Game Results'!Y220+'Game Results'!Y246)</f>
        <v>0</v>
      </c>
      <c r="AA51" s="14">
        <f>SUM('Game Results'!Z85+'Game Results'!Z220+'Game Results'!Z246)</f>
        <v>0</v>
      </c>
      <c r="AB51" s="14">
        <f>SUM('Game Results'!AA85+'Game Results'!AA220+'Game Results'!AA246)</f>
        <v>0</v>
      </c>
      <c r="AC51" s="14">
        <f>SUM('Game Results'!AB85+'Game Results'!AB220+'Game Results'!AB246)</f>
        <v>0</v>
      </c>
      <c r="AD51" s="14">
        <f>SUM('Game Results'!AC85+'Game Results'!AC220+'Game Results'!AC246)</f>
        <v>0</v>
      </c>
    </row>
    <row r="52">
      <c r="A52" s="38" t="s">
        <v>49</v>
      </c>
      <c r="B52" s="34"/>
      <c r="C52" s="34">
        <f t="shared" ref="C52:E52" si="48">SUM(C48:C51)/4</f>
        <v>3</v>
      </c>
      <c r="D52" s="34">
        <f t="shared" si="48"/>
        <v>1</v>
      </c>
      <c r="E52" s="35">
        <f t="shared" si="48"/>
        <v>52.4</v>
      </c>
      <c r="F52" s="34">
        <f t="shared" ref="F52:J52" si="49">SUM(F48:F51)</f>
        <v>9</v>
      </c>
      <c r="G52" s="34">
        <f t="shared" si="49"/>
        <v>714</v>
      </c>
      <c r="H52" s="34">
        <f t="shared" si="49"/>
        <v>47</v>
      </c>
      <c r="I52" s="34">
        <f t="shared" si="49"/>
        <v>788</v>
      </c>
      <c r="J52" s="34">
        <f t="shared" si="49"/>
        <v>-74</v>
      </c>
      <c r="K52" s="36">
        <f>G52/I52</f>
        <v>0.9060913706</v>
      </c>
      <c r="L52" s="39">
        <f>SUM(L48:L51)/4</f>
        <v>16.3225483</v>
      </c>
      <c r="M52" s="34">
        <f t="shared" ref="M52:AD52" si="50">SUM(M48:M51)</f>
        <v>1115</v>
      </c>
      <c r="N52" s="34">
        <f t="shared" si="50"/>
        <v>12</v>
      </c>
      <c r="O52" s="39">
        <f t="shared" si="50"/>
        <v>209.6</v>
      </c>
      <c r="P52" s="34">
        <f t="shared" si="50"/>
        <v>103</v>
      </c>
      <c r="Q52" s="34">
        <f t="shared" si="50"/>
        <v>15</v>
      </c>
      <c r="R52" s="34">
        <f t="shared" si="50"/>
        <v>2</v>
      </c>
      <c r="S52" s="34">
        <f t="shared" si="50"/>
        <v>0</v>
      </c>
      <c r="T52" s="34">
        <f t="shared" si="50"/>
        <v>8</v>
      </c>
      <c r="U52" s="34">
        <f t="shared" si="50"/>
        <v>0</v>
      </c>
      <c r="V52" s="34">
        <f t="shared" si="50"/>
        <v>0</v>
      </c>
      <c r="W52" s="34">
        <f t="shared" si="50"/>
        <v>0</v>
      </c>
      <c r="X52" s="34">
        <f t="shared" si="50"/>
        <v>0</v>
      </c>
      <c r="Y52" s="34">
        <f t="shared" si="50"/>
        <v>0</v>
      </c>
      <c r="Z52" s="34">
        <f t="shared" si="50"/>
        <v>0</v>
      </c>
      <c r="AA52" s="34">
        <f t="shared" si="50"/>
        <v>0</v>
      </c>
      <c r="AB52" s="34">
        <f t="shared" si="50"/>
        <v>0</v>
      </c>
      <c r="AC52" s="34">
        <f t="shared" si="50"/>
        <v>0</v>
      </c>
      <c r="AD52" s="34">
        <f t="shared" si="50"/>
        <v>0</v>
      </c>
    </row>
    <row r="53">
      <c r="A53" s="11" t="s">
        <v>50</v>
      </c>
      <c r="B53" s="12" t="s">
        <v>58</v>
      </c>
      <c r="C53" s="13">
        <v>3.0</v>
      </c>
      <c r="D53" s="14">
        <f>SUM('Game Results'!C22+'Game Results'!C69+'Game Results'!C165)</f>
        <v>1</v>
      </c>
      <c r="E53" s="31">
        <f>SUM('Game Results'!D22+'Game Results'!D69+'Game Results'!D165)</f>
        <v>99.3</v>
      </c>
      <c r="F53" s="14">
        <f>SUM('Game Results'!E22+'Game Results'!E69+'Game Results'!E165)</f>
        <v>4</v>
      </c>
      <c r="G53" s="14">
        <f>SUM('Game Results'!F22+'Game Results'!F69+'Game Results'!F165)</f>
        <v>516</v>
      </c>
      <c r="H53" s="14">
        <f>SUM('Game Results'!G22+'Game Results'!G69+'Game Results'!G165)</f>
        <v>20</v>
      </c>
      <c r="I53" s="14">
        <f>SUM('Game Results'!H22+'Game Results'!H69+'Game Results'!H165)</f>
        <v>364</v>
      </c>
      <c r="J53" s="14">
        <f>SUM('Game Results'!I22+'Game Results'!I69+'Game Results'!I165)</f>
        <v>152</v>
      </c>
      <c r="K53" s="29">
        <f t="shared" ref="K53:K56" si="51">SUM(G53/I53)</f>
        <v>1.417582418</v>
      </c>
      <c r="L53" s="31">
        <f t="shared" ref="L53:L56" si="52">SUM((E53*60)/I53)</f>
        <v>16.36813187</v>
      </c>
      <c r="M53" s="14">
        <f>SUM('Game Results'!L22+'Game Results'!L69+'Game Results'!L165)</f>
        <v>853</v>
      </c>
      <c r="N53" s="14">
        <f>SUM('Game Results'!M22+'Game Results'!M69+'Game Results'!M165)</f>
        <v>2</v>
      </c>
      <c r="O53" s="17">
        <f>SUM('Game Results'!N22+'Game Results'!N69+'Game Results'!N165)</f>
        <v>64.3</v>
      </c>
      <c r="P53" s="14">
        <f>SUM('Game Results'!O22+'Game Results'!O69+'Game Results'!O165)</f>
        <v>49</v>
      </c>
      <c r="Q53" s="14">
        <f>SUM('Game Results'!P22+'Game Results'!P69+'Game Results'!P165)</f>
        <v>7</v>
      </c>
      <c r="R53" s="14">
        <f>SUM('Game Results'!Q22+'Game Results'!Q69+'Game Results'!Q165)</f>
        <v>3</v>
      </c>
      <c r="S53" s="14">
        <f>SUM('Game Results'!R22+'Game Results'!R69+'Game Results'!R165)</f>
        <v>1</v>
      </c>
      <c r="T53" s="14">
        <f>SUM('Game Results'!S22+'Game Results'!S69+'Game Results'!S165)</f>
        <v>9</v>
      </c>
      <c r="U53" s="14">
        <f>SUM('Game Results'!T22+'Game Results'!T69+'Game Results'!T165)</f>
        <v>3</v>
      </c>
      <c r="V53" s="14">
        <f>SUM('Game Results'!U22+'Game Results'!U69+'Game Results'!U165)</f>
        <v>0</v>
      </c>
      <c r="W53" s="14">
        <f>SUM('Game Results'!V22+'Game Results'!V69+'Game Results'!V165)</f>
        <v>0</v>
      </c>
      <c r="X53" s="14">
        <f>SUM('Game Results'!W22+'Game Results'!W69+'Game Results'!W165)</f>
        <v>1</v>
      </c>
      <c r="Y53" s="14">
        <f>SUM('Game Results'!X22+'Game Results'!X69+'Game Results'!X165)</f>
        <v>0</v>
      </c>
      <c r="Z53" s="14">
        <f>SUM('Game Results'!Y22+'Game Results'!Y69+'Game Results'!Y165)</f>
        <v>0</v>
      </c>
      <c r="AA53" s="14">
        <f>SUM('Game Results'!Z22+'Game Results'!Z69+'Game Results'!Z165)</f>
        <v>0</v>
      </c>
      <c r="AB53" s="14">
        <f>SUM('Game Results'!AA22+'Game Results'!AA69+'Game Results'!AA165)</f>
        <v>0</v>
      </c>
      <c r="AC53" s="14">
        <f>SUM('Game Results'!AB22+'Game Results'!AB69+'Game Results'!AB165)</f>
        <v>0</v>
      </c>
      <c r="AD53" s="14">
        <f>SUM('Game Results'!AC22+'Game Results'!AC69+'Game Results'!AC165)</f>
        <v>0</v>
      </c>
    </row>
    <row r="54">
      <c r="A54" s="11" t="s">
        <v>50</v>
      </c>
      <c r="B54" s="12" t="s">
        <v>59</v>
      </c>
      <c r="C54" s="13">
        <v>3.0</v>
      </c>
      <c r="D54" s="14">
        <f>SUM('Game Results'!C23+'Game Results'!C70+'Game Results'!C166)</f>
        <v>1</v>
      </c>
      <c r="E54" s="31">
        <f>SUM('Game Results'!D23+'Game Results'!D70+'Game Results'!D166)</f>
        <v>99.3</v>
      </c>
      <c r="F54" s="14">
        <f>SUM('Game Results'!E23+'Game Results'!E70+'Game Results'!E166)</f>
        <v>5</v>
      </c>
      <c r="G54" s="14">
        <f>SUM('Game Results'!F23+'Game Results'!F70+'Game Results'!F166)</f>
        <v>384</v>
      </c>
      <c r="H54" s="14">
        <f>SUM('Game Results'!G23+'Game Results'!G70+'Game Results'!G166)</f>
        <v>30</v>
      </c>
      <c r="I54" s="14">
        <f>SUM('Game Results'!H23+'Game Results'!H70+'Game Results'!H166)</f>
        <v>353</v>
      </c>
      <c r="J54" s="14">
        <f>SUM('Game Results'!I23+'Game Results'!I70+'Game Results'!I166)</f>
        <v>31</v>
      </c>
      <c r="K54" s="29">
        <f t="shared" si="51"/>
        <v>1.087818697</v>
      </c>
      <c r="L54" s="31">
        <f t="shared" si="52"/>
        <v>16.87818697</v>
      </c>
      <c r="M54" s="14">
        <f>SUM('Game Results'!L23+'Game Results'!L70+'Game Results'!L166)</f>
        <v>609</v>
      </c>
      <c r="N54" s="14">
        <f>SUM('Game Results'!M23+'Game Results'!M70+'Game Results'!M166)</f>
        <v>2</v>
      </c>
      <c r="O54" s="17">
        <f>SUM('Game Results'!N23+'Game Results'!N70+'Game Results'!N166)</f>
        <v>64.3</v>
      </c>
      <c r="P54" s="14">
        <f>SUM('Game Results'!O23+'Game Results'!O70+'Game Results'!O166)</f>
        <v>28</v>
      </c>
      <c r="Q54" s="14">
        <f>SUM('Game Results'!P23+'Game Results'!P70+'Game Results'!P166)</f>
        <v>3</v>
      </c>
      <c r="R54" s="14">
        <f>SUM('Game Results'!Q23+'Game Results'!Q70+'Game Results'!Q166)</f>
        <v>0</v>
      </c>
      <c r="S54" s="14">
        <f>SUM('Game Results'!R23+'Game Results'!R70+'Game Results'!R166)</f>
        <v>0</v>
      </c>
      <c r="T54" s="14">
        <f>SUM('Game Results'!S23+'Game Results'!S70+'Game Results'!S166)</f>
        <v>3</v>
      </c>
      <c r="U54" s="14">
        <f>SUM('Game Results'!T23+'Game Results'!T70+'Game Results'!T166)</f>
        <v>0</v>
      </c>
      <c r="V54" s="14">
        <f>SUM('Game Results'!U23+'Game Results'!U70+'Game Results'!U166)</f>
        <v>0</v>
      </c>
      <c r="W54" s="14">
        <f>SUM('Game Results'!V23+'Game Results'!V70+'Game Results'!V166)</f>
        <v>0</v>
      </c>
      <c r="X54" s="14">
        <f>SUM('Game Results'!W23+'Game Results'!W70+'Game Results'!W166)</f>
        <v>0</v>
      </c>
      <c r="Y54" s="14">
        <f>SUM('Game Results'!X23+'Game Results'!X70+'Game Results'!X166)</f>
        <v>0</v>
      </c>
      <c r="Z54" s="14">
        <f>SUM('Game Results'!Y23+'Game Results'!Y70+'Game Results'!Y166)</f>
        <v>0</v>
      </c>
      <c r="AA54" s="14">
        <f>SUM('Game Results'!Z23+'Game Results'!Z70+'Game Results'!Z166)</f>
        <v>0</v>
      </c>
      <c r="AB54" s="14">
        <f>SUM('Game Results'!AA23+'Game Results'!AA70+'Game Results'!AA166)</f>
        <v>0</v>
      </c>
      <c r="AC54" s="14">
        <f>SUM('Game Results'!AB23+'Game Results'!AB70+'Game Results'!AB166)</f>
        <v>0</v>
      </c>
      <c r="AD54" s="14">
        <f>SUM('Game Results'!AC23+'Game Results'!AC70+'Game Results'!AC166)</f>
        <v>0</v>
      </c>
    </row>
    <row r="55">
      <c r="A55" s="11" t="s">
        <v>50</v>
      </c>
      <c r="B55" s="12" t="s">
        <v>60</v>
      </c>
      <c r="C55" s="13">
        <v>3.0</v>
      </c>
      <c r="D55" s="14">
        <f>SUM('Game Results'!C24+'Game Results'!C71+'Game Results'!C167)</f>
        <v>1</v>
      </c>
      <c r="E55" s="31">
        <f>SUM('Game Results'!D24+'Game Results'!D71+'Game Results'!D167)</f>
        <v>99.3</v>
      </c>
      <c r="F55" s="14">
        <f>SUM('Game Results'!E24+'Game Results'!E71+'Game Results'!E167)</f>
        <v>0</v>
      </c>
      <c r="G55" s="14">
        <f>SUM('Game Results'!F24+'Game Results'!F71+'Game Results'!F167)</f>
        <v>369</v>
      </c>
      <c r="H55" s="14">
        <f>SUM('Game Results'!G24+'Game Results'!G71+'Game Results'!G167)</f>
        <v>32</v>
      </c>
      <c r="I55" s="14">
        <f>SUM('Game Results'!H24+'Game Results'!H71+'Game Results'!H167)</f>
        <v>423</v>
      </c>
      <c r="J55" s="14">
        <f>SUM('Game Results'!I24+'Game Results'!I71+'Game Results'!I167)</f>
        <v>-54</v>
      </c>
      <c r="K55" s="29">
        <f t="shared" si="51"/>
        <v>0.8723404255</v>
      </c>
      <c r="L55" s="31">
        <f t="shared" si="52"/>
        <v>14.08510638</v>
      </c>
      <c r="M55" s="14">
        <f>SUM('Game Results'!L24+'Game Results'!L71+'Game Results'!L167)</f>
        <v>570</v>
      </c>
      <c r="N55" s="14">
        <f>SUM('Game Results'!M24+'Game Results'!M71+'Game Results'!M167)</f>
        <v>2</v>
      </c>
      <c r="O55" s="17">
        <f>SUM('Game Results'!N24+'Game Results'!N71+'Game Results'!N167)</f>
        <v>64.3</v>
      </c>
      <c r="P55" s="14">
        <f>SUM('Game Results'!O24+'Game Results'!O71+'Game Results'!O167)</f>
        <v>26</v>
      </c>
      <c r="Q55" s="14">
        <f>SUM('Game Results'!P24+'Game Results'!P71+'Game Results'!P167)</f>
        <v>4</v>
      </c>
      <c r="R55" s="14">
        <f>SUM('Game Results'!Q24+'Game Results'!Q71+'Game Results'!Q167)</f>
        <v>1</v>
      </c>
      <c r="S55" s="14">
        <f>SUM('Game Results'!R24+'Game Results'!R71+'Game Results'!R167)</f>
        <v>0</v>
      </c>
      <c r="T55" s="14">
        <f>SUM('Game Results'!S24+'Game Results'!S71+'Game Results'!S167)</f>
        <v>0</v>
      </c>
      <c r="U55" s="14">
        <f>SUM('Game Results'!T24+'Game Results'!T71+'Game Results'!T167)</f>
        <v>0</v>
      </c>
      <c r="V55" s="14">
        <f>SUM('Game Results'!U24+'Game Results'!U71+'Game Results'!U167)</f>
        <v>0</v>
      </c>
      <c r="W55" s="14">
        <f>SUM('Game Results'!V24+'Game Results'!V71+'Game Results'!V167)</f>
        <v>0</v>
      </c>
      <c r="X55" s="14">
        <f>SUM('Game Results'!W24+'Game Results'!W71+'Game Results'!W167)</f>
        <v>0</v>
      </c>
      <c r="Y55" s="14">
        <f>SUM('Game Results'!X24+'Game Results'!X71+'Game Results'!X167)</f>
        <v>0</v>
      </c>
      <c r="Z55" s="14">
        <f>SUM('Game Results'!Y24+'Game Results'!Y71+'Game Results'!Y167)</f>
        <v>0</v>
      </c>
      <c r="AA55" s="14">
        <f>SUM('Game Results'!Z24+'Game Results'!Z71+'Game Results'!Z167)</f>
        <v>0</v>
      </c>
      <c r="AB55" s="14">
        <f>SUM('Game Results'!AA24+'Game Results'!AA71+'Game Results'!AA167)</f>
        <v>0</v>
      </c>
      <c r="AC55" s="14">
        <f>SUM('Game Results'!AB24+'Game Results'!AB71+'Game Results'!AB167)</f>
        <v>0</v>
      </c>
      <c r="AD55" s="14">
        <f>SUM('Game Results'!AC24+'Game Results'!AC71+'Game Results'!AC167)</f>
        <v>0</v>
      </c>
    </row>
    <row r="56">
      <c r="A56" s="11" t="s">
        <v>50</v>
      </c>
      <c r="B56" s="12" t="s">
        <v>61</v>
      </c>
      <c r="C56" s="13">
        <v>3.0</v>
      </c>
      <c r="D56" s="14">
        <f>SUM('Game Results'!C25+'Game Results'!C72+'Game Results'!C168)</f>
        <v>1</v>
      </c>
      <c r="E56" s="31">
        <f>SUM('Game Results'!D25+'Game Results'!D72+'Game Results'!D168)</f>
        <v>99.3</v>
      </c>
      <c r="F56" s="14">
        <f>SUM('Game Results'!E25+'Game Results'!E72+'Game Results'!E168)</f>
        <v>0</v>
      </c>
      <c r="G56" s="14">
        <f>SUM('Game Results'!F25+'Game Results'!F72+'Game Results'!F168)</f>
        <v>371</v>
      </c>
      <c r="H56" s="14">
        <f>SUM('Game Results'!G25+'Game Results'!G72+'Game Results'!G168)</f>
        <v>21</v>
      </c>
      <c r="I56" s="14">
        <f>SUM('Game Results'!H25+'Game Results'!H72+'Game Results'!H168)</f>
        <v>475</v>
      </c>
      <c r="J56" s="14">
        <f>SUM('Game Results'!I25+'Game Results'!I72+'Game Results'!I168)</f>
        <v>-104</v>
      </c>
      <c r="K56" s="29">
        <f t="shared" si="51"/>
        <v>0.7810526316</v>
      </c>
      <c r="L56" s="31">
        <f t="shared" si="52"/>
        <v>12.54315789</v>
      </c>
      <c r="M56" s="14">
        <f>SUM('Game Results'!L25+'Game Results'!L72+'Game Results'!L168)</f>
        <v>575</v>
      </c>
      <c r="N56" s="14">
        <f>SUM('Game Results'!M25+'Game Results'!M72+'Game Results'!M168)</f>
        <v>2</v>
      </c>
      <c r="O56" s="17">
        <f>SUM('Game Results'!N25+'Game Results'!N72+'Game Results'!N168)</f>
        <v>64.3</v>
      </c>
      <c r="P56" s="14">
        <f>SUM('Game Results'!O25+'Game Results'!O72+'Game Results'!O168)</f>
        <v>33</v>
      </c>
      <c r="Q56" s="14">
        <f>SUM('Game Results'!P25+'Game Results'!P72+'Game Results'!P168)</f>
        <v>2</v>
      </c>
      <c r="R56" s="14">
        <f>SUM('Game Results'!Q25+'Game Results'!Q72+'Game Results'!Q168)</f>
        <v>1</v>
      </c>
      <c r="S56" s="14">
        <f>SUM('Game Results'!R25+'Game Results'!R72+'Game Results'!R168)</f>
        <v>1</v>
      </c>
      <c r="T56" s="14">
        <f>SUM('Game Results'!S25+'Game Results'!S72+'Game Results'!S168)</f>
        <v>1</v>
      </c>
      <c r="U56" s="14">
        <f>SUM('Game Results'!T25+'Game Results'!T72+'Game Results'!T168)</f>
        <v>0</v>
      </c>
      <c r="V56" s="14">
        <f>SUM('Game Results'!U25+'Game Results'!U72+'Game Results'!U168)</f>
        <v>0</v>
      </c>
      <c r="W56" s="14">
        <f>SUM('Game Results'!V25+'Game Results'!V72+'Game Results'!V168)</f>
        <v>0</v>
      </c>
      <c r="X56" s="14">
        <f>SUM('Game Results'!W25+'Game Results'!W72+'Game Results'!W168)</f>
        <v>0</v>
      </c>
      <c r="Y56" s="14">
        <f>SUM('Game Results'!X25+'Game Results'!X72+'Game Results'!X168)</f>
        <v>0</v>
      </c>
      <c r="Z56" s="14">
        <f>SUM('Game Results'!Y25+'Game Results'!Y72+'Game Results'!Y168)</f>
        <v>1</v>
      </c>
      <c r="AA56" s="14">
        <f>SUM('Game Results'!Z25+'Game Results'!Z72+'Game Results'!Z168)</f>
        <v>0</v>
      </c>
      <c r="AB56" s="14">
        <f>SUM('Game Results'!AA25+'Game Results'!AA72+'Game Results'!AA168)</f>
        <v>0</v>
      </c>
      <c r="AC56" s="14">
        <f>SUM('Game Results'!AB25+'Game Results'!AB72+'Game Results'!AB168)</f>
        <v>0</v>
      </c>
      <c r="AD56" s="14">
        <f>SUM('Game Results'!AC25+'Game Results'!AC72+'Game Results'!AC168)</f>
        <v>0</v>
      </c>
    </row>
    <row r="57">
      <c r="A57" s="38" t="s">
        <v>49</v>
      </c>
      <c r="B57" s="34"/>
      <c r="C57" s="34">
        <f t="shared" ref="C57:E57" si="53">SUM(C53:C56)/4</f>
        <v>3</v>
      </c>
      <c r="D57" s="34">
        <f t="shared" si="53"/>
        <v>1</v>
      </c>
      <c r="E57" s="35">
        <f t="shared" si="53"/>
        <v>99.3</v>
      </c>
      <c r="F57" s="34">
        <f t="shared" ref="F57:J57" si="54">SUM(F53:F56)</f>
        <v>9</v>
      </c>
      <c r="G57" s="34">
        <f t="shared" si="54"/>
        <v>1640</v>
      </c>
      <c r="H57" s="34">
        <f t="shared" si="54"/>
        <v>103</v>
      </c>
      <c r="I57" s="34">
        <f t="shared" si="54"/>
        <v>1615</v>
      </c>
      <c r="J57" s="34">
        <f t="shared" si="54"/>
        <v>25</v>
      </c>
      <c r="K57" s="36">
        <f>G57/I57</f>
        <v>1.015479876</v>
      </c>
      <c r="L57" s="39">
        <f>SUM(L53:L56)/4</f>
        <v>14.96864578</v>
      </c>
      <c r="M57" s="34">
        <f t="shared" ref="M57:AD57" si="55">SUM(M53:M56)</f>
        <v>2607</v>
      </c>
      <c r="N57" s="34">
        <f t="shared" si="55"/>
        <v>8</v>
      </c>
      <c r="O57" s="39">
        <f t="shared" si="55"/>
        <v>257.2</v>
      </c>
      <c r="P57" s="34">
        <f t="shared" si="55"/>
        <v>136</v>
      </c>
      <c r="Q57" s="34">
        <f t="shared" si="55"/>
        <v>16</v>
      </c>
      <c r="R57" s="34">
        <f t="shared" si="55"/>
        <v>5</v>
      </c>
      <c r="S57" s="34">
        <f t="shared" si="55"/>
        <v>2</v>
      </c>
      <c r="T57" s="34">
        <f t="shared" si="55"/>
        <v>13</v>
      </c>
      <c r="U57" s="34">
        <f t="shared" si="55"/>
        <v>3</v>
      </c>
      <c r="V57" s="34">
        <f t="shared" si="55"/>
        <v>0</v>
      </c>
      <c r="W57" s="34">
        <f t="shared" si="55"/>
        <v>0</v>
      </c>
      <c r="X57" s="34">
        <f t="shared" si="55"/>
        <v>1</v>
      </c>
      <c r="Y57" s="34">
        <f t="shared" si="55"/>
        <v>0</v>
      </c>
      <c r="Z57" s="34">
        <f t="shared" si="55"/>
        <v>1</v>
      </c>
      <c r="AA57" s="34">
        <f t="shared" si="55"/>
        <v>0</v>
      </c>
      <c r="AB57" s="34">
        <f t="shared" si="55"/>
        <v>0</v>
      </c>
      <c r="AC57" s="34">
        <f t="shared" si="55"/>
        <v>0</v>
      </c>
      <c r="AD57" s="34">
        <f t="shared" si="55"/>
        <v>0</v>
      </c>
    </row>
    <row r="58">
      <c r="A58" s="11" t="s">
        <v>76</v>
      </c>
      <c r="B58" s="12" t="s">
        <v>80</v>
      </c>
      <c r="C58" s="13">
        <v>4.0</v>
      </c>
      <c r="D58" s="14">
        <f>SUM('Game Results'!C43+'Game Results'!C113+'Game Results'!C160+'Game Results'!C204)</f>
        <v>2</v>
      </c>
      <c r="E58" s="31">
        <f>SUM('Game Results'!D43+'Game Results'!D113+'Game Results'!D160+'Game Results'!D204)</f>
        <v>78.41666667</v>
      </c>
      <c r="F58" s="14">
        <f>SUM('Game Results'!E43+'Game Results'!E113+'Game Results'!E160+'Game Results'!E204)</f>
        <v>3</v>
      </c>
      <c r="G58" s="14">
        <f>SUM('Game Results'!F43+'Game Results'!F113+'Game Results'!F160+'Game Results'!F204)</f>
        <v>424</v>
      </c>
      <c r="H58" s="14">
        <f>SUM('Game Results'!G43+'Game Results'!G113+'Game Results'!G160+'Game Results'!G204)</f>
        <v>17</v>
      </c>
      <c r="I58" s="14">
        <f>SUM('Game Results'!H43+'Game Results'!H113+'Game Results'!H160+'Game Results'!H204)</f>
        <v>310</v>
      </c>
      <c r="J58" s="14">
        <f>SUM('Game Results'!I43+'Game Results'!I113+'Game Results'!I160+'Game Results'!I204)</f>
        <v>114</v>
      </c>
      <c r="K58" s="29">
        <f t="shared" ref="K58:K61" si="56">SUM(G58/I58)</f>
        <v>1.367741935</v>
      </c>
      <c r="L58" s="31">
        <f t="shared" ref="L58:L61" si="57">SUM((E58*60)/I58)</f>
        <v>15.17741935</v>
      </c>
      <c r="M58" s="14">
        <f>SUM('Game Results'!L43+'Game Results'!L113+'Game Results'!L160+'Game Results'!L204)</f>
        <v>681</v>
      </c>
      <c r="N58" s="14">
        <f>SUM('Game Results'!M43+'Game Results'!M113+'Game Results'!M160+'Game Results'!M204)</f>
        <v>2</v>
      </c>
      <c r="O58" s="17">
        <f>SUM('Game Results'!N43+'Game Results'!N113+'Game Results'!N160+'Game Results'!N204)</f>
        <v>43.41666667</v>
      </c>
      <c r="P58" s="14">
        <f>SUM('Game Results'!O43+'Game Results'!O113+'Game Results'!O160+'Game Results'!O204)</f>
        <v>50</v>
      </c>
      <c r="Q58" s="14">
        <f>SUM('Game Results'!P43+'Game Results'!P113+'Game Results'!P160+'Game Results'!P204)</f>
        <v>10</v>
      </c>
      <c r="R58" s="14">
        <f>SUM('Game Results'!Q43+'Game Results'!Q113+'Game Results'!Q160+'Game Results'!Q204)</f>
        <v>2</v>
      </c>
      <c r="S58" s="14">
        <f>SUM('Game Results'!R43+'Game Results'!R113+'Game Results'!R160+'Game Results'!R204)</f>
        <v>0</v>
      </c>
      <c r="T58" s="14">
        <f>SUM('Game Results'!S43+'Game Results'!S113+'Game Results'!S160+'Game Results'!S204)</f>
        <v>8</v>
      </c>
      <c r="U58" s="14">
        <f>SUM('Game Results'!T43+'Game Results'!T113+'Game Results'!T160+'Game Results'!T204)</f>
        <v>2</v>
      </c>
      <c r="V58" s="14">
        <f>SUM('Game Results'!U43+'Game Results'!U113+'Game Results'!U160+'Game Results'!U204)</f>
        <v>0</v>
      </c>
      <c r="W58" s="14">
        <f>SUM('Game Results'!V43+'Game Results'!V113+'Game Results'!V160+'Game Results'!V204)</f>
        <v>0</v>
      </c>
      <c r="X58" s="14">
        <f>SUM('Game Results'!W43+'Game Results'!W113+'Game Results'!W160+'Game Results'!W204)</f>
        <v>0</v>
      </c>
      <c r="Y58" s="14">
        <f>SUM('Game Results'!X43+'Game Results'!X113+'Game Results'!X160+'Game Results'!X204)</f>
        <v>0</v>
      </c>
      <c r="Z58" s="14">
        <f>SUM('Game Results'!Y43+'Game Results'!Y113+'Game Results'!Y160+'Game Results'!Y204)</f>
        <v>0</v>
      </c>
      <c r="AA58" s="14">
        <f>SUM('Game Results'!Z43+'Game Results'!Z113+'Game Results'!Z160+'Game Results'!Z204)</f>
        <v>0</v>
      </c>
      <c r="AB58" s="14">
        <f>SUM('Game Results'!AA43+'Game Results'!AA113+'Game Results'!AA160+'Game Results'!AA204)</f>
        <v>0</v>
      </c>
      <c r="AC58" s="14">
        <f>SUM('Game Results'!AB43+'Game Results'!AB113+'Game Results'!AB160+'Game Results'!AB204)</f>
        <v>0</v>
      </c>
      <c r="AD58" s="14">
        <f>SUM('Game Results'!AC43+'Game Results'!AC113+'Game Results'!AC160+'Game Results'!AC204)</f>
        <v>0</v>
      </c>
    </row>
    <row r="59">
      <c r="A59" s="11" t="s">
        <v>76</v>
      </c>
      <c r="B59" s="12" t="s">
        <v>81</v>
      </c>
      <c r="C59" s="13">
        <v>4.0</v>
      </c>
      <c r="D59" s="14">
        <f>SUM('Game Results'!C44+'Game Results'!C114+'Game Results'!C161+'Game Results'!C205)</f>
        <v>2</v>
      </c>
      <c r="E59" s="31">
        <f>SUM('Game Results'!D44+'Game Results'!D114+'Game Results'!D161+'Game Results'!D205)</f>
        <v>80.55</v>
      </c>
      <c r="F59" s="14">
        <f>SUM('Game Results'!E44+'Game Results'!E114+'Game Results'!E161+'Game Results'!E205)</f>
        <v>6</v>
      </c>
      <c r="G59" s="14">
        <f>SUM('Game Results'!F44+'Game Results'!F114+'Game Results'!F161+'Game Results'!F205)</f>
        <v>136</v>
      </c>
      <c r="H59" s="14">
        <f>SUM('Game Results'!G44+'Game Results'!G114+'Game Results'!G161+'Game Results'!G205)</f>
        <v>8</v>
      </c>
      <c r="I59" s="14">
        <f>SUM('Game Results'!H44+'Game Results'!H114+'Game Results'!H161+'Game Results'!H205)</f>
        <v>202</v>
      </c>
      <c r="J59" s="14">
        <f>SUM('Game Results'!I44+'Game Results'!I114+'Game Results'!I161+'Game Results'!I205)</f>
        <v>-66</v>
      </c>
      <c r="K59" s="29">
        <f t="shared" si="56"/>
        <v>0.6732673267</v>
      </c>
      <c r="L59" s="31">
        <f t="shared" si="57"/>
        <v>23.92574257</v>
      </c>
      <c r="M59" s="14">
        <f>SUM('Game Results'!L44+'Game Results'!L114+'Game Results'!L161+'Game Results'!L205)</f>
        <v>207</v>
      </c>
      <c r="N59" s="14">
        <f>SUM('Game Results'!M44+'Game Results'!M114+'Game Results'!M161+'Game Results'!M205)</f>
        <v>2</v>
      </c>
      <c r="O59" s="17">
        <f>SUM('Game Results'!N44+'Game Results'!N114+'Game Results'!N161+'Game Results'!N205)</f>
        <v>45.55</v>
      </c>
      <c r="P59" s="14">
        <f>SUM('Game Results'!O44+'Game Results'!O114+'Game Results'!O161+'Game Results'!O205)</f>
        <v>5</v>
      </c>
      <c r="Q59" s="14">
        <f>SUM('Game Results'!P44+'Game Results'!P114+'Game Results'!P161+'Game Results'!P205)</f>
        <v>0</v>
      </c>
      <c r="R59" s="14">
        <f>SUM('Game Results'!Q44+'Game Results'!Q114+'Game Results'!Q161+'Game Results'!Q205)</f>
        <v>0</v>
      </c>
      <c r="S59" s="14">
        <f>SUM('Game Results'!R44+'Game Results'!R114+'Game Results'!R161+'Game Results'!R205)</f>
        <v>0</v>
      </c>
      <c r="T59" s="14">
        <f>SUM('Game Results'!S44+'Game Results'!S114+'Game Results'!S161+'Game Results'!S205)</f>
        <v>0</v>
      </c>
      <c r="U59" s="14">
        <f>SUM('Game Results'!T44+'Game Results'!T114+'Game Results'!T161+'Game Results'!T205)</f>
        <v>0</v>
      </c>
      <c r="V59" s="14">
        <f>SUM('Game Results'!U44+'Game Results'!U114+'Game Results'!U161+'Game Results'!U205)</f>
        <v>0</v>
      </c>
      <c r="W59" s="14">
        <f>SUM('Game Results'!V44+'Game Results'!V114+'Game Results'!V161+'Game Results'!V205)</f>
        <v>0</v>
      </c>
      <c r="X59" s="14">
        <f>SUM('Game Results'!W44+'Game Results'!W114+'Game Results'!W161+'Game Results'!W205)</f>
        <v>0</v>
      </c>
      <c r="Y59" s="14">
        <f>SUM('Game Results'!X44+'Game Results'!X114+'Game Results'!X161+'Game Results'!X205)</f>
        <v>0</v>
      </c>
      <c r="Z59" s="14">
        <f>SUM('Game Results'!Y44+'Game Results'!Y114+'Game Results'!Y161+'Game Results'!Y205)</f>
        <v>0</v>
      </c>
      <c r="AA59" s="14">
        <f>SUM('Game Results'!Z44+'Game Results'!Z114+'Game Results'!Z161+'Game Results'!Z205)</f>
        <v>0</v>
      </c>
      <c r="AB59" s="14">
        <f>SUM('Game Results'!AA44+'Game Results'!AA114+'Game Results'!AA161+'Game Results'!AA205)</f>
        <v>0</v>
      </c>
      <c r="AC59" s="14">
        <f>SUM('Game Results'!AB44+'Game Results'!AB114+'Game Results'!AB161+'Game Results'!AB205)</f>
        <v>0</v>
      </c>
      <c r="AD59" s="14">
        <f>SUM('Game Results'!AC44+'Game Results'!AC114+'Game Results'!AC161+'Game Results'!AC205)</f>
        <v>0</v>
      </c>
    </row>
    <row r="60">
      <c r="A60" s="11" t="s">
        <v>76</v>
      </c>
      <c r="B60" s="12" t="s">
        <v>82</v>
      </c>
      <c r="C60" s="13">
        <v>4.0</v>
      </c>
      <c r="D60" s="14">
        <f>SUM('Game Results'!C45+'Game Results'!C115+'Game Results'!C162+'Game Results'!C206)</f>
        <v>2</v>
      </c>
      <c r="E60" s="31">
        <f>SUM('Game Results'!D45+'Game Results'!D115+'Game Results'!D162+'Game Results'!D206)</f>
        <v>76.25</v>
      </c>
      <c r="F60" s="14">
        <f>SUM('Game Results'!E45+'Game Results'!E115+'Game Results'!E162+'Game Results'!E206)</f>
        <v>0</v>
      </c>
      <c r="G60" s="14">
        <f>SUM('Game Results'!F45+'Game Results'!F115+'Game Results'!F162+'Game Results'!F206)</f>
        <v>313</v>
      </c>
      <c r="H60" s="14">
        <f>SUM('Game Results'!G45+'Game Results'!G115+'Game Results'!G162+'Game Results'!G206)</f>
        <v>18</v>
      </c>
      <c r="I60" s="14">
        <f>SUM('Game Results'!H45+'Game Results'!H115+'Game Results'!H162+'Game Results'!H206)</f>
        <v>437</v>
      </c>
      <c r="J60" s="14">
        <f>SUM('Game Results'!I45+'Game Results'!I115+'Game Results'!I162+'Game Results'!I206)</f>
        <v>-124</v>
      </c>
      <c r="K60" s="29">
        <f t="shared" si="56"/>
        <v>0.7162471396</v>
      </c>
      <c r="L60" s="31">
        <f t="shared" si="57"/>
        <v>10.46910755</v>
      </c>
      <c r="M60" s="14">
        <f>SUM('Game Results'!L45+'Game Results'!L115+'Game Results'!L162+'Game Results'!L206)</f>
        <v>478</v>
      </c>
      <c r="N60" s="14">
        <f>SUM('Game Results'!M45+'Game Results'!M115+'Game Results'!M162+'Game Results'!M206)</f>
        <v>2</v>
      </c>
      <c r="O60" s="17">
        <f>SUM('Game Results'!N45+'Game Results'!N115+'Game Results'!N162+'Game Results'!N206)</f>
        <v>41.25</v>
      </c>
      <c r="P60" s="14">
        <f>SUM('Game Results'!O45+'Game Results'!O115+'Game Results'!O162+'Game Results'!O206)</f>
        <v>24</v>
      </c>
      <c r="Q60" s="14">
        <f>SUM('Game Results'!P45+'Game Results'!P115+'Game Results'!P162+'Game Results'!P206)</f>
        <v>4</v>
      </c>
      <c r="R60" s="14">
        <f>SUM('Game Results'!Q45+'Game Results'!Q115+'Game Results'!Q162+'Game Results'!Q206)</f>
        <v>1</v>
      </c>
      <c r="S60" s="14">
        <f>SUM('Game Results'!R45+'Game Results'!R115+'Game Results'!R162+'Game Results'!R206)</f>
        <v>0</v>
      </c>
      <c r="T60" s="14">
        <f>SUM('Game Results'!S45+'Game Results'!S115+'Game Results'!S162+'Game Results'!S206)</f>
        <v>0</v>
      </c>
      <c r="U60" s="14">
        <f>SUM('Game Results'!T45+'Game Results'!T115+'Game Results'!T162+'Game Results'!T206)</f>
        <v>0</v>
      </c>
      <c r="V60" s="14">
        <f>SUM('Game Results'!U45+'Game Results'!U115+'Game Results'!U162+'Game Results'!U206)</f>
        <v>0</v>
      </c>
      <c r="W60" s="14">
        <f>SUM('Game Results'!V45+'Game Results'!V115+'Game Results'!V162+'Game Results'!V206)</f>
        <v>0</v>
      </c>
      <c r="X60" s="14">
        <f>SUM('Game Results'!W45+'Game Results'!W115+'Game Results'!W162+'Game Results'!W206)</f>
        <v>0</v>
      </c>
      <c r="Y60" s="14">
        <f>SUM('Game Results'!X45+'Game Results'!X115+'Game Results'!X162+'Game Results'!X206)</f>
        <v>0</v>
      </c>
      <c r="Z60" s="14">
        <f>SUM('Game Results'!Y45+'Game Results'!Y115+'Game Results'!Y162+'Game Results'!Y206)</f>
        <v>0</v>
      </c>
      <c r="AA60" s="14">
        <f>SUM('Game Results'!Z45+'Game Results'!Z115+'Game Results'!Z162+'Game Results'!Z206)</f>
        <v>0</v>
      </c>
      <c r="AB60" s="14">
        <f>SUM('Game Results'!AA45+'Game Results'!AA115+'Game Results'!AA162+'Game Results'!AA206)</f>
        <v>0</v>
      </c>
      <c r="AC60" s="14">
        <f>SUM('Game Results'!AB45+'Game Results'!AB115+'Game Results'!AB162+'Game Results'!AB206)</f>
        <v>0</v>
      </c>
      <c r="AD60" s="14">
        <f>SUM('Game Results'!AC45+'Game Results'!AC115+'Game Results'!AC162+'Game Results'!AC206)</f>
        <v>0</v>
      </c>
    </row>
    <row r="61">
      <c r="A61" s="11" t="s">
        <v>76</v>
      </c>
      <c r="B61" s="12" t="s">
        <v>83</v>
      </c>
      <c r="C61" s="13">
        <v>4.0</v>
      </c>
      <c r="D61" s="14">
        <f>SUM('Game Results'!C46+'Game Results'!C116+'Game Results'!C163+'Game Results'!C207)</f>
        <v>2</v>
      </c>
      <c r="E61" s="31">
        <f>SUM('Game Results'!D46+'Game Results'!D116+'Game Results'!D163+'Game Results'!D207)</f>
        <v>76.41666667</v>
      </c>
      <c r="F61" s="14">
        <f>SUM('Game Results'!E46+'Game Results'!E116+'Game Results'!E163+'Game Results'!E207)</f>
        <v>1</v>
      </c>
      <c r="G61" s="14">
        <f>SUM('Game Results'!F46+'Game Results'!F116+'Game Results'!F163+'Game Results'!F207)</f>
        <v>242</v>
      </c>
      <c r="H61" s="14">
        <f>SUM('Game Results'!G46+'Game Results'!G116+'Game Results'!G163+'Game Results'!G207)</f>
        <v>13</v>
      </c>
      <c r="I61" s="14">
        <f>SUM('Game Results'!H46+'Game Results'!H116+'Game Results'!H163+'Game Results'!H207)</f>
        <v>381</v>
      </c>
      <c r="J61" s="14">
        <f>SUM('Game Results'!I46+'Game Results'!I116+'Game Results'!I163+'Game Results'!I207)</f>
        <v>-139</v>
      </c>
      <c r="K61" s="29">
        <f t="shared" si="56"/>
        <v>0.6351706037</v>
      </c>
      <c r="L61" s="31">
        <f t="shared" si="57"/>
        <v>12.03412073</v>
      </c>
      <c r="M61" s="14">
        <f>SUM('Game Results'!L46+'Game Results'!L116+'Game Results'!L163+'Game Results'!L207)</f>
        <v>342</v>
      </c>
      <c r="N61" s="14">
        <f>SUM('Game Results'!M46+'Game Results'!M116+'Game Results'!M163+'Game Results'!M207)</f>
        <v>2</v>
      </c>
      <c r="O61" s="17">
        <f>SUM('Game Results'!N46+'Game Results'!N116+'Game Results'!N163+'Game Results'!N207)</f>
        <v>41.41666667</v>
      </c>
      <c r="P61" s="14">
        <f>SUM('Game Results'!O46+'Game Results'!O116+'Game Results'!O163+'Game Results'!O207)</f>
        <v>11</v>
      </c>
      <c r="Q61" s="14">
        <f>SUM('Game Results'!P46+'Game Results'!P116+'Game Results'!P163+'Game Results'!P207)</f>
        <v>2</v>
      </c>
      <c r="R61" s="14">
        <f>SUM('Game Results'!Q46+'Game Results'!Q116+'Game Results'!Q163+'Game Results'!Q207)</f>
        <v>1</v>
      </c>
      <c r="S61" s="14">
        <f>SUM('Game Results'!R46+'Game Results'!R116+'Game Results'!R163+'Game Results'!R207)</f>
        <v>0</v>
      </c>
      <c r="T61" s="14">
        <f>SUM('Game Results'!S46+'Game Results'!S116+'Game Results'!S163+'Game Results'!S207)</f>
        <v>0</v>
      </c>
      <c r="U61" s="14">
        <f>SUM('Game Results'!T46+'Game Results'!T116+'Game Results'!T163+'Game Results'!T207)</f>
        <v>0</v>
      </c>
      <c r="V61" s="14">
        <f>SUM('Game Results'!U46+'Game Results'!U116+'Game Results'!U163+'Game Results'!U207)</f>
        <v>0</v>
      </c>
      <c r="W61" s="14">
        <f>SUM('Game Results'!V46+'Game Results'!V116+'Game Results'!V163+'Game Results'!V207)</f>
        <v>0</v>
      </c>
      <c r="X61" s="14">
        <f>SUM('Game Results'!W46+'Game Results'!W116+'Game Results'!W163+'Game Results'!W207)</f>
        <v>0</v>
      </c>
      <c r="Y61" s="14">
        <f>SUM('Game Results'!X46+'Game Results'!X116+'Game Results'!X163+'Game Results'!X207)</f>
        <v>0</v>
      </c>
      <c r="Z61" s="14">
        <f>SUM('Game Results'!Y46+'Game Results'!Y116+'Game Results'!Y163+'Game Results'!Y207)</f>
        <v>0</v>
      </c>
      <c r="AA61" s="14">
        <f>SUM('Game Results'!Z46+'Game Results'!Z116+'Game Results'!Z163+'Game Results'!Z207)</f>
        <v>0</v>
      </c>
      <c r="AB61" s="14">
        <f>SUM('Game Results'!AA46+'Game Results'!AA116+'Game Results'!AA163+'Game Results'!AA207)</f>
        <v>0</v>
      </c>
      <c r="AC61" s="14">
        <f>SUM('Game Results'!AB46+'Game Results'!AB116+'Game Results'!AB163+'Game Results'!AB207)</f>
        <v>0</v>
      </c>
      <c r="AD61" s="14">
        <f>SUM('Game Results'!AC46+'Game Results'!AC116+'Game Results'!AC163+'Game Results'!AC207)</f>
        <v>0</v>
      </c>
    </row>
    <row r="62">
      <c r="A62" s="38" t="s">
        <v>49</v>
      </c>
      <c r="B62" s="34"/>
      <c r="C62" s="34">
        <f t="shared" ref="C62:E62" si="58">SUM(C58:C61)/4</f>
        <v>4</v>
      </c>
      <c r="D62" s="34">
        <f t="shared" si="58"/>
        <v>2</v>
      </c>
      <c r="E62" s="35">
        <f t="shared" si="58"/>
        <v>77.90833333</v>
      </c>
      <c r="F62" s="34">
        <f t="shared" ref="F62:J62" si="59">SUM(F58:F61)</f>
        <v>10</v>
      </c>
      <c r="G62" s="34">
        <f t="shared" si="59"/>
        <v>1115</v>
      </c>
      <c r="H62" s="34">
        <f t="shared" si="59"/>
        <v>56</v>
      </c>
      <c r="I62" s="34">
        <f t="shared" si="59"/>
        <v>1330</v>
      </c>
      <c r="J62" s="34">
        <f t="shared" si="59"/>
        <v>-215</v>
      </c>
      <c r="K62" s="36">
        <f>G62/I62</f>
        <v>0.8383458647</v>
      </c>
      <c r="L62" s="39">
        <f>SUM(L58:L61)/4</f>
        <v>15.40159755</v>
      </c>
      <c r="M62" s="34">
        <f t="shared" ref="M62:AD62" si="60">SUM(M58:M61)</f>
        <v>1708</v>
      </c>
      <c r="N62" s="34">
        <f t="shared" si="60"/>
        <v>8</v>
      </c>
      <c r="O62" s="39">
        <f t="shared" si="60"/>
        <v>171.6333333</v>
      </c>
      <c r="P62" s="34">
        <f t="shared" si="60"/>
        <v>90</v>
      </c>
      <c r="Q62" s="34">
        <f t="shared" si="60"/>
        <v>16</v>
      </c>
      <c r="R62" s="34">
        <f t="shared" si="60"/>
        <v>4</v>
      </c>
      <c r="S62" s="34">
        <f t="shared" si="60"/>
        <v>0</v>
      </c>
      <c r="T62" s="34">
        <f t="shared" si="60"/>
        <v>8</v>
      </c>
      <c r="U62" s="34">
        <f t="shared" si="60"/>
        <v>2</v>
      </c>
      <c r="V62" s="34">
        <f t="shared" si="60"/>
        <v>0</v>
      </c>
      <c r="W62" s="34">
        <f t="shared" si="60"/>
        <v>0</v>
      </c>
      <c r="X62" s="34">
        <f t="shared" si="60"/>
        <v>0</v>
      </c>
      <c r="Y62" s="34">
        <f t="shared" si="60"/>
        <v>0</v>
      </c>
      <c r="Z62" s="34">
        <f t="shared" si="60"/>
        <v>0</v>
      </c>
      <c r="AA62" s="34">
        <f t="shared" si="60"/>
        <v>0</v>
      </c>
      <c r="AB62" s="34">
        <f t="shared" si="60"/>
        <v>0</v>
      </c>
      <c r="AC62" s="34">
        <f t="shared" si="60"/>
        <v>0</v>
      </c>
      <c r="AD62" s="34">
        <f t="shared" si="60"/>
        <v>0</v>
      </c>
    </row>
    <row r="63">
      <c r="A63" s="11" t="s">
        <v>42</v>
      </c>
      <c r="B63" s="12" t="s">
        <v>66</v>
      </c>
      <c r="C63" s="13">
        <v>5.0</v>
      </c>
      <c r="D63" s="14">
        <f>SUM('Game Results'!C30+'Game Results'!C95+'Game Results'!C212+'Game Results'!C277+'Game Results'!C303)</f>
        <v>5</v>
      </c>
      <c r="E63" s="31">
        <f>SUM('Game Results'!D30+'Game Results'!D95+'Game Results'!D212+'Game Results'!D277+'Game Results'!D303)</f>
        <v>65</v>
      </c>
      <c r="F63" s="14">
        <f>SUM('Game Results'!E30+'Game Results'!E95+'Game Results'!E212+'Game Results'!E277+'Game Results'!E303)</f>
        <v>1</v>
      </c>
      <c r="G63" s="14">
        <f>SUM('Game Results'!F30+'Game Results'!F95+'Game Results'!F212+'Game Results'!F277+'Game Results'!F303)</f>
        <v>354</v>
      </c>
      <c r="H63" s="14">
        <f>SUM('Game Results'!G30+'Game Results'!G95+'Game Results'!G212+'Game Results'!G277+'Game Results'!G303)</f>
        <v>29</v>
      </c>
      <c r="I63" s="14">
        <f>SUM('Game Results'!H30+'Game Results'!H95+'Game Results'!H212+'Game Results'!H277+'Game Results'!H303)</f>
        <v>255</v>
      </c>
      <c r="J63" s="14">
        <f>SUM('Game Results'!I30+'Game Results'!I95+'Game Results'!I212+'Game Results'!I277+'Game Results'!I303)</f>
        <v>99</v>
      </c>
      <c r="K63" s="29">
        <f t="shared" ref="K63:K66" si="61">SUM(G63/I63)</f>
        <v>1.388235294</v>
      </c>
      <c r="L63" s="31">
        <f t="shared" ref="L63:L66" si="62">SUM((E63*60)/I63)</f>
        <v>15.29411765</v>
      </c>
      <c r="M63" s="14">
        <f>SUM('Game Results'!L30+'Game Results'!L95+'Game Results'!L212+'Game Results'!L277+'Game Results'!L303)</f>
        <v>601</v>
      </c>
      <c r="N63" s="14">
        <f>SUM('Game Results'!M30+'Game Results'!M95+'Game Results'!M212+'Game Results'!M277+'Game Results'!M303)</f>
        <v>5</v>
      </c>
      <c r="O63" s="17">
        <f>SUM('Game Results'!N30+'Game Results'!N95+'Game Results'!N212+'Game Results'!N277+'Game Results'!N303)</f>
        <v>65</v>
      </c>
      <c r="P63" s="14">
        <f>SUM('Game Results'!O30+'Game Results'!O95+'Game Results'!O212+'Game Results'!O277+'Game Results'!O303)</f>
        <v>72</v>
      </c>
      <c r="Q63" s="14">
        <f>SUM('Game Results'!P30+'Game Results'!P95+'Game Results'!P212+'Game Results'!P277+'Game Results'!P303)</f>
        <v>19</v>
      </c>
      <c r="R63" s="14">
        <f>SUM('Game Results'!Q30+'Game Results'!Q95+'Game Results'!Q212+'Game Results'!Q277+'Game Results'!Q303)</f>
        <v>6</v>
      </c>
      <c r="S63" s="14">
        <f>SUM('Game Results'!R30+'Game Results'!R95+'Game Results'!R212+'Game Results'!R277+'Game Results'!R303)</f>
        <v>1</v>
      </c>
      <c r="T63" s="14">
        <f>SUM('Game Results'!S30+'Game Results'!S95+'Game Results'!S212+'Game Results'!S277+'Game Results'!S303)</f>
        <v>5</v>
      </c>
      <c r="U63" s="14">
        <f>SUM('Game Results'!T30+'Game Results'!T95+'Game Results'!T212+'Game Results'!T277+'Game Results'!T303)</f>
        <v>0</v>
      </c>
      <c r="V63" s="14">
        <f>SUM('Game Results'!U30+'Game Results'!U95+'Game Results'!U212+'Game Results'!U277+'Game Results'!U303)</f>
        <v>0</v>
      </c>
      <c r="W63" s="14">
        <f>SUM('Game Results'!V30+'Game Results'!V95+'Game Results'!V212+'Game Results'!V277+'Game Results'!V303)</f>
        <v>0</v>
      </c>
      <c r="X63" s="14">
        <f>SUM('Game Results'!W30+'Game Results'!W95+'Game Results'!W212+'Game Results'!W277+'Game Results'!W303)</f>
        <v>0</v>
      </c>
      <c r="Y63" s="14">
        <f>SUM('Game Results'!X30+'Game Results'!X95+'Game Results'!X212+'Game Results'!X277+'Game Results'!X303)</f>
        <v>0</v>
      </c>
      <c r="Z63" s="14">
        <f>SUM('Game Results'!Y30+'Game Results'!Y95+'Game Results'!Y212+'Game Results'!Y277+'Game Results'!Y303)</f>
        <v>0</v>
      </c>
      <c r="AA63" s="14">
        <f>SUM('Game Results'!Z30+'Game Results'!Z95+'Game Results'!Z212+'Game Results'!Z277+'Game Results'!Z303)</f>
        <v>0</v>
      </c>
      <c r="AB63" s="14">
        <f>SUM('Game Results'!AA30+'Game Results'!AA95+'Game Results'!AA212+'Game Results'!AA277+'Game Results'!AA303)</f>
        <v>0</v>
      </c>
      <c r="AC63" s="14">
        <f>SUM('Game Results'!AB30+'Game Results'!AB95+'Game Results'!AB212+'Game Results'!AB277+'Game Results'!AB303)</f>
        <v>0</v>
      </c>
      <c r="AD63" s="14">
        <f>SUM('Game Results'!AC30+'Game Results'!AC95+'Game Results'!AC212+'Game Results'!AC277+'Game Results'!AC303)</f>
        <v>0</v>
      </c>
    </row>
    <row r="64">
      <c r="A64" s="11" t="s">
        <v>42</v>
      </c>
      <c r="B64" s="12" t="s">
        <v>67</v>
      </c>
      <c r="C64" s="13">
        <v>5.0</v>
      </c>
      <c r="D64" s="14">
        <f>SUM('Game Results'!C31+'Game Results'!C96+'Game Results'!C213+'Game Results'!C278+'Game Results'!C304)</f>
        <v>5</v>
      </c>
      <c r="E64" s="31">
        <f>SUM('Game Results'!D31+'Game Results'!D96+'Game Results'!D213+'Game Results'!D278+'Game Results'!D304)</f>
        <v>65</v>
      </c>
      <c r="F64" s="14">
        <f>SUM('Game Results'!E31+'Game Results'!E96+'Game Results'!E213+'Game Results'!E278+'Game Results'!E304)</f>
        <v>20</v>
      </c>
      <c r="G64" s="14">
        <f>SUM('Game Results'!F31+'Game Results'!F96+'Game Results'!F213+'Game Results'!F278+'Game Results'!F304)</f>
        <v>191</v>
      </c>
      <c r="H64" s="14">
        <f>SUM('Game Results'!G31+'Game Results'!G96+'Game Results'!G213+'Game Results'!G278+'Game Results'!G304)</f>
        <v>14</v>
      </c>
      <c r="I64" s="14">
        <f>SUM('Game Results'!H31+'Game Results'!H96+'Game Results'!H213+'Game Results'!H278+'Game Results'!H304)</f>
        <v>138</v>
      </c>
      <c r="J64" s="14">
        <f>SUM('Game Results'!I31+'Game Results'!I96+'Game Results'!I213+'Game Results'!I278+'Game Results'!I304)</f>
        <v>53</v>
      </c>
      <c r="K64" s="29">
        <f t="shared" si="61"/>
        <v>1.384057971</v>
      </c>
      <c r="L64" s="31">
        <f t="shared" si="62"/>
        <v>28.26086957</v>
      </c>
      <c r="M64" s="14">
        <f>SUM('Game Results'!L31+'Game Results'!L96+'Game Results'!L213+'Game Results'!L278+'Game Results'!L304)</f>
        <v>332</v>
      </c>
      <c r="N64" s="14">
        <f>SUM('Game Results'!M31+'Game Results'!M96+'Game Results'!M213+'Game Results'!M278+'Game Results'!M304)</f>
        <v>5</v>
      </c>
      <c r="O64" s="17">
        <f>SUM('Game Results'!N31+'Game Results'!N96+'Game Results'!N213+'Game Results'!N278+'Game Results'!N304)</f>
        <v>65</v>
      </c>
      <c r="P64" s="14">
        <f>SUM('Game Results'!O31+'Game Results'!O96+'Game Results'!O213+'Game Results'!O278+'Game Results'!O304)</f>
        <v>28</v>
      </c>
      <c r="Q64" s="14">
        <f>SUM('Game Results'!P31+'Game Results'!P96+'Game Results'!P213+'Game Results'!P278+'Game Results'!P304)</f>
        <v>5</v>
      </c>
      <c r="R64" s="14">
        <f>SUM('Game Results'!Q31+'Game Results'!Q96+'Game Results'!Q213+'Game Results'!Q278+'Game Results'!Q304)</f>
        <v>1</v>
      </c>
      <c r="S64" s="14">
        <f>SUM('Game Results'!R31+'Game Results'!R96+'Game Results'!R213+'Game Results'!R278+'Game Results'!R304)</f>
        <v>0</v>
      </c>
      <c r="T64" s="14">
        <f>SUM('Game Results'!S31+'Game Results'!S96+'Game Results'!S213+'Game Results'!S278+'Game Results'!S304)</f>
        <v>7</v>
      </c>
      <c r="U64" s="14">
        <f>SUM('Game Results'!T31+'Game Results'!T96+'Game Results'!T213+'Game Results'!T278+'Game Results'!T304)</f>
        <v>1</v>
      </c>
      <c r="V64" s="14">
        <f>SUM('Game Results'!U31+'Game Results'!U96+'Game Results'!U213+'Game Results'!U278+'Game Results'!U304)</f>
        <v>0</v>
      </c>
      <c r="W64" s="14">
        <f>SUM('Game Results'!V31+'Game Results'!V96+'Game Results'!V213+'Game Results'!V278+'Game Results'!V304)</f>
        <v>0</v>
      </c>
      <c r="X64" s="14">
        <f>SUM('Game Results'!W31+'Game Results'!W96+'Game Results'!W213+'Game Results'!W278+'Game Results'!W304)</f>
        <v>0</v>
      </c>
      <c r="Y64" s="14">
        <f>SUM('Game Results'!X31+'Game Results'!X96+'Game Results'!X213+'Game Results'!X278+'Game Results'!X304)</f>
        <v>0</v>
      </c>
      <c r="Z64" s="14">
        <f>SUM('Game Results'!Y31+'Game Results'!Y96+'Game Results'!Y213+'Game Results'!Y278+'Game Results'!Y304)</f>
        <v>0</v>
      </c>
      <c r="AA64" s="14">
        <f>SUM('Game Results'!Z31+'Game Results'!Z96+'Game Results'!Z213+'Game Results'!Z278+'Game Results'!Z304)</f>
        <v>0</v>
      </c>
      <c r="AB64" s="14">
        <f>SUM('Game Results'!AA31+'Game Results'!AA96+'Game Results'!AA213+'Game Results'!AA278+'Game Results'!AA304)</f>
        <v>0</v>
      </c>
      <c r="AC64" s="14">
        <f>SUM('Game Results'!AB31+'Game Results'!AB96+'Game Results'!AB213+'Game Results'!AB278+'Game Results'!AB304)</f>
        <v>0</v>
      </c>
      <c r="AD64" s="14">
        <f>SUM('Game Results'!AC31+'Game Results'!AC96+'Game Results'!AC213+'Game Results'!AC278+'Game Results'!AC304)</f>
        <v>0</v>
      </c>
    </row>
    <row r="65">
      <c r="A65" s="11" t="s">
        <v>42</v>
      </c>
      <c r="B65" s="12" t="s">
        <v>68</v>
      </c>
      <c r="C65" s="13">
        <v>5.0</v>
      </c>
      <c r="D65" s="14">
        <f>SUM('Game Results'!C32+'Game Results'!C97+'Game Results'!C214+'Game Results'!C279+'Game Results'!C305)</f>
        <v>5</v>
      </c>
      <c r="E65" s="31">
        <f>SUM('Game Results'!D32+'Game Results'!D97+'Game Results'!D214+'Game Results'!D279+'Game Results'!D305)</f>
        <v>65</v>
      </c>
      <c r="F65" s="14">
        <f>SUM('Game Results'!E32+'Game Results'!E97+'Game Results'!E214+'Game Results'!E279+'Game Results'!E305)</f>
        <v>2</v>
      </c>
      <c r="G65" s="14">
        <f>SUM('Game Results'!F32+'Game Results'!F97+'Game Results'!F214+'Game Results'!F279+'Game Results'!F305)</f>
        <v>268</v>
      </c>
      <c r="H65" s="14">
        <f>SUM('Game Results'!G32+'Game Results'!G97+'Game Results'!G214+'Game Results'!G279+'Game Results'!G305)</f>
        <v>11</v>
      </c>
      <c r="I65" s="14">
        <f>SUM('Game Results'!H32+'Game Results'!H97+'Game Results'!H214+'Game Results'!H279+'Game Results'!H305)</f>
        <v>285</v>
      </c>
      <c r="J65" s="14">
        <f>SUM('Game Results'!I32+'Game Results'!I97+'Game Results'!I214+'Game Results'!I279+'Game Results'!I305)</f>
        <v>-17</v>
      </c>
      <c r="K65" s="29">
        <f t="shared" si="61"/>
        <v>0.9403508772</v>
      </c>
      <c r="L65" s="31">
        <f t="shared" si="62"/>
        <v>13.68421053</v>
      </c>
      <c r="M65" s="14">
        <f>SUM('Game Results'!L32+'Game Results'!L97+'Game Results'!L214+'Game Results'!L279+'Game Results'!L305)</f>
        <v>410</v>
      </c>
      <c r="N65" s="14">
        <f>SUM('Game Results'!M32+'Game Results'!M97+'Game Results'!M214+'Game Results'!M279+'Game Results'!M305)</f>
        <v>5</v>
      </c>
      <c r="O65" s="17">
        <f>SUM('Game Results'!N32+'Game Results'!N97+'Game Results'!N214+'Game Results'!N279+'Game Results'!N305)</f>
        <v>65</v>
      </c>
      <c r="P65" s="14">
        <f>SUM('Game Results'!O32+'Game Results'!O97+'Game Results'!O214+'Game Results'!O279+'Game Results'!O305)</f>
        <v>46</v>
      </c>
      <c r="Q65" s="14">
        <f>SUM('Game Results'!P32+'Game Results'!P97+'Game Results'!P214+'Game Results'!P279+'Game Results'!P305)</f>
        <v>6</v>
      </c>
      <c r="R65" s="14">
        <f>SUM('Game Results'!Q32+'Game Results'!Q97+'Game Results'!Q214+'Game Results'!Q279+'Game Results'!Q305)</f>
        <v>3</v>
      </c>
      <c r="S65" s="14">
        <f>SUM('Game Results'!R32+'Game Results'!R97+'Game Results'!R214+'Game Results'!R279+'Game Results'!R305)</f>
        <v>3</v>
      </c>
      <c r="T65" s="14">
        <f>SUM('Game Results'!S32+'Game Results'!S97+'Game Results'!S214+'Game Results'!S279+'Game Results'!S305)</f>
        <v>3</v>
      </c>
      <c r="U65" s="14">
        <f>SUM('Game Results'!T32+'Game Results'!T97+'Game Results'!T214+'Game Results'!T279+'Game Results'!T305)</f>
        <v>0</v>
      </c>
      <c r="V65" s="14">
        <f>SUM('Game Results'!U32+'Game Results'!U97+'Game Results'!U214+'Game Results'!U279+'Game Results'!U305)</f>
        <v>0</v>
      </c>
      <c r="W65" s="14">
        <f>SUM('Game Results'!V32+'Game Results'!V97+'Game Results'!V214+'Game Results'!V279+'Game Results'!V305)</f>
        <v>0</v>
      </c>
      <c r="X65" s="14">
        <f>SUM('Game Results'!W32+'Game Results'!W97+'Game Results'!W214+'Game Results'!W279+'Game Results'!W305)</f>
        <v>0</v>
      </c>
      <c r="Y65" s="14">
        <f>SUM('Game Results'!X32+'Game Results'!X97+'Game Results'!X214+'Game Results'!X279+'Game Results'!X305)</f>
        <v>0</v>
      </c>
      <c r="Z65" s="14">
        <f>SUM('Game Results'!Y32+'Game Results'!Y97+'Game Results'!Y214+'Game Results'!Y279+'Game Results'!Y305)</f>
        <v>1</v>
      </c>
      <c r="AA65" s="14">
        <f>SUM('Game Results'!Z32+'Game Results'!Z97+'Game Results'!Z214+'Game Results'!Z279+'Game Results'!Z305)</f>
        <v>0</v>
      </c>
      <c r="AB65" s="14">
        <f>SUM('Game Results'!AA32+'Game Results'!AA97+'Game Results'!AA214+'Game Results'!AA279+'Game Results'!AA305)</f>
        <v>0</v>
      </c>
      <c r="AC65" s="14">
        <f>SUM('Game Results'!AB32+'Game Results'!AB97+'Game Results'!AB214+'Game Results'!AB279+'Game Results'!AB305)</f>
        <v>0</v>
      </c>
      <c r="AD65" s="14">
        <f>SUM('Game Results'!AC32+'Game Results'!AC97+'Game Results'!AC214+'Game Results'!AC279+'Game Results'!AC305)</f>
        <v>0</v>
      </c>
    </row>
    <row r="66">
      <c r="A66" s="11" t="s">
        <v>42</v>
      </c>
      <c r="B66" s="12" t="s">
        <v>69</v>
      </c>
      <c r="C66" s="13">
        <v>5.0</v>
      </c>
      <c r="D66" s="14">
        <f>SUM('Game Results'!C33+'Game Results'!C98+'Game Results'!C215+'Game Results'!C280+'Game Results'!C306)</f>
        <v>5</v>
      </c>
      <c r="E66" s="31">
        <f>SUM('Game Results'!D33+'Game Results'!D98+'Game Results'!D215+'Game Results'!D280+'Game Results'!D306)</f>
        <v>65</v>
      </c>
      <c r="F66" s="14">
        <f>SUM('Game Results'!E33+'Game Results'!E98+'Game Results'!E215+'Game Results'!E280+'Game Results'!E306)</f>
        <v>2</v>
      </c>
      <c r="G66" s="14">
        <f>SUM('Game Results'!F33+'Game Results'!F98+'Game Results'!F215+'Game Results'!F280+'Game Results'!F306)</f>
        <v>217</v>
      </c>
      <c r="H66" s="14">
        <f>SUM('Game Results'!G33+'Game Results'!G98+'Game Results'!G215+'Game Results'!G280+'Game Results'!G306)</f>
        <v>13</v>
      </c>
      <c r="I66" s="14">
        <f>SUM('Game Results'!H33+'Game Results'!H98+'Game Results'!H215+'Game Results'!H280+'Game Results'!H306)</f>
        <v>281</v>
      </c>
      <c r="J66" s="14">
        <f>SUM('Game Results'!I33+'Game Results'!I98+'Game Results'!I215+'Game Results'!I280+'Game Results'!I306)</f>
        <v>-64</v>
      </c>
      <c r="K66" s="29">
        <f t="shared" si="61"/>
        <v>0.7722419929</v>
      </c>
      <c r="L66" s="31">
        <f t="shared" si="62"/>
        <v>13.87900356</v>
      </c>
      <c r="M66" s="14">
        <f>SUM('Game Results'!L33+'Game Results'!L98+'Game Results'!L215+'Game Results'!L280+'Game Results'!L306)</f>
        <v>368</v>
      </c>
      <c r="N66" s="14">
        <f>SUM('Game Results'!M33+'Game Results'!M98+'Game Results'!M215+'Game Results'!M280+'Game Results'!M306)</f>
        <v>5</v>
      </c>
      <c r="O66" s="17">
        <f>SUM('Game Results'!N33+'Game Results'!N98+'Game Results'!N215+'Game Results'!N280+'Game Results'!N306)</f>
        <v>65</v>
      </c>
      <c r="P66" s="14">
        <f>SUM('Game Results'!O33+'Game Results'!O98+'Game Results'!O215+'Game Results'!O280+'Game Results'!O306)</f>
        <v>33</v>
      </c>
      <c r="Q66" s="14">
        <f>SUM('Game Results'!P33+'Game Results'!P98+'Game Results'!P215+'Game Results'!P280+'Game Results'!P306)</f>
        <v>7</v>
      </c>
      <c r="R66" s="14">
        <f>SUM('Game Results'!Q33+'Game Results'!Q98+'Game Results'!Q215+'Game Results'!Q280+'Game Results'!Q306)</f>
        <v>0</v>
      </c>
      <c r="S66" s="14">
        <f>SUM('Game Results'!R33+'Game Results'!R98+'Game Results'!R215+'Game Results'!R280+'Game Results'!R306)</f>
        <v>0</v>
      </c>
      <c r="T66" s="14">
        <f>SUM('Game Results'!S33+'Game Results'!S98+'Game Results'!S215+'Game Results'!S280+'Game Results'!S306)</f>
        <v>1</v>
      </c>
      <c r="U66" s="14">
        <f>SUM('Game Results'!T33+'Game Results'!T98+'Game Results'!T215+'Game Results'!T280+'Game Results'!T306)</f>
        <v>0</v>
      </c>
      <c r="V66" s="14">
        <f>SUM('Game Results'!U33+'Game Results'!U98+'Game Results'!U215+'Game Results'!U280+'Game Results'!U306)</f>
        <v>0</v>
      </c>
      <c r="W66" s="14">
        <f>SUM('Game Results'!V33+'Game Results'!V98+'Game Results'!V215+'Game Results'!V280+'Game Results'!V306)</f>
        <v>0</v>
      </c>
      <c r="X66" s="14">
        <f>SUM('Game Results'!W33+'Game Results'!W98+'Game Results'!W215+'Game Results'!W280+'Game Results'!W306)</f>
        <v>0</v>
      </c>
      <c r="Y66" s="14">
        <f>SUM('Game Results'!X33+'Game Results'!X98+'Game Results'!X215+'Game Results'!X280+'Game Results'!X306)</f>
        <v>0</v>
      </c>
      <c r="Z66" s="14">
        <f>SUM('Game Results'!Y33+'Game Results'!Y98+'Game Results'!Y215+'Game Results'!Y280+'Game Results'!Y306)</f>
        <v>0</v>
      </c>
      <c r="AA66" s="14">
        <f>SUM('Game Results'!Z33+'Game Results'!Z98+'Game Results'!Z215+'Game Results'!Z280+'Game Results'!Z306)</f>
        <v>0</v>
      </c>
      <c r="AB66" s="14">
        <f>SUM('Game Results'!AA33+'Game Results'!AA98+'Game Results'!AA215+'Game Results'!AA280+'Game Results'!AA306)</f>
        <v>0</v>
      </c>
      <c r="AC66" s="14">
        <f>SUM('Game Results'!AB33+'Game Results'!AB98+'Game Results'!AB215+'Game Results'!AB280+'Game Results'!AB306)</f>
        <v>0</v>
      </c>
      <c r="AD66" s="14">
        <f>SUM('Game Results'!AC33+'Game Results'!AC98+'Game Results'!AC215+'Game Results'!AC280+'Game Results'!AC306)</f>
        <v>0</v>
      </c>
    </row>
    <row r="67">
      <c r="A67" s="38" t="s">
        <v>49</v>
      </c>
      <c r="B67" s="34"/>
      <c r="C67" s="34">
        <f t="shared" ref="C67:E67" si="63">SUM(C63:C66)/4</f>
        <v>5</v>
      </c>
      <c r="D67" s="34">
        <f t="shared" si="63"/>
        <v>5</v>
      </c>
      <c r="E67" s="35">
        <f t="shared" si="63"/>
        <v>65</v>
      </c>
      <c r="F67" s="34">
        <f t="shared" ref="F67:J67" si="64">SUM(F63:F66)</f>
        <v>25</v>
      </c>
      <c r="G67" s="34">
        <f t="shared" si="64"/>
        <v>1030</v>
      </c>
      <c r="H67" s="34">
        <f t="shared" si="64"/>
        <v>67</v>
      </c>
      <c r="I67" s="34">
        <f t="shared" si="64"/>
        <v>959</v>
      </c>
      <c r="J67" s="34">
        <f t="shared" si="64"/>
        <v>71</v>
      </c>
      <c r="K67" s="36">
        <f>G67/I67</f>
        <v>1.074035454</v>
      </c>
      <c r="L67" s="39">
        <f>SUM(L63:L66)/4</f>
        <v>17.77955032</v>
      </c>
      <c r="M67" s="34">
        <f t="shared" ref="M67:AD67" si="65">SUM(M63:M66)</f>
        <v>1711</v>
      </c>
      <c r="N67" s="34">
        <f t="shared" si="65"/>
        <v>20</v>
      </c>
      <c r="O67" s="39">
        <f t="shared" si="65"/>
        <v>260</v>
      </c>
      <c r="P67" s="34">
        <f t="shared" si="65"/>
        <v>179</v>
      </c>
      <c r="Q67" s="34">
        <f t="shared" si="65"/>
        <v>37</v>
      </c>
      <c r="R67" s="34">
        <f t="shared" si="65"/>
        <v>10</v>
      </c>
      <c r="S67" s="34">
        <f t="shared" si="65"/>
        <v>4</v>
      </c>
      <c r="T67" s="34">
        <f t="shared" si="65"/>
        <v>16</v>
      </c>
      <c r="U67" s="34">
        <f t="shared" si="65"/>
        <v>1</v>
      </c>
      <c r="V67" s="34">
        <f t="shared" si="65"/>
        <v>0</v>
      </c>
      <c r="W67" s="34">
        <f t="shared" si="65"/>
        <v>0</v>
      </c>
      <c r="X67" s="34">
        <f t="shared" si="65"/>
        <v>0</v>
      </c>
      <c r="Y67" s="34">
        <f t="shared" si="65"/>
        <v>0</v>
      </c>
      <c r="Z67" s="34">
        <f t="shared" si="65"/>
        <v>1</v>
      </c>
      <c r="AA67" s="34">
        <f t="shared" si="65"/>
        <v>0</v>
      </c>
      <c r="AB67" s="34">
        <f t="shared" si="65"/>
        <v>0</v>
      </c>
      <c r="AC67" s="34">
        <f t="shared" si="65"/>
        <v>0</v>
      </c>
      <c r="AD67" s="34">
        <f t="shared" si="65"/>
        <v>0</v>
      </c>
    </row>
    <row r="68">
      <c r="A68" s="14"/>
      <c r="B68" s="43"/>
      <c r="C68" s="43"/>
      <c r="D68" s="43"/>
      <c r="E68" s="44"/>
      <c r="F68" s="14"/>
      <c r="G68" s="43"/>
      <c r="H68" s="43"/>
      <c r="I68" s="43"/>
      <c r="J68" s="14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</row>
    <row r="69">
      <c r="A69" s="13" t="s">
        <v>127</v>
      </c>
      <c r="B69" s="14">
        <f>SUM(B70:B85)</f>
        <v>24</v>
      </c>
      <c r="C69" s="43"/>
      <c r="D69" s="43"/>
      <c r="E69" s="44"/>
      <c r="F69" s="14"/>
      <c r="G69" s="43"/>
      <c r="H69" s="43"/>
      <c r="I69" s="43"/>
      <c r="J69" s="14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</row>
    <row r="70">
      <c r="A70" s="13" t="s">
        <v>128</v>
      </c>
      <c r="B70" s="13">
        <v>3.0</v>
      </c>
      <c r="C70" s="43"/>
      <c r="D70" s="43"/>
      <c r="E70" s="44"/>
      <c r="F70" s="14"/>
      <c r="G70" s="43"/>
      <c r="H70" s="43"/>
      <c r="I70" s="43"/>
      <c r="J70" s="14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</row>
    <row r="71">
      <c r="A71" s="13" t="s">
        <v>129</v>
      </c>
      <c r="B71" s="13">
        <v>3.0</v>
      </c>
      <c r="C71" s="43"/>
      <c r="D71" s="43"/>
      <c r="E71" s="44"/>
      <c r="F71" s="14"/>
      <c r="G71" s="43"/>
      <c r="H71" s="43"/>
      <c r="I71" s="43"/>
      <c r="J71" s="14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</row>
    <row r="72">
      <c r="A72" s="13" t="s">
        <v>130</v>
      </c>
      <c r="B72" s="13">
        <v>4.0</v>
      </c>
      <c r="C72" s="43"/>
      <c r="D72" s="43"/>
      <c r="E72" s="44"/>
      <c r="F72" s="14"/>
      <c r="G72" s="43"/>
      <c r="H72" s="43"/>
      <c r="I72" s="43"/>
      <c r="J72" s="14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</row>
    <row r="73">
      <c r="A73" s="13" t="s">
        <v>131</v>
      </c>
      <c r="B73" s="13">
        <v>6.0</v>
      </c>
      <c r="C73" s="43"/>
      <c r="D73" s="43"/>
      <c r="E73" s="44"/>
      <c r="F73" s="14"/>
      <c r="G73" s="43"/>
      <c r="H73" s="43"/>
      <c r="I73" s="43"/>
      <c r="J73" s="14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</row>
    <row r="74">
      <c r="A74" s="13" t="s">
        <v>132</v>
      </c>
      <c r="B74" s="13">
        <v>3.0</v>
      </c>
      <c r="C74" s="43"/>
      <c r="D74" s="43"/>
      <c r="E74" s="44"/>
      <c r="F74" s="14"/>
      <c r="G74" s="43"/>
      <c r="H74" s="43"/>
      <c r="I74" s="43"/>
      <c r="J74" s="14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</row>
    <row r="75">
      <c r="A75" s="13" t="s">
        <v>90</v>
      </c>
      <c r="B75" s="13">
        <v>1.0</v>
      </c>
      <c r="C75" s="43"/>
      <c r="D75" s="43"/>
      <c r="E75" s="44"/>
      <c r="F75" s="14"/>
      <c r="G75" s="43"/>
      <c r="H75" s="43"/>
      <c r="I75" s="43"/>
      <c r="J75" s="14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</row>
    <row r="76">
      <c r="A76" s="13" t="s">
        <v>133</v>
      </c>
      <c r="B76" s="13">
        <v>1.0</v>
      </c>
      <c r="C76" s="43"/>
      <c r="D76" s="43"/>
      <c r="E76" s="44"/>
      <c r="F76" s="14"/>
      <c r="G76" s="43"/>
      <c r="H76" s="43"/>
      <c r="I76" s="43"/>
      <c r="J76" s="14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</row>
    <row r="77">
      <c r="A77" s="13" t="s">
        <v>134</v>
      </c>
      <c r="B77" s="13">
        <v>1.0</v>
      </c>
      <c r="C77" s="43"/>
      <c r="D77" s="43"/>
      <c r="E77" s="44"/>
      <c r="F77" s="14"/>
      <c r="G77" s="43"/>
      <c r="H77" s="43"/>
      <c r="I77" s="43"/>
      <c r="J77" s="14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>
      <c r="A78" s="13" t="s">
        <v>135</v>
      </c>
      <c r="B78" s="13">
        <v>2.0</v>
      </c>
      <c r="C78" s="43"/>
      <c r="D78" s="43"/>
      <c r="E78" s="44"/>
      <c r="F78" s="14"/>
      <c r="G78" s="43"/>
      <c r="H78" s="43"/>
      <c r="I78" s="43"/>
      <c r="J78" s="14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</row>
    <row r="79">
      <c r="A79" s="13"/>
      <c r="B79" s="13"/>
      <c r="C79" s="43"/>
      <c r="D79" s="43"/>
      <c r="E79" s="44"/>
      <c r="F79" s="14"/>
      <c r="G79" s="43"/>
      <c r="H79" s="43"/>
      <c r="I79" s="43"/>
      <c r="J79" s="14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</row>
    <row r="80">
      <c r="A80" s="13"/>
      <c r="B80" s="13"/>
      <c r="C80" s="43"/>
      <c r="D80" s="43"/>
      <c r="E80" s="44"/>
      <c r="F80" s="14"/>
      <c r="G80" s="43"/>
      <c r="H80" s="43"/>
      <c r="I80" s="43"/>
      <c r="J80" s="14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</row>
    <row r="81">
      <c r="A81" s="13"/>
      <c r="B81" s="13"/>
      <c r="C81" s="43"/>
      <c r="D81" s="43"/>
      <c r="E81" s="44"/>
      <c r="F81" s="14"/>
      <c r="G81" s="43"/>
      <c r="H81" s="43"/>
      <c r="I81" s="43"/>
      <c r="J81" s="14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>
      <c r="A82" s="14"/>
      <c r="B82" s="14"/>
      <c r="C82" s="43"/>
      <c r="D82" s="43"/>
      <c r="E82" s="44"/>
      <c r="F82" s="14"/>
      <c r="G82" s="43"/>
      <c r="H82" s="43"/>
      <c r="I82" s="43"/>
      <c r="J82" s="14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>
      <c r="A83" s="14"/>
      <c r="B83" s="14"/>
      <c r="C83" s="43"/>
      <c r="D83" s="43"/>
      <c r="E83" s="44"/>
      <c r="F83" s="14"/>
      <c r="G83" s="43"/>
      <c r="H83" s="43"/>
      <c r="I83" s="43"/>
      <c r="J83" s="14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>
      <c r="A84" s="14"/>
      <c r="B84" s="14"/>
      <c r="C84" s="43"/>
      <c r="D84" s="43"/>
      <c r="E84" s="44"/>
      <c r="F84" s="14"/>
      <c r="G84" s="43"/>
      <c r="H84" s="43"/>
      <c r="I84" s="43"/>
      <c r="J84" s="14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>
      <c r="A85" s="14"/>
      <c r="B85" s="14"/>
      <c r="C85" s="43"/>
      <c r="D85" s="43"/>
      <c r="E85" s="44"/>
      <c r="F85" s="14"/>
      <c r="G85" s="43"/>
      <c r="H85" s="43"/>
      <c r="I85" s="43"/>
      <c r="J85" s="14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>
      <c r="A86" s="14"/>
      <c r="B86" s="14"/>
      <c r="C86" s="43"/>
      <c r="D86" s="43"/>
      <c r="E86" s="44"/>
      <c r="F86" s="14"/>
      <c r="G86" s="43"/>
      <c r="H86" s="43"/>
      <c r="I86" s="43"/>
      <c r="J86" s="14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>
      <c r="A87" s="14"/>
      <c r="B87" s="14"/>
      <c r="C87" s="43"/>
      <c r="D87" s="43"/>
      <c r="E87" s="44"/>
      <c r="F87" s="14"/>
      <c r="G87" s="43"/>
      <c r="H87" s="43"/>
      <c r="I87" s="43"/>
      <c r="J87" s="14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>
      <c r="A88" s="14"/>
      <c r="B88" s="14"/>
      <c r="C88" s="43"/>
      <c r="D88" s="43"/>
      <c r="E88" s="44"/>
      <c r="F88" s="14"/>
      <c r="G88" s="43"/>
      <c r="H88" s="43"/>
      <c r="I88" s="43"/>
      <c r="J88" s="14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</row>
    <row r="89">
      <c r="A89" s="14"/>
      <c r="B89" s="14"/>
      <c r="C89" s="43"/>
      <c r="D89" s="43"/>
      <c r="E89" s="44"/>
      <c r="F89" s="14"/>
      <c r="G89" s="43"/>
      <c r="H89" s="43"/>
      <c r="I89" s="43"/>
      <c r="J89" s="14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</row>
    <row r="90">
      <c r="A90" s="14"/>
      <c r="B90" s="14"/>
      <c r="C90" s="43"/>
      <c r="D90" s="43"/>
      <c r="E90" s="44"/>
      <c r="F90" s="14"/>
      <c r="G90" s="43"/>
      <c r="H90" s="43"/>
      <c r="I90" s="43"/>
      <c r="J90" s="14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>
      <c r="A91" s="14"/>
      <c r="B91" s="14"/>
      <c r="C91" s="43"/>
      <c r="D91" s="43"/>
      <c r="E91" s="44"/>
      <c r="F91" s="14"/>
      <c r="G91" s="43"/>
      <c r="H91" s="43"/>
      <c r="I91" s="43"/>
      <c r="J91" s="14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>
      <c r="A92" s="14"/>
      <c r="B92" s="43"/>
      <c r="C92" s="43"/>
      <c r="D92" s="43"/>
      <c r="E92" s="44"/>
      <c r="F92" s="14"/>
      <c r="G92" s="43"/>
      <c r="H92" s="43"/>
      <c r="I92" s="43"/>
      <c r="J92" s="14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>
      <c r="A93" s="14"/>
      <c r="B93" s="43"/>
      <c r="C93" s="43"/>
      <c r="D93" s="43"/>
      <c r="E93" s="44"/>
      <c r="F93" s="14"/>
      <c r="G93" s="43"/>
      <c r="H93" s="43"/>
      <c r="I93" s="43"/>
      <c r="J93" s="14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>
      <c r="A94" s="14"/>
      <c r="B94" s="43"/>
      <c r="C94" s="43"/>
      <c r="D94" s="43"/>
      <c r="E94" s="44"/>
      <c r="F94" s="14"/>
      <c r="G94" s="43"/>
      <c r="H94" s="43"/>
      <c r="I94" s="43"/>
      <c r="J94" s="14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>
      <c r="A95" s="14"/>
      <c r="B95" s="43"/>
      <c r="C95" s="43"/>
      <c r="D95" s="43"/>
      <c r="E95" s="44"/>
      <c r="F95" s="14"/>
      <c r="G95" s="43"/>
      <c r="H95" s="43"/>
      <c r="I95" s="43"/>
      <c r="J95" s="14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>
      <c r="A96" s="14"/>
      <c r="B96" s="43"/>
      <c r="C96" s="43"/>
      <c r="D96" s="43"/>
      <c r="E96" s="44"/>
      <c r="F96" s="14"/>
      <c r="G96" s="43"/>
      <c r="H96" s="43"/>
      <c r="I96" s="43"/>
      <c r="J96" s="14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>
      <c r="A97" s="14"/>
      <c r="B97" s="43"/>
      <c r="C97" s="43"/>
      <c r="D97" s="43"/>
      <c r="E97" s="44"/>
      <c r="F97" s="14"/>
      <c r="G97" s="43"/>
      <c r="H97" s="43"/>
      <c r="I97" s="43"/>
      <c r="J97" s="14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>
      <c r="A98" s="14"/>
      <c r="B98" s="43"/>
      <c r="C98" s="43"/>
      <c r="D98" s="43"/>
      <c r="E98" s="44"/>
      <c r="F98" s="14"/>
      <c r="G98" s="43"/>
      <c r="H98" s="43"/>
      <c r="I98" s="43"/>
      <c r="J98" s="14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>
      <c r="A99" s="14"/>
      <c r="B99" s="43"/>
      <c r="C99" s="43"/>
      <c r="D99" s="43"/>
      <c r="E99" s="44"/>
      <c r="F99" s="14"/>
      <c r="G99" s="43"/>
      <c r="H99" s="43"/>
      <c r="I99" s="43"/>
      <c r="J99" s="14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>
      <c r="A100" s="14"/>
      <c r="B100" s="43"/>
      <c r="C100" s="43"/>
      <c r="D100" s="43"/>
      <c r="E100" s="44"/>
      <c r="F100" s="14"/>
      <c r="G100" s="43"/>
      <c r="H100" s="43"/>
      <c r="I100" s="43"/>
      <c r="J100" s="14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>
      <c r="A101" s="14"/>
      <c r="B101" s="43"/>
      <c r="C101" s="43"/>
      <c r="D101" s="43"/>
      <c r="E101" s="44"/>
      <c r="F101" s="14"/>
      <c r="G101" s="43"/>
      <c r="H101" s="43"/>
      <c r="I101" s="43"/>
      <c r="J101" s="14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>
      <c r="A102" s="14"/>
      <c r="B102" s="43"/>
      <c r="C102" s="43"/>
      <c r="D102" s="43"/>
      <c r="E102" s="44"/>
      <c r="F102" s="14"/>
      <c r="G102" s="43"/>
      <c r="H102" s="43"/>
      <c r="I102" s="43"/>
      <c r="J102" s="14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>
      <c r="A103" s="14"/>
      <c r="B103" s="43"/>
      <c r="C103" s="43"/>
      <c r="D103" s="43"/>
      <c r="E103" s="44"/>
      <c r="F103" s="14"/>
      <c r="G103" s="43"/>
      <c r="H103" s="43"/>
      <c r="I103" s="43"/>
      <c r="J103" s="14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>
      <c r="A104" s="14"/>
      <c r="B104" s="43"/>
      <c r="C104" s="43"/>
      <c r="D104" s="43"/>
      <c r="E104" s="44"/>
      <c r="F104" s="14"/>
      <c r="G104" s="43"/>
      <c r="H104" s="43"/>
      <c r="I104" s="43"/>
      <c r="J104" s="14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>
      <c r="A105" s="14"/>
      <c r="B105" s="43"/>
      <c r="C105" s="43"/>
      <c r="D105" s="43"/>
      <c r="E105" s="44"/>
      <c r="F105" s="14"/>
      <c r="G105" s="43"/>
      <c r="H105" s="43"/>
      <c r="I105" s="43"/>
      <c r="J105" s="14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>
      <c r="A106" s="14"/>
      <c r="B106" s="43"/>
      <c r="C106" s="43"/>
      <c r="D106" s="43"/>
      <c r="E106" s="44"/>
      <c r="F106" s="14"/>
      <c r="G106" s="43"/>
      <c r="H106" s="43"/>
      <c r="I106" s="43"/>
      <c r="J106" s="14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>
      <c r="A107" s="14"/>
      <c r="B107" s="43"/>
      <c r="C107" s="43"/>
      <c r="D107" s="43"/>
      <c r="E107" s="44"/>
      <c r="F107" s="14"/>
      <c r="G107" s="43"/>
      <c r="H107" s="43"/>
      <c r="I107" s="43"/>
      <c r="J107" s="14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>
      <c r="A108" s="14"/>
      <c r="B108" s="43"/>
      <c r="C108" s="43"/>
      <c r="D108" s="43"/>
      <c r="E108" s="44"/>
      <c r="F108" s="14"/>
      <c r="G108" s="43"/>
      <c r="H108" s="43"/>
      <c r="I108" s="43"/>
      <c r="J108" s="14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>
      <c r="A109" s="14"/>
      <c r="B109" s="43"/>
      <c r="C109" s="43"/>
      <c r="D109" s="43"/>
      <c r="E109" s="44"/>
      <c r="F109" s="14"/>
      <c r="G109" s="43"/>
      <c r="H109" s="43"/>
      <c r="I109" s="43"/>
      <c r="J109" s="14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>
      <c r="A110" s="14"/>
      <c r="B110" s="43"/>
      <c r="C110" s="43"/>
      <c r="D110" s="43"/>
      <c r="E110" s="44"/>
      <c r="F110" s="14"/>
      <c r="G110" s="43"/>
      <c r="H110" s="43"/>
      <c r="I110" s="43"/>
      <c r="J110" s="14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>
      <c r="A111" s="14"/>
      <c r="B111" s="43"/>
      <c r="C111" s="43"/>
      <c r="D111" s="43"/>
      <c r="E111" s="44"/>
      <c r="F111" s="14"/>
      <c r="G111" s="43"/>
      <c r="H111" s="43"/>
      <c r="I111" s="43"/>
      <c r="J111" s="14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>
      <c r="E112" s="45"/>
    </row>
    <row r="113">
      <c r="E113" s="45"/>
    </row>
    <row r="114">
      <c r="E114" s="45"/>
    </row>
    <row r="115">
      <c r="E115" s="45"/>
    </row>
    <row r="116">
      <c r="E116" s="45"/>
    </row>
    <row r="117">
      <c r="E117" s="45"/>
    </row>
    <row r="118">
      <c r="E118" s="45"/>
    </row>
    <row r="119">
      <c r="E119" s="45"/>
    </row>
    <row r="120">
      <c r="E120" s="45"/>
    </row>
    <row r="121">
      <c r="E121" s="45"/>
    </row>
    <row r="122">
      <c r="E122" s="45"/>
    </row>
    <row r="123">
      <c r="E123" s="45"/>
    </row>
    <row r="124">
      <c r="E124" s="45"/>
    </row>
    <row r="125">
      <c r="E125" s="45"/>
    </row>
    <row r="126">
      <c r="E126" s="45"/>
    </row>
    <row r="127">
      <c r="E127" s="45"/>
    </row>
    <row r="128">
      <c r="E128" s="45"/>
    </row>
    <row r="129">
      <c r="E129" s="45"/>
    </row>
    <row r="130">
      <c r="E130" s="45"/>
    </row>
    <row r="131">
      <c r="E131" s="45"/>
    </row>
    <row r="132">
      <c r="E132" s="45"/>
    </row>
    <row r="133">
      <c r="E133" s="45"/>
    </row>
    <row r="134">
      <c r="E134" s="45"/>
    </row>
    <row r="135">
      <c r="E135" s="45"/>
    </row>
    <row r="136">
      <c r="E136" s="45"/>
    </row>
    <row r="137">
      <c r="E137" s="45"/>
    </row>
    <row r="138">
      <c r="E138" s="45"/>
    </row>
    <row r="139">
      <c r="E139" s="45"/>
    </row>
    <row r="140">
      <c r="E140" s="45"/>
    </row>
    <row r="141">
      <c r="E141" s="45"/>
    </row>
    <row r="142">
      <c r="E142" s="45"/>
    </row>
    <row r="143">
      <c r="E143" s="45"/>
    </row>
    <row r="144">
      <c r="E144" s="45"/>
    </row>
    <row r="145">
      <c r="E145" s="45"/>
    </row>
    <row r="146">
      <c r="E146" s="45"/>
    </row>
    <row r="147">
      <c r="E147" s="45"/>
    </row>
    <row r="148">
      <c r="E148" s="45"/>
    </row>
    <row r="149">
      <c r="E149" s="45"/>
    </row>
    <row r="150">
      <c r="E150" s="45"/>
    </row>
    <row r="151">
      <c r="E151" s="45"/>
    </row>
    <row r="152">
      <c r="E152" s="45"/>
    </row>
    <row r="153">
      <c r="E153" s="45"/>
    </row>
    <row r="154">
      <c r="E154" s="45"/>
    </row>
    <row r="155">
      <c r="E155" s="45"/>
    </row>
    <row r="156">
      <c r="E156" s="45"/>
    </row>
    <row r="157">
      <c r="E157" s="45"/>
    </row>
    <row r="158">
      <c r="E158" s="45"/>
    </row>
    <row r="159">
      <c r="E159" s="45"/>
    </row>
    <row r="160">
      <c r="E160" s="45"/>
    </row>
    <row r="161">
      <c r="E161" s="45"/>
    </row>
    <row r="162">
      <c r="E162" s="45"/>
    </row>
    <row r="163">
      <c r="E163" s="45"/>
    </row>
    <row r="164">
      <c r="E164" s="45"/>
    </row>
    <row r="165">
      <c r="E165" s="45"/>
    </row>
    <row r="166">
      <c r="E166" s="45"/>
    </row>
    <row r="167">
      <c r="E167" s="45"/>
    </row>
    <row r="168">
      <c r="E168" s="45"/>
    </row>
    <row r="169">
      <c r="E169" s="45"/>
    </row>
    <row r="170">
      <c r="E170" s="45"/>
    </row>
    <row r="171">
      <c r="E171" s="45"/>
    </row>
    <row r="172">
      <c r="E172" s="45"/>
    </row>
    <row r="173">
      <c r="E173" s="45"/>
    </row>
    <row r="174">
      <c r="E174" s="45"/>
    </row>
    <row r="175">
      <c r="E175" s="45"/>
    </row>
    <row r="176">
      <c r="E176" s="45"/>
    </row>
    <row r="177">
      <c r="E177" s="45"/>
    </row>
    <row r="178">
      <c r="E178" s="45"/>
    </row>
    <row r="179">
      <c r="E179" s="45"/>
    </row>
    <row r="180">
      <c r="E180" s="45"/>
    </row>
    <row r="181">
      <c r="E181" s="45"/>
    </row>
    <row r="182">
      <c r="E182" s="45"/>
    </row>
    <row r="183">
      <c r="E183" s="45"/>
    </row>
    <row r="184">
      <c r="E184" s="45"/>
    </row>
    <row r="185">
      <c r="E185" s="45"/>
    </row>
    <row r="186">
      <c r="E186" s="45"/>
    </row>
    <row r="187">
      <c r="E187" s="45"/>
    </row>
    <row r="188">
      <c r="E188" s="45"/>
    </row>
    <row r="189">
      <c r="E189" s="45"/>
    </row>
    <row r="190">
      <c r="E190" s="45"/>
    </row>
    <row r="191">
      <c r="E191" s="45"/>
    </row>
    <row r="192">
      <c r="E192" s="45"/>
    </row>
    <row r="193">
      <c r="E193" s="45"/>
    </row>
    <row r="194">
      <c r="E194" s="45"/>
    </row>
    <row r="195">
      <c r="E195" s="45"/>
    </row>
    <row r="196">
      <c r="E196" s="45"/>
    </row>
    <row r="197">
      <c r="E197" s="45"/>
    </row>
    <row r="198">
      <c r="E198" s="45"/>
    </row>
    <row r="199">
      <c r="E199" s="45"/>
    </row>
    <row r="200">
      <c r="E200" s="45"/>
    </row>
    <row r="201">
      <c r="E201" s="45"/>
    </row>
    <row r="202">
      <c r="E202" s="45"/>
    </row>
    <row r="203">
      <c r="E203" s="45"/>
    </row>
    <row r="204">
      <c r="E204" s="45"/>
    </row>
    <row r="205">
      <c r="E205" s="45"/>
    </row>
    <row r="206">
      <c r="E206" s="45"/>
    </row>
    <row r="207">
      <c r="E207" s="45"/>
    </row>
    <row r="208">
      <c r="E208" s="45"/>
    </row>
    <row r="209">
      <c r="E209" s="45"/>
    </row>
    <row r="210">
      <c r="E210" s="45"/>
    </row>
    <row r="211">
      <c r="E211" s="45"/>
    </row>
    <row r="212">
      <c r="E212" s="45"/>
    </row>
    <row r="213">
      <c r="E213" s="45"/>
    </row>
    <row r="214">
      <c r="E214" s="45"/>
    </row>
    <row r="215">
      <c r="E215" s="45"/>
    </row>
    <row r="216">
      <c r="E216" s="45"/>
    </row>
    <row r="217">
      <c r="E217" s="45"/>
    </row>
    <row r="218">
      <c r="E218" s="45"/>
    </row>
    <row r="219">
      <c r="E219" s="45"/>
    </row>
    <row r="220">
      <c r="E220" s="45"/>
    </row>
    <row r="221">
      <c r="E221" s="45"/>
    </row>
    <row r="222">
      <c r="E222" s="45"/>
    </row>
    <row r="223">
      <c r="E223" s="45"/>
    </row>
    <row r="224">
      <c r="E224" s="45"/>
    </row>
    <row r="225">
      <c r="E225" s="45"/>
    </row>
    <row r="226">
      <c r="E226" s="45"/>
    </row>
    <row r="227">
      <c r="E227" s="45"/>
    </row>
    <row r="228">
      <c r="E228" s="45"/>
    </row>
    <row r="229">
      <c r="E229" s="45"/>
    </row>
    <row r="230">
      <c r="E230" s="45"/>
    </row>
    <row r="231">
      <c r="E231" s="45"/>
    </row>
    <row r="232">
      <c r="E232" s="45"/>
    </row>
    <row r="233">
      <c r="E233" s="45"/>
    </row>
    <row r="234">
      <c r="E234" s="45"/>
    </row>
    <row r="235">
      <c r="E235" s="45"/>
    </row>
    <row r="236">
      <c r="E236" s="45"/>
    </row>
    <row r="237">
      <c r="E237" s="45"/>
    </row>
    <row r="238">
      <c r="E238" s="45"/>
    </row>
    <row r="239">
      <c r="E239" s="45"/>
    </row>
    <row r="240">
      <c r="E240" s="45"/>
    </row>
    <row r="241">
      <c r="E241" s="45"/>
    </row>
    <row r="242">
      <c r="E242" s="45"/>
    </row>
    <row r="243">
      <c r="E243" s="45"/>
    </row>
    <row r="244">
      <c r="E244" s="45"/>
    </row>
    <row r="245">
      <c r="E245" s="45"/>
    </row>
    <row r="246">
      <c r="E246" s="45"/>
    </row>
    <row r="247">
      <c r="E247" s="45"/>
    </row>
    <row r="248">
      <c r="E248" s="45"/>
    </row>
    <row r="249">
      <c r="E249" s="45"/>
    </row>
    <row r="250">
      <c r="E250" s="45"/>
    </row>
    <row r="251">
      <c r="E251" s="45"/>
    </row>
    <row r="252">
      <c r="E252" s="45"/>
    </row>
    <row r="253">
      <c r="E253" s="45"/>
    </row>
    <row r="254">
      <c r="E254" s="45"/>
    </row>
    <row r="255">
      <c r="E255" s="45"/>
    </row>
    <row r="256">
      <c r="E256" s="45"/>
    </row>
    <row r="257">
      <c r="E257" s="45"/>
    </row>
    <row r="258">
      <c r="E258" s="45"/>
    </row>
    <row r="259">
      <c r="E259" s="45"/>
    </row>
    <row r="260">
      <c r="E260" s="45"/>
    </row>
    <row r="261">
      <c r="E261" s="45"/>
    </row>
    <row r="262">
      <c r="E262" s="45"/>
    </row>
    <row r="263">
      <c r="E263" s="45"/>
    </row>
    <row r="264">
      <c r="E264" s="45"/>
    </row>
    <row r="265">
      <c r="E265" s="45"/>
    </row>
    <row r="266">
      <c r="E266" s="45"/>
    </row>
    <row r="267">
      <c r="E267" s="45"/>
    </row>
    <row r="268">
      <c r="E268" s="45"/>
    </row>
    <row r="269">
      <c r="E269" s="45"/>
    </row>
    <row r="270">
      <c r="E270" s="45"/>
    </row>
    <row r="271">
      <c r="E271" s="45"/>
    </row>
    <row r="272">
      <c r="E272" s="45"/>
    </row>
    <row r="273">
      <c r="E273" s="45"/>
    </row>
    <row r="274">
      <c r="E274" s="45"/>
    </row>
    <row r="275">
      <c r="E275" s="45"/>
    </row>
    <row r="276">
      <c r="E276" s="45"/>
    </row>
    <row r="277">
      <c r="E277" s="45"/>
    </row>
    <row r="278">
      <c r="E278" s="45"/>
    </row>
    <row r="279">
      <c r="E279" s="45"/>
    </row>
    <row r="280">
      <c r="E280" s="45"/>
    </row>
    <row r="281">
      <c r="E281" s="45"/>
    </row>
    <row r="282">
      <c r="E282" s="45"/>
    </row>
    <row r="283">
      <c r="E283" s="45"/>
    </row>
    <row r="284">
      <c r="E284" s="45"/>
    </row>
    <row r="285">
      <c r="E285" s="45"/>
    </row>
    <row r="286">
      <c r="E286" s="45"/>
    </row>
    <row r="287">
      <c r="E287" s="45"/>
    </row>
    <row r="288">
      <c r="E288" s="45"/>
    </row>
    <row r="289">
      <c r="E289" s="45"/>
    </row>
    <row r="290">
      <c r="E290" s="45"/>
    </row>
    <row r="291">
      <c r="E291" s="45"/>
    </row>
    <row r="292">
      <c r="E292" s="45"/>
    </row>
    <row r="293">
      <c r="E293" s="45"/>
    </row>
    <row r="294">
      <c r="E294" s="45"/>
    </row>
    <row r="295">
      <c r="E295" s="45"/>
    </row>
    <row r="296">
      <c r="E296" s="45"/>
    </row>
    <row r="297">
      <c r="E297" s="45"/>
    </row>
    <row r="298">
      <c r="E298" s="45"/>
    </row>
    <row r="299">
      <c r="E299" s="45"/>
    </row>
    <row r="300">
      <c r="E300" s="45"/>
    </row>
    <row r="301">
      <c r="E301" s="45"/>
    </row>
    <row r="302">
      <c r="E302" s="45"/>
    </row>
    <row r="303">
      <c r="E303" s="45"/>
    </row>
    <row r="304">
      <c r="E304" s="45"/>
    </row>
    <row r="305">
      <c r="E305" s="45"/>
    </row>
    <row r="306">
      <c r="E306" s="45"/>
    </row>
    <row r="307">
      <c r="E307" s="45"/>
    </row>
    <row r="308">
      <c r="E308" s="45"/>
    </row>
    <row r="309">
      <c r="E309" s="45"/>
    </row>
    <row r="310">
      <c r="E310" s="45"/>
    </row>
    <row r="311">
      <c r="E311" s="45"/>
    </row>
    <row r="312">
      <c r="E312" s="45"/>
    </row>
    <row r="313">
      <c r="E313" s="45"/>
    </row>
    <row r="314">
      <c r="E314" s="45"/>
    </row>
    <row r="315">
      <c r="E315" s="45"/>
    </row>
    <row r="316">
      <c r="E316" s="45"/>
    </row>
    <row r="317">
      <c r="E317" s="45"/>
    </row>
    <row r="318">
      <c r="E318" s="45"/>
    </row>
    <row r="319">
      <c r="E319" s="45"/>
    </row>
    <row r="320">
      <c r="E320" s="45"/>
    </row>
    <row r="321">
      <c r="E321" s="45"/>
    </row>
    <row r="322">
      <c r="E322" s="45"/>
    </row>
    <row r="323">
      <c r="E323" s="45"/>
    </row>
    <row r="324">
      <c r="E324" s="45"/>
    </row>
    <row r="325">
      <c r="E325" s="45"/>
    </row>
    <row r="326">
      <c r="E326" s="45"/>
    </row>
    <row r="327">
      <c r="E327" s="45"/>
    </row>
    <row r="328">
      <c r="E328" s="45"/>
    </row>
    <row r="329">
      <c r="E329" s="45"/>
    </row>
    <row r="330">
      <c r="E330" s="45"/>
    </row>
    <row r="331">
      <c r="E331" s="45"/>
    </row>
    <row r="332">
      <c r="E332" s="45"/>
    </row>
    <row r="333">
      <c r="E333" s="45"/>
    </row>
    <row r="334">
      <c r="E334" s="45"/>
    </row>
    <row r="335">
      <c r="E335" s="45"/>
    </row>
    <row r="336">
      <c r="E336" s="45"/>
    </row>
    <row r="337">
      <c r="E337" s="45"/>
    </row>
    <row r="338">
      <c r="E338" s="45"/>
    </row>
    <row r="339">
      <c r="E339" s="45"/>
    </row>
    <row r="340">
      <c r="E340" s="45"/>
    </row>
    <row r="341">
      <c r="E341" s="45"/>
    </row>
    <row r="342">
      <c r="E342" s="45"/>
    </row>
    <row r="343">
      <c r="E343" s="45"/>
    </row>
    <row r="344">
      <c r="E344" s="45"/>
    </row>
    <row r="345">
      <c r="E345" s="45"/>
    </row>
    <row r="346">
      <c r="E346" s="45"/>
    </row>
    <row r="347">
      <c r="E347" s="45"/>
    </row>
    <row r="348">
      <c r="E348" s="45"/>
    </row>
    <row r="349">
      <c r="E349" s="45"/>
    </row>
    <row r="350">
      <c r="E350" s="45"/>
    </row>
    <row r="351">
      <c r="E351" s="45"/>
    </row>
    <row r="352">
      <c r="E352" s="45"/>
    </row>
    <row r="353">
      <c r="E353" s="45"/>
    </row>
    <row r="354">
      <c r="E354" s="45"/>
    </row>
    <row r="355">
      <c r="E355" s="45"/>
    </row>
    <row r="356">
      <c r="E356" s="45"/>
    </row>
    <row r="357">
      <c r="E357" s="45"/>
    </row>
    <row r="358">
      <c r="E358" s="45"/>
    </row>
    <row r="359">
      <c r="E359" s="45"/>
    </row>
    <row r="360">
      <c r="E360" s="45"/>
    </row>
    <row r="361">
      <c r="E361" s="45"/>
    </row>
    <row r="362">
      <c r="E362" s="45"/>
    </row>
    <row r="363">
      <c r="E363" s="45"/>
    </row>
    <row r="364">
      <c r="E364" s="45"/>
    </row>
    <row r="365">
      <c r="E365" s="45"/>
    </row>
    <row r="366">
      <c r="E366" s="45"/>
    </row>
    <row r="367">
      <c r="E367" s="45"/>
    </row>
    <row r="368">
      <c r="E368" s="45"/>
    </row>
    <row r="369">
      <c r="E369" s="45"/>
    </row>
    <row r="370">
      <c r="E370" s="45"/>
    </row>
    <row r="371">
      <c r="E371" s="45"/>
    </row>
    <row r="372">
      <c r="E372" s="45"/>
    </row>
    <row r="373">
      <c r="E373" s="45"/>
    </row>
    <row r="374">
      <c r="E374" s="45"/>
    </row>
    <row r="375">
      <c r="E375" s="45"/>
    </row>
    <row r="376">
      <c r="E376" s="45"/>
    </row>
    <row r="377">
      <c r="E377" s="45"/>
    </row>
    <row r="378">
      <c r="E378" s="45"/>
    </row>
    <row r="379">
      <c r="E379" s="45"/>
    </row>
    <row r="380">
      <c r="E380" s="45"/>
    </row>
    <row r="381">
      <c r="E381" s="45"/>
    </row>
    <row r="382">
      <c r="E382" s="45"/>
    </row>
    <row r="383">
      <c r="E383" s="45"/>
    </row>
    <row r="384">
      <c r="E384" s="45"/>
    </row>
    <row r="385">
      <c r="E385" s="45"/>
    </row>
    <row r="386">
      <c r="E386" s="45"/>
    </row>
    <row r="387">
      <c r="E387" s="45"/>
    </row>
    <row r="388">
      <c r="E388" s="45"/>
    </row>
    <row r="389">
      <c r="E389" s="45"/>
    </row>
    <row r="390">
      <c r="E390" s="45"/>
    </row>
    <row r="391">
      <c r="E391" s="45"/>
    </row>
    <row r="392">
      <c r="E392" s="45"/>
    </row>
    <row r="393">
      <c r="E393" s="45"/>
    </row>
    <row r="394">
      <c r="E394" s="45"/>
    </row>
    <row r="395">
      <c r="E395" s="45"/>
    </row>
    <row r="396">
      <c r="E396" s="45"/>
    </row>
    <row r="397">
      <c r="E397" s="45"/>
    </row>
    <row r="398">
      <c r="E398" s="45"/>
    </row>
    <row r="399">
      <c r="E399" s="45"/>
    </row>
    <row r="400">
      <c r="E400" s="45"/>
    </row>
    <row r="401">
      <c r="E401" s="45"/>
    </row>
    <row r="402">
      <c r="E402" s="45"/>
    </row>
    <row r="403">
      <c r="E403" s="45"/>
    </row>
    <row r="404">
      <c r="E404" s="45"/>
    </row>
    <row r="405">
      <c r="E405" s="45"/>
    </row>
    <row r="406">
      <c r="E406" s="45"/>
    </row>
    <row r="407">
      <c r="E407" s="45"/>
    </row>
    <row r="408">
      <c r="E408" s="45"/>
    </row>
    <row r="409">
      <c r="E409" s="45"/>
    </row>
    <row r="410">
      <c r="E410" s="45"/>
    </row>
    <row r="411">
      <c r="E411" s="45"/>
    </row>
    <row r="412">
      <c r="E412" s="45"/>
    </row>
    <row r="413">
      <c r="E413" s="45"/>
    </row>
    <row r="414">
      <c r="E414" s="45"/>
    </row>
    <row r="415">
      <c r="E415" s="45"/>
    </row>
    <row r="416">
      <c r="E416" s="45"/>
    </row>
    <row r="417">
      <c r="E417" s="45"/>
    </row>
    <row r="418">
      <c r="E418" s="45"/>
    </row>
    <row r="419">
      <c r="E419" s="45"/>
    </row>
    <row r="420">
      <c r="E420" s="45"/>
    </row>
    <row r="421">
      <c r="E421" s="45"/>
    </row>
    <row r="422">
      <c r="E422" s="45"/>
    </row>
    <row r="423">
      <c r="E423" s="45"/>
    </row>
    <row r="424">
      <c r="E424" s="45"/>
    </row>
    <row r="425">
      <c r="E425" s="45"/>
    </row>
    <row r="426">
      <c r="E426" s="45"/>
    </row>
    <row r="427">
      <c r="E427" s="45"/>
    </row>
    <row r="428">
      <c r="E428" s="45"/>
    </row>
    <row r="429">
      <c r="E429" s="45"/>
    </row>
    <row r="430">
      <c r="E430" s="45"/>
    </row>
    <row r="431">
      <c r="E431" s="45"/>
    </row>
    <row r="432">
      <c r="E432" s="45"/>
    </row>
    <row r="433">
      <c r="E433" s="45"/>
    </row>
    <row r="434">
      <c r="E434" s="45"/>
    </row>
    <row r="435">
      <c r="E435" s="45"/>
    </row>
    <row r="436">
      <c r="E436" s="45"/>
    </row>
    <row r="437">
      <c r="E437" s="45"/>
    </row>
    <row r="438">
      <c r="E438" s="45"/>
    </row>
    <row r="439">
      <c r="E439" s="45"/>
    </row>
    <row r="440">
      <c r="E440" s="45"/>
    </row>
    <row r="441">
      <c r="E441" s="45"/>
    </row>
    <row r="442">
      <c r="E442" s="45"/>
    </row>
    <row r="443">
      <c r="E443" s="45"/>
    </row>
    <row r="444">
      <c r="E444" s="45"/>
    </row>
    <row r="445">
      <c r="E445" s="45"/>
    </row>
    <row r="446">
      <c r="E446" s="45"/>
    </row>
    <row r="447">
      <c r="E447" s="45"/>
    </row>
    <row r="448">
      <c r="E448" s="45"/>
    </row>
    <row r="449">
      <c r="E449" s="45"/>
    </row>
    <row r="450">
      <c r="E450" s="45"/>
    </row>
    <row r="451">
      <c r="E451" s="45"/>
    </row>
    <row r="452">
      <c r="E452" s="45"/>
    </row>
    <row r="453">
      <c r="E453" s="45"/>
    </row>
    <row r="454">
      <c r="E454" s="45"/>
    </row>
    <row r="455">
      <c r="E455" s="45"/>
    </row>
    <row r="456">
      <c r="E456" s="45"/>
    </row>
    <row r="457">
      <c r="E457" s="45"/>
    </row>
    <row r="458">
      <c r="E458" s="45"/>
    </row>
    <row r="459">
      <c r="E459" s="45"/>
    </row>
    <row r="460">
      <c r="E460" s="45"/>
    </row>
    <row r="461">
      <c r="E461" s="45"/>
    </row>
    <row r="462">
      <c r="E462" s="45"/>
    </row>
    <row r="463">
      <c r="E463" s="45"/>
    </row>
    <row r="464">
      <c r="E464" s="45"/>
    </row>
    <row r="465">
      <c r="E465" s="45"/>
    </row>
    <row r="466">
      <c r="E466" s="45"/>
    </row>
    <row r="467">
      <c r="E467" s="45"/>
    </row>
    <row r="468">
      <c r="E468" s="45"/>
    </row>
    <row r="469">
      <c r="E469" s="45"/>
    </row>
    <row r="470">
      <c r="E470" s="45"/>
    </row>
    <row r="471">
      <c r="E471" s="45"/>
    </row>
    <row r="472">
      <c r="E472" s="45"/>
    </row>
    <row r="473">
      <c r="E473" s="45"/>
    </row>
    <row r="474">
      <c r="E474" s="45"/>
    </row>
    <row r="475">
      <c r="E475" s="45"/>
    </row>
    <row r="476">
      <c r="E476" s="45"/>
    </row>
    <row r="477">
      <c r="E477" s="45"/>
    </row>
    <row r="478">
      <c r="E478" s="45"/>
    </row>
    <row r="479">
      <c r="E479" s="45"/>
    </row>
    <row r="480">
      <c r="E480" s="45"/>
    </row>
    <row r="481">
      <c r="E481" s="45"/>
    </row>
    <row r="482">
      <c r="E482" s="45"/>
    </row>
    <row r="483">
      <c r="E483" s="45"/>
    </row>
    <row r="484">
      <c r="E484" s="45"/>
    </row>
    <row r="485">
      <c r="E485" s="45"/>
    </row>
    <row r="486">
      <c r="E486" s="45"/>
    </row>
    <row r="487">
      <c r="E487" s="45"/>
    </row>
    <row r="488">
      <c r="E488" s="45"/>
    </row>
    <row r="489">
      <c r="E489" s="45"/>
    </row>
    <row r="490">
      <c r="E490" s="45"/>
    </row>
    <row r="491">
      <c r="E491" s="45"/>
    </row>
    <row r="492">
      <c r="E492" s="45"/>
    </row>
    <row r="493">
      <c r="E493" s="45"/>
    </row>
    <row r="494">
      <c r="E494" s="45"/>
    </row>
    <row r="495">
      <c r="E495" s="45"/>
    </row>
    <row r="496">
      <c r="E496" s="45"/>
    </row>
    <row r="497">
      <c r="E497" s="45"/>
    </row>
    <row r="498">
      <c r="E498" s="45"/>
    </row>
    <row r="499">
      <c r="E499" s="45"/>
    </row>
    <row r="500">
      <c r="E500" s="45"/>
    </row>
    <row r="501">
      <c r="E501" s="45"/>
    </row>
    <row r="502">
      <c r="E502" s="45"/>
    </row>
    <row r="503">
      <c r="E503" s="45"/>
    </row>
    <row r="504">
      <c r="E504" s="45"/>
    </row>
    <row r="505">
      <c r="E505" s="45"/>
    </row>
    <row r="506">
      <c r="E506" s="45"/>
    </row>
    <row r="507">
      <c r="E507" s="45"/>
    </row>
    <row r="508">
      <c r="E508" s="45"/>
    </row>
    <row r="509">
      <c r="E509" s="45"/>
    </row>
    <row r="510">
      <c r="E510" s="45"/>
    </row>
    <row r="511">
      <c r="E511" s="45"/>
    </row>
    <row r="512">
      <c r="E512" s="45"/>
    </row>
    <row r="513">
      <c r="E513" s="45"/>
    </row>
    <row r="514">
      <c r="E514" s="45"/>
    </row>
    <row r="515">
      <c r="E515" s="45"/>
    </row>
    <row r="516">
      <c r="E516" s="45"/>
    </row>
    <row r="517">
      <c r="E517" s="45"/>
    </row>
    <row r="518">
      <c r="E518" s="45"/>
    </row>
    <row r="519">
      <c r="E519" s="45"/>
    </row>
    <row r="520">
      <c r="E520" s="45"/>
    </row>
    <row r="521">
      <c r="E521" s="45"/>
    </row>
    <row r="522">
      <c r="E522" s="45"/>
    </row>
    <row r="523">
      <c r="E523" s="45"/>
    </row>
    <row r="524">
      <c r="E524" s="45"/>
    </row>
    <row r="525">
      <c r="E525" s="45"/>
    </row>
    <row r="526">
      <c r="E526" s="45"/>
    </row>
    <row r="527">
      <c r="E527" s="45"/>
    </row>
    <row r="528">
      <c r="E528" s="45"/>
    </row>
    <row r="529">
      <c r="E529" s="45"/>
    </row>
    <row r="530">
      <c r="E530" s="45"/>
    </row>
    <row r="531">
      <c r="E531" s="45"/>
    </row>
    <row r="532">
      <c r="E532" s="45"/>
    </row>
    <row r="533">
      <c r="E533" s="45"/>
    </row>
    <row r="534">
      <c r="E534" s="45"/>
    </row>
    <row r="535">
      <c r="E535" s="45"/>
    </row>
    <row r="536">
      <c r="E536" s="45"/>
    </row>
    <row r="537">
      <c r="E537" s="45"/>
    </row>
    <row r="538">
      <c r="E538" s="45"/>
    </row>
    <row r="539">
      <c r="E539" s="45"/>
    </row>
    <row r="540">
      <c r="E540" s="45"/>
    </row>
    <row r="541">
      <c r="E541" s="45"/>
    </row>
    <row r="542">
      <c r="E542" s="45"/>
    </row>
    <row r="543">
      <c r="E543" s="45"/>
    </row>
    <row r="544">
      <c r="E544" s="45"/>
    </row>
    <row r="545">
      <c r="E545" s="45"/>
    </row>
    <row r="546">
      <c r="E546" s="45"/>
    </row>
    <row r="547">
      <c r="E547" s="45"/>
    </row>
    <row r="548">
      <c r="E548" s="45"/>
    </row>
    <row r="549">
      <c r="E549" s="45"/>
    </row>
    <row r="550">
      <c r="E550" s="45"/>
    </row>
    <row r="551">
      <c r="E551" s="45"/>
    </row>
    <row r="552">
      <c r="E552" s="45"/>
    </row>
    <row r="553">
      <c r="E553" s="45"/>
    </row>
    <row r="554">
      <c r="E554" s="45"/>
    </row>
    <row r="555">
      <c r="E555" s="45"/>
    </row>
    <row r="556">
      <c r="E556" s="45"/>
    </row>
    <row r="557">
      <c r="E557" s="45"/>
    </row>
    <row r="558">
      <c r="E558" s="45"/>
    </row>
    <row r="559">
      <c r="E559" s="45"/>
    </row>
    <row r="560">
      <c r="E560" s="45"/>
    </row>
    <row r="561">
      <c r="E561" s="45"/>
    </row>
    <row r="562">
      <c r="E562" s="45"/>
    </row>
    <row r="563">
      <c r="E563" s="45"/>
    </row>
    <row r="564">
      <c r="E564" s="45"/>
    </row>
    <row r="565">
      <c r="E565" s="45"/>
    </row>
    <row r="566">
      <c r="E566" s="45"/>
    </row>
    <row r="567">
      <c r="E567" s="45"/>
    </row>
    <row r="568">
      <c r="E568" s="45"/>
    </row>
    <row r="569">
      <c r="E569" s="45"/>
    </row>
    <row r="570">
      <c r="E570" s="45"/>
    </row>
    <row r="571">
      <c r="E571" s="45"/>
    </row>
    <row r="572">
      <c r="E572" s="45"/>
    </row>
    <row r="573">
      <c r="E573" s="45"/>
    </row>
    <row r="574">
      <c r="E574" s="45"/>
    </row>
    <row r="575">
      <c r="E575" s="45"/>
    </row>
    <row r="576">
      <c r="E576" s="45"/>
    </row>
    <row r="577">
      <c r="E577" s="45"/>
    </row>
    <row r="578">
      <c r="E578" s="45"/>
    </row>
    <row r="579">
      <c r="E579" s="45"/>
    </row>
    <row r="580">
      <c r="E580" s="45"/>
    </row>
    <row r="581">
      <c r="E581" s="45"/>
    </row>
    <row r="582">
      <c r="E582" s="45"/>
    </row>
    <row r="583">
      <c r="E583" s="45"/>
    </row>
    <row r="584">
      <c r="E584" s="45"/>
    </row>
    <row r="585">
      <c r="E585" s="45"/>
    </row>
    <row r="586">
      <c r="E586" s="45"/>
    </row>
    <row r="587">
      <c r="E587" s="45"/>
    </row>
    <row r="588">
      <c r="E588" s="45"/>
    </row>
    <row r="589">
      <c r="E589" s="45"/>
    </row>
    <row r="590">
      <c r="E590" s="45"/>
    </row>
    <row r="591">
      <c r="E591" s="45"/>
    </row>
    <row r="592">
      <c r="E592" s="45"/>
    </row>
    <row r="593">
      <c r="E593" s="45"/>
    </row>
    <row r="594">
      <c r="E594" s="45"/>
    </row>
    <row r="595">
      <c r="E595" s="45"/>
    </row>
    <row r="596">
      <c r="E596" s="45"/>
    </row>
    <row r="597">
      <c r="E597" s="45"/>
    </row>
    <row r="598">
      <c r="E598" s="45"/>
    </row>
    <row r="599">
      <c r="E599" s="45"/>
    </row>
    <row r="600">
      <c r="E600" s="45"/>
    </row>
    <row r="601">
      <c r="E601" s="45"/>
    </row>
    <row r="602">
      <c r="E602" s="45"/>
    </row>
    <row r="603">
      <c r="E603" s="45"/>
    </row>
    <row r="604">
      <c r="E604" s="45"/>
    </row>
    <row r="605">
      <c r="E605" s="45"/>
    </row>
    <row r="606">
      <c r="E606" s="45"/>
    </row>
    <row r="607">
      <c r="E607" s="45"/>
    </row>
    <row r="608">
      <c r="E608" s="45"/>
    </row>
    <row r="609">
      <c r="E609" s="45"/>
    </row>
    <row r="610">
      <c r="E610" s="45"/>
    </row>
    <row r="611">
      <c r="E611" s="45"/>
    </row>
    <row r="612">
      <c r="E612" s="45"/>
    </row>
    <row r="613">
      <c r="E613" s="45"/>
    </row>
    <row r="614">
      <c r="E614" s="45"/>
    </row>
    <row r="615">
      <c r="E615" s="45"/>
    </row>
    <row r="616">
      <c r="E616" s="45"/>
    </row>
    <row r="617">
      <c r="E617" s="45"/>
    </row>
    <row r="618">
      <c r="E618" s="45"/>
    </row>
    <row r="619">
      <c r="E619" s="45"/>
    </row>
    <row r="620">
      <c r="E620" s="45"/>
    </row>
    <row r="621">
      <c r="E621" s="45"/>
    </row>
    <row r="622">
      <c r="E622" s="45"/>
    </row>
    <row r="623">
      <c r="E623" s="45"/>
    </row>
    <row r="624">
      <c r="E624" s="45"/>
    </row>
    <row r="625">
      <c r="E625" s="45"/>
    </row>
    <row r="626">
      <c r="E626" s="45"/>
    </row>
    <row r="627">
      <c r="E627" s="45"/>
    </row>
    <row r="628">
      <c r="E628" s="45"/>
    </row>
    <row r="629">
      <c r="E629" s="45"/>
    </row>
    <row r="630">
      <c r="E630" s="45"/>
    </row>
    <row r="631">
      <c r="E631" s="45"/>
    </row>
    <row r="632">
      <c r="E632" s="45"/>
    </row>
    <row r="633">
      <c r="E633" s="45"/>
    </row>
    <row r="634">
      <c r="E634" s="45"/>
    </row>
    <row r="635">
      <c r="E635" s="45"/>
    </row>
    <row r="636">
      <c r="E636" s="45"/>
    </row>
    <row r="637">
      <c r="E637" s="45"/>
    </row>
    <row r="638">
      <c r="E638" s="45"/>
    </row>
    <row r="639">
      <c r="E639" s="45"/>
    </row>
    <row r="640">
      <c r="E640" s="45"/>
    </row>
    <row r="641">
      <c r="E641" s="45"/>
    </row>
    <row r="642">
      <c r="E642" s="45"/>
    </row>
    <row r="643">
      <c r="E643" s="45"/>
    </row>
    <row r="644">
      <c r="E644" s="45"/>
    </row>
    <row r="645">
      <c r="E645" s="45"/>
    </row>
    <row r="646">
      <c r="E646" s="45"/>
    </row>
    <row r="647">
      <c r="E647" s="45"/>
    </row>
    <row r="648">
      <c r="E648" s="45"/>
    </row>
    <row r="649">
      <c r="E649" s="45"/>
    </row>
    <row r="650">
      <c r="E650" s="45"/>
    </row>
    <row r="651">
      <c r="E651" s="45"/>
    </row>
    <row r="652">
      <c r="E652" s="45"/>
    </row>
    <row r="653">
      <c r="E653" s="45"/>
    </row>
    <row r="654">
      <c r="E654" s="45"/>
    </row>
    <row r="655">
      <c r="E655" s="45"/>
    </row>
    <row r="656">
      <c r="E656" s="45"/>
    </row>
    <row r="657">
      <c r="E657" s="45"/>
    </row>
    <row r="658">
      <c r="E658" s="45"/>
    </row>
    <row r="659">
      <c r="E659" s="45"/>
    </row>
    <row r="660">
      <c r="E660" s="45"/>
    </row>
    <row r="661">
      <c r="E661" s="45"/>
    </row>
    <row r="662">
      <c r="E662" s="45"/>
    </row>
    <row r="663">
      <c r="E663" s="45"/>
    </row>
    <row r="664">
      <c r="E664" s="45"/>
    </row>
    <row r="665">
      <c r="E665" s="45"/>
    </row>
    <row r="666">
      <c r="E666" s="45"/>
    </row>
    <row r="667">
      <c r="E667" s="45"/>
    </row>
    <row r="668">
      <c r="E668" s="45"/>
    </row>
    <row r="669">
      <c r="E669" s="45"/>
    </row>
    <row r="670">
      <c r="E670" s="45"/>
    </row>
    <row r="671">
      <c r="E671" s="45"/>
    </row>
    <row r="672">
      <c r="E672" s="45"/>
    </row>
    <row r="673">
      <c r="E673" s="45"/>
    </row>
    <row r="674">
      <c r="E674" s="45"/>
    </row>
    <row r="675">
      <c r="E675" s="45"/>
    </row>
    <row r="676">
      <c r="E676" s="45"/>
    </row>
    <row r="677">
      <c r="E677" s="45"/>
    </row>
    <row r="678">
      <c r="E678" s="45"/>
    </row>
    <row r="679">
      <c r="E679" s="45"/>
    </row>
    <row r="680">
      <c r="E680" s="45"/>
    </row>
    <row r="681">
      <c r="E681" s="45"/>
    </row>
    <row r="682">
      <c r="E682" s="45"/>
    </row>
    <row r="683">
      <c r="E683" s="45"/>
    </row>
    <row r="684">
      <c r="E684" s="45"/>
    </row>
    <row r="685">
      <c r="E685" s="45"/>
    </row>
    <row r="686">
      <c r="E686" s="45"/>
    </row>
    <row r="687">
      <c r="E687" s="45"/>
    </row>
    <row r="688">
      <c r="E688" s="45"/>
    </row>
    <row r="689">
      <c r="E689" s="45"/>
    </row>
    <row r="690">
      <c r="E690" s="45"/>
    </row>
    <row r="691">
      <c r="E691" s="45"/>
    </row>
    <row r="692">
      <c r="E692" s="45"/>
    </row>
    <row r="693">
      <c r="E693" s="45"/>
    </row>
    <row r="694">
      <c r="E694" s="45"/>
    </row>
    <row r="695">
      <c r="E695" s="45"/>
    </row>
    <row r="696">
      <c r="E696" s="45"/>
    </row>
    <row r="697">
      <c r="E697" s="45"/>
    </row>
    <row r="698">
      <c r="E698" s="45"/>
    </row>
    <row r="699">
      <c r="E699" s="45"/>
    </row>
    <row r="700">
      <c r="E700" s="45"/>
    </row>
    <row r="701">
      <c r="E701" s="45"/>
    </row>
    <row r="702">
      <c r="E702" s="45"/>
    </row>
    <row r="703">
      <c r="E703" s="45"/>
    </row>
    <row r="704">
      <c r="E704" s="45"/>
    </row>
    <row r="705">
      <c r="E705" s="45"/>
    </row>
    <row r="706">
      <c r="E706" s="45"/>
    </row>
    <row r="707">
      <c r="E707" s="45"/>
    </row>
    <row r="708">
      <c r="E708" s="45"/>
    </row>
    <row r="709">
      <c r="E709" s="45"/>
    </row>
    <row r="710">
      <c r="E710" s="45"/>
    </row>
    <row r="711">
      <c r="E711" s="45"/>
    </row>
    <row r="712">
      <c r="E712" s="45"/>
    </row>
    <row r="713">
      <c r="E713" s="45"/>
    </row>
    <row r="714">
      <c r="E714" s="45"/>
    </row>
    <row r="715">
      <c r="E715" s="45"/>
    </row>
    <row r="716">
      <c r="E716" s="45"/>
    </row>
    <row r="717">
      <c r="E717" s="45"/>
    </row>
    <row r="718">
      <c r="E718" s="45"/>
    </row>
    <row r="719">
      <c r="E719" s="45"/>
    </row>
    <row r="720">
      <c r="E720" s="45"/>
    </row>
    <row r="721">
      <c r="E721" s="45"/>
    </row>
    <row r="722">
      <c r="E722" s="45"/>
    </row>
    <row r="723">
      <c r="E723" s="45"/>
    </row>
    <row r="724">
      <c r="E724" s="45"/>
    </row>
    <row r="725">
      <c r="E725" s="45"/>
    </row>
    <row r="726">
      <c r="E726" s="45"/>
    </row>
    <row r="727">
      <c r="E727" s="45"/>
    </row>
    <row r="728">
      <c r="E728" s="45"/>
    </row>
    <row r="729">
      <c r="E729" s="45"/>
    </row>
    <row r="730">
      <c r="E730" s="45"/>
    </row>
    <row r="731">
      <c r="E731" s="45"/>
    </row>
    <row r="732">
      <c r="E732" s="45"/>
    </row>
    <row r="733">
      <c r="E733" s="45"/>
    </row>
    <row r="734">
      <c r="E734" s="45"/>
    </row>
    <row r="735">
      <c r="E735" s="45"/>
    </row>
    <row r="736">
      <c r="E736" s="45"/>
    </row>
    <row r="737">
      <c r="E737" s="45"/>
    </row>
    <row r="738">
      <c r="E738" s="45"/>
    </row>
    <row r="739">
      <c r="E739" s="45"/>
    </row>
    <row r="740">
      <c r="E740" s="45"/>
    </row>
    <row r="741">
      <c r="E741" s="45"/>
    </row>
    <row r="742">
      <c r="E742" s="45"/>
    </row>
    <row r="743">
      <c r="E743" s="45"/>
    </row>
    <row r="744">
      <c r="E744" s="45"/>
    </row>
    <row r="745">
      <c r="E745" s="45"/>
    </row>
    <row r="746">
      <c r="E746" s="45"/>
    </row>
    <row r="747">
      <c r="E747" s="45"/>
    </row>
    <row r="748">
      <c r="E748" s="45"/>
    </row>
    <row r="749">
      <c r="E749" s="45"/>
    </row>
    <row r="750">
      <c r="E750" s="45"/>
    </row>
    <row r="751">
      <c r="E751" s="45"/>
    </row>
    <row r="752">
      <c r="E752" s="45"/>
    </row>
    <row r="753">
      <c r="E753" s="45"/>
    </row>
    <row r="754">
      <c r="E754" s="45"/>
    </row>
    <row r="755">
      <c r="E755" s="45"/>
    </row>
    <row r="756">
      <c r="E756" s="45"/>
    </row>
    <row r="757">
      <c r="E757" s="45"/>
    </row>
    <row r="758">
      <c r="E758" s="45"/>
    </row>
    <row r="759">
      <c r="E759" s="45"/>
    </row>
    <row r="760">
      <c r="E760" s="45"/>
    </row>
    <row r="761">
      <c r="E761" s="45"/>
    </row>
    <row r="762">
      <c r="E762" s="45"/>
    </row>
    <row r="763">
      <c r="E763" s="45"/>
    </row>
    <row r="764">
      <c r="E764" s="45"/>
    </row>
    <row r="765">
      <c r="E765" s="45"/>
    </row>
    <row r="766">
      <c r="E766" s="45"/>
    </row>
    <row r="767">
      <c r="E767" s="45"/>
    </row>
    <row r="768">
      <c r="E768" s="45"/>
    </row>
    <row r="769">
      <c r="E769" s="45"/>
    </row>
    <row r="770">
      <c r="E770" s="45"/>
    </row>
    <row r="771">
      <c r="E771" s="45"/>
    </row>
    <row r="772">
      <c r="E772" s="45"/>
    </row>
    <row r="773">
      <c r="E773" s="45"/>
    </row>
    <row r="774">
      <c r="E774" s="45"/>
    </row>
    <row r="775">
      <c r="E775" s="45"/>
    </row>
    <row r="776">
      <c r="E776" s="45"/>
    </row>
    <row r="777">
      <c r="E777" s="45"/>
    </row>
    <row r="778">
      <c r="E778" s="45"/>
    </row>
    <row r="779">
      <c r="E779" s="45"/>
    </row>
    <row r="780">
      <c r="E780" s="45"/>
    </row>
    <row r="781">
      <c r="E781" s="45"/>
    </row>
    <row r="782">
      <c r="E782" s="45"/>
    </row>
    <row r="783">
      <c r="E783" s="45"/>
    </row>
    <row r="784">
      <c r="E784" s="45"/>
    </row>
    <row r="785">
      <c r="E785" s="45"/>
    </row>
    <row r="786">
      <c r="E786" s="45"/>
    </row>
    <row r="787">
      <c r="E787" s="45"/>
    </row>
    <row r="788">
      <c r="E788" s="45"/>
    </row>
    <row r="789">
      <c r="E789" s="45"/>
    </row>
    <row r="790">
      <c r="E790" s="45"/>
    </row>
    <row r="791">
      <c r="E791" s="45"/>
    </row>
    <row r="792">
      <c r="E792" s="45"/>
    </row>
    <row r="793">
      <c r="E793" s="45"/>
    </row>
    <row r="794">
      <c r="E794" s="45"/>
    </row>
    <row r="795">
      <c r="E795" s="45"/>
    </row>
    <row r="796">
      <c r="E796" s="45"/>
    </row>
    <row r="797">
      <c r="E797" s="45"/>
    </row>
    <row r="798">
      <c r="E798" s="45"/>
    </row>
    <row r="799">
      <c r="E799" s="45"/>
    </row>
    <row r="800">
      <c r="E800" s="45"/>
    </row>
    <row r="801">
      <c r="E801" s="45"/>
    </row>
    <row r="802">
      <c r="E802" s="45"/>
    </row>
    <row r="803">
      <c r="E803" s="45"/>
    </row>
    <row r="804">
      <c r="E804" s="45"/>
    </row>
    <row r="805">
      <c r="E805" s="45"/>
    </row>
    <row r="806">
      <c r="E806" s="45"/>
    </row>
    <row r="807">
      <c r="E807" s="45"/>
    </row>
    <row r="808">
      <c r="E808" s="45"/>
    </row>
    <row r="809">
      <c r="E809" s="45"/>
    </row>
    <row r="810">
      <c r="E810" s="45"/>
    </row>
    <row r="811">
      <c r="E811" s="45"/>
    </row>
    <row r="812">
      <c r="E812" s="45"/>
    </row>
    <row r="813">
      <c r="E813" s="45"/>
    </row>
    <row r="814">
      <c r="E814" s="45"/>
    </row>
    <row r="815">
      <c r="E815" s="45"/>
    </row>
    <row r="816">
      <c r="E816" s="45"/>
    </row>
    <row r="817">
      <c r="E817" s="45"/>
    </row>
    <row r="818">
      <c r="E818" s="45"/>
    </row>
    <row r="819">
      <c r="E819" s="45"/>
    </row>
    <row r="820">
      <c r="E820" s="45"/>
    </row>
    <row r="821">
      <c r="E821" s="45"/>
    </row>
    <row r="822">
      <c r="E822" s="45"/>
    </row>
    <row r="823">
      <c r="E823" s="45"/>
    </row>
    <row r="824">
      <c r="E824" s="45"/>
    </row>
    <row r="825">
      <c r="E825" s="45"/>
    </row>
    <row r="826">
      <c r="E826" s="45"/>
    </row>
    <row r="827">
      <c r="E827" s="45"/>
    </row>
    <row r="828">
      <c r="E828" s="45"/>
    </row>
    <row r="829">
      <c r="E829" s="45"/>
    </row>
    <row r="830">
      <c r="E830" s="45"/>
    </row>
    <row r="831">
      <c r="E831" s="45"/>
    </row>
    <row r="832">
      <c r="E832" s="45"/>
    </row>
    <row r="833">
      <c r="E833" s="45"/>
    </row>
    <row r="834">
      <c r="E834" s="45"/>
    </row>
    <row r="835">
      <c r="E835" s="45"/>
    </row>
    <row r="836">
      <c r="E836" s="45"/>
    </row>
    <row r="837">
      <c r="E837" s="45"/>
    </row>
    <row r="838">
      <c r="E838" s="45"/>
    </row>
    <row r="839">
      <c r="E839" s="45"/>
    </row>
    <row r="840">
      <c r="E840" s="45"/>
    </row>
    <row r="841">
      <c r="E841" s="45"/>
    </row>
    <row r="842">
      <c r="E842" s="45"/>
    </row>
    <row r="843">
      <c r="E843" s="45"/>
    </row>
    <row r="844">
      <c r="E844" s="45"/>
    </row>
    <row r="845">
      <c r="E845" s="45"/>
    </row>
    <row r="846">
      <c r="E846" s="45"/>
    </row>
    <row r="847">
      <c r="E847" s="45"/>
    </row>
    <row r="848">
      <c r="E848" s="45"/>
    </row>
    <row r="849">
      <c r="E849" s="45"/>
    </row>
    <row r="850">
      <c r="E850" s="45"/>
    </row>
    <row r="851">
      <c r="E851" s="45"/>
    </row>
    <row r="852">
      <c r="E852" s="45"/>
    </row>
    <row r="853">
      <c r="E853" s="45"/>
    </row>
    <row r="854">
      <c r="E854" s="45"/>
    </row>
    <row r="855">
      <c r="E855" s="45"/>
    </row>
    <row r="856">
      <c r="E856" s="45"/>
    </row>
    <row r="857">
      <c r="E857" s="45"/>
    </row>
    <row r="858">
      <c r="E858" s="45"/>
    </row>
    <row r="859">
      <c r="E859" s="45"/>
    </row>
    <row r="860">
      <c r="E860" s="45"/>
    </row>
    <row r="861">
      <c r="E861" s="45"/>
    </row>
    <row r="862">
      <c r="E862" s="45"/>
    </row>
    <row r="863">
      <c r="E863" s="45"/>
    </row>
    <row r="864">
      <c r="E864" s="45"/>
    </row>
    <row r="865">
      <c r="E865" s="45"/>
    </row>
    <row r="866">
      <c r="E866" s="45"/>
    </row>
    <row r="867">
      <c r="E867" s="45"/>
    </row>
    <row r="868">
      <c r="E868" s="45"/>
    </row>
    <row r="869">
      <c r="E869" s="45"/>
    </row>
    <row r="870">
      <c r="E870" s="45"/>
    </row>
    <row r="871">
      <c r="E871" s="45"/>
    </row>
    <row r="872">
      <c r="E872" s="45"/>
    </row>
    <row r="873">
      <c r="E873" s="45"/>
    </row>
    <row r="874">
      <c r="E874" s="45"/>
    </row>
    <row r="875">
      <c r="E875" s="45"/>
    </row>
    <row r="876">
      <c r="E876" s="45"/>
    </row>
    <row r="877">
      <c r="E877" s="45"/>
    </row>
    <row r="878">
      <c r="E878" s="45"/>
    </row>
    <row r="879">
      <c r="E879" s="45"/>
    </row>
    <row r="880">
      <c r="E880" s="45"/>
    </row>
    <row r="881">
      <c r="E881" s="45"/>
    </row>
    <row r="882">
      <c r="E882" s="45"/>
    </row>
    <row r="883">
      <c r="E883" s="45"/>
    </row>
    <row r="884">
      <c r="E884" s="45"/>
    </row>
    <row r="885">
      <c r="E885" s="45"/>
    </row>
    <row r="886">
      <c r="E886" s="45"/>
    </row>
    <row r="887">
      <c r="E887" s="45"/>
    </row>
    <row r="888">
      <c r="E888" s="45"/>
    </row>
    <row r="889">
      <c r="E889" s="45"/>
    </row>
    <row r="890">
      <c r="E890" s="45"/>
    </row>
    <row r="891">
      <c r="E891" s="45"/>
    </row>
    <row r="892">
      <c r="E892" s="45"/>
    </row>
    <row r="893">
      <c r="E893" s="45"/>
    </row>
    <row r="894">
      <c r="E894" s="45"/>
    </row>
    <row r="895">
      <c r="E895" s="45"/>
    </row>
    <row r="896">
      <c r="E896" s="45"/>
    </row>
    <row r="897">
      <c r="E897" s="45"/>
    </row>
    <row r="898">
      <c r="E898" s="45"/>
    </row>
    <row r="899">
      <c r="E899" s="45"/>
    </row>
    <row r="900">
      <c r="E900" s="45"/>
    </row>
    <row r="901">
      <c r="E901" s="45"/>
    </row>
    <row r="902">
      <c r="E902" s="45"/>
    </row>
    <row r="903">
      <c r="E903" s="45"/>
    </row>
    <row r="904">
      <c r="E904" s="45"/>
    </row>
    <row r="905">
      <c r="E905" s="45"/>
    </row>
    <row r="906">
      <c r="E906" s="45"/>
    </row>
    <row r="907">
      <c r="E907" s="45"/>
    </row>
    <row r="908">
      <c r="E908" s="45"/>
    </row>
    <row r="909">
      <c r="E909" s="45"/>
    </row>
    <row r="910">
      <c r="E910" s="45"/>
    </row>
    <row r="911">
      <c r="E911" s="45"/>
    </row>
    <row r="912">
      <c r="E912" s="45"/>
    </row>
    <row r="913">
      <c r="E913" s="45"/>
    </row>
    <row r="914">
      <c r="E914" s="45"/>
    </row>
    <row r="915">
      <c r="E915" s="45"/>
    </row>
    <row r="916">
      <c r="E916" s="45"/>
    </row>
    <row r="917">
      <c r="E917" s="45"/>
    </row>
    <row r="918">
      <c r="E918" s="45"/>
    </row>
    <row r="919">
      <c r="E919" s="45"/>
    </row>
    <row r="920">
      <c r="E920" s="45"/>
    </row>
    <row r="921">
      <c r="E921" s="45"/>
    </row>
    <row r="922">
      <c r="E922" s="45"/>
    </row>
    <row r="923">
      <c r="E923" s="45"/>
    </row>
    <row r="924">
      <c r="E924" s="45"/>
    </row>
    <row r="925">
      <c r="E925" s="45"/>
    </row>
    <row r="926">
      <c r="E926" s="45"/>
    </row>
    <row r="927">
      <c r="E927" s="45"/>
    </row>
    <row r="928">
      <c r="E928" s="45"/>
    </row>
    <row r="929">
      <c r="E929" s="45"/>
    </row>
    <row r="930">
      <c r="E930" s="45"/>
    </row>
    <row r="931">
      <c r="E931" s="45"/>
    </row>
    <row r="932">
      <c r="E932" s="45"/>
    </row>
    <row r="933">
      <c r="E933" s="45"/>
    </row>
    <row r="934">
      <c r="E934" s="45"/>
    </row>
    <row r="935">
      <c r="E935" s="45"/>
    </row>
    <row r="936">
      <c r="E936" s="45"/>
    </row>
    <row r="937">
      <c r="E937" s="45"/>
    </row>
    <row r="938">
      <c r="E938" s="45"/>
    </row>
    <row r="939">
      <c r="E939" s="45"/>
    </row>
    <row r="940">
      <c r="E940" s="45"/>
    </row>
    <row r="941">
      <c r="E941" s="45"/>
    </row>
    <row r="942">
      <c r="E942" s="45"/>
    </row>
    <row r="943">
      <c r="E943" s="45"/>
    </row>
    <row r="944">
      <c r="E944" s="45"/>
    </row>
    <row r="945">
      <c r="E945" s="45"/>
    </row>
    <row r="946">
      <c r="E946" s="45"/>
    </row>
    <row r="947">
      <c r="E947" s="45"/>
    </row>
    <row r="948">
      <c r="E948" s="45"/>
    </row>
    <row r="949">
      <c r="E949" s="45"/>
    </row>
  </sheetData>
  <mergeCells count="1">
    <mergeCell ref="C1:A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25"/>
    <col customWidth="1" min="2" max="2" width="14.0"/>
    <col customWidth="1" min="3" max="3" width="6.38"/>
    <col customWidth="1" min="4" max="4" width="7.88"/>
    <col customWidth="1" min="5" max="5" width="8.88"/>
    <col customWidth="1" min="6" max="6" width="7.75"/>
    <col customWidth="1" min="7" max="7" width="6.0"/>
    <col customWidth="1" min="8" max="9" width="6.25"/>
    <col customWidth="1" min="10" max="10" width="6.38"/>
    <col customWidth="1" min="11" max="11" width="8.13"/>
    <col customWidth="1" min="12" max="12" width="10.38"/>
    <col customWidth="1" min="13" max="13" width="6.38"/>
    <col customWidth="1" min="14" max="14" width="15.63"/>
    <col customWidth="1" min="15" max="15" width="6.88"/>
    <col customWidth="1" min="16" max="16" width="9.63"/>
    <col customWidth="1" min="17" max="17" width="7.25"/>
    <col customWidth="1" min="18" max="18" width="9.0"/>
    <col customWidth="1" min="19" max="19" width="7.75"/>
    <col customWidth="1" min="20" max="20" width="6.5"/>
    <col customWidth="1" min="21" max="21" width="8.25"/>
    <col customWidth="1" min="22" max="22" width="10.38"/>
    <col customWidth="1" min="23" max="23" width="11.0"/>
    <col customWidth="1" min="24" max="24" width="10.63"/>
    <col customWidth="1" min="25" max="25" width="11.13"/>
    <col customWidth="1" min="26" max="26" width="5.38"/>
    <col customWidth="1" min="27" max="27" width="9.5"/>
    <col customWidth="1" min="28" max="28" width="9.13"/>
    <col customWidth="1" min="29" max="29" width="9.75"/>
    <col customWidth="1" min="30" max="30" width="10.63"/>
    <col customWidth="1" min="31" max="31" width="8.25"/>
    <col customWidth="1" min="32" max="32" width="7.63"/>
    <col customWidth="1" min="33" max="33" width="9.25"/>
    <col customWidth="1" min="34" max="34" width="10.75"/>
    <col customWidth="1" min="35" max="35" width="10.13"/>
    <col customWidth="1" min="36" max="36" width="8.25"/>
  </cols>
  <sheetData>
    <row r="1">
      <c r="A1" s="1"/>
      <c r="B1" s="1"/>
      <c r="C1" s="3" t="s">
        <v>0</v>
      </c>
    </row>
    <row r="2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9" t="s">
        <v>14</v>
      </c>
      <c r="O2" s="10" t="s">
        <v>5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24</v>
      </c>
      <c r="AF2" s="9" t="s">
        <v>25</v>
      </c>
      <c r="AG2" s="9" t="s">
        <v>26</v>
      </c>
      <c r="AH2" s="9" t="s">
        <v>27</v>
      </c>
      <c r="AI2" s="9" t="s">
        <v>28</v>
      </c>
      <c r="AJ2" s="9" t="s">
        <v>29</v>
      </c>
    </row>
    <row r="3">
      <c r="A3" s="11" t="str">
        <f>'Team Statistics'!A34</f>
        <v>Spam Folder</v>
      </c>
      <c r="B3" s="12" t="str">
        <f>'Team Statistics'!B34</f>
        <v>Icey Tanker</v>
      </c>
      <c r="C3" s="16">
        <f>'Team Statistics'!C34</f>
        <v>8</v>
      </c>
      <c r="D3" s="16">
        <f>'Team Statistics'!D34</f>
        <v>6</v>
      </c>
      <c r="E3" s="18">
        <f>'Team Statistics'!E34</f>
        <v>282</v>
      </c>
      <c r="F3" s="16">
        <f>'Team Statistics'!F34</f>
        <v>9</v>
      </c>
      <c r="G3" s="16">
        <f>'Team Statistics'!G34</f>
        <v>1227</v>
      </c>
      <c r="H3" s="16">
        <f>'Team Statistics'!H34</f>
        <v>65</v>
      </c>
      <c r="I3" s="16">
        <f>'Team Statistics'!I34</f>
        <v>928</v>
      </c>
      <c r="J3" s="16">
        <f>'Team Statistics'!J34</f>
        <v>299</v>
      </c>
      <c r="K3" s="26">
        <f>'Team Statistics'!K34</f>
        <v>1.322198276</v>
      </c>
      <c r="L3" s="18">
        <f>'Team Statistics'!L34</f>
        <v>18.23275862</v>
      </c>
      <c r="M3" s="16">
        <f>'Team Statistics'!M34</f>
        <v>2057</v>
      </c>
      <c r="N3" s="16">
        <f>'Team Statistics'!N34</f>
        <v>8</v>
      </c>
      <c r="O3" s="27">
        <f>'Team Statistics'!O34</f>
        <v>282</v>
      </c>
      <c r="P3" s="16">
        <f>'Team Statistics'!P34</f>
        <v>223</v>
      </c>
      <c r="Q3" s="16">
        <f>'Team Statistics'!Q34</f>
        <v>65</v>
      </c>
      <c r="R3" s="16">
        <f>'Team Statistics'!R34</f>
        <v>16</v>
      </c>
      <c r="S3" s="16">
        <f>'Team Statistics'!S34</f>
        <v>4</v>
      </c>
      <c r="T3" s="16">
        <f>'Team Statistics'!T34</f>
        <v>33</v>
      </c>
      <c r="U3" s="16">
        <f>'Team Statistics'!U34</f>
        <v>2</v>
      </c>
      <c r="V3" s="16">
        <f>'Team Statistics'!V34</f>
        <v>0</v>
      </c>
      <c r="W3" s="16">
        <f>'Team Statistics'!W34</f>
        <v>1</v>
      </c>
      <c r="X3" s="16">
        <f>'Team Statistics'!X34</f>
        <v>0</v>
      </c>
      <c r="Y3" s="16">
        <f>'Team Statistics'!Y34</f>
        <v>0</v>
      </c>
      <c r="Z3" s="16">
        <f>'Team Statistics'!Z34</f>
        <v>1</v>
      </c>
      <c r="AA3" s="16">
        <f>'Team Statistics'!AA34</f>
        <v>1</v>
      </c>
      <c r="AB3" s="16">
        <f>'Team Statistics'!AB34</f>
        <v>1</v>
      </c>
      <c r="AC3" s="16">
        <f>'Team Statistics'!AC34</f>
        <v>0</v>
      </c>
      <c r="AD3" s="16">
        <f>'Team Statistics'!AD34</f>
        <v>0</v>
      </c>
      <c r="AE3" s="16" t="str">
        <f t="shared" ref="AE3:AJ3" si="1">#REF!</f>
        <v>#REF!</v>
      </c>
      <c r="AF3" s="16" t="str">
        <f t="shared" si="1"/>
        <v>#REF!</v>
      </c>
      <c r="AG3" s="16" t="str">
        <f t="shared" si="1"/>
        <v>#REF!</v>
      </c>
      <c r="AH3" s="16" t="str">
        <f t="shared" si="1"/>
        <v>#REF!</v>
      </c>
      <c r="AI3" s="16" t="str">
        <f t="shared" si="1"/>
        <v>#REF!</v>
      </c>
      <c r="AJ3" s="16" t="str">
        <f t="shared" si="1"/>
        <v>#REF!</v>
      </c>
    </row>
    <row r="4">
      <c r="A4" s="11" t="str">
        <f>'Team Statistics'!A19</f>
        <v>BOGO Margs</v>
      </c>
      <c r="B4" s="12" t="str">
        <f>'Team Statistics'!B19</f>
        <v>Judasey</v>
      </c>
      <c r="C4" s="16">
        <f>'Team Statistics'!C19</f>
        <v>5</v>
      </c>
      <c r="D4" s="16">
        <f>'Team Statistics'!D19</f>
        <v>3</v>
      </c>
      <c r="E4" s="18">
        <f>'Team Statistics'!E19</f>
        <v>169.85</v>
      </c>
      <c r="F4" s="16">
        <f>'Team Statistics'!F19</f>
        <v>2</v>
      </c>
      <c r="G4" s="16">
        <f>'Team Statistics'!G19</f>
        <v>859</v>
      </c>
      <c r="H4" s="16">
        <f>'Team Statistics'!H19</f>
        <v>55</v>
      </c>
      <c r="I4" s="16">
        <f>'Team Statistics'!I19</f>
        <v>667</v>
      </c>
      <c r="J4" s="16">
        <f>'Team Statistics'!J19</f>
        <v>192</v>
      </c>
      <c r="K4" s="26">
        <f>'Team Statistics'!K19</f>
        <v>1.287856072</v>
      </c>
      <c r="L4" s="18">
        <f>'Team Statistics'!L19</f>
        <v>15.27886057</v>
      </c>
      <c r="M4" s="16">
        <f>'Team Statistics'!M19</f>
        <v>1443</v>
      </c>
      <c r="N4" s="16">
        <f>'Team Statistics'!N19</f>
        <v>5</v>
      </c>
      <c r="O4" s="27">
        <f>'Team Statistics'!O19</f>
        <v>169.85</v>
      </c>
      <c r="P4" s="16">
        <f>'Team Statistics'!P19</f>
        <v>185</v>
      </c>
      <c r="Q4" s="16">
        <f>'Team Statistics'!Q19</f>
        <v>61</v>
      </c>
      <c r="R4" s="16">
        <f>'Team Statistics'!R19</f>
        <v>16</v>
      </c>
      <c r="S4" s="16">
        <f>'Team Statistics'!S19</f>
        <v>3</v>
      </c>
      <c r="T4" s="16">
        <f>'Team Statistics'!T19</f>
        <v>23</v>
      </c>
      <c r="U4" s="16">
        <f>'Team Statistics'!U19</f>
        <v>0</v>
      </c>
      <c r="V4" s="16">
        <f>'Team Statistics'!V19</f>
        <v>0</v>
      </c>
      <c r="W4" s="16">
        <f>'Team Statistics'!W19</f>
        <v>0</v>
      </c>
      <c r="X4" s="16">
        <f>'Team Statistics'!X19</f>
        <v>0</v>
      </c>
      <c r="Y4" s="16">
        <f>'Team Statistics'!Y19</f>
        <v>0</v>
      </c>
      <c r="Z4" s="16">
        <f>'Team Statistics'!Z19</f>
        <v>1</v>
      </c>
      <c r="AA4" s="16">
        <f>'Team Statistics'!AA19</f>
        <v>0</v>
      </c>
      <c r="AB4" s="16">
        <f>'Team Statistics'!AB19</f>
        <v>0</v>
      </c>
      <c r="AC4" s="16">
        <f>'Team Statistics'!AC19</f>
        <v>0</v>
      </c>
      <c r="AD4" s="16">
        <f>'Team Statistics'!AD19</f>
        <v>0</v>
      </c>
      <c r="AE4" s="16" t="str">
        <f t="shared" ref="AE4:AJ4" si="2">#REF!</f>
        <v>#REF!</v>
      </c>
      <c r="AF4" s="16" t="str">
        <f t="shared" si="2"/>
        <v>#REF!</v>
      </c>
      <c r="AG4" s="16" t="str">
        <f t="shared" si="2"/>
        <v>#REF!</v>
      </c>
      <c r="AH4" s="16" t="str">
        <f t="shared" si="2"/>
        <v>#REF!</v>
      </c>
      <c r="AI4" s="16" t="str">
        <f t="shared" si="2"/>
        <v>#REF!</v>
      </c>
      <c r="AJ4" s="16" t="str">
        <f t="shared" si="2"/>
        <v>#REF!</v>
      </c>
    </row>
    <row r="5">
      <c r="A5" s="11" t="str">
        <f>'Team Statistics'!A35</f>
        <v>Spam Folder</v>
      </c>
      <c r="B5" s="12" t="str">
        <f>'Team Statistics'!B35</f>
        <v>Grunt Padre</v>
      </c>
      <c r="C5" s="16">
        <f>'Team Statistics'!C35</f>
        <v>8</v>
      </c>
      <c r="D5" s="16">
        <f>'Team Statistics'!D35</f>
        <v>6</v>
      </c>
      <c r="E5" s="18">
        <f>'Team Statistics'!E35</f>
        <v>282</v>
      </c>
      <c r="F5" s="16">
        <f>'Team Statistics'!F35</f>
        <v>2</v>
      </c>
      <c r="G5" s="16">
        <f>'Team Statistics'!G35</f>
        <v>1096</v>
      </c>
      <c r="H5" s="16">
        <f>'Team Statistics'!H35</f>
        <v>77</v>
      </c>
      <c r="I5" s="16">
        <f>'Team Statistics'!I35</f>
        <v>1360</v>
      </c>
      <c r="J5" s="16">
        <f>'Team Statistics'!J35</f>
        <v>-264</v>
      </c>
      <c r="K5" s="26">
        <f>'Team Statistics'!K35</f>
        <v>0.8058823529</v>
      </c>
      <c r="L5" s="18">
        <f>'Team Statistics'!L35</f>
        <v>12.44117647</v>
      </c>
      <c r="M5" s="16">
        <f>'Team Statistics'!M35</f>
        <v>1732</v>
      </c>
      <c r="N5" s="16">
        <f>'Team Statistics'!N35</f>
        <v>8</v>
      </c>
      <c r="O5" s="27">
        <f>'Team Statistics'!O35</f>
        <v>282</v>
      </c>
      <c r="P5" s="16">
        <f>'Team Statistics'!P35</f>
        <v>185</v>
      </c>
      <c r="Q5" s="16">
        <f>'Team Statistics'!Q35</f>
        <v>35</v>
      </c>
      <c r="R5" s="16">
        <f>'Team Statistics'!R35</f>
        <v>8</v>
      </c>
      <c r="S5" s="16">
        <f>'Team Statistics'!S35</f>
        <v>2</v>
      </c>
      <c r="T5" s="16">
        <f>'Team Statistics'!T35</f>
        <v>16</v>
      </c>
      <c r="U5" s="16">
        <f>'Team Statistics'!U35</f>
        <v>0</v>
      </c>
      <c r="V5" s="16">
        <f>'Team Statistics'!V35</f>
        <v>0</v>
      </c>
      <c r="W5" s="16">
        <f>'Team Statistics'!W35</f>
        <v>0</v>
      </c>
      <c r="X5" s="16">
        <f>'Team Statistics'!X35</f>
        <v>0</v>
      </c>
      <c r="Y5" s="16">
        <f>'Team Statistics'!Y35</f>
        <v>0</v>
      </c>
      <c r="Z5" s="16">
        <f>'Team Statistics'!Z35</f>
        <v>0</v>
      </c>
      <c r="AA5" s="16">
        <f>'Team Statistics'!AA35</f>
        <v>0</v>
      </c>
      <c r="AB5" s="16">
        <f>'Team Statistics'!AB35</f>
        <v>0</v>
      </c>
      <c r="AC5" s="16">
        <f>'Team Statistics'!AC35</f>
        <v>0</v>
      </c>
      <c r="AD5" s="16">
        <f>'Team Statistics'!AD35</f>
        <v>0</v>
      </c>
      <c r="AE5" s="16" t="str">
        <f t="shared" ref="AE5:AJ5" si="3">#REF!</f>
        <v>#REF!</v>
      </c>
      <c r="AF5" s="16" t="str">
        <f t="shared" si="3"/>
        <v>#REF!</v>
      </c>
      <c r="AG5" s="16" t="str">
        <f t="shared" si="3"/>
        <v>#REF!</v>
      </c>
      <c r="AH5" s="16" t="str">
        <f t="shared" si="3"/>
        <v>#REF!</v>
      </c>
      <c r="AI5" s="16" t="str">
        <f t="shared" si="3"/>
        <v>#REF!</v>
      </c>
      <c r="AJ5" s="16" t="str">
        <f t="shared" si="3"/>
        <v>#REF!</v>
      </c>
    </row>
    <row r="6">
      <c r="A6" s="11" t="str">
        <f>'Team Statistics'!A29</f>
        <v>Eurostars</v>
      </c>
      <c r="B6" s="12" t="str">
        <f>'Team Statistics'!B29</f>
        <v>oDhmon</v>
      </c>
      <c r="C6" s="16">
        <f>'Team Statistics'!C29</f>
        <v>4</v>
      </c>
      <c r="D6" s="16">
        <f>'Team Statistics'!D29</f>
        <v>2</v>
      </c>
      <c r="E6" s="18">
        <f>'Team Statistics'!E29</f>
        <v>206.9</v>
      </c>
      <c r="F6" s="16">
        <f>'Team Statistics'!F29</f>
        <v>4</v>
      </c>
      <c r="G6" s="16">
        <f>'Team Statistics'!G29</f>
        <v>938</v>
      </c>
      <c r="H6" s="16">
        <f>'Team Statistics'!H29</f>
        <v>65</v>
      </c>
      <c r="I6" s="16">
        <f>'Team Statistics'!I29</f>
        <v>765</v>
      </c>
      <c r="J6" s="16">
        <f>'Team Statistics'!J29</f>
        <v>173</v>
      </c>
      <c r="K6" s="26">
        <f>'Team Statistics'!K29</f>
        <v>1.226143791</v>
      </c>
      <c r="L6" s="18">
        <f>'Team Statistics'!L29</f>
        <v>16.22745098</v>
      </c>
      <c r="M6" s="16">
        <f>'Team Statistics'!M29</f>
        <v>1511</v>
      </c>
      <c r="N6" s="16">
        <f>'Team Statistics'!N29</f>
        <v>4</v>
      </c>
      <c r="O6" s="27">
        <f>'Team Statistics'!O29</f>
        <v>206.9</v>
      </c>
      <c r="P6" s="16">
        <f>'Team Statistics'!P29</f>
        <v>152</v>
      </c>
      <c r="Q6" s="16">
        <f>'Team Statistics'!Q29</f>
        <v>35</v>
      </c>
      <c r="R6" s="16">
        <f>'Team Statistics'!R29</f>
        <v>8</v>
      </c>
      <c r="S6" s="16">
        <f>'Team Statistics'!S29</f>
        <v>0</v>
      </c>
      <c r="T6" s="16">
        <f>'Team Statistics'!T29</f>
        <v>23</v>
      </c>
      <c r="U6" s="16">
        <f>'Team Statistics'!U29</f>
        <v>0</v>
      </c>
      <c r="V6" s="16">
        <f>'Team Statistics'!V29</f>
        <v>0</v>
      </c>
      <c r="W6" s="16">
        <f>'Team Statistics'!W29</f>
        <v>0</v>
      </c>
      <c r="X6" s="16">
        <f>'Team Statistics'!X29</f>
        <v>0</v>
      </c>
      <c r="Y6" s="16">
        <f>'Team Statistics'!Y29</f>
        <v>0</v>
      </c>
      <c r="Z6" s="16">
        <f>'Team Statistics'!Z29</f>
        <v>0</v>
      </c>
      <c r="AA6" s="16">
        <f>'Team Statistics'!AA29</f>
        <v>0</v>
      </c>
      <c r="AB6" s="16">
        <f>'Team Statistics'!AB29</f>
        <v>0</v>
      </c>
      <c r="AC6" s="16">
        <f>'Team Statistics'!AC29</f>
        <v>0</v>
      </c>
      <c r="AD6" s="16">
        <f>'Team Statistics'!AD29</f>
        <v>0</v>
      </c>
      <c r="AE6" s="16" t="str">
        <f t="shared" ref="AE6:AJ6" si="4">#REF!</f>
        <v>#REF!</v>
      </c>
      <c r="AF6" s="16" t="str">
        <f t="shared" si="4"/>
        <v>#REF!</v>
      </c>
      <c r="AG6" s="16" t="str">
        <f t="shared" si="4"/>
        <v>#REF!</v>
      </c>
      <c r="AH6" s="16" t="str">
        <f t="shared" si="4"/>
        <v>#REF!</v>
      </c>
      <c r="AI6" s="16" t="str">
        <f t="shared" si="4"/>
        <v>#REF!</v>
      </c>
      <c r="AJ6" s="16" t="str">
        <f t="shared" si="4"/>
        <v>#REF!</v>
      </c>
    </row>
    <row r="7">
      <c r="A7" s="11" t="str">
        <f>'Team Statistics'!A63</f>
        <v>Originals</v>
      </c>
      <c r="B7" s="12" t="str">
        <f>'Team Statistics'!B63</f>
        <v>Galvann</v>
      </c>
      <c r="C7" s="16">
        <f>'Team Statistics'!C63</f>
        <v>5</v>
      </c>
      <c r="D7" s="16">
        <f>'Team Statistics'!D63</f>
        <v>5</v>
      </c>
      <c r="E7" s="18">
        <f>'Team Statistics'!E63</f>
        <v>65</v>
      </c>
      <c r="F7" s="16">
        <f>'Team Statistics'!F63</f>
        <v>1</v>
      </c>
      <c r="G7" s="16">
        <f>'Team Statistics'!G63</f>
        <v>354</v>
      </c>
      <c r="H7" s="16">
        <f>'Team Statistics'!H63</f>
        <v>29</v>
      </c>
      <c r="I7" s="16">
        <f>'Team Statistics'!I63</f>
        <v>255</v>
      </c>
      <c r="J7" s="16">
        <f>'Team Statistics'!J63</f>
        <v>99</v>
      </c>
      <c r="K7" s="26">
        <f>'Team Statistics'!K63</f>
        <v>1.388235294</v>
      </c>
      <c r="L7" s="18">
        <f>'Team Statistics'!L63</f>
        <v>15.29411765</v>
      </c>
      <c r="M7" s="16">
        <f>'Team Statistics'!M63</f>
        <v>601</v>
      </c>
      <c r="N7" s="16">
        <f>'Team Statistics'!N63</f>
        <v>5</v>
      </c>
      <c r="O7" s="27">
        <f>'Team Statistics'!O63</f>
        <v>65</v>
      </c>
      <c r="P7" s="16">
        <f>'Team Statistics'!P63</f>
        <v>72</v>
      </c>
      <c r="Q7" s="16">
        <f>'Team Statistics'!Q63</f>
        <v>19</v>
      </c>
      <c r="R7" s="16">
        <f>'Team Statistics'!R63</f>
        <v>6</v>
      </c>
      <c r="S7" s="16">
        <f>'Team Statistics'!S63</f>
        <v>1</v>
      </c>
      <c r="T7" s="16">
        <f>'Team Statistics'!T63</f>
        <v>5</v>
      </c>
      <c r="U7" s="16">
        <f>'Team Statistics'!U63</f>
        <v>0</v>
      </c>
      <c r="V7" s="16">
        <f>'Team Statistics'!V63</f>
        <v>0</v>
      </c>
      <c r="W7" s="16">
        <f>'Team Statistics'!W63</f>
        <v>0</v>
      </c>
      <c r="X7" s="16">
        <f>'Team Statistics'!X63</f>
        <v>0</v>
      </c>
      <c r="Y7" s="16">
        <f>'Team Statistics'!Y63</f>
        <v>0</v>
      </c>
      <c r="Z7" s="16">
        <f>'Team Statistics'!Z63</f>
        <v>0</v>
      </c>
      <c r="AA7" s="16">
        <f>'Team Statistics'!AA63</f>
        <v>0</v>
      </c>
      <c r="AB7" s="16">
        <f>'Team Statistics'!AB63</f>
        <v>0</v>
      </c>
      <c r="AC7" s="16">
        <f>'Team Statistics'!AC63</f>
        <v>0</v>
      </c>
      <c r="AD7" s="16">
        <f>'Team Statistics'!AD63</f>
        <v>0</v>
      </c>
      <c r="AE7" s="16" t="str">
        <f t="shared" ref="AE7:AJ7" si="5">#REF!</f>
        <v>#REF!</v>
      </c>
      <c r="AF7" s="16" t="str">
        <f t="shared" si="5"/>
        <v>#REF!</v>
      </c>
      <c r="AG7" s="16" t="str">
        <f t="shared" si="5"/>
        <v>#REF!</v>
      </c>
      <c r="AH7" s="16" t="str">
        <f t="shared" si="5"/>
        <v>#REF!</v>
      </c>
      <c r="AI7" s="16" t="str">
        <f t="shared" si="5"/>
        <v>#REF!</v>
      </c>
      <c r="AJ7" s="16" t="str">
        <f t="shared" si="5"/>
        <v>#REF!</v>
      </c>
    </row>
    <row r="8">
      <c r="A8" s="11" t="str">
        <f>'Team Statistics'!A4</f>
        <v>Noble Team</v>
      </c>
      <c r="B8" s="12" t="str">
        <f>'Team Statistics'!B4</f>
        <v>Ace B S1lentND1</v>
      </c>
      <c r="C8" s="16">
        <f>'Team Statistics'!C4</f>
        <v>5</v>
      </c>
      <c r="D8" s="16">
        <f>'Team Statistics'!D4</f>
        <v>3</v>
      </c>
      <c r="E8" s="27">
        <f>'Team Statistics'!E4</f>
        <v>118.9</v>
      </c>
      <c r="F8" s="16">
        <f>'Team Statistics'!F4</f>
        <v>3</v>
      </c>
      <c r="G8" s="16">
        <f>'Team Statistics'!G4</f>
        <v>557</v>
      </c>
      <c r="H8" s="16">
        <f>'Team Statistics'!H4</f>
        <v>49</v>
      </c>
      <c r="I8" s="16">
        <f>'Team Statistics'!I4</f>
        <v>494</v>
      </c>
      <c r="J8" s="16">
        <f>'Team Statistics'!J4</f>
        <v>63</v>
      </c>
      <c r="K8" s="26">
        <f>'Team Statistics'!K4</f>
        <v>1.127530364</v>
      </c>
      <c r="L8" s="18">
        <f>'Team Statistics'!L4</f>
        <v>14.44129555</v>
      </c>
      <c r="M8" s="16">
        <f>'Team Statistics'!M4</f>
        <v>958</v>
      </c>
      <c r="N8" s="16">
        <f>'Team Statistics'!N4</f>
        <v>5</v>
      </c>
      <c r="O8" s="27">
        <f>'Team Statistics'!O4</f>
        <v>118.9</v>
      </c>
      <c r="P8" s="16">
        <f>'Team Statistics'!P4</f>
        <v>113</v>
      </c>
      <c r="Q8" s="16">
        <f>'Team Statistics'!Q4</f>
        <v>22</v>
      </c>
      <c r="R8" s="16">
        <f>'Team Statistics'!R4</f>
        <v>5</v>
      </c>
      <c r="S8" s="16">
        <f>'Team Statistics'!S4</f>
        <v>1</v>
      </c>
      <c r="T8" s="16">
        <f>'Team Statistics'!T4</f>
        <v>14</v>
      </c>
      <c r="U8" s="16">
        <f>'Team Statistics'!U4</f>
        <v>0</v>
      </c>
      <c r="V8" s="16">
        <f>'Team Statistics'!V4</f>
        <v>0</v>
      </c>
      <c r="W8" s="16">
        <f>'Team Statistics'!W4</f>
        <v>1</v>
      </c>
      <c r="X8" s="16">
        <f>'Team Statistics'!X4</f>
        <v>0</v>
      </c>
      <c r="Y8" s="16">
        <f>'Team Statistics'!Y4</f>
        <v>0</v>
      </c>
      <c r="Z8" s="16">
        <f>'Team Statistics'!Z4</f>
        <v>1</v>
      </c>
      <c r="AA8" s="16">
        <f>'Team Statistics'!AA4</f>
        <v>0</v>
      </c>
      <c r="AB8" s="16">
        <f>'Team Statistics'!AB4</f>
        <v>0</v>
      </c>
      <c r="AC8" s="16">
        <f>'Team Statistics'!AC4</f>
        <v>0</v>
      </c>
      <c r="AD8" s="16">
        <f>'Team Statistics'!AD4</f>
        <v>0</v>
      </c>
      <c r="AE8" s="16" t="str">
        <f t="shared" ref="AE8:AJ8" si="6">#REF!</f>
        <v>#REF!</v>
      </c>
      <c r="AF8" s="16" t="str">
        <f t="shared" si="6"/>
        <v>#REF!</v>
      </c>
      <c r="AG8" s="16" t="str">
        <f t="shared" si="6"/>
        <v>#REF!</v>
      </c>
      <c r="AH8" s="16" t="str">
        <f t="shared" si="6"/>
        <v>#REF!</v>
      </c>
      <c r="AI8" s="16" t="str">
        <f t="shared" si="6"/>
        <v>#REF!</v>
      </c>
      <c r="AJ8" s="16" t="str">
        <f t="shared" si="6"/>
        <v>#REF!</v>
      </c>
    </row>
    <row r="9">
      <c r="A9" s="11" t="str">
        <f>'Team Statistics'!A23</f>
        <v>Minor Threat</v>
      </c>
      <c r="B9" s="12" t="str">
        <f>'Team Statistics'!B23</f>
        <v>Dat Twinkie</v>
      </c>
      <c r="C9" s="16">
        <f>'Team Statistics'!C23</f>
        <v>2</v>
      </c>
      <c r="D9" s="16">
        <f>'Team Statistics'!D23</f>
        <v>0</v>
      </c>
      <c r="E9" s="18">
        <f>'Team Statistics'!E23</f>
        <v>82.7</v>
      </c>
      <c r="F9" s="16">
        <f>'Team Statistics'!F23</f>
        <v>0</v>
      </c>
      <c r="G9" s="16">
        <f>'Team Statistics'!G23</f>
        <v>399</v>
      </c>
      <c r="H9" s="16">
        <f>'Team Statistics'!H23</f>
        <v>33</v>
      </c>
      <c r="I9" s="16">
        <f>'Team Statistics'!I23</f>
        <v>411</v>
      </c>
      <c r="J9" s="16">
        <f>'Team Statistics'!J23</f>
        <v>-12</v>
      </c>
      <c r="K9" s="26">
        <f>'Team Statistics'!K23</f>
        <v>0.9708029197</v>
      </c>
      <c r="L9" s="18">
        <f>'Team Statistics'!L23</f>
        <v>12.0729927</v>
      </c>
      <c r="M9" s="16">
        <f>'Team Statistics'!M23</f>
        <v>634</v>
      </c>
      <c r="N9" s="16">
        <f>'Team Statistics'!N23</f>
        <v>2</v>
      </c>
      <c r="O9" s="27">
        <f>'Team Statistics'!O23</f>
        <v>82.7</v>
      </c>
      <c r="P9" s="16">
        <f>'Team Statistics'!P23</f>
        <v>54</v>
      </c>
      <c r="Q9" s="16">
        <f>'Team Statistics'!Q23</f>
        <v>20</v>
      </c>
      <c r="R9" s="16">
        <f>'Team Statistics'!R23</f>
        <v>4</v>
      </c>
      <c r="S9" s="16">
        <f>'Team Statistics'!S23</f>
        <v>2</v>
      </c>
      <c r="T9" s="16">
        <f>'Team Statistics'!T23</f>
        <v>3</v>
      </c>
      <c r="U9" s="16">
        <f>'Team Statistics'!U23</f>
        <v>0</v>
      </c>
      <c r="V9" s="16">
        <f>'Team Statistics'!V23</f>
        <v>0</v>
      </c>
      <c r="W9" s="16">
        <f>'Team Statistics'!W23</f>
        <v>0</v>
      </c>
      <c r="X9" s="16">
        <f>'Team Statistics'!X23</f>
        <v>0</v>
      </c>
      <c r="Y9" s="16">
        <f>'Team Statistics'!Y23</f>
        <v>0</v>
      </c>
      <c r="Z9" s="16">
        <f>'Team Statistics'!Z23</f>
        <v>1</v>
      </c>
      <c r="AA9" s="16">
        <f>'Team Statistics'!AA23</f>
        <v>0</v>
      </c>
      <c r="AB9" s="16">
        <f>'Team Statistics'!AB23</f>
        <v>0</v>
      </c>
      <c r="AC9" s="16">
        <f>'Team Statistics'!AC23</f>
        <v>0</v>
      </c>
      <c r="AD9" s="16">
        <f>'Team Statistics'!AD23</f>
        <v>0</v>
      </c>
      <c r="AE9" s="16" t="str">
        <f t="shared" ref="AE9:AJ9" si="7">#REF!</f>
        <v>#REF!</v>
      </c>
      <c r="AF9" s="16" t="str">
        <f t="shared" si="7"/>
        <v>#REF!</v>
      </c>
      <c r="AG9" s="16" t="str">
        <f t="shared" si="7"/>
        <v>#REF!</v>
      </c>
      <c r="AH9" s="16" t="str">
        <f t="shared" si="7"/>
        <v>#REF!</v>
      </c>
      <c r="AI9" s="16" t="str">
        <f t="shared" si="7"/>
        <v>#REF!</v>
      </c>
      <c r="AJ9" s="16" t="str">
        <f t="shared" si="7"/>
        <v>#REF!</v>
      </c>
    </row>
    <row r="10">
      <c r="A10" s="11" t="str">
        <f>'Team Statistics'!A28</f>
        <v>Eurostars</v>
      </c>
      <c r="B10" s="12" t="str">
        <f>'Team Statistics'!B28</f>
        <v>CaptainSev004</v>
      </c>
      <c r="C10" s="16">
        <f>'Team Statistics'!C28</f>
        <v>4</v>
      </c>
      <c r="D10" s="16">
        <f>'Team Statistics'!D28</f>
        <v>2</v>
      </c>
      <c r="E10" s="18">
        <f>'Team Statistics'!E28</f>
        <v>206.9</v>
      </c>
      <c r="F10" s="16">
        <f>'Team Statistics'!F28</f>
        <v>2</v>
      </c>
      <c r="G10" s="16">
        <f>'Team Statistics'!G28</f>
        <v>787</v>
      </c>
      <c r="H10" s="16">
        <f>'Team Statistics'!H28</f>
        <v>34</v>
      </c>
      <c r="I10" s="16">
        <f>'Team Statistics'!I28</f>
        <v>842</v>
      </c>
      <c r="J10" s="16">
        <f>'Team Statistics'!J28</f>
        <v>-55</v>
      </c>
      <c r="K10" s="26">
        <f>'Team Statistics'!K28</f>
        <v>0.9346793349</v>
      </c>
      <c r="L10" s="18">
        <f>'Team Statistics'!L28</f>
        <v>14.74346793</v>
      </c>
      <c r="M10" s="16">
        <f>'Team Statistics'!M28</f>
        <v>1137</v>
      </c>
      <c r="N10" s="16">
        <f>'Team Statistics'!N28</f>
        <v>4</v>
      </c>
      <c r="O10" s="27">
        <f>'Team Statistics'!O28</f>
        <v>206.9</v>
      </c>
      <c r="P10" s="16">
        <f>'Team Statistics'!P28</f>
        <v>96</v>
      </c>
      <c r="Q10" s="16">
        <f>'Team Statistics'!Q28</f>
        <v>16</v>
      </c>
      <c r="R10" s="16">
        <f>'Team Statistics'!R28</f>
        <v>3</v>
      </c>
      <c r="S10" s="16">
        <f>'Team Statistics'!S28</f>
        <v>0</v>
      </c>
      <c r="T10" s="16">
        <f>'Team Statistics'!T28</f>
        <v>5</v>
      </c>
      <c r="U10" s="16">
        <f>'Team Statistics'!U28</f>
        <v>0</v>
      </c>
      <c r="V10" s="16">
        <f>'Team Statistics'!V28</f>
        <v>0</v>
      </c>
      <c r="W10" s="16">
        <f>'Team Statistics'!W28</f>
        <v>0</v>
      </c>
      <c r="X10" s="16">
        <f>'Team Statistics'!X28</f>
        <v>0</v>
      </c>
      <c r="Y10" s="16">
        <f>'Team Statistics'!Y28</f>
        <v>0</v>
      </c>
      <c r="Z10" s="16">
        <f>'Team Statistics'!Z28</f>
        <v>0</v>
      </c>
      <c r="AA10" s="16">
        <f>'Team Statistics'!AA28</f>
        <v>0</v>
      </c>
      <c r="AB10" s="16">
        <f>'Team Statistics'!AB28</f>
        <v>0</v>
      </c>
      <c r="AC10" s="16">
        <f>'Team Statistics'!AC28</f>
        <v>0</v>
      </c>
      <c r="AD10" s="16">
        <f>'Team Statistics'!AD28</f>
        <v>0</v>
      </c>
      <c r="AE10" s="16" t="str">
        <f t="shared" ref="AE10:AJ10" si="8">#REF!</f>
        <v>#REF!</v>
      </c>
      <c r="AF10" s="16" t="str">
        <f t="shared" si="8"/>
        <v>#REF!</v>
      </c>
      <c r="AG10" s="16" t="str">
        <f t="shared" si="8"/>
        <v>#REF!</v>
      </c>
      <c r="AH10" s="16" t="str">
        <f t="shared" si="8"/>
        <v>#REF!</v>
      </c>
      <c r="AI10" s="16" t="str">
        <f t="shared" si="8"/>
        <v>#REF!</v>
      </c>
      <c r="AJ10" s="16" t="str">
        <f t="shared" si="8"/>
        <v>#REF!</v>
      </c>
    </row>
    <row r="11">
      <c r="A11" s="11" t="str">
        <f>'Team Statistics'!A14</f>
        <v>Goon Squad</v>
      </c>
      <c r="B11" s="12" t="str">
        <f>'Team Statistics'!B14</f>
        <v>AJ DaJuiceMayne</v>
      </c>
      <c r="C11" s="16">
        <f>'Team Statistics'!C14</f>
        <v>2</v>
      </c>
      <c r="D11" s="16">
        <f>'Team Statistics'!D14</f>
        <v>0</v>
      </c>
      <c r="E11" s="18">
        <f>'Team Statistics'!E14</f>
        <v>53.2</v>
      </c>
      <c r="F11" s="16">
        <f>'Team Statistics'!F14</f>
        <v>0</v>
      </c>
      <c r="G11" s="16">
        <f>'Team Statistics'!G14</f>
        <v>249</v>
      </c>
      <c r="H11" s="16">
        <f>'Team Statistics'!H14</f>
        <v>17</v>
      </c>
      <c r="I11" s="16">
        <f>'Team Statistics'!I14</f>
        <v>192</v>
      </c>
      <c r="J11" s="16">
        <f>'Team Statistics'!J14</f>
        <v>57</v>
      </c>
      <c r="K11" s="26">
        <f>'Team Statistics'!K14</f>
        <v>1.296875</v>
      </c>
      <c r="L11" s="18">
        <f>'Team Statistics'!L14</f>
        <v>16.625</v>
      </c>
      <c r="M11" s="16">
        <f>'Team Statistics'!M14</f>
        <v>419</v>
      </c>
      <c r="N11" s="16">
        <f>'Team Statistics'!N14</f>
        <v>2</v>
      </c>
      <c r="O11" s="27">
        <f>'Team Statistics'!O14</f>
        <v>53.2</v>
      </c>
      <c r="P11" s="16">
        <f>'Team Statistics'!P14</f>
        <v>49</v>
      </c>
      <c r="Q11" s="16">
        <f>'Team Statistics'!Q14</f>
        <v>12</v>
      </c>
      <c r="R11" s="16">
        <f>'Team Statistics'!R14</f>
        <v>3</v>
      </c>
      <c r="S11" s="16">
        <f>'Team Statistics'!S14</f>
        <v>0</v>
      </c>
      <c r="T11" s="16">
        <f>'Team Statistics'!T14</f>
        <v>6</v>
      </c>
      <c r="U11" s="16">
        <f>'Team Statistics'!U14</f>
        <v>0</v>
      </c>
      <c r="V11" s="16">
        <f>'Team Statistics'!V14</f>
        <v>0</v>
      </c>
      <c r="W11" s="16">
        <f>'Team Statistics'!W14</f>
        <v>0</v>
      </c>
      <c r="X11" s="16">
        <f>'Team Statistics'!X14</f>
        <v>0</v>
      </c>
      <c r="Y11" s="16">
        <f>'Team Statistics'!Y14</f>
        <v>0</v>
      </c>
      <c r="Z11" s="16">
        <f>'Team Statistics'!Z14</f>
        <v>0</v>
      </c>
      <c r="AA11" s="16">
        <f>'Team Statistics'!AA14</f>
        <v>0</v>
      </c>
      <c r="AB11" s="16">
        <f>'Team Statistics'!AB14</f>
        <v>0</v>
      </c>
      <c r="AC11" s="16">
        <f>'Team Statistics'!AC14</f>
        <v>0</v>
      </c>
      <c r="AD11" s="16">
        <f>'Team Statistics'!AD14</f>
        <v>0</v>
      </c>
      <c r="AE11" s="16" t="str">
        <f t="shared" ref="AE11:AJ11" si="9">#REF!</f>
        <v>#REF!</v>
      </c>
      <c r="AF11" s="16" t="str">
        <f t="shared" si="9"/>
        <v>#REF!</v>
      </c>
      <c r="AG11" s="16" t="str">
        <f t="shared" si="9"/>
        <v>#REF!</v>
      </c>
      <c r="AH11" s="16" t="str">
        <f t="shared" si="9"/>
        <v>#REF!</v>
      </c>
      <c r="AI11" s="16" t="str">
        <f t="shared" si="9"/>
        <v>#REF!</v>
      </c>
      <c r="AJ11" s="16" t="str">
        <f t="shared" si="9"/>
        <v>#REF!</v>
      </c>
    </row>
    <row r="12">
      <c r="A12" s="11" t="str">
        <f>'Team Statistics'!A3</f>
        <v>Noble Team</v>
      </c>
      <c r="B12" s="12" t="str">
        <f>'Team Statistics'!B3</f>
        <v>TheNobleTV</v>
      </c>
      <c r="C12" s="16">
        <f>'Team Statistics'!C3</f>
        <v>5</v>
      </c>
      <c r="D12" s="16">
        <f>'Team Statistics'!D3</f>
        <v>3</v>
      </c>
      <c r="E12" s="27">
        <f>'Team Statistics'!E3</f>
        <v>118.9</v>
      </c>
      <c r="F12" s="16">
        <f>'Team Statistics'!F3</f>
        <v>0</v>
      </c>
      <c r="G12" s="16">
        <f>'Team Statistics'!G3</f>
        <v>414</v>
      </c>
      <c r="H12" s="16">
        <f>'Team Statistics'!H3</f>
        <v>34</v>
      </c>
      <c r="I12" s="16">
        <f>'Team Statistics'!I3</f>
        <v>509</v>
      </c>
      <c r="J12" s="16">
        <f>'Team Statistics'!J3</f>
        <v>-95</v>
      </c>
      <c r="K12" s="26">
        <f>'Team Statistics'!K3</f>
        <v>0.8133595285</v>
      </c>
      <c r="L12" s="18">
        <f>'Team Statistics'!L3</f>
        <v>14.01571709</v>
      </c>
      <c r="M12" s="16">
        <f>'Team Statistics'!M3</f>
        <v>655</v>
      </c>
      <c r="N12" s="16">
        <f>'Team Statistics'!N3</f>
        <v>5</v>
      </c>
      <c r="O12" s="27">
        <f>'Team Statistics'!O3</f>
        <v>118.9</v>
      </c>
      <c r="P12" s="16">
        <f>'Team Statistics'!P3</f>
        <v>52</v>
      </c>
      <c r="Q12" s="16">
        <f>'Team Statistics'!Q3</f>
        <v>9</v>
      </c>
      <c r="R12" s="16">
        <f>'Team Statistics'!R3</f>
        <v>3</v>
      </c>
      <c r="S12" s="16">
        <f>'Team Statistics'!S3</f>
        <v>0</v>
      </c>
      <c r="T12" s="16">
        <f>'Team Statistics'!T3</f>
        <v>2</v>
      </c>
      <c r="U12" s="16">
        <f>'Team Statistics'!U3</f>
        <v>0</v>
      </c>
      <c r="V12" s="16">
        <f>'Team Statistics'!V3</f>
        <v>0</v>
      </c>
      <c r="W12" s="16">
        <f>'Team Statistics'!W3</f>
        <v>0</v>
      </c>
      <c r="X12" s="16">
        <f>'Team Statistics'!X3</f>
        <v>0</v>
      </c>
      <c r="Y12" s="16">
        <f>'Team Statistics'!Y3</f>
        <v>0</v>
      </c>
      <c r="Z12" s="16">
        <f>'Team Statistics'!Z3</f>
        <v>0</v>
      </c>
      <c r="AA12" s="16">
        <f>'Team Statistics'!AA3</f>
        <v>0</v>
      </c>
      <c r="AB12" s="16">
        <f>'Team Statistics'!AB3</f>
        <v>0</v>
      </c>
      <c r="AC12" s="16">
        <f>'Team Statistics'!AC3</f>
        <v>0</v>
      </c>
      <c r="AD12" s="16">
        <f>'Team Statistics'!AD3</f>
        <v>0</v>
      </c>
      <c r="AE12" s="16" t="str">
        <f t="shared" ref="AE12:AJ12" si="10">#REF!</f>
        <v>#REF!</v>
      </c>
      <c r="AF12" s="16" t="str">
        <f t="shared" si="10"/>
        <v>#REF!</v>
      </c>
      <c r="AG12" s="16" t="str">
        <f t="shared" si="10"/>
        <v>#REF!</v>
      </c>
      <c r="AH12" s="16" t="str">
        <f t="shared" si="10"/>
        <v>#REF!</v>
      </c>
      <c r="AI12" s="16" t="str">
        <f t="shared" si="10"/>
        <v>#REF!</v>
      </c>
      <c r="AJ12" s="16" t="str">
        <f t="shared" si="10"/>
        <v>#REF!</v>
      </c>
    </row>
    <row r="13">
      <c r="A13" s="11" t="str">
        <f>'Team Statistics'!A53</f>
        <v>Candice</v>
      </c>
      <c r="B13" s="12" t="str">
        <f>'Team Statistics'!B53</f>
        <v>ixGingy</v>
      </c>
      <c r="C13" s="16">
        <f>'Team Statistics'!C53</f>
        <v>3</v>
      </c>
      <c r="D13" s="16">
        <f>'Team Statistics'!D53</f>
        <v>1</v>
      </c>
      <c r="E13" s="18">
        <f>'Team Statistics'!E53</f>
        <v>99.3</v>
      </c>
      <c r="F13" s="16">
        <f>'Team Statistics'!F53</f>
        <v>4</v>
      </c>
      <c r="G13" s="16">
        <f>'Team Statistics'!G53</f>
        <v>516</v>
      </c>
      <c r="H13" s="16">
        <f>'Team Statistics'!H53</f>
        <v>20</v>
      </c>
      <c r="I13" s="16">
        <f>'Team Statistics'!I53</f>
        <v>364</v>
      </c>
      <c r="J13" s="16">
        <f>'Team Statistics'!J53</f>
        <v>152</v>
      </c>
      <c r="K13" s="26">
        <f>'Team Statistics'!K53</f>
        <v>1.417582418</v>
      </c>
      <c r="L13" s="18">
        <f>'Team Statistics'!L53</f>
        <v>16.36813187</v>
      </c>
      <c r="M13" s="16">
        <f>'Team Statistics'!M53</f>
        <v>853</v>
      </c>
      <c r="N13" s="16">
        <f>'Team Statistics'!N53</f>
        <v>2</v>
      </c>
      <c r="O13" s="27">
        <f>'Team Statistics'!O53</f>
        <v>64.3</v>
      </c>
      <c r="P13" s="16">
        <f>'Team Statistics'!P53</f>
        <v>49</v>
      </c>
      <c r="Q13" s="16">
        <f>'Team Statistics'!Q53</f>
        <v>7</v>
      </c>
      <c r="R13" s="16">
        <f>'Team Statistics'!R53</f>
        <v>3</v>
      </c>
      <c r="S13" s="16">
        <f>'Team Statistics'!S53</f>
        <v>1</v>
      </c>
      <c r="T13" s="16">
        <f>'Team Statistics'!T53</f>
        <v>9</v>
      </c>
      <c r="U13" s="16">
        <f>'Team Statistics'!U53</f>
        <v>3</v>
      </c>
      <c r="V13" s="16">
        <f>'Team Statistics'!V53</f>
        <v>0</v>
      </c>
      <c r="W13" s="16">
        <f>'Team Statistics'!W53</f>
        <v>0</v>
      </c>
      <c r="X13" s="16">
        <f>'Team Statistics'!X53</f>
        <v>1</v>
      </c>
      <c r="Y13" s="16">
        <f>'Team Statistics'!Y53</f>
        <v>0</v>
      </c>
      <c r="Z13" s="16">
        <f>'Team Statistics'!Z53</f>
        <v>0</v>
      </c>
      <c r="AA13" s="16">
        <f>'Team Statistics'!AA53</f>
        <v>0</v>
      </c>
      <c r="AB13" s="16">
        <f>'Team Statistics'!AB53</f>
        <v>0</v>
      </c>
      <c r="AC13" s="16">
        <f>'Team Statistics'!AC53</f>
        <v>0</v>
      </c>
      <c r="AD13" s="16">
        <f>'Team Statistics'!AD53</f>
        <v>0</v>
      </c>
      <c r="AE13" s="16" t="str">
        <f t="shared" ref="AE13:AJ13" si="11">#REF!</f>
        <v>#REF!</v>
      </c>
      <c r="AF13" s="16" t="str">
        <f t="shared" si="11"/>
        <v>#REF!</v>
      </c>
      <c r="AG13" s="16" t="str">
        <f t="shared" si="11"/>
        <v>#REF!</v>
      </c>
      <c r="AH13" s="16" t="str">
        <f t="shared" si="11"/>
        <v>#REF!</v>
      </c>
      <c r="AI13" s="16" t="str">
        <f t="shared" si="11"/>
        <v>#REF!</v>
      </c>
      <c r="AJ13" s="16" t="str">
        <f t="shared" si="11"/>
        <v>#REF!</v>
      </c>
    </row>
    <row r="14">
      <c r="A14" s="11" t="str">
        <f>'Team Statistics'!A8</f>
        <v>Salvatores</v>
      </c>
      <c r="B14" s="12" t="str">
        <f>'Team Statistics'!B8</f>
        <v>ADhillyy</v>
      </c>
      <c r="C14" s="16">
        <f>'Team Statistics'!C8</f>
        <v>2</v>
      </c>
      <c r="D14" s="16">
        <f>'Team Statistics'!D8</f>
        <v>0</v>
      </c>
      <c r="E14" s="18">
        <f>'Team Statistics'!E8</f>
        <v>58.8</v>
      </c>
      <c r="F14" s="16">
        <f>'Team Statistics'!F8</f>
        <v>0</v>
      </c>
      <c r="G14" s="16">
        <f>'Team Statistics'!G8</f>
        <v>261</v>
      </c>
      <c r="H14" s="16">
        <f>'Team Statistics'!H8</f>
        <v>16</v>
      </c>
      <c r="I14" s="16">
        <f>'Team Statistics'!I8</f>
        <v>270</v>
      </c>
      <c r="J14" s="16">
        <f>'Team Statistics'!J8</f>
        <v>-9</v>
      </c>
      <c r="K14" s="26">
        <f>'Team Statistics'!K8</f>
        <v>0.9666666667</v>
      </c>
      <c r="L14" s="18">
        <f>'Team Statistics'!L8</f>
        <v>13.06666667</v>
      </c>
      <c r="M14" s="16">
        <f>'Team Statistics'!M8</f>
        <v>403</v>
      </c>
      <c r="N14" s="16">
        <f>'Team Statistics'!N8</f>
        <v>2</v>
      </c>
      <c r="O14" s="27">
        <f>'Team Statistics'!O8</f>
        <v>58.8</v>
      </c>
      <c r="P14" s="16">
        <f>'Team Statistics'!P8</f>
        <v>49</v>
      </c>
      <c r="Q14" s="16">
        <f>'Team Statistics'!Q8</f>
        <v>7</v>
      </c>
      <c r="R14" s="16">
        <f>'Team Statistics'!R8</f>
        <v>3</v>
      </c>
      <c r="S14" s="16">
        <f>'Team Statistics'!S8</f>
        <v>1</v>
      </c>
      <c r="T14" s="16">
        <f>'Team Statistics'!T8</f>
        <v>4</v>
      </c>
      <c r="U14" s="16">
        <f>'Team Statistics'!U8</f>
        <v>0</v>
      </c>
      <c r="V14" s="16">
        <f>'Team Statistics'!V8</f>
        <v>0</v>
      </c>
      <c r="W14" s="16">
        <f>'Team Statistics'!W8</f>
        <v>0</v>
      </c>
      <c r="X14" s="16">
        <f>'Team Statistics'!X8</f>
        <v>0</v>
      </c>
      <c r="Y14" s="16">
        <f>'Team Statistics'!Y8</f>
        <v>0</v>
      </c>
      <c r="Z14" s="16">
        <f>'Team Statistics'!Z8</f>
        <v>0</v>
      </c>
      <c r="AA14" s="16">
        <f>'Team Statistics'!AA8</f>
        <v>0</v>
      </c>
      <c r="AB14" s="16">
        <f>'Team Statistics'!AB8</f>
        <v>0</v>
      </c>
      <c r="AC14" s="16">
        <f>'Team Statistics'!AC8</f>
        <v>0</v>
      </c>
      <c r="AD14" s="16">
        <f>'Team Statistics'!AD8</f>
        <v>0</v>
      </c>
      <c r="AE14" s="16" t="str">
        <f t="shared" ref="AE14:AJ14" si="12">#REF!</f>
        <v>#REF!</v>
      </c>
      <c r="AF14" s="16" t="str">
        <f t="shared" si="12"/>
        <v>#REF!</v>
      </c>
      <c r="AG14" s="16" t="str">
        <f t="shared" si="12"/>
        <v>#REF!</v>
      </c>
      <c r="AH14" s="16" t="str">
        <f t="shared" si="12"/>
        <v>#REF!</v>
      </c>
      <c r="AI14" s="16" t="str">
        <f t="shared" si="12"/>
        <v>#REF!</v>
      </c>
      <c r="AJ14" s="16" t="str">
        <f t="shared" si="12"/>
        <v>#REF!</v>
      </c>
    </row>
    <row r="15">
      <c r="A15" s="11" t="str">
        <f>'Team Statistics'!A65</f>
        <v>Originals</v>
      </c>
      <c r="B15" s="12" t="str">
        <f>'Team Statistics'!B65</f>
        <v>Diixvn</v>
      </c>
      <c r="C15" s="16">
        <f>'Team Statistics'!C65</f>
        <v>5</v>
      </c>
      <c r="D15" s="16">
        <f>'Team Statistics'!D65</f>
        <v>5</v>
      </c>
      <c r="E15" s="18">
        <f>'Team Statistics'!E65</f>
        <v>65</v>
      </c>
      <c r="F15" s="16">
        <f>'Team Statistics'!F65</f>
        <v>2</v>
      </c>
      <c r="G15" s="16">
        <f>'Team Statistics'!G65</f>
        <v>268</v>
      </c>
      <c r="H15" s="16">
        <f>'Team Statistics'!H65</f>
        <v>11</v>
      </c>
      <c r="I15" s="16">
        <f>'Team Statistics'!I65</f>
        <v>285</v>
      </c>
      <c r="J15" s="16">
        <f>'Team Statistics'!J65</f>
        <v>-17</v>
      </c>
      <c r="K15" s="26">
        <f>'Team Statistics'!K65</f>
        <v>0.9403508772</v>
      </c>
      <c r="L15" s="18">
        <f>'Team Statistics'!L65</f>
        <v>13.68421053</v>
      </c>
      <c r="M15" s="16">
        <f>'Team Statistics'!M65</f>
        <v>410</v>
      </c>
      <c r="N15" s="16">
        <f>'Team Statistics'!N65</f>
        <v>5</v>
      </c>
      <c r="O15" s="27">
        <f>'Team Statistics'!O65</f>
        <v>65</v>
      </c>
      <c r="P15" s="16">
        <f>'Team Statistics'!P65</f>
        <v>46</v>
      </c>
      <c r="Q15" s="16">
        <f>'Team Statistics'!Q65</f>
        <v>6</v>
      </c>
      <c r="R15" s="16">
        <f>'Team Statistics'!R65</f>
        <v>3</v>
      </c>
      <c r="S15" s="16">
        <f>'Team Statistics'!S65</f>
        <v>3</v>
      </c>
      <c r="T15" s="16">
        <f>'Team Statistics'!T65</f>
        <v>3</v>
      </c>
      <c r="U15" s="16">
        <f>'Team Statistics'!U65</f>
        <v>0</v>
      </c>
      <c r="V15" s="16">
        <f>'Team Statistics'!V65</f>
        <v>0</v>
      </c>
      <c r="W15" s="16">
        <f>'Team Statistics'!W65</f>
        <v>0</v>
      </c>
      <c r="X15" s="16">
        <f>'Team Statistics'!X65</f>
        <v>0</v>
      </c>
      <c r="Y15" s="16">
        <f>'Team Statistics'!Y65</f>
        <v>0</v>
      </c>
      <c r="Z15" s="16">
        <f>'Team Statistics'!Z65</f>
        <v>1</v>
      </c>
      <c r="AA15" s="16">
        <f>'Team Statistics'!AA65</f>
        <v>0</v>
      </c>
      <c r="AB15" s="16">
        <f>'Team Statistics'!AB65</f>
        <v>0</v>
      </c>
      <c r="AC15" s="16">
        <f>'Team Statistics'!AC65</f>
        <v>0</v>
      </c>
      <c r="AD15" s="16">
        <f>'Team Statistics'!AD65</f>
        <v>0</v>
      </c>
      <c r="AE15" s="16" t="str">
        <f t="shared" ref="AE15:AJ15" si="13">#REF!</f>
        <v>#REF!</v>
      </c>
      <c r="AF15" s="16" t="str">
        <f t="shared" si="13"/>
        <v>#REF!</v>
      </c>
      <c r="AG15" s="16" t="str">
        <f t="shared" si="13"/>
        <v>#REF!</v>
      </c>
      <c r="AH15" s="16" t="str">
        <f t="shared" si="13"/>
        <v>#REF!</v>
      </c>
      <c r="AI15" s="16" t="str">
        <f t="shared" si="13"/>
        <v>#REF!</v>
      </c>
      <c r="AJ15" s="16" t="str">
        <f t="shared" si="13"/>
        <v>#REF!</v>
      </c>
    </row>
    <row r="16">
      <c r="A16" s="11" t="str">
        <f>'Team Statistics'!A21</f>
        <v>BOGO Margs</v>
      </c>
      <c r="B16" s="12" t="str">
        <f>'Team Statistics'!B21</f>
        <v>MoldyVolts</v>
      </c>
      <c r="C16" s="16">
        <f>'Team Statistics'!C21</f>
        <v>5</v>
      </c>
      <c r="D16" s="16">
        <f>'Team Statistics'!D21</f>
        <v>3</v>
      </c>
      <c r="E16" s="18">
        <f>'Team Statistics'!E21</f>
        <v>169.85</v>
      </c>
      <c r="F16" s="16">
        <f>'Team Statistics'!F21</f>
        <v>2</v>
      </c>
      <c r="G16" s="16">
        <f>'Team Statistics'!G21</f>
        <v>651</v>
      </c>
      <c r="H16" s="16">
        <f>'Team Statistics'!H21</f>
        <v>52</v>
      </c>
      <c r="I16" s="16">
        <f>'Team Statistics'!I21</f>
        <v>657</v>
      </c>
      <c r="J16" s="16">
        <f>'Team Statistics'!J21</f>
        <v>-6</v>
      </c>
      <c r="K16" s="26">
        <f>'Team Statistics'!K21</f>
        <v>0.9908675799</v>
      </c>
      <c r="L16" s="18">
        <f>'Team Statistics'!L21</f>
        <v>15.51141553</v>
      </c>
      <c r="M16" s="16">
        <f>'Team Statistics'!M21</f>
        <v>1055</v>
      </c>
      <c r="N16" s="16">
        <f>'Team Statistics'!N21</f>
        <v>5</v>
      </c>
      <c r="O16" s="27">
        <f>'Team Statistics'!O21</f>
        <v>169.85</v>
      </c>
      <c r="P16" s="16">
        <f>'Team Statistics'!P21</f>
        <v>106</v>
      </c>
      <c r="Q16" s="16">
        <f>'Team Statistics'!Q21</f>
        <v>19</v>
      </c>
      <c r="R16" s="16">
        <f>'Team Statistics'!R21</f>
        <v>2</v>
      </c>
      <c r="S16" s="16">
        <f>'Team Statistics'!S21</f>
        <v>1</v>
      </c>
      <c r="T16" s="16">
        <f>'Team Statistics'!T21</f>
        <v>9</v>
      </c>
      <c r="U16" s="16">
        <f>'Team Statistics'!U21</f>
        <v>0</v>
      </c>
      <c r="V16" s="16">
        <f>'Team Statistics'!V21</f>
        <v>0</v>
      </c>
      <c r="W16" s="16">
        <f>'Team Statistics'!W21</f>
        <v>0</v>
      </c>
      <c r="X16" s="16">
        <f>'Team Statistics'!X21</f>
        <v>0</v>
      </c>
      <c r="Y16" s="16">
        <f>'Team Statistics'!Y21</f>
        <v>0</v>
      </c>
      <c r="Z16" s="16">
        <f>'Team Statistics'!Z21</f>
        <v>0</v>
      </c>
      <c r="AA16" s="16">
        <f>'Team Statistics'!AA21</f>
        <v>0</v>
      </c>
      <c r="AB16" s="16">
        <f>'Team Statistics'!AB21</f>
        <v>0</v>
      </c>
      <c r="AC16" s="16">
        <f>'Team Statistics'!AC21</f>
        <v>0</v>
      </c>
      <c r="AD16" s="16">
        <f>'Team Statistics'!AD21</f>
        <v>0</v>
      </c>
      <c r="AE16" s="16" t="str">
        <f t="shared" ref="AE16:AJ16" si="14">#REF!</f>
        <v>#REF!</v>
      </c>
      <c r="AF16" s="16" t="str">
        <f t="shared" si="14"/>
        <v>#REF!</v>
      </c>
      <c r="AG16" s="16" t="str">
        <f t="shared" si="14"/>
        <v>#REF!</v>
      </c>
      <c r="AH16" s="16" t="str">
        <f t="shared" si="14"/>
        <v>#REF!</v>
      </c>
      <c r="AI16" s="16" t="str">
        <f t="shared" si="14"/>
        <v>#REF!</v>
      </c>
      <c r="AJ16" s="16" t="str">
        <f t="shared" si="14"/>
        <v>#REF!</v>
      </c>
    </row>
    <row r="17">
      <c r="A17" s="11" t="str">
        <f>'Team Statistics'!A20</f>
        <v>BOGO Margs</v>
      </c>
      <c r="B17" s="12" t="str">
        <f>'Team Statistics'!B20</f>
        <v>ManCanonPls</v>
      </c>
      <c r="C17" s="16">
        <f>'Team Statistics'!C20</f>
        <v>5</v>
      </c>
      <c r="D17" s="16">
        <f>'Team Statistics'!D20</f>
        <v>3</v>
      </c>
      <c r="E17" s="18">
        <f>'Team Statistics'!E20</f>
        <v>169.85</v>
      </c>
      <c r="F17" s="16">
        <f>'Team Statistics'!F20</f>
        <v>2</v>
      </c>
      <c r="G17" s="16">
        <f>'Team Statistics'!G20</f>
        <v>629</v>
      </c>
      <c r="H17" s="16">
        <f>'Team Statistics'!H20</f>
        <v>32</v>
      </c>
      <c r="I17" s="16">
        <f>'Team Statistics'!I20</f>
        <v>642</v>
      </c>
      <c r="J17" s="16">
        <f>'Team Statistics'!J20</f>
        <v>-13</v>
      </c>
      <c r="K17" s="26">
        <f>'Team Statistics'!K20</f>
        <v>0.9797507788</v>
      </c>
      <c r="L17" s="18">
        <f>'Team Statistics'!L20</f>
        <v>15.87383178</v>
      </c>
      <c r="M17" s="16">
        <f>'Team Statistics'!M20</f>
        <v>929</v>
      </c>
      <c r="N17" s="16">
        <f>'Team Statistics'!N20</f>
        <v>5</v>
      </c>
      <c r="O17" s="27">
        <f>'Team Statistics'!O20</f>
        <v>169.85</v>
      </c>
      <c r="P17" s="16">
        <f>'Team Statistics'!P20</f>
        <v>95</v>
      </c>
      <c r="Q17" s="16">
        <f>'Team Statistics'!Q20</f>
        <v>15</v>
      </c>
      <c r="R17" s="16">
        <f>'Team Statistics'!R20</f>
        <v>2</v>
      </c>
      <c r="S17" s="16">
        <f>'Team Statistics'!S20</f>
        <v>0</v>
      </c>
      <c r="T17" s="16">
        <f>'Team Statistics'!T20</f>
        <v>3</v>
      </c>
      <c r="U17" s="16">
        <f>'Team Statistics'!U20</f>
        <v>0</v>
      </c>
      <c r="V17" s="16">
        <f>'Team Statistics'!V20</f>
        <v>0</v>
      </c>
      <c r="W17" s="16">
        <f>'Team Statistics'!W20</f>
        <v>0</v>
      </c>
      <c r="X17" s="16">
        <f>'Team Statistics'!X20</f>
        <v>0</v>
      </c>
      <c r="Y17" s="16">
        <f>'Team Statistics'!Y20</f>
        <v>0</v>
      </c>
      <c r="Z17" s="16">
        <f>'Team Statistics'!Z20</f>
        <v>0</v>
      </c>
      <c r="AA17" s="16">
        <f>'Team Statistics'!AA20</f>
        <v>0</v>
      </c>
      <c r="AB17" s="16">
        <f>'Team Statistics'!AB20</f>
        <v>0</v>
      </c>
      <c r="AC17" s="16">
        <f>'Team Statistics'!AC20</f>
        <v>0</v>
      </c>
      <c r="AD17" s="16">
        <f>'Team Statistics'!AD20</f>
        <v>0</v>
      </c>
      <c r="AE17" s="16" t="str">
        <f t="shared" ref="AE17:AJ17" si="15">#REF!</f>
        <v>#REF!</v>
      </c>
      <c r="AF17" s="16" t="str">
        <f t="shared" si="15"/>
        <v>#REF!</v>
      </c>
      <c r="AG17" s="16" t="str">
        <f t="shared" si="15"/>
        <v>#REF!</v>
      </c>
      <c r="AH17" s="16" t="str">
        <f t="shared" si="15"/>
        <v>#REF!</v>
      </c>
      <c r="AI17" s="16" t="str">
        <f t="shared" si="15"/>
        <v>#REF!</v>
      </c>
      <c r="AJ17" s="16" t="str">
        <f t="shared" si="15"/>
        <v>#REF!</v>
      </c>
    </row>
    <row r="18">
      <c r="A18" s="11" t="str">
        <f>'Team Statistics'!A30</f>
        <v>Eurostars</v>
      </c>
      <c r="B18" s="12" t="str">
        <f>'Team Statistics'!B30</f>
        <v>SlMQ</v>
      </c>
      <c r="C18" s="16">
        <f>'Team Statistics'!C30</f>
        <v>4</v>
      </c>
      <c r="D18" s="16">
        <f>'Team Statistics'!D30</f>
        <v>2</v>
      </c>
      <c r="E18" s="18">
        <f>'Team Statistics'!E30</f>
        <v>206.9</v>
      </c>
      <c r="F18" s="16">
        <f>'Team Statistics'!F30</f>
        <v>2</v>
      </c>
      <c r="G18" s="16">
        <f>'Team Statistics'!G30</f>
        <v>756</v>
      </c>
      <c r="H18" s="16">
        <f>'Team Statistics'!H30</f>
        <v>68</v>
      </c>
      <c r="I18" s="16">
        <f>'Team Statistics'!I30</f>
        <v>793</v>
      </c>
      <c r="J18" s="16">
        <f>'Team Statistics'!J30</f>
        <v>-37</v>
      </c>
      <c r="K18" s="26">
        <f>'Team Statistics'!K30</f>
        <v>0.9533417402</v>
      </c>
      <c r="L18" s="18">
        <f>'Team Statistics'!L30</f>
        <v>15.65447667</v>
      </c>
      <c r="M18" s="16">
        <f>'Team Statistics'!M30</f>
        <v>1149</v>
      </c>
      <c r="N18" s="16">
        <f>'Team Statistics'!N30</f>
        <v>4</v>
      </c>
      <c r="O18" s="27">
        <f>'Team Statistics'!O30</f>
        <v>206.9</v>
      </c>
      <c r="P18" s="16">
        <f>'Team Statistics'!P30</f>
        <v>98</v>
      </c>
      <c r="Q18" s="16">
        <f>'Team Statistics'!Q30</f>
        <v>13</v>
      </c>
      <c r="R18" s="16">
        <f>'Team Statistics'!R30</f>
        <v>2</v>
      </c>
      <c r="S18" s="16">
        <f>'Team Statistics'!S30</f>
        <v>2</v>
      </c>
      <c r="T18" s="16">
        <f>'Team Statistics'!T30</f>
        <v>6</v>
      </c>
      <c r="U18" s="16">
        <f>'Team Statistics'!U30</f>
        <v>0</v>
      </c>
      <c r="V18" s="16">
        <f>'Team Statistics'!V30</f>
        <v>0</v>
      </c>
      <c r="W18" s="16">
        <f>'Team Statistics'!W30</f>
        <v>0</v>
      </c>
      <c r="X18" s="16">
        <f>'Team Statistics'!X30</f>
        <v>0</v>
      </c>
      <c r="Y18" s="16">
        <f>'Team Statistics'!Y30</f>
        <v>0</v>
      </c>
      <c r="Z18" s="16">
        <f>'Team Statistics'!Z30</f>
        <v>0</v>
      </c>
      <c r="AA18" s="16">
        <f>'Team Statistics'!AA30</f>
        <v>0</v>
      </c>
      <c r="AB18" s="16">
        <f>'Team Statistics'!AB30</f>
        <v>0</v>
      </c>
      <c r="AC18" s="16">
        <f>'Team Statistics'!AC30</f>
        <v>0</v>
      </c>
      <c r="AD18" s="16">
        <f>'Team Statistics'!AD30</f>
        <v>0</v>
      </c>
      <c r="AE18" s="16" t="str">
        <f t="shared" ref="AE18:AJ18" si="16">#REF!</f>
        <v>#REF!</v>
      </c>
      <c r="AF18" s="16" t="str">
        <f t="shared" si="16"/>
        <v>#REF!</v>
      </c>
      <c r="AG18" s="16" t="str">
        <f t="shared" si="16"/>
        <v>#REF!</v>
      </c>
      <c r="AH18" s="16" t="str">
        <f t="shared" si="16"/>
        <v>#REF!</v>
      </c>
      <c r="AI18" s="16" t="str">
        <f t="shared" si="16"/>
        <v>#REF!</v>
      </c>
      <c r="AJ18" s="16" t="str">
        <f t="shared" si="16"/>
        <v>#REF!</v>
      </c>
    </row>
    <row r="19">
      <c r="A19" s="11" t="str">
        <f>'Team Statistics'!A58</f>
        <v>Goose's Girls</v>
      </c>
      <c r="B19" s="12" t="str">
        <f>'Team Statistics'!B58</f>
        <v>DlGITAL PAIN</v>
      </c>
      <c r="C19" s="16">
        <f>'Team Statistics'!C58</f>
        <v>4</v>
      </c>
      <c r="D19" s="16">
        <f>'Team Statistics'!D58</f>
        <v>2</v>
      </c>
      <c r="E19" s="18">
        <f>'Team Statistics'!E58</f>
        <v>78.41666667</v>
      </c>
      <c r="F19" s="16">
        <f>'Team Statistics'!F58</f>
        <v>3</v>
      </c>
      <c r="G19" s="16">
        <f>'Team Statistics'!G58</f>
        <v>424</v>
      </c>
      <c r="H19" s="16">
        <f>'Team Statistics'!H58</f>
        <v>17</v>
      </c>
      <c r="I19" s="16">
        <f>'Team Statistics'!I58</f>
        <v>310</v>
      </c>
      <c r="J19" s="16">
        <f>'Team Statistics'!J58</f>
        <v>114</v>
      </c>
      <c r="K19" s="26">
        <f>'Team Statistics'!K58</f>
        <v>1.367741935</v>
      </c>
      <c r="L19" s="18">
        <f>'Team Statistics'!L58</f>
        <v>15.17741935</v>
      </c>
      <c r="M19" s="16">
        <f>'Team Statistics'!M58</f>
        <v>681</v>
      </c>
      <c r="N19" s="16">
        <f>'Team Statistics'!N58</f>
        <v>2</v>
      </c>
      <c r="O19" s="27">
        <f>'Team Statistics'!O58</f>
        <v>43.41666667</v>
      </c>
      <c r="P19" s="16">
        <f>'Team Statistics'!P58</f>
        <v>50</v>
      </c>
      <c r="Q19" s="16">
        <f>'Team Statistics'!Q58</f>
        <v>10</v>
      </c>
      <c r="R19" s="16">
        <f>'Team Statistics'!R58</f>
        <v>2</v>
      </c>
      <c r="S19" s="16">
        <f>'Team Statistics'!S58</f>
        <v>0</v>
      </c>
      <c r="T19" s="16">
        <f>'Team Statistics'!T58</f>
        <v>8</v>
      </c>
      <c r="U19" s="16">
        <f>'Team Statistics'!U58</f>
        <v>2</v>
      </c>
      <c r="V19" s="16">
        <f>'Team Statistics'!V58</f>
        <v>0</v>
      </c>
      <c r="W19" s="16">
        <f>'Team Statistics'!W58</f>
        <v>0</v>
      </c>
      <c r="X19" s="16">
        <f>'Team Statistics'!X58</f>
        <v>0</v>
      </c>
      <c r="Y19" s="16">
        <f>'Team Statistics'!Y58</f>
        <v>0</v>
      </c>
      <c r="Z19" s="16">
        <f>'Team Statistics'!Z58</f>
        <v>0</v>
      </c>
      <c r="AA19" s="16">
        <f>'Team Statistics'!AA58</f>
        <v>0</v>
      </c>
      <c r="AB19" s="16">
        <f>'Team Statistics'!AB58</f>
        <v>0</v>
      </c>
      <c r="AC19" s="16">
        <f>'Team Statistics'!AC58</f>
        <v>0</v>
      </c>
      <c r="AD19" s="16">
        <f>'Team Statistics'!AD58</f>
        <v>0</v>
      </c>
      <c r="AE19" s="16" t="str">
        <f t="shared" ref="AE19:AJ19" si="17">#REF!</f>
        <v>#REF!</v>
      </c>
      <c r="AF19" s="16" t="str">
        <f t="shared" si="17"/>
        <v>#REF!</v>
      </c>
      <c r="AG19" s="16" t="str">
        <f t="shared" si="17"/>
        <v>#REF!</v>
      </c>
      <c r="AH19" s="16" t="str">
        <f t="shared" si="17"/>
        <v>#REF!</v>
      </c>
      <c r="AI19" s="16" t="str">
        <f t="shared" si="17"/>
        <v>#REF!</v>
      </c>
      <c r="AJ19" s="16" t="str">
        <f t="shared" si="17"/>
        <v>#REF!</v>
      </c>
    </row>
    <row r="20">
      <c r="A20" s="11" t="str">
        <f>'Team Statistics'!A48</f>
        <v>Fat Mav</v>
      </c>
      <c r="B20" s="12" t="str">
        <f>'Team Statistics'!B48</f>
        <v>Regresser</v>
      </c>
      <c r="C20" s="16">
        <f>'Team Statistics'!C48</f>
        <v>3</v>
      </c>
      <c r="D20" s="16">
        <f>'Team Statistics'!D48</f>
        <v>1</v>
      </c>
      <c r="E20" s="18">
        <f>'Team Statistics'!E48</f>
        <v>52.4</v>
      </c>
      <c r="F20" s="16">
        <f>'Team Statistics'!F48</f>
        <v>1</v>
      </c>
      <c r="G20" s="16">
        <f>'Team Statistics'!G48</f>
        <v>229</v>
      </c>
      <c r="H20" s="16">
        <f>'Team Statistics'!H48</f>
        <v>16</v>
      </c>
      <c r="I20" s="16">
        <f>'Team Statistics'!I48</f>
        <v>245</v>
      </c>
      <c r="J20" s="16">
        <f>'Team Statistics'!J48</f>
        <v>-16</v>
      </c>
      <c r="K20" s="26">
        <f>'Team Statistics'!K48</f>
        <v>0.9346938776</v>
      </c>
      <c r="L20" s="18">
        <f>'Team Statistics'!L48</f>
        <v>12.83265306</v>
      </c>
      <c r="M20" s="16">
        <f>'Team Statistics'!M48</f>
        <v>380</v>
      </c>
      <c r="N20" s="16">
        <f>'Team Statistics'!N48</f>
        <v>3</v>
      </c>
      <c r="O20" s="27">
        <f>'Team Statistics'!O48</f>
        <v>52.4</v>
      </c>
      <c r="P20" s="16">
        <f>'Team Statistics'!P48</f>
        <v>40</v>
      </c>
      <c r="Q20" s="16">
        <f>'Team Statistics'!Q48</f>
        <v>8</v>
      </c>
      <c r="R20" s="16">
        <f>'Team Statistics'!R48</f>
        <v>2</v>
      </c>
      <c r="S20" s="16">
        <f>'Team Statistics'!S48</f>
        <v>0</v>
      </c>
      <c r="T20" s="16">
        <f>'Team Statistics'!T48</f>
        <v>5</v>
      </c>
      <c r="U20" s="16">
        <f>'Team Statistics'!U48</f>
        <v>0</v>
      </c>
      <c r="V20" s="16">
        <f>'Team Statistics'!V48</f>
        <v>0</v>
      </c>
      <c r="W20" s="16">
        <f>'Team Statistics'!W48</f>
        <v>0</v>
      </c>
      <c r="X20" s="16">
        <f>'Team Statistics'!X48</f>
        <v>0</v>
      </c>
      <c r="Y20" s="16">
        <f>'Team Statistics'!Y48</f>
        <v>0</v>
      </c>
      <c r="Z20" s="16">
        <f>'Team Statistics'!Z48</f>
        <v>0</v>
      </c>
      <c r="AA20" s="16">
        <f>'Team Statistics'!AA48</f>
        <v>0</v>
      </c>
      <c r="AB20" s="16">
        <f>'Team Statistics'!AB48</f>
        <v>0</v>
      </c>
      <c r="AC20" s="16">
        <f>'Team Statistics'!AC48</f>
        <v>0</v>
      </c>
      <c r="AD20" s="16">
        <f>'Team Statistics'!AD48</f>
        <v>0</v>
      </c>
      <c r="AE20" s="16" t="str">
        <f t="shared" ref="AE20:AJ20" si="18">#REF!</f>
        <v>#REF!</v>
      </c>
      <c r="AF20" s="16" t="str">
        <f t="shared" si="18"/>
        <v>#REF!</v>
      </c>
      <c r="AG20" s="16" t="str">
        <f t="shared" si="18"/>
        <v>#REF!</v>
      </c>
      <c r="AH20" s="16" t="str">
        <f t="shared" si="18"/>
        <v>#REF!</v>
      </c>
      <c r="AI20" s="16" t="str">
        <f t="shared" si="18"/>
        <v>#REF!</v>
      </c>
      <c r="AJ20" s="16" t="str">
        <f t="shared" si="18"/>
        <v>#REF!</v>
      </c>
    </row>
    <row r="21">
      <c r="A21" s="11" t="str">
        <f>'Team Statistics'!A39</f>
        <v>Like Clockwork</v>
      </c>
      <c r="B21" s="12" t="str">
        <f>'Team Statistics'!B39</f>
        <v>Fanciest Pants</v>
      </c>
      <c r="C21" s="16">
        <f>'Team Statistics'!C39</f>
        <v>2</v>
      </c>
      <c r="D21" s="16">
        <f>'Team Statistics'!D39</f>
        <v>0</v>
      </c>
      <c r="E21" s="18">
        <f>'Team Statistics'!E39</f>
        <v>39.4</v>
      </c>
      <c r="F21" s="16">
        <f>'Team Statistics'!F39</f>
        <v>0</v>
      </c>
      <c r="G21" s="16">
        <f>'Team Statistics'!G39</f>
        <v>184</v>
      </c>
      <c r="H21" s="16">
        <f>'Team Statistics'!H39</f>
        <v>19</v>
      </c>
      <c r="I21" s="16">
        <f>'Team Statistics'!I39</f>
        <v>173</v>
      </c>
      <c r="J21" s="16">
        <f>'Team Statistics'!J39</f>
        <v>11</v>
      </c>
      <c r="K21" s="26">
        <f>'Team Statistics'!K39</f>
        <v>1.063583815</v>
      </c>
      <c r="L21" s="18">
        <f>'Team Statistics'!L39</f>
        <v>13.66473988</v>
      </c>
      <c r="M21" s="16">
        <f>'Team Statistics'!M39</f>
        <v>314</v>
      </c>
      <c r="N21" s="16">
        <f>'Team Statistics'!N39</f>
        <v>2</v>
      </c>
      <c r="O21" s="27">
        <f>'Team Statistics'!O39</f>
        <v>39.4</v>
      </c>
      <c r="P21" s="16">
        <f>'Team Statistics'!P39</f>
        <v>34</v>
      </c>
      <c r="Q21" s="16">
        <f>'Team Statistics'!Q39</f>
        <v>5</v>
      </c>
      <c r="R21" s="16">
        <f>'Team Statistics'!R39</f>
        <v>2</v>
      </c>
      <c r="S21" s="16">
        <f>'Team Statistics'!S39</f>
        <v>1</v>
      </c>
      <c r="T21" s="16">
        <f>'Team Statistics'!T39</f>
        <v>4</v>
      </c>
      <c r="U21" s="16">
        <f>'Team Statistics'!U39</f>
        <v>0</v>
      </c>
      <c r="V21" s="16">
        <f>'Team Statistics'!V39</f>
        <v>0</v>
      </c>
      <c r="W21" s="16">
        <f>'Team Statistics'!W39</f>
        <v>0</v>
      </c>
      <c r="X21" s="16">
        <f>'Team Statistics'!X39</f>
        <v>0</v>
      </c>
      <c r="Y21" s="16">
        <f>'Team Statistics'!Y39</f>
        <v>0</v>
      </c>
      <c r="Z21" s="16">
        <f>'Team Statistics'!Z39</f>
        <v>0</v>
      </c>
      <c r="AA21" s="16">
        <f>'Team Statistics'!AA39</f>
        <v>0</v>
      </c>
      <c r="AB21" s="16">
        <f>'Team Statistics'!AB39</f>
        <v>0</v>
      </c>
      <c r="AC21" s="16">
        <f>'Team Statistics'!AC39</f>
        <v>0</v>
      </c>
      <c r="AD21" s="16">
        <f>'Team Statistics'!AD39</f>
        <v>0</v>
      </c>
      <c r="AE21" s="16" t="str">
        <f t="shared" ref="AE21:AJ21" si="19">#REF!</f>
        <v>#REF!</v>
      </c>
      <c r="AF21" s="16" t="str">
        <f t="shared" si="19"/>
        <v>#REF!</v>
      </c>
      <c r="AG21" s="16" t="str">
        <f t="shared" si="19"/>
        <v>#REF!</v>
      </c>
      <c r="AH21" s="16" t="str">
        <f t="shared" si="19"/>
        <v>#REF!</v>
      </c>
      <c r="AI21" s="16" t="str">
        <f t="shared" si="19"/>
        <v>#REF!</v>
      </c>
      <c r="AJ21" s="16" t="str">
        <f t="shared" si="19"/>
        <v>#REF!</v>
      </c>
    </row>
    <row r="22">
      <c r="A22" s="11" t="str">
        <f>'Team Statistics'!A43</f>
        <v>EU Squad w/o EUs</v>
      </c>
      <c r="B22" s="12" t="str">
        <f>'Team Statistics'!B43</f>
        <v>Frnzh</v>
      </c>
      <c r="C22" s="16">
        <f>'Team Statistics'!C43</f>
        <v>2</v>
      </c>
      <c r="D22" s="16">
        <f>'Team Statistics'!D43</f>
        <v>0</v>
      </c>
      <c r="E22" s="18">
        <f>'Team Statistics'!E43</f>
        <v>36.5</v>
      </c>
      <c r="F22" s="16">
        <f>'Team Statistics'!F43</f>
        <v>0</v>
      </c>
      <c r="G22" s="16">
        <f>'Team Statistics'!G43</f>
        <v>164</v>
      </c>
      <c r="H22" s="16">
        <f>'Team Statistics'!H43</f>
        <v>3</v>
      </c>
      <c r="I22" s="16">
        <f>'Team Statistics'!I43</f>
        <v>207</v>
      </c>
      <c r="J22" s="16">
        <f>'Team Statistics'!J43</f>
        <v>-43</v>
      </c>
      <c r="K22" s="26">
        <f>'Team Statistics'!K43</f>
        <v>0.7922705314</v>
      </c>
      <c r="L22" s="18">
        <f>'Team Statistics'!L43</f>
        <v>10.57971014</v>
      </c>
      <c r="M22" s="16">
        <f>'Team Statistics'!M43</f>
        <v>237</v>
      </c>
      <c r="N22" s="16">
        <f>'Team Statistics'!N43</f>
        <v>2</v>
      </c>
      <c r="O22" s="27">
        <f>'Team Statistics'!O43</f>
        <v>36.5</v>
      </c>
      <c r="P22" s="16">
        <f>'Team Statistics'!P43</f>
        <v>33</v>
      </c>
      <c r="Q22" s="16">
        <f>'Team Statistics'!Q43</f>
        <v>4</v>
      </c>
      <c r="R22" s="16">
        <f>'Team Statistics'!R43</f>
        <v>2</v>
      </c>
      <c r="S22" s="16">
        <f>'Team Statistics'!S43</f>
        <v>1</v>
      </c>
      <c r="T22" s="16">
        <f>'Team Statistics'!T43</f>
        <v>1</v>
      </c>
      <c r="U22" s="16">
        <f>'Team Statistics'!U43</f>
        <v>0</v>
      </c>
      <c r="V22" s="16">
        <f>'Team Statistics'!V43</f>
        <v>0</v>
      </c>
      <c r="W22" s="16">
        <f>'Team Statistics'!W43</f>
        <v>0</v>
      </c>
      <c r="X22" s="16">
        <f>'Team Statistics'!X43</f>
        <v>0</v>
      </c>
      <c r="Y22" s="16">
        <f>'Team Statistics'!Y43</f>
        <v>0</v>
      </c>
      <c r="Z22" s="16">
        <f>'Team Statistics'!Z43</f>
        <v>1</v>
      </c>
      <c r="AA22" s="16">
        <f>'Team Statistics'!AA43</f>
        <v>0</v>
      </c>
      <c r="AB22" s="16">
        <f>'Team Statistics'!AB43</f>
        <v>0</v>
      </c>
      <c r="AC22" s="16">
        <f>'Team Statistics'!AC43</f>
        <v>0</v>
      </c>
      <c r="AD22" s="16">
        <f>'Team Statistics'!AD43</f>
        <v>0</v>
      </c>
      <c r="AE22" s="16" t="str">
        <f t="shared" ref="AE22:AJ22" si="20">#REF!</f>
        <v>#REF!</v>
      </c>
      <c r="AF22" s="16" t="str">
        <f t="shared" si="20"/>
        <v>#REF!</v>
      </c>
      <c r="AG22" s="16" t="str">
        <f t="shared" si="20"/>
        <v>#REF!</v>
      </c>
      <c r="AH22" s="16" t="str">
        <f t="shared" si="20"/>
        <v>#REF!</v>
      </c>
      <c r="AI22" s="16" t="str">
        <f t="shared" si="20"/>
        <v>#REF!</v>
      </c>
      <c r="AJ22" s="16" t="str">
        <f t="shared" si="20"/>
        <v>#REF!</v>
      </c>
    </row>
    <row r="23">
      <c r="A23" s="11" t="str">
        <f>'Team Statistics'!A33</f>
        <v>Spam Folder</v>
      </c>
      <c r="B23" s="12" t="str">
        <f>'Team Statistics'!B33</f>
        <v>ixjaga</v>
      </c>
      <c r="C23" s="16">
        <f>'Team Statistics'!C33</f>
        <v>8</v>
      </c>
      <c r="D23" s="16">
        <f>'Team Statistics'!D33</f>
        <v>6</v>
      </c>
      <c r="E23" s="18">
        <f>'Team Statistics'!E33</f>
        <v>282</v>
      </c>
      <c r="F23" s="16">
        <f>'Team Statistics'!F33</f>
        <v>3</v>
      </c>
      <c r="G23" s="16">
        <f>'Team Statistics'!G33</f>
        <v>1128</v>
      </c>
      <c r="H23" s="16">
        <f>'Team Statistics'!H33</f>
        <v>83</v>
      </c>
      <c r="I23" s="16">
        <f>'Team Statistics'!I33</f>
        <v>1144</v>
      </c>
      <c r="J23" s="16">
        <f>'Team Statistics'!J33</f>
        <v>-16</v>
      </c>
      <c r="K23" s="26">
        <f>'Team Statistics'!K33</f>
        <v>0.986013986</v>
      </c>
      <c r="L23" s="18">
        <f>'Team Statistics'!L33</f>
        <v>14.79020979</v>
      </c>
      <c r="M23" s="16">
        <f>'Team Statistics'!M33</f>
        <v>1777</v>
      </c>
      <c r="N23" s="16">
        <f>'Team Statistics'!N33</f>
        <v>8</v>
      </c>
      <c r="O23" s="27">
        <f>'Team Statistics'!O33</f>
        <v>282</v>
      </c>
      <c r="P23" s="16">
        <f>'Team Statistics'!P33</f>
        <v>160</v>
      </c>
      <c r="Q23" s="16">
        <f>'Team Statistics'!Q33</f>
        <v>16</v>
      </c>
      <c r="R23" s="16">
        <f>'Team Statistics'!R33</f>
        <v>1</v>
      </c>
      <c r="S23" s="16">
        <f>'Team Statistics'!S33</f>
        <v>1</v>
      </c>
      <c r="T23" s="16">
        <f>'Team Statistics'!T33</f>
        <v>13</v>
      </c>
      <c r="U23" s="16">
        <f>'Team Statistics'!U33</f>
        <v>1</v>
      </c>
      <c r="V23" s="16">
        <f>'Team Statistics'!V33</f>
        <v>0</v>
      </c>
      <c r="W23" s="16">
        <f>'Team Statistics'!W33</f>
        <v>0</v>
      </c>
      <c r="X23" s="16">
        <f>'Team Statistics'!X33</f>
        <v>0</v>
      </c>
      <c r="Y23" s="16">
        <f>'Team Statistics'!Y33</f>
        <v>0</v>
      </c>
      <c r="Z23" s="16">
        <f>'Team Statistics'!Z33</f>
        <v>0</v>
      </c>
      <c r="AA23" s="16">
        <f>'Team Statistics'!AA33</f>
        <v>0</v>
      </c>
      <c r="AB23" s="16">
        <f>'Team Statistics'!AB33</f>
        <v>0</v>
      </c>
      <c r="AC23" s="16">
        <f>'Team Statistics'!AC33</f>
        <v>0</v>
      </c>
      <c r="AD23" s="16">
        <f>'Team Statistics'!AD33</f>
        <v>0</v>
      </c>
      <c r="AE23" s="16" t="str">
        <f t="shared" ref="AE23:AJ23" si="21">#REF!</f>
        <v>#REF!</v>
      </c>
      <c r="AF23" s="16" t="str">
        <f t="shared" si="21"/>
        <v>#REF!</v>
      </c>
      <c r="AG23" s="16" t="str">
        <f t="shared" si="21"/>
        <v>#REF!</v>
      </c>
      <c r="AH23" s="16" t="str">
        <f t="shared" si="21"/>
        <v>#REF!</v>
      </c>
      <c r="AI23" s="16" t="str">
        <f t="shared" si="21"/>
        <v>#REF!</v>
      </c>
      <c r="AJ23" s="16" t="str">
        <f t="shared" si="21"/>
        <v>#REF!</v>
      </c>
    </row>
    <row r="24">
      <c r="A24" s="11" t="str">
        <f>'Team Statistics'!A5</f>
        <v>Noble Team</v>
      </c>
      <c r="B24" s="12" t="str">
        <f>'Team Statistics'!B5</f>
        <v>DCleak</v>
      </c>
      <c r="C24" s="16">
        <f>'Team Statistics'!C5</f>
        <v>5</v>
      </c>
      <c r="D24" s="16">
        <f>'Team Statistics'!D5</f>
        <v>3</v>
      </c>
      <c r="E24" s="27">
        <f>'Team Statistics'!E5</f>
        <v>118.9</v>
      </c>
      <c r="F24" s="16">
        <f>'Team Statistics'!F5</f>
        <v>1</v>
      </c>
      <c r="G24" s="16">
        <f>'Team Statistics'!G5</f>
        <v>487</v>
      </c>
      <c r="H24" s="16">
        <f>'Team Statistics'!H5</f>
        <v>44</v>
      </c>
      <c r="I24" s="16">
        <f>'Team Statistics'!I5</f>
        <v>530</v>
      </c>
      <c r="J24" s="16">
        <f>'Team Statistics'!J5</f>
        <v>-43</v>
      </c>
      <c r="K24" s="26">
        <f>'Team Statistics'!K5</f>
        <v>0.9188679245</v>
      </c>
      <c r="L24" s="18">
        <f>'Team Statistics'!L5</f>
        <v>13.46037736</v>
      </c>
      <c r="M24" s="16">
        <f>'Team Statistics'!M5</f>
        <v>784</v>
      </c>
      <c r="N24" s="16">
        <f>'Team Statistics'!N5</f>
        <v>5</v>
      </c>
      <c r="O24" s="27">
        <f>'Team Statistics'!O5</f>
        <v>118.9</v>
      </c>
      <c r="P24" s="16">
        <f>'Team Statistics'!P5</f>
        <v>80</v>
      </c>
      <c r="Q24" s="16">
        <f>'Team Statistics'!Q5</f>
        <v>13</v>
      </c>
      <c r="R24" s="16">
        <f>'Team Statistics'!R5</f>
        <v>1</v>
      </c>
      <c r="S24" s="16">
        <f>'Team Statistics'!S5</f>
        <v>0</v>
      </c>
      <c r="T24" s="16">
        <f>'Team Statistics'!T5</f>
        <v>2</v>
      </c>
      <c r="U24" s="16">
        <f>'Team Statistics'!U5</f>
        <v>0</v>
      </c>
      <c r="V24" s="16">
        <f>'Team Statistics'!V5</f>
        <v>0</v>
      </c>
      <c r="W24" s="16">
        <f>'Team Statistics'!W5</f>
        <v>0</v>
      </c>
      <c r="X24" s="16">
        <f>'Team Statistics'!X5</f>
        <v>0</v>
      </c>
      <c r="Y24" s="16">
        <f>'Team Statistics'!Y5</f>
        <v>0</v>
      </c>
      <c r="Z24" s="16">
        <f>'Team Statistics'!Z5</f>
        <v>0</v>
      </c>
      <c r="AA24" s="16">
        <f>'Team Statistics'!AA5</f>
        <v>0</v>
      </c>
      <c r="AB24" s="16">
        <f>'Team Statistics'!AB5</f>
        <v>0</v>
      </c>
      <c r="AC24" s="16">
        <f>'Team Statistics'!AC5</f>
        <v>0</v>
      </c>
      <c r="AD24" s="16">
        <f>'Team Statistics'!AD5</f>
        <v>0</v>
      </c>
      <c r="AE24" s="16" t="str">
        <f t="shared" ref="AE24:AJ24" si="22">#REF!</f>
        <v>#REF!</v>
      </c>
      <c r="AF24" s="16" t="str">
        <f t="shared" si="22"/>
        <v>#REF!</v>
      </c>
      <c r="AG24" s="16" t="str">
        <f t="shared" si="22"/>
        <v>#REF!</v>
      </c>
      <c r="AH24" s="16" t="str">
        <f t="shared" si="22"/>
        <v>#REF!</v>
      </c>
      <c r="AI24" s="16" t="str">
        <f t="shared" si="22"/>
        <v>#REF!</v>
      </c>
      <c r="AJ24" s="16" t="str">
        <f t="shared" si="22"/>
        <v>#REF!</v>
      </c>
    </row>
    <row r="25">
      <c r="A25" s="11" t="str">
        <f>'Team Statistics'!A9</f>
        <v>Salvatores</v>
      </c>
      <c r="B25" s="12" t="str">
        <f>'Team Statistics'!B9</f>
        <v>Yejis Aegyo</v>
      </c>
      <c r="C25" s="16">
        <f>'Team Statistics'!C9</f>
        <v>2</v>
      </c>
      <c r="D25" s="16">
        <f>'Team Statistics'!D9</f>
        <v>0</v>
      </c>
      <c r="E25" s="18">
        <f>'Team Statistics'!E9</f>
        <v>58.8</v>
      </c>
      <c r="F25" s="16">
        <f>'Team Statistics'!F9</f>
        <v>2</v>
      </c>
      <c r="G25" s="16">
        <f>'Team Statistics'!G9</f>
        <v>326</v>
      </c>
      <c r="H25" s="16">
        <f>'Team Statistics'!H9</f>
        <v>14</v>
      </c>
      <c r="I25" s="16">
        <f>'Team Statistics'!I9</f>
        <v>280</v>
      </c>
      <c r="J25" s="16">
        <f>'Team Statistics'!J9</f>
        <v>46</v>
      </c>
      <c r="K25" s="26">
        <f>'Team Statistics'!K9</f>
        <v>1.164285714</v>
      </c>
      <c r="L25" s="18">
        <f>'Team Statistics'!L9</f>
        <v>12.6</v>
      </c>
      <c r="M25" s="16">
        <f>'Team Statistics'!M9</f>
        <v>520</v>
      </c>
      <c r="N25" s="16">
        <f>'Team Statistics'!N9</f>
        <v>2</v>
      </c>
      <c r="O25" s="27">
        <f>'Team Statistics'!O9</f>
        <v>58.8</v>
      </c>
      <c r="P25" s="16">
        <f>'Team Statistics'!P9</f>
        <v>62</v>
      </c>
      <c r="Q25" s="16">
        <f>'Team Statistics'!Q9</f>
        <v>11</v>
      </c>
      <c r="R25" s="16">
        <f>'Team Statistics'!R9</f>
        <v>1</v>
      </c>
      <c r="S25" s="16">
        <f>'Team Statistics'!S9</f>
        <v>0</v>
      </c>
      <c r="T25" s="16">
        <f>'Team Statistics'!T9</f>
        <v>2</v>
      </c>
      <c r="U25" s="16">
        <f>'Team Statistics'!U9</f>
        <v>0</v>
      </c>
      <c r="V25" s="16">
        <f>'Team Statistics'!V9</f>
        <v>0</v>
      </c>
      <c r="W25" s="16">
        <f>'Team Statistics'!W9</f>
        <v>0</v>
      </c>
      <c r="X25" s="16">
        <f>'Team Statistics'!X9</f>
        <v>0</v>
      </c>
      <c r="Y25" s="16">
        <f>'Team Statistics'!Y9</f>
        <v>0</v>
      </c>
      <c r="Z25" s="16">
        <f>'Team Statistics'!Z9</f>
        <v>0</v>
      </c>
      <c r="AA25" s="16">
        <f>'Team Statistics'!AA9</f>
        <v>0</v>
      </c>
      <c r="AB25" s="16">
        <f>'Team Statistics'!AB9</f>
        <v>0</v>
      </c>
      <c r="AC25" s="16">
        <f>'Team Statistics'!AC9</f>
        <v>0</v>
      </c>
      <c r="AD25" s="16">
        <f>'Team Statistics'!AD9</f>
        <v>0</v>
      </c>
      <c r="AE25" s="16" t="str">
        <f t="shared" ref="AE25:AJ25" si="23">#REF!</f>
        <v>#REF!</v>
      </c>
      <c r="AF25" s="16" t="str">
        <f t="shared" si="23"/>
        <v>#REF!</v>
      </c>
      <c r="AG25" s="16" t="str">
        <f t="shared" si="23"/>
        <v>#REF!</v>
      </c>
      <c r="AH25" s="16" t="str">
        <f t="shared" si="23"/>
        <v>#REF!</v>
      </c>
      <c r="AI25" s="16" t="str">
        <f t="shared" si="23"/>
        <v>#REF!</v>
      </c>
      <c r="AJ25" s="16" t="str">
        <f t="shared" si="23"/>
        <v>#REF!</v>
      </c>
    </row>
    <row r="26">
      <c r="A26" s="11" t="str">
        <f>'Team Statistics'!A26</f>
        <v>Minor Threat</v>
      </c>
      <c r="B26" s="12" t="str">
        <f>'Team Statistics'!B26</f>
        <v>You heard of us</v>
      </c>
      <c r="C26" s="16">
        <f>'Team Statistics'!C26</f>
        <v>2</v>
      </c>
      <c r="D26" s="16">
        <f>'Team Statistics'!D26</f>
        <v>0</v>
      </c>
      <c r="E26" s="18">
        <f>'Team Statistics'!E26</f>
        <v>83.45</v>
      </c>
      <c r="F26" s="16">
        <f>'Team Statistics'!F26</f>
        <v>0</v>
      </c>
      <c r="G26" s="16">
        <f>'Team Statistics'!G26</f>
        <v>342</v>
      </c>
      <c r="H26" s="16">
        <f>'Team Statistics'!H26</f>
        <v>20</v>
      </c>
      <c r="I26" s="16">
        <f>'Team Statistics'!I26</f>
        <v>423</v>
      </c>
      <c r="J26" s="16">
        <f>'Team Statistics'!J26</f>
        <v>-81</v>
      </c>
      <c r="K26" s="26">
        <f>'Team Statistics'!K26</f>
        <v>0.8085106383</v>
      </c>
      <c r="L26" s="18">
        <f>'Team Statistics'!L26</f>
        <v>11.83687943</v>
      </c>
      <c r="M26" s="16">
        <f>'Team Statistics'!M26</f>
        <v>528</v>
      </c>
      <c r="N26" s="16">
        <f>'Team Statistics'!N26</f>
        <v>2</v>
      </c>
      <c r="O26" s="27">
        <f>'Team Statistics'!O26</f>
        <v>83.45</v>
      </c>
      <c r="P26" s="16">
        <f>'Team Statistics'!P26</f>
        <v>52</v>
      </c>
      <c r="Q26" s="16">
        <f>'Team Statistics'!Q26</f>
        <v>9</v>
      </c>
      <c r="R26" s="16">
        <f>'Team Statistics'!R26</f>
        <v>1</v>
      </c>
      <c r="S26" s="16">
        <f>'Team Statistics'!S26</f>
        <v>0</v>
      </c>
      <c r="T26" s="16">
        <f>'Team Statistics'!T26</f>
        <v>1</v>
      </c>
      <c r="U26" s="16">
        <f>'Team Statistics'!U26</f>
        <v>0</v>
      </c>
      <c r="V26" s="16">
        <f>'Team Statistics'!V26</f>
        <v>0</v>
      </c>
      <c r="W26" s="16">
        <f>'Team Statistics'!W26</f>
        <v>0</v>
      </c>
      <c r="X26" s="16">
        <f>'Team Statistics'!X26</f>
        <v>0</v>
      </c>
      <c r="Y26" s="16">
        <f>'Team Statistics'!Y26</f>
        <v>0</v>
      </c>
      <c r="Z26" s="16">
        <f>'Team Statistics'!Z26</f>
        <v>0</v>
      </c>
      <c r="AA26" s="16">
        <f>'Team Statistics'!AA26</f>
        <v>0</v>
      </c>
      <c r="AB26" s="16">
        <f>'Team Statistics'!AB26</f>
        <v>0</v>
      </c>
      <c r="AC26" s="16">
        <f>'Team Statistics'!AC26</f>
        <v>0</v>
      </c>
      <c r="AD26" s="16">
        <f>'Team Statistics'!AD26</f>
        <v>0</v>
      </c>
      <c r="AE26" s="16" t="str">
        <f t="shared" ref="AE26:AJ26" si="24">#REF!</f>
        <v>#REF!</v>
      </c>
      <c r="AF26" s="16" t="str">
        <f t="shared" si="24"/>
        <v>#REF!</v>
      </c>
      <c r="AG26" s="16" t="str">
        <f t="shared" si="24"/>
        <v>#REF!</v>
      </c>
      <c r="AH26" s="16" t="str">
        <f t="shared" si="24"/>
        <v>#REF!</v>
      </c>
      <c r="AI26" s="16" t="str">
        <f t="shared" si="24"/>
        <v>#REF!</v>
      </c>
      <c r="AJ26" s="16" t="str">
        <f t="shared" si="24"/>
        <v>#REF!</v>
      </c>
    </row>
    <row r="27">
      <c r="A27" s="11" t="str">
        <f>'Team Statistics'!A31</f>
        <v>Eurostars</v>
      </c>
      <c r="B27" s="12" t="str">
        <f>'Team Statistics'!B31</f>
        <v>AwareMosquito</v>
      </c>
      <c r="C27" s="16">
        <f>'Team Statistics'!C31</f>
        <v>4</v>
      </c>
      <c r="D27" s="16">
        <f>'Team Statistics'!D31</f>
        <v>2</v>
      </c>
      <c r="E27" s="18">
        <f>'Team Statistics'!E31</f>
        <v>206.9</v>
      </c>
      <c r="F27" s="16">
        <f>'Team Statistics'!F31</f>
        <v>7</v>
      </c>
      <c r="G27" s="16">
        <f>'Team Statistics'!G31</f>
        <v>593</v>
      </c>
      <c r="H27" s="16">
        <f>'Team Statistics'!H31</f>
        <v>8</v>
      </c>
      <c r="I27" s="16">
        <f>'Team Statistics'!I31</f>
        <v>617</v>
      </c>
      <c r="J27" s="16">
        <f>'Team Statistics'!J31</f>
        <v>-24</v>
      </c>
      <c r="K27" s="26">
        <f>'Team Statistics'!K31</f>
        <v>0.961102107</v>
      </c>
      <c r="L27" s="18">
        <f>'Team Statistics'!L31</f>
        <v>20.11993517</v>
      </c>
      <c r="M27" s="16">
        <f>'Team Statistics'!M31</f>
        <v>813</v>
      </c>
      <c r="N27" s="16">
        <f>'Team Statistics'!N31</f>
        <v>4</v>
      </c>
      <c r="O27" s="27">
        <f>'Team Statistics'!O31</f>
        <v>206.9</v>
      </c>
      <c r="P27" s="16">
        <f>'Team Statistics'!P31</f>
        <v>54</v>
      </c>
      <c r="Q27" s="16">
        <f>'Team Statistics'!Q31</f>
        <v>6</v>
      </c>
      <c r="R27" s="16">
        <f>'Team Statistics'!R31</f>
        <v>1</v>
      </c>
      <c r="S27" s="16">
        <f>'Team Statistics'!S31</f>
        <v>1</v>
      </c>
      <c r="T27" s="16">
        <f>'Team Statistics'!T31</f>
        <v>4</v>
      </c>
      <c r="U27" s="16">
        <f>'Team Statistics'!U31</f>
        <v>0</v>
      </c>
      <c r="V27" s="16">
        <f>'Team Statistics'!V31</f>
        <v>1</v>
      </c>
      <c r="W27" s="16">
        <f>'Team Statistics'!W31</f>
        <v>0</v>
      </c>
      <c r="X27" s="16">
        <f>'Team Statistics'!X31</f>
        <v>0</v>
      </c>
      <c r="Y27" s="16">
        <f>'Team Statistics'!Y31</f>
        <v>0</v>
      </c>
      <c r="Z27" s="16">
        <f>'Team Statistics'!Z31</f>
        <v>0</v>
      </c>
      <c r="AA27" s="16">
        <f>'Team Statistics'!AA31</f>
        <v>0</v>
      </c>
      <c r="AB27" s="16">
        <f>'Team Statistics'!AB31</f>
        <v>0</v>
      </c>
      <c r="AC27" s="16">
        <f>'Team Statistics'!AC31</f>
        <v>0</v>
      </c>
      <c r="AD27" s="16">
        <f>'Team Statistics'!AD31</f>
        <v>0</v>
      </c>
      <c r="AE27" s="16" t="str">
        <f t="shared" ref="AE27:AJ27" si="25">#REF!</f>
        <v>#REF!</v>
      </c>
      <c r="AF27" s="16" t="str">
        <f t="shared" si="25"/>
        <v>#REF!</v>
      </c>
      <c r="AG27" s="16" t="str">
        <f t="shared" si="25"/>
        <v>#REF!</v>
      </c>
      <c r="AH27" s="16" t="str">
        <f t="shared" si="25"/>
        <v>#REF!</v>
      </c>
      <c r="AI27" s="16" t="str">
        <f t="shared" si="25"/>
        <v>#REF!</v>
      </c>
      <c r="AJ27" s="16" t="str">
        <f t="shared" si="25"/>
        <v>#REF!</v>
      </c>
    </row>
    <row r="28">
      <c r="A28" s="11" t="str">
        <f>'Team Statistics'!A64</f>
        <v>Originals</v>
      </c>
      <c r="B28" s="12" t="str">
        <f>'Team Statistics'!B64</f>
        <v>Wrecking Nerds</v>
      </c>
      <c r="C28" s="16">
        <f>'Team Statistics'!C64</f>
        <v>5</v>
      </c>
      <c r="D28" s="16">
        <f>'Team Statistics'!D64</f>
        <v>5</v>
      </c>
      <c r="E28" s="18">
        <f>'Team Statistics'!E64</f>
        <v>65</v>
      </c>
      <c r="F28" s="16">
        <f>'Team Statistics'!F64</f>
        <v>20</v>
      </c>
      <c r="G28" s="16">
        <f>'Team Statistics'!G64</f>
        <v>191</v>
      </c>
      <c r="H28" s="16">
        <f>'Team Statistics'!H64</f>
        <v>14</v>
      </c>
      <c r="I28" s="16">
        <f>'Team Statistics'!I64</f>
        <v>138</v>
      </c>
      <c r="J28" s="16">
        <f>'Team Statistics'!J64</f>
        <v>53</v>
      </c>
      <c r="K28" s="26">
        <f>'Team Statistics'!K64</f>
        <v>1.384057971</v>
      </c>
      <c r="L28" s="18">
        <f>'Team Statistics'!L64</f>
        <v>28.26086957</v>
      </c>
      <c r="M28" s="16">
        <f>'Team Statistics'!M64</f>
        <v>332</v>
      </c>
      <c r="N28" s="16">
        <f>'Team Statistics'!N64</f>
        <v>5</v>
      </c>
      <c r="O28" s="27">
        <f>'Team Statistics'!O64</f>
        <v>65</v>
      </c>
      <c r="P28" s="16">
        <f>'Team Statistics'!P64</f>
        <v>28</v>
      </c>
      <c r="Q28" s="16">
        <f>'Team Statistics'!Q64</f>
        <v>5</v>
      </c>
      <c r="R28" s="16">
        <f>'Team Statistics'!R64</f>
        <v>1</v>
      </c>
      <c r="S28" s="16">
        <f>'Team Statistics'!S64</f>
        <v>0</v>
      </c>
      <c r="T28" s="16">
        <f>'Team Statistics'!T64</f>
        <v>7</v>
      </c>
      <c r="U28" s="16">
        <f>'Team Statistics'!U64</f>
        <v>1</v>
      </c>
      <c r="V28" s="16">
        <f>'Team Statistics'!V64</f>
        <v>0</v>
      </c>
      <c r="W28" s="16">
        <f>'Team Statistics'!W64</f>
        <v>0</v>
      </c>
      <c r="X28" s="16">
        <f>'Team Statistics'!X64</f>
        <v>0</v>
      </c>
      <c r="Y28" s="16">
        <f>'Team Statistics'!Y64</f>
        <v>0</v>
      </c>
      <c r="Z28" s="16">
        <f>'Team Statistics'!Z64</f>
        <v>0</v>
      </c>
      <c r="AA28" s="16">
        <f>'Team Statistics'!AA64</f>
        <v>0</v>
      </c>
      <c r="AB28" s="16">
        <f>'Team Statistics'!AB64</f>
        <v>0</v>
      </c>
      <c r="AC28" s="16">
        <f>'Team Statistics'!AC64</f>
        <v>0</v>
      </c>
      <c r="AD28" s="16">
        <f>'Team Statistics'!AD64</f>
        <v>0</v>
      </c>
      <c r="AE28" s="16" t="str">
        <f t="shared" ref="AE28:AJ28" si="26">#REF!</f>
        <v>#REF!</v>
      </c>
      <c r="AF28" s="16" t="str">
        <f t="shared" si="26"/>
        <v>#REF!</v>
      </c>
      <c r="AG28" s="16" t="str">
        <f t="shared" si="26"/>
        <v>#REF!</v>
      </c>
      <c r="AH28" s="16" t="str">
        <f t="shared" si="26"/>
        <v>#REF!</v>
      </c>
      <c r="AI28" s="16" t="str">
        <f t="shared" si="26"/>
        <v>#REF!</v>
      </c>
      <c r="AJ28" s="16" t="str">
        <f t="shared" si="26"/>
        <v>#REF!</v>
      </c>
    </row>
    <row r="29">
      <c r="A29" s="11" t="str">
        <f>'Team Statistics'!A38</f>
        <v>Like Clockwork</v>
      </c>
      <c r="B29" s="12" t="str">
        <f>'Team Statistics'!B38</f>
        <v>yLuxe</v>
      </c>
      <c r="C29" s="16">
        <f>'Team Statistics'!C38</f>
        <v>2</v>
      </c>
      <c r="D29" s="16">
        <f>'Team Statistics'!D38</f>
        <v>0</v>
      </c>
      <c r="E29" s="18">
        <f>'Team Statistics'!E38</f>
        <v>39.4</v>
      </c>
      <c r="F29" s="16">
        <f>'Team Statistics'!F38</f>
        <v>4</v>
      </c>
      <c r="G29" s="16">
        <f>'Team Statistics'!G38</f>
        <v>159</v>
      </c>
      <c r="H29" s="16">
        <f>'Team Statistics'!H38</f>
        <v>5</v>
      </c>
      <c r="I29" s="16">
        <f>'Team Statistics'!I38</f>
        <v>161</v>
      </c>
      <c r="J29" s="16">
        <f>'Team Statistics'!J38</f>
        <v>-2</v>
      </c>
      <c r="K29" s="26">
        <f>'Team Statistics'!K38</f>
        <v>0.9875776398</v>
      </c>
      <c r="L29" s="18">
        <f>'Team Statistics'!L38</f>
        <v>14.68322981</v>
      </c>
      <c r="M29" s="16">
        <f>'Team Statistics'!M38</f>
        <v>264</v>
      </c>
      <c r="N29" s="16">
        <f>'Team Statistics'!N38</f>
        <v>2</v>
      </c>
      <c r="O29" s="27">
        <f>'Team Statistics'!O38</f>
        <v>39.4</v>
      </c>
      <c r="P29" s="16">
        <f>'Team Statistics'!P38</f>
        <v>27</v>
      </c>
      <c r="Q29" s="16">
        <f>'Team Statistics'!Q38</f>
        <v>5</v>
      </c>
      <c r="R29" s="16">
        <f>'Team Statistics'!R38</f>
        <v>1</v>
      </c>
      <c r="S29" s="16">
        <f>'Team Statistics'!S38</f>
        <v>1</v>
      </c>
      <c r="T29" s="16">
        <f>'Team Statistics'!T38</f>
        <v>3</v>
      </c>
      <c r="U29" s="16">
        <f>'Team Statistics'!U38</f>
        <v>0</v>
      </c>
      <c r="V29" s="16">
        <f>'Team Statistics'!V38</f>
        <v>0</v>
      </c>
      <c r="W29" s="16">
        <f>'Team Statistics'!W38</f>
        <v>0</v>
      </c>
      <c r="X29" s="16">
        <f>'Team Statistics'!X38</f>
        <v>0</v>
      </c>
      <c r="Y29" s="16">
        <f>'Team Statistics'!Y38</f>
        <v>0</v>
      </c>
      <c r="Z29" s="16">
        <f>'Team Statistics'!Z38</f>
        <v>0</v>
      </c>
      <c r="AA29" s="16">
        <f>'Team Statistics'!AA38</f>
        <v>0</v>
      </c>
      <c r="AB29" s="16">
        <f>'Team Statistics'!AB38</f>
        <v>0</v>
      </c>
      <c r="AC29" s="16">
        <f>'Team Statistics'!AC38</f>
        <v>0</v>
      </c>
      <c r="AD29" s="16">
        <f>'Team Statistics'!AD38</f>
        <v>0</v>
      </c>
      <c r="AE29" s="16" t="str">
        <f t="shared" ref="AE29:AJ29" si="27">#REF!</f>
        <v>#REF!</v>
      </c>
      <c r="AF29" s="16" t="str">
        <f t="shared" si="27"/>
        <v>#REF!</v>
      </c>
      <c r="AG29" s="16" t="str">
        <f t="shared" si="27"/>
        <v>#REF!</v>
      </c>
      <c r="AH29" s="16" t="str">
        <f t="shared" si="27"/>
        <v>#REF!</v>
      </c>
      <c r="AI29" s="16" t="str">
        <f t="shared" si="27"/>
        <v>#REF!</v>
      </c>
      <c r="AJ29" s="16" t="str">
        <f t="shared" si="27"/>
        <v>#REF!</v>
      </c>
    </row>
    <row r="30">
      <c r="A30" s="11" t="str">
        <f>'Team Statistics'!A55</f>
        <v>Candice</v>
      </c>
      <c r="B30" s="12" t="str">
        <f>'Team Statistics'!B55</f>
        <v>LaMeowlla</v>
      </c>
      <c r="C30" s="16">
        <f>'Team Statistics'!C55</f>
        <v>3</v>
      </c>
      <c r="D30" s="16">
        <f>'Team Statistics'!D55</f>
        <v>1</v>
      </c>
      <c r="E30" s="18">
        <f>'Team Statistics'!E55</f>
        <v>99.3</v>
      </c>
      <c r="F30" s="16">
        <f>'Team Statistics'!F55</f>
        <v>0</v>
      </c>
      <c r="G30" s="16">
        <f>'Team Statistics'!G55</f>
        <v>369</v>
      </c>
      <c r="H30" s="16">
        <f>'Team Statistics'!H55</f>
        <v>32</v>
      </c>
      <c r="I30" s="16">
        <f>'Team Statistics'!I55</f>
        <v>423</v>
      </c>
      <c r="J30" s="16">
        <f>'Team Statistics'!J55</f>
        <v>-54</v>
      </c>
      <c r="K30" s="26">
        <f>'Team Statistics'!K55</f>
        <v>0.8723404255</v>
      </c>
      <c r="L30" s="18">
        <f>'Team Statistics'!L55</f>
        <v>14.08510638</v>
      </c>
      <c r="M30" s="16">
        <f>'Team Statistics'!M55</f>
        <v>570</v>
      </c>
      <c r="N30" s="16">
        <f>'Team Statistics'!N55</f>
        <v>2</v>
      </c>
      <c r="O30" s="27">
        <f>'Team Statistics'!O55</f>
        <v>64.3</v>
      </c>
      <c r="P30" s="16">
        <f>'Team Statistics'!P55</f>
        <v>26</v>
      </c>
      <c r="Q30" s="16">
        <f>'Team Statistics'!Q55</f>
        <v>4</v>
      </c>
      <c r="R30" s="16">
        <f>'Team Statistics'!R55</f>
        <v>1</v>
      </c>
      <c r="S30" s="16">
        <f>'Team Statistics'!S55</f>
        <v>0</v>
      </c>
      <c r="T30" s="16">
        <f>'Team Statistics'!T55</f>
        <v>0</v>
      </c>
      <c r="U30" s="16">
        <f>'Team Statistics'!U55</f>
        <v>0</v>
      </c>
      <c r="V30" s="16">
        <f>'Team Statistics'!V55</f>
        <v>0</v>
      </c>
      <c r="W30" s="16">
        <f>'Team Statistics'!W55</f>
        <v>0</v>
      </c>
      <c r="X30" s="16">
        <f>'Team Statistics'!X55</f>
        <v>0</v>
      </c>
      <c r="Y30" s="16">
        <f>'Team Statistics'!Y55</f>
        <v>0</v>
      </c>
      <c r="Z30" s="16">
        <f>'Team Statistics'!Z55</f>
        <v>0</v>
      </c>
      <c r="AA30" s="16">
        <f>'Team Statistics'!AA55</f>
        <v>0</v>
      </c>
      <c r="AB30" s="16">
        <f>'Team Statistics'!AB55</f>
        <v>0</v>
      </c>
      <c r="AC30" s="16">
        <f>'Team Statistics'!AC55</f>
        <v>0</v>
      </c>
      <c r="AD30" s="16">
        <f>'Team Statistics'!AD55</f>
        <v>0</v>
      </c>
      <c r="AE30" s="16" t="str">
        <f t="shared" ref="AE30:AJ30" si="28">#REF!</f>
        <v>#REF!</v>
      </c>
      <c r="AF30" s="16" t="str">
        <f t="shared" si="28"/>
        <v>#REF!</v>
      </c>
      <c r="AG30" s="16" t="str">
        <f t="shared" si="28"/>
        <v>#REF!</v>
      </c>
      <c r="AH30" s="16" t="str">
        <f t="shared" si="28"/>
        <v>#REF!</v>
      </c>
      <c r="AI30" s="16" t="str">
        <f t="shared" si="28"/>
        <v>#REF!</v>
      </c>
      <c r="AJ30" s="16" t="str">
        <f t="shared" si="28"/>
        <v>#REF!</v>
      </c>
    </row>
    <row r="31">
      <c r="A31" s="11" t="str">
        <f>'Team Statistics'!A60</f>
        <v>Goose's Girls</v>
      </c>
      <c r="B31" s="12" t="str">
        <f>'Team Statistics'!B60</f>
        <v>Aspence501</v>
      </c>
      <c r="C31" s="16">
        <f>'Team Statistics'!C60</f>
        <v>4</v>
      </c>
      <c r="D31" s="16">
        <f>'Team Statistics'!D60</f>
        <v>2</v>
      </c>
      <c r="E31" s="18">
        <f>'Team Statistics'!E60</f>
        <v>76.25</v>
      </c>
      <c r="F31" s="16">
        <f>'Team Statistics'!F60</f>
        <v>0</v>
      </c>
      <c r="G31" s="16">
        <f>'Team Statistics'!G60</f>
        <v>313</v>
      </c>
      <c r="H31" s="16">
        <f>'Team Statistics'!H60</f>
        <v>18</v>
      </c>
      <c r="I31" s="16">
        <f>'Team Statistics'!I60</f>
        <v>437</v>
      </c>
      <c r="J31" s="16">
        <f>'Team Statistics'!J60</f>
        <v>-124</v>
      </c>
      <c r="K31" s="26">
        <f>'Team Statistics'!K60</f>
        <v>0.7162471396</v>
      </c>
      <c r="L31" s="18">
        <f>'Team Statistics'!L60</f>
        <v>10.46910755</v>
      </c>
      <c r="M31" s="16">
        <f>'Team Statistics'!M60</f>
        <v>478</v>
      </c>
      <c r="N31" s="16">
        <f>'Team Statistics'!N60</f>
        <v>2</v>
      </c>
      <c r="O31" s="27">
        <f>'Team Statistics'!O60</f>
        <v>41.25</v>
      </c>
      <c r="P31" s="16">
        <f>'Team Statistics'!P60</f>
        <v>24</v>
      </c>
      <c r="Q31" s="16">
        <f>'Team Statistics'!Q60</f>
        <v>4</v>
      </c>
      <c r="R31" s="16">
        <f>'Team Statistics'!R60</f>
        <v>1</v>
      </c>
      <c r="S31" s="16">
        <f>'Team Statistics'!S60</f>
        <v>0</v>
      </c>
      <c r="T31" s="16">
        <f>'Team Statistics'!T60</f>
        <v>0</v>
      </c>
      <c r="U31" s="16">
        <f>'Team Statistics'!U60</f>
        <v>0</v>
      </c>
      <c r="V31" s="16">
        <f>'Team Statistics'!V60</f>
        <v>0</v>
      </c>
      <c r="W31" s="16">
        <f>'Team Statistics'!W60</f>
        <v>0</v>
      </c>
      <c r="X31" s="16">
        <f>'Team Statistics'!X60</f>
        <v>0</v>
      </c>
      <c r="Y31" s="16">
        <f>'Team Statistics'!Y60</f>
        <v>0</v>
      </c>
      <c r="Z31" s="16">
        <f>'Team Statistics'!Z60</f>
        <v>0</v>
      </c>
      <c r="AA31" s="16">
        <f>'Team Statistics'!AA60</f>
        <v>0</v>
      </c>
      <c r="AB31" s="16">
        <f>'Team Statistics'!AB60</f>
        <v>0</v>
      </c>
      <c r="AC31" s="16">
        <f>'Team Statistics'!AC60</f>
        <v>0</v>
      </c>
      <c r="AD31" s="16">
        <f>'Team Statistics'!AD60</f>
        <v>0</v>
      </c>
      <c r="AE31" s="16" t="str">
        <f t="shared" ref="AE31:AJ31" si="29">#REF!</f>
        <v>#REF!</v>
      </c>
      <c r="AF31" s="16" t="str">
        <f t="shared" si="29"/>
        <v>#REF!</v>
      </c>
      <c r="AG31" s="16" t="str">
        <f t="shared" si="29"/>
        <v>#REF!</v>
      </c>
      <c r="AH31" s="16" t="str">
        <f t="shared" si="29"/>
        <v>#REF!</v>
      </c>
      <c r="AI31" s="16" t="str">
        <f t="shared" si="29"/>
        <v>#REF!</v>
      </c>
      <c r="AJ31" s="16" t="str">
        <f t="shared" si="29"/>
        <v>#REF!</v>
      </c>
    </row>
    <row r="32">
      <c r="A32" s="11" t="str">
        <f>'Team Statistics'!A45</f>
        <v>EU Squad w/o EUs</v>
      </c>
      <c r="B32" s="12" t="str">
        <f>'Team Statistics'!B45</f>
        <v>KillerDj Demon</v>
      </c>
      <c r="C32" s="16">
        <f>'Team Statistics'!C45</f>
        <v>2</v>
      </c>
      <c r="D32" s="16">
        <f>'Team Statistics'!D45</f>
        <v>0</v>
      </c>
      <c r="E32" s="18">
        <f>'Team Statistics'!E45</f>
        <v>36.5</v>
      </c>
      <c r="F32" s="16">
        <f>'Team Statistics'!F45</f>
        <v>0</v>
      </c>
      <c r="G32" s="16">
        <f>'Team Statistics'!G45</f>
        <v>151</v>
      </c>
      <c r="H32" s="16">
        <f>'Team Statistics'!H45</f>
        <v>12</v>
      </c>
      <c r="I32" s="16">
        <f>'Team Statistics'!I45</f>
        <v>187</v>
      </c>
      <c r="J32" s="16">
        <f>'Team Statistics'!J45</f>
        <v>-36</v>
      </c>
      <c r="K32" s="26">
        <f>'Team Statistics'!K45</f>
        <v>0.807486631</v>
      </c>
      <c r="L32" s="18">
        <f>'Team Statistics'!L45</f>
        <v>11.71122995</v>
      </c>
      <c r="M32" s="16">
        <f>'Team Statistics'!M45</f>
        <v>255</v>
      </c>
      <c r="N32" s="16">
        <f>'Team Statistics'!N45</f>
        <v>2</v>
      </c>
      <c r="O32" s="27">
        <f>'Team Statistics'!O45</f>
        <v>36.5</v>
      </c>
      <c r="P32" s="16">
        <f>'Team Statistics'!P45</f>
        <v>22</v>
      </c>
      <c r="Q32" s="16">
        <f>'Team Statistics'!Q45</f>
        <v>3</v>
      </c>
      <c r="R32" s="16">
        <f>'Team Statistics'!R45</f>
        <v>1</v>
      </c>
      <c r="S32" s="16">
        <f>'Team Statistics'!S45</f>
        <v>0</v>
      </c>
      <c r="T32" s="16">
        <f>'Team Statistics'!T45</f>
        <v>0</v>
      </c>
      <c r="U32" s="16">
        <f>'Team Statistics'!U45</f>
        <v>0</v>
      </c>
      <c r="V32" s="16">
        <f>'Team Statistics'!V45</f>
        <v>0</v>
      </c>
      <c r="W32" s="16">
        <f>'Team Statistics'!W45</f>
        <v>0</v>
      </c>
      <c r="X32" s="16">
        <f>'Team Statistics'!X45</f>
        <v>0</v>
      </c>
      <c r="Y32" s="16">
        <f>'Team Statistics'!Y45</f>
        <v>0</v>
      </c>
      <c r="Z32" s="16">
        <f>'Team Statistics'!Z45</f>
        <v>0</v>
      </c>
      <c r="AA32" s="16">
        <f>'Team Statistics'!AA45</f>
        <v>0</v>
      </c>
      <c r="AB32" s="16">
        <f>'Team Statistics'!AB45</f>
        <v>0</v>
      </c>
      <c r="AC32" s="16">
        <f>'Team Statistics'!AC45</f>
        <v>0</v>
      </c>
      <c r="AD32" s="16">
        <f>'Team Statistics'!AD45</f>
        <v>0</v>
      </c>
      <c r="AE32" s="16" t="str">
        <f t="shared" ref="AE32:AJ32" si="30">#REF!</f>
        <v>#REF!</v>
      </c>
      <c r="AF32" s="16" t="str">
        <f t="shared" si="30"/>
        <v>#REF!</v>
      </c>
      <c r="AG32" s="16" t="str">
        <f t="shared" si="30"/>
        <v>#REF!</v>
      </c>
      <c r="AH32" s="16" t="str">
        <f t="shared" si="30"/>
        <v>#REF!</v>
      </c>
      <c r="AI32" s="16" t="str">
        <f t="shared" si="30"/>
        <v>#REF!</v>
      </c>
      <c r="AJ32" s="16" t="str">
        <f t="shared" si="30"/>
        <v>#REF!</v>
      </c>
    </row>
    <row r="33">
      <c r="A33" s="11" t="str">
        <f>'Team Statistics'!A56</f>
        <v>Candice</v>
      </c>
      <c r="B33" s="12" t="str">
        <f>'Team Statistics'!B56</f>
        <v>Mr_Epic_Beast</v>
      </c>
      <c r="C33" s="16">
        <f>'Team Statistics'!C56</f>
        <v>3</v>
      </c>
      <c r="D33" s="16">
        <f>'Team Statistics'!D56</f>
        <v>1</v>
      </c>
      <c r="E33" s="18">
        <f>'Team Statistics'!E56</f>
        <v>99.3</v>
      </c>
      <c r="F33" s="16">
        <f>'Team Statistics'!F56</f>
        <v>0</v>
      </c>
      <c r="G33" s="16">
        <f>'Team Statistics'!G56</f>
        <v>371</v>
      </c>
      <c r="H33" s="16">
        <f>'Team Statistics'!H56</f>
        <v>21</v>
      </c>
      <c r="I33" s="16">
        <f>'Team Statistics'!I56</f>
        <v>475</v>
      </c>
      <c r="J33" s="16">
        <f>'Team Statistics'!J56</f>
        <v>-104</v>
      </c>
      <c r="K33" s="26">
        <f>'Team Statistics'!K56</f>
        <v>0.7810526316</v>
      </c>
      <c r="L33" s="18">
        <f>'Team Statistics'!L56</f>
        <v>12.54315789</v>
      </c>
      <c r="M33" s="16">
        <f>'Team Statistics'!M56</f>
        <v>575</v>
      </c>
      <c r="N33" s="16">
        <f>'Team Statistics'!N56</f>
        <v>2</v>
      </c>
      <c r="O33" s="27">
        <f>'Team Statistics'!O56</f>
        <v>64.3</v>
      </c>
      <c r="P33" s="16">
        <f>'Team Statistics'!P56</f>
        <v>33</v>
      </c>
      <c r="Q33" s="16">
        <f>'Team Statistics'!Q56</f>
        <v>2</v>
      </c>
      <c r="R33" s="16">
        <f>'Team Statistics'!R56</f>
        <v>1</v>
      </c>
      <c r="S33" s="16">
        <f>'Team Statistics'!S56</f>
        <v>1</v>
      </c>
      <c r="T33" s="16">
        <f>'Team Statistics'!T56</f>
        <v>1</v>
      </c>
      <c r="U33" s="16">
        <f>'Team Statistics'!U56</f>
        <v>0</v>
      </c>
      <c r="V33" s="16">
        <f>'Team Statistics'!V56</f>
        <v>0</v>
      </c>
      <c r="W33" s="16">
        <f>'Team Statistics'!W56</f>
        <v>0</v>
      </c>
      <c r="X33" s="16">
        <f>'Team Statistics'!X56</f>
        <v>0</v>
      </c>
      <c r="Y33" s="16">
        <f>'Team Statistics'!Y56</f>
        <v>0</v>
      </c>
      <c r="Z33" s="16">
        <f>'Team Statistics'!Z56</f>
        <v>1</v>
      </c>
      <c r="AA33" s="16">
        <f>'Team Statistics'!AA56</f>
        <v>0</v>
      </c>
      <c r="AB33" s="16">
        <f>'Team Statistics'!AB56</f>
        <v>0</v>
      </c>
      <c r="AC33" s="16">
        <f>'Team Statistics'!AC56</f>
        <v>0</v>
      </c>
      <c r="AD33" s="16">
        <f>'Team Statistics'!AD56</f>
        <v>0</v>
      </c>
      <c r="AE33" s="16" t="str">
        <f t="shared" ref="AE33:AJ33" si="31">#REF!</f>
        <v>#REF!</v>
      </c>
      <c r="AF33" s="16" t="str">
        <f t="shared" si="31"/>
        <v>#REF!</v>
      </c>
      <c r="AG33" s="16" t="str">
        <f t="shared" si="31"/>
        <v>#REF!</v>
      </c>
      <c r="AH33" s="16" t="str">
        <f t="shared" si="31"/>
        <v>#REF!</v>
      </c>
      <c r="AI33" s="16" t="str">
        <f t="shared" si="31"/>
        <v>#REF!</v>
      </c>
      <c r="AJ33" s="16" t="str">
        <f t="shared" si="31"/>
        <v>#REF!</v>
      </c>
    </row>
    <row r="34">
      <c r="A34" s="11" t="str">
        <f>'Team Statistics'!A61</f>
        <v>Goose's Girls</v>
      </c>
      <c r="B34" s="12" t="str">
        <f>'Team Statistics'!B61</f>
        <v>Its Low Mane</v>
      </c>
      <c r="C34" s="16">
        <f>'Team Statistics'!C61</f>
        <v>4</v>
      </c>
      <c r="D34" s="16">
        <f>'Team Statistics'!D61</f>
        <v>2</v>
      </c>
      <c r="E34" s="18">
        <f>'Team Statistics'!E61</f>
        <v>76.41666667</v>
      </c>
      <c r="F34" s="16">
        <f>'Team Statistics'!F61</f>
        <v>1</v>
      </c>
      <c r="G34" s="16">
        <f>'Team Statistics'!G61</f>
        <v>242</v>
      </c>
      <c r="H34" s="16">
        <f>'Team Statistics'!H61</f>
        <v>13</v>
      </c>
      <c r="I34" s="16">
        <f>'Team Statistics'!I61</f>
        <v>381</v>
      </c>
      <c r="J34" s="16">
        <f>'Team Statistics'!J61</f>
        <v>-139</v>
      </c>
      <c r="K34" s="26">
        <f>'Team Statistics'!K61</f>
        <v>0.6351706037</v>
      </c>
      <c r="L34" s="18">
        <f>'Team Statistics'!L61</f>
        <v>12.03412073</v>
      </c>
      <c r="M34" s="16">
        <f>'Team Statistics'!M61</f>
        <v>342</v>
      </c>
      <c r="N34" s="16">
        <f>'Team Statistics'!N61</f>
        <v>2</v>
      </c>
      <c r="O34" s="27">
        <f>'Team Statistics'!O61</f>
        <v>41.41666667</v>
      </c>
      <c r="P34" s="16">
        <f>'Team Statistics'!P61</f>
        <v>11</v>
      </c>
      <c r="Q34" s="16">
        <f>'Team Statistics'!Q61</f>
        <v>2</v>
      </c>
      <c r="R34" s="16">
        <f>'Team Statistics'!R61</f>
        <v>1</v>
      </c>
      <c r="S34" s="16">
        <f>'Team Statistics'!S61</f>
        <v>0</v>
      </c>
      <c r="T34" s="16">
        <f>'Team Statistics'!T61</f>
        <v>0</v>
      </c>
      <c r="U34" s="16">
        <f>'Team Statistics'!U61</f>
        <v>0</v>
      </c>
      <c r="V34" s="16">
        <f>'Team Statistics'!V61</f>
        <v>0</v>
      </c>
      <c r="W34" s="16">
        <f>'Team Statistics'!W61</f>
        <v>0</v>
      </c>
      <c r="X34" s="16">
        <f>'Team Statistics'!X61</f>
        <v>0</v>
      </c>
      <c r="Y34" s="16">
        <f>'Team Statistics'!Y61</f>
        <v>0</v>
      </c>
      <c r="Z34" s="16">
        <f>'Team Statistics'!Z61</f>
        <v>0</v>
      </c>
      <c r="AA34" s="16">
        <f>'Team Statistics'!AA61</f>
        <v>0</v>
      </c>
      <c r="AB34" s="16">
        <f>'Team Statistics'!AB61</f>
        <v>0</v>
      </c>
      <c r="AC34" s="16">
        <f>'Team Statistics'!AC61</f>
        <v>0</v>
      </c>
      <c r="AD34" s="16">
        <f>'Team Statistics'!AD61</f>
        <v>0</v>
      </c>
      <c r="AE34" s="16" t="str">
        <f t="shared" ref="AE34:AJ34" si="32">#REF!</f>
        <v>#REF!</v>
      </c>
      <c r="AF34" s="16" t="str">
        <f t="shared" si="32"/>
        <v>#REF!</v>
      </c>
      <c r="AG34" s="16" t="str">
        <f t="shared" si="32"/>
        <v>#REF!</v>
      </c>
      <c r="AH34" s="16" t="str">
        <f t="shared" si="32"/>
        <v>#REF!</v>
      </c>
      <c r="AI34" s="16" t="str">
        <f t="shared" si="32"/>
        <v>#REF!</v>
      </c>
      <c r="AJ34" s="16" t="str">
        <f t="shared" si="32"/>
        <v>#REF!</v>
      </c>
    </row>
    <row r="35">
      <c r="A35" s="11" t="str">
        <f>'Team Statistics'!A40</f>
        <v>Like Clockwork</v>
      </c>
      <c r="B35" s="12" t="str">
        <f>'Team Statistics'!B40</f>
        <v>mstell96</v>
      </c>
      <c r="C35" s="16">
        <f>'Team Statistics'!C40</f>
        <v>2</v>
      </c>
      <c r="D35" s="16">
        <f>'Team Statistics'!D40</f>
        <v>0</v>
      </c>
      <c r="E35" s="18">
        <f>'Team Statistics'!E40</f>
        <v>39.4</v>
      </c>
      <c r="F35" s="16">
        <f>'Team Statistics'!F40</f>
        <v>1</v>
      </c>
      <c r="G35" s="16">
        <f>'Team Statistics'!G40</f>
        <v>131</v>
      </c>
      <c r="H35" s="16">
        <f>'Team Statistics'!H40</f>
        <v>16</v>
      </c>
      <c r="I35" s="16">
        <f>'Team Statistics'!I40</f>
        <v>162</v>
      </c>
      <c r="J35" s="16">
        <f>'Team Statistics'!J40</f>
        <v>-31</v>
      </c>
      <c r="K35" s="26">
        <f>'Team Statistics'!K40</f>
        <v>0.8086419753</v>
      </c>
      <c r="L35" s="18">
        <f>'Team Statistics'!L40</f>
        <v>14.59259259</v>
      </c>
      <c r="M35" s="16">
        <f>'Team Statistics'!M40</f>
        <v>213</v>
      </c>
      <c r="N35" s="16">
        <f>'Team Statistics'!N40</f>
        <v>2</v>
      </c>
      <c r="O35" s="27">
        <f>'Team Statistics'!O40</f>
        <v>39.4</v>
      </c>
      <c r="P35" s="16">
        <f>'Team Statistics'!P40</f>
        <v>13</v>
      </c>
      <c r="Q35" s="16">
        <f>'Team Statistics'!Q40</f>
        <v>1</v>
      </c>
      <c r="R35" s="16">
        <f>'Team Statistics'!R40</f>
        <v>1</v>
      </c>
      <c r="S35" s="16">
        <f>'Team Statistics'!S40</f>
        <v>0</v>
      </c>
      <c r="T35" s="16">
        <f>'Team Statistics'!T40</f>
        <v>2</v>
      </c>
      <c r="U35" s="16">
        <f>'Team Statistics'!U40</f>
        <v>0</v>
      </c>
      <c r="V35" s="16">
        <f>'Team Statistics'!V40</f>
        <v>0</v>
      </c>
      <c r="W35" s="16">
        <f>'Team Statistics'!W40</f>
        <v>0</v>
      </c>
      <c r="X35" s="16">
        <f>'Team Statistics'!X40</f>
        <v>0</v>
      </c>
      <c r="Y35" s="16">
        <f>'Team Statistics'!Y40</f>
        <v>0</v>
      </c>
      <c r="Z35" s="16">
        <f>'Team Statistics'!Z40</f>
        <v>0</v>
      </c>
      <c r="AA35" s="16">
        <f>'Team Statistics'!AA40</f>
        <v>0</v>
      </c>
      <c r="AB35" s="16">
        <f>'Team Statistics'!AB40</f>
        <v>0</v>
      </c>
      <c r="AC35" s="16">
        <f>'Team Statistics'!AC40</f>
        <v>0</v>
      </c>
      <c r="AD35" s="16">
        <f>'Team Statistics'!AD40</f>
        <v>0</v>
      </c>
      <c r="AE35" s="16" t="str">
        <f t="shared" ref="AE35:AJ35" si="33">#REF!</f>
        <v>#REF!</v>
      </c>
      <c r="AF35" s="16" t="str">
        <f t="shared" si="33"/>
        <v>#REF!</v>
      </c>
      <c r="AG35" s="16" t="str">
        <f t="shared" si="33"/>
        <v>#REF!</v>
      </c>
      <c r="AH35" s="16" t="str">
        <f t="shared" si="33"/>
        <v>#REF!</v>
      </c>
      <c r="AI35" s="16" t="str">
        <f t="shared" si="33"/>
        <v>#REF!</v>
      </c>
      <c r="AJ35" s="16" t="str">
        <f t="shared" si="33"/>
        <v>#REF!</v>
      </c>
    </row>
    <row r="36">
      <c r="A36" s="11" t="str">
        <f>'Team Statistics'!A46</f>
        <v>EU Squad w/o EUs</v>
      </c>
      <c r="B36" s="12" t="str">
        <f>'Team Statistics'!B46</f>
        <v>Scullen75</v>
      </c>
      <c r="C36" s="16">
        <f>'Team Statistics'!C46</f>
        <v>2</v>
      </c>
      <c r="D36" s="16">
        <f>'Team Statistics'!D46</f>
        <v>0</v>
      </c>
      <c r="E36" s="18">
        <f>'Team Statistics'!E46</f>
        <v>36.5</v>
      </c>
      <c r="F36" s="16">
        <f>'Team Statistics'!F46</f>
        <v>1</v>
      </c>
      <c r="G36" s="16">
        <f>'Team Statistics'!G46</f>
        <v>109</v>
      </c>
      <c r="H36" s="16">
        <f>'Team Statistics'!H46</f>
        <v>4</v>
      </c>
      <c r="I36" s="16">
        <f>'Team Statistics'!I46</f>
        <v>180</v>
      </c>
      <c r="J36" s="16">
        <f>'Team Statistics'!J46</f>
        <v>-71</v>
      </c>
      <c r="K36" s="26">
        <f>'Team Statistics'!K46</f>
        <v>0.6055555556</v>
      </c>
      <c r="L36" s="18">
        <f>'Team Statistics'!L46</f>
        <v>12.16666667</v>
      </c>
      <c r="M36" s="16">
        <f>'Team Statistics'!M46</f>
        <v>163</v>
      </c>
      <c r="N36" s="16">
        <f>'Team Statistics'!N46</f>
        <v>2</v>
      </c>
      <c r="O36" s="27">
        <f>'Team Statistics'!O46</f>
        <v>36.5</v>
      </c>
      <c r="P36" s="16">
        <f>'Team Statistics'!P46</f>
        <v>10</v>
      </c>
      <c r="Q36" s="16">
        <f>'Team Statistics'!Q46</f>
        <v>1</v>
      </c>
      <c r="R36" s="16">
        <f>'Team Statistics'!R46</f>
        <v>1</v>
      </c>
      <c r="S36" s="16">
        <f>'Team Statistics'!S46</f>
        <v>0</v>
      </c>
      <c r="T36" s="16">
        <f>'Team Statistics'!T46</f>
        <v>0</v>
      </c>
      <c r="U36" s="16">
        <f>'Team Statistics'!U46</f>
        <v>0</v>
      </c>
      <c r="V36" s="16">
        <f>'Team Statistics'!V46</f>
        <v>0</v>
      </c>
      <c r="W36" s="16">
        <f>'Team Statistics'!W46</f>
        <v>0</v>
      </c>
      <c r="X36" s="16">
        <f>'Team Statistics'!X46</f>
        <v>0</v>
      </c>
      <c r="Y36" s="16">
        <f>'Team Statistics'!Y46</f>
        <v>0</v>
      </c>
      <c r="Z36" s="16">
        <f>'Team Statistics'!Z46</f>
        <v>0</v>
      </c>
      <c r="AA36" s="16">
        <f>'Team Statistics'!AA46</f>
        <v>0</v>
      </c>
      <c r="AB36" s="16">
        <f>'Team Statistics'!AB46</f>
        <v>0</v>
      </c>
      <c r="AC36" s="16">
        <f>'Team Statistics'!AC46</f>
        <v>0</v>
      </c>
      <c r="AD36" s="16">
        <f>'Team Statistics'!AD46</f>
        <v>0</v>
      </c>
      <c r="AE36" s="16" t="str">
        <f t="shared" ref="AE36:AJ36" si="34">#REF!</f>
        <v>#REF!</v>
      </c>
      <c r="AF36" s="16" t="str">
        <f t="shared" si="34"/>
        <v>#REF!</v>
      </c>
      <c r="AG36" s="16" t="str">
        <f t="shared" si="34"/>
        <v>#REF!</v>
      </c>
      <c r="AH36" s="16" t="str">
        <f t="shared" si="34"/>
        <v>#REF!</v>
      </c>
      <c r="AI36" s="16" t="str">
        <f t="shared" si="34"/>
        <v>#REF!</v>
      </c>
      <c r="AJ36" s="16" t="str">
        <f t="shared" si="34"/>
        <v>#REF!</v>
      </c>
    </row>
    <row r="37">
      <c r="A37" s="11" t="str">
        <f>'Team Statistics'!A36</f>
        <v>Spam Folder</v>
      </c>
      <c r="B37" s="12" t="str">
        <f>'Team Statistics'!B36</f>
        <v>The Scet</v>
      </c>
      <c r="C37" s="16">
        <f>'Team Statistics'!C36</f>
        <v>8</v>
      </c>
      <c r="D37" s="16">
        <f>'Team Statistics'!D36</f>
        <v>6</v>
      </c>
      <c r="E37" s="18">
        <f>'Team Statistics'!E36</f>
        <v>282</v>
      </c>
      <c r="F37" s="16">
        <f>'Team Statistics'!F36</f>
        <v>19</v>
      </c>
      <c r="G37" s="16">
        <f>'Team Statistics'!G36</f>
        <v>608</v>
      </c>
      <c r="H37" s="16">
        <f>'Team Statistics'!H36</f>
        <v>18</v>
      </c>
      <c r="I37" s="16">
        <f>'Team Statistics'!I36</f>
        <v>886</v>
      </c>
      <c r="J37" s="16">
        <f>'Team Statistics'!J36</f>
        <v>-278</v>
      </c>
      <c r="K37" s="26">
        <f>'Team Statistics'!K36</f>
        <v>0.6862302483</v>
      </c>
      <c r="L37" s="18">
        <f>'Team Statistics'!L36</f>
        <v>19.09706546</v>
      </c>
      <c r="M37" s="16">
        <f>'Team Statistics'!M36</f>
        <v>862</v>
      </c>
      <c r="N37" s="16">
        <f>'Team Statistics'!N36</f>
        <v>8</v>
      </c>
      <c r="O37" s="27">
        <f>'Team Statistics'!O36</f>
        <v>282</v>
      </c>
      <c r="P37" s="16">
        <f>'Team Statistics'!P36</f>
        <v>59</v>
      </c>
      <c r="Q37" s="16">
        <f>'Team Statistics'!Q36</f>
        <v>8</v>
      </c>
      <c r="R37" s="16">
        <f>'Team Statistics'!R36</f>
        <v>0</v>
      </c>
      <c r="S37" s="16">
        <f>'Team Statistics'!S36</f>
        <v>0</v>
      </c>
      <c r="T37" s="16">
        <f>'Team Statistics'!T36</f>
        <v>0</v>
      </c>
      <c r="U37" s="16">
        <f>'Team Statistics'!U36</f>
        <v>0</v>
      </c>
      <c r="V37" s="16">
        <f>'Team Statistics'!V36</f>
        <v>0</v>
      </c>
      <c r="W37" s="16">
        <f>'Team Statistics'!W36</f>
        <v>0</v>
      </c>
      <c r="X37" s="16">
        <f>'Team Statistics'!X36</f>
        <v>0</v>
      </c>
      <c r="Y37" s="16">
        <f>'Team Statistics'!Y36</f>
        <v>0</v>
      </c>
      <c r="Z37" s="16">
        <f>'Team Statistics'!Z36</f>
        <v>0</v>
      </c>
      <c r="AA37" s="16">
        <f>'Team Statistics'!AA36</f>
        <v>0</v>
      </c>
      <c r="AB37" s="16">
        <f>'Team Statistics'!AB36</f>
        <v>0</v>
      </c>
      <c r="AC37" s="16">
        <f>'Team Statistics'!AC36</f>
        <v>0</v>
      </c>
      <c r="AD37" s="16">
        <f>'Team Statistics'!AD36</f>
        <v>0</v>
      </c>
      <c r="AE37" s="16" t="str">
        <f t="shared" ref="AE37:AJ37" si="35">#REF!</f>
        <v>#REF!</v>
      </c>
      <c r="AF37" s="16" t="str">
        <f t="shared" si="35"/>
        <v>#REF!</v>
      </c>
      <c r="AG37" s="16" t="str">
        <f t="shared" si="35"/>
        <v>#REF!</v>
      </c>
      <c r="AH37" s="16" t="str">
        <f t="shared" si="35"/>
        <v>#REF!</v>
      </c>
      <c r="AI37" s="16" t="str">
        <f t="shared" si="35"/>
        <v>#REF!</v>
      </c>
      <c r="AJ37" s="16" t="str">
        <f t="shared" si="35"/>
        <v>#REF!</v>
      </c>
    </row>
    <row r="38">
      <c r="A38" s="11" t="str">
        <f>'Team Statistics'!A6</f>
        <v>Noble Team</v>
      </c>
      <c r="B38" s="12" t="str">
        <f>'Team Statistics'!B6</f>
        <v>Ouglaf11</v>
      </c>
      <c r="C38" s="16">
        <f>'Team Statistics'!C6</f>
        <v>5</v>
      </c>
      <c r="D38" s="16">
        <f>'Team Statistics'!D6</f>
        <v>3</v>
      </c>
      <c r="E38" s="27">
        <f>'Team Statistics'!E6</f>
        <v>118.9</v>
      </c>
      <c r="F38" s="16">
        <f>'Team Statistics'!F6</f>
        <v>13</v>
      </c>
      <c r="G38" s="16">
        <f>'Team Statistics'!G6</f>
        <v>393</v>
      </c>
      <c r="H38" s="16">
        <f>'Team Statistics'!H6</f>
        <v>6</v>
      </c>
      <c r="I38" s="16">
        <f>'Team Statistics'!I6</f>
        <v>376</v>
      </c>
      <c r="J38" s="16">
        <f>'Team Statistics'!J6</f>
        <v>17</v>
      </c>
      <c r="K38" s="26">
        <f>'Team Statistics'!K6</f>
        <v>1.045212766</v>
      </c>
      <c r="L38" s="18">
        <f>'Team Statistics'!L6</f>
        <v>18.97340426</v>
      </c>
      <c r="M38" s="16">
        <f>'Team Statistics'!M6</f>
        <v>636</v>
      </c>
      <c r="N38" s="16">
        <f>'Team Statistics'!N6</f>
        <v>5</v>
      </c>
      <c r="O38" s="27">
        <f>'Team Statistics'!O6</f>
        <v>118.9</v>
      </c>
      <c r="P38" s="16">
        <f>'Team Statistics'!P6</f>
        <v>35</v>
      </c>
      <c r="Q38" s="16">
        <f>'Team Statistics'!Q6</f>
        <v>7</v>
      </c>
      <c r="R38" s="16">
        <f>'Team Statistics'!R6</f>
        <v>0</v>
      </c>
      <c r="S38" s="16">
        <f>'Team Statistics'!S6</f>
        <v>0</v>
      </c>
      <c r="T38" s="16">
        <f>'Team Statistics'!T6</f>
        <v>8</v>
      </c>
      <c r="U38" s="16">
        <f>'Team Statistics'!U6</f>
        <v>2</v>
      </c>
      <c r="V38" s="16">
        <f>'Team Statistics'!V6</f>
        <v>0</v>
      </c>
      <c r="W38" s="16">
        <f>'Team Statistics'!W6</f>
        <v>0</v>
      </c>
      <c r="X38" s="16">
        <f>'Team Statistics'!X6</f>
        <v>2</v>
      </c>
      <c r="Y38" s="16">
        <f>'Team Statistics'!Y6</f>
        <v>0</v>
      </c>
      <c r="Z38" s="16">
        <f>'Team Statistics'!Z6</f>
        <v>0</v>
      </c>
      <c r="AA38" s="16">
        <f>'Team Statistics'!AA6</f>
        <v>0</v>
      </c>
      <c r="AB38" s="16">
        <f>'Team Statistics'!AB6</f>
        <v>0</v>
      </c>
      <c r="AC38" s="16">
        <f>'Team Statistics'!AC6</f>
        <v>0</v>
      </c>
      <c r="AD38" s="16">
        <f>'Team Statistics'!AD6</f>
        <v>0</v>
      </c>
      <c r="AE38" s="16" t="str">
        <f t="shared" ref="AE38:AJ38" si="36">#REF!</f>
        <v>#REF!</v>
      </c>
      <c r="AF38" s="16" t="str">
        <f t="shared" si="36"/>
        <v>#REF!</v>
      </c>
      <c r="AG38" s="16" t="str">
        <f t="shared" si="36"/>
        <v>#REF!</v>
      </c>
      <c r="AH38" s="16" t="str">
        <f t="shared" si="36"/>
        <v>#REF!</v>
      </c>
      <c r="AI38" s="16" t="str">
        <f t="shared" si="36"/>
        <v>#REF!</v>
      </c>
      <c r="AJ38" s="16" t="str">
        <f t="shared" si="36"/>
        <v>#REF!</v>
      </c>
    </row>
    <row r="39">
      <c r="A39" s="11" t="str">
        <f>'Team Statistics'!A66</f>
        <v>Originals</v>
      </c>
      <c r="B39" s="12" t="str">
        <f>'Team Statistics'!B66</f>
        <v>nukiey</v>
      </c>
      <c r="C39" s="16">
        <f>'Team Statistics'!C66</f>
        <v>5</v>
      </c>
      <c r="D39" s="16">
        <f>'Team Statistics'!D66</f>
        <v>5</v>
      </c>
      <c r="E39" s="18">
        <f>'Team Statistics'!E66</f>
        <v>65</v>
      </c>
      <c r="F39" s="16">
        <f>'Team Statistics'!F66</f>
        <v>2</v>
      </c>
      <c r="G39" s="16">
        <f>'Team Statistics'!G66</f>
        <v>217</v>
      </c>
      <c r="H39" s="16">
        <f>'Team Statistics'!H66</f>
        <v>13</v>
      </c>
      <c r="I39" s="16">
        <f>'Team Statistics'!I66</f>
        <v>281</v>
      </c>
      <c r="J39" s="16">
        <f>'Team Statistics'!J66</f>
        <v>-64</v>
      </c>
      <c r="K39" s="26">
        <f>'Team Statistics'!K66</f>
        <v>0.7722419929</v>
      </c>
      <c r="L39" s="18">
        <f>'Team Statistics'!L66</f>
        <v>13.87900356</v>
      </c>
      <c r="M39" s="16">
        <f>'Team Statistics'!M66</f>
        <v>368</v>
      </c>
      <c r="N39" s="16">
        <f>'Team Statistics'!N66</f>
        <v>5</v>
      </c>
      <c r="O39" s="27">
        <f>'Team Statistics'!O66</f>
        <v>65</v>
      </c>
      <c r="P39" s="16">
        <f>'Team Statistics'!P66</f>
        <v>33</v>
      </c>
      <c r="Q39" s="16">
        <f>'Team Statistics'!Q66</f>
        <v>7</v>
      </c>
      <c r="R39" s="16">
        <f>'Team Statistics'!R66</f>
        <v>0</v>
      </c>
      <c r="S39" s="16">
        <f>'Team Statistics'!S66</f>
        <v>0</v>
      </c>
      <c r="T39" s="16">
        <f>'Team Statistics'!T66</f>
        <v>1</v>
      </c>
      <c r="U39" s="16">
        <f>'Team Statistics'!U66</f>
        <v>0</v>
      </c>
      <c r="V39" s="16">
        <f>'Team Statistics'!V66</f>
        <v>0</v>
      </c>
      <c r="W39" s="16">
        <f>'Team Statistics'!W66</f>
        <v>0</v>
      </c>
      <c r="X39" s="16">
        <f>'Team Statistics'!X66</f>
        <v>0</v>
      </c>
      <c r="Y39" s="16">
        <f>'Team Statistics'!Y66</f>
        <v>0</v>
      </c>
      <c r="Z39" s="16">
        <f>'Team Statistics'!Z66</f>
        <v>0</v>
      </c>
      <c r="AA39" s="16">
        <f>'Team Statistics'!AA66</f>
        <v>0</v>
      </c>
      <c r="AB39" s="16">
        <f>'Team Statistics'!AB66</f>
        <v>0</v>
      </c>
      <c r="AC39" s="16">
        <f>'Team Statistics'!AC66</f>
        <v>0</v>
      </c>
      <c r="AD39" s="16">
        <f>'Team Statistics'!AD66</f>
        <v>0</v>
      </c>
      <c r="AE39" s="16" t="str">
        <f t="shared" ref="AE39:AJ39" si="37">#REF!</f>
        <v>#REF!</v>
      </c>
      <c r="AF39" s="16" t="str">
        <f t="shared" si="37"/>
        <v>#REF!</v>
      </c>
      <c r="AG39" s="16" t="str">
        <f t="shared" si="37"/>
        <v>#REF!</v>
      </c>
      <c r="AH39" s="16" t="str">
        <f t="shared" si="37"/>
        <v>#REF!</v>
      </c>
      <c r="AI39" s="16" t="str">
        <f t="shared" si="37"/>
        <v>#REF!</v>
      </c>
      <c r="AJ39" s="16" t="str">
        <f t="shared" si="37"/>
        <v>#REF!</v>
      </c>
    </row>
    <row r="40">
      <c r="A40" s="11" t="str">
        <f>'Team Statistics'!A24</f>
        <v>Minor Threat</v>
      </c>
      <c r="B40" s="12" t="str">
        <f>'Team Statistics'!B24</f>
        <v>cxrnchip</v>
      </c>
      <c r="C40" s="16">
        <f>'Team Statistics'!C24</f>
        <v>2</v>
      </c>
      <c r="D40" s="16">
        <f>'Team Statistics'!D24</f>
        <v>0</v>
      </c>
      <c r="E40" s="18">
        <f>'Team Statistics'!E24</f>
        <v>86.16666667</v>
      </c>
      <c r="F40" s="16">
        <f>'Team Statistics'!F24</f>
        <v>0</v>
      </c>
      <c r="G40" s="16">
        <f>'Team Statistics'!G24</f>
        <v>339</v>
      </c>
      <c r="H40" s="16">
        <f>'Team Statistics'!H24</f>
        <v>26</v>
      </c>
      <c r="I40" s="16">
        <f>'Team Statistics'!I24</f>
        <v>271</v>
      </c>
      <c r="J40" s="16">
        <f>'Team Statistics'!J24</f>
        <v>68</v>
      </c>
      <c r="K40" s="26">
        <f>'Team Statistics'!K24</f>
        <v>1.250922509</v>
      </c>
      <c r="L40" s="18">
        <f>'Team Statistics'!L24</f>
        <v>19.07749077</v>
      </c>
      <c r="M40" s="16">
        <f>'Team Statistics'!M24</f>
        <v>557</v>
      </c>
      <c r="N40" s="16">
        <f>'Team Statistics'!N24</f>
        <v>2</v>
      </c>
      <c r="O40" s="27">
        <f>'Team Statistics'!O24</f>
        <v>86.16666667</v>
      </c>
      <c r="P40" s="16">
        <f>'Team Statistics'!P24</f>
        <v>51</v>
      </c>
      <c r="Q40" s="16">
        <f>'Team Statistics'!Q24</f>
        <v>6</v>
      </c>
      <c r="R40" s="16">
        <f>'Team Statistics'!R24</f>
        <v>0</v>
      </c>
      <c r="S40" s="16">
        <f>'Team Statistics'!S24</f>
        <v>0</v>
      </c>
      <c r="T40" s="16">
        <f>'Team Statistics'!T24</f>
        <v>2</v>
      </c>
      <c r="U40" s="16">
        <f>'Team Statistics'!U24</f>
        <v>0</v>
      </c>
      <c r="V40" s="16">
        <f>'Team Statistics'!V24</f>
        <v>0</v>
      </c>
      <c r="W40" s="16">
        <f>'Team Statistics'!W24</f>
        <v>0</v>
      </c>
      <c r="X40" s="16">
        <f>'Team Statistics'!X24</f>
        <v>0</v>
      </c>
      <c r="Y40" s="16">
        <f>'Team Statistics'!Y24</f>
        <v>0</v>
      </c>
      <c r="Z40" s="16">
        <f>'Team Statistics'!Z24</f>
        <v>0</v>
      </c>
      <c r="AA40" s="16">
        <f>'Team Statistics'!AA24</f>
        <v>0</v>
      </c>
      <c r="AB40" s="16">
        <f>'Team Statistics'!AB24</f>
        <v>0</v>
      </c>
      <c r="AC40" s="16">
        <f>'Team Statistics'!AC24</f>
        <v>0</v>
      </c>
      <c r="AD40" s="16">
        <f>'Team Statistics'!AD24</f>
        <v>0</v>
      </c>
      <c r="AE40" s="16" t="str">
        <f t="shared" ref="AE40:AJ40" si="38">#REF!</f>
        <v>#REF!</v>
      </c>
      <c r="AF40" s="16" t="str">
        <f t="shared" si="38"/>
        <v>#REF!</v>
      </c>
      <c r="AG40" s="16" t="str">
        <f t="shared" si="38"/>
        <v>#REF!</v>
      </c>
      <c r="AH40" s="16" t="str">
        <f t="shared" si="38"/>
        <v>#REF!</v>
      </c>
      <c r="AI40" s="16" t="str">
        <f t="shared" si="38"/>
        <v>#REF!</v>
      </c>
      <c r="AJ40" s="16" t="str">
        <f t="shared" si="38"/>
        <v>#REF!</v>
      </c>
    </row>
    <row r="41">
      <c r="A41" s="11" t="str">
        <f>'Team Statistics'!A50</f>
        <v>Fat Mav</v>
      </c>
      <c r="B41" s="12" t="str">
        <f>'Team Statistics'!B50</f>
        <v>RDG NHL</v>
      </c>
      <c r="C41" s="16">
        <f>'Team Statistics'!C50</f>
        <v>3</v>
      </c>
      <c r="D41" s="16">
        <f>'Team Statistics'!D50</f>
        <v>1</v>
      </c>
      <c r="E41" s="18">
        <f>'Team Statistics'!E50</f>
        <v>52.4</v>
      </c>
      <c r="F41" s="16">
        <f>'Team Statistics'!F50</f>
        <v>2</v>
      </c>
      <c r="G41" s="16">
        <f>'Team Statistics'!G50</f>
        <v>201</v>
      </c>
      <c r="H41" s="16">
        <f>'Team Statistics'!H50</f>
        <v>9</v>
      </c>
      <c r="I41" s="16">
        <f>'Team Statistics'!I50</f>
        <v>194</v>
      </c>
      <c r="J41" s="16">
        <f>'Team Statistics'!J50</f>
        <v>7</v>
      </c>
      <c r="K41" s="26">
        <f>'Team Statistics'!K50</f>
        <v>1.036082474</v>
      </c>
      <c r="L41" s="18">
        <f>'Team Statistics'!L50</f>
        <v>16.20618557</v>
      </c>
      <c r="M41" s="16">
        <f>'Team Statistics'!M50</f>
        <v>309</v>
      </c>
      <c r="N41" s="16">
        <f>'Team Statistics'!N50</f>
        <v>3</v>
      </c>
      <c r="O41" s="27">
        <f>'Team Statistics'!O50</f>
        <v>52.4</v>
      </c>
      <c r="P41" s="16">
        <f>'Team Statistics'!P50</f>
        <v>32</v>
      </c>
      <c r="Q41" s="16">
        <f>'Team Statistics'!Q50</f>
        <v>5</v>
      </c>
      <c r="R41" s="16">
        <f>'Team Statistics'!R50</f>
        <v>0</v>
      </c>
      <c r="S41" s="16">
        <f>'Team Statistics'!S50</f>
        <v>0</v>
      </c>
      <c r="T41" s="16">
        <f>'Team Statistics'!T50</f>
        <v>1</v>
      </c>
      <c r="U41" s="16">
        <f>'Team Statistics'!U50</f>
        <v>0</v>
      </c>
      <c r="V41" s="16">
        <f>'Team Statistics'!V50</f>
        <v>0</v>
      </c>
      <c r="W41" s="16">
        <f>'Team Statistics'!W50</f>
        <v>0</v>
      </c>
      <c r="X41" s="16">
        <f>'Team Statistics'!X50</f>
        <v>0</v>
      </c>
      <c r="Y41" s="16">
        <f>'Team Statistics'!Y50</f>
        <v>0</v>
      </c>
      <c r="Z41" s="16">
        <f>'Team Statistics'!Z50</f>
        <v>0</v>
      </c>
      <c r="AA41" s="16">
        <f>'Team Statistics'!AA50</f>
        <v>0</v>
      </c>
      <c r="AB41" s="16">
        <f>'Team Statistics'!AB50</f>
        <v>0</v>
      </c>
      <c r="AC41" s="16">
        <f>'Team Statistics'!AC50</f>
        <v>0</v>
      </c>
      <c r="AD41" s="16">
        <f>'Team Statistics'!AD50</f>
        <v>0</v>
      </c>
      <c r="AE41" s="16" t="str">
        <f t="shared" ref="AE41:AJ41" si="39">#REF!</f>
        <v>#REF!</v>
      </c>
      <c r="AF41" s="16" t="str">
        <f t="shared" si="39"/>
        <v>#REF!</v>
      </c>
      <c r="AG41" s="16" t="str">
        <f t="shared" si="39"/>
        <v>#REF!</v>
      </c>
      <c r="AH41" s="16" t="str">
        <f t="shared" si="39"/>
        <v>#REF!</v>
      </c>
      <c r="AI41" s="16" t="str">
        <f t="shared" si="39"/>
        <v>#REF!</v>
      </c>
      <c r="AJ41" s="16" t="str">
        <f t="shared" si="39"/>
        <v>#REF!</v>
      </c>
    </row>
    <row r="42">
      <c r="A42" s="11" t="str">
        <f>'Team Statistics'!A11</f>
        <v>Salvatores</v>
      </c>
      <c r="B42" s="12" t="str">
        <f>'Team Statistics'!B11</f>
        <v>Beam1N1</v>
      </c>
      <c r="C42" s="16">
        <f>'Team Statistics'!C11</f>
        <v>2</v>
      </c>
      <c r="D42" s="16">
        <f>'Team Statistics'!D11</f>
        <v>0</v>
      </c>
      <c r="E42" s="18">
        <f>'Team Statistics'!E11</f>
        <v>58.8</v>
      </c>
      <c r="F42" s="16">
        <f>'Team Statistics'!F11</f>
        <v>2</v>
      </c>
      <c r="G42" s="16">
        <f>'Team Statistics'!G11</f>
        <v>147</v>
      </c>
      <c r="H42" s="16">
        <f>'Team Statistics'!H11</f>
        <v>4</v>
      </c>
      <c r="I42" s="16">
        <f>'Team Statistics'!I11</f>
        <v>175</v>
      </c>
      <c r="J42" s="16">
        <f>'Team Statistics'!J11</f>
        <v>-28</v>
      </c>
      <c r="K42" s="26">
        <f>'Team Statistics'!K11</f>
        <v>0.84</v>
      </c>
      <c r="L42" s="18">
        <f>'Team Statistics'!L11</f>
        <v>20.16</v>
      </c>
      <c r="M42" s="16">
        <f>'Team Statistics'!M11</f>
        <v>225</v>
      </c>
      <c r="N42" s="16">
        <f>'Team Statistics'!N11</f>
        <v>2</v>
      </c>
      <c r="O42" s="27">
        <f>'Team Statistics'!O11</f>
        <v>58.8</v>
      </c>
      <c r="P42" s="16">
        <f>'Team Statistics'!P11</f>
        <v>18</v>
      </c>
      <c r="Q42" s="16">
        <f>'Team Statistics'!Q11</f>
        <v>5</v>
      </c>
      <c r="R42" s="16">
        <f>'Team Statistics'!R11</f>
        <v>0</v>
      </c>
      <c r="S42" s="16">
        <f>'Team Statistics'!S11</f>
        <v>0</v>
      </c>
      <c r="T42" s="16">
        <f>'Team Statistics'!T11</f>
        <v>1</v>
      </c>
      <c r="U42" s="16">
        <f>'Team Statistics'!U11</f>
        <v>0</v>
      </c>
      <c r="V42" s="16">
        <f>'Team Statistics'!V11</f>
        <v>0</v>
      </c>
      <c r="W42" s="16">
        <f>'Team Statistics'!W11</f>
        <v>0</v>
      </c>
      <c r="X42" s="16">
        <f>'Team Statistics'!X11</f>
        <v>0</v>
      </c>
      <c r="Y42" s="16">
        <f>'Team Statistics'!Y11</f>
        <v>0</v>
      </c>
      <c r="Z42" s="16">
        <f>'Team Statistics'!Z11</f>
        <v>0</v>
      </c>
      <c r="AA42" s="16">
        <f>'Team Statistics'!AA11</f>
        <v>0</v>
      </c>
      <c r="AB42" s="16">
        <f>'Team Statistics'!AB11</f>
        <v>0</v>
      </c>
      <c r="AC42" s="16">
        <f>'Team Statistics'!AC11</f>
        <v>0</v>
      </c>
      <c r="AD42" s="16">
        <f>'Team Statistics'!AD11</f>
        <v>0</v>
      </c>
      <c r="AE42" s="16" t="str">
        <f t="shared" ref="AE42:AJ42" si="40">#REF!</f>
        <v>#REF!</v>
      </c>
      <c r="AF42" s="16" t="str">
        <f t="shared" si="40"/>
        <v>#REF!</v>
      </c>
      <c r="AG42" s="16" t="str">
        <f t="shared" si="40"/>
        <v>#REF!</v>
      </c>
      <c r="AH42" s="16" t="str">
        <f t="shared" si="40"/>
        <v>#REF!</v>
      </c>
      <c r="AI42" s="16" t="str">
        <f t="shared" si="40"/>
        <v>#REF!</v>
      </c>
      <c r="AJ42" s="16" t="str">
        <f t="shared" si="40"/>
        <v>#REF!</v>
      </c>
    </row>
    <row r="43">
      <c r="A43" s="11" t="str">
        <f>'Team Statistics'!A54</f>
        <v>Candice</v>
      </c>
      <c r="B43" s="12" t="str">
        <f>'Team Statistics'!B54</f>
        <v>Godsnipezx</v>
      </c>
      <c r="C43" s="16">
        <f>'Team Statistics'!C54</f>
        <v>3</v>
      </c>
      <c r="D43" s="16">
        <f>'Team Statistics'!D54</f>
        <v>1</v>
      </c>
      <c r="E43" s="18">
        <f>'Team Statistics'!E54</f>
        <v>99.3</v>
      </c>
      <c r="F43" s="16">
        <f>'Team Statistics'!F54</f>
        <v>5</v>
      </c>
      <c r="G43" s="16">
        <f>'Team Statistics'!G54</f>
        <v>384</v>
      </c>
      <c r="H43" s="16">
        <f>'Team Statistics'!H54</f>
        <v>30</v>
      </c>
      <c r="I43" s="16">
        <f>'Team Statistics'!I54</f>
        <v>353</v>
      </c>
      <c r="J43" s="16">
        <f>'Team Statistics'!J54</f>
        <v>31</v>
      </c>
      <c r="K43" s="26">
        <f>'Team Statistics'!K54</f>
        <v>1.087818697</v>
      </c>
      <c r="L43" s="18">
        <f>'Team Statistics'!L54</f>
        <v>16.87818697</v>
      </c>
      <c r="M43" s="16">
        <f>'Team Statistics'!M54</f>
        <v>609</v>
      </c>
      <c r="N43" s="16">
        <f>'Team Statistics'!N54</f>
        <v>2</v>
      </c>
      <c r="O43" s="27">
        <f>'Team Statistics'!O54</f>
        <v>64.3</v>
      </c>
      <c r="P43" s="16">
        <f>'Team Statistics'!P54</f>
        <v>28</v>
      </c>
      <c r="Q43" s="16">
        <f>'Team Statistics'!Q54</f>
        <v>3</v>
      </c>
      <c r="R43" s="16">
        <f>'Team Statistics'!R54</f>
        <v>0</v>
      </c>
      <c r="S43" s="16">
        <f>'Team Statistics'!S54</f>
        <v>0</v>
      </c>
      <c r="T43" s="16">
        <f>'Team Statistics'!T54</f>
        <v>3</v>
      </c>
      <c r="U43" s="16">
        <f>'Team Statistics'!U54</f>
        <v>0</v>
      </c>
      <c r="V43" s="16">
        <f>'Team Statistics'!V54</f>
        <v>0</v>
      </c>
      <c r="W43" s="16">
        <f>'Team Statistics'!W54</f>
        <v>0</v>
      </c>
      <c r="X43" s="16">
        <f>'Team Statistics'!X54</f>
        <v>0</v>
      </c>
      <c r="Y43" s="16">
        <f>'Team Statistics'!Y54</f>
        <v>0</v>
      </c>
      <c r="Z43" s="16">
        <f>'Team Statistics'!Z54</f>
        <v>0</v>
      </c>
      <c r="AA43" s="16">
        <f>'Team Statistics'!AA54</f>
        <v>0</v>
      </c>
      <c r="AB43" s="16">
        <f>'Team Statistics'!AB54</f>
        <v>0</v>
      </c>
      <c r="AC43" s="16">
        <f>'Team Statistics'!AC54</f>
        <v>0</v>
      </c>
      <c r="AD43" s="16">
        <f>'Team Statistics'!AD54</f>
        <v>0</v>
      </c>
      <c r="AE43" s="16" t="str">
        <f t="shared" ref="AE43:AJ43" si="41">#REF!</f>
        <v>#REF!</v>
      </c>
      <c r="AF43" s="16" t="str">
        <f t="shared" si="41"/>
        <v>#REF!</v>
      </c>
      <c r="AG43" s="16" t="str">
        <f t="shared" si="41"/>
        <v>#REF!</v>
      </c>
      <c r="AH43" s="16" t="str">
        <f t="shared" si="41"/>
        <v>#REF!</v>
      </c>
      <c r="AI43" s="16" t="str">
        <f t="shared" si="41"/>
        <v>#REF!</v>
      </c>
      <c r="AJ43" s="16" t="str">
        <f t="shared" si="41"/>
        <v>#REF!</v>
      </c>
    </row>
    <row r="44">
      <c r="A44" s="11" t="str">
        <f>'Team Statistics'!A10</f>
        <v>Salvatores</v>
      </c>
      <c r="B44" s="12" t="str">
        <f>'Team Statistics'!B10</f>
        <v>Myst the Cold</v>
      </c>
      <c r="C44" s="16">
        <f>'Team Statistics'!C10</f>
        <v>2</v>
      </c>
      <c r="D44" s="16">
        <f>'Team Statistics'!D10</f>
        <v>0</v>
      </c>
      <c r="E44" s="18">
        <f>'Team Statistics'!E10</f>
        <v>58.8</v>
      </c>
      <c r="F44" s="16">
        <f>'Team Statistics'!F10</f>
        <v>0</v>
      </c>
      <c r="G44" s="16">
        <f>'Team Statistics'!G10</f>
        <v>249</v>
      </c>
      <c r="H44" s="16">
        <f>'Team Statistics'!H10</f>
        <v>21</v>
      </c>
      <c r="I44" s="16">
        <f>'Team Statistics'!I10</f>
        <v>280</v>
      </c>
      <c r="J44" s="16">
        <f>'Team Statistics'!J10</f>
        <v>-31</v>
      </c>
      <c r="K44" s="26">
        <f>'Team Statistics'!K10</f>
        <v>0.8892857143</v>
      </c>
      <c r="L44" s="18">
        <f>'Team Statistics'!L10</f>
        <v>12.6</v>
      </c>
      <c r="M44" s="16">
        <f>'Team Statistics'!M10</f>
        <v>398</v>
      </c>
      <c r="N44" s="16">
        <f>'Team Statistics'!N10</f>
        <v>2</v>
      </c>
      <c r="O44" s="27">
        <f>'Team Statistics'!O10</f>
        <v>58.8</v>
      </c>
      <c r="P44" s="16">
        <f>'Team Statistics'!P10</f>
        <v>43</v>
      </c>
      <c r="Q44" s="16">
        <f>'Team Statistics'!Q10</f>
        <v>3</v>
      </c>
      <c r="R44" s="16">
        <f>'Team Statistics'!R10</f>
        <v>0</v>
      </c>
      <c r="S44" s="16">
        <f>'Team Statistics'!S10</f>
        <v>0</v>
      </c>
      <c r="T44" s="16">
        <f>'Team Statistics'!T10</f>
        <v>1</v>
      </c>
      <c r="U44" s="16">
        <f>'Team Statistics'!U10</f>
        <v>0</v>
      </c>
      <c r="V44" s="16">
        <f>'Team Statistics'!V10</f>
        <v>0</v>
      </c>
      <c r="W44" s="16">
        <f>'Team Statistics'!W10</f>
        <v>0</v>
      </c>
      <c r="X44" s="16">
        <f>'Team Statistics'!X10</f>
        <v>0</v>
      </c>
      <c r="Y44" s="16">
        <f>'Team Statistics'!Y10</f>
        <v>0</v>
      </c>
      <c r="Z44" s="16">
        <f>'Team Statistics'!Z10</f>
        <v>0</v>
      </c>
      <c r="AA44" s="16">
        <f>'Team Statistics'!AA10</f>
        <v>0</v>
      </c>
      <c r="AB44" s="16">
        <f>'Team Statistics'!AB10</f>
        <v>0</v>
      </c>
      <c r="AC44" s="16">
        <f>'Team Statistics'!AC10</f>
        <v>0</v>
      </c>
      <c r="AD44" s="16">
        <f>'Team Statistics'!AD10</f>
        <v>0</v>
      </c>
      <c r="AE44" s="16" t="str">
        <f t="shared" ref="AE44:AJ44" si="42">#REF!</f>
        <v>#REF!</v>
      </c>
      <c r="AF44" s="16" t="str">
        <f t="shared" si="42"/>
        <v>#REF!</v>
      </c>
      <c r="AG44" s="16" t="str">
        <f t="shared" si="42"/>
        <v>#REF!</v>
      </c>
      <c r="AH44" s="16" t="str">
        <f t="shared" si="42"/>
        <v>#REF!</v>
      </c>
      <c r="AI44" s="16" t="str">
        <f t="shared" si="42"/>
        <v>#REF!</v>
      </c>
      <c r="AJ44" s="16" t="str">
        <f t="shared" si="42"/>
        <v>#REF!</v>
      </c>
    </row>
    <row r="45">
      <c r="A45" s="11" t="str">
        <f>'Team Statistics'!A13</f>
        <v>Goon Squad</v>
      </c>
      <c r="B45" s="12" t="str">
        <f>'Team Statistics'!B13</f>
        <v>MsWolv3rine</v>
      </c>
      <c r="C45" s="16">
        <f>'Team Statistics'!C13</f>
        <v>2</v>
      </c>
      <c r="D45" s="16">
        <f>'Team Statistics'!D13</f>
        <v>0</v>
      </c>
      <c r="E45" s="18">
        <f>'Team Statistics'!E13</f>
        <v>53.2</v>
      </c>
      <c r="F45" s="16">
        <f>'Team Statistics'!F13</f>
        <v>1</v>
      </c>
      <c r="G45" s="16">
        <f>'Team Statistics'!G13</f>
        <v>185</v>
      </c>
      <c r="H45" s="16">
        <f>'Team Statistics'!H13</f>
        <v>12</v>
      </c>
      <c r="I45" s="16">
        <f>'Team Statistics'!I13</f>
        <v>238</v>
      </c>
      <c r="J45" s="16">
        <f>'Team Statistics'!J13</f>
        <v>-53</v>
      </c>
      <c r="K45" s="26">
        <f>'Team Statistics'!K13</f>
        <v>0.7773109244</v>
      </c>
      <c r="L45" s="18">
        <f>'Team Statistics'!L13</f>
        <v>13.41176471</v>
      </c>
      <c r="M45" s="16">
        <f>'Team Statistics'!M13</f>
        <v>276</v>
      </c>
      <c r="N45" s="16">
        <f>'Team Statistics'!N13</f>
        <v>2</v>
      </c>
      <c r="O45" s="27">
        <f>'Team Statistics'!O13</f>
        <v>53.2</v>
      </c>
      <c r="P45" s="16">
        <f>'Team Statistics'!P13</f>
        <v>19</v>
      </c>
      <c r="Q45" s="16">
        <f>'Team Statistics'!Q13</f>
        <v>3</v>
      </c>
      <c r="R45" s="16">
        <f>'Team Statistics'!R13</f>
        <v>0</v>
      </c>
      <c r="S45" s="16">
        <f>'Team Statistics'!S13</f>
        <v>0</v>
      </c>
      <c r="T45" s="16">
        <f>'Team Statistics'!T13</f>
        <v>1</v>
      </c>
      <c r="U45" s="16">
        <f>'Team Statistics'!U13</f>
        <v>0</v>
      </c>
      <c r="V45" s="16">
        <f>'Team Statistics'!V13</f>
        <v>0</v>
      </c>
      <c r="W45" s="16">
        <f>'Team Statistics'!W13</f>
        <v>0</v>
      </c>
      <c r="X45" s="16">
        <f>'Team Statistics'!X13</f>
        <v>0</v>
      </c>
      <c r="Y45" s="16">
        <f>'Team Statistics'!Y13</f>
        <v>0</v>
      </c>
      <c r="Z45" s="16">
        <f>'Team Statistics'!Z13</f>
        <v>0</v>
      </c>
      <c r="AA45" s="16">
        <f>'Team Statistics'!AA13</f>
        <v>0</v>
      </c>
      <c r="AB45" s="16">
        <f>'Team Statistics'!AB13</f>
        <v>0</v>
      </c>
      <c r="AC45" s="16">
        <f>'Team Statistics'!AC13</f>
        <v>0</v>
      </c>
      <c r="AD45" s="16">
        <f>'Team Statistics'!AD13</f>
        <v>0</v>
      </c>
      <c r="AE45" s="16" t="str">
        <f t="shared" ref="AE45:AJ45" si="43">#REF!</f>
        <v>#REF!</v>
      </c>
      <c r="AF45" s="16" t="str">
        <f t="shared" si="43"/>
        <v>#REF!</v>
      </c>
      <c r="AG45" s="16" t="str">
        <f t="shared" si="43"/>
        <v>#REF!</v>
      </c>
      <c r="AH45" s="16" t="str">
        <f t="shared" si="43"/>
        <v>#REF!</v>
      </c>
      <c r="AI45" s="16" t="str">
        <f t="shared" si="43"/>
        <v>#REF!</v>
      </c>
      <c r="AJ45" s="16" t="str">
        <f t="shared" si="43"/>
        <v>#REF!</v>
      </c>
    </row>
    <row r="46">
      <c r="A46" s="11" t="str">
        <f>'Team Statistics'!A18</f>
        <v>BOGO Margs</v>
      </c>
      <c r="B46" s="12" t="str">
        <f>'Team Statistics'!B18</f>
        <v>TommyWstSide</v>
      </c>
      <c r="C46" s="16">
        <f>'Team Statistics'!C18</f>
        <v>5</v>
      </c>
      <c r="D46" s="16">
        <f>'Team Statistics'!D18</f>
        <v>3</v>
      </c>
      <c r="E46" s="18">
        <f>'Team Statistics'!E18</f>
        <v>169.85</v>
      </c>
      <c r="F46" s="16">
        <f>'Team Statistics'!F18</f>
        <v>16</v>
      </c>
      <c r="G46" s="16">
        <f>'Team Statistics'!G18</f>
        <v>446</v>
      </c>
      <c r="H46" s="16">
        <f>'Team Statistics'!H18</f>
        <v>13</v>
      </c>
      <c r="I46" s="16">
        <f>'Team Statistics'!I18</f>
        <v>389</v>
      </c>
      <c r="J46" s="16">
        <f>'Team Statistics'!J18</f>
        <v>57</v>
      </c>
      <c r="K46" s="26">
        <f>'Team Statistics'!K18</f>
        <v>1.146529563</v>
      </c>
      <c r="L46" s="18">
        <f>'Team Statistics'!L18</f>
        <v>26.19794344</v>
      </c>
      <c r="M46" s="16">
        <f>'Team Statistics'!M18</f>
        <v>693</v>
      </c>
      <c r="N46" s="16">
        <f>'Team Statistics'!N18</f>
        <v>5</v>
      </c>
      <c r="O46" s="27">
        <f>'Team Statistics'!O18</f>
        <v>169.85</v>
      </c>
      <c r="P46" s="16">
        <f>'Team Statistics'!P18</f>
        <v>30</v>
      </c>
      <c r="Q46" s="16">
        <f>'Team Statistics'!Q18</f>
        <v>2</v>
      </c>
      <c r="R46" s="16">
        <f>'Team Statistics'!R18</f>
        <v>0</v>
      </c>
      <c r="S46" s="16">
        <f>'Team Statistics'!S18</f>
        <v>0</v>
      </c>
      <c r="T46" s="16">
        <f>'Team Statistics'!T18</f>
        <v>10</v>
      </c>
      <c r="U46" s="16">
        <f>'Team Statistics'!U18</f>
        <v>1</v>
      </c>
      <c r="V46" s="16">
        <f>'Team Statistics'!V18</f>
        <v>0</v>
      </c>
      <c r="W46" s="16">
        <f>'Team Statistics'!W18</f>
        <v>0</v>
      </c>
      <c r="X46" s="16">
        <f>'Team Statistics'!X18</f>
        <v>1</v>
      </c>
      <c r="Y46" s="16">
        <f>'Team Statistics'!Y18</f>
        <v>0</v>
      </c>
      <c r="Z46" s="16">
        <f>'Team Statistics'!Z18</f>
        <v>0</v>
      </c>
      <c r="AA46" s="16">
        <f>'Team Statistics'!AA18</f>
        <v>0</v>
      </c>
      <c r="AB46" s="16">
        <f>'Team Statistics'!AB18</f>
        <v>0</v>
      </c>
      <c r="AC46" s="16">
        <f>'Team Statistics'!AC18</f>
        <v>0</v>
      </c>
      <c r="AD46" s="16">
        <f>'Team Statistics'!AD18</f>
        <v>0</v>
      </c>
      <c r="AE46" s="16" t="str">
        <f t="shared" ref="AE46:AJ46" si="44">#REF!</f>
        <v>#REF!</v>
      </c>
      <c r="AF46" s="16" t="str">
        <f t="shared" si="44"/>
        <v>#REF!</v>
      </c>
      <c r="AG46" s="16" t="str">
        <f t="shared" si="44"/>
        <v>#REF!</v>
      </c>
      <c r="AH46" s="16" t="str">
        <f t="shared" si="44"/>
        <v>#REF!</v>
      </c>
      <c r="AI46" s="16" t="str">
        <f t="shared" si="44"/>
        <v>#REF!</v>
      </c>
      <c r="AJ46" s="16" t="str">
        <f t="shared" si="44"/>
        <v>#REF!</v>
      </c>
    </row>
    <row r="47">
      <c r="A47" s="11" t="str">
        <f>'Team Statistics'!A25</f>
        <v>Minor Threat</v>
      </c>
      <c r="B47" s="12" t="str">
        <f>'Team Statistics'!B25</f>
        <v>Doerstopper</v>
      </c>
      <c r="C47" s="16">
        <f>'Team Statistics'!C25</f>
        <v>2</v>
      </c>
      <c r="D47" s="16">
        <f>'Team Statistics'!D25</f>
        <v>0</v>
      </c>
      <c r="E47" s="18">
        <f>'Team Statistics'!E25</f>
        <v>85.4</v>
      </c>
      <c r="F47" s="16">
        <f>'Team Statistics'!F25</f>
        <v>3</v>
      </c>
      <c r="G47" s="16">
        <f>'Team Statistics'!G25</f>
        <v>197</v>
      </c>
      <c r="H47" s="16">
        <f>'Team Statistics'!H25</f>
        <v>11</v>
      </c>
      <c r="I47" s="16">
        <f>'Team Statistics'!I25</f>
        <v>302</v>
      </c>
      <c r="J47" s="16">
        <f>'Team Statistics'!J25</f>
        <v>-105</v>
      </c>
      <c r="K47" s="26">
        <f>'Team Statistics'!K25</f>
        <v>0.6523178808</v>
      </c>
      <c r="L47" s="18">
        <f>'Team Statistics'!L25</f>
        <v>16.96688742</v>
      </c>
      <c r="M47" s="16">
        <f>'Team Statistics'!M25</f>
        <v>307</v>
      </c>
      <c r="N47" s="16">
        <f>'Team Statistics'!N25</f>
        <v>2</v>
      </c>
      <c r="O47" s="27">
        <f>'Team Statistics'!O25</f>
        <v>85.4</v>
      </c>
      <c r="P47" s="16">
        <f>'Team Statistics'!P25</f>
        <v>20</v>
      </c>
      <c r="Q47" s="16">
        <f>'Team Statistics'!Q25</f>
        <v>2</v>
      </c>
      <c r="R47" s="16">
        <f>'Team Statistics'!R25</f>
        <v>0</v>
      </c>
      <c r="S47" s="16">
        <f>'Team Statistics'!S25</f>
        <v>0</v>
      </c>
      <c r="T47" s="16">
        <f>'Team Statistics'!T25</f>
        <v>1</v>
      </c>
      <c r="U47" s="16">
        <f>'Team Statistics'!U25</f>
        <v>0</v>
      </c>
      <c r="V47" s="16">
        <f>'Team Statistics'!V25</f>
        <v>0</v>
      </c>
      <c r="W47" s="16">
        <f>'Team Statistics'!W25</f>
        <v>0</v>
      </c>
      <c r="X47" s="16">
        <f>'Team Statistics'!X25</f>
        <v>0</v>
      </c>
      <c r="Y47" s="16">
        <f>'Team Statistics'!Y25</f>
        <v>0</v>
      </c>
      <c r="Z47" s="16">
        <f>'Team Statistics'!Z25</f>
        <v>0</v>
      </c>
      <c r="AA47" s="16">
        <f>'Team Statistics'!AA25</f>
        <v>0</v>
      </c>
      <c r="AB47" s="16">
        <f>'Team Statistics'!AB25</f>
        <v>0</v>
      </c>
      <c r="AC47" s="16">
        <f>'Team Statistics'!AC25</f>
        <v>0</v>
      </c>
      <c r="AD47" s="16">
        <f>'Team Statistics'!AD25</f>
        <v>0</v>
      </c>
      <c r="AE47" s="16" t="str">
        <f t="shared" ref="AE47:AJ47" si="45">#REF!</f>
        <v>#REF!</v>
      </c>
      <c r="AF47" s="16" t="str">
        <f t="shared" si="45"/>
        <v>#REF!</v>
      </c>
      <c r="AG47" s="16" t="str">
        <f t="shared" si="45"/>
        <v>#REF!</v>
      </c>
      <c r="AH47" s="16" t="str">
        <f t="shared" si="45"/>
        <v>#REF!</v>
      </c>
      <c r="AI47" s="16" t="str">
        <f t="shared" si="45"/>
        <v>#REF!</v>
      </c>
      <c r="AJ47" s="16" t="str">
        <f t="shared" si="45"/>
        <v>#REF!</v>
      </c>
    </row>
    <row r="48">
      <c r="A48" s="11" t="str">
        <f>'Team Statistics'!A15</f>
        <v>Goon Squad</v>
      </c>
      <c r="B48" s="12" t="str">
        <f>'Team Statistics'!B15</f>
        <v>MysticalNovice</v>
      </c>
      <c r="C48" s="16">
        <f>'Team Statistics'!C15</f>
        <v>2</v>
      </c>
      <c r="D48" s="16">
        <f>'Team Statistics'!D15</f>
        <v>0</v>
      </c>
      <c r="E48" s="18">
        <f>'Team Statistics'!E15</f>
        <v>53.2</v>
      </c>
      <c r="F48" s="16">
        <f>'Team Statistics'!F15</f>
        <v>0</v>
      </c>
      <c r="G48" s="16">
        <f>'Team Statistics'!G15</f>
        <v>204</v>
      </c>
      <c r="H48" s="16">
        <f>'Team Statistics'!H15</f>
        <v>18</v>
      </c>
      <c r="I48" s="16">
        <f>'Team Statistics'!I15</f>
        <v>248</v>
      </c>
      <c r="J48" s="16">
        <f>'Team Statistics'!J15</f>
        <v>-44</v>
      </c>
      <c r="K48" s="26">
        <f>'Team Statistics'!K15</f>
        <v>0.8225806452</v>
      </c>
      <c r="L48" s="18">
        <f>'Team Statistics'!L15</f>
        <v>12.87096774</v>
      </c>
      <c r="M48" s="16">
        <f>'Team Statistics'!M15</f>
        <v>306</v>
      </c>
      <c r="N48" s="16">
        <f>'Team Statistics'!N15</f>
        <v>2</v>
      </c>
      <c r="O48" s="27">
        <f>'Team Statistics'!O15</f>
        <v>53.2</v>
      </c>
      <c r="P48" s="16">
        <f>'Team Statistics'!P15</f>
        <v>32</v>
      </c>
      <c r="Q48" s="16">
        <f>'Team Statistics'!Q15</f>
        <v>2</v>
      </c>
      <c r="R48" s="16">
        <f>'Team Statistics'!R15</f>
        <v>0</v>
      </c>
      <c r="S48" s="16">
        <f>'Team Statistics'!S15</f>
        <v>0</v>
      </c>
      <c r="T48" s="16">
        <f>'Team Statistics'!T15</f>
        <v>0</v>
      </c>
      <c r="U48" s="16">
        <f>'Team Statistics'!U15</f>
        <v>0</v>
      </c>
      <c r="V48" s="16">
        <f>'Team Statistics'!V15</f>
        <v>0</v>
      </c>
      <c r="W48" s="16">
        <f>'Team Statistics'!W15</f>
        <v>0</v>
      </c>
      <c r="X48" s="16">
        <f>'Team Statistics'!X15</f>
        <v>0</v>
      </c>
      <c r="Y48" s="16">
        <f>'Team Statistics'!Y15</f>
        <v>0</v>
      </c>
      <c r="Z48" s="16">
        <f>'Team Statistics'!Z15</f>
        <v>0</v>
      </c>
      <c r="AA48" s="16">
        <f>'Team Statistics'!AA15</f>
        <v>0</v>
      </c>
      <c r="AB48" s="16">
        <f>'Team Statistics'!AB15</f>
        <v>0</v>
      </c>
      <c r="AC48" s="16">
        <f>'Team Statistics'!AC15</f>
        <v>0</v>
      </c>
      <c r="AD48" s="16">
        <f>'Team Statistics'!AD15</f>
        <v>0</v>
      </c>
      <c r="AE48" s="16" t="str">
        <f t="shared" ref="AE48:AJ48" si="46">#REF!</f>
        <v>#REF!</v>
      </c>
      <c r="AF48" s="16" t="str">
        <f t="shared" si="46"/>
        <v>#REF!</v>
      </c>
      <c r="AG48" s="16" t="str">
        <f t="shared" si="46"/>
        <v>#REF!</v>
      </c>
      <c r="AH48" s="16" t="str">
        <f t="shared" si="46"/>
        <v>#REF!</v>
      </c>
      <c r="AI48" s="16" t="str">
        <f t="shared" si="46"/>
        <v>#REF!</v>
      </c>
      <c r="AJ48" s="16" t="str">
        <f t="shared" si="46"/>
        <v>#REF!</v>
      </c>
    </row>
    <row r="49">
      <c r="A49" s="11" t="str">
        <f>'Team Statistics'!A49</f>
        <v>Fat Mav</v>
      </c>
      <c r="B49" s="12" t="str">
        <f>'Team Statistics'!B49</f>
        <v>Vex Loxodrome</v>
      </c>
      <c r="C49" s="16">
        <f>'Team Statistics'!C49</f>
        <v>3</v>
      </c>
      <c r="D49" s="16">
        <f>'Team Statistics'!D49</f>
        <v>1</v>
      </c>
      <c r="E49" s="18">
        <f>'Team Statistics'!E49</f>
        <v>52.4</v>
      </c>
      <c r="F49" s="16">
        <f>'Team Statistics'!F49</f>
        <v>0</v>
      </c>
      <c r="G49" s="16">
        <f>'Team Statistics'!G49</f>
        <v>150</v>
      </c>
      <c r="H49" s="16">
        <f>'Team Statistics'!H49</f>
        <v>15</v>
      </c>
      <c r="I49" s="16">
        <f>'Team Statistics'!I49</f>
        <v>161</v>
      </c>
      <c r="J49" s="16">
        <f>'Team Statistics'!J49</f>
        <v>-11</v>
      </c>
      <c r="K49" s="26">
        <f>'Team Statistics'!K49</f>
        <v>0.9316770186</v>
      </c>
      <c r="L49" s="18">
        <f>'Team Statistics'!L49</f>
        <v>19.52795031</v>
      </c>
      <c r="M49" s="16">
        <f>'Team Statistics'!M49</f>
        <v>228</v>
      </c>
      <c r="N49" s="16">
        <f>'Team Statistics'!N49</f>
        <v>3</v>
      </c>
      <c r="O49" s="27">
        <f>'Team Statistics'!O49</f>
        <v>52.4</v>
      </c>
      <c r="P49" s="16">
        <f>'Team Statistics'!P49</f>
        <v>19</v>
      </c>
      <c r="Q49" s="16">
        <f>'Team Statistics'!Q49</f>
        <v>2</v>
      </c>
      <c r="R49" s="16">
        <f>'Team Statistics'!R49</f>
        <v>0</v>
      </c>
      <c r="S49" s="16">
        <f>'Team Statistics'!S49</f>
        <v>0</v>
      </c>
      <c r="T49" s="16">
        <f>'Team Statistics'!T49</f>
        <v>1</v>
      </c>
      <c r="U49" s="16">
        <f>'Team Statistics'!U49</f>
        <v>0</v>
      </c>
      <c r="V49" s="16">
        <f>'Team Statistics'!V49</f>
        <v>0</v>
      </c>
      <c r="W49" s="16">
        <f>'Team Statistics'!W49</f>
        <v>0</v>
      </c>
      <c r="X49" s="16">
        <f>'Team Statistics'!X49</f>
        <v>0</v>
      </c>
      <c r="Y49" s="16">
        <f>'Team Statistics'!Y49</f>
        <v>0</v>
      </c>
      <c r="Z49" s="16">
        <f>'Team Statistics'!Z49</f>
        <v>0</v>
      </c>
      <c r="AA49" s="16">
        <f>'Team Statistics'!AA49</f>
        <v>0</v>
      </c>
      <c r="AB49" s="16">
        <f>'Team Statistics'!AB49</f>
        <v>0</v>
      </c>
      <c r="AC49" s="16">
        <f>'Team Statistics'!AC49</f>
        <v>0</v>
      </c>
      <c r="AD49" s="16">
        <f>'Team Statistics'!AD49</f>
        <v>0</v>
      </c>
      <c r="AE49" s="16" t="str">
        <f t="shared" ref="AE49:AJ49" si="47">#REF!</f>
        <v>#REF!</v>
      </c>
      <c r="AF49" s="16" t="str">
        <f t="shared" si="47"/>
        <v>#REF!</v>
      </c>
      <c r="AG49" s="16" t="str">
        <f t="shared" si="47"/>
        <v>#REF!</v>
      </c>
      <c r="AH49" s="16" t="str">
        <f t="shared" si="47"/>
        <v>#REF!</v>
      </c>
      <c r="AI49" s="16" t="str">
        <f t="shared" si="47"/>
        <v>#REF!</v>
      </c>
      <c r="AJ49" s="16" t="str">
        <f t="shared" si="47"/>
        <v>#REF!</v>
      </c>
    </row>
    <row r="50">
      <c r="A50" s="11" t="str">
        <f>'Team Statistics'!A16</f>
        <v>Goon Squad</v>
      </c>
      <c r="B50" s="12" t="str">
        <f>'Team Statistics'!B16</f>
        <v>MuNgO PuNgO</v>
      </c>
      <c r="C50" s="16">
        <f>'Team Statistics'!C16</f>
        <v>2</v>
      </c>
      <c r="D50" s="16">
        <f>'Team Statistics'!D16</f>
        <v>0</v>
      </c>
      <c r="E50" s="18">
        <f>'Team Statistics'!E16</f>
        <v>53.2</v>
      </c>
      <c r="F50" s="16">
        <f>'Team Statistics'!F16</f>
        <v>1</v>
      </c>
      <c r="G50" s="16">
        <f>'Team Statistics'!G16</f>
        <v>130</v>
      </c>
      <c r="H50" s="16">
        <f>'Team Statistics'!H16</f>
        <v>8</v>
      </c>
      <c r="I50" s="16">
        <f>'Team Statistics'!I16</f>
        <v>162</v>
      </c>
      <c r="J50" s="16">
        <f>'Team Statistics'!J16</f>
        <v>-32</v>
      </c>
      <c r="K50" s="26">
        <f>'Team Statistics'!K16</f>
        <v>0.8024691358</v>
      </c>
      <c r="L50" s="18">
        <f>'Team Statistics'!L16</f>
        <v>19.7037037</v>
      </c>
      <c r="M50" s="16">
        <f>'Team Statistics'!M16</f>
        <v>198</v>
      </c>
      <c r="N50" s="16">
        <f>'Team Statistics'!N16</f>
        <v>2</v>
      </c>
      <c r="O50" s="27">
        <f>'Team Statistics'!O16</f>
        <v>53.2</v>
      </c>
      <c r="P50" s="16">
        <f>'Team Statistics'!P16</f>
        <v>10</v>
      </c>
      <c r="Q50" s="16">
        <f>'Team Statistics'!Q16</f>
        <v>2</v>
      </c>
      <c r="R50" s="16">
        <f>'Team Statistics'!R16</f>
        <v>0</v>
      </c>
      <c r="S50" s="16">
        <f>'Team Statistics'!S16</f>
        <v>0</v>
      </c>
      <c r="T50" s="16">
        <f>'Team Statistics'!T16</f>
        <v>2</v>
      </c>
      <c r="U50" s="16">
        <f>'Team Statistics'!U16</f>
        <v>0</v>
      </c>
      <c r="V50" s="16">
        <f>'Team Statistics'!V16</f>
        <v>0</v>
      </c>
      <c r="W50" s="16">
        <f>'Team Statistics'!W16</f>
        <v>0</v>
      </c>
      <c r="X50" s="16">
        <f>'Team Statistics'!X16</f>
        <v>0</v>
      </c>
      <c r="Y50" s="16">
        <f>'Team Statistics'!Y16</f>
        <v>0</v>
      </c>
      <c r="Z50" s="16">
        <f>'Team Statistics'!Z16</f>
        <v>0</v>
      </c>
      <c r="AA50" s="16">
        <f>'Team Statistics'!AA16</f>
        <v>0</v>
      </c>
      <c r="AB50" s="16">
        <f>'Team Statistics'!AB16</f>
        <v>0</v>
      </c>
      <c r="AC50" s="16">
        <f>'Team Statistics'!AC16</f>
        <v>0</v>
      </c>
      <c r="AD50" s="16">
        <f>'Team Statistics'!AD16</f>
        <v>0</v>
      </c>
      <c r="AE50" s="16" t="str">
        <f t="shared" ref="AE50:AJ50" si="48">#REF!</f>
        <v>#REF!</v>
      </c>
      <c r="AF50" s="16" t="str">
        <f t="shared" si="48"/>
        <v>#REF!</v>
      </c>
      <c r="AG50" s="16" t="str">
        <f t="shared" si="48"/>
        <v>#REF!</v>
      </c>
      <c r="AH50" s="16" t="str">
        <f t="shared" si="48"/>
        <v>#REF!</v>
      </c>
      <c r="AI50" s="16" t="str">
        <f t="shared" si="48"/>
        <v>#REF!</v>
      </c>
      <c r="AJ50" s="16" t="str">
        <f t="shared" si="48"/>
        <v>#REF!</v>
      </c>
    </row>
    <row r="51">
      <c r="A51" s="11" t="str">
        <f>'Team Statistics'!A44</f>
        <v>EU Squad w/o EUs</v>
      </c>
      <c r="B51" s="12" t="str">
        <f>'Team Statistics'!B44</f>
        <v>grimm szn</v>
      </c>
      <c r="C51" s="16">
        <f>'Team Statistics'!C44</f>
        <v>2</v>
      </c>
      <c r="D51" s="16">
        <f>'Team Statistics'!D44</f>
        <v>0</v>
      </c>
      <c r="E51" s="18">
        <f>'Team Statistics'!E44</f>
        <v>36.5</v>
      </c>
      <c r="F51" s="16">
        <f>'Team Statistics'!F44</f>
        <v>3</v>
      </c>
      <c r="G51" s="16">
        <f>'Team Statistics'!G44</f>
        <v>138</v>
      </c>
      <c r="H51" s="16">
        <f>'Team Statistics'!H44</f>
        <v>4</v>
      </c>
      <c r="I51" s="16">
        <f>'Team Statistics'!I44</f>
        <v>149</v>
      </c>
      <c r="J51" s="16">
        <f>'Team Statistics'!J44</f>
        <v>-11</v>
      </c>
      <c r="K51" s="26">
        <f>'Team Statistics'!K44</f>
        <v>0.9261744966</v>
      </c>
      <c r="L51" s="18">
        <f>'Team Statistics'!L44</f>
        <v>14.69798658</v>
      </c>
      <c r="M51" s="16">
        <f>'Team Statistics'!M44</f>
        <v>204</v>
      </c>
      <c r="N51" s="16">
        <f>'Team Statistics'!N44</f>
        <v>2</v>
      </c>
      <c r="O51" s="27">
        <f>'Team Statistics'!O44</f>
        <v>36.5</v>
      </c>
      <c r="P51" s="16">
        <f>'Team Statistics'!P44</f>
        <v>16</v>
      </c>
      <c r="Q51" s="16">
        <f>'Team Statistics'!Q44</f>
        <v>1</v>
      </c>
      <c r="R51" s="16">
        <f>'Team Statistics'!R44</f>
        <v>0</v>
      </c>
      <c r="S51" s="16">
        <f>'Team Statistics'!S44</f>
        <v>0</v>
      </c>
      <c r="T51" s="16">
        <f>'Team Statistics'!T44</f>
        <v>1</v>
      </c>
      <c r="U51" s="16">
        <f>'Team Statistics'!U44</f>
        <v>0</v>
      </c>
      <c r="V51" s="16">
        <f>'Team Statistics'!V44</f>
        <v>0</v>
      </c>
      <c r="W51" s="16">
        <f>'Team Statistics'!W44</f>
        <v>0</v>
      </c>
      <c r="X51" s="16">
        <f>'Team Statistics'!X44</f>
        <v>0</v>
      </c>
      <c r="Y51" s="16">
        <f>'Team Statistics'!Y44</f>
        <v>0</v>
      </c>
      <c r="Z51" s="16">
        <f>'Team Statistics'!Z44</f>
        <v>0</v>
      </c>
      <c r="AA51" s="16">
        <f>'Team Statistics'!AA44</f>
        <v>0</v>
      </c>
      <c r="AB51" s="16">
        <f>'Team Statistics'!AB44</f>
        <v>0</v>
      </c>
      <c r="AC51" s="16">
        <f>'Team Statistics'!AC44</f>
        <v>0</v>
      </c>
      <c r="AD51" s="16">
        <f>'Team Statistics'!AD44</f>
        <v>0</v>
      </c>
      <c r="AE51" s="16" t="str">
        <f t="shared" ref="AE51:AJ51" si="49">#REF!</f>
        <v>#REF!</v>
      </c>
      <c r="AF51" s="16" t="str">
        <f t="shared" si="49"/>
        <v>#REF!</v>
      </c>
      <c r="AG51" s="16" t="str">
        <f t="shared" si="49"/>
        <v>#REF!</v>
      </c>
      <c r="AH51" s="16" t="str">
        <f t="shared" si="49"/>
        <v>#REF!</v>
      </c>
      <c r="AI51" s="16" t="str">
        <f t="shared" si="49"/>
        <v>#REF!</v>
      </c>
      <c r="AJ51" s="16" t="str">
        <f t="shared" si="49"/>
        <v>#REF!</v>
      </c>
    </row>
    <row r="52">
      <c r="A52" s="11" t="str">
        <f>'Team Statistics'!A41</f>
        <v>Like Clockwork</v>
      </c>
      <c r="B52" s="12" t="str">
        <f>'Team Statistics'!B41</f>
        <v>eJolts</v>
      </c>
      <c r="C52" s="16">
        <f>'Team Statistics'!C41</f>
        <v>2</v>
      </c>
      <c r="D52" s="16">
        <f>'Team Statistics'!D41</f>
        <v>0</v>
      </c>
      <c r="E52" s="18">
        <f>'Team Statistics'!E41</f>
        <v>39.4</v>
      </c>
      <c r="F52" s="16">
        <f>'Team Statistics'!F41</f>
        <v>0</v>
      </c>
      <c r="G52" s="16">
        <f>'Team Statistics'!G41</f>
        <v>121</v>
      </c>
      <c r="H52" s="16">
        <f>'Team Statistics'!H41</f>
        <v>15</v>
      </c>
      <c r="I52" s="16">
        <f>'Team Statistics'!I41</f>
        <v>195</v>
      </c>
      <c r="J52" s="16">
        <f>'Team Statistics'!J41</f>
        <v>-74</v>
      </c>
      <c r="K52" s="26">
        <f>'Team Statistics'!K41</f>
        <v>0.6205128205</v>
      </c>
      <c r="L52" s="18">
        <f>'Team Statistics'!L41</f>
        <v>12.12307692</v>
      </c>
      <c r="M52" s="16">
        <f>'Team Statistics'!M41</f>
        <v>180</v>
      </c>
      <c r="N52" s="16">
        <f>'Team Statistics'!N41</f>
        <v>2</v>
      </c>
      <c r="O52" s="27">
        <f>'Team Statistics'!O41</f>
        <v>39.4</v>
      </c>
      <c r="P52" s="16">
        <f>'Team Statistics'!P41</f>
        <v>10</v>
      </c>
      <c r="Q52" s="16">
        <f>'Team Statistics'!Q41</f>
        <v>1</v>
      </c>
      <c r="R52" s="16">
        <f>'Team Statistics'!R41</f>
        <v>0</v>
      </c>
      <c r="S52" s="16">
        <f>'Team Statistics'!S41</f>
        <v>0</v>
      </c>
      <c r="T52" s="16">
        <f>'Team Statistics'!T41</f>
        <v>0</v>
      </c>
      <c r="U52" s="16">
        <f>'Team Statistics'!U41</f>
        <v>0</v>
      </c>
      <c r="V52" s="16">
        <f>'Team Statistics'!V41</f>
        <v>0</v>
      </c>
      <c r="W52" s="16">
        <f>'Team Statistics'!W41</f>
        <v>0</v>
      </c>
      <c r="X52" s="16">
        <f>'Team Statistics'!X41</f>
        <v>0</v>
      </c>
      <c r="Y52" s="16">
        <f>'Team Statistics'!Y41</f>
        <v>0</v>
      </c>
      <c r="Z52" s="16">
        <f>'Team Statistics'!Z41</f>
        <v>0</v>
      </c>
      <c r="AA52" s="16">
        <f>'Team Statistics'!AA41</f>
        <v>0</v>
      </c>
      <c r="AB52" s="16">
        <f>'Team Statistics'!AB41</f>
        <v>0</v>
      </c>
      <c r="AC52" s="16">
        <f>'Team Statistics'!AC41</f>
        <v>0</v>
      </c>
      <c r="AD52" s="16">
        <f>'Team Statistics'!AD41</f>
        <v>0</v>
      </c>
      <c r="AE52" s="16" t="str">
        <f t="shared" ref="AE52:AJ52" si="50">#REF!</f>
        <v>#REF!</v>
      </c>
      <c r="AF52" s="16" t="str">
        <f t="shared" si="50"/>
        <v>#REF!</v>
      </c>
      <c r="AG52" s="16" t="str">
        <f t="shared" si="50"/>
        <v>#REF!</v>
      </c>
      <c r="AH52" s="16" t="str">
        <f t="shared" si="50"/>
        <v>#REF!</v>
      </c>
      <c r="AI52" s="16" t="str">
        <f t="shared" si="50"/>
        <v>#REF!</v>
      </c>
      <c r="AJ52" s="16" t="str">
        <f t="shared" si="50"/>
        <v>#REF!</v>
      </c>
    </row>
    <row r="53">
      <c r="A53" s="11" t="str">
        <f>'Team Statistics'!A59</f>
        <v>Goose's Girls</v>
      </c>
      <c r="B53" s="12" t="str">
        <f>'Team Statistics'!B59</f>
        <v>Its bck</v>
      </c>
      <c r="C53" s="16">
        <f>'Team Statistics'!C59</f>
        <v>4</v>
      </c>
      <c r="D53" s="16">
        <f>'Team Statistics'!D59</f>
        <v>2</v>
      </c>
      <c r="E53" s="18">
        <f>'Team Statistics'!E59</f>
        <v>80.55</v>
      </c>
      <c r="F53" s="16">
        <f>'Team Statistics'!F59</f>
        <v>6</v>
      </c>
      <c r="G53" s="16">
        <f>'Team Statistics'!G59</f>
        <v>136</v>
      </c>
      <c r="H53" s="16">
        <f>'Team Statistics'!H59</f>
        <v>8</v>
      </c>
      <c r="I53" s="16">
        <f>'Team Statistics'!I59</f>
        <v>202</v>
      </c>
      <c r="J53" s="16">
        <f>'Team Statistics'!J59</f>
        <v>-66</v>
      </c>
      <c r="K53" s="26">
        <f>'Team Statistics'!K59</f>
        <v>0.6732673267</v>
      </c>
      <c r="L53" s="18">
        <f>'Team Statistics'!L59</f>
        <v>23.92574257</v>
      </c>
      <c r="M53" s="16">
        <f>'Team Statistics'!M59</f>
        <v>207</v>
      </c>
      <c r="N53" s="16">
        <f>'Team Statistics'!N59</f>
        <v>2</v>
      </c>
      <c r="O53" s="27">
        <f>'Team Statistics'!O59</f>
        <v>45.55</v>
      </c>
      <c r="P53" s="16">
        <f>'Team Statistics'!P59</f>
        <v>5</v>
      </c>
      <c r="Q53" s="16">
        <f>'Team Statistics'!Q59</f>
        <v>0</v>
      </c>
      <c r="R53" s="16">
        <f>'Team Statistics'!R59</f>
        <v>0</v>
      </c>
      <c r="S53" s="16">
        <f>'Team Statistics'!S59</f>
        <v>0</v>
      </c>
      <c r="T53" s="16">
        <f>'Team Statistics'!T59</f>
        <v>0</v>
      </c>
      <c r="U53" s="16">
        <f>'Team Statistics'!U59</f>
        <v>0</v>
      </c>
      <c r="V53" s="16">
        <f>'Team Statistics'!V59</f>
        <v>0</v>
      </c>
      <c r="W53" s="16">
        <f>'Team Statistics'!W59</f>
        <v>0</v>
      </c>
      <c r="X53" s="16">
        <f>'Team Statistics'!X59</f>
        <v>0</v>
      </c>
      <c r="Y53" s="16">
        <f>'Team Statistics'!Y59</f>
        <v>0</v>
      </c>
      <c r="Z53" s="16">
        <f>'Team Statistics'!Z59</f>
        <v>0</v>
      </c>
      <c r="AA53" s="16">
        <f>'Team Statistics'!AA59</f>
        <v>0</v>
      </c>
      <c r="AB53" s="16">
        <f>'Team Statistics'!AB59</f>
        <v>0</v>
      </c>
      <c r="AC53" s="16">
        <f>'Team Statistics'!AC59</f>
        <v>0</v>
      </c>
      <c r="AD53" s="16">
        <f>'Team Statistics'!AD59</f>
        <v>0</v>
      </c>
      <c r="AE53" s="16" t="str">
        <f t="shared" ref="AE53:AJ53" si="51">#REF!</f>
        <v>#REF!</v>
      </c>
      <c r="AF53" s="16" t="str">
        <f t="shared" si="51"/>
        <v>#REF!</v>
      </c>
      <c r="AG53" s="16" t="str">
        <f t="shared" si="51"/>
        <v>#REF!</v>
      </c>
      <c r="AH53" s="16" t="str">
        <f t="shared" si="51"/>
        <v>#REF!</v>
      </c>
      <c r="AI53" s="16" t="str">
        <f t="shared" si="51"/>
        <v>#REF!</v>
      </c>
      <c r="AJ53" s="16" t="str">
        <f t="shared" si="51"/>
        <v>#REF!</v>
      </c>
    </row>
    <row r="54">
      <c r="A54" s="11" t="str">
        <f>'Team Statistics'!A51</f>
        <v>Fat Mav</v>
      </c>
      <c r="B54" s="12" t="str">
        <f>'Team Statistics'!B51</f>
        <v>Maverick3192</v>
      </c>
      <c r="C54" s="16">
        <f>'Team Statistics'!C51</f>
        <v>3</v>
      </c>
      <c r="D54" s="16">
        <f>'Team Statistics'!D51</f>
        <v>1</v>
      </c>
      <c r="E54" s="18">
        <f>'Team Statistics'!E51</f>
        <v>52.4</v>
      </c>
      <c r="F54" s="16">
        <f>'Team Statistics'!F51</f>
        <v>6</v>
      </c>
      <c r="G54" s="16">
        <f>'Team Statistics'!G51</f>
        <v>134</v>
      </c>
      <c r="H54" s="16">
        <f>'Team Statistics'!H51</f>
        <v>7</v>
      </c>
      <c r="I54" s="16">
        <f>'Team Statistics'!I51</f>
        <v>188</v>
      </c>
      <c r="J54" s="16">
        <f>'Team Statistics'!J51</f>
        <v>-54</v>
      </c>
      <c r="K54" s="26">
        <f>'Team Statistics'!K51</f>
        <v>0.7127659574</v>
      </c>
      <c r="L54" s="18">
        <f>'Team Statistics'!L51</f>
        <v>16.72340426</v>
      </c>
      <c r="M54" s="16">
        <f>'Team Statistics'!M51</f>
        <v>198</v>
      </c>
      <c r="N54" s="16">
        <f>'Team Statistics'!N51</f>
        <v>3</v>
      </c>
      <c r="O54" s="27">
        <f>'Team Statistics'!O51</f>
        <v>52.4</v>
      </c>
      <c r="P54" s="16">
        <f>'Team Statistics'!P51</f>
        <v>12</v>
      </c>
      <c r="Q54" s="16">
        <f>'Team Statistics'!Q51</f>
        <v>0</v>
      </c>
      <c r="R54" s="16">
        <f>'Team Statistics'!R51</f>
        <v>0</v>
      </c>
      <c r="S54" s="16">
        <f>'Team Statistics'!S51</f>
        <v>0</v>
      </c>
      <c r="T54" s="16">
        <f>'Team Statistics'!T51</f>
        <v>1</v>
      </c>
      <c r="U54" s="16">
        <f>'Team Statistics'!U51</f>
        <v>0</v>
      </c>
      <c r="V54" s="16">
        <f>'Team Statistics'!V51</f>
        <v>0</v>
      </c>
      <c r="W54" s="16">
        <f>'Team Statistics'!W51</f>
        <v>0</v>
      </c>
      <c r="X54" s="16">
        <f>'Team Statistics'!X51</f>
        <v>0</v>
      </c>
      <c r="Y54" s="16">
        <f>'Team Statistics'!Y51</f>
        <v>0</v>
      </c>
      <c r="Z54" s="16">
        <f>'Team Statistics'!Z51</f>
        <v>0</v>
      </c>
      <c r="AA54" s="16">
        <f>'Team Statistics'!AA51</f>
        <v>0</v>
      </c>
      <c r="AB54" s="16">
        <f>'Team Statistics'!AB51</f>
        <v>0</v>
      </c>
      <c r="AC54" s="16">
        <f>'Team Statistics'!AC51</f>
        <v>0</v>
      </c>
      <c r="AD54" s="16">
        <f>'Team Statistics'!AD51</f>
        <v>0</v>
      </c>
      <c r="AE54" s="16" t="str">
        <f t="shared" ref="AE54:AJ54" si="52">#REF!</f>
        <v>#REF!</v>
      </c>
      <c r="AF54" s="16" t="str">
        <f t="shared" si="52"/>
        <v>#REF!</v>
      </c>
      <c r="AG54" s="16" t="str">
        <f t="shared" si="52"/>
        <v>#REF!</v>
      </c>
      <c r="AH54" s="16" t="str">
        <f t="shared" si="52"/>
        <v>#REF!</v>
      </c>
      <c r="AI54" s="16" t="str">
        <f t="shared" si="52"/>
        <v>#REF!</v>
      </c>
      <c r="AJ54" s="16" t="str">
        <f t="shared" si="52"/>
        <v>#REF!</v>
      </c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43"/>
    </row>
    <row r="64">
      <c r="A64" s="14"/>
      <c r="B64" s="43"/>
    </row>
    <row r="65">
      <c r="A65" s="14"/>
      <c r="B65" s="43"/>
    </row>
    <row r="66">
      <c r="A66" s="14"/>
      <c r="B66" s="43"/>
    </row>
    <row r="67">
      <c r="A67" s="14"/>
      <c r="B67" s="43"/>
    </row>
    <row r="68">
      <c r="A68" s="14"/>
      <c r="B68" s="43"/>
    </row>
    <row r="69">
      <c r="A69" s="14"/>
      <c r="B69" s="43"/>
    </row>
    <row r="70">
      <c r="A70" s="14"/>
      <c r="B70" s="43"/>
    </row>
    <row r="71">
      <c r="A71" s="14"/>
      <c r="B71" s="43"/>
    </row>
    <row r="72">
      <c r="A72" s="14"/>
      <c r="B72" s="43"/>
    </row>
    <row r="73">
      <c r="A73" s="14"/>
      <c r="B73" s="43"/>
    </row>
    <row r="74">
      <c r="A74" s="14"/>
      <c r="B74" s="43"/>
    </row>
    <row r="75">
      <c r="A75" s="14"/>
      <c r="B75" s="43"/>
    </row>
    <row r="76">
      <c r="A76" s="14"/>
      <c r="B76" s="43"/>
    </row>
    <row r="77">
      <c r="A77" s="14"/>
      <c r="B77" s="43"/>
    </row>
    <row r="78">
      <c r="A78" s="14"/>
      <c r="B78" s="43"/>
    </row>
    <row r="79">
      <c r="A79" s="14"/>
      <c r="B79" s="43"/>
    </row>
    <row r="80">
      <c r="A80" s="14"/>
      <c r="B80" s="43"/>
    </row>
    <row r="81">
      <c r="A81" s="14"/>
      <c r="B81" s="43"/>
    </row>
    <row r="82">
      <c r="A82" s="14"/>
      <c r="B82" s="43"/>
    </row>
  </sheetData>
  <autoFilter ref="$A$2:$AJ$54">
    <sortState ref="A2:AJ54">
      <sortCondition descending="1" ref="R2:R54"/>
      <sortCondition descending="1" ref="Q2:Q54"/>
      <sortCondition descending="1" ref="M2:M54"/>
      <sortCondition descending="1" ref="K2:K54"/>
      <sortCondition descending="1" ref="G2:G54"/>
    </sortState>
  </autoFilter>
  <mergeCells count="1">
    <mergeCell ref="C1:A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25"/>
    <col customWidth="1" min="2" max="2" width="6.38"/>
    <col customWidth="1" min="3" max="3" width="4.75"/>
    <col customWidth="1" min="4" max="4" width="6.88"/>
    <col customWidth="1" min="5" max="5" width="5.38"/>
    <col customWidth="1" min="6" max="6" width="4.0"/>
    <col customWidth="1" min="7" max="8" width="6.25"/>
    <col customWidth="1" min="9" max="9" width="6.38"/>
    <col customWidth="1" min="10" max="10" width="8.13"/>
    <col customWidth="1" min="11" max="11" width="10.38"/>
    <col customWidth="1" min="12" max="12" width="6.38"/>
    <col customWidth="1" min="13" max="13" width="15.63"/>
    <col customWidth="1" min="14" max="14" width="6.88"/>
    <col customWidth="1" min="15" max="15" width="9.63"/>
    <col customWidth="1" min="16" max="16" width="7.25"/>
    <col customWidth="1" min="17" max="17" width="9.0"/>
    <col customWidth="1" min="18" max="18" width="7.75"/>
    <col customWidth="1" min="19" max="19" width="6.5"/>
    <col customWidth="1" min="20" max="20" width="8.25"/>
    <col customWidth="1" min="21" max="21" width="10.38"/>
    <col customWidth="1" min="22" max="22" width="11.0"/>
    <col customWidth="1" min="23" max="23" width="10.63"/>
    <col customWidth="1" min="24" max="24" width="11.13"/>
    <col customWidth="1" min="25" max="25" width="5.38"/>
    <col customWidth="1" min="26" max="26" width="9.5"/>
    <col customWidth="1" min="27" max="27" width="9.13"/>
    <col customWidth="1" min="28" max="28" width="9.75"/>
    <col customWidth="1" min="29" max="29" width="10.63"/>
    <col customWidth="1" min="30" max="30" width="8.25"/>
    <col customWidth="1" min="31" max="31" width="7.63"/>
    <col customWidth="1" min="32" max="32" width="9.25"/>
    <col customWidth="1" min="33" max="33" width="10.75"/>
    <col customWidth="1" min="34" max="34" width="10.13"/>
    <col customWidth="1" min="35" max="35" width="8.25"/>
  </cols>
  <sheetData>
    <row r="1">
      <c r="A1" s="1"/>
      <c r="B1" s="3" t="s">
        <v>0</v>
      </c>
    </row>
    <row r="2">
      <c r="A2" s="4" t="s">
        <v>1</v>
      </c>
      <c r="B2" s="5" t="s">
        <v>3</v>
      </c>
      <c r="C2" s="5" t="s">
        <v>4</v>
      </c>
      <c r="D2" s="6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9" t="s">
        <v>14</v>
      </c>
      <c r="N2" s="10" t="s">
        <v>5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24</v>
      </c>
      <c r="AE2" s="9" t="s">
        <v>25</v>
      </c>
      <c r="AF2" s="9" t="s">
        <v>26</v>
      </c>
      <c r="AG2" s="9" t="s">
        <v>27</v>
      </c>
      <c r="AH2" s="9" t="s">
        <v>28</v>
      </c>
      <c r="AI2" s="9" t="s">
        <v>29</v>
      </c>
    </row>
    <row r="3">
      <c r="A3" s="21" t="s">
        <v>34</v>
      </c>
      <c r="B3" s="16">
        <f>'Team Statistics'!C22</f>
        <v>5</v>
      </c>
      <c r="C3" s="16">
        <f>'Team Statistics'!D22</f>
        <v>3</v>
      </c>
      <c r="D3" s="18">
        <f>'Team Statistics'!E22</f>
        <v>169.85</v>
      </c>
      <c r="E3" s="16">
        <f>'Team Statistics'!F22</f>
        <v>22</v>
      </c>
      <c r="F3" s="16">
        <f>'Team Statistics'!G22</f>
        <v>2585</v>
      </c>
      <c r="G3" s="16">
        <f>'Team Statistics'!H22</f>
        <v>152</v>
      </c>
      <c r="H3" s="16">
        <f>'Team Statistics'!I22</f>
        <v>2355</v>
      </c>
      <c r="I3" s="16">
        <f>'Team Statistics'!J22</f>
        <v>230</v>
      </c>
      <c r="J3" s="26">
        <f>'Team Statistics'!K22</f>
        <v>1.097664544</v>
      </c>
      <c r="K3" s="27">
        <f>'Team Statistics'!L22</f>
        <v>18.21551283</v>
      </c>
      <c r="L3" s="16">
        <f>'Team Statistics'!M22</f>
        <v>4120</v>
      </c>
      <c r="M3" s="16">
        <f>'Team Statistics'!N22/4</f>
        <v>5</v>
      </c>
      <c r="N3" s="27">
        <f>'Team Statistics'!O22</f>
        <v>679.4</v>
      </c>
      <c r="O3" s="16">
        <f>'Team Statistics'!P22</f>
        <v>416</v>
      </c>
      <c r="P3" s="16">
        <f>'Team Statistics'!Q22</f>
        <v>97</v>
      </c>
      <c r="Q3" s="16">
        <f>'Team Statistics'!R22</f>
        <v>20</v>
      </c>
      <c r="R3" s="16">
        <f>'Team Statistics'!S22</f>
        <v>4</v>
      </c>
      <c r="S3" s="16">
        <f>'Team Statistics'!T22</f>
        <v>45</v>
      </c>
      <c r="T3" s="16">
        <f>'Team Statistics'!U22</f>
        <v>1</v>
      </c>
      <c r="U3" s="16">
        <f>'Team Statistics'!V22</f>
        <v>0</v>
      </c>
      <c r="V3" s="16">
        <f>'Team Statistics'!W22</f>
        <v>0</v>
      </c>
      <c r="W3" s="16">
        <f>'Team Statistics'!X22</f>
        <v>1</v>
      </c>
      <c r="X3" s="16">
        <f>'Team Statistics'!Y22</f>
        <v>0</v>
      </c>
      <c r="Y3" s="16">
        <f>'Team Statistics'!Z22</f>
        <v>1</v>
      </c>
      <c r="Z3" s="16">
        <f>'Team Statistics'!AA22</f>
        <v>0</v>
      </c>
      <c r="AA3" s="16">
        <f>'Team Statistics'!AB22</f>
        <v>0</v>
      </c>
      <c r="AB3" s="16">
        <f>'Team Statistics'!AC22</f>
        <v>0</v>
      </c>
      <c r="AC3" s="16">
        <f>'Team Statistics'!AD22</f>
        <v>0</v>
      </c>
      <c r="AD3" s="16" t="str">
        <f t="shared" ref="AD3:AI3" si="1">#REF!</f>
        <v>#REF!</v>
      </c>
      <c r="AE3" s="16" t="str">
        <f t="shared" si="1"/>
        <v>#REF!</v>
      </c>
      <c r="AF3" s="16" t="str">
        <f t="shared" si="1"/>
        <v>#REF!</v>
      </c>
      <c r="AG3" s="16" t="str">
        <f t="shared" si="1"/>
        <v>#REF!</v>
      </c>
      <c r="AH3" s="16" t="str">
        <f t="shared" si="1"/>
        <v>#REF!</v>
      </c>
      <c r="AI3" s="16" t="str">
        <f t="shared" si="1"/>
        <v>#REF!</v>
      </c>
    </row>
    <row r="4">
      <c r="A4" s="21" t="s">
        <v>42</v>
      </c>
      <c r="B4" s="16">
        <f>'Team Statistics'!C67</f>
        <v>5</v>
      </c>
      <c r="C4" s="16">
        <f>'Team Statistics'!D67</f>
        <v>5</v>
      </c>
      <c r="D4" s="18">
        <f>'Team Statistics'!E67</f>
        <v>65</v>
      </c>
      <c r="E4" s="16">
        <f>'Team Statistics'!F67</f>
        <v>25</v>
      </c>
      <c r="F4" s="16">
        <f>'Team Statistics'!G67</f>
        <v>1030</v>
      </c>
      <c r="G4" s="16">
        <f>'Team Statistics'!H67</f>
        <v>67</v>
      </c>
      <c r="H4" s="16">
        <f>'Team Statistics'!I67</f>
        <v>959</v>
      </c>
      <c r="I4" s="16">
        <f>'Team Statistics'!J67</f>
        <v>71</v>
      </c>
      <c r="J4" s="26">
        <f>'Team Statistics'!K67</f>
        <v>1.074035454</v>
      </c>
      <c r="K4" s="27">
        <f>'Team Statistics'!L67</f>
        <v>17.77955032</v>
      </c>
      <c r="L4" s="16">
        <f>'Team Statistics'!M67</f>
        <v>1711</v>
      </c>
      <c r="M4" s="16">
        <f>'Team Statistics'!N67/4</f>
        <v>5</v>
      </c>
      <c r="N4" s="27">
        <f>'Team Statistics'!O67</f>
        <v>260</v>
      </c>
      <c r="O4" s="16">
        <f>'Team Statistics'!P67</f>
        <v>179</v>
      </c>
      <c r="P4" s="16">
        <f>'Team Statistics'!Q67</f>
        <v>37</v>
      </c>
      <c r="Q4" s="16">
        <f>'Team Statistics'!R67</f>
        <v>10</v>
      </c>
      <c r="R4" s="16">
        <f>'Team Statistics'!S67</f>
        <v>4</v>
      </c>
      <c r="S4" s="16">
        <f>'Team Statistics'!T67</f>
        <v>16</v>
      </c>
      <c r="T4" s="16">
        <f>'Team Statistics'!U67</f>
        <v>1</v>
      </c>
      <c r="U4" s="16">
        <f>'Team Statistics'!V67</f>
        <v>0</v>
      </c>
      <c r="V4" s="16">
        <f>'Team Statistics'!W67</f>
        <v>0</v>
      </c>
      <c r="W4" s="16">
        <f>'Team Statistics'!X67</f>
        <v>0</v>
      </c>
      <c r="X4" s="16">
        <f>'Team Statistics'!Y67</f>
        <v>0</v>
      </c>
      <c r="Y4" s="16">
        <f>'Team Statistics'!Z67</f>
        <v>1</v>
      </c>
      <c r="Z4" s="16">
        <f>'Team Statistics'!AA67</f>
        <v>0</v>
      </c>
      <c r="AA4" s="16">
        <f>'Team Statistics'!AB67</f>
        <v>0</v>
      </c>
      <c r="AB4" s="16">
        <f>'Team Statistics'!AC67</f>
        <v>0</v>
      </c>
      <c r="AC4" s="16">
        <f>'Team Statistics'!AD67</f>
        <v>0</v>
      </c>
      <c r="AD4" s="16" t="str">
        <f t="shared" ref="AD4:AI4" si="2">#REF!</f>
        <v>#REF!</v>
      </c>
      <c r="AE4" s="16" t="str">
        <f t="shared" si="2"/>
        <v>#REF!</v>
      </c>
      <c r="AF4" s="16" t="str">
        <f t="shared" si="2"/>
        <v>#REF!</v>
      </c>
      <c r="AG4" s="16" t="str">
        <f t="shared" si="2"/>
        <v>#REF!</v>
      </c>
      <c r="AH4" s="16" t="str">
        <f t="shared" si="2"/>
        <v>#REF!</v>
      </c>
      <c r="AI4" s="16" t="str">
        <f t="shared" si="2"/>
        <v>#REF!</v>
      </c>
    </row>
    <row r="5">
      <c r="A5" s="21" t="s">
        <v>44</v>
      </c>
      <c r="B5" s="16">
        <f>'Team Statistics'!C32</f>
        <v>4</v>
      </c>
      <c r="C5" s="16">
        <f>'Team Statistics'!D32</f>
        <v>2</v>
      </c>
      <c r="D5" s="18">
        <f>'Team Statistics'!E32</f>
        <v>206.9</v>
      </c>
      <c r="E5" s="16">
        <f>'Team Statistics'!F32</f>
        <v>15</v>
      </c>
      <c r="F5" s="16">
        <f>'Team Statistics'!G32</f>
        <v>3074</v>
      </c>
      <c r="G5" s="16">
        <f>'Team Statistics'!H32</f>
        <v>175</v>
      </c>
      <c r="H5" s="16">
        <f>'Team Statistics'!I32</f>
        <v>3017</v>
      </c>
      <c r="I5" s="16">
        <f>'Team Statistics'!J32</f>
        <v>57</v>
      </c>
      <c r="J5" s="26">
        <f>'Team Statistics'!K32</f>
        <v>1.01889294</v>
      </c>
      <c r="K5" s="27">
        <f>'Team Statistics'!L32</f>
        <v>16.68633269</v>
      </c>
      <c r="L5" s="16">
        <f>'Team Statistics'!M32</f>
        <v>4610</v>
      </c>
      <c r="M5" s="16">
        <f>'Team Statistics'!N32/4</f>
        <v>4</v>
      </c>
      <c r="N5" s="27">
        <f>'Team Statistics'!O32</f>
        <v>827.6</v>
      </c>
      <c r="O5" s="16">
        <f>'Team Statistics'!P32</f>
        <v>400</v>
      </c>
      <c r="P5" s="16">
        <f>'Team Statistics'!Q32</f>
        <v>70</v>
      </c>
      <c r="Q5" s="16">
        <f>'Team Statistics'!R32</f>
        <v>14</v>
      </c>
      <c r="R5" s="16">
        <f>'Team Statistics'!S32</f>
        <v>3</v>
      </c>
      <c r="S5" s="16">
        <f>'Team Statistics'!T32</f>
        <v>38</v>
      </c>
      <c r="T5" s="16">
        <f>'Team Statistics'!U32</f>
        <v>0</v>
      </c>
      <c r="U5" s="16">
        <f>'Team Statistics'!V32</f>
        <v>1</v>
      </c>
      <c r="V5" s="16">
        <f>'Team Statistics'!W32</f>
        <v>0</v>
      </c>
      <c r="W5" s="16">
        <f>'Team Statistics'!X32</f>
        <v>0</v>
      </c>
      <c r="X5" s="16">
        <f>'Team Statistics'!Y32</f>
        <v>0</v>
      </c>
      <c r="Y5" s="16">
        <f>'Team Statistics'!Z32</f>
        <v>0</v>
      </c>
      <c r="Z5" s="16">
        <f>'Team Statistics'!AA32</f>
        <v>0</v>
      </c>
      <c r="AA5" s="16">
        <f>'Team Statistics'!AB32</f>
        <v>0</v>
      </c>
      <c r="AB5" s="16">
        <f>'Team Statistics'!AC32</f>
        <v>0</v>
      </c>
      <c r="AC5" s="16">
        <f>'Team Statistics'!AD32</f>
        <v>0</v>
      </c>
      <c r="AD5" s="16" t="str">
        <f t="shared" ref="AD5:AI5" si="3">#REF!</f>
        <v>#REF!</v>
      </c>
      <c r="AE5" s="16" t="str">
        <f t="shared" si="3"/>
        <v>#REF!</v>
      </c>
      <c r="AF5" s="16" t="str">
        <f t="shared" si="3"/>
        <v>#REF!</v>
      </c>
      <c r="AG5" s="16" t="str">
        <f t="shared" si="3"/>
        <v>#REF!</v>
      </c>
      <c r="AH5" s="16" t="str">
        <f t="shared" si="3"/>
        <v>#REF!</v>
      </c>
      <c r="AI5" s="16" t="str">
        <f t="shared" si="3"/>
        <v>#REF!</v>
      </c>
    </row>
    <row r="6">
      <c r="A6" s="21" t="s">
        <v>50</v>
      </c>
      <c r="B6" s="16">
        <f>'Team Statistics'!C57</f>
        <v>3</v>
      </c>
      <c r="C6" s="16">
        <f>'Team Statistics'!D57</f>
        <v>1</v>
      </c>
      <c r="D6" s="18">
        <f>'Team Statistics'!E57</f>
        <v>99.3</v>
      </c>
      <c r="E6" s="16">
        <f>'Team Statistics'!F57</f>
        <v>9</v>
      </c>
      <c r="F6" s="16">
        <f>'Team Statistics'!G57</f>
        <v>1640</v>
      </c>
      <c r="G6" s="16">
        <f>'Team Statistics'!H57</f>
        <v>103</v>
      </c>
      <c r="H6" s="16">
        <f>'Team Statistics'!I57</f>
        <v>1615</v>
      </c>
      <c r="I6" s="16">
        <f>'Team Statistics'!J57</f>
        <v>25</v>
      </c>
      <c r="J6" s="26">
        <f>'Team Statistics'!K57</f>
        <v>1.015479876</v>
      </c>
      <c r="K6" s="27">
        <f>'Team Statistics'!L57</f>
        <v>14.96864578</v>
      </c>
      <c r="L6" s="16">
        <f>'Team Statistics'!M57</f>
        <v>2607</v>
      </c>
      <c r="M6" s="16">
        <f>'Team Statistics'!N57/4</f>
        <v>2</v>
      </c>
      <c r="N6" s="27">
        <f>'Team Statistics'!O57</f>
        <v>257.2</v>
      </c>
      <c r="O6" s="16">
        <f>'Team Statistics'!P57</f>
        <v>136</v>
      </c>
      <c r="P6" s="16">
        <f>'Team Statistics'!Q57</f>
        <v>16</v>
      </c>
      <c r="Q6" s="16">
        <f>'Team Statistics'!R57</f>
        <v>5</v>
      </c>
      <c r="R6" s="16">
        <f>'Team Statistics'!S57</f>
        <v>2</v>
      </c>
      <c r="S6" s="16">
        <f>'Team Statistics'!T57</f>
        <v>13</v>
      </c>
      <c r="T6" s="16">
        <f>'Team Statistics'!U57</f>
        <v>3</v>
      </c>
      <c r="U6" s="16">
        <f>'Team Statistics'!V57</f>
        <v>0</v>
      </c>
      <c r="V6" s="16">
        <f>'Team Statistics'!W57</f>
        <v>0</v>
      </c>
      <c r="W6" s="16">
        <f>'Team Statistics'!X57</f>
        <v>1</v>
      </c>
      <c r="X6" s="16">
        <f>'Team Statistics'!Y57</f>
        <v>0</v>
      </c>
      <c r="Y6" s="16">
        <f>'Team Statistics'!Z57</f>
        <v>1</v>
      </c>
      <c r="Z6" s="16">
        <f>'Team Statistics'!AA57</f>
        <v>0</v>
      </c>
      <c r="AA6" s="16">
        <f>'Team Statistics'!AB57</f>
        <v>0</v>
      </c>
      <c r="AB6" s="16">
        <f>'Team Statistics'!AC57</f>
        <v>0</v>
      </c>
      <c r="AC6" s="16">
        <f>'Team Statistics'!AD57</f>
        <v>0</v>
      </c>
      <c r="AD6" s="16" t="str">
        <f t="shared" ref="AD6:AI6" si="4">#REF!</f>
        <v>#REF!</v>
      </c>
      <c r="AE6" s="16" t="str">
        <f t="shared" si="4"/>
        <v>#REF!</v>
      </c>
      <c r="AF6" s="16" t="str">
        <f t="shared" si="4"/>
        <v>#REF!</v>
      </c>
      <c r="AG6" s="16" t="str">
        <f t="shared" si="4"/>
        <v>#REF!</v>
      </c>
      <c r="AH6" s="16" t="str">
        <f t="shared" si="4"/>
        <v>#REF!</v>
      </c>
      <c r="AI6" s="16" t="str">
        <f t="shared" si="4"/>
        <v>#REF!</v>
      </c>
    </row>
    <row r="7">
      <c r="A7" s="21" t="s">
        <v>53</v>
      </c>
      <c r="B7" s="16">
        <f>'Team Statistics'!C12</f>
        <v>2</v>
      </c>
      <c r="C7" s="16">
        <f>'Team Statistics'!D12</f>
        <v>0</v>
      </c>
      <c r="D7" s="18">
        <f>'Team Statistics'!E12</f>
        <v>58.8</v>
      </c>
      <c r="E7" s="16">
        <f>'Team Statistics'!F12</f>
        <v>4</v>
      </c>
      <c r="F7" s="16">
        <f>'Team Statistics'!G12</f>
        <v>983</v>
      </c>
      <c r="G7" s="16">
        <f>'Team Statistics'!H12</f>
        <v>55</v>
      </c>
      <c r="H7" s="16">
        <f>'Team Statistics'!I12</f>
        <v>1005</v>
      </c>
      <c r="I7" s="16">
        <f>'Team Statistics'!J12</f>
        <v>-22</v>
      </c>
      <c r="J7" s="26">
        <f>'Team Statistics'!K12</f>
        <v>0.9781094527</v>
      </c>
      <c r="K7" s="27">
        <f>'Team Statistics'!L12</f>
        <v>14.60666667</v>
      </c>
      <c r="L7" s="16">
        <f>'Team Statistics'!M12</f>
        <v>1546</v>
      </c>
      <c r="M7" s="16">
        <f>'Team Statistics'!N12/4</f>
        <v>2</v>
      </c>
      <c r="N7" s="27">
        <f>'Team Statistics'!O12</f>
        <v>235.2</v>
      </c>
      <c r="O7" s="16">
        <f>'Team Statistics'!P12</f>
        <v>172</v>
      </c>
      <c r="P7" s="16">
        <f>'Team Statistics'!Q12</f>
        <v>26</v>
      </c>
      <c r="Q7" s="16">
        <f>'Team Statistics'!R12</f>
        <v>4</v>
      </c>
      <c r="R7" s="16">
        <f>'Team Statistics'!S12</f>
        <v>1</v>
      </c>
      <c r="S7" s="16">
        <f>'Team Statistics'!T12</f>
        <v>8</v>
      </c>
      <c r="T7" s="16">
        <f>'Team Statistics'!U12</f>
        <v>0</v>
      </c>
      <c r="U7" s="16">
        <f>'Team Statistics'!V12</f>
        <v>0</v>
      </c>
      <c r="V7" s="16">
        <f>'Team Statistics'!W12</f>
        <v>0</v>
      </c>
      <c r="W7" s="16">
        <f>'Team Statistics'!X12</f>
        <v>0</v>
      </c>
      <c r="X7" s="16">
        <f>'Team Statistics'!Y12</f>
        <v>0</v>
      </c>
      <c r="Y7" s="16">
        <f>'Team Statistics'!Z12</f>
        <v>0</v>
      </c>
      <c r="Z7" s="16">
        <f>'Team Statistics'!AA12</f>
        <v>0</v>
      </c>
      <c r="AA7" s="16">
        <f>'Team Statistics'!AB12</f>
        <v>0</v>
      </c>
      <c r="AB7" s="16">
        <f>'Team Statistics'!AC12</f>
        <v>0</v>
      </c>
      <c r="AC7" s="16">
        <f>'Team Statistics'!AD12</f>
        <v>0</v>
      </c>
      <c r="AD7" s="16" t="str">
        <f t="shared" ref="AD7:AI7" si="5">#REF!</f>
        <v>#REF!</v>
      </c>
      <c r="AE7" s="16" t="str">
        <f t="shared" si="5"/>
        <v>#REF!</v>
      </c>
      <c r="AF7" s="16" t="str">
        <f t="shared" si="5"/>
        <v>#REF!</v>
      </c>
      <c r="AG7" s="16" t="str">
        <f t="shared" si="5"/>
        <v>#REF!</v>
      </c>
      <c r="AH7" s="16" t="str">
        <f t="shared" si="5"/>
        <v>#REF!</v>
      </c>
      <c r="AI7" s="16" t="str">
        <f t="shared" si="5"/>
        <v>#REF!</v>
      </c>
    </row>
    <row r="8">
      <c r="A8" s="21" t="s">
        <v>30</v>
      </c>
      <c r="B8" s="16">
        <f>'Team Statistics'!C7</f>
        <v>5</v>
      </c>
      <c r="C8" s="16">
        <f>'Team Statistics'!D7</f>
        <v>3</v>
      </c>
      <c r="D8" s="18">
        <f>'Team Statistics'!E7</f>
        <v>118.9</v>
      </c>
      <c r="E8" s="16">
        <f>'Team Statistics'!F7</f>
        <v>17</v>
      </c>
      <c r="F8" s="16">
        <f>'Team Statistics'!G7</f>
        <v>1851</v>
      </c>
      <c r="G8" s="16">
        <f>'Team Statistics'!H7</f>
        <v>133</v>
      </c>
      <c r="H8" s="16">
        <f>'Team Statistics'!I7</f>
        <v>1909</v>
      </c>
      <c r="I8" s="16">
        <f>'Team Statistics'!J7</f>
        <v>-58</v>
      </c>
      <c r="J8" s="26">
        <f>'Team Statistics'!K7</f>
        <v>0.9696176008</v>
      </c>
      <c r="K8" s="27">
        <f>'Team Statistics'!L7</f>
        <v>15.22269856</v>
      </c>
      <c r="L8" s="16">
        <f>'Team Statistics'!M7</f>
        <v>3033</v>
      </c>
      <c r="M8" s="16">
        <f>'Team Statistics'!N7/4</f>
        <v>5</v>
      </c>
      <c r="N8" s="27">
        <f>'Team Statistics'!O7</f>
        <v>475.6</v>
      </c>
      <c r="O8" s="16">
        <f>'Team Statistics'!P7</f>
        <v>280</v>
      </c>
      <c r="P8" s="16">
        <f>'Team Statistics'!Q7</f>
        <v>51</v>
      </c>
      <c r="Q8" s="16">
        <f>'Team Statistics'!R7</f>
        <v>9</v>
      </c>
      <c r="R8" s="16">
        <f>'Team Statistics'!S7</f>
        <v>1</v>
      </c>
      <c r="S8" s="16">
        <f>'Team Statistics'!T7</f>
        <v>26</v>
      </c>
      <c r="T8" s="16">
        <f>'Team Statistics'!U7</f>
        <v>2</v>
      </c>
      <c r="U8" s="16">
        <f>'Team Statistics'!V7</f>
        <v>0</v>
      </c>
      <c r="V8" s="16">
        <f>'Team Statistics'!W7</f>
        <v>1</v>
      </c>
      <c r="W8" s="16">
        <f>'Team Statistics'!X7</f>
        <v>2</v>
      </c>
      <c r="X8" s="16">
        <f>'Team Statistics'!Y7</f>
        <v>0</v>
      </c>
      <c r="Y8" s="16">
        <f>'Team Statistics'!Z7</f>
        <v>1</v>
      </c>
      <c r="Z8" s="16">
        <f>'Team Statistics'!AA7</f>
        <v>0</v>
      </c>
      <c r="AA8" s="16">
        <f>'Team Statistics'!AB7</f>
        <v>0</v>
      </c>
      <c r="AB8" s="16">
        <f>'Team Statistics'!AC7</f>
        <v>0</v>
      </c>
      <c r="AC8" s="16">
        <f>'Team Statistics'!AD7</f>
        <v>0</v>
      </c>
      <c r="AD8" s="16" t="str">
        <f t="shared" ref="AD8:AI8" si="6">#REF!</f>
        <v>#REF!</v>
      </c>
      <c r="AE8" s="16" t="str">
        <f t="shared" si="6"/>
        <v>#REF!</v>
      </c>
      <c r="AF8" s="16" t="str">
        <f t="shared" si="6"/>
        <v>#REF!</v>
      </c>
      <c r="AG8" s="16" t="str">
        <f t="shared" si="6"/>
        <v>#REF!</v>
      </c>
      <c r="AH8" s="16" t="str">
        <f t="shared" si="6"/>
        <v>#REF!</v>
      </c>
      <c r="AI8" s="16" t="str">
        <f t="shared" si="6"/>
        <v>#REF!</v>
      </c>
    </row>
    <row r="9">
      <c r="A9" s="21" t="s">
        <v>38</v>
      </c>
      <c r="B9" s="16">
        <f>'Team Statistics'!C37</f>
        <v>8</v>
      </c>
      <c r="C9" s="16">
        <f>'Team Statistics'!D37</f>
        <v>6</v>
      </c>
      <c r="D9" s="18">
        <f>'Team Statistics'!E37</f>
        <v>282</v>
      </c>
      <c r="E9" s="16">
        <f>'Team Statistics'!F37</f>
        <v>33</v>
      </c>
      <c r="F9" s="16">
        <f>'Team Statistics'!G37</f>
        <v>4059</v>
      </c>
      <c r="G9" s="16">
        <f>'Team Statistics'!H37</f>
        <v>243</v>
      </c>
      <c r="H9" s="16">
        <f>'Team Statistics'!I37</f>
        <v>4318</v>
      </c>
      <c r="I9" s="16">
        <f>'Team Statistics'!J37</f>
        <v>-259</v>
      </c>
      <c r="J9" s="26">
        <f>'Team Statistics'!K37</f>
        <v>0.9400185271</v>
      </c>
      <c r="K9" s="27">
        <f>'Team Statistics'!L37</f>
        <v>16.14030259</v>
      </c>
      <c r="L9" s="16">
        <f>'Team Statistics'!M37</f>
        <v>6428</v>
      </c>
      <c r="M9" s="16">
        <f>'Team Statistics'!N37/4</f>
        <v>8</v>
      </c>
      <c r="N9" s="27">
        <f>'Team Statistics'!O37</f>
        <v>1128</v>
      </c>
      <c r="O9" s="16">
        <f>'Team Statistics'!P37</f>
        <v>627</v>
      </c>
      <c r="P9" s="16">
        <f>'Team Statistics'!Q37</f>
        <v>124</v>
      </c>
      <c r="Q9" s="16">
        <f>'Team Statistics'!R37</f>
        <v>25</v>
      </c>
      <c r="R9" s="16">
        <f>'Team Statistics'!S37</f>
        <v>7</v>
      </c>
      <c r="S9" s="16">
        <f>'Team Statistics'!T37</f>
        <v>62</v>
      </c>
      <c r="T9" s="16">
        <f>'Team Statistics'!U37</f>
        <v>3</v>
      </c>
      <c r="U9" s="16">
        <f>'Team Statistics'!V37</f>
        <v>0</v>
      </c>
      <c r="V9" s="16">
        <f>'Team Statistics'!W37</f>
        <v>1</v>
      </c>
      <c r="W9" s="16">
        <f>'Team Statistics'!X37</f>
        <v>0</v>
      </c>
      <c r="X9" s="16">
        <f>'Team Statistics'!Y37</f>
        <v>0</v>
      </c>
      <c r="Y9" s="16">
        <f>'Team Statistics'!Z37</f>
        <v>1</v>
      </c>
      <c r="Z9" s="16">
        <f>'Team Statistics'!AA37</f>
        <v>1</v>
      </c>
      <c r="AA9" s="16">
        <f>'Team Statistics'!AB37</f>
        <v>1</v>
      </c>
      <c r="AB9" s="16">
        <f>'Team Statistics'!AC37</f>
        <v>0</v>
      </c>
      <c r="AC9" s="16">
        <f>'Team Statistics'!AD37</f>
        <v>0</v>
      </c>
      <c r="AD9" s="16" t="str">
        <f t="shared" ref="AD9:AI9" si="7">#REF!</f>
        <v>#REF!</v>
      </c>
      <c r="AE9" s="16" t="str">
        <f t="shared" si="7"/>
        <v>#REF!</v>
      </c>
      <c r="AF9" s="16" t="str">
        <f t="shared" si="7"/>
        <v>#REF!</v>
      </c>
      <c r="AG9" s="16" t="str">
        <f t="shared" si="7"/>
        <v>#REF!</v>
      </c>
      <c r="AH9" s="16" t="str">
        <f t="shared" si="7"/>
        <v>#REF!</v>
      </c>
      <c r="AI9" s="16" t="str">
        <f t="shared" si="7"/>
        <v>#REF!</v>
      </c>
    </row>
    <row r="10">
      <c r="A10" s="21" t="s">
        <v>62</v>
      </c>
      <c r="B10" s="16">
        <f>'Team Statistics'!C17</f>
        <v>2</v>
      </c>
      <c r="C10" s="16">
        <f>'Team Statistics'!D17</f>
        <v>0</v>
      </c>
      <c r="D10" s="18">
        <f>'Team Statistics'!E17</f>
        <v>53.2</v>
      </c>
      <c r="E10" s="16">
        <f>'Team Statistics'!F17</f>
        <v>2</v>
      </c>
      <c r="F10" s="16">
        <f>'Team Statistics'!G17</f>
        <v>768</v>
      </c>
      <c r="G10" s="16">
        <f>'Team Statistics'!H17</f>
        <v>55</v>
      </c>
      <c r="H10" s="16">
        <f>'Team Statistics'!I17</f>
        <v>840</v>
      </c>
      <c r="I10" s="16">
        <f>'Team Statistics'!J17</f>
        <v>-72</v>
      </c>
      <c r="J10" s="26">
        <f>'Team Statistics'!K17</f>
        <v>0.9142857143</v>
      </c>
      <c r="K10" s="27">
        <f>'Team Statistics'!L17</f>
        <v>15.65285904</v>
      </c>
      <c r="L10" s="16">
        <f>'Team Statistics'!M17</f>
        <v>1199</v>
      </c>
      <c r="M10" s="16">
        <f>'Team Statistics'!N17/4</f>
        <v>2</v>
      </c>
      <c r="N10" s="27">
        <f>'Team Statistics'!O17</f>
        <v>212.8</v>
      </c>
      <c r="O10" s="16">
        <f>'Team Statistics'!P17</f>
        <v>110</v>
      </c>
      <c r="P10" s="16">
        <f>'Team Statistics'!Q17</f>
        <v>19</v>
      </c>
      <c r="Q10" s="16">
        <f>'Team Statistics'!R17</f>
        <v>3</v>
      </c>
      <c r="R10" s="16">
        <f>'Team Statistics'!S17</f>
        <v>0</v>
      </c>
      <c r="S10" s="16">
        <f>'Team Statistics'!T17</f>
        <v>9</v>
      </c>
      <c r="T10" s="16">
        <f>'Team Statistics'!U17</f>
        <v>0</v>
      </c>
      <c r="U10" s="16">
        <f>'Team Statistics'!V17</f>
        <v>0</v>
      </c>
      <c r="V10" s="16">
        <f>'Team Statistics'!W17</f>
        <v>0</v>
      </c>
      <c r="W10" s="16">
        <f>'Team Statistics'!X17</f>
        <v>0</v>
      </c>
      <c r="X10" s="16">
        <f>'Team Statistics'!Y17</f>
        <v>0</v>
      </c>
      <c r="Y10" s="16">
        <f>'Team Statistics'!Z17</f>
        <v>0</v>
      </c>
      <c r="Z10" s="16">
        <f>'Team Statistics'!AA17</f>
        <v>0</v>
      </c>
      <c r="AA10" s="16">
        <f>'Team Statistics'!AB17</f>
        <v>0</v>
      </c>
      <c r="AB10" s="16">
        <f>'Team Statistics'!AC17</f>
        <v>0</v>
      </c>
      <c r="AC10" s="16">
        <f>'Team Statistics'!AD17</f>
        <v>0</v>
      </c>
      <c r="AD10" s="16" t="str">
        <f t="shared" ref="AD10:AI10" si="8">#REF!</f>
        <v>#REF!</v>
      </c>
      <c r="AE10" s="16" t="str">
        <f t="shared" si="8"/>
        <v>#REF!</v>
      </c>
      <c r="AF10" s="16" t="str">
        <f t="shared" si="8"/>
        <v>#REF!</v>
      </c>
      <c r="AG10" s="16" t="str">
        <f t="shared" si="8"/>
        <v>#REF!</v>
      </c>
      <c r="AH10" s="16" t="str">
        <f t="shared" si="8"/>
        <v>#REF!</v>
      </c>
      <c r="AI10" s="16" t="str">
        <f t="shared" si="8"/>
        <v>#REF!</v>
      </c>
    </row>
    <row r="11">
      <c r="A11" s="21" t="s">
        <v>65</v>
      </c>
      <c r="B11" s="16">
        <f>'Team Statistics'!C27</f>
        <v>2</v>
      </c>
      <c r="C11" s="16">
        <f>'Team Statistics'!D27</f>
        <v>0</v>
      </c>
      <c r="D11" s="18">
        <f>'Team Statistics'!E27</f>
        <v>84.42916667</v>
      </c>
      <c r="E11" s="16">
        <f>'Team Statistics'!F27</f>
        <v>3</v>
      </c>
      <c r="F11" s="16">
        <f>'Team Statistics'!G27</f>
        <v>1277</v>
      </c>
      <c r="G11" s="16">
        <f>'Team Statistics'!H27</f>
        <v>90</v>
      </c>
      <c r="H11" s="16">
        <f>'Team Statistics'!I27</f>
        <v>1407</v>
      </c>
      <c r="I11" s="16">
        <f>'Team Statistics'!J27</f>
        <v>-130</v>
      </c>
      <c r="J11" s="26">
        <f>'Team Statistics'!K27</f>
        <v>0.907604833</v>
      </c>
      <c r="K11" s="27">
        <f>'Team Statistics'!L27</f>
        <v>14.98856258</v>
      </c>
      <c r="L11" s="16">
        <f>'Team Statistics'!M27</f>
        <v>2026</v>
      </c>
      <c r="M11" s="16">
        <f>'Team Statistics'!N27/4</f>
        <v>2</v>
      </c>
      <c r="N11" s="27">
        <f>'Team Statistics'!O27</f>
        <v>337.7166667</v>
      </c>
      <c r="O11" s="16">
        <f>'Team Statistics'!P27</f>
        <v>177</v>
      </c>
      <c r="P11" s="16">
        <f>'Team Statistics'!Q27</f>
        <v>37</v>
      </c>
      <c r="Q11" s="16">
        <f>'Team Statistics'!R27</f>
        <v>5</v>
      </c>
      <c r="R11" s="16">
        <f>'Team Statistics'!S27</f>
        <v>2</v>
      </c>
      <c r="S11" s="16">
        <f>'Team Statistics'!T27</f>
        <v>7</v>
      </c>
      <c r="T11" s="16">
        <f>'Team Statistics'!U27</f>
        <v>0</v>
      </c>
      <c r="U11" s="16">
        <f>'Team Statistics'!V27</f>
        <v>0</v>
      </c>
      <c r="V11" s="16">
        <f>'Team Statistics'!W27</f>
        <v>0</v>
      </c>
      <c r="W11" s="16">
        <f>'Team Statistics'!X27</f>
        <v>0</v>
      </c>
      <c r="X11" s="16">
        <f>'Team Statistics'!Y27</f>
        <v>0</v>
      </c>
      <c r="Y11" s="16">
        <f>'Team Statistics'!Z27</f>
        <v>1</v>
      </c>
      <c r="Z11" s="16">
        <f>'Team Statistics'!AA27</f>
        <v>0</v>
      </c>
      <c r="AA11" s="16">
        <f>'Team Statistics'!AB27</f>
        <v>0</v>
      </c>
      <c r="AB11" s="16">
        <f>'Team Statistics'!AC27</f>
        <v>0</v>
      </c>
      <c r="AC11" s="16">
        <f>'Team Statistics'!AD27</f>
        <v>0</v>
      </c>
      <c r="AD11" s="16" t="str">
        <f t="shared" ref="AD11:AI11" si="9">#REF!</f>
        <v>#REF!</v>
      </c>
      <c r="AE11" s="16" t="str">
        <f t="shared" si="9"/>
        <v>#REF!</v>
      </c>
      <c r="AF11" s="16" t="str">
        <f t="shared" si="9"/>
        <v>#REF!</v>
      </c>
      <c r="AG11" s="16" t="str">
        <f t="shared" si="9"/>
        <v>#REF!</v>
      </c>
      <c r="AH11" s="16" t="str">
        <f t="shared" si="9"/>
        <v>#REF!</v>
      </c>
      <c r="AI11" s="16" t="str">
        <f t="shared" si="9"/>
        <v>#REF!</v>
      </c>
    </row>
    <row r="12">
      <c r="A12" s="21" t="s">
        <v>70</v>
      </c>
      <c r="B12" s="16">
        <f>'Team Statistics'!C52</f>
        <v>3</v>
      </c>
      <c r="C12" s="16">
        <f>'Team Statistics'!D52</f>
        <v>1</v>
      </c>
      <c r="D12" s="18">
        <f>'Team Statistics'!E52</f>
        <v>52.4</v>
      </c>
      <c r="E12" s="16">
        <f>'Team Statistics'!F52</f>
        <v>9</v>
      </c>
      <c r="F12" s="16">
        <f>'Team Statistics'!G52</f>
        <v>714</v>
      </c>
      <c r="G12" s="16">
        <f>'Team Statistics'!H52</f>
        <v>47</v>
      </c>
      <c r="H12" s="16">
        <f>'Team Statistics'!I52</f>
        <v>788</v>
      </c>
      <c r="I12" s="16">
        <f>'Team Statistics'!J52</f>
        <v>-74</v>
      </c>
      <c r="J12" s="26">
        <f>'Team Statistics'!K52</f>
        <v>0.9060913706</v>
      </c>
      <c r="K12" s="27">
        <f>'Team Statistics'!L52</f>
        <v>16.3225483</v>
      </c>
      <c r="L12" s="16">
        <f>'Team Statistics'!M52</f>
        <v>1115</v>
      </c>
      <c r="M12" s="16">
        <f>'Team Statistics'!N52/4</f>
        <v>3</v>
      </c>
      <c r="N12" s="27">
        <f>'Team Statistics'!O52</f>
        <v>209.6</v>
      </c>
      <c r="O12" s="16">
        <f>'Team Statistics'!P52</f>
        <v>103</v>
      </c>
      <c r="P12" s="16">
        <f>'Team Statistics'!Q52</f>
        <v>15</v>
      </c>
      <c r="Q12" s="16">
        <f>'Team Statistics'!R52</f>
        <v>2</v>
      </c>
      <c r="R12" s="16">
        <f>'Team Statistics'!S52</f>
        <v>0</v>
      </c>
      <c r="S12" s="16">
        <f>'Team Statistics'!T52</f>
        <v>8</v>
      </c>
      <c r="T12" s="16">
        <f>'Team Statistics'!U52</f>
        <v>0</v>
      </c>
      <c r="U12" s="16">
        <f>'Team Statistics'!V52</f>
        <v>0</v>
      </c>
      <c r="V12" s="16">
        <f>'Team Statistics'!W52</f>
        <v>0</v>
      </c>
      <c r="W12" s="16">
        <f>'Team Statistics'!X52</f>
        <v>0</v>
      </c>
      <c r="X12" s="16">
        <f>'Team Statistics'!Y52</f>
        <v>0</v>
      </c>
      <c r="Y12" s="16">
        <f>'Team Statistics'!Z52</f>
        <v>0</v>
      </c>
      <c r="Z12" s="16">
        <f>'Team Statistics'!AA52</f>
        <v>0</v>
      </c>
      <c r="AA12" s="16">
        <f>'Team Statistics'!AB52</f>
        <v>0</v>
      </c>
      <c r="AB12" s="16">
        <f>'Team Statistics'!AC52</f>
        <v>0</v>
      </c>
      <c r="AC12" s="16">
        <f>'Team Statistics'!AD52</f>
        <v>0</v>
      </c>
      <c r="AD12" s="16" t="str">
        <f t="shared" ref="AD12:AI12" si="10">#REF!</f>
        <v>#REF!</v>
      </c>
      <c r="AE12" s="16" t="str">
        <f t="shared" si="10"/>
        <v>#REF!</v>
      </c>
      <c r="AF12" s="16" t="str">
        <f t="shared" si="10"/>
        <v>#REF!</v>
      </c>
      <c r="AG12" s="16" t="str">
        <f t="shared" si="10"/>
        <v>#REF!</v>
      </c>
      <c r="AH12" s="16" t="str">
        <f t="shared" si="10"/>
        <v>#REF!</v>
      </c>
      <c r="AI12" s="16" t="str">
        <f t="shared" si="10"/>
        <v>#REF!</v>
      </c>
    </row>
    <row r="13">
      <c r="A13" s="21" t="s">
        <v>72</v>
      </c>
      <c r="B13" s="16">
        <f>'Team Statistics'!C42</f>
        <v>2</v>
      </c>
      <c r="C13" s="16">
        <f>'Team Statistics'!D42</f>
        <v>0</v>
      </c>
      <c r="D13" s="18">
        <f>'Team Statistics'!E42</f>
        <v>39.4</v>
      </c>
      <c r="E13" s="16">
        <f>'Team Statistics'!F42</f>
        <v>5</v>
      </c>
      <c r="F13" s="16">
        <f>'Team Statistics'!G42</f>
        <v>595</v>
      </c>
      <c r="G13" s="16">
        <f>'Team Statistics'!H42</f>
        <v>55</v>
      </c>
      <c r="H13" s="16">
        <f>'Team Statistics'!I42</f>
        <v>691</v>
      </c>
      <c r="I13" s="16">
        <f>'Team Statistics'!J42</f>
        <v>-96</v>
      </c>
      <c r="J13" s="26">
        <f>'Team Statistics'!K42</f>
        <v>0.8610709117</v>
      </c>
      <c r="K13" s="27">
        <f>'Team Statistics'!L42</f>
        <v>13.7659098</v>
      </c>
      <c r="L13" s="16">
        <f>'Team Statistics'!M42</f>
        <v>971</v>
      </c>
      <c r="M13" s="16">
        <f>'Team Statistics'!N42/4</f>
        <v>2</v>
      </c>
      <c r="N13" s="27">
        <f>'Team Statistics'!O42</f>
        <v>157.6</v>
      </c>
      <c r="O13" s="16">
        <f>'Team Statistics'!P42</f>
        <v>84</v>
      </c>
      <c r="P13" s="16">
        <f>'Team Statistics'!Q42</f>
        <v>12</v>
      </c>
      <c r="Q13" s="16">
        <f>'Team Statistics'!R42</f>
        <v>4</v>
      </c>
      <c r="R13" s="16">
        <f>'Team Statistics'!S42</f>
        <v>2</v>
      </c>
      <c r="S13" s="16">
        <f>'Team Statistics'!T42</f>
        <v>9</v>
      </c>
      <c r="T13" s="16">
        <f>'Team Statistics'!U42</f>
        <v>0</v>
      </c>
      <c r="U13" s="16">
        <f>'Team Statistics'!V42</f>
        <v>0</v>
      </c>
      <c r="V13" s="16">
        <f>'Team Statistics'!W42</f>
        <v>0</v>
      </c>
      <c r="W13" s="16">
        <f>'Team Statistics'!X42</f>
        <v>0</v>
      </c>
      <c r="X13" s="16">
        <f>'Team Statistics'!Y42</f>
        <v>0</v>
      </c>
      <c r="Y13" s="16">
        <f>'Team Statistics'!Z42</f>
        <v>0</v>
      </c>
      <c r="Z13" s="16">
        <f>'Team Statistics'!AA42</f>
        <v>0</v>
      </c>
      <c r="AA13" s="16">
        <f>'Team Statistics'!AB42</f>
        <v>0</v>
      </c>
      <c r="AB13" s="16">
        <f>'Team Statistics'!AC42</f>
        <v>0</v>
      </c>
      <c r="AC13" s="16">
        <f>'Team Statistics'!AD42</f>
        <v>0</v>
      </c>
      <c r="AD13" s="16" t="str">
        <f t="shared" ref="AD13:AI13" si="11">#REF!</f>
        <v>#REF!</v>
      </c>
      <c r="AE13" s="16" t="str">
        <f t="shared" si="11"/>
        <v>#REF!</v>
      </c>
      <c r="AF13" s="16" t="str">
        <f t="shared" si="11"/>
        <v>#REF!</v>
      </c>
      <c r="AG13" s="16" t="str">
        <f t="shared" si="11"/>
        <v>#REF!</v>
      </c>
      <c r="AH13" s="16" t="str">
        <f t="shared" si="11"/>
        <v>#REF!</v>
      </c>
      <c r="AI13" s="16" t="str">
        <f t="shared" si="11"/>
        <v>#REF!</v>
      </c>
    </row>
    <row r="14">
      <c r="A14" s="21" t="s">
        <v>76</v>
      </c>
      <c r="B14" s="16">
        <f>'Team Statistics'!C62</f>
        <v>4</v>
      </c>
      <c r="C14" s="16">
        <f>'Team Statistics'!D62</f>
        <v>2</v>
      </c>
      <c r="D14" s="18">
        <f>'Team Statistics'!E62</f>
        <v>77.90833333</v>
      </c>
      <c r="E14" s="16">
        <f>'Team Statistics'!F62</f>
        <v>10</v>
      </c>
      <c r="F14" s="16">
        <f>'Team Statistics'!G62</f>
        <v>1115</v>
      </c>
      <c r="G14" s="16">
        <f>'Team Statistics'!H62</f>
        <v>56</v>
      </c>
      <c r="H14" s="16">
        <f>'Team Statistics'!I62</f>
        <v>1330</v>
      </c>
      <c r="I14" s="16">
        <f>'Team Statistics'!J62</f>
        <v>-215</v>
      </c>
      <c r="J14" s="26">
        <f>'Team Statistics'!K62</f>
        <v>0.8383458647</v>
      </c>
      <c r="K14" s="27">
        <f>'Team Statistics'!L62</f>
        <v>15.40159755</v>
      </c>
      <c r="L14" s="16">
        <f>'Team Statistics'!M62</f>
        <v>1708</v>
      </c>
      <c r="M14" s="16">
        <f>'Team Statistics'!N62/4</f>
        <v>2</v>
      </c>
      <c r="N14" s="27">
        <f>'Team Statistics'!O62</f>
        <v>171.6333333</v>
      </c>
      <c r="O14" s="16">
        <f>'Team Statistics'!P62</f>
        <v>90</v>
      </c>
      <c r="P14" s="16">
        <f>'Team Statistics'!Q62</f>
        <v>16</v>
      </c>
      <c r="Q14" s="16">
        <f>'Team Statistics'!R62</f>
        <v>4</v>
      </c>
      <c r="R14" s="16">
        <f>'Team Statistics'!S62</f>
        <v>0</v>
      </c>
      <c r="S14" s="16">
        <f>'Team Statistics'!T62</f>
        <v>8</v>
      </c>
      <c r="T14" s="16">
        <f>'Team Statistics'!U62</f>
        <v>2</v>
      </c>
      <c r="U14" s="16">
        <f>'Team Statistics'!V62</f>
        <v>0</v>
      </c>
      <c r="V14" s="16">
        <f>'Team Statistics'!W62</f>
        <v>0</v>
      </c>
      <c r="W14" s="16">
        <f>'Team Statistics'!X62</f>
        <v>0</v>
      </c>
      <c r="X14" s="16">
        <f>'Team Statistics'!Y62</f>
        <v>0</v>
      </c>
      <c r="Y14" s="16">
        <f>'Team Statistics'!Z62</f>
        <v>0</v>
      </c>
      <c r="Z14" s="16">
        <f>'Team Statistics'!AA62</f>
        <v>0</v>
      </c>
      <c r="AA14" s="16">
        <f>'Team Statistics'!AB62</f>
        <v>0</v>
      </c>
      <c r="AB14" s="16">
        <f>'Team Statistics'!AC62</f>
        <v>0</v>
      </c>
      <c r="AC14" s="16">
        <f>'Team Statistics'!AD62</f>
        <v>0</v>
      </c>
      <c r="AD14" s="16" t="str">
        <f t="shared" ref="AD14:AI14" si="12">#REF!</f>
        <v>#REF!</v>
      </c>
      <c r="AE14" s="16" t="str">
        <f t="shared" si="12"/>
        <v>#REF!</v>
      </c>
      <c r="AF14" s="16" t="str">
        <f t="shared" si="12"/>
        <v>#REF!</v>
      </c>
      <c r="AG14" s="16" t="str">
        <f t="shared" si="12"/>
        <v>#REF!</v>
      </c>
      <c r="AH14" s="16" t="str">
        <f t="shared" si="12"/>
        <v>#REF!</v>
      </c>
      <c r="AI14" s="16" t="str">
        <f t="shared" si="12"/>
        <v>#REF!</v>
      </c>
    </row>
    <row r="15">
      <c r="A15" s="21" t="s">
        <v>79</v>
      </c>
      <c r="B15" s="16">
        <f>'Team Statistics'!C47</f>
        <v>2</v>
      </c>
      <c r="C15" s="16">
        <f>'Team Statistics'!D47</f>
        <v>0</v>
      </c>
      <c r="D15" s="18">
        <f>'Team Statistics'!E47</f>
        <v>36.5</v>
      </c>
      <c r="E15" s="16">
        <f>'Team Statistics'!F47</f>
        <v>4</v>
      </c>
      <c r="F15" s="16">
        <f>'Team Statistics'!G47</f>
        <v>562</v>
      </c>
      <c r="G15" s="16">
        <f>'Team Statistics'!H47</f>
        <v>23</v>
      </c>
      <c r="H15" s="16">
        <f>'Team Statistics'!I47</f>
        <v>723</v>
      </c>
      <c r="I15" s="16">
        <f>'Team Statistics'!J47</f>
        <v>-161</v>
      </c>
      <c r="J15" s="26">
        <f>'Team Statistics'!K47</f>
        <v>0.7773167358</v>
      </c>
      <c r="K15" s="27">
        <f>'Team Statistics'!L47</f>
        <v>12.28889833</v>
      </c>
      <c r="L15" s="16">
        <f>'Team Statistics'!M47</f>
        <v>859</v>
      </c>
      <c r="M15" s="16">
        <f>'Team Statistics'!N47/4</f>
        <v>2</v>
      </c>
      <c r="N15" s="27">
        <f>'Team Statistics'!O47</f>
        <v>146</v>
      </c>
      <c r="O15" s="16">
        <f>'Team Statistics'!P47</f>
        <v>81</v>
      </c>
      <c r="P15" s="16">
        <f>'Team Statistics'!Q47</f>
        <v>9</v>
      </c>
      <c r="Q15" s="16">
        <f>'Team Statistics'!R47</f>
        <v>4</v>
      </c>
      <c r="R15" s="16">
        <f>'Team Statistics'!S47</f>
        <v>1</v>
      </c>
      <c r="S15" s="16">
        <f>'Team Statistics'!T47</f>
        <v>2</v>
      </c>
      <c r="T15" s="16">
        <f>'Team Statistics'!U47</f>
        <v>0</v>
      </c>
      <c r="U15" s="16">
        <f>'Team Statistics'!V47</f>
        <v>0</v>
      </c>
      <c r="V15" s="16">
        <f>'Team Statistics'!W47</f>
        <v>0</v>
      </c>
      <c r="W15" s="16">
        <f>'Team Statistics'!X47</f>
        <v>0</v>
      </c>
      <c r="X15" s="16">
        <f>'Team Statistics'!Y47</f>
        <v>0</v>
      </c>
      <c r="Y15" s="16">
        <f>'Team Statistics'!Z47</f>
        <v>1</v>
      </c>
      <c r="Z15" s="16">
        <f>'Team Statistics'!AA47</f>
        <v>0</v>
      </c>
      <c r="AA15" s="16">
        <f>'Team Statistics'!AB47</f>
        <v>0</v>
      </c>
      <c r="AB15" s="16">
        <f>'Team Statistics'!AC47</f>
        <v>0</v>
      </c>
      <c r="AC15" s="16">
        <f>'Team Statistics'!AD47</f>
        <v>0</v>
      </c>
      <c r="AD15" s="16" t="str">
        <f t="shared" ref="AD15:AI15" si="13">#REF!</f>
        <v>#REF!</v>
      </c>
      <c r="AE15" s="16" t="str">
        <f t="shared" si="13"/>
        <v>#REF!</v>
      </c>
      <c r="AF15" s="16" t="str">
        <f t="shared" si="13"/>
        <v>#REF!</v>
      </c>
      <c r="AG15" s="16" t="str">
        <f t="shared" si="13"/>
        <v>#REF!</v>
      </c>
      <c r="AH15" s="16" t="str">
        <f t="shared" si="13"/>
        <v>#REF!</v>
      </c>
      <c r="AI15" s="16" t="str">
        <f t="shared" si="13"/>
        <v>#REF!</v>
      </c>
    </row>
    <row r="16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</sheetData>
  <mergeCells count="1">
    <mergeCell ref="B1:A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25"/>
    <col customWidth="1" min="13" max="13" width="15.0"/>
    <col customWidth="1" min="14" max="14" width="10.75"/>
    <col customWidth="1" min="15" max="15" width="9.63"/>
    <col customWidth="1" min="16" max="16" width="9.0"/>
    <col customWidth="1" min="17" max="17" width="13.13"/>
    <col customWidth="1" min="18" max="18" width="9.0"/>
    <col customWidth="1" min="19" max="19" width="11.0"/>
    <col customWidth="1" min="20" max="20" width="10.38"/>
    <col customWidth="1" min="21" max="21" width="11.0"/>
    <col customWidth="1" min="22" max="22" width="10.63"/>
    <col customWidth="1" min="23" max="23" width="11.13"/>
    <col customWidth="1" min="24" max="24" width="10.63"/>
    <col customWidth="1" min="25" max="25" width="10.75"/>
    <col customWidth="1" min="26" max="26" width="10.13"/>
    <col customWidth="1" min="27" max="27" width="11.25"/>
    <col customWidth="1" min="28" max="28" width="10.75"/>
    <col customWidth="1" min="29" max="29" width="11.0"/>
  </cols>
  <sheetData>
    <row r="1">
      <c r="A1" s="15" t="s">
        <v>32</v>
      </c>
    </row>
    <row r="2">
      <c r="A2" s="19"/>
      <c r="E2" s="20" t="s">
        <v>33</v>
      </c>
      <c r="K2" s="22" t="s">
        <v>35</v>
      </c>
      <c r="M2" s="23" t="s">
        <v>36</v>
      </c>
      <c r="N2" s="24" t="s">
        <v>36</v>
      </c>
    </row>
    <row r="3">
      <c r="A3" s="4" t="s">
        <v>1</v>
      </c>
      <c r="B3" s="4" t="s">
        <v>2</v>
      </c>
      <c r="C3" s="5" t="s">
        <v>4</v>
      </c>
      <c r="D3" s="6" t="s">
        <v>5</v>
      </c>
      <c r="E3" s="25" t="s">
        <v>37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8" t="s">
        <v>13</v>
      </c>
      <c r="M3" s="9" t="s">
        <v>14</v>
      </c>
      <c r="N3" s="10" t="s">
        <v>5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9" t="s">
        <v>28</v>
      </c>
      <c r="AC3" s="9" t="s">
        <v>29</v>
      </c>
    </row>
    <row r="4">
      <c r="A4" s="11" t="s">
        <v>38</v>
      </c>
      <c r="B4" s="12" t="s">
        <v>39</v>
      </c>
      <c r="C4" s="13">
        <v>1.0</v>
      </c>
      <c r="D4" s="28">
        <v>63.0</v>
      </c>
      <c r="E4" s="13">
        <v>0.0</v>
      </c>
      <c r="F4" s="13">
        <v>244.0</v>
      </c>
      <c r="G4" s="13">
        <v>14.0</v>
      </c>
      <c r="H4" s="13">
        <v>250.0</v>
      </c>
      <c r="I4" s="30">
        <f t="shared" ref="I4:I7" si="1">F4-H4</f>
        <v>-6</v>
      </c>
      <c r="J4" s="32">
        <f t="shared" ref="J4:J7" si="2">F4/H4</f>
        <v>0.976</v>
      </c>
      <c r="K4" s="13">
        <v>12.0</v>
      </c>
      <c r="L4" s="13">
        <v>330.0</v>
      </c>
      <c r="M4" s="13">
        <v>1.0</v>
      </c>
      <c r="N4" s="33">
        <f t="shared" ref="N4:N7" si="3">SUM(M4*D4)</f>
        <v>63</v>
      </c>
      <c r="O4" s="13">
        <v>32.0</v>
      </c>
      <c r="P4" s="13">
        <v>3.0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3">
        <v>0.0</v>
      </c>
      <c r="AA4" s="13">
        <v>0.0</v>
      </c>
      <c r="AB4" s="13">
        <v>0.0</v>
      </c>
      <c r="AC4" s="13">
        <v>0.0</v>
      </c>
    </row>
    <row r="5">
      <c r="A5" s="11" t="s">
        <v>38</v>
      </c>
      <c r="B5" s="12" t="s">
        <v>40</v>
      </c>
      <c r="C5" s="13">
        <v>1.0</v>
      </c>
      <c r="D5" s="28">
        <v>63.0</v>
      </c>
      <c r="E5" s="13">
        <v>5.0</v>
      </c>
      <c r="F5" s="13">
        <v>162.0</v>
      </c>
      <c r="G5" s="13">
        <v>4.0</v>
      </c>
      <c r="H5" s="13">
        <v>166.0</v>
      </c>
      <c r="I5" s="30">
        <f t="shared" si="1"/>
        <v>-4</v>
      </c>
      <c r="J5" s="32">
        <f t="shared" si="2"/>
        <v>0.9759036145</v>
      </c>
      <c r="K5" s="13">
        <v>19.0</v>
      </c>
      <c r="L5" s="13">
        <v>237.0</v>
      </c>
      <c r="M5" s="13">
        <v>1.0</v>
      </c>
      <c r="N5" s="33">
        <f t="shared" si="3"/>
        <v>63</v>
      </c>
      <c r="O5" s="13">
        <v>13.0</v>
      </c>
      <c r="P5" s="13">
        <v>2.0</v>
      </c>
      <c r="Q5" s="13">
        <v>0.0</v>
      </c>
      <c r="R5" s="13">
        <v>0.0</v>
      </c>
      <c r="S5" s="13">
        <v>1.0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13">
        <v>0.0</v>
      </c>
      <c r="AB5" s="13">
        <v>0.0</v>
      </c>
      <c r="AC5" s="13">
        <v>0.0</v>
      </c>
    </row>
    <row r="6">
      <c r="A6" s="11" t="s">
        <v>38</v>
      </c>
      <c r="B6" s="12" t="s">
        <v>41</v>
      </c>
      <c r="C6" s="13">
        <v>1.0</v>
      </c>
      <c r="D6" s="28">
        <v>63.0</v>
      </c>
      <c r="E6" s="13">
        <v>0.0</v>
      </c>
      <c r="F6" s="13">
        <v>221.0</v>
      </c>
      <c r="G6" s="13">
        <v>8.0</v>
      </c>
      <c r="H6" s="13">
        <v>313.0</v>
      </c>
      <c r="I6" s="30">
        <f t="shared" si="1"/>
        <v>-92</v>
      </c>
      <c r="J6" s="32">
        <f t="shared" si="2"/>
        <v>0.7060702875</v>
      </c>
      <c r="K6" s="13">
        <v>9.0</v>
      </c>
      <c r="L6" s="13">
        <v>327.0</v>
      </c>
      <c r="M6" s="13">
        <v>1.0</v>
      </c>
      <c r="N6" s="33">
        <f t="shared" si="3"/>
        <v>63</v>
      </c>
      <c r="O6" s="13">
        <v>32.0</v>
      </c>
      <c r="P6" s="13">
        <v>7.0</v>
      </c>
      <c r="Q6" s="13">
        <v>0.0</v>
      </c>
      <c r="R6" s="13">
        <v>0.0</v>
      </c>
      <c r="S6" s="13">
        <v>3.0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3">
        <v>0.0</v>
      </c>
      <c r="AB6" s="13">
        <v>0.0</v>
      </c>
      <c r="AC6" s="13">
        <v>0.0</v>
      </c>
    </row>
    <row r="7">
      <c r="A7" s="11" t="s">
        <v>38</v>
      </c>
      <c r="B7" s="12" t="s">
        <v>43</v>
      </c>
      <c r="C7" s="13">
        <v>1.0</v>
      </c>
      <c r="D7" s="28">
        <v>63.0</v>
      </c>
      <c r="E7" s="13">
        <v>0.0</v>
      </c>
      <c r="F7" s="13">
        <v>216.0</v>
      </c>
      <c r="G7" s="13">
        <v>6.0</v>
      </c>
      <c r="H7" s="13">
        <v>296.0</v>
      </c>
      <c r="I7" s="30">
        <f t="shared" si="1"/>
        <v>-80</v>
      </c>
      <c r="J7" s="32">
        <f t="shared" si="2"/>
        <v>0.7297297297</v>
      </c>
      <c r="K7" s="13">
        <v>9.0</v>
      </c>
      <c r="L7" s="13">
        <v>301.0</v>
      </c>
      <c r="M7" s="13">
        <v>1.0</v>
      </c>
      <c r="N7" s="33">
        <f t="shared" si="3"/>
        <v>63</v>
      </c>
      <c r="O7" s="13">
        <v>20.0</v>
      </c>
      <c r="P7" s="13">
        <v>4.0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13">
        <v>0.0</v>
      </c>
      <c r="AB7" s="13">
        <v>0.0</v>
      </c>
      <c r="AC7" s="13">
        <v>0.0</v>
      </c>
    </row>
    <row r="8">
      <c r="A8" s="34"/>
      <c r="B8" s="34"/>
      <c r="C8" s="34">
        <f t="shared" ref="C8:D8" si="4">SUM(C4:C7)/4</f>
        <v>1</v>
      </c>
      <c r="D8" s="35">
        <f t="shared" si="4"/>
        <v>63</v>
      </c>
      <c r="E8" s="34">
        <f t="shared" ref="E8:H8" si="5">SUM(E4:E7)</f>
        <v>5</v>
      </c>
      <c r="F8" s="34">
        <f t="shared" si="5"/>
        <v>843</v>
      </c>
      <c r="G8" s="34">
        <f t="shared" si="5"/>
        <v>32</v>
      </c>
      <c r="H8" s="34">
        <f t="shared" si="5"/>
        <v>1025</v>
      </c>
      <c r="I8" s="34">
        <f>SUM(F8-H8)</f>
        <v>-182</v>
      </c>
      <c r="J8" s="36">
        <f>SUM(F8/H8)</f>
        <v>0.8224390244</v>
      </c>
      <c r="K8" s="34">
        <f>SUM(K4:K7)/4</f>
        <v>12.25</v>
      </c>
      <c r="L8" s="34">
        <f>SUM(L4:L7)</f>
        <v>1195</v>
      </c>
      <c r="M8" s="34"/>
      <c r="N8" s="35">
        <f>SUM(N4:N7)/4</f>
        <v>63</v>
      </c>
      <c r="O8" s="34">
        <f t="shared" ref="O8:AC8" si="6">SUM(O4:O7)</f>
        <v>97</v>
      </c>
      <c r="P8" s="34">
        <f t="shared" si="6"/>
        <v>16</v>
      </c>
      <c r="Q8" s="34">
        <f t="shared" si="6"/>
        <v>0</v>
      </c>
      <c r="R8" s="34">
        <f t="shared" si="6"/>
        <v>0</v>
      </c>
      <c r="S8" s="34">
        <f t="shared" si="6"/>
        <v>4</v>
      </c>
      <c r="T8" s="34">
        <f t="shared" si="6"/>
        <v>0</v>
      </c>
      <c r="U8" s="34">
        <f t="shared" si="6"/>
        <v>0</v>
      </c>
      <c r="V8" s="34">
        <f t="shared" si="6"/>
        <v>0</v>
      </c>
      <c r="W8" s="34">
        <f t="shared" si="6"/>
        <v>0</v>
      </c>
      <c r="X8" s="34">
        <f t="shared" si="6"/>
        <v>0</v>
      </c>
      <c r="Y8" s="34">
        <f t="shared" si="6"/>
        <v>0</v>
      </c>
      <c r="Z8" s="34">
        <f t="shared" si="6"/>
        <v>0</v>
      </c>
      <c r="AA8" s="34">
        <f t="shared" si="6"/>
        <v>0</v>
      </c>
      <c r="AB8" s="34">
        <f t="shared" si="6"/>
        <v>0</v>
      </c>
      <c r="AC8" s="34">
        <f t="shared" si="6"/>
        <v>0</v>
      </c>
    </row>
    <row r="9">
      <c r="A9" s="11" t="s">
        <v>34</v>
      </c>
      <c r="B9" s="12" t="s">
        <v>45</v>
      </c>
      <c r="C9" s="13">
        <v>0.0</v>
      </c>
      <c r="D9" s="28">
        <v>63.0</v>
      </c>
      <c r="E9" s="13">
        <v>3.0</v>
      </c>
      <c r="F9" s="13">
        <v>166.0</v>
      </c>
      <c r="G9" s="13">
        <v>5.0</v>
      </c>
      <c r="H9" s="13">
        <v>140.0</v>
      </c>
      <c r="I9" s="30">
        <f t="shared" ref="I9:I12" si="7">F9-H9</f>
        <v>26</v>
      </c>
      <c r="J9" s="32">
        <f t="shared" ref="J9:J12" si="8">F9/H9</f>
        <v>1.185714286</v>
      </c>
      <c r="K9" s="13">
        <v>23.0</v>
      </c>
      <c r="L9" s="13">
        <v>249.0</v>
      </c>
      <c r="M9" s="13">
        <v>1.0</v>
      </c>
      <c r="N9" s="33">
        <f t="shared" ref="N9:N12" si="9">SUM(M9*D9)</f>
        <v>63</v>
      </c>
      <c r="O9" s="13">
        <v>6.0</v>
      </c>
      <c r="P9" s="13">
        <v>0.0</v>
      </c>
      <c r="Q9" s="13">
        <v>0.0</v>
      </c>
      <c r="R9" s="13">
        <v>0.0</v>
      </c>
      <c r="S9" s="13">
        <v>3.0</v>
      </c>
      <c r="T9" s="13">
        <v>1.0</v>
      </c>
      <c r="U9" s="13">
        <v>0.0</v>
      </c>
      <c r="V9" s="13">
        <v>0.0</v>
      </c>
      <c r="W9" s="13">
        <v>1.0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0.0</v>
      </c>
    </row>
    <row r="10">
      <c r="A10" s="11" t="s">
        <v>34</v>
      </c>
      <c r="B10" s="12" t="s">
        <v>46</v>
      </c>
      <c r="C10" s="13">
        <v>0.0</v>
      </c>
      <c r="D10" s="28">
        <v>63.0</v>
      </c>
      <c r="E10" s="13">
        <v>0.0</v>
      </c>
      <c r="F10" s="13">
        <v>320.0</v>
      </c>
      <c r="G10" s="13">
        <v>25.0</v>
      </c>
      <c r="H10" s="13">
        <v>240.0</v>
      </c>
      <c r="I10" s="30">
        <f t="shared" si="7"/>
        <v>80</v>
      </c>
      <c r="J10" s="32">
        <f t="shared" si="8"/>
        <v>1.333333333</v>
      </c>
      <c r="K10" s="13">
        <v>12.0</v>
      </c>
      <c r="L10" s="13">
        <v>538.0</v>
      </c>
      <c r="M10" s="13">
        <v>1.0</v>
      </c>
      <c r="N10" s="33">
        <f t="shared" si="9"/>
        <v>63</v>
      </c>
      <c r="O10" s="13">
        <v>70.0</v>
      </c>
      <c r="P10" s="13">
        <v>20.0</v>
      </c>
      <c r="Q10" s="13">
        <v>4.0</v>
      </c>
      <c r="R10" s="13">
        <v>1.0</v>
      </c>
      <c r="S10" s="13">
        <v>9.0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3">
        <v>0.0</v>
      </c>
      <c r="AA10" s="13">
        <v>0.0</v>
      </c>
      <c r="AB10" s="13">
        <v>0.0</v>
      </c>
      <c r="AC10" s="13">
        <v>0.0</v>
      </c>
    </row>
    <row r="11">
      <c r="A11" s="11" t="s">
        <v>34</v>
      </c>
      <c r="B11" s="12" t="s">
        <v>47</v>
      </c>
      <c r="C11" s="13">
        <v>0.0</v>
      </c>
      <c r="D11" s="28">
        <v>63.0</v>
      </c>
      <c r="E11" s="13">
        <v>0.0</v>
      </c>
      <c r="F11" s="13">
        <v>257.0</v>
      </c>
      <c r="G11" s="13">
        <v>12.0</v>
      </c>
      <c r="H11" s="13">
        <v>233.0</v>
      </c>
      <c r="I11" s="30">
        <f t="shared" si="7"/>
        <v>24</v>
      </c>
      <c r="J11" s="32">
        <f t="shared" si="8"/>
        <v>1.103004292</v>
      </c>
      <c r="K11" s="13">
        <v>13.0</v>
      </c>
      <c r="L11" s="13">
        <v>399.0</v>
      </c>
      <c r="M11" s="13">
        <v>1.0</v>
      </c>
      <c r="N11" s="33">
        <f t="shared" si="9"/>
        <v>63</v>
      </c>
      <c r="O11" s="13">
        <v>48.0</v>
      </c>
      <c r="P11" s="13">
        <v>7.0</v>
      </c>
      <c r="Q11" s="13">
        <v>0.0</v>
      </c>
      <c r="R11" s="13">
        <v>0.0</v>
      </c>
      <c r="S11" s="13">
        <v>2.0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3">
        <v>0.0</v>
      </c>
      <c r="AB11" s="13">
        <v>0.0</v>
      </c>
      <c r="AC11" s="13">
        <v>0.0</v>
      </c>
    </row>
    <row r="12">
      <c r="A12" s="11" t="s">
        <v>34</v>
      </c>
      <c r="B12" s="12" t="s">
        <v>48</v>
      </c>
      <c r="C12" s="13">
        <v>0.0</v>
      </c>
      <c r="D12" s="28">
        <v>63.0</v>
      </c>
      <c r="E12" s="13">
        <v>1.0</v>
      </c>
      <c r="F12" s="13">
        <v>259.0</v>
      </c>
      <c r="G12" s="13">
        <v>25.0</v>
      </c>
      <c r="H12" s="13">
        <v>235.0</v>
      </c>
      <c r="I12" s="30">
        <f t="shared" si="7"/>
        <v>24</v>
      </c>
      <c r="J12" s="32">
        <f t="shared" si="8"/>
        <v>1.10212766</v>
      </c>
      <c r="K12" s="13">
        <v>13.0</v>
      </c>
      <c r="L12" s="13">
        <v>430.0</v>
      </c>
      <c r="M12" s="13">
        <v>1.0</v>
      </c>
      <c r="N12" s="33">
        <f t="shared" si="9"/>
        <v>63</v>
      </c>
      <c r="O12" s="13">
        <v>46.0</v>
      </c>
      <c r="P12" s="13">
        <v>5.0</v>
      </c>
      <c r="Q12" s="13">
        <v>1.0</v>
      </c>
      <c r="R12" s="13">
        <v>0.0</v>
      </c>
      <c r="S12" s="13">
        <v>3.0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</row>
    <row r="13">
      <c r="A13" s="34" t="s">
        <v>49</v>
      </c>
      <c r="B13" s="34"/>
      <c r="C13" s="34">
        <f>SUM(C9:C12)</f>
        <v>0</v>
      </c>
      <c r="D13" s="35">
        <f t="shared" ref="D13:E13" si="10">SUM(D9:D12)/4</f>
        <v>63</v>
      </c>
      <c r="E13" s="34">
        <f t="shared" si="10"/>
        <v>1</v>
      </c>
      <c r="F13" s="34">
        <f t="shared" ref="F13:H13" si="11">SUM(F9:F12)</f>
        <v>1002</v>
      </c>
      <c r="G13" s="34">
        <f t="shared" si="11"/>
        <v>67</v>
      </c>
      <c r="H13" s="34">
        <f t="shared" si="11"/>
        <v>848</v>
      </c>
      <c r="I13" s="34">
        <f>SUM(F13-H13)</f>
        <v>154</v>
      </c>
      <c r="J13" s="36">
        <f>SUM(F13/H13)</f>
        <v>1.181603774</v>
      </c>
      <c r="K13" s="34">
        <f>SUM(K9:K12)/4</f>
        <v>15.25</v>
      </c>
      <c r="L13" s="34">
        <f>SUM(L9:L12)</f>
        <v>1616</v>
      </c>
      <c r="M13" s="34"/>
      <c r="N13" s="35">
        <f>SUM(N9:N12)/4</f>
        <v>63</v>
      </c>
      <c r="O13" s="34">
        <f t="shared" ref="O13:AC13" si="12">SUM(O9:O12)</f>
        <v>170</v>
      </c>
      <c r="P13" s="34">
        <f t="shared" si="12"/>
        <v>32</v>
      </c>
      <c r="Q13" s="34">
        <f t="shared" si="12"/>
        <v>5</v>
      </c>
      <c r="R13" s="34">
        <f t="shared" si="12"/>
        <v>1</v>
      </c>
      <c r="S13" s="34">
        <f t="shared" si="12"/>
        <v>17</v>
      </c>
      <c r="T13" s="34">
        <f t="shared" si="12"/>
        <v>1</v>
      </c>
      <c r="U13" s="34">
        <f t="shared" si="12"/>
        <v>0</v>
      </c>
      <c r="V13" s="34">
        <f t="shared" si="12"/>
        <v>0</v>
      </c>
      <c r="W13" s="37">
        <f t="shared" si="12"/>
        <v>1</v>
      </c>
      <c r="X13" s="34">
        <f t="shared" si="12"/>
        <v>0</v>
      </c>
      <c r="Y13" s="34">
        <f t="shared" si="12"/>
        <v>0</v>
      </c>
      <c r="Z13" s="34">
        <f t="shared" si="12"/>
        <v>0</v>
      </c>
      <c r="AA13" s="34">
        <f t="shared" si="12"/>
        <v>0</v>
      </c>
      <c r="AB13" s="37">
        <f t="shared" si="12"/>
        <v>0</v>
      </c>
      <c r="AC13" s="37">
        <f t="shared" si="12"/>
        <v>0</v>
      </c>
    </row>
    <row r="14">
      <c r="A14" s="15" t="s">
        <v>52</v>
      </c>
    </row>
    <row r="15">
      <c r="A15" s="19"/>
      <c r="E15" s="20" t="s">
        <v>33</v>
      </c>
      <c r="K15" s="22" t="s">
        <v>35</v>
      </c>
      <c r="M15" s="23" t="s">
        <v>36</v>
      </c>
      <c r="N15" s="24" t="s">
        <v>36</v>
      </c>
    </row>
    <row r="16">
      <c r="A16" s="4" t="s">
        <v>1</v>
      </c>
      <c r="B16" s="4" t="s">
        <v>2</v>
      </c>
      <c r="C16" s="5" t="s">
        <v>4</v>
      </c>
      <c r="D16" s="6" t="s">
        <v>5</v>
      </c>
      <c r="E16" s="25" t="s">
        <v>37</v>
      </c>
      <c r="F16" s="7" t="s">
        <v>7</v>
      </c>
      <c r="G16" s="7" t="s">
        <v>8</v>
      </c>
      <c r="H16" s="7" t="s">
        <v>9</v>
      </c>
      <c r="I16" s="7" t="s">
        <v>10</v>
      </c>
      <c r="J16" s="7" t="s">
        <v>11</v>
      </c>
      <c r="K16" s="8" t="s">
        <v>12</v>
      </c>
      <c r="L16" s="8" t="s">
        <v>13</v>
      </c>
      <c r="M16" s="9" t="s">
        <v>14</v>
      </c>
      <c r="N16" s="10" t="s">
        <v>5</v>
      </c>
      <c r="O16" s="9" t="s">
        <v>15</v>
      </c>
      <c r="P16" s="9" t="s">
        <v>16</v>
      </c>
      <c r="Q16" s="9" t="s">
        <v>17</v>
      </c>
      <c r="R16" s="9" t="s">
        <v>18</v>
      </c>
      <c r="S16" s="9" t="s">
        <v>19</v>
      </c>
      <c r="T16" s="9" t="s">
        <v>20</v>
      </c>
      <c r="U16" s="9" t="s">
        <v>21</v>
      </c>
      <c r="V16" s="9" t="s">
        <v>22</v>
      </c>
      <c r="W16" s="9" t="s">
        <v>23</v>
      </c>
      <c r="X16" s="9" t="s">
        <v>24</v>
      </c>
      <c r="Y16" s="9" t="s">
        <v>25</v>
      </c>
      <c r="Z16" s="9" t="s">
        <v>26</v>
      </c>
      <c r="AA16" s="9" t="s">
        <v>27</v>
      </c>
      <c r="AB16" s="9" t="s">
        <v>28</v>
      </c>
      <c r="AC16" s="9" t="s">
        <v>29</v>
      </c>
    </row>
    <row r="17">
      <c r="A17" s="11" t="s">
        <v>44</v>
      </c>
      <c r="B17" s="12" t="s">
        <v>54</v>
      </c>
      <c r="C17" s="13">
        <v>1.0</v>
      </c>
      <c r="D17" s="28">
        <v>32.5</v>
      </c>
      <c r="E17" s="13">
        <v>1.0</v>
      </c>
      <c r="F17" s="13">
        <v>123.0</v>
      </c>
      <c r="G17" s="13">
        <v>3.0</v>
      </c>
      <c r="H17" s="13">
        <v>133.0</v>
      </c>
      <c r="I17" s="30">
        <f t="shared" ref="I17:I20" si="13">F17-H17</f>
        <v>-10</v>
      </c>
      <c r="J17" s="32">
        <f t="shared" ref="J17:J20" si="14">F17/H17</f>
        <v>0.9248120301</v>
      </c>
      <c r="K17" s="13">
        <v>11.0</v>
      </c>
      <c r="L17" s="13">
        <v>167.0</v>
      </c>
      <c r="M17" s="13">
        <v>1.0</v>
      </c>
      <c r="N17" s="33">
        <f t="shared" ref="N17:N20" si="15">SUM(M17*D17)</f>
        <v>32.5</v>
      </c>
      <c r="O17" s="13">
        <v>18.0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0.0</v>
      </c>
    </row>
    <row r="18">
      <c r="A18" s="11" t="s">
        <v>44</v>
      </c>
      <c r="B18" s="12" t="s">
        <v>55</v>
      </c>
      <c r="C18" s="13">
        <v>1.0</v>
      </c>
      <c r="D18" s="28">
        <v>32.5</v>
      </c>
      <c r="E18" s="13">
        <v>2.0</v>
      </c>
      <c r="F18" s="13">
        <v>144.0</v>
      </c>
      <c r="G18" s="13">
        <v>4.0</v>
      </c>
      <c r="H18" s="13">
        <v>134.0</v>
      </c>
      <c r="I18" s="30">
        <f t="shared" si="13"/>
        <v>10</v>
      </c>
      <c r="J18" s="32">
        <f t="shared" si="14"/>
        <v>1.074626866</v>
      </c>
      <c r="K18" s="13">
        <v>11.0</v>
      </c>
      <c r="L18" s="13">
        <v>206.0</v>
      </c>
      <c r="M18" s="13">
        <v>1.0</v>
      </c>
      <c r="N18" s="33">
        <f t="shared" si="15"/>
        <v>32.5</v>
      </c>
      <c r="O18" s="13">
        <v>19.0</v>
      </c>
      <c r="P18" s="13">
        <v>1.0</v>
      </c>
      <c r="Q18" s="13">
        <v>0.0</v>
      </c>
      <c r="R18" s="13">
        <v>0.0</v>
      </c>
      <c r="S18" s="13">
        <v>1.0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3">
        <v>0.0</v>
      </c>
      <c r="AB18" s="13">
        <v>0.0</v>
      </c>
      <c r="AC18" s="13">
        <v>0.0</v>
      </c>
    </row>
    <row r="19">
      <c r="A19" s="11" t="s">
        <v>44</v>
      </c>
      <c r="B19" s="12" t="s">
        <v>56</v>
      </c>
      <c r="C19" s="13">
        <v>1.0</v>
      </c>
      <c r="D19" s="28">
        <v>32.5</v>
      </c>
      <c r="E19" s="13">
        <v>0.0</v>
      </c>
      <c r="F19" s="13">
        <v>122.0</v>
      </c>
      <c r="G19" s="13">
        <v>10.0</v>
      </c>
      <c r="H19" s="13">
        <v>111.0</v>
      </c>
      <c r="I19" s="30">
        <f t="shared" si="13"/>
        <v>11</v>
      </c>
      <c r="J19" s="32">
        <f t="shared" si="14"/>
        <v>1.099099099</v>
      </c>
      <c r="K19" s="13">
        <v>14.0</v>
      </c>
      <c r="L19" s="13">
        <v>180.0</v>
      </c>
      <c r="M19" s="13">
        <v>1.0</v>
      </c>
      <c r="N19" s="33">
        <f t="shared" si="15"/>
        <v>32.5</v>
      </c>
      <c r="O19" s="13">
        <v>13.0</v>
      </c>
      <c r="P19" s="13">
        <v>3.0</v>
      </c>
      <c r="Q19" s="13">
        <v>0.0</v>
      </c>
      <c r="R19" s="13">
        <v>0.0</v>
      </c>
      <c r="S19" s="13">
        <v>3.0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</row>
    <row r="20">
      <c r="A20" s="11" t="s">
        <v>44</v>
      </c>
      <c r="B20" s="12" t="s">
        <v>57</v>
      </c>
      <c r="C20" s="13">
        <v>1.0</v>
      </c>
      <c r="D20" s="28">
        <v>32.5</v>
      </c>
      <c r="E20" s="13">
        <v>2.0</v>
      </c>
      <c r="F20" s="13">
        <v>100.0</v>
      </c>
      <c r="G20" s="13">
        <v>0.0</v>
      </c>
      <c r="H20" s="13">
        <v>100.0</v>
      </c>
      <c r="I20" s="30">
        <f t="shared" si="13"/>
        <v>0</v>
      </c>
      <c r="J20" s="32">
        <f t="shared" si="14"/>
        <v>1</v>
      </c>
      <c r="K20" s="13">
        <v>16.0</v>
      </c>
      <c r="L20" s="13">
        <v>130.0</v>
      </c>
      <c r="M20" s="13">
        <v>1.0</v>
      </c>
      <c r="N20" s="33">
        <f t="shared" si="15"/>
        <v>32.5</v>
      </c>
      <c r="O20" s="13">
        <v>5.0</v>
      </c>
      <c r="P20" s="13">
        <v>1.0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</row>
    <row r="21">
      <c r="A21" s="34"/>
      <c r="B21" s="34"/>
      <c r="C21" s="34">
        <f t="shared" ref="C21:D21" si="16">SUM(C17:C20)/4</f>
        <v>1</v>
      </c>
      <c r="D21" s="35">
        <f t="shared" si="16"/>
        <v>32.5</v>
      </c>
      <c r="E21" s="34">
        <f t="shared" ref="E21:H21" si="17">SUM(E17:E20)</f>
        <v>5</v>
      </c>
      <c r="F21" s="34">
        <f t="shared" si="17"/>
        <v>489</v>
      </c>
      <c r="G21" s="34">
        <f t="shared" si="17"/>
        <v>17</v>
      </c>
      <c r="H21" s="34">
        <f t="shared" si="17"/>
        <v>478</v>
      </c>
      <c r="I21" s="34">
        <f>SUM(F21-H21)</f>
        <v>11</v>
      </c>
      <c r="J21" s="36">
        <f>SUM(F21/H21)</f>
        <v>1.023012552</v>
      </c>
      <c r="K21" s="34">
        <f>SUM(K17:K20)/4</f>
        <v>13</v>
      </c>
      <c r="L21" s="34">
        <f>SUM(L17:L20)</f>
        <v>683</v>
      </c>
      <c r="M21" s="35">
        <f t="shared" ref="M21:N21" si="18">SUM(M17:M20)/4</f>
        <v>1</v>
      </c>
      <c r="N21" s="35">
        <f t="shared" si="18"/>
        <v>32.5</v>
      </c>
      <c r="O21" s="34">
        <f t="shared" ref="O21:AC21" si="19">SUM(O17:O20)</f>
        <v>55</v>
      </c>
      <c r="P21" s="34">
        <f t="shared" si="19"/>
        <v>5</v>
      </c>
      <c r="Q21" s="34">
        <f t="shared" si="19"/>
        <v>0</v>
      </c>
      <c r="R21" s="34">
        <f t="shared" si="19"/>
        <v>0</v>
      </c>
      <c r="S21" s="34">
        <f t="shared" si="19"/>
        <v>4</v>
      </c>
      <c r="T21" s="34">
        <f t="shared" si="19"/>
        <v>0</v>
      </c>
      <c r="U21" s="34">
        <f t="shared" si="19"/>
        <v>0</v>
      </c>
      <c r="V21" s="34">
        <f t="shared" si="19"/>
        <v>0</v>
      </c>
      <c r="W21" s="34">
        <f t="shared" si="19"/>
        <v>0</v>
      </c>
      <c r="X21" s="34">
        <f t="shared" si="19"/>
        <v>0</v>
      </c>
      <c r="Y21" s="34">
        <f t="shared" si="19"/>
        <v>0</v>
      </c>
      <c r="Z21" s="34">
        <f t="shared" si="19"/>
        <v>0</v>
      </c>
      <c r="AA21" s="34">
        <f t="shared" si="19"/>
        <v>0</v>
      </c>
      <c r="AB21" s="34">
        <f t="shared" si="19"/>
        <v>0</v>
      </c>
      <c r="AC21" s="34">
        <f t="shared" si="19"/>
        <v>0</v>
      </c>
    </row>
    <row r="22">
      <c r="A22" s="11" t="s">
        <v>50</v>
      </c>
      <c r="B22" s="12" t="s">
        <v>58</v>
      </c>
      <c r="C22" s="13">
        <v>0.0</v>
      </c>
      <c r="D22" s="28">
        <v>32.5</v>
      </c>
      <c r="E22" s="13">
        <v>0.0</v>
      </c>
      <c r="F22" s="13">
        <v>125.0</v>
      </c>
      <c r="G22" s="13">
        <v>8.0</v>
      </c>
      <c r="H22" s="13">
        <v>86.0</v>
      </c>
      <c r="I22" s="30">
        <f t="shared" ref="I22:I25" si="20">F22-H22</f>
        <v>39</v>
      </c>
      <c r="J22" s="32">
        <f t="shared" ref="J22:J25" si="21">F22/H22</f>
        <v>1.453488372</v>
      </c>
      <c r="K22" s="13">
        <v>19.0</v>
      </c>
      <c r="L22" s="13">
        <v>209.0</v>
      </c>
      <c r="M22" s="13">
        <v>1.0</v>
      </c>
      <c r="N22" s="33">
        <f t="shared" ref="N22:N25" si="22">SUM(M22*D22)</f>
        <v>32.5</v>
      </c>
      <c r="O22" s="13">
        <v>16.0</v>
      </c>
      <c r="P22" s="13">
        <v>1.0</v>
      </c>
      <c r="Q22" s="13">
        <v>1.0</v>
      </c>
      <c r="R22" s="13">
        <v>0.0</v>
      </c>
      <c r="S22" s="13">
        <v>4.0</v>
      </c>
      <c r="T22" s="13">
        <v>2.0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0.0</v>
      </c>
      <c r="AA22" s="13">
        <v>0.0</v>
      </c>
      <c r="AB22" s="13">
        <v>0.0</v>
      </c>
      <c r="AC22" s="13">
        <v>0.0</v>
      </c>
    </row>
    <row r="23">
      <c r="A23" s="11" t="s">
        <v>50</v>
      </c>
      <c r="B23" s="12" t="s">
        <v>59</v>
      </c>
      <c r="C23" s="13">
        <v>0.0</v>
      </c>
      <c r="D23" s="28">
        <v>32.5</v>
      </c>
      <c r="E23" s="13">
        <v>0.0</v>
      </c>
      <c r="F23" s="13">
        <v>131.0</v>
      </c>
      <c r="G23" s="13">
        <v>13.0</v>
      </c>
      <c r="H23" s="13">
        <v>128.0</v>
      </c>
      <c r="I23" s="30">
        <f t="shared" si="20"/>
        <v>3</v>
      </c>
      <c r="J23" s="32">
        <f t="shared" si="21"/>
        <v>1.0234375</v>
      </c>
      <c r="K23" s="13">
        <v>12.0</v>
      </c>
      <c r="L23" s="13">
        <v>215.0</v>
      </c>
      <c r="M23" s="13">
        <v>1.0</v>
      </c>
      <c r="N23" s="33">
        <f t="shared" si="22"/>
        <v>32.5</v>
      </c>
      <c r="O23" s="13">
        <v>15.0</v>
      </c>
      <c r="P23" s="13">
        <v>2.0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13">
        <v>0.0</v>
      </c>
      <c r="AB23" s="13">
        <v>0.0</v>
      </c>
      <c r="AC23" s="13">
        <v>0.0</v>
      </c>
    </row>
    <row r="24">
      <c r="A24" s="11" t="s">
        <v>50</v>
      </c>
      <c r="B24" s="12" t="s">
        <v>60</v>
      </c>
      <c r="C24" s="13">
        <v>0.0</v>
      </c>
      <c r="D24" s="28">
        <v>32.5</v>
      </c>
      <c r="E24" s="13">
        <v>0.0</v>
      </c>
      <c r="F24" s="13">
        <v>108.0</v>
      </c>
      <c r="G24" s="13">
        <v>9.0</v>
      </c>
      <c r="H24" s="13">
        <v>130.0</v>
      </c>
      <c r="I24" s="30">
        <f t="shared" si="20"/>
        <v>-22</v>
      </c>
      <c r="J24" s="32">
        <f t="shared" si="21"/>
        <v>0.8307692308</v>
      </c>
      <c r="K24" s="13">
        <v>11.0</v>
      </c>
      <c r="L24" s="13">
        <v>168.0</v>
      </c>
      <c r="M24" s="13">
        <v>1.0</v>
      </c>
      <c r="N24" s="33">
        <f t="shared" si="22"/>
        <v>32.5</v>
      </c>
      <c r="O24" s="13">
        <v>12.0</v>
      </c>
      <c r="P24" s="13">
        <v>2.0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</row>
    <row r="25">
      <c r="A25" s="11" t="s">
        <v>50</v>
      </c>
      <c r="B25" s="12" t="s">
        <v>61</v>
      </c>
      <c r="C25" s="13">
        <v>0.0</v>
      </c>
      <c r="D25" s="28">
        <v>32.5</v>
      </c>
      <c r="E25" s="13">
        <v>0.0</v>
      </c>
      <c r="F25" s="13">
        <v>107.0</v>
      </c>
      <c r="G25" s="13">
        <v>9.0</v>
      </c>
      <c r="H25" s="13">
        <v>163.0</v>
      </c>
      <c r="I25" s="30">
        <f t="shared" si="20"/>
        <v>-56</v>
      </c>
      <c r="J25" s="32">
        <f t="shared" si="21"/>
        <v>0.6564417178</v>
      </c>
      <c r="K25" s="13">
        <v>8.0</v>
      </c>
      <c r="L25" s="13">
        <v>169.0</v>
      </c>
      <c r="M25" s="13">
        <v>1.0</v>
      </c>
      <c r="N25" s="33">
        <f t="shared" si="22"/>
        <v>32.5</v>
      </c>
      <c r="O25" s="13">
        <v>14.0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3">
        <v>0.0</v>
      </c>
      <c r="AB25" s="13">
        <v>0.0</v>
      </c>
      <c r="AC25" s="13">
        <v>0.0</v>
      </c>
    </row>
    <row r="26">
      <c r="A26" s="34" t="s">
        <v>49</v>
      </c>
      <c r="B26" s="34"/>
      <c r="C26" s="34">
        <f>SUM(C22:C25)</f>
        <v>0</v>
      </c>
      <c r="D26" s="35">
        <f t="shared" ref="D26:E26" si="23">SUM(D22:D25)/4</f>
        <v>32.5</v>
      </c>
      <c r="E26" s="34">
        <f t="shared" si="23"/>
        <v>0</v>
      </c>
      <c r="F26" s="34">
        <f t="shared" ref="F26:H26" si="24">SUM(F22:F25)</f>
        <v>471</v>
      </c>
      <c r="G26" s="34">
        <f t="shared" si="24"/>
        <v>39</v>
      </c>
      <c r="H26" s="34">
        <f t="shared" si="24"/>
        <v>507</v>
      </c>
      <c r="I26" s="34">
        <f>SUM(F26-H26)</f>
        <v>-36</v>
      </c>
      <c r="J26" s="36">
        <f>SUM(F26/H26)</f>
        <v>0.9289940828</v>
      </c>
      <c r="K26" s="34">
        <f>SUM(K22:K25)/4</f>
        <v>12.5</v>
      </c>
      <c r="L26" s="34">
        <f>SUM(L22:L25)</f>
        <v>761</v>
      </c>
      <c r="M26" s="35">
        <f t="shared" ref="M26:N26" si="25">SUM(M22:M25)/4</f>
        <v>1</v>
      </c>
      <c r="N26" s="35">
        <f t="shared" si="25"/>
        <v>32.5</v>
      </c>
      <c r="O26" s="34">
        <f t="shared" ref="O26:AC26" si="26">SUM(O22:O25)</f>
        <v>57</v>
      </c>
      <c r="P26" s="34">
        <f t="shared" si="26"/>
        <v>5</v>
      </c>
      <c r="Q26" s="34">
        <f t="shared" si="26"/>
        <v>1</v>
      </c>
      <c r="R26" s="34">
        <f t="shared" si="26"/>
        <v>0</v>
      </c>
      <c r="S26" s="34">
        <f t="shared" si="26"/>
        <v>4</v>
      </c>
      <c r="T26" s="34">
        <f t="shared" si="26"/>
        <v>2</v>
      </c>
      <c r="U26" s="34">
        <f t="shared" si="26"/>
        <v>0</v>
      </c>
      <c r="V26" s="34">
        <f t="shared" si="26"/>
        <v>0</v>
      </c>
      <c r="W26" s="37">
        <f t="shared" si="26"/>
        <v>0</v>
      </c>
      <c r="X26" s="34">
        <f t="shared" si="26"/>
        <v>0</v>
      </c>
      <c r="Y26" s="34">
        <f t="shared" si="26"/>
        <v>0</v>
      </c>
      <c r="Z26" s="34">
        <f t="shared" si="26"/>
        <v>0</v>
      </c>
      <c r="AA26" s="34">
        <f t="shared" si="26"/>
        <v>0</v>
      </c>
      <c r="AB26" s="37">
        <f t="shared" si="26"/>
        <v>0</v>
      </c>
      <c r="AC26" s="37">
        <f t="shared" si="26"/>
        <v>0</v>
      </c>
    </row>
    <row r="27">
      <c r="A27" s="15" t="s">
        <v>64</v>
      </c>
    </row>
    <row r="28">
      <c r="A28" s="19"/>
      <c r="E28" s="20" t="s">
        <v>33</v>
      </c>
      <c r="K28" s="22" t="s">
        <v>35</v>
      </c>
      <c r="M28" s="23" t="s">
        <v>36</v>
      </c>
      <c r="N28" s="24" t="s">
        <v>36</v>
      </c>
    </row>
    <row r="29">
      <c r="A29" s="4" t="s">
        <v>1</v>
      </c>
      <c r="B29" s="4" t="s">
        <v>2</v>
      </c>
      <c r="C29" s="5" t="s">
        <v>4</v>
      </c>
      <c r="D29" s="6" t="s">
        <v>5</v>
      </c>
      <c r="E29" s="25" t="s">
        <v>37</v>
      </c>
      <c r="F29" s="7" t="s">
        <v>7</v>
      </c>
      <c r="G29" s="7" t="s">
        <v>8</v>
      </c>
      <c r="H29" s="7" t="s">
        <v>9</v>
      </c>
      <c r="I29" s="7" t="s">
        <v>10</v>
      </c>
      <c r="J29" s="7" t="s">
        <v>11</v>
      </c>
      <c r="K29" s="8" t="s">
        <v>12</v>
      </c>
      <c r="L29" s="8" t="s">
        <v>13</v>
      </c>
      <c r="M29" s="9" t="s">
        <v>14</v>
      </c>
      <c r="N29" s="10" t="s">
        <v>5</v>
      </c>
      <c r="O29" s="9" t="s">
        <v>15</v>
      </c>
      <c r="P29" s="9" t="s">
        <v>16</v>
      </c>
      <c r="Q29" s="9" t="s">
        <v>17</v>
      </c>
      <c r="R29" s="9" t="s">
        <v>18</v>
      </c>
      <c r="S29" s="9" t="s">
        <v>19</v>
      </c>
      <c r="T29" s="9" t="s">
        <v>20</v>
      </c>
      <c r="U29" s="9" t="s">
        <v>21</v>
      </c>
      <c r="V29" s="9" t="s">
        <v>22</v>
      </c>
      <c r="W29" s="9" t="s">
        <v>23</v>
      </c>
      <c r="X29" s="9" t="s">
        <v>24</v>
      </c>
      <c r="Y29" s="9" t="s">
        <v>25</v>
      </c>
      <c r="Z29" s="9" t="s">
        <v>26</v>
      </c>
      <c r="AA29" s="9" t="s">
        <v>27</v>
      </c>
      <c r="AB29" s="9" t="s">
        <v>28</v>
      </c>
      <c r="AC29" s="9" t="s">
        <v>29</v>
      </c>
    </row>
    <row r="30">
      <c r="A30" s="11" t="s">
        <v>42</v>
      </c>
      <c r="B30" s="12" t="s">
        <v>66</v>
      </c>
      <c r="C30" s="13">
        <v>1.0</v>
      </c>
      <c r="D30" s="28">
        <v>27.0</v>
      </c>
      <c r="E30" s="13">
        <v>0.0</v>
      </c>
      <c r="F30" s="13">
        <v>128.0</v>
      </c>
      <c r="G30" s="13">
        <v>13.0</v>
      </c>
      <c r="H30" s="13">
        <v>100.0</v>
      </c>
      <c r="I30" s="30">
        <f t="shared" ref="I30:I33" si="27">F30-H30</f>
        <v>28</v>
      </c>
      <c r="J30" s="32">
        <f t="shared" ref="J30:J33" si="28">F30/H30</f>
        <v>1.28</v>
      </c>
      <c r="K30" s="13">
        <v>13.0</v>
      </c>
      <c r="L30" s="13">
        <v>215.0</v>
      </c>
      <c r="M30" s="13">
        <v>1.0</v>
      </c>
      <c r="N30" s="33">
        <f t="shared" ref="N30:N33" si="29">SUM(M30*D30)</f>
        <v>27</v>
      </c>
      <c r="O30" s="13">
        <v>26.0</v>
      </c>
      <c r="P30" s="13">
        <v>5.0</v>
      </c>
      <c r="Q30" s="13">
        <v>1.0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13">
        <v>0.0</v>
      </c>
      <c r="AB30" s="13">
        <v>0.0</v>
      </c>
      <c r="AC30" s="13">
        <v>0.0</v>
      </c>
    </row>
    <row r="31">
      <c r="A31" s="11" t="s">
        <v>42</v>
      </c>
      <c r="B31" s="12" t="s">
        <v>67</v>
      </c>
      <c r="C31" s="13">
        <v>1.0</v>
      </c>
      <c r="D31" s="28">
        <v>27.0</v>
      </c>
      <c r="E31" s="13">
        <v>5.0</v>
      </c>
      <c r="F31" s="13">
        <v>80.0</v>
      </c>
      <c r="G31" s="13">
        <v>6.0</v>
      </c>
      <c r="H31" s="13">
        <v>52.0</v>
      </c>
      <c r="I31" s="30">
        <f t="shared" si="27"/>
        <v>28</v>
      </c>
      <c r="J31" s="32">
        <f t="shared" si="28"/>
        <v>1.538461538</v>
      </c>
      <c r="K31" s="13">
        <v>27.0</v>
      </c>
      <c r="L31" s="13">
        <v>131.0</v>
      </c>
      <c r="M31" s="13">
        <v>1.0</v>
      </c>
      <c r="N31" s="33">
        <f t="shared" si="29"/>
        <v>27</v>
      </c>
      <c r="O31" s="13">
        <v>11.0</v>
      </c>
      <c r="P31" s="13">
        <v>3.0</v>
      </c>
      <c r="Q31" s="13">
        <v>1.0</v>
      </c>
      <c r="R31" s="13">
        <v>0.0</v>
      </c>
      <c r="S31" s="13">
        <v>4.0</v>
      </c>
      <c r="T31" s="13">
        <v>1.0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13">
        <v>0.0</v>
      </c>
      <c r="AB31" s="13">
        <v>0.0</v>
      </c>
      <c r="AC31" s="13">
        <v>0.0</v>
      </c>
    </row>
    <row r="32">
      <c r="A32" s="11" t="s">
        <v>42</v>
      </c>
      <c r="B32" s="12" t="s">
        <v>68</v>
      </c>
      <c r="C32" s="13">
        <v>1.0</v>
      </c>
      <c r="D32" s="28">
        <v>27.0</v>
      </c>
      <c r="E32" s="13">
        <v>0.0</v>
      </c>
      <c r="F32" s="13">
        <v>98.0</v>
      </c>
      <c r="G32" s="13">
        <v>3.0</v>
      </c>
      <c r="H32" s="13">
        <v>120.0</v>
      </c>
      <c r="I32" s="30">
        <f t="shared" si="27"/>
        <v>-22</v>
      </c>
      <c r="J32" s="32">
        <f t="shared" si="28"/>
        <v>0.8166666667</v>
      </c>
      <c r="K32" s="13">
        <v>10.0</v>
      </c>
      <c r="L32" s="13">
        <v>148.0</v>
      </c>
      <c r="M32" s="13">
        <v>1.0</v>
      </c>
      <c r="N32" s="33">
        <f t="shared" si="29"/>
        <v>27</v>
      </c>
      <c r="O32" s="13">
        <v>17.0</v>
      </c>
      <c r="P32" s="13">
        <v>1.0</v>
      </c>
      <c r="Q32" s="13">
        <v>1.0</v>
      </c>
      <c r="R32" s="13">
        <v>1.0</v>
      </c>
      <c r="S32" s="13">
        <v>1.0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3">
        <v>0.0</v>
      </c>
      <c r="AA32" s="13">
        <v>0.0</v>
      </c>
      <c r="AB32" s="13">
        <v>0.0</v>
      </c>
      <c r="AC32" s="13">
        <v>0.0</v>
      </c>
    </row>
    <row r="33">
      <c r="A33" s="11" t="s">
        <v>42</v>
      </c>
      <c r="B33" s="12" t="s">
        <v>69</v>
      </c>
      <c r="C33" s="13">
        <v>1.0</v>
      </c>
      <c r="D33" s="28">
        <v>27.0</v>
      </c>
      <c r="E33" s="13">
        <v>0.0</v>
      </c>
      <c r="F33" s="13">
        <v>84.0</v>
      </c>
      <c r="G33" s="13">
        <v>3.0</v>
      </c>
      <c r="H33" s="13">
        <v>118.0</v>
      </c>
      <c r="I33" s="30">
        <f t="shared" si="27"/>
        <v>-34</v>
      </c>
      <c r="J33" s="32">
        <f t="shared" si="28"/>
        <v>0.7118644068</v>
      </c>
      <c r="K33" s="13">
        <v>10.0</v>
      </c>
      <c r="L33" s="13">
        <v>128.0</v>
      </c>
      <c r="M33" s="13">
        <v>1.0</v>
      </c>
      <c r="N33" s="33">
        <f t="shared" si="29"/>
        <v>27</v>
      </c>
      <c r="O33" s="13">
        <v>10.0</v>
      </c>
      <c r="P33" s="13">
        <v>1.0</v>
      </c>
      <c r="Q33" s="13">
        <v>0.0</v>
      </c>
      <c r="R33" s="13">
        <v>0.0</v>
      </c>
      <c r="S33" s="13">
        <v>0.0</v>
      </c>
      <c r="T33" s="13">
        <v>0.0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13">
        <v>0.0</v>
      </c>
      <c r="AA33" s="13">
        <v>0.0</v>
      </c>
      <c r="AB33" s="13">
        <v>0.0</v>
      </c>
      <c r="AC33" s="13">
        <v>0.0</v>
      </c>
    </row>
    <row r="34">
      <c r="A34" s="34"/>
      <c r="B34" s="34"/>
      <c r="C34" s="34">
        <f t="shared" ref="C34:D34" si="30">SUM(C30:C33)/4</f>
        <v>1</v>
      </c>
      <c r="D34" s="35">
        <f t="shared" si="30"/>
        <v>27</v>
      </c>
      <c r="E34" s="34">
        <f t="shared" ref="E34:H34" si="31">SUM(E30:E33)</f>
        <v>5</v>
      </c>
      <c r="F34" s="34">
        <f t="shared" si="31"/>
        <v>390</v>
      </c>
      <c r="G34" s="34">
        <f t="shared" si="31"/>
        <v>25</v>
      </c>
      <c r="H34" s="34">
        <f t="shared" si="31"/>
        <v>390</v>
      </c>
      <c r="I34" s="34">
        <f>SUM(F34-H34)</f>
        <v>0</v>
      </c>
      <c r="J34" s="36">
        <f>SUM(F34/H34)</f>
        <v>1</v>
      </c>
      <c r="K34" s="34">
        <f>SUM(K30:K33)/4</f>
        <v>15</v>
      </c>
      <c r="L34" s="34">
        <f>SUM(L30:L33)</f>
        <v>622</v>
      </c>
      <c r="M34" s="34"/>
      <c r="N34" s="35">
        <f>SUM(N30:N33)/4</f>
        <v>27</v>
      </c>
      <c r="O34" s="34">
        <f t="shared" ref="O34:AC34" si="32">SUM(O30:O33)</f>
        <v>64</v>
      </c>
      <c r="P34" s="34">
        <f t="shared" si="32"/>
        <v>10</v>
      </c>
      <c r="Q34" s="34">
        <f t="shared" si="32"/>
        <v>3</v>
      </c>
      <c r="R34" s="34">
        <f t="shared" si="32"/>
        <v>1</v>
      </c>
      <c r="S34" s="34">
        <f t="shared" si="32"/>
        <v>5</v>
      </c>
      <c r="T34" s="34">
        <f t="shared" si="32"/>
        <v>1</v>
      </c>
      <c r="U34" s="34">
        <f t="shared" si="32"/>
        <v>0</v>
      </c>
      <c r="V34" s="34">
        <f t="shared" si="32"/>
        <v>0</v>
      </c>
      <c r="W34" s="34">
        <f t="shared" si="32"/>
        <v>0</v>
      </c>
      <c r="X34" s="34">
        <f t="shared" si="32"/>
        <v>0</v>
      </c>
      <c r="Y34" s="34">
        <f t="shared" si="32"/>
        <v>0</v>
      </c>
      <c r="Z34" s="34">
        <f t="shared" si="32"/>
        <v>0</v>
      </c>
      <c r="AA34" s="34">
        <f t="shared" si="32"/>
        <v>0</v>
      </c>
      <c r="AB34" s="34">
        <f t="shared" si="32"/>
        <v>0</v>
      </c>
      <c r="AC34" s="34">
        <f t="shared" si="32"/>
        <v>0</v>
      </c>
    </row>
    <row r="35">
      <c r="A35" s="11" t="s">
        <v>53</v>
      </c>
      <c r="B35" s="12" t="s">
        <v>71</v>
      </c>
      <c r="C35" s="13">
        <v>0.0</v>
      </c>
      <c r="D35" s="28">
        <v>27.0</v>
      </c>
      <c r="E35" s="13">
        <v>0.0</v>
      </c>
      <c r="F35" s="13">
        <v>100.0</v>
      </c>
      <c r="G35" s="13">
        <v>7.0</v>
      </c>
      <c r="H35" s="13">
        <v>106.0</v>
      </c>
      <c r="I35" s="30">
        <f t="shared" ref="I35:I38" si="33">F35-H35</f>
        <v>-6</v>
      </c>
      <c r="J35" s="32">
        <f t="shared" ref="J35:J38" si="34">F35/H35</f>
        <v>0.9433962264</v>
      </c>
      <c r="K35" s="13">
        <v>12.0</v>
      </c>
      <c r="L35" s="13">
        <v>157.0</v>
      </c>
      <c r="M35" s="13">
        <v>1.0</v>
      </c>
      <c r="N35" s="33">
        <f t="shared" ref="N35:N38" si="35">SUM(M35*D35)</f>
        <v>27</v>
      </c>
      <c r="O35" s="13">
        <v>24.0</v>
      </c>
      <c r="P35" s="13">
        <v>3.0</v>
      </c>
      <c r="Q35" s="13">
        <v>1.0</v>
      </c>
      <c r="R35" s="13">
        <v>0.0</v>
      </c>
      <c r="S35" s="13">
        <v>1.0</v>
      </c>
      <c r="T35" s="13">
        <v>0.0</v>
      </c>
      <c r="U35" s="13">
        <v>0.0</v>
      </c>
      <c r="V35" s="13">
        <v>0.0</v>
      </c>
      <c r="W35" s="13">
        <v>0.0</v>
      </c>
      <c r="X35" s="13">
        <v>0.0</v>
      </c>
      <c r="Y35" s="13">
        <v>0.0</v>
      </c>
      <c r="Z35" s="13">
        <v>0.0</v>
      </c>
      <c r="AA35" s="13">
        <v>0.0</v>
      </c>
      <c r="AB35" s="13">
        <v>0.0</v>
      </c>
      <c r="AC35" s="13">
        <v>0.0</v>
      </c>
    </row>
    <row r="36">
      <c r="A36" s="11" t="s">
        <v>53</v>
      </c>
      <c r="B36" s="12" t="s">
        <v>73</v>
      </c>
      <c r="C36" s="13">
        <v>0.0</v>
      </c>
      <c r="D36" s="28">
        <v>27.0</v>
      </c>
      <c r="E36" s="13">
        <v>1.0</v>
      </c>
      <c r="F36" s="13">
        <v>130.0</v>
      </c>
      <c r="G36" s="13">
        <v>1.0</v>
      </c>
      <c r="H36" s="13">
        <v>119.0</v>
      </c>
      <c r="I36" s="30">
        <f t="shared" si="33"/>
        <v>11</v>
      </c>
      <c r="J36" s="32">
        <f t="shared" si="34"/>
        <v>1.092436975</v>
      </c>
      <c r="K36" s="13">
        <v>10.0</v>
      </c>
      <c r="L36" s="13">
        <v>210.0</v>
      </c>
      <c r="M36" s="13">
        <v>1.0</v>
      </c>
      <c r="N36" s="33">
        <f t="shared" si="35"/>
        <v>27</v>
      </c>
      <c r="O36" s="13">
        <v>28.0</v>
      </c>
      <c r="P36" s="13">
        <v>4.0</v>
      </c>
      <c r="Q36" s="13">
        <v>0.0</v>
      </c>
      <c r="R36" s="13">
        <v>0.0</v>
      </c>
      <c r="S36" s="13">
        <v>0.0</v>
      </c>
      <c r="T36" s="13">
        <v>0.0</v>
      </c>
      <c r="U36" s="13">
        <v>0.0</v>
      </c>
      <c r="V36" s="13">
        <v>0.0</v>
      </c>
      <c r="W36" s="13">
        <v>0.0</v>
      </c>
      <c r="X36" s="13">
        <v>0.0</v>
      </c>
      <c r="Y36" s="13">
        <v>0.0</v>
      </c>
      <c r="Z36" s="13">
        <v>0.0</v>
      </c>
      <c r="AA36" s="13">
        <v>0.0</v>
      </c>
      <c r="AB36" s="13">
        <v>0.0</v>
      </c>
      <c r="AC36" s="13">
        <v>0.0</v>
      </c>
    </row>
    <row r="37">
      <c r="A37" s="11" t="s">
        <v>53</v>
      </c>
      <c r="B37" s="12" t="s">
        <v>74</v>
      </c>
      <c r="C37" s="13">
        <v>0.0</v>
      </c>
      <c r="D37" s="28">
        <v>27.0</v>
      </c>
      <c r="E37" s="13">
        <v>0.0</v>
      </c>
      <c r="F37" s="13">
        <v>98.0</v>
      </c>
      <c r="G37" s="13">
        <v>7.0</v>
      </c>
      <c r="H37" s="13">
        <v>110.0</v>
      </c>
      <c r="I37" s="30">
        <f t="shared" si="33"/>
        <v>-12</v>
      </c>
      <c r="J37" s="32">
        <f t="shared" si="34"/>
        <v>0.8909090909</v>
      </c>
      <c r="K37" s="13">
        <v>11.0</v>
      </c>
      <c r="L37" s="13">
        <v>149.0</v>
      </c>
      <c r="M37" s="13">
        <v>1.0</v>
      </c>
      <c r="N37" s="33">
        <f t="shared" si="35"/>
        <v>27</v>
      </c>
      <c r="O37" s="13">
        <v>15.0</v>
      </c>
      <c r="P37" s="13">
        <v>2.0</v>
      </c>
      <c r="Q37" s="13">
        <v>0.0</v>
      </c>
      <c r="R37" s="13">
        <v>0.0</v>
      </c>
      <c r="S37" s="13">
        <v>1.0</v>
      </c>
      <c r="T37" s="13">
        <v>0.0</v>
      </c>
      <c r="U37" s="13">
        <v>0.0</v>
      </c>
      <c r="V37" s="13">
        <v>0.0</v>
      </c>
      <c r="W37" s="13">
        <v>0.0</v>
      </c>
      <c r="X37" s="13">
        <v>0.0</v>
      </c>
      <c r="Y37" s="13">
        <v>0.0</v>
      </c>
      <c r="Z37" s="13">
        <v>0.0</v>
      </c>
      <c r="AA37" s="13">
        <v>0.0</v>
      </c>
      <c r="AB37" s="13">
        <v>0.0</v>
      </c>
      <c r="AC37" s="13">
        <v>0.0</v>
      </c>
    </row>
    <row r="38">
      <c r="A38" s="11" t="s">
        <v>53</v>
      </c>
      <c r="B38" s="12" t="s">
        <v>75</v>
      </c>
      <c r="C38" s="13">
        <v>0.0</v>
      </c>
      <c r="D38" s="28">
        <v>27.0</v>
      </c>
      <c r="E38" s="13">
        <v>0.0</v>
      </c>
      <c r="F38" s="13">
        <v>51.0</v>
      </c>
      <c r="G38" s="13">
        <v>2.0</v>
      </c>
      <c r="H38" s="13">
        <v>68.0</v>
      </c>
      <c r="I38" s="30">
        <f t="shared" si="33"/>
        <v>-17</v>
      </c>
      <c r="J38" s="32">
        <f t="shared" si="34"/>
        <v>0.75</v>
      </c>
      <c r="K38" s="13">
        <v>20.0</v>
      </c>
      <c r="L38" s="13">
        <v>77.0</v>
      </c>
      <c r="M38" s="13">
        <v>1.0</v>
      </c>
      <c r="N38" s="33">
        <f t="shared" si="35"/>
        <v>27</v>
      </c>
      <c r="O38" s="13">
        <v>7.0</v>
      </c>
      <c r="P38" s="13">
        <v>2.0</v>
      </c>
      <c r="Q38" s="13">
        <v>0.0</v>
      </c>
      <c r="R38" s="13">
        <v>0.0</v>
      </c>
      <c r="S38" s="13">
        <v>0.0</v>
      </c>
      <c r="T38" s="13">
        <v>0.0</v>
      </c>
      <c r="U38" s="13">
        <v>0.0</v>
      </c>
      <c r="V38" s="13">
        <v>0.0</v>
      </c>
      <c r="W38" s="13">
        <v>0.0</v>
      </c>
      <c r="X38" s="13">
        <v>0.0</v>
      </c>
      <c r="Y38" s="13">
        <v>0.0</v>
      </c>
      <c r="Z38" s="13">
        <v>0.0</v>
      </c>
      <c r="AA38" s="13">
        <v>0.0</v>
      </c>
      <c r="AB38" s="13">
        <v>0.0</v>
      </c>
      <c r="AC38" s="13">
        <v>0.0</v>
      </c>
    </row>
    <row r="39">
      <c r="A39" s="34" t="s">
        <v>49</v>
      </c>
      <c r="B39" s="34"/>
      <c r="C39" s="34">
        <f>SUM(C35:C38)</f>
        <v>0</v>
      </c>
      <c r="D39" s="35">
        <f t="shared" ref="D39:E39" si="36">SUM(D35:D38)/4</f>
        <v>27</v>
      </c>
      <c r="E39" s="34">
        <f t="shared" si="36"/>
        <v>0.25</v>
      </c>
      <c r="F39" s="34">
        <f t="shared" ref="F39:H39" si="37">SUM(F35:F38)</f>
        <v>379</v>
      </c>
      <c r="G39" s="34">
        <f t="shared" si="37"/>
        <v>17</v>
      </c>
      <c r="H39" s="34">
        <f t="shared" si="37"/>
        <v>403</v>
      </c>
      <c r="I39" s="34">
        <f>SUM(F39-H39)</f>
        <v>-24</v>
      </c>
      <c r="J39" s="36">
        <f>SUM(F39/H39)</f>
        <v>0.9404466501</v>
      </c>
      <c r="K39" s="34">
        <f>SUM(K35:K38)/4</f>
        <v>13.25</v>
      </c>
      <c r="L39" s="34">
        <f>SUM(L35:L38)</f>
        <v>593</v>
      </c>
      <c r="M39" s="34"/>
      <c r="N39" s="35">
        <f>SUM(N35:N38)/4</f>
        <v>27</v>
      </c>
      <c r="O39" s="34">
        <f t="shared" ref="O39:AC39" si="38">SUM(O35:O38)</f>
        <v>74</v>
      </c>
      <c r="P39" s="34">
        <f t="shared" si="38"/>
        <v>11</v>
      </c>
      <c r="Q39" s="34">
        <f t="shared" si="38"/>
        <v>1</v>
      </c>
      <c r="R39" s="34">
        <f t="shared" si="38"/>
        <v>0</v>
      </c>
      <c r="S39" s="34">
        <f t="shared" si="38"/>
        <v>2</v>
      </c>
      <c r="T39" s="34">
        <f t="shared" si="38"/>
        <v>0</v>
      </c>
      <c r="U39" s="34">
        <f t="shared" si="38"/>
        <v>0</v>
      </c>
      <c r="V39" s="34">
        <f t="shared" si="38"/>
        <v>0</v>
      </c>
      <c r="W39" s="37">
        <f t="shared" si="38"/>
        <v>0</v>
      </c>
      <c r="X39" s="34">
        <f t="shared" si="38"/>
        <v>0</v>
      </c>
      <c r="Y39" s="34">
        <f t="shared" si="38"/>
        <v>0</v>
      </c>
      <c r="Z39" s="34">
        <f t="shared" si="38"/>
        <v>0</v>
      </c>
      <c r="AA39" s="34">
        <f t="shared" si="38"/>
        <v>0</v>
      </c>
      <c r="AB39" s="37">
        <f t="shared" si="38"/>
        <v>0</v>
      </c>
      <c r="AC39" s="37">
        <f t="shared" si="38"/>
        <v>0</v>
      </c>
    </row>
    <row r="40">
      <c r="A40" s="15" t="s">
        <v>78</v>
      </c>
    </row>
    <row r="41">
      <c r="A41" s="19"/>
      <c r="E41" s="20" t="s">
        <v>33</v>
      </c>
      <c r="K41" s="22" t="s">
        <v>35</v>
      </c>
      <c r="M41" s="23" t="s">
        <v>36</v>
      </c>
      <c r="N41" s="24" t="s">
        <v>36</v>
      </c>
    </row>
    <row r="42">
      <c r="A42" s="4" t="s">
        <v>1</v>
      </c>
      <c r="B42" s="4" t="s">
        <v>2</v>
      </c>
      <c r="C42" s="5" t="s">
        <v>4</v>
      </c>
      <c r="D42" s="6" t="s">
        <v>5</v>
      </c>
      <c r="E42" s="25" t="s">
        <v>37</v>
      </c>
      <c r="F42" s="7" t="s">
        <v>7</v>
      </c>
      <c r="G42" s="7" t="s">
        <v>8</v>
      </c>
      <c r="H42" s="7" t="s">
        <v>9</v>
      </c>
      <c r="I42" s="7" t="s">
        <v>10</v>
      </c>
      <c r="J42" s="7" t="s">
        <v>11</v>
      </c>
      <c r="K42" s="8" t="s">
        <v>12</v>
      </c>
      <c r="L42" s="8" t="s">
        <v>13</v>
      </c>
      <c r="M42" s="9" t="s">
        <v>14</v>
      </c>
      <c r="N42" s="10" t="s">
        <v>5</v>
      </c>
      <c r="O42" s="9" t="s">
        <v>15</v>
      </c>
      <c r="P42" s="9" t="s">
        <v>16</v>
      </c>
      <c r="Q42" s="9" t="s">
        <v>17</v>
      </c>
      <c r="R42" s="9" t="s">
        <v>18</v>
      </c>
      <c r="S42" s="9" t="s">
        <v>19</v>
      </c>
      <c r="T42" s="9" t="s">
        <v>20</v>
      </c>
      <c r="U42" s="9" t="s">
        <v>21</v>
      </c>
      <c r="V42" s="9" t="s">
        <v>22</v>
      </c>
      <c r="W42" s="9" t="s">
        <v>23</v>
      </c>
      <c r="X42" s="9" t="s">
        <v>24</v>
      </c>
      <c r="Y42" s="9" t="s">
        <v>25</v>
      </c>
      <c r="Z42" s="9" t="s">
        <v>26</v>
      </c>
      <c r="AA42" s="9" t="s">
        <v>27</v>
      </c>
      <c r="AB42" s="9" t="s">
        <v>28</v>
      </c>
      <c r="AC42" s="9" t="s">
        <v>29</v>
      </c>
    </row>
    <row r="43">
      <c r="A43" s="11" t="s">
        <v>76</v>
      </c>
      <c r="B43" s="12" t="s">
        <v>80</v>
      </c>
      <c r="C43" s="13">
        <v>1.0</v>
      </c>
      <c r="D43" s="28">
        <f t="shared" ref="D43:D46" si="39">SUM((K43*H43)/60)</f>
        <v>18.66666667</v>
      </c>
      <c r="E43" s="13">
        <v>2.0</v>
      </c>
      <c r="F43" s="13">
        <v>131.0</v>
      </c>
      <c r="G43" s="13">
        <v>2.0</v>
      </c>
      <c r="H43" s="13">
        <v>80.0</v>
      </c>
      <c r="I43" s="30">
        <f t="shared" ref="I43:I46" si="40">F43-H43</f>
        <v>51</v>
      </c>
      <c r="J43" s="32">
        <f t="shared" ref="J43:J46" si="41">F43/H43</f>
        <v>1.6375</v>
      </c>
      <c r="K43" s="13">
        <v>14.0</v>
      </c>
      <c r="L43" s="13">
        <v>224.0</v>
      </c>
      <c r="M43" s="13">
        <v>1.0</v>
      </c>
      <c r="N43" s="33">
        <f t="shared" ref="N43:N46" si="42">SUM(M43*D43)</f>
        <v>18.66666667</v>
      </c>
      <c r="O43" s="13">
        <v>30.0</v>
      </c>
      <c r="P43" s="13">
        <v>7.0</v>
      </c>
      <c r="Q43" s="13">
        <v>1.0</v>
      </c>
      <c r="R43" s="13">
        <v>0.0</v>
      </c>
      <c r="S43" s="13">
        <v>5.0</v>
      </c>
      <c r="T43" s="13">
        <v>2.0</v>
      </c>
      <c r="U43" s="13">
        <v>0.0</v>
      </c>
      <c r="V43" s="13">
        <v>0.0</v>
      </c>
      <c r="W43" s="13">
        <v>0.0</v>
      </c>
      <c r="X43" s="13">
        <v>0.0</v>
      </c>
      <c r="Y43" s="13">
        <v>0.0</v>
      </c>
      <c r="Z43" s="13">
        <v>0.0</v>
      </c>
      <c r="AA43" s="13">
        <v>0.0</v>
      </c>
      <c r="AB43" s="13">
        <v>0.0</v>
      </c>
      <c r="AC43" s="13">
        <v>0.0</v>
      </c>
    </row>
    <row r="44">
      <c r="A44" s="11" t="s">
        <v>76</v>
      </c>
      <c r="B44" s="12" t="s">
        <v>81</v>
      </c>
      <c r="C44" s="13">
        <v>1.0</v>
      </c>
      <c r="D44" s="28">
        <f t="shared" si="39"/>
        <v>20.8</v>
      </c>
      <c r="E44" s="13">
        <v>3.0</v>
      </c>
      <c r="F44" s="13">
        <v>36.0</v>
      </c>
      <c r="G44" s="13">
        <v>1.0</v>
      </c>
      <c r="H44" s="13">
        <v>39.0</v>
      </c>
      <c r="I44" s="30">
        <f t="shared" si="40"/>
        <v>-3</v>
      </c>
      <c r="J44" s="32">
        <f t="shared" si="41"/>
        <v>0.9230769231</v>
      </c>
      <c r="K44" s="13">
        <v>32.0</v>
      </c>
      <c r="L44" s="13">
        <v>54.0</v>
      </c>
      <c r="M44" s="13">
        <v>1.0</v>
      </c>
      <c r="N44" s="33">
        <f t="shared" si="42"/>
        <v>20.8</v>
      </c>
      <c r="O44" s="13">
        <v>4.0</v>
      </c>
      <c r="P44" s="13">
        <v>0.0</v>
      </c>
      <c r="Q44" s="13">
        <v>0.0</v>
      </c>
      <c r="R44" s="13">
        <v>0.0</v>
      </c>
      <c r="S44" s="13">
        <v>0.0</v>
      </c>
      <c r="T44" s="13">
        <v>0.0</v>
      </c>
      <c r="U44" s="13">
        <v>0.0</v>
      </c>
      <c r="V44" s="13">
        <v>0.0</v>
      </c>
      <c r="W44" s="13">
        <v>0.0</v>
      </c>
      <c r="X44" s="13">
        <v>0.0</v>
      </c>
      <c r="Y44" s="13">
        <v>0.0</v>
      </c>
      <c r="Z44" s="13">
        <v>0.0</v>
      </c>
      <c r="AA44" s="13">
        <v>0.0</v>
      </c>
      <c r="AB44" s="13">
        <v>0.0</v>
      </c>
      <c r="AC44" s="13">
        <v>0.0</v>
      </c>
    </row>
    <row r="45">
      <c r="A45" s="11" t="s">
        <v>76</v>
      </c>
      <c r="B45" s="12" t="s">
        <v>82</v>
      </c>
      <c r="C45" s="13">
        <v>1.0</v>
      </c>
      <c r="D45" s="28">
        <f t="shared" si="39"/>
        <v>16.5</v>
      </c>
      <c r="E45" s="13">
        <v>0.0</v>
      </c>
      <c r="F45" s="13">
        <v>91.0</v>
      </c>
      <c r="G45" s="13">
        <v>6.0</v>
      </c>
      <c r="H45" s="13">
        <v>110.0</v>
      </c>
      <c r="I45" s="30">
        <f t="shared" si="40"/>
        <v>-19</v>
      </c>
      <c r="J45" s="32">
        <f t="shared" si="41"/>
        <v>0.8272727273</v>
      </c>
      <c r="K45" s="13">
        <v>9.0</v>
      </c>
      <c r="L45" s="13">
        <v>148.0</v>
      </c>
      <c r="M45" s="13">
        <v>1.0</v>
      </c>
      <c r="N45" s="33">
        <f t="shared" si="42"/>
        <v>16.5</v>
      </c>
      <c r="O45" s="13">
        <v>14.0</v>
      </c>
      <c r="P45" s="13">
        <v>4.0</v>
      </c>
      <c r="Q45" s="13">
        <v>1.0</v>
      </c>
      <c r="R45" s="13">
        <v>0.0</v>
      </c>
      <c r="S45" s="13">
        <v>0.0</v>
      </c>
      <c r="T45" s="13">
        <v>0.0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</row>
    <row r="46">
      <c r="A46" s="11" t="s">
        <v>76</v>
      </c>
      <c r="B46" s="12" t="s">
        <v>83</v>
      </c>
      <c r="C46" s="13">
        <v>1.0</v>
      </c>
      <c r="D46" s="28">
        <f t="shared" si="39"/>
        <v>16.66666667</v>
      </c>
      <c r="E46" s="13">
        <v>0.0</v>
      </c>
      <c r="F46" s="13">
        <v>73.0</v>
      </c>
      <c r="G46" s="13">
        <v>4.0</v>
      </c>
      <c r="H46" s="13">
        <v>100.0</v>
      </c>
      <c r="I46" s="30">
        <f t="shared" si="40"/>
        <v>-27</v>
      </c>
      <c r="J46" s="32">
        <f t="shared" si="41"/>
        <v>0.73</v>
      </c>
      <c r="K46" s="13">
        <v>10.0</v>
      </c>
      <c r="L46" s="13">
        <v>102.0</v>
      </c>
      <c r="M46" s="13">
        <v>1.0</v>
      </c>
      <c r="N46" s="33">
        <f t="shared" si="42"/>
        <v>16.66666667</v>
      </c>
      <c r="O46" s="13">
        <v>8.0</v>
      </c>
      <c r="P46" s="13">
        <v>2.0</v>
      </c>
      <c r="Q46" s="13">
        <v>1.0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</row>
    <row r="47">
      <c r="A47" s="34"/>
      <c r="B47" s="34"/>
      <c r="C47" s="34">
        <f t="shared" ref="C47:D47" si="43">SUM(C43:C46)/4</f>
        <v>1</v>
      </c>
      <c r="D47" s="35">
        <f t="shared" si="43"/>
        <v>18.15833333</v>
      </c>
      <c r="E47" s="34">
        <f t="shared" ref="E47:H47" si="44">SUM(E43:E46)</f>
        <v>5</v>
      </c>
      <c r="F47" s="34">
        <f t="shared" si="44"/>
        <v>331</v>
      </c>
      <c r="G47" s="34">
        <f t="shared" si="44"/>
        <v>13</v>
      </c>
      <c r="H47" s="34">
        <f t="shared" si="44"/>
        <v>329</v>
      </c>
      <c r="I47" s="34">
        <f>SUM(F47-H47)</f>
        <v>2</v>
      </c>
      <c r="J47" s="36">
        <f>SUM(F47/H47)</f>
        <v>1.006079027</v>
      </c>
      <c r="K47" s="34">
        <f>SUM(K43:K46)/4</f>
        <v>16.25</v>
      </c>
      <c r="L47" s="34">
        <f>SUM(L43:L46)</f>
        <v>528</v>
      </c>
      <c r="M47" s="34"/>
      <c r="N47" s="35">
        <f>SUM(N43:N46)/4</f>
        <v>18.15833333</v>
      </c>
      <c r="O47" s="34">
        <f t="shared" ref="O47:AC47" si="45">SUM(O43:O46)</f>
        <v>56</v>
      </c>
      <c r="P47" s="34">
        <f t="shared" si="45"/>
        <v>13</v>
      </c>
      <c r="Q47" s="34">
        <f t="shared" si="45"/>
        <v>3</v>
      </c>
      <c r="R47" s="34">
        <f t="shared" si="45"/>
        <v>0</v>
      </c>
      <c r="S47" s="34">
        <f t="shared" si="45"/>
        <v>5</v>
      </c>
      <c r="T47" s="34">
        <f t="shared" si="45"/>
        <v>2</v>
      </c>
      <c r="U47" s="34">
        <f t="shared" si="45"/>
        <v>0</v>
      </c>
      <c r="V47" s="34">
        <f t="shared" si="45"/>
        <v>0</v>
      </c>
      <c r="W47" s="34">
        <f t="shared" si="45"/>
        <v>0</v>
      </c>
      <c r="X47" s="34">
        <f t="shared" si="45"/>
        <v>0</v>
      </c>
      <c r="Y47" s="34">
        <f t="shared" si="45"/>
        <v>0</v>
      </c>
      <c r="Z47" s="34">
        <f t="shared" si="45"/>
        <v>0</v>
      </c>
      <c r="AA47" s="34">
        <f t="shared" si="45"/>
        <v>0</v>
      </c>
      <c r="AB47" s="34">
        <f t="shared" si="45"/>
        <v>0</v>
      </c>
      <c r="AC47" s="34">
        <f t="shared" si="45"/>
        <v>0</v>
      </c>
    </row>
    <row r="48">
      <c r="A48" s="11" t="s">
        <v>65</v>
      </c>
      <c r="B48" s="12" t="s">
        <v>84</v>
      </c>
      <c r="C48" s="13">
        <v>0.0</v>
      </c>
      <c r="D48" s="28">
        <f t="shared" ref="D48:D51" si="46">SUM((K48*H48)/60)</f>
        <v>16.2</v>
      </c>
      <c r="E48" s="13">
        <v>0.0</v>
      </c>
      <c r="F48" s="13">
        <v>99.0</v>
      </c>
      <c r="G48" s="13">
        <v>4.0</v>
      </c>
      <c r="H48" s="13">
        <v>108.0</v>
      </c>
      <c r="I48" s="30">
        <f t="shared" ref="I48:I51" si="47">F48-H48</f>
        <v>-9</v>
      </c>
      <c r="J48" s="32">
        <f t="shared" ref="J48:J51" si="48">F48/H48</f>
        <v>0.9166666667</v>
      </c>
      <c r="K48" s="13">
        <v>9.0</v>
      </c>
      <c r="L48" s="13">
        <v>145.0</v>
      </c>
      <c r="M48" s="13">
        <v>1.0</v>
      </c>
      <c r="N48" s="33">
        <f t="shared" ref="N48:N51" si="49">SUM(M48*D48)</f>
        <v>16.2</v>
      </c>
      <c r="O48" s="13">
        <v>11.0</v>
      </c>
      <c r="P48" s="13">
        <v>3.0</v>
      </c>
      <c r="Q48" s="13">
        <v>1.0</v>
      </c>
      <c r="R48" s="13">
        <v>0.0</v>
      </c>
      <c r="S48" s="13">
        <v>0.0</v>
      </c>
      <c r="T48" s="13">
        <v>0.0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</row>
    <row r="49">
      <c r="A49" s="11" t="s">
        <v>65</v>
      </c>
      <c r="B49" s="12" t="s">
        <v>85</v>
      </c>
      <c r="C49" s="13">
        <v>0.0</v>
      </c>
      <c r="D49" s="28">
        <f t="shared" si="46"/>
        <v>19.66666667</v>
      </c>
      <c r="E49" s="13">
        <v>0.0</v>
      </c>
      <c r="F49" s="13">
        <v>78.0</v>
      </c>
      <c r="G49" s="13">
        <v>3.0</v>
      </c>
      <c r="H49" s="13">
        <v>59.0</v>
      </c>
      <c r="I49" s="30">
        <f t="shared" si="47"/>
        <v>19</v>
      </c>
      <c r="J49" s="32">
        <f t="shared" si="48"/>
        <v>1.322033898</v>
      </c>
      <c r="K49" s="13">
        <v>20.0</v>
      </c>
      <c r="L49" s="13">
        <v>121.0</v>
      </c>
      <c r="M49" s="13">
        <v>1.0</v>
      </c>
      <c r="N49" s="33">
        <f t="shared" si="49"/>
        <v>19.66666667</v>
      </c>
      <c r="O49" s="13">
        <v>10.0</v>
      </c>
      <c r="P49" s="13">
        <v>2.0</v>
      </c>
      <c r="Q49" s="13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13">
        <v>0.0</v>
      </c>
      <c r="Y49" s="13">
        <v>0.0</v>
      </c>
      <c r="Z49" s="13">
        <v>0.0</v>
      </c>
      <c r="AA49" s="13">
        <v>0.0</v>
      </c>
      <c r="AB49" s="13">
        <v>0.0</v>
      </c>
      <c r="AC49" s="13">
        <v>0.0</v>
      </c>
    </row>
    <row r="50">
      <c r="A50" s="11" t="s">
        <v>65</v>
      </c>
      <c r="B50" s="12" t="s">
        <v>86</v>
      </c>
      <c r="C50" s="13">
        <v>0.0</v>
      </c>
      <c r="D50" s="28">
        <f t="shared" si="46"/>
        <v>18.9</v>
      </c>
      <c r="E50" s="13">
        <v>1.0</v>
      </c>
      <c r="F50" s="13">
        <v>37.0</v>
      </c>
      <c r="G50" s="13">
        <v>1.0</v>
      </c>
      <c r="H50" s="13">
        <v>63.0</v>
      </c>
      <c r="I50" s="30">
        <f t="shared" si="47"/>
        <v>-26</v>
      </c>
      <c r="J50" s="32">
        <f t="shared" si="48"/>
        <v>0.5873015873</v>
      </c>
      <c r="K50" s="13">
        <v>18.0</v>
      </c>
      <c r="L50" s="13">
        <v>59.0</v>
      </c>
      <c r="M50" s="13">
        <v>1.0</v>
      </c>
      <c r="N50" s="33">
        <f t="shared" si="49"/>
        <v>18.9</v>
      </c>
      <c r="O50" s="13">
        <v>3.0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</row>
    <row r="51">
      <c r="A51" s="11" t="s">
        <v>65</v>
      </c>
      <c r="B51" s="12" t="s">
        <v>87</v>
      </c>
      <c r="C51" s="13">
        <v>0.0</v>
      </c>
      <c r="D51" s="28">
        <f t="shared" si="46"/>
        <v>16.95</v>
      </c>
      <c r="E51" s="13">
        <v>0.0</v>
      </c>
      <c r="F51" s="13">
        <v>102.0</v>
      </c>
      <c r="G51" s="13">
        <v>8.0</v>
      </c>
      <c r="H51" s="13">
        <v>113.0</v>
      </c>
      <c r="I51" s="30">
        <f t="shared" si="47"/>
        <v>-11</v>
      </c>
      <c r="J51" s="32">
        <f t="shared" si="48"/>
        <v>0.9026548673</v>
      </c>
      <c r="K51" s="13">
        <v>9.0</v>
      </c>
      <c r="L51" s="13">
        <v>160.0</v>
      </c>
      <c r="M51" s="13">
        <v>1.0</v>
      </c>
      <c r="N51" s="33">
        <f t="shared" si="49"/>
        <v>16.95</v>
      </c>
      <c r="O51" s="13">
        <v>15.0</v>
      </c>
      <c r="P51" s="13">
        <v>4.0</v>
      </c>
      <c r="Q51" s="13">
        <v>1.0</v>
      </c>
      <c r="R51" s="13">
        <v>0.0</v>
      </c>
      <c r="S51" s="13">
        <v>1.0</v>
      </c>
      <c r="T51" s="13">
        <v>0.0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13">
        <v>0.0</v>
      </c>
      <c r="AA51" s="13">
        <v>0.0</v>
      </c>
      <c r="AB51" s="13">
        <v>0.0</v>
      </c>
      <c r="AC51" s="13">
        <v>0.0</v>
      </c>
    </row>
    <row r="52">
      <c r="A52" s="34" t="s">
        <v>49</v>
      </c>
      <c r="B52" s="34"/>
      <c r="C52" s="34">
        <f>SUM(C48:C51)</f>
        <v>0</v>
      </c>
      <c r="D52" s="35">
        <f t="shared" ref="D52:E52" si="50">SUM(D48:D51)/4</f>
        <v>17.92916667</v>
      </c>
      <c r="E52" s="34">
        <f t="shared" si="50"/>
        <v>0.25</v>
      </c>
      <c r="F52" s="34">
        <f t="shared" ref="F52:H52" si="51">SUM(F48:F51)</f>
        <v>316</v>
      </c>
      <c r="G52" s="34">
        <f t="shared" si="51"/>
        <v>16</v>
      </c>
      <c r="H52" s="34">
        <f t="shared" si="51"/>
        <v>343</v>
      </c>
      <c r="I52" s="34">
        <f>SUM(F52-H52)</f>
        <v>-27</v>
      </c>
      <c r="J52" s="36">
        <f>SUM(F52/H52)</f>
        <v>0.9212827988</v>
      </c>
      <c r="K52" s="34">
        <f>SUM(K48:K51)/4</f>
        <v>14</v>
      </c>
      <c r="L52" s="34">
        <f>SUM(L48:L51)</f>
        <v>485</v>
      </c>
      <c r="M52" s="34"/>
      <c r="N52" s="35">
        <f>SUM(N48:N51)/4</f>
        <v>17.92916667</v>
      </c>
      <c r="O52" s="34">
        <f t="shared" ref="O52:AC52" si="52">SUM(O48:O51)</f>
        <v>39</v>
      </c>
      <c r="P52" s="34">
        <f t="shared" si="52"/>
        <v>9</v>
      </c>
      <c r="Q52" s="34">
        <f t="shared" si="52"/>
        <v>2</v>
      </c>
      <c r="R52" s="34">
        <f t="shared" si="52"/>
        <v>0</v>
      </c>
      <c r="S52" s="34">
        <f t="shared" si="52"/>
        <v>1</v>
      </c>
      <c r="T52" s="34">
        <f t="shared" si="52"/>
        <v>0</v>
      </c>
      <c r="U52" s="34">
        <f t="shared" si="52"/>
        <v>0</v>
      </c>
      <c r="V52" s="34">
        <f t="shared" si="52"/>
        <v>0</v>
      </c>
      <c r="W52" s="37">
        <f t="shared" si="52"/>
        <v>0</v>
      </c>
      <c r="X52" s="34">
        <f t="shared" si="52"/>
        <v>0</v>
      </c>
      <c r="Y52" s="34">
        <f t="shared" si="52"/>
        <v>0</v>
      </c>
      <c r="Z52" s="34">
        <f t="shared" si="52"/>
        <v>0</v>
      </c>
      <c r="AA52" s="34">
        <f t="shared" si="52"/>
        <v>0</v>
      </c>
      <c r="AB52" s="37">
        <f t="shared" si="52"/>
        <v>0</v>
      </c>
      <c r="AC52" s="37">
        <f t="shared" si="52"/>
        <v>0</v>
      </c>
    </row>
    <row r="53">
      <c r="A53" s="15" t="s">
        <v>88</v>
      </c>
    </row>
    <row r="54">
      <c r="A54" s="19"/>
      <c r="E54" s="20" t="s">
        <v>33</v>
      </c>
      <c r="K54" s="22" t="s">
        <v>35</v>
      </c>
      <c r="M54" s="23" t="s">
        <v>36</v>
      </c>
      <c r="N54" s="24" t="s">
        <v>36</v>
      </c>
    </row>
    <row r="55">
      <c r="A55" s="4" t="s">
        <v>1</v>
      </c>
      <c r="B55" s="4" t="s">
        <v>2</v>
      </c>
      <c r="C55" s="5" t="s">
        <v>4</v>
      </c>
      <c r="D55" s="6" t="s">
        <v>5</v>
      </c>
      <c r="E55" s="25" t="s">
        <v>37</v>
      </c>
      <c r="F55" s="7" t="s">
        <v>7</v>
      </c>
      <c r="G55" s="7" t="s">
        <v>8</v>
      </c>
      <c r="H55" s="7" t="s">
        <v>9</v>
      </c>
      <c r="I55" s="7" t="s">
        <v>10</v>
      </c>
      <c r="J55" s="7" t="s">
        <v>11</v>
      </c>
      <c r="K55" s="8" t="s">
        <v>12</v>
      </c>
      <c r="L55" s="8" t="s">
        <v>13</v>
      </c>
      <c r="M55" s="9" t="s">
        <v>14</v>
      </c>
      <c r="N55" s="10" t="s">
        <v>5</v>
      </c>
      <c r="O55" s="9" t="s">
        <v>15</v>
      </c>
      <c r="P55" s="9" t="s">
        <v>16</v>
      </c>
      <c r="Q55" s="9" t="s">
        <v>17</v>
      </c>
      <c r="R55" s="9" t="s">
        <v>18</v>
      </c>
      <c r="S55" s="9" t="s">
        <v>19</v>
      </c>
      <c r="T55" s="9" t="s">
        <v>20</v>
      </c>
      <c r="U55" s="9" t="s">
        <v>21</v>
      </c>
      <c r="V55" s="9" t="s">
        <v>22</v>
      </c>
      <c r="W55" s="9" t="s">
        <v>23</v>
      </c>
      <c r="X55" s="9" t="s">
        <v>24</v>
      </c>
      <c r="Y55" s="9" t="s">
        <v>25</v>
      </c>
      <c r="Z55" s="9" t="s">
        <v>26</v>
      </c>
      <c r="AA55" s="9" t="s">
        <v>27</v>
      </c>
      <c r="AB55" s="9" t="s">
        <v>28</v>
      </c>
      <c r="AC55" s="9" t="s">
        <v>29</v>
      </c>
    </row>
    <row r="56">
      <c r="A56" s="11" t="s">
        <v>30</v>
      </c>
      <c r="B56" s="12" t="s">
        <v>89</v>
      </c>
      <c r="C56" s="13">
        <v>1.0</v>
      </c>
      <c r="D56" s="28">
        <v>27.4</v>
      </c>
      <c r="E56" s="13">
        <v>0.0</v>
      </c>
      <c r="F56" s="13">
        <v>106.0</v>
      </c>
      <c r="G56" s="13">
        <v>7.0</v>
      </c>
      <c r="H56" s="13">
        <v>120.0</v>
      </c>
      <c r="I56" s="30">
        <f t="shared" ref="I56:I59" si="53">F56-H56</f>
        <v>-14</v>
      </c>
      <c r="J56" s="32">
        <f t="shared" ref="J56:J59" si="54">F56/H56</f>
        <v>0.8833333333</v>
      </c>
      <c r="K56" s="13">
        <v>10.0</v>
      </c>
      <c r="L56" s="13">
        <v>152.0</v>
      </c>
      <c r="M56" s="13">
        <v>1.0</v>
      </c>
      <c r="N56" s="33">
        <f t="shared" ref="N56:N59" si="55">SUM(M56*D56)</f>
        <v>27.4</v>
      </c>
      <c r="O56" s="13">
        <v>15.0</v>
      </c>
      <c r="P56" s="13">
        <v>2.0</v>
      </c>
      <c r="Q56" s="13">
        <v>1.0</v>
      </c>
      <c r="R56" s="13">
        <v>0.0</v>
      </c>
      <c r="S56" s="13">
        <v>0.0</v>
      </c>
      <c r="T56" s="13">
        <v>0.0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0.0</v>
      </c>
    </row>
    <row r="57">
      <c r="A57" s="11" t="s">
        <v>30</v>
      </c>
      <c r="B57" s="12" t="s">
        <v>51</v>
      </c>
      <c r="C57" s="13">
        <v>1.0</v>
      </c>
      <c r="D57" s="28">
        <v>27.4</v>
      </c>
      <c r="E57" s="13">
        <v>0.0</v>
      </c>
      <c r="F57" s="13">
        <v>106.0</v>
      </c>
      <c r="G57" s="13">
        <v>13.0</v>
      </c>
      <c r="H57" s="13">
        <v>105.0</v>
      </c>
      <c r="I57" s="30">
        <f t="shared" si="53"/>
        <v>1</v>
      </c>
      <c r="J57" s="32">
        <f t="shared" si="54"/>
        <v>1.00952381</v>
      </c>
      <c r="K57" s="13">
        <v>12.0</v>
      </c>
      <c r="L57" s="13">
        <v>188.0</v>
      </c>
      <c r="M57" s="13">
        <v>1.0</v>
      </c>
      <c r="N57" s="33">
        <f t="shared" si="55"/>
        <v>27.4</v>
      </c>
      <c r="O57" s="13">
        <v>18.0</v>
      </c>
      <c r="P57" s="13">
        <v>6.0</v>
      </c>
      <c r="Q57" s="13">
        <v>0.0</v>
      </c>
      <c r="R57" s="13">
        <v>0.0</v>
      </c>
      <c r="S57" s="13">
        <v>3.0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</row>
    <row r="58">
      <c r="A58" s="11" t="s">
        <v>30</v>
      </c>
      <c r="B58" s="12" t="s">
        <v>63</v>
      </c>
      <c r="C58" s="13">
        <v>1.0</v>
      </c>
      <c r="D58" s="28">
        <v>27.4</v>
      </c>
      <c r="E58" s="13">
        <v>0.0</v>
      </c>
      <c r="F58" s="13">
        <v>115.0</v>
      </c>
      <c r="G58" s="13">
        <v>10.0</v>
      </c>
      <c r="H58" s="13">
        <v>125.0</v>
      </c>
      <c r="I58" s="30">
        <f t="shared" si="53"/>
        <v>-10</v>
      </c>
      <c r="J58" s="32">
        <f t="shared" si="54"/>
        <v>0.92</v>
      </c>
      <c r="K58" s="13">
        <v>10.0</v>
      </c>
      <c r="L58" s="13">
        <v>176.0</v>
      </c>
      <c r="M58" s="13">
        <v>1.0</v>
      </c>
      <c r="N58" s="33">
        <f t="shared" si="55"/>
        <v>27.4</v>
      </c>
      <c r="O58" s="13">
        <v>14.0</v>
      </c>
      <c r="P58" s="13">
        <v>4.0</v>
      </c>
      <c r="Q58" s="13">
        <v>0.0</v>
      </c>
      <c r="R58" s="13">
        <v>0.0</v>
      </c>
      <c r="S58" s="13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</row>
    <row r="59">
      <c r="A59" s="11" t="s">
        <v>30</v>
      </c>
      <c r="B59" s="12" t="s">
        <v>77</v>
      </c>
      <c r="C59" s="13">
        <v>1.0</v>
      </c>
      <c r="D59" s="28">
        <v>27.4</v>
      </c>
      <c r="E59" s="13">
        <v>5.0</v>
      </c>
      <c r="F59" s="13">
        <v>86.0</v>
      </c>
      <c r="G59" s="13">
        <v>1.0</v>
      </c>
      <c r="H59" s="13">
        <v>65.0</v>
      </c>
      <c r="I59" s="30">
        <f t="shared" si="53"/>
        <v>21</v>
      </c>
      <c r="J59" s="32">
        <f t="shared" si="54"/>
        <v>1.323076923</v>
      </c>
      <c r="K59" s="13">
        <v>22.0</v>
      </c>
      <c r="L59" s="13">
        <v>147.0</v>
      </c>
      <c r="M59" s="13">
        <v>1.0</v>
      </c>
      <c r="N59" s="33">
        <f t="shared" si="55"/>
        <v>27.4</v>
      </c>
      <c r="O59" s="13">
        <v>6.0</v>
      </c>
      <c r="P59" s="13">
        <v>2.0</v>
      </c>
      <c r="Q59" s="13">
        <v>0.0</v>
      </c>
      <c r="R59" s="13">
        <v>0.0</v>
      </c>
      <c r="S59" s="13">
        <v>3.0</v>
      </c>
      <c r="T59" s="13">
        <v>1.0</v>
      </c>
      <c r="U59" s="13">
        <v>0.0</v>
      </c>
      <c r="V59" s="13">
        <v>0.0</v>
      </c>
      <c r="W59" s="13">
        <v>1.0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</row>
    <row r="60">
      <c r="A60" s="34"/>
      <c r="B60" s="34"/>
      <c r="C60" s="34">
        <f t="shared" ref="C60:D60" si="56">SUM(C56:C59)/4</f>
        <v>1</v>
      </c>
      <c r="D60" s="35">
        <f t="shared" si="56"/>
        <v>27.4</v>
      </c>
      <c r="E60" s="34">
        <f t="shared" ref="E60:H60" si="57">SUM(E56:E59)</f>
        <v>5</v>
      </c>
      <c r="F60" s="34">
        <f t="shared" si="57"/>
        <v>413</v>
      </c>
      <c r="G60" s="34">
        <f t="shared" si="57"/>
        <v>31</v>
      </c>
      <c r="H60" s="34">
        <f t="shared" si="57"/>
        <v>415</v>
      </c>
      <c r="I60" s="34">
        <f>SUM(F60-H60)</f>
        <v>-2</v>
      </c>
      <c r="J60" s="36">
        <f>SUM(F60/H60)</f>
        <v>0.9951807229</v>
      </c>
      <c r="K60" s="34">
        <f>SUM(K56:K59)/4</f>
        <v>13.5</v>
      </c>
      <c r="L60" s="34">
        <f>SUM(L56:L59)</f>
        <v>663</v>
      </c>
      <c r="M60" s="34"/>
      <c r="N60" s="35">
        <f>SUM(N56:N59)/4</f>
        <v>27.4</v>
      </c>
      <c r="O60" s="34">
        <f t="shared" ref="O60:AC60" si="58">SUM(O56:O59)</f>
        <v>53</v>
      </c>
      <c r="P60" s="34">
        <f t="shared" si="58"/>
        <v>14</v>
      </c>
      <c r="Q60" s="34">
        <f t="shared" si="58"/>
        <v>1</v>
      </c>
      <c r="R60" s="34">
        <f t="shared" si="58"/>
        <v>0</v>
      </c>
      <c r="S60" s="34">
        <f t="shared" si="58"/>
        <v>6</v>
      </c>
      <c r="T60" s="34">
        <f t="shared" si="58"/>
        <v>1</v>
      </c>
      <c r="U60" s="34">
        <f t="shared" si="58"/>
        <v>0</v>
      </c>
      <c r="V60" s="34">
        <f t="shared" si="58"/>
        <v>0</v>
      </c>
      <c r="W60" s="34">
        <f t="shared" si="58"/>
        <v>1</v>
      </c>
      <c r="X60" s="34">
        <f t="shared" si="58"/>
        <v>0</v>
      </c>
      <c r="Y60" s="34">
        <f t="shared" si="58"/>
        <v>0</v>
      </c>
      <c r="Z60" s="34">
        <f t="shared" si="58"/>
        <v>0</v>
      </c>
      <c r="AA60" s="34">
        <f t="shared" si="58"/>
        <v>0</v>
      </c>
      <c r="AB60" s="34">
        <f t="shared" si="58"/>
        <v>0</v>
      </c>
      <c r="AC60" s="34">
        <f t="shared" si="58"/>
        <v>0</v>
      </c>
    </row>
    <row r="61">
      <c r="A61" s="11" t="s">
        <v>72</v>
      </c>
      <c r="B61" s="12" t="s">
        <v>90</v>
      </c>
      <c r="C61" s="13">
        <v>0.0</v>
      </c>
      <c r="D61" s="28">
        <v>27.4</v>
      </c>
      <c r="E61" s="13">
        <v>3.0</v>
      </c>
      <c r="F61" s="13">
        <v>97.0</v>
      </c>
      <c r="G61" s="13">
        <v>4.0</v>
      </c>
      <c r="H61" s="13">
        <v>97.0</v>
      </c>
      <c r="I61" s="30">
        <f t="shared" ref="I61:I64" si="59">F61-H61</f>
        <v>0</v>
      </c>
      <c r="J61" s="32">
        <f t="shared" ref="J61:J64" si="60">F61/H61</f>
        <v>1</v>
      </c>
      <c r="K61" s="13">
        <v>13.0</v>
      </c>
      <c r="L61" s="13">
        <v>165.0</v>
      </c>
      <c r="M61" s="13">
        <v>1.0</v>
      </c>
      <c r="N61" s="33">
        <f t="shared" ref="N61:N64" si="61">SUM(M61*D61)</f>
        <v>27.4</v>
      </c>
      <c r="O61" s="13">
        <v>19.0</v>
      </c>
      <c r="P61" s="13">
        <v>2.0</v>
      </c>
      <c r="Q61" s="13">
        <v>0.0</v>
      </c>
      <c r="R61" s="13">
        <v>0.0</v>
      </c>
      <c r="S61" s="13">
        <v>2.0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</row>
    <row r="62">
      <c r="A62" s="11" t="s">
        <v>72</v>
      </c>
      <c r="B62" s="12" t="s">
        <v>91</v>
      </c>
      <c r="C62" s="13">
        <v>0.0</v>
      </c>
      <c r="D62" s="28">
        <v>27.4</v>
      </c>
      <c r="E62" s="13">
        <v>0.0</v>
      </c>
      <c r="F62" s="13">
        <v>121.0</v>
      </c>
      <c r="G62" s="13">
        <v>12.0</v>
      </c>
      <c r="H62" s="13">
        <v>107.0</v>
      </c>
      <c r="I62" s="30">
        <f t="shared" si="59"/>
        <v>14</v>
      </c>
      <c r="J62" s="32">
        <f t="shared" si="60"/>
        <v>1.130841121</v>
      </c>
      <c r="K62" s="13">
        <v>12.0</v>
      </c>
      <c r="L62" s="13">
        <v>204.0</v>
      </c>
      <c r="M62" s="13">
        <v>1.0</v>
      </c>
      <c r="N62" s="33">
        <f t="shared" si="61"/>
        <v>27.4</v>
      </c>
      <c r="O62" s="13">
        <v>22.0</v>
      </c>
      <c r="P62" s="13">
        <v>3.0</v>
      </c>
      <c r="Q62" s="13">
        <v>1.0</v>
      </c>
      <c r="R62" s="13">
        <v>0.0</v>
      </c>
      <c r="S62" s="13">
        <v>3.0</v>
      </c>
      <c r="T62" s="13">
        <v>0.0</v>
      </c>
      <c r="U62" s="13">
        <v>0.0</v>
      </c>
      <c r="V62" s="13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0.0</v>
      </c>
    </row>
    <row r="63">
      <c r="A63" s="11" t="s">
        <v>72</v>
      </c>
      <c r="B63" s="12" t="s">
        <v>92</v>
      </c>
      <c r="C63" s="13">
        <v>0.0</v>
      </c>
      <c r="D63" s="28">
        <v>27.4</v>
      </c>
      <c r="E63" s="13">
        <v>1.0</v>
      </c>
      <c r="F63" s="13">
        <v>85.0</v>
      </c>
      <c r="G63" s="13">
        <v>9.0</v>
      </c>
      <c r="H63" s="13">
        <v>102.0</v>
      </c>
      <c r="I63" s="30">
        <f t="shared" si="59"/>
        <v>-17</v>
      </c>
      <c r="J63" s="32">
        <f t="shared" si="60"/>
        <v>0.8333333333</v>
      </c>
      <c r="K63" s="13">
        <v>13.0</v>
      </c>
      <c r="L63" s="13">
        <v>128.0</v>
      </c>
      <c r="M63" s="13">
        <v>1.0</v>
      </c>
      <c r="N63" s="33">
        <f t="shared" si="61"/>
        <v>27.4</v>
      </c>
      <c r="O63" s="13">
        <v>8.0</v>
      </c>
      <c r="P63" s="13">
        <v>1.0</v>
      </c>
      <c r="Q63" s="13">
        <v>1.0</v>
      </c>
      <c r="R63" s="13">
        <v>0.0</v>
      </c>
      <c r="S63" s="13">
        <v>1.0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</row>
    <row r="64">
      <c r="A64" s="11" t="s">
        <v>72</v>
      </c>
      <c r="B64" s="12" t="s">
        <v>93</v>
      </c>
      <c r="C64" s="13">
        <v>0.0</v>
      </c>
      <c r="D64" s="28">
        <v>27.4</v>
      </c>
      <c r="E64" s="13">
        <v>0.0</v>
      </c>
      <c r="F64" s="13">
        <v>90.0</v>
      </c>
      <c r="G64" s="13">
        <v>9.0</v>
      </c>
      <c r="H64" s="13">
        <v>120.0</v>
      </c>
      <c r="I64" s="30">
        <f t="shared" si="59"/>
        <v>-30</v>
      </c>
      <c r="J64" s="32">
        <f t="shared" si="60"/>
        <v>0.75</v>
      </c>
      <c r="K64" s="13">
        <v>10.0</v>
      </c>
      <c r="L64" s="13">
        <v>135.0</v>
      </c>
      <c r="M64" s="13">
        <v>1.0</v>
      </c>
      <c r="N64" s="33">
        <f t="shared" si="61"/>
        <v>27.4</v>
      </c>
      <c r="O64" s="13">
        <v>9.0</v>
      </c>
      <c r="P64" s="13">
        <v>1.0</v>
      </c>
      <c r="Q64" s="13">
        <v>0.0</v>
      </c>
      <c r="R64" s="13">
        <v>0.0</v>
      </c>
      <c r="S64" s="13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</row>
    <row r="65">
      <c r="A65" s="34" t="s">
        <v>49</v>
      </c>
      <c r="B65" s="34"/>
      <c r="C65" s="34">
        <f>SUM(C61:C64)</f>
        <v>0</v>
      </c>
      <c r="D65" s="35">
        <f t="shared" ref="D65:E65" si="62">SUM(D61:D64)/4</f>
        <v>27.4</v>
      </c>
      <c r="E65" s="34">
        <f t="shared" si="62"/>
        <v>1</v>
      </c>
      <c r="F65" s="34">
        <f t="shared" ref="F65:H65" si="63">SUM(F61:F64)</f>
        <v>393</v>
      </c>
      <c r="G65" s="34">
        <f t="shared" si="63"/>
        <v>34</v>
      </c>
      <c r="H65" s="34">
        <f t="shared" si="63"/>
        <v>426</v>
      </c>
      <c r="I65" s="34">
        <f>SUM(F65-H65)</f>
        <v>-33</v>
      </c>
      <c r="J65" s="36">
        <f>SUM(F65/H65)</f>
        <v>0.9225352113</v>
      </c>
      <c r="K65" s="34">
        <f>SUM(K61:K64)/4</f>
        <v>12</v>
      </c>
      <c r="L65" s="34">
        <f>SUM(L61:L64)</f>
        <v>632</v>
      </c>
      <c r="M65" s="34"/>
      <c r="N65" s="35">
        <f>SUM(N61:N64)/4</f>
        <v>27.4</v>
      </c>
      <c r="O65" s="34">
        <f t="shared" ref="O65:AC65" si="64">SUM(O61:O64)</f>
        <v>58</v>
      </c>
      <c r="P65" s="34">
        <f t="shared" si="64"/>
        <v>7</v>
      </c>
      <c r="Q65" s="34">
        <f t="shared" si="64"/>
        <v>2</v>
      </c>
      <c r="R65" s="34">
        <f t="shared" si="64"/>
        <v>0</v>
      </c>
      <c r="S65" s="34">
        <f t="shared" si="64"/>
        <v>6</v>
      </c>
      <c r="T65" s="34">
        <f t="shared" si="64"/>
        <v>0</v>
      </c>
      <c r="U65" s="34">
        <f t="shared" si="64"/>
        <v>0</v>
      </c>
      <c r="V65" s="34">
        <f t="shared" si="64"/>
        <v>0</v>
      </c>
      <c r="W65" s="37">
        <f t="shared" si="64"/>
        <v>0</v>
      </c>
      <c r="X65" s="34">
        <f t="shared" si="64"/>
        <v>0</v>
      </c>
      <c r="Y65" s="34">
        <f t="shared" si="64"/>
        <v>0</v>
      </c>
      <c r="Z65" s="34">
        <f t="shared" si="64"/>
        <v>0</v>
      </c>
      <c r="AA65" s="34">
        <f t="shared" si="64"/>
        <v>0</v>
      </c>
      <c r="AB65" s="37">
        <f t="shared" si="64"/>
        <v>0</v>
      </c>
      <c r="AC65" s="37">
        <f t="shared" si="64"/>
        <v>0</v>
      </c>
    </row>
    <row r="66">
      <c r="A66" s="15" t="s">
        <v>94</v>
      </c>
    </row>
    <row r="67">
      <c r="A67" s="19"/>
      <c r="E67" s="20" t="s">
        <v>33</v>
      </c>
      <c r="K67" s="22" t="s">
        <v>35</v>
      </c>
      <c r="M67" s="23" t="s">
        <v>36</v>
      </c>
      <c r="N67" s="24" t="s">
        <v>36</v>
      </c>
    </row>
    <row r="68">
      <c r="A68" s="4" t="s">
        <v>1</v>
      </c>
      <c r="B68" s="4" t="s">
        <v>2</v>
      </c>
      <c r="C68" s="5" t="s">
        <v>4</v>
      </c>
      <c r="D68" s="6" t="s">
        <v>5</v>
      </c>
      <c r="E68" s="25" t="s">
        <v>37</v>
      </c>
      <c r="F68" s="7" t="s">
        <v>7</v>
      </c>
      <c r="G68" s="7" t="s">
        <v>8</v>
      </c>
      <c r="H68" s="7" t="s">
        <v>9</v>
      </c>
      <c r="I68" s="7" t="s">
        <v>10</v>
      </c>
      <c r="J68" s="7" t="s">
        <v>11</v>
      </c>
      <c r="K68" s="8" t="s">
        <v>12</v>
      </c>
      <c r="L68" s="8" t="s">
        <v>13</v>
      </c>
      <c r="M68" s="9" t="s">
        <v>14</v>
      </c>
      <c r="N68" s="10" t="s">
        <v>5</v>
      </c>
      <c r="O68" s="9" t="s">
        <v>15</v>
      </c>
      <c r="P68" s="9" t="s">
        <v>16</v>
      </c>
      <c r="Q68" s="9" t="s">
        <v>17</v>
      </c>
      <c r="R68" s="9" t="s">
        <v>18</v>
      </c>
      <c r="S68" s="9" t="s">
        <v>19</v>
      </c>
      <c r="T68" s="9" t="s">
        <v>20</v>
      </c>
      <c r="U68" s="9" t="s">
        <v>21</v>
      </c>
      <c r="V68" s="9" t="s">
        <v>22</v>
      </c>
      <c r="W68" s="9" t="s">
        <v>23</v>
      </c>
      <c r="X68" s="9" t="s">
        <v>24</v>
      </c>
      <c r="Y68" s="9" t="s">
        <v>25</v>
      </c>
      <c r="Z68" s="9" t="s">
        <v>26</v>
      </c>
      <c r="AA68" s="9" t="s">
        <v>27</v>
      </c>
      <c r="AB68" s="9" t="s">
        <v>28</v>
      </c>
      <c r="AC68" s="9" t="s">
        <v>29</v>
      </c>
    </row>
    <row r="69">
      <c r="A69" s="11" t="s">
        <v>50</v>
      </c>
      <c r="B69" s="12" t="s">
        <v>58</v>
      </c>
      <c r="C69" s="13">
        <v>1.0</v>
      </c>
      <c r="D69" s="28">
        <v>31.8</v>
      </c>
      <c r="E69" s="13">
        <v>3.0</v>
      </c>
      <c r="F69" s="13">
        <v>215.0</v>
      </c>
      <c r="G69" s="13">
        <v>5.0</v>
      </c>
      <c r="H69" s="13">
        <v>158.0</v>
      </c>
      <c r="I69" s="30">
        <f t="shared" ref="I69:I72" si="65">F69-H69</f>
        <v>57</v>
      </c>
      <c r="J69" s="32">
        <f t="shared" ref="J69:J72" si="66">F69/H69</f>
        <v>1.360759494</v>
      </c>
      <c r="K69" s="13">
        <v>12.0</v>
      </c>
      <c r="L69" s="13">
        <v>340.0</v>
      </c>
      <c r="M69" s="13">
        <v>1.0</v>
      </c>
      <c r="N69" s="33">
        <f t="shared" ref="N69:N72" si="67">SUM(M69*D69)</f>
        <v>31.8</v>
      </c>
      <c r="O69" s="13">
        <v>33.0</v>
      </c>
      <c r="P69" s="13">
        <v>6.0</v>
      </c>
      <c r="Q69" s="13">
        <v>2.0</v>
      </c>
      <c r="R69" s="13">
        <v>1.0</v>
      </c>
      <c r="S69" s="13">
        <v>5.0</v>
      </c>
      <c r="T69" s="13">
        <v>1.0</v>
      </c>
      <c r="U69" s="13">
        <v>0.0</v>
      </c>
      <c r="V69" s="13">
        <v>0.0</v>
      </c>
      <c r="W69" s="13">
        <v>1.0</v>
      </c>
      <c r="X69" s="13">
        <v>0.0</v>
      </c>
      <c r="Y69" s="13">
        <v>0.0</v>
      </c>
      <c r="Z69" s="13">
        <v>0.0</v>
      </c>
      <c r="AA69" s="13">
        <v>0.0</v>
      </c>
      <c r="AB69" s="13">
        <v>0.0</v>
      </c>
      <c r="AC69" s="13">
        <v>0.0</v>
      </c>
    </row>
    <row r="70">
      <c r="A70" s="11" t="s">
        <v>50</v>
      </c>
      <c r="B70" s="12" t="s">
        <v>59</v>
      </c>
      <c r="C70" s="13">
        <v>1.0</v>
      </c>
      <c r="D70" s="28">
        <v>31.8</v>
      </c>
      <c r="E70" s="13">
        <v>2.0</v>
      </c>
      <c r="F70" s="13">
        <v>116.0</v>
      </c>
      <c r="G70" s="13">
        <v>10.0</v>
      </c>
      <c r="H70" s="13">
        <v>119.0</v>
      </c>
      <c r="I70" s="30">
        <f t="shared" si="65"/>
        <v>-3</v>
      </c>
      <c r="J70" s="32">
        <f t="shared" si="66"/>
        <v>0.974789916</v>
      </c>
      <c r="K70" s="13">
        <v>17.0</v>
      </c>
      <c r="L70" s="13">
        <v>181.0</v>
      </c>
      <c r="M70" s="13">
        <v>1.0</v>
      </c>
      <c r="N70" s="33">
        <f t="shared" si="67"/>
        <v>31.8</v>
      </c>
      <c r="O70" s="13">
        <v>13.0</v>
      </c>
      <c r="P70" s="13">
        <v>1.0</v>
      </c>
      <c r="Q70" s="13">
        <v>0.0</v>
      </c>
      <c r="R70" s="13">
        <v>0.0</v>
      </c>
      <c r="S70" s="13">
        <v>3.0</v>
      </c>
      <c r="T70" s="13">
        <v>0.0</v>
      </c>
      <c r="U70" s="13">
        <v>0.0</v>
      </c>
      <c r="V70" s="13">
        <v>0.0</v>
      </c>
      <c r="W70" s="13">
        <v>0.0</v>
      </c>
      <c r="X70" s="13">
        <v>0.0</v>
      </c>
      <c r="Y70" s="13">
        <v>0.0</v>
      </c>
      <c r="Z70" s="13">
        <v>0.0</v>
      </c>
      <c r="AA70" s="13">
        <v>0.0</v>
      </c>
      <c r="AB70" s="13">
        <v>0.0</v>
      </c>
      <c r="AC70" s="13">
        <v>0.0</v>
      </c>
    </row>
    <row r="71">
      <c r="A71" s="11" t="s">
        <v>50</v>
      </c>
      <c r="B71" s="12" t="s">
        <v>60</v>
      </c>
      <c r="C71" s="13">
        <v>1.0</v>
      </c>
      <c r="D71" s="28">
        <v>31.8</v>
      </c>
      <c r="E71" s="13">
        <v>0.0</v>
      </c>
      <c r="F71" s="13">
        <v>135.0</v>
      </c>
      <c r="G71" s="13">
        <v>10.0</v>
      </c>
      <c r="H71" s="13">
        <v>173.0</v>
      </c>
      <c r="I71" s="30">
        <f t="shared" si="65"/>
        <v>-38</v>
      </c>
      <c r="J71" s="32">
        <f t="shared" si="66"/>
        <v>0.7803468208</v>
      </c>
      <c r="K71" s="13">
        <v>11.0</v>
      </c>
      <c r="L71" s="13">
        <v>200.0</v>
      </c>
      <c r="M71" s="13">
        <v>1.0</v>
      </c>
      <c r="N71" s="33">
        <f t="shared" si="67"/>
        <v>31.8</v>
      </c>
      <c r="O71" s="13">
        <v>14.0</v>
      </c>
      <c r="P71" s="13">
        <v>2.0</v>
      </c>
      <c r="Q71" s="13">
        <v>1.0</v>
      </c>
      <c r="R71" s="13">
        <v>0.0</v>
      </c>
      <c r="S71" s="13">
        <v>0.0</v>
      </c>
      <c r="T71" s="13">
        <v>0.0</v>
      </c>
      <c r="U71" s="13">
        <v>0.0</v>
      </c>
      <c r="V71" s="13">
        <v>0.0</v>
      </c>
      <c r="W71" s="13">
        <v>0.0</v>
      </c>
      <c r="X71" s="13">
        <v>0.0</v>
      </c>
      <c r="Y71" s="13">
        <v>0.0</v>
      </c>
      <c r="Z71" s="13">
        <v>0.0</v>
      </c>
      <c r="AA71" s="13">
        <v>0.0</v>
      </c>
      <c r="AB71" s="13">
        <v>0.0</v>
      </c>
      <c r="AC71" s="13">
        <v>0.0</v>
      </c>
    </row>
    <row r="72">
      <c r="A72" s="11" t="s">
        <v>50</v>
      </c>
      <c r="B72" s="12" t="s">
        <v>61</v>
      </c>
      <c r="C72" s="13">
        <v>1.0</v>
      </c>
      <c r="D72" s="28">
        <v>31.8</v>
      </c>
      <c r="E72" s="13">
        <v>0.0</v>
      </c>
      <c r="F72" s="13">
        <v>122.0</v>
      </c>
      <c r="G72" s="13">
        <v>7.0</v>
      </c>
      <c r="H72" s="13">
        <v>182.0</v>
      </c>
      <c r="I72" s="30">
        <f t="shared" si="65"/>
        <v>-60</v>
      </c>
      <c r="J72" s="32">
        <f t="shared" si="66"/>
        <v>0.6703296703</v>
      </c>
      <c r="K72" s="13">
        <v>10.0</v>
      </c>
      <c r="L72" s="13">
        <v>191.0</v>
      </c>
      <c r="M72" s="13">
        <v>1.0</v>
      </c>
      <c r="N72" s="33">
        <f t="shared" si="67"/>
        <v>31.8</v>
      </c>
      <c r="O72" s="13">
        <v>19.0</v>
      </c>
      <c r="P72" s="13">
        <v>2.0</v>
      </c>
      <c r="Q72" s="13">
        <v>1.0</v>
      </c>
      <c r="R72" s="13">
        <v>1.0</v>
      </c>
      <c r="S72" s="13">
        <v>1.0</v>
      </c>
      <c r="T72" s="13">
        <v>0.0</v>
      </c>
      <c r="U72" s="13">
        <v>0.0</v>
      </c>
      <c r="V72" s="13">
        <v>0.0</v>
      </c>
      <c r="W72" s="13">
        <v>0.0</v>
      </c>
      <c r="X72" s="13">
        <v>0.0</v>
      </c>
      <c r="Y72" s="13">
        <v>1.0</v>
      </c>
      <c r="Z72" s="13">
        <v>0.0</v>
      </c>
      <c r="AA72" s="13">
        <v>0.0</v>
      </c>
      <c r="AB72" s="13">
        <v>0.0</v>
      </c>
      <c r="AC72" s="13">
        <v>0.0</v>
      </c>
    </row>
    <row r="73">
      <c r="A73" s="34"/>
      <c r="B73" s="34"/>
      <c r="C73" s="34">
        <f t="shared" ref="C73:D73" si="68">SUM(C69:C72)/4</f>
        <v>1</v>
      </c>
      <c r="D73" s="35">
        <f t="shared" si="68"/>
        <v>31.8</v>
      </c>
      <c r="E73" s="34">
        <f t="shared" ref="E73:H73" si="69">SUM(E69:E72)</f>
        <v>5</v>
      </c>
      <c r="F73" s="34">
        <f t="shared" si="69"/>
        <v>588</v>
      </c>
      <c r="G73" s="34">
        <f t="shared" si="69"/>
        <v>32</v>
      </c>
      <c r="H73" s="34">
        <f t="shared" si="69"/>
        <v>632</v>
      </c>
      <c r="I73" s="34">
        <f>SUM(F73-H73)</f>
        <v>-44</v>
      </c>
      <c r="J73" s="36">
        <f>SUM(F73/H73)</f>
        <v>0.9303797468</v>
      </c>
      <c r="K73" s="34">
        <f>SUM(K69:K72)/4</f>
        <v>12.5</v>
      </c>
      <c r="L73" s="34">
        <f>SUM(L69:L72)</f>
        <v>912</v>
      </c>
      <c r="M73" s="34"/>
      <c r="N73" s="35">
        <f>SUM(N69:N72)/4</f>
        <v>31.8</v>
      </c>
      <c r="O73" s="34">
        <f t="shared" ref="O73:AC73" si="70">SUM(O69:O72)</f>
        <v>79</v>
      </c>
      <c r="P73" s="34">
        <f t="shared" si="70"/>
        <v>11</v>
      </c>
      <c r="Q73" s="34">
        <f t="shared" si="70"/>
        <v>4</v>
      </c>
      <c r="R73" s="34">
        <f t="shared" si="70"/>
        <v>2</v>
      </c>
      <c r="S73" s="34">
        <f t="shared" si="70"/>
        <v>9</v>
      </c>
      <c r="T73" s="34">
        <f t="shared" si="70"/>
        <v>1</v>
      </c>
      <c r="U73" s="34">
        <f t="shared" si="70"/>
        <v>0</v>
      </c>
      <c r="V73" s="34">
        <f t="shared" si="70"/>
        <v>0</v>
      </c>
      <c r="W73" s="34">
        <f t="shared" si="70"/>
        <v>1</v>
      </c>
      <c r="X73" s="34">
        <f t="shared" si="70"/>
        <v>0</v>
      </c>
      <c r="Y73" s="34">
        <f t="shared" si="70"/>
        <v>1</v>
      </c>
      <c r="Z73" s="34">
        <f t="shared" si="70"/>
        <v>0</v>
      </c>
      <c r="AA73" s="34">
        <f t="shared" si="70"/>
        <v>0</v>
      </c>
      <c r="AB73" s="34">
        <f t="shared" si="70"/>
        <v>0</v>
      </c>
      <c r="AC73" s="34">
        <f t="shared" si="70"/>
        <v>0</v>
      </c>
    </row>
    <row r="74">
      <c r="A74" s="11" t="s">
        <v>53</v>
      </c>
      <c r="B74" s="12" t="s">
        <v>71</v>
      </c>
      <c r="C74" s="13">
        <v>0.0</v>
      </c>
      <c r="D74" s="28">
        <v>31.8</v>
      </c>
      <c r="E74" s="13">
        <v>0.0</v>
      </c>
      <c r="F74" s="13">
        <v>161.0</v>
      </c>
      <c r="G74" s="13">
        <v>9.0</v>
      </c>
      <c r="H74" s="13">
        <v>164.0</v>
      </c>
      <c r="I74" s="30">
        <f t="shared" ref="I74:I77" si="71">F74-H74</f>
        <v>-3</v>
      </c>
      <c r="J74" s="32">
        <f t="shared" ref="J74:J77" si="72">F74/H74</f>
        <v>0.9817073171</v>
      </c>
      <c r="K74" s="13">
        <v>11.0</v>
      </c>
      <c r="L74" s="13">
        <v>246.0</v>
      </c>
      <c r="M74" s="13">
        <v>1.0</v>
      </c>
      <c r="N74" s="33">
        <f t="shared" ref="N74:N77" si="73">SUM(M74*D74)</f>
        <v>31.8</v>
      </c>
      <c r="O74" s="13">
        <v>25.0</v>
      </c>
      <c r="P74" s="13">
        <v>4.0</v>
      </c>
      <c r="Q74" s="13">
        <v>2.0</v>
      </c>
      <c r="R74" s="13">
        <v>1.0</v>
      </c>
      <c r="S74" s="13">
        <v>3.0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13">
        <v>0.0</v>
      </c>
    </row>
    <row r="75">
      <c r="A75" s="11" t="s">
        <v>53</v>
      </c>
      <c r="B75" s="12" t="s">
        <v>73</v>
      </c>
      <c r="C75" s="13">
        <v>0.0</v>
      </c>
      <c r="D75" s="28">
        <v>31.8</v>
      </c>
      <c r="E75" s="13">
        <v>1.0</v>
      </c>
      <c r="F75" s="13">
        <v>196.0</v>
      </c>
      <c r="G75" s="13">
        <v>13.0</v>
      </c>
      <c r="H75" s="13">
        <v>161.0</v>
      </c>
      <c r="I75" s="30">
        <f t="shared" si="71"/>
        <v>35</v>
      </c>
      <c r="J75" s="32">
        <f t="shared" si="72"/>
        <v>1.217391304</v>
      </c>
      <c r="K75" s="13">
        <v>12.0</v>
      </c>
      <c r="L75" s="13">
        <v>310.0</v>
      </c>
      <c r="M75" s="13">
        <v>1.0</v>
      </c>
      <c r="N75" s="33">
        <f t="shared" si="73"/>
        <v>31.8</v>
      </c>
      <c r="O75" s="13">
        <v>34.0</v>
      </c>
      <c r="P75" s="13">
        <v>7.0</v>
      </c>
      <c r="Q75" s="13">
        <v>1.0</v>
      </c>
      <c r="R75" s="13">
        <v>0.0</v>
      </c>
      <c r="S75" s="13">
        <v>2.0</v>
      </c>
      <c r="T75" s="13">
        <v>0.0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13">
        <v>0.0</v>
      </c>
      <c r="AB75" s="13">
        <v>0.0</v>
      </c>
      <c r="AC75" s="13">
        <v>0.0</v>
      </c>
    </row>
    <row r="76">
      <c r="A76" s="11" t="s">
        <v>53</v>
      </c>
      <c r="B76" s="12" t="s">
        <v>74</v>
      </c>
      <c r="C76" s="13">
        <v>0.0</v>
      </c>
      <c r="D76" s="28">
        <v>31.8</v>
      </c>
      <c r="E76" s="13">
        <v>0.0</v>
      </c>
      <c r="F76" s="13">
        <v>151.0</v>
      </c>
      <c r="G76" s="13">
        <v>14.0</v>
      </c>
      <c r="H76" s="13">
        <v>170.0</v>
      </c>
      <c r="I76" s="30">
        <f t="shared" si="71"/>
        <v>-19</v>
      </c>
      <c r="J76" s="32">
        <f t="shared" si="72"/>
        <v>0.8882352941</v>
      </c>
      <c r="K76" s="13">
        <v>11.0</v>
      </c>
      <c r="L76" s="13">
        <v>249.0</v>
      </c>
      <c r="M76" s="13">
        <v>1.0</v>
      </c>
      <c r="N76" s="33">
        <f t="shared" si="73"/>
        <v>31.8</v>
      </c>
      <c r="O76" s="13">
        <v>28.0</v>
      </c>
      <c r="P76" s="13">
        <v>1.0</v>
      </c>
      <c r="Q76" s="13">
        <v>0.0</v>
      </c>
      <c r="R76" s="13">
        <v>0.0</v>
      </c>
      <c r="S76" s="13">
        <v>0.0</v>
      </c>
      <c r="T76" s="13">
        <v>0.0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</row>
    <row r="77">
      <c r="A77" s="11" t="s">
        <v>53</v>
      </c>
      <c r="B77" s="12" t="s">
        <v>75</v>
      </c>
      <c r="C77" s="13">
        <v>0.0</v>
      </c>
      <c r="D77" s="28">
        <v>31.8</v>
      </c>
      <c r="E77" s="13">
        <v>2.0</v>
      </c>
      <c r="F77" s="13">
        <v>96.0</v>
      </c>
      <c r="G77" s="13">
        <v>2.0</v>
      </c>
      <c r="H77" s="13">
        <v>107.0</v>
      </c>
      <c r="I77" s="30">
        <f t="shared" si="71"/>
        <v>-11</v>
      </c>
      <c r="J77" s="32">
        <f t="shared" si="72"/>
        <v>0.8971962617</v>
      </c>
      <c r="K77" s="13">
        <v>19.0</v>
      </c>
      <c r="L77" s="13">
        <v>148.0</v>
      </c>
      <c r="M77" s="13">
        <v>1.0</v>
      </c>
      <c r="N77" s="33">
        <f t="shared" si="73"/>
        <v>31.8</v>
      </c>
      <c r="O77" s="13">
        <v>11.0</v>
      </c>
      <c r="P77" s="13">
        <v>3.0</v>
      </c>
      <c r="Q77" s="13">
        <v>0.0</v>
      </c>
      <c r="R77" s="13">
        <v>0.0</v>
      </c>
      <c r="S77" s="13">
        <v>1.0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</row>
    <row r="78">
      <c r="A78" s="34" t="s">
        <v>49</v>
      </c>
      <c r="B78" s="34"/>
      <c r="C78" s="34">
        <f>SUM(C74:C77)</f>
        <v>0</v>
      </c>
      <c r="D78" s="35">
        <f t="shared" ref="D78:E78" si="74">SUM(D74:D77)/4</f>
        <v>31.8</v>
      </c>
      <c r="E78" s="34">
        <f t="shared" si="74"/>
        <v>0.75</v>
      </c>
      <c r="F78" s="34">
        <f t="shared" ref="F78:H78" si="75">SUM(F74:F77)</f>
        <v>604</v>
      </c>
      <c r="G78" s="34">
        <f t="shared" si="75"/>
        <v>38</v>
      </c>
      <c r="H78" s="34">
        <f t="shared" si="75"/>
        <v>602</v>
      </c>
      <c r="I78" s="34">
        <f>SUM(F78-H78)</f>
        <v>2</v>
      </c>
      <c r="J78" s="36">
        <f>SUM(F78/H78)</f>
        <v>1.003322259</v>
      </c>
      <c r="K78" s="34">
        <f>SUM(K74:K77)/4</f>
        <v>13.25</v>
      </c>
      <c r="L78" s="34">
        <f>SUM(L74:L77)</f>
        <v>953</v>
      </c>
      <c r="M78" s="34"/>
      <c r="N78" s="35">
        <f>SUM(N74:N77)/4</f>
        <v>31.8</v>
      </c>
      <c r="O78" s="34">
        <f t="shared" ref="O78:AC78" si="76">SUM(O74:O77)</f>
        <v>98</v>
      </c>
      <c r="P78" s="34">
        <f t="shared" si="76"/>
        <v>15</v>
      </c>
      <c r="Q78" s="34">
        <f t="shared" si="76"/>
        <v>3</v>
      </c>
      <c r="R78" s="34">
        <f t="shared" si="76"/>
        <v>1</v>
      </c>
      <c r="S78" s="34">
        <f t="shared" si="76"/>
        <v>6</v>
      </c>
      <c r="T78" s="34">
        <f t="shared" si="76"/>
        <v>0</v>
      </c>
      <c r="U78" s="34">
        <f t="shared" si="76"/>
        <v>0</v>
      </c>
      <c r="V78" s="34">
        <f t="shared" si="76"/>
        <v>0</v>
      </c>
      <c r="W78" s="37">
        <f t="shared" si="76"/>
        <v>0</v>
      </c>
      <c r="X78" s="34">
        <f t="shared" si="76"/>
        <v>0</v>
      </c>
      <c r="Y78" s="34">
        <f t="shared" si="76"/>
        <v>0</v>
      </c>
      <c r="Z78" s="34">
        <f t="shared" si="76"/>
        <v>0</v>
      </c>
      <c r="AA78" s="34">
        <f t="shared" si="76"/>
        <v>0</v>
      </c>
      <c r="AB78" s="37">
        <f t="shared" si="76"/>
        <v>0</v>
      </c>
      <c r="AC78" s="37">
        <f t="shared" si="76"/>
        <v>0</v>
      </c>
    </row>
    <row r="79">
      <c r="A79" s="15" t="s">
        <v>97</v>
      </c>
    </row>
    <row r="80">
      <c r="A80" s="19"/>
      <c r="E80" s="20" t="s">
        <v>33</v>
      </c>
      <c r="K80" s="22" t="s">
        <v>35</v>
      </c>
      <c r="M80" s="23" t="s">
        <v>36</v>
      </c>
      <c r="N80" s="24" t="s">
        <v>36</v>
      </c>
    </row>
    <row r="81">
      <c r="A81" s="4" t="s">
        <v>1</v>
      </c>
      <c r="B81" s="4" t="s">
        <v>2</v>
      </c>
      <c r="C81" s="5" t="s">
        <v>4</v>
      </c>
      <c r="D81" s="6" t="s">
        <v>5</v>
      </c>
      <c r="E81" s="25" t="s">
        <v>37</v>
      </c>
      <c r="F81" s="7" t="s">
        <v>7</v>
      </c>
      <c r="G81" s="7" t="s">
        <v>8</v>
      </c>
      <c r="H81" s="7" t="s">
        <v>9</v>
      </c>
      <c r="I81" s="7" t="s">
        <v>10</v>
      </c>
      <c r="J81" s="7" t="s">
        <v>11</v>
      </c>
      <c r="K81" s="8" t="s">
        <v>12</v>
      </c>
      <c r="L81" s="8" t="s">
        <v>13</v>
      </c>
      <c r="M81" s="9" t="s">
        <v>14</v>
      </c>
      <c r="N81" s="10" t="s">
        <v>5</v>
      </c>
      <c r="O81" s="9" t="s">
        <v>15</v>
      </c>
      <c r="P81" s="9" t="s">
        <v>16</v>
      </c>
      <c r="Q81" s="9" t="s">
        <v>17</v>
      </c>
      <c r="R81" s="9" t="s">
        <v>18</v>
      </c>
      <c r="S81" s="9" t="s">
        <v>19</v>
      </c>
      <c r="T81" s="9" t="s">
        <v>20</v>
      </c>
      <c r="U81" s="9" t="s">
        <v>21</v>
      </c>
      <c r="V81" s="9" t="s">
        <v>22</v>
      </c>
      <c r="W81" s="9" t="s">
        <v>23</v>
      </c>
      <c r="X81" s="9" t="s">
        <v>24</v>
      </c>
      <c r="Y81" s="9" t="s">
        <v>25</v>
      </c>
      <c r="Z81" s="9" t="s">
        <v>26</v>
      </c>
      <c r="AA81" s="9" t="s">
        <v>27</v>
      </c>
      <c r="AB81" s="9" t="s">
        <v>28</v>
      </c>
      <c r="AC81" s="9" t="s">
        <v>29</v>
      </c>
    </row>
    <row r="82">
      <c r="A82" s="11" t="s">
        <v>70</v>
      </c>
      <c r="B82" s="12" t="s">
        <v>99</v>
      </c>
      <c r="C82" s="13">
        <v>1.0</v>
      </c>
      <c r="D82" s="28">
        <v>23.3</v>
      </c>
      <c r="E82" s="13">
        <v>0.0</v>
      </c>
      <c r="F82" s="13">
        <v>116.0</v>
      </c>
      <c r="G82" s="13">
        <v>7.0</v>
      </c>
      <c r="H82" s="13">
        <v>96.0</v>
      </c>
      <c r="I82" s="30">
        <f t="shared" ref="I82:I85" si="77">F82-H82</f>
        <v>20</v>
      </c>
      <c r="J82" s="32">
        <f t="shared" ref="J82:J85" si="78">F82/H82</f>
        <v>1.208333333</v>
      </c>
      <c r="K82" s="13">
        <v>11.0</v>
      </c>
      <c r="L82" s="13">
        <v>199.0</v>
      </c>
      <c r="M82" s="13">
        <v>1.0</v>
      </c>
      <c r="N82" s="33">
        <f t="shared" ref="N82:N85" si="79">SUM(M82*D82)</f>
        <v>23.3</v>
      </c>
      <c r="O82" s="13">
        <v>25.0</v>
      </c>
      <c r="P82" s="13">
        <v>4.0</v>
      </c>
      <c r="Q82" s="13">
        <v>1.0</v>
      </c>
      <c r="R82" s="13">
        <v>0.0</v>
      </c>
      <c r="S82" s="13">
        <v>4.0</v>
      </c>
      <c r="T82" s="13">
        <v>0.0</v>
      </c>
      <c r="U82" s="13">
        <v>0.0</v>
      </c>
      <c r="V82" s="13">
        <v>0.0</v>
      </c>
      <c r="W82" s="13">
        <v>0.0</v>
      </c>
      <c r="X82" s="13">
        <v>0.0</v>
      </c>
      <c r="Y82" s="13">
        <v>0.0</v>
      </c>
      <c r="Z82" s="13">
        <v>0.0</v>
      </c>
      <c r="AA82" s="13">
        <v>0.0</v>
      </c>
      <c r="AB82" s="13">
        <v>0.0</v>
      </c>
      <c r="AC82" s="13">
        <v>0.0</v>
      </c>
    </row>
    <row r="83">
      <c r="A83" s="11" t="s">
        <v>70</v>
      </c>
      <c r="B83" s="12" t="s">
        <v>100</v>
      </c>
      <c r="C83" s="13">
        <v>1.0</v>
      </c>
      <c r="D83" s="28">
        <v>23.3</v>
      </c>
      <c r="E83" s="13">
        <v>0.0</v>
      </c>
      <c r="F83" s="13">
        <v>75.0</v>
      </c>
      <c r="G83" s="13">
        <v>6.0</v>
      </c>
      <c r="H83" s="13">
        <v>63.0</v>
      </c>
      <c r="I83" s="30">
        <f t="shared" si="77"/>
        <v>12</v>
      </c>
      <c r="J83" s="32">
        <f t="shared" si="78"/>
        <v>1.19047619</v>
      </c>
      <c r="K83" s="13">
        <v>19.0</v>
      </c>
      <c r="L83" s="13">
        <v>114.0</v>
      </c>
      <c r="M83" s="13">
        <v>1.0</v>
      </c>
      <c r="N83" s="33">
        <f t="shared" si="79"/>
        <v>23.3</v>
      </c>
      <c r="O83" s="13">
        <v>12.0</v>
      </c>
      <c r="P83" s="13">
        <v>1.0</v>
      </c>
      <c r="Q83" s="13">
        <v>0.0</v>
      </c>
      <c r="R83" s="13">
        <v>0.0</v>
      </c>
      <c r="S83" s="13">
        <v>1.0</v>
      </c>
      <c r="T83" s="13">
        <v>0.0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0.0</v>
      </c>
      <c r="AB83" s="13">
        <v>0.0</v>
      </c>
      <c r="AC83" s="13">
        <v>0.0</v>
      </c>
    </row>
    <row r="84">
      <c r="A84" s="11" t="s">
        <v>70</v>
      </c>
      <c r="B84" s="12" t="s">
        <v>56</v>
      </c>
      <c r="C84" s="13">
        <v>1.0</v>
      </c>
      <c r="D84" s="28">
        <v>23.3</v>
      </c>
      <c r="E84" s="13">
        <v>0.0</v>
      </c>
      <c r="F84" s="13">
        <v>100.0</v>
      </c>
      <c r="G84" s="13">
        <v>5.0</v>
      </c>
      <c r="H84" s="13">
        <v>87.0</v>
      </c>
      <c r="I84" s="30">
        <f t="shared" si="77"/>
        <v>13</v>
      </c>
      <c r="J84" s="32">
        <f t="shared" si="78"/>
        <v>1.149425287</v>
      </c>
      <c r="K84" s="13">
        <v>13.0</v>
      </c>
      <c r="L84" s="13">
        <v>152.0</v>
      </c>
      <c r="M84" s="13">
        <v>1.0</v>
      </c>
      <c r="N84" s="33">
        <f t="shared" si="79"/>
        <v>23.3</v>
      </c>
      <c r="O84" s="13">
        <v>17.0</v>
      </c>
      <c r="P84" s="13">
        <v>4.0</v>
      </c>
      <c r="Q84" s="13">
        <v>0.0</v>
      </c>
      <c r="R84" s="13">
        <v>0.0</v>
      </c>
      <c r="S84" s="13">
        <v>1.0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</row>
    <row r="85">
      <c r="A85" s="11" t="s">
        <v>70</v>
      </c>
      <c r="B85" s="12" t="s">
        <v>101</v>
      </c>
      <c r="C85" s="13">
        <v>1.0</v>
      </c>
      <c r="D85" s="28">
        <v>23.3</v>
      </c>
      <c r="E85" s="13">
        <v>5.0</v>
      </c>
      <c r="F85" s="13">
        <v>55.0</v>
      </c>
      <c r="G85" s="13">
        <v>4.0</v>
      </c>
      <c r="H85" s="13">
        <v>70.0</v>
      </c>
      <c r="I85" s="30">
        <f t="shared" si="77"/>
        <v>-15</v>
      </c>
      <c r="J85" s="32">
        <f t="shared" si="78"/>
        <v>0.7857142857</v>
      </c>
      <c r="K85" s="13">
        <v>16.0</v>
      </c>
      <c r="L85" s="13">
        <v>92.0</v>
      </c>
      <c r="M85" s="13">
        <v>1.0</v>
      </c>
      <c r="N85" s="33">
        <f t="shared" si="79"/>
        <v>23.3</v>
      </c>
      <c r="O85" s="13">
        <v>7.0</v>
      </c>
      <c r="P85" s="13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</row>
    <row r="86">
      <c r="A86" s="34"/>
      <c r="B86" s="34"/>
      <c r="C86" s="34">
        <f t="shared" ref="C86:D86" si="80">SUM(C82:C85)/4</f>
        <v>1</v>
      </c>
      <c r="D86" s="35">
        <f t="shared" si="80"/>
        <v>23.3</v>
      </c>
      <c r="E86" s="34">
        <f t="shared" ref="E86:H86" si="81">SUM(E82:E85)</f>
        <v>5</v>
      </c>
      <c r="F86" s="34">
        <f t="shared" si="81"/>
        <v>346</v>
      </c>
      <c r="G86" s="34">
        <f t="shared" si="81"/>
        <v>22</v>
      </c>
      <c r="H86" s="34">
        <f t="shared" si="81"/>
        <v>316</v>
      </c>
      <c r="I86" s="34">
        <f>SUM(F86-H86)</f>
        <v>30</v>
      </c>
      <c r="J86" s="36">
        <f>SUM(F86/H86)</f>
        <v>1.094936709</v>
      </c>
      <c r="K86" s="34">
        <f>SUM(K82:K85)/4</f>
        <v>14.75</v>
      </c>
      <c r="L86" s="34">
        <f>SUM(L82:L85)</f>
        <v>557</v>
      </c>
      <c r="M86" s="34"/>
      <c r="N86" s="35">
        <f>SUM(N82:N85)/4</f>
        <v>23.3</v>
      </c>
      <c r="O86" s="34">
        <f t="shared" ref="O86:AC86" si="82">SUM(O82:O85)</f>
        <v>61</v>
      </c>
      <c r="P86" s="34">
        <f t="shared" si="82"/>
        <v>9</v>
      </c>
      <c r="Q86" s="34">
        <f t="shared" si="82"/>
        <v>1</v>
      </c>
      <c r="R86" s="34">
        <f t="shared" si="82"/>
        <v>0</v>
      </c>
      <c r="S86" s="34">
        <f t="shared" si="82"/>
        <v>6</v>
      </c>
      <c r="T86" s="34">
        <f t="shared" si="82"/>
        <v>0</v>
      </c>
      <c r="U86" s="34">
        <f t="shared" si="82"/>
        <v>0</v>
      </c>
      <c r="V86" s="34">
        <f t="shared" si="82"/>
        <v>0</v>
      </c>
      <c r="W86" s="34">
        <f t="shared" si="82"/>
        <v>0</v>
      </c>
      <c r="X86" s="34">
        <f t="shared" si="82"/>
        <v>0</v>
      </c>
      <c r="Y86" s="34">
        <f t="shared" si="82"/>
        <v>0</v>
      </c>
      <c r="Z86" s="34">
        <f t="shared" si="82"/>
        <v>0</v>
      </c>
      <c r="AA86" s="34">
        <f t="shared" si="82"/>
        <v>0</v>
      </c>
      <c r="AB86" s="34">
        <f t="shared" si="82"/>
        <v>0</v>
      </c>
      <c r="AC86" s="34">
        <f t="shared" si="82"/>
        <v>0</v>
      </c>
    </row>
    <row r="87">
      <c r="A87" s="11" t="s">
        <v>38</v>
      </c>
      <c r="B87" s="12" t="s">
        <v>39</v>
      </c>
      <c r="C87" s="13">
        <v>0.0</v>
      </c>
      <c r="D87" s="28">
        <v>23.3</v>
      </c>
      <c r="E87" s="13">
        <v>0.0</v>
      </c>
      <c r="F87" s="13">
        <v>68.0</v>
      </c>
      <c r="G87" s="13">
        <v>4.0</v>
      </c>
      <c r="H87" s="13">
        <v>67.0</v>
      </c>
      <c r="I87" s="30">
        <f t="shared" ref="I87:I90" si="83">F87-H87</f>
        <v>1</v>
      </c>
      <c r="J87" s="32">
        <f t="shared" ref="J87:J90" si="84">F87/H87</f>
        <v>1.014925373</v>
      </c>
      <c r="K87" s="13">
        <v>17.0</v>
      </c>
      <c r="L87" s="13">
        <v>103.0</v>
      </c>
      <c r="M87" s="13">
        <v>1.0</v>
      </c>
      <c r="N87" s="33">
        <f t="shared" ref="N87:N90" si="85">SUM(M87*D87)</f>
        <v>23.3</v>
      </c>
      <c r="O87" s="13">
        <v>7.0</v>
      </c>
      <c r="P87" s="13">
        <v>1.0</v>
      </c>
      <c r="Q87" s="13">
        <v>0.0</v>
      </c>
      <c r="R87" s="13">
        <v>0.0</v>
      </c>
      <c r="S87" s="13">
        <v>3.0</v>
      </c>
      <c r="T87" s="13">
        <v>1.0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</row>
    <row r="88">
      <c r="A88" s="11" t="s">
        <v>38</v>
      </c>
      <c r="B88" s="12" t="s">
        <v>40</v>
      </c>
      <c r="C88" s="13">
        <v>0.0</v>
      </c>
      <c r="D88" s="28">
        <v>23.3</v>
      </c>
      <c r="E88" s="13">
        <v>1.0</v>
      </c>
      <c r="F88" s="13">
        <v>90.0</v>
      </c>
      <c r="G88" s="13">
        <v>4.0</v>
      </c>
      <c r="H88" s="13">
        <v>69.0</v>
      </c>
      <c r="I88" s="30">
        <f t="shared" si="83"/>
        <v>21</v>
      </c>
      <c r="J88" s="32">
        <f t="shared" si="84"/>
        <v>1.304347826</v>
      </c>
      <c r="K88" s="13">
        <v>17.0</v>
      </c>
      <c r="L88" s="13">
        <v>144.0</v>
      </c>
      <c r="M88" s="13">
        <v>1.0</v>
      </c>
      <c r="N88" s="33">
        <f t="shared" si="85"/>
        <v>23.3</v>
      </c>
      <c r="O88" s="13">
        <v>17.0</v>
      </c>
      <c r="P88" s="13">
        <v>2.0</v>
      </c>
      <c r="Q88" s="13">
        <v>0.0</v>
      </c>
      <c r="R88" s="13">
        <v>0.0</v>
      </c>
      <c r="S88" s="13">
        <v>2.0</v>
      </c>
      <c r="T88" s="13">
        <v>1.0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</row>
    <row r="89">
      <c r="A89" s="11" t="s">
        <v>38</v>
      </c>
      <c r="B89" s="12" t="s">
        <v>41</v>
      </c>
      <c r="C89" s="13">
        <v>0.0</v>
      </c>
      <c r="D89" s="28">
        <v>23.3</v>
      </c>
      <c r="E89" s="13">
        <v>0.0</v>
      </c>
      <c r="F89" s="13">
        <v>83.0</v>
      </c>
      <c r="G89" s="13">
        <v>10.0</v>
      </c>
      <c r="H89" s="13">
        <v>118.0</v>
      </c>
      <c r="I89" s="30">
        <f t="shared" si="83"/>
        <v>-35</v>
      </c>
      <c r="J89" s="32">
        <f t="shared" si="84"/>
        <v>0.7033898305</v>
      </c>
      <c r="K89" s="13">
        <v>8.0</v>
      </c>
      <c r="L89" s="13">
        <v>130.0</v>
      </c>
      <c r="M89" s="13">
        <v>1.0</v>
      </c>
      <c r="N89" s="33">
        <f t="shared" si="85"/>
        <v>23.3</v>
      </c>
      <c r="O89" s="13">
        <v>14.0</v>
      </c>
      <c r="P89" s="13">
        <v>1.0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</row>
    <row r="90">
      <c r="A90" s="11" t="s">
        <v>38</v>
      </c>
      <c r="B90" s="12" t="s">
        <v>43</v>
      </c>
      <c r="C90" s="13">
        <v>0.0</v>
      </c>
      <c r="D90" s="28">
        <v>23.3</v>
      </c>
      <c r="E90" s="13">
        <v>0.0</v>
      </c>
      <c r="F90" s="13">
        <v>67.0</v>
      </c>
      <c r="G90" s="13">
        <v>2.0</v>
      </c>
      <c r="H90" s="13">
        <v>105.0</v>
      </c>
      <c r="I90" s="30">
        <f t="shared" si="83"/>
        <v>-38</v>
      </c>
      <c r="J90" s="32">
        <f t="shared" si="84"/>
        <v>0.6380952381</v>
      </c>
      <c r="K90" s="13">
        <v>10.0</v>
      </c>
      <c r="L90" s="13">
        <v>92.0</v>
      </c>
      <c r="M90" s="13">
        <v>1.0</v>
      </c>
      <c r="N90" s="33">
        <f t="shared" si="85"/>
        <v>23.3</v>
      </c>
      <c r="O90" s="13">
        <v>8.0</v>
      </c>
      <c r="P90" s="13">
        <v>1.0</v>
      </c>
      <c r="Q90" s="13">
        <v>0.0</v>
      </c>
      <c r="R90" s="13">
        <v>0.0</v>
      </c>
      <c r="S90" s="13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0.0</v>
      </c>
      <c r="AB90" s="13">
        <v>0.0</v>
      </c>
      <c r="AC90" s="13">
        <v>0.0</v>
      </c>
    </row>
    <row r="91">
      <c r="A91" s="34" t="s">
        <v>49</v>
      </c>
      <c r="B91" s="34"/>
      <c r="C91" s="34">
        <f>SUM(C87:C90)</f>
        <v>0</v>
      </c>
      <c r="D91" s="35">
        <f t="shared" ref="D91:E91" si="86">SUM(D87:D90)/4</f>
        <v>23.3</v>
      </c>
      <c r="E91" s="34">
        <f t="shared" si="86"/>
        <v>0.25</v>
      </c>
      <c r="F91" s="34">
        <f t="shared" ref="F91:H91" si="87">SUM(F87:F90)</f>
        <v>308</v>
      </c>
      <c r="G91" s="34">
        <f t="shared" si="87"/>
        <v>20</v>
      </c>
      <c r="H91" s="34">
        <f t="shared" si="87"/>
        <v>359</v>
      </c>
      <c r="I91" s="34">
        <f>SUM(F91-H91)</f>
        <v>-51</v>
      </c>
      <c r="J91" s="36">
        <f>SUM(F91/H91)</f>
        <v>0.8579387187</v>
      </c>
      <c r="K91" s="34">
        <f>SUM(K87:K90)/4</f>
        <v>13</v>
      </c>
      <c r="L91" s="34">
        <f>SUM(L87:L90)</f>
        <v>469</v>
      </c>
      <c r="M91" s="34"/>
      <c r="N91" s="35">
        <f>SUM(N87:N90)/4</f>
        <v>23.3</v>
      </c>
      <c r="O91" s="34">
        <f t="shared" ref="O91:AC91" si="88">SUM(O87:O90)</f>
        <v>46</v>
      </c>
      <c r="P91" s="34">
        <f t="shared" si="88"/>
        <v>5</v>
      </c>
      <c r="Q91" s="34">
        <f t="shared" si="88"/>
        <v>0</v>
      </c>
      <c r="R91" s="34">
        <f t="shared" si="88"/>
        <v>0</v>
      </c>
      <c r="S91" s="34">
        <f t="shared" si="88"/>
        <v>5</v>
      </c>
      <c r="T91" s="34">
        <f t="shared" si="88"/>
        <v>2</v>
      </c>
      <c r="U91" s="34">
        <f t="shared" si="88"/>
        <v>0</v>
      </c>
      <c r="V91" s="34">
        <f t="shared" si="88"/>
        <v>0</v>
      </c>
      <c r="W91" s="37">
        <f t="shared" si="88"/>
        <v>0</v>
      </c>
      <c r="X91" s="34">
        <f t="shared" si="88"/>
        <v>0</v>
      </c>
      <c r="Y91" s="34">
        <f t="shared" si="88"/>
        <v>0</v>
      </c>
      <c r="Z91" s="34">
        <f t="shared" si="88"/>
        <v>0</v>
      </c>
      <c r="AA91" s="34">
        <f t="shared" si="88"/>
        <v>0</v>
      </c>
      <c r="AB91" s="37">
        <f t="shared" si="88"/>
        <v>0</v>
      </c>
      <c r="AC91" s="37">
        <f t="shared" si="88"/>
        <v>0</v>
      </c>
    </row>
    <row r="92">
      <c r="A92" s="15" t="s">
        <v>103</v>
      </c>
    </row>
    <row r="93">
      <c r="A93" s="19"/>
      <c r="E93" s="20" t="s">
        <v>33</v>
      </c>
      <c r="K93" s="22" t="s">
        <v>35</v>
      </c>
      <c r="M93" s="23" t="s">
        <v>36</v>
      </c>
      <c r="N93" s="24" t="s">
        <v>36</v>
      </c>
    </row>
    <row r="94">
      <c r="A94" s="4" t="s">
        <v>1</v>
      </c>
      <c r="B94" s="4" t="s">
        <v>2</v>
      </c>
      <c r="C94" s="5" t="s">
        <v>4</v>
      </c>
      <c r="D94" s="6" t="s">
        <v>5</v>
      </c>
      <c r="E94" s="25" t="s">
        <v>37</v>
      </c>
      <c r="F94" s="7" t="s">
        <v>7</v>
      </c>
      <c r="G94" s="7" t="s">
        <v>8</v>
      </c>
      <c r="H94" s="7" t="s">
        <v>9</v>
      </c>
      <c r="I94" s="7" t="s">
        <v>10</v>
      </c>
      <c r="J94" s="7" t="s">
        <v>11</v>
      </c>
      <c r="K94" s="8" t="s">
        <v>12</v>
      </c>
      <c r="L94" s="8" t="s">
        <v>13</v>
      </c>
      <c r="M94" s="9" t="s">
        <v>14</v>
      </c>
      <c r="N94" s="10" t="s">
        <v>5</v>
      </c>
      <c r="O94" s="9" t="s">
        <v>15</v>
      </c>
      <c r="P94" s="9" t="s">
        <v>16</v>
      </c>
      <c r="Q94" s="9" t="s">
        <v>17</v>
      </c>
      <c r="R94" s="9" t="s">
        <v>18</v>
      </c>
      <c r="S94" s="9" t="s">
        <v>19</v>
      </c>
      <c r="T94" s="9" t="s">
        <v>20</v>
      </c>
      <c r="U94" s="9" t="s">
        <v>21</v>
      </c>
      <c r="V94" s="9" t="s">
        <v>22</v>
      </c>
      <c r="W94" s="9" t="s">
        <v>23</v>
      </c>
      <c r="X94" s="9" t="s">
        <v>24</v>
      </c>
      <c r="Y94" s="9" t="s">
        <v>25</v>
      </c>
      <c r="Z94" s="9" t="s">
        <v>26</v>
      </c>
      <c r="AA94" s="9" t="s">
        <v>27</v>
      </c>
      <c r="AB94" s="9" t="s">
        <v>28</v>
      </c>
      <c r="AC94" s="9" t="s">
        <v>29</v>
      </c>
    </row>
    <row r="95">
      <c r="A95" s="11" t="s">
        <v>42</v>
      </c>
      <c r="B95" s="12" t="s">
        <v>66</v>
      </c>
      <c r="C95" s="13">
        <v>1.0</v>
      </c>
      <c r="D95" s="28">
        <v>18.5</v>
      </c>
      <c r="E95" s="13">
        <v>0.0</v>
      </c>
      <c r="F95" s="13">
        <v>102.0</v>
      </c>
      <c r="G95" s="13">
        <v>8.0</v>
      </c>
      <c r="H95" s="13">
        <v>71.0</v>
      </c>
      <c r="I95" s="30">
        <f t="shared" ref="I95:I98" si="89">F95-H95</f>
        <v>31</v>
      </c>
      <c r="J95" s="32">
        <f t="shared" ref="J95:J98" si="90">F95/H95</f>
        <v>1.436619718</v>
      </c>
      <c r="K95" s="13">
        <v>12.0</v>
      </c>
      <c r="L95" s="13">
        <v>180.0</v>
      </c>
      <c r="M95" s="13">
        <v>1.0</v>
      </c>
      <c r="N95" s="33">
        <f t="shared" ref="N95:N98" si="91">SUM(M95*D95)</f>
        <v>18.5</v>
      </c>
      <c r="O95" s="13">
        <v>19.0</v>
      </c>
      <c r="P95" s="13">
        <v>7.0</v>
      </c>
      <c r="Q95" s="13">
        <v>1.0</v>
      </c>
      <c r="R95" s="13">
        <v>0.0</v>
      </c>
      <c r="S95" s="13">
        <v>2.0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</row>
    <row r="96">
      <c r="A96" s="11" t="s">
        <v>42</v>
      </c>
      <c r="B96" s="12" t="s">
        <v>67</v>
      </c>
      <c r="C96" s="13">
        <v>1.0</v>
      </c>
      <c r="D96" s="28">
        <v>18.5</v>
      </c>
      <c r="E96" s="13">
        <v>4.0</v>
      </c>
      <c r="F96" s="13">
        <v>43.0</v>
      </c>
      <c r="G96" s="13">
        <v>3.0</v>
      </c>
      <c r="H96" s="13">
        <v>45.0</v>
      </c>
      <c r="I96" s="30">
        <f t="shared" si="89"/>
        <v>-2</v>
      </c>
      <c r="J96" s="32">
        <f t="shared" si="90"/>
        <v>0.9555555556</v>
      </c>
      <c r="K96" s="13">
        <v>21.0</v>
      </c>
      <c r="L96" s="13">
        <v>76.0</v>
      </c>
      <c r="M96" s="13">
        <v>1.0</v>
      </c>
      <c r="N96" s="33">
        <f t="shared" si="91"/>
        <v>18.5</v>
      </c>
      <c r="O96" s="13">
        <v>5.0</v>
      </c>
      <c r="P96" s="13">
        <v>2.0</v>
      </c>
      <c r="Q96" s="13">
        <v>0.0</v>
      </c>
      <c r="R96" s="13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</row>
    <row r="97">
      <c r="A97" s="11" t="s">
        <v>42</v>
      </c>
      <c r="B97" s="12" t="s">
        <v>68</v>
      </c>
      <c r="C97" s="13">
        <v>1.0</v>
      </c>
      <c r="D97" s="28">
        <v>18.5</v>
      </c>
      <c r="E97" s="13">
        <v>1.0</v>
      </c>
      <c r="F97" s="13">
        <v>73.0</v>
      </c>
      <c r="G97" s="13">
        <v>5.0</v>
      </c>
      <c r="H97" s="13">
        <v>79.0</v>
      </c>
      <c r="I97" s="30">
        <f t="shared" si="89"/>
        <v>-6</v>
      </c>
      <c r="J97" s="32">
        <f t="shared" si="90"/>
        <v>0.9240506329</v>
      </c>
      <c r="K97" s="13">
        <v>11.0</v>
      </c>
      <c r="L97" s="13">
        <v>115.0</v>
      </c>
      <c r="M97" s="13">
        <v>1.0</v>
      </c>
      <c r="N97" s="33">
        <f t="shared" si="91"/>
        <v>18.5</v>
      </c>
      <c r="O97" s="13">
        <v>11.0</v>
      </c>
      <c r="P97" s="13">
        <v>1.0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</row>
    <row r="98">
      <c r="A98" s="11" t="s">
        <v>42</v>
      </c>
      <c r="B98" s="12" t="s">
        <v>69</v>
      </c>
      <c r="C98" s="13">
        <v>1.0</v>
      </c>
      <c r="D98" s="28">
        <v>18.5</v>
      </c>
      <c r="E98" s="13">
        <v>0.0</v>
      </c>
      <c r="F98" s="13">
        <v>52.0</v>
      </c>
      <c r="G98" s="13">
        <v>4.0</v>
      </c>
      <c r="H98" s="13">
        <v>73.0</v>
      </c>
      <c r="I98" s="30">
        <f t="shared" si="89"/>
        <v>-21</v>
      </c>
      <c r="J98" s="32">
        <f t="shared" si="90"/>
        <v>0.7123287671</v>
      </c>
      <c r="K98" s="13">
        <v>12.0</v>
      </c>
      <c r="L98" s="13">
        <v>95.0</v>
      </c>
      <c r="M98" s="13">
        <v>1.0</v>
      </c>
      <c r="N98" s="33">
        <f t="shared" si="91"/>
        <v>18.5</v>
      </c>
      <c r="O98" s="13">
        <v>7.0</v>
      </c>
      <c r="P98" s="13">
        <v>2.0</v>
      </c>
      <c r="Q98" s="13">
        <v>0.0</v>
      </c>
      <c r="R98" s="13">
        <v>0.0</v>
      </c>
      <c r="S98" s="13">
        <v>0.0</v>
      </c>
      <c r="T98" s="13">
        <v>0.0</v>
      </c>
      <c r="U98" s="13">
        <v>0.0</v>
      </c>
      <c r="V98" s="13">
        <v>0.0</v>
      </c>
      <c r="W98" s="13">
        <v>0.0</v>
      </c>
      <c r="X98" s="13">
        <v>0.0</v>
      </c>
      <c r="Y98" s="13">
        <v>0.0</v>
      </c>
      <c r="Z98" s="13">
        <v>0.0</v>
      </c>
      <c r="AA98" s="13">
        <v>0.0</v>
      </c>
      <c r="AB98" s="13">
        <v>0.0</v>
      </c>
      <c r="AC98" s="13">
        <v>0.0</v>
      </c>
    </row>
    <row r="99">
      <c r="A99" s="34"/>
      <c r="B99" s="34"/>
      <c r="C99" s="34">
        <f t="shared" ref="C99:D99" si="92">SUM(C95:C98)/4</f>
        <v>1</v>
      </c>
      <c r="D99" s="35">
        <f t="shared" si="92"/>
        <v>18.5</v>
      </c>
      <c r="E99" s="34">
        <f t="shared" ref="E99:H99" si="93">SUM(E95:E98)</f>
        <v>5</v>
      </c>
      <c r="F99" s="34">
        <f t="shared" si="93"/>
        <v>270</v>
      </c>
      <c r="G99" s="34">
        <f t="shared" si="93"/>
        <v>20</v>
      </c>
      <c r="H99" s="34">
        <f t="shared" si="93"/>
        <v>268</v>
      </c>
      <c r="I99" s="34">
        <f>SUM(F99-H99)</f>
        <v>2</v>
      </c>
      <c r="J99" s="36">
        <f>SUM(F99/H99)</f>
        <v>1.007462687</v>
      </c>
      <c r="K99" s="34">
        <f>SUM(K95:K98)/4</f>
        <v>14</v>
      </c>
      <c r="L99" s="34">
        <f>SUM(L95:L98)</f>
        <v>466</v>
      </c>
      <c r="M99" s="34"/>
      <c r="N99" s="35">
        <f>SUM(N95:N98)/4</f>
        <v>18.5</v>
      </c>
      <c r="O99" s="34">
        <f t="shared" ref="O99:AC99" si="94">SUM(O95:O98)</f>
        <v>42</v>
      </c>
      <c r="P99" s="34">
        <f t="shared" si="94"/>
        <v>12</v>
      </c>
      <c r="Q99" s="34">
        <f t="shared" si="94"/>
        <v>1</v>
      </c>
      <c r="R99" s="34">
        <f t="shared" si="94"/>
        <v>0</v>
      </c>
      <c r="S99" s="34">
        <f t="shared" si="94"/>
        <v>2</v>
      </c>
      <c r="T99" s="34">
        <f t="shared" si="94"/>
        <v>0</v>
      </c>
      <c r="U99" s="34">
        <f t="shared" si="94"/>
        <v>0</v>
      </c>
      <c r="V99" s="34">
        <f t="shared" si="94"/>
        <v>0</v>
      </c>
      <c r="W99" s="34">
        <f t="shared" si="94"/>
        <v>0</v>
      </c>
      <c r="X99" s="34">
        <f t="shared" si="94"/>
        <v>0</v>
      </c>
      <c r="Y99" s="34">
        <f t="shared" si="94"/>
        <v>0</v>
      </c>
      <c r="Z99" s="34">
        <f t="shared" si="94"/>
        <v>0</v>
      </c>
      <c r="AA99" s="34">
        <f t="shared" si="94"/>
        <v>0</v>
      </c>
      <c r="AB99" s="34">
        <f t="shared" si="94"/>
        <v>0</v>
      </c>
      <c r="AC99" s="34">
        <f t="shared" si="94"/>
        <v>0</v>
      </c>
    </row>
    <row r="100">
      <c r="A100" s="11" t="s">
        <v>44</v>
      </c>
      <c r="B100" s="12" t="s">
        <v>54</v>
      </c>
      <c r="C100" s="13">
        <v>0.0</v>
      </c>
      <c r="D100" s="28">
        <v>18.5</v>
      </c>
      <c r="E100" s="13">
        <v>0.0</v>
      </c>
      <c r="F100" s="13">
        <v>76.0</v>
      </c>
      <c r="G100" s="13">
        <v>0.0</v>
      </c>
      <c r="H100" s="13">
        <v>83.0</v>
      </c>
      <c r="I100" s="30">
        <f t="shared" ref="I100:I103" si="95">F100-H100</f>
        <v>-7</v>
      </c>
      <c r="J100" s="32">
        <f t="shared" ref="J100:J103" si="96">F100/H100</f>
        <v>0.9156626506</v>
      </c>
      <c r="K100" s="13">
        <v>10.0</v>
      </c>
      <c r="L100" s="13">
        <v>100.0</v>
      </c>
      <c r="M100" s="13">
        <v>1.0</v>
      </c>
      <c r="N100" s="33">
        <f t="shared" ref="N100:N103" si="97">SUM(M100*D100)</f>
        <v>18.5</v>
      </c>
      <c r="O100" s="13">
        <v>7.0</v>
      </c>
      <c r="P100" s="13">
        <v>1.0</v>
      </c>
      <c r="Q100" s="13">
        <v>0.0</v>
      </c>
      <c r="R100" s="13">
        <v>0.0</v>
      </c>
      <c r="S100" s="13">
        <v>1.0</v>
      </c>
      <c r="T100" s="13">
        <v>0.0</v>
      </c>
      <c r="U100" s="13">
        <v>0.0</v>
      </c>
      <c r="V100" s="13">
        <v>0.0</v>
      </c>
      <c r="W100" s="13">
        <v>0.0</v>
      </c>
      <c r="X100" s="13">
        <v>0.0</v>
      </c>
      <c r="Y100" s="13">
        <v>0.0</v>
      </c>
      <c r="Z100" s="13">
        <v>0.0</v>
      </c>
      <c r="AA100" s="13">
        <v>0.0</v>
      </c>
      <c r="AB100" s="13">
        <v>0.0</v>
      </c>
      <c r="AC100" s="13">
        <v>0.0</v>
      </c>
    </row>
    <row r="101">
      <c r="A101" s="11" t="s">
        <v>44</v>
      </c>
      <c r="B101" s="12" t="s">
        <v>55</v>
      </c>
      <c r="C101" s="13">
        <v>0.0</v>
      </c>
      <c r="D101" s="28">
        <v>18.5</v>
      </c>
      <c r="E101" s="13">
        <v>1.0</v>
      </c>
      <c r="F101" s="13">
        <v>60.0</v>
      </c>
      <c r="G101" s="13">
        <v>0.0</v>
      </c>
      <c r="H101" s="13">
        <v>62.0</v>
      </c>
      <c r="I101" s="30">
        <f t="shared" si="95"/>
        <v>-2</v>
      </c>
      <c r="J101" s="32">
        <f t="shared" si="96"/>
        <v>0.9677419355</v>
      </c>
      <c r="K101" s="13">
        <v>14.0</v>
      </c>
      <c r="L101" s="13">
        <v>87.0</v>
      </c>
      <c r="M101" s="13">
        <v>1.0</v>
      </c>
      <c r="N101" s="33">
        <f t="shared" si="97"/>
        <v>18.5</v>
      </c>
      <c r="O101" s="13">
        <v>7.0</v>
      </c>
      <c r="P101" s="13">
        <v>2.0</v>
      </c>
      <c r="Q101" s="13">
        <v>0.0</v>
      </c>
      <c r="R101" s="13">
        <v>0.0</v>
      </c>
      <c r="S101" s="13">
        <v>2.0</v>
      </c>
      <c r="T101" s="13">
        <v>0.0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13">
        <v>0.0</v>
      </c>
      <c r="AC101" s="13">
        <v>0.0</v>
      </c>
    </row>
    <row r="102">
      <c r="A102" s="11" t="s">
        <v>44</v>
      </c>
      <c r="B102" s="12" t="s">
        <v>56</v>
      </c>
      <c r="C102" s="13">
        <v>0.0</v>
      </c>
      <c r="D102" s="28">
        <v>18.5</v>
      </c>
      <c r="E102" s="13">
        <v>0.0</v>
      </c>
      <c r="F102" s="13">
        <v>55.0</v>
      </c>
      <c r="G102" s="13">
        <v>7.0</v>
      </c>
      <c r="H102" s="13">
        <v>67.0</v>
      </c>
      <c r="I102" s="30">
        <f t="shared" si="95"/>
        <v>-12</v>
      </c>
      <c r="J102" s="32">
        <f t="shared" si="96"/>
        <v>0.8208955224</v>
      </c>
      <c r="K102" s="13">
        <v>13.0</v>
      </c>
      <c r="L102" s="13">
        <v>91.0</v>
      </c>
      <c r="M102" s="13">
        <v>1.0</v>
      </c>
      <c r="N102" s="33">
        <f t="shared" si="97"/>
        <v>18.5</v>
      </c>
      <c r="O102" s="13">
        <v>7.0</v>
      </c>
      <c r="P102" s="13">
        <v>1.0</v>
      </c>
      <c r="Q102" s="13">
        <v>0.0</v>
      </c>
      <c r="R102" s="13">
        <v>0.0</v>
      </c>
      <c r="S102" s="13">
        <v>0.0</v>
      </c>
      <c r="T102" s="13">
        <v>0.0</v>
      </c>
      <c r="U102" s="13">
        <v>0.0</v>
      </c>
      <c r="V102" s="13">
        <v>0.0</v>
      </c>
      <c r="W102" s="13">
        <v>0.0</v>
      </c>
      <c r="X102" s="13">
        <v>0.0</v>
      </c>
      <c r="Y102" s="13">
        <v>0.0</v>
      </c>
      <c r="Z102" s="13">
        <v>0.0</v>
      </c>
      <c r="AA102" s="13">
        <v>0.0</v>
      </c>
      <c r="AB102" s="13">
        <v>0.0</v>
      </c>
      <c r="AC102" s="13">
        <v>0.0</v>
      </c>
    </row>
    <row r="103">
      <c r="A103" s="11" t="s">
        <v>44</v>
      </c>
      <c r="B103" s="12" t="s">
        <v>57</v>
      </c>
      <c r="C103" s="13">
        <v>0.0</v>
      </c>
      <c r="D103" s="28">
        <v>18.5</v>
      </c>
      <c r="E103" s="13">
        <v>0.0</v>
      </c>
      <c r="F103" s="13">
        <v>59.0</v>
      </c>
      <c r="G103" s="13">
        <v>2.0</v>
      </c>
      <c r="H103" s="13">
        <v>70.0</v>
      </c>
      <c r="I103" s="30">
        <f t="shared" si="95"/>
        <v>-11</v>
      </c>
      <c r="J103" s="32">
        <f t="shared" si="96"/>
        <v>0.8428571429</v>
      </c>
      <c r="K103" s="13">
        <v>12.0</v>
      </c>
      <c r="L103" s="13">
        <v>87.0</v>
      </c>
      <c r="M103" s="13">
        <v>1.0</v>
      </c>
      <c r="N103" s="33">
        <f t="shared" si="97"/>
        <v>18.5</v>
      </c>
      <c r="O103" s="13">
        <v>5.0</v>
      </c>
      <c r="P103" s="13">
        <v>1.0</v>
      </c>
      <c r="Q103" s="13">
        <v>0.0</v>
      </c>
      <c r="R103" s="13">
        <v>0.0</v>
      </c>
      <c r="S103" s="13">
        <v>0.0</v>
      </c>
      <c r="T103" s="13">
        <v>0.0</v>
      </c>
      <c r="U103" s="13">
        <v>0.0</v>
      </c>
      <c r="V103" s="13">
        <v>0.0</v>
      </c>
      <c r="W103" s="13">
        <v>0.0</v>
      </c>
      <c r="X103" s="13">
        <v>0.0</v>
      </c>
      <c r="Y103" s="13">
        <v>0.0</v>
      </c>
      <c r="Z103" s="13">
        <v>0.0</v>
      </c>
      <c r="AA103" s="13">
        <v>0.0</v>
      </c>
      <c r="AB103" s="13">
        <v>0.0</v>
      </c>
      <c r="AC103" s="13">
        <v>0.0</v>
      </c>
    </row>
    <row r="104">
      <c r="A104" s="34" t="s">
        <v>49</v>
      </c>
      <c r="B104" s="34"/>
      <c r="C104" s="34">
        <f>SUM(C100:C103)</f>
        <v>0</v>
      </c>
      <c r="D104" s="35">
        <f t="shared" ref="D104:E104" si="98">SUM(D100:D103)/4</f>
        <v>18.5</v>
      </c>
      <c r="E104" s="34">
        <f t="shared" si="98"/>
        <v>0.25</v>
      </c>
      <c r="F104" s="34">
        <f t="shared" ref="F104:H104" si="99">SUM(F100:F103)</f>
        <v>250</v>
      </c>
      <c r="G104" s="34">
        <f t="shared" si="99"/>
        <v>9</v>
      </c>
      <c r="H104" s="34">
        <f t="shared" si="99"/>
        <v>282</v>
      </c>
      <c r="I104" s="34">
        <f>SUM(F104-H104)</f>
        <v>-32</v>
      </c>
      <c r="J104" s="36">
        <f>SUM(F104/H104)</f>
        <v>0.8865248227</v>
      </c>
      <c r="K104" s="34">
        <f>SUM(K100:K103)/4</f>
        <v>12.25</v>
      </c>
      <c r="L104" s="34">
        <f>SUM(L100:L103)</f>
        <v>365</v>
      </c>
      <c r="M104" s="34"/>
      <c r="N104" s="35">
        <f>SUM(N100:N103)/4</f>
        <v>18.5</v>
      </c>
      <c r="O104" s="34">
        <f t="shared" ref="O104:AC104" si="100">SUM(O100:O103)</f>
        <v>26</v>
      </c>
      <c r="P104" s="34">
        <f t="shared" si="100"/>
        <v>5</v>
      </c>
      <c r="Q104" s="34">
        <f t="shared" si="100"/>
        <v>0</v>
      </c>
      <c r="R104" s="34">
        <f t="shared" si="100"/>
        <v>0</v>
      </c>
      <c r="S104" s="34">
        <f t="shared" si="100"/>
        <v>3</v>
      </c>
      <c r="T104" s="34">
        <f t="shared" si="100"/>
        <v>0</v>
      </c>
      <c r="U104" s="34">
        <f t="shared" si="100"/>
        <v>0</v>
      </c>
      <c r="V104" s="34">
        <f t="shared" si="100"/>
        <v>0</v>
      </c>
      <c r="W104" s="34">
        <f t="shared" si="100"/>
        <v>0</v>
      </c>
      <c r="X104" s="34">
        <f t="shared" si="100"/>
        <v>0</v>
      </c>
      <c r="Y104" s="34">
        <f t="shared" si="100"/>
        <v>0</v>
      </c>
      <c r="Z104" s="34">
        <f t="shared" si="100"/>
        <v>0</v>
      </c>
      <c r="AA104" s="34">
        <f t="shared" si="100"/>
        <v>0</v>
      </c>
      <c r="AB104" s="34">
        <f t="shared" si="100"/>
        <v>0</v>
      </c>
      <c r="AC104" s="37">
        <f t="shared" si="100"/>
        <v>0</v>
      </c>
    </row>
    <row r="105">
      <c r="A105" s="15" t="s">
        <v>104</v>
      </c>
    </row>
    <row r="106">
      <c r="A106" s="19"/>
      <c r="E106" s="20" t="s">
        <v>33</v>
      </c>
      <c r="K106" s="22" t="s">
        <v>35</v>
      </c>
      <c r="M106" s="23" t="s">
        <v>36</v>
      </c>
      <c r="N106" s="24" t="s">
        <v>36</v>
      </c>
    </row>
    <row r="107">
      <c r="A107" s="4" t="s">
        <v>1</v>
      </c>
      <c r="B107" s="4" t="s">
        <v>2</v>
      </c>
      <c r="C107" s="5" t="s">
        <v>4</v>
      </c>
      <c r="D107" s="6" t="s">
        <v>5</v>
      </c>
      <c r="E107" s="25" t="s">
        <v>37</v>
      </c>
      <c r="F107" s="7" t="s">
        <v>7</v>
      </c>
      <c r="G107" s="7" t="s">
        <v>8</v>
      </c>
      <c r="H107" s="7" t="s">
        <v>9</v>
      </c>
      <c r="I107" s="7" t="s">
        <v>10</v>
      </c>
      <c r="J107" s="7" t="s">
        <v>11</v>
      </c>
      <c r="K107" s="8" t="s">
        <v>12</v>
      </c>
      <c r="L107" s="8" t="s">
        <v>13</v>
      </c>
      <c r="M107" s="9" t="s">
        <v>14</v>
      </c>
      <c r="N107" s="10" t="s">
        <v>5</v>
      </c>
      <c r="O107" s="9" t="s">
        <v>15</v>
      </c>
      <c r="P107" s="9" t="s">
        <v>16</v>
      </c>
      <c r="Q107" s="9" t="s">
        <v>17</v>
      </c>
      <c r="R107" s="9" t="s">
        <v>18</v>
      </c>
      <c r="S107" s="9" t="s">
        <v>19</v>
      </c>
      <c r="T107" s="9" t="s">
        <v>20</v>
      </c>
      <c r="U107" s="9" t="s">
        <v>21</v>
      </c>
      <c r="V107" s="9" t="s">
        <v>22</v>
      </c>
      <c r="W107" s="9" t="s">
        <v>23</v>
      </c>
      <c r="X107" s="9" t="s">
        <v>24</v>
      </c>
      <c r="Y107" s="9" t="s">
        <v>25</v>
      </c>
      <c r="Z107" s="9" t="s">
        <v>26</v>
      </c>
      <c r="AA107" s="9" t="s">
        <v>27</v>
      </c>
      <c r="AB107" s="9" t="s">
        <v>28</v>
      </c>
      <c r="AC107" s="9" t="s">
        <v>29</v>
      </c>
    </row>
    <row r="108">
      <c r="A108" s="11"/>
      <c r="B108" s="12"/>
      <c r="C108" s="13"/>
      <c r="D108" s="28">
        <f t="shared" ref="D108:D111" si="101">SUM((K108*H108)/60)</f>
        <v>0</v>
      </c>
      <c r="E108" s="13"/>
      <c r="F108" s="13"/>
      <c r="G108" s="13"/>
      <c r="H108" s="13"/>
      <c r="I108" s="30">
        <f t="shared" ref="I108:I111" si="102">F108-H108</f>
        <v>0</v>
      </c>
      <c r="J108" s="32" t="str">
        <f t="shared" ref="J108:J111" si="103">F108/H108</f>
        <v>#DIV/0!</v>
      </c>
      <c r="K108" s="13"/>
      <c r="L108" s="13"/>
      <c r="M108" s="13"/>
      <c r="N108" s="33">
        <f t="shared" ref="N108:N111" si="104">SUM(M108*D108)</f>
        <v>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3">
        <v>0.0</v>
      </c>
      <c r="U108" s="13">
        <v>0.0</v>
      </c>
      <c r="V108" s="13">
        <v>0.0</v>
      </c>
      <c r="W108" s="13">
        <v>0.0</v>
      </c>
      <c r="X108" s="13">
        <v>0.0</v>
      </c>
      <c r="Y108" s="13">
        <v>0.0</v>
      </c>
      <c r="Z108" s="13">
        <v>0.0</v>
      </c>
      <c r="AA108" s="13">
        <v>0.0</v>
      </c>
      <c r="AB108" s="13">
        <v>0.0</v>
      </c>
      <c r="AC108" s="13">
        <v>0.0</v>
      </c>
    </row>
    <row r="109">
      <c r="A109" s="11"/>
      <c r="B109" s="12"/>
      <c r="C109" s="13"/>
      <c r="D109" s="28">
        <f t="shared" si="101"/>
        <v>0</v>
      </c>
      <c r="E109" s="13"/>
      <c r="F109" s="13"/>
      <c r="G109" s="13"/>
      <c r="H109" s="13"/>
      <c r="I109" s="30">
        <f t="shared" si="102"/>
        <v>0</v>
      </c>
      <c r="J109" s="32" t="str">
        <f t="shared" si="103"/>
        <v>#DIV/0!</v>
      </c>
      <c r="K109" s="13"/>
      <c r="L109" s="13"/>
      <c r="M109" s="13"/>
      <c r="N109" s="33">
        <f t="shared" si="104"/>
        <v>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  <c r="T109" s="13">
        <v>0.0</v>
      </c>
      <c r="U109" s="13">
        <v>0.0</v>
      </c>
      <c r="V109" s="13">
        <v>0.0</v>
      </c>
      <c r="W109" s="13">
        <v>0.0</v>
      </c>
      <c r="X109" s="13">
        <v>0.0</v>
      </c>
      <c r="Y109" s="13">
        <v>0.0</v>
      </c>
      <c r="Z109" s="13">
        <v>0.0</v>
      </c>
      <c r="AA109" s="13">
        <v>0.0</v>
      </c>
      <c r="AB109" s="13">
        <v>0.0</v>
      </c>
      <c r="AC109" s="13">
        <v>0.0</v>
      </c>
    </row>
    <row r="110">
      <c r="A110" s="11"/>
      <c r="B110" s="12"/>
      <c r="C110" s="13"/>
      <c r="D110" s="28">
        <f t="shared" si="101"/>
        <v>0</v>
      </c>
      <c r="E110" s="13"/>
      <c r="F110" s="13"/>
      <c r="G110" s="13"/>
      <c r="H110" s="13"/>
      <c r="I110" s="30">
        <f t="shared" si="102"/>
        <v>0</v>
      </c>
      <c r="J110" s="32" t="str">
        <f t="shared" si="103"/>
        <v>#DIV/0!</v>
      </c>
      <c r="K110" s="13"/>
      <c r="L110" s="13"/>
      <c r="M110" s="13"/>
      <c r="N110" s="33">
        <f t="shared" si="104"/>
        <v>0</v>
      </c>
      <c r="O110" s="13">
        <v>0.0</v>
      </c>
      <c r="P110" s="13">
        <v>0.0</v>
      </c>
      <c r="Q110" s="13">
        <v>0.0</v>
      </c>
      <c r="R110" s="13">
        <v>0.0</v>
      </c>
      <c r="S110" s="13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0.0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</row>
    <row r="111">
      <c r="A111" s="11"/>
      <c r="B111" s="12"/>
      <c r="C111" s="13"/>
      <c r="D111" s="28">
        <f t="shared" si="101"/>
        <v>0</v>
      </c>
      <c r="E111" s="13"/>
      <c r="F111" s="13"/>
      <c r="G111" s="13"/>
      <c r="H111" s="13"/>
      <c r="I111" s="30">
        <f t="shared" si="102"/>
        <v>0</v>
      </c>
      <c r="J111" s="32" t="str">
        <f t="shared" si="103"/>
        <v>#DIV/0!</v>
      </c>
      <c r="K111" s="13"/>
      <c r="L111" s="13"/>
      <c r="M111" s="13"/>
      <c r="N111" s="33">
        <f t="shared" si="104"/>
        <v>0</v>
      </c>
      <c r="O111" s="13">
        <v>0.0</v>
      </c>
      <c r="P111" s="13">
        <v>0.0</v>
      </c>
      <c r="Q111" s="13">
        <v>0.0</v>
      </c>
      <c r="R111" s="13">
        <v>0.0</v>
      </c>
      <c r="S111" s="13">
        <v>0.0</v>
      </c>
      <c r="T111" s="13">
        <v>0.0</v>
      </c>
      <c r="U111" s="13">
        <v>0.0</v>
      </c>
      <c r="V111" s="13">
        <v>0.0</v>
      </c>
      <c r="W111" s="13">
        <v>0.0</v>
      </c>
      <c r="X111" s="13">
        <v>0.0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</row>
    <row r="112">
      <c r="A112" s="34"/>
      <c r="B112" s="34"/>
      <c r="C112" s="34">
        <f t="shared" ref="C112:D112" si="105">SUM(C108:C111)/4</f>
        <v>0</v>
      </c>
      <c r="D112" s="35">
        <f t="shared" si="105"/>
        <v>0</v>
      </c>
      <c r="E112" s="34">
        <f t="shared" ref="E112:H112" si="106">SUM(E108:E111)</f>
        <v>0</v>
      </c>
      <c r="F112" s="34">
        <f t="shared" si="106"/>
        <v>0</v>
      </c>
      <c r="G112" s="34">
        <f t="shared" si="106"/>
        <v>0</v>
      </c>
      <c r="H112" s="34">
        <f t="shared" si="106"/>
        <v>0</v>
      </c>
      <c r="I112" s="34">
        <f>SUM(F112-H112)</f>
        <v>0</v>
      </c>
      <c r="J112" s="36" t="str">
        <f>SUM(F112/H112)</f>
        <v>#DIV/0!</v>
      </c>
      <c r="K112" s="34">
        <f>SUM(K108:K111)/4</f>
        <v>0</v>
      </c>
      <c r="L112" s="34">
        <f>SUM(L108:L111)</f>
        <v>0</v>
      </c>
      <c r="M112" s="34"/>
      <c r="N112" s="35">
        <f>SUM(N108:N111)/4</f>
        <v>0</v>
      </c>
      <c r="O112" s="34">
        <f t="shared" ref="O112:AC112" si="107">SUM(O108:O111)</f>
        <v>0</v>
      </c>
      <c r="P112" s="34">
        <f t="shared" si="107"/>
        <v>0</v>
      </c>
      <c r="Q112" s="34">
        <f t="shared" si="107"/>
        <v>0</v>
      </c>
      <c r="R112" s="34">
        <f t="shared" si="107"/>
        <v>0</v>
      </c>
      <c r="S112" s="34">
        <f t="shared" si="107"/>
        <v>0</v>
      </c>
      <c r="T112" s="34">
        <f t="shared" si="107"/>
        <v>0</v>
      </c>
      <c r="U112" s="34">
        <f t="shared" si="107"/>
        <v>0</v>
      </c>
      <c r="V112" s="34">
        <f t="shared" si="107"/>
        <v>0</v>
      </c>
      <c r="W112" s="34">
        <f t="shared" si="107"/>
        <v>0</v>
      </c>
      <c r="X112" s="34">
        <f t="shared" si="107"/>
        <v>0</v>
      </c>
      <c r="Y112" s="34">
        <f t="shared" si="107"/>
        <v>0</v>
      </c>
      <c r="Z112" s="34">
        <f t="shared" si="107"/>
        <v>0</v>
      </c>
      <c r="AA112" s="34">
        <f t="shared" si="107"/>
        <v>0</v>
      </c>
      <c r="AB112" s="34">
        <f t="shared" si="107"/>
        <v>0</v>
      </c>
      <c r="AC112" s="34">
        <f t="shared" si="107"/>
        <v>0</v>
      </c>
    </row>
    <row r="113">
      <c r="A113" s="11"/>
      <c r="B113" s="12"/>
      <c r="C113" s="14"/>
      <c r="D113" s="28">
        <f t="shared" ref="D113:D116" si="108">SUM((K113*H113)/60)</f>
        <v>0</v>
      </c>
      <c r="E113" s="13"/>
      <c r="F113" s="13"/>
      <c r="G113" s="13"/>
      <c r="H113" s="13"/>
      <c r="I113" s="30">
        <f t="shared" ref="I113:I116" si="109">F113-H113</f>
        <v>0</v>
      </c>
      <c r="J113" s="32" t="str">
        <f t="shared" ref="J113:J116" si="110">F113/H113</f>
        <v>#DIV/0!</v>
      </c>
      <c r="K113" s="13"/>
      <c r="L113" s="13"/>
      <c r="M113" s="13"/>
      <c r="N113" s="33">
        <f t="shared" ref="N113:N116" si="111">SUM(M113*D113)</f>
        <v>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0.0</v>
      </c>
      <c r="AB113" s="13">
        <v>0.0</v>
      </c>
      <c r="AC113" s="13">
        <v>0.0</v>
      </c>
    </row>
    <row r="114">
      <c r="A114" s="11"/>
      <c r="B114" s="12"/>
      <c r="C114" s="14"/>
      <c r="D114" s="28">
        <f t="shared" si="108"/>
        <v>0</v>
      </c>
      <c r="E114" s="13"/>
      <c r="F114" s="13"/>
      <c r="G114" s="13"/>
      <c r="H114" s="13"/>
      <c r="I114" s="30">
        <f t="shared" si="109"/>
        <v>0</v>
      </c>
      <c r="J114" s="32" t="str">
        <f t="shared" si="110"/>
        <v>#DIV/0!</v>
      </c>
      <c r="K114" s="13"/>
      <c r="L114" s="13"/>
      <c r="M114" s="13"/>
      <c r="N114" s="33">
        <f t="shared" si="111"/>
        <v>0</v>
      </c>
      <c r="O114" s="13">
        <v>0.0</v>
      </c>
      <c r="P114" s="13">
        <v>0.0</v>
      </c>
      <c r="Q114" s="13">
        <v>0.0</v>
      </c>
      <c r="R114" s="13">
        <v>0.0</v>
      </c>
      <c r="S114" s="13">
        <v>0.0</v>
      </c>
      <c r="T114" s="13">
        <v>0.0</v>
      </c>
      <c r="U114" s="13">
        <v>0.0</v>
      </c>
      <c r="V114" s="13">
        <v>0.0</v>
      </c>
      <c r="W114" s="13">
        <v>0.0</v>
      </c>
      <c r="X114" s="13">
        <v>0.0</v>
      </c>
      <c r="Y114" s="13">
        <v>0.0</v>
      </c>
      <c r="Z114" s="13">
        <v>0.0</v>
      </c>
      <c r="AA114" s="13">
        <v>0.0</v>
      </c>
      <c r="AB114" s="13">
        <v>0.0</v>
      </c>
      <c r="AC114" s="13">
        <v>0.0</v>
      </c>
    </row>
    <row r="115">
      <c r="A115" s="11"/>
      <c r="B115" s="12"/>
      <c r="C115" s="14"/>
      <c r="D115" s="28">
        <f t="shared" si="108"/>
        <v>0</v>
      </c>
      <c r="E115" s="13"/>
      <c r="F115" s="13"/>
      <c r="G115" s="13"/>
      <c r="H115" s="13"/>
      <c r="I115" s="30">
        <f t="shared" si="109"/>
        <v>0</v>
      </c>
      <c r="J115" s="32" t="str">
        <f t="shared" si="110"/>
        <v>#DIV/0!</v>
      </c>
      <c r="K115" s="13"/>
      <c r="L115" s="13"/>
      <c r="M115" s="13"/>
      <c r="N115" s="33">
        <f t="shared" si="111"/>
        <v>0</v>
      </c>
      <c r="O115" s="13">
        <v>0.0</v>
      </c>
      <c r="P115" s="13">
        <v>0.0</v>
      </c>
      <c r="Q115" s="13">
        <v>0.0</v>
      </c>
      <c r="R115" s="13">
        <v>0.0</v>
      </c>
      <c r="S115" s="13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</row>
    <row r="116">
      <c r="A116" s="11"/>
      <c r="B116" s="12"/>
      <c r="C116" s="14"/>
      <c r="D116" s="28">
        <f t="shared" si="108"/>
        <v>0</v>
      </c>
      <c r="E116" s="13"/>
      <c r="F116" s="13"/>
      <c r="G116" s="13"/>
      <c r="H116" s="13"/>
      <c r="I116" s="30">
        <f t="shared" si="109"/>
        <v>0</v>
      </c>
      <c r="J116" s="32" t="str">
        <f t="shared" si="110"/>
        <v>#DIV/0!</v>
      </c>
      <c r="K116" s="13"/>
      <c r="L116" s="13"/>
      <c r="M116" s="13"/>
      <c r="N116" s="33">
        <f t="shared" si="111"/>
        <v>0</v>
      </c>
      <c r="O116" s="13">
        <v>0.0</v>
      </c>
      <c r="P116" s="13">
        <v>0.0</v>
      </c>
      <c r="Q116" s="13">
        <v>0.0</v>
      </c>
      <c r="R116" s="13">
        <v>0.0</v>
      </c>
      <c r="S116" s="13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</row>
    <row r="117">
      <c r="A117" s="34" t="s">
        <v>49</v>
      </c>
      <c r="B117" s="34"/>
      <c r="C117" s="34">
        <f>SUM(C113:C116)</f>
        <v>0</v>
      </c>
      <c r="D117" s="35">
        <f t="shared" ref="D117:E117" si="112">SUM(D113:D116)/4</f>
        <v>0</v>
      </c>
      <c r="E117" s="34">
        <f t="shared" si="112"/>
        <v>0</v>
      </c>
      <c r="F117" s="34">
        <f t="shared" ref="F117:H117" si="113">SUM(F113:F116)</f>
        <v>0</v>
      </c>
      <c r="G117" s="34">
        <f t="shared" si="113"/>
        <v>0</v>
      </c>
      <c r="H117" s="34">
        <f t="shared" si="113"/>
        <v>0</v>
      </c>
      <c r="I117" s="34">
        <f>SUM(F117-H117)</f>
        <v>0</v>
      </c>
      <c r="J117" s="36" t="str">
        <f>SUM(F117/H117)</f>
        <v>#DIV/0!</v>
      </c>
      <c r="K117" s="34">
        <f>SUM(K113:K116)/4</f>
        <v>0</v>
      </c>
      <c r="L117" s="34">
        <f>SUM(L113:L116)</f>
        <v>0</v>
      </c>
      <c r="M117" s="34"/>
      <c r="N117" s="35">
        <f>SUM(N113:N116)/4</f>
        <v>0</v>
      </c>
      <c r="O117" s="34">
        <f t="shared" ref="O117:AC117" si="114">SUM(O113:O116)</f>
        <v>0</v>
      </c>
      <c r="P117" s="34">
        <f t="shared" si="114"/>
        <v>0</v>
      </c>
      <c r="Q117" s="34">
        <f t="shared" si="114"/>
        <v>0</v>
      </c>
      <c r="R117" s="34">
        <f t="shared" si="114"/>
        <v>0</v>
      </c>
      <c r="S117" s="34">
        <f t="shared" si="114"/>
        <v>0</v>
      </c>
      <c r="T117" s="34">
        <f t="shared" si="114"/>
        <v>0</v>
      </c>
      <c r="U117" s="34">
        <f t="shared" si="114"/>
        <v>0</v>
      </c>
      <c r="V117" s="34">
        <f t="shared" si="114"/>
        <v>0</v>
      </c>
      <c r="W117" s="37">
        <f t="shared" si="114"/>
        <v>0</v>
      </c>
      <c r="X117" s="34">
        <f t="shared" si="114"/>
        <v>0</v>
      </c>
      <c r="Y117" s="34">
        <f t="shared" si="114"/>
        <v>0</v>
      </c>
      <c r="Z117" s="34">
        <f t="shared" si="114"/>
        <v>0</v>
      </c>
      <c r="AA117" s="34">
        <f t="shared" si="114"/>
        <v>0</v>
      </c>
      <c r="AB117" s="37">
        <f t="shared" si="114"/>
        <v>0</v>
      </c>
      <c r="AC117" s="37">
        <f t="shared" si="114"/>
        <v>0</v>
      </c>
    </row>
    <row r="118">
      <c r="A118" s="15" t="s">
        <v>105</v>
      </c>
    </row>
    <row r="119">
      <c r="A119" s="19"/>
      <c r="E119" s="20" t="s">
        <v>33</v>
      </c>
      <c r="K119" s="22" t="s">
        <v>35</v>
      </c>
      <c r="M119" s="23" t="s">
        <v>36</v>
      </c>
      <c r="N119" s="24" t="s">
        <v>36</v>
      </c>
    </row>
    <row r="120">
      <c r="A120" s="4" t="s">
        <v>1</v>
      </c>
      <c r="B120" s="4" t="s">
        <v>2</v>
      </c>
      <c r="C120" s="5" t="s">
        <v>4</v>
      </c>
      <c r="D120" s="6" t="s">
        <v>5</v>
      </c>
      <c r="E120" s="25" t="s">
        <v>37</v>
      </c>
      <c r="F120" s="7" t="s">
        <v>7</v>
      </c>
      <c r="G120" s="7" t="s">
        <v>8</v>
      </c>
      <c r="H120" s="7" t="s">
        <v>9</v>
      </c>
      <c r="I120" s="7" t="s">
        <v>10</v>
      </c>
      <c r="J120" s="7" t="s">
        <v>11</v>
      </c>
      <c r="K120" s="8" t="s">
        <v>12</v>
      </c>
      <c r="L120" s="8" t="s">
        <v>13</v>
      </c>
      <c r="M120" s="9" t="s">
        <v>14</v>
      </c>
      <c r="N120" s="10" t="s">
        <v>5</v>
      </c>
      <c r="O120" s="9" t="s">
        <v>15</v>
      </c>
      <c r="P120" s="9" t="s">
        <v>16</v>
      </c>
      <c r="Q120" s="9" t="s">
        <v>17</v>
      </c>
      <c r="R120" s="9" t="s">
        <v>18</v>
      </c>
      <c r="S120" s="9" t="s">
        <v>19</v>
      </c>
      <c r="T120" s="9" t="s">
        <v>20</v>
      </c>
      <c r="U120" s="9" t="s">
        <v>21</v>
      </c>
      <c r="V120" s="9" t="s">
        <v>22</v>
      </c>
      <c r="W120" s="9" t="s">
        <v>23</v>
      </c>
      <c r="X120" s="9" t="s">
        <v>24</v>
      </c>
      <c r="Y120" s="9" t="s">
        <v>25</v>
      </c>
      <c r="Z120" s="9" t="s">
        <v>26</v>
      </c>
      <c r="AA120" s="9" t="s">
        <v>27</v>
      </c>
      <c r="AB120" s="9" t="s">
        <v>28</v>
      </c>
      <c r="AC120" s="9" t="s">
        <v>29</v>
      </c>
    </row>
    <row r="121">
      <c r="A121" s="11" t="s">
        <v>30</v>
      </c>
      <c r="B121" s="12" t="s">
        <v>89</v>
      </c>
      <c r="C121" s="13">
        <v>1.0</v>
      </c>
      <c r="D121" s="28">
        <v>30.2</v>
      </c>
      <c r="E121" s="13">
        <v>0.0</v>
      </c>
      <c r="F121" s="13">
        <v>108.0</v>
      </c>
      <c r="G121" s="13">
        <v>11.0</v>
      </c>
      <c r="H121" s="13">
        <v>127.0</v>
      </c>
      <c r="I121" s="30">
        <f t="shared" ref="I121:I124" si="115">F121-H121</f>
        <v>-19</v>
      </c>
      <c r="J121" s="32">
        <f t="shared" ref="J121:J124" si="116">F121/H121</f>
        <v>0.8503937008</v>
      </c>
      <c r="K121" s="13">
        <v>11.0</v>
      </c>
      <c r="L121" s="13">
        <v>187.0</v>
      </c>
      <c r="M121" s="13">
        <v>1.0</v>
      </c>
      <c r="N121" s="33">
        <f t="shared" ref="N121:N124" si="117">SUM(M121*D121)</f>
        <v>30.2</v>
      </c>
      <c r="O121" s="13">
        <v>15.0</v>
      </c>
      <c r="P121" s="13">
        <v>6.0</v>
      </c>
      <c r="Q121" s="13">
        <v>2.0</v>
      </c>
      <c r="R121" s="13">
        <v>0.0</v>
      </c>
      <c r="S121" s="13">
        <v>1.0</v>
      </c>
      <c r="T121" s="13">
        <v>0.0</v>
      </c>
      <c r="U121" s="13">
        <v>0.0</v>
      </c>
      <c r="V121" s="13">
        <v>0.0</v>
      </c>
      <c r="W121" s="13">
        <v>0.0</v>
      </c>
      <c r="X121" s="13">
        <v>0.0</v>
      </c>
      <c r="Y121" s="13">
        <v>0.0</v>
      </c>
      <c r="Z121" s="13">
        <v>0.0</v>
      </c>
      <c r="AA121" s="13">
        <v>0.0</v>
      </c>
      <c r="AB121" s="13">
        <v>0.0</v>
      </c>
      <c r="AC121" s="13">
        <v>0.0</v>
      </c>
    </row>
    <row r="122">
      <c r="A122" s="11" t="s">
        <v>30</v>
      </c>
      <c r="B122" s="12" t="s">
        <v>51</v>
      </c>
      <c r="C122" s="13">
        <v>1.0</v>
      </c>
      <c r="D122" s="28">
        <v>30.2</v>
      </c>
      <c r="E122" s="13">
        <v>0.0</v>
      </c>
      <c r="F122" s="13">
        <v>142.0</v>
      </c>
      <c r="G122" s="13">
        <v>11.0</v>
      </c>
      <c r="H122" s="13">
        <v>114.0</v>
      </c>
      <c r="I122" s="30">
        <f t="shared" si="115"/>
        <v>28</v>
      </c>
      <c r="J122" s="32">
        <f t="shared" si="116"/>
        <v>1.245614035</v>
      </c>
      <c r="K122" s="13">
        <v>12.0</v>
      </c>
      <c r="L122" s="13">
        <v>236.0</v>
      </c>
      <c r="M122" s="13">
        <v>1.0</v>
      </c>
      <c r="N122" s="33">
        <f t="shared" si="117"/>
        <v>30.2</v>
      </c>
      <c r="O122" s="13">
        <v>28.0</v>
      </c>
      <c r="P122" s="13">
        <v>3.0</v>
      </c>
      <c r="Q122" s="13">
        <v>0.0</v>
      </c>
      <c r="R122" s="13">
        <v>0.0</v>
      </c>
      <c r="S122" s="13">
        <v>4.0</v>
      </c>
      <c r="T122" s="13">
        <v>0.0</v>
      </c>
      <c r="U122" s="13">
        <v>0.0</v>
      </c>
      <c r="V122" s="13">
        <v>0.0</v>
      </c>
      <c r="W122" s="13">
        <v>0.0</v>
      </c>
      <c r="X122" s="13">
        <v>0.0</v>
      </c>
      <c r="Y122" s="13">
        <v>0.0</v>
      </c>
      <c r="Z122" s="13">
        <v>0.0</v>
      </c>
      <c r="AA122" s="13">
        <v>0.0</v>
      </c>
      <c r="AB122" s="13">
        <v>0.0</v>
      </c>
      <c r="AC122" s="13">
        <v>0.0</v>
      </c>
    </row>
    <row r="123">
      <c r="A123" s="11" t="s">
        <v>30</v>
      </c>
      <c r="B123" s="12" t="s">
        <v>63</v>
      </c>
      <c r="C123" s="13">
        <v>1.0</v>
      </c>
      <c r="D123" s="28">
        <v>30.2</v>
      </c>
      <c r="E123" s="13">
        <v>0.0</v>
      </c>
      <c r="F123" s="13">
        <v>113.0</v>
      </c>
      <c r="G123" s="13">
        <v>6.0</v>
      </c>
      <c r="H123" s="13">
        <v>124.0</v>
      </c>
      <c r="I123" s="30">
        <f t="shared" si="115"/>
        <v>-11</v>
      </c>
      <c r="J123" s="32">
        <f t="shared" si="116"/>
        <v>0.9112903226</v>
      </c>
      <c r="K123" s="13">
        <v>11.0</v>
      </c>
      <c r="L123" s="13">
        <v>183.0</v>
      </c>
      <c r="M123" s="13">
        <v>1.0</v>
      </c>
      <c r="N123" s="33">
        <f t="shared" si="117"/>
        <v>30.2</v>
      </c>
      <c r="O123" s="13">
        <v>23.0</v>
      </c>
      <c r="P123" s="13">
        <v>1.0</v>
      </c>
      <c r="Q123" s="13">
        <v>0.0</v>
      </c>
      <c r="R123" s="13">
        <v>0.0</v>
      </c>
      <c r="S123" s="13">
        <v>1.0</v>
      </c>
      <c r="T123" s="13">
        <v>0.0</v>
      </c>
      <c r="U123" s="13">
        <v>0.0</v>
      </c>
      <c r="V123" s="13">
        <v>0.0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</row>
    <row r="124">
      <c r="A124" s="11" t="s">
        <v>30</v>
      </c>
      <c r="B124" s="12" t="s">
        <v>77</v>
      </c>
      <c r="C124" s="13">
        <v>1.0</v>
      </c>
      <c r="D124" s="28">
        <v>30.2</v>
      </c>
      <c r="E124" s="13">
        <v>5.0</v>
      </c>
      <c r="F124" s="13">
        <v>107.0</v>
      </c>
      <c r="G124" s="13">
        <v>1.0</v>
      </c>
      <c r="H124" s="13">
        <v>80.0</v>
      </c>
      <c r="I124" s="30">
        <f t="shared" si="115"/>
        <v>27</v>
      </c>
      <c r="J124" s="32">
        <f t="shared" si="116"/>
        <v>1.3375</v>
      </c>
      <c r="K124" s="13">
        <v>19.0</v>
      </c>
      <c r="L124" s="13">
        <v>171.0</v>
      </c>
      <c r="M124" s="13">
        <v>1.0</v>
      </c>
      <c r="N124" s="33">
        <f t="shared" si="117"/>
        <v>30.2</v>
      </c>
      <c r="O124" s="13">
        <v>10.0</v>
      </c>
      <c r="P124" s="13">
        <v>2.0</v>
      </c>
      <c r="Q124" s="13">
        <v>0.0</v>
      </c>
      <c r="R124" s="13">
        <v>0.0</v>
      </c>
      <c r="S124" s="13">
        <v>2.0</v>
      </c>
      <c r="T124" s="13">
        <v>1.0</v>
      </c>
      <c r="U124" s="13">
        <v>0.0</v>
      </c>
      <c r="V124" s="13">
        <v>0.0</v>
      </c>
      <c r="W124" s="13">
        <v>1.0</v>
      </c>
      <c r="X124" s="13">
        <v>0.0</v>
      </c>
      <c r="Y124" s="13">
        <v>0.0</v>
      </c>
      <c r="Z124" s="13">
        <v>0.0</v>
      </c>
      <c r="AA124" s="13">
        <v>0.0</v>
      </c>
      <c r="AB124" s="13">
        <v>0.0</v>
      </c>
      <c r="AC124" s="13">
        <v>0.0</v>
      </c>
    </row>
    <row r="125">
      <c r="A125" s="34"/>
      <c r="B125" s="34"/>
      <c r="C125" s="34">
        <f t="shared" ref="C125:D125" si="118">SUM(C121:C124)/4</f>
        <v>1</v>
      </c>
      <c r="D125" s="35">
        <f t="shared" si="118"/>
        <v>30.2</v>
      </c>
      <c r="E125" s="34">
        <f t="shared" ref="E125:H125" si="119">SUM(E121:E124)</f>
        <v>5</v>
      </c>
      <c r="F125" s="34">
        <f t="shared" si="119"/>
        <v>470</v>
      </c>
      <c r="G125" s="34">
        <f t="shared" si="119"/>
        <v>29</v>
      </c>
      <c r="H125" s="34">
        <f t="shared" si="119"/>
        <v>445</v>
      </c>
      <c r="I125" s="34">
        <f>SUM(F125-H125)</f>
        <v>25</v>
      </c>
      <c r="J125" s="36">
        <f>SUM(F125/H125)</f>
        <v>1.056179775</v>
      </c>
      <c r="K125" s="34">
        <f>SUM(K121:K124)/4</f>
        <v>13.25</v>
      </c>
      <c r="L125" s="34">
        <f>SUM(L121:L124)</f>
        <v>777</v>
      </c>
      <c r="M125" s="34"/>
      <c r="N125" s="35">
        <f>SUM(N121:N124)/4</f>
        <v>30.2</v>
      </c>
      <c r="O125" s="34">
        <f t="shared" ref="O125:AC125" si="120">SUM(O121:O124)</f>
        <v>76</v>
      </c>
      <c r="P125" s="34">
        <f t="shared" si="120"/>
        <v>12</v>
      </c>
      <c r="Q125" s="34">
        <f t="shared" si="120"/>
        <v>2</v>
      </c>
      <c r="R125" s="34">
        <f t="shared" si="120"/>
        <v>0</v>
      </c>
      <c r="S125" s="34">
        <f t="shared" si="120"/>
        <v>8</v>
      </c>
      <c r="T125" s="34">
        <f t="shared" si="120"/>
        <v>1</v>
      </c>
      <c r="U125" s="34">
        <f t="shared" si="120"/>
        <v>0</v>
      </c>
      <c r="V125" s="34">
        <f t="shared" si="120"/>
        <v>0</v>
      </c>
      <c r="W125" s="34">
        <f t="shared" si="120"/>
        <v>1</v>
      </c>
      <c r="X125" s="34">
        <f t="shared" si="120"/>
        <v>0</v>
      </c>
      <c r="Y125" s="34">
        <f t="shared" si="120"/>
        <v>0</v>
      </c>
      <c r="Z125" s="34">
        <f t="shared" si="120"/>
        <v>0</v>
      </c>
      <c r="AA125" s="34">
        <f t="shared" si="120"/>
        <v>0</v>
      </c>
      <c r="AB125" s="34">
        <f t="shared" si="120"/>
        <v>0</v>
      </c>
      <c r="AC125" s="34">
        <f t="shared" si="120"/>
        <v>0</v>
      </c>
    </row>
    <row r="126">
      <c r="A126" s="11" t="s">
        <v>62</v>
      </c>
      <c r="B126" s="12" t="s">
        <v>95</v>
      </c>
      <c r="C126" s="13">
        <v>0.0</v>
      </c>
      <c r="D126" s="28">
        <v>30.2</v>
      </c>
      <c r="E126" s="13">
        <v>0.0</v>
      </c>
      <c r="F126" s="13">
        <v>99.0</v>
      </c>
      <c r="G126" s="13">
        <v>6.0</v>
      </c>
      <c r="H126" s="13">
        <v>136.0</v>
      </c>
      <c r="I126" s="30">
        <f t="shared" ref="I126:I129" si="121">F126-H126</f>
        <v>-37</v>
      </c>
      <c r="J126" s="32">
        <f t="shared" ref="J126:J129" si="122">F126/H126</f>
        <v>0.7279411765</v>
      </c>
      <c r="K126" s="13">
        <v>10.0</v>
      </c>
      <c r="L126" s="13">
        <v>138.0</v>
      </c>
      <c r="M126" s="13">
        <v>1.0</v>
      </c>
      <c r="N126" s="33">
        <f t="shared" ref="N126:N129" si="123">SUM(M126*D126)</f>
        <v>30.2</v>
      </c>
      <c r="O126" s="13">
        <v>6.0</v>
      </c>
      <c r="P126" s="13">
        <v>1.0</v>
      </c>
      <c r="Q126" s="13">
        <v>0.0</v>
      </c>
      <c r="R126" s="13">
        <v>0.0</v>
      </c>
      <c r="S126" s="13">
        <v>0.0</v>
      </c>
      <c r="T126" s="13">
        <v>0.0</v>
      </c>
      <c r="U126" s="13">
        <v>0.0</v>
      </c>
      <c r="V126" s="13">
        <v>0.0</v>
      </c>
      <c r="W126" s="13">
        <v>0.0</v>
      </c>
      <c r="X126" s="13">
        <v>0.0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</row>
    <row r="127">
      <c r="A127" s="11" t="s">
        <v>62</v>
      </c>
      <c r="B127" s="12" t="s">
        <v>96</v>
      </c>
      <c r="C127" s="13">
        <v>0.0</v>
      </c>
      <c r="D127" s="28">
        <v>30.2</v>
      </c>
      <c r="E127" s="13">
        <v>0.0</v>
      </c>
      <c r="F127" s="13">
        <v>144.0</v>
      </c>
      <c r="G127" s="13">
        <v>8.0</v>
      </c>
      <c r="H127" s="13">
        <v>104.0</v>
      </c>
      <c r="I127" s="30">
        <f t="shared" si="121"/>
        <v>40</v>
      </c>
      <c r="J127" s="32">
        <f t="shared" si="122"/>
        <v>1.384615385</v>
      </c>
      <c r="K127" s="13">
        <v>14.0</v>
      </c>
      <c r="L127" s="13">
        <v>254.0</v>
      </c>
      <c r="M127" s="13">
        <v>1.0</v>
      </c>
      <c r="N127" s="33">
        <f t="shared" si="123"/>
        <v>30.2</v>
      </c>
      <c r="O127" s="13">
        <v>33.0</v>
      </c>
      <c r="P127" s="13">
        <v>10.0</v>
      </c>
      <c r="Q127" s="13">
        <v>3.0</v>
      </c>
      <c r="R127" s="13">
        <v>0.0</v>
      </c>
      <c r="S127" s="13">
        <v>6.0</v>
      </c>
      <c r="T127" s="13">
        <v>0.0</v>
      </c>
      <c r="U127" s="13">
        <v>0.0</v>
      </c>
      <c r="V127" s="13">
        <v>0.0</v>
      </c>
      <c r="W127" s="13">
        <v>0.0</v>
      </c>
      <c r="X127" s="13">
        <v>0.0</v>
      </c>
      <c r="Y127" s="13">
        <v>0.0</v>
      </c>
      <c r="Z127" s="13">
        <v>0.0</v>
      </c>
      <c r="AA127" s="13">
        <v>0.0</v>
      </c>
      <c r="AB127" s="13">
        <v>0.0</v>
      </c>
      <c r="AC127" s="13">
        <v>0.0</v>
      </c>
    </row>
    <row r="128">
      <c r="A128" s="11" t="s">
        <v>62</v>
      </c>
      <c r="B128" s="12" t="s">
        <v>98</v>
      </c>
      <c r="C128" s="13">
        <v>0.0</v>
      </c>
      <c r="D128" s="28">
        <v>30.2</v>
      </c>
      <c r="E128" s="13">
        <v>0.0</v>
      </c>
      <c r="F128" s="13">
        <v>128.0</v>
      </c>
      <c r="G128" s="13">
        <v>12.0</v>
      </c>
      <c r="H128" s="13">
        <v>153.0</v>
      </c>
      <c r="I128" s="30">
        <f t="shared" si="121"/>
        <v>-25</v>
      </c>
      <c r="J128" s="32">
        <f t="shared" si="122"/>
        <v>0.8366013072</v>
      </c>
      <c r="K128" s="13">
        <v>8.0</v>
      </c>
      <c r="L128" s="13">
        <v>195.0</v>
      </c>
      <c r="M128" s="13">
        <v>1.0</v>
      </c>
      <c r="N128" s="33">
        <f t="shared" si="123"/>
        <v>30.2</v>
      </c>
      <c r="O128" s="13">
        <v>21.0</v>
      </c>
      <c r="P128" s="13">
        <v>2.0</v>
      </c>
      <c r="Q128" s="13">
        <v>0.0</v>
      </c>
      <c r="R128" s="13">
        <v>0.0</v>
      </c>
      <c r="S128" s="13">
        <v>0.0</v>
      </c>
      <c r="T128" s="13">
        <v>0.0</v>
      </c>
      <c r="U128" s="13">
        <v>0.0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</row>
    <row r="129">
      <c r="A129" s="11" t="s">
        <v>62</v>
      </c>
      <c r="B129" s="12" t="s">
        <v>102</v>
      </c>
      <c r="C129" s="13">
        <v>0.0</v>
      </c>
      <c r="D129" s="28">
        <v>30.2</v>
      </c>
      <c r="E129" s="13">
        <v>1.0</v>
      </c>
      <c r="F129" s="13">
        <v>68.0</v>
      </c>
      <c r="G129" s="13">
        <v>8.0</v>
      </c>
      <c r="H129" s="13">
        <v>90.0</v>
      </c>
      <c r="I129" s="30">
        <f t="shared" si="121"/>
        <v>-22</v>
      </c>
      <c r="J129" s="32">
        <f t="shared" si="122"/>
        <v>0.7555555556</v>
      </c>
      <c r="K129" s="13">
        <v>17.0</v>
      </c>
      <c r="L129" s="13">
        <v>114.0</v>
      </c>
      <c r="M129" s="13">
        <v>1.0</v>
      </c>
      <c r="N129" s="33">
        <f t="shared" si="123"/>
        <v>30.2</v>
      </c>
      <c r="O129" s="13">
        <v>7.0</v>
      </c>
      <c r="P129" s="13">
        <v>2.0</v>
      </c>
      <c r="Q129" s="13">
        <v>0.0</v>
      </c>
      <c r="R129" s="13">
        <v>0.0</v>
      </c>
      <c r="S129" s="13">
        <v>2.0</v>
      </c>
      <c r="T129" s="13">
        <v>0.0</v>
      </c>
      <c r="U129" s="13">
        <v>0.0</v>
      </c>
      <c r="V129" s="13">
        <v>0.0</v>
      </c>
      <c r="W129" s="13">
        <v>0.0</v>
      </c>
      <c r="X129" s="13">
        <v>0.0</v>
      </c>
      <c r="Y129" s="13">
        <v>0.0</v>
      </c>
      <c r="Z129" s="13">
        <v>0.0</v>
      </c>
      <c r="AA129" s="13">
        <v>0.0</v>
      </c>
      <c r="AB129" s="13">
        <v>0.0</v>
      </c>
      <c r="AC129" s="13">
        <v>0.0</v>
      </c>
    </row>
    <row r="130">
      <c r="A130" s="34" t="s">
        <v>49</v>
      </c>
      <c r="B130" s="34"/>
      <c r="C130" s="34">
        <f>SUM(C126:C129)</f>
        <v>0</v>
      </c>
      <c r="D130" s="35">
        <f t="shared" ref="D130:E130" si="124">SUM(D126:D129)/4</f>
        <v>30.2</v>
      </c>
      <c r="E130" s="34">
        <f t="shared" si="124"/>
        <v>0.25</v>
      </c>
      <c r="F130" s="34">
        <f t="shared" ref="F130:H130" si="125">SUM(F126:F129)</f>
        <v>439</v>
      </c>
      <c r="G130" s="34">
        <f t="shared" si="125"/>
        <v>34</v>
      </c>
      <c r="H130" s="34">
        <f t="shared" si="125"/>
        <v>483</v>
      </c>
      <c r="I130" s="34">
        <f>SUM(F130-H130)</f>
        <v>-44</v>
      </c>
      <c r="J130" s="36">
        <f>SUM(F130/H130)</f>
        <v>0.9089026915</v>
      </c>
      <c r="K130" s="34">
        <f>SUM(K126:K129)/4</f>
        <v>12.25</v>
      </c>
      <c r="L130" s="34">
        <f>SUM(L126:L129)</f>
        <v>701</v>
      </c>
      <c r="M130" s="34"/>
      <c r="N130" s="35">
        <f>SUM(N126:N129)/4</f>
        <v>30.2</v>
      </c>
      <c r="O130" s="34">
        <f t="shared" ref="O130:AC130" si="126">SUM(O126:O129)</f>
        <v>67</v>
      </c>
      <c r="P130" s="34">
        <f t="shared" si="126"/>
        <v>15</v>
      </c>
      <c r="Q130" s="34">
        <f t="shared" si="126"/>
        <v>3</v>
      </c>
      <c r="R130" s="34">
        <f t="shared" si="126"/>
        <v>0</v>
      </c>
      <c r="S130" s="34">
        <f t="shared" si="126"/>
        <v>8</v>
      </c>
      <c r="T130" s="34">
        <f t="shared" si="126"/>
        <v>0</v>
      </c>
      <c r="U130" s="34">
        <f t="shared" si="126"/>
        <v>0</v>
      </c>
      <c r="V130" s="34">
        <f t="shared" si="126"/>
        <v>0</v>
      </c>
      <c r="W130" s="37">
        <f t="shared" si="126"/>
        <v>0</v>
      </c>
      <c r="X130" s="34">
        <f t="shared" si="126"/>
        <v>0</v>
      </c>
      <c r="Y130" s="34">
        <f t="shared" si="126"/>
        <v>0</v>
      </c>
      <c r="Z130" s="34">
        <f t="shared" si="126"/>
        <v>0</v>
      </c>
      <c r="AA130" s="34">
        <f t="shared" si="126"/>
        <v>0</v>
      </c>
      <c r="AB130" s="37">
        <f t="shared" si="126"/>
        <v>0</v>
      </c>
      <c r="AC130" s="37">
        <f t="shared" si="126"/>
        <v>0</v>
      </c>
    </row>
    <row r="131">
      <c r="A131" s="15" t="s">
        <v>106</v>
      </c>
    </row>
    <row r="132">
      <c r="A132" s="19"/>
      <c r="E132" s="20" t="s">
        <v>33</v>
      </c>
      <c r="K132" s="22" t="s">
        <v>35</v>
      </c>
      <c r="M132" s="23" t="s">
        <v>36</v>
      </c>
      <c r="N132" s="24" t="s">
        <v>36</v>
      </c>
    </row>
    <row r="133">
      <c r="A133" s="4" t="s">
        <v>1</v>
      </c>
      <c r="B133" s="4" t="s">
        <v>2</v>
      </c>
      <c r="C133" s="5" t="s">
        <v>4</v>
      </c>
      <c r="D133" s="6" t="s">
        <v>5</v>
      </c>
      <c r="E133" s="25" t="s">
        <v>37</v>
      </c>
      <c r="F133" s="7" t="s">
        <v>7</v>
      </c>
      <c r="G133" s="7" t="s">
        <v>8</v>
      </c>
      <c r="H133" s="7" t="s">
        <v>9</v>
      </c>
      <c r="I133" s="7" t="s">
        <v>10</v>
      </c>
      <c r="J133" s="7" t="s">
        <v>11</v>
      </c>
      <c r="K133" s="8" t="s">
        <v>12</v>
      </c>
      <c r="L133" s="8" t="s">
        <v>13</v>
      </c>
      <c r="M133" s="9" t="s">
        <v>14</v>
      </c>
      <c r="N133" s="10" t="s">
        <v>5</v>
      </c>
      <c r="O133" s="9" t="s">
        <v>15</v>
      </c>
      <c r="P133" s="9" t="s">
        <v>16</v>
      </c>
      <c r="Q133" s="9" t="s">
        <v>17</v>
      </c>
      <c r="R133" s="9" t="s">
        <v>18</v>
      </c>
      <c r="S133" s="9" t="s">
        <v>19</v>
      </c>
      <c r="T133" s="9" t="s">
        <v>20</v>
      </c>
      <c r="U133" s="9" t="s">
        <v>21</v>
      </c>
      <c r="V133" s="9" t="s">
        <v>22</v>
      </c>
      <c r="W133" s="9" t="s">
        <v>23</v>
      </c>
      <c r="X133" s="9" t="s">
        <v>24</v>
      </c>
      <c r="Y133" s="9" t="s">
        <v>25</v>
      </c>
      <c r="Z133" s="9" t="s">
        <v>26</v>
      </c>
      <c r="AA133" s="9" t="s">
        <v>27</v>
      </c>
      <c r="AB133" s="9" t="s">
        <v>28</v>
      </c>
      <c r="AC133" s="9" t="s">
        <v>29</v>
      </c>
    </row>
    <row r="134">
      <c r="A134" s="11" t="s">
        <v>38</v>
      </c>
      <c r="B134" s="12" t="s">
        <v>39</v>
      </c>
      <c r="C134" s="13">
        <v>1.0</v>
      </c>
      <c r="D134" s="28">
        <v>12.0</v>
      </c>
      <c r="E134" s="13">
        <v>1.0</v>
      </c>
      <c r="F134" s="13">
        <v>62.0</v>
      </c>
      <c r="G134" s="13">
        <v>6.0</v>
      </c>
      <c r="H134" s="13">
        <v>64.0</v>
      </c>
      <c r="I134" s="30">
        <f t="shared" ref="I134:I137" si="127">F134-H134</f>
        <v>-2</v>
      </c>
      <c r="J134" s="32">
        <f t="shared" ref="J134:J137" si="128">F134/H134</f>
        <v>0.96875</v>
      </c>
      <c r="K134" s="13">
        <v>11.0</v>
      </c>
      <c r="L134" s="13">
        <v>107.0</v>
      </c>
      <c r="M134" s="13">
        <v>1.0</v>
      </c>
      <c r="N134" s="33">
        <f t="shared" ref="N134:N137" si="129">SUM(M134*D134)</f>
        <v>12</v>
      </c>
      <c r="O134" s="13">
        <v>10.0</v>
      </c>
      <c r="P134" s="13">
        <v>1.0</v>
      </c>
      <c r="Q134" s="13">
        <v>0.0</v>
      </c>
      <c r="R134" s="13">
        <v>0.0</v>
      </c>
      <c r="S134" s="13">
        <v>0.0</v>
      </c>
      <c r="T134" s="13">
        <v>0.0</v>
      </c>
      <c r="U134" s="13">
        <v>0.0</v>
      </c>
      <c r="V134" s="13">
        <v>0.0</v>
      </c>
      <c r="W134" s="13">
        <v>0.0</v>
      </c>
      <c r="X134" s="13">
        <v>0.0</v>
      </c>
      <c r="Y134" s="13">
        <v>0.0</v>
      </c>
      <c r="Z134" s="13">
        <v>0.0</v>
      </c>
      <c r="AA134" s="13">
        <v>0.0</v>
      </c>
      <c r="AB134" s="13">
        <v>0.0</v>
      </c>
      <c r="AC134" s="13">
        <v>0.0</v>
      </c>
    </row>
    <row r="135">
      <c r="A135" s="11" t="s">
        <v>38</v>
      </c>
      <c r="B135" s="12" t="s">
        <v>40</v>
      </c>
      <c r="C135" s="13">
        <v>1.0</v>
      </c>
      <c r="D135" s="28">
        <v>12.0</v>
      </c>
      <c r="E135" s="13">
        <v>1.0</v>
      </c>
      <c r="F135" s="13">
        <v>103.0</v>
      </c>
      <c r="G135" s="13">
        <v>6.0</v>
      </c>
      <c r="H135" s="13">
        <v>50.0</v>
      </c>
      <c r="I135" s="30">
        <f t="shared" si="127"/>
        <v>53</v>
      </c>
      <c r="J135" s="32">
        <f t="shared" si="128"/>
        <v>2.06</v>
      </c>
      <c r="K135" s="13">
        <v>15.0</v>
      </c>
      <c r="L135" s="13">
        <v>188.0</v>
      </c>
      <c r="M135" s="13">
        <v>1.0</v>
      </c>
      <c r="N135" s="33">
        <f t="shared" si="129"/>
        <v>12</v>
      </c>
      <c r="O135" s="13">
        <v>25.0</v>
      </c>
      <c r="P135" s="13">
        <v>15.0</v>
      </c>
      <c r="Q135" s="13">
        <v>5.0</v>
      </c>
      <c r="R135" s="13">
        <v>1.0</v>
      </c>
      <c r="S135" s="13">
        <v>6.0</v>
      </c>
      <c r="T135" s="13">
        <v>0.0</v>
      </c>
      <c r="U135" s="13">
        <v>0.0</v>
      </c>
      <c r="V135" s="13">
        <v>0.0</v>
      </c>
      <c r="W135" s="13">
        <v>0.0</v>
      </c>
      <c r="X135" s="13">
        <v>0.0</v>
      </c>
      <c r="Y135" s="13">
        <v>0.0</v>
      </c>
      <c r="Z135" s="13">
        <v>0.0</v>
      </c>
      <c r="AA135" s="13">
        <v>0.0</v>
      </c>
      <c r="AB135" s="13">
        <v>0.0</v>
      </c>
      <c r="AC135" s="13">
        <v>0.0</v>
      </c>
    </row>
    <row r="136">
      <c r="A136" s="11" t="s">
        <v>38</v>
      </c>
      <c r="B136" s="12" t="s">
        <v>41</v>
      </c>
      <c r="C136" s="13">
        <v>1.0</v>
      </c>
      <c r="D136" s="28">
        <v>12.0</v>
      </c>
      <c r="E136" s="13">
        <v>0.0</v>
      </c>
      <c r="F136" s="13">
        <v>71.0</v>
      </c>
      <c r="G136" s="13">
        <v>4.0</v>
      </c>
      <c r="H136" s="13">
        <v>80.0</v>
      </c>
      <c r="I136" s="30">
        <f t="shared" si="127"/>
        <v>-9</v>
      </c>
      <c r="J136" s="32">
        <f t="shared" si="128"/>
        <v>0.8875</v>
      </c>
      <c r="K136" s="13">
        <v>8.0</v>
      </c>
      <c r="L136" s="13">
        <v>123.0</v>
      </c>
      <c r="M136" s="13">
        <v>1.0</v>
      </c>
      <c r="N136" s="33">
        <f t="shared" si="129"/>
        <v>12</v>
      </c>
      <c r="O136" s="13">
        <v>16.0</v>
      </c>
      <c r="P136" s="13">
        <v>3.0</v>
      </c>
      <c r="Q136" s="13">
        <v>3.0</v>
      </c>
      <c r="R136" s="13">
        <v>2.0</v>
      </c>
      <c r="S136" s="13">
        <v>3.0</v>
      </c>
      <c r="T136" s="13">
        <v>0.0</v>
      </c>
      <c r="U136" s="13">
        <v>0.0</v>
      </c>
      <c r="V136" s="13">
        <v>0.0</v>
      </c>
      <c r="W136" s="13">
        <v>0.0</v>
      </c>
      <c r="X136" s="13">
        <v>0.0</v>
      </c>
      <c r="Y136" s="13">
        <v>0.0</v>
      </c>
      <c r="Z136" s="13">
        <v>0.0</v>
      </c>
      <c r="AA136" s="13">
        <v>0.0</v>
      </c>
      <c r="AB136" s="13">
        <v>0.0</v>
      </c>
      <c r="AC136" s="13">
        <v>0.0</v>
      </c>
    </row>
    <row r="137">
      <c r="A137" s="11" t="s">
        <v>38</v>
      </c>
      <c r="B137" s="12" t="s">
        <v>43</v>
      </c>
      <c r="C137" s="13">
        <v>1.0</v>
      </c>
      <c r="D137" s="28">
        <v>12.0</v>
      </c>
      <c r="E137" s="13">
        <v>3.0</v>
      </c>
      <c r="F137" s="13">
        <v>14.0</v>
      </c>
      <c r="G137" s="13">
        <v>0.0</v>
      </c>
      <c r="H137" s="13">
        <v>22.0</v>
      </c>
      <c r="I137" s="30">
        <f t="shared" si="127"/>
        <v>-8</v>
      </c>
      <c r="J137" s="32">
        <f t="shared" si="128"/>
        <v>0.6363636364</v>
      </c>
      <c r="K137" s="13">
        <v>37.0</v>
      </c>
      <c r="L137" s="13">
        <v>22.0</v>
      </c>
      <c r="M137" s="13">
        <v>1.0</v>
      </c>
      <c r="N137" s="33">
        <f t="shared" si="129"/>
        <v>12</v>
      </c>
      <c r="O137" s="13">
        <v>0.0</v>
      </c>
      <c r="P137" s="13">
        <v>0.0</v>
      </c>
      <c r="Q137" s="13">
        <v>0.0</v>
      </c>
      <c r="R137" s="13">
        <v>0.0</v>
      </c>
      <c r="S137" s="13">
        <v>0.0</v>
      </c>
      <c r="T137" s="13">
        <v>0.0</v>
      </c>
      <c r="U137" s="13">
        <v>0.0</v>
      </c>
      <c r="V137" s="13">
        <v>0.0</v>
      </c>
      <c r="W137" s="13">
        <v>0.0</v>
      </c>
      <c r="X137" s="13">
        <v>0.0</v>
      </c>
      <c r="Y137" s="13">
        <v>0.0</v>
      </c>
      <c r="Z137" s="13">
        <v>0.0</v>
      </c>
      <c r="AA137" s="13">
        <v>0.0</v>
      </c>
      <c r="AB137" s="13">
        <v>0.0</v>
      </c>
      <c r="AC137" s="13">
        <v>0.0</v>
      </c>
    </row>
    <row r="138">
      <c r="A138" s="34"/>
      <c r="B138" s="34"/>
      <c r="C138" s="34">
        <f t="shared" ref="C138:D138" si="130">SUM(C134:C137)/4</f>
        <v>1</v>
      </c>
      <c r="D138" s="35">
        <f t="shared" si="130"/>
        <v>12</v>
      </c>
      <c r="E138" s="34">
        <f t="shared" ref="E138:H138" si="131">SUM(E134:E137)</f>
        <v>5</v>
      </c>
      <c r="F138" s="34">
        <f t="shared" si="131"/>
        <v>250</v>
      </c>
      <c r="G138" s="34">
        <f t="shared" si="131"/>
        <v>16</v>
      </c>
      <c r="H138" s="34">
        <f t="shared" si="131"/>
        <v>216</v>
      </c>
      <c r="I138" s="34">
        <f>SUM(F138-H138)</f>
        <v>34</v>
      </c>
      <c r="J138" s="36">
        <f>SUM(F138/H138)</f>
        <v>1.157407407</v>
      </c>
      <c r="K138" s="34">
        <f>SUM(K134:K137)/4</f>
        <v>17.75</v>
      </c>
      <c r="L138" s="34">
        <f>SUM(L134:L137)</f>
        <v>440</v>
      </c>
      <c r="M138" s="34"/>
      <c r="N138" s="35">
        <f>SUM(N134:N137)/4</f>
        <v>12</v>
      </c>
      <c r="O138" s="34">
        <f t="shared" ref="O138:AC138" si="132">SUM(O134:O137)</f>
        <v>51</v>
      </c>
      <c r="P138" s="34">
        <f t="shared" si="132"/>
        <v>19</v>
      </c>
      <c r="Q138" s="34">
        <f t="shared" si="132"/>
        <v>8</v>
      </c>
      <c r="R138" s="34">
        <f t="shared" si="132"/>
        <v>3</v>
      </c>
      <c r="S138" s="34">
        <f t="shared" si="132"/>
        <v>9</v>
      </c>
      <c r="T138" s="34">
        <f t="shared" si="132"/>
        <v>0</v>
      </c>
      <c r="U138" s="34">
        <f t="shared" si="132"/>
        <v>0</v>
      </c>
      <c r="V138" s="34">
        <f t="shared" si="132"/>
        <v>0</v>
      </c>
      <c r="W138" s="34">
        <f t="shared" si="132"/>
        <v>0</v>
      </c>
      <c r="X138" s="34">
        <f t="shared" si="132"/>
        <v>0</v>
      </c>
      <c r="Y138" s="34">
        <f t="shared" si="132"/>
        <v>0</v>
      </c>
      <c r="Z138" s="34">
        <f t="shared" si="132"/>
        <v>0</v>
      </c>
      <c r="AA138" s="34">
        <f t="shared" si="132"/>
        <v>0</v>
      </c>
      <c r="AB138" s="34">
        <f t="shared" si="132"/>
        <v>0</v>
      </c>
      <c r="AC138" s="34">
        <f t="shared" si="132"/>
        <v>0</v>
      </c>
    </row>
    <row r="139">
      <c r="A139" s="11" t="s">
        <v>72</v>
      </c>
      <c r="B139" s="12" t="s">
        <v>90</v>
      </c>
      <c r="C139" s="13">
        <v>0.0</v>
      </c>
      <c r="D139" s="28">
        <v>12.0</v>
      </c>
      <c r="E139" s="13">
        <v>1.0</v>
      </c>
      <c r="F139" s="13">
        <v>62.0</v>
      </c>
      <c r="G139" s="13">
        <v>1.0</v>
      </c>
      <c r="H139" s="13">
        <v>64.0</v>
      </c>
      <c r="I139" s="30">
        <f t="shared" ref="I139:I142" si="133">F139-H139</f>
        <v>-2</v>
      </c>
      <c r="J139" s="32">
        <f t="shared" ref="J139:J142" si="134">F139/H139</f>
        <v>0.96875</v>
      </c>
      <c r="K139" s="13">
        <v>11.0</v>
      </c>
      <c r="L139" s="13">
        <v>99.0</v>
      </c>
      <c r="M139" s="13">
        <v>1.0</v>
      </c>
      <c r="N139" s="33">
        <f t="shared" ref="N139:N142" si="135">SUM(M139*D139)</f>
        <v>12</v>
      </c>
      <c r="O139" s="13">
        <v>8.0</v>
      </c>
      <c r="P139" s="13">
        <v>3.0</v>
      </c>
      <c r="Q139" s="13">
        <v>1.0</v>
      </c>
      <c r="R139" s="13">
        <v>1.0</v>
      </c>
      <c r="S139" s="13">
        <v>1.0</v>
      </c>
      <c r="T139" s="13">
        <v>0.0</v>
      </c>
      <c r="U139" s="13">
        <v>0.0</v>
      </c>
      <c r="V139" s="13">
        <v>0.0</v>
      </c>
      <c r="W139" s="13">
        <v>0.0</v>
      </c>
      <c r="X139" s="13">
        <v>0.0</v>
      </c>
      <c r="Y139" s="13">
        <v>0.0</v>
      </c>
      <c r="Z139" s="13">
        <v>0.0</v>
      </c>
      <c r="AA139" s="13">
        <v>0.0</v>
      </c>
      <c r="AB139" s="13">
        <v>0.0</v>
      </c>
      <c r="AC139" s="13">
        <v>0.0</v>
      </c>
    </row>
    <row r="140">
      <c r="A140" s="11" t="s">
        <v>72</v>
      </c>
      <c r="B140" s="12" t="s">
        <v>91</v>
      </c>
      <c r="C140" s="13">
        <v>0.0</v>
      </c>
      <c r="D140" s="28">
        <v>12.0</v>
      </c>
      <c r="E140" s="13">
        <v>0.0</v>
      </c>
      <c r="F140" s="13">
        <v>63.0</v>
      </c>
      <c r="G140" s="13">
        <v>7.0</v>
      </c>
      <c r="H140" s="13">
        <v>66.0</v>
      </c>
      <c r="I140" s="30">
        <f t="shared" si="133"/>
        <v>-3</v>
      </c>
      <c r="J140" s="32">
        <f t="shared" si="134"/>
        <v>0.9545454545</v>
      </c>
      <c r="K140" s="13">
        <v>10.0</v>
      </c>
      <c r="L140" s="13">
        <v>110.0</v>
      </c>
      <c r="M140" s="13">
        <v>1.0</v>
      </c>
      <c r="N140" s="33">
        <f t="shared" si="135"/>
        <v>12</v>
      </c>
      <c r="O140" s="13">
        <v>12.0</v>
      </c>
      <c r="P140" s="13">
        <v>2.0</v>
      </c>
      <c r="Q140" s="13">
        <v>1.0</v>
      </c>
      <c r="R140" s="13">
        <v>1.0</v>
      </c>
      <c r="S140" s="13">
        <v>1.0</v>
      </c>
      <c r="T140" s="13">
        <v>0.0</v>
      </c>
      <c r="U140" s="13">
        <v>0.0</v>
      </c>
      <c r="V140" s="13">
        <v>0.0</v>
      </c>
      <c r="W140" s="13">
        <v>0.0</v>
      </c>
      <c r="X140" s="13">
        <v>0.0</v>
      </c>
      <c r="Y140" s="13">
        <v>0.0</v>
      </c>
      <c r="Z140" s="13">
        <v>0.0</v>
      </c>
      <c r="AA140" s="13">
        <v>0.0</v>
      </c>
      <c r="AB140" s="13">
        <v>0.0</v>
      </c>
      <c r="AC140" s="13">
        <v>0.0</v>
      </c>
    </row>
    <row r="141">
      <c r="A141" s="11" t="s">
        <v>72</v>
      </c>
      <c r="B141" s="12" t="s">
        <v>92</v>
      </c>
      <c r="C141" s="13">
        <v>0.0</v>
      </c>
      <c r="D141" s="28">
        <v>12.0</v>
      </c>
      <c r="E141" s="13">
        <v>0.0</v>
      </c>
      <c r="F141" s="13">
        <v>46.0</v>
      </c>
      <c r="G141" s="13">
        <v>7.0</v>
      </c>
      <c r="H141" s="13">
        <v>60.0</v>
      </c>
      <c r="I141" s="30">
        <f t="shared" si="133"/>
        <v>-14</v>
      </c>
      <c r="J141" s="32">
        <f t="shared" si="134"/>
        <v>0.7666666667</v>
      </c>
      <c r="K141" s="13">
        <v>12.0</v>
      </c>
      <c r="L141" s="13">
        <v>85.0</v>
      </c>
      <c r="M141" s="13">
        <v>1.0</v>
      </c>
      <c r="N141" s="33">
        <f t="shared" si="135"/>
        <v>12</v>
      </c>
      <c r="O141" s="13">
        <v>5.0</v>
      </c>
      <c r="P141" s="13">
        <v>0.0</v>
      </c>
      <c r="Q141" s="13">
        <v>0.0</v>
      </c>
      <c r="R141" s="13">
        <v>0.0</v>
      </c>
      <c r="S141" s="13">
        <v>1.0</v>
      </c>
      <c r="T141" s="13">
        <v>0.0</v>
      </c>
      <c r="U141" s="13">
        <v>0.0</v>
      </c>
      <c r="V141" s="13">
        <v>0.0</v>
      </c>
      <c r="W141" s="13">
        <v>0.0</v>
      </c>
      <c r="X141" s="13">
        <v>0.0</v>
      </c>
      <c r="Y141" s="13">
        <v>0.0</v>
      </c>
      <c r="Z141" s="13">
        <v>0.0</v>
      </c>
      <c r="AA141" s="13">
        <v>0.0</v>
      </c>
      <c r="AB141" s="13">
        <v>0.0</v>
      </c>
      <c r="AC141" s="13">
        <v>0.0</v>
      </c>
    </row>
    <row r="142">
      <c r="A142" s="11" t="s">
        <v>72</v>
      </c>
      <c r="B142" s="12" t="s">
        <v>93</v>
      </c>
      <c r="C142" s="13">
        <v>0.0</v>
      </c>
      <c r="D142" s="28">
        <v>12.0</v>
      </c>
      <c r="E142" s="13">
        <v>0.0</v>
      </c>
      <c r="F142" s="13">
        <v>31.0</v>
      </c>
      <c r="G142" s="13">
        <v>6.0</v>
      </c>
      <c r="H142" s="13">
        <v>75.0</v>
      </c>
      <c r="I142" s="30">
        <f t="shared" si="133"/>
        <v>-44</v>
      </c>
      <c r="J142" s="32">
        <f t="shared" si="134"/>
        <v>0.4133333333</v>
      </c>
      <c r="K142" s="13">
        <v>9.0</v>
      </c>
      <c r="L142" s="13">
        <v>45.0</v>
      </c>
      <c r="M142" s="13">
        <v>1.0</v>
      </c>
      <c r="N142" s="33">
        <f t="shared" si="135"/>
        <v>12</v>
      </c>
      <c r="O142" s="13">
        <v>1.0</v>
      </c>
      <c r="P142" s="13">
        <v>0.0</v>
      </c>
      <c r="Q142" s="13">
        <v>0.0</v>
      </c>
      <c r="R142" s="13">
        <v>0.0</v>
      </c>
      <c r="S142" s="13">
        <v>0.0</v>
      </c>
      <c r="T142" s="13">
        <v>0.0</v>
      </c>
      <c r="U142" s="13">
        <v>0.0</v>
      </c>
      <c r="V142" s="13">
        <v>0.0</v>
      </c>
      <c r="W142" s="13">
        <v>0.0</v>
      </c>
      <c r="X142" s="13">
        <v>0.0</v>
      </c>
      <c r="Y142" s="13">
        <v>0.0</v>
      </c>
      <c r="Z142" s="13">
        <v>0.0</v>
      </c>
      <c r="AA142" s="13">
        <v>0.0</v>
      </c>
      <c r="AB142" s="13">
        <v>0.0</v>
      </c>
      <c r="AC142" s="13">
        <v>0.0</v>
      </c>
    </row>
    <row r="143">
      <c r="A143" s="34" t="s">
        <v>49</v>
      </c>
      <c r="B143" s="34"/>
      <c r="C143" s="34">
        <f>SUM(C139:C142)</f>
        <v>0</v>
      </c>
      <c r="D143" s="35">
        <f t="shared" ref="D143:E143" si="136">SUM(D139:D142)/4</f>
        <v>12</v>
      </c>
      <c r="E143" s="34">
        <f t="shared" si="136"/>
        <v>0.25</v>
      </c>
      <c r="F143" s="34">
        <f t="shared" ref="F143:H143" si="137">SUM(F139:F142)</f>
        <v>202</v>
      </c>
      <c r="G143" s="34">
        <f t="shared" si="137"/>
        <v>21</v>
      </c>
      <c r="H143" s="34">
        <f t="shared" si="137"/>
        <v>265</v>
      </c>
      <c r="I143" s="34">
        <f>SUM(F143-H143)</f>
        <v>-63</v>
      </c>
      <c r="J143" s="36">
        <f>SUM(F143/H143)</f>
        <v>0.7622641509</v>
      </c>
      <c r="K143" s="34">
        <f>SUM(K139:K142)/4</f>
        <v>10.5</v>
      </c>
      <c r="L143" s="34">
        <f>SUM(L139:L142)</f>
        <v>339</v>
      </c>
      <c r="M143" s="34"/>
      <c r="N143" s="35">
        <f>SUM(N139:N142)/4</f>
        <v>12</v>
      </c>
      <c r="O143" s="34">
        <f t="shared" ref="O143:AC143" si="138">SUM(O139:O142)</f>
        <v>26</v>
      </c>
      <c r="P143" s="34">
        <f t="shared" si="138"/>
        <v>5</v>
      </c>
      <c r="Q143" s="34">
        <f t="shared" si="138"/>
        <v>2</v>
      </c>
      <c r="R143" s="34">
        <f t="shared" si="138"/>
        <v>2</v>
      </c>
      <c r="S143" s="34">
        <f t="shared" si="138"/>
        <v>3</v>
      </c>
      <c r="T143" s="34">
        <f t="shared" si="138"/>
        <v>0</v>
      </c>
      <c r="U143" s="34">
        <f t="shared" si="138"/>
        <v>0</v>
      </c>
      <c r="V143" s="34">
        <f t="shared" si="138"/>
        <v>0</v>
      </c>
      <c r="W143" s="37">
        <f t="shared" si="138"/>
        <v>0</v>
      </c>
      <c r="X143" s="34">
        <f t="shared" si="138"/>
        <v>0</v>
      </c>
      <c r="Y143" s="34">
        <f t="shared" si="138"/>
        <v>0</v>
      </c>
      <c r="Z143" s="34">
        <f t="shared" si="138"/>
        <v>0</v>
      </c>
      <c r="AA143" s="34">
        <f t="shared" si="138"/>
        <v>0</v>
      </c>
      <c r="AB143" s="37">
        <f t="shared" si="138"/>
        <v>0</v>
      </c>
      <c r="AC143" s="37">
        <f t="shared" si="138"/>
        <v>0</v>
      </c>
    </row>
    <row r="144">
      <c r="A144" s="15" t="s">
        <v>107</v>
      </c>
    </row>
    <row r="145">
      <c r="A145" s="19"/>
      <c r="E145" s="20" t="s">
        <v>33</v>
      </c>
      <c r="K145" s="22" t="s">
        <v>35</v>
      </c>
      <c r="M145" s="23" t="s">
        <v>36</v>
      </c>
      <c r="N145" s="24" t="s">
        <v>36</v>
      </c>
    </row>
    <row r="146">
      <c r="A146" s="4" t="s">
        <v>1</v>
      </c>
      <c r="B146" s="4" t="s">
        <v>2</v>
      </c>
      <c r="C146" s="5" t="s">
        <v>4</v>
      </c>
      <c r="D146" s="6" t="s">
        <v>5</v>
      </c>
      <c r="E146" s="25" t="s">
        <v>37</v>
      </c>
      <c r="F146" s="7" t="s">
        <v>7</v>
      </c>
      <c r="G146" s="7" t="s">
        <v>8</v>
      </c>
      <c r="H146" s="7" t="s">
        <v>9</v>
      </c>
      <c r="I146" s="7" t="s">
        <v>10</v>
      </c>
      <c r="J146" s="7" t="s">
        <v>11</v>
      </c>
      <c r="K146" s="8" t="s">
        <v>12</v>
      </c>
      <c r="L146" s="8" t="s">
        <v>13</v>
      </c>
      <c r="M146" s="9" t="s">
        <v>14</v>
      </c>
      <c r="N146" s="10" t="s">
        <v>5</v>
      </c>
      <c r="O146" s="9" t="s">
        <v>15</v>
      </c>
      <c r="P146" s="9" t="s">
        <v>16</v>
      </c>
      <c r="Q146" s="9" t="s">
        <v>17</v>
      </c>
      <c r="R146" s="9" t="s">
        <v>18</v>
      </c>
      <c r="S146" s="9" t="s">
        <v>19</v>
      </c>
      <c r="T146" s="9" t="s">
        <v>20</v>
      </c>
      <c r="U146" s="9" t="s">
        <v>21</v>
      </c>
      <c r="V146" s="9" t="s">
        <v>22</v>
      </c>
      <c r="W146" s="9" t="s">
        <v>23</v>
      </c>
      <c r="X146" s="9" t="s">
        <v>24</v>
      </c>
      <c r="Y146" s="9" t="s">
        <v>25</v>
      </c>
      <c r="Z146" s="9" t="s">
        <v>26</v>
      </c>
      <c r="AA146" s="9" t="s">
        <v>27</v>
      </c>
      <c r="AB146" s="9" t="s">
        <v>28</v>
      </c>
      <c r="AC146" s="9" t="s">
        <v>29</v>
      </c>
    </row>
    <row r="147">
      <c r="A147" s="11" t="s">
        <v>44</v>
      </c>
      <c r="B147" s="12" t="s">
        <v>54</v>
      </c>
      <c r="C147" s="13">
        <v>1.0</v>
      </c>
      <c r="D147" s="28">
        <v>66.5</v>
      </c>
      <c r="E147" s="13">
        <v>1.0</v>
      </c>
      <c r="F147" s="13">
        <v>243.0</v>
      </c>
      <c r="G147" s="13">
        <v>10.0</v>
      </c>
      <c r="H147" s="13">
        <v>259.0</v>
      </c>
      <c r="I147" s="30">
        <f t="shared" ref="I147:I150" si="139">F147-H147</f>
        <v>-16</v>
      </c>
      <c r="J147" s="32">
        <f t="shared" ref="J147:J150" si="140">F147/H147</f>
        <v>0.9382239382</v>
      </c>
      <c r="K147" s="13">
        <v>12.0</v>
      </c>
      <c r="L147" s="13">
        <v>357.0</v>
      </c>
      <c r="M147" s="13">
        <v>1.0</v>
      </c>
      <c r="N147" s="33">
        <f t="shared" ref="N147:N150" si="141">SUM(M147*D147)</f>
        <v>66.5</v>
      </c>
      <c r="O147" s="13">
        <v>27.0</v>
      </c>
      <c r="P147" s="13">
        <v>6.0</v>
      </c>
      <c r="Q147" s="13">
        <v>2.0</v>
      </c>
      <c r="R147" s="13">
        <v>0.0</v>
      </c>
      <c r="S147" s="13">
        <v>3.0</v>
      </c>
      <c r="T147" s="13">
        <v>0.0</v>
      </c>
      <c r="U147" s="13">
        <v>0.0</v>
      </c>
      <c r="V147" s="13">
        <v>0.0</v>
      </c>
      <c r="W147" s="13">
        <v>0.0</v>
      </c>
      <c r="X147" s="13">
        <v>0.0</v>
      </c>
      <c r="Y147" s="13">
        <v>0.0</v>
      </c>
      <c r="Z147" s="13">
        <v>0.0</v>
      </c>
      <c r="AA147" s="13">
        <v>0.0</v>
      </c>
      <c r="AB147" s="13">
        <v>0.0</v>
      </c>
      <c r="AC147" s="13">
        <v>0.0</v>
      </c>
    </row>
    <row r="148">
      <c r="A148" s="11" t="s">
        <v>44</v>
      </c>
      <c r="B148" s="12" t="s">
        <v>55</v>
      </c>
      <c r="C148" s="13">
        <v>1.0</v>
      </c>
      <c r="D148" s="28">
        <v>66.5</v>
      </c>
      <c r="E148" s="13">
        <v>0.0</v>
      </c>
      <c r="F148" s="13">
        <v>350.0</v>
      </c>
      <c r="G148" s="13">
        <v>26.0</v>
      </c>
      <c r="H148" s="13">
        <v>245.0</v>
      </c>
      <c r="I148" s="30">
        <f t="shared" si="139"/>
        <v>105</v>
      </c>
      <c r="J148" s="32">
        <f t="shared" si="140"/>
        <v>1.428571429</v>
      </c>
      <c r="K148" s="13">
        <v>13.0</v>
      </c>
      <c r="L148" s="13">
        <v>594.0</v>
      </c>
      <c r="M148" s="13">
        <v>1.0</v>
      </c>
      <c r="N148" s="33">
        <f t="shared" si="141"/>
        <v>66.5</v>
      </c>
      <c r="O148" s="13">
        <v>63.0</v>
      </c>
      <c r="P148" s="13">
        <v>14.0</v>
      </c>
      <c r="Q148" s="13">
        <v>5.0</v>
      </c>
      <c r="R148" s="13">
        <v>0.0</v>
      </c>
      <c r="S148" s="13">
        <v>12.0</v>
      </c>
      <c r="T148" s="13">
        <v>0.0</v>
      </c>
      <c r="U148" s="13">
        <v>0.0</v>
      </c>
      <c r="V148" s="13">
        <v>0.0</v>
      </c>
      <c r="W148" s="13">
        <v>0.0</v>
      </c>
      <c r="X148" s="13">
        <v>0.0</v>
      </c>
      <c r="Y148" s="13">
        <v>0.0</v>
      </c>
      <c r="Z148" s="13">
        <v>0.0</v>
      </c>
      <c r="AA148" s="13">
        <v>0.0</v>
      </c>
      <c r="AB148" s="13">
        <v>0.0</v>
      </c>
      <c r="AC148" s="13">
        <v>0.0</v>
      </c>
    </row>
    <row r="149">
      <c r="A149" s="11" t="s">
        <v>44</v>
      </c>
      <c r="B149" s="12" t="s">
        <v>108</v>
      </c>
      <c r="C149" s="13">
        <v>1.0</v>
      </c>
      <c r="D149" s="28">
        <v>66.5</v>
      </c>
      <c r="E149" s="13">
        <v>1.0</v>
      </c>
      <c r="F149" s="13">
        <v>291.0</v>
      </c>
      <c r="G149" s="13">
        <v>28.0</v>
      </c>
      <c r="H149" s="13">
        <v>312.0</v>
      </c>
      <c r="I149" s="30">
        <f t="shared" si="139"/>
        <v>-21</v>
      </c>
      <c r="J149" s="32">
        <f t="shared" si="140"/>
        <v>0.9326923077</v>
      </c>
      <c r="K149" s="13">
        <v>9.0</v>
      </c>
      <c r="L149" s="13">
        <v>453.0</v>
      </c>
      <c r="M149" s="13">
        <v>1.0</v>
      </c>
      <c r="N149" s="33">
        <f t="shared" si="141"/>
        <v>66.5</v>
      </c>
      <c r="O149" s="13">
        <v>49.0</v>
      </c>
      <c r="P149" s="13">
        <v>5.0</v>
      </c>
      <c r="Q149" s="13">
        <v>0.0</v>
      </c>
      <c r="R149" s="13">
        <v>0.0</v>
      </c>
      <c r="S149" s="13">
        <v>0.0</v>
      </c>
      <c r="T149" s="13">
        <v>0.0</v>
      </c>
      <c r="U149" s="13">
        <v>0.0</v>
      </c>
      <c r="V149" s="13">
        <v>0.0</v>
      </c>
      <c r="W149" s="13">
        <v>0.0</v>
      </c>
      <c r="X149" s="13">
        <v>0.0</v>
      </c>
      <c r="Y149" s="13">
        <v>0.0</v>
      </c>
      <c r="Z149" s="13">
        <v>0.0</v>
      </c>
      <c r="AA149" s="13">
        <v>0.0</v>
      </c>
      <c r="AB149" s="13">
        <v>0.0</v>
      </c>
      <c r="AC149" s="13">
        <v>0.0</v>
      </c>
    </row>
    <row r="150">
      <c r="A150" s="11" t="s">
        <v>44</v>
      </c>
      <c r="B150" s="12" t="s">
        <v>57</v>
      </c>
      <c r="C150" s="13">
        <v>1.0</v>
      </c>
      <c r="D150" s="28">
        <v>66.5</v>
      </c>
      <c r="E150" s="13">
        <v>3.0</v>
      </c>
      <c r="F150" s="13">
        <v>160.0</v>
      </c>
      <c r="G150" s="13">
        <v>3.0</v>
      </c>
      <c r="H150" s="13">
        <v>166.0</v>
      </c>
      <c r="I150" s="30">
        <f t="shared" si="139"/>
        <v>-6</v>
      </c>
      <c r="J150" s="32">
        <f t="shared" si="140"/>
        <v>0.9638554217</v>
      </c>
      <c r="K150" s="13">
        <v>20.0</v>
      </c>
      <c r="L150" s="13">
        <v>227.0</v>
      </c>
      <c r="M150" s="13">
        <v>1.0</v>
      </c>
      <c r="N150" s="33">
        <f t="shared" si="141"/>
        <v>66.5</v>
      </c>
      <c r="O150" s="13">
        <v>17.0</v>
      </c>
      <c r="P150" s="13">
        <v>3.0</v>
      </c>
      <c r="Q150" s="13">
        <v>0.0</v>
      </c>
      <c r="R150" s="13">
        <v>0.0</v>
      </c>
      <c r="S150" s="13">
        <v>1.0</v>
      </c>
      <c r="T150" s="13">
        <v>0.0</v>
      </c>
      <c r="U150" s="13">
        <v>0.0</v>
      </c>
      <c r="V150" s="13">
        <v>0.0</v>
      </c>
      <c r="W150" s="13">
        <v>0.0</v>
      </c>
      <c r="X150" s="13">
        <v>0.0</v>
      </c>
      <c r="Y150" s="13">
        <v>0.0</v>
      </c>
      <c r="Z150" s="13">
        <v>0.0</v>
      </c>
      <c r="AA150" s="13">
        <v>0.0</v>
      </c>
      <c r="AB150" s="13">
        <v>0.0</v>
      </c>
      <c r="AC150" s="13">
        <v>0.0</v>
      </c>
    </row>
    <row r="151">
      <c r="A151" s="34"/>
      <c r="B151" s="34"/>
      <c r="C151" s="34">
        <f t="shared" ref="C151:D151" si="142">SUM(C147:C150)/4</f>
        <v>1</v>
      </c>
      <c r="D151" s="35">
        <f t="shared" si="142"/>
        <v>66.5</v>
      </c>
      <c r="E151" s="34">
        <f t="shared" ref="E151:H151" si="143">SUM(E147:E150)</f>
        <v>5</v>
      </c>
      <c r="F151" s="34">
        <f t="shared" si="143"/>
        <v>1044</v>
      </c>
      <c r="G151" s="34">
        <f t="shared" si="143"/>
        <v>67</v>
      </c>
      <c r="H151" s="34">
        <f t="shared" si="143"/>
        <v>982</v>
      </c>
      <c r="I151" s="34">
        <f>SUM(F151-H151)</f>
        <v>62</v>
      </c>
      <c r="J151" s="36">
        <f>SUM(F151/H151)</f>
        <v>1.063136456</v>
      </c>
      <c r="K151" s="34">
        <f>SUM(K147:K150)/4</f>
        <v>13.5</v>
      </c>
      <c r="L151" s="34">
        <f>SUM(L147:L150)</f>
        <v>1631</v>
      </c>
      <c r="M151" s="34"/>
      <c r="N151" s="35">
        <f>SUM(N147:N150)/4</f>
        <v>66.5</v>
      </c>
      <c r="O151" s="34">
        <f t="shared" ref="O151:AC151" si="144">SUM(O147:O150)</f>
        <v>156</v>
      </c>
      <c r="P151" s="34">
        <f t="shared" si="144"/>
        <v>28</v>
      </c>
      <c r="Q151" s="34">
        <f t="shared" si="144"/>
        <v>7</v>
      </c>
      <c r="R151" s="34">
        <f t="shared" si="144"/>
        <v>0</v>
      </c>
      <c r="S151" s="34">
        <f t="shared" si="144"/>
        <v>16</v>
      </c>
      <c r="T151" s="34">
        <f t="shared" si="144"/>
        <v>0</v>
      </c>
      <c r="U151" s="34">
        <f t="shared" si="144"/>
        <v>0</v>
      </c>
      <c r="V151" s="34">
        <f t="shared" si="144"/>
        <v>0</v>
      </c>
      <c r="W151" s="34">
        <f t="shared" si="144"/>
        <v>0</v>
      </c>
      <c r="X151" s="34">
        <f t="shared" si="144"/>
        <v>0</v>
      </c>
      <c r="Y151" s="34">
        <f t="shared" si="144"/>
        <v>0</v>
      </c>
      <c r="Z151" s="34">
        <f t="shared" si="144"/>
        <v>0</v>
      </c>
      <c r="AA151" s="34">
        <f t="shared" si="144"/>
        <v>0</v>
      </c>
      <c r="AB151" s="34">
        <f t="shared" si="144"/>
        <v>0</v>
      </c>
      <c r="AC151" s="34">
        <f t="shared" si="144"/>
        <v>0</v>
      </c>
    </row>
    <row r="152">
      <c r="A152" s="11" t="s">
        <v>65</v>
      </c>
      <c r="B152" s="12" t="s">
        <v>84</v>
      </c>
      <c r="C152" s="13">
        <v>0.0</v>
      </c>
      <c r="D152" s="28">
        <v>66.5</v>
      </c>
      <c r="E152" s="13">
        <v>0.0</v>
      </c>
      <c r="F152" s="13">
        <v>300.0</v>
      </c>
      <c r="G152" s="13">
        <v>29.0</v>
      </c>
      <c r="H152" s="13">
        <v>303.0</v>
      </c>
      <c r="I152" s="30">
        <f t="shared" ref="I152:I155" si="145">F152-H152</f>
        <v>-3</v>
      </c>
      <c r="J152" s="32">
        <f t="shared" ref="J152:J155" si="146">F152/H152</f>
        <v>0.9900990099</v>
      </c>
      <c r="K152" s="13">
        <v>10.0</v>
      </c>
      <c r="L152" s="13">
        <v>489.0</v>
      </c>
      <c r="M152" s="13">
        <v>1.0</v>
      </c>
      <c r="N152" s="33">
        <f t="shared" ref="N152:N155" si="147">SUM(M152*D152)</f>
        <v>66.5</v>
      </c>
      <c r="O152" s="13">
        <v>43.0</v>
      </c>
      <c r="P152" s="13">
        <v>17.0</v>
      </c>
      <c r="Q152" s="13">
        <v>3.0</v>
      </c>
      <c r="R152" s="13">
        <v>2.0</v>
      </c>
      <c r="S152" s="13">
        <v>3.0</v>
      </c>
      <c r="T152" s="13">
        <v>0.0</v>
      </c>
      <c r="U152" s="13">
        <v>0.0</v>
      </c>
      <c r="V152" s="13">
        <v>0.0</v>
      </c>
      <c r="W152" s="13">
        <v>0.0</v>
      </c>
      <c r="X152" s="13">
        <v>0.0</v>
      </c>
      <c r="Y152" s="13">
        <v>1.0</v>
      </c>
      <c r="Z152" s="13">
        <v>0.0</v>
      </c>
      <c r="AA152" s="13">
        <v>0.0</v>
      </c>
      <c r="AB152" s="13">
        <v>0.0</v>
      </c>
      <c r="AC152" s="13">
        <v>0.0</v>
      </c>
    </row>
    <row r="153">
      <c r="A153" s="11" t="s">
        <v>65</v>
      </c>
      <c r="B153" s="12" t="s">
        <v>85</v>
      </c>
      <c r="C153" s="13">
        <v>0.0</v>
      </c>
      <c r="D153" s="28">
        <v>66.5</v>
      </c>
      <c r="E153" s="13">
        <v>0.0</v>
      </c>
      <c r="F153" s="13">
        <v>261.0</v>
      </c>
      <c r="G153" s="13">
        <v>23.0</v>
      </c>
      <c r="H153" s="13">
        <v>212.0</v>
      </c>
      <c r="I153" s="30">
        <f t="shared" si="145"/>
        <v>49</v>
      </c>
      <c r="J153" s="32">
        <f t="shared" si="146"/>
        <v>1.231132075</v>
      </c>
      <c r="K153" s="13">
        <v>15.0</v>
      </c>
      <c r="L153" s="13">
        <v>436.0</v>
      </c>
      <c r="M153" s="13">
        <v>1.0</v>
      </c>
      <c r="N153" s="33">
        <f t="shared" si="147"/>
        <v>66.5</v>
      </c>
      <c r="O153" s="13">
        <v>41.0</v>
      </c>
      <c r="P153" s="13">
        <v>4.0</v>
      </c>
      <c r="Q153" s="13">
        <v>0.0</v>
      </c>
      <c r="R153" s="13">
        <v>0.0</v>
      </c>
      <c r="S153" s="13">
        <v>2.0</v>
      </c>
      <c r="T153" s="13">
        <v>0.0</v>
      </c>
      <c r="U153" s="13">
        <v>0.0</v>
      </c>
      <c r="V153" s="13">
        <v>0.0</v>
      </c>
      <c r="W153" s="13">
        <v>0.0</v>
      </c>
      <c r="X153" s="13">
        <v>0.0</v>
      </c>
      <c r="Y153" s="13">
        <v>0.0</v>
      </c>
      <c r="Z153" s="13">
        <v>0.0</v>
      </c>
      <c r="AA153" s="13">
        <v>0.0</v>
      </c>
      <c r="AB153" s="13">
        <v>0.0</v>
      </c>
      <c r="AC153" s="13">
        <v>0.0</v>
      </c>
    </row>
    <row r="154">
      <c r="A154" s="11" t="s">
        <v>65</v>
      </c>
      <c r="B154" s="12" t="s">
        <v>86</v>
      </c>
      <c r="C154" s="13">
        <v>0.0</v>
      </c>
      <c r="D154" s="28">
        <v>66.5</v>
      </c>
      <c r="E154" s="13">
        <v>2.0</v>
      </c>
      <c r="F154" s="13">
        <v>160.0</v>
      </c>
      <c r="G154" s="13">
        <v>10.0</v>
      </c>
      <c r="H154" s="13">
        <v>239.0</v>
      </c>
      <c r="I154" s="30">
        <f t="shared" si="145"/>
        <v>-79</v>
      </c>
      <c r="J154" s="32">
        <f t="shared" si="146"/>
        <v>0.6694560669</v>
      </c>
      <c r="K154" s="13">
        <v>13.0</v>
      </c>
      <c r="L154" s="13">
        <v>248.0</v>
      </c>
      <c r="M154" s="13">
        <v>1.0</v>
      </c>
      <c r="N154" s="33">
        <f t="shared" si="147"/>
        <v>66.5</v>
      </c>
      <c r="O154" s="13">
        <v>17.0</v>
      </c>
      <c r="P154" s="13">
        <v>2.0</v>
      </c>
      <c r="Q154" s="13">
        <v>0.0</v>
      </c>
      <c r="R154" s="13">
        <v>0.0</v>
      </c>
      <c r="S154" s="13">
        <v>1.0</v>
      </c>
      <c r="T154" s="13">
        <v>0.0</v>
      </c>
      <c r="U154" s="13">
        <v>0.0</v>
      </c>
      <c r="V154" s="13">
        <v>0.0</v>
      </c>
      <c r="W154" s="13">
        <v>0.0</v>
      </c>
      <c r="X154" s="13">
        <v>0.0</v>
      </c>
      <c r="Y154" s="13">
        <v>0.0</v>
      </c>
      <c r="Z154" s="13">
        <v>0.0</v>
      </c>
      <c r="AA154" s="13">
        <v>0.0</v>
      </c>
      <c r="AB154" s="13">
        <v>0.0</v>
      </c>
      <c r="AC154" s="13">
        <v>0.0</v>
      </c>
    </row>
    <row r="155">
      <c r="A155" s="11" t="s">
        <v>65</v>
      </c>
      <c r="B155" s="12" t="s">
        <v>87</v>
      </c>
      <c r="C155" s="13">
        <v>0.0</v>
      </c>
      <c r="D155" s="28">
        <v>66.5</v>
      </c>
      <c r="E155" s="13">
        <v>0.0</v>
      </c>
      <c r="F155" s="13">
        <v>240.0</v>
      </c>
      <c r="G155" s="13">
        <v>12.0</v>
      </c>
      <c r="H155" s="13">
        <v>310.0</v>
      </c>
      <c r="I155" s="30">
        <f t="shared" si="145"/>
        <v>-70</v>
      </c>
      <c r="J155" s="32">
        <f t="shared" si="146"/>
        <v>0.7741935484</v>
      </c>
      <c r="K155" s="13">
        <v>9.0</v>
      </c>
      <c r="L155" s="13">
        <v>368.0</v>
      </c>
      <c r="M155" s="13">
        <v>1.0</v>
      </c>
      <c r="N155" s="33">
        <f t="shared" si="147"/>
        <v>66.5</v>
      </c>
      <c r="O155" s="13">
        <v>37.0</v>
      </c>
      <c r="P155" s="13">
        <v>5.0</v>
      </c>
      <c r="Q155" s="13">
        <v>0.0</v>
      </c>
      <c r="R155" s="13">
        <v>0.0</v>
      </c>
      <c r="S155" s="13">
        <v>0.0</v>
      </c>
      <c r="T155" s="13">
        <v>0.0</v>
      </c>
      <c r="U155" s="13">
        <v>0.0</v>
      </c>
      <c r="V155" s="13">
        <v>0.0</v>
      </c>
      <c r="W155" s="13">
        <v>0.0</v>
      </c>
      <c r="X155" s="13">
        <v>0.0</v>
      </c>
      <c r="Y155" s="13">
        <v>0.0</v>
      </c>
      <c r="Z155" s="13">
        <v>0.0</v>
      </c>
      <c r="AA155" s="13">
        <v>0.0</v>
      </c>
      <c r="AB155" s="13">
        <v>0.0</v>
      </c>
      <c r="AC155" s="13">
        <v>0.0</v>
      </c>
    </row>
    <row r="156">
      <c r="A156" s="34" t="s">
        <v>49</v>
      </c>
      <c r="B156" s="34"/>
      <c r="C156" s="34">
        <f>SUM(C152:C155)</f>
        <v>0</v>
      </c>
      <c r="D156" s="35">
        <f t="shared" ref="D156:E156" si="148">SUM(D152:D155)/4</f>
        <v>66.5</v>
      </c>
      <c r="E156" s="34">
        <f t="shared" si="148"/>
        <v>0.5</v>
      </c>
      <c r="F156" s="34">
        <f t="shared" ref="F156:H156" si="149">SUM(F152:F155)</f>
        <v>961</v>
      </c>
      <c r="G156" s="34">
        <f t="shared" si="149"/>
        <v>74</v>
      </c>
      <c r="H156" s="34">
        <f t="shared" si="149"/>
        <v>1064</v>
      </c>
      <c r="I156" s="34">
        <f>SUM(F156-H156)</f>
        <v>-103</v>
      </c>
      <c r="J156" s="36">
        <f>SUM(F156/H156)</f>
        <v>0.9031954887</v>
      </c>
      <c r="K156" s="34">
        <f>SUM(K152:K155)/4</f>
        <v>11.75</v>
      </c>
      <c r="L156" s="34">
        <f>SUM(L152:L155)</f>
        <v>1541</v>
      </c>
      <c r="M156" s="34"/>
      <c r="N156" s="35">
        <f>SUM(N152:N155)/4</f>
        <v>66.5</v>
      </c>
      <c r="O156" s="34">
        <f t="shared" ref="O156:AC156" si="150">SUM(O152:O155)</f>
        <v>138</v>
      </c>
      <c r="P156" s="34">
        <f t="shared" si="150"/>
        <v>28</v>
      </c>
      <c r="Q156" s="34">
        <f t="shared" si="150"/>
        <v>3</v>
      </c>
      <c r="R156" s="34">
        <f t="shared" si="150"/>
        <v>2</v>
      </c>
      <c r="S156" s="34">
        <f t="shared" si="150"/>
        <v>6</v>
      </c>
      <c r="T156" s="34">
        <f t="shared" si="150"/>
        <v>0</v>
      </c>
      <c r="U156" s="34">
        <f t="shared" si="150"/>
        <v>0</v>
      </c>
      <c r="V156" s="34">
        <f t="shared" si="150"/>
        <v>0</v>
      </c>
      <c r="W156" s="37">
        <f t="shared" si="150"/>
        <v>0</v>
      </c>
      <c r="X156" s="34">
        <f t="shared" si="150"/>
        <v>0</v>
      </c>
      <c r="Y156" s="34">
        <f t="shared" si="150"/>
        <v>1</v>
      </c>
      <c r="Z156" s="34">
        <f t="shared" si="150"/>
        <v>0</v>
      </c>
      <c r="AA156" s="34">
        <f t="shared" si="150"/>
        <v>0</v>
      </c>
      <c r="AB156" s="37">
        <f t="shared" si="150"/>
        <v>0</v>
      </c>
      <c r="AC156" s="37">
        <f t="shared" si="150"/>
        <v>0</v>
      </c>
    </row>
    <row r="157">
      <c r="A157" s="15" t="s">
        <v>109</v>
      </c>
    </row>
    <row r="158">
      <c r="A158" s="19"/>
      <c r="E158" s="20" t="s">
        <v>33</v>
      </c>
      <c r="K158" s="22" t="s">
        <v>35</v>
      </c>
      <c r="M158" s="23" t="s">
        <v>36</v>
      </c>
      <c r="N158" s="24" t="s">
        <v>36</v>
      </c>
    </row>
    <row r="159">
      <c r="A159" s="4" t="s">
        <v>1</v>
      </c>
      <c r="B159" s="4" t="s">
        <v>2</v>
      </c>
      <c r="C159" s="5" t="s">
        <v>4</v>
      </c>
      <c r="D159" s="6" t="s">
        <v>5</v>
      </c>
      <c r="E159" s="25" t="s">
        <v>37</v>
      </c>
      <c r="F159" s="7" t="s">
        <v>7</v>
      </c>
      <c r="G159" s="7" t="s">
        <v>8</v>
      </c>
      <c r="H159" s="7" t="s">
        <v>9</v>
      </c>
      <c r="I159" s="7" t="s">
        <v>10</v>
      </c>
      <c r="J159" s="7" t="s">
        <v>11</v>
      </c>
      <c r="K159" s="8" t="s">
        <v>12</v>
      </c>
      <c r="L159" s="8" t="s">
        <v>13</v>
      </c>
      <c r="M159" s="9" t="s">
        <v>14</v>
      </c>
      <c r="N159" s="10" t="s">
        <v>5</v>
      </c>
      <c r="O159" s="9" t="s">
        <v>15</v>
      </c>
      <c r="P159" s="9" t="s">
        <v>16</v>
      </c>
      <c r="Q159" s="9" t="s">
        <v>17</v>
      </c>
      <c r="R159" s="9" t="s">
        <v>18</v>
      </c>
      <c r="S159" s="9" t="s">
        <v>19</v>
      </c>
      <c r="T159" s="9" t="s">
        <v>20</v>
      </c>
      <c r="U159" s="9" t="s">
        <v>21</v>
      </c>
      <c r="V159" s="9" t="s">
        <v>22</v>
      </c>
      <c r="W159" s="9" t="s">
        <v>23</v>
      </c>
      <c r="X159" s="9" t="s">
        <v>24</v>
      </c>
      <c r="Y159" s="9" t="s">
        <v>25</v>
      </c>
      <c r="Z159" s="9" t="s">
        <v>26</v>
      </c>
      <c r="AA159" s="9" t="s">
        <v>27</v>
      </c>
      <c r="AB159" s="9" t="s">
        <v>28</v>
      </c>
      <c r="AC159" s="9" t="s">
        <v>29</v>
      </c>
    </row>
    <row r="160">
      <c r="A160" s="11" t="s">
        <v>76</v>
      </c>
      <c r="B160" s="12" t="s">
        <v>80</v>
      </c>
      <c r="C160" s="13">
        <v>1.0</v>
      </c>
      <c r="D160" s="28">
        <v>35.0</v>
      </c>
      <c r="E160" s="13">
        <v>1.0</v>
      </c>
      <c r="F160" s="13">
        <v>165.0</v>
      </c>
      <c r="G160" s="13">
        <v>7.0</v>
      </c>
      <c r="H160" s="13">
        <v>139.0</v>
      </c>
      <c r="I160" s="30">
        <f t="shared" ref="I160:I163" si="151">F160-H160</f>
        <v>26</v>
      </c>
      <c r="J160" s="32">
        <f t="shared" ref="J160:J163" si="152">F160/H160</f>
        <v>1.18705036</v>
      </c>
      <c r="K160" s="13">
        <v>12.0</v>
      </c>
      <c r="L160" s="13">
        <v>250.0</v>
      </c>
      <c r="M160" s="13"/>
      <c r="N160" s="33">
        <f t="shared" ref="N160:N163" si="153">SUM(M160*D160)</f>
        <v>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  <c r="T160" s="13">
        <v>0.0</v>
      </c>
      <c r="U160" s="13">
        <v>0.0</v>
      </c>
      <c r="V160" s="13">
        <v>0.0</v>
      </c>
      <c r="W160" s="13">
        <v>0.0</v>
      </c>
      <c r="X160" s="13">
        <v>0.0</v>
      </c>
      <c r="Y160" s="13">
        <v>0.0</v>
      </c>
      <c r="Z160" s="13">
        <v>0.0</v>
      </c>
      <c r="AA160" s="13">
        <v>0.0</v>
      </c>
      <c r="AB160" s="13">
        <v>0.0</v>
      </c>
      <c r="AC160" s="13">
        <v>0.0</v>
      </c>
    </row>
    <row r="161">
      <c r="A161" s="11" t="s">
        <v>76</v>
      </c>
      <c r="B161" s="12" t="s">
        <v>81</v>
      </c>
      <c r="C161" s="13">
        <v>1.0</v>
      </c>
      <c r="D161" s="28">
        <v>35.0</v>
      </c>
      <c r="E161" s="13">
        <v>3.0</v>
      </c>
      <c r="F161" s="13">
        <v>57.0</v>
      </c>
      <c r="G161" s="13">
        <v>1.0</v>
      </c>
      <c r="H161" s="13">
        <v>90.0</v>
      </c>
      <c r="I161" s="30">
        <f t="shared" si="151"/>
        <v>-33</v>
      </c>
      <c r="J161" s="32">
        <f t="shared" si="152"/>
        <v>0.6333333333</v>
      </c>
      <c r="K161" s="13">
        <v>20.0</v>
      </c>
      <c r="L161" s="13">
        <v>87.0</v>
      </c>
      <c r="M161" s="13"/>
      <c r="N161" s="33">
        <f t="shared" si="153"/>
        <v>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13">
        <v>0.0</v>
      </c>
      <c r="U161" s="13">
        <v>0.0</v>
      </c>
      <c r="V161" s="13">
        <v>0.0</v>
      </c>
      <c r="W161" s="13">
        <v>0.0</v>
      </c>
      <c r="X161" s="13">
        <v>0.0</v>
      </c>
      <c r="Y161" s="13">
        <v>0.0</v>
      </c>
      <c r="Z161" s="13">
        <v>0.0</v>
      </c>
      <c r="AA161" s="13">
        <v>0.0</v>
      </c>
      <c r="AB161" s="13">
        <v>0.0</v>
      </c>
      <c r="AC161" s="13">
        <v>0.0</v>
      </c>
    </row>
    <row r="162">
      <c r="A162" s="11" t="s">
        <v>76</v>
      </c>
      <c r="B162" s="12" t="s">
        <v>82</v>
      </c>
      <c r="C162" s="13">
        <v>1.0</v>
      </c>
      <c r="D162" s="28">
        <v>35.0</v>
      </c>
      <c r="E162" s="13">
        <v>0.0</v>
      </c>
      <c r="F162" s="13">
        <v>132.0</v>
      </c>
      <c r="G162" s="13">
        <v>10.0</v>
      </c>
      <c r="H162" s="13">
        <v>199.0</v>
      </c>
      <c r="I162" s="30">
        <f t="shared" si="151"/>
        <v>-67</v>
      </c>
      <c r="J162" s="32">
        <f t="shared" si="152"/>
        <v>0.6633165829</v>
      </c>
      <c r="K162" s="13">
        <v>7.0</v>
      </c>
      <c r="L162" s="13">
        <v>203.0</v>
      </c>
      <c r="M162" s="13"/>
      <c r="N162" s="33">
        <f t="shared" si="153"/>
        <v>0</v>
      </c>
      <c r="O162" s="13">
        <v>0.0</v>
      </c>
      <c r="P162" s="13">
        <v>0.0</v>
      </c>
      <c r="Q162" s="13">
        <v>0.0</v>
      </c>
      <c r="R162" s="13">
        <v>0.0</v>
      </c>
      <c r="S162" s="13">
        <v>0.0</v>
      </c>
      <c r="T162" s="13">
        <v>0.0</v>
      </c>
      <c r="U162" s="13">
        <v>0.0</v>
      </c>
      <c r="V162" s="13">
        <v>0.0</v>
      </c>
      <c r="W162" s="13">
        <v>0.0</v>
      </c>
      <c r="X162" s="13">
        <v>0.0</v>
      </c>
      <c r="Y162" s="13">
        <v>0.0</v>
      </c>
      <c r="Z162" s="13">
        <v>0.0</v>
      </c>
      <c r="AA162" s="13">
        <v>0.0</v>
      </c>
      <c r="AB162" s="13">
        <v>0.0</v>
      </c>
      <c r="AC162" s="13">
        <v>0.0</v>
      </c>
    </row>
    <row r="163">
      <c r="A163" s="11" t="s">
        <v>76</v>
      </c>
      <c r="B163" s="12" t="s">
        <v>83</v>
      </c>
      <c r="C163" s="13">
        <v>1.0</v>
      </c>
      <c r="D163" s="28">
        <v>35.0</v>
      </c>
      <c r="E163" s="13">
        <v>1.0</v>
      </c>
      <c r="F163" s="13">
        <v>100.0</v>
      </c>
      <c r="G163" s="13">
        <v>6.0</v>
      </c>
      <c r="H163" s="13">
        <v>173.0</v>
      </c>
      <c r="I163" s="30">
        <f t="shared" si="151"/>
        <v>-73</v>
      </c>
      <c r="J163" s="32">
        <f t="shared" si="152"/>
        <v>0.5780346821</v>
      </c>
      <c r="K163" s="13">
        <v>9.0</v>
      </c>
      <c r="L163" s="13">
        <v>146.0</v>
      </c>
      <c r="M163" s="13"/>
      <c r="N163" s="33">
        <f t="shared" si="153"/>
        <v>0</v>
      </c>
      <c r="O163" s="13">
        <v>0.0</v>
      </c>
      <c r="P163" s="13">
        <v>0.0</v>
      </c>
      <c r="Q163" s="13">
        <v>0.0</v>
      </c>
      <c r="R163" s="13">
        <v>0.0</v>
      </c>
      <c r="S163" s="13">
        <v>0.0</v>
      </c>
      <c r="T163" s="13">
        <v>0.0</v>
      </c>
      <c r="U163" s="13">
        <v>0.0</v>
      </c>
      <c r="V163" s="13">
        <v>0.0</v>
      </c>
      <c r="W163" s="13">
        <v>0.0</v>
      </c>
      <c r="X163" s="13">
        <v>0.0</v>
      </c>
      <c r="Y163" s="13">
        <v>0.0</v>
      </c>
      <c r="Z163" s="13">
        <v>0.0</v>
      </c>
      <c r="AA163" s="13">
        <v>0.0</v>
      </c>
      <c r="AB163" s="13">
        <v>0.0</v>
      </c>
      <c r="AC163" s="13">
        <v>0.0</v>
      </c>
    </row>
    <row r="164">
      <c r="A164" s="34"/>
      <c r="B164" s="34"/>
      <c r="C164" s="34">
        <f t="shared" ref="C164:D164" si="154">SUM(C160:C163)/4</f>
        <v>1</v>
      </c>
      <c r="D164" s="35">
        <f t="shared" si="154"/>
        <v>35</v>
      </c>
      <c r="E164" s="34">
        <f t="shared" ref="E164:H164" si="155">SUM(E160:E163)</f>
        <v>5</v>
      </c>
      <c r="F164" s="34">
        <f t="shared" si="155"/>
        <v>454</v>
      </c>
      <c r="G164" s="34">
        <f t="shared" si="155"/>
        <v>24</v>
      </c>
      <c r="H164" s="34">
        <f t="shared" si="155"/>
        <v>601</v>
      </c>
      <c r="I164" s="34">
        <f>SUM(F164-H164)</f>
        <v>-147</v>
      </c>
      <c r="J164" s="36">
        <f>SUM(F164/H164)</f>
        <v>0.7554076539</v>
      </c>
      <c r="K164" s="34">
        <f>SUM(K160:K163)/4</f>
        <v>12</v>
      </c>
      <c r="L164" s="34">
        <f>SUM(L160:L163)</f>
        <v>686</v>
      </c>
      <c r="M164" s="34"/>
      <c r="N164" s="35">
        <f>SUM(N160:N163)/4</f>
        <v>0</v>
      </c>
      <c r="O164" s="34">
        <f t="shared" ref="O164:AC164" si="156">SUM(O160:O163)</f>
        <v>0</v>
      </c>
      <c r="P164" s="34">
        <f t="shared" si="156"/>
        <v>0</v>
      </c>
      <c r="Q164" s="34">
        <f t="shared" si="156"/>
        <v>0</v>
      </c>
      <c r="R164" s="34">
        <f t="shared" si="156"/>
        <v>0</v>
      </c>
      <c r="S164" s="34">
        <f t="shared" si="156"/>
        <v>0</v>
      </c>
      <c r="T164" s="34">
        <f t="shared" si="156"/>
        <v>0</v>
      </c>
      <c r="U164" s="34">
        <f t="shared" si="156"/>
        <v>0</v>
      </c>
      <c r="V164" s="34">
        <f t="shared" si="156"/>
        <v>0</v>
      </c>
      <c r="W164" s="34">
        <f t="shared" si="156"/>
        <v>0</v>
      </c>
      <c r="X164" s="34">
        <f t="shared" si="156"/>
        <v>0</v>
      </c>
      <c r="Y164" s="34">
        <f t="shared" si="156"/>
        <v>0</v>
      </c>
      <c r="Z164" s="34">
        <f t="shared" si="156"/>
        <v>0</v>
      </c>
      <c r="AA164" s="34">
        <f t="shared" si="156"/>
        <v>0</v>
      </c>
      <c r="AB164" s="34">
        <f t="shared" si="156"/>
        <v>0</v>
      </c>
      <c r="AC164" s="34">
        <f t="shared" si="156"/>
        <v>0</v>
      </c>
    </row>
    <row r="165">
      <c r="A165" s="11" t="s">
        <v>50</v>
      </c>
      <c r="B165" s="12" t="s">
        <v>58</v>
      </c>
      <c r="C165" s="13">
        <v>0.0</v>
      </c>
      <c r="D165" s="28">
        <v>35.0</v>
      </c>
      <c r="E165" s="13">
        <v>1.0</v>
      </c>
      <c r="F165" s="13">
        <v>176.0</v>
      </c>
      <c r="G165" s="13">
        <v>7.0</v>
      </c>
      <c r="H165" s="13">
        <v>120.0</v>
      </c>
      <c r="I165" s="30">
        <f t="shared" ref="I165:I168" si="157">F165-H165</f>
        <v>56</v>
      </c>
      <c r="J165" s="32">
        <f t="shared" ref="J165:J168" si="158">F165/H165</f>
        <v>1.466666667</v>
      </c>
      <c r="K165" s="13">
        <v>14.0</v>
      </c>
      <c r="L165" s="13">
        <v>304.0</v>
      </c>
      <c r="M165" s="13"/>
      <c r="N165" s="33">
        <f t="shared" ref="N165:N168" si="159">SUM(M165*D165)</f>
        <v>0</v>
      </c>
      <c r="O165" s="13">
        <v>0.0</v>
      </c>
      <c r="P165" s="13">
        <v>0.0</v>
      </c>
      <c r="Q165" s="13">
        <v>0.0</v>
      </c>
      <c r="R165" s="13">
        <v>0.0</v>
      </c>
      <c r="S165" s="13">
        <v>0.0</v>
      </c>
      <c r="T165" s="13">
        <v>0.0</v>
      </c>
      <c r="U165" s="13">
        <v>0.0</v>
      </c>
      <c r="V165" s="13">
        <v>0.0</v>
      </c>
      <c r="W165" s="13">
        <v>0.0</v>
      </c>
      <c r="X165" s="13">
        <v>0.0</v>
      </c>
      <c r="Y165" s="13">
        <v>0.0</v>
      </c>
      <c r="Z165" s="13">
        <v>0.0</v>
      </c>
      <c r="AA165" s="13">
        <v>0.0</v>
      </c>
      <c r="AB165" s="13">
        <v>0.0</v>
      </c>
      <c r="AC165" s="13">
        <v>0.0</v>
      </c>
    </row>
    <row r="166">
      <c r="A166" s="11" t="s">
        <v>50</v>
      </c>
      <c r="B166" s="12" t="s">
        <v>59</v>
      </c>
      <c r="C166" s="13">
        <v>0.0</v>
      </c>
      <c r="D166" s="28">
        <v>35.0</v>
      </c>
      <c r="E166" s="13">
        <v>3.0</v>
      </c>
      <c r="F166" s="13">
        <v>137.0</v>
      </c>
      <c r="G166" s="13">
        <v>7.0</v>
      </c>
      <c r="H166" s="13">
        <v>106.0</v>
      </c>
      <c r="I166" s="30">
        <f t="shared" si="157"/>
        <v>31</v>
      </c>
      <c r="J166" s="32">
        <f t="shared" si="158"/>
        <v>1.29245283</v>
      </c>
      <c r="K166" s="13">
        <v>16.0</v>
      </c>
      <c r="L166" s="13">
        <v>213.0</v>
      </c>
      <c r="M166" s="13"/>
      <c r="N166" s="33">
        <f t="shared" si="159"/>
        <v>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3">
        <v>0.0</v>
      </c>
      <c r="U166" s="13">
        <v>0.0</v>
      </c>
      <c r="V166" s="13">
        <v>0.0</v>
      </c>
      <c r="W166" s="13">
        <v>0.0</v>
      </c>
      <c r="X166" s="13">
        <v>0.0</v>
      </c>
      <c r="Y166" s="13">
        <v>0.0</v>
      </c>
      <c r="Z166" s="13">
        <v>0.0</v>
      </c>
      <c r="AA166" s="13">
        <v>0.0</v>
      </c>
      <c r="AB166" s="13">
        <v>0.0</v>
      </c>
      <c r="AC166" s="13">
        <v>0.0</v>
      </c>
    </row>
    <row r="167">
      <c r="A167" s="11" t="s">
        <v>50</v>
      </c>
      <c r="B167" s="12" t="s">
        <v>60</v>
      </c>
      <c r="C167" s="13">
        <v>0.0</v>
      </c>
      <c r="D167" s="28">
        <v>35.0</v>
      </c>
      <c r="E167" s="13">
        <v>0.0</v>
      </c>
      <c r="F167" s="13">
        <v>126.0</v>
      </c>
      <c r="G167" s="13">
        <v>13.0</v>
      </c>
      <c r="H167" s="13">
        <v>120.0</v>
      </c>
      <c r="I167" s="30">
        <f t="shared" si="157"/>
        <v>6</v>
      </c>
      <c r="J167" s="32">
        <f t="shared" si="158"/>
        <v>1.05</v>
      </c>
      <c r="K167" s="13">
        <v>14.0</v>
      </c>
      <c r="L167" s="13">
        <v>202.0</v>
      </c>
      <c r="M167" s="13"/>
      <c r="N167" s="33">
        <f t="shared" si="159"/>
        <v>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3">
        <v>0.0</v>
      </c>
      <c r="U167" s="13">
        <v>0.0</v>
      </c>
      <c r="V167" s="13">
        <v>0.0</v>
      </c>
      <c r="W167" s="13">
        <v>0.0</v>
      </c>
      <c r="X167" s="13">
        <v>0.0</v>
      </c>
      <c r="Y167" s="13">
        <v>0.0</v>
      </c>
      <c r="Z167" s="13">
        <v>0.0</v>
      </c>
      <c r="AA167" s="13">
        <v>0.0</v>
      </c>
      <c r="AB167" s="13">
        <v>0.0</v>
      </c>
      <c r="AC167" s="13">
        <v>0.0</v>
      </c>
    </row>
    <row r="168">
      <c r="A168" s="11" t="s">
        <v>50</v>
      </c>
      <c r="B168" s="12" t="s">
        <v>61</v>
      </c>
      <c r="C168" s="13">
        <v>0.0</v>
      </c>
      <c r="D168" s="28">
        <v>35.0</v>
      </c>
      <c r="E168" s="13">
        <v>0.0</v>
      </c>
      <c r="F168" s="13">
        <v>142.0</v>
      </c>
      <c r="G168" s="13">
        <v>5.0</v>
      </c>
      <c r="H168" s="13">
        <v>130.0</v>
      </c>
      <c r="I168" s="30">
        <f t="shared" si="157"/>
        <v>12</v>
      </c>
      <c r="J168" s="32">
        <f t="shared" si="158"/>
        <v>1.092307692</v>
      </c>
      <c r="K168" s="13">
        <v>13.0</v>
      </c>
      <c r="L168" s="13">
        <v>215.0</v>
      </c>
      <c r="M168" s="13"/>
      <c r="N168" s="33">
        <f t="shared" si="159"/>
        <v>0</v>
      </c>
      <c r="O168" s="13">
        <v>0.0</v>
      </c>
      <c r="P168" s="13">
        <v>0.0</v>
      </c>
      <c r="Q168" s="13">
        <v>0.0</v>
      </c>
      <c r="R168" s="13">
        <v>0.0</v>
      </c>
      <c r="S168" s="13">
        <v>0.0</v>
      </c>
      <c r="T168" s="13">
        <v>0.0</v>
      </c>
      <c r="U168" s="13">
        <v>0.0</v>
      </c>
      <c r="V168" s="13">
        <v>0.0</v>
      </c>
      <c r="W168" s="13">
        <v>0.0</v>
      </c>
      <c r="X168" s="13">
        <v>0.0</v>
      </c>
      <c r="Y168" s="13">
        <v>0.0</v>
      </c>
      <c r="Z168" s="13">
        <v>0.0</v>
      </c>
      <c r="AA168" s="13">
        <v>0.0</v>
      </c>
      <c r="AB168" s="13">
        <v>0.0</v>
      </c>
      <c r="AC168" s="13">
        <v>0.0</v>
      </c>
    </row>
    <row r="169">
      <c r="A169" s="34" t="s">
        <v>49</v>
      </c>
      <c r="B169" s="34"/>
      <c r="C169" s="34">
        <f>SUM(C165:C168)</f>
        <v>0</v>
      </c>
      <c r="D169" s="35">
        <f t="shared" ref="D169:E169" si="160">SUM(D165:D168)/4</f>
        <v>35</v>
      </c>
      <c r="E169" s="34">
        <f t="shared" si="160"/>
        <v>1</v>
      </c>
      <c r="F169" s="34">
        <f t="shared" ref="F169:H169" si="161">SUM(F165:F168)</f>
        <v>581</v>
      </c>
      <c r="G169" s="34">
        <f t="shared" si="161"/>
        <v>32</v>
      </c>
      <c r="H169" s="34">
        <f t="shared" si="161"/>
        <v>476</v>
      </c>
      <c r="I169" s="34">
        <f>SUM(F169-H169)</f>
        <v>105</v>
      </c>
      <c r="J169" s="36">
        <f>SUM(F169/H169)</f>
        <v>1.220588235</v>
      </c>
      <c r="K169" s="34">
        <f>SUM(K165:K168)/4</f>
        <v>14.25</v>
      </c>
      <c r="L169" s="34">
        <f>SUM(L165:L168)</f>
        <v>934</v>
      </c>
      <c r="M169" s="34"/>
      <c r="N169" s="35">
        <f>SUM(N165:N168)/4</f>
        <v>0</v>
      </c>
      <c r="O169" s="34">
        <f t="shared" ref="O169:AC169" si="162">SUM(O165:O168)</f>
        <v>0</v>
      </c>
      <c r="P169" s="34">
        <f t="shared" si="162"/>
        <v>0</v>
      </c>
      <c r="Q169" s="34">
        <f t="shared" si="162"/>
        <v>0</v>
      </c>
      <c r="R169" s="34">
        <f t="shared" si="162"/>
        <v>0</v>
      </c>
      <c r="S169" s="34">
        <f t="shared" si="162"/>
        <v>0</v>
      </c>
      <c r="T169" s="34">
        <f t="shared" si="162"/>
        <v>0</v>
      </c>
      <c r="U169" s="34">
        <f t="shared" si="162"/>
        <v>0</v>
      </c>
      <c r="V169" s="34">
        <f t="shared" si="162"/>
        <v>0</v>
      </c>
      <c r="W169" s="37">
        <f t="shared" si="162"/>
        <v>0</v>
      </c>
      <c r="X169" s="34">
        <f t="shared" si="162"/>
        <v>0</v>
      </c>
      <c r="Y169" s="34">
        <f t="shared" si="162"/>
        <v>0</v>
      </c>
      <c r="Z169" s="34">
        <f t="shared" si="162"/>
        <v>0</v>
      </c>
      <c r="AA169" s="34">
        <f t="shared" si="162"/>
        <v>0</v>
      </c>
      <c r="AB169" s="37">
        <f t="shared" si="162"/>
        <v>0</v>
      </c>
      <c r="AC169" s="37">
        <f t="shared" si="162"/>
        <v>0</v>
      </c>
    </row>
    <row r="170">
      <c r="A170" s="15" t="s">
        <v>110</v>
      </c>
    </row>
    <row r="171">
      <c r="A171" s="19"/>
      <c r="E171" s="20" t="s">
        <v>33</v>
      </c>
      <c r="K171" s="22" t="s">
        <v>35</v>
      </c>
      <c r="M171" s="23" t="s">
        <v>36</v>
      </c>
      <c r="N171" s="24" t="s">
        <v>36</v>
      </c>
    </row>
    <row r="172">
      <c r="A172" s="4" t="s">
        <v>1</v>
      </c>
      <c r="B172" s="4" t="s">
        <v>2</v>
      </c>
      <c r="C172" s="5" t="s">
        <v>4</v>
      </c>
      <c r="D172" s="6" t="s">
        <v>5</v>
      </c>
      <c r="E172" s="25" t="s">
        <v>37</v>
      </c>
      <c r="F172" s="7" t="s">
        <v>7</v>
      </c>
      <c r="G172" s="7" t="s">
        <v>8</v>
      </c>
      <c r="H172" s="7" t="s">
        <v>9</v>
      </c>
      <c r="I172" s="7" t="s">
        <v>10</v>
      </c>
      <c r="J172" s="7" t="s">
        <v>11</v>
      </c>
      <c r="K172" s="8" t="s">
        <v>12</v>
      </c>
      <c r="L172" s="8" t="s">
        <v>13</v>
      </c>
      <c r="M172" s="9" t="s">
        <v>14</v>
      </c>
      <c r="N172" s="10" t="s">
        <v>5</v>
      </c>
      <c r="O172" s="9" t="s">
        <v>15</v>
      </c>
      <c r="P172" s="9" t="s">
        <v>16</v>
      </c>
      <c r="Q172" s="9" t="s">
        <v>17</v>
      </c>
      <c r="R172" s="9" t="s">
        <v>18</v>
      </c>
      <c r="S172" s="9" t="s">
        <v>19</v>
      </c>
      <c r="T172" s="9" t="s">
        <v>20</v>
      </c>
      <c r="U172" s="9" t="s">
        <v>21</v>
      </c>
      <c r="V172" s="9" t="s">
        <v>22</v>
      </c>
      <c r="W172" s="9" t="s">
        <v>23</v>
      </c>
      <c r="X172" s="9" t="s">
        <v>24</v>
      </c>
      <c r="Y172" s="9" t="s">
        <v>25</v>
      </c>
      <c r="Z172" s="9" t="s">
        <v>26</v>
      </c>
      <c r="AA172" s="9" t="s">
        <v>27</v>
      </c>
      <c r="AB172" s="9" t="s">
        <v>28</v>
      </c>
      <c r="AC172" s="9" t="s">
        <v>29</v>
      </c>
    </row>
    <row r="173">
      <c r="A173" s="11" t="s">
        <v>34</v>
      </c>
      <c r="B173" s="12" t="s">
        <v>45</v>
      </c>
      <c r="C173" s="13">
        <v>1.0</v>
      </c>
      <c r="D173" s="28">
        <v>23.0</v>
      </c>
      <c r="E173" s="13">
        <v>3.0</v>
      </c>
      <c r="F173" s="13">
        <v>54.0</v>
      </c>
      <c r="G173" s="13">
        <v>3.0</v>
      </c>
      <c r="H173" s="13">
        <v>55.0</v>
      </c>
      <c r="I173" s="30">
        <f t="shared" ref="I173:I176" si="163">F173-H173</f>
        <v>-1</v>
      </c>
      <c r="J173" s="32">
        <f t="shared" ref="J173:J176" si="164">F173/H173</f>
        <v>0.9818181818</v>
      </c>
      <c r="K173" s="13">
        <v>21.0</v>
      </c>
      <c r="L173" s="13">
        <v>86.0</v>
      </c>
      <c r="M173" s="13">
        <v>1.0</v>
      </c>
      <c r="N173" s="33">
        <f t="shared" ref="N173:N176" si="165">SUM(M173*D173)</f>
        <v>23</v>
      </c>
      <c r="O173" s="13">
        <v>5.0</v>
      </c>
      <c r="P173" s="13">
        <v>0.0</v>
      </c>
      <c r="Q173" s="13">
        <v>0.0</v>
      </c>
      <c r="R173" s="13">
        <v>0.0</v>
      </c>
      <c r="S173" s="13">
        <v>2.0</v>
      </c>
      <c r="T173" s="13">
        <v>0.0</v>
      </c>
      <c r="U173" s="13">
        <v>0.0</v>
      </c>
      <c r="V173" s="13">
        <v>0.0</v>
      </c>
      <c r="W173" s="13">
        <v>0.0</v>
      </c>
      <c r="X173" s="13">
        <v>0.0</v>
      </c>
      <c r="Y173" s="13">
        <v>0.0</v>
      </c>
      <c r="Z173" s="13">
        <v>0.0</v>
      </c>
      <c r="AA173" s="13">
        <v>0.0</v>
      </c>
      <c r="AB173" s="13">
        <v>0.0</v>
      </c>
      <c r="AC173" s="13">
        <v>0.0</v>
      </c>
    </row>
    <row r="174">
      <c r="A174" s="11" t="s">
        <v>34</v>
      </c>
      <c r="B174" s="12" t="s">
        <v>46</v>
      </c>
      <c r="C174" s="13">
        <v>1.0</v>
      </c>
      <c r="D174" s="28">
        <v>23.0</v>
      </c>
      <c r="E174" s="13">
        <v>1.0</v>
      </c>
      <c r="F174" s="13">
        <v>125.0</v>
      </c>
      <c r="G174" s="13">
        <v>7.0</v>
      </c>
      <c r="H174" s="13">
        <v>102.0</v>
      </c>
      <c r="I174" s="30">
        <f t="shared" si="163"/>
        <v>23</v>
      </c>
      <c r="J174" s="32">
        <f t="shared" si="164"/>
        <v>1.225490196</v>
      </c>
      <c r="K174" s="13">
        <v>10.0</v>
      </c>
      <c r="L174" s="13">
        <v>219.0</v>
      </c>
      <c r="M174" s="13">
        <v>1.0</v>
      </c>
      <c r="N174" s="33">
        <f t="shared" si="165"/>
        <v>23</v>
      </c>
      <c r="O174" s="13">
        <v>28.0</v>
      </c>
      <c r="P174" s="13">
        <v>12.0</v>
      </c>
      <c r="Q174" s="13">
        <v>3.0</v>
      </c>
      <c r="R174" s="13">
        <v>0.0</v>
      </c>
      <c r="S174" s="13">
        <v>3.0</v>
      </c>
      <c r="T174" s="13">
        <v>0.0</v>
      </c>
      <c r="U174" s="13">
        <v>0.0</v>
      </c>
      <c r="V174" s="13">
        <v>0.0</v>
      </c>
      <c r="W174" s="13">
        <v>0.0</v>
      </c>
      <c r="X174" s="13">
        <v>0.0</v>
      </c>
      <c r="Y174" s="13">
        <v>0.0</v>
      </c>
      <c r="Z174" s="13">
        <v>0.0</v>
      </c>
      <c r="AA174" s="13">
        <v>0.0</v>
      </c>
      <c r="AB174" s="13">
        <v>0.0</v>
      </c>
      <c r="AC174" s="13">
        <v>0.0</v>
      </c>
    </row>
    <row r="175">
      <c r="A175" s="11" t="s">
        <v>34</v>
      </c>
      <c r="B175" s="12" t="s">
        <v>47</v>
      </c>
      <c r="C175" s="13">
        <v>1.0</v>
      </c>
      <c r="D175" s="28">
        <v>23.0</v>
      </c>
      <c r="E175" s="13">
        <v>0.0</v>
      </c>
      <c r="F175" s="13">
        <v>79.0</v>
      </c>
      <c r="G175" s="13">
        <v>3.0</v>
      </c>
      <c r="H175" s="13">
        <v>91.0</v>
      </c>
      <c r="I175" s="30">
        <f t="shared" si="163"/>
        <v>-12</v>
      </c>
      <c r="J175" s="32">
        <f t="shared" si="164"/>
        <v>0.8681318681</v>
      </c>
      <c r="K175" s="13">
        <v>12.0</v>
      </c>
      <c r="L175" s="13">
        <v>110.0</v>
      </c>
      <c r="M175" s="13">
        <v>1.0</v>
      </c>
      <c r="N175" s="33">
        <f t="shared" si="165"/>
        <v>23</v>
      </c>
      <c r="O175" s="13">
        <v>9.0</v>
      </c>
      <c r="P175" s="13">
        <v>0.0</v>
      </c>
      <c r="Q175" s="13">
        <v>0.0</v>
      </c>
      <c r="R175" s="13">
        <v>0.0</v>
      </c>
      <c r="S175" s="13">
        <v>1.0</v>
      </c>
      <c r="T175" s="13">
        <v>0.0</v>
      </c>
      <c r="U175" s="13">
        <v>0.0</v>
      </c>
      <c r="V175" s="13">
        <v>0.0</v>
      </c>
      <c r="W175" s="13">
        <v>0.0</v>
      </c>
      <c r="X175" s="13">
        <v>0.0</v>
      </c>
      <c r="Y175" s="13">
        <v>0.0</v>
      </c>
      <c r="Z175" s="13">
        <v>0.0</v>
      </c>
      <c r="AA175" s="13">
        <v>0.0</v>
      </c>
      <c r="AB175" s="13">
        <v>0.0</v>
      </c>
      <c r="AC175" s="13">
        <v>0.0</v>
      </c>
    </row>
    <row r="176">
      <c r="A176" s="11" t="s">
        <v>34</v>
      </c>
      <c r="B176" s="12" t="s">
        <v>48</v>
      </c>
      <c r="C176" s="13">
        <v>1.0</v>
      </c>
      <c r="D176" s="28">
        <v>23.0</v>
      </c>
      <c r="E176" s="13">
        <v>1.0</v>
      </c>
      <c r="F176" s="13">
        <v>88.0</v>
      </c>
      <c r="G176" s="13">
        <v>9.0</v>
      </c>
      <c r="H176" s="13">
        <v>98.0</v>
      </c>
      <c r="I176" s="30">
        <f t="shared" si="163"/>
        <v>-10</v>
      </c>
      <c r="J176" s="32">
        <f t="shared" si="164"/>
        <v>0.8979591837</v>
      </c>
      <c r="K176" s="13">
        <v>11.0</v>
      </c>
      <c r="L176" s="13">
        <v>153.0</v>
      </c>
      <c r="M176" s="13">
        <v>1.0</v>
      </c>
      <c r="N176" s="33">
        <f t="shared" si="165"/>
        <v>23</v>
      </c>
      <c r="O176" s="13">
        <v>14.0</v>
      </c>
      <c r="P176" s="13">
        <v>4.0</v>
      </c>
      <c r="Q176" s="13">
        <v>1.0</v>
      </c>
      <c r="R176" s="13">
        <v>1.0</v>
      </c>
      <c r="S176" s="13">
        <v>3.0</v>
      </c>
      <c r="T176" s="13">
        <v>0.0</v>
      </c>
      <c r="U176" s="13">
        <v>0.0</v>
      </c>
      <c r="V176" s="13">
        <v>0.0</v>
      </c>
      <c r="W176" s="13">
        <v>0.0</v>
      </c>
      <c r="X176" s="13">
        <v>0.0</v>
      </c>
      <c r="Y176" s="13">
        <v>0.0</v>
      </c>
      <c r="Z176" s="13">
        <v>0.0</v>
      </c>
      <c r="AA176" s="13">
        <v>0.0</v>
      </c>
      <c r="AB176" s="13">
        <v>0.0</v>
      </c>
      <c r="AC176" s="13">
        <v>0.0</v>
      </c>
    </row>
    <row r="177">
      <c r="A177" s="34"/>
      <c r="B177" s="34"/>
      <c r="C177" s="34">
        <f t="shared" ref="C177:D177" si="166">SUM(C173:C176)/4</f>
        <v>1</v>
      </c>
      <c r="D177" s="35">
        <f t="shared" si="166"/>
        <v>23</v>
      </c>
      <c r="E177" s="34">
        <f t="shared" ref="E177:H177" si="167">SUM(E173:E176)</f>
        <v>5</v>
      </c>
      <c r="F177" s="34">
        <f t="shared" si="167"/>
        <v>346</v>
      </c>
      <c r="G177" s="34">
        <f t="shared" si="167"/>
        <v>22</v>
      </c>
      <c r="H177" s="34">
        <f t="shared" si="167"/>
        <v>346</v>
      </c>
      <c r="I177" s="34">
        <f>SUM(F177-H177)</f>
        <v>0</v>
      </c>
      <c r="J177" s="36">
        <f>SUM(F177/H177)</f>
        <v>1</v>
      </c>
      <c r="K177" s="34">
        <f>SUM(K173:K176)/4</f>
        <v>13.5</v>
      </c>
      <c r="L177" s="34">
        <f>SUM(L173:L176)</f>
        <v>568</v>
      </c>
      <c r="M177" s="34"/>
      <c r="N177" s="35">
        <f>SUM(N173:N176)/4</f>
        <v>23</v>
      </c>
      <c r="O177" s="34">
        <f t="shared" ref="O177:AC177" si="168">SUM(O173:O176)</f>
        <v>56</v>
      </c>
      <c r="P177" s="34">
        <f t="shared" si="168"/>
        <v>16</v>
      </c>
      <c r="Q177" s="34">
        <f t="shared" si="168"/>
        <v>4</v>
      </c>
      <c r="R177" s="34">
        <f t="shared" si="168"/>
        <v>1</v>
      </c>
      <c r="S177" s="34">
        <f t="shared" si="168"/>
        <v>9</v>
      </c>
      <c r="T177" s="34">
        <f t="shared" si="168"/>
        <v>0</v>
      </c>
      <c r="U177" s="34">
        <f t="shared" si="168"/>
        <v>0</v>
      </c>
      <c r="V177" s="34">
        <f t="shared" si="168"/>
        <v>0</v>
      </c>
      <c r="W177" s="34">
        <f t="shared" si="168"/>
        <v>0</v>
      </c>
      <c r="X177" s="34">
        <f t="shared" si="168"/>
        <v>0</v>
      </c>
      <c r="Y177" s="34">
        <f t="shared" si="168"/>
        <v>0</v>
      </c>
      <c r="Z177" s="34">
        <f t="shared" si="168"/>
        <v>0</v>
      </c>
      <c r="AA177" s="34">
        <f t="shared" si="168"/>
        <v>0</v>
      </c>
      <c r="AB177" s="34">
        <f t="shared" si="168"/>
        <v>0</v>
      </c>
      <c r="AC177" s="34">
        <f t="shared" si="168"/>
        <v>0</v>
      </c>
    </row>
    <row r="178">
      <c r="A178" s="11" t="s">
        <v>62</v>
      </c>
      <c r="B178" s="12" t="s">
        <v>95</v>
      </c>
      <c r="C178" s="13">
        <v>0.0</v>
      </c>
      <c r="D178" s="28">
        <v>23.0</v>
      </c>
      <c r="E178" s="13">
        <v>1.0</v>
      </c>
      <c r="F178" s="13">
        <v>86.0</v>
      </c>
      <c r="G178" s="13">
        <v>6.0</v>
      </c>
      <c r="H178" s="13">
        <v>102.0</v>
      </c>
      <c r="I178" s="30">
        <f t="shared" ref="I178:I181" si="169">F178-H178</f>
        <v>-16</v>
      </c>
      <c r="J178" s="32">
        <f t="shared" ref="J178:J181" si="170">F178/H178</f>
        <v>0.8431372549</v>
      </c>
      <c r="K178" s="13">
        <v>10.0</v>
      </c>
      <c r="L178" s="13">
        <v>138.0</v>
      </c>
      <c r="M178" s="13">
        <v>1.0</v>
      </c>
      <c r="N178" s="33">
        <f t="shared" ref="N178:N181" si="171">SUM(M178*D178)</f>
        <v>23</v>
      </c>
      <c r="O178" s="13">
        <v>13.0</v>
      </c>
      <c r="P178" s="13">
        <v>2.0</v>
      </c>
      <c r="Q178" s="13">
        <v>0.0</v>
      </c>
      <c r="R178" s="13">
        <v>0.0</v>
      </c>
      <c r="S178" s="13">
        <v>1.0</v>
      </c>
      <c r="T178" s="13">
        <v>0.0</v>
      </c>
      <c r="U178" s="13">
        <v>0.0</v>
      </c>
      <c r="V178" s="13">
        <v>0.0</v>
      </c>
      <c r="W178" s="13">
        <v>0.0</v>
      </c>
      <c r="X178" s="13">
        <v>0.0</v>
      </c>
      <c r="Y178" s="13">
        <v>0.0</v>
      </c>
      <c r="Z178" s="13">
        <v>0.0</v>
      </c>
      <c r="AA178" s="13">
        <v>0.0</v>
      </c>
      <c r="AB178" s="13">
        <v>0.0</v>
      </c>
      <c r="AC178" s="13">
        <v>0.0</v>
      </c>
    </row>
    <row r="179">
      <c r="A179" s="11" t="s">
        <v>62</v>
      </c>
      <c r="B179" s="12" t="s">
        <v>96</v>
      </c>
      <c r="C179" s="13">
        <v>0.0</v>
      </c>
      <c r="D179" s="28">
        <v>23.0</v>
      </c>
      <c r="E179" s="13">
        <v>0.0</v>
      </c>
      <c r="F179" s="13">
        <v>105.0</v>
      </c>
      <c r="G179" s="13">
        <v>9.0</v>
      </c>
      <c r="H179" s="13">
        <v>88.0</v>
      </c>
      <c r="I179" s="30">
        <f t="shared" si="169"/>
        <v>17</v>
      </c>
      <c r="J179" s="32">
        <f t="shared" si="170"/>
        <v>1.193181818</v>
      </c>
      <c r="K179" s="13">
        <v>12.0</v>
      </c>
      <c r="L179" s="13">
        <v>165.0</v>
      </c>
      <c r="M179" s="13">
        <v>1.0</v>
      </c>
      <c r="N179" s="33">
        <f t="shared" si="171"/>
        <v>23</v>
      </c>
      <c r="O179" s="13">
        <v>16.0</v>
      </c>
      <c r="P179" s="13">
        <v>2.0</v>
      </c>
      <c r="Q179" s="13">
        <v>0.0</v>
      </c>
      <c r="R179" s="13">
        <v>0.0</v>
      </c>
      <c r="S179" s="13">
        <v>0.0</v>
      </c>
      <c r="T179" s="13">
        <v>0.0</v>
      </c>
      <c r="U179" s="13">
        <v>0.0</v>
      </c>
      <c r="V179" s="13">
        <v>0.0</v>
      </c>
      <c r="W179" s="13">
        <v>0.0</v>
      </c>
      <c r="X179" s="13">
        <v>0.0</v>
      </c>
      <c r="Y179" s="13">
        <v>0.0</v>
      </c>
      <c r="Z179" s="13">
        <v>0.0</v>
      </c>
      <c r="AA179" s="13">
        <v>0.0</v>
      </c>
      <c r="AB179" s="13">
        <v>0.0</v>
      </c>
      <c r="AC179" s="13">
        <v>0.0</v>
      </c>
    </row>
    <row r="180">
      <c r="A180" s="11" t="s">
        <v>62</v>
      </c>
      <c r="B180" s="12" t="s">
        <v>98</v>
      </c>
      <c r="C180" s="13">
        <v>0.0</v>
      </c>
      <c r="D180" s="28">
        <v>23.0</v>
      </c>
      <c r="E180" s="13">
        <v>0.0</v>
      </c>
      <c r="F180" s="13">
        <v>76.0</v>
      </c>
      <c r="G180" s="13">
        <v>6.0</v>
      </c>
      <c r="H180" s="13">
        <v>95.0</v>
      </c>
      <c r="I180" s="30">
        <f t="shared" si="169"/>
        <v>-19</v>
      </c>
      <c r="J180" s="32">
        <f t="shared" si="170"/>
        <v>0.8</v>
      </c>
      <c r="K180" s="13">
        <v>11.0</v>
      </c>
      <c r="L180" s="13">
        <v>111.0</v>
      </c>
      <c r="M180" s="13">
        <v>1.0</v>
      </c>
      <c r="N180" s="33">
        <f t="shared" si="171"/>
        <v>23</v>
      </c>
      <c r="O180" s="13">
        <v>11.0</v>
      </c>
      <c r="P180" s="13">
        <v>0.0</v>
      </c>
      <c r="Q180" s="13">
        <v>0.0</v>
      </c>
      <c r="R180" s="13">
        <v>0.0</v>
      </c>
      <c r="S180" s="13">
        <v>0.0</v>
      </c>
      <c r="T180" s="13">
        <v>0.0</v>
      </c>
      <c r="U180" s="13">
        <v>0.0</v>
      </c>
      <c r="V180" s="13">
        <v>0.0</v>
      </c>
      <c r="W180" s="13">
        <v>0.0</v>
      </c>
      <c r="X180" s="13">
        <v>0.0</v>
      </c>
      <c r="Y180" s="13">
        <v>0.0</v>
      </c>
      <c r="Z180" s="13">
        <v>0.0</v>
      </c>
      <c r="AA180" s="13">
        <v>0.0</v>
      </c>
      <c r="AB180" s="13">
        <v>0.0</v>
      </c>
      <c r="AC180" s="13">
        <v>0.0</v>
      </c>
    </row>
    <row r="181">
      <c r="A181" s="11" t="s">
        <v>62</v>
      </c>
      <c r="B181" s="12" t="s">
        <v>102</v>
      </c>
      <c r="C181" s="13">
        <v>0.0</v>
      </c>
      <c r="D181" s="28">
        <v>23.0</v>
      </c>
      <c r="E181" s="13">
        <v>0.0</v>
      </c>
      <c r="F181" s="13">
        <v>62.0</v>
      </c>
      <c r="G181" s="13">
        <v>0.0</v>
      </c>
      <c r="H181" s="13">
        <v>72.0</v>
      </c>
      <c r="I181" s="30">
        <f t="shared" si="169"/>
        <v>-10</v>
      </c>
      <c r="J181" s="32">
        <f t="shared" si="170"/>
        <v>0.8611111111</v>
      </c>
      <c r="K181" s="13">
        <v>16.0</v>
      </c>
      <c r="L181" s="13">
        <v>84.0</v>
      </c>
      <c r="M181" s="13">
        <v>1.0</v>
      </c>
      <c r="N181" s="33">
        <f t="shared" si="171"/>
        <v>23</v>
      </c>
      <c r="O181" s="13">
        <v>3.0</v>
      </c>
      <c r="P181" s="13">
        <v>0.0</v>
      </c>
      <c r="Q181" s="13">
        <v>0.0</v>
      </c>
      <c r="R181" s="13">
        <v>0.0</v>
      </c>
      <c r="S181" s="13">
        <v>0.0</v>
      </c>
      <c r="T181" s="13">
        <v>0.0</v>
      </c>
      <c r="U181" s="13">
        <v>0.0</v>
      </c>
      <c r="V181" s="13">
        <v>0.0</v>
      </c>
      <c r="W181" s="13">
        <v>0.0</v>
      </c>
      <c r="X181" s="13">
        <v>0.0</v>
      </c>
      <c r="Y181" s="13">
        <v>0.0</v>
      </c>
      <c r="Z181" s="13">
        <v>0.0</v>
      </c>
      <c r="AA181" s="13">
        <v>0.0</v>
      </c>
      <c r="AB181" s="13">
        <v>0.0</v>
      </c>
      <c r="AC181" s="13">
        <v>0.0</v>
      </c>
    </row>
    <row r="182">
      <c r="A182" s="34" t="s">
        <v>49</v>
      </c>
      <c r="B182" s="34"/>
      <c r="C182" s="34">
        <f>SUM(C178:C181)</f>
        <v>0</v>
      </c>
      <c r="D182" s="35">
        <f t="shared" ref="D182:E182" si="172">SUM(D178:D181)/4</f>
        <v>23</v>
      </c>
      <c r="E182" s="34">
        <f t="shared" si="172"/>
        <v>0.25</v>
      </c>
      <c r="F182" s="34">
        <f t="shared" ref="F182:H182" si="173">SUM(F178:F181)</f>
        <v>329</v>
      </c>
      <c r="G182" s="34">
        <f t="shared" si="173"/>
        <v>21</v>
      </c>
      <c r="H182" s="34">
        <f t="shared" si="173"/>
        <v>357</v>
      </c>
      <c r="I182" s="34">
        <f>SUM(F182-H182)</f>
        <v>-28</v>
      </c>
      <c r="J182" s="36">
        <f>SUM(F182/H182)</f>
        <v>0.9215686275</v>
      </c>
      <c r="K182" s="34">
        <f>SUM(K178:K181)/4</f>
        <v>12.25</v>
      </c>
      <c r="L182" s="34">
        <f>SUM(L178:L181)</f>
        <v>498</v>
      </c>
      <c r="M182" s="34"/>
      <c r="N182" s="35">
        <f>SUM(N178:N181)/4</f>
        <v>23</v>
      </c>
      <c r="O182" s="34">
        <f t="shared" ref="O182:AC182" si="174">SUM(O178:O181)</f>
        <v>43</v>
      </c>
      <c r="P182" s="34">
        <f t="shared" si="174"/>
        <v>4</v>
      </c>
      <c r="Q182" s="34">
        <f t="shared" si="174"/>
        <v>0</v>
      </c>
      <c r="R182" s="34">
        <f t="shared" si="174"/>
        <v>0</v>
      </c>
      <c r="S182" s="34">
        <f t="shared" si="174"/>
        <v>1</v>
      </c>
      <c r="T182" s="34">
        <f t="shared" si="174"/>
        <v>0</v>
      </c>
      <c r="U182" s="34">
        <f t="shared" si="174"/>
        <v>0</v>
      </c>
      <c r="V182" s="34">
        <f t="shared" si="174"/>
        <v>0</v>
      </c>
      <c r="W182" s="37">
        <f t="shared" si="174"/>
        <v>0</v>
      </c>
      <c r="X182" s="34">
        <f t="shared" si="174"/>
        <v>0</v>
      </c>
      <c r="Y182" s="34">
        <f t="shared" si="174"/>
        <v>0</v>
      </c>
      <c r="Z182" s="34">
        <f t="shared" si="174"/>
        <v>0</v>
      </c>
      <c r="AA182" s="34">
        <f t="shared" si="174"/>
        <v>0</v>
      </c>
      <c r="AB182" s="37">
        <f t="shared" si="174"/>
        <v>0</v>
      </c>
      <c r="AC182" s="37">
        <f t="shared" si="174"/>
        <v>0</v>
      </c>
    </row>
    <row r="183">
      <c r="A183" s="15" t="s">
        <v>112</v>
      </c>
    </row>
    <row r="184">
      <c r="A184" s="19"/>
      <c r="E184" s="20" t="s">
        <v>33</v>
      </c>
      <c r="K184" s="22" t="s">
        <v>35</v>
      </c>
      <c r="M184" s="23" t="s">
        <v>36</v>
      </c>
      <c r="N184" s="24" t="s">
        <v>36</v>
      </c>
    </row>
    <row r="185">
      <c r="A185" s="4" t="s">
        <v>1</v>
      </c>
      <c r="B185" s="4" t="s">
        <v>2</v>
      </c>
      <c r="C185" s="5" t="s">
        <v>4</v>
      </c>
      <c r="D185" s="6" t="s">
        <v>5</v>
      </c>
      <c r="E185" s="25" t="s">
        <v>37</v>
      </c>
      <c r="F185" s="7" t="s">
        <v>7</v>
      </c>
      <c r="G185" s="7" t="s">
        <v>8</v>
      </c>
      <c r="H185" s="7" t="s">
        <v>9</v>
      </c>
      <c r="I185" s="7" t="s">
        <v>10</v>
      </c>
      <c r="J185" s="7" t="s">
        <v>11</v>
      </c>
      <c r="K185" s="8" t="s">
        <v>12</v>
      </c>
      <c r="L185" s="8" t="s">
        <v>13</v>
      </c>
      <c r="M185" s="9" t="s">
        <v>14</v>
      </c>
      <c r="N185" s="10" t="s">
        <v>5</v>
      </c>
      <c r="O185" s="9" t="s">
        <v>15</v>
      </c>
      <c r="P185" s="9" t="s">
        <v>16</v>
      </c>
      <c r="Q185" s="9" t="s">
        <v>17</v>
      </c>
      <c r="R185" s="9" t="s">
        <v>18</v>
      </c>
      <c r="S185" s="9" t="s">
        <v>19</v>
      </c>
      <c r="T185" s="9" t="s">
        <v>20</v>
      </c>
      <c r="U185" s="9" t="s">
        <v>21</v>
      </c>
      <c r="V185" s="9" t="s">
        <v>22</v>
      </c>
      <c r="W185" s="9" t="s">
        <v>23</v>
      </c>
      <c r="X185" s="9" t="s">
        <v>24</v>
      </c>
      <c r="Y185" s="9" t="s">
        <v>25</v>
      </c>
      <c r="Z185" s="9" t="s">
        <v>26</v>
      </c>
      <c r="AA185" s="9" t="s">
        <v>27</v>
      </c>
      <c r="AB185" s="9" t="s">
        <v>28</v>
      </c>
      <c r="AC185" s="9" t="s">
        <v>29</v>
      </c>
    </row>
    <row r="186">
      <c r="A186" s="11" t="s">
        <v>38</v>
      </c>
      <c r="B186" s="12" t="s">
        <v>39</v>
      </c>
      <c r="C186" s="13">
        <v>1.0</v>
      </c>
      <c r="D186" s="28">
        <v>89.4</v>
      </c>
      <c r="E186" s="13">
        <v>0.0</v>
      </c>
      <c r="F186" s="13">
        <v>365.0</v>
      </c>
      <c r="G186" s="13">
        <v>27.0</v>
      </c>
      <c r="H186" s="13">
        <v>368.0</v>
      </c>
      <c r="I186" s="30">
        <f t="shared" ref="I186:I189" si="175">F186-H186</f>
        <v>-3</v>
      </c>
      <c r="J186" s="32">
        <f t="shared" ref="J186:J189" si="176">F186/H186</f>
        <v>0.9918478261</v>
      </c>
      <c r="K186" s="13">
        <v>11.0</v>
      </c>
      <c r="L186" s="13">
        <v>599.0</v>
      </c>
      <c r="M186" s="13">
        <v>1.0</v>
      </c>
      <c r="N186" s="33">
        <f t="shared" ref="N186:N189" si="177">SUM(M186*D186)</f>
        <v>89.4</v>
      </c>
      <c r="O186" s="13">
        <v>48.0</v>
      </c>
      <c r="P186" s="13">
        <v>3.0</v>
      </c>
      <c r="Q186" s="13">
        <v>0.0</v>
      </c>
      <c r="R186" s="13">
        <v>0.0</v>
      </c>
      <c r="S186" s="13">
        <v>4.0</v>
      </c>
      <c r="T186" s="13">
        <v>0.0</v>
      </c>
      <c r="U186" s="13">
        <v>0.0</v>
      </c>
      <c r="V186" s="13">
        <v>0.0</v>
      </c>
      <c r="W186" s="13">
        <v>0.0</v>
      </c>
      <c r="X186" s="13">
        <v>0.0</v>
      </c>
      <c r="Y186" s="13">
        <v>0.0</v>
      </c>
      <c r="Z186" s="13">
        <v>0.0</v>
      </c>
      <c r="AA186" s="13">
        <v>0.0</v>
      </c>
      <c r="AB186" s="13">
        <v>0.0</v>
      </c>
      <c r="AC186" s="13">
        <v>0.0</v>
      </c>
    </row>
    <row r="187">
      <c r="A187" s="11" t="s">
        <v>38</v>
      </c>
      <c r="B187" s="12" t="s">
        <v>40</v>
      </c>
      <c r="C187" s="13">
        <v>1.0</v>
      </c>
      <c r="D187" s="28">
        <v>89.4</v>
      </c>
      <c r="E187" s="13">
        <v>1.0</v>
      </c>
      <c r="F187" s="13">
        <v>379.0</v>
      </c>
      <c r="G187" s="13">
        <v>21.0</v>
      </c>
      <c r="H187" s="13">
        <v>267.0</v>
      </c>
      <c r="I187" s="30">
        <f t="shared" si="175"/>
        <v>112</v>
      </c>
      <c r="J187" s="32">
        <f t="shared" si="176"/>
        <v>1.419475655</v>
      </c>
      <c r="K187" s="13">
        <v>17.0</v>
      </c>
      <c r="L187" s="13">
        <v>658.0</v>
      </c>
      <c r="M187" s="13">
        <v>1.0</v>
      </c>
      <c r="N187" s="33">
        <f t="shared" si="177"/>
        <v>89.4</v>
      </c>
      <c r="O187" s="13">
        <v>71.0</v>
      </c>
      <c r="P187" s="13">
        <v>17.0</v>
      </c>
      <c r="Q187" s="13">
        <v>4.0</v>
      </c>
      <c r="R187" s="13">
        <v>2.0</v>
      </c>
      <c r="S187" s="13">
        <v>8.0</v>
      </c>
      <c r="T187" s="13">
        <v>1.0</v>
      </c>
      <c r="U187" s="13">
        <v>0.0</v>
      </c>
      <c r="V187" s="13">
        <v>1.0</v>
      </c>
      <c r="W187" s="13">
        <v>0.0</v>
      </c>
      <c r="X187" s="13">
        <v>0.0</v>
      </c>
      <c r="Y187" s="13">
        <v>1.0</v>
      </c>
      <c r="Z187" s="13">
        <v>1.0</v>
      </c>
      <c r="AA187" s="13">
        <v>1.0</v>
      </c>
      <c r="AB187" s="13">
        <v>0.0</v>
      </c>
      <c r="AC187" s="13">
        <v>0.0</v>
      </c>
    </row>
    <row r="188">
      <c r="A188" s="11" t="s">
        <v>38</v>
      </c>
      <c r="B188" s="12" t="s">
        <v>41</v>
      </c>
      <c r="C188" s="13">
        <v>1.0</v>
      </c>
      <c r="D188" s="28">
        <v>89.4</v>
      </c>
      <c r="E188" s="13">
        <v>1.0</v>
      </c>
      <c r="F188" s="13">
        <v>321.0</v>
      </c>
      <c r="G188" s="13">
        <v>25.0</v>
      </c>
      <c r="H188" s="13">
        <v>406.0</v>
      </c>
      <c r="I188" s="30">
        <f t="shared" si="175"/>
        <v>-85</v>
      </c>
      <c r="J188" s="32">
        <f t="shared" si="176"/>
        <v>0.7906403941</v>
      </c>
      <c r="K188" s="13">
        <v>10.0</v>
      </c>
      <c r="L188" s="13">
        <v>523.0</v>
      </c>
      <c r="M188" s="13">
        <v>1.0</v>
      </c>
      <c r="N188" s="33">
        <f t="shared" si="177"/>
        <v>89.4</v>
      </c>
      <c r="O188" s="13">
        <v>50.0</v>
      </c>
      <c r="P188" s="13">
        <v>8.0</v>
      </c>
      <c r="Q188" s="13">
        <v>3.0</v>
      </c>
      <c r="R188" s="13">
        <v>0.0</v>
      </c>
      <c r="S188" s="13">
        <v>3.0</v>
      </c>
      <c r="T188" s="13">
        <v>0.0</v>
      </c>
      <c r="U188" s="13">
        <v>0.0</v>
      </c>
      <c r="V188" s="13">
        <v>0.0</v>
      </c>
      <c r="W188" s="13">
        <v>0.0</v>
      </c>
      <c r="X188" s="13">
        <v>0.0</v>
      </c>
      <c r="Y188" s="13">
        <v>0.0</v>
      </c>
      <c r="Z188" s="13">
        <v>0.0</v>
      </c>
      <c r="AA188" s="13">
        <v>0.0</v>
      </c>
      <c r="AB188" s="13">
        <v>0.0</v>
      </c>
      <c r="AC188" s="13">
        <v>0.0</v>
      </c>
    </row>
    <row r="189">
      <c r="A189" s="11" t="s">
        <v>38</v>
      </c>
      <c r="B189" s="12" t="s">
        <v>43</v>
      </c>
      <c r="C189" s="13">
        <v>1.0</v>
      </c>
      <c r="D189" s="28">
        <v>89.4</v>
      </c>
      <c r="E189" s="13">
        <v>3.0</v>
      </c>
      <c r="F189" s="13">
        <v>180.0</v>
      </c>
      <c r="G189" s="13">
        <v>6.0</v>
      </c>
      <c r="H189" s="13">
        <v>277.0</v>
      </c>
      <c r="I189" s="30">
        <f t="shared" si="175"/>
        <v>-97</v>
      </c>
      <c r="J189" s="32">
        <f t="shared" si="176"/>
        <v>0.6498194946</v>
      </c>
      <c r="K189" s="13">
        <v>16.0</v>
      </c>
      <c r="L189" s="13">
        <v>259.0</v>
      </c>
      <c r="M189" s="13">
        <v>1.0</v>
      </c>
      <c r="N189" s="33">
        <f t="shared" si="177"/>
        <v>89.4</v>
      </c>
      <c r="O189" s="13">
        <v>21.0</v>
      </c>
      <c r="P189" s="13">
        <v>1.0</v>
      </c>
      <c r="Q189" s="13">
        <v>0.0</v>
      </c>
      <c r="R189" s="13">
        <v>0.0</v>
      </c>
      <c r="S189" s="13">
        <v>0.0</v>
      </c>
      <c r="T189" s="13">
        <v>0.0</v>
      </c>
      <c r="U189" s="13">
        <v>0.0</v>
      </c>
      <c r="V189" s="13">
        <v>0.0</v>
      </c>
      <c r="W189" s="13">
        <v>0.0</v>
      </c>
      <c r="X189" s="13">
        <v>0.0</v>
      </c>
      <c r="Y189" s="13">
        <v>0.0</v>
      </c>
      <c r="Z189" s="13">
        <v>0.0</v>
      </c>
      <c r="AA189" s="13">
        <v>0.0</v>
      </c>
      <c r="AB189" s="13">
        <v>0.0</v>
      </c>
      <c r="AC189" s="13">
        <v>0.0</v>
      </c>
    </row>
    <row r="190">
      <c r="A190" s="34"/>
      <c r="B190" s="34"/>
      <c r="C190" s="34">
        <f t="shared" ref="C190:D190" si="178">SUM(C186:C189)/4</f>
        <v>1</v>
      </c>
      <c r="D190" s="35">
        <f t="shared" si="178"/>
        <v>89.4</v>
      </c>
      <c r="E190" s="34">
        <f t="shared" ref="E190:H190" si="179">SUM(E186:E189)</f>
        <v>5</v>
      </c>
      <c r="F190" s="34">
        <f t="shared" si="179"/>
        <v>1245</v>
      </c>
      <c r="G190" s="34">
        <f t="shared" si="179"/>
        <v>79</v>
      </c>
      <c r="H190" s="34">
        <f t="shared" si="179"/>
        <v>1318</v>
      </c>
      <c r="I190" s="34">
        <f>SUM(F190-H190)</f>
        <v>-73</v>
      </c>
      <c r="J190" s="36">
        <f>SUM(F190/H190)</f>
        <v>0.9446130501</v>
      </c>
      <c r="K190" s="34">
        <f>SUM(K186:K189)/4</f>
        <v>13.5</v>
      </c>
      <c r="L190" s="34">
        <f>SUM(L186:L189)</f>
        <v>2039</v>
      </c>
      <c r="M190" s="34"/>
      <c r="N190" s="35">
        <f>SUM(N186:N189)/4</f>
        <v>89.4</v>
      </c>
      <c r="O190" s="34">
        <f t="shared" ref="O190:AC190" si="180">SUM(O186:O189)</f>
        <v>190</v>
      </c>
      <c r="P190" s="34">
        <f t="shared" si="180"/>
        <v>29</v>
      </c>
      <c r="Q190" s="34">
        <f t="shared" si="180"/>
        <v>7</v>
      </c>
      <c r="R190" s="34">
        <f t="shared" si="180"/>
        <v>2</v>
      </c>
      <c r="S190" s="34">
        <f t="shared" si="180"/>
        <v>15</v>
      </c>
      <c r="T190" s="34">
        <f t="shared" si="180"/>
        <v>1</v>
      </c>
      <c r="U190" s="34">
        <f t="shared" si="180"/>
        <v>0</v>
      </c>
      <c r="V190" s="34">
        <f t="shared" si="180"/>
        <v>1</v>
      </c>
      <c r="W190" s="34">
        <f t="shared" si="180"/>
        <v>0</v>
      </c>
      <c r="X190" s="34">
        <f t="shared" si="180"/>
        <v>0</v>
      </c>
      <c r="Y190" s="34">
        <f t="shared" si="180"/>
        <v>1</v>
      </c>
      <c r="Z190" s="34">
        <f t="shared" si="180"/>
        <v>1</v>
      </c>
      <c r="AA190" s="34">
        <f t="shared" si="180"/>
        <v>1</v>
      </c>
      <c r="AB190" s="34">
        <f t="shared" si="180"/>
        <v>0</v>
      </c>
      <c r="AC190" s="34">
        <f t="shared" si="180"/>
        <v>0</v>
      </c>
    </row>
    <row r="191">
      <c r="A191" s="11" t="s">
        <v>44</v>
      </c>
      <c r="B191" s="12" t="s">
        <v>54</v>
      </c>
      <c r="C191" s="13">
        <v>0.0</v>
      </c>
      <c r="D191" s="28">
        <v>89.4</v>
      </c>
      <c r="E191" s="13">
        <v>0.0</v>
      </c>
      <c r="F191" s="13">
        <v>345.0</v>
      </c>
      <c r="G191" s="13">
        <v>21.0</v>
      </c>
      <c r="H191" s="13">
        <v>367.0</v>
      </c>
      <c r="I191" s="30">
        <f t="shared" ref="I191:I194" si="181">F191-H191</f>
        <v>-22</v>
      </c>
      <c r="J191" s="32">
        <f t="shared" ref="J191:J194" si="182">F191/H191</f>
        <v>0.9400544959</v>
      </c>
      <c r="K191" s="13">
        <v>11.0</v>
      </c>
      <c r="L191" s="13">
        <v>513.0</v>
      </c>
      <c r="M191" s="13">
        <v>1.0</v>
      </c>
      <c r="N191" s="33">
        <f t="shared" ref="N191:N194" si="183">SUM(M191*D191)</f>
        <v>89.4</v>
      </c>
      <c r="O191" s="13">
        <v>44.0</v>
      </c>
      <c r="P191" s="13">
        <v>9.0</v>
      </c>
      <c r="Q191" s="13">
        <v>1.0</v>
      </c>
      <c r="R191" s="13">
        <v>0.0</v>
      </c>
      <c r="S191" s="13">
        <v>1.0</v>
      </c>
      <c r="T191" s="13">
        <v>0.0</v>
      </c>
      <c r="U191" s="13">
        <v>0.0</v>
      </c>
      <c r="V191" s="13">
        <v>0.0</v>
      </c>
      <c r="W191" s="13">
        <v>0.0</v>
      </c>
      <c r="X191" s="13">
        <v>0.0</v>
      </c>
      <c r="Y191" s="13">
        <v>0.0</v>
      </c>
      <c r="Z191" s="13">
        <v>0.0</v>
      </c>
      <c r="AA191" s="13">
        <v>0.0</v>
      </c>
      <c r="AB191" s="13">
        <v>0.0</v>
      </c>
      <c r="AC191" s="13">
        <v>0.0</v>
      </c>
    </row>
    <row r="192">
      <c r="A192" s="11" t="s">
        <v>44</v>
      </c>
      <c r="B192" s="12" t="s">
        <v>55</v>
      </c>
      <c r="C192" s="13">
        <v>0.0</v>
      </c>
      <c r="D192" s="28">
        <v>89.4</v>
      </c>
      <c r="E192" s="13">
        <v>1.0</v>
      </c>
      <c r="F192" s="13">
        <v>384.0</v>
      </c>
      <c r="G192" s="13">
        <v>35.0</v>
      </c>
      <c r="H192" s="13">
        <v>324.0</v>
      </c>
      <c r="I192" s="30">
        <f t="shared" si="181"/>
        <v>60</v>
      </c>
      <c r="J192" s="32">
        <f t="shared" si="182"/>
        <v>1.185185185</v>
      </c>
      <c r="K192" s="13">
        <v>13.0</v>
      </c>
      <c r="L192" s="13">
        <v>624.0</v>
      </c>
      <c r="M192" s="13">
        <v>1.0</v>
      </c>
      <c r="N192" s="33">
        <f t="shared" si="183"/>
        <v>89.4</v>
      </c>
      <c r="O192" s="13">
        <v>63.0</v>
      </c>
      <c r="P192" s="13">
        <v>18.0</v>
      </c>
      <c r="Q192" s="13">
        <v>3.0</v>
      </c>
      <c r="R192" s="13">
        <v>0.0</v>
      </c>
      <c r="S192" s="13">
        <v>8.0</v>
      </c>
      <c r="T192" s="13">
        <v>0.0</v>
      </c>
      <c r="U192" s="13">
        <v>0.0</v>
      </c>
      <c r="V192" s="13">
        <v>0.0</v>
      </c>
      <c r="W192" s="13">
        <v>0.0</v>
      </c>
      <c r="X192" s="13">
        <v>0.0</v>
      </c>
      <c r="Y192" s="13">
        <v>0.0</v>
      </c>
      <c r="Z192" s="13">
        <v>0.0</v>
      </c>
      <c r="AA192" s="13">
        <v>0.0</v>
      </c>
      <c r="AB192" s="13">
        <v>0.0</v>
      </c>
      <c r="AC192" s="13">
        <v>0.0</v>
      </c>
    </row>
    <row r="193">
      <c r="A193" s="11" t="s">
        <v>44</v>
      </c>
      <c r="B193" s="12" t="s">
        <v>60</v>
      </c>
      <c r="C193" s="13">
        <v>0.0</v>
      </c>
      <c r="D193" s="28">
        <v>89.4</v>
      </c>
      <c r="E193" s="13">
        <v>1.0</v>
      </c>
      <c r="F193" s="13">
        <v>288.0</v>
      </c>
      <c r="G193" s="13">
        <v>23.0</v>
      </c>
      <c r="H193" s="13">
        <v>303.0</v>
      </c>
      <c r="I193" s="30">
        <f t="shared" si="181"/>
        <v>-15</v>
      </c>
      <c r="J193" s="32">
        <f t="shared" si="182"/>
        <v>0.9504950495</v>
      </c>
      <c r="K193" s="13">
        <v>14.0</v>
      </c>
      <c r="L193" s="13">
        <v>425.0</v>
      </c>
      <c r="M193" s="13">
        <v>1.0</v>
      </c>
      <c r="N193" s="33">
        <f t="shared" si="183"/>
        <v>89.4</v>
      </c>
      <c r="O193" s="13">
        <v>29.0</v>
      </c>
      <c r="P193" s="13">
        <v>4.0</v>
      </c>
      <c r="Q193" s="13">
        <v>2.0</v>
      </c>
      <c r="R193" s="13">
        <v>2.0</v>
      </c>
      <c r="S193" s="13">
        <v>3.0</v>
      </c>
      <c r="T193" s="13">
        <v>0.0</v>
      </c>
      <c r="U193" s="13">
        <v>0.0</v>
      </c>
      <c r="V193" s="13">
        <v>0.0</v>
      </c>
      <c r="W193" s="13">
        <v>0.0</v>
      </c>
      <c r="X193" s="13">
        <v>0.0</v>
      </c>
      <c r="Y193" s="13">
        <v>0.0</v>
      </c>
      <c r="Z193" s="13">
        <v>0.0</v>
      </c>
      <c r="AA193" s="13">
        <v>0.0</v>
      </c>
      <c r="AB193" s="13">
        <v>0.0</v>
      </c>
      <c r="AC193" s="13">
        <v>0.0</v>
      </c>
    </row>
    <row r="194">
      <c r="A194" s="11" t="s">
        <v>44</v>
      </c>
      <c r="B194" s="12" t="s">
        <v>57</v>
      </c>
      <c r="C194" s="13">
        <v>0.0</v>
      </c>
      <c r="D194" s="28">
        <v>89.4</v>
      </c>
      <c r="E194" s="13">
        <v>2.0</v>
      </c>
      <c r="F194" s="13">
        <v>274.0</v>
      </c>
      <c r="G194" s="13">
        <v>3.0</v>
      </c>
      <c r="H194" s="13">
        <v>281.0</v>
      </c>
      <c r="I194" s="30">
        <f t="shared" si="181"/>
        <v>-7</v>
      </c>
      <c r="J194" s="32">
        <f t="shared" si="182"/>
        <v>0.975088968</v>
      </c>
      <c r="K194" s="13">
        <v>16.0</v>
      </c>
      <c r="L194" s="13">
        <v>369.0</v>
      </c>
      <c r="M194" s="13">
        <v>1.0</v>
      </c>
      <c r="N194" s="33">
        <f t="shared" si="183"/>
        <v>89.4</v>
      </c>
      <c r="O194" s="13">
        <v>27.0</v>
      </c>
      <c r="P194" s="13">
        <v>1.0</v>
      </c>
      <c r="Q194" s="13">
        <v>1.0</v>
      </c>
      <c r="R194" s="13">
        <v>1.0</v>
      </c>
      <c r="S194" s="13">
        <v>3.0</v>
      </c>
      <c r="T194" s="13">
        <v>0.0</v>
      </c>
      <c r="U194" s="13">
        <v>1.0</v>
      </c>
      <c r="V194" s="13">
        <v>0.0</v>
      </c>
      <c r="W194" s="13">
        <v>0.0</v>
      </c>
      <c r="X194" s="13">
        <v>0.0</v>
      </c>
      <c r="Y194" s="13">
        <v>0.0</v>
      </c>
      <c r="Z194" s="13">
        <v>0.0</v>
      </c>
      <c r="AA194" s="13">
        <v>0.0</v>
      </c>
      <c r="AB194" s="13">
        <v>0.0</v>
      </c>
      <c r="AC194" s="13">
        <v>0.0</v>
      </c>
    </row>
    <row r="195">
      <c r="A195" s="34" t="s">
        <v>49</v>
      </c>
      <c r="B195" s="34"/>
      <c r="C195" s="34">
        <f>SUM(C191:C194)</f>
        <v>0</v>
      </c>
      <c r="D195" s="35">
        <f t="shared" ref="D195:E195" si="184">SUM(D191:D194)/4</f>
        <v>89.4</v>
      </c>
      <c r="E195" s="34">
        <f t="shared" si="184"/>
        <v>1</v>
      </c>
      <c r="F195" s="34">
        <f t="shared" ref="F195:H195" si="185">SUM(F191:F194)</f>
        <v>1291</v>
      </c>
      <c r="G195" s="34">
        <f t="shared" si="185"/>
        <v>82</v>
      </c>
      <c r="H195" s="34">
        <f t="shared" si="185"/>
        <v>1275</v>
      </c>
      <c r="I195" s="34">
        <f>SUM(F195-H195)</f>
        <v>16</v>
      </c>
      <c r="J195" s="36">
        <f>SUM(F195/H195)</f>
        <v>1.01254902</v>
      </c>
      <c r="K195" s="34">
        <f>SUM(K191:K194)/4</f>
        <v>13.5</v>
      </c>
      <c r="L195" s="34">
        <f>SUM(L191:L194)</f>
        <v>1931</v>
      </c>
      <c r="M195" s="34"/>
      <c r="N195" s="35">
        <f>SUM(N191:N194)/4</f>
        <v>89.4</v>
      </c>
      <c r="O195" s="34">
        <f t="shared" ref="O195:AC195" si="186">SUM(O191:O194)</f>
        <v>163</v>
      </c>
      <c r="P195" s="34">
        <f t="shared" si="186"/>
        <v>32</v>
      </c>
      <c r="Q195" s="34">
        <f t="shared" si="186"/>
        <v>7</v>
      </c>
      <c r="R195" s="34">
        <f t="shared" si="186"/>
        <v>3</v>
      </c>
      <c r="S195" s="34">
        <f t="shared" si="186"/>
        <v>15</v>
      </c>
      <c r="T195" s="34">
        <f t="shared" si="186"/>
        <v>0</v>
      </c>
      <c r="U195" s="34">
        <f t="shared" si="186"/>
        <v>1</v>
      </c>
      <c r="V195" s="34">
        <f t="shared" si="186"/>
        <v>0</v>
      </c>
      <c r="W195" s="37">
        <f t="shared" si="186"/>
        <v>0</v>
      </c>
      <c r="X195" s="34">
        <f t="shared" si="186"/>
        <v>0</v>
      </c>
      <c r="Y195" s="34">
        <f t="shared" si="186"/>
        <v>0</v>
      </c>
      <c r="Z195" s="34">
        <f t="shared" si="186"/>
        <v>0</v>
      </c>
      <c r="AA195" s="34">
        <f t="shared" si="186"/>
        <v>0</v>
      </c>
      <c r="AB195" s="37">
        <f t="shared" si="186"/>
        <v>0</v>
      </c>
      <c r="AC195" s="37">
        <f t="shared" si="186"/>
        <v>0</v>
      </c>
    </row>
    <row r="196">
      <c r="A196" s="15" t="s">
        <v>113</v>
      </c>
    </row>
    <row r="197">
      <c r="A197" s="19"/>
      <c r="E197" s="20" t="s">
        <v>33</v>
      </c>
      <c r="K197" s="22" t="s">
        <v>35</v>
      </c>
      <c r="M197" s="23" t="s">
        <v>36</v>
      </c>
      <c r="N197" s="24" t="s">
        <v>36</v>
      </c>
    </row>
    <row r="198">
      <c r="A198" s="4" t="s">
        <v>1</v>
      </c>
      <c r="B198" s="4" t="s">
        <v>2</v>
      </c>
      <c r="C198" s="5" t="s">
        <v>4</v>
      </c>
      <c r="D198" s="6" t="s">
        <v>5</v>
      </c>
      <c r="E198" s="25" t="s">
        <v>37</v>
      </c>
      <c r="F198" s="7" t="s">
        <v>7</v>
      </c>
      <c r="G198" s="7" t="s">
        <v>8</v>
      </c>
      <c r="H198" s="7" t="s">
        <v>9</v>
      </c>
      <c r="I198" s="7" t="s">
        <v>10</v>
      </c>
      <c r="J198" s="7" t="s">
        <v>11</v>
      </c>
      <c r="K198" s="8" t="s">
        <v>12</v>
      </c>
      <c r="L198" s="8" t="s">
        <v>13</v>
      </c>
      <c r="M198" s="9" t="s">
        <v>14</v>
      </c>
      <c r="N198" s="10" t="s">
        <v>5</v>
      </c>
      <c r="O198" s="9" t="s">
        <v>15</v>
      </c>
      <c r="P198" s="9" t="s">
        <v>16</v>
      </c>
      <c r="Q198" s="9" t="s">
        <v>17</v>
      </c>
      <c r="R198" s="9" t="s">
        <v>18</v>
      </c>
      <c r="S198" s="9" t="s">
        <v>19</v>
      </c>
      <c r="T198" s="9" t="s">
        <v>20</v>
      </c>
      <c r="U198" s="9" t="s">
        <v>21</v>
      </c>
      <c r="V198" s="9" t="s">
        <v>22</v>
      </c>
      <c r="W198" s="9" t="s">
        <v>23</v>
      </c>
      <c r="X198" s="9" t="s">
        <v>24</v>
      </c>
      <c r="Y198" s="9" t="s">
        <v>25</v>
      </c>
      <c r="Z198" s="9" t="s">
        <v>26</v>
      </c>
      <c r="AA198" s="9" t="s">
        <v>27</v>
      </c>
      <c r="AB198" s="9" t="s">
        <v>28</v>
      </c>
      <c r="AC198" s="9" t="s">
        <v>29</v>
      </c>
    </row>
    <row r="199">
      <c r="A199" s="11" t="s">
        <v>34</v>
      </c>
      <c r="B199" s="12" t="s">
        <v>45</v>
      </c>
      <c r="C199" s="13">
        <v>1.0</v>
      </c>
      <c r="D199" s="28">
        <v>24.75</v>
      </c>
      <c r="E199" s="13">
        <v>3.0</v>
      </c>
      <c r="F199" s="13">
        <v>59.0</v>
      </c>
      <c r="G199" s="13">
        <v>3.0</v>
      </c>
      <c r="H199" s="13">
        <v>46.0</v>
      </c>
      <c r="I199" s="30">
        <f t="shared" ref="I199:I202" si="187">F199-H199</f>
        <v>13</v>
      </c>
      <c r="J199" s="32">
        <f t="shared" ref="J199:J202" si="188">F199/H199</f>
        <v>1.282608696</v>
      </c>
      <c r="K199" s="13">
        <v>28.0</v>
      </c>
      <c r="L199" s="13">
        <v>97.0</v>
      </c>
      <c r="M199" s="13">
        <v>1.0</v>
      </c>
      <c r="N199" s="33">
        <f t="shared" ref="N199:N202" si="189">SUM(M199*D199)</f>
        <v>24.75</v>
      </c>
      <c r="O199" s="13">
        <v>5.0</v>
      </c>
      <c r="P199" s="13">
        <v>0.0</v>
      </c>
      <c r="Q199" s="13">
        <v>0.0</v>
      </c>
      <c r="R199" s="13">
        <v>0.0</v>
      </c>
      <c r="S199" s="13">
        <v>1.0</v>
      </c>
      <c r="T199" s="13">
        <v>0.0</v>
      </c>
      <c r="U199" s="13">
        <v>0.0</v>
      </c>
      <c r="V199" s="13">
        <v>0.0</v>
      </c>
      <c r="W199" s="13">
        <v>0.0</v>
      </c>
      <c r="X199" s="13">
        <v>0.0</v>
      </c>
      <c r="Y199" s="13">
        <v>0.0</v>
      </c>
      <c r="Z199" s="13">
        <v>0.0</v>
      </c>
      <c r="AA199" s="13">
        <v>0.0</v>
      </c>
      <c r="AB199" s="13">
        <v>0.0</v>
      </c>
      <c r="AC199" s="13">
        <v>0.0</v>
      </c>
    </row>
    <row r="200">
      <c r="A200" s="11" t="s">
        <v>34</v>
      </c>
      <c r="B200" s="12" t="s">
        <v>46</v>
      </c>
      <c r="C200" s="13">
        <v>1.0</v>
      </c>
      <c r="D200" s="28">
        <v>24.75</v>
      </c>
      <c r="E200" s="13">
        <v>1.0</v>
      </c>
      <c r="F200" s="13">
        <v>135.0</v>
      </c>
      <c r="G200" s="13">
        <v>7.0</v>
      </c>
      <c r="H200" s="13">
        <v>95.0</v>
      </c>
      <c r="I200" s="30">
        <f t="shared" si="187"/>
        <v>40</v>
      </c>
      <c r="J200" s="32">
        <f t="shared" si="188"/>
        <v>1.421052632</v>
      </c>
      <c r="K200" s="13">
        <v>12.0</v>
      </c>
      <c r="L200" s="13">
        <v>229.0</v>
      </c>
      <c r="M200" s="13">
        <v>1.0</v>
      </c>
      <c r="N200" s="33">
        <f t="shared" si="189"/>
        <v>24.75</v>
      </c>
      <c r="O200" s="13">
        <v>30.0</v>
      </c>
      <c r="P200" s="13">
        <v>8.0</v>
      </c>
      <c r="Q200" s="13">
        <v>1.0</v>
      </c>
      <c r="R200" s="13">
        <v>0.0</v>
      </c>
      <c r="S200" s="13">
        <v>4.0</v>
      </c>
      <c r="T200" s="13">
        <v>0.0</v>
      </c>
      <c r="U200" s="13">
        <v>0.0</v>
      </c>
      <c r="V200" s="13">
        <v>0.0</v>
      </c>
      <c r="W200" s="13">
        <v>0.0</v>
      </c>
      <c r="X200" s="13">
        <v>0.0</v>
      </c>
      <c r="Y200" s="13">
        <v>0.0</v>
      </c>
      <c r="Z200" s="13">
        <v>0.0</v>
      </c>
      <c r="AA200" s="13">
        <v>0.0</v>
      </c>
      <c r="AB200" s="13">
        <v>0.0</v>
      </c>
      <c r="AC200" s="13">
        <v>0.0</v>
      </c>
    </row>
    <row r="201">
      <c r="A201" s="11" t="s">
        <v>34</v>
      </c>
      <c r="B201" s="12" t="s">
        <v>47</v>
      </c>
      <c r="C201" s="13">
        <v>1.0</v>
      </c>
      <c r="D201" s="28">
        <v>24.75</v>
      </c>
      <c r="E201" s="13">
        <v>1.0</v>
      </c>
      <c r="F201" s="13">
        <v>97.0</v>
      </c>
      <c r="G201" s="13">
        <v>5.0</v>
      </c>
      <c r="H201" s="13">
        <v>98.0</v>
      </c>
      <c r="I201" s="30">
        <f t="shared" si="187"/>
        <v>-1</v>
      </c>
      <c r="J201" s="32">
        <f t="shared" si="188"/>
        <v>0.9897959184</v>
      </c>
      <c r="K201" s="13">
        <v>12.0</v>
      </c>
      <c r="L201" s="13">
        <v>144.0</v>
      </c>
      <c r="M201" s="13">
        <v>1.0</v>
      </c>
      <c r="N201" s="33">
        <f t="shared" si="189"/>
        <v>24.75</v>
      </c>
      <c r="O201" s="13">
        <v>15.0</v>
      </c>
      <c r="P201" s="13">
        <v>3.0</v>
      </c>
      <c r="Q201" s="13">
        <v>1.0</v>
      </c>
      <c r="R201" s="13">
        <v>0.0</v>
      </c>
      <c r="S201" s="13">
        <v>0.0</v>
      </c>
      <c r="T201" s="13">
        <v>0.0</v>
      </c>
      <c r="U201" s="13">
        <v>0.0</v>
      </c>
      <c r="V201" s="13">
        <v>0.0</v>
      </c>
      <c r="W201" s="13">
        <v>0.0</v>
      </c>
      <c r="X201" s="13">
        <v>0.0</v>
      </c>
      <c r="Y201" s="13">
        <v>0.0</v>
      </c>
      <c r="Z201" s="13">
        <v>0.0</v>
      </c>
      <c r="AA201" s="13">
        <v>0.0</v>
      </c>
      <c r="AB201" s="13">
        <v>0.0</v>
      </c>
      <c r="AC201" s="13">
        <v>0.0</v>
      </c>
    </row>
    <row r="202">
      <c r="A202" s="11" t="s">
        <v>34</v>
      </c>
      <c r="B202" s="12" t="s">
        <v>48</v>
      </c>
      <c r="C202" s="13">
        <v>1.0</v>
      </c>
      <c r="D202" s="28">
        <v>24.75</v>
      </c>
      <c r="E202" s="13">
        <v>0.0</v>
      </c>
      <c r="F202" s="13">
        <v>99.0</v>
      </c>
      <c r="G202" s="13">
        <v>4.0</v>
      </c>
      <c r="H202" s="13">
        <v>101.0</v>
      </c>
      <c r="I202" s="30">
        <f t="shared" si="187"/>
        <v>-2</v>
      </c>
      <c r="J202" s="32">
        <f t="shared" si="188"/>
        <v>0.9801980198</v>
      </c>
      <c r="K202" s="13">
        <v>11.0</v>
      </c>
      <c r="L202" s="13">
        <v>156.0</v>
      </c>
      <c r="M202" s="13">
        <v>1.0</v>
      </c>
      <c r="N202" s="33">
        <f t="shared" si="189"/>
        <v>24.75</v>
      </c>
      <c r="O202" s="13">
        <v>17.0</v>
      </c>
      <c r="P202" s="13">
        <v>3.0</v>
      </c>
      <c r="Q202" s="13">
        <v>0.0</v>
      </c>
      <c r="R202" s="13">
        <v>0.0</v>
      </c>
      <c r="S202" s="13">
        <v>2.0</v>
      </c>
      <c r="T202" s="13">
        <v>0.0</v>
      </c>
      <c r="U202" s="13">
        <v>0.0</v>
      </c>
      <c r="V202" s="13">
        <v>0.0</v>
      </c>
      <c r="W202" s="13">
        <v>0.0</v>
      </c>
      <c r="X202" s="13">
        <v>0.0</v>
      </c>
      <c r="Y202" s="13">
        <v>0.0</v>
      </c>
      <c r="Z202" s="13">
        <v>0.0</v>
      </c>
      <c r="AA202" s="13">
        <v>0.0</v>
      </c>
      <c r="AB202" s="13">
        <v>0.0</v>
      </c>
      <c r="AC202" s="13">
        <v>0.0</v>
      </c>
    </row>
    <row r="203">
      <c r="A203" s="34"/>
      <c r="B203" s="34"/>
      <c r="C203" s="34">
        <f t="shared" ref="C203:D203" si="190">SUM(C199:C202)/4</f>
        <v>1</v>
      </c>
      <c r="D203" s="35">
        <f t="shared" si="190"/>
        <v>24.75</v>
      </c>
      <c r="E203" s="34">
        <f t="shared" ref="E203:H203" si="191">SUM(E199:E202)</f>
        <v>5</v>
      </c>
      <c r="F203" s="34">
        <f t="shared" si="191"/>
        <v>390</v>
      </c>
      <c r="G203" s="34">
        <f t="shared" si="191"/>
        <v>19</v>
      </c>
      <c r="H203" s="34">
        <f t="shared" si="191"/>
        <v>340</v>
      </c>
      <c r="I203" s="34">
        <f>SUM(F203-H203)</f>
        <v>50</v>
      </c>
      <c r="J203" s="36">
        <f>SUM(F203/H203)</f>
        <v>1.147058824</v>
      </c>
      <c r="K203" s="34">
        <f>SUM(K199:K202)/4</f>
        <v>15.75</v>
      </c>
      <c r="L203" s="34">
        <f>SUM(L199:L202)</f>
        <v>626</v>
      </c>
      <c r="M203" s="34"/>
      <c r="N203" s="35">
        <f>SUM(N199:N202)/4</f>
        <v>24.75</v>
      </c>
      <c r="O203" s="34">
        <f t="shared" ref="O203:AC203" si="192">SUM(O199:O202)</f>
        <v>67</v>
      </c>
      <c r="P203" s="34">
        <f t="shared" si="192"/>
        <v>14</v>
      </c>
      <c r="Q203" s="34">
        <f t="shared" si="192"/>
        <v>2</v>
      </c>
      <c r="R203" s="34">
        <f t="shared" si="192"/>
        <v>0</v>
      </c>
      <c r="S203" s="34">
        <f t="shared" si="192"/>
        <v>7</v>
      </c>
      <c r="T203" s="34">
        <f t="shared" si="192"/>
        <v>0</v>
      </c>
      <c r="U203" s="34">
        <f t="shared" si="192"/>
        <v>0</v>
      </c>
      <c r="V203" s="34">
        <f t="shared" si="192"/>
        <v>0</v>
      </c>
      <c r="W203" s="34">
        <f t="shared" si="192"/>
        <v>0</v>
      </c>
      <c r="X203" s="34">
        <f t="shared" si="192"/>
        <v>0</v>
      </c>
      <c r="Y203" s="34">
        <f t="shared" si="192"/>
        <v>0</v>
      </c>
      <c r="Z203" s="34">
        <f t="shared" si="192"/>
        <v>0</v>
      </c>
      <c r="AA203" s="34">
        <f t="shared" si="192"/>
        <v>0</v>
      </c>
      <c r="AB203" s="34">
        <f t="shared" si="192"/>
        <v>0</v>
      </c>
      <c r="AC203" s="34">
        <f t="shared" si="192"/>
        <v>0</v>
      </c>
    </row>
    <row r="204">
      <c r="A204" s="11" t="s">
        <v>76</v>
      </c>
      <c r="B204" s="12" t="s">
        <v>80</v>
      </c>
      <c r="C204" s="13">
        <v>0.0</v>
      </c>
      <c r="D204" s="28">
        <v>24.75</v>
      </c>
      <c r="E204" s="13">
        <v>0.0</v>
      </c>
      <c r="F204" s="13">
        <v>128.0</v>
      </c>
      <c r="G204" s="13">
        <v>8.0</v>
      </c>
      <c r="H204" s="13">
        <v>91.0</v>
      </c>
      <c r="I204" s="30">
        <f t="shared" ref="I204:I207" si="193">F204-H204</f>
        <v>37</v>
      </c>
      <c r="J204" s="32">
        <f t="shared" ref="J204:J207" si="194">F204/H204</f>
        <v>1.406593407</v>
      </c>
      <c r="K204" s="13">
        <v>13.0</v>
      </c>
      <c r="L204" s="13">
        <v>207.0</v>
      </c>
      <c r="M204" s="13">
        <v>1.0</v>
      </c>
      <c r="N204" s="33">
        <f t="shared" ref="N204:N207" si="195">SUM(M204*D204)</f>
        <v>24.75</v>
      </c>
      <c r="O204" s="13">
        <v>20.0</v>
      </c>
      <c r="P204" s="13">
        <v>3.0</v>
      </c>
      <c r="Q204" s="13">
        <v>1.0</v>
      </c>
      <c r="R204" s="13">
        <v>0.0</v>
      </c>
      <c r="S204" s="13">
        <v>3.0</v>
      </c>
      <c r="T204" s="13">
        <v>0.0</v>
      </c>
      <c r="U204" s="13">
        <v>0.0</v>
      </c>
      <c r="V204" s="13">
        <v>0.0</v>
      </c>
      <c r="W204" s="13">
        <v>0.0</v>
      </c>
      <c r="X204" s="13">
        <v>0.0</v>
      </c>
      <c r="Y204" s="13">
        <v>0.0</v>
      </c>
      <c r="Z204" s="13">
        <v>0.0</v>
      </c>
      <c r="AA204" s="13">
        <v>0.0</v>
      </c>
      <c r="AB204" s="13">
        <v>0.0</v>
      </c>
      <c r="AC204" s="13">
        <v>0.0</v>
      </c>
    </row>
    <row r="205">
      <c r="A205" s="11" t="s">
        <v>76</v>
      </c>
      <c r="B205" s="12" t="s">
        <v>81</v>
      </c>
      <c r="C205" s="13">
        <v>0.0</v>
      </c>
      <c r="D205" s="28">
        <v>24.75</v>
      </c>
      <c r="E205" s="13">
        <v>0.0</v>
      </c>
      <c r="F205" s="13">
        <v>43.0</v>
      </c>
      <c r="G205" s="13">
        <v>6.0</v>
      </c>
      <c r="H205" s="13">
        <v>73.0</v>
      </c>
      <c r="I205" s="30">
        <f t="shared" si="193"/>
        <v>-30</v>
      </c>
      <c r="J205" s="32">
        <f t="shared" si="194"/>
        <v>0.5890410959</v>
      </c>
      <c r="K205" s="13">
        <v>17.0</v>
      </c>
      <c r="L205" s="13">
        <v>66.0</v>
      </c>
      <c r="M205" s="13">
        <v>1.0</v>
      </c>
      <c r="N205" s="33">
        <f t="shared" si="195"/>
        <v>24.75</v>
      </c>
      <c r="O205" s="13">
        <v>1.0</v>
      </c>
      <c r="P205" s="13">
        <v>0.0</v>
      </c>
      <c r="Q205" s="13">
        <v>0.0</v>
      </c>
      <c r="R205" s="13">
        <v>0.0</v>
      </c>
      <c r="S205" s="13">
        <v>0.0</v>
      </c>
      <c r="T205" s="13">
        <v>0.0</v>
      </c>
      <c r="U205" s="13">
        <v>0.0</v>
      </c>
      <c r="V205" s="13">
        <v>0.0</v>
      </c>
      <c r="W205" s="13">
        <v>0.0</v>
      </c>
      <c r="X205" s="13">
        <v>0.0</v>
      </c>
      <c r="Y205" s="13">
        <v>0.0</v>
      </c>
      <c r="Z205" s="13">
        <v>0.0</v>
      </c>
      <c r="AA205" s="13">
        <v>0.0</v>
      </c>
      <c r="AB205" s="13">
        <v>0.0</v>
      </c>
      <c r="AC205" s="13">
        <v>0.0</v>
      </c>
    </row>
    <row r="206">
      <c r="A206" s="11" t="s">
        <v>76</v>
      </c>
      <c r="B206" s="12" t="s">
        <v>82</v>
      </c>
      <c r="C206" s="13">
        <v>0.0</v>
      </c>
      <c r="D206" s="28">
        <v>24.75</v>
      </c>
      <c r="E206" s="13">
        <v>0.0</v>
      </c>
      <c r="F206" s="13">
        <v>90.0</v>
      </c>
      <c r="G206" s="13">
        <v>2.0</v>
      </c>
      <c r="H206" s="13">
        <v>128.0</v>
      </c>
      <c r="I206" s="30">
        <f t="shared" si="193"/>
        <v>-38</v>
      </c>
      <c r="J206" s="32">
        <f t="shared" si="194"/>
        <v>0.703125</v>
      </c>
      <c r="K206" s="13">
        <v>8.0</v>
      </c>
      <c r="L206" s="13">
        <v>127.0</v>
      </c>
      <c r="M206" s="13">
        <v>1.0</v>
      </c>
      <c r="N206" s="33">
        <f t="shared" si="195"/>
        <v>24.75</v>
      </c>
      <c r="O206" s="13">
        <v>10.0</v>
      </c>
      <c r="P206" s="13">
        <v>0.0</v>
      </c>
      <c r="Q206" s="13">
        <v>0.0</v>
      </c>
      <c r="R206" s="13">
        <v>0.0</v>
      </c>
      <c r="S206" s="13">
        <v>0.0</v>
      </c>
      <c r="T206" s="13">
        <v>0.0</v>
      </c>
      <c r="U206" s="13">
        <v>0.0</v>
      </c>
      <c r="V206" s="13">
        <v>0.0</v>
      </c>
      <c r="W206" s="13">
        <v>0.0</v>
      </c>
      <c r="X206" s="13">
        <v>0.0</v>
      </c>
      <c r="Y206" s="13">
        <v>0.0</v>
      </c>
      <c r="Z206" s="13">
        <v>0.0</v>
      </c>
      <c r="AA206" s="13">
        <v>0.0</v>
      </c>
      <c r="AB206" s="13">
        <v>0.0</v>
      </c>
      <c r="AC206" s="13">
        <v>0.0</v>
      </c>
    </row>
    <row r="207">
      <c r="A207" s="11" t="s">
        <v>76</v>
      </c>
      <c r="B207" s="12" t="s">
        <v>114</v>
      </c>
      <c r="C207" s="13">
        <v>0.0</v>
      </c>
      <c r="D207" s="28">
        <v>24.75</v>
      </c>
      <c r="E207" s="13">
        <v>0.0</v>
      </c>
      <c r="F207" s="13">
        <v>69.0</v>
      </c>
      <c r="G207" s="13">
        <v>3.0</v>
      </c>
      <c r="H207" s="13">
        <v>108.0</v>
      </c>
      <c r="I207" s="30">
        <f t="shared" si="193"/>
        <v>-39</v>
      </c>
      <c r="J207" s="32">
        <f t="shared" si="194"/>
        <v>0.6388888889</v>
      </c>
      <c r="K207" s="13">
        <v>10.0</v>
      </c>
      <c r="L207" s="13">
        <v>94.0</v>
      </c>
      <c r="M207" s="13">
        <v>1.0</v>
      </c>
      <c r="N207" s="33">
        <f t="shared" si="195"/>
        <v>24.75</v>
      </c>
      <c r="O207" s="13">
        <v>3.0</v>
      </c>
      <c r="P207" s="13">
        <v>0.0</v>
      </c>
      <c r="Q207" s="13">
        <v>0.0</v>
      </c>
      <c r="R207" s="13">
        <v>0.0</v>
      </c>
      <c r="S207" s="13">
        <v>0.0</v>
      </c>
      <c r="T207" s="13">
        <v>0.0</v>
      </c>
      <c r="U207" s="13">
        <v>0.0</v>
      </c>
      <c r="V207" s="13">
        <v>0.0</v>
      </c>
      <c r="W207" s="13">
        <v>0.0</v>
      </c>
      <c r="X207" s="13">
        <v>0.0</v>
      </c>
      <c r="Y207" s="13">
        <v>0.0</v>
      </c>
      <c r="Z207" s="13">
        <v>0.0</v>
      </c>
      <c r="AA207" s="13">
        <v>0.0</v>
      </c>
      <c r="AB207" s="13">
        <v>0.0</v>
      </c>
      <c r="AC207" s="13">
        <v>0.0</v>
      </c>
    </row>
    <row r="208">
      <c r="A208" s="34" t="s">
        <v>49</v>
      </c>
      <c r="B208" s="34"/>
      <c r="C208" s="34">
        <f>SUM(C204:C207)</f>
        <v>0</v>
      </c>
      <c r="D208" s="35">
        <f t="shared" ref="D208:E208" si="196">SUM(D204:D207)/4</f>
        <v>24.75</v>
      </c>
      <c r="E208" s="34">
        <f t="shared" si="196"/>
        <v>0</v>
      </c>
      <c r="F208" s="34">
        <f t="shared" ref="F208:H208" si="197">SUM(F204:F207)</f>
        <v>330</v>
      </c>
      <c r="G208" s="34">
        <f t="shared" si="197"/>
        <v>19</v>
      </c>
      <c r="H208" s="34">
        <f t="shared" si="197"/>
        <v>400</v>
      </c>
      <c r="I208" s="34">
        <f>SUM(F208-H208)</f>
        <v>-70</v>
      </c>
      <c r="J208" s="36">
        <f>SUM(F208/H208)</f>
        <v>0.825</v>
      </c>
      <c r="K208" s="34">
        <f>SUM(K204:K207)/4</f>
        <v>12</v>
      </c>
      <c r="L208" s="34">
        <f>SUM(L204:L207)</f>
        <v>494</v>
      </c>
      <c r="M208" s="34"/>
      <c r="N208" s="35">
        <f>SUM(N204:N207)/4</f>
        <v>24.75</v>
      </c>
      <c r="O208" s="34">
        <f t="shared" ref="O208:AC208" si="198">SUM(O204:O207)</f>
        <v>34</v>
      </c>
      <c r="P208" s="34">
        <f t="shared" si="198"/>
        <v>3</v>
      </c>
      <c r="Q208" s="34">
        <f t="shared" si="198"/>
        <v>1</v>
      </c>
      <c r="R208" s="34">
        <f t="shared" si="198"/>
        <v>0</v>
      </c>
      <c r="S208" s="34">
        <f t="shared" si="198"/>
        <v>3</v>
      </c>
      <c r="T208" s="34">
        <f t="shared" si="198"/>
        <v>0</v>
      </c>
      <c r="U208" s="34">
        <f t="shared" si="198"/>
        <v>0</v>
      </c>
      <c r="V208" s="34">
        <f t="shared" si="198"/>
        <v>0</v>
      </c>
      <c r="W208" s="37">
        <f t="shared" si="198"/>
        <v>0</v>
      </c>
      <c r="X208" s="34">
        <f t="shared" si="198"/>
        <v>0</v>
      </c>
      <c r="Y208" s="34">
        <f t="shared" si="198"/>
        <v>0</v>
      </c>
      <c r="Z208" s="34">
        <f t="shared" si="198"/>
        <v>0</v>
      </c>
      <c r="AA208" s="34">
        <f t="shared" si="198"/>
        <v>0</v>
      </c>
      <c r="AB208" s="37">
        <f t="shared" si="198"/>
        <v>0</v>
      </c>
      <c r="AC208" s="37">
        <f t="shared" si="198"/>
        <v>0</v>
      </c>
    </row>
    <row r="209">
      <c r="A209" s="15" t="s">
        <v>115</v>
      </c>
    </row>
    <row r="210">
      <c r="A210" s="19"/>
      <c r="E210" s="20" t="s">
        <v>33</v>
      </c>
      <c r="K210" s="22" t="s">
        <v>35</v>
      </c>
      <c r="M210" s="23" t="s">
        <v>36</v>
      </c>
      <c r="N210" s="24" t="s">
        <v>36</v>
      </c>
    </row>
    <row r="211">
      <c r="A211" s="4" t="s">
        <v>1</v>
      </c>
      <c r="B211" s="4" t="s">
        <v>2</v>
      </c>
      <c r="C211" s="5" t="s">
        <v>4</v>
      </c>
      <c r="D211" s="6" t="s">
        <v>5</v>
      </c>
      <c r="E211" s="25" t="s">
        <v>37</v>
      </c>
      <c r="F211" s="7" t="s">
        <v>7</v>
      </c>
      <c r="G211" s="7" t="s">
        <v>8</v>
      </c>
      <c r="H211" s="7" t="s">
        <v>9</v>
      </c>
      <c r="I211" s="7" t="s">
        <v>10</v>
      </c>
      <c r="J211" s="7" t="s">
        <v>11</v>
      </c>
      <c r="K211" s="8" t="s">
        <v>12</v>
      </c>
      <c r="L211" s="8" t="s">
        <v>13</v>
      </c>
      <c r="M211" s="9" t="s">
        <v>14</v>
      </c>
      <c r="N211" s="10" t="s">
        <v>5</v>
      </c>
      <c r="O211" s="9" t="s">
        <v>15</v>
      </c>
      <c r="P211" s="9" t="s">
        <v>16</v>
      </c>
      <c r="Q211" s="9" t="s">
        <v>17</v>
      </c>
      <c r="R211" s="9" t="s">
        <v>18</v>
      </c>
      <c r="S211" s="9" t="s">
        <v>19</v>
      </c>
      <c r="T211" s="9" t="s">
        <v>20</v>
      </c>
      <c r="U211" s="9" t="s">
        <v>21</v>
      </c>
      <c r="V211" s="9" t="s">
        <v>22</v>
      </c>
      <c r="W211" s="9" t="s">
        <v>23</v>
      </c>
      <c r="X211" s="9" t="s">
        <v>24</v>
      </c>
      <c r="Y211" s="9" t="s">
        <v>25</v>
      </c>
      <c r="Z211" s="9" t="s">
        <v>26</v>
      </c>
      <c r="AA211" s="9" t="s">
        <v>27</v>
      </c>
      <c r="AB211" s="9" t="s">
        <v>28</v>
      </c>
      <c r="AC211" s="9" t="s">
        <v>29</v>
      </c>
    </row>
    <row r="212">
      <c r="A212" s="11" t="s">
        <v>42</v>
      </c>
      <c r="B212" s="12" t="s">
        <v>66</v>
      </c>
      <c r="C212" s="13">
        <v>1.0</v>
      </c>
      <c r="D212" s="28">
        <v>7.1</v>
      </c>
      <c r="E212" s="13">
        <v>0.0</v>
      </c>
      <c r="F212" s="13">
        <v>47.0</v>
      </c>
      <c r="G212" s="13">
        <v>1.0</v>
      </c>
      <c r="H212" s="13">
        <v>27.0</v>
      </c>
      <c r="I212" s="30">
        <f t="shared" ref="I212:I215" si="199">F212-H212</f>
        <v>20</v>
      </c>
      <c r="J212" s="32">
        <f t="shared" ref="J212:J215" si="200">F212/H212</f>
        <v>1.740740741</v>
      </c>
      <c r="K212" s="13">
        <v>12.0</v>
      </c>
      <c r="L212" s="13">
        <v>74.0</v>
      </c>
      <c r="M212" s="13">
        <v>1.0</v>
      </c>
      <c r="N212" s="33">
        <f t="shared" ref="N212:N215" si="201">SUM(M212*D212)</f>
        <v>7.1</v>
      </c>
      <c r="O212" s="13">
        <v>10.0</v>
      </c>
      <c r="P212" s="13">
        <v>3.0</v>
      </c>
      <c r="Q212" s="13">
        <v>2.0</v>
      </c>
      <c r="R212" s="13">
        <v>0.0</v>
      </c>
      <c r="S212" s="13">
        <v>0.0</v>
      </c>
      <c r="T212" s="13">
        <v>0.0</v>
      </c>
      <c r="U212" s="13">
        <v>0.0</v>
      </c>
      <c r="V212" s="13">
        <v>0.0</v>
      </c>
      <c r="W212" s="13">
        <v>0.0</v>
      </c>
      <c r="X212" s="13">
        <v>0.0</v>
      </c>
      <c r="Y212" s="13">
        <v>0.0</v>
      </c>
      <c r="Z212" s="13">
        <v>0.0</v>
      </c>
      <c r="AA212" s="13">
        <v>0.0</v>
      </c>
      <c r="AB212" s="13">
        <v>0.0</v>
      </c>
      <c r="AC212" s="13">
        <v>0.0</v>
      </c>
    </row>
    <row r="213">
      <c r="A213" s="11" t="s">
        <v>42</v>
      </c>
      <c r="B213" s="12" t="s">
        <v>67</v>
      </c>
      <c r="C213" s="13">
        <v>1.0</v>
      </c>
      <c r="D213" s="28">
        <v>7.1</v>
      </c>
      <c r="E213" s="13">
        <v>3.0</v>
      </c>
      <c r="F213" s="13">
        <v>27.0</v>
      </c>
      <c r="G213" s="13">
        <v>0.0</v>
      </c>
      <c r="H213" s="13">
        <v>15.0</v>
      </c>
      <c r="I213" s="30">
        <f t="shared" si="199"/>
        <v>12</v>
      </c>
      <c r="J213" s="32">
        <f t="shared" si="200"/>
        <v>1.8</v>
      </c>
      <c r="K213" s="13">
        <v>24.0</v>
      </c>
      <c r="L213" s="13">
        <v>50.0</v>
      </c>
      <c r="M213" s="13">
        <v>1.0</v>
      </c>
      <c r="N213" s="33">
        <f t="shared" si="201"/>
        <v>7.1</v>
      </c>
      <c r="O213" s="13">
        <v>5.0</v>
      </c>
      <c r="P213" s="13">
        <v>0.0</v>
      </c>
      <c r="Q213" s="13">
        <v>0.0</v>
      </c>
      <c r="R213" s="13">
        <v>0.0</v>
      </c>
      <c r="S213" s="13">
        <v>1.0</v>
      </c>
      <c r="T213" s="13">
        <v>0.0</v>
      </c>
      <c r="U213" s="13">
        <v>0.0</v>
      </c>
      <c r="V213" s="13">
        <v>0.0</v>
      </c>
      <c r="W213" s="13">
        <v>0.0</v>
      </c>
      <c r="X213" s="13">
        <v>0.0</v>
      </c>
      <c r="Y213" s="13">
        <v>0.0</v>
      </c>
      <c r="Z213" s="13">
        <v>0.0</v>
      </c>
      <c r="AA213" s="13">
        <v>0.0</v>
      </c>
      <c r="AB213" s="13">
        <v>0.0</v>
      </c>
      <c r="AC213" s="13">
        <v>0.0</v>
      </c>
    </row>
    <row r="214">
      <c r="A214" s="11" t="s">
        <v>42</v>
      </c>
      <c r="B214" s="12" t="s">
        <v>68</v>
      </c>
      <c r="C214" s="13">
        <v>1.0</v>
      </c>
      <c r="D214" s="28">
        <v>7.1</v>
      </c>
      <c r="E214" s="13">
        <v>0.0</v>
      </c>
      <c r="F214" s="13">
        <v>34.0</v>
      </c>
      <c r="G214" s="13">
        <v>0.0</v>
      </c>
      <c r="H214" s="13">
        <v>35.0</v>
      </c>
      <c r="I214" s="30">
        <f t="shared" si="199"/>
        <v>-1</v>
      </c>
      <c r="J214" s="32">
        <f t="shared" si="200"/>
        <v>0.9714285714</v>
      </c>
      <c r="K214" s="13">
        <v>9.0</v>
      </c>
      <c r="L214" s="13">
        <v>51.0</v>
      </c>
      <c r="M214" s="13">
        <v>1.0</v>
      </c>
      <c r="N214" s="33">
        <f t="shared" si="201"/>
        <v>7.1</v>
      </c>
      <c r="O214" s="13">
        <v>5.0</v>
      </c>
      <c r="P214" s="13">
        <v>1.0</v>
      </c>
      <c r="Q214" s="13">
        <v>1.0</v>
      </c>
      <c r="R214" s="13">
        <v>1.0</v>
      </c>
      <c r="S214" s="13">
        <v>1.0</v>
      </c>
      <c r="T214" s="13">
        <v>0.0</v>
      </c>
      <c r="U214" s="13">
        <v>0.0</v>
      </c>
      <c r="V214" s="13">
        <v>0.0</v>
      </c>
      <c r="W214" s="13">
        <v>0.0</v>
      </c>
      <c r="X214" s="13">
        <v>0.0</v>
      </c>
      <c r="Y214" s="13">
        <v>1.0</v>
      </c>
      <c r="Z214" s="13">
        <v>0.0</v>
      </c>
      <c r="AA214" s="13">
        <v>0.0</v>
      </c>
      <c r="AB214" s="13">
        <v>0.0</v>
      </c>
      <c r="AC214" s="13">
        <v>0.0</v>
      </c>
    </row>
    <row r="215">
      <c r="A215" s="11" t="s">
        <v>42</v>
      </c>
      <c r="B215" s="12" t="s">
        <v>69</v>
      </c>
      <c r="C215" s="13">
        <v>1.0</v>
      </c>
      <c r="D215" s="28">
        <v>7.1</v>
      </c>
      <c r="E215" s="13">
        <v>2.0</v>
      </c>
      <c r="F215" s="13">
        <v>20.0</v>
      </c>
      <c r="G215" s="13">
        <v>0.0</v>
      </c>
      <c r="H215" s="13">
        <v>34.0</v>
      </c>
      <c r="I215" s="30">
        <f t="shared" si="199"/>
        <v>-14</v>
      </c>
      <c r="J215" s="32">
        <f t="shared" si="200"/>
        <v>0.5882352941</v>
      </c>
      <c r="K215" s="13">
        <v>9.0</v>
      </c>
      <c r="L215" s="13">
        <v>32.0</v>
      </c>
      <c r="M215" s="13">
        <v>1.0</v>
      </c>
      <c r="N215" s="33">
        <f t="shared" si="201"/>
        <v>7.1</v>
      </c>
      <c r="O215" s="13">
        <v>2.0</v>
      </c>
      <c r="P215" s="13">
        <v>0.0</v>
      </c>
      <c r="Q215" s="13">
        <v>0.0</v>
      </c>
      <c r="R215" s="13">
        <v>0.0</v>
      </c>
      <c r="S215" s="13">
        <v>0.0</v>
      </c>
      <c r="T215" s="13">
        <v>0.0</v>
      </c>
      <c r="U215" s="13">
        <v>0.0</v>
      </c>
      <c r="V215" s="13">
        <v>0.0</v>
      </c>
      <c r="W215" s="13">
        <v>0.0</v>
      </c>
      <c r="X215" s="13">
        <v>0.0</v>
      </c>
      <c r="Y215" s="13">
        <v>0.0</v>
      </c>
      <c r="Z215" s="13">
        <v>0.0</v>
      </c>
      <c r="AA215" s="13">
        <v>0.0</v>
      </c>
      <c r="AB215" s="13">
        <v>0.0</v>
      </c>
      <c r="AC215" s="13">
        <v>0.0</v>
      </c>
    </row>
    <row r="216">
      <c r="A216" s="34"/>
      <c r="B216" s="34"/>
      <c r="C216" s="34">
        <f t="shared" ref="C216:D216" si="202">SUM(C212:C215)/4</f>
        <v>1</v>
      </c>
      <c r="D216" s="35">
        <f t="shared" si="202"/>
        <v>7.1</v>
      </c>
      <c r="E216" s="34">
        <f t="shared" ref="E216:H216" si="203">SUM(E212:E215)</f>
        <v>5</v>
      </c>
      <c r="F216" s="34">
        <f t="shared" si="203"/>
        <v>128</v>
      </c>
      <c r="G216" s="34">
        <f t="shared" si="203"/>
        <v>1</v>
      </c>
      <c r="H216" s="34">
        <f t="shared" si="203"/>
        <v>111</v>
      </c>
      <c r="I216" s="34">
        <f>SUM(F216-H216)</f>
        <v>17</v>
      </c>
      <c r="J216" s="36">
        <f>SUM(F216/H216)</f>
        <v>1.153153153</v>
      </c>
      <c r="K216" s="34">
        <f>SUM(K212:K215)/4</f>
        <v>13.5</v>
      </c>
      <c r="L216" s="34">
        <f>SUM(L212:L215)</f>
        <v>207</v>
      </c>
      <c r="M216" s="34"/>
      <c r="N216" s="35">
        <f>SUM(N212:N215)/4</f>
        <v>7.1</v>
      </c>
      <c r="O216" s="34">
        <f t="shared" ref="O216:AC216" si="204">SUM(O212:O215)</f>
        <v>22</v>
      </c>
      <c r="P216" s="34">
        <f t="shared" si="204"/>
        <v>4</v>
      </c>
      <c r="Q216" s="34">
        <f t="shared" si="204"/>
        <v>3</v>
      </c>
      <c r="R216" s="34">
        <f t="shared" si="204"/>
        <v>1</v>
      </c>
      <c r="S216" s="34">
        <f t="shared" si="204"/>
        <v>2</v>
      </c>
      <c r="T216" s="34">
        <f t="shared" si="204"/>
        <v>0</v>
      </c>
      <c r="U216" s="34">
        <f t="shared" si="204"/>
        <v>0</v>
      </c>
      <c r="V216" s="34">
        <f t="shared" si="204"/>
        <v>0</v>
      </c>
      <c r="W216" s="34">
        <f t="shared" si="204"/>
        <v>0</v>
      </c>
      <c r="X216" s="34">
        <f t="shared" si="204"/>
        <v>0</v>
      </c>
      <c r="Y216" s="34">
        <f t="shared" si="204"/>
        <v>1</v>
      </c>
      <c r="Z216" s="34">
        <f t="shared" si="204"/>
        <v>0</v>
      </c>
      <c r="AA216" s="34">
        <f t="shared" si="204"/>
        <v>0</v>
      </c>
      <c r="AB216" s="34">
        <f t="shared" si="204"/>
        <v>0</v>
      </c>
      <c r="AC216" s="34">
        <f t="shared" si="204"/>
        <v>0</v>
      </c>
    </row>
    <row r="217">
      <c r="A217" s="11" t="s">
        <v>70</v>
      </c>
      <c r="B217" s="12" t="s">
        <v>99</v>
      </c>
      <c r="C217" s="13">
        <v>0.0</v>
      </c>
      <c r="D217" s="28">
        <v>7.1</v>
      </c>
      <c r="E217" s="13">
        <v>1.0</v>
      </c>
      <c r="F217" s="13">
        <v>38.0</v>
      </c>
      <c r="G217" s="13">
        <v>3.0</v>
      </c>
      <c r="H217" s="13">
        <v>40.0</v>
      </c>
      <c r="I217" s="30">
        <f t="shared" ref="I217:I220" si="205">F217-H217</f>
        <v>-2</v>
      </c>
      <c r="J217" s="32">
        <f t="shared" ref="J217:J220" si="206">F217/H217</f>
        <v>0.95</v>
      </c>
      <c r="K217" s="13">
        <v>7.0</v>
      </c>
      <c r="L217" s="13">
        <v>69.0</v>
      </c>
      <c r="M217" s="13">
        <v>1.0</v>
      </c>
      <c r="N217" s="33">
        <f t="shared" ref="N217:N220" si="207">SUM(M217*D217)</f>
        <v>7.1</v>
      </c>
      <c r="O217" s="13">
        <v>7.0</v>
      </c>
      <c r="P217" s="13">
        <v>4.0</v>
      </c>
      <c r="Q217" s="13">
        <v>1.0</v>
      </c>
      <c r="R217" s="13">
        <v>0.0</v>
      </c>
      <c r="S217" s="13">
        <v>1.0</v>
      </c>
      <c r="T217" s="13">
        <v>0.0</v>
      </c>
      <c r="U217" s="13">
        <v>0.0</v>
      </c>
      <c r="V217" s="13">
        <v>0.0</v>
      </c>
      <c r="W217" s="13">
        <v>0.0</v>
      </c>
      <c r="X217" s="13">
        <v>0.0</v>
      </c>
      <c r="Y217" s="13">
        <v>0.0</v>
      </c>
      <c r="Z217" s="13">
        <v>0.0</v>
      </c>
      <c r="AA217" s="13">
        <v>0.0</v>
      </c>
      <c r="AB217" s="13">
        <v>0.0</v>
      </c>
      <c r="AC217" s="13">
        <v>0.0</v>
      </c>
    </row>
    <row r="218">
      <c r="A218" s="11" t="s">
        <v>70</v>
      </c>
      <c r="B218" s="12" t="s">
        <v>100</v>
      </c>
      <c r="C218" s="13">
        <v>0.0</v>
      </c>
      <c r="D218" s="28">
        <v>7.1</v>
      </c>
      <c r="E218" s="13">
        <v>0.0</v>
      </c>
      <c r="F218" s="13">
        <v>14.0</v>
      </c>
      <c r="G218" s="13">
        <v>3.0</v>
      </c>
      <c r="H218" s="13">
        <v>31.0</v>
      </c>
      <c r="I218" s="30">
        <f t="shared" si="205"/>
        <v>-17</v>
      </c>
      <c r="J218" s="32">
        <f t="shared" si="206"/>
        <v>0.4516129032</v>
      </c>
      <c r="K218" s="13">
        <v>10.0</v>
      </c>
      <c r="L218" s="13">
        <v>24.0</v>
      </c>
      <c r="M218" s="13">
        <v>1.0</v>
      </c>
      <c r="N218" s="33">
        <f t="shared" si="207"/>
        <v>7.1</v>
      </c>
      <c r="O218" s="13">
        <v>0.0</v>
      </c>
      <c r="P218" s="13">
        <v>0.0</v>
      </c>
      <c r="Q218" s="13">
        <v>0.0</v>
      </c>
      <c r="R218" s="13">
        <v>0.0</v>
      </c>
      <c r="S218" s="13">
        <v>0.0</v>
      </c>
      <c r="T218" s="13">
        <v>0.0</v>
      </c>
      <c r="U218" s="13">
        <v>0.0</v>
      </c>
      <c r="V218" s="13">
        <v>0.0</v>
      </c>
      <c r="W218" s="13">
        <v>0.0</v>
      </c>
      <c r="X218" s="13">
        <v>0.0</v>
      </c>
      <c r="Y218" s="13">
        <v>0.0</v>
      </c>
      <c r="Z218" s="13">
        <v>0.0</v>
      </c>
      <c r="AA218" s="13">
        <v>0.0</v>
      </c>
      <c r="AB218" s="13">
        <v>0.0</v>
      </c>
      <c r="AC218" s="13">
        <v>0.0</v>
      </c>
    </row>
    <row r="219">
      <c r="A219" s="11" t="s">
        <v>70</v>
      </c>
      <c r="B219" s="12" t="s">
        <v>56</v>
      </c>
      <c r="C219" s="13">
        <v>0.0</v>
      </c>
      <c r="D219" s="28">
        <v>7.1</v>
      </c>
      <c r="E219" s="13">
        <v>0.0</v>
      </c>
      <c r="F219" s="13">
        <v>24.0</v>
      </c>
      <c r="G219" s="13">
        <v>2.0</v>
      </c>
      <c r="H219" s="13">
        <v>28.0</v>
      </c>
      <c r="I219" s="30">
        <f t="shared" si="205"/>
        <v>-4</v>
      </c>
      <c r="J219" s="32">
        <f t="shared" si="206"/>
        <v>0.8571428571</v>
      </c>
      <c r="K219" s="13">
        <v>12.0</v>
      </c>
      <c r="L219" s="13">
        <v>40.0</v>
      </c>
      <c r="M219" s="13">
        <v>1.0</v>
      </c>
      <c r="N219" s="33">
        <f t="shared" si="207"/>
        <v>7.1</v>
      </c>
      <c r="O219" s="13">
        <v>4.0</v>
      </c>
      <c r="P219" s="13">
        <v>1.0</v>
      </c>
      <c r="Q219" s="13">
        <v>0.0</v>
      </c>
      <c r="R219" s="13">
        <v>0.0</v>
      </c>
      <c r="S219" s="13">
        <v>0.0</v>
      </c>
      <c r="T219" s="13">
        <v>0.0</v>
      </c>
      <c r="U219" s="13">
        <v>0.0</v>
      </c>
      <c r="V219" s="13">
        <v>0.0</v>
      </c>
      <c r="W219" s="13">
        <v>0.0</v>
      </c>
      <c r="X219" s="13">
        <v>0.0</v>
      </c>
      <c r="Y219" s="13">
        <v>0.0</v>
      </c>
      <c r="Z219" s="13">
        <v>0.0</v>
      </c>
      <c r="AA219" s="13">
        <v>0.0</v>
      </c>
      <c r="AB219" s="13">
        <v>0.0</v>
      </c>
      <c r="AC219" s="13">
        <v>0.0</v>
      </c>
    </row>
    <row r="220">
      <c r="A220" s="11" t="s">
        <v>70</v>
      </c>
      <c r="B220" s="12" t="s">
        <v>101</v>
      </c>
      <c r="C220" s="13">
        <v>0.0</v>
      </c>
      <c r="D220" s="28">
        <v>7.1</v>
      </c>
      <c r="E220" s="13">
        <v>0.0</v>
      </c>
      <c r="F220" s="13">
        <v>23.0</v>
      </c>
      <c r="G220" s="13">
        <v>1.0</v>
      </c>
      <c r="H220" s="13">
        <v>39.0</v>
      </c>
      <c r="I220" s="30">
        <f t="shared" si="205"/>
        <v>-16</v>
      </c>
      <c r="J220" s="32">
        <f t="shared" si="206"/>
        <v>0.5897435897</v>
      </c>
      <c r="K220" s="13">
        <v>8.0</v>
      </c>
      <c r="L220" s="13">
        <v>29.0</v>
      </c>
      <c r="M220" s="13">
        <v>1.0</v>
      </c>
      <c r="N220" s="33">
        <f t="shared" si="207"/>
        <v>7.1</v>
      </c>
      <c r="O220" s="13">
        <v>1.0</v>
      </c>
      <c r="P220" s="13">
        <v>0.0</v>
      </c>
      <c r="Q220" s="13">
        <v>0.0</v>
      </c>
      <c r="R220" s="13">
        <v>0.0</v>
      </c>
      <c r="S220" s="13">
        <v>0.0</v>
      </c>
      <c r="T220" s="13">
        <v>0.0</v>
      </c>
      <c r="U220" s="13">
        <v>0.0</v>
      </c>
      <c r="V220" s="13">
        <v>0.0</v>
      </c>
      <c r="W220" s="13">
        <v>0.0</v>
      </c>
      <c r="X220" s="13">
        <v>0.0</v>
      </c>
      <c r="Y220" s="13">
        <v>0.0</v>
      </c>
      <c r="Z220" s="13">
        <v>0.0</v>
      </c>
      <c r="AA220" s="13">
        <v>0.0</v>
      </c>
      <c r="AB220" s="13">
        <v>0.0</v>
      </c>
      <c r="AC220" s="13">
        <v>0.0</v>
      </c>
    </row>
    <row r="221">
      <c r="A221" s="34" t="s">
        <v>49</v>
      </c>
      <c r="B221" s="34"/>
      <c r="C221" s="34">
        <f>SUM(C217:C220)</f>
        <v>0</v>
      </c>
      <c r="D221" s="35">
        <f t="shared" ref="D221:E221" si="208">SUM(D217:D220)/4</f>
        <v>7.1</v>
      </c>
      <c r="E221" s="34">
        <f t="shared" si="208"/>
        <v>0.25</v>
      </c>
      <c r="F221" s="34">
        <f t="shared" ref="F221:H221" si="209">SUM(F217:F220)</f>
        <v>99</v>
      </c>
      <c r="G221" s="34">
        <f t="shared" si="209"/>
        <v>9</v>
      </c>
      <c r="H221" s="34">
        <f t="shared" si="209"/>
        <v>138</v>
      </c>
      <c r="I221" s="34">
        <f>SUM(F221-H221)</f>
        <v>-39</v>
      </c>
      <c r="J221" s="36">
        <f>SUM(F221/H221)</f>
        <v>0.7173913043</v>
      </c>
      <c r="K221" s="34">
        <f>SUM(K217:K220)/4</f>
        <v>9.25</v>
      </c>
      <c r="L221" s="34">
        <f>SUM(L217:L220)</f>
        <v>162</v>
      </c>
      <c r="M221" s="34"/>
      <c r="N221" s="35">
        <f>SUM(N217:N220)/4</f>
        <v>7.1</v>
      </c>
      <c r="O221" s="34">
        <f t="shared" ref="O221:AC221" si="210">SUM(O217:O220)</f>
        <v>12</v>
      </c>
      <c r="P221" s="34">
        <f t="shared" si="210"/>
        <v>5</v>
      </c>
      <c r="Q221" s="34">
        <f t="shared" si="210"/>
        <v>1</v>
      </c>
      <c r="R221" s="34">
        <f t="shared" si="210"/>
        <v>0</v>
      </c>
      <c r="S221" s="34">
        <f t="shared" si="210"/>
        <v>1</v>
      </c>
      <c r="T221" s="34">
        <f t="shared" si="210"/>
        <v>0</v>
      </c>
      <c r="U221" s="34">
        <f t="shared" si="210"/>
        <v>0</v>
      </c>
      <c r="V221" s="34">
        <f t="shared" si="210"/>
        <v>0</v>
      </c>
      <c r="W221" s="37">
        <f t="shared" si="210"/>
        <v>0</v>
      </c>
      <c r="X221" s="34">
        <f t="shared" si="210"/>
        <v>0</v>
      </c>
      <c r="Y221" s="34">
        <f t="shared" si="210"/>
        <v>0</v>
      </c>
      <c r="Z221" s="34">
        <f t="shared" si="210"/>
        <v>0</v>
      </c>
      <c r="AA221" s="34">
        <f t="shared" si="210"/>
        <v>0</v>
      </c>
      <c r="AB221" s="37">
        <f t="shared" si="210"/>
        <v>0</v>
      </c>
      <c r="AC221" s="37">
        <f t="shared" si="210"/>
        <v>0</v>
      </c>
    </row>
    <row r="222">
      <c r="A222" s="15" t="s">
        <v>116</v>
      </c>
    </row>
    <row r="223">
      <c r="A223" s="19"/>
      <c r="E223" s="20" t="s">
        <v>33</v>
      </c>
      <c r="K223" s="22" t="s">
        <v>35</v>
      </c>
      <c r="M223" s="23" t="s">
        <v>36</v>
      </c>
      <c r="N223" s="24" t="s">
        <v>36</v>
      </c>
    </row>
    <row r="224">
      <c r="A224" s="4" t="s">
        <v>1</v>
      </c>
      <c r="B224" s="4" t="s">
        <v>2</v>
      </c>
      <c r="C224" s="5" t="s">
        <v>4</v>
      </c>
      <c r="D224" s="6" t="s">
        <v>5</v>
      </c>
      <c r="E224" s="25" t="s">
        <v>37</v>
      </c>
      <c r="F224" s="7" t="s">
        <v>7</v>
      </c>
      <c r="G224" s="7" t="s">
        <v>8</v>
      </c>
      <c r="H224" s="7" t="s">
        <v>9</v>
      </c>
      <c r="I224" s="7" t="s">
        <v>10</v>
      </c>
      <c r="J224" s="7" t="s">
        <v>11</v>
      </c>
      <c r="K224" s="8" t="s">
        <v>12</v>
      </c>
      <c r="L224" s="8" t="s">
        <v>13</v>
      </c>
      <c r="M224" s="9" t="s">
        <v>14</v>
      </c>
      <c r="N224" s="10" t="s">
        <v>5</v>
      </c>
      <c r="O224" s="9" t="s">
        <v>15</v>
      </c>
      <c r="P224" s="9" t="s">
        <v>16</v>
      </c>
      <c r="Q224" s="9" t="s">
        <v>17</v>
      </c>
      <c r="R224" s="9" t="s">
        <v>18</v>
      </c>
      <c r="S224" s="9" t="s">
        <v>19</v>
      </c>
      <c r="T224" s="9" t="s">
        <v>20</v>
      </c>
      <c r="U224" s="9" t="s">
        <v>21</v>
      </c>
      <c r="V224" s="9" t="s">
        <v>22</v>
      </c>
      <c r="W224" s="9" t="s">
        <v>23</v>
      </c>
      <c r="X224" s="9" t="s">
        <v>24</v>
      </c>
      <c r="Y224" s="9" t="s">
        <v>25</v>
      </c>
      <c r="Z224" s="9" t="s">
        <v>26</v>
      </c>
      <c r="AA224" s="9" t="s">
        <v>27</v>
      </c>
      <c r="AB224" s="9" t="s">
        <v>28</v>
      </c>
      <c r="AC224" s="9" t="s">
        <v>29</v>
      </c>
    </row>
    <row r="225">
      <c r="A225" s="11" t="s">
        <v>30</v>
      </c>
      <c r="B225" s="12" t="s">
        <v>89</v>
      </c>
      <c r="C225" s="13">
        <v>1.0</v>
      </c>
      <c r="D225" s="28">
        <v>21.0</v>
      </c>
      <c r="E225" s="13">
        <v>0.0</v>
      </c>
      <c r="F225" s="13">
        <v>92.0</v>
      </c>
      <c r="G225" s="13">
        <v>8.0</v>
      </c>
      <c r="H225" s="13">
        <v>98.0</v>
      </c>
      <c r="I225" s="30">
        <f t="shared" ref="I225:I228" si="211">F225-H225</f>
        <v>-6</v>
      </c>
      <c r="J225" s="32">
        <f t="shared" ref="J225:J228" si="212">F225/H225</f>
        <v>0.9387755102</v>
      </c>
      <c r="K225" s="13">
        <v>11.0</v>
      </c>
      <c r="L225" s="13">
        <v>144.0</v>
      </c>
      <c r="M225" s="13">
        <v>1.0</v>
      </c>
      <c r="N225" s="33">
        <f t="shared" ref="N225:N228" si="213">SUM(M225*D225)</f>
        <v>21</v>
      </c>
      <c r="O225" s="13">
        <v>12.0</v>
      </c>
      <c r="P225" s="13">
        <v>1.0</v>
      </c>
      <c r="Q225" s="13">
        <v>0.0</v>
      </c>
      <c r="R225" s="13">
        <v>0.0</v>
      </c>
      <c r="S225" s="13">
        <v>1.0</v>
      </c>
      <c r="T225" s="13">
        <v>0.0</v>
      </c>
      <c r="U225" s="13">
        <v>0.0</v>
      </c>
      <c r="V225" s="13">
        <v>0.0</v>
      </c>
      <c r="W225" s="13">
        <v>0.0</v>
      </c>
      <c r="X225" s="13">
        <v>0.0</v>
      </c>
      <c r="Y225" s="13">
        <v>0.0</v>
      </c>
      <c r="Z225" s="13">
        <v>0.0</v>
      </c>
      <c r="AA225" s="13">
        <v>0.0</v>
      </c>
      <c r="AB225" s="13">
        <v>0.0</v>
      </c>
      <c r="AC225" s="13">
        <v>0.0</v>
      </c>
    </row>
    <row r="226">
      <c r="A226" s="11" t="s">
        <v>30</v>
      </c>
      <c r="B226" s="12" t="s">
        <v>51</v>
      </c>
      <c r="C226" s="13">
        <v>1.0</v>
      </c>
      <c r="D226" s="28">
        <v>21.0</v>
      </c>
      <c r="E226" s="13">
        <v>2.0</v>
      </c>
      <c r="F226" s="13">
        <v>140.0</v>
      </c>
      <c r="G226" s="13">
        <v>11.0</v>
      </c>
      <c r="H226" s="13">
        <v>108.0</v>
      </c>
      <c r="I226" s="30">
        <f t="shared" si="211"/>
        <v>32</v>
      </c>
      <c r="J226" s="32">
        <f t="shared" si="212"/>
        <v>1.296296296</v>
      </c>
      <c r="K226" s="13">
        <v>10.0</v>
      </c>
      <c r="L226" s="13">
        <v>249.0</v>
      </c>
      <c r="M226" s="13">
        <v>1.0</v>
      </c>
      <c r="N226" s="33">
        <f t="shared" si="213"/>
        <v>21</v>
      </c>
      <c r="O226" s="13">
        <v>33.0</v>
      </c>
      <c r="P226" s="13">
        <v>11.0</v>
      </c>
      <c r="Q226" s="13">
        <v>4.0</v>
      </c>
      <c r="R226" s="13">
        <v>1.0</v>
      </c>
      <c r="S226" s="13">
        <v>4.0</v>
      </c>
      <c r="T226" s="13">
        <v>0.0</v>
      </c>
      <c r="U226" s="13">
        <v>0.0</v>
      </c>
      <c r="V226" s="13">
        <v>1.0</v>
      </c>
      <c r="W226" s="13">
        <v>0.0</v>
      </c>
      <c r="X226" s="13">
        <v>0.0</v>
      </c>
      <c r="Y226" s="13">
        <v>1.0</v>
      </c>
      <c r="Z226" s="13">
        <v>0.0</v>
      </c>
      <c r="AA226" s="13">
        <v>0.0</v>
      </c>
      <c r="AB226" s="13">
        <v>0.0</v>
      </c>
      <c r="AC226" s="13">
        <v>0.0</v>
      </c>
    </row>
    <row r="227">
      <c r="A227" s="11" t="s">
        <v>30</v>
      </c>
      <c r="B227" s="12" t="s">
        <v>63</v>
      </c>
      <c r="C227" s="13">
        <v>1.0</v>
      </c>
      <c r="D227" s="28">
        <v>21.0</v>
      </c>
      <c r="E227" s="13">
        <v>1.0</v>
      </c>
      <c r="F227" s="13">
        <v>122.0</v>
      </c>
      <c r="G227" s="13">
        <v>13.0</v>
      </c>
      <c r="H227" s="13">
        <v>101.0</v>
      </c>
      <c r="I227" s="30">
        <f t="shared" si="211"/>
        <v>21</v>
      </c>
      <c r="J227" s="32">
        <f t="shared" si="212"/>
        <v>1.207920792</v>
      </c>
      <c r="K227" s="13">
        <v>11.0</v>
      </c>
      <c r="L227" s="13">
        <v>207.0</v>
      </c>
      <c r="M227" s="13">
        <v>1.0</v>
      </c>
      <c r="N227" s="33">
        <f t="shared" si="213"/>
        <v>21</v>
      </c>
      <c r="O227" s="13">
        <v>24.0</v>
      </c>
      <c r="P227" s="13">
        <v>5.0</v>
      </c>
      <c r="Q227" s="13">
        <v>0.0</v>
      </c>
      <c r="R227" s="13">
        <v>0.0</v>
      </c>
      <c r="S227" s="13">
        <v>1.0</v>
      </c>
      <c r="T227" s="13">
        <v>0.0</v>
      </c>
      <c r="U227" s="13">
        <v>0.0</v>
      </c>
      <c r="V227" s="13">
        <v>0.0</v>
      </c>
      <c r="W227" s="13">
        <v>0.0</v>
      </c>
      <c r="X227" s="13">
        <v>0.0</v>
      </c>
      <c r="Y227" s="13">
        <v>0.0</v>
      </c>
      <c r="Z227" s="13">
        <v>0.0</v>
      </c>
      <c r="AA227" s="13">
        <v>0.0</v>
      </c>
      <c r="AB227" s="13">
        <v>0.0</v>
      </c>
      <c r="AC227" s="13">
        <v>0.0</v>
      </c>
    </row>
    <row r="228">
      <c r="A228" s="11" t="s">
        <v>30</v>
      </c>
      <c r="B228" s="12" t="s">
        <v>77</v>
      </c>
      <c r="C228" s="13">
        <v>1.0</v>
      </c>
      <c r="D228" s="28">
        <v>21.0</v>
      </c>
      <c r="E228" s="13">
        <v>2.0</v>
      </c>
      <c r="F228" s="13">
        <v>71.0</v>
      </c>
      <c r="G228" s="13">
        <v>0.0</v>
      </c>
      <c r="H228" s="13">
        <v>61.0</v>
      </c>
      <c r="I228" s="30">
        <f t="shared" si="211"/>
        <v>10</v>
      </c>
      <c r="J228" s="32">
        <f t="shared" si="212"/>
        <v>1.163934426</v>
      </c>
      <c r="K228" s="13">
        <v>20.0</v>
      </c>
      <c r="L228" s="13">
        <v>120.0</v>
      </c>
      <c r="M228" s="13">
        <v>1.0</v>
      </c>
      <c r="N228" s="33">
        <f t="shared" si="213"/>
        <v>21</v>
      </c>
      <c r="O228" s="13">
        <v>7.0</v>
      </c>
      <c r="P228" s="13">
        <v>1.0</v>
      </c>
      <c r="Q228" s="13">
        <v>0.0</v>
      </c>
      <c r="R228" s="13">
        <v>0.0</v>
      </c>
      <c r="S228" s="13">
        <v>3.0</v>
      </c>
      <c r="T228" s="13">
        <v>0.0</v>
      </c>
      <c r="U228" s="13">
        <v>0.0</v>
      </c>
      <c r="V228" s="13">
        <v>0.0</v>
      </c>
      <c r="W228" s="13">
        <v>0.0</v>
      </c>
      <c r="X228" s="13">
        <v>0.0</v>
      </c>
      <c r="Y228" s="13">
        <v>0.0</v>
      </c>
      <c r="Z228" s="13">
        <v>0.0</v>
      </c>
      <c r="AA228" s="13">
        <v>0.0</v>
      </c>
      <c r="AB228" s="13">
        <v>0.0</v>
      </c>
      <c r="AC228" s="13">
        <v>0.0</v>
      </c>
    </row>
    <row r="229">
      <c r="A229" s="34"/>
      <c r="B229" s="34"/>
      <c r="C229" s="34">
        <f t="shared" ref="C229:D229" si="214">SUM(C225:C228)/4</f>
        <v>1</v>
      </c>
      <c r="D229" s="35">
        <f t="shared" si="214"/>
        <v>21</v>
      </c>
      <c r="E229" s="34">
        <f t="shared" ref="E229:H229" si="215">SUM(E225:E228)</f>
        <v>5</v>
      </c>
      <c r="F229" s="34">
        <f t="shared" si="215"/>
        <v>425</v>
      </c>
      <c r="G229" s="34">
        <f t="shared" si="215"/>
        <v>32</v>
      </c>
      <c r="H229" s="34">
        <f t="shared" si="215"/>
        <v>368</v>
      </c>
      <c r="I229" s="34">
        <f>SUM(F229-H229)</f>
        <v>57</v>
      </c>
      <c r="J229" s="36">
        <f>SUM(F229/H229)</f>
        <v>1.154891304</v>
      </c>
      <c r="K229" s="34">
        <f>SUM(K225:K228)/4</f>
        <v>13</v>
      </c>
      <c r="L229" s="34">
        <f>SUM(L225:L228)</f>
        <v>720</v>
      </c>
      <c r="M229" s="34"/>
      <c r="N229" s="35">
        <f>SUM(N225:N228)/4</f>
        <v>21</v>
      </c>
      <c r="O229" s="34">
        <f t="shared" ref="O229:AC229" si="216">SUM(O225:O228)</f>
        <v>76</v>
      </c>
      <c r="P229" s="34">
        <f t="shared" si="216"/>
        <v>18</v>
      </c>
      <c r="Q229" s="34">
        <f t="shared" si="216"/>
        <v>4</v>
      </c>
      <c r="R229" s="34">
        <f t="shared" si="216"/>
        <v>1</v>
      </c>
      <c r="S229" s="34">
        <f t="shared" si="216"/>
        <v>9</v>
      </c>
      <c r="T229" s="34">
        <f t="shared" si="216"/>
        <v>0</v>
      </c>
      <c r="U229" s="34">
        <f t="shared" si="216"/>
        <v>0</v>
      </c>
      <c r="V229" s="34">
        <f t="shared" si="216"/>
        <v>1</v>
      </c>
      <c r="W229" s="34">
        <f t="shared" si="216"/>
        <v>0</v>
      </c>
      <c r="X229" s="34">
        <f t="shared" si="216"/>
        <v>0</v>
      </c>
      <c r="Y229" s="34">
        <f t="shared" si="216"/>
        <v>1</v>
      </c>
      <c r="Z229" s="34">
        <f t="shared" si="216"/>
        <v>0</v>
      </c>
      <c r="AA229" s="34">
        <f t="shared" si="216"/>
        <v>0</v>
      </c>
      <c r="AB229" s="34">
        <f t="shared" si="216"/>
        <v>0</v>
      </c>
      <c r="AC229" s="34">
        <f t="shared" si="216"/>
        <v>0</v>
      </c>
    </row>
    <row r="230">
      <c r="A230" s="11" t="s">
        <v>79</v>
      </c>
      <c r="B230" s="12" t="s">
        <v>117</v>
      </c>
      <c r="C230" s="13">
        <v>0.0</v>
      </c>
      <c r="D230" s="28">
        <v>21.0</v>
      </c>
      <c r="E230" s="13">
        <v>0.0</v>
      </c>
      <c r="F230" s="13">
        <v>107.0</v>
      </c>
      <c r="G230" s="13">
        <v>3.0</v>
      </c>
      <c r="H230" s="13">
        <v>123.0</v>
      </c>
      <c r="I230" s="30">
        <f t="shared" ref="I230:I233" si="217">F230-H230</f>
        <v>-16</v>
      </c>
      <c r="J230" s="32">
        <f t="shared" ref="J230:J233" si="218">F230/H230</f>
        <v>0.8699186992</v>
      </c>
      <c r="K230" s="13">
        <v>8.0</v>
      </c>
      <c r="L230" s="13">
        <v>163.0</v>
      </c>
      <c r="M230" s="13">
        <v>1.0</v>
      </c>
      <c r="N230" s="33">
        <f t="shared" ref="N230:N233" si="219">SUM(M230*D230)</f>
        <v>21</v>
      </c>
      <c r="O230" s="13">
        <v>22.0</v>
      </c>
      <c r="P230" s="13">
        <v>3.0</v>
      </c>
      <c r="Q230" s="13">
        <v>2.0</v>
      </c>
      <c r="R230" s="13">
        <v>1.0</v>
      </c>
      <c r="S230" s="13">
        <v>1.0</v>
      </c>
      <c r="T230" s="13">
        <v>0.0</v>
      </c>
      <c r="U230" s="13">
        <v>0.0</v>
      </c>
      <c r="V230" s="13">
        <v>0.0</v>
      </c>
      <c r="W230" s="13">
        <v>0.0</v>
      </c>
      <c r="X230" s="13">
        <v>0.0</v>
      </c>
      <c r="Y230" s="13">
        <v>1.0</v>
      </c>
      <c r="Z230" s="13">
        <v>0.0</v>
      </c>
      <c r="AA230" s="13">
        <v>0.0</v>
      </c>
      <c r="AB230" s="13">
        <v>0.0</v>
      </c>
      <c r="AC230" s="13">
        <v>0.0</v>
      </c>
    </row>
    <row r="231">
      <c r="A231" s="11" t="s">
        <v>79</v>
      </c>
      <c r="B231" s="12" t="s">
        <v>118</v>
      </c>
      <c r="C231" s="13">
        <v>0.0</v>
      </c>
      <c r="D231" s="28">
        <v>21.0</v>
      </c>
      <c r="E231" s="13">
        <v>2.0</v>
      </c>
      <c r="F231" s="13">
        <v>77.0</v>
      </c>
      <c r="G231" s="13">
        <v>1.0</v>
      </c>
      <c r="H231" s="13">
        <v>82.0</v>
      </c>
      <c r="I231" s="30">
        <f t="shared" si="217"/>
        <v>-5</v>
      </c>
      <c r="J231" s="32">
        <f t="shared" si="218"/>
        <v>0.9390243902</v>
      </c>
      <c r="K231" s="13">
        <v>14.0</v>
      </c>
      <c r="L231" s="13">
        <v>119.0</v>
      </c>
      <c r="M231" s="13">
        <v>1.0</v>
      </c>
      <c r="N231" s="33">
        <f t="shared" si="219"/>
        <v>21</v>
      </c>
      <c r="O231" s="13">
        <v>9.0</v>
      </c>
      <c r="P231" s="13">
        <v>0.0</v>
      </c>
      <c r="Q231" s="13">
        <v>0.0</v>
      </c>
      <c r="R231" s="13">
        <v>0.0</v>
      </c>
      <c r="S231" s="13">
        <v>1.0</v>
      </c>
      <c r="T231" s="13">
        <v>0.0</v>
      </c>
      <c r="U231" s="13">
        <v>0.0</v>
      </c>
      <c r="V231" s="13">
        <v>0.0</v>
      </c>
      <c r="W231" s="13">
        <v>0.0</v>
      </c>
      <c r="X231" s="13">
        <v>0.0</v>
      </c>
      <c r="Y231" s="13">
        <v>0.0</v>
      </c>
      <c r="Z231" s="13">
        <v>0.0</v>
      </c>
      <c r="AA231" s="13">
        <v>0.0</v>
      </c>
      <c r="AB231" s="13">
        <v>0.0</v>
      </c>
      <c r="AC231" s="13">
        <v>0.0</v>
      </c>
    </row>
    <row r="232">
      <c r="A232" s="11" t="s">
        <v>79</v>
      </c>
      <c r="B232" s="12" t="s">
        <v>119</v>
      </c>
      <c r="C232" s="13">
        <v>0.0</v>
      </c>
      <c r="D232" s="28">
        <v>21.0</v>
      </c>
      <c r="E232" s="13">
        <v>0.0</v>
      </c>
      <c r="F232" s="13">
        <v>92.0</v>
      </c>
      <c r="G232" s="13">
        <v>8.0</v>
      </c>
      <c r="H232" s="13">
        <v>111.0</v>
      </c>
      <c r="I232" s="30">
        <f t="shared" si="217"/>
        <v>-19</v>
      </c>
      <c r="J232" s="32">
        <f t="shared" si="218"/>
        <v>0.8288288288</v>
      </c>
      <c r="K232" s="13">
        <v>9.0</v>
      </c>
      <c r="L232" s="13">
        <v>155.0</v>
      </c>
      <c r="M232" s="13">
        <v>1.0</v>
      </c>
      <c r="N232" s="33">
        <f t="shared" si="219"/>
        <v>21</v>
      </c>
      <c r="O232" s="13">
        <v>12.0</v>
      </c>
      <c r="P232" s="13">
        <v>2.0</v>
      </c>
      <c r="Q232" s="13">
        <v>1.0</v>
      </c>
      <c r="R232" s="13">
        <v>0.0</v>
      </c>
      <c r="S232" s="13">
        <v>0.0</v>
      </c>
      <c r="T232" s="13">
        <v>0.0</v>
      </c>
      <c r="U232" s="13">
        <v>0.0</v>
      </c>
      <c r="V232" s="13">
        <v>0.0</v>
      </c>
      <c r="W232" s="13">
        <v>0.0</v>
      </c>
      <c r="X232" s="13">
        <v>0.0</v>
      </c>
      <c r="Y232" s="13">
        <v>0.0</v>
      </c>
      <c r="Z232" s="13">
        <v>0.0</v>
      </c>
      <c r="AA232" s="13">
        <v>0.0</v>
      </c>
      <c r="AB232" s="13">
        <v>0.0</v>
      </c>
      <c r="AC232" s="13">
        <v>0.0</v>
      </c>
    </row>
    <row r="233">
      <c r="A233" s="11" t="s">
        <v>79</v>
      </c>
      <c r="B233" s="12" t="s">
        <v>120</v>
      </c>
      <c r="C233" s="13">
        <v>0.0</v>
      </c>
      <c r="D233" s="28">
        <v>21.0</v>
      </c>
      <c r="E233" s="13">
        <v>0.0</v>
      </c>
      <c r="F233" s="13">
        <v>76.0</v>
      </c>
      <c r="G233" s="13">
        <v>3.0</v>
      </c>
      <c r="H233" s="13">
        <v>129.0</v>
      </c>
      <c r="I233" s="30">
        <f t="shared" si="217"/>
        <v>-53</v>
      </c>
      <c r="J233" s="32">
        <f t="shared" si="218"/>
        <v>0.5891472868</v>
      </c>
      <c r="K233" s="13">
        <v>8.0</v>
      </c>
      <c r="L233" s="13">
        <v>111.0</v>
      </c>
      <c r="M233" s="13">
        <v>1.0</v>
      </c>
      <c r="N233" s="33">
        <f t="shared" si="219"/>
        <v>21</v>
      </c>
      <c r="O233" s="13">
        <v>8.0</v>
      </c>
      <c r="P233" s="13">
        <v>0.0</v>
      </c>
      <c r="Q233" s="13">
        <v>0.0</v>
      </c>
      <c r="R233" s="13">
        <v>0.0</v>
      </c>
      <c r="S233" s="13">
        <v>0.0</v>
      </c>
      <c r="T233" s="13">
        <v>0.0</v>
      </c>
      <c r="U233" s="13">
        <v>0.0</v>
      </c>
      <c r="V233" s="13">
        <v>0.0</v>
      </c>
      <c r="W233" s="13">
        <v>0.0</v>
      </c>
      <c r="X233" s="13">
        <v>0.0</v>
      </c>
      <c r="Y233" s="13">
        <v>0.0</v>
      </c>
      <c r="Z233" s="13">
        <v>0.0</v>
      </c>
      <c r="AA233" s="13">
        <v>0.0</v>
      </c>
      <c r="AB233" s="13">
        <v>0.0</v>
      </c>
      <c r="AC233" s="13">
        <v>0.0</v>
      </c>
    </row>
    <row r="234">
      <c r="A234" s="34" t="s">
        <v>49</v>
      </c>
      <c r="B234" s="34"/>
      <c r="C234" s="34">
        <f>SUM(C230:C233)</f>
        <v>0</v>
      </c>
      <c r="D234" s="35">
        <f t="shared" ref="D234:E234" si="220">SUM(D230:D233)/4</f>
        <v>21</v>
      </c>
      <c r="E234" s="34">
        <f t="shared" si="220"/>
        <v>0.5</v>
      </c>
      <c r="F234" s="34">
        <f t="shared" ref="F234:H234" si="221">SUM(F230:F233)</f>
        <v>352</v>
      </c>
      <c r="G234" s="34">
        <f t="shared" si="221"/>
        <v>15</v>
      </c>
      <c r="H234" s="34">
        <f t="shared" si="221"/>
        <v>445</v>
      </c>
      <c r="I234" s="34">
        <f>SUM(F234-H234)</f>
        <v>-93</v>
      </c>
      <c r="J234" s="36">
        <f>SUM(F234/H234)</f>
        <v>0.791011236</v>
      </c>
      <c r="K234" s="34">
        <f>SUM(K230:K233)/4</f>
        <v>9.75</v>
      </c>
      <c r="L234" s="34">
        <f>SUM(L230:L233)</f>
        <v>548</v>
      </c>
      <c r="M234" s="34"/>
      <c r="N234" s="35">
        <f>SUM(N230:N233)/4</f>
        <v>21</v>
      </c>
      <c r="O234" s="34">
        <f t="shared" ref="O234:AC234" si="222">SUM(O230:O233)</f>
        <v>51</v>
      </c>
      <c r="P234" s="34">
        <f t="shared" si="222"/>
        <v>5</v>
      </c>
      <c r="Q234" s="34">
        <f t="shared" si="222"/>
        <v>3</v>
      </c>
      <c r="R234" s="34">
        <f t="shared" si="222"/>
        <v>1</v>
      </c>
      <c r="S234" s="34">
        <f t="shared" si="222"/>
        <v>2</v>
      </c>
      <c r="T234" s="34">
        <f t="shared" si="222"/>
        <v>0</v>
      </c>
      <c r="U234" s="34">
        <f t="shared" si="222"/>
        <v>0</v>
      </c>
      <c r="V234" s="34">
        <f t="shared" si="222"/>
        <v>0</v>
      </c>
      <c r="W234" s="37">
        <f t="shared" si="222"/>
        <v>0</v>
      </c>
      <c r="X234" s="34">
        <f t="shared" si="222"/>
        <v>0</v>
      </c>
      <c r="Y234" s="34">
        <f t="shared" si="222"/>
        <v>1</v>
      </c>
      <c r="Z234" s="34">
        <f t="shared" si="222"/>
        <v>0</v>
      </c>
      <c r="AA234" s="34">
        <f t="shared" si="222"/>
        <v>0</v>
      </c>
      <c r="AB234" s="37">
        <f t="shared" si="222"/>
        <v>0</v>
      </c>
      <c r="AC234" s="37">
        <f t="shared" si="222"/>
        <v>0</v>
      </c>
    </row>
    <row r="235">
      <c r="A235" s="15" t="s">
        <v>121</v>
      </c>
    </row>
    <row r="236">
      <c r="A236" s="19"/>
      <c r="E236" s="20" t="s">
        <v>33</v>
      </c>
      <c r="K236" s="22" t="s">
        <v>35</v>
      </c>
      <c r="M236" s="23" t="s">
        <v>36</v>
      </c>
      <c r="N236" s="24" t="s">
        <v>36</v>
      </c>
    </row>
    <row r="237">
      <c r="A237" s="4" t="s">
        <v>1</v>
      </c>
      <c r="B237" s="4" t="s">
        <v>2</v>
      </c>
      <c r="C237" s="5" t="s">
        <v>4</v>
      </c>
      <c r="D237" s="6" t="s">
        <v>5</v>
      </c>
      <c r="E237" s="25" t="s">
        <v>37</v>
      </c>
      <c r="F237" s="7" t="s">
        <v>7</v>
      </c>
      <c r="G237" s="7" t="s">
        <v>8</v>
      </c>
      <c r="H237" s="7" t="s">
        <v>9</v>
      </c>
      <c r="I237" s="7" t="s">
        <v>10</v>
      </c>
      <c r="J237" s="7" t="s">
        <v>11</v>
      </c>
      <c r="K237" s="8" t="s">
        <v>12</v>
      </c>
      <c r="L237" s="8" t="s">
        <v>13</v>
      </c>
      <c r="M237" s="9" t="s">
        <v>14</v>
      </c>
      <c r="N237" s="10" t="s">
        <v>5</v>
      </c>
      <c r="O237" s="9" t="s">
        <v>15</v>
      </c>
      <c r="P237" s="9" t="s">
        <v>16</v>
      </c>
      <c r="Q237" s="9" t="s">
        <v>17</v>
      </c>
      <c r="R237" s="9" t="s">
        <v>18</v>
      </c>
      <c r="S237" s="9" t="s">
        <v>19</v>
      </c>
      <c r="T237" s="9" t="s">
        <v>20</v>
      </c>
      <c r="U237" s="9" t="s">
        <v>21</v>
      </c>
      <c r="V237" s="9" t="s">
        <v>22</v>
      </c>
      <c r="W237" s="9" t="s">
        <v>23</v>
      </c>
      <c r="X237" s="9" t="s">
        <v>24</v>
      </c>
      <c r="Y237" s="9" t="s">
        <v>25</v>
      </c>
      <c r="Z237" s="9" t="s">
        <v>26</v>
      </c>
      <c r="AA237" s="9" t="s">
        <v>27</v>
      </c>
      <c r="AB237" s="9" t="s">
        <v>28</v>
      </c>
      <c r="AC237" s="9" t="s">
        <v>29</v>
      </c>
    </row>
    <row r="238">
      <c r="A238" s="11" t="s">
        <v>34</v>
      </c>
      <c r="B238" s="12" t="s">
        <v>45</v>
      </c>
      <c r="C238" s="13">
        <v>1.0</v>
      </c>
      <c r="D238" s="28">
        <v>22.0</v>
      </c>
      <c r="E238" s="13">
        <v>4.0</v>
      </c>
      <c r="F238" s="13">
        <v>59.0</v>
      </c>
      <c r="G238" s="13">
        <v>0.0</v>
      </c>
      <c r="H238" s="13">
        <v>42.0</v>
      </c>
      <c r="I238" s="30">
        <f t="shared" ref="I238:I241" si="223">F238-H238</f>
        <v>17</v>
      </c>
      <c r="J238" s="32">
        <f t="shared" ref="J238:J241" si="224">F238/H238</f>
        <v>1.404761905</v>
      </c>
      <c r="K238" s="13">
        <v>27.0</v>
      </c>
      <c r="L238" s="13">
        <v>97.0</v>
      </c>
      <c r="M238" s="13">
        <v>1.0</v>
      </c>
      <c r="N238" s="33">
        <f t="shared" ref="N238:N241" si="225">SUM(M238*D238)</f>
        <v>22</v>
      </c>
      <c r="O238" s="13">
        <v>5.0</v>
      </c>
      <c r="P238" s="13">
        <v>0.0</v>
      </c>
      <c r="Q238" s="13">
        <v>0.0</v>
      </c>
      <c r="R238" s="13">
        <v>0.0</v>
      </c>
      <c r="S238" s="13">
        <v>3.0</v>
      </c>
      <c r="T238" s="13">
        <v>0.0</v>
      </c>
      <c r="U238" s="13">
        <v>0.0</v>
      </c>
      <c r="V238" s="13">
        <v>0.0</v>
      </c>
      <c r="W238" s="13">
        <v>0.0</v>
      </c>
      <c r="X238" s="13">
        <v>0.0</v>
      </c>
      <c r="Y238" s="13">
        <v>0.0</v>
      </c>
      <c r="Z238" s="13">
        <v>0.0</v>
      </c>
      <c r="AA238" s="13">
        <v>0.0</v>
      </c>
      <c r="AB238" s="13">
        <v>0.0</v>
      </c>
      <c r="AC238" s="13">
        <v>0.0</v>
      </c>
    </row>
    <row r="239">
      <c r="A239" s="11" t="s">
        <v>34</v>
      </c>
      <c r="B239" s="12" t="s">
        <v>46</v>
      </c>
      <c r="C239" s="13">
        <v>1.0</v>
      </c>
      <c r="D239" s="28">
        <v>22.0</v>
      </c>
      <c r="E239" s="13">
        <v>0.0</v>
      </c>
      <c r="F239" s="13">
        <v>103.0</v>
      </c>
      <c r="G239" s="13">
        <v>7.0</v>
      </c>
      <c r="H239" s="13">
        <v>79.0</v>
      </c>
      <c r="I239" s="30">
        <f t="shared" si="223"/>
        <v>24</v>
      </c>
      <c r="J239" s="32">
        <f t="shared" si="224"/>
        <v>1.303797468</v>
      </c>
      <c r="K239" s="13">
        <v>13.0</v>
      </c>
      <c r="L239" s="13">
        <v>158.0</v>
      </c>
      <c r="M239" s="13">
        <v>1.0</v>
      </c>
      <c r="N239" s="33">
        <f t="shared" si="225"/>
        <v>22</v>
      </c>
      <c r="O239" s="13">
        <v>19.0</v>
      </c>
      <c r="P239" s="13">
        <v>4.0</v>
      </c>
      <c r="Q239" s="13">
        <v>3.0</v>
      </c>
      <c r="R239" s="13">
        <v>0.0</v>
      </c>
      <c r="S239" s="13">
        <v>3.0</v>
      </c>
      <c r="T239" s="13">
        <v>0.0</v>
      </c>
      <c r="U239" s="13">
        <v>0.0</v>
      </c>
      <c r="V239" s="13">
        <v>0.0</v>
      </c>
      <c r="W239" s="13">
        <v>0.0</v>
      </c>
      <c r="X239" s="13">
        <v>0.0</v>
      </c>
      <c r="Y239" s="13">
        <v>0.0</v>
      </c>
      <c r="Z239" s="13">
        <v>0.0</v>
      </c>
      <c r="AA239" s="13">
        <v>0.0</v>
      </c>
      <c r="AB239" s="13">
        <v>0.0</v>
      </c>
      <c r="AC239" s="13">
        <v>0.0</v>
      </c>
    </row>
    <row r="240">
      <c r="A240" s="11" t="s">
        <v>34</v>
      </c>
      <c r="B240" s="12" t="s">
        <v>47</v>
      </c>
      <c r="C240" s="13">
        <v>1.0</v>
      </c>
      <c r="D240" s="28">
        <v>22.0</v>
      </c>
      <c r="E240" s="13">
        <v>1.0</v>
      </c>
      <c r="F240" s="13">
        <v>70.0</v>
      </c>
      <c r="G240" s="13">
        <v>3.0</v>
      </c>
      <c r="H240" s="13">
        <v>85.0</v>
      </c>
      <c r="I240" s="30">
        <f t="shared" si="223"/>
        <v>-15</v>
      </c>
      <c r="J240" s="32">
        <f t="shared" si="224"/>
        <v>0.8235294118</v>
      </c>
      <c r="K240" s="13">
        <v>12.0</v>
      </c>
      <c r="L240" s="13">
        <v>98.0</v>
      </c>
      <c r="M240" s="13">
        <v>1.0</v>
      </c>
      <c r="N240" s="33">
        <f t="shared" si="225"/>
        <v>22</v>
      </c>
      <c r="O240" s="13">
        <v>13.0</v>
      </c>
      <c r="P240" s="13">
        <v>2.0</v>
      </c>
      <c r="Q240" s="13">
        <v>0.0</v>
      </c>
      <c r="R240" s="13">
        <v>0.0</v>
      </c>
      <c r="S240" s="13">
        <v>0.0</v>
      </c>
      <c r="T240" s="13">
        <v>0.0</v>
      </c>
      <c r="U240" s="13">
        <v>0.0</v>
      </c>
      <c r="V240" s="13">
        <v>0.0</v>
      </c>
      <c r="W240" s="13">
        <v>0.0</v>
      </c>
      <c r="X240" s="13">
        <v>0.0</v>
      </c>
      <c r="Y240" s="13">
        <v>0.0</v>
      </c>
      <c r="Z240" s="13">
        <v>0.0</v>
      </c>
      <c r="AA240" s="13">
        <v>0.0</v>
      </c>
      <c r="AB240" s="13">
        <v>0.0</v>
      </c>
      <c r="AC240" s="13">
        <v>0.0</v>
      </c>
    </row>
    <row r="241">
      <c r="A241" s="11" t="s">
        <v>34</v>
      </c>
      <c r="B241" s="12" t="s">
        <v>48</v>
      </c>
      <c r="C241" s="13">
        <v>1.0</v>
      </c>
      <c r="D241" s="28">
        <v>22.0</v>
      </c>
      <c r="E241" s="13">
        <v>0.0</v>
      </c>
      <c r="F241" s="13">
        <v>84.0</v>
      </c>
      <c r="G241" s="13">
        <v>2.0</v>
      </c>
      <c r="H241" s="13">
        <v>78.0</v>
      </c>
      <c r="I241" s="30">
        <f t="shared" si="223"/>
        <v>6</v>
      </c>
      <c r="J241" s="32">
        <f t="shared" si="224"/>
        <v>1.076923077</v>
      </c>
      <c r="K241" s="13">
        <v>13.0</v>
      </c>
      <c r="L241" s="13">
        <v>132.0</v>
      </c>
      <c r="M241" s="13">
        <v>1.0</v>
      </c>
      <c r="N241" s="33">
        <f t="shared" si="225"/>
        <v>22</v>
      </c>
      <c r="O241" s="13">
        <v>15.0</v>
      </c>
      <c r="P241" s="13">
        <v>5.0</v>
      </c>
      <c r="Q241" s="13">
        <v>0.0</v>
      </c>
      <c r="R241" s="13">
        <v>0.0</v>
      </c>
      <c r="S241" s="13">
        <v>1.0</v>
      </c>
      <c r="T241" s="13">
        <v>0.0</v>
      </c>
      <c r="U241" s="13">
        <v>0.0</v>
      </c>
      <c r="V241" s="13">
        <v>0.0</v>
      </c>
      <c r="W241" s="13">
        <v>0.0</v>
      </c>
      <c r="X241" s="13">
        <v>0.0</v>
      </c>
      <c r="Y241" s="13">
        <v>0.0</v>
      </c>
      <c r="Z241" s="13">
        <v>0.0</v>
      </c>
      <c r="AA241" s="13">
        <v>0.0</v>
      </c>
      <c r="AB241" s="13">
        <v>0.0</v>
      </c>
      <c r="AC241" s="13">
        <v>0.0</v>
      </c>
    </row>
    <row r="242">
      <c r="A242" s="34"/>
      <c r="B242" s="34"/>
      <c r="C242" s="34">
        <f t="shared" ref="C242:D242" si="226">SUM(C238:C241)/4</f>
        <v>1</v>
      </c>
      <c r="D242" s="35">
        <f t="shared" si="226"/>
        <v>22</v>
      </c>
      <c r="E242" s="34">
        <f t="shared" ref="E242:H242" si="227">SUM(E238:E241)</f>
        <v>5</v>
      </c>
      <c r="F242" s="34">
        <f t="shared" si="227"/>
        <v>316</v>
      </c>
      <c r="G242" s="34">
        <f t="shared" si="227"/>
        <v>12</v>
      </c>
      <c r="H242" s="34">
        <f t="shared" si="227"/>
        <v>284</v>
      </c>
      <c r="I242" s="34">
        <f>SUM(F242-H242)</f>
        <v>32</v>
      </c>
      <c r="J242" s="36">
        <f>SUM(F242/H242)</f>
        <v>1.112676056</v>
      </c>
      <c r="K242" s="34">
        <f>SUM(K238:K241)/4</f>
        <v>16.25</v>
      </c>
      <c r="L242" s="34">
        <f>SUM(L238:L241)</f>
        <v>485</v>
      </c>
      <c r="M242" s="34"/>
      <c r="N242" s="35">
        <f>SUM(N238:N241)/4</f>
        <v>22</v>
      </c>
      <c r="O242" s="34">
        <f t="shared" ref="O242:AC242" si="228">SUM(O238:O241)</f>
        <v>52</v>
      </c>
      <c r="P242" s="34">
        <f t="shared" si="228"/>
        <v>11</v>
      </c>
      <c r="Q242" s="34">
        <f t="shared" si="228"/>
        <v>3</v>
      </c>
      <c r="R242" s="34">
        <f t="shared" si="228"/>
        <v>0</v>
      </c>
      <c r="S242" s="34">
        <f t="shared" si="228"/>
        <v>7</v>
      </c>
      <c r="T242" s="34">
        <f t="shared" si="228"/>
        <v>0</v>
      </c>
      <c r="U242" s="34">
        <f t="shared" si="228"/>
        <v>0</v>
      </c>
      <c r="V242" s="34">
        <f t="shared" si="228"/>
        <v>0</v>
      </c>
      <c r="W242" s="34">
        <f t="shared" si="228"/>
        <v>0</v>
      </c>
      <c r="X242" s="34">
        <f t="shared" si="228"/>
        <v>0</v>
      </c>
      <c r="Y242" s="34">
        <f t="shared" si="228"/>
        <v>0</v>
      </c>
      <c r="Z242" s="34">
        <f t="shared" si="228"/>
        <v>0</v>
      </c>
      <c r="AA242" s="34">
        <f t="shared" si="228"/>
        <v>0</v>
      </c>
      <c r="AB242" s="34">
        <f t="shared" si="228"/>
        <v>0</v>
      </c>
      <c r="AC242" s="34">
        <f t="shared" si="228"/>
        <v>0</v>
      </c>
    </row>
    <row r="243">
      <c r="A243" s="11" t="s">
        <v>70</v>
      </c>
      <c r="B243" s="12" t="s">
        <v>99</v>
      </c>
      <c r="C243" s="13">
        <v>0.0</v>
      </c>
      <c r="D243" s="28">
        <v>22.0</v>
      </c>
      <c r="E243" s="13">
        <v>0.0</v>
      </c>
      <c r="F243" s="13">
        <v>75.0</v>
      </c>
      <c r="G243" s="13">
        <v>6.0</v>
      </c>
      <c r="H243" s="13">
        <v>109.0</v>
      </c>
      <c r="I243" s="30">
        <f t="shared" ref="I243:I246" si="229">F243-H243</f>
        <v>-34</v>
      </c>
      <c r="J243" s="32">
        <f t="shared" ref="J243:J246" si="230">F243/H243</f>
        <v>0.6880733945</v>
      </c>
      <c r="K243" s="13">
        <v>9.0</v>
      </c>
      <c r="L243" s="13">
        <v>112.0</v>
      </c>
      <c r="M243" s="13">
        <v>1.0</v>
      </c>
      <c r="N243" s="33">
        <f t="shared" ref="N243:N246" si="231">SUM(M243*D243)</f>
        <v>22</v>
      </c>
      <c r="O243" s="13">
        <v>8.0</v>
      </c>
      <c r="P243" s="13">
        <v>0.0</v>
      </c>
      <c r="Q243" s="13">
        <v>0.0</v>
      </c>
      <c r="R243" s="13">
        <v>0.0</v>
      </c>
      <c r="S243" s="13">
        <v>0.0</v>
      </c>
      <c r="T243" s="13">
        <v>0.0</v>
      </c>
      <c r="U243" s="13">
        <v>0.0</v>
      </c>
      <c r="V243" s="13">
        <v>0.0</v>
      </c>
      <c r="W243" s="13">
        <v>0.0</v>
      </c>
      <c r="X243" s="13">
        <v>0.0</v>
      </c>
      <c r="Y243" s="13">
        <v>0.0</v>
      </c>
      <c r="Z243" s="13">
        <v>0.0</v>
      </c>
      <c r="AA243" s="13">
        <v>0.0</v>
      </c>
      <c r="AB243" s="13">
        <v>0.0</v>
      </c>
      <c r="AC243" s="13">
        <v>0.0</v>
      </c>
    </row>
    <row r="244">
      <c r="A244" s="11" t="s">
        <v>70</v>
      </c>
      <c r="B244" s="12" t="s">
        <v>100</v>
      </c>
      <c r="C244" s="13">
        <v>0.0</v>
      </c>
      <c r="D244" s="28">
        <v>22.0</v>
      </c>
      <c r="E244" s="13">
        <v>0.0</v>
      </c>
      <c r="F244" s="13">
        <v>61.0</v>
      </c>
      <c r="G244" s="13">
        <v>6.0</v>
      </c>
      <c r="H244" s="13">
        <v>67.0</v>
      </c>
      <c r="I244" s="30">
        <f t="shared" si="229"/>
        <v>-6</v>
      </c>
      <c r="J244" s="32">
        <f t="shared" si="230"/>
        <v>0.9104477612</v>
      </c>
      <c r="K244" s="13">
        <v>16.0</v>
      </c>
      <c r="L244" s="13">
        <v>90.0</v>
      </c>
      <c r="M244" s="13">
        <v>1.0</v>
      </c>
      <c r="N244" s="33">
        <f t="shared" si="231"/>
        <v>22</v>
      </c>
      <c r="O244" s="13">
        <v>7.0</v>
      </c>
      <c r="P244" s="13">
        <v>1.0</v>
      </c>
      <c r="Q244" s="13">
        <v>0.0</v>
      </c>
      <c r="R244" s="13">
        <v>0.0</v>
      </c>
      <c r="S244" s="13">
        <v>0.0</v>
      </c>
      <c r="T244" s="13">
        <v>0.0</v>
      </c>
      <c r="U244" s="13">
        <v>0.0</v>
      </c>
      <c r="V244" s="13">
        <v>0.0</v>
      </c>
      <c r="W244" s="13">
        <v>0.0</v>
      </c>
      <c r="X244" s="13">
        <v>0.0</v>
      </c>
      <c r="Y244" s="13">
        <v>0.0</v>
      </c>
      <c r="Z244" s="13">
        <v>0.0</v>
      </c>
      <c r="AA244" s="13">
        <v>0.0</v>
      </c>
      <c r="AB244" s="13">
        <v>0.0</v>
      </c>
      <c r="AC244" s="13">
        <v>0.0</v>
      </c>
    </row>
    <row r="245">
      <c r="A245" s="11" t="s">
        <v>70</v>
      </c>
      <c r="B245" s="12" t="s">
        <v>56</v>
      </c>
      <c r="C245" s="13">
        <v>0.0</v>
      </c>
      <c r="D245" s="28">
        <v>22.0</v>
      </c>
      <c r="E245" s="13">
        <v>2.0</v>
      </c>
      <c r="F245" s="13">
        <v>77.0</v>
      </c>
      <c r="G245" s="13">
        <v>2.0</v>
      </c>
      <c r="H245" s="13">
        <v>79.0</v>
      </c>
      <c r="I245" s="30">
        <f t="shared" si="229"/>
        <v>-2</v>
      </c>
      <c r="J245" s="32">
        <f t="shared" si="230"/>
        <v>0.9746835443</v>
      </c>
      <c r="K245" s="13">
        <v>13.0</v>
      </c>
      <c r="L245" s="13">
        <v>117.0</v>
      </c>
      <c r="M245" s="13">
        <v>1.0</v>
      </c>
      <c r="N245" s="33">
        <f t="shared" si="231"/>
        <v>22</v>
      </c>
      <c r="O245" s="13">
        <v>11.0</v>
      </c>
      <c r="P245" s="13">
        <v>0.0</v>
      </c>
      <c r="Q245" s="13">
        <v>0.0</v>
      </c>
      <c r="R245" s="13">
        <v>0.0</v>
      </c>
      <c r="S245" s="13">
        <v>0.0</v>
      </c>
      <c r="T245" s="13">
        <v>0.0</v>
      </c>
      <c r="U245" s="13">
        <v>0.0</v>
      </c>
      <c r="V245" s="13">
        <v>0.0</v>
      </c>
      <c r="W245" s="13">
        <v>0.0</v>
      </c>
      <c r="X245" s="13">
        <v>0.0</v>
      </c>
      <c r="Y245" s="13">
        <v>0.0</v>
      </c>
      <c r="Z245" s="13">
        <v>0.0</v>
      </c>
      <c r="AA245" s="13">
        <v>0.0</v>
      </c>
      <c r="AB245" s="13">
        <v>0.0</v>
      </c>
      <c r="AC245" s="13">
        <v>0.0</v>
      </c>
    </row>
    <row r="246">
      <c r="A246" s="11" t="s">
        <v>70</v>
      </c>
      <c r="B246" s="12" t="s">
        <v>101</v>
      </c>
      <c r="C246" s="13">
        <v>0.0</v>
      </c>
      <c r="D246" s="28">
        <v>22.0</v>
      </c>
      <c r="E246" s="13">
        <v>1.0</v>
      </c>
      <c r="F246" s="13">
        <v>56.0</v>
      </c>
      <c r="G246" s="13">
        <v>2.0</v>
      </c>
      <c r="H246" s="13">
        <v>79.0</v>
      </c>
      <c r="I246" s="30">
        <f t="shared" si="229"/>
        <v>-23</v>
      </c>
      <c r="J246" s="32">
        <f t="shared" si="230"/>
        <v>0.7088607595</v>
      </c>
      <c r="K246" s="13">
        <v>13.0</v>
      </c>
      <c r="L246" s="13">
        <v>77.0</v>
      </c>
      <c r="M246" s="13">
        <v>1.0</v>
      </c>
      <c r="N246" s="33">
        <f t="shared" si="231"/>
        <v>22</v>
      </c>
      <c r="O246" s="13">
        <v>4.0</v>
      </c>
      <c r="P246" s="13">
        <v>0.0</v>
      </c>
      <c r="Q246" s="13">
        <v>0.0</v>
      </c>
      <c r="R246" s="13">
        <v>0.0</v>
      </c>
      <c r="S246" s="13">
        <v>1.0</v>
      </c>
      <c r="T246" s="13">
        <v>0.0</v>
      </c>
      <c r="U246" s="13">
        <v>0.0</v>
      </c>
      <c r="V246" s="13">
        <v>0.0</v>
      </c>
      <c r="W246" s="13">
        <v>0.0</v>
      </c>
      <c r="X246" s="13">
        <v>0.0</v>
      </c>
      <c r="Y246" s="13">
        <v>0.0</v>
      </c>
      <c r="Z246" s="13">
        <v>0.0</v>
      </c>
      <c r="AA246" s="13">
        <v>0.0</v>
      </c>
      <c r="AB246" s="13">
        <v>0.0</v>
      </c>
      <c r="AC246" s="13">
        <v>0.0</v>
      </c>
    </row>
    <row r="247">
      <c r="A247" s="34" t="s">
        <v>49</v>
      </c>
      <c r="B247" s="34"/>
      <c r="C247" s="34">
        <f>SUM(C243:C246)</f>
        <v>0</v>
      </c>
      <c r="D247" s="35">
        <f t="shared" ref="D247:E247" si="232">SUM(D243:D246)/4</f>
        <v>22</v>
      </c>
      <c r="E247" s="34">
        <f t="shared" si="232"/>
        <v>0.75</v>
      </c>
      <c r="F247" s="34">
        <f t="shared" ref="F247:H247" si="233">SUM(F243:F246)</f>
        <v>269</v>
      </c>
      <c r="G247" s="34">
        <f t="shared" si="233"/>
        <v>16</v>
      </c>
      <c r="H247" s="34">
        <f t="shared" si="233"/>
        <v>334</v>
      </c>
      <c r="I247" s="34">
        <f>SUM(F247-H247)</f>
        <v>-65</v>
      </c>
      <c r="J247" s="36">
        <f>SUM(F247/H247)</f>
        <v>0.8053892216</v>
      </c>
      <c r="K247" s="34">
        <f>SUM(K243:K246)/4</f>
        <v>12.75</v>
      </c>
      <c r="L247" s="34">
        <f>SUM(L243:L246)</f>
        <v>396</v>
      </c>
      <c r="M247" s="34"/>
      <c r="N247" s="35">
        <f>SUM(N243:N246)/4</f>
        <v>22</v>
      </c>
      <c r="O247" s="34">
        <f t="shared" ref="O247:AC247" si="234">SUM(O243:O246)</f>
        <v>30</v>
      </c>
      <c r="P247" s="34">
        <f t="shared" si="234"/>
        <v>1</v>
      </c>
      <c r="Q247" s="34">
        <f t="shared" si="234"/>
        <v>0</v>
      </c>
      <c r="R247" s="34">
        <f t="shared" si="234"/>
        <v>0</v>
      </c>
      <c r="S247" s="34">
        <f t="shared" si="234"/>
        <v>1</v>
      </c>
      <c r="T247" s="34">
        <f t="shared" si="234"/>
        <v>0</v>
      </c>
      <c r="U247" s="34">
        <f t="shared" si="234"/>
        <v>0</v>
      </c>
      <c r="V247" s="34">
        <f t="shared" si="234"/>
        <v>0</v>
      </c>
      <c r="W247" s="37">
        <f t="shared" si="234"/>
        <v>0</v>
      </c>
      <c r="X247" s="34">
        <f t="shared" si="234"/>
        <v>0</v>
      </c>
      <c r="Y247" s="34">
        <f t="shared" si="234"/>
        <v>0</v>
      </c>
      <c r="Z247" s="34">
        <f t="shared" si="234"/>
        <v>0</v>
      </c>
      <c r="AA247" s="34">
        <f t="shared" si="234"/>
        <v>0</v>
      </c>
      <c r="AB247" s="37">
        <f t="shared" si="234"/>
        <v>0</v>
      </c>
      <c r="AC247" s="37">
        <f t="shared" si="234"/>
        <v>0</v>
      </c>
    </row>
    <row r="248">
      <c r="A248" s="15" t="s">
        <v>122</v>
      </c>
    </row>
    <row r="249">
      <c r="A249" s="19"/>
      <c r="E249" s="20" t="s">
        <v>33</v>
      </c>
      <c r="K249" s="22" t="s">
        <v>35</v>
      </c>
      <c r="M249" s="23" t="s">
        <v>36</v>
      </c>
      <c r="N249" s="24" t="s">
        <v>36</v>
      </c>
    </row>
    <row r="250">
      <c r="A250" s="4" t="s">
        <v>1</v>
      </c>
      <c r="B250" s="4" t="s">
        <v>2</v>
      </c>
      <c r="C250" s="5" t="s">
        <v>4</v>
      </c>
      <c r="D250" s="6" t="s">
        <v>5</v>
      </c>
      <c r="E250" s="25" t="s">
        <v>37</v>
      </c>
      <c r="F250" s="7" t="s">
        <v>7</v>
      </c>
      <c r="G250" s="7" t="s">
        <v>8</v>
      </c>
      <c r="H250" s="7" t="s">
        <v>9</v>
      </c>
      <c r="I250" s="7" t="s">
        <v>10</v>
      </c>
      <c r="J250" s="7" t="s">
        <v>11</v>
      </c>
      <c r="K250" s="8" t="s">
        <v>12</v>
      </c>
      <c r="L250" s="8" t="s">
        <v>13</v>
      </c>
      <c r="M250" s="9" t="s">
        <v>14</v>
      </c>
      <c r="N250" s="10" t="s">
        <v>5</v>
      </c>
      <c r="O250" s="9" t="s">
        <v>15</v>
      </c>
      <c r="P250" s="9" t="s">
        <v>16</v>
      </c>
      <c r="Q250" s="9" t="s">
        <v>17</v>
      </c>
      <c r="R250" s="9" t="s">
        <v>18</v>
      </c>
      <c r="S250" s="9" t="s">
        <v>19</v>
      </c>
      <c r="T250" s="9" t="s">
        <v>20</v>
      </c>
      <c r="U250" s="9" t="s">
        <v>21</v>
      </c>
      <c r="V250" s="9" t="s">
        <v>22</v>
      </c>
      <c r="W250" s="9" t="s">
        <v>23</v>
      </c>
      <c r="X250" s="9" t="s">
        <v>24</v>
      </c>
      <c r="Y250" s="9" t="s">
        <v>25</v>
      </c>
      <c r="Z250" s="9" t="s">
        <v>26</v>
      </c>
      <c r="AA250" s="9" t="s">
        <v>27</v>
      </c>
      <c r="AB250" s="9" t="s">
        <v>28</v>
      </c>
      <c r="AC250" s="9" t="s">
        <v>29</v>
      </c>
    </row>
    <row r="251">
      <c r="A251" s="11" t="s">
        <v>38</v>
      </c>
      <c r="B251" s="12" t="s">
        <v>39</v>
      </c>
      <c r="C251" s="13">
        <v>1.0</v>
      </c>
      <c r="D251" s="28">
        <v>15.5</v>
      </c>
      <c r="E251" s="13">
        <v>1.0</v>
      </c>
      <c r="F251" s="13">
        <v>70.0</v>
      </c>
      <c r="G251" s="13">
        <v>3.0</v>
      </c>
      <c r="H251" s="13">
        <v>58.0</v>
      </c>
      <c r="I251" s="30">
        <f t="shared" ref="I251:I254" si="235">F251-H251</f>
        <v>12</v>
      </c>
      <c r="J251" s="32">
        <f t="shared" ref="J251:J254" si="236">F251/H251</f>
        <v>1.206896552</v>
      </c>
      <c r="K251" s="13">
        <v>13.0</v>
      </c>
      <c r="L251" s="13">
        <v>112.0</v>
      </c>
      <c r="M251" s="13">
        <v>1.0</v>
      </c>
      <c r="N251" s="33">
        <f t="shared" ref="N251:N254" si="237">SUM(M251*D251)</f>
        <v>15.5</v>
      </c>
      <c r="O251" s="13">
        <v>11.0</v>
      </c>
      <c r="P251" s="13">
        <v>2.0</v>
      </c>
      <c r="Q251" s="13">
        <v>1.0</v>
      </c>
      <c r="R251" s="13">
        <v>1.0</v>
      </c>
      <c r="S251" s="13">
        <v>2.0</v>
      </c>
      <c r="T251" s="13">
        <v>0.0</v>
      </c>
      <c r="U251" s="13">
        <v>0.0</v>
      </c>
      <c r="V251" s="13">
        <v>0.0</v>
      </c>
      <c r="W251" s="13">
        <v>0.0</v>
      </c>
      <c r="X251" s="13">
        <v>0.0</v>
      </c>
      <c r="Y251" s="13">
        <v>0.0</v>
      </c>
      <c r="Z251" s="13">
        <v>0.0</v>
      </c>
      <c r="AA251" s="13">
        <v>0.0</v>
      </c>
      <c r="AB251" s="13">
        <v>0.0</v>
      </c>
      <c r="AC251" s="13">
        <v>0.0</v>
      </c>
    </row>
    <row r="252">
      <c r="A252" s="11" t="s">
        <v>38</v>
      </c>
      <c r="B252" s="12" t="s">
        <v>40</v>
      </c>
      <c r="C252" s="13">
        <v>1.0</v>
      </c>
      <c r="D252" s="28">
        <v>15.5</v>
      </c>
      <c r="E252" s="13">
        <v>0.0</v>
      </c>
      <c r="F252" s="13">
        <v>98.0</v>
      </c>
      <c r="G252" s="13">
        <v>5.0</v>
      </c>
      <c r="H252" s="13">
        <v>54.0</v>
      </c>
      <c r="I252" s="30">
        <f t="shared" si="235"/>
        <v>44</v>
      </c>
      <c r="J252" s="32">
        <f t="shared" si="236"/>
        <v>1.814814815</v>
      </c>
      <c r="K252" s="13">
        <v>14.0</v>
      </c>
      <c r="L252" s="13">
        <v>178.0</v>
      </c>
      <c r="M252" s="13">
        <v>1.0</v>
      </c>
      <c r="N252" s="33">
        <f t="shared" si="237"/>
        <v>15.5</v>
      </c>
      <c r="O252" s="13">
        <v>21.0</v>
      </c>
      <c r="P252" s="13">
        <v>11.0</v>
      </c>
      <c r="Q252" s="13">
        <v>3.0</v>
      </c>
      <c r="R252" s="13">
        <v>0.0</v>
      </c>
      <c r="S252" s="13">
        <v>5.0</v>
      </c>
      <c r="T252" s="13">
        <v>0.0</v>
      </c>
      <c r="U252" s="13">
        <v>0.0</v>
      </c>
      <c r="V252" s="13">
        <v>0.0</v>
      </c>
      <c r="W252" s="13">
        <v>0.0</v>
      </c>
      <c r="X252" s="13">
        <v>0.0</v>
      </c>
      <c r="Y252" s="13">
        <v>0.0</v>
      </c>
      <c r="Z252" s="13">
        <v>0.0</v>
      </c>
      <c r="AA252" s="13">
        <v>0.0</v>
      </c>
      <c r="AB252" s="13">
        <v>0.0</v>
      </c>
      <c r="AC252" s="13">
        <v>0.0</v>
      </c>
    </row>
    <row r="253">
      <c r="A253" s="11" t="s">
        <v>38</v>
      </c>
      <c r="B253" s="12" t="s">
        <v>41</v>
      </c>
      <c r="C253" s="13">
        <v>1.0</v>
      </c>
      <c r="D253" s="28">
        <v>15.5</v>
      </c>
      <c r="E253" s="13">
        <v>0.0</v>
      </c>
      <c r="F253" s="13">
        <v>66.0</v>
      </c>
      <c r="G253" s="13">
        <v>4.0</v>
      </c>
      <c r="H253" s="13">
        <v>67.0</v>
      </c>
      <c r="I253" s="30">
        <f t="shared" si="235"/>
        <v>-1</v>
      </c>
      <c r="J253" s="32">
        <f t="shared" si="236"/>
        <v>0.9850746269</v>
      </c>
      <c r="K253" s="13">
        <v>10.0</v>
      </c>
      <c r="L253" s="13">
        <v>103.0</v>
      </c>
      <c r="M253" s="13">
        <v>1.0</v>
      </c>
      <c r="N253" s="33">
        <f t="shared" si="237"/>
        <v>15.5</v>
      </c>
      <c r="O253" s="13">
        <v>12.0</v>
      </c>
      <c r="P253" s="13">
        <v>2.0</v>
      </c>
      <c r="Q253" s="13">
        <v>0.0</v>
      </c>
      <c r="R253" s="13">
        <v>0.0</v>
      </c>
      <c r="S253" s="13">
        <v>1.0</v>
      </c>
      <c r="T253" s="13">
        <v>0.0</v>
      </c>
      <c r="U253" s="13">
        <v>0.0</v>
      </c>
      <c r="V253" s="13">
        <v>0.0</v>
      </c>
      <c r="W253" s="13">
        <v>0.0</v>
      </c>
      <c r="X253" s="13">
        <v>0.0</v>
      </c>
      <c r="Y253" s="13">
        <v>0.0</v>
      </c>
      <c r="Z253" s="13">
        <v>0.0</v>
      </c>
      <c r="AA253" s="13">
        <v>0.0</v>
      </c>
      <c r="AB253" s="13">
        <v>0.0</v>
      </c>
      <c r="AC253" s="13">
        <v>0.0</v>
      </c>
    </row>
    <row r="254">
      <c r="A254" s="11" t="s">
        <v>38</v>
      </c>
      <c r="B254" s="12" t="s">
        <v>43</v>
      </c>
      <c r="C254" s="13">
        <v>1.0</v>
      </c>
      <c r="D254" s="28">
        <v>15.5</v>
      </c>
      <c r="E254" s="13">
        <v>4.0</v>
      </c>
      <c r="F254" s="13">
        <v>33.0</v>
      </c>
      <c r="G254" s="13">
        <v>0.0</v>
      </c>
      <c r="H254" s="13">
        <v>46.0</v>
      </c>
      <c r="I254" s="30">
        <f t="shared" si="235"/>
        <v>-13</v>
      </c>
      <c r="J254" s="32">
        <f t="shared" si="236"/>
        <v>0.7173913043</v>
      </c>
      <c r="K254" s="13">
        <v>16.0</v>
      </c>
      <c r="L254" s="13">
        <v>45.0</v>
      </c>
      <c r="M254" s="13">
        <v>1.0</v>
      </c>
      <c r="N254" s="33">
        <f t="shared" si="237"/>
        <v>15.5</v>
      </c>
      <c r="O254" s="13">
        <v>4.0</v>
      </c>
      <c r="P254" s="13">
        <v>0.0</v>
      </c>
      <c r="Q254" s="13">
        <v>0.0</v>
      </c>
      <c r="R254" s="13">
        <v>0.0</v>
      </c>
      <c r="S254" s="13">
        <v>0.0</v>
      </c>
      <c r="T254" s="13">
        <v>0.0</v>
      </c>
      <c r="U254" s="13">
        <v>0.0</v>
      </c>
      <c r="V254" s="13">
        <v>0.0</v>
      </c>
      <c r="W254" s="13">
        <v>0.0</v>
      </c>
      <c r="X254" s="13">
        <v>0.0</v>
      </c>
      <c r="Y254" s="13">
        <v>0.0</v>
      </c>
      <c r="Z254" s="13">
        <v>0.0</v>
      </c>
      <c r="AA254" s="13">
        <v>0.0</v>
      </c>
      <c r="AB254" s="13">
        <v>0.0</v>
      </c>
      <c r="AC254" s="13">
        <v>0.0</v>
      </c>
    </row>
    <row r="255">
      <c r="A255" s="34"/>
      <c r="B255" s="34"/>
      <c r="C255" s="34">
        <f t="shared" ref="C255:D255" si="238">SUM(C251:C254)/4</f>
        <v>1</v>
      </c>
      <c r="D255" s="35">
        <f t="shared" si="238"/>
        <v>15.5</v>
      </c>
      <c r="E255" s="34">
        <f t="shared" ref="E255:H255" si="239">SUM(E251:E254)</f>
        <v>5</v>
      </c>
      <c r="F255" s="34">
        <f t="shared" si="239"/>
        <v>267</v>
      </c>
      <c r="G255" s="34">
        <f t="shared" si="239"/>
        <v>12</v>
      </c>
      <c r="H255" s="34">
        <f t="shared" si="239"/>
        <v>225</v>
      </c>
      <c r="I255" s="34">
        <f>SUM(F255-H255)</f>
        <v>42</v>
      </c>
      <c r="J255" s="36">
        <f>SUM(F255/H255)</f>
        <v>1.186666667</v>
      </c>
      <c r="K255" s="34">
        <f>SUM(K251:K254)/4</f>
        <v>13.25</v>
      </c>
      <c r="L255" s="34">
        <f>SUM(L251:L254)</f>
        <v>438</v>
      </c>
      <c r="M255" s="34"/>
      <c r="N255" s="35">
        <f>SUM(N251:N254)/4</f>
        <v>15.5</v>
      </c>
      <c r="O255" s="34">
        <f t="shared" ref="O255:AC255" si="240">SUM(O251:O254)</f>
        <v>48</v>
      </c>
      <c r="P255" s="34">
        <f t="shared" si="240"/>
        <v>15</v>
      </c>
      <c r="Q255" s="34">
        <f t="shared" si="240"/>
        <v>4</v>
      </c>
      <c r="R255" s="34">
        <f t="shared" si="240"/>
        <v>1</v>
      </c>
      <c r="S255" s="34">
        <f t="shared" si="240"/>
        <v>8</v>
      </c>
      <c r="T255" s="34">
        <f t="shared" si="240"/>
        <v>0</v>
      </c>
      <c r="U255" s="34">
        <f t="shared" si="240"/>
        <v>0</v>
      </c>
      <c r="V255" s="34">
        <f t="shared" si="240"/>
        <v>0</v>
      </c>
      <c r="W255" s="34">
        <f t="shared" si="240"/>
        <v>0</v>
      </c>
      <c r="X255" s="34">
        <f t="shared" si="240"/>
        <v>0</v>
      </c>
      <c r="Y255" s="34">
        <f t="shared" si="240"/>
        <v>0</v>
      </c>
      <c r="Z255" s="34">
        <f t="shared" si="240"/>
        <v>0</v>
      </c>
      <c r="AA255" s="34">
        <f t="shared" si="240"/>
        <v>0</v>
      </c>
      <c r="AB255" s="34">
        <f t="shared" si="240"/>
        <v>0</v>
      </c>
      <c r="AC255" s="34">
        <f t="shared" si="240"/>
        <v>0</v>
      </c>
    </row>
    <row r="256">
      <c r="A256" s="11" t="s">
        <v>79</v>
      </c>
      <c r="B256" s="12" t="s">
        <v>117</v>
      </c>
      <c r="C256" s="13">
        <v>0.0</v>
      </c>
      <c r="D256" s="28">
        <v>15.5</v>
      </c>
      <c r="E256" s="13">
        <v>0.0</v>
      </c>
      <c r="F256" s="13">
        <v>57.0</v>
      </c>
      <c r="G256" s="13">
        <v>0.0</v>
      </c>
      <c r="H256" s="13">
        <v>84.0</v>
      </c>
      <c r="I256" s="30">
        <f t="shared" ref="I256:I259" si="241">F256-H256</f>
        <v>-27</v>
      </c>
      <c r="J256" s="32">
        <f t="shared" ref="J256:J259" si="242">F256/H256</f>
        <v>0.6785714286</v>
      </c>
      <c r="K256" s="13">
        <v>8.0</v>
      </c>
      <c r="L256" s="13">
        <v>74.0</v>
      </c>
      <c r="M256" s="13">
        <v>1.0</v>
      </c>
      <c r="N256" s="33">
        <f t="shared" ref="N256:N259" si="243">SUM(M256*D256)</f>
        <v>15.5</v>
      </c>
      <c r="O256" s="13">
        <v>11.0</v>
      </c>
      <c r="P256" s="13">
        <v>1.0</v>
      </c>
      <c r="Q256" s="13">
        <v>0.0</v>
      </c>
      <c r="R256" s="13">
        <v>0.0</v>
      </c>
      <c r="S256" s="13">
        <v>0.0</v>
      </c>
      <c r="T256" s="13">
        <v>0.0</v>
      </c>
      <c r="U256" s="13">
        <v>0.0</v>
      </c>
      <c r="V256" s="13">
        <v>0.0</v>
      </c>
      <c r="W256" s="13">
        <v>0.0</v>
      </c>
      <c r="X256" s="13">
        <v>0.0</v>
      </c>
      <c r="Y256" s="13">
        <v>0.0</v>
      </c>
      <c r="Z256" s="13">
        <v>0.0</v>
      </c>
      <c r="AA256" s="13">
        <v>0.0</v>
      </c>
      <c r="AB256" s="13">
        <v>0.0</v>
      </c>
      <c r="AC256" s="13">
        <v>0.0</v>
      </c>
    </row>
    <row r="257">
      <c r="A257" s="11" t="s">
        <v>79</v>
      </c>
      <c r="B257" s="12" t="s">
        <v>118</v>
      </c>
      <c r="C257" s="13">
        <v>0.0</v>
      </c>
      <c r="D257" s="28">
        <v>15.5</v>
      </c>
      <c r="E257" s="13">
        <v>1.0</v>
      </c>
      <c r="F257" s="13">
        <v>61.0</v>
      </c>
      <c r="G257" s="13">
        <v>3.0</v>
      </c>
      <c r="H257" s="13">
        <v>67.0</v>
      </c>
      <c r="I257" s="30">
        <f t="shared" si="241"/>
        <v>-6</v>
      </c>
      <c r="J257" s="32">
        <f t="shared" si="242"/>
        <v>0.9104477612</v>
      </c>
      <c r="K257" s="13">
        <v>10.0</v>
      </c>
      <c r="L257" s="13">
        <v>85.0</v>
      </c>
      <c r="M257" s="13">
        <v>1.0</v>
      </c>
      <c r="N257" s="33">
        <f t="shared" si="243"/>
        <v>15.5</v>
      </c>
      <c r="O257" s="13">
        <v>7.0</v>
      </c>
      <c r="P257" s="13">
        <v>1.0</v>
      </c>
      <c r="Q257" s="13">
        <v>0.0</v>
      </c>
      <c r="R257" s="13">
        <v>0.0</v>
      </c>
      <c r="S257" s="13">
        <v>0.0</v>
      </c>
      <c r="T257" s="13">
        <v>0.0</v>
      </c>
      <c r="U257" s="13">
        <v>0.0</v>
      </c>
      <c r="V257" s="13">
        <v>0.0</v>
      </c>
      <c r="W257" s="13">
        <v>0.0</v>
      </c>
      <c r="X257" s="13">
        <v>0.0</v>
      </c>
      <c r="Y257" s="13">
        <v>0.0</v>
      </c>
      <c r="Z257" s="13">
        <v>0.0</v>
      </c>
      <c r="AA257" s="13">
        <v>0.0</v>
      </c>
      <c r="AB257" s="13">
        <v>0.0</v>
      </c>
      <c r="AC257" s="13">
        <v>0.0</v>
      </c>
    </row>
    <row r="258">
      <c r="A258" s="11" t="s">
        <v>79</v>
      </c>
      <c r="B258" s="12" t="s">
        <v>119</v>
      </c>
      <c r="C258" s="13">
        <v>0.0</v>
      </c>
      <c r="D258" s="28">
        <v>15.5</v>
      </c>
      <c r="E258" s="13">
        <v>0.0</v>
      </c>
      <c r="F258" s="13">
        <v>59.0</v>
      </c>
      <c r="G258" s="13">
        <v>4.0</v>
      </c>
      <c r="H258" s="13">
        <v>76.0</v>
      </c>
      <c r="I258" s="30">
        <f t="shared" si="241"/>
        <v>-17</v>
      </c>
      <c r="J258" s="32">
        <f t="shared" si="242"/>
        <v>0.7763157895</v>
      </c>
      <c r="K258" s="13">
        <v>9.0</v>
      </c>
      <c r="L258" s="13">
        <v>100.0</v>
      </c>
      <c r="M258" s="13">
        <v>1.0</v>
      </c>
      <c r="N258" s="33">
        <f t="shared" si="243"/>
        <v>15.5</v>
      </c>
      <c r="O258" s="13">
        <v>10.0</v>
      </c>
      <c r="P258" s="13">
        <v>1.0</v>
      </c>
      <c r="Q258" s="13">
        <v>0.0</v>
      </c>
      <c r="R258" s="13">
        <v>0.0</v>
      </c>
      <c r="S258" s="13">
        <v>0.0</v>
      </c>
      <c r="T258" s="13">
        <v>0.0</v>
      </c>
      <c r="U258" s="13">
        <v>0.0</v>
      </c>
      <c r="V258" s="13">
        <v>0.0</v>
      </c>
      <c r="W258" s="13">
        <v>0.0</v>
      </c>
      <c r="X258" s="13">
        <v>0.0</v>
      </c>
      <c r="Y258" s="13">
        <v>0.0</v>
      </c>
      <c r="Z258" s="13">
        <v>0.0</v>
      </c>
      <c r="AA258" s="13">
        <v>0.0</v>
      </c>
      <c r="AB258" s="13">
        <v>0.0</v>
      </c>
      <c r="AC258" s="13">
        <v>0.0</v>
      </c>
    </row>
    <row r="259">
      <c r="A259" s="11" t="s">
        <v>79</v>
      </c>
      <c r="B259" s="12" t="s">
        <v>120</v>
      </c>
      <c r="C259" s="13">
        <v>0.0</v>
      </c>
      <c r="D259" s="28">
        <v>15.5</v>
      </c>
      <c r="E259" s="13">
        <v>1.0</v>
      </c>
      <c r="F259" s="13">
        <v>33.0</v>
      </c>
      <c r="G259" s="13">
        <v>1.0</v>
      </c>
      <c r="H259" s="13">
        <v>51.0</v>
      </c>
      <c r="I259" s="30">
        <f t="shared" si="241"/>
        <v>-18</v>
      </c>
      <c r="J259" s="32">
        <f t="shared" si="242"/>
        <v>0.6470588235</v>
      </c>
      <c r="K259" s="13">
        <v>15.0</v>
      </c>
      <c r="L259" s="13">
        <v>52.0</v>
      </c>
      <c r="M259" s="13">
        <v>1.0</v>
      </c>
      <c r="N259" s="33">
        <f t="shared" si="243"/>
        <v>15.5</v>
      </c>
      <c r="O259" s="13">
        <v>2.0</v>
      </c>
      <c r="P259" s="13">
        <v>1.0</v>
      </c>
      <c r="Q259" s="13">
        <v>1.0</v>
      </c>
      <c r="R259" s="13">
        <v>0.0</v>
      </c>
      <c r="S259" s="13">
        <v>0.0</v>
      </c>
      <c r="T259" s="13">
        <v>0.0</v>
      </c>
      <c r="U259" s="13">
        <v>0.0</v>
      </c>
      <c r="V259" s="13">
        <v>0.0</v>
      </c>
      <c r="W259" s="13">
        <v>0.0</v>
      </c>
      <c r="X259" s="13">
        <v>0.0</v>
      </c>
      <c r="Y259" s="13">
        <v>0.0</v>
      </c>
      <c r="Z259" s="13">
        <v>0.0</v>
      </c>
      <c r="AA259" s="13">
        <v>0.0</v>
      </c>
      <c r="AB259" s="13">
        <v>0.0</v>
      </c>
      <c r="AC259" s="13">
        <v>0.0</v>
      </c>
    </row>
    <row r="260">
      <c r="A260" s="34" t="s">
        <v>49</v>
      </c>
      <c r="B260" s="34"/>
      <c r="C260" s="34">
        <f>SUM(C256:C259)</f>
        <v>0</v>
      </c>
      <c r="D260" s="35">
        <f t="shared" ref="D260:E260" si="244">SUM(D256:D259)/4</f>
        <v>15.5</v>
      </c>
      <c r="E260" s="34">
        <f t="shared" si="244"/>
        <v>0.5</v>
      </c>
      <c r="F260" s="34">
        <f t="shared" ref="F260:H260" si="245">SUM(F256:F259)</f>
        <v>210</v>
      </c>
      <c r="G260" s="34">
        <f t="shared" si="245"/>
        <v>8</v>
      </c>
      <c r="H260" s="34">
        <f t="shared" si="245"/>
        <v>278</v>
      </c>
      <c r="I260" s="34">
        <f>SUM(F260-H260)</f>
        <v>-68</v>
      </c>
      <c r="J260" s="36">
        <f>SUM(F260/H260)</f>
        <v>0.7553956835</v>
      </c>
      <c r="K260" s="34">
        <f>SUM(K256:K259)/4</f>
        <v>10.5</v>
      </c>
      <c r="L260" s="34">
        <f>SUM(L256:L259)</f>
        <v>311</v>
      </c>
      <c r="M260" s="34"/>
      <c r="N260" s="35">
        <f>SUM(N256:N259)/4</f>
        <v>15.5</v>
      </c>
      <c r="O260" s="34">
        <f t="shared" ref="O260:AC260" si="246">SUM(O256:O259)</f>
        <v>30</v>
      </c>
      <c r="P260" s="34">
        <f t="shared" si="246"/>
        <v>4</v>
      </c>
      <c r="Q260" s="34">
        <f t="shared" si="246"/>
        <v>1</v>
      </c>
      <c r="R260" s="34">
        <f t="shared" si="246"/>
        <v>0</v>
      </c>
      <c r="S260" s="34">
        <f t="shared" si="246"/>
        <v>0</v>
      </c>
      <c r="T260" s="34">
        <f t="shared" si="246"/>
        <v>0</v>
      </c>
      <c r="U260" s="34">
        <f t="shared" si="246"/>
        <v>0</v>
      </c>
      <c r="V260" s="34">
        <f t="shared" si="246"/>
        <v>0</v>
      </c>
      <c r="W260" s="37">
        <f t="shared" si="246"/>
        <v>0</v>
      </c>
      <c r="X260" s="34">
        <f t="shared" si="246"/>
        <v>0</v>
      </c>
      <c r="Y260" s="34">
        <f t="shared" si="246"/>
        <v>0</v>
      </c>
      <c r="Z260" s="34">
        <f t="shared" si="246"/>
        <v>0</v>
      </c>
      <c r="AA260" s="34">
        <f t="shared" si="246"/>
        <v>0</v>
      </c>
      <c r="AB260" s="37">
        <f t="shared" si="246"/>
        <v>0</v>
      </c>
      <c r="AC260" s="37">
        <f t="shared" si="246"/>
        <v>0</v>
      </c>
    </row>
    <row r="261">
      <c r="A261" s="15" t="s">
        <v>123</v>
      </c>
    </row>
    <row r="262">
      <c r="A262" s="19"/>
      <c r="E262" s="20" t="s">
        <v>33</v>
      </c>
      <c r="K262" s="22" t="s">
        <v>35</v>
      </c>
      <c r="M262" s="23" t="s">
        <v>36</v>
      </c>
      <c r="N262" s="24" t="s">
        <v>36</v>
      </c>
    </row>
    <row r="263">
      <c r="A263" s="4" t="s">
        <v>1</v>
      </c>
      <c r="B263" s="4" t="s">
        <v>2</v>
      </c>
      <c r="C263" s="5" t="s">
        <v>4</v>
      </c>
      <c r="D263" s="6" t="s">
        <v>5</v>
      </c>
      <c r="E263" s="25" t="s">
        <v>37</v>
      </c>
      <c r="F263" s="7" t="s">
        <v>7</v>
      </c>
      <c r="G263" s="7" t="s">
        <v>8</v>
      </c>
      <c r="H263" s="7" t="s">
        <v>9</v>
      </c>
      <c r="I263" s="7" t="s">
        <v>10</v>
      </c>
      <c r="J263" s="7" t="s">
        <v>11</v>
      </c>
      <c r="K263" s="8" t="s">
        <v>12</v>
      </c>
      <c r="L263" s="8" t="s">
        <v>13</v>
      </c>
      <c r="M263" s="9" t="s">
        <v>14</v>
      </c>
      <c r="N263" s="10" t="s">
        <v>5</v>
      </c>
      <c r="O263" s="9" t="s">
        <v>15</v>
      </c>
      <c r="P263" s="9" t="s">
        <v>16</v>
      </c>
      <c r="Q263" s="9" t="s">
        <v>17</v>
      </c>
      <c r="R263" s="9" t="s">
        <v>18</v>
      </c>
      <c r="S263" s="9" t="s">
        <v>19</v>
      </c>
      <c r="T263" s="9" t="s">
        <v>20</v>
      </c>
      <c r="U263" s="9" t="s">
        <v>21</v>
      </c>
      <c r="V263" s="9" t="s">
        <v>22</v>
      </c>
      <c r="W263" s="9" t="s">
        <v>23</v>
      </c>
      <c r="X263" s="9" t="s">
        <v>24</v>
      </c>
      <c r="Y263" s="9" t="s">
        <v>25</v>
      </c>
      <c r="Z263" s="9" t="s">
        <v>26</v>
      </c>
      <c r="AA263" s="9" t="s">
        <v>27</v>
      </c>
      <c r="AB263" s="9" t="s">
        <v>28</v>
      </c>
      <c r="AC263" s="9" t="s">
        <v>29</v>
      </c>
    </row>
    <row r="264">
      <c r="A264" s="11" t="s">
        <v>38</v>
      </c>
      <c r="B264" s="12" t="s">
        <v>39</v>
      </c>
      <c r="C264" s="13">
        <v>1.0</v>
      </c>
      <c r="D264" s="28">
        <v>37.1</v>
      </c>
      <c r="E264" s="13">
        <v>1.0</v>
      </c>
      <c r="F264" s="13">
        <v>136.0</v>
      </c>
      <c r="G264" s="13">
        <v>12.0</v>
      </c>
      <c r="H264" s="13">
        <v>147.0</v>
      </c>
      <c r="I264" s="30">
        <f t="shared" ref="I264:I267" si="247">F264-H264</f>
        <v>-11</v>
      </c>
      <c r="J264" s="32">
        <f t="shared" ref="J264:J267" si="248">F264/H264</f>
        <v>0.925170068</v>
      </c>
      <c r="K264" s="13">
        <v>12.0</v>
      </c>
      <c r="L264" s="13">
        <v>225.0</v>
      </c>
      <c r="M264" s="13">
        <v>1.0</v>
      </c>
      <c r="N264" s="33">
        <f t="shared" ref="N264:N267" si="249">SUM(M264*D264)</f>
        <v>37.1</v>
      </c>
      <c r="O264" s="13">
        <v>23.0</v>
      </c>
      <c r="P264" s="13">
        <v>3.0</v>
      </c>
      <c r="Q264" s="13">
        <v>0.0</v>
      </c>
      <c r="R264" s="13">
        <v>0.0</v>
      </c>
      <c r="S264" s="13">
        <v>2.0</v>
      </c>
      <c r="T264" s="13">
        <v>0.0</v>
      </c>
      <c r="U264" s="13">
        <v>0.0</v>
      </c>
      <c r="V264" s="13">
        <v>0.0</v>
      </c>
      <c r="W264" s="13">
        <v>0.0</v>
      </c>
      <c r="X264" s="13">
        <v>0.0</v>
      </c>
      <c r="Y264" s="13">
        <v>0.0</v>
      </c>
      <c r="Z264" s="13">
        <v>0.0</v>
      </c>
      <c r="AA264" s="13">
        <v>0.0</v>
      </c>
      <c r="AB264" s="13">
        <v>0.0</v>
      </c>
      <c r="AC264" s="13">
        <v>0.0</v>
      </c>
    </row>
    <row r="265">
      <c r="A265" s="11" t="s">
        <v>38</v>
      </c>
      <c r="B265" s="12" t="s">
        <v>40</v>
      </c>
      <c r="C265" s="13">
        <v>1.0</v>
      </c>
      <c r="D265" s="28">
        <v>37.1</v>
      </c>
      <c r="E265" s="13">
        <v>0.0</v>
      </c>
      <c r="F265" s="13">
        <v>180.0</v>
      </c>
      <c r="G265" s="13">
        <v>10.0</v>
      </c>
      <c r="H265" s="13">
        <v>142.0</v>
      </c>
      <c r="I265" s="30">
        <f t="shared" si="247"/>
        <v>38</v>
      </c>
      <c r="J265" s="32">
        <f t="shared" si="248"/>
        <v>1.267605634</v>
      </c>
      <c r="K265" s="13">
        <v>12.0</v>
      </c>
      <c r="L265" s="13">
        <v>297.0</v>
      </c>
      <c r="M265" s="13">
        <v>1.0</v>
      </c>
      <c r="N265" s="33">
        <f t="shared" si="249"/>
        <v>37.1</v>
      </c>
      <c r="O265" s="13">
        <v>38.0</v>
      </c>
      <c r="P265" s="13">
        <v>8.0</v>
      </c>
      <c r="Q265" s="13">
        <v>2.0</v>
      </c>
      <c r="R265" s="13">
        <v>0.0</v>
      </c>
      <c r="S265" s="13">
        <v>4.0</v>
      </c>
      <c r="T265" s="13">
        <v>0.0</v>
      </c>
      <c r="U265" s="13">
        <v>0.0</v>
      </c>
      <c r="V265" s="13">
        <v>0.0</v>
      </c>
      <c r="W265" s="13">
        <v>0.0</v>
      </c>
      <c r="X265" s="13">
        <v>0.0</v>
      </c>
      <c r="Y265" s="13">
        <v>0.0</v>
      </c>
      <c r="Z265" s="13">
        <v>0.0</v>
      </c>
      <c r="AA265" s="13">
        <v>0.0</v>
      </c>
      <c r="AB265" s="13">
        <v>0.0</v>
      </c>
      <c r="AC265" s="13">
        <v>0.0</v>
      </c>
    </row>
    <row r="266">
      <c r="A266" s="11" t="s">
        <v>38</v>
      </c>
      <c r="B266" s="12" t="s">
        <v>41</v>
      </c>
      <c r="C266" s="13">
        <v>1.0</v>
      </c>
      <c r="D266" s="28">
        <v>37.1</v>
      </c>
      <c r="E266" s="13">
        <v>1.0</v>
      </c>
      <c r="F266" s="13">
        <v>144.0</v>
      </c>
      <c r="G266" s="13">
        <v>8.0</v>
      </c>
      <c r="H266" s="13">
        <v>178.0</v>
      </c>
      <c r="I266" s="30">
        <f t="shared" si="247"/>
        <v>-34</v>
      </c>
      <c r="J266" s="32">
        <f t="shared" si="248"/>
        <v>0.808988764</v>
      </c>
      <c r="K266" s="13">
        <v>9.0</v>
      </c>
      <c r="L266" s="13">
        <v>215.0</v>
      </c>
      <c r="M266" s="13">
        <v>1.0</v>
      </c>
      <c r="N266" s="33">
        <f t="shared" si="249"/>
        <v>37.1</v>
      </c>
      <c r="O266" s="13">
        <v>24.0</v>
      </c>
      <c r="P266" s="13">
        <v>6.0</v>
      </c>
      <c r="Q266" s="13">
        <v>2.0</v>
      </c>
      <c r="R266" s="13">
        <v>0.0</v>
      </c>
      <c r="S266" s="13">
        <v>2.0</v>
      </c>
      <c r="T266" s="13">
        <v>0.0</v>
      </c>
      <c r="U266" s="13">
        <v>0.0</v>
      </c>
      <c r="V266" s="13">
        <v>0.0</v>
      </c>
      <c r="W266" s="13">
        <v>0.0</v>
      </c>
      <c r="X266" s="13">
        <v>0.0</v>
      </c>
      <c r="Y266" s="13">
        <v>0.0</v>
      </c>
      <c r="Z266" s="13">
        <v>0.0</v>
      </c>
      <c r="AA266" s="13">
        <v>0.0</v>
      </c>
      <c r="AB266" s="13">
        <v>0.0</v>
      </c>
      <c r="AC266" s="13">
        <v>0.0</v>
      </c>
    </row>
    <row r="267">
      <c r="A267" s="11" t="s">
        <v>38</v>
      </c>
      <c r="B267" s="12" t="s">
        <v>43</v>
      </c>
      <c r="C267" s="13">
        <v>1.0</v>
      </c>
      <c r="D267" s="28">
        <v>37.1</v>
      </c>
      <c r="E267" s="13">
        <v>3.0</v>
      </c>
      <c r="F267" s="13">
        <v>60.0</v>
      </c>
      <c r="G267" s="13">
        <v>4.0</v>
      </c>
      <c r="H267" s="13">
        <v>79.0</v>
      </c>
      <c r="I267" s="30">
        <f t="shared" si="247"/>
        <v>-19</v>
      </c>
      <c r="J267" s="32">
        <f t="shared" si="248"/>
        <v>0.7594936709</v>
      </c>
      <c r="K267" s="13">
        <v>25.0</v>
      </c>
      <c r="L267" s="13">
        <v>88.0</v>
      </c>
      <c r="M267" s="13">
        <v>1.0</v>
      </c>
      <c r="N267" s="33">
        <f t="shared" si="249"/>
        <v>37.1</v>
      </c>
      <c r="O267" s="13">
        <v>5.0</v>
      </c>
      <c r="P267" s="13">
        <v>1.0</v>
      </c>
      <c r="Q267" s="13">
        <v>0.0</v>
      </c>
      <c r="R267" s="13">
        <v>0.0</v>
      </c>
      <c r="S267" s="13">
        <v>0.0</v>
      </c>
      <c r="T267" s="13">
        <v>0.0</v>
      </c>
      <c r="U267" s="13">
        <v>0.0</v>
      </c>
      <c r="V267" s="13">
        <v>0.0</v>
      </c>
      <c r="W267" s="13">
        <v>0.0</v>
      </c>
      <c r="X267" s="13">
        <v>0.0</v>
      </c>
      <c r="Y267" s="13">
        <v>0.0</v>
      </c>
      <c r="Z267" s="13">
        <v>0.0</v>
      </c>
      <c r="AA267" s="13">
        <v>0.0</v>
      </c>
      <c r="AB267" s="13">
        <v>0.0</v>
      </c>
      <c r="AC267" s="13">
        <v>0.0</v>
      </c>
    </row>
    <row r="268">
      <c r="A268" s="34"/>
      <c r="B268" s="34"/>
      <c r="C268" s="34">
        <f t="shared" ref="C268:D268" si="250">SUM(C264:C267)/4</f>
        <v>1</v>
      </c>
      <c r="D268" s="35">
        <f t="shared" si="250"/>
        <v>37.1</v>
      </c>
      <c r="E268" s="34">
        <f t="shared" ref="E268:H268" si="251">SUM(E264:E267)</f>
        <v>5</v>
      </c>
      <c r="F268" s="34">
        <f t="shared" si="251"/>
        <v>520</v>
      </c>
      <c r="G268" s="34">
        <f t="shared" si="251"/>
        <v>34</v>
      </c>
      <c r="H268" s="34">
        <f t="shared" si="251"/>
        <v>546</v>
      </c>
      <c r="I268" s="34">
        <f>SUM(F268-H268)</f>
        <v>-26</v>
      </c>
      <c r="J268" s="36">
        <f>SUM(F268/H268)</f>
        <v>0.9523809524</v>
      </c>
      <c r="K268" s="34">
        <f>SUM(K264:K267)/4</f>
        <v>14.5</v>
      </c>
      <c r="L268" s="34">
        <f>SUM(L264:L267)</f>
        <v>825</v>
      </c>
      <c r="M268" s="34"/>
      <c r="N268" s="35">
        <f>SUM(N264:N267)/4</f>
        <v>37.1</v>
      </c>
      <c r="O268" s="34">
        <f t="shared" ref="O268:AC268" si="252">SUM(O264:O267)</f>
        <v>90</v>
      </c>
      <c r="P268" s="34">
        <f t="shared" si="252"/>
        <v>18</v>
      </c>
      <c r="Q268" s="34">
        <f t="shared" si="252"/>
        <v>4</v>
      </c>
      <c r="R268" s="34">
        <f t="shared" si="252"/>
        <v>0</v>
      </c>
      <c r="S268" s="34">
        <f t="shared" si="252"/>
        <v>8</v>
      </c>
      <c r="T268" s="34">
        <f t="shared" si="252"/>
        <v>0</v>
      </c>
      <c r="U268" s="34">
        <f t="shared" si="252"/>
        <v>0</v>
      </c>
      <c r="V268" s="34">
        <f t="shared" si="252"/>
        <v>0</v>
      </c>
      <c r="W268" s="34">
        <f t="shared" si="252"/>
        <v>0</v>
      </c>
      <c r="X268" s="34">
        <f t="shared" si="252"/>
        <v>0</v>
      </c>
      <c r="Y268" s="34">
        <f t="shared" si="252"/>
        <v>0</v>
      </c>
      <c r="Z268" s="34">
        <f t="shared" si="252"/>
        <v>0</v>
      </c>
      <c r="AA268" s="34">
        <f t="shared" si="252"/>
        <v>0</v>
      </c>
      <c r="AB268" s="34">
        <f t="shared" si="252"/>
        <v>0</v>
      </c>
      <c r="AC268" s="34">
        <f t="shared" si="252"/>
        <v>0</v>
      </c>
    </row>
    <row r="269">
      <c r="A269" s="11" t="s">
        <v>34</v>
      </c>
      <c r="B269" s="12" t="s">
        <v>45</v>
      </c>
      <c r="C269" s="13">
        <v>0.0</v>
      </c>
      <c r="D269" s="28">
        <v>37.1</v>
      </c>
      <c r="E269" s="13">
        <v>3.0</v>
      </c>
      <c r="F269" s="13">
        <v>108.0</v>
      </c>
      <c r="G269" s="13">
        <v>2.0</v>
      </c>
      <c r="H269" s="13">
        <v>106.0</v>
      </c>
      <c r="I269" s="30">
        <f t="shared" ref="I269:I272" si="253">F269-H269</f>
        <v>2</v>
      </c>
      <c r="J269" s="32">
        <f t="shared" ref="J269:J272" si="254">F269/H269</f>
        <v>1.018867925</v>
      </c>
      <c r="K269" s="13">
        <v>17.0</v>
      </c>
      <c r="L269" s="13">
        <v>164.0</v>
      </c>
      <c r="M269" s="13">
        <v>1.0</v>
      </c>
      <c r="N269" s="33">
        <f t="shared" ref="N269:N272" si="255">SUM(M269*D269)</f>
        <v>37.1</v>
      </c>
      <c r="O269" s="13">
        <v>9.0</v>
      </c>
      <c r="P269" s="13">
        <v>2.0</v>
      </c>
      <c r="Q269" s="13">
        <v>0.0</v>
      </c>
      <c r="R269" s="13">
        <v>0.0</v>
      </c>
      <c r="S269" s="13">
        <v>1.0</v>
      </c>
      <c r="T269" s="13">
        <v>0.0</v>
      </c>
      <c r="U269" s="13">
        <v>0.0</v>
      </c>
      <c r="V269" s="13">
        <v>0.0</v>
      </c>
      <c r="W269" s="13">
        <v>0.0</v>
      </c>
      <c r="X269" s="13">
        <v>0.0</v>
      </c>
      <c r="Y269" s="13">
        <v>0.0</v>
      </c>
      <c r="Z269" s="13">
        <v>0.0</v>
      </c>
      <c r="AA269" s="13">
        <v>0.0</v>
      </c>
      <c r="AB269" s="13">
        <v>0.0</v>
      </c>
      <c r="AC269" s="13">
        <v>0.0</v>
      </c>
    </row>
    <row r="270">
      <c r="A270" s="11" t="s">
        <v>34</v>
      </c>
      <c r="B270" s="12" t="s">
        <v>46</v>
      </c>
      <c r="C270" s="13">
        <v>0.0</v>
      </c>
      <c r="D270" s="28">
        <v>37.1</v>
      </c>
      <c r="E270" s="13">
        <v>0.0</v>
      </c>
      <c r="F270" s="13">
        <v>176.0</v>
      </c>
      <c r="G270" s="13">
        <v>9.0</v>
      </c>
      <c r="H270" s="13">
        <v>151.0</v>
      </c>
      <c r="I270" s="30">
        <f t="shared" si="253"/>
        <v>25</v>
      </c>
      <c r="J270" s="32">
        <f t="shared" si="254"/>
        <v>1.165562914</v>
      </c>
      <c r="K270" s="13">
        <v>11.0</v>
      </c>
      <c r="L270" s="13">
        <v>299.0</v>
      </c>
      <c r="M270" s="13">
        <v>1.0</v>
      </c>
      <c r="N270" s="33">
        <f t="shared" si="255"/>
        <v>37.1</v>
      </c>
      <c r="O270" s="13">
        <v>38.0</v>
      </c>
      <c r="P270" s="13">
        <v>17.0</v>
      </c>
      <c r="Q270" s="13">
        <v>5.0</v>
      </c>
      <c r="R270" s="13">
        <v>2.0</v>
      </c>
      <c r="S270" s="13">
        <v>4.0</v>
      </c>
      <c r="T270" s="13">
        <v>0.0</v>
      </c>
      <c r="U270" s="13">
        <v>0.0</v>
      </c>
      <c r="V270" s="13">
        <v>0.0</v>
      </c>
      <c r="W270" s="13">
        <v>0.0</v>
      </c>
      <c r="X270" s="13">
        <v>0.0</v>
      </c>
      <c r="Y270" s="13">
        <v>1.0</v>
      </c>
      <c r="Z270" s="13">
        <v>0.0</v>
      </c>
      <c r="AA270" s="13">
        <v>0.0</v>
      </c>
      <c r="AB270" s="13">
        <v>0.0</v>
      </c>
      <c r="AC270" s="13">
        <v>0.0</v>
      </c>
    </row>
    <row r="271">
      <c r="A271" s="11" t="s">
        <v>34</v>
      </c>
      <c r="B271" s="12" t="s">
        <v>47</v>
      </c>
      <c r="C271" s="13">
        <v>0.0</v>
      </c>
      <c r="D271" s="28">
        <v>37.1</v>
      </c>
      <c r="E271" s="13">
        <v>0.0</v>
      </c>
      <c r="F271" s="13">
        <v>126.0</v>
      </c>
      <c r="G271" s="13">
        <v>9.0</v>
      </c>
      <c r="H271" s="13">
        <v>135.0</v>
      </c>
      <c r="I271" s="30">
        <f t="shared" si="253"/>
        <v>-9</v>
      </c>
      <c r="J271" s="32">
        <f t="shared" si="254"/>
        <v>0.9333333333</v>
      </c>
      <c r="K271" s="13">
        <v>13.0</v>
      </c>
      <c r="L271" s="13">
        <v>178.0</v>
      </c>
      <c r="M271" s="13">
        <v>1.0</v>
      </c>
      <c r="N271" s="33">
        <f t="shared" si="255"/>
        <v>37.1</v>
      </c>
      <c r="O271" s="13">
        <v>10.0</v>
      </c>
      <c r="P271" s="13">
        <v>3.0</v>
      </c>
      <c r="Q271" s="13">
        <v>1.0</v>
      </c>
      <c r="R271" s="13">
        <v>0.0</v>
      </c>
      <c r="S271" s="13">
        <v>0.0</v>
      </c>
      <c r="T271" s="13">
        <v>0.0</v>
      </c>
      <c r="U271" s="13">
        <v>0.0</v>
      </c>
      <c r="V271" s="13">
        <v>0.0</v>
      </c>
      <c r="W271" s="13">
        <v>0.0</v>
      </c>
      <c r="X271" s="13">
        <v>0.0</v>
      </c>
      <c r="Y271" s="13">
        <v>0.0</v>
      </c>
      <c r="Z271" s="13">
        <v>0.0</v>
      </c>
      <c r="AA271" s="13">
        <v>0.0</v>
      </c>
      <c r="AB271" s="13">
        <v>0.0</v>
      </c>
      <c r="AC271" s="13">
        <v>0.0</v>
      </c>
    </row>
    <row r="272">
      <c r="A272" s="11" t="s">
        <v>34</v>
      </c>
      <c r="B272" s="12" t="s">
        <v>48</v>
      </c>
      <c r="C272" s="13">
        <v>0.0</v>
      </c>
      <c r="D272" s="28">
        <v>37.1</v>
      </c>
      <c r="E272" s="13">
        <v>0.0</v>
      </c>
      <c r="F272" s="13">
        <v>121.0</v>
      </c>
      <c r="G272" s="13">
        <v>12.0</v>
      </c>
      <c r="H272" s="13">
        <v>145.0</v>
      </c>
      <c r="I272" s="30">
        <f t="shared" si="253"/>
        <v>-24</v>
      </c>
      <c r="J272" s="32">
        <f t="shared" si="254"/>
        <v>0.8344827586</v>
      </c>
      <c r="K272" s="13">
        <v>12.0</v>
      </c>
      <c r="L272" s="13">
        <v>184.0</v>
      </c>
      <c r="M272" s="13">
        <v>1.0</v>
      </c>
      <c r="N272" s="33">
        <f t="shared" si="255"/>
        <v>37.1</v>
      </c>
      <c r="O272" s="13">
        <v>14.0</v>
      </c>
      <c r="P272" s="13">
        <v>2.0</v>
      </c>
      <c r="Q272" s="13">
        <v>0.0</v>
      </c>
      <c r="R272" s="13">
        <v>0.0</v>
      </c>
      <c r="S272" s="13">
        <v>0.0</v>
      </c>
      <c r="T272" s="13">
        <v>0.0</v>
      </c>
      <c r="U272" s="13">
        <v>0.0</v>
      </c>
      <c r="V272" s="13">
        <v>0.0</v>
      </c>
      <c r="W272" s="13">
        <v>0.0</v>
      </c>
      <c r="X272" s="13">
        <v>0.0</v>
      </c>
      <c r="Y272" s="13">
        <v>0.0</v>
      </c>
      <c r="Z272" s="13">
        <v>0.0</v>
      </c>
      <c r="AA272" s="13">
        <v>0.0</v>
      </c>
      <c r="AB272" s="13">
        <v>0.0</v>
      </c>
      <c r="AC272" s="13">
        <v>0.0</v>
      </c>
    </row>
    <row r="273">
      <c r="A273" s="34" t="s">
        <v>49</v>
      </c>
      <c r="B273" s="34"/>
      <c r="C273" s="34">
        <f>SUM(C269:C272)</f>
        <v>0</v>
      </c>
      <c r="D273" s="35">
        <f t="shared" ref="D273:E273" si="256">SUM(D269:D272)/4</f>
        <v>37.1</v>
      </c>
      <c r="E273" s="34">
        <f t="shared" si="256"/>
        <v>0.75</v>
      </c>
      <c r="F273" s="34">
        <f t="shared" ref="F273:H273" si="257">SUM(F269:F272)</f>
        <v>531</v>
      </c>
      <c r="G273" s="34">
        <f t="shared" si="257"/>
        <v>32</v>
      </c>
      <c r="H273" s="34">
        <f t="shared" si="257"/>
        <v>537</v>
      </c>
      <c r="I273" s="34">
        <f>SUM(F273-H273)</f>
        <v>-6</v>
      </c>
      <c r="J273" s="36">
        <f>SUM(F273/H273)</f>
        <v>0.9888268156</v>
      </c>
      <c r="K273" s="34">
        <f>SUM(K269:K272)/4</f>
        <v>13.25</v>
      </c>
      <c r="L273" s="34">
        <f>SUM(L269:L272)</f>
        <v>825</v>
      </c>
      <c r="M273" s="34"/>
      <c r="N273" s="35">
        <f>SUM(N269:N272)/4</f>
        <v>37.1</v>
      </c>
      <c r="O273" s="34">
        <f t="shared" ref="O273:AC273" si="258">SUM(O269:O272)</f>
        <v>71</v>
      </c>
      <c r="P273" s="34">
        <f t="shared" si="258"/>
        <v>24</v>
      </c>
      <c r="Q273" s="34">
        <f t="shared" si="258"/>
        <v>6</v>
      </c>
      <c r="R273" s="34">
        <f t="shared" si="258"/>
        <v>2</v>
      </c>
      <c r="S273" s="34">
        <f t="shared" si="258"/>
        <v>5</v>
      </c>
      <c r="T273" s="34">
        <f t="shared" si="258"/>
        <v>0</v>
      </c>
      <c r="U273" s="34">
        <f t="shared" si="258"/>
        <v>0</v>
      </c>
      <c r="V273" s="34">
        <f t="shared" si="258"/>
        <v>0</v>
      </c>
      <c r="W273" s="37">
        <f t="shared" si="258"/>
        <v>0</v>
      </c>
      <c r="X273" s="34">
        <f t="shared" si="258"/>
        <v>0</v>
      </c>
      <c r="Y273" s="34">
        <f t="shared" si="258"/>
        <v>1</v>
      </c>
      <c r="Z273" s="34">
        <f t="shared" si="258"/>
        <v>0</v>
      </c>
      <c r="AA273" s="34">
        <f t="shared" si="258"/>
        <v>0</v>
      </c>
      <c r="AB273" s="37">
        <f t="shared" si="258"/>
        <v>0</v>
      </c>
      <c r="AC273" s="37">
        <f t="shared" si="258"/>
        <v>0</v>
      </c>
    </row>
    <row r="274">
      <c r="A274" s="15" t="s">
        <v>124</v>
      </c>
    </row>
    <row r="275">
      <c r="A275" s="19"/>
      <c r="E275" s="20" t="s">
        <v>33</v>
      </c>
      <c r="K275" s="22" t="s">
        <v>35</v>
      </c>
      <c r="M275" s="23" t="s">
        <v>36</v>
      </c>
      <c r="N275" s="24" t="s">
        <v>36</v>
      </c>
    </row>
    <row r="276">
      <c r="A276" s="4" t="s">
        <v>1</v>
      </c>
      <c r="B276" s="4" t="s">
        <v>2</v>
      </c>
      <c r="C276" s="5" t="s">
        <v>4</v>
      </c>
      <c r="D276" s="6" t="s">
        <v>5</v>
      </c>
      <c r="E276" s="25" t="s">
        <v>37</v>
      </c>
      <c r="F276" s="7" t="s">
        <v>7</v>
      </c>
      <c r="G276" s="7" t="s">
        <v>8</v>
      </c>
      <c r="H276" s="7" t="s">
        <v>9</v>
      </c>
      <c r="I276" s="7" t="s">
        <v>10</v>
      </c>
      <c r="J276" s="7" t="s">
        <v>11</v>
      </c>
      <c r="K276" s="8" t="s">
        <v>12</v>
      </c>
      <c r="L276" s="8" t="s">
        <v>13</v>
      </c>
      <c r="M276" s="9" t="s">
        <v>14</v>
      </c>
      <c r="N276" s="10" t="s">
        <v>5</v>
      </c>
      <c r="O276" s="9" t="s">
        <v>15</v>
      </c>
      <c r="P276" s="9" t="s">
        <v>16</v>
      </c>
      <c r="Q276" s="9" t="s">
        <v>17</v>
      </c>
      <c r="R276" s="9" t="s">
        <v>18</v>
      </c>
      <c r="S276" s="9" t="s">
        <v>19</v>
      </c>
      <c r="T276" s="9" t="s">
        <v>20</v>
      </c>
      <c r="U276" s="9" t="s">
        <v>21</v>
      </c>
      <c r="V276" s="9" t="s">
        <v>22</v>
      </c>
      <c r="W276" s="9" t="s">
        <v>23</v>
      </c>
      <c r="X276" s="9" t="s">
        <v>24</v>
      </c>
      <c r="Y276" s="9" t="s">
        <v>25</v>
      </c>
      <c r="Z276" s="9" t="s">
        <v>26</v>
      </c>
      <c r="AA276" s="9" t="s">
        <v>27</v>
      </c>
      <c r="AB276" s="9" t="s">
        <v>28</v>
      </c>
      <c r="AC276" s="9" t="s">
        <v>29</v>
      </c>
    </row>
    <row r="277">
      <c r="A277" s="11" t="s">
        <v>42</v>
      </c>
      <c r="B277" s="12" t="s">
        <v>66</v>
      </c>
      <c r="C277" s="13">
        <v>1.0</v>
      </c>
      <c r="D277" s="28">
        <v>5.5</v>
      </c>
      <c r="E277" s="13">
        <v>0.0</v>
      </c>
      <c r="F277" s="13">
        <v>44.0</v>
      </c>
      <c r="G277" s="13">
        <v>3.0</v>
      </c>
      <c r="H277" s="13">
        <v>27.0</v>
      </c>
      <c r="I277" s="30">
        <f t="shared" ref="I277:I280" si="259">F277-H277</f>
        <v>17</v>
      </c>
      <c r="J277" s="32">
        <f t="shared" ref="J277:J280" si="260">F277/H277</f>
        <v>1.62962963</v>
      </c>
      <c r="K277" s="13">
        <v>9.0</v>
      </c>
      <c r="L277" s="13">
        <v>79.0</v>
      </c>
      <c r="M277" s="13">
        <v>1.0</v>
      </c>
      <c r="N277" s="33">
        <f t="shared" ref="N277:N280" si="261">SUM(M277*D277)</f>
        <v>5.5</v>
      </c>
      <c r="O277" s="13">
        <v>11.0</v>
      </c>
      <c r="P277" s="13">
        <v>2.0</v>
      </c>
      <c r="Q277" s="13">
        <v>2.0</v>
      </c>
      <c r="R277" s="13">
        <v>1.0</v>
      </c>
      <c r="S277" s="13">
        <v>2.0</v>
      </c>
      <c r="T277" s="13">
        <v>0.0</v>
      </c>
      <c r="U277" s="13">
        <v>0.0</v>
      </c>
      <c r="V277" s="13">
        <v>0.0</v>
      </c>
      <c r="W277" s="13">
        <v>0.0</v>
      </c>
      <c r="X277" s="13">
        <v>0.0</v>
      </c>
      <c r="Y277" s="13">
        <v>0.0</v>
      </c>
      <c r="Z277" s="13">
        <v>0.0</v>
      </c>
      <c r="AA277" s="13">
        <v>0.0</v>
      </c>
      <c r="AB277" s="13">
        <v>0.0</v>
      </c>
      <c r="AC277" s="13">
        <v>0.0</v>
      </c>
    </row>
    <row r="278">
      <c r="A278" s="11" t="s">
        <v>42</v>
      </c>
      <c r="B278" s="12" t="s">
        <v>67</v>
      </c>
      <c r="C278" s="13">
        <v>1.0</v>
      </c>
      <c r="D278" s="28">
        <v>5.5</v>
      </c>
      <c r="E278" s="13">
        <v>5.0</v>
      </c>
      <c r="F278" s="13">
        <v>23.0</v>
      </c>
      <c r="G278" s="13">
        <v>2.0</v>
      </c>
      <c r="H278" s="13">
        <v>8.0</v>
      </c>
      <c r="I278" s="30">
        <f t="shared" si="259"/>
        <v>15</v>
      </c>
      <c r="J278" s="32">
        <f t="shared" si="260"/>
        <v>2.875</v>
      </c>
      <c r="K278" s="13">
        <v>34.0</v>
      </c>
      <c r="L278" s="13">
        <v>42.0</v>
      </c>
      <c r="M278" s="13">
        <v>1.0</v>
      </c>
      <c r="N278" s="33">
        <f t="shared" si="261"/>
        <v>5.5</v>
      </c>
      <c r="O278" s="13">
        <v>4.0</v>
      </c>
      <c r="P278" s="13">
        <v>0.0</v>
      </c>
      <c r="Q278" s="13">
        <v>0.0</v>
      </c>
      <c r="R278" s="13">
        <v>0.0</v>
      </c>
      <c r="S278" s="13">
        <v>2.0</v>
      </c>
      <c r="T278" s="13">
        <v>0.0</v>
      </c>
      <c r="U278" s="13">
        <v>0.0</v>
      </c>
      <c r="V278" s="13">
        <v>0.0</v>
      </c>
      <c r="W278" s="13">
        <v>0.0</v>
      </c>
      <c r="X278" s="13">
        <v>0.0</v>
      </c>
      <c r="Y278" s="13">
        <v>0.0</v>
      </c>
      <c r="Z278" s="13">
        <v>0.0</v>
      </c>
      <c r="AA278" s="13">
        <v>0.0</v>
      </c>
      <c r="AB278" s="13">
        <v>0.0</v>
      </c>
      <c r="AC278" s="13">
        <v>0.0</v>
      </c>
    </row>
    <row r="279">
      <c r="A279" s="11" t="s">
        <v>42</v>
      </c>
      <c r="B279" s="12" t="s">
        <v>68</v>
      </c>
      <c r="C279" s="13">
        <v>1.0</v>
      </c>
      <c r="D279" s="28">
        <v>5.5</v>
      </c>
      <c r="E279" s="13">
        <v>0.0</v>
      </c>
      <c r="F279" s="13">
        <v>27.0</v>
      </c>
      <c r="G279" s="13">
        <v>0.0</v>
      </c>
      <c r="H279" s="13">
        <v>25.0</v>
      </c>
      <c r="I279" s="30">
        <f t="shared" si="259"/>
        <v>2</v>
      </c>
      <c r="J279" s="32">
        <f t="shared" si="260"/>
        <v>1.08</v>
      </c>
      <c r="K279" s="13">
        <v>10.0</v>
      </c>
      <c r="L279" s="13">
        <v>38.0</v>
      </c>
      <c r="M279" s="13">
        <v>1.0</v>
      </c>
      <c r="N279" s="33">
        <f t="shared" si="261"/>
        <v>5.5</v>
      </c>
      <c r="O279" s="13">
        <v>6.0</v>
      </c>
      <c r="P279" s="13">
        <v>1.0</v>
      </c>
      <c r="Q279" s="13">
        <v>0.0</v>
      </c>
      <c r="R279" s="13">
        <v>0.0</v>
      </c>
      <c r="S279" s="13">
        <v>0.0</v>
      </c>
      <c r="T279" s="13">
        <v>0.0</v>
      </c>
      <c r="U279" s="13">
        <v>0.0</v>
      </c>
      <c r="V279" s="13">
        <v>0.0</v>
      </c>
      <c r="W279" s="13">
        <v>0.0</v>
      </c>
      <c r="X279" s="13">
        <v>0.0</v>
      </c>
      <c r="Y279" s="13">
        <v>0.0</v>
      </c>
      <c r="Z279" s="13">
        <v>0.0</v>
      </c>
      <c r="AA279" s="13">
        <v>0.0</v>
      </c>
      <c r="AB279" s="13">
        <v>0.0</v>
      </c>
      <c r="AC279" s="13">
        <v>0.0</v>
      </c>
    </row>
    <row r="280">
      <c r="A280" s="11" t="s">
        <v>42</v>
      </c>
      <c r="B280" s="12" t="s">
        <v>69</v>
      </c>
      <c r="C280" s="13">
        <v>1.0</v>
      </c>
      <c r="D280" s="28">
        <v>5.5</v>
      </c>
      <c r="E280" s="13">
        <v>0.0</v>
      </c>
      <c r="F280" s="13">
        <v>22.0</v>
      </c>
      <c r="G280" s="13">
        <v>4.0</v>
      </c>
      <c r="H280" s="13">
        <v>25.0</v>
      </c>
      <c r="I280" s="30">
        <f t="shared" si="259"/>
        <v>-3</v>
      </c>
      <c r="J280" s="32">
        <f t="shared" si="260"/>
        <v>0.88</v>
      </c>
      <c r="K280" s="13">
        <v>10.0</v>
      </c>
      <c r="L280" s="13">
        <v>42.0</v>
      </c>
      <c r="M280" s="13">
        <v>1.0</v>
      </c>
      <c r="N280" s="33">
        <f t="shared" si="261"/>
        <v>5.5</v>
      </c>
      <c r="O280" s="13">
        <v>3.0</v>
      </c>
      <c r="P280" s="13">
        <v>0.0</v>
      </c>
      <c r="Q280" s="13">
        <v>0.0</v>
      </c>
      <c r="R280" s="13">
        <v>0.0</v>
      </c>
      <c r="S280" s="13">
        <v>0.0</v>
      </c>
      <c r="T280" s="13">
        <v>0.0</v>
      </c>
      <c r="U280" s="13">
        <v>0.0</v>
      </c>
      <c r="V280" s="13">
        <v>0.0</v>
      </c>
      <c r="W280" s="13">
        <v>0.0</v>
      </c>
      <c r="X280" s="13">
        <v>0.0</v>
      </c>
      <c r="Y280" s="13">
        <v>0.0</v>
      </c>
      <c r="Z280" s="13">
        <v>0.0</v>
      </c>
      <c r="AA280" s="13">
        <v>0.0</v>
      </c>
      <c r="AB280" s="13">
        <v>0.0</v>
      </c>
      <c r="AC280" s="13">
        <v>0.0</v>
      </c>
    </row>
    <row r="281">
      <c r="A281" s="34"/>
      <c r="B281" s="34"/>
      <c r="C281" s="34">
        <f t="shared" ref="C281:D281" si="262">SUM(C277:C280)/4</f>
        <v>1</v>
      </c>
      <c r="D281" s="35">
        <f t="shared" si="262"/>
        <v>5.5</v>
      </c>
      <c r="E281" s="34">
        <f t="shared" ref="E281:H281" si="263">SUM(E277:E280)</f>
        <v>5</v>
      </c>
      <c r="F281" s="34">
        <f t="shared" si="263"/>
        <v>116</v>
      </c>
      <c r="G281" s="34">
        <f t="shared" si="263"/>
        <v>9</v>
      </c>
      <c r="H281" s="34">
        <f t="shared" si="263"/>
        <v>85</v>
      </c>
      <c r="I281" s="34">
        <f>SUM(F281-H281)</f>
        <v>31</v>
      </c>
      <c r="J281" s="36">
        <f>SUM(F281/H281)</f>
        <v>1.364705882</v>
      </c>
      <c r="K281" s="34">
        <f>SUM(K277:K280)/4</f>
        <v>15.75</v>
      </c>
      <c r="L281" s="34">
        <f>SUM(L277:L280)</f>
        <v>201</v>
      </c>
      <c r="M281" s="34"/>
      <c r="N281" s="35">
        <f>SUM(N277:N280)/4</f>
        <v>5.5</v>
      </c>
      <c r="O281" s="34">
        <f t="shared" ref="O281:AC281" si="264">SUM(O277:O280)</f>
        <v>24</v>
      </c>
      <c r="P281" s="34">
        <f t="shared" si="264"/>
        <v>3</v>
      </c>
      <c r="Q281" s="34">
        <f t="shared" si="264"/>
        <v>2</v>
      </c>
      <c r="R281" s="34">
        <f t="shared" si="264"/>
        <v>1</v>
      </c>
      <c r="S281" s="34">
        <f t="shared" si="264"/>
        <v>4</v>
      </c>
      <c r="T281" s="34">
        <f t="shared" si="264"/>
        <v>0</v>
      </c>
      <c r="U281" s="34">
        <f t="shared" si="264"/>
        <v>0</v>
      </c>
      <c r="V281" s="34">
        <f t="shared" si="264"/>
        <v>0</v>
      </c>
      <c r="W281" s="34">
        <f t="shared" si="264"/>
        <v>0</v>
      </c>
      <c r="X281" s="34">
        <f t="shared" si="264"/>
        <v>0</v>
      </c>
      <c r="Y281" s="34">
        <f t="shared" si="264"/>
        <v>0</v>
      </c>
      <c r="Z281" s="34">
        <f t="shared" si="264"/>
        <v>0</v>
      </c>
      <c r="AA281" s="34">
        <f t="shared" si="264"/>
        <v>0</v>
      </c>
      <c r="AB281" s="34">
        <f t="shared" si="264"/>
        <v>0</v>
      </c>
      <c r="AC281" s="34">
        <f t="shared" si="264"/>
        <v>0</v>
      </c>
    </row>
    <row r="282">
      <c r="A282" s="11" t="s">
        <v>30</v>
      </c>
      <c r="B282" s="12" t="s">
        <v>89</v>
      </c>
      <c r="C282" s="13">
        <v>0.0</v>
      </c>
      <c r="D282" s="28">
        <v>5.5</v>
      </c>
      <c r="E282" s="13">
        <v>0.0</v>
      </c>
      <c r="F282" s="13">
        <v>24.0</v>
      </c>
      <c r="G282" s="13">
        <v>2.0</v>
      </c>
      <c r="H282" s="13">
        <v>31.0</v>
      </c>
      <c r="I282" s="30">
        <f t="shared" ref="I282:I285" si="265">F282-H282</f>
        <v>-7</v>
      </c>
      <c r="J282" s="32">
        <f t="shared" ref="J282:J285" si="266">F282/H282</f>
        <v>0.7741935484</v>
      </c>
      <c r="K282" s="13">
        <v>7.0</v>
      </c>
      <c r="L282" s="13">
        <v>40.0</v>
      </c>
      <c r="M282" s="13">
        <v>1.0</v>
      </c>
      <c r="N282" s="33">
        <f t="shared" ref="N282:N285" si="267">SUM(M282*D282)</f>
        <v>5.5</v>
      </c>
      <c r="O282" s="13">
        <v>3.0</v>
      </c>
      <c r="P282" s="13">
        <v>0.0</v>
      </c>
      <c r="Q282" s="13">
        <v>0.0</v>
      </c>
      <c r="R282" s="13">
        <v>0.0</v>
      </c>
      <c r="S282" s="13">
        <v>0.0</v>
      </c>
      <c r="T282" s="13">
        <v>0.0</v>
      </c>
      <c r="U282" s="13">
        <v>0.0</v>
      </c>
      <c r="V282" s="13">
        <v>0.0</v>
      </c>
      <c r="W282" s="13">
        <v>0.0</v>
      </c>
      <c r="X282" s="13">
        <v>0.0</v>
      </c>
      <c r="Y282" s="13">
        <v>0.0</v>
      </c>
      <c r="Z282" s="13">
        <v>0.0</v>
      </c>
      <c r="AA282" s="13">
        <v>0.0</v>
      </c>
      <c r="AB282" s="13">
        <v>0.0</v>
      </c>
      <c r="AC282" s="13">
        <v>0.0</v>
      </c>
    </row>
    <row r="283">
      <c r="A283" s="11" t="s">
        <v>30</v>
      </c>
      <c r="B283" s="12" t="s">
        <v>51</v>
      </c>
      <c r="C283" s="13">
        <v>0.0</v>
      </c>
      <c r="D283" s="28">
        <v>5.5</v>
      </c>
      <c r="E283" s="13">
        <v>0.0</v>
      </c>
      <c r="F283" s="13">
        <v>17.0</v>
      </c>
      <c r="G283" s="13">
        <v>5.0</v>
      </c>
      <c r="H283" s="13">
        <v>31.0</v>
      </c>
      <c r="I283" s="30">
        <f t="shared" si="265"/>
        <v>-14</v>
      </c>
      <c r="J283" s="32">
        <f t="shared" si="266"/>
        <v>0.5483870968</v>
      </c>
      <c r="K283" s="13">
        <v>7.0</v>
      </c>
      <c r="L283" s="13">
        <v>36.0</v>
      </c>
      <c r="M283" s="13">
        <v>1.0</v>
      </c>
      <c r="N283" s="33">
        <f t="shared" si="267"/>
        <v>5.5</v>
      </c>
      <c r="O283" s="13">
        <v>2.0</v>
      </c>
      <c r="P283" s="13">
        <v>0.0</v>
      </c>
      <c r="Q283" s="13">
        <v>0.0</v>
      </c>
      <c r="R283" s="13">
        <v>0.0</v>
      </c>
      <c r="S283" s="13">
        <v>0.0</v>
      </c>
      <c r="T283" s="13">
        <v>0.0</v>
      </c>
      <c r="U283" s="13">
        <v>0.0</v>
      </c>
      <c r="V283" s="13">
        <v>0.0</v>
      </c>
      <c r="W283" s="13">
        <v>0.0</v>
      </c>
      <c r="X283" s="13">
        <v>0.0</v>
      </c>
      <c r="Y283" s="13">
        <v>0.0</v>
      </c>
      <c r="Z283" s="13">
        <v>0.0</v>
      </c>
      <c r="AA283" s="13">
        <v>0.0</v>
      </c>
      <c r="AB283" s="13">
        <v>0.0</v>
      </c>
      <c r="AC283" s="13">
        <v>0.0</v>
      </c>
    </row>
    <row r="284">
      <c r="A284" s="11" t="s">
        <v>30</v>
      </c>
      <c r="B284" s="12" t="s">
        <v>63</v>
      </c>
      <c r="C284" s="13">
        <v>0.0</v>
      </c>
      <c r="D284" s="28">
        <v>5.5</v>
      </c>
      <c r="E284" s="13">
        <v>0.0</v>
      </c>
      <c r="F284" s="13">
        <v>12.0</v>
      </c>
      <c r="G284" s="13">
        <v>4.0</v>
      </c>
      <c r="H284" s="13">
        <v>35.0</v>
      </c>
      <c r="I284" s="30">
        <f t="shared" si="265"/>
        <v>-23</v>
      </c>
      <c r="J284" s="32">
        <f t="shared" si="266"/>
        <v>0.3428571429</v>
      </c>
      <c r="K284" s="13">
        <v>6.0</v>
      </c>
      <c r="L284" s="13">
        <v>23.0</v>
      </c>
      <c r="M284" s="13">
        <v>1.0</v>
      </c>
      <c r="N284" s="33">
        <f t="shared" si="267"/>
        <v>5.5</v>
      </c>
      <c r="O284" s="13">
        <v>1.0</v>
      </c>
      <c r="P284" s="13">
        <v>0.0</v>
      </c>
      <c r="Q284" s="13">
        <v>0.0</v>
      </c>
      <c r="R284" s="13">
        <v>0.0</v>
      </c>
      <c r="S284" s="13">
        <v>0.0</v>
      </c>
      <c r="T284" s="13">
        <v>0.0</v>
      </c>
      <c r="U284" s="13">
        <v>0.0</v>
      </c>
      <c r="V284" s="13">
        <v>0.0</v>
      </c>
      <c r="W284" s="13">
        <v>0.0</v>
      </c>
      <c r="X284" s="13">
        <v>0.0</v>
      </c>
      <c r="Y284" s="13">
        <v>0.0</v>
      </c>
      <c r="Z284" s="13">
        <v>0.0</v>
      </c>
      <c r="AA284" s="13">
        <v>0.0</v>
      </c>
      <c r="AB284" s="13">
        <v>0.0</v>
      </c>
      <c r="AC284" s="13">
        <v>0.0</v>
      </c>
    </row>
    <row r="285">
      <c r="A285" s="11" t="s">
        <v>30</v>
      </c>
      <c r="B285" s="12" t="s">
        <v>77</v>
      </c>
      <c r="C285" s="13">
        <v>0.0</v>
      </c>
      <c r="D285" s="28">
        <v>5.5</v>
      </c>
      <c r="E285" s="13">
        <v>0.0</v>
      </c>
      <c r="F285" s="13">
        <v>21.0</v>
      </c>
      <c r="G285" s="13">
        <v>1.0</v>
      </c>
      <c r="H285" s="13">
        <v>29.0</v>
      </c>
      <c r="I285" s="30">
        <f t="shared" si="265"/>
        <v>-8</v>
      </c>
      <c r="J285" s="32">
        <f t="shared" si="266"/>
        <v>0.724137931</v>
      </c>
      <c r="K285" s="13">
        <v>8.0</v>
      </c>
      <c r="L285" s="13">
        <v>30.0</v>
      </c>
      <c r="M285" s="13">
        <v>1.0</v>
      </c>
      <c r="N285" s="33">
        <f t="shared" si="267"/>
        <v>5.5</v>
      </c>
      <c r="O285" s="13">
        <v>2.0</v>
      </c>
      <c r="P285" s="13">
        <v>1.0</v>
      </c>
      <c r="Q285" s="13">
        <v>0.0</v>
      </c>
      <c r="R285" s="13">
        <v>0.0</v>
      </c>
      <c r="S285" s="13">
        <v>0.0</v>
      </c>
      <c r="T285" s="13">
        <v>0.0</v>
      </c>
      <c r="U285" s="13">
        <v>0.0</v>
      </c>
      <c r="V285" s="13">
        <v>0.0</v>
      </c>
      <c r="W285" s="13">
        <v>0.0</v>
      </c>
      <c r="X285" s="13">
        <v>0.0</v>
      </c>
      <c r="Y285" s="13">
        <v>0.0</v>
      </c>
      <c r="Z285" s="13">
        <v>0.0</v>
      </c>
      <c r="AA285" s="13">
        <v>0.0</v>
      </c>
      <c r="AB285" s="13">
        <v>0.0</v>
      </c>
      <c r="AC285" s="13">
        <v>0.0</v>
      </c>
    </row>
    <row r="286">
      <c r="A286" s="34" t="s">
        <v>49</v>
      </c>
      <c r="B286" s="34"/>
      <c r="C286" s="34">
        <f>SUM(C282:C285)</f>
        <v>0</v>
      </c>
      <c r="D286" s="35">
        <f t="shared" ref="D286:E286" si="268">SUM(D282:D285)/4</f>
        <v>5.5</v>
      </c>
      <c r="E286" s="34">
        <f t="shared" si="268"/>
        <v>0</v>
      </c>
      <c r="F286" s="34">
        <f t="shared" ref="F286:H286" si="269">SUM(F282:F285)</f>
        <v>74</v>
      </c>
      <c r="G286" s="34">
        <f t="shared" si="269"/>
        <v>12</v>
      </c>
      <c r="H286" s="34">
        <f t="shared" si="269"/>
        <v>126</v>
      </c>
      <c r="I286" s="34">
        <f>SUM(F286-H286)</f>
        <v>-52</v>
      </c>
      <c r="J286" s="36">
        <f>SUM(F286/H286)</f>
        <v>0.5873015873</v>
      </c>
      <c r="K286" s="34">
        <f>SUM(K282:K285)/4</f>
        <v>7</v>
      </c>
      <c r="L286" s="34">
        <f>SUM(L282:L285)</f>
        <v>129</v>
      </c>
      <c r="M286" s="34"/>
      <c r="N286" s="35">
        <f>SUM(N282:N285)/4</f>
        <v>5.5</v>
      </c>
      <c r="O286" s="34">
        <f t="shared" ref="O286:AC286" si="270">SUM(O282:O285)</f>
        <v>8</v>
      </c>
      <c r="P286" s="34">
        <f t="shared" si="270"/>
        <v>1</v>
      </c>
      <c r="Q286" s="34">
        <f t="shared" si="270"/>
        <v>0</v>
      </c>
      <c r="R286" s="34">
        <f t="shared" si="270"/>
        <v>0</v>
      </c>
      <c r="S286" s="34">
        <f t="shared" si="270"/>
        <v>0</v>
      </c>
      <c r="T286" s="34">
        <f t="shared" si="270"/>
        <v>0</v>
      </c>
      <c r="U286" s="34">
        <f t="shared" si="270"/>
        <v>0</v>
      </c>
      <c r="V286" s="34">
        <f t="shared" si="270"/>
        <v>0</v>
      </c>
      <c r="W286" s="37">
        <f t="shared" si="270"/>
        <v>0</v>
      </c>
      <c r="X286" s="34">
        <f t="shared" si="270"/>
        <v>0</v>
      </c>
      <c r="Y286" s="34">
        <f t="shared" si="270"/>
        <v>0</v>
      </c>
      <c r="Z286" s="34">
        <f t="shared" si="270"/>
        <v>0</v>
      </c>
      <c r="AA286" s="34">
        <f t="shared" si="270"/>
        <v>0</v>
      </c>
      <c r="AB286" s="37">
        <f t="shared" si="270"/>
        <v>0</v>
      </c>
      <c r="AC286" s="37">
        <f t="shared" si="270"/>
        <v>0</v>
      </c>
    </row>
    <row r="287">
      <c r="A287" s="15" t="s">
        <v>125</v>
      </c>
    </row>
    <row r="288">
      <c r="A288" s="19"/>
      <c r="E288" s="20" t="s">
        <v>33</v>
      </c>
      <c r="K288" s="22" t="s">
        <v>35</v>
      </c>
      <c r="M288" s="23" t="s">
        <v>36</v>
      </c>
      <c r="N288" s="24" t="s">
        <v>36</v>
      </c>
    </row>
    <row r="289">
      <c r="A289" s="4" t="s">
        <v>1</v>
      </c>
      <c r="B289" s="4" t="s">
        <v>2</v>
      </c>
      <c r="C289" s="5" t="s">
        <v>4</v>
      </c>
      <c r="D289" s="6" t="s">
        <v>5</v>
      </c>
      <c r="E289" s="25" t="s">
        <v>37</v>
      </c>
      <c r="F289" s="7" t="s">
        <v>7</v>
      </c>
      <c r="G289" s="7" t="s">
        <v>8</v>
      </c>
      <c r="H289" s="7" t="s">
        <v>9</v>
      </c>
      <c r="I289" s="7" t="s">
        <v>10</v>
      </c>
      <c r="J289" s="7" t="s">
        <v>11</v>
      </c>
      <c r="K289" s="8" t="s">
        <v>12</v>
      </c>
      <c r="L289" s="8" t="s">
        <v>13</v>
      </c>
      <c r="M289" s="9" t="s">
        <v>14</v>
      </c>
      <c r="N289" s="10" t="s">
        <v>5</v>
      </c>
      <c r="O289" s="9" t="s">
        <v>15</v>
      </c>
      <c r="P289" s="9" t="s">
        <v>16</v>
      </c>
      <c r="Q289" s="9" t="s">
        <v>17</v>
      </c>
      <c r="R289" s="9" t="s">
        <v>18</v>
      </c>
      <c r="S289" s="9" t="s">
        <v>19</v>
      </c>
      <c r="T289" s="9" t="s">
        <v>20</v>
      </c>
      <c r="U289" s="9" t="s">
        <v>21</v>
      </c>
      <c r="V289" s="9" t="s">
        <v>22</v>
      </c>
      <c r="W289" s="9" t="s">
        <v>23</v>
      </c>
      <c r="X289" s="9" t="s">
        <v>24</v>
      </c>
      <c r="Y289" s="9" t="s">
        <v>25</v>
      </c>
      <c r="Z289" s="9" t="s">
        <v>26</v>
      </c>
      <c r="AA289" s="9" t="s">
        <v>27</v>
      </c>
      <c r="AB289" s="9" t="s">
        <v>28</v>
      </c>
      <c r="AC289" s="9" t="s">
        <v>29</v>
      </c>
    </row>
    <row r="290">
      <c r="A290" s="11" t="s">
        <v>38</v>
      </c>
      <c r="B290" s="12" t="s">
        <v>39</v>
      </c>
      <c r="C290" s="13">
        <v>1.0</v>
      </c>
      <c r="D290" s="28">
        <v>34.8</v>
      </c>
      <c r="E290" s="13">
        <v>0.0</v>
      </c>
      <c r="F290" s="13">
        <v>161.0</v>
      </c>
      <c r="G290" s="13">
        <v>15.0</v>
      </c>
      <c r="H290" s="13">
        <v>153.0</v>
      </c>
      <c r="I290" s="30">
        <f t="shared" ref="I290:I293" si="271">F290-H290</f>
        <v>8</v>
      </c>
      <c r="J290" s="32">
        <f t="shared" ref="J290:J293" si="272">F290/H290</f>
        <v>1.052287582</v>
      </c>
      <c r="K290" s="13">
        <v>10.0</v>
      </c>
      <c r="L290" s="13">
        <v>263.0</v>
      </c>
      <c r="M290" s="13">
        <v>1.0</v>
      </c>
      <c r="N290" s="33">
        <f t="shared" ref="N290:N293" si="273">SUM(M290*D290)</f>
        <v>34.8</v>
      </c>
      <c r="O290" s="13">
        <v>27.0</v>
      </c>
      <c r="P290" s="13">
        <v>3.0</v>
      </c>
      <c r="Q290" s="13">
        <v>0.0</v>
      </c>
      <c r="R290" s="13">
        <v>0.0</v>
      </c>
      <c r="S290" s="13">
        <v>2.0</v>
      </c>
      <c r="T290" s="13">
        <v>0.0</v>
      </c>
      <c r="U290" s="13">
        <v>0.0</v>
      </c>
      <c r="V290" s="13">
        <v>0.0</v>
      </c>
      <c r="W290" s="13">
        <v>0.0</v>
      </c>
      <c r="X290" s="13">
        <v>0.0</v>
      </c>
      <c r="Y290" s="13">
        <v>0.0</v>
      </c>
      <c r="Z290" s="13">
        <v>0.0</v>
      </c>
      <c r="AA290" s="13">
        <v>0.0</v>
      </c>
      <c r="AB290" s="13">
        <v>0.0</v>
      </c>
      <c r="AC290" s="13">
        <v>0.0</v>
      </c>
    </row>
    <row r="291">
      <c r="A291" s="11" t="s">
        <v>38</v>
      </c>
      <c r="B291" s="12" t="s">
        <v>40</v>
      </c>
      <c r="C291" s="13">
        <v>1.0</v>
      </c>
      <c r="D291" s="28">
        <v>34.8</v>
      </c>
      <c r="E291" s="13">
        <v>0.0</v>
      </c>
      <c r="F291" s="13">
        <v>190.0</v>
      </c>
      <c r="G291" s="13">
        <v>14.0</v>
      </c>
      <c r="H291" s="13">
        <v>147.0</v>
      </c>
      <c r="I291" s="30">
        <f t="shared" si="271"/>
        <v>43</v>
      </c>
      <c r="J291" s="32">
        <f t="shared" si="272"/>
        <v>1.292517007</v>
      </c>
      <c r="K291" s="13">
        <v>11.0</v>
      </c>
      <c r="L291" s="13">
        <v>312.0</v>
      </c>
      <c r="M291" s="13">
        <v>1.0</v>
      </c>
      <c r="N291" s="33">
        <f t="shared" si="273"/>
        <v>34.8</v>
      </c>
      <c r="O291" s="13">
        <v>34.0</v>
      </c>
      <c r="P291" s="13">
        <v>10.0</v>
      </c>
      <c r="Q291" s="13">
        <v>2.0</v>
      </c>
      <c r="R291" s="13">
        <v>1.0</v>
      </c>
      <c r="S291" s="13">
        <v>7.0</v>
      </c>
      <c r="T291" s="13">
        <v>0.0</v>
      </c>
      <c r="U291" s="13">
        <v>0.0</v>
      </c>
      <c r="V291" s="13">
        <v>0.0</v>
      </c>
      <c r="W291" s="13">
        <v>0.0</v>
      </c>
      <c r="X291" s="13">
        <v>0.0</v>
      </c>
      <c r="Y291" s="13">
        <v>0.0</v>
      </c>
      <c r="Z291" s="13">
        <v>0.0</v>
      </c>
      <c r="AA291" s="13">
        <v>0.0</v>
      </c>
      <c r="AB291" s="13">
        <v>0.0</v>
      </c>
      <c r="AC291" s="13">
        <v>0.0</v>
      </c>
    </row>
    <row r="292">
      <c r="A292" s="11" t="s">
        <v>38</v>
      </c>
      <c r="B292" s="12" t="s">
        <v>41</v>
      </c>
      <c r="C292" s="13">
        <v>1.0</v>
      </c>
      <c r="D292" s="28">
        <v>34.8</v>
      </c>
      <c r="E292" s="13">
        <v>0.0</v>
      </c>
      <c r="F292" s="13">
        <v>162.0</v>
      </c>
      <c r="G292" s="13">
        <v>16.0</v>
      </c>
      <c r="H292" s="13">
        <v>157.0</v>
      </c>
      <c r="I292" s="30">
        <f t="shared" si="271"/>
        <v>5</v>
      </c>
      <c r="J292" s="32">
        <f t="shared" si="272"/>
        <v>1.031847134</v>
      </c>
      <c r="K292" s="13">
        <v>10.0</v>
      </c>
      <c r="L292" s="13">
        <v>270.0</v>
      </c>
      <c r="M292" s="13">
        <v>1.0</v>
      </c>
      <c r="N292" s="33">
        <f t="shared" si="273"/>
        <v>34.8</v>
      </c>
      <c r="O292" s="13">
        <v>32.0</v>
      </c>
      <c r="P292" s="13">
        <v>6.0</v>
      </c>
      <c r="Q292" s="13">
        <v>0.0</v>
      </c>
      <c r="R292" s="13">
        <v>0.0</v>
      </c>
      <c r="S292" s="13">
        <v>4.0</v>
      </c>
      <c r="T292" s="13">
        <v>0.0</v>
      </c>
      <c r="U292" s="13">
        <v>0.0</v>
      </c>
      <c r="V292" s="13">
        <v>0.0</v>
      </c>
      <c r="W292" s="13">
        <v>0.0</v>
      </c>
      <c r="X292" s="13">
        <v>0.0</v>
      </c>
      <c r="Y292" s="13">
        <v>0.0</v>
      </c>
      <c r="Z292" s="13">
        <v>0.0</v>
      </c>
      <c r="AA292" s="13">
        <v>0.0</v>
      </c>
      <c r="AB292" s="13">
        <v>0.0</v>
      </c>
      <c r="AC292" s="13">
        <v>0.0</v>
      </c>
    </row>
    <row r="293">
      <c r="A293" s="11" t="s">
        <v>38</v>
      </c>
      <c r="B293" s="12" t="s">
        <v>43</v>
      </c>
      <c r="C293" s="13">
        <v>1.0</v>
      </c>
      <c r="D293" s="28">
        <v>34.8</v>
      </c>
      <c r="E293" s="13">
        <v>5.0</v>
      </c>
      <c r="F293" s="13">
        <v>25.0</v>
      </c>
      <c r="G293" s="13"/>
      <c r="H293" s="13">
        <v>31.0</v>
      </c>
      <c r="I293" s="30">
        <f t="shared" si="271"/>
        <v>-6</v>
      </c>
      <c r="J293" s="32">
        <f t="shared" si="272"/>
        <v>0.8064516129</v>
      </c>
      <c r="K293" s="13">
        <v>62.0</v>
      </c>
      <c r="L293" s="13">
        <v>39.0</v>
      </c>
      <c r="M293" s="13">
        <v>1.0</v>
      </c>
      <c r="N293" s="33">
        <f t="shared" si="273"/>
        <v>34.8</v>
      </c>
      <c r="O293" s="13">
        <v>1.0</v>
      </c>
      <c r="P293" s="13">
        <v>1.0</v>
      </c>
      <c r="Q293" s="13">
        <v>0.0</v>
      </c>
      <c r="R293" s="13">
        <v>0.0</v>
      </c>
      <c r="S293" s="13">
        <v>0.0</v>
      </c>
      <c r="T293" s="13">
        <v>0.0</v>
      </c>
      <c r="U293" s="13">
        <v>0.0</v>
      </c>
      <c r="V293" s="13">
        <v>0.0</v>
      </c>
      <c r="W293" s="13">
        <v>0.0</v>
      </c>
      <c r="X293" s="13">
        <v>0.0</v>
      </c>
      <c r="Y293" s="13">
        <v>0.0</v>
      </c>
      <c r="Z293" s="13">
        <v>0.0</v>
      </c>
      <c r="AA293" s="13">
        <v>0.0</v>
      </c>
      <c r="AB293" s="13">
        <v>0.0</v>
      </c>
      <c r="AC293" s="13">
        <v>0.0</v>
      </c>
    </row>
    <row r="294">
      <c r="A294" s="34"/>
      <c r="B294" s="34"/>
      <c r="C294" s="34">
        <f t="shared" ref="C294:D294" si="274">SUM(C290:C293)/4</f>
        <v>1</v>
      </c>
      <c r="D294" s="35">
        <f t="shared" si="274"/>
        <v>34.8</v>
      </c>
      <c r="E294" s="34">
        <f t="shared" ref="E294:H294" si="275">SUM(E290:E293)</f>
        <v>5</v>
      </c>
      <c r="F294" s="34">
        <f t="shared" si="275"/>
        <v>538</v>
      </c>
      <c r="G294" s="34">
        <f t="shared" si="275"/>
        <v>45</v>
      </c>
      <c r="H294" s="34">
        <f t="shared" si="275"/>
        <v>488</v>
      </c>
      <c r="I294" s="34">
        <f>SUM(F294-H294)</f>
        <v>50</v>
      </c>
      <c r="J294" s="36">
        <f>SUM(F294/H294)</f>
        <v>1.102459016</v>
      </c>
      <c r="K294" s="34">
        <f>SUM(K290:K293)/4</f>
        <v>23.25</v>
      </c>
      <c r="L294" s="34">
        <f>SUM(L290:L293)</f>
        <v>884</v>
      </c>
      <c r="M294" s="34"/>
      <c r="N294" s="35">
        <f>SUM(N290:N293)/4</f>
        <v>34.8</v>
      </c>
      <c r="O294" s="34">
        <f t="shared" ref="O294:AC294" si="276">SUM(O290:O293)</f>
        <v>94</v>
      </c>
      <c r="P294" s="34">
        <f t="shared" si="276"/>
        <v>20</v>
      </c>
      <c r="Q294" s="34">
        <f t="shared" si="276"/>
        <v>2</v>
      </c>
      <c r="R294" s="34">
        <f t="shared" si="276"/>
        <v>1</v>
      </c>
      <c r="S294" s="34">
        <f t="shared" si="276"/>
        <v>13</v>
      </c>
      <c r="T294" s="34">
        <f t="shared" si="276"/>
        <v>0</v>
      </c>
      <c r="U294" s="34">
        <f t="shared" si="276"/>
        <v>0</v>
      </c>
      <c r="V294" s="34">
        <f t="shared" si="276"/>
        <v>0</v>
      </c>
      <c r="W294" s="34">
        <f t="shared" si="276"/>
        <v>0</v>
      </c>
      <c r="X294" s="34">
        <f t="shared" si="276"/>
        <v>0</v>
      </c>
      <c r="Y294" s="34">
        <f t="shared" si="276"/>
        <v>0</v>
      </c>
      <c r="Z294" s="34">
        <f t="shared" si="276"/>
        <v>0</v>
      </c>
      <c r="AA294" s="34">
        <f t="shared" si="276"/>
        <v>0</v>
      </c>
      <c r="AB294" s="34">
        <f t="shared" si="276"/>
        <v>0</v>
      </c>
      <c r="AC294" s="34">
        <f t="shared" si="276"/>
        <v>0</v>
      </c>
    </row>
    <row r="295">
      <c r="A295" s="11" t="s">
        <v>30</v>
      </c>
      <c r="B295" s="12" t="s">
        <v>89</v>
      </c>
      <c r="C295" s="13">
        <v>0.0</v>
      </c>
      <c r="D295" s="28">
        <v>34.8</v>
      </c>
      <c r="E295" s="13">
        <v>0.0</v>
      </c>
      <c r="F295" s="13">
        <v>84.0</v>
      </c>
      <c r="G295" s="13">
        <v>6.0</v>
      </c>
      <c r="H295" s="13">
        <v>133.0</v>
      </c>
      <c r="I295" s="30">
        <f t="shared" ref="I295:I298" si="277">F295-H295</f>
        <v>-49</v>
      </c>
      <c r="J295" s="32">
        <f t="shared" ref="J295:J298" si="278">F295/H295</f>
        <v>0.6315789474</v>
      </c>
      <c r="K295" s="13">
        <v>12.0</v>
      </c>
      <c r="L295" s="13">
        <v>132.0</v>
      </c>
      <c r="M295" s="13">
        <v>1.0</v>
      </c>
      <c r="N295" s="33">
        <f t="shared" ref="N295:N298" si="279">SUM(M295*D295)</f>
        <v>34.8</v>
      </c>
      <c r="O295" s="13">
        <v>7.0</v>
      </c>
      <c r="P295" s="13">
        <v>0.0</v>
      </c>
      <c r="Q295" s="13">
        <v>0.0</v>
      </c>
      <c r="R295" s="13">
        <v>0.0</v>
      </c>
      <c r="S295" s="13">
        <v>0.0</v>
      </c>
      <c r="T295" s="13">
        <v>0.0</v>
      </c>
      <c r="U295" s="13">
        <v>0.0</v>
      </c>
      <c r="V295" s="13">
        <v>0.0</v>
      </c>
      <c r="W295" s="13">
        <v>0.0</v>
      </c>
      <c r="X295" s="13">
        <v>0.0</v>
      </c>
      <c r="Y295" s="13">
        <v>0.0</v>
      </c>
      <c r="Z295" s="13">
        <v>0.0</v>
      </c>
      <c r="AA295" s="13">
        <v>0.0</v>
      </c>
      <c r="AB295" s="13">
        <v>0.0</v>
      </c>
      <c r="AC295" s="13">
        <v>0.0</v>
      </c>
    </row>
    <row r="296">
      <c r="A296" s="11" t="s">
        <v>30</v>
      </c>
      <c r="B296" s="12" t="s">
        <v>51</v>
      </c>
      <c r="C296" s="13">
        <v>0.0</v>
      </c>
      <c r="D296" s="28">
        <v>34.8</v>
      </c>
      <c r="E296" s="13">
        <v>1.0</v>
      </c>
      <c r="F296" s="13">
        <v>152.0</v>
      </c>
      <c r="G296" s="13">
        <v>9.0</v>
      </c>
      <c r="H296" s="13">
        <v>136.0</v>
      </c>
      <c r="I296" s="30">
        <f t="shared" si="277"/>
        <v>16</v>
      </c>
      <c r="J296" s="32">
        <f t="shared" si="278"/>
        <v>1.117647059</v>
      </c>
      <c r="K296" s="13">
        <v>12.0</v>
      </c>
      <c r="L296" s="13">
        <v>249.0</v>
      </c>
      <c r="M296" s="13">
        <v>1.0</v>
      </c>
      <c r="N296" s="33">
        <f t="shared" si="279"/>
        <v>34.8</v>
      </c>
      <c r="O296" s="13">
        <v>32.0</v>
      </c>
      <c r="P296" s="13">
        <v>2.0</v>
      </c>
      <c r="Q296" s="13">
        <v>1.0</v>
      </c>
      <c r="R296" s="13">
        <v>0.0</v>
      </c>
      <c r="S296" s="13">
        <v>3.0</v>
      </c>
      <c r="T296" s="13">
        <v>0.0</v>
      </c>
      <c r="U296" s="13">
        <v>0.0</v>
      </c>
      <c r="V296" s="13">
        <v>0.0</v>
      </c>
      <c r="W296" s="13">
        <v>0.0</v>
      </c>
      <c r="X296" s="13">
        <v>0.0</v>
      </c>
      <c r="Y296" s="13">
        <v>0.0</v>
      </c>
      <c r="Z296" s="13">
        <v>0.0</v>
      </c>
      <c r="AA296" s="13">
        <v>0.0</v>
      </c>
      <c r="AB296" s="13">
        <v>0.0</v>
      </c>
      <c r="AC296" s="13">
        <v>0.0</v>
      </c>
    </row>
    <row r="297">
      <c r="A297" s="11" t="s">
        <v>30</v>
      </c>
      <c r="B297" s="12" t="s">
        <v>63</v>
      </c>
      <c r="C297" s="13">
        <v>0.0</v>
      </c>
      <c r="D297" s="28">
        <v>34.8</v>
      </c>
      <c r="E297" s="13">
        <v>0.0</v>
      </c>
      <c r="F297" s="13">
        <v>125.0</v>
      </c>
      <c r="G297" s="13">
        <v>11.0</v>
      </c>
      <c r="H297" s="13">
        <v>145.0</v>
      </c>
      <c r="I297" s="30">
        <f t="shared" si="277"/>
        <v>-20</v>
      </c>
      <c r="J297" s="32">
        <f t="shared" si="278"/>
        <v>0.8620689655</v>
      </c>
      <c r="K297" s="13">
        <v>11.0</v>
      </c>
      <c r="L297" s="13">
        <v>195.0</v>
      </c>
      <c r="M297" s="13">
        <v>1.0</v>
      </c>
      <c r="N297" s="33">
        <f t="shared" si="279"/>
        <v>34.8</v>
      </c>
      <c r="O297" s="13">
        <v>18.0</v>
      </c>
      <c r="P297" s="13">
        <v>3.0</v>
      </c>
      <c r="Q297" s="13">
        <v>1.0</v>
      </c>
      <c r="R297" s="13">
        <v>0.0</v>
      </c>
      <c r="S297" s="13">
        <v>0.0</v>
      </c>
      <c r="T297" s="13">
        <v>0.0</v>
      </c>
      <c r="U297" s="13">
        <v>0.0</v>
      </c>
      <c r="V297" s="13">
        <v>0.0</v>
      </c>
      <c r="W297" s="13">
        <v>0.0</v>
      </c>
      <c r="X297" s="13">
        <v>0.0</v>
      </c>
      <c r="Y297" s="13">
        <v>0.0</v>
      </c>
      <c r="Z297" s="13">
        <v>0.0</v>
      </c>
      <c r="AA297" s="13">
        <v>0.0</v>
      </c>
      <c r="AB297" s="13">
        <v>0.0</v>
      </c>
      <c r="AC297" s="13">
        <v>0.0</v>
      </c>
    </row>
    <row r="298">
      <c r="A298" s="11" t="s">
        <v>30</v>
      </c>
      <c r="B298" s="12" t="s">
        <v>77</v>
      </c>
      <c r="C298" s="13">
        <v>0.0</v>
      </c>
      <c r="D298" s="28">
        <v>34.8</v>
      </c>
      <c r="E298" s="13">
        <v>1.0</v>
      </c>
      <c r="F298" s="13">
        <v>108.0</v>
      </c>
      <c r="G298" s="13">
        <v>3.0</v>
      </c>
      <c r="H298" s="13">
        <v>141.0</v>
      </c>
      <c r="I298" s="30">
        <f t="shared" si="277"/>
        <v>-33</v>
      </c>
      <c r="J298" s="32">
        <f t="shared" si="278"/>
        <v>0.7659574468</v>
      </c>
      <c r="K298" s="13">
        <v>11.0</v>
      </c>
      <c r="L298" s="13">
        <v>168.0</v>
      </c>
      <c r="M298" s="13">
        <v>1.0</v>
      </c>
      <c r="N298" s="33">
        <f t="shared" si="279"/>
        <v>34.8</v>
      </c>
      <c r="O298" s="13">
        <v>10.0</v>
      </c>
      <c r="P298" s="13">
        <v>1.0</v>
      </c>
      <c r="Q298" s="13">
        <v>0.0</v>
      </c>
      <c r="R298" s="13">
        <v>0.0</v>
      </c>
      <c r="S298" s="13">
        <v>0.0</v>
      </c>
      <c r="T298" s="13">
        <v>0.0</v>
      </c>
      <c r="U298" s="13">
        <v>0.0</v>
      </c>
      <c r="V298" s="13">
        <v>0.0</v>
      </c>
      <c r="W298" s="13">
        <v>0.0</v>
      </c>
      <c r="X298" s="13">
        <v>0.0</v>
      </c>
      <c r="Y298" s="13">
        <v>0.0</v>
      </c>
      <c r="Z298" s="13">
        <v>0.0</v>
      </c>
      <c r="AA298" s="13">
        <v>0.0</v>
      </c>
      <c r="AB298" s="13">
        <v>0.0</v>
      </c>
      <c r="AC298" s="13">
        <v>0.0</v>
      </c>
    </row>
    <row r="299">
      <c r="A299" s="34" t="s">
        <v>49</v>
      </c>
      <c r="B299" s="34"/>
      <c r="C299" s="34">
        <f>SUM(C295:C298)</f>
        <v>0</v>
      </c>
      <c r="D299" s="35">
        <f t="shared" ref="D299:E299" si="280">SUM(D295:D298)/4</f>
        <v>34.8</v>
      </c>
      <c r="E299" s="34">
        <f t="shared" si="280"/>
        <v>0.5</v>
      </c>
      <c r="F299" s="34">
        <f t="shared" ref="F299:H299" si="281">SUM(F295:F298)</f>
        <v>469</v>
      </c>
      <c r="G299" s="34">
        <f t="shared" si="281"/>
        <v>29</v>
      </c>
      <c r="H299" s="34">
        <f t="shared" si="281"/>
        <v>555</v>
      </c>
      <c r="I299" s="34">
        <f>SUM(F299-H299)</f>
        <v>-86</v>
      </c>
      <c r="J299" s="36">
        <f>SUM(F299/H299)</f>
        <v>0.845045045</v>
      </c>
      <c r="K299" s="34">
        <f>SUM(K295:K298)/4</f>
        <v>11.5</v>
      </c>
      <c r="L299" s="34">
        <f>SUM(L295:L298)</f>
        <v>744</v>
      </c>
      <c r="M299" s="34"/>
      <c r="N299" s="35">
        <f>SUM(N295:N298)/4</f>
        <v>34.8</v>
      </c>
      <c r="O299" s="34">
        <f t="shared" ref="O299:AC299" si="282">SUM(O295:O298)</f>
        <v>67</v>
      </c>
      <c r="P299" s="34">
        <f t="shared" si="282"/>
        <v>6</v>
      </c>
      <c r="Q299" s="34">
        <f t="shared" si="282"/>
        <v>2</v>
      </c>
      <c r="R299" s="34">
        <f t="shared" si="282"/>
        <v>0</v>
      </c>
      <c r="S299" s="34">
        <f t="shared" si="282"/>
        <v>3</v>
      </c>
      <c r="T299" s="34">
        <f t="shared" si="282"/>
        <v>0</v>
      </c>
      <c r="U299" s="34">
        <f t="shared" si="282"/>
        <v>0</v>
      </c>
      <c r="V299" s="34">
        <f t="shared" si="282"/>
        <v>0</v>
      </c>
      <c r="W299" s="37">
        <f t="shared" si="282"/>
        <v>0</v>
      </c>
      <c r="X299" s="34">
        <f t="shared" si="282"/>
        <v>0</v>
      </c>
      <c r="Y299" s="34">
        <f t="shared" si="282"/>
        <v>0</v>
      </c>
      <c r="Z299" s="34">
        <f t="shared" si="282"/>
        <v>0</v>
      </c>
      <c r="AA299" s="34">
        <f t="shared" si="282"/>
        <v>0</v>
      </c>
      <c r="AB299" s="37">
        <f t="shared" si="282"/>
        <v>0</v>
      </c>
      <c r="AC299" s="37">
        <f t="shared" si="282"/>
        <v>0</v>
      </c>
    </row>
    <row r="300">
      <c r="A300" s="15" t="s">
        <v>126</v>
      </c>
    </row>
    <row r="301">
      <c r="A301" s="19"/>
      <c r="E301" s="20" t="s">
        <v>33</v>
      </c>
      <c r="K301" s="22" t="s">
        <v>35</v>
      </c>
      <c r="M301" s="23" t="s">
        <v>36</v>
      </c>
      <c r="N301" s="24" t="s">
        <v>36</v>
      </c>
    </row>
    <row r="302">
      <c r="A302" s="4" t="s">
        <v>1</v>
      </c>
      <c r="B302" s="4" t="s">
        <v>2</v>
      </c>
      <c r="C302" s="5" t="s">
        <v>4</v>
      </c>
      <c r="D302" s="6" t="s">
        <v>5</v>
      </c>
      <c r="E302" s="25" t="s">
        <v>37</v>
      </c>
      <c r="F302" s="7" t="s">
        <v>7</v>
      </c>
      <c r="G302" s="7" t="s">
        <v>8</v>
      </c>
      <c r="H302" s="7" t="s">
        <v>9</v>
      </c>
      <c r="I302" s="7" t="s">
        <v>10</v>
      </c>
      <c r="J302" s="7" t="s">
        <v>11</v>
      </c>
      <c r="K302" s="8" t="s">
        <v>12</v>
      </c>
      <c r="L302" s="8" t="s">
        <v>13</v>
      </c>
      <c r="M302" s="9" t="s">
        <v>14</v>
      </c>
      <c r="N302" s="10" t="s">
        <v>5</v>
      </c>
      <c r="O302" s="9" t="s">
        <v>15</v>
      </c>
      <c r="P302" s="9" t="s">
        <v>16</v>
      </c>
      <c r="Q302" s="9" t="s">
        <v>17</v>
      </c>
      <c r="R302" s="9" t="s">
        <v>18</v>
      </c>
      <c r="S302" s="9" t="s">
        <v>19</v>
      </c>
      <c r="T302" s="9" t="s">
        <v>20</v>
      </c>
      <c r="U302" s="9" t="s">
        <v>21</v>
      </c>
      <c r="V302" s="9" t="s">
        <v>22</v>
      </c>
      <c r="W302" s="9" t="s">
        <v>23</v>
      </c>
      <c r="X302" s="9" t="s">
        <v>24</v>
      </c>
      <c r="Y302" s="9" t="s">
        <v>25</v>
      </c>
      <c r="Z302" s="9" t="s">
        <v>26</v>
      </c>
      <c r="AA302" s="9" t="s">
        <v>27</v>
      </c>
      <c r="AB302" s="9" t="s">
        <v>28</v>
      </c>
      <c r="AC302" s="9" t="s">
        <v>29</v>
      </c>
    </row>
    <row r="303">
      <c r="A303" s="11" t="s">
        <v>42</v>
      </c>
      <c r="B303" s="12" t="s">
        <v>66</v>
      </c>
      <c r="C303" s="13">
        <v>1.0</v>
      </c>
      <c r="D303" s="28">
        <v>6.9</v>
      </c>
      <c r="E303" s="13">
        <v>1.0</v>
      </c>
      <c r="F303" s="13">
        <v>33.0</v>
      </c>
      <c r="G303" s="13">
        <v>4.0</v>
      </c>
      <c r="H303" s="13">
        <v>30.0</v>
      </c>
      <c r="I303" s="30">
        <f t="shared" ref="I303:I306" si="283">F303-H303</f>
        <v>3</v>
      </c>
      <c r="J303" s="32">
        <f t="shared" ref="J303:J306" si="284">F303/H303</f>
        <v>1.1</v>
      </c>
      <c r="K303" s="13">
        <v>10.0</v>
      </c>
      <c r="L303" s="13">
        <v>53.0</v>
      </c>
      <c r="M303" s="13">
        <v>1.0</v>
      </c>
      <c r="N303" s="33">
        <f t="shared" ref="N303:N306" si="285">SUM(M303*D303)</f>
        <v>6.9</v>
      </c>
      <c r="O303" s="13">
        <v>6.0</v>
      </c>
      <c r="P303" s="13">
        <v>2.0</v>
      </c>
      <c r="Q303" s="13">
        <v>0.0</v>
      </c>
      <c r="R303" s="13">
        <v>0.0</v>
      </c>
      <c r="S303" s="13">
        <v>1.0</v>
      </c>
      <c r="T303" s="13">
        <v>0.0</v>
      </c>
      <c r="U303" s="13">
        <v>0.0</v>
      </c>
      <c r="V303" s="13">
        <v>0.0</v>
      </c>
      <c r="W303" s="13">
        <v>0.0</v>
      </c>
      <c r="X303" s="13">
        <v>0.0</v>
      </c>
      <c r="Y303" s="13">
        <v>0.0</v>
      </c>
      <c r="Z303" s="13">
        <v>0.0</v>
      </c>
      <c r="AA303" s="13">
        <v>0.0</v>
      </c>
      <c r="AB303" s="13">
        <v>0.0</v>
      </c>
      <c r="AC303" s="13">
        <v>0.0</v>
      </c>
    </row>
    <row r="304">
      <c r="A304" s="11" t="s">
        <v>42</v>
      </c>
      <c r="B304" s="12" t="s">
        <v>67</v>
      </c>
      <c r="C304" s="13">
        <v>1.0</v>
      </c>
      <c r="D304" s="28">
        <v>6.9</v>
      </c>
      <c r="E304" s="13">
        <v>3.0</v>
      </c>
      <c r="F304" s="13">
        <v>18.0</v>
      </c>
      <c r="G304" s="13">
        <v>3.0</v>
      </c>
      <c r="H304" s="13">
        <v>18.0</v>
      </c>
      <c r="I304" s="30">
        <f t="shared" si="283"/>
        <v>0</v>
      </c>
      <c r="J304" s="32">
        <f t="shared" si="284"/>
        <v>1</v>
      </c>
      <c r="K304" s="13">
        <v>19.0</v>
      </c>
      <c r="L304" s="13">
        <v>33.0</v>
      </c>
      <c r="M304" s="13">
        <v>1.0</v>
      </c>
      <c r="N304" s="33">
        <f t="shared" si="285"/>
        <v>6.9</v>
      </c>
      <c r="O304" s="13">
        <v>3.0</v>
      </c>
      <c r="P304" s="13">
        <v>0.0</v>
      </c>
      <c r="Q304" s="13">
        <v>0.0</v>
      </c>
      <c r="R304" s="13">
        <v>0.0</v>
      </c>
      <c r="S304" s="13">
        <v>0.0</v>
      </c>
      <c r="T304" s="13">
        <v>0.0</v>
      </c>
      <c r="U304" s="13">
        <v>0.0</v>
      </c>
      <c r="V304" s="13">
        <v>0.0</v>
      </c>
      <c r="W304" s="13">
        <v>0.0</v>
      </c>
      <c r="X304" s="13">
        <v>0.0</v>
      </c>
      <c r="Y304" s="13">
        <v>0.0</v>
      </c>
      <c r="Z304" s="13">
        <v>0.0</v>
      </c>
      <c r="AA304" s="13">
        <v>0.0</v>
      </c>
      <c r="AB304" s="13">
        <v>0.0</v>
      </c>
      <c r="AC304" s="13">
        <v>0.0</v>
      </c>
    </row>
    <row r="305">
      <c r="A305" s="11" t="s">
        <v>42</v>
      </c>
      <c r="B305" s="12" t="s">
        <v>68</v>
      </c>
      <c r="C305" s="13">
        <v>1.0</v>
      </c>
      <c r="D305" s="28">
        <v>6.9</v>
      </c>
      <c r="E305" s="13">
        <v>1.0</v>
      </c>
      <c r="F305" s="13">
        <v>36.0</v>
      </c>
      <c r="G305" s="13">
        <v>3.0</v>
      </c>
      <c r="H305" s="13">
        <v>26.0</v>
      </c>
      <c r="I305" s="30">
        <f t="shared" si="283"/>
        <v>10</v>
      </c>
      <c r="J305" s="32">
        <f t="shared" si="284"/>
        <v>1.384615385</v>
      </c>
      <c r="K305" s="13">
        <v>12.0</v>
      </c>
      <c r="L305" s="13">
        <v>58.0</v>
      </c>
      <c r="M305" s="13">
        <v>1.0</v>
      </c>
      <c r="N305" s="33">
        <f t="shared" si="285"/>
        <v>6.9</v>
      </c>
      <c r="O305" s="13">
        <v>7.0</v>
      </c>
      <c r="P305" s="13">
        <v>2.0</v>
      </c>
      <c r="Q305" s="13">
        <v>1.0</v>
      </c>
      <c r="R305" s="13">
        <v>1.0</v>
      </c>
      <c r="S305" s="13">
        <v>1.0</v>
      </c>
      <c r="T305" s="13">
        <v>0.0</v>
      </c>
      <c r="U305" s="13">
        <v>0.0</v>
      </c>
      <c r="V305" s="13">
        <v>0.0</v>
      </c>
      <c r="W305" s="13">
        <v>0.0</v>
      </c>
      <c r="X305" s="13">
        <v>0.0</v>
      </c>
      <c r="Y305" s="13">
        <v>0.0</v>
      </c>
      <c r="Z305" s="13">
        <v>0.0</v>
      </c>
      <c r="AA305" s="13">
        <v>0.0</v>
      </c>
      <c r="AB305" s="13">
        <v>0.0</v>
      </c>
      <c r="AC305" s="13">
        <v>0.0</v>
      </c>
    </row>
    <row r="306">
      <c r="A306" s="11" t="s">
        <v>42</v>
      </c>
      <c r="B306" s="12" t="s">
        <v>69</v>
      </c>
      <c r="C306" s="13">
        <v>1.0</v>
      </c>
      <c r="D306" s="28">
        <v>6.9</v>
      </c>
      <c r="E306" s="13">
        <v>0.0</v>
      </c>
      <c r="F306" s="13">
        <v>39.0</v>
      </c>
      <c r="G306" s="13">
        <v>2.0</v>
      </c>
      <c r="H306" s="13">
        <v>31.0</v>
      </c>
      <c r="I306" s="30">
        <f t="shared" si="283"/>
        <v>8</v>
      </c>
      <c r="J306" s="32">
        <f t="shared" si="284"/>
        <v>1.258064516</v>
      </c>
      <c r="K306" s="13">
        <v>10.0</v>
      </c>
      <c r="L306" s="13">
        <v>71.0</v>
      </c>
      <c r="M306" s="13">
        <v>1.0</v>
      </c>
      <c r="N306" s="33">
        <f t="shared" si="285"/>
        <v>6.9</v>
      </c>
      <c r="O306" s="13">
        <v>11.0</v>
      </c>
      <c r="P306" s="13">
        <v>4.0</v>
      </c>
      <c r="Q306" s="13">
        <v>0.0</v>
      </c>
      <c r="R306" s="13">
        <v>0.0</v>
      </c>
      <c r="S306" s="13">
        <v>1.0</v>
      </c>
      <c r="T306" s="13">
        <v>0.0</v>
      </c>
      <c r="U306" s="13">
        <v>0.0</v>
      </c>
      <c r="V306" s="13">
        <v>0.0</v>
      </c>
      <c r="W306" s="13">
        <v>0.0</v>
      </c>
      <c r="X306" s="13">
        <v>0.0</v>
      </c>
      <c r="Y306" s="13">
        <v>0.0</v>
      </c>
      <c r="Z306" s="13">
        <v>0.0</v>
      </c>
      <c r="AA306" s="13">
        <v>0.0</v>
      </c>
      <c r="AB306" s="13">
        <v>0.0</v>
      </c>
      <c r="AC306" s="13">
        <v>0.0</v>
      </c>
    </row>
    <row r="307">
      <c r="A307" s="34"/>
      <c r="B307" s="34"/>
      <c r="C307" s="34">
        <f t="shared" ref="C307:D307" si="286">SUM(C303:C306)/4</f>
        <v>1</v>
      </c>
      <c r="D307" s="35">
        <f t="shared" si="286"/>
        <v>6.9</v>
      </c>
      <c r="E307" s="34">
        <f t="shared" ref="E307:H307" si="287">SUM(E303:E306)</f>
        <v>5</v>
      </c>
      <c r="F307" s="34">
        <f t="shared" si="287"/>
        <v>126</v>
      </c>
      <c r="G307" s="34">
        <f t="shared" si="287"/>
        <v>12</v>
      </c>
      <c r="H307" s="34">
        <f t="shared" si="287"/>
        <v>105</v>
      </c>
      <c r="I307" s="34">
        <f>SUM(F307-H307)</f>
        <v>21</v>
      </c>
      <c r="J307" s="36">
        <f>SUM(F307/H307)</f>
        <v>1.2</v>
      </c>
      <c r="K307" s="34">
        <f>SUM(K303:K306)/4</f>
        <v>12.75</v>
      </c>
      <c r="L307" s="34">
        <f>SUM(L303:L306)</f>
        <v>215</v>
      </c>
      <c r="M307" s="34"/>
      <c r="N307" s="35">
        <f>SUM(N303:N306)/4</f>
        <v>6.9</v>
      </c>
      <c r="O307" s="34">
        <f t="shared" ref="O307:AC307" si="288">SUM(O303:O306)</f>
        <v>27</v>
      </c>
      <c r="P307" s="34">
        <f t="shared" si="288"/>
        <v>8</v>
      </c>
      <c r="Q307" s="34">
        <f t="shared" si="288"/>
        <v>1</v>
      </c>
      <c r="R307" s="34">
        <f t="shared" si="288"/>
        <v>1</v>
      </c>
      <c r="S307" s="34">
        <f t="shared" si="288"/>
        <v>3</v>
      </c>
      <c r="T307" s="34">
        <f t="shared" si="288"/>
        <v>0</v>
      </c>
      <c r="U307" s="34">
        <f t="shared" si="288"/>
        <v>0</v>
      </c>
      <c r="V307" s="34">
        <f t="shared" si="288"/>
        <v>0</v>
      </c>
      <c r="W307" s="34">
        <f t="shared" si="288"/>
        <v>0</v>
      </c>
      <c r="X307" s="34">
        <f t="shared" si="288"/>
        <v>0</v>
      </c>
      <c r="Y307" s="34">
        <f t="shared" si="288"/>
        <v>0</v>
      </c>
      <c r="Z307" s="34">
        <f t="shared" si="288"/>
        <v>0</v>
      </c>
      <c r="AA307" s="34">
        <f t="shared" si="288"/>
        <v>0</v>
      </c>
      <c r="AB307" s="34">
        <f t="shared" si="288"/>
        <v>0</v>
      </c>
      <c r="AC307" s="34">
        <f t="shared" si="288"/>
        <v>0</v>
      </c>
    </row>
    <row r="308">
      <c r="A308" s="11" t="s">
        <v>38</v>
      </c>
      <c r="B308" s="12" t="s">
        <v>39</v>
      </c>
      <c r="C308" s="13">
        <v>0.0</v>
      </c>
      <c r="D308" s="28">
        <v>6.9</v>
      </c>
      <c r="E308" s="13">
        <v>0.0</v>
      </c>
      <c r="F308" s="13">
        <v>22.0</v>
      </c>
      <c r="G308" s="13">
        <v>2.0</v>
      </c>
      <c r="H308" s="13">
        <v>37.0</v>
      </c>
      <c r="I308" s="30">
        <f t="shared" ref="I308:I311" si="289">F308-H308</f>
        <v>-15</v>
      </c>
      <c r="J308" s="32">
        <f t="shared" ref="J308:J311" si="290">F308/H308</f>
        <v>0.5945945946</v>
      </c>
      <c r="K308" s="13">
        <v>8.0</v>
      </c>
      <c r="L308" s="13">
        <v>38.0</v>
      </c>
      <c r="M308" s="13">
        <v>1.0</v>
      </c>
      <c r="N308" s="33">
        <f t="shared" ref="N308:N311" si="291">SUM(M308*D308)</f>
        <v>6.9</v>
      </c>
      <c r="O308" s="13">
        <v>2.0</v>
      </c>
      <c r="P308" s="13">
        <v>0.0</v>
      </c>
      <c r="Q308" s="13">
        <v>0.0</v>
      </c>
      <c r="R308" s="13">
        <v>0.0</v>
      </c>
      <c r="S308" s="13">
        <v>0.0</v>
      </c>
      <c r="T308" s="13">
        <v>0.0</v>
      </c>
      <c r="U308" s="13">
        <v>0.0</v>
      </c>
      <c r="V308" s="13">
        <v>0.0</v>
      </c>
      <c r="W308" s="13">
        <v>0.0</v>
      </c>
      <c r="X308" s="13">
        <v>0.0</v>
      </c>
      <c r="Y308" s="13">
        <v>0.0</v>
      </c>
      <c r="Z308" s="13">
        <v>0.0</v>
      </c>
      <c r="AA308" s="13">
        <v>0.0</v>
      </c>
      <c r="AB308" s="13">
        <v>0.0</v>
      </c>
      <c r="AC308" s="13">
        <v>0.0</v>
      </c>
    </row>
    <row r="309">
      <c r="A309" s="11" t="s">
        <v>38</v>
      </c>
      <c r="B309" s="12" t="s">
        <v>40</v>
      </c>
      <c r="C309" s="13">
        <v>0.0</v>
      </c>
      <c r="D309" s="28">
        <v>6.9</v>
      </c>
      <c r="E309" s="13">
        <v>1.0</v>
      </c>
      <c r="F309" s="13">
        <v>25.0</v>
      </c>
      <c r="G309" s="13">
        <v>1.0</v>
      </c>
      <c r="H309" s="13">
        <v>33.0</v>
      </c>
      <c r="I309" s="30">
        <f t="shared" si="289"/>
        <v>-8</v>
      </c>
      <c r="J309" s="32">
        <f t="shared" si="290"/>
        <v>0.7575757576</v>
      </c>
      <c r="K309" s="13">
        <v>9.0</v>
      </c>
      <c r="L309" s="13">
        <v>43.0</v>
      </c>
      <c r="M309" s="13">
        <v>1.0</v>
      </c>
      <c r="N309" s="33">
        <f t="shared" si="291"/>
        <v>6.9</v>
      </c>
      <c r="O309" s="13">
        <v>4.0</v>
      </c>
      <c r="P309" s="13">
        <v>0.0</v>
      </c>
      <c r="Q309" s="13">
        <v>0.0</v>
      </c>
      <c r="R309" s="13">
        <v>0.0</v>
      </c>
      <c r="S309" s="13">
        <v>0.0</v>
      </c>
      <c r="T309" s="13">
        <v>0.0</v>
      </c>
      <c r="U309" s="13">
        <v>0.0</v>
      </c>
      <c r="V309" s="13">
        <v>0.0</v>
      </c>
      <c r="W309" s="13">
        <v>0.0</v>
      </c>
      <c r="X309" s="13">
        <v>0.0</v>
      </c>
      <c r="Y309" s="13">
        <v>0.0</v>
      </c>
      <c r="Z309" s="13">
        <v>0.0</v>
      </c>
      <c r="AA309" s="13">
        <v>0.0</v>
      </c>
      <c r="AB309" s="13">
        <v>0.0</v>
      </c>
      <c r="AC309" s="13">
        <v>0.0</v>
      </c>
    </row>
    <row r="310">
      <c r="A310" s="11" t="s">
        <v>38</v>
      </c>
      <c r="B310" s="12" t="s">
        <v>41</v>
      </c>
      <c r="C310" s="13">
        <v>0.0</v>
      </c>
      <c r="D310" s="28">
        <v>6.9</v>
      </c>
      <c r="E310" s="13">
        <v>0.0</v>
      </c>
      <c r="F310" s="13">
        <v>28.0</v>
      </c>
      <c r="G310" s="13">
        <v>2.0</v>
      </c>
      <c r="H310" s="13">
        <v>41.0</v>
      </c>
      <c r="I310" s="30">
        <f t="shared" si="289"/>
        <v>-13</v>
      </c>
      <c r="J310" s="32">
        <f t="shared" si="290"/>
        <v>0.6829268293</v>
      </c>
      <c r="K310" s="13">
        <v>7.0</v>
      </c>
      <c r="L310" s="13">
        <v>41.0</v>
      </c>
      <c r="M310" s="13">
        <v>1.0</v>
      </c>
      <c r="N310" s="33">
        <f t="shared" si="291"/>
        <v>6.9</v>
      </c>
      <c r="O310" s="13">
        <v>5.0</v>
      </c>
      <c r="P310" s="13">
        <v>2.0</v>
      </c>
      <c r="Q310" s="13">
        <v>0.0</v>
      </c>
      <c r="R310" s="13">
        <v>0.0</v>
      </c>
      <c r="S310" s="13">
        <v>0.0</v>
      </c>
      <c r="T310" s="13">
        <v>0.0</v>
      </c>
      <c r="U310" s="13">
        <v>0.0</v>
      </c>
      <c r="V310" s="13">
        <v>0.0</v>
      </c>
      <c r="W310" s="13">
        <v>0.0</v>
      </c>
      <c r="X310" s="13">
        <v>0.0</v>
      </c>
      <c r="Y310" s="13">
        <v>0.0</v>
      </c>
      <c r="Z310" s="13">
        <v>0.0</v>
      </c>
      <c r="AA310" s="13">
        <v>0.0</v>
      </c>
      <c r="AB310" s="13">
        <v>0.0</v>
      </c>
      <c r="AC310" s="13">
        <v>0.0</v>
      </c>
    </row>
    <row r="311">
      <c r="A311" s="11" t="s">
        <v>38</v>
      </c>
      <c r="B311" s="12" t="s">
        <v>43</v>
      </c>
      <c r="C311" s="13">
        <v>0.0</v>
      </c>
      <c r="D311" s="28">
        <v>6.9</v>
      </c>
      <c r="E311" s="13">
        <v>1.0</v>
      </c>
      <c r="F311" s="13">
        <v>13.0</v>
      </c>
      <c r="G311" s="13">
        <v>0.0</v>
      </c>
      <c r="H311" s="13">
        <v>30.0</v>
      </c>
      <c r="I311" s="30">
        <f t="shared" si="289"/>
        <v>-17</v>
      </c>
      <c r="J311" s="32">
        <f t="shared" si="290"/>
        <v>0.4333333333</v>
      </c>
      <c r="K311" s="13">
        <v>10.0</v>
      </c>
      <c r="L311" s="13">
        <v>16.0</v>
      </c>
      <c r="M311" s="13">
        <v>1.0</v>
      </c>
      <c r="N311" s="33">
        <f t="shared" si="291"/>
        <v>6.9</v>
      </c>
      <c r="O311" s="13">
        <v>0.0</v>
      </c>
      <c r="P311" s="13">
        <v>0.0</v>
      </c>
      <c r="Q311" s="13">
        <v>0.0</v>
      </c>
      <c r="R311" s="13">
        <v>0.0</v>
      </c>
      <c r="S311" s="13">
        <v>0.0</v>
      </c>
      <c r="T311" s="13">
        <v>0.0</v>
      </c>
      <c r="U311" s="13">
        <v>0.0</v>
      </c>
      <c r="V311" s="13">
        <v>0.0</v>
      </c>
      <c r="W311" s="13">
        <v>0.0</v>
      </c>
      <c r="X311" s="13">
        <v>0.0</v>
      </c>
      <c r="Y311" s="13">
        <v>0.0</v>
      </c>
      <c r="Z311" s="13">
        <v>0.0</v>
      </c>
      <c r="AA311" s="13">
        <v>0.0</v>
      </c>
      <c r="AB311" s="13">
        <v>0.0</v>
      </c>
      <c r="AC311" s="13">
        <v>0.0</v>
      </c>
    </row>
    <row r="312">
      <c r="A312" s="34" t="s">
        <v>49</v>
      </c>
      <c r="B312" s="34"/>
      <c r="C312" s="34">
        <f>SUM(C308:C311)</f>
        <v>0</v>
      </c>
      <c r="D312" s="35">
        <f t="shared" ref="D312:E312" si="292">SUM(D308:D311)/4</f>
        <v>6.9</v>
      </c>
      <c r="E312" s="34">
        <f t="shared" si="292"/>
        <v>0.5</v>
      </c>
      <c r="F312" s="34">
        <f t="shared" ref="F312:H312" si="293">SUM(F308:F311)</f>
        <v>88</v>
      </c>
      <c r="G312" s="34">
        <f t="shared" si="293"/>
        <v>5</v>
      </c>
      <c r="H312" s="34">
        <f t="shared" si="293"/>
        <v>141</v>
      </c>
      <c r="I312" s="34">
        <f>SUM(F312-H312)</f>
        <v>-53</v>
      </c>
      <c r="J312" s="36">
        <f>SUM(F312/H312)</f>
        <v>0.6241134752</v>
      </c>
      <c r="K312" s="34">
        <f>SUM(K308:K311)/4</f>
        <v>8.5</v>
      </c>
      <c r="L312" s="34">
        <f>SUM(L308:L311)</f>
        <v>138</v>
      </c>
      <c r="M312" s="34"/>
      <c r="N312" s="35">
        <f>SUM(N308:N311)/4</f>
        <v>6.9</v>
      </c>
      <c r="O312" s="34">
        <f t="shared" ref="O312:AC312" si="294">SUM(O308:O311)</f>
        <v>11</v>
      </c>
      <c r="P312" s="34">
        <f t="shared" si="294"/>
        <v>2</v>
      </c>
      <c r="Q312" s="34">
        <f t="shared" si="294"/>
        <v>0</v>
      </c>
      <c r="R312" s="34">
        <f t="shared" si="294"/>
        <v>0</v>
      </c>
      <c r="S312" s="34">
        <f t="shared" si="294"/>
        <v>0</v>
      </c>
      <c r="T312" s="34">
        <f t="shared" si="294"/>
        <v>0</v>
      </c>
      <c r="U312" s="34">
        <f t="shared" si="294"/>
        <v>0</v>
      </c>
      <c r="V312" s="34">
        <f t="shared" si="294"/>
        <v>0</v>
      </c>
      <c r="W312" s="37">
        <f t="shared" si="294"/>
        <v>0</v>
      </c>
      <c r="X312" s="34">
        <f t="shared" si="294"/>
        <v>0</v>
      </c>
      <c r="Y312" s="34">
        <f t="shared" si="294"/>
        <v>0</v>
      </c>
      <c r="Z312" s="34">
        <f t="shared" si="294"/>
        <v>0</v>
      </c>
      <c r="AA312" s="34">
        <f t="shared" si="294"/>
        <v>0</v>
      </c>
      <c r="AB312" s="37">
        <f t="shared" si="294"/>
        <v>0</v>
      </c>
      <c r="AC312" s="37">
        <f t="shared" si="294"/>
        <v>0</v>
      </c>
    </row>
  </sheetData>
  <mergeCells count="120">
    <mergeCell ref="A66:AC66"/>
    <mergeCell ref="A67:D67"/>
    <mergeCell ref="E67:J67"/>
    <mergeCell ref="K67:L67"/>
    <mergeCell ref="N67:AC67"/>
    <mergeCell ref="A79:AC79"/>
    <mergeCell ref="A80:D80"/>
    <mergeCell ref="N80:AC80"/>
    <mergeCell ref="A92:AC92"/>
    <mergeCell ref="A93:D93"/>
    <mergeCell ref="E93:J93"/>
    <mergeCell ref="K93:L93"/>
    <mergeCell ref="N93:AC93"/>
    <mergeCell ref="A105:AC105"/>
    <mergeCell ref="K119:L119"/>
    <mergeCell ref="N119:AC119"/>
    <mergeCell ref="A106:D106"/>
    <mergeCell ref="E106:J106"/>
    <mergeCell ref="K106:L106"/>
    <mergeCell ref="N106:AC106"/>
    <mergeCell ref="A118:AC118"/>
    <mergeCell ref="A119:D119"/>
    <mergeCell ref="E119:J119"/>
    <mergeCell ref="E15:J15"/>
    <mergeCell ref="K15:L15"/>
    <mergeCell ref="A1:AC1"/>
    <mergeCell ref="A2:D2"/>
    <mergeCell ref="E2:J2"/>
    <mergeCell ref="K2:L2"/>
    <mergeCell ref="N2:AC2"/>
    <mergeCell ref="A14:AC14"/>
    <mergeCell ref="A15:D15"/>
    <mergeCell ref="N15:AC15"/>
    <mergeCell ref="A27:AC27"/>
    <mergeCell ref="A28:D28"/>
    <mergeCell ref="E28:J28"/>
    <mergeCell ref="K28:L28"/>
    <mergeCell ref="N28:AC28"/>
    <mergeCell ref="A40:AC40"/>
    <mergeCell ref="K54:L54"/>
    <mergeCell ref="N54:AC54"/>
    <mergeCell ref="A41:D41"/>
    <mergeCell ref="E41:J41"/>
    <mergeCell ref="K41:L41"/>
    <mergeCell ref="N41:AC41"/>
    <mergeCell ref="A53:AC53"/>
    <mergeCell ref="A54:D54"/>
    <mergeCell ref="E54:J54"/>
    <mergeCell ref="E80:J80"/>
    <mergeCell ref="K80:L80"/>
    <mergeCell ref="E145:J145"/>
    <mergeCell ref="K145:L145"/>
    <mergeCell ref="K249:L249"/>
    <mergeCell ref="N249:AC249"/>
    <mergeCell ref="A236:D236"/>
    <mergeCell ref="E236:J236"/>
    <mergeCell ref="K236:L236"/>
    <mergeCell ref="N236:AC236"/>
    <mergeCell ref="A248:AC248"/>
    <mergeCell ref="A249:D249"/>
    <mergeCell ref="E249:J249"/>
    <mergeCell ref="E275:J275"/>
    <mergeCell ref="K275:L275"/>
    <mergeCell ref="A261:AC261"/>
    <mergeCell ref="A262:D262"/>
    <mergeCell ref="E262:J262"/>
    <mergeCell ref="K262:L262"/>
    <mergeCell ref="N262:AC262"/>
    <mergeCell ref="A274:AC274"/>
    <mergeCell ref="A275:D275"/>
    <mergeCell ref="A301:D301"/>
    <mergeCell ref="E301:J301"/>
    <mergeCell ref="K301:L301"/>
    <mergeCell ref="N301:AC301"/>
    <mergeCell ref="N275:AC275"/>
    <mergeCell ref="A287:AC287"/>
    <mergeCell ref="A288:D288"/>
    <mergeCell ref="E288:J288"/>
    <mergeCell ref="K288:L288"/>
    <mergeCell ref="N288:AC288"/>
    <mergeCell ref="A300:AC300"/>
    <mergeCell ref="A131:AC131"/>
    <mergeCell ref="A132:D132"/>
    <mergeCell ref="E132:J132"/>
    <mergeCell ref="K132:L132"/>
    <mergeCell ref="N132:AC132"/>
    <mergeCell ref="A144:AC144"/>
    <mergeCell ref="A145:D145"/>
    <mergeCell ref="N145:AC145"/>
    <mergeCell ref="A157:AC157"/>
    <mergeCell ref="A158:D158"/>
    <mergeCell ref="E158:J158"/>
    <mergeCell ref="K158:L158"/>
    <mergeCell ref="N158:AC158"/>
    <mergeCell ref="A170:AC170"/>
    <mergeCell ref="K184:L184"/>
    <mergeCell ref="N184:AC184"/>
    <mergeCell ref="A171:D171"/>
    <mergeCell ref="E171:J171"/>
    <mergeCell ref="K171:L171"/>
    <mergeCell ref="N171:AC171"/>
    <mergeCell ref="A183:AC183"/>
    <mergeCell ref="A184:D184"/>
    <mergeCell ref="E184:J184"/>
    <mergeCell ref="E210:J210"/>
    <mergeCell ref="K210:L210"/>
    <mergeCell ref="A196:AC196"/>
    <mergeCell ref="A197:D197"/>
    <mergeCell ref="E197:J197"/>
    <mergeCell ref="K197:L197"/>
    <mergeCell ref="N197:AC197"/>
    <mergeCell ref="A209:AC209"/>
    <mergeCell ref="A210:D210"/>
    <mergeCell ref="N210:AC210"/>
    <mergeCell ref="A222:AC222"/>
    <mergeCell ref="A223:D223"/>
    <mergeCell ref="E223:J223"/>
    <mergeCell ref="K223:L223"/>
    <mergeCell ref="N223:AC223"/>
    <mergeCell ref="A235:AC235"/>
  </mergeCells>
  <drawing r:id="rId1"/>
</worksheet>
</file>