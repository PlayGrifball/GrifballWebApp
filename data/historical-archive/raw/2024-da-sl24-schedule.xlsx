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Sheet" sheetId="1" r:id="rId4"/>
    <sheet state="visible" name="Alternate Draft Sheet" sheetId="2" r:id="rId5"/>
    <sheet state="visible" name="Schedule ListStandings" sheetId="3" r:id="rId6"/>
    <sheet state="hidden" name="Sheet5" sheetId="4" r:id="rId7"/>
    <sheet state="visible" name="Game History" sheetId="5" r:id="rId8"/>
    <sheet state="visible" name="Playoffs" sheetId="6" r:id="rId9"/>
  </sheets>
  <definedNames>
    <definedName hidden="1" localSheetId="2" name="_xlnm._FilterDatabase">'Schedule ListStandings'!$H$2:$J$14</definedName>
  </definedNames>
  <calcPr/>
  <extLst>
    <ext uri="GoogleSheetsCustomDataVersion2">
      <go:sheetsCustomData xmlns:go="http://customooxmlschemas.google.com/" r:id="rId10" roundtripDataChecksum="OwEyuA1zaRwDgwyKbNe3hby2Qp/3jkw12TVeEA7R1R4="/>
    </ext>
  </extLst>
</workbook>
</file>

<file path=xl/sharedStrings.xml><?xml version="1.0" encoding="utf-8"?>
<sst xmlns="http://schemas.openxmlformats.org/spreadsheetml/2006/main" count="1661" uniqueCount="651">
  <si>
    <t>HALO INFINITE SPRING LEAGUE 2024 GRIFBALL SEASON</t>
  </si>
  <si>
    <t>Season Standings</t>
  </si>
  <si>
    <t>Playoffs</t>
  </si>
  <si>
    <t>Team Name: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</si>
  <si>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</si>
  <si>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</si>
  <si>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</si>
  <si>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</si>
  <si>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</si>
  <si>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</si>
  <si>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 (WINNER)</t>
  </si>
  <si>
    <t>Skill Diff</t>
  </si>
  <si>
    <t>GET SHREKT</t>
  </si>
  <si>
    <t>Separate Intelligence</t>
  </si>
  <si>
    <t>Paradox Warriors</t>
  </si>
  <si>
    <t>Moist grapefruit</t>
  </si>
  <si>
    <t>Captain:</t>
  </si>
  <si>
    <t>commandstation</t>
  </si>
  <si>
    <t>DMar7in69</t>
  </si>
  <si>
    <t>Sauted Smurf</t>
  </si>
  <si>
    <t>NecessaryEvil10</t>
  </si>
  <si>
    <t>Deathcrawller</t>
  </si>
  <si>
    <t>PsyDucky54</t>
  </si>
  <si>
    <t>iNF3ktioN</t>
  </si>
  <si>
    <t>KDSkill</t>
  </si>
  <si>
    <t>ill shrek u</t>
  </si>
  <si>
    <t>Dhlyn</t>
  </si>
  <si>
    <t>PoisonxPoptart</t>
  </si>
  <si>
    <t xml:space="preserve">IxGingy </t>
  </si>
  <si>
    <t>1st Round:</t>
  </si>
  <si>
    <t>MysticalNovice</t>
  </si>
  <si>
    <t>Ace B S1lentND1</t>
  </si>
  <si>
    <t>ASpence501</t>
  </si>
  <si>
    <t>Fanciest Pants</t>
  </si>
  <si>
    <t>Solace VIII</t>
  </si>
  <si>
    <t>Mavbrid</t>
  </si>
  <si>
    <t>SPANKTR0N</t>
  </si>
  <si>
    <t>Sabasauros rex</t>
  </si>
  <si>
    <t xml:space="preserve">Papasnipezx </t>
  </si>
  <si>
    <t>Scullen cx</t>
  </si>
  <si>
    <t>Sherbetshake</t>
  </si>
  <si>
    <t>Icey Tanker</t>
  </si>
  <si>
    <t>2nd Round:</t>
  </si>
  <si>
    <t>oh zilly</t>
  </si>
  <si>
    <t>Invayda Zim</t>
  </si>
  <si>
    <t>TommyWestSide</t>
  </si>
  <si>
    <t>TJP37</t>
  </si>
  <si>
    <t>Chemical</t>
  </si>
  <si>
    <t>DCleak</t>
  </si>
  <si>
    <t>Hells Angel cx</t>
  </si>
  <si>
    <t>MuNgO PuNgO</t>
  </si>
  <si>
    <t xml:space="preserve">Cosmos5024 </t>
  </si>
  <si>
    <t>Its Rainin Menz</t>
  </si>
  <si>
    <t>Inactive Spoon</t>
  </si>
  <si>
    <t>Mr epic beast</t>
  </si>
  <si>
    <t>3rd Round:</t>
  </si>
  <si>
    <t>CaptainSev004</t>
  </si>
  <si>
    <t xml:space="preserve">NOPLEX </t>
  </si>
  <si>
    <t>Grunt Padre</t>
  </si>
  <si>
    <t>Reyas</t>
  </si>
  <si>
    <t>Doerstopper</t>
  </si>
  <si>
    <t>IReign 77</t>
  </si>
  <si>
    <t>AwareMosquito</t>
  </si>
  <si>
    <t>Listless DK</t>
  </si>
  <si>
    <t>TcT AVENGER</t>
  </si>
  <si>
    <t>El Diablo X230X</t>
  </si>
  <si>
    <t>I iTz Bear I</t>
  </si>
  <si>
    <t>JOEPRO v2</t>
  </si>
  <si>
    <t>4th Round:</t>
  </si>
  <si>
    <t>GamezoWinselot</t>
  </si>
  <si>
    <t>Trespa5s</t>
  </si>
  <si>
    <t>OREOTHECAT5618</t>
  </si>
  <si>
    <t>Draft Pool</t>
  </si>
  <si>
    <t>Captains</t>
  </si>
  <si>
    <t xml:space="preserve"> </t>
  </si>
  <si>
    <t>Gamertag</t>
  </si>
  <si>
    <t>Skill Estimate</t>
  </si>
  <si>
    <t>Last Season</t>
  </si>
  <si>
    <t>Region</t>
  </si>
  <si>
    <t>Experience:</t>
  </si>
  <si>
    <t>S</t>
  </si>
  <si>
    <t>Central North America</t>
  </si>
  <si>
    <t>Banned Player List</t>
  </si>
  <si>
    <t>East North America</t>
  </si>
  <si>
    <t>Free Sub Pool</t>
  </si>
  <si>
    <t xml:space="preserve">AwareMosquito </t>
  </si>
  <si>
    <t>D</t>
  </si>
  <si>
    <t>North Europe</t>
  </si>
  <si>
    <t>C</t>
  </si>
  <si>
    <t>B</t>
  </si>
  <si>
    <t xml:space="preserve">commandstation </t>
  </si>
  <si>
    <t>C-</t>
  </si>
  <si>
    <t>E</t>
  </si>
  <si>
    <t>E-</t>
  </si>
  <si>
    <t>A</t>
  </si>
  <si>
    <t>West North America</t>
  </si>
  <si>
    <t>E+</t>
  </si>
  <si>
    <t>UNKNOWN</t>
  </si>
  <si>
    <t>A+</t>
  </si>
  <si>
    <t>C+</t>
  </si>
  <si>
    <t>D+</t>
  </si>
  <si>
    <t>B+</t>
  </si>
  <si>
    <t>F-</t>
  </si>
  <si>
    <t>Australia</t>
  </si>
  <si>
    <t>A-</t>
  </si>
  <si>
    <t>Ending</t>
  </si>
  <si>
    <t>Puffy Grifbussy</t>
  </si>
  <si>
    <t>D-</t>
  </si>
  <si>
    <t>F+</t>
  </si>
  <si>
    <t>B-</t>
  </si>
  <si>
    <t>S+</t>
  </si>
  <si>
    <t>S-</t>
  </si>
  <si>
    <t>F</t>
  </si>
  <si>
    <t>Current Season</t>
  </si>
  <si>
    <t>All Times and Dates Are Based On Eastern Standard/Daylight Time</t>
  </si>
  <si>
    <t>28-4</t>
  </si>
  <si>
    <t>week 3</t>
  </si>
  <si>
    <t>Reschedules</t>
  </si>
  <si>
    <t>Free Scheduling</t>
  </si>
  <si>
    <t>Team Standings</t>
  </si>
  <si>
    <t>Wins</t>
  </si>
  <si>
    <t>Loss</t>
  </si>
  <si>
    <t>Games</t>
  </si>
  <si>
    <t>Sunday 28</t>
  </si>
  <si>
    <t>Smurf vs Command 7pm</t>
  </si>
  <si>
    <t>Gingy vs Command (Game 1 &amp; 2)</t>
  </si>
  <si>
    <t>Sunday</t>
  </si>
  <si>
    <t>Smurf vs infektion 10pm</t>
  </si>
  <si>
    <t>Gingy vs Dmartin (Game 1 &amp; 2)</t>
  </si>
  <si>
    <t>Monday</t>
  </si>
  <si>
    <t>Psyduck vs Death 10:15pm</t>
  </si>
  <si>
    <t>Gingy vs Smurf (Game 1 &amp; 2)</t>
  </si>
  <si>
    <t>Tuesday</t>
  </si>
  <si>
    <t>Monday 29</t>
  </si>
  <si>
    <t>Shrek vs Death 8pm</t>
  </si>
  <si>
    <t>Death vs Shrek 8:30pm</t>
  </si>
  <si>
    <t>Gingy vs NecEvil (Game 1 &amp; 2)</t>
  </si>
  <si>
    <t>Wednesday</t>
  </si>
  <si>
    <t>Smurf vs KDSkill 8:30pm</t>
  </si>
  <si>
    <t>Smurf vs Gingy 9pm</t>
  </si>
  <si>
    <t>Gingy vs Death (Game 1 &amp; 2)</t>
  </si>
  <si>
    <t>Thursday</t>
  </si>
  <si>
    <t>Shrek vs NecessEvil 8:30pm</t>
  </si>
  <si>
    <t>Gingy vs Smurf 9:30pm</t>
  </si>
  <si>
    <t>Gingy vs Psyduck (Game 1 &amp; 2)</t>
  </si>
  <si>
    <t>Friday</t>
  </si>
  <si>
    <t>Tuesday 30</t>
  </si>
  <si>
    <t>command vs kdskill 8:30pm</t>
  </si>
  <si>
    <t>Command vs Poptart 9:30pm</t>
  </si>
  <si>
    <t>Gingy vs Infektion (Game 1 &amp; 2)</t>
  </si>
  <si>
    <t>Saturday</t>
  </si>
  <si>
    <t>shrek vs infektion 9:30pm</t>
  </si>
  <si>
    <t>Gingy vs KDskill (Game 1 &amp; 2)</t>
  </si>
  <si>
    <t>Reschedule Thread Opened</t>
  </si>
  <si>
    <t>Wednesday 1</t>
  </si>
  <si>
    <t>Dhlyn vs Psyduck 8:30pm</t>
  </si>
  <si>
    <t>Dmartin vs Poptart 10:30pm</t>
  </si>
  <si>
    <t>Gingy vs shrek (Game 1 &amp; 2)</t>
  </si>
  <si>
    <t>Reschedule Locked in</t>
  </si>
  <si>
    <t>X</t>
  </si>
  <si>
    <t>psyduck vs kdskill 9:30pm</t>
  </si>
  <si>
    <t>dmartin vs dhlyn 10pm</t>
  </si>
  <si>
    <t>Gingy vs Dhlyn (Game 1 &amp; 2)</t>
  </si>
  <si>
    <t>dmartin vs dhlyn 9:30pm</t>
  </si>
  <si>
    <t>kdskill vs psyduck 10pm</t>
  </si>
  <si>
    <t>Gingy vs Poptart (Game 1 &amp; 2)</t>
  </si>
  <si>
    <t>AEST is 15 hours ahead of EST</t>
  </si>
  <si>
    <t>Dhlyn vs Gingy 9pm</t>
  </si>
  <si>
    <t>Dmartin vs Death (Game 1 &amp; 2)</t>
  </si>
  <si>
    <t>Gingy vs Dhlyn 9:30pm</t>
  </si>
  <si>
    <t>Dmartin vs Shrek (Game 1 &amp; 2)</t>
  </si>
  <si>
    <t>Thursday 2</t>
  </si>
  <si>
    <t>psyduck vs command 8:30pm</t>
  </si>
  <si>
    <t>shrek vs psyduck 8:30pm</t>
  </si>
  <si>
    <t>NecEvil vs Shrek (Game 1 &amp; 2)</t>
  </si>
  <si>
    <t>Gingy vs Infektion 9:30pm</t>
  </si>
  <si>
    <t>psyduck vs shrek 8:30pm</t>
  </si>
  <si>
    <t>Shrek vs Dhlyn (Game 1 &amp; 2)</t>
  </si>
  <si>
    <t>Infektion vs Gingy 10pm</t>
  </si>
  <si>
    <t>Death vs Dhlyn (Game 1 &amp; 2)</t>
  </si>
  <si>
    <t>psyduck vs infektion 9:30pm</t>
  </si>
  <si>
    <t>Friday 3</t>
  </si>
  <si>
    <t>Dhlyn vs Command 8pm</t>
  </si>
  <si>
    <t>Dmartin vs KDskill 9:30pm</t>
  </si>
  <si>
    <t>Dmartin vs Shrek 8:30</t>
  </si>
  <si>
    <t>Saturday 4</t>
  </si>
  <si>
    <t>KDSkill vs Poptart 9pm</t>
  </si>
  <si>
    <t>May 5-11</t>
  </si>
  <si>
    <t>week 4</t>
  </si>
  <si>
    <t>Sunday 5</t>
  </si>
  <si>
    <t>Command vs Smurf 7pm</t>
  </si>
  <si>
    <t>infektion vs Smurf 10pm</t>
  </si>
  <si>
    <t>Smurf vs infektion 9pm</t>
  </si>
  <si>
    <t>Death vs Psyduck 10:15pm</t>
  </si>
  <si>
    <t>Psyduck vs Death 10:30pm</t>
  </si>
  <si>
    <t>Monday 6</t>
  </si>
  <si>
    <t>KDSkill vs Smurf 8:30pm</t>
  </si>
  <si>
    <t>smurf vs shrek 9pm</t>
  </si>
  <si>
    <t>shrek vs poptart 8:30pm</t>
  </si>
  <si>
    <t>shrek vs smurf 9:30pm</t>
  </si>
  <si>
    <t>Tuesday 7</t>
  </si>
  <si>
    <t>kdskill vs command 8:30pm</t>
  </si>
  <si>
    <t>infektion vs shrek 9:30pm</t>
  </si>
  <si>
    <t>Wednesday 8</t>
  </si>
  <si>
    <t>smurf vs dhlyn 8pm</t>
  </si>
  <si>
    <t>Poptart vs Smurf 9pm</t>
  </si>
  <si>
    <t>command vs shrek 9:30pm</t>
  </si>
  <si>
    <t>Psyduck vs Dmartin 9pm</t>
  </si>
  <si>
    <t>kdskill vs psyduck 8:30pm</t>
  </si>
  <si>
    <t>NecessEvil vs Psyduck 9:30pm</t>
  </si>
  <si>
    <t>Command vs Dmartin 9:30pm</t>
  </si>
  <si>
    <t>Smurf vs Dmartin 10:25pm</t>
  </si>
  <si>
    <t>Thursday 9</t>
  </si>
  <si>
    <t>smurf vs shrek 8pm</t>
  </si>
  <si>
    <t>command vs psyduck 8:30pm</t>
  </si>
  <si>
    <t>Gingy vs Death 9pm</t>
  </si>
  <si>
    <t>Death vs Gingy 9:30pm</t>
  </si>
  <si>
    <t>infektion vs Psyduck 9:30pm</t>
  </si>
  <si>
    <t>Friday 10</t>
  </si>
  <si>
    <t>Gingy vs NecessEvil 9pm</t>
  </si>
  <si>
    <t>Dmartin vs Evil 8:30pm</t>
  </si>
  <si>
    <t>kdskill vs dmartin 9:30pm</t>
  </si>
  <si>
    <t>Infektion vs dmartin 9:15pm</t>
  </si>
  <si>
    <t>Saturday 11</t>
  </si>
  <si>
    <t>poptart vs kdskill 9pm</t>
  </si>
  <si>
    <t>Smurf vs Death 8:30pm</t>
  </si>
  <si>
    <t>infektion vs death 9pm</t>
  </si>
  <si>
    <t>psyduck vs necessevil 10pm</t>
  </si>
  <si>
    <t>necessevil vs psyduck 10:30pm</t>
  </si>
  <si>
    <t>week 5</t>
  </si>
  <si>
    <t>Sunday 12</t>
  </si>
  <si>
    <t>command vs death 7:30pm</t>
  </si>
  <si>
    <t>infektion vs death 10pm</t>
  </si>
  <si>
    <t>Monday 13</t>
  </si>
  <si>
    <t>death vs kdskill 8:30pm</t>
  </si>
  <si>
    <t>Death vs Poptart 9pm</t>
  </si>
  <si>
    <t>poptart vs shrek 8:30pm</t>
  </si>
  <si>
    <t>Death vs Dhlyn 10pm</t>
  </si>
  <si>
    <t>Tuesday 14</t>
  </si>
  <si>
    <t>necessevil vs kdskill 9pm</t>
  </si>
  <si>
    <t>infektion vs shrek 8pm</t>
  </si>
  <si>
    <t>infektion vs command 9:30pm</t>
  </si>
  <si>
    <t>Wednesday 15</t>
  </si>
  <si>
    <t>gingy vs dhlyn 8pm</t>
  </si>
  <si>
    <t>Dhlyn vs Psyduck 10pm</t>
  </si>
  <si>
    <t>dhlyn vs gingy 8:30pm</t>
  </si>
  <si>
    <t>psyduck vs dhlyn 10:30pm</t>
  </si>
  <si>
    <t>psyduck vs dhlyn 8:30pm</t>
  </si>
  <si>
    <t>dhlyn vs death 9pm</t>
  </si>
  <si>
    <t>dhlyn vs dmartin 9:30pm</t>
  </si>
  <si>
    <t>psyduck vs necessevil 9:30pm</t>
  </si>
  <si>
    <t>dmartin vs infektion 10:30pm</t>
  </si>
  <si>
    <t>Thursday 16</t>
  </si>
  <si>
    <t>Friday 17</t>
  </si>
  <si>
    <t>poptart vs necessevil 8:30pm</t>
  </si>
  <si>
    <t>dmartin vs necessevil 9:30pm</t>
  </si>
  <si>
    <t>Saturday 18</t>
  </si>
  <si>
    <t>dmartin vs death 9pm</t>
  </si>
  <si>
    <t>death vs dmartin 9:30pm</t>
  </si>
  <si>
    <t>infektion vs kdskill 9:30pm</t>
  </si>
  <si>
    <t>19-25</t>
  </si>
  <si>
    <t>week 6</t>
  </si>
  <si>
    <t>Sunday 19</t>
  </si>
  <si>
    <t>death vs command 7:30pm</t>
  </si>
  <si>
    <t>death vs infektion 10pm</t>
  </si>
  <si>
    <t>Monday 20</t>
  </si>
  <si>
    <t>kdskill vs death 8:30pm</t>
  </si>
  <si>
    <t>Poptart vs Death 9pm</t>
  </si>
  <si>
    <t>Tuesday 21</t>
  </si>
  <si>
    <t>kdskill vs necessevil 9pm</t>
  </si>
  <si>
    <t>command vs infektion 9:30pm</t>
  </si>
  <si>
    <t>Wednesday 22</t>
  </si>
  <si>
    <t>dhlyn vs smurf 8pm</t>
  </si>
  <si>
    <t>smurf vs dhlyn 8:30pm</t>
  </si>
  <si>
    <t>dhlyn vs kdskill 9pm</t>
  </si>
  <si>
    <t>dmartin vs command 9:30pm</t>
  </si>
  <si>
    <t>Dmartin vs Smurf 10pm</t>
  </si>
  <si>
    <t>Infektion vs dmartin 10:30</t>
  </si>
  <si>
    <t>Thursday 23</t>
  </si>
  <si>
    <t>Friday 24</t>
  </si>
  <si>
    <t>NecessEvil vs poptart 8:30pm</t>
  </si>
  <si>
    <t>poptart vs necessevil 9pm</t>
  </si>
  <si>
    <t>NecessEvil vs Dmartin 9:30pm</t>
  </si>
  <si>
    <t>Smurf vs Command 9pm</t>
  </si>
  <si>
    <t>dhlyn vs kdskill 8:30pm</t>
  </si>
  <si>
    <t>Saturday 25</t>
  </si>
  <si>
    <t>kdskill vs infektion 9:30pm</t>
  </si>
  <si>
    <t>https://docs.google.com/spreadsheets/d/1d-JA1rtr6SsQ3KDwXKl9d69yCGp7i6YiLm1GlgrUU-M/edit#gid=1265428282</t>
  </si>
  <si>
    <t>Home</t>
  </si>
  <si>
    <t>Away</t>
  </si>
  <si>
    <t>Score</t>
  </si>
  <si>
    <t>Time</t>
  </si>
  <si>
    <t>Waypoint URL</t>
  </si>
  <si>
    <t>VOD</t>
  </si>
  <si>
    <t>Week 1</t>
  </si>
  <si>
    <t>2-5</t>
  </si>
  <si>
    <t>15:30</t>
  </si>
  <si>
    <t>https://www.halowaypoint.com/halo-infinite/players/ASpence501/matches/6b848e70-f610-4bd6-996b-c4209a6891e4</t>
  </si>
  <si>
    <r>
      <rPr>
        <color rgb="FF1155CC"/>
        <u/>
      </rPr>
      <t>ASpence POV</t>
    </r>
    <r>
      <rPr/>
      <t xml:space="preserve">, </t>
    </r>
    <r>
      <rPr>
        <color rgb="FF1155CC"/>
        <u/>
      </rPr>
      <t>Solace POV</t>
    </r>
  </si>
  <si>
    <t>NecessaryEvil</t>
  </si>
  <si>
    <t>CommandStation</t>
  </si>
  <si>
    <t>5-4</t>
  </si>
  <si>
    <t>20:52</t>
  </si>
  <si>
    <t>https://www.halowaypoint.com/halo-infinite/players/NecessaryEvil10/matches/bafb90fe-3c05-4b83-aaa0-ca0254fe99e3</t>
  </si>
  <si>
    <t>5-1</t>
  </si>
  <si>
    <t>17:41</t>
  </si>
  <si>
    <t>https://www.halowaypoint.com/halo-infinite/players/NecessaryEvil10/matches/e1af0cbd-cd72-4732-bb3d-b7cc75ef1647</t>
  </si>
  <si>
    <t>20:06</t>
  </si>
  <si>
    <t>https://www.halowaypoint.com/halo-infinite/players/ASpence501/matches/a2499647-c603-4d86-9ab6-c5259b2a6e7b</t>
  </si>
  <si>
    <t>ASpence POV</t>
  </si>
  <si>
    <t>ill Shrek u</t>
  </si>
  <si>
    <t>5-3</t>
  </si>
  <si>
    <t>36:21</t>
  </si>
  <si>
    <t>https://www.halowaypoint.com/halo-infinite/players/KDSkill/matches/55147b8c-d83c-4017-b5e7-911d568e1c7e</t>
  </si>
  <si>
    <t>5-0</t>
  </si>
  <si>
    <t>08:12</t>
  </si>
  <si>
    <t>https://www.halowaypoint.com/halo-infinite/players/KDSkill/matches/2bcf33a0-4326-4676-9c8f-5e229ebc160a</t>
  </si>
  <si>
    <t>4-5</t>
  </si>
  <si>
    <t>23:57</t>
  </si>
  <si>
    <t>https://www.halowaypoint.com/halo-infinite/players/PsyDucky54/matches/d1c56c03-9a19-4afb-8d1e-a4d6ba4838dd</t>
  </si>
  <si>
    <t>Dmar7in69</t>
  </si>
  <si>
    <t>16:22</t>
  </si>
  <si>
    <t>https://www.halowaypoint.com/halo-infinite/players/PsyDucky54/matches/b1a33cc0-5894-4aeb-948e-9c587b085351</t>
  </si>
  <si>
    <t>18:35</t>
  </si>
  <si>
    <t>https://www.halowaypoint.com/halo-infinite/players/Scullen%20cx/matches/f34f030f-cca5-4ea9-881c-3d0412c4cd65</t>
  </si>
  <si>
    <t>13:04</t>
  </si>
  <si>
    <t>https://www.halowaypoint.com/halo-infinite/players/Scullen%20cx/matches/1be54194-bdd3-4647-9c3d-4563e65f1c8c</t>
  </si>
  <si>
    <t>1-5</t>
  </si>
  <si>
    <t>08:45</t>
  </si>
  <si>
    <t>https://www.halowaypoint.com/halo-infinite/players/Scullen%20cx/matches/04bc2b68-b37d-4b98-af0c-0c7bbbd4163f</t>
  </si>
  <si>
    <t>SautedSmurf</t>
  </si>
  <si>
    <t>0-5</t>
  </si>
  <si>
    <t>06:10</t>
  </si>
  <si>
    <t>https://www.halowaypoint.com/halo-infinite/players/ASpence501/matches/c91aab4e-9aa7-4ad7-9efa-d04d53df0825</t>
  </si>
  <si>
    <t>10:17</t>
  </si>
  <si>
    <t>https://www.halowaypoint.com/halo-infinite/players/tjp37/matches/11888c4f-f6e0-4c0a-b427-a837ce87efe0</t>
  </si>
  <si>
    <t>Week 2</t>
  </si>
  <si>
    <t xml:space="preserve">15:36
</t>
  </si>
  <si>
    <t>https://www.halowaypoint.com/halo-infinite/players/Deathcrawller/matches/b3b57bdf-2217-43d3-ae73-dc72cc4dbdff</t>
  </si>
  <si>
    <t>Solace POV</t>
  </si>
  <si>
    <t xml:space="preserve">16:24
</t>
  </si>
  <si>
    <t>https://www.halowaypoint.com/halo-infinite/players/Deathcrawller/matches/5013cd63-5e79-4007-b92c-5f4ab9f1cb5d</t>
  </si>
  <si>
    <t>5-2</t>
  </si>
  <si>
    <t xml:space="preserve">18:57
</t>
  </si>
  <si>
    <t>https://www.halowaypoint.com/halo-infinite/players/ill%20shrek%20u/matches/ec67eb81-70af-4331-965b-3843cf47c82a</t>
  </si>
  <si>
    <t>21:27</t>
  </si>
  <si>
    <t>https://www.halowaypoint.com/halo-infinite/players/ill%20shrek%20u/matches/cf6e4fe2-4ddb-4048-b49e-54e3424331ec</t>
  </si>
  <si>
    <t>5:26</t>
  </si>
  <si>
    <t>https://www.halowaypoint.com/halo-infinite/players/Sauted%20Smurf/matches/57ebfeca-971f-4e8f-8a32-5aa907a07431</t>
  </si>
  <si>
    <t>3-5</t>
  </si>
  <si>
    <t>10:49</t>
  </si>
  <si>
    <t>https://www.halowaypoint.com/halo-infinite/players/Aspence501/matches/20bd5451-6f26-4c5b-9c88-2128c4f667ab</t>
  </si>
  <si>
    <t>Inactive Spoon POV</t>
  </si>
  <si>
    <t>21:00</t>
  </si>
  <si>
    <t>https://www.halowaypoint.com/halo-infinite/players/ill%20shrek%20u/matches/5e8a2525-8f9c-40f7-9bf7-118acfb2a8bf</t>
  </si>
  <si>
    <t xml:space="preserve">10:58
</t>
  </si>
  <si>
    <t>https://www.halowaypoint.com/halo-infinite/players/Mavbrid/matches/145d2a7a-3175-42f0-bb7a-2fc2bd9d0ca9</t>
  </si>
  <si>
    <t>15:34</t>
  </si>
  <si>
    <t>https://www.halowaypoint.com/halo-infinite/players/Scullen%20cx/matches/47e3568a-9118-4361-b321-b515123e9113</t>
  </si>
  <si>
    <t>18:36</t>
  </si>
  <si>
    <t>https://www.halowaypoint.com/halo-infinite/players/invayda%20zim/matches/0534cd95-fec4-4af6-9f3c-eae9d1d2337c</t>
  </si>
  <si>
    <t>07:32</t>
  </si>
  <si>
    <t>https://www.halowaypoint.com/halo-infinite/players/ASpence501/matches/f730fd2e-950c-46cb-9704-024f334c2609</t>
  </si>
  <si>
    <t xml:space="preserve">15:48
</t>
  </si>
  <si>
    <t>https://www.halowaypoint.com/halo-infinite/players/iNF3ktioN/matches/54a1d526-ac8e-4733-86e9-ce3415257254</t>
  </si>
  <si>
    <t xml:space="preserve">11:16
</t>
  </si>
  <si>
    <t>https://www.halowaypoint.com/halo-infinite/players/iNF3ktioN/matches/88d5b55b-6289-42f5-9009-e01d52f1c991</t>
  </si>
  <si>
    <t xml:space="preserve">05:45
</t>
  </si>
  <si>
    <t>https://www.halowaypoint.com/en-gb/halo-infinite/players/CaptainSev004/matches/c487eee7-a165-4642-ae7b-11d1a1f194db</t>
  </si>
  <si>
    <t>07:51</t>
  </si>
  <si>
    <t>https://www.halowaypoint.com/halo-infinite/players/invayda%20zim/matches/b3400ba8-af9b-4a8a-824c-e0a3ca23d0fc</t>
  </si>
  <si>
    <t>ixGingy</t>
  </si>
  <si>
    <t xml:space="preserve">11:32
</t>
  </si>
  <si>
    <t>https://www.halowaypoint.com/halo-infinite/players/MuNgO%20PuNgO/matches/8b173cf7-6051-4a39-9e82-8f6013f0f5ce</t>
  </si>
  <si>
    <t xml:space="preserve">08:06
</t>
  </si>
  <si>
    <t>https://www.halowaypoint.com/halo-infinite/players/MuNgO%20PuNgO/matches/eea6ad97-5aad-4e78-937e-08f7534a79e6</t>
  </si>
  <si>
    <t xml:space="preserve">13:16
</t>
  </si>
  <si>
    <t>https://www.halowaypoint.com/halo-infinite/players/Fanciest%20Pants/matches/e41eca75-b322-4e94-b061-0481debb670e</t>
  </si>
  <si>
    <t xml:space="preserve">08:47
</t>
  </si>
  <si>
    <t>https://www.halowaypoint.com/halo-infinite/players/Fanciest%20Pants/matches/23783301-4c6b-4abd-a1a4-1f9942e7a5a1</t>
  </si>
  <si>
    <t xml:space="preserve">17:50
</t>
  </si>
  <si>
    <t>https://www.halowaypoint.com/halo-infinite/players/Fanciest%20Pants/matches/ac9f8baa-c55e-45ee-be8a-55eab1e64ac5</t>
  </si>
  <si>
    <t xml:space="preserve">10:39
</t>
  </si>
  <si>
    <t>https://www.halowaypoint.com/en-gb/halo-infinite/players/CaptainSev004/matches/973fe7f0-2de0-417b-9f5f-fab0d5589de9</t>
  </si>
  <si>
    <t xml:space="preserve">16:33
</t>
  </si>
  <si>
    <t>https://www.halowaypoint.com/en-gb/halo-infinite/players/CaptainSev004/matches/2253a722-995d-4599-8fdd-81f12deeb238</t>
  </si>
  <si>
    <t xml:space="preserve">17:36
</t>
  </si>
  <si>
    <t>https://www.halowaypoint.com/halo-infinite/players/invayda%20zim/matches/6c3150d0-c34f-4e85-b559-fdeeb1b51ec9</t>
  </si>
  <si>
    <t xml:space="preserve">24:41
</t>
  </si>
  <si>
    <t>https://www.halowaypoint.com/halo-infinite/players/iNF3ktioN/matches/60da9605-5b3f-4274-ae67-fff4e9efa37e</t>
  </si>
  <si>
    <t xml:space="preserve">19:45
</t>
  </si>
  <si>
    <t>https://www.halowaypoint.com/halo-infinite/players/Fanciest%20Pants/matches/ea50d1f9-b9d5-450b-b603-74e9f870b38e</t>
  </si>
  <si>
    <t>Week 3</t>
  </si>
  <si>
    <t>14:38</t>
  </si>
  <si>
    <t>https://www.halowaypoint.com/halo-infinite/players/sauted%20smurf/matches/b7776392-3d3d-4ab2-8da4-99d80a17d419</t>
  </si>
  <si>
    <t xml:space="preserve">21:44
</t>
  </si>
  <si>
    <t>https://www.halowaypoint.com/halo-infinite/players/ill%20shrek%20u/matches/17b86b73-b12c-4fa6-a7b0-0f259b815024</t>
  </si>
  <si>
    <t xml:space="preserve">06:23
</t>
  </si>
  <si>
    <t>https://www.halowaypoint.com/halo-infinite/players/sauted%20smurf/matches/e6c08aa9-2df5-41bc-9ae1-312b3cc1a10d</t>
  </si>
  <si>
    <t>https://www.halowaypoint.com/halo-infinite/players/sauted%20smurf/matches/2fabad1e-c635-4379-b3b1-c6f6ff2bc404</t>
  </si>
  <si>
    <t xml:space="preserve">22:44
</t>
  </si>
  <si>
    <t>https://www.halowaypoint.com/halo-infinite/players/ill%20shrek%20u/matches/778ef6f2-b463-48e3-bb2b-cec14ab7355c</t>
  </si>
  <si>
    <t xml:space="preserve">16:50
</t>
  </si>
  <si>
    <t>https://www.halowaypoint.com/halo-infinite/players/ill%20shrek%20u/matches/b378216f-dfb1-4bf4-acc4-2c13151efa5c</t>
  </si>
  <si>
    <t xml:space="preserve">16:02
</t>
  </si>
  <si>
    <t>https://www.halowaypoint.com/halo-infinite/players/Kdskill/matches/9dc93f83-d9a9-45c2-b6b2-737eeec10c4d</t>
  </si>
  <si>
    <t>06:04</t>
  </si>
  <si>
    <t>https://www.halowaypoint.com/halo-infinite/players/invayda%20zim/matches/408771b4-a7c7-413e-ba78-856ed8006dc4</t>
  </si>
  <si>
    <t xml:space="preserve">09:33
</t>
  </si>
  <si>
    <t>https://www.halowaypoint.com/halo-infinite/players/invayda%20zim/matches/4907575e-149a-49a3-ba04-c0937a460dc0</t>
  </si>
  <si>
    <t xml:space="preserve">11:20
</t>
  </si>
  <si>
    <t>https://www.halowaypoint.com/halo-infinite/players/Kdskill/matches/22d80f04-2566-453e-97d4-01ee296dcd3d</t>
  </si>
  <si>
    <t xml:space="preserve">13:12
</t>
  </si>
  <si>
    <t>https://www.halowaypoint.com/halo-infinite/players/Invayda%20Zim/matches/639d255b-16b5-4a50-9131-002e33c7b9eb</t>
  </si>
  <si>
    <t xml:space="preserve">20:48
</t>
  </si>
  <si>
    <t>https://www.halowaypoint.com/halo-infinite/players/ill%20shrek%20u/matches/45203a64-f4bc-4d04-b945-0f9bd1c3f198</t>
  </si>
  <si>
    <t xml:space="preserve">07:01
</t>
  </si>
  <si>
    <t>https://www.halowaypoint.com/halo-infinite/players/ill%20shrek%20u/matches/1c572bda-d5a8-43fb-9071-86352f25942b</t>
  </si>
  <si>
    <t xml:space="preserve">25:22
</t>
  </si>
  <si>
    <t>https://www.halowaypoint.com/halo-infinite/players/iNF3ktioN/matches/b12c1035-e69e-4249-a55d-e1201376bec6</t>
  </si>
  <si>
    <t xml:space="preserve">10:37
</t>
  </si>
  <si>
    <t>https://www.halowaypoint.com/halo-infinite/players/iNF3ktioN/matches/6e829583-9334-4738-aadd-c00960cf9e45</t>
  </si>
  <si>
    <t xml:space="preserve">12:18
</t>
  </si>
  <si>
    <t>https://www.halowaypoint.com/halo-infinite/players/invayda%20zim/matches/109bb0cd-942d-4950-b7f6-4703bcbf7ec6</t>
  </si>
  <si>
    <t xml:space="preserve">27:40
</t>
  </si>
  <si>
    <t>https://www.halowaypoint.com/halo-infinite/players/ill%20shrek%20u/matches/d6160648-e6b3-488b-821a-3ff0c773d8e0</t>
  </si>
  <si>
    <t xml:space="preserve">09:02
</t>
  </si>
  <si>
    <t>https://www.halowaypoint.com/halo-infinite/players/Kdskill/matches/b3c76f17-db15-4bdd-abec-1da111860201</t>
  </si>
  <si>
    <t>Week 4</t>
  </si>
  <si>
    <t xml:space="preserve">18:13
</t>
  </si>
  <si>
    <t>https://www.halowaypoint.com/halo-infinite/players/ASpence501/matches/0940556e-1c30-4c70-911f-595e766e9bd8</t>
  </si>
  <si>
    <t xml:space="preserve">17:47
</t>
  </si>
  <si>
    <t>https://www.halowaypoint.com/halo-infinite/players/ASpence501/matches/3a643978-b15d-464b-a9d9-8c169f0b31e4</t>
  </si>
  <si>
    <t xml:space="preserve">22:33
</t>
  </si>
  <si>
    <t>https://www.halowaypoint.com/halo-infinite/players/ASpence501/matches/0e56af10-bcd9-4650-aa2f-37ffea02c8e6</t>
  </si>
  <si>
    <t>0-1</t>
  </si>
  <si>
    <t xml:space="preserve">01:59
</t>
  </si>
  <si>
    <t>https://www.halowaypoint.com/halo-infinite/players/PSYDUCKY54/matches/49f79451-b76f-406f-8308-b93d1462b7da</t>
  </si>
  <si>
    <t xml:space="preserve">15:15
</t>
  </si>
  <si>
    <t xml:space="preserve">https://www.halowaypoint.com/halo-infinite/players/PsyDucky54/matches/835f1cf2-c9bf-44f9-b4ea-f291ef74271f </t>
  </si>
  <si>
    <t xml:space="preserve">12:28
</t>
  </si>
  <si>
    <t>https://www.halowaypoint.com/halo-infinite/players/ill%20shrek%20u/matches/51aa2802-680e-410d-bc30-55bb416ac0f4</t>
  </si>
  <si>
    <t xml:space="preserve">20:24
</t>
  </si>
  <si>
    <t>https://www.halowaypoint.com/halo-infinite/players/Kdskill/matches/e8ae30d6-e1c5-4b2e-b514-6f03f9b8c7c2</t>
  </si>
  <si>
    <t xml:space="preserve">12:32
</t>
  </si>
  <si>
    <t>https://www.halowaypoint.com/halo-infinite/players/sauted%20smurf/matches/c7d4dbcb-b2b6-434e-9535-ae2f278f71f4</t>
  </si>
  <si>
    <t>FF</t>
  </si>
  <si>
    <t xml:space="preserve">08:50
</t>
  </si>
  <si>
    <t>https://www.halowaypoint.com/halo-infinite/players/sauted%20smurf/matches/8979d5ba-720c-4995-9f65-3be7608a4a08</t>
  </si>
  <si>
    <t xml:space="preserve">22:16
</t>
  </si>
  <si>
    <t>https://www.halowaypoint.com/halo-infinite/players/PsyDucky54/matches/7f473a4e-4e1f-4a68-a0a4-1569ecdec822</t>
  </si>
  <si>
    <t>26:26</t>
  </si>
  <si>
    <t>https://www.halowaypoint.com/halo-infinite/players/ill%20shrek%20u/matches/98a6480f-e479-4a18-b526-abca70b0d1bd</t>
  </si>
  <si>
    <t xml:space="preserve">10:41
</t>
  </si>
  <si>
    <t>https://www.halowaypoint.com/halo-infinite/players/sauted%20smurf/matches/d996ac36-4c62-4e22-b72d-280f035909ee</t>
  </si>
  <si>
    <t xml:space="preserve">17:40
</t>
  </si>
  <si>
    <t>https://www.halowaypoint.com/halo-infinite/players/ixGingy/matches/daf5fb68-8512-4026-bec3-0dc5d74ae02c</t>
  </si>
  <si>
    <t>13:36</t>
  </si>
  <si>
    <t>https://www.halowaypoint.com/halo-infinite/players/ixGingy/matches/845df938-aad1-40c5-b925-7d6be4987da9</t>
  </si>
  <si>
    <t xml:space="preserve">22:54
</t>
  </si>
  <si>
    <t>https://www.halowaypoint.com/halo-infinite/players/NecessaryEvil10/matches/6c77daea-9e1c-4117-acc7-5d13b81b3c85</t>
  </si>
  <si>
    <t>-</t>
  </si>
  <si>
    <t xml:space="preserve">23:42
</t>
  </si>
  <si>
    <t>https://www.halowaypoint.com/halo-infinite/players/NecessaryEvil10/matches/91368d91-014a-483e-a38d-85d396a0cbf1</t>
  </si>
  <si>
    <t>25:40</t>
  </si>
  <si>
    <t>https://www.halowaypoint.com/halo-infinite/players/iNF3ktioN/matches/167846c8-b249-4522-a3f9-0059d2bb8215</t>
  </si>
  <si>
    <t xml:space="preserve">09:16
</t>
  </si>
  <si>
    <t>https://www.halowaypoint.com/halo-infinite/players/ASpence501/matches/698a665e-ee46-475f-89a1-4349eb4e1392</t>
  </si>
  <si>
    <t>18:39</t>
  </si>
  <si>
    <t>https://www.halowaypoint.com/halo-infinite/players/Kdskill/matches/13527e31-a387-4d2e-a78d-964475812496</t>
  </si>
  <si>
    <t xml:space="preserve">28:41
</t>
  </si>
  <si>
    <t>https://www.halowaypoint.com/halo-infinite/players/Kdskill/matches/13e4f5d3-334a-4bbc-b5e0-88c038608114</t>
  </si>
  <si>
    <t xml:space="preserve">26:17
</t>
  </si>
  <si>
    <t>https://www.halowaypoint.com/halo-infinite/players/NecessaryEvil10/matches/7c8b73cc-8ed1-4a30-adaf-4648ae7d4f36</t>
  </si>
  <si>
    <t xml:space="preserve">32:17
</t>
  </si>
  <si>
    <t>https://www.halowaypoint.com/halo-infinite/players/PsyDucky54/matches/6913a072-c1f0-424e-a6c3-ff6c246d50e9</t>
  </si>
  <si>
    <t>Week 5</t>
  </si>
  <si>
    <t xml:space="preserve">18:11
</t>
  </si>
  <si>
    <t>https://www.halowaypoint.com/halo-infinite/players/poisonxpoptart/matches/b4d7fc81-8690-435a-b3ba-fe445d4bb189</t>
  </si>
  <si>
    <t>avg</t>
  </si>
  <si>
    <t xml:space="preserve">18:14
</t>
  </si>
  <si>
    <t>https://www.halowaypoint.com/halo-infinite/players/poisonxpoptart/matches/c2e28765-faed-40a9-8f3e-e05e623a88d1</t>
  </si>
  <si>
    <t>min</t>
  </si>
  <si>
    <t xml:space="preserve">18:41
</t>
  </si>
  <si>
    <t>https://www.halowaypoint.com/halo-infinite/players/ill%20shrek%20u/matches/3bee7561-ed96-41ed-b323-35a83458d0a7</t>
  </si>
  <si>
    <t>max</t>
  </si>
  <si>
    <t xml:space="preserve">12:15
</t>
  </si>
  <si>
    <t>https://www.halowaypoint.com/halo-infinite/players/ill%20shrek%20u/matches/d2293ece-96ff-483f-a38b-1d22747e628d</t>
  </si>
  <si>
    <t>07:33</t>
  </si>
  <si>
    <t>https://www.halowaypoint.com/halo-infinite/players/PsyDucky54/matches/d94e43d7-434d-4f70-ad4c-dfafaf9a5f55</t>
  </si>
  <si>
    <t xml:space="preserve">23:27
</t>
  </si>
  <si>
    <t>https://www.halowaypoint.com/halo-infinite/players/PsyDucky54/matches/4ead1ec1-2c6f-4cec-b419-42ab21ed9f3c</t>
  </si>
  <si>
    <t xml:space="preserve">21:34
</t>
  </si>
  <si>
    <t>https://www.halowaypoint.com/halo-infinite/players/Scullen%20cx/matches/e8ff16a6-b834-4305-b425-4854f96bc6f1</t>
  </si>
  <si>
    <t xml:space="preserve">19:59
</t>
  </si>
  <si>
    <t>https://www.halowaypoint.com/halo-infinite/players/Scullen%20cx/matches/83605a47-b419-42b6-9d86-b3136b2d26d9</t>
  </si>
  <si>
    <t xml:space="preserve">15:45
</t>
  </si>
  <si>
    <t>https://www.halowaypoint.com/halo-infinite/players/Scullen%20cx/matches/5e0899f1-0102-4fb2-9165-621f8a796717</t>
  </si>
  <si>
    <t xml:space="preserve">11:36
</t>
  </si>
  <si>
    <t>https://www.halowaypoint.com/halo-infinite/players/Scullen%20cx/matches/99f73eae-76bb-4e6a-ada1-68da2e1b797c</t>
  </si>
  <si>
    <t xml:space="preserve">24:00
</t>
  </si>
  <si>
    <t>https://www.halowaypoint.com/halo-infinite/players/ixGingy/matches/ba39dd6b-a032-409b-aae3-8f58e59b6afa</t>
  </si>
  <si>
    <t xml:space="preserve">17:32
</t>
  </si>
  <si>
    <t>https://www.halowaypoint.com/halo-infinite/players/ixGingy/matches/3e277efd-ab56-4f4b-921e-c322a7e61ba0</t>
  </si>
  <si>
    <t xml:space="preserve">15:31
</t>
  </si>
  <si>
    <t>https://www.halowaypoint.com/halo-infinite/players/Kdskill/matches/e9e8799d-0ff8-4671-a571-c6f6621a933a</t>
  </si>
  <si>
    <t xml:space="preserve">18:09
</t>
  </si>
  <si>
    <t>https://www.halowaypoint.com/halo-infinite/players/iNF3ktioN/matches/cd6cb592-0011-453c-9a57-6c8ae0b3bf93</t>
  </si>
  <si>
    <t>Week 6</t>
  </si>
  <si>
    <t xml:space="preserve">26:26
</t>
  </si>
  <si>
    <t>https://www.halowaypoint.com/halo-infinite/players/Invayda%20Zim/matches/7998b84e-c716-4a2d-9dce-ae7d506b7b6b</t>
  </si>
  <si>
    <t>13:06</t>
  </si>
  <si>
    <t>https://www.halowaypoint.com/halo-infinite/players/Invayda%20Zim/matches/1fd30dfa-1f88-4211-ba23-50e0b165210e</t>
  </si>
  <si>
    <t xml:space="preserve">12:52
</t>
  </si>
  <si>
    <t>https://www.halowaypoint.com/halo-infinite/players/Mungo%20pungo/matches/62e2d801-abc3-4f4a-ade0-77c5201b7ac2</t>
  </si>
  <si>
    <t xml:space="preserve">20:03
</t>
  </si>
  <si>
    <t>https://www.halowaypoint.com/halo-infinite/players/Mungo%20pungo/matches/62b00f2c-169c-4bd0-b26e-bcf567c947cf</t>
  </si>
  <si>
    <t xml:space="preserve">24:42
</t>
  </si>
  <si>
    <t>https://www.halowaypoint.com/halo-infinite/players/Invayda%20Zim/matches/a6f98f21-a8c1-4ee5-8efe-9a8378903b77</t>
  </si>
  <si>
    <t xml:space="preserve">14:57
</t>
  </si>
  <si>
    <t xml:space="preserve">https://www.halowaypoint.com/halo-infinite/players/Invayda%20Zim/matches/977527a3-39c7-46f7-a073-911d3b21d151 </t>
  </si>
  <si>
    <t xml:space="preserve">15:51
</t>
  </si>
  <si>
    <t>https://www.halowaypoint.com/halo-infinite/players/tct%20avenger/matches/a374a3db-d070-4693-b089-4ad29e49b466</t>
  </si>
  <si>
    <t xml:space="preserve">16:38
</t>
  </si>
  <si>
    <t>https://www.halowaypoint.com/halo-infinite/players/SherbetShake/matches/9e18af3a-7425-49c4-842b-a137c073f1d9</t>
  </si>
  <si>
    <t>04:02</t>
  </si>
  <si>
    <t>https://www.halowaypoint.com/halo-infinite/players/sauted%20smurf/matches/fb563510-6e21-495d-a094-8d76ae5c1503</t>
  </si>
  <si>
    <t>03:33</t>
  </si>
  <si>
    <t>https://www.halowaypoint.com/halo-infinite/players/sauted%20smurf/matches/64b94f83-9efa-4e81-80a7-e558fd9612cf</t>
  </si>
  <si>
    <t>no waypoint</t>
  </si>
  <si>
    <t>12:48</t>
  </si>
  <si>
    <t>https://www.halowaypoint.com/halo-infinite/players/Hells%20Angel%20cx/matches/ca73e531-06fa-4010-acf4-b2af1c63c570</t>
  </si>
  <si>
    <t>20:10</t>
  </si>
  <si>
    <t>https://www.halowaypoint.com/halo-infinite/players/Hells%20Angel%20cx/matches/f3af3e62-19d2-4a85-be80-37e30c8424ce</t>
  </si>
  <si>
    <t xml:space="preserve">16:47
</t>
  </si>
  <si>
    <t>https://www.halowaypoint.com/halo-infinite/players/Mungo%20pungo/matches/221fee1f-19e1-4ae6-9b3a-7d975cdd7885</t>
  </si>
  <si>
    <t xml:space="preserve">19:12
</t>
  </si>
  <si>
    <t>https://www.halowaypoint.com/halo-infinite/players/Invayda%20Zim/matches/7c9ef743-ff46-4a1b-93d2-ca7003089c87</t>
  </si>
  <si>
    <t>10:31</t>
  </si>
  <si>
    <t>https://www.halowaypoint.com/halo-infinite/players/ixGingy/matches/6fadbaf0-28cd-452e-bd79-eda322e740b0</t>
  </si>
  <si>
    <t xml:space="preserve">20:08
</t>
  </si>
  <si>
    <t>https://www.halowaypoint.com/halo-infinite/players/Scullen%20cx/matches/a86f0490-3f92-484c-be09-f38832df1cca</t>
  </si>
  <si>
    <t xml:space="preserve">16:12
</t>
  </si>
  <si>
    <t>https://www.halowaypoint.com/halo-infinite/players/ixGingy/matches/b9f791d5-1119-4c34-87d8-4448703c87c1</t>
  </si>
  <si>
    <t xml:space="preserve">11:42
</t>
  </si>
  <si>
    <t>https://www.halowaypoint.com/halo-infinite/players/ixGingy/matches/3f2251b3-6fcc-49f2-a509-aa76068bfd68</t>
  </si>
  <si>
    <t xml:space="preserve">06:53
</t>
  </si>
  <si>
    <t>https://www.halowaypoint.com/halo-infinite/players/ixGingy/matches/a9582f92-e0a2-458f-8855-3c712bcc25f8</t>
  </si>
  <si>
    <t xml:space="preserve">13:48
</t>
  </si>
  <si>
    <t>https://www.halowaypoint.com/halo-infinite/players/ixGingy/matches/62918ec4-221e-4a38-9e09-100f8d5dddfb</t>
  </si>
  <si>
    <t xml:space="preserve">11:12
</t>
  </si>
  <si>
    <t>https://www.halowaypoint.com/halo-infinite/players/Invayda%20Zim/matches/5a3e81f2-9986-44f8-b9e9-e0012742807b</t>
  </si>
  <si>
    <t xml:space="preserve">21:02
</t>
  </si>
  <si>
    <t>https://www.halowaypoint.com/halo-infinite/players/NecessaryEvil10/matches/0e85c292-7470-41b1-8963-ea997213f683</t>
  </si>
  <si>
    <t xml:space="preserve">22:34
</t>
  </si>
  <si>
    <t>https://www.halowaypoint.com/halo-infinite/players/NecessaryEvil10/matches/2587ee70-04d4-4318-97ab-21c8f3042756</t>
  </si>
  <si>
    <t xml:space="preserve">27:12
</t>
  </si>
  <si>
    <t>https://www.halowaypoint.com/halo-infinite/players/Hells%20Angel%20cx/matches/0c479387-d1af-4201-9185-db985e2677e9</t>
  </si>
  <si>
    <t xml:space="preserve">12:33
</t>
  </si>
  <si>
    <t>https://www.halowaypoint.com/halo-infinite/players/Hells%20Angel%20cx/matches/51552162-8fab-4d9c-b79b-2814a6b9933f</t>
  </si>
  <si>
    <t xml:space="preserve">08:58
</t>
  </si>
  <si>
    <t>https://www.halowaypoint.com/halo-infinite/players/Invayda%20Zim/matches/8b6457f6-e6e7-4fac-a091-63daa4cea739</t>
  </si>
  <si>
    <t xml:space="preserve">15:10
</t>
  </si>
  <si>
    <t>https://www.halowaypoint.com/halo-infinite/players/Invayda%20Zim/matches/dab7a8cf-5e35-4e2f-90d7-639a93474803</t>
  </si>
  <si>
    <t xml:space="preserve">13:56
</t>
  </si>
  <si>
    <t>https://www.halowaypoint.com/halo-infinite/players/Hells%20Angel%20cx/matches/f6285f2c-3edd-478e-9320-9b96d460e121</t>
  </si>
  <si>
    <t xml:space="preserve">11:18
</t>
  </si>
  <si>
    <t>https://www.halowaypoint.com/halo-infinite/players/Hells%20Angel%20cx/matches/77370906-8a7d-4ed4-8ff8-e6a18da8857b</t>
  </si>
  <si>
    <t xml:space="preserve">14:46
</t>
  </si>
  <si>
    <t>https://www.halowaypoint.com/halo-infinite/players/Sauted%20Smurf/matches/0c3770f2-a170-4e94-a300-730fd7f65ee0</t>
  </si>
  <si>
    <t xml:space="preserve">15:46
</t>
  </si>
  <si>
    <t>https://www.halowaypoint.com/halo-infinite/players/Mungo%20pungo/matches/b09456d0-09a6-4ca4-af48-4b4916164e8f</t>
  </si>
  <si>
    <t xml:space="preserve">13:50
</t>
  </si>
  <si>
    <t>https://www.halowaypoint.com/halo-infinite/players/Kdskill/matches/74c0cee0-427e-41aa-b94d-f6dc14969ae2</t>
  </si>
  <si>
    <t>32:16</t>
  </si>
  <si>
    <t>https://www.halowaypoint.com/halo-infinite/players/Chemical/matches/20cd97da-fada-45d8-b9c0-713997b1f885</t>
  </si>
  <si>
    <t>14:15</t>
  </si>
  <si>
    <t>https://www.halowaypoint.com/halo-infinite/players/Deathcrawller/matches/334dc01d-6b99-4948-9b1b-c9b2413fe694</t>
  </si>
  <si>
    <t xml:space="preserve">20:39
</t>
  </si>
  <si>
    <t>https://www.halowaypoint.com/halo-infinite/players/Sabasauros%20rex/matches/3da30406-6f14-4f84-8bd2-abae7f471b02</t>
  </si>
  <si>
    <t xml:space="preserve">09:00
</t>
  </si>
  <si>
    <t>https://www.halowaypoint.com/halo-infinite/players/Solace%20VIII/matches/8b0cad9a-079c-4286-a2d0-f7cfe85d1b22</t>
  </si>
  <si>
    <t xml:space="preserve">15:01
</t>
  </si>
  <si>
    <t>https://www.halowaypoint.com/halo-infinite/players/NOPLEX/matches/53effa1b-c9fb-4b85-8459-fa885ebe502b</t>
  </si>
  <si>
    <t xml:space="preserve">21:19
</t>
  </si>
  <si>
    <t>https://www.halowaypoint.com/halo-infinite/players/NOPLEX/matches/519b640d-014c-4d6d-bd41-c2c6ab9c39c6</t>
  </si>
  <si>
    <t>14:35</t>
  </si>
  <si>
    <t>https://www.halowaypoint.com/halo-infinite/players/ASpence501/matches/5bb214e0-fbd4-4800-aeff-aafc5519f1db</t>
  </si>
  <si>
    <t xml:space="preserve">16:58
</t>
  </si>
  <si>
    <t>https://www.halowaypoint.com/halo-infinite/players/ASpence501/matches/5ee642e9-fc36-41f8-ae07-b74fedb47c52</t>
  </si>
  <si>
    <t xml:space="preserve">13:04
</t>
  </si>
  <si>
    <t>https://www.halowaypoint.com/halo-infinite/players/Mavbrid/matches/0d8fbe67-96d1-4e58-b5bb-396c000f71a2</t>
  </si>
  <si>
    <t xml:space="preserve">10:17
</t>
  </si>
  <si>
    <t>https://www.halowaypoint.com/halo-infinite/players/Mavbrid/matches/4870aeb1-6a60-4f58-aa6f-e2df38418c10</t>
  </si>
  <si>
    <t xml:space="preserve">32:08
</t>
  </si>
  <si>
    <t>https://www.halowaypoint.com/halo-infinite/players/TCT%20Avenger/matches/9794e37c-3c69-4a13-8f56-21d64e455370</t>
  </si>
  <si>
    <t xml:space="preserve">16:01
</t>
  </si>
  <si>
    <t>https://www.halowaypoint.com/halo-infinite/players/TCT%20Avenger/matches/a5c68d8f-945c-4b2c-a7e0-cd6a7612f0a5</t>
  </si>
  <si>
    <t xml:space="preserve">24:22
</t>
  </si>
  <si>
    <t>https://www.halowaypoint.com/halo-infinite/players/MysticalNovice/matches/e47a4f57-b33b-410b-8348-cd6bfc6e8ae9</t>
  </si>
  <si>
    <t>4-3</t>
  </si>
  <si>
    <t>38:16</t>
  </si>
  <si>
    <t>https://www.halowaypoint.com/halo-infinite/players/MysticalNovice/matches/609f552a-634c-46aa-b3a5-07d4b83591f9</t>
  </si>
  <si>
    <t>1-0</t>
  </si>
  <si>
    <t xml:space="preserve">05:27
</t>
  </si>
  <si>
    <t>https://www.halowaypoint.com/halo-infinite/players/MysticalNovice/matches/15f377fa-c70b-42fb-85fb-ea4edbb0fe6a</t>
  </si>
  <si>
    <t>17:12</t>
  </si>
  <si>
    <t>https://www.halowaypoint.com/halo-infinite/players/Inf3ktion/matches/30974138-9d7a-4484-84da-f7c88c05c0a0</t>
  </si>
  <si>
    <t>13:02</t>
  </si>
  <si>
    <t>https://www.halowaypoint.com/halo-infinite/players/Inf3ktion/matches/0c0d6ac5-addd-4a9d-a18d-a9d71d8be7c2</t>
  </si>
  <si>
    <t>19:27</t>
  </si>
  <si>
    <t>https://www.halowaypoint.com/halo-infinite/players/Inf3ktion/matches/c0194429-9a74-416b-a5a3-54186f384301</t>
  </si>
  <si>
    <t>18:47</t>
  </si>
  <si>
    <t>https://www.halowaypoint.com/halo-infinite/players/Inf3ktion/matches/dba01c53-c38a-4143-8b7f-ceb77b7afb9b</t>
  </si>
  <si>
    <t>Auto Updates</t>
  </si>
  <si>
    <t>Day 1</t>
  </si>
  <si>
    <t>S2</t>
  </si>
  <si>
    <t>Day 3</t>
  </si>
  <si>
    <t>Day 4</t>
  </si>
  <si>
    <t>vs (2-1)</t>
  </si>
  <si>
    <t>S8</t>
  </si>
  <si>
    <t>vs (2-0)</t>
  </si>
  <si>
    <t>S4</t>
  </si>
  <si>
    <t>S5</t>
  </si>
  <si>
    <t>vs (3-1)</t>
  </si>
  <si>
    <t>Day 2</t>
  </si>
  <si>
    <t>S3</t>
  </si>
  <si>
    <t>S6</t>
  </si>
  <si>
    <t>S7</t>
  </si>
  <si>
    <t>S1</t>
  </si>
  <si>
    <t>Roster</t>
  </si>
  <si>
    <t>Captain</t>
  </si>
  <si>
    <t>R1</t>
  </si>
  <si>
    <t>Papasnipezx</t>
  </si>
  <si>
    <t>R2</t>
  </si>
  <si>
    <t>Cosmos5024</t>
  </si>
  <si>
    <t>R3</t>
  </si>
  <si>
    <t>SUB</t>
  </si>
  <si>
    <t xml:space="preserve">Mungo Pungo </t>
  </si>
  <si>
    <t>SUB ALT</t>
  </si>
  <si>
    <t>NOPLEX</t>
  </si>
  <si>
    <t>Awaremosquito</t>
  </si>
  <si>
    <t>Teams MUST play their full roster. Subs may only be used when a player has quit.</t>
  </si>
  <si>
    <t>Seed 1</t>
  </si>
  <si>
    <t>Seed 2</t>
  </si>
  <si>
    <t>Seed 3</t>
  </si>
  <si>
    <t>Seed 4</t>
  </si>
  <si>
    <t>Seed 5</t>
  </si>
  <si>
    <t>Seed 6</t>
  </si>
  <si>
    <t>Seed 7</t>
  </si>
  <si>
    <t>Seed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</si>
</sst>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-d"/>
  </numFmts>
  <fonts count="88">
    <font>
      <sz val="10.0"/>
      <color rgb="FF000000"/>
      <name val="Arial"/>
      <scheme val="minor"/>
    </font>
    <font>
      <color theme="1"/>
      <name val="Arial"/>
    </font>
    <font>
      <sz val="36.0"/>
      <color theme="1"/>
      <name val="EB Garamond"/>
    </font>
    <font/>
    <font>
      <b/>
      <sz val="24.0"/>
      <color theme="1"/>
      <name val="Calibri"/>
    </font>
    <font>
      <sz val="14.0"/>
      <color theme="1"/>
      <name val="Oswald"/>
    </font>
    <font>
      <sz val="11.0"/>
      <color theme="1"/>
      <name val="Oswald"/>
    </font>
    <font>
      <b/>
      <color theme="1"/>
      <name val="Arial"/>
    </font>
    <font>
      <b/>
      <sz val="12.0"/>
      <color rgb="FF000000"/>
      <name val="Oswald"/>
    </font>
    <font>
      <b/>
      <color theme="1"/>
      <name val="Georgia"/>
    </font>
    <font>
      <sz val="12.0"/>
      <color theme="1"/>
      <name val="Oswald"/>
    </font>
    <font>
      <b/>
      <sz val="12.0"/>
      <color theme="1"/>
      <name val="Oswald"/>
    </font>
    <font>
      <b/>
      <sz val="11.0"/>
      <color theme="1"/>
      <name val="Merriweather"/>
    </font>
    <font>
      <b/>
      <sz val="11.0"/>
      <color rgb="FF000000"/>
      <name val="Merriweather"/>
    </font>
    <font>
      <sz val="11.0"/>
      <color theme="1"/>
      <name val="Merriweather"/>
    </font>
    <font>
      <sz val="10.0"/>
      <color theme="1"/>
      <name val="Merriweather"/>
    </font>
    <font>
      <sz val="11.0"/>
      <color rgb="FF000000"/>
      <name val="Merriweather"/>
    </font>
    <font>
      <sz val="10.0"/>
      <color rgb="FF000000"/>
      <name val="Merriweather"/>
    </font>
    <font>
      <strike/>
      <sz val="10.0"/>
      <color theme="1"/>
      <name val="Merriweather"/>
    </font>
    <font>
      <color theme="1"/>
      <name val="Calibri"/>
    </font>
    <font>
      <b/>
      <sz val="13.0"/>
      <color theme="1"/>
      <name val="Comfortaa"/>
    </font>
    <font>
      <sz val="11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sz val="10.0"/>
      <color theme="1"/>
      <name val="Lora"/>
    </font>
    <font>
      <sz val="11.0"/>
      <color theme="1"/>
      <name val="Arial"/>
    </font>
    <font>
      <b/>
      <color theme="1"/>
      <name val="Comfortaa"/>
    </font>
    <font>
      <strike/>
      <sz val="9.0"/>
      <color theme="1"/>
      <name val="Calibri"/>
    </font>
    <font>
      <b/>
      <sz val="12.0"/>
      <color theme="1"/>
      <name val="Calibri"/>
    </font>
    <font>
      <b/>
      <strike/>
      <color rgb="FF000000"/>
      <name val="Arial"/>
    </font>
    <font>
      <b/>
      <sz val="22.0"/>
      <color rgb="FFE6B8AF"/>
      <name val="Arial"/>
    </font>
    <font>
      <color rgb="FFFFFFFF"/>
      <name val="Arial"/>
    </font>
    <font>
      <b/>
      <sz val="15.0"/>
      <color theme="1"/>
      <name val="Arial"/>
    </font>
    <font>
      <b/>
      <strike/>
      <color rgb="FFFF0000"/>
      <name val="Arial"/>
    </font>
    <font>
      <b/>
      <strike/>
      <sz val="10.0"/>
      <color theme="1"/>
      <name val="Arial"/>
    </font>
    <font>
      <color rgb="FFFF0000"/>
      <name val="Arial"/>
    </font>
    <font>
      <strike/>
      <color theme="1"/>
      <name val="Arial"/>
    </font>
    <font>
      <color rgb="FF000000"/>
      <name val="Arial"/>
    </font>
    <font>
      <b/>
      <color rgb="FFFF0000"/>
      <name val="Arial"/>
    </font>
    <font>
      <b/>
      <strike/>
      <color theme="1"/>
      <name val="Arial"/>
    </font>
    <font>
      <b/>
      <color rgb="FFFF9900"/>
      <name val="Arial"/>
    </font>
    <font>
      <sz val="10.0"/>
      <color theme="1"/>
      <name val="Arial"/>
    </font>
    <font>
      <b/>
      <strike/>
      <sz val="10.0"/>
      <color rgb="FF000000"/>
      <name val="Arial"/>
    </font>
    <font>
      <b/>
      <sz val="10.0"/>
      <color theme="1"/>
      <name val="Arial"/>
    </font>
    <font>
      <strike/>
      <color rgb="FF000000"/>
      <name val="Arial"/>
    </font>
    <font>
      <b/>
      <sz val="14.0"/>
      <color rgb="FFFF0000"/>
      <name val="Arial"/>
    </font>
    <font>
      <i/>
      <color theme="1"/>
      <name val="Arial"/>
    </font>
    <font>
      <b/>
      <strike/>
      <sz val="14.0"/>
      <color rgb="FFFF0000"/>
      <name val="Arial"/>
    </font>
    <font>
      <b/>
      <color rgb="FF000000"/>
      <name val="Arial"/>
    </font>
    <font>
      <b/>
      <sz val="10.0"/>
      <color rgb="FF000000"/>
      <name val="Arial"/>
    </font>
    <font>
      <i/>
      <strike/>
      <color theme="1"/>
      <name val="Arial"/>
    </font>
    <font>
      <sz val="15.0"/>
      <color theme="1"/>
      <name val="Arial"/>
    </font>
    <font>
      <u/>
      <color rgb="FF0000FF"/>
    </font>
    <font>
      <sz val="9.0"/>
      <color rgb="FF000000"/>
      <name val="Arial"/>
    </font>
    <font>
      <sz val="20.0"/>
      <color rgb="FFFF0000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u/>
      <color rgb="FFFF0000"/>
      <name val="Arial"/>
    </font>
    <font>
      <u/>
      <color rgb="FFFF0000"/>
      <name val="Arial"/>
    </font>
    <font>
      <u/>
      <color rgb="FFFF0000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strike/>
      <color rgb="FFFF0000"/>
      <name val="Arial"/>
    </font>
    <font>
      <strike/>
      <u/>
      <color rgb="FFFF0000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strike/>
      <u/>
      <color rgb="FFFF0000"/>
    </font>
    <font>
      <u/>
      <color rgb="FF0000FF"/>
    </font>
    <font>
      <u/>
      <color rgb="FF0000FF"/>
    </font>
    <font>
      <sz val="12.0"/>
      <color rgb="FFFF0000"/>
      <name val="Arial"/>
    </font>
    <font>
      <u/>
      <color rgb="FF0000FF"/>
    </font>
    <font>
      <u/>
      <color rgb="FFFF0000"/>
      <name val="Arial"/>
    </font>
    <font>
      <sz val="25.0"/>
      <color rgb="FF000000"/>
      <name val="Arial"/>
    </font>
    <font>
      <strike/>
      <sz val="9.0"/>
      <color theme="1"/>
      <name val="Arial"/>
    </font>
    <font>
      <i/>
      <color rgb="FF000000"/>
      <name val="Arial"/>
    </font>
    <font>
      <sz val="15.0"/>
      <color rgb="FFFF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BBC04"/>
        <bgColor rgb="FFFBBC04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5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4" fontId="4" numFmtId="0" xfId="0" applyAlignment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0" fillId="4" fontId="5" numFmtId="49" xfId="0" applyAlignment="1" applyFont="1" applyNumberFormat="1">
      <alignment horizontal="center" vertical="bottom"/>
    </xf>
    <xf borderId="0" fillId="4" fontId="6" numFmtId="0" xfId="0" applyAlignment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1" numFmtId="0" xfId="0" applyAlignment="1" applyBorder="1" applyFont="1">
      <alignment vertical="bottom"/>
    </xf>
    <xf borderId="0" fillId="0" fontId="7" numFmtId="0" xfId="0" applyAlignment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0" fillId="0" fontId="9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2" fillId="6" fontId="11" numFmtId="0" xfId="0" applyAlignment="1" applyBorder="1" applyFill="1" applyFont="1">
      <alignment horizontal="center" shrinkToFit="0" vertical="center" wrapText="1"/>
    </xf>
    <xf borderId="12" fillId="7" fontId="12" numFmtId="0" xfId="0" applyAlignment="1" applyBorder="1" applyFill="1" applyFont="1">
      <alignment horizontal="center" vertical="bottom"/>
    </xf>
    <xf borderId="13" fillId="8" fontId="12" numFmtId="0" xfId="0" applyAlignment="1" applyBorder="1" applyFill="1" applyFont="1">
      <alignment horizontal="center" vertical="bottom"/>
    </xf>
    <xf borderId="13" fillId="7" fontId="12" numFmtId="0" xfId="0" applyAlignment="1" applyBorder="1" applyFont="1">
      <alignment horizontal="center" vertical="bottom"/>
    </xf>
    <xf borderId="12" fillId="7" fontId="13" numFmtId="0" xfId="0" applyAlignment="1" applyBorder="1" applyFont="1">
      <alignment horizontal="center"/>
    </xf>
    <xf borderId="0" fillId="2" fontId="1" numFmtId="0" xfId="0" applyAlignment="1" applyFont="1">
      <alignment horizontal="center" shrinkToFit="0" vertical="center" wrapText="1"/>
    </xf>
    <xf borderId="14" fillId="4" fontId="12" numFmtId="0" xfId="0" applyAlignment="1" applyBorder="1" applyFont="1">
      <alignment horizontal="center" shrinkToFit="0" vertical="center" wrapText="1"/>
    </xf>
    <xf borderId="14" fillId="4" fontId="14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center" shrinkToFit="0" vertical="center" wrapText="1"/>
    </xf>
    <xf borderId="0" fillId="4" fontId="5" numFmtId="49" xfId="0" applyAlignment="1" applyFont="1" applyNumberForma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4" fillId="7" fontId="12" numFmtId="0" xfId="0" applyAlignment="1" applyBorder="1" applyFont="1">
      <alignment horizontal="center" shrinkToFit="0" vertical="center" wrapText="1"/>
    </xf>
    <xf borderId="9" fillId="7" fontId="15" numFmtId="0" xfId="0" applyAlignment="1" applyBorder="1" applyFont="1">
      <alignment horizontal="center" shrinkToFit="0" vertical="center" wrapText="1"/>
    </xf>
    <xf borderId="14" fillId="7" fontId="16" numFmtId="0" xfId="0" applyAlignment="1" applyBorder="1" applyFont="1">
      <alignment horizontal="center"/>
    </xf>
    <xf borderId="15" fillId="4" fontId="12" numFmtId="0" xfId="0" applyAlignment="1" applyBorder="1" applyFont="1">
      <alignment horizontal="center" shrinkToFit="0" vertical="center" wrapText="1"/>
    </xf>
    <xf borderId="16" fillId="4" fontId="15" numFmtId="0" xfId="0" applyAlignment="1" applyBorder="1" applyFont="1">
      <alignment horizontal="center" shrinkToFit="0" vertical="center" wrapText="1"/>
    </xf>
    <xf borderId="16" fillId="4" fontId="17" numFmtId="0" xfId="0" applyAlignment="1" applyBorder="1" applyFont="1">
      <alignment horizontal="center" shrinkToFit="0" vertical="center" wrapText="1"/>
    </xf>
    <xf borderId="17" fillId="4" fontId="15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9" fillId="7" fontId="18" numFmtId="0" xfId="0" applyAlignment="1" applyBorder="1" applyFont="1">
      <alignment horizontal="center" shrinkToFit="0" vertical="center" wrapText="1"/>
    </xf>
    <xf borderId="14" fillId="7" fontId="13" numFmtId="0" xfId="0" applyAlignment="1" applyBorder="1" applyFont="1">
      <alignment horizontal="center"/>
    </xf>
    <xf borderId="15" fillId="7" fontId="13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center"/>
    </xf>
    <xf borderId="0" fillId="9" fontId="1" numFmtId="0" xfId="0" applyAlignment="1" applyFill="1" applyFont="1">
      <alignment vertical="center"/>
    </xf>
    <xf borderId="0" fillId="2" fontId="1" numFmtId="0" xfId="0" applyAlignment="1" applyFont="1">
      <alignment vertical="center"/>
    </xf>
    <xf borderId="0" fillId="4" fontId="19" numFmtId="0" xfId="0" applyAlignment="1" applyFont="1">
      <alignment horizontal="center" vertical="bottom"/>
    </xf>
    <xf borderId="18" fillId="10" fontId="20" numFmtId="0" xfId="0" applyAlignment="1" applyBorder="1" applyFill="1" applyFont="1">
      <alignment horizontal="center"/>
    </xf>
    <xf borderId="19" fillId="10" fontId="20" numFmtId="0" xfId="0" applyAlignment="1" applyBorder="1" applyFont="1">
      <alignment horizontal="center"/>
    </xf>
    <xf borderId="20" fillId="10" fontId="20" numFmtId="0" xfId="0" applyAlignment="1" applyBorder="1" applyFont="1">
      <alignment horizontal="center"/>
    </xf>
    <xf borderId="21" fillId="10" fontId="20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11" fontId="1" numFmtId="0" xfId="0" applyAlignment="1" applyFill="1" applyFont="1">
      <alignment horizontal="center" vertical="bottom"/>
    </xf>
    <xf borderId="0" fillId="12" fontId="21" numFmtId="0" xfId="0" applyAlignment="1" applyFill="1" applyFont="1">
      <alignment horizontal="center"/>
    </xf>
    <xf borderId="0" fillId="12" fontId="22" numFmtId="0" xfId="0" applyAlignment="1" applyFont="1">
      <alignment horizontal="center"/>
    </xf>
    <xf borderId="0" fillId="9" fontId="23" numFmtId="0" xfId="0" applyAlignment="1" applyFont="1">
      <alignment horizontal="center" vertical="center"/>
    </xf>
    <xf borderId="5" fillId="9" fontId="23" numFmtId="0" xfId="0" applyAlignment="1" applyBorder="1" applyFont="1">
      <alignment horizontal="center" vertical="center"/>
    </xf>
    <xf borderId="0" fillId="9" fontId="7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0" fontId="19" numFmtId="0" xfId="0" applyAlignment="1" applyFont="1">
      <alignment horizontal="center" vertical="bottom"/>
    </xf>
    <xf borderId="0" fillId="0" fontId="24" numFmtId="0" xfId="0" applyAlignment="1" applyFont="1">
      <alignment horizontal="center"/>
    </xf>
    <xf borderId="0" fillId="2" fontId="15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horizontal="center" vertical="bottom"/>
    </xf>
    <xf borderId="0" fillId="13" fontId="25" numFmtId="164" xfId="0" applyAlignment="1" applyFill="1" applyFont="1" applyNumberFormat="1">
      <alignment horizontal="center" vertical="bottom"/>
    </xf>
    <xf borderId="0" fillId="14" fontId="25" numFmtId="164" xfId="0" applyAlignment="1" applyFill="1" applyFont="1" applyNumberFormat="1">
      <alignment horizontal="center" vertical="bottom"/>
    </xf>
    <xf borderId="4" fillId="0" fontId="26" numFmtId="0" xfId="0" applyAlignment="1" applyBorder="1" applyFont="1">
      <alignment horizontal="center"/>
    </xf>
    <xf borderId="0" fillId="7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13" fontId="1" numFmtId="0" xfId="0" applyAlignment="1" applyFont="1">
      <alignment horizontal="center" shrinkToFit="0" wrapText="1"/>
    </xf>
    <xf borderId="0" fillId="12" fontId="27" numFmtId="0" xfId="0" applyAlignment="1" applyFont="1">
      <alignment horizontal="center"/>
    </xf>
    <xf borderId="6" fillId="0" fontId="26" numFmtId="0" xfId="0" applyAlignment="1" applyBorder="1" applyFont="1">
      <alignment horizontal="center"/>
    </xf>
    <xf borderId="0" fillId="15" fontId="1" numFmtId="0" xfId="0" applyAlignment="1" applyFill="1" applyFont="1">
      <alignment horizontal="center" vertical="bottom"/>
    </xf>
    <xf borderId="0" fillId="12" fontId="22" numFmtId="0" xfId="0" applyAlignment="1" applyFont="1">
      <alignment horizontal="center" vertical="bottom"/>
    </xf>
    <xf borderId="0" fillId="12" fontId="21" numFmtId="0" xfId="0" applyAlignment="1" applyFont="1">
      <alignment horizontal="center" vertical="bottom"/>
    </xf>
    <xf borderId="0" fillId="7" fontId="1" numFmtId="0" xfId="0" applyAlignment="1" applyFont="1">
      <alignment horizontal="center" shrinkToFit="0" wrapText="1"/>
    </xf>
    <xf borderId="0" fillId="16" fontId="25" numFmtId="164" xfId="0" applyAlignment="1" applyFill="1" applyFont="1" applyNumberFormat="1">
      <alignment horizontal="center" vertical="bottom"/>
    </xf>
    <xf borderId="5" fillId="9" fontId="28" numFmtId="0" xfId="0" applyAlignment="1" applyBorder="1" applyFont="1">
      <alignment horizontal="center" shrinkToFit="0" vertical="center" wrapText="1"/>
    </xf>
    <xf borderId="0" fillId="14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17" fontId="1" numFmtId="0" xfId="0" applyAlignment="1" applyFill="1" applyFont="1">
      <alignment horizontal="center" vertical="bottom"/>
    </xf>
    <xf borderId="0" fillId="16" fontId="1" numFmtId="0" xfId="0" applyAlignment="1" applyFont="1">
      <alignment horizontal="center" shrinkToFit="0" wrapText="1"/>
    </xf>
    <xf borderId="0" fillId="17" fontId="1" numFmtId="0" xfId="0" applyAlignment="1" applyFont="1">
      <alignment horizontal="center"/>
    </xf>
    <xf borderId="0" fillId="12" fontId="1" numFmtId="0" xfId="0" applyAlignment="1" applyFont="1">
      <alignment horizontal="center"/>
    </xf>
    <xf borderId="4" fillId="2" fontId="21" numFmtId="0" xfId="0" applyAlignment="1" applyBorder="1" applyFont="1">
      <alignment horizontal="center" vertical="bottom"/>
    </xf>
    <xf borderId="0" fillId="2" fontId="21" numFmtId="0" xfId="0" applyAlignment="1" applyFont="1">
      <alignment horizontal="center" vertical="bottom"/>
    </xf>
    <xf borderId="0" fillId="2" fontId="21" numFmtId="0" xfId="0" applyAlignment="1" applyFont="1">
      <alignment horizontal="center"/>
    </xf>
    <xf borderId="0" fillId="2" fontId="22" numFmtId="0" xfId="0" applyAlignment="1" applyFont="1">
      <alignment horizontal="center"/>
    </xf>
    <xf borderId="22" fillId="2" fontId="1" numFmtId="0" xfId="0" applyBorder="1" applyFont="1"/>
    <xf borderId="4" fillId="4" fontId="21" numFmtId="0" xfId="0" applyAlignment="1" applyBorder="1" applyFont="1">
      <alignment horizontal="center" vertical="bottom"/>
    </xf>
    <xf borderId="0" fillId="4" fontId="21" numFmtId="0" xfId="0" applyAlignment="1" applyFont="1">
      <alignment horizontal="center"/>
    </xf>
    <xf borderId="0" fillId="4" fontId="22" numFmtId="0" xfId="0" applyAlignment="1" applyFont="1">
      <alignment horizontal="center"/>
    </xf>
    <xf borderId="4" fillId="0" fontId="21" numFmtId="0" xfId="0" applyAlignment="1" applyBorder="1" applyFont="1">
      <alignment horizontal="center"/>
    </xf>
    <xf borderId="0" fillId="0" fontId="21" numFmtId="0" xfId="0" applyFont="1"/>
    <xf borderId="0" fillId="0" fontId="22" numFmtId="0" xfId="0" applyFont="1"/>
    <xf borderId="14" fillId="7" fontId="12" numFmtId="0" xfId="0" applyAlignment="1" applyBorder="1" applyFont="1">
      <alignment horizontal="center" vertical="bottom"/>
    </xf>
    <xf borderId="14" fillId="13" fontId="12" numFmtId="0" xfId="0" applyAlignment="1" applyBorder="1" applyFont="1">
      <alignment horizontal="center" vertical="bottom"/>
    </xf>
    <xf borderId="9" fillId="8" fontId="12" numFmtId="0" xfId="0" applyAlignment="1" applyBorder="1" applyFont="1">
      <alignment horizontal="center" vertical="bottom"/>
    </xf>
    <xf borderId="9" fillId="15" fontId="12" numFmtId="0" xfId="0" applyAlignment="1" applyBorder="1" applyFont="1">
      <alignment horizontal="center" vertical="bottom"/>
    </xf>
    <xf borderId="9" fillId="17" fontId="12" numFmtId="0" xfId="0" applyAlignment="1" applyBorder="1" applyFont="1">
      <alignment horizontal="center" vertical="bottom"/>
    </xf>
    <xf borderId="9" fillId="13" fontId="12" numFmtId="0" xfId="0" applyAlignment="1" applyBorder="1" applyFont="1">
      <alignment horizontal="center" vertical="bottom"/>
    </xf>
    <xf borderId="9" fillId="7" fontId="12" numFmtId="0" xfId="0" applyAlignment="1" applyBorder="1" applyFont="1">
      <alignment horizontal="center" vertical="bottom"/>
    </xf>
    <xf borderId="14" fillId="14" fontId="12" numFmtId="0" xfId="0" applyAlignment="1" applyBorder="1" applyFont="1">
      <alignment horizontal="center" vertical="bottom"/>
    </xf>
    <xf borderId="9" fillId="11" fontId="12" numFmtId="0" xfId="0" applyAlignment="1" applyBorder="1" applyFont="1">
      <alignment horizontal="center" vertical="bottom"/>
    </xf>
    <xf borderId="9" fillId="16" fontId="12" numFmtId="0" xfId="0" applyAlignment="1" applyBorder="1" applyFont="1">
      <alignment horizontal="center" vertical="bottom"/>
    </xf>
    <xf borderId="9" fillId="7" fontId="14" numFmtId="0" xfId="0" applyAlignment="1" applyBorder="1" applyFont="1">
      <alignment horizontal="center" shrinkToFit="0" vertical="center" wrapText="1"/>
    </xf>
    <xf borderId="9" fillId="11" fontId="14" numFmtId="0" xfId="0" applyAlignment="1" applyBorder="1" applyFont="1">
      <alignment horizontal="center" shrinkToFit="0" vertical="center" wrapText="1"/>
    </xf>
    <xf borderId="9" fillId="16" fontId="14" numFmtId="0" xfId="0" applyAlignment="1" applyBorder="1" applyFont="1">
      <alignment horizontal="center" shrinkToFit="0" vertical="center" wrapText="1"/>
    </xf>
    <xf borderId="14" fillId="16" fontId="14" numFmtId="0" xfId="0" applyAlignment="1" applyBorder="1" applyFont="1">
      <alignment horizontal="center" shrinkToFit="0" vertical="center" wrapText="1"/>
    </xf>
    <xf borderId="14" fillId="7" fontId="14" numFmtId="0" xfId="0" applyAlignment="1" applyBorder="1" applyFont="1">
      <alignment horizontal="center" shrinkToFit="0" vertical="center" wrapText="1"/>
    </xf>
    <xf borderId="9" fillId="13" fontId="14" numFmtId="0" xfId="0" applyAlignment="1" applyBorder="1" applyFont="1">
      <alignment horizontal="center" shrinkToFit="0" vertical="center" wrapText="1"/>
    </xf>
    <xf borderId="9" fillId="11" fontId="15" numFmtId="0" xfId="0" applyAlignment="1" applyBorder="1" applyFont="1">
      <alignment horizontal="center" shrinkToFit="0" vertical="center" wrapText="1"/>
    </xf>
    <xf borderId="9" fillId="13" fontId="15" numFmtId="0" xfId="0" applyAlignment="1" applyBorder="1" applyFont="1">
      <alignment horizontal="center" shrinkToFit="0" vertical="center" wrapText="1"/>
    </xf>
    <xf borderId="9" fillId="14" fontId="15" numFmtId="0" xfId="0" applyAlignment="1" applyBorder="1" applyFont="1">
      <alignment horizontal="center" shrinkToFit="0" vertical="center" wrapText="1"/>
    </xf>
    <xf borderId="9" fillId="18" fontId="15" numFmtId="0" xfId="0" applyAlignment="1" applyBorder="1" applyFill="1" applyFont="1">
      <alignment horizontal="center" shrinkToFit="0" vertical="center" wrapText="1"/>
    </xf>
    <xf borderId="23" fillId="14" fontId="16" numFmtId="0" xfId="0" applyAlignment="1" applyBorder="1" applyFont="1">
      <alignment horizontal="center"/>
    </xf>
    <xf borderId="0" fillId="18" fontId="15" numFmtId="0" xfId="0" applyAlignment="1" applyFont="1">
      <alignment horizontal="center" shrinkToFit="0" vertical="center" wrapText="1"/>
    </xf>
    <xf borderId="9" fillId="15" fontId="15" numFmtId="0" xfId="0" applyAlignment="1" applyBorder="1" applyFont="1">
      <alignment horizontal="center" shrinkToFit="0" vertical="center" wrapText="1"/>
    </xf>
    <xf borderId="9" fillId="13" fontId="16" numFmtId="0" xfId="0" applyAlignment="1" applyBorder="1" applyFont="1">
      <alignment horizontal="center"/>
    </xf>
    <xf borderId="9" fillId="13" fontId="17" numFmtId="0" xfId="0" applyAlignment="1" applyBorder="1" applyFont="1">
      <alignment horizontal="center" shrinkToFit="0" vertical="center" wrapText="1"/>
    </xf>
    <xf borderId="9" fillId="15" fontId="17" numFmtId="0" xfId="0" applyAlignment="1" applyBorder="1" applyFont="1">
      <alignment horizontal="center" shrinkToFit="0" vertical="center" wrapText="1"/>
    </xf>
    <xf borderId="9" fillId="17" fontId="15" numFmtId="0" xfId="0" applyAlignment="1" applyBorder="1" applyFont="1">
      <alignment horizontal="center" shrinkToFit="0" vertical="center" wrapText="1"/>
    </xf>
    <xf borderId="9" fillId="14" fontId="17" numFmtId="0" xfId="0" applyAlignment="1" applyBorder="1" applyFont="1">
      <alignment horizontal="center" shrinkToFit="0" vertical="center" wrapText="1"/>
    </xf>
    <xf borderId="23" fillId="17" fontId="15" numFmtId="0" xfId="0" applyAlignment="1" applyBorder="1" applyFont="1">
      <alignment horizontal="center" shrinkToFit="0" vertical="center" wrapText="1"/>
    </xf>
    <xf borderId="9" fillId="17" fontId="1" numFmtId="0" xfId="0" applyAlignment="1" applyBorder="1" applyFont="1">
      <alignment horizontal="center" vertical="bottom"/>
    </xf>
    <xf borderId="16" fillId="17" fontId="15" numFmtId="0" xfId="0" applyAlignment="1" applyBorder="1" applyFont="1">
      <alignment horizontal="center" shrinkToFit="0" vertical="center" wrapText="1"/>
    </xf>
    <xf borderId="9" fillId="15" fontId="1" numFmtId="0" xfId="0" applyAlignment="1" applyBorder="1" applyFont="1">
      <alignment horizontal="center" vertical="bottom"/>
    </xf>
    <xf borderId="0" fillId="7" fontId="12" numFmtId="0" xfId="0" applyAlignment="1" applyFont="1">
      <alignment horizontal="center" shrinkToFit="0" vertical="center" wrapText="1"/>
    </xf>
    <xf borderId="0" fillId="7" fontId="15" numFmtId="0" xfId="0" applyAlignment="1" applyFont="1">
      <alignment horizontal="center" shrinkToFit="0" vertical="center" wrapText="1"/>
    </xf>
    <xf borderId="0" fillId="17" fontId="15" numFmtId="0" xfId="0" applyAlignment="1" applyFont="1">
      <alignment horizontal="center" shrinkToFit="0" vertical="center" wrapText="1"/>
    </xf>
    <xf borderId="0" fillId="7" fontId="18" numFmtId="0" xfId="0" applyAlignment="1" applyFont="1">
      <alignment horizontal="center" shrinkToFit="0" vertical="center" wrapText="1"/>
    </xf>
    <xf borderId="0" fillId="7" fontId="13" numFmtId="0" xfId="0" applyAlignment="1" applyFont="1">
      <alignment horizontal="center"/>
    </xf>
    <xf borderId="24" fillId="2" fontId="29" numFmtId="0" xfId="0" applyAlignment="1" applyBorder="1" applyFont="1">
      <alignment horizontal="center" shrinkToFit="0" vertical="center" wrapText="1"/>
    </xf>
    <xf borderId="0" fillId="2" fontId="30" numFmtId="0" xfId="0" applyAlignment="1" applyFont="1">
      <alignment horizontal="left"/>
    </xf>
    <xf borderId="24" fillId="2" fontId="30" numFmtId="0" xfId="0" applyAlignment="1" applyBorder="1" applyFont="1">
      <alignment horizontal="left"/>
    </xf>
    <xf borderId="0" fillId="2" fontId="30" numFmtId="0" xfId="0" applyAlignment="1" applyFont="1">
      <alignment horizontal="center"/>
    </xf>
    <xf borderId="25" fillId="2" fontId="31" numFmtId="0" xfId="0" applyBorder="1" applyFont="1"/>
    <xf borderId="26" fillId="0" fontId="32" numFmtId="0" xfId="0" applyAlignment="1" applyBorder="1" applyFont="1">
      <alignment horizontal="center" vertical="bottom"/>
    </xf>
    <xf borderId="27" fillId="2" fontId="1" numFmtId="0" xfId="0" applyBorder="1" applyFont="1"/>
    <xf borderId="28" fillId="0" fontId="32" numFmtId="0" xfId="0" applyAlignment="1" applyBorder="1" applyFont="1">
      <alignment horizontal="center"/>
    </xf>
    <xf borderId="0" fillId="0" fontId="32" numFmtId="0" xfId="0" applyAlignment="1" applyFont="1">
      <alignment horizontal="center"/>
    </xf>
    <xf borderId="0" fillId="2" fontId="1" numFmtId="0" xfId="0" applyAlignment="1" applyFont="1">
      <alignment horizontal="center"/>
    </xf>
    <xf borderId="29" fillId="0" fontId="32" numFmtId="0" xfId="0" applyAlignment="1" applyBorder="1" applyFont="1">
      <alignment horizontal="center"/>
    </xf>
    <xf borderId="30" fillId="0" fontId="32" numFmtId="0" xfId="0" applyAlignment="1" applyBorder="1" applyFont="1">
      <alignment horizontal="center"/>
    </xf>
    <xf borderId="31" fillId="0" fontId="32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32" fillId="2" fontId="1" numFmtId="0" xfId="0" applyAlignment="1" applyBorder="1" applyFont="1">
      <alignment horizontal="center"/>
    </xf>
    <xf borderId="27" fillId="19" fontId="7" numFmtId="0" xfId="0" applyAlignment="1" applyBorder="1" applyFill="1" applyFont="1">
      <alignment horizontal="center" vertical="bottom"/>
    </xf>
    <xf borderId="33" fillId="19" fontId="33" numFmtId="0" xfId="0" applyAlignment="1" applyBorder="1" applyFont="1">
      <alignment horizontal="center" vertical="bottom"/>
    </xf>
    <xf borderId="27" fillId="19" fontId="7" numFmtId="0" xfId="0" applyAlignment="1" applyBorder="1" applyFont="1">
      <alignment horizontal="center"/>
    </xf>
    <xf borderId="34" fillId="12" fontId="34" numFmtId="0" xfId="0" applyAlignment="1" applyBorder="1" applyFont="1">
      <alignment horizontal="center"/>
    </xf>
    <xf borderId="12" fillId="19" fontId="7" numFmtId="0" xfId="0" applyAlignment="1" applyBorder="1" applyFont="1">
      <alignment horizontal="center"/>
    </xf>
    <xf borderId="0" fillId="2" fontId="35" numFmtId="0" xfId="0" applyFont="1"/>
    <xf borderId="34" fillId="6" fontId="7" numFmtId="0" xfId="0" applyAlignment="1" applyBorder="1" applyFont="1">
      <alignment horizontal="center" vertical="center"/>
    </xf>
    <xf borderId="0" fillId="6" fontId="7" numFmtId="3" xfId="0" applyAlignment="1" applyFont="1" applyNumberFormat="1">
      <alignment horizontal="center" vertical="center"/>
    </xf>
    <xf borderId="33" fillId="20" fontId="7" numFmtId="3" xfId="0" applyAlignment="1" applyBorder="1" applyFill="1" applyFont="1" applyNumberFormat="1">
      <alignment horizontal="center" vertical="center"/>
    </xf>
    <xf borderId="27" fillId="2" fontId="1" numFmtId="0" xfId="0" applyAlignment="1" applyBorder="1" applyFont="1">
      <alignment horizontal="center"/>
    </xf>
    <xf borderId="0" fillId="19" fontId="7" numFmtId="0" xfId="0" applyAlignment="1" applyFont="1">
      <alignment horizontal="center"/>
    </xf>
    <xf borderId="0" fillId="21" fontId="34" numFmtId="0" xfId="0" applyAlignment="1" applyFill="1" applyFont="1">
      <alignment horizontal="center"/>
    </xf>
    <xf borderId="14" fillId="6" fontId="7" numFmtId="0" xfId="0" applyAlignment="1" applyBorder="1" applyFont="1">
      <alignment horizontal="center"/>
    </xf>
    <xf borderId="34" fillId="18" fontId="7" numFmtId="0" xfId="0" applyAlignment="1" applyBorder="1" applyFont="1">
      <alignment horizontal="center" vertical="center"/>
    </xf>
    <xf borderId="0" fillId="18" fontId="7" numFmtId="3" xfId="0" applyAlignment="1" applyFont="1" applyNumberFormat="1">
      <alignment horizontal="center" vertical="center"/>
    </xf>
    <xf borderId="33" fillId="19" fontId="7" numFmtId="3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horizontal="center"/>
    </xf>
    <xf borderId="0" fillId="12" fontId="34" numFmtId="0" xfId="0" applyAlignment="1" applyFont="1">
      <alignment horizontal="center"/>
    </xf>
    <xf borderId="14" fillId="22" fontId="7" numFmtId="0" xfId="0" applyAlignment="1" applyBorder="1" applyFill="1" applyFont="1">
      <alignment horizontal="center"/>
    </xf>
    <xf borderId="34" fillId="16" fontId="7" numFmtId="0" xfId="0" applyAlignment="1" applyBorder="1" applyFont="1">
      <alignment horizontal="center" vertical="center"/>
    </xf>
    <xf borderId="0" fillId="16" fontId="7" numFmtId="3" xfId="0" applyAlignment="1" applyFont="1" applyNumberFormat="1">
      <alignment horizontal="center" vertical="center"/>
    </xf>
    <xf borderId="33" fillId="6" fontId="7" numFmtId="3" xfId="0" applyAlignment="1" applyBorder="1" applyFont="1" applyNumberFormat="1">
      <alignment horizontal="center" vertical="center"/>
    </xf>
    <xf borderId="27" fillId="6" fontId="7" numFmtId="0" xfId="0" applyAlignment="1" applyBorder="1" applyFont="1">
      <alignment horizontal="center" vertical="bottom"/>
    </xf>
    <xf borderId="33" fillId="6" fontId="36" numFmtId="0" xfId="0" applyAlignment="1" applyBorder="1" applyFont="1">
      <alignment horizontal="center" vertical="bottom"/>
    </xf>
    <xf borderId="27" fillId="2" fontId="37" numFmtId="0" xfId="0" applyBorder="1" applyFont="1"/>
    <xf borderId="0" fillId="6" fontId="34" numFmtId="0" xfId="0" applyAlignment="1" applyFont="1">
      <alignment horizontal="center"/>
    </xf>
    <xf borderId="34" fillId="23" fontId="34" numFmtId="0" xfId="0" applyAlignment="1" applyBorder="1" applyFill="1" applyFont="1">
      <alignment horizontal="center"/>
    </xf>
    <xf borderId="14" fillId="24" fontId="7" numFmtId="0" xfId="0" applyAlignment="1" applyBorder="1" applyFill="1" applyFont="1">
      <alignment horizontal="center"/>
    </xf>
    <xf borderId="34" fillId="19" fontId="7" numFmtId="0" xfId="0" applyAlignment="1" applyBorder="1" applyFont="1">
      <alignment horizontal="center" vertical="center"/>
    </xf>
    <xf borderId="0" fillId="19" fontId="7" numFmtId="3" xfId="0" applyAlignment="1" applyFont="1" applyNumberFormat="1">
      <alignment horizontal="center" vertical="center"/>
    </xf>
    <xf borderId="33" fillId="22" fontId="7" numFmtId="3" xfId="0" applyAlignment="1" applyBorder="1" applyFont="1" applyNumberFormat="1">
      <alignment horizontal="center" vertical="center"/>
    </xf>
    <xf borderId="14" fillId="25" fontId="7" numFmtId="0" xfId="0" applyAlignment="1" applyBorder="1" applyFill="1" applyFont="1">
      <alignment horizontal="center"/>
    </xf>
    <xf borderId="34" fillId="7" fontId="7" numFmtId="0" xfId="0" applyAlignment="1" applyBorder="1" applyFont="1">
      <alignment horizontal="center" vertical="center"/>
    </xf>
    <xf borderId="0" fillId="7" fontId="7" numFmtId="3" xfId="0" applyAlignment="1" applyFont="1" applyNumberFormat="1">
      <alignment horizontal="center" vertical="center"/>
    </xf>
    <xf borderId="33" fillId="24" fontId="7" numFmtId="3" xfId="0" applyAlignment="1" applyBorder="1" applyFont="1" applyNumberFormat="1">
      <alignment horizontal="center" vertical="center"/>
    </xf>
    <xf borderId="0" fillId="23" fontId="34" numFmtId="0" xfId="0" applyAlignment="1" applyFont="1">
      <alignment horizontal="center"/>
    </xf>
    <xf borderId="14" fillId="16" fontId="7" numFmtId="0" xfId="0" applyAlignment="1" applyBorder="1" applyFont="1">
      <alignment horizontal="center"/>
    </xf>
    <xf borderId="34" fillId="25" fontId="7" numFmtId="0" xfId="0" applyAlignment="1" applyBorder="1" applyFont="1">
      <alignment horizontal="center" vertical="center"/>
    </xf>
    <xf borderId="0" fillId="25" fontId="7" numFmtId="3" xfId="0" applyAlignment="1" applyFont="1" applyNumberFormat="1">
      <alignment horizontal="center" vertical="center"/>
    </xf>
    <xf borderId="33" fillId="25" fontId="7" numFmtId="3" xfId="0" applyAlignment="1" applyBorder="1" applyFont="1" applyNumberFormat="1">
      <alignment horizontal="center" vertical="center"/>
    </xf>
    <xf borderId="27" fillId="22" fontId="7" numFmtId="0" xfId="0" applyAlignment="1" applyBorder="1" applyFont="1">
      <alignment horizontal="center" vertical="bottom"/>
    </xf>
    <xf borderId="33" fillId="22" fontId="33" numFmtId="0" xfId="0" applyAlignment="1" applyBorder="1" applyFont="1">
      <alignment horizontal="center" vertical="bottom"/>
    </xf>
    <xf borderId="0" fillId="22" fontId="38" numFmtId="0" xfId="0" applyAlignment="1" applyFont="1">
      <alignment horizontal="center"/>
    </xf>
    <xf borderId="15" fillId="18" fontId="7" numFmtId="0" xfId="0" applyAlignment="1" applyBorder="1" applyFont="1">
      <alignment horizontal="center"/>
    </xf>
    <xf borderId="34" fillId="20" fontId="7" numFmtId="0" xfId="0" applyAlignment="1" applyBorder="1" applyFont="1">
      <alignment horizontal="center" vertical="center"/>
    </xf>
    <xf borderId="0" fillId="20" fontId="7" numFmtId="3" xfId="0" applyAlignment="1" applyFont="1" applyNumberFormat="1">
      <alignment horizontal="center" vertical="center"/>
    </xf>
    <xf borderId="33" fillId="16" fontId="7" numFmtId="3" xfId="0" applyAlignment="1" applyBorder="1" applyFont="1" applyNumberFormat="1">
      <alignment horizontal="center" vertical="center"/>
    </xf>
    <xf borderId="0" fillId="22" fontId="29" numFmtId="0" xfId="0" applyAlignment="1" applyFont="1">
      <alignment horizontal="center"/>
    </xf>
    <xf borderId="27" fillId="12" fontId="34" numFmtId="0" xfId="0" applyAlignment="1" applyBorder="1" applyFont="1">
      <alignment horizontal="center"/>
    </xf>
    <xf borderId="0" fillId="2" fontId="38" numFmtId="0" xfId="0" applyAlignment="1" applyFont="1">
      <alignment horizontal="center" shrinkToFit="0" wrapText="0"/>
    </xf>
    <xf borderId="34" fillId="24" fontId="7" numFmtId="0" xfId="0" applyAlignment="1" applyBorder="1" applyFont="1">
      <alignment horizontal="center" vertical="center"/>
    </xf>
    <xf borderId="0" fillId="24" fontId="7" numFmtId="3" xfId="0" applyAlignment="1" applyFont="1" applyNumberFormat="1">
      <alignment horizontal="center" vertical="center"/>
    </xf>
    <xf borderId="33" fillId="18" fontId="7" numFmtId="3" xfId="0" applyAlignment="1" applyBorder="1" applyFont="1" applyNumberFormat="1">
      <alignment horizontal="center" vertical="center"/>
    </xf>
    <xf borderId="27" fillId="24" fontId="7" numFmtId="0" xfId="0" applyAlignment="1" applyBorder="1" applyFont="1">
      <alignment horizontal="center" vertical="bottom"/>
    </xf>
    <xf borderId="33" fillId="24" fontId="33" numFmtId="0" xfId="0" applyAlignment="1" applyBorder="1" applyFont="1">
      <alignment horizontal="center" vertical="bottom"/>
    </xf>
    <xf borderId="0" fillId="24" fontId="39" numFmtId="0" xfId="0" applyAlignment="1" applyFont="1">
      <alignment horizontal="center"/>
    </xf>
    <xf borderId="0" fillId="2" fontId="33" numFmtId="0" xfId="0" applyAlignment="1" applyFont="1">
      <alignment horizontal="center" shrinkToFit="0" wrapText="0"/>
    </xf>
    <xf borderId="35" fillId="2" fontId="35" numFmtId="0" xfId="0" applyBorder="1" applyFont="1"/>
    <xf borderId="36" fillId="26" fontId="7" numFmtId="0" xfId="0" applyAlignment="1" applyBorder="1" applyFill="1" applyFont="1">
      <alignment horizontal="center" vertical="center"/>
    </xf>
    <xf borderId="35" fillId="26" fontId="7" numFmtId="3" xfId="0" applyAlignment="1" applyBorder="1" applyFont="1" applyNumberFormat="1">
      <alignment horizontal="center" vertical="center"/>
    </xf>
    <xf borderId="37" fillId="7" fontId="7" numFmtId="3" xfId="0" applyAlignment="1" applyBorder="1" applyFont="1" applyNumberFormat="1">
      <alignment horizontal="center" vertical="center"/>
    </xf>
    <xf borderId="38" fillId="2" fontId="1" numFmtId="0" xfId="0" applyAlignment="1" applyBorder="1" applyFont="1">
      <alignment horizontal="center"/>
    </xf>
    <xf borderId="33" fillId="24" fontId="36" numFmtId="0" xfId="0" applyAlignment="1" applyBorder="1" applyFont="1">
      <alignment horizontal="center" vertical="bottom"/>
    </xf>
    <xf borderId="34" fillId="22" fontId="7" numFmtId="0" xfId="0" applyAlignment="1" applyBorder="1" applyFont="1">
      <alignment horizontal="center" vertical="center"/>
    </xf>
    <xf borderId="0" fillId="22" fontId="7" numFmtId="3" xfId="0" applyAlignment="1" applyFont="1" applyNumberFormat="1">
      <alignment horizontal="center" vertical="center"/>
    </xf>
    <xf borderId="33" fillId="5" fontId="7" numFmtId="3" xfId="0" applyAlignment="1" applyBorder="1" applyFont="1" applyNumberFormat="1">
      <alignment horizontal="center" vertical="center"/>
    </xf>
    <xf borderId="27" fillId="23" fontId="34" numFmtId="0" xfId="0" applyAlignment="1" applyBorder="1" applyFont="1">
      <alignment horizontal="center"/>
    </xf>
    <xf borderId="0" fillId="2" fontId="40" numFmtId="0" xfId="0" applyAlignment="1" applyFont="1">
      <alignment horizontal="center" shrinkToFit="0" wrapText="1"/>
    </xf>
    <xf borderId="34" fillId="5" fontId="7" numFmtId="0" xfId="0" applyAlignment="1" applyBorder="1" applyFont="1">
      <alignment horizontal="center" vertical="center"/>
    </xf>
    <xf borderId="0" fillId="5" fontId="7" numFmtId="3" xfId="0" applyAlignment="1" applyFont="1" applyNumberFormat="1">
      <alignment horizontal="center" vertical="center"/>
    </xf>
    <xf borderId="33" fillId="27" fontId="7" numFmtId="3" xfId="0" applyAlignment="1" applyBorder="1" applyFill="1" applyFont="1" applyNumberFormat="1">
      <alignment horizontal="center" vertical="center"/>
    </xf>
    <xf borderId="0" fillId="24" fontId="1" numFmtId="0" xfId="0" applyAlignment="1" applyFont="1">
      <alignment horizontal="center"/>
    </xf>
    <xf borderId="39" fillId="27" fontId="7" numFmtId="0" xfId="0" applyAlignment="1" applyBorder="1" applyFont="1">
      <alignment horizontal="center" vertical="center"/>
    </xf>
    <xf borderId="40" fillId="27" fontId="7" numFmtId="3" xfId="0" applyAlignment="1" applyBorder="1" applyFont="1" applyNumberFormat="1">
      <alignment horizontal="center" vertical="center"/>
    </xf>
    <xf borderId="26" fillId="26" fontId="7" numFmtId="3" xfId="0" applyAlignment="1" applyBorder="1" applyFont="1" applyNumberFormat="1">
      <alignment horizontal="center" vertical="center"/>
    </xf>
    <xf borderId="34" fillId="2" fontId="7" numFmtId="0" xfId="0" applyAlignment="1" applyBorder="1" applyFont="1">
      <alignment horizontal="center" vertical="center"/>
    </xf>
    <xf borderId="0" fillId="2" fontId="7" numFmtId="3" xfId="0" applyAlignment="1" applyFont="1" applyNumberFormat="1">
      <alignment horizontal="center" vertical="center"/>
    </xf>
    <xf borderId="33" fillId="2" fontId="7" numFmtId="3" xfId="0" applyAlignment="1" applyBorder="1" applyFont="1" applyNumberFormat="1">
      <alignment horizontal="center" vertical="center"/>
    </xf>
    <xf borderId="27" fillId="25" fontId="7" numFmtId="0" xfId="0" applyAlignment="1" applyBorder="1" applyFont="1">
      <alignment horizontal="center" vertical="bottom"/>
    </xf>
    <xf borderId="33" fillId="25" fontId="38" numFmtId="0" xfId="0" applyAlignment="1" applyBorder="1" applyFont="1">
      <alignment horizontal="center" vertical="bottom"/>
    </xf>
    <xf borderId="27" fillId="2" fontId="41" numFmtId="0" xfId="0" applyBorder="1" applyFont="1"/>
    <xf borderId="0" fillId="25" fontId="39" numFmtId="0" xfId="0" applyAlignment="1" applyFont="1">
      <alignment horizontal="center"/>
    </xf>
    <xf borderId="33" fillId="25" fontId="36" numFmtId="0" xfId="0" applyAlignment="1" applyBorder="1" applyFont="1">
      <alignment horizontal="center" vertical="bottom"/>
    </xf>
    <xf borderId="0" fillId="12" fontId="42" numFmtId="0" xfId="0" applyAlignment="1" applyFont="1">
      <alignment horizontal="center"/>
    </xf>
    <xf borderId="33" fillId="2" fontId="7" numFmtId="0" xfId="0" applyAlignment="1" applyBorder="1" applyFont="1">
      <alignment horizontal="center"/>
    </xf>
    <xf borderId="0" fillId="25" fontId="1" numFmtId="0" xfId="0" applyAlignment="1" applyFont="1">
      <alignment horizontal="center"/>
    </xf>
    <xf borderId="34" fillId="2" fontId="1" numFmtId="0" xfId="0" applyAlignment="1" applyBorder="1" applyFont="1">
      <alignment horizontal="center" vertical="center"/>
    </xf>
    <xf borderId="0" fillId="2" fontId="38" numFmtId="3" xfId="0" applyAlignment="1" applyFont="1" applyNumberFormat="1">
      <alignment horizontal="center" vertical="center"/>
    </xf>
    <xf borderId="33" fillId="2" fontId="38" numFmtId="3" xfId="0" applyAlignment="1" applyBorder="1" applyFont="1" applyNumberFormat="1">
      <alignment horizontal="center" vertical="center"/>
    </xf>
    <xf borderId="33" fillId="25" fontId="33" numFmtId="0" xfId="0" applyAlignment="1" applyBorder="1" applyFont="1">
      <alignment horizontal="center" vertical="bottom"/>
    </xf>
    <xf borderId="0" fillId="0" fontId="43" numFmtId="0" xfId="0" applyAlignment="1" applyFont="1">
      <alignment horizontal="center"/>
    </xf>
    <xf borderId="0" fillId="2" fontId="7" numFmtId="0" xfId="0" applyAlignment="1" applyFont="1">
      <alignment horizontal="center"/>
    </xf>
    <xf borderId="33" fillId="2" fontId="1" numFmtId="0" xfId="0" applyAlignment="1" applyBorder="1" applyFont="1">
      <alignment horizontal="center"/>
    </xf>
    <xf borderId="27" fillId="16" fontId="7" numFmtId="0" xfId="0" applyAlignment="1" applyBorder="1" applyFont="1">
      <alignment horizontal="center" vertical="bottom"/>
    </xf>
    <xf borderId="33" fillId="16" fontId="33" numFmtId="0" xfId="0" applyAlignment="1" applyBorder="1" applyFont="1">
      <alignment horizontal="center" vertical="bottom"/>
    </xf>
    <xf borderId="0" fillId="16" fontId="32" numFmtId="0" xfId="0" applyAlignment="1" applyFont="1">
      <alignment horizontal="center"/>
    </xf>
    <xf borderId="33" fillId="16" fontId="36" numFmtId="0" xfId="0" applyAlignment="1" applyBorder="1" applyFont="1">
      <alignment horizontal="center" vertical="bottom"/>
    </xf>
    <xf borderId="0" fillId="16" fontId="34" numFmtId="0" xfId="0" applyAlignment="1" applyFont="1">
      <alignment horizontal="center"/>
    </xf>
    <xf borderId="25" fillId="18" fontId="7" numFmtId="0" xfId="0" applyAlignment="1" applyBorder="1" applyFont="1">
      <alignment horizontal="center" vertical="bottom"/>
    </xf>
    <xf borderId="33" fillId="18" fontId="36" numFmtId="0" xfId="0" applyAlignment="1" applyBorder="1" applyFont="1">
      <alignment horizontal="center" vertical="bottom"/>
    </xf>
    <xf borderId="0" fillId="18" fontId="29" numFmtId="0" xfId="0" applyAlignment="1" applyFont="1">
      <alignment horizontal="center"/>
    </xf>
    <xf borderId="27" fillId="2" fontId="43" numFmtId="0" xfId="0" applyAlignment="1" applyBorder="1" applyFont="1">
      <alignment horizontal="center"/>
    </xf>
    <xf borderId="27" fillId="2" fontId="39" numFmtId="0" xfId="0" applyAlignment="1" applyBorder="1" applyFont="1">
      <alignment horizontal="center"/>
    </xf>
    <xf borderId="33" fillId="19" fontId="44" numFmtId="0" xfId="0" applyAlignment="1" applyBorder="1" applyFont="1">
      <alignment horizontal="center" vertical="bottom"/>
    </xf>
    <xf borderId="33" fillId="19" fontId="36" numFmtId="0" xfId="0" applyAlignment="1" applyBorder="1" applyFont="1">
      <alignment horizontal="center" vertical="bottom"/>
    </xf>
    <xf borderId="0" fillId="19" fontId="39" numFmtId="0" xfId="0" applyAlignment="1" applyFont="1">
      <alignment horizontal="center"/>
    </xf>
    <xf borderId="0" fillId="2" fontId="43" numFmtId="0" xfId="0" applyAlignment="1" applyFont="1">
      <alignment horizontal="center"/>
    </xf>
    <xf borderId="27" fillId="2" fontId="36" numFmtId="0" xfId="0" applyBorder="1" applyFont="1"/>
    <xf borderId="33" fillId="22" fontId="36" numFmtId="0" xfId="0" applyAlignment="1" applyBorder="1" applyFont="1">
      <alignment horizontal="center" vertical="bottom"/>
    </xf>
    <xf borderId="0" fillId="2" fontId="41" numFmtId="0" xfId="0" applyAlignment="1" applyFont="1">
      <alignment horizontal="center"/>
    </xf>
    <xf borderId="0" fillId="2" fontId="45" numFmtId="0" xfId="0" applyAlignment="1" applyFont="1">
      <alignment horizontal="center" vertical="center"/>
    </xf>
    <xf borderId="33" fillId="24" fontId="38" numFmtId="0" xfId="0" applyAlignment="1" applyBorder="1" applyFont="1">
      <alignment horizontal="center" vertical="bottom"/>
    </xf>
    <xf borderId="0" fillId="2" fontId="46" numFmtId="0" xfId="0" applyAlignment="1" applyFont="1">
      <alignment horizontal="center"/>
    </xf>
    <xf borderId="0" fillId="2" fontId="47" numFmtId="0" xfId="0" applyAlignment="1" applyFont="1">
      <alignment horizontal="center" vertical="center"/>
    </xf>
    <xf borderId="33" fillId="25" fontId="1" numFmtId="0" xfId="0" applyAlignment="1" applyBorder="1" applyFont="1">
      <alignment horizontal="center" vertical="bottom"/>
    </xf>
    <xf borderId="0" fillId="2" fontId="48" numFmtId="0" xfId="0" applyAlignment="1" applyFont="1">
      <alignment horizontal="center" vertical="center"/>
    </xf>
    <xf borderId="0" fillId="2" fontId="49" numFmtId="0" xfId="0" applyAlignment="1" applyFont="1">
      <alignment horizontal="center"/>
    </xf>
    <xf borderId="0" fillId="2" fontId="50" numFmtId="0" xfId="0" applyAlignment="1" applyFont="1">
      <alignment horizontal="center"/>
    </xf>
    <xf borderId="33" fillId="18" fontId="1" numFmtId="0" xfId="0" applyAlignment="1" applyBorder="1" applyFont="1">
      <alignment horizontal="center" vertical="bottom"/>
    </xf>
    <xf borderId="0" fillId="18" fontId="38" numFmtId="0" xfId="0" applyAlignment="1" applyFont="1">
      <alignment horizontal="center"/>
    </xf>
    <xf borderId="0" fillId="2" fontId="39" numFmtId="0" xfId="0" applyAlignment="1" applyFont="1">
      <alignment horizontal="center"/>
    </xf>
    <xf borderId="0" fillId="18" fontId="33" numFmtId="0" xfId="0" applyAlignment="1" applyFont="1">
      <alignment horizontal="center"/>
    </xf>
    <xf borderId="25" fillId="2" fontId="31" numFmtId="165" xfId="0" applyBorder="1" applyFont="1" applyNumberFormat="1"/>
    <xf borderId="33" fillId="19" fontId="38" numFmtId="0" xfId="0" applyAlignment="1" applyBorder="1" applyFont="1">
      <alignment horizontal="center" vertical="bottom"/>
    </xf>
    <xf borderId="0" fillId="2" fontId="51" numFmtId="0" xfId="0" applyAlignment="1" applyFont="1">
      <alignment horizontal="center"/>
    </xf>
    <xf borderId="0" fillId="2" fontId="37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33" fillId="6" fontId="38" numFmtId="0" xfId="0" applyAlignment="1" applyBorder="1" applyFont="1">
      <alignment horizontal="center" vertical="bottom"/>
    </xf>
    <xf borderId="0" fillId="6" fontId="32" numFmtId="0" xfId="0" applyAlignment="1" applyFont="1">
      <alignment horizontal="center"/>
    </xf>
    <xf borderId="0" fillId="2" fontId="44" numFmtId="0" xfId="0" applyAlignment="1" applyFont="1">
      <alignment horizontal="center"/>
    </xf>
    <xf borderId="33" fillId="22" fontId="38" numFmtId="0" xfId="0" applyAlignment="1" applyBorder="1" applyFont="1">
      <alignment horizontal="center" vertical="bottom"/>
    </xf>
    <xf borderId="0" fillId="24" fontId="7" numFmtId="0" xfId="0" applyAlignment="1" applyFont="1">
      <alignment horizontal="center"/>
    </xf>
    <xf borderId="27" fillId="18" fontId="7" numFmtId="0" xfId="0" applyAlignment="1" applyBorder="1" applyFont="1">
      <alignment horizontal="center" vertical="bottom"/>
    </xf>
    <xf borderId="25" fillId="2" fontId="1" numFmtId="0" xfId="0" applyAlignment="1" applyBorder="1" applyFont="1">
      <alignment horizontal="center"/>
    </xf>
    <xf borderId="39" fillId="2" fontId="1" numFmtId="0" xfId="0" applyAlignment="1" applyBorder="1" applyFont="1">
      <alignment horizontal="center"/>
    </xf>
    <xf borderId="0" fillId="2" fontId="36" numFmtId="0" xfId="0" applyAlignment="1" applyFont="1">
      <alignment horizontal="center"/>
    </xf>
    <xf borderId="0" fillId="2" fontId="32" numFmtId="0" xfId="0" applyAlignment="1" applyFont="1">
      <alignment horizontal="center"/>
    </xf>
    <xf borderId="0" fillId="2" fontId="29" numFmtId="0" xfId="0" applyAlignment="1" applyFont="1">
      <alignment horizontal="center"/>
    </xf>
    <xf borderId="33" fillId="16" fontId="1" numFmtId="0" xfId="0" applyAlignment="1" applyBorder="1" applyFont="1">
      <alignment horizontal="center" vertical="bottom"/>
    </xf>
    <xf borderId="0" fillId="18" fontId="48" numFmtId="0" xfId="0" applyAlignment="1" applyFont="1">
      <alignment horizontal="center"/>
    </xf>
    <xf borderId="0" fillId="18" fontId="7" numFmtId="0" xfId="0" applyAlignment="1" applyFont="1">
      <alignment horizontal="center" vertical="bottom"/>
    </xf>
    <xf borderId="0" fillId="18" fontId="1" numFmtId="0" xfId="0" applyAlignment="1" applyFont="1">
      <alignment horizontal="center" vertical="bottom"/>
    </xf>
    <xf borderId="27" fillId="0" fontId="1" numFmtId="0" xfId="0" applyBorder="1" applyFont="1"/>
    <xf borderId="25" fillId="0" fontId="1" numFmtId="0" xfId="0" applyBorder="1" applyFont="1"/>
    <xf borderId="0" fillId="0" fontId="52" numFmtId="0" xfId="0" applyFont="1"/>
    <xf borderId="0" fillId="4" fontId="53" numFmtId="164" xfId="0" applyFont="1" applyNumberFormat="1"/>
    <xf borderId="0" fillId="0" fontId="1" numFmtId="164" xfId="0" applyFont="1" applyNumberFormat="1"/>
    <xf borderId="0" fillId="2" fontId="54" numFmtId="0" xfId="0" applyAlignment="1" applyFont="1">
      <alignment horizontal="center" shrinkToFit="0" textRotation="255" vertical="center" wrapText="0"/>
    </xf>
    <xf borderId="40" fillId="7" fontId="55" numFmtId="0" xfId="0" applyAlignment="1" applyBorder="1" applyFont="1">
      <alignment horizontal="center"/>
    </xf>
    <xf borderId="26" fillId="7" fontId="55" numFmtId="0" xfId="0" applyAlignment="1" applyBorder="1" applyFont="1">
      <alignment horizontal="center"/>
    </xf>
    <xf borderId="28" fillId="7" fontId="55" numFmtId="49" xfId="0" applyAlignment="1" applyBorder="1" applyFont="1" applyNumberFormat="1">
      <alignment horizontal="center"/>
    </xf>
    <xf borderId="0" fillId="7" fontId="55" numFmtId="0" xfId="0" applyAlignment="1" applyFont="1">
      <alignment horizontal="center"/>
    </xf>
    <xf borderId="40" fillId="7" fontId="55" numFmtId="0" xfId="0" applyAlignment="1" applyBorder="1" applyFont="1">
      <alignment horizontal="left"/>
    </xf>
    <xf borderId="40" fillId="0" fontId="3" numFmtId="0" xfId="0" applyBorder="1" applyFont="1"/>
    <xf borderId="0" fillId="7" fontId="55" numFmtId="2" xfId="0" applyAlignment="1" applyFont="1" applyNumberFormat="1">
      <alignment horizontal="center"/>
    </xf>
    <xf borderId="0" fillId="2" fontId="56" numFmtId="0" xfId="0" applyAlignment="1" applyFont="1">
      <alignment horizontal="center"/>
    </xf>
    <xf borderId="33" fillId="0" fontId="3" numFmtId="0" xfId="0" applyBorder="1" applyFont="1"/>
    <xf borderId="0" fillId="2" fontId="56" numFmtId="49" xfId="0" applyAlignment="1" applyFont="1" applyNumberFormat="1">
      <alignment horizontal="center"/>
    </xf>
    <xf borderId="0" fillId="2" fontId="35" numFmtId="0" xfId="0" applyAlignment="1" applyFont="1">
      <alignment horizontal="left"/>
    </xf>
    <xf borderId="0" fillId="2" fontId="57" numFmtId="0" xfId="0" applyAlignment="1" applyFont="1">
      <alignment horizontal="left" shrinkToFit="0" vertical="center" wrapText="1"/>
    </xf>
    <xf borderId="0" fillId="2" fontId="58" numFmtId="0" xfId="0" applyAlignment="1" applyFont="1">
      <alignment horizontal="center" shrinkToFit="0" vertical="center" wrapText="1"/>
    </xf>
    <xf borderId="0" fillId="2" fontId="59" numFmtId="2" xfId="0" applyAlignment="1" applyFont="1" applyNumberFormat="1">
      <alignment horizontal="left" shrinkToFit="0" vertical="center" wrapText="1"/>
    </xf>
    <xf borderId="0" fillId="2" fontId="54" numFmtId="0" xfId="0" applyAlignment="1" applyFont="1">
      <alignment horizontal="center" shrinkToFit="0" textRotation="255" vertical="top" wrapText="0"/>
    </xf>
    <xf borderId="41" fillId="19" fontId="1" numFmtId="0" xfId="0" applyAlignment="1" applyBorder="1" applyFont="1">
      <alignment horizontal="center"/>
    </xf>
    <xf borderId="42" fillId="16" fontId="7" numFmtId="0" xfId="0" applyAlignment="1" applyBorder="1" applyFont="1">
      <alignment horizontal="center"/>
    </xf>
    <xf borderId="43" fillId="16" fontId="1" numFmtId="49" xfId="0" applyAlignment="1" applyBorder="1" applyFont="1" applyNumberFormat="1">
      <alignment horizontal="center"/>
    </xf>
    <xf borderId="44" fillId="24" fontId="1" numFmtId="49" xfId="0" applyAlignment="1" applyBorder="1" applyFont="1" applyNumberFormat="1">
      <alignment horizontal="center"/>
    </xf>
    <xf borderId="45" fillId="24" fontId="60" numFmtId="0" xfId="0" applyAlignment="1" applyBorder="1" applyFont="1">
      <alignment horizontal="left"/>
    </xf>
    <xf borderId="0" fillId="28" fontId="61" numFmtId="0" xfId="0" applyAlignment="1" applyFill="1" applyFont="1">
      <alignment horizontal="left" shrinkToFit="0" vertical="center" wrapText="0"/>
    </xf>
    <xf borderId="0" fillId="28" fontId="62" numFmtId="0" xfId="0" applyAlignment="1" applyFont="1">
      <alignment horizontal="center" shrinkToFit="0" vertical="center" wrapText="0"/>
    </xf>
    <xf borderId="0" fillId="28" fontId="63" numFmtId="0" xfId="0" applyAlignment="1" applyFont="1">
      <alignment horizontal="left" shrinkToFit="0" vertical="center" wrapText="1"/>
    </xf>
    <xf borderId="0" fillId="28" fontId="64" numFmtId="2" xfId="0" applyAlignment="1" applyFont="1" applyNumberFormat="1">
      <alignment horizontal="left" shrinkToFit="0" vertical="center" wrapText="1"/>
    </xf>
    <xf borderId="41" fillId="16" fontId="7" numFmtId="0" xfId="0" applyAlignment="1" applyBorder="1" applyFont="1">
      <alignment horizontal="center"/>
    </xf>
    <xf borderId="42" fillId="19" fontId="1" numFmtId="0" xfId="0" applyAlignment="1" applyBorder="1" applyFont="1">
      <alignment horizontal="center"/>
    </xf>
    <xf borderId="0" fillId="28" fontId="65" numFmtId="0" xfId="0" applyAlignment="1" applyFont="1">
      <alignment horizontal="left" shrinkToFit="0" vertical="center" wrapText="0"/>
    </xf>
    <xf borderId="0" fillId="28" fontId="66" numFmtId="0" xfId="0" applyAlignment="1" applyFont="1">
      <alignment horizontal="center" shrinkToFit="0" vertical="center" wrapText="1"/>
    </xf>
    <xf borderId="41" fillId="19" fontId="7" numFmtId="0" xfId="0" applyAlignment="1" applyBorder="1" applyFont="1">
      <alignment horizontal="center"/>
    </xf>
    <xf borderId="41" fillId="16" fontId="1" numFmtId="0" xfId="0" applyAlignment="1" applyBorder="1" applyFont="1">
      <alignment horizontal="center"/>
    </xf>
    <xf borderId="43" fillId="19" fontId="1" numFmtId="49" xfId="0" applyAlignment="1" applyBorder="1" applyFont="1" applyNumberFormat="1">
      <alignment horizontal="center"/>
    </xf>
    <xf borderId="0" fillId="28" fontId="67" numFmtId="0" xfId="0" applyAlignment="1" applyFont="1">
      <alignment horizontal="left" shrinkToFit="0" wrapText="0"/>
    </xf>
    <xf borderId="0" fillId="28" fontId="68" numFmtId="0" xfId="0" applyAlignment="1" applyFont="1">
      <alignment horizontal="center"/>
    </xf>
    <xf borderId="0" fillId="28" fontId="69" numFmtId="2" xfId="0" applyFont="1" applyNumberFormat="1"/>
    <xf borderId="42" fillId="16" fontId="1" numFmtId="0" xfId="0" applyAlignment="1" applyBorder="1" applyFont="1">
      <alignment horizontal="center"/>
    </xf>
    <xf borderId="0" fillId="28" fontId="70" numFmtId="0" xfId="0" applyAlignment="1" applyFont="1">
      <alignment horizontal="left" shrinkToFit="0" wrapText="0"/>
    </xf>
    <xf borderId="0" fillId="28" fontId="1" numFmtId="0" xfId="0" applyAlignment="1" applyFont="1">
      <alignment horizontal="left" shrinkToFit="0" wrapText="0"/>
    </xf>
    <xf borderId="0" fillId="28" fontId="1" numFmtId="0" xfId="0" applyAlignment="1" applyFont="1">
      <alignment horizontal="center"/>
    </xf>
    <xf borderId="0" fillId="28" fontId="1" numFmtId="2" xfId="0" applyFont="1" applyNumberFormat="1"/>
    <xf borderId="0" fillId="19" fontId="1" numFmtId="0" xfId="0" applyAlignment="1" applyFont="1">
      <alignment horizontal="center"/>
    </xf>
    <xf borderId="35" fillId="16" fontId="7" numFmtId="0" xfId="0" applyAlignment="1" applyBorder="1" applyFont="1">
      <alignment horizontal="center"/>
    </xf>
    <xf borderId="46" fillId="16" fontId="1" numFmtId="49" xfId="0" applyAlignment="1" applyBorder="1" applyFont="1" applyNumberFormat="1">
      <alignment horizontal="center"/>
    </xf>
    <xf borderId="19" fillId="24" fontId="1" numFmtId="49" xfId="0" applyAlignment="1" applyBorder="1" applyFont="1" applyNumberFormat="1">
      <alignment horizontal="center"/>
    </xf>
    <xf borderId="19" fillId="24" fontId="71" numFmtId="0" xfId="0" applyAlignment="1" applyBorder="1" applyFont="1">
      <alignment horizontal="left"/>
    </xf>
    <xf borderId="41" fillId="16" fontId="33" numFmtId="0" xfId="0" applyAlignment="1" applyBorder="1" applyFont="1">
      <alignment horizontal="center"/>
    </xf>
    <xf borderId="44" fillId="19" fontId="72" numFmtId="0" xfId="0" applyAlignment="1" applyBorder="1" applyFont="1">
      <alignment horizontal="center"/>
    </xf>
    <xf borderId="43" fillId="16" fontId="72" numFmtId="49" xfId="0" applyAlignment="1" applyBorder="1" applyFont="1" applyNumberFormat="1">
      <alignment horizontal="center"/>
    </xf>
    <xf borderId="44" fillId="24" fontId="72" numFmtId="49" xfId="0" applyAlignment="1" applyBorder="1" applyFont="1" applyNumberFormat="1">
      <alignment horizontal="center"/>
    </xf>
    <xf borderId="45" fillId="24" fontId="73" numFmtId="0" xfId="0" applyAlignment="1" applyBorder="1" applyFont="1">
      <alignment horizontal="left"/>
    </xf>
    <xf borderId="0" fillId="16" fontId="1" numFmtId="0" xfId="0" applyAlignment="1" applyFont="1">
      <alignment horizontal="center"/>
    </xf>
    <xf borderId="35" fillId="19" fontId="7" numFmtId="0" xfId="0" applyAlignment="1" applyBorder="1" applyFont="1">
      <alignment horizontal="center"/>
    </xf>
    <xf borderId="43" fillId="18" fontId="1" numFmtId="49" xfId="0" applyAlignment="1" applyBorder="1" applyFont="1" applyNumberFormat="1">
      <alignment horizontal="center"/>
    </xf>
    <xf borderId="35" fillId="16" fontId="1" numFmtId="0" xfId="0" applyAlignment="1" applyBorder="1" applyFont="1">
      <alignment horizontal="center"/>
    </xf>
    <xf borderId="42" fillId="19" fontId="7" numFmtId="0" xfId="0" applyAlignment="1" applyBorder="1" applyFont="1">
      <alignment horizontal="center"/>
    </xf>
    <xf borderId="41" fillId="19" fontId="72" numFmtId="0" xfId="0" applyAlignment="1" applyBorder="1" applyFont="1">
      <alignment horizontal="center"/>
    </xf>
    <xf borderId="43" fillId="18" fontId="72" numFmtId="49" xfId="0" applyAlignment="1" applyBorder="1" applyFont="1" applyNumberFormat="1">
      <alignment horizontal="center"/>
    </xf>
    <xf borderId="41" fillId="2" fontId="1" numFmtId="0" xfId="0" applyAlignment="1" applyBorder="1" applyFont="1">
      <alignment horizontal="center"/>
    </xf>
    <xf borderId="44" fillId="2" fontId="56" numFmtId="0" xfId="0" applyAlignment="1" applyBorder="1" applyFont="1">
      <alignment horizontal="center"/>
    </xf>
    <xf borderId="42" fillId="0" fontId="3" numFmtId="0" xfId="0" applyBorder="1" applyFont="1"/>
    <xf borderId="44" fillId="2" fontId="56" numFmtId="49" xfId="0" applyAlignment="1" applyBorder="1" applyFont="1" applyNumberFormat="1">
      <alignment horizontal="center"/>
    </xf>
    <xf borderId="45" fillId="2" fontId="35" numFmtId="0" xfId="0" applyAlignment="1" applyBorder="1" applyFont="1">
      <alignment horizontal="left"/>
    </xf>
    <xf borderId="41" fillId="18" fontId="1" numFmtId="0" xfId="0" applyAlignment="1" applyBorder="1" applyFont="1">
      <alignment horizontal="center"/>
    </xf>
    <xf borderId="0" fillId="28" fontId="74" numFmtId="0" xfId="0" applyAlignment="1" applyFont="1">
      <alignment horizontal="left"/>
    </xf>
    <xf borderId="42" fillId="18" fontId="1" numFmtId="0" xfId="0" applyAlignment="1" applyBorder="1" applyFont="1">
      <alignment horizontal="center"/>
    </xf>
    <xf borderId="44" fillId="24" fontId="75" numFmtId="49" xfId="0" applyAlignment="1" applyBorder="1" applyFont="1" applyNumberFormat="1">
      <alignment horizontal="left"/>
    </xf>
    <xf borderId="0" fillId="28" fontId="1" numFmtId="0" xfId="0" applyAlignment="1" applyFont="1">
      <alignment horizontal="left"/>
    </xf>
    <xf borderId="42" fillId="19" fontId="1" numFmtId="49" xfId="0" applyAlignment="1" applyBorder="1" applyFont="1" applyNumberFormat="1">
      <alignment horizontal="center" vertical="bottom"/>
    </xf>
    <xf borderId="44" fillId="19" fontId="7" numFmtId="0" xfId="0" applyAlignment="1" applyBorder="1" applyFont="1">
      <alignment horizontal="center"/>
    </xf>
    <xf borderId="33" fillId="19" fontId="7" numFmtId="0" xfId="0" applyAlignment="1" applyBorder="1" applyFont="1">
      <alignment horizontal="center"/>
    </xf>
    <xf borderId="27" fillId="19" fontId="1" numFmtId="49" xfId="0" applyAlignment="1" applyBorder="1" applyFont="1" applyNumberFormat="1">
      <alignment horizontal="center"/>
    </xf>
    <xf borderId="44" fillId="19" fontId="7" numFmtId="0" xfId="0" applyAlignment="1" applyBorder="1" applyFont="1">
      <alignment horizontal="center" vertical="bottom"/>
    </xf>
    <xf borderId="35" fillId="19" fontId="1" numFmtId="0" xfId="0" applyAlignment="1" applyBorder="1" applyFont="1">
      <alignment horizontal="center"/>
    </xf>
    <xf borderId="0" fillId="16" fontId="7" numFmtId="0" xfId="0" applyAlignment="1" applyFont="1">
      <alignment horizontal="center"/>
    </xf>
    <xf borderId="27" fillId="18" fontId="1" numFmtId="49" xfId="0" applyAlignment="1" applyBorder="1" applyFont="1" applyNumberFormat="1">
      <alignment horizontal="center"/>
    </xf>
    <xf borderId="44" fillId="18" fontId="1" numFmtId="0" xfId="0" applyAlignment="1" applyBorder="1" applyFont="1">
      <alignment horizontal="center"/>
    </xf>
    <xf borderId="41" fillId="19" fontId="48" numFmtId="0" xfId="0" applyAlignment="1" applyBorder="1" applyFont="1">
      <alignment horizontal="center"/>
    </xf>
    <xf borderId="0" fillId="28" fontId="76" numFmtId="0" xfId="0" applyAlignment="1" applyFont="1">
      <alignment horizontal="left"/>
    </xf>
    <xf borderId="47" fillId="19" fontId="7" numFmtId="0" xfId="0" applyAlignment="1" applyBorder="1" applyFont="1">
      <alignment horizontal="center" vertical="bottom"/>
    </xf>
    <xf borderId="19" fillId="16" fontId="7" numFmtId="0" xfId="0" applyAlignment="1" applyBorder="1" applyFont="1">
      <alignment horizontal="center" vertical="bottom"/>
    </xf>
    <xf borderId="41" fillId="18" fontId="7" numFmtId="0" xfId="0" applyAlignment="1" applyBorder="1" applyFont="1">
      <alignment horizontal="center"/>
    </xf>
    <xf borderId="27" fillId="19" fontId="1" numFmtId="165" xfId="0" applyAlignment="1" applyBorder="1" applyFont="1" applyNumberFormat="1">
      <alignment horizontal="center"/>
    </xf>
    <xf borderId="0" fillId="24" fontId="77" numFmtId="0" xfId="0" applyFont="1"/>
    <xf borderId="42" fillId="18" fontId="7" numFmtId="0" xfId="0" applyAlignment="1" applyBorder="1" applyFont="1">
      <alignment horizontal="center"/>
    </xf>
    <xf borderId="42" fillId="18" fontId="33" numFmtId="0" xfId="0" applyAlignment="1" applyBorder="1" applyFont="1">
      <alignment horizontal="center"/>
    </xf>
    <xf borderId="44" fillId="24" fontId="78" numFmtId="49" xfId="0" applyAlignment="1" applyBorder="1" applyFont="1" applyNumberFormat="1">
      <alignment horizontal="left"/>
    </xf>
    <xf borderId="33" fillId="18" fontId="7" numFmtId="0" xfId="0" applyAlignment="1" applyBorder="1" applyFont="1">
      <alignment horizontal="center"/>
    </xf>
    <xf borderId="33" fillId="18" fontId="1" numFmtId="49" xfId="0" applyAlignment="1" applyBorder="1" applyFont="1" applyNumberFormat="1">
      <alignment horizontal="center"/>
    </xf>
    <xf borderId="0" fillId="24" fontId="1" numFmtId="49" xfId="0" applyAlignment="1" applyFont="1" applyNumberFormat="1">
      <alignment horizontal="center"/>
    </xf>
    <xf borderId="0" fillId="24" fontId="79" numFmtId="49" xfId="0" applyAlignment="1" applyFont="1" applyNumberFormat="1">
      <alignment horizontal="left"/>
    </xf>
    <xf borderId="33" fillId="18" fontId="1" numFmtId="0" xfId="0" applyAlignment="1" applyBorder="1" applyFont="1">
      <alignment horizontal="center"/>
    </xf>
    <xf borderId="33" fillId="19" fontId="1" numFmtId="49" xfId="0" applyAlignment="1" applyBorder="1" applyFont="1" applyNumberFormat="1">
      <alignment horizontal="center"/>
    </xf>
    <xf borderId="0" fillId="29" fontId="1" numFmtId="0" xfId="0" applyAlignment="1" applyFill="1" applyFont="1">
      <alignment horizontal="center"/>
    </xf>
    <xf borderId="0" fillId="29" fontId="1" numFmtId="0" xfId="0" applyFont="1"/>
    <xf borderId="44" fillId="19" fontId="1" numFmtId="0" xfId="0" applyAlignment="1" applyBorder="1" applyFont="1">
      <alignment horizontal="center"/>
    </xf>
    <xf borderId="48" fillId="18" fontId="1" numFmtId="49" xfId="0" applyAlignment="1" applyBorder="1" applyFont="1" applyNumberFormat="1">
      <alignment horizontal="center"/>
    </xf>
    <xf borderId="44" fillId="18" fontId="7" numFmtId="0" xfId="0" applyAlignment="1" applyBorder="1" applyFont="1">
      <alignment horizontal="center"/>
    </xf>
    <xf borderId="44" fillId="16" fontId="1" numFmtId="0" xfId="0" applyAlignment="1" applyBorder="1" applyFont="1">
      <alignment horizontal="center"/>
    </xf>
    <xf borderId="43" fillId="18" fontId="1" numFmtId="165" xfId="0" applyAlignment="1" applyBorder="1" applyFont="1" applyNumberFormat="1">
      <alignment horizontal="center"/>
    </xf>
    <xf borderId="49" fillId="19" fontId="1" numFmtId="49" xfId="0" applyAlignment="1" applyBorder="1" applyFont="1" applyNumberFormat="1">
      <alignment horizontal="center"/>
    </xf>
    <xf borderId="0" fillId="24" fontId="80" numFmtId="0" xfId="0" applyAlignment="1" applyFont="1">
      <alignment horizontal="left"/>
    </xf>
    <xf borderId="0" fillId="2" fontId="81" numFmtId="0" xfId="0" applyAlignment="1" applyFont="1">
      <alignment horizontal="center" shrinkToFit="0" textRotation="255" vertical="center" wrapText="0"/>
    </xf>
    <xf borderId="0" fillId="18" fontId="7" numFmtId="0" xfId="0" applyAlignment="1" applyFont="1">
      <alignment horizontal="center"/>
    </xf>
    <xf borderId="33" fillId="19" fontId="1" numFmtId="0" xfId="0" applyAlignment="1" applyBorder="1" applyFont="1">
      <alignment horizontal="center"/>
    </xf>
    <xf borderId="0" fillId="24" fontId="1" numFmtId="0" xfId="0" applyAlignment="1" applyFont="1">
      <alignment horizontal="left"/>
    </xf>
    <xf borderId="0" fillId="25" fontId="7" numFmtId="0" xfId="0" applyAlignment="1" applyFont="1">
      <alignment horizontal="center"/>
    </xf>
    <xf borderId="0" fillId="18" fontId="1" numFmtId="0" xfId="0" applyAlignment="1" applyFont="1">
      <alignment horizontal="center"/>
    </xf>
    <xf borderId="0" fillId="18" fontId="37" numFmtId="0" xfId="0" applyAlignment="1" applyFont="1">
      <alignment horizontal="center"/>
    </xf>
    <xf borderId="45" fillId="24" fontId="82" numFmtId="0" xfId="0" applyAlignment="1" applyBorder="1" applyFont="1">
      <alignment horizontal="center"/>
    </xf>
    <xf borderId="0" fillId="28" fontId="1" numFmtId="0" xfId="0" applyFont="1"/>
    <xf borderId="37" fillId="18" fontId="1" numFmtId="0" xfId="0" applyAlignment="1" applyBorder="1" applyFont="1">
      <alignment horizontal="center"/>
    </xf>
    <xf borderId="35" fillId="18" fontId="1" numFmtId="0" xfId="0" applyAlignment="1" applyBorder="1" applyFont="1">
      <alignment horizontal="center"/>
    </xf>
    <xf borderId="37" fillId="19" fontId="7" numFmtId="0" xfId="0" applyAlignment="1" applyBorder="1" applyFont="1">
      <alignment horizontal="center"/>
    </xf>
    <xf borderId="35" fillId="18" fontId="7" numFmtId="0" xfId="0" applyAlignment="1" applyBorder="1" applyFont="1">
      <alignment horizontal="center"/>
    </xf>
    <xf borderId="0" fillId="19" fontId="37" numFmtId="0" xfId="0" applyAlignment="1" applyFont="1">
      <alignment horizontal="center"/>
    </xf>
    <xf borderId="37" fillId="19" fontId="1" numFmtId="0" xfId="0" applyAlignment="1" applyBorder="1" applyFont="1">
      <alignment horizontal="center"/>
    </xf>
    <xf borderId="35" fillId="2" fontId="1" numFmtId="0" xfId="0" applyAlignment="1" applyBorder="1" applyFont="1">
      <alignment horizontal="center" vertical="bottom"/>
    </xf>
    <xf borderId="37" fillId="2" fontId="1" numFmtId="0" xfId="0" applyAlignment="1" applyBorder="1" applyFont="1">
      <alignment horizontal="center" vertical="bottom"/>
    </xf>
    <xf borderId="33" fillId="2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horizontal="left"/>
    </xf>
    <xf borderId="0" fillId="2" fontId="1" numFmtId="2" xfId="0" applyFont="1" applyNumberFormat="1"/>
    <xf borderId="0" fillId="0" fontId="83" numFmtId="2" xfId="0" applyAlignment="1" applyFont="1" applyNumberFormat="1">
      <alignment horizontal="left" shrinkToFit="0" vertical="center" wrapText="1"/>
    </xf>
    <xf borderId="0" fillId="0" fontId="1" numFmtId="2" xfId="0" applyFont="1" applyNumberFormat="1"/>
    <xf borderId="37" fillId="18" fontId="7" numFmtId="0" xfId="0" applyAlignment="1" applyBorder="1" applyFont="1">
      <alignment horizontal="center"/>
    </xf>
    <xf borderId="45" fillId="24" fontId="1" numFmtId="0" xfId="0" applyAlignment="1" applyBorder="1" applyFont="1">
      <alignment horizontal="left"/>
    </xf>
    <xf borderId="50" fillId="18" fontId="1" numFmtId="0" xfId="0" applyAlignment="1" applyBorder="1" applyFont="1">
      <alignment horizontal="center"/>
    </xf>
    <xf borderId="42" fillId="19" fontId="1" numFmtId="49" xfId="0" applyAlignment="1" applyBorder="1" applyFont="1" applyNumberFormat="1">
      <alignment horizontal="center"/>
    </xf>
    <xf borderId="42" fillId="18" fontId="1" numFmtId="49" xfId="0" applyAlignment="1" applyBorder="1" applyFont="1" applyNumberFormat="1">
      <alignment horizontal="center"/>
    </xf>
    <xf borderId="0" fillId="30" fontId="1" numFmtId="0" xfId="0" applyAlignment="1" applyFill="1" applyFont="1">
      <alignment horizontal="center"/>
    </xf>
    <xf borderId="0" fillId="6" fontId="84" numFmtId="0" xfId="0" applyAlignment="1" applyFont="1">
      <alignment horizontal="center" shrinkToFit="0" textRotation="255" vertical="center" wrapText="0"/>
    </xf>
    <xf borderId="0" fillId="2" fontId="35" numFmtId="0" xfId="0" applyAlignment="1" applyFont="1">
      <alignment horizontal="center" shrinkToFit="0" vertical="top" wrapText="1"/>
    </xf>
    <xf borderId="50" fillId="17" fontId="85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2" fontId="1" numFmtId="0" xfId="0" applyAlignment="1" applyFont="1">
      <alignment horizontal="center" shrinkToFit="0" vertical="top" wrapText="1"/>
    </xf>
    <xf borderId="17" fillId="0" fontId="3" numFmtId="0" xfId="0" applyBorder="1" applyFont="1"/>
    <xf borderId="16" fillId="0" fontId="3" numFmtId="0" xfId="0" applyBorder="1" applyFont="1"/>
    <xf borderId="13" fillId="16" fontId="1" numFmtId="0" xfId="0" applyAlignment="1" applyBorder="1" applyFont="1">
      <alignment horizontal="center"/>
    </xf>
    <xf borderId="0" fillId="6" fontId="7" numFmtId="0" xfId="0" applyAlignment="1" applyFont="1">
      <alignment horizontal="center" vertical="center"/>
    </xf>
    <xf borderId="9" fillId="16" fontId="1" numFmtId="0" xfId="0" applyAlignment="1" applyBorder="1" applyFont="1">
      <alignment horizontal="center"/>
    </xf>
    <xf borderId="50" fillId="31" fontId="1" numFmtId="0" xfId="0" applyAlignment="1" applyBorder="1" applyFill="1" applyFont="1">
      <alignment horizontal="center" shrinkToFit="0" vertical="center" wrapText="1"/>
    </xf>
    <xf borderId="12" fillId="17" fontId="36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9" fillId="6" fontId="7" numFmtId="0" xfId="0" applyAlignment="1" applyBorder="1" applyFont="1">
      <alignment horizontal="center" vertical="center"/>
    </xf>
    <xf borderId="50" fillId="17" fontId="36" numFmtId="0" xfId="0" applyAlignment="1" applyBorder="1" applyFont="1">
      <alignment horizontal="center" shrinkToFit="0" vertical="center" wrapText="1"/>
    </xf>
    <xf borderId="12" fillId="31" fontId="1" numFmtId="0" xfId="0" applyAlignment="1" applyBorder="1" applyFont="1">
      <alignment horizontal="center" shrinkToFit="0" vertical="center" wrapText="1"/>
    </xf>
    <xf borderId="0" fillId="2" fontId="35" numFmtId="0" xfId="0" applyAlignment="1" applyFont="1">
      <alignment horizontal="center"/>
    </xf>
    <xf borderId="12" fillId="24" fontId="7" numFmtId="0" xfId="0" applyAlignment="1" applyBorder="1" applyFont="1">
      <alignment horizontal="center" shrinkToFit="0" vertical="center" wrapText="1"/>
    </xf>
    <xf borderId="16" fillId="16" fontId="1" numFmtId="0" xfId="0" applyAlignment="1" applyBorder="1" applyFont="1">
      <alignment horizontal="center"/>
    </xf>
    <xf borderId="9" fillId="0" fontId="3" numFmtId="0" xfId="0" applyBorder="1" applyFont="1"/>
    <xf borderId="0" fillId="16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6" fontId="37" numFmtId="0" xfId="0" applyAlignment="1" applyFont="1">
      <alignment horizontal="center"/>
    </xf>
    <xf borderId="0" fillId="6" fontId="48" numFmtId="0" xfId="0" applyAlignment="1" applyFont="1">
      <alignment horizontal="center"/>
    </xf>
    <xf borderId="0" fillId="6" fontId="86" numFmtId="0" xfId="0" applyAlignment="1" applyFont="1">
      <alignment horizontal="center"/>
    </xf>
    <xf borderId="35" fillId="2" fontId="1" numFmtId="0" xfId="0" applyAlignment="1" applyBorder="1" applyFont="1">
      <alignment horizontal="center"/>
    </xf>
    <xf borderId="35" fillId="6" fontId="1" numFmtId="0" xfId="0" applyAlignment="1" applyBorder="1" applyFont="1">
      <alignment horizontal="center" vertical="center"/>
    </xf>
    <xf borderId="35" fillId="6" fontId="48" numFmtId="0" xfId="0" applyAlignment="1" applyBorder="1" applyFont="1">
      <alignment horizontal="center"/>
    </xf>
    <xf borderId="0" fillId="2" fontId="87" numFmtId="0" xfId="0" applyAlignment="1" applyFont="1">
      <alignment horizontal="center"/>
    </xf>
    <xf borderId="0" fillId="4" fontId="1" numFmtId="0" xfId="0" applyAlignment="1" applyFont="1">
      <alignment horizontal="left" vertical="center"/>
    </xf>
    <xf borderId="0" fillId="4" fontId="1" numFmtId="3" xfId="0" applyAlignment="1" applyFont="1" applyNumberFormat="1">
      <alignment horizontal="center"/>
    </xf>
    <xf borderId="0" fillId="0" fontId="1" numFmtId="9" xfId="0" applyFont="1" applyNumberFormat="1"/>
    <xf borderId="0" fillId="4" fontId="1" numFmtId="0" xfId="0" applyAlignment="1" applyFont="1">
      <alignment horizontal="center"/>
    </xf>
    <xf borderId="0" fillId="4" fontId="36" numFmtId="0" xfId="0" applyAlignment="1" applyFont="1">
      <alignment horizontal="left" vertical="center"/>
    </xf>
    <xf borderId="0" fillId="4" fontId="36" numFmtId="3" xfId="0" applyAlignment="1" applyFont="1" applyNumberFormat="1">
      <alignment horizontal="center"/>
    </xf>
    <xf borderId="0" fillId="4" fontId="36" numFmtId="0" xfId="0" applyAlignment="1" applyFont="1">
      <alignment horizontal="center"/>
    </xf>
    <xf borderId="0" fillId="0" fontId="36" numFmtId="9" xfId="0" applyFont="1" applyNumberFormat="1"/>
    <xf borderId="0" fillId="2" fontId="1" numFmtId="3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Fanciest%20Pants/matches/ac9f8baa-c55e-45ee-be8a-55eab1e64ac5" TargetMode="External"/><Relationship Id="rId42" Type="http://schemas.openxmlformats.org/officeDocument/2006/relationships/hyperlink" Target="https://www.halowaypoint.com/en-gb/halo-infinite/players/CaptainSev004/matches/2253a722-995d-4599-8fdd-81f12deeb238" TargetMode="External"/><Relationship Id="rId41" Type="http://schemas.openxmlformats.org/officeDocument/2006/relationships/hyperlink" Target="https://www.halowaypoint.com/en-gb/halo-infinite/players/CaptainSev004/matches/973fe7f0-2de0-417b-9f5f-fab0d5589de9" TargetMode="External"/><Relationship Id="rId44" Type="http://schemas.openxmlformats.org/officeDocument/2006/relationships/hyperlink" Target="https://www.halowaypoint.com/halo-infinite/players/iNF3ktioN/matches/60da9605-5b3f-4274-ae67-fff4e9efa37e" TargetMode="External"/><Relationship Id="rId43" Type="http://schemas.openxmlformats.org/officeDocument/2006/relationships/hyperlink" Target="https://www.halowaypoint.com/halo-infinite/players/invayda%20zim/matches/6c3150d0-c34f-4e85-b559-fdeeb1b51ec9" TargetMode="External"/><Relationship Id="rId46" Type="http://schemas.openxmlformats.org/officeDocument/2006/relationships/hyperlink" Target="https://www.halowaypoint.com/halo-infinite/players/sauted%20smurf/matches/b7776392-3d3d-4ab2-8da4-99d80a17d419" TargetMode="External"/><Relationship Id="rId45" Type="http://schemas.openxmlformats.org/officeDocument/2006/relationships/hyperlink" Target="https://www.halowaypoint.com/halo-infinite/players/Fanciest%20Pants/matches/ea50d1f9-b9d5-450b-b603-74e9f870b38e" TargetMode="External"/><Relationship Id="rId107" Type="http://schemas.openxmlformats.org/officeDocument/2006/relationships/hyperlink" Target="https://www.halowaypoint.com/halo-infinite/players/SherbetShake/matches/9e18af3a-7425-49c4-842b-a137c073f1d9" TargetMode="External"/><Relationship Id="rId106" Type="http://schemas.openxmlformats.org/officeDocument/2006/relationships/hyperlink" Target="https://www.halowaypoint.com/halo-infinite/players/tct%20avenger/matches/a374a3db-d070-4693-b089-4ad29e49b466" TargetMode="External"/><Relationship Id="rId105" Type="http://schemas.openxmlformats.org/officeDocument/2006/relationships/hyperlink" Target="https://www.halowaypoint.com/halo-infinite/players/Invayda%20Zim/matches/977527a3-39c7-46f7-a073-911d3b21d151" TargetMode="External"/><Relationship Id="rId104" Type="http://schemas.openxmlformats.org/officeDocument/2006/relationships/hyperlink" Target="https://www.halowaypoint.com/halo-infinite/players/Invayda%20Zim/matches/a6f98f21-a8c1-4ee5-8efe-9a8378903b77" TargetMode="External"/><Relationship Id="rId109" Type="http://schemas.openxmlformats.org/officeDocument/2006/relationships/hyperlink" Target="https://www.halowaypoint.com/halo-infinite/players/sauted%20smurf/matches/64b94f83-9efa-4e81-80a7-e558fd9612cf" TargetMode="External"/><Relationship Id="rId108" Type="http://schemas.openxmlformats.org/officeDocument/2006/relationships/hyperlink" Target="https://www.halowaypoint.com/halo-infinite/players/sauted%20smurf/matches/fb563510-6e21-495d-a094-8d76ae5c1503" TargetMode="External"/><Relationship Id="rId48" Type="http://schemas.openxmlformats.org/officeDocument/2006/relationships/hyperlink" Target="https://www.halowaypoint.com/halo-infinite/players/sauted%20smurf/matches/e6c08aa9-2df5-41bc-9ae1-312b3cc1a10d" TargetMode="External"/><Relationship Id="rId47" Type="http://schemas.openxmlformats.org/officeDocument/2006/relationships/hyperlink" Target="https://www.halowaypoint.com/halo-infinite/players/ill%20shrek%20u/matches/17b86b73-b12c-4fa6-a7b0-0f259b815024" TargetMode="External"/><Relationship Id="rId49" Type="http://schemas.openxmlformats.org/officeDocument/2006/relationships/hyperlink" Target="https://www.halowaypoint.com/halo-infinite/players/sauted%20smurf/matches/2fabad1e-c635-4379-b3b1-c6f6ff2bc404" TargetMode="External"/><Relationship Id="rId103" Type="http://schemas.openxmlformats.org/officeDocument/2006/relationships/hyperlink" Target="https://www.halowaypoint.com/halo-infinite/players/Mungo%20pungo/matches/62b00f2c-169c-4bd0-b26e-bcf567c947cf" TargetMode="External"/><Relationship Id="rId102" Type="http://schemas.openxmlformats.org/officeDocument/2006/relationships/hyperlink" Target="https://www.halowaypoint.com/halo-infinite/players/Mungo%20pungo/matches/62e2d801-abc3-4f4a-ade0-77c5201b7ac2" TargetMode="External"/><Relationship Id="rId101" Type="http://schemas.openxmlformats.org/officeDocument/2006/relationships/hyperlink" Target="https://www.halowaypoint.com/halo-infinite/players/Invayda%20Zim/matches/1fd30dfa-1f88-4211-ba23-50e0b165210e" TargetMode="External"/><Relationship Id="rId100" Type="http://schemas.openxmlformats.org/officeDocument/2006/relationships/hyperlink" Target="https://www.halowaypoint.com/halo-infinite/players/Invayda%20Zim/matches/7998b84e-c716-4a2d-9dce-ae7d506b7b6b" TargetMode="External"/><Relationship Id="rId31" Type="http://schemas.openxmlformats.org/officeDocument/2006/relationships/hyperlink" Target="https://youtu.be/GDAjgqavohU" TargetMode="External"/><Relationship Id="rId30" Type="http://schemas.openxmlformats.org/officeDocument/2006/relationships/hyperlink" Target="https://www.halowaypoint.com/halo-infinite/players/ASpence501/matches/f730fd2e-950c-46cb-9704-024f334c2609" TargetMode="External"/><Relationship Id="rId33" Type="http://schemas.openxmlformats.org/officeDocument/2006/relationships/hyperlink" Target="https://www.halowaypoint.com/halo-infinite/players/iNF3ktioN/matches/88d5b55b-6289-42f5-9009-e01d52f1c991" TargetMode="External"/><Relationship Id="rId32" Type="http://schemas.openxmlformats.org/officeDocument/2006/relationships/hyperlink" Target="https://www.halowaypoint.com/halo-infinite/players/iNF3ktioN/matches/54a1d526-ac8e-4733-86e9-ce3415257254" TargetMode="External"/><Relationship Id="rId35" Type="http://schemas.openxmlformats.org/officeDocument/2006/relationships/hyperlink" Target="https://www.halowaypoint.com/halo-infinite/players/invayda%20zim/matches/b3400ba8-af9b-4a8a-824c-e0a3ca23d0fc" TargetMode="External"/><Relationship Id="rId34" Type="http://schemas.openxmlformats.org/officeDocument/2006/relationships/hyperlink" Target="https://www.halowaypoint.com/en-gb/halo-infinite/players/CaptainSev004/matches/c487eee7-a165-4642-ae7b-11d1a1f194db" TargetMode="External"/><Relationship Id="rId37" Type="http://schemas.openxmlformats.org/officeDocument/2006/relationships/hyperlink" Target="https://www.halowaypoint.com/halo-infinite/players/MuNgO%20PuNgO/matches/eea6ad97-5aad-4e78-937e-08f7534a79e6" TargetMode="External"/><Relationship Id="rId36" Type="http://schemas.openxmlformats.org/officeDocument/2006/relationships/hyperlink" Target="https://www.halowaypoint.com/halo-infinite/players/MuNgO%20PuNgO/matches/8b173cf7-6051-4a39-9e82-8f6013f0f5ce" TargetMode="External"/><Relationship Id="rId39" Type="http://schemas.openxmlformats.org/officeDocument/2006/relationships/hyperlink" Target="https://www.halowaypoint.com/halo-infinite/players/Fanciest%20Pants/matches/23783301-4c6b-4abd-a1a4-1f9942e7a5a1" TargetMode="External"/><Relationship Id="rId38" Type="http://schemas.openxmlformats.org/officeDocument/2006/relationships/hyperlink" Target="https://www.halowaypoint.com/halo-infinite/players/Fanciest%20Pants/matches/e41eca75-b322-4e94-b061-0481debb670e" TargetMode="External"/><Relationship Id="rId20" Type="http://schemas.openxmlformats.org/officeDocument/2006/relationships/hyperlink" Target="https://www.youtube.com/watch?v=uPbIGDacoKA" TargetMode="External"/><Relationship Id="rId22" Type="http://schemas.openxmlformats.org/officeDocument/2006/relationships/hyperlink" Target="https://www.halowaypoint.com/halo-infinite/players/ill%20shrek%20u/matches/cf6e4fe2-4ddb-4048-b49e-54e3424331ec" TargetMode="External"/><Relationship Id="rId21" Type="http://schemas.openxmlformats.org/officeDocument/2006/relationships/hyperlink" Target="https://www.halowaypoint.com/halo-infinite/players/ill%20shrek%20u/matches/ec67eb81-70af-4331-965b-3843cf47c82a" TargetMode="External"/><Relationship Id="rId24" Type="http://schemas.openxmlformats.org/officeDocument/2006/relationships/hyperlink" Target="https://www.halowaypoint.com/halo-infinite/players/Aspence501/matches/20bd5451-6f26-4c5b-9c88-2128c4f667ab" TargetMode="External"/><Relationship Id="rId23" Type="http://schemas.openxmlformats.org/officeDocument/2006/relationships/hyperlink" Target="https://www.halowaypoint.com/halo-infinite/players/Sauted%20Smurf/matches/57ebfeca-971f-4e8f-8a32-5aa907a07431" TargetMode="External"/><Relationship Id="rId129" Type="http://schemas.openxmlformats.org/officeDocument/2006/relationships/hyperlink" Target="https://www.halowaypoint.com/halo-infinite/players/Sauted%20Smurf/matches/0c3770f2-a170-4e94-a300-730fd7f65ee0" TargetMode="External"/><Relationship Id="rId128" Type="http://schemas.openxmlformats.org/officeDocument/2006/relationships/hyperlink" Target="https://www.halowaypoint.com/halo-infinite/players/Hells%20Angel%20cx/matches/77370906-8a7d-4ed4-8ff8-e6a18da8857b" TargetMode="External"/><Relationship Id="rId127" Type="http://schemas.openxmlformats.org/officeDocument/2006/relationships/hyperlink" Target="https://www.halowaypoint.com/halo-infinite/players/Hells%20Angel%20cx/matches/f6285f2c-3edd-478e-9320-9b96d460e121" TargetMode="External"/><Relationship Id="rId126" Type="http://schemas.openxmlformats.org/officeDocument/2006/relationships/hyperlink" Target="https://www.halowaypoint.com/halo-infinite/players/Invayda%20Zim/matches/dab7a8cf-5e35-4e2f-90d7-639a93474803" TargetMode="External"/><Relationship Id="rId26" Type="http://schemas.openxmlformats.org/officeDocument/2006/relationships/hyperlink" Target="https://www.halowaypoint.com/halo-infinite/players/ill%20shrek%20u/matches/5e8a2525-8f9c-40f7-9bf7-118acfb2a8bf" TargetMode="External"/><Relationship Id="rId121" Type="http://schemas.openxmlformats.org/officeDocument/2006/relationships/hyperlink" Target="https://www.halowaypoint.com/halo-infinite/players/NecessaryEvil10/matches/0e85c292-7470-41b1-8963-ea997213f683" TargetMode="External"/><Relationship Id="rId25" Type="http://schemas.openxmlformats.org/officeDocument/2006/relationships/hyperlink" Target="https://www.youtube.com/watch?v=2blBBcqI_jw" TargetMode="External"/><Relationship Id="rId120" Type="http://schemas.openxmlformats.org/officeDocument/2006/relationships/hyperlink" Target="https://www.halowaypoint.com/halo-infinite/players/Invayda%20Zim/matches/5a3e81f2-9986-44f8-b9e9-e0012742807b" TargetMode="External"/><Relationship Id="rId28" Type="http://schemas.openxmlformats.org/officeDocument/2006/relationships/hyperlink" Target="https://www.halowaypoint.com/halo-infinite/players/Scullen%20cx/matches/47e3568a-9118-4361-b321-b515123e9113" TargetMode="External"/><Relationship Id="rId27" Type="http://schemas.openxmlformats.org/officeDocument/2006/relationships/hyperlink" Target="https://www.halowaypoint.com/halo-infinite/players/Mavbrid/matches/145d2a7a-3175-42f0-bb7a-2fc2bd9d0ca9" TargetMode="External"/><Relationship Id="rId125" Type="http://schemas.openxmlformats.org/officeDocument/2006/relationships/hyperlink" Target="https://www.halowaypoint.com/halo-infinite/players/Invayda%20Zim/matches/8b6457f6-e6e7-4fac-a091-63daa4cea739" TargetMode="External"/><Relationship Id="rId29" Type="http://schemas.openxmlformats.org/officeDocument/2006/relationships/hyperlink" Target="https://www.halowaypoint.com/halo-infinite/players/invayda%20zim/matches/0534cd95-fec4-4af6-9f3c-eae9d1d2337c" TargetMode="External"/><Relationship Id="rId124" Type="http://schemas.openxmlformats.org/officeDocument/2006/relationships/hyperlink" Target="https://www.halowaypoint.com/halo-infinite/players/Hells%20Angel%20cx/matches/51552162-8fab-4d9c-b79b-2814a6b9933f" TargetMode="External"/><Relationship Id="rId123" Type="http://schemas.openxmlformats.org/officeDocument/2006/relationships/hyperlink" Target="https://www.halowaypoint.com/halo-infinite/players/Hells%20Angel%20cx/matches/0c479387-d1af-4201-9185-db985e2677e9" TargetMode="External"/><Relationship Id="rId122" Type="http://schemas.openxmlformats.org/officeDocument/2006/relationships/hyperlink" Target="https://www.halowaypoint.com/halo-infinite/players/NecessaryEvil10/matches/2587ee70-04d4-4318-97ab-21c8f3042756" TargetMode="External"/><Relationship Id="rId95" Type="http://schemas.openxmlformats.org/officeDocument/2006/relationships/hyperlink" Target="https://www.halowaypoint.com/halo-infinite/players/Scullen%20cx/matches/99f73eae-76bb-4e6a-ada1-68da2e1b797c" TargetMode="External"/><Relationship Id="rId94" Type="http://schemas.openxmlformats.org/officeDocument/2006/relationships/hyperlink" Target="https://www.halowaypoint.com/halo-infinite/players/Scullen%20cx/matches/5e0899f1-0102-4fb2-9165-621f8a796717" TargetMode="External"/><Relationship Id="rId97" Type="http://schemas.openxmlformats.org/officeDocument/2006/relationships/hyperlink" Target="https://www.halowaypoint.com/halo-infinite/players/ixGingy/matches/3e277efd-ab56-4f4b-921e-c322a7e61ba0" TargetMode="External"/><Relationship Id="rId96" Type="http://schemas.openxmlformats.org/officeDocument/2006/relationships/hyperlink" Target="https://www.halowaypoint.com/halo-infinite/players/ixGingy/matches/ba39dd6b-a032-409b-aae3-8f58e59b6afa" TargetMode="External"/><Relationship Id="rId11" Type="http://schemas.openxmlformats.org/officeDocument/2006/relationships/hyperlink" Target="https://www.halowaypoint.com/halo-infinite/players/Scullen%20cx/matches/f34f030f-cca5-4ea9-881c-3d0412c4cd65" TargetMode="External"/><Relationship Id="rId99" Type="http://schemas.openxmlformats.org/officeDocument/2006/relationships/hyperlink" Target="https://www.halowaypoint.com/halo-infinite/players/iNF3ktioN/matches/cd6cb592-0011-453c-9a57-6c8ae0b3bf93" TargetMode="External"/><Relationship Id="rId10" Type="http://schemas.openxmlformats.org/officeDocument/2006/relationships/hyperlink" Target="https://www.halowaypoint.com/halo-infinite/players/PsyDucky54/matches/b1a33cc0-5894-4aeb-948e-9c587b085351" TargetMode="External"/><Relationship Id="rId98" Type="http://schemas.openxmlformats.org/officeDocument/2006/relationships/hyperlink" Target="https://www.halowaypoint.com/halo-infinite/players/Kdskill/matches/e9e8799d-0ff8-4671-a571-c6f6621a933a" TargetMode="External"/><Relationship Id="rId13" Type="http://schemas.openxmlformats.org/officeDocument/2006/relationships/hyperlink" Target="https://www.halowaypoint.com/halo-infinite/players/Scullen%20cx/matches/04bc2b68-b37d-4b98-af0c-0c7bbbd4163f" TargetMode="External"/><Relationship Id="rId12" Type="http://schemas.openxmlformats.org/officeDocument/2006/relationships/hyperlink" Target="https://www.halowaypoint.com/halo-infinite/players/Scullen%20cx/matches/1be54194-bdd3-4647-9c3d-4563e65f1c8c" TargetMode="External"/><Relationship Id="rId91" Type="http://schemas.openxmlformats.org/officeDocument/2006/relationships/hyperlink" Target="https://www.halowaypoint.com/halo-infinite/players/PsyDucky54/matches/4ead1ec1-2c6f-4cec-b419-42ab21ed9f3c" TargetMode="External"/><Relationship Id="rId90" Type="http://schemas.openxmlformats.org/officeDocument/2006/relationships/hyperlink" Target="https://www.halowaypoint.com/halo-infinite/players/PsyDucky54/matches/d94e43d7-434d-4f70-ad4c-dfafaf9a5f55" TargetMode="External"/><Relationship Id="rId93" Type="http://schemas.openxmlformats.org/officeDocument/2006/relationships/hyperlink" Target="https://www.halowaypoint.com/halo-infinite/players/Scullen%20cx/matches/83605a47-b419-42b6-9d86-b3136b2d26d9" TargetMode="External"/><Relationship Id="rId92" Type="http://schemas.openxmlformats.org/officeDocument/2006/relationships/hyperlink" Target="https://www.halowaypoint.com/halo-infinite/players/Scullen%20cx/matches/e8ff16a6-b834-4305-b425-4854f96bc6f1" TargetMode="External"/><Relationship Id="rId118" Type="http://schemas.openxmlformats.org/officeDocument/2006/relationships/hyperlink" Target="https://www.halowaypoint.com/halo-infinite/players/ixGingy/matches/a9582f92-e0a2-458f-8855-3c712bcc25f8" TargetMode="External"/><Relationship Id="rId117" Type="http://schemas.openxmlformats.org/officeDocument/2006/relationships/hyperlink" Target="https://www.halowaypoint.com/halo-infinite/players/ixGingy/matches/3f2251b3-6fcc-49f2-a509-aa76068bfd68" TargetMode="External"/><Relationship Id="rId116" Type="http://schemas.openxmlformats.org/officeDocument/2006/relationships/hyperlink" Target="https://www.halowaypoint.com/halo-infinite/players/ixGingy/matches/b9f791d5-1119-4c34-87d8-4448703c87c1" TargetMode="External"/><Relationship Id="rId115" Type="http://schemas.openxmlformats.org/officeDocument/2006/relationships/hyperlink" Target="https://www.halowaypoint.com/halo-infinite/players/Scullen%20cx/matches/a86f0490-3f92-484c-be09-f38832df1cca" TargetMode="External"/><Relationship Id="rId119" Type="http://schemas.openxmlformats.org/officeDocument/2006/relationships/hyperlink" Target="https://www.halowaypoint.com/halo-infinite/players/ixGingy/matches/62918ec4-221e-4a38-9e09-100f8d5dddfb" TargetMode="External"/><Relationship Id="rId15" Type="http://schemas.openxmlformats.org/officeDocument/2006/relationships/hyperlink" Target="https://www.youtube.com/watch?v=oLKBxfApNaA" TargetMode="External"/><Relationship Id="rId110" Type="http://schemas.openxmlformats.org/officeDocument/2006/relationships/hyperlink" Target="https://www.halowaypoint.com/halo-infinite/players/Hells%20Angel%20cx/matches/ca73e531-06fa-4010-acf4-b2af1c63c570" TargetMode="External"/><Relationship Id="rId14" Type="http://schemas.openxmlformats.org/officeDocument/2006/relationships/hyperlink" Target="https://www.halowaypoint.com/halo-infinite/players/ASpence501/matches/c91aab4e-9aa7-4ad7-9efa-d04d53df0825" TargetMode="External"/><Relationship Id="rId17" Type="http://schemas.openxmlformats.org/officeDocument/2006/relationships/hyperlink" Target="https://www.halowaypoint.com/halo-infinite/players/Deathcrawller/matches/b3b57bdf-2217-43d3-ae73-dc72cc4dbdff" TargetMode="External"/><Relationship Id="rId16" Type="http://schemas.openxmlformats.org/officeDocument/2006/relationships/hyperlink" Target="https://www.halowaypoint.com/halo-infinite/players/tjp37/matches/11888c4f-f6e0-4c0a-b427-a837ce87efe0" TargetMode="External"/><Relationship Id="rId19" Type="http://schemas.openxmlformats.org/officeDocument/2006/relationships/hyperlink" Target="https://www.halowaypoint.com/halo-infinite/players/Deathcrawller/matches/5013cd63-5e79-4007-b92c-5f4ab9f1cb5d" TargetMode="External"/><Relationship Id="rId114" Type="http://schemas.openxmlformats.org/officeDocument/2006/relationships/hyperlink" Target="https://www.halowaypoint.com/halo-infinite/players/ixGingy/matches/6fadbaf0-28cd-452e-bd79-eda322e740b0" TargetMode="External"/><Relationship Id="rId18" Type="http://schemas.openxmlformats.org/officeDocument/2006/relationships/hyperlink" Target="https://www.youtube.com/watch?v=uPbIGDacoKA" TargetMode="External"/><Relationship Id="rId113" Type="http://schemas.openxmlformats.org/officeDocument/2006/relationships/hyperlink" Target="https://www.halowaypoint.com/halo-infinite/players/Invayda%20Zim/matches/7c9ef743-ff46-4a1b-93d2-ca7003089c87" TargetMode="External"/><Relationship Id="rId112" Type="http://schemas.openxmlformats.org/officeDocument/2006/relationships/hyperlink" Target="https://www.halowaypoint.com/halo-infinite/players/Mungo%20pungo/matches/221fee1f-19e1-4ae6-9b3a-7d975cdd7885" TargetMode="External"/><Relationship Id="rId111" Type="http://schemas.openxmlformats.org/officeDocument/2006/relationships/hyperlink" Target="https://www.halowaypoint.com/halo-infinite/players/Hells%20Angel%20cx/matches/f3af3e62-19d2-4a85-be80-37e30c8424ce" TargetMode="External"/><Relationship Id="rId84" Type="http://schemas.openxmlformats.org/officeDocument/2006/relationships/hyperlink" Target="https://www.halowaypoint.com/halo-infinite/players/NecessaryEvil10/matches/7c8b73cc-8ed1-4a30-adaf-4648ae7d4f36" TargetMode="External"/><Relationship Id="rId83" Type="http://schemas.openxmlformats.org/officeDocument/2006/relationships/hyperlink" Target="https://www.halowaypoint.com/halo-infinite/players/Kdskill/matches/13e4f5d3-334a-4bbc-b5e0-88c038608114" TargetMode="External"/><Relationship Id="rId86" Type="http://schemas.openxmlformats.org/officeDocument/2006/relationships/hyperlink" Target="https://www.halowaypoint.com/halo-infinite/players/poisonxpoptart/matches/b4d7fc81-8690-435a-b3ba-fe445d4bb189" TargetMode="External"/><Relationship Id="rId85" Type="http://schemas.openxmlformats.org/officeDocument/2006/relationships/hyperlink" Target="https://www.halowaypoint.com/halo-infinite/players/PsyDucky54/matches/6913a072-c1f0-424e-a6c3-ff6c246d50e9" TargetMode="External"/><Relationship Id="rId88" Type="http://schemas.openxmlformats.org/officeDocument/2006/relationships/hyperlink" Target="https://www.halowaypoint.com/halo-infinite/players/ill%20shrek%20u/matches/3bee7561-ed96-41ed-b323-35a83458d0a7" TargetMode="External"/><Relationship Id="rId150" Type="http://schemas.openxmlformats.org/officeDocument/2006/relationships/hyperlink" Target="https://www.halowaypoint.com/halo-infinite/players/Inf3ktion/matches/dba01c53-c38a-4143-8b7f-ceb77b7afb9b" TargetMode="External"/><Relationship Id="rId87" Type="http://schemas.openxmlformats.org/officeDocument/2006/relationships/hyperlink" Target="https://www.halowaypoint.com/halo-infinite/players/poisonxpoptart/matches/c2e28765-faed-40a9-8f3e-e05e623a88d1" TargetMode="External"/><Relationship Id="rId89" Type="http://schemas.openxmlformats.org/officeDocument/2006/relationships/hyperlink" Target="https://www.halowaypoint.com/halo-infinite/players/ill%20shrek%20u/matches/d2293ece-96ff-483f-a38b-1d22747e628d" TargetMode="External"/><Relationship Id="rId80" Type="http://schemas.openxmlformats.org/officeDocument/2006/relationships/hyperlink" Target="https://www.halowaypoint.com/halo-infinite/players/iNF3ktioN/matches/167846c8-b249-4522-a3f9-0059d2bb8215" TargetMode="External"/><Relationship Id="rId82" Type="http://schemas.openxmlformats.org/officeDocument/2006/relationships/hyperlink" Target="https://www.halowaypoint.com/halo-infinite/players/Kdskill/matches/13527e31-a387-4d2e-a78d-964475812496" TargetMode="External"/><Relationship Id="rId81" Type="http://schemas.openxmlformats.org/officeDocument/2006/relationships/hyperlink" Target="https://www.halowaypoint.com/halo-infinite/players/ASpence501/matches/698a665e-ee46-475f-89a1-4349eb4e1392" TargetMode="External"/><Relationship Id="rId1" Type="http://schemas.openxmlformats.org/officeDocument/2006/relationships/hyperlink" Target="https://www.halowaypoint.com/halo-infinite/players/ASpence501/matches/6b848e70-f610-4bd6-996b-c4209a6891e4" TargetMode="External"/><Relationship Id="rId2" Type="http://schemas.openxmlformats.org/officeDocument/2006/relationships/hyperlink" Target="https://youtu.be/TDo1IfL4Iz8" TargetMode="External"/><Relationship Id="rId3" Type="http://schemas.openxmlformats.org/officeDocument/2006/relationships/hyperlink" Target="https://www.halowaypoint.com/halo-infinite/players/NecessaryEvil10/matches/bafb90fe-3c05-4b83-aaa0-ca0254fe99e3" TargetMode="External"/><Relationship Id="rId149" Type="http://schemas.openxmlformats.org/officeDocument/2006/relationships/hyperlink" Target="https://www.halowaypoint.com/halo-infinite/players/Inf3ktion/matches/c0194429-9a74-416b-a5a3-54186f384301" TargetMode="External"/><Relationship Id="rId4" Type="http://schemas.openxmlformats.org/officeDocument/2006/relationships/hyperlink" Target="https://www.halowaypoint.com/halo-infinite/players/NecessaryEvil10/matches/e1af0cbd-cd72-4732-bb3d-b7cc75ef1647" TargetMode="External"/><Relationship Id="rId148" Type="http://schemas.openxmlformats.org/officeDocument/2006/relationships/hyperlink" Target="https://www.halowaypoint.com/halo-infinite/players/Inf3ktion/matches/0c0d6ac5-addd-4a9d-a18d-a9d71d8be7c2" TargetMode="External"/><Relationship Id="rId9" Type="http://schemas.openxmlformats.org/officeDocument/2006/relationships/hyperlink" Target="https://www.halowaypoint.com/halo-infinite/players/PsyDucky54/matches/d1c56c03-9a19-4afb-8d1e-a4d6ba4838dd" TargetMode="External"/><Relationship Id="rId143" Type="http://schemas.openxmlformats.org/officeDocument/2006/relationships/hyperlink" Target="https://www.halowaypoint.com/halo-infinite/players/TCT%20Avenger/matches/a5c68d8f-945c-4b2c-a7e0-cd6a7612f0a5" TargetMode="External"/><Relationship Id="rId142" Type="http://schemas.openxmlformats.org/officeDocument/2006/relationships/hyperlink" Target="https://www.halowaypoint.com/halo-infinite/players/TCT%20Avenger/matches/9794e37c-3c69-4a13-8f56-21d64e455370" TargetMode="External"/><Relationship Id="rId141" Type="http://schemas.openxmlformats.org/officeDocument/2006/relationships/hyperlink" Target="https://www.halowaypoint.com/halo-infinite/players/Mavbrid/matches/4870aeb1-6a60-4f58-aa6f-e2df38418c10" TargetMode="External"/><Relationship Id="rId140" Type="http://schemas.openxmlformats.org/officeDocument/2006/relationships/hyperlink" Target="https://www.halowaypoint.com/halo-infinite/players/Mavbrid/matches/0d8fbe67-96d1-4e58-b5bb-396c000f71a2" TargetMode="External"/><Relationship Id="rId5" Type="http://schemas.openxmlformats.org/officeDocument/2006/relationships/hyperlink" Target="https://www.halowaypoint.com/halo-infinite/players/ASpence501/matches/a2499647-c603-4d86-9ab6-c5259b2a6e7b" TargetMode="External"/><Relationship Id="rId147" Type="http://schemas.openxmlformats.org/officeDocument/2006/relationships/hyperlink" Target="https://www.halowaypoint.com/halo-infinite/players/Inf3ktion/matches/30974138-9d7a-4484-84da-f7c88c05c0a0" TargetMode="External"/><Relationship Id="rId6" Type="http://schemas.openxmlformats.org/officeDocument/2006/relationships/hyperlink" Target="https://www.youtube.com/watch?v=Qdh4X_c1BAg" TargetMode="External"/><Relationship Id="rId146" Type="http://schemas.openxmlformats.org/officeDocument/2006/relationships/hyperlink" Target="https://www.halowaypoint.com/halo-infinite/players/MysticalNovice/matches/15f377fa-c70b-42fb-85fb-ea4edbb0fe6a" TargetMode="External"/><Relationship Id="rId7" Type="http://schemas.openxmlformats.org/officeDocument/2006/relationships/hyperlink" Target="https://www.halowaypoint.com/halo-infinite/players/KDSkill/matches/55147b8c-d83c-4017-b5e7-911d568e1c7e" TargetMode="External"/><Relationship Id="rId145" Type="http://schemas.openxmlformats.org/officeDocument/2006/relationships/hyperlink" Target="https://www.halowaypoint.com/halo-infinite/players/MysticalNovice/matches/609f552a-634c-46aa-b3a5-07d4b83591f9" TargetMode="External"/><Relationship Id="rId8" Type="http://schemas.openxmlformats.org/officeDocument/2006/relationships/hyperlink" Target="https://www.halowaypoint.com/halo-infinite/players/KDSkill/matches/2bcf33a0-4326-4676-9c8f-5e229ebc160a" TargetMode="External"/><Relationship Id="rId144" Type="http://schemas.openxmlformats.org/officeDocument/2006/relationships/hyperlink" Target="https://www.halowaypoint.com/halo-infinite/players/MysticalNovice/matches/e47a4f57-b33b-410b-8348-cd6bfc6e8ae9" TargetMode="External"/><Relationship Id="rId73" Type="http://schemas.openxmlformats.org/officeDocument/2006/relationships/hyperlink" Target="https://www.halowaypoint.com/halo-infinite/players/PsyDucky54/matches/7f473a4e-4e1f-4a68-a0a4-1569ecdec822" TargetMode="External"/><Relationship Id="rId72" Type="http://schemas.openxmlformats.org/officeDocument/2006/relationships/hyperlink" Target="https://www.halowaypoint.com/halo-infinite/players/sauted%20smurf/matches/8979d5ba-720c-4995-9f65-3be7608a4a08" TargetMode="External"/><Relationship Id="rId75" Type="http://schemas.openxmlformats.org/officeDocument/2006/relationships/hyperlink" Target="https://www.halowaypoint.com/halo-infinite/players/sauted%20smurf/matches/d996ac36-4c62-4e22-b72d-280f035909ee" TargetMode="External"/><Relationship Id="rId74" Type="http://schemas.openxmlformats.org/officeDocument/2006/relationships/hyperlink" Target="https://www.halowaypoint.com/halo-infinite/players/ill%20shrek%20u/matches/98a6480f-e479-4a18-b526-abca70b0d1bd" TargetMode="External"/><Relationship Id="rId77" Type="http://schemas.openxmlformats.org/officeDocument/2006/relationships/hyperlink" Target="https://www.halowaypoint.com/halo-infinite/players/ixGingy/matches/845df938-aad1-40c5-b925-7d6be4987da9" TargetMode="External"/><Relationship Id="rId76" Type="http://schemas.openxmlformats.org/officeDocument/2006/relationships/hyperlink" Target="https://www.halowaypoint.com/halo-infinite/players/ixGingy/matches/daf5fb68-8512-4026-bec3-0dc5d74ae02c" TargetMode="External"/><Relationship Id="rId79" Type="http://schemas.openxmlformats.org/officeDocument/2006/relationships/hyperlink" Target="https://www.halowaypoint.com/halo-infinite/players/NecessaryEvil10/matches/91368d91-014a-483e-a38d-85d396a0cbf1" TargetMode="External"/><Relationship Id="rId78" Type="http://schemas.openxmlformats.org/officeDocument/2006/relationships/hyperlink" Target="https://www.halowaypoint.com/halo-infinite/players/NecessaryEvil10/matches/6c77daea-9e1c-4117-acc7-5d13b81b3c85" TargetMode="External"/><Relationship Id="rId71" Type="http://schemas.openxmlformats.org/officeDocument/2006/relationships/hyperlink" Target="https://www.halowaypoint.com/halo-infinite/players/sauted%20smurf/matches/c7d4dbcb-b2b6-434e-9535-ae2f278f71f4" TargetMode="External"/><Relationship Id="rId70" Type="http://schemas.openxmlformats.org/officeDocument/2006/relationships/hyperlink" Target="https://www.halowaypoint.com/halo-infinite/players/Kdskill/matches/e8ae30d6-e1c5-4b2e-b514-6f03f9b8c7c2" TargetMode="External"/><Relationship Id="rId139" Type="http://schemas.openxmlformats.org/officeDocument/2006/relationships/hyperlink" Target="https://www.halowaypoint.com/halo-infinite/players/ASpence501/matches/5ee642e9-fc36-41f8-ae07-b74fedb47c52" TargetMode="External"/><Relationship Id="rId138" Type="http://schemas.openxmlformats.org/officeDocument/2006/relationships/hyperlink" Target="https://www.halowaypoint.com/halo-infinite/players/ASpence501/matches/5bb214e0-fbd4-4800-aeff-aafc5519f1db" TargetMode="External"/><Relationship Id="rId137" Type="http://schemas.openxmlformats.org/officeDocument/2006/relationships/hyperlink" Target="https://www.halowaypoint.com/halo-infinite/players/NOPLEX/matches/519b640d-014c-4d6d-bd41-c2c6ab9c39c6" TargetMode="External"/><Relationship Id="rId132" Type="http://schemas.openxmlformats.org/officeDocument/2006/relationships/hyperlink" Target="https://www.halowaypoint.com/halo-infinite/players/Chemical/matches/20cd97da-fada-45d8-b9c0-713997b1f885" TargetMode="External"/><Relationship Id="rId131" Type="http://schemas.openxmlformats.org/officeDocument/2006/relationships/hyperlink" Target="https://www.halowaypoint.com/halo-infinite/players/Kdskill/matches/74c0cee0-427e-41aa-b94d-f6dc14969ae2" TargetMode="External"/><Relationship Id="rId130" Type="http://schemas.openxmlformats.org/officeDocument/2006/relationships/hyperlink" Target="https://www.halowaypoint.com/halo-infinite/players/Mungo%20pungo/matches/b09456d0-09a6-4ca4-af48-4b4916164e8f" TargetMode="External"/><Relationship Id="rId136" Type="http://schemas.openxmlformats.org/officeDocument/2006/relationships/hyperlink" Target="https://www.halowaypoint.com/halo-infinite/players/NOPLEX/matches/53effa1b-c9fb-4b85-8459-fa885ebe502b" TargetMode="External"/><Relationship Id="rId135" Type="http://schemas.openxmlformats.org/officeDocument/2006/relationships/hyperlink" Target="https://www.halowaypoint.com/halo-infinite/players/Solace%20VIII/matches/8b0cad9a-079c-4286-a2d0-f7cfe85d1b22" TargetMode="External"/><Relationship Id="rId134" Type="http://schemas.openxmlformats.org/officeDocument/2006/relationships/hyperlink" Target="https://www.halowaypoint.com/halo-infinite/players/Sabasauros%20rex/matches/3da30406-6f14-4f84-8bd2-abae7f471b02" TargetMode="External"/><Relationship Id="rId133" Type="http://schemas.openxmlformats.org/officeDocument/2006/relationships/hyperlink" Target="https://www.halowaypoint.com/halo-infinite/players/Deathcrawller/matches/334dc01d-6b99-4948-9b1b-c9b2413fe694" TargetMode="External"/><Relationship Id="rId62" Type="http://schemas.openxmlformats.org/officeDocument/2006/relationships/hyperlink" Target="https://www.halowaypoint.com/halo-infinite/players/ill%20shrek%20u/matches/d6160648-e6b3-488b-821a-3ff0c773d8e0" TargetMode="External"/><Relationship Id="rId61" Type="http://schemas.openxmlformats.org/officeDocument/2006/relationships/hyperlink" Target="https://www.halowaypoint.com/halo-infinite/players/invayda%20zim/matches/109bb0cd-942d-4950-b7f6-4703bcbf7ec6" TargetMode="External"/><Relationship Id="rId64" Type="http://schemas.openxmlformats.org/officeDocument/2006/relationships/hyperlink" Target="https://www.halowaypoint.com/halo-infinite/players/ASpence501/matches/0940556e-1c30-4c70-911f-595e766e9bd8" TargetMode="External"/><Relationship Id="rId63" Type="http://schemas.openxmlformats.org/officeDocument/2006/relationships/hyperlink" Target="https://www.halowaypoint.com/halo-infinite/players/Kdskill/matches/b3c76f17-db15-4bdd-abec-1da111860201" TargetMode="External"/><Relationship Id="rId66" Type="http://schemas.openxmlformats.org/officeDocument/2006/relationships/hyperlink" Target="https://www.halowaypoint.com/halo-infinite/players/ASpence501/matches/0e56af10-bcd9-4650-aa2f-37ffea02c8e6" TargetMode="External"/><Relationship Id="rId65" Type="http://schemas.openxmlformats.org/officeDocument/2006/relationships/hyperlink" Target="https://www.halowaypoint.com/halo-infinite/players/ASpence501/matches/3a643978-b15d-464b-a9d9-8c169f0b31e4" TargetMode="External"/><Relationship Id="rId68" Type="http://schemas.openxmlformats.org/officeDocument/2006/relationships/hyperlink" Target="https://www.halowaypoint.com/halo-infinite/players/PsyDucky54/matches/835f1cf2-c9bf-44f9-b4ea-f291ef74271f" TargetMode="External"/><Relationship Id="rId67" Type="http://schemas.openxmlformats.org/officeDocument/2006/relationships/hyperlink" Target="https://www.halowaypoint.com/halo-infinite/players/PSYDUCKY54/matches/49f79451-b76f-406f-8308-b93d1462b7da" TargetMode="External"/><Relationship Id="rId60" Type="http://schemas.openxmlformats.org/officeDocument/2006/relationships/hyperlink" Target="https://www.halowaypoint.com/halo-infinite/players/iNF3ktioN/matches/6e829583-9334-4738-aadd-c00960cf9e45" TargetMode="External"/><Relationship Id="rId69" Type="http://schemas.openxmlformats.org/officeDocument/2006/relationships/hyperlink" Target="https://www.halowaypoint.com/halo-infinite/players/ill%20shrek%20u/matches/51aa2802-680e-410d-bc30-55bb416ac0f4" TargetMode="External"/><Relationship Id="rId51" Type="http://schemas.openxmlformats.org/officeDocument/2006/relationships/hyperlink" Target="https://www.halowaypoint.com/halo-infinite/players/ill%20shrek%20u/matches/b378216f-dfb1-4bf4-acc4-2c13151efa5c" TargetMode="External"/><Relationship Id="rId50" Type="http://schemas.openxmlformats.org/officeDocument/2006/relationships/hyperlink" Target="https://www.halowaypoint.com/halo-infinite/players/ill%20shrek%20u/matches/778ef6f2-b463-48e3-bb2b-cec14ab7355c" TargetMode="External"/><Relationship Id="rId53" Type="http://schemas.openxmlformats.org/officeDocument/2006/relationships/hyperlink" Target="https://www.halowaypoint.com/halo-infinite/players/invayda%20zim/matches/408771b4-a7c7-413e-ba78-856ed8006dc4" TargetMode="External"/><Relationship Id="rId52" Type="http://schemas.openxmlformats.org/officeDocument/2006/relationships/hyperlink" Target="https://www.halowaypoint.com/halo-infinite/players/Kdskill/matches/9dc93f83-d9a9-45c2-b6b2-737eeec10c4d" TargetMode="External"/><Relationship Id="rId55" Type="http://schemas.openxmlformats.org/officeDocument/2006/relationships/hyperlink" Target="https://www.halowaypoint.com/halo-infinite/players/Kdskill/matches/22d80f04-2566-453e-97d4-01ee296dcd3d" TargetMode="External"/><Relationship Id="rId54" Type="http://schemas.openxmlformats.org/officeDocument/2006/relationships/hyperlink" Target="https://www.halowaypoint.com/halo-infinite/players/invayda%20zim/matches/4907575e-149a-49a3-ba04-c0937a460dc0" TargetMode="External"/><Relationship Id="rId57" Type="http://schemas.openxmlformats.org/officeDocument/2006/relationships/hyperlink" Target="https://www.halowaypoint.com/halo-infinite/players/ill%20shrek%20u/matches/45203a64-f4bc-4d04-b945-0f9bd1c3f198" TargetMode="External"/><Relationship Id="rId56" Type="http://schemas.openxmlformats.org/officeDocument/2006/relationships/hyperlink" Target="https://www.halowaypoint.com/halo-infinite/players/Invayda%20Zim/matches/639d255b-16b5-4a50-9131-002e33c7b9eb" TargetMode="External"/><Relationship Id="rId59" Type="http://schemas.openxmlformats.org/officeDocument/2006/relationships/hyperlink" Target="https://www.halowaypoint.com/halo-infinite/players/iNF3ktioN/matches/b12c1035-e69e-4249-a55d-e1201376bec6" TargetMode="External"/><Relationship Id="rId58" Type="http://schemas.openxmlformats.org/officeDocument/2006/relationships/hyperlink" Target="https://www.halowaypoint.com/halo-infinite/players/ill%20shrek%20u/matches/1c572bda-d5a8-43fb-9071-86352f25942b" TargetMode="External"/><Relationship Id="rId15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customWidth="1" hidden="1" min="16" max="18" width="12.63"/>
    <col customWidth="1" hidden="1" min="19" max="19" width="3.88"/>
  </cols>
  <sheetData>
    <row r="1" ht="15.75" customHeight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5"/>
      <c r="Q2" s="5"/>
      <c r="R2" s="5"/>
    </row>
    <row r="3" ht="15.75" customHeight="1">
      <c r="A3" s="1"/>
      <c r="B3" s="6"/>
      <c r="N3" s="7"/>
      <c r="O3" s="1"/>
      <c r="P3" s="5"/>
      <c r="Q3" s="5"/>
      <c r="R3" s="5"/>
    </row>
    <row r="4" ht="15.75" customHeight="1">
      <c r="A4" s="1"/>
      <c r="B4" s="6"/>
      <c r="N4" s="7"/>
      <c r="O4" s="1"/>
      <c r="P4" s="8"/>
      <c r="Q4" s="9"/>
      <c r="R4" s="9"/>
    </row>
    <row r="5" ht="1.5" customHeight="1">
      <c r="A5" s="1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"/>
      <c r="P5" s="8"/>
      <c r="Q5" s="9"/>
      <c r="R5" s="9"/>
    </row>
    <row r="6" ht="35.25" customHeight="1">
      <c r="A6" s="13"/>
      <c r="B6" s="14" t="s">
        <v>1</v>
      </c>
      <c r="C6" s="14">
        <v>7.0</v>
      </c>
      <c r="D6" s="15">
        <v>4.0</v>
      </c>
      <c r="E6" s="14">
        <v>1.0</v>
      </c>
      <c r="F6" s="14">
        <v>10.0</v>
      </c>
      <c r="G6" s="14">
        <v>8.0</v>
      </c>
      <c r="H6" s="14">
        <v>6.0</v>
      </c>
      <c r="I6" s="16">
        <v>3.0</v>
      </c>
      <c r="J6" s="14">
        <v>2.0</v>
      </c>
      <c r="K6" s="14">
        <v>5.0</v>
      </c>
      <c r="L6" s="14">
        <v>11.0</v>
      </c>
      <c r="M6" s="14">
        <v>12.0</v>
      </c>
      <c r="N6" s="14">
        <v>9.0</v>
      </c>
      <c r="O6" s="17"/>
      <c r="P6" s="8"/>
      <c r="Q6" s="9"/>
      <c r="R6" s="9"/>
      <c r="S6" s="18"/>
    </row>
    <row r="7" ht="35.25" customHeight="1">
      <c r="A7" s="17"/>
      <c r="B7" s="14" t="s">
        <v>2</v>
      </c>
      <c r="C7" s="14">
        <v>3.0</v>
      </c>
      <c r="D7" s="15">
        <v>4.0</v>
      </c>
      <c r="E7" s="14">
        <v>4.0</v>
      </c>
      <c r="F7" s="14"/>
      <c r="G7" s="14">
        <v>3.0</v>
      </c>
      <c r="H7" s="14">
        <v>4.0</v>
      </c>
      <c r="I7" s="16">
        <v>1.0</v>
      </c>
      <c r="J7" s="14">
        <v>4.0</v>
      </c>
      <c r="K7" s="14">
        <v>2.0</v>
      </c>
      <c r="L7" s="14"/>
      <c r="M7" s="14"/>
      <c r="N7" s="14"/>
      <c r="O7" s="17"/>
      <c r="P7" s="8"/>
      <c r="Q7" s="9"/>
      <c r="R7" s="9"/>
      <c r="S7" s="18"/>
    </row>
    <row r="8" ht="52.5" customHeight="1">
      <c r="A8" s="17"/>
      <c r="B8" s="19" t="s">
        <v>3</v>
      </c>
      <c r="C8" s="20" t="s">
        <v>4</v>
      </c>
      <c r="D8" s="20" t="s">
        <v>5</v>
      </c>
      <c r="E8" s="20" t="s">
        <v>6</v>
      </c>
      <c r="F8" s="20" t="s">
        <v>7</v>
      </c>
      <c r="G8" s="21" t="s">
        <v>8</v>
      </c>
      <c r="H8" s="21" t="s">
        <v>9</v>
      </c>
      <c r="I8" s="22" t="s">
        <v>10</v>
      </c>
      <c r="J8" s="21" t="s">
        <v>11</v>
      </c>
      <c r="K8" s="21" t="s">
        <v>12</v>
      </c>
      <c r="L8" s="21" t="s">
        <v>13</v>
      </c>
      <c r="M8" s="20" t="s">
        <v>14</v>
      </c>
      <c r="N8" s="20" t="s">
        <v>15</v>
      </c>
      <c r="O8" s="17"/>
      <c r="P8" s="8"/>
      <c r="Q8" s="9"/>
      <c r="R8" s="9"/>
      <c r="S8" s="18"/>
    </row>
    <row r="9" ht="15.75" customHeight="1">
      <c r="A9" s="1"/>
      <c r="B9" s="23" t="s">
        <v>16</v>
      </c>
      <c r="C9" s="23" t="s">
        <v>17</v>
      </c>
      <c r="D9" s="24" t="s">
        <v>18</v>
      </c>
      <c r="E9" s="25" t="s">
        <v>19</v>
      </c>
      <c r="F9" s="25" t="s">
        <v>20</v>
      </c>
      <c r="G9" s="25" t="s">
        <v>21</v>
      </c>
      <c r="H9" s="25" t="s">
        <v>22</v>
      </c>
      <c r="I9" s="25" t="s">
        <v>23</v>
      </c>
      <c r="J9" s="23" t="s">
        <v>24</v>
      </c>
      <c r="K9" s="25" t="s">
        <v>25</v>
      </c>
      <c r="L9" s="25" t="s">
        <v>26</v>
      </c>
      <c r="M9" s="26" t="s">
        <v>27</v>
      </c>
      <c r="N9" s="25" t="s">
        <v>28</v>
      </c>
      <c r="O9" s="1"/>
      <c r="P9" s="8"/>
      <c r="Q9" s="9"/>
      <c r="R9" s="9"/>
    </row>
    <row r="10" ht="15.75" customHeight="1">
      <c r="A10" s="27"/>
      <c r="B10" s="28" t="s">
        <v>29</v>
      </c>
      <c r="C10" s="29" t="s">
        <v>30</v>
      </c>
      <c r="D10" s="30" t="s">
        <v>31</v>
      </c>
      <c r="E10" s="30" t="s">
        <v>32</v>
      </c>
      <c r="F10" s="30" t="s">
        <v>33</v>
      </c>
      <c r="G10" s="30" t="s">
        <v>34</v>
      </c>
      <c r="H10" s="30" t="s">
        <v>35</v>
      </c>
      <c r="I10" s="30" t="s">
        <v>36</v>
      </c>
      <c r="J10" s="29" t="s">
        <v>37</v>
      </c>
      <c r="K10" s="30" t="s">
        <v>38</v>
      </c>
      <c r="L10" s="30" t="s">
        <v>39</v>
      </c>
      <c r="M10" s="29" t="s">
        <v>40</v>
      </c>
      <c r="N10" s="30" t="s">
        <v>41</v>
      </c>
      <c r="O10" s="27"/>
      <c r="P10" s="31"/>
      <c r="Q10" s="32"/>
      <c r="R10" s="32"/>
      <c r="S10" s="33"/>
    </row>
    <row r="11" ht="15.75" customHeight="1">
      <c r="A11" s="27"/>
      <c r="B11" s="34" t="s">
        <v>42</v>
      </c>
      <c r="C11" s="35" t="s">
        <v>43</v>
      </c>
      <c r="D11" s="35" t="s">
        <v>44</v>
      </c>
      <c r="E11" s="35" t="s">
        <v>45</v>
      </c>
      <c r="F11" s="35" t="s">
        <v>46</v>
      </c>
      <c r="G11" s="35" t="s">
        <v>47</v>
      </c>
      <c r="H11" s="35" t="s">
        <v>48</v>
      </c>
      <c r="I11" s="35" t="s">
        <v>49</v>
      </c>
      <c r="J11" s="36" t="s">
        <v>50</v>
      </c>
      <c r="K11" s="35" t="s">
        <v>51</v>
      </c>
      <c r="L11" s="35" t="s">
        <v>52</v>
      </c>
      <c r="M11" s="36" t="s">
        <v>53</v>
      </c>
      <c r="N11" s="35" t="s">
        <v>54</v>
      </c>
      <c r="O11" s="27"/>
      <c r="P11" s="31"/>
      <c r="Q11" s="32"/>
      <c r="R11" s="32"/>
      <c r="S11" s="33"/>
    </row>
    <row r="12" ht="15.75" customHeight="1">
      <c r="A12" s="27"/>
      <c r="B12" s="37" t="s">
        <v>55</v>
      </c>
      <c r="C12" s="38" t="s">
        <v>56</v>
      </c>
      <c r="D12" s="38" t="s">
        <v>57</v>
      </c>
      <c r="E12" s="38" t="s">
        <v>58</v>
      </c>
      <c r="F12" s="39" t="s">
        <v>59</v>
      </c>
      <c r="G12" s="39" t="s">
        <v>60</v>
      </c>
      <c r="H12" s="38" t="s">
        <v>61</v>
      </c>
      <c r="I12" s="39" t="s">
        <v>62</v>
      </c>
      <c r="J12" s="40" t="s">
        <v>63</v>
      </c>
      <c r="K12" s="41" t="s">
        <v>64</v>
      </c>
      <c r="L12" s="42" t="s">
        <v>65</v>
      </c>
      <c r="M12" s="38" t="s">
        <v>66</v>
      </c>
      <c r="N12" s="42" t="s">
        <v>67</v>
      </c>
      <c r="O12" s="27"/>
      <c r="P12" s="31"/>
      <c r="Q12" s="32"/>
      <c r="R12" s="32"/>
      <c r="S12" s="33"/>
    </row>
    <row r="13" ht="15.75" customHeight="1">
      <c r="A13" s="27"/>
      <c r="B13" s="34" t="s">
        <v>68</v>
      </c>
      <c r="C13" s="35" t="s">
        <v>69</v>
      </c>
      <c r="D13" s="35" t="s">
        <v>70</v>
      </c>
      <c r="E13" s="35" t="s">
        <v>71</v>
      </c>
      <c r="F13" s="43"/>
      <c r="G13" s="35"/>
      <c r="H13" s="35"/>
      <c r="I13" s="35"/>
      <c r="J13" s="44"/>
      <c r="K13" s="35"/>
      <c r="L13" s="35"/>
      <c r="M13" s="45"/>
      <c r="N13" s="35"/>
      <c r="O13" s="27"/>
      <c r="P13" s="31"/>
      <c r="Q13" s="32"/>
      <c r="R13" s="32"/>
      <c r="S13" s="33"/>
    </row>
    <row r="14" ht="15.75" customHeight="1">
      <c r="A14" s="1"/>
      <c r="B14" s="46" t="s">
        <v>72</v>
      </c>
      <c r="C14" s="3"/>
      <c r="D14" s="3"/>
      <c r="E14" s="3"/>
      <c r="F14" s="3"/>
      <c r="G14" s="3"/>
      <c r="H14" s="3"/>
      <c r="I14" s="3"/>
      <c r="J14" s="3"/>
      <c r="K14" s="47"/>
      <c r="L14" s="48" t="s">
        <v>73</v>
      </c>
      <c r="M14" s="49" t="s">
        <v>74</v>
      </c>
      <c r="N14" s="50"/>
      <c r="O14" s="1"/>
      <c r="P14" s="8"/>
      <c r="Q14" s="9"/>
      <c r="R14" s="9"/>
    </row>
    <row r="15" ht="15.75" customHeight="1">
      <c r="A15" s="1"/>
      <c r="B15" s="10"/>
      <c r="C15" s="11"/>
      <c r="D15" s="11"/>
      <c r="E15" s="11"/>
      <c r="F15" s="11"/>
      <c r="G15" s="11"/>
      <c r="H15" s="11"/>
      <c r="I15" s="11"/>
      <c r="J15" s="11"/>
      <c r="K15" s="12"/>
      <c r="L15" s="12"/>
      <c r="N15" s="50"/>
      <c r="O15" s="1"/>
      <c r="P15" s="51"/>
      <c r="Q15" s="51"/>
      <c r="R15" s="51"/>
    </row>
    <row r="16" ht="15.75" customHeight="1">
      <c r="A16" s="1"/>
      <c r="B16" s="52" t="s">
        <v>75</v>
      </c>
      <c r="C16" s="53" t="s">
        <v>76</v>
      </c>
      <c r="D16" s="53" t="s">
        <v>77</v>
      </c>
      <c r="E16" s="53" t="s">
        <v>78</v>
      </c>
      <c r="F16" s="53" t="s">
        <v>79</v>
      </c>
      <c r="G16" s="53"/>
      <c r="H16" s="53"/>
      <c r="I16" s="53"/>
      <c r="J16" s="53"/>
      <c r="K16" s="54"/>
      <c r="L16" s="55" t="s">
        <v>75</v>
      </c>
      <c r="N16" s="50">
        <v>1.0</v>
      </c>
      <c r="O16" s="1"/>
    </row>
    <row r="17" ht="15.75" customHeight="1">
      <c r="A17" s="1"/>
      <c r="B17" s="56" t="s">
        <v>31</v>
      </c>
      <c r="C17" s="57" t="s">
        <v>80</v>
      </c>
      <c r="D17" s="57" t="s">
        <v>80</v>
      </c>
      <c r="E17" s="58" t="s">
        <v>81</v>
      </c>
      <c r="F17" s="59"/>
      <c r="G17" s="60"/>
      <c r="H17" s="60"/>
      <c r="I17" s="60"/>
      <c r="J17" s="60"/>
      <c r="K17" s="61"/>
      <c r="L17" s="56" t="s">
        <v>28</v>
      </c>
      <c r="M17" s="62" t="s">
        <v>82</v>
      </c>
      <c r="N17" s="63"/>
      <c r="O17" s="1"/>
      <c r="P17" s="64"/>
      <c r="Q17" s="65"/>
      <c r="R17" s="65"/>
    </row>
    <row r="18" ht="15.75" customHeight="1">
      <c r="A18" s="1"/>
      <c r="B18" s="56" t="s">
        <v>32</v>
      </c>
      <c r="C18" s="57" t="s">
        <v>80</v>
      </c>
      <c r="D18" s="57" t="s">
        <v>80</v>
      </c>
      <c r="E18" s="58" t="s">
        <v>83</v>
      </c>
      <c r="F18" s="59"/>
      <c r="G18" s="60"/>
      <c r="H18" s="60"/>
      <c r="I18" s="60"/>
      <c r="J18" s="60"/>
      <c r="K18" s="61"/>
      <c r="L18" s="56" t="s">
        <v>26</v>
      </c>
      <c r="M18" s="35" t="s">
        <v>18</v>
      </c>
      <c r="N18" s="66"/>
      <c r="O18" s="1"/>
      <c r="P18" s="67" t="s">
        <v>84</v>
      </c>
      <c r="Q18" s="4"/>
      <c r="R18" s="64"/>
    </row>
    <row r="19" ht="15.75" customHeight="1">
      <c r="A19" s="1"/>
      <c r="B19" s="56" t="s">
        <v>85</v>
      </c>
      <c r="C19" s="68" t="s">
        <v>86</v>
      </c>
      <c r="D19" s="68" t="s">
        <v>86</v>
      </c>
      <c r="E19" s="58" t="s">
        <v>87</v>
      </c>
      <c r="F19" s="59"/>
      <c r="G19" s="60"/>
      <c r="H19" s="60"/>
      <c r="I19" s="60"/>
      <c r="J19" s="60"/>
      <c r="K19" s="61"/>
      <c r="L19" s="56" t="s">
        <v>27</v>
      </c>
      <c r="M19" s="35"/>
      <c r="N19" s="66"/>
      <c r="O19" s="1"/>
      <c r="P19" s="10"/>
      <c r="Q19" s="12"/>
    </row>
    <row r="20" ht="15.75" customHeight="1">
      <c r="A20" s="1"/>
      <c r="B20" s="56" t="s">
        <v>56</v>
      </c>
      <c r="C20" s="69" t="s">
        <v>88</v>
      </c>
      <c r="D20" s="69" t="s">
        <v>88</v>
      </c>
      <c r="E20" s="58" t="s">
        <v>87</v>
      </c>
      <c r="F20" s="59"/>
      <c r="G20" s="60"/>
      <c r="H20" s="60"/>
      <c r="I20" s="60"/>
      <c r="J20" s="60"/>
      <c r="K20" s="61"/>
      <c r="L20" s="56" t="s">
        <v>21</v>
      </c>
      <c r="M20" s="35"/>
      <c r="N20" s="66"/>
      <c r="O20" s="1"/>
      <c r="P20" s="70"/>
      <c r="Q20" s="7"/>
    </row>
    <row r="21" ht="15.75" customHeight="1">
      <c r="A21" s="1"/>
      <c r="B21" s="56" t="s">
        <v>47</v>
      </c>
      <c r="C21" s="71" t="s">
        <v>89</v>
      </c>
      <c r="D21" s="56"/>
      <c r="E21" s="58" t="s">
        <v>83</v>
      </c>
      <c r="F21" s="59"/>
      <c r="G21" s="60"/>
      <c r="H21" s="60"/>
      <c r="I21" s="60"/>
      <c r="J21" s="60"/>
      <c r="K21" s="61"/>
      <c r="L21" s="72" t="s">
        <v>24</v>
      </c>
      <c r="M21" s="35"/>
      <c r="N21" s="66"/>
      <c r="O21" s="1"/>
      <c r="P21" s="70"/>
      <c r="Q21" s="7"/>
    </row>
    <row r="22" ht="15.75" customHeight="1">
      <c r="A22" s="1"/>
      <c r="B22" s="56" t="s">
        <v>51</v>
      </c>
      <c r="C22" s="73" t="s">
        <v>86</v>
      </c>
      <c r="D22" s="56"/>
      <c r="E22" s="58" t="s">
        <v>81</v>
      </c>
      <c r="F22" s="74"/>
      <c r="G22" s="60"/>
      <c r="H22" s="60"/>
      <c r="I22" s="60"/>
      <c r="J22" s="60"/>
      <c r="K22" s="61"/>
      <c r="L22" s="56" t="s">
        <v>90</v>
      </c>
      <c r="M22" s="35"/>
      <c r="N22" s="66"/>
      <c r="O22" s="1"/>
      <c r="P22" s="75"/>
      <c r="Q22" s="12"/>
    </row>
    <row r="23" ht="15.75" customHeight="1">
      <c r="A23" s="1"/>
      <c r="B23" s="72" t="s">
        <v>48</v>
      </c>
      <c r="C23" s="69" t="s">
        <v>88</v>
      </c>
      <c r="D23" s="69" t="s">
        <v>91</v>
      </c>
      <c r="E23" s="58" t="s">
        <v>81</v>
      </c>
      <c r="F23" s="59"/>
      <c r="G23" s="60"/>
      <c r="H23" s="60"/>
      <c r="I23" s="60"/>
      <c r="J23" s="60"/>
      <c r="K23" s="61"/>
      <c r="L23" s="56" t="s">
        <v>19</v>
      </c>
      <c r="M23" s="49"/>
      <c r="N23" s="50"/>
      <c r="O23" s="1"/>
    </row>
    <row r="24" ht="15.75" customHeight="1">
      <c r="A24" s="1"/>
      <c r="B24" s="56" t="s">
        <v>60</v>
      </c>
      <c r="C24" s="76" t="s">
        <v>92</v>
      </c>
      <c r="D24" s="76" t="s">
        <v>93</v>
      </c>
      <c r="E24" s="58" t="s">
        <v>81</v>
      </c>
      <c r="F24" s="77"/>
      <c r="G24" s="60"/>
      <c r="H24" s="60"/>
      <c r="I24" s="60"/>
      <c r="J24" s="60"/>
      <c r="K24" s="61"/>
      <c r="L24" s="72" t="s">
        <v>25</v>
      </c>
      <c r="M24" s="49"/>
      <c r="N24" s="50"/>
      <c r="O24" s="1"/>
    </row>
    <row r="25" ht="15.75" customHeight="1">
      <c r="A25" s="1"/>
      <c r="B25" s="56" t="s">
        <v>65</v>
      </c>
      <c r="C25" s="73" t="s">
        <v>86</v>
      </c>
      <c r="D25" s="56"/>
      <c r="E25" s="78" t="s">
        <v>81</v>
      </c>
      <c r="F25" s="59"/>
      <c r="G25" s="60"/>
      <c r="H25" s="60"/>
      <c r="I25" s="60"/>
      <c r="J25" s="60"/>
      <c r="K25" s="61"/>
      <c r="L25" s="72" t="s">
        <v>18</v>
      </c>
      <c r="M25" s="49"/>
      <c r="N25" s="50"/>
      <c r="O25" s="1"/>
    </row>
    <row r="26" ht="15.75" customHeight="1">
      <c r="A26" s="1"/>
      <c r="B26" s="56" t="s">
        <v>33</v>
      </c>
      <c r="C26" s="79" t="s">
        <v>89</v>
      </c>
      <c r="D26" s="80" t="s">
        <v>94</v>
      </c>
      <c r="E26" s="78" t="s">
        <v>81</v>
      </c>
      <c r="F26" s="59"/>
      <c r="G26" s="60"/>
      <c r="H26" s="60"/>
      <c r="I26" s="60"/>
      <c r="J26" s="60"/>
      <c r="K26" s="61"/>
      <c r="L26" s="72" t="s">
        <v>22</v>
      </c>
      <c r="M26" s="49"/>
      <c r="N26" s="50"/>
      <c r="O26" s="1"/>
    </row>
    <row r="27" ht="15.75" customHeight="1">
      <c r="A27" s="1"/>
      <c r="B27" s="56" t="s">
        <v>69</v>
      </c>
      <c r="C27" s="76" t="s">
        <v>92</v>
      </c>
      <c r="D27" s="56"/>
      <c r="E27" s="58" t="s">
        <v>83</v>
      </c>
      <c r="F27" s="59"/>
      <c r="G27" s="60"/>
      <c r="H27" s="60"/>
      <c r="I27" s="60"/>
      <c r="J27" s="60"/>
      <c r="K27" s="61"/>
      <c r="L27" s="72" t="s">
        <v>20</v>
      </c>
      <c r="M27" s="49"/>
      <c r="N27" s="50"/>
      <c r="O27" s="1"/>
    </row>
    <row r="28" ht="15.75" customHeight="1">
      <c r="A28" s="1"/>
      <c r="B28" s="56" t="s">
        <v>58</v>
      </c>
      <c r="C28" s="69" t="s">
        <v>88</v>
      </c>
      <c r="D28" s="69" t="s">
        <v>88</v>
      </c>
      <c r="E28" s="58" t="s">
        <v>83</v>
      </c>
      <c r="F28" s="59"/>
      <c r="G28" s="60"/>
      <c r="H28" s="60"/>
      <c r="I28" s="60"/>
      <c r="J28" s="60"/>
      <c r="K28" s="61"/>
      <c r="L28" s="72" t="s">
        <v>23</v>
      </c>
      <c r="M28" s="49"/>
      <c r="N28" s="50"/>
      <c r="O28" s="1"/>
    </row>
    <row r="29" ht="15.75" customHeight="1">
      <c r="A29" s="1"/>
      <c r="B29" s="72" t="s">
        <v>49</v>
      </c>
      <c r="C29" s="71" t="s">
        <v>89</v>
      </c>
      <c r="D29" s="56"/>
      <c r="E29" s="78" t="s">
        <v>83</v>
      </c>
      <c r="F29" s="59"/>
      <c r="G29" s="60"/>
      <c r="H29" s="60"/>
      <c r="I29" s="60"/>
      <c r="J29" s="60"/>
      <c r="K29" s="61"/>
      <c r="L29" s="81"/>
      <c r="M29" s="49"/>
      <c r="N29" s="50"/>
      <c r="O29" s="1"/>
    </row>
    <row r="30" ht="15.75" customHeight="1">
      <c r="A30" s="1"/>
      <c r="B30" s="56" t="s">
        <v>66</v>
      </c>
      <c r="C30" s="76" t="s">
        <v>92</v>
      </c>
      <c r="D30" s="56"/>
      <c r="E30" s="58" t="s">
        <v>95</v>
      </c>
      <c r="F30" s="74"/>
      <c r="G30" s="60"/>
      <c r="H30" s="60"/>
      <c r="I30" s="60"/>
      <c r="J30" s="60"/>
      <c r="K30" s="61"/>
      <c r="L30" s="81"/>
      <c r="M30" s="49"/>
      <c r="N30" s="50"/>
      <c r="O30" s="1"/>
    </row>
    <row r="31" ht="15.75" customHeight="1">
      <c r="A31" s="1"/>
      <c r="B31" s="72" t="s">
        <v>41</v>
      </c>
      <c r="C31" s="79" t="s">
        <v>89</v>
      </c>
      <c r="D31" s="56"/>
      <c r="E31" s="58" t="s">
        <v>95</v>
      </c>
      <c r="F31" s="59"/>
      <c r="G31" s="60"/>
      <c r="H31" s="60"/>
      <c r="I31" s="60"/>
      <c r="J31" s="60"/>
      <c r="K31" s="61"/>
      <c r="L31" s="81"/>
      <c r="M31" s="49"/>
      <c r="N31" s="50"/>
      <c r="O31" s="1"/>
    </row>
    <row r="32" ht="15.75" customHeight="1">
      <c r="A32" s="1"/>
      <c r="B32" s="56" t="s">
        <v>53</v>
      </c>
      <c r="C32" s="82" t="s">
        <v>88</v>
      </c>
      <c r="D32" s="56"/>
      <c r="E32" s="58" t="s">
        <v>83</v>
      </c>
      <c r="F32" s="59"/>
      <c r="G32" s="60"/>
      <c r="H32" s="60"/>
      <c r="I32" s="60"/>
      <c r="J32" s="60"/>
      <c r="K32" s="61"/>
      <c r="L32" s="81"/>
      <c r="M32" s="49"/>
      <c r="N32" s="50"/>
      <c r="O32" s="1"/>
    </row>
    <row r="33" ht="15.75" customHeight="1">
      <c r="A33" s="1"/>
      <c r="B33" s="72" t="s">
        <v>44</v>
      </c>
      <c r="C33" s="80" t="s">
        <v>94</v>
      </c>
      <c r="D33" s="56"/>
      <c r="E33" s="58" t="s">
        <v>81</v>
      </c>
      <c r="F33" s="59"/>
      <c r="G33" s="60"/>
      <c r="H33" s="60"/>
      <c r="I33" s="60"/>
      <c r="J33" s="60"/>
      <c r="K33" s="61"/>
      <c r="L33" s="81"/>
      <c r="M33" s="49"/>
      <c r="N33" s="50"/>
      <c r="O33" s="1"/>
    </row>
    <row r="34" ht="15.75" customHeight="1">
      <c r="A34" s="1"/>
      <c r="B34" s="56" t="s">
        <v>61</v>
      </c>
      <c r="C34" s="73" t="s">
        <v>86</v>
      </c>
      <c r="D34" s="56"/>
      <c r="E34" s="58" t="s">
        <v>81</v>
      </c>
      <c r="F34" s="59"/>
      <c r="G34" s="60"/>
      <c r="H34" s="60"/>
      <c r="I34" s="60"/>
      <c r="J34" s="60"/>
      <c r="K34" s="61"/>
      <c r="L34" s="81"/>
      <c r="M34" s="49"/>
      <c r="N34" s="50"/>
      <c r="O34" s="1"/>
    </row>
    <row r="35" ht="15.75" customHeight="1">
      <c r="A35" s="1"/>
      <c r="B35" s="56" t="s">
        <v>52</v>
      </c>
      <c r="C35" s="82" t="s">
        <v>88</v>
      </c>
      <c r="D35" s="76" t="s">
        <v>96</v>
      </c>
      <c r="E35" s="58" t="s">
        <v>83</v>
      </c>
      <c r="F35" s="59"/>
      <c r="G35" s="60"/>
      <c r="H35" s="60"/>
      <c r="I35" s="60"/>
      <c r="J35" s="60"/>
      <c r="K35" s="61"/>
      <c r="L35" s="81"/>
      <c r="M35" s="49"/>
      <c r="N35" s="50"/>
      <c r="O35" s="1"/>
    </row>
    <row r="36" ht="15.75" customHeight="1">
      <c r="A36" s="1"/>
      <c r="B36" s="56" t="s">
        <v>67</v>
      </c>
      <c r="C36" s="83" t="s">
        <v>97</v>
      </c>
      <c r="D36" s="56"/>
      <c r="E36" s="58" t="s">
        <v>95</v>
      </c>
      <c r="F36" s="74"/>
      <c r="G36" s="60"/>
      <c r="H36" s="60"/>
      <c r="I36" s="60"/>
      <c r="J36" s="60"/>
      <c r="K36" s="61"/>
      <c r="L36" s="81"/>
      <c r="M36" s="49"/>
      <c r="N36" s="50"/>
      <c r="O36" s="1"/>
    </row>
    <row r="37" ht="15.75" customHeight="1">
      <c r="A37" s="1"/>
      <c r="B37" s="72" t="s">
        <v>63</v>
      </c>
      <c r="C37" s="83" t="s">
        <v>97</v>
      </c>
      <c r="D37" s="56"/>
      <c r="E37" s="58" t="s">
        <v>95</v>
      </c>
      <c r="F37" s="59"/>
      <c r="G37" s="60"/>
      <c r="H37" s="60"/>
      <c r="I37" s="60"/>
      <c r="J37" s="60"/>
      <c r="K37" s="61"/>
      <c r="L37" s="81"/>
      <c r="M37" s="49"/>
      <c r="N37" s="50"/>
      <c r="O37" s="1"/>
    </row>
    <row r="38" ht="15.75" customHeight="1">
      <c r="A38" s="1"/>
      <c r="B38" s="56" t="s">
        <v>35</v>
      </c>
      <c r="C38" s="80" t="s">
        <v>94</v>
      </c>
      <c r="D38" s="80" t="s">
        <v>98</v>
      </c>
      <c r="E38" s="58" t="s">
        <v>83</v>
      </c>
      <c r="F38" s="59"/>
      <c r="G38" s="60"/>
      <c r="H38" s="60"/>
      <c r="I38" s="60"/>
      <c r="J38" s="60"/>
      <c r="K38" s="61"/>
      <c r="L38" s="81"/>
      <c r="M38" s="49"/>
      <c r="N38" s="50"/>
      <c r="O38" s="1"/>
      <c r="P38" s="84"/>
    </row>
    <row r="39" ht="15.75" customHeight="1">
      <c r="A39" s="1"/>
      <c r="B39" s="56" t="s">
        <v>54</v>
      </c>
      <c r="C39" s="69" t="s">
        <v>88</v>
      </c>
      <c r="D39" s="69" t="s">
        <v>99</v>
      </c>
      <c r="E39" s="58" t="s">
        <v>95</v>
      </c>
      <c r="F39" s="74"/>
      <c r="G39" s="60"/>
      <c r="H39" s="60"/>
      <c r="I39" s="60"/>
      <c r="J39" s="60"/>
      <c r="K39" s="61"/>
      <c r="L39" s="81"/>
      <c r="M39" s="49"/>
      <c r="N39" s="50"/>
      <c r="O39" s="1"/>
    </row>
    <row r="40" ht="15.75" customHeight="1">
      <c r="A40" s="1"/>
      <c r="B40" s="56" t="s">
        <v>50</v>
      </c>
      <c r="C40" s="69" t="s">
        <v>88</v>
      </c>
      <c r="D40" s="73" t="s">
        <v>100</v>
      </c>
      <c r="E40" s="58" t="s">
        <v>83</v>
      </c>
      <c r="F40" s="59"/>
      <c r="G40" s="60"/>
      <c r="H40" s="60"/>
      <c r="I40" s="60"/>
      <c r="J40" s="60"/>
      <c r="K40" s="61"/>
      <c r="L40" s="81"/>
      <c r="M40" s="49"/>
      <c r="N40" s="50"/>
      <c r="O40" s="1"/>
    </row>
    <row r="41" ht="15.75" customHeight="1">
      <c r="A41" s="1"/>
      <c r="B41" s="56" t="s">
        <v>30</v>
      </c>
      <c r="C41" s="57" t="s">
        <v>80</v>
      </c>
      <c r="D41" s="57" t="s">
        <v>80</v>
      </c>
      <c r="E41" s="58" t="s">
        <v>95</v>
      </c>
      <c r="F41" s="59"/>
      <c r="G41" s="60"/>
      <c r="H41" s="60"/>
      <c r="I41" s="60"/>
      <c r="J41" s="60"/>
      <c r="K41" s="61"/>
      <c r="L41" s="81"/>
      <c r="M41" s="49"/>
      <c r="N41" s="50"/>
      <c r="O41" s="1"/>
    </row>
    <row r="42" ht="15.75" customHeight="1">
      <c r="A42" s="1"/>
      <c r="B42" s="56" t="s">
        <v>57</v>
      </c>
      <c r="C42" s="69" t="s">
        <v>88</v>
      </c>
      <c r="D42" s="69" t="s">
        <v>91</v>
      </c>
      <c r="E42" s="58" t="s">
        <v>81</v>
      </c>
      <c r="F42" s="59"/>
      <c r="G42" s="60"/>
      <c r="H42" s="60"/>
      <c r="I42" s="60"/>
      <c r="J42" s="60"/>
      <c r="K42" s="61"/>
      <c r="L42" s="81"/>
      <c r="M42" s="49"/>
      <c r="N42" s="50"/>
      <c r="O42" s="1"/>
    </row>
    <row r="43" ht="15.75" customHeight="1">
      <c r="A43" s="1"/>
      <c r="B43" s="72" t="s">
        <v>43</v>
      </c>
      <c r="C43" s="71" t="s">
        <v>89</v>
      </c>
      <c r="D43" s="71" t="s">
        <v>101</v>
      </c>
      <c r="E43" s="58" t="s">
        <v>81</v>
      </c>
      <c r="F43" s="74"/>
      <c r="G43" s="60"/>
      <c r="H43" s="60"/>
      <c r="I43" s="60"/>
      <c r="J43" s="60"/>
      <c r="K43" s="61"/>
      <c r="L43" s="81"/>
      <c r="M43" s="49"/>
      <c r="N43" s="50"/>
      <c r="O43" s="1"/>
    </row>
    <row r="44" ht="15.75" customHeight="1">
      <c r="A44" s="1"/>
      <c r="B44" s="56" t="s">
        <v>71</v>
      </c>
      <c r="C44" s="76" t="s">
        <v>92</v>
      </c>
      <c r="D44" s="85" t="s">
        <v>102</v>
      </c>
      <c r="E44" s="58" t="s">
        <v>103</v>
      </c>
      <c r="F44" s="59"/>
      <c r="G44" s="60"/>
      <c r="H44" s="60"/>
      <c r="I44" s="60"/>
      <c r="J44" s="60"/>
      <c r="K44" s="61"/>
      <c r="L44" s="81"/>
      <c r="M44" s="49"/>
      <c r="N44" s="50"/>
      <c r="O44" s="1"/>
    </row>
    <row r="45" ht="15.75" customHeight="1">
      <c r="A45" s="1"/>
      <c r="B45" s="56" t="s">
        <v>38</v>
      </c>
      <c r="C45" s="86" t="s">
        <v>94</v>
      </c>
      <c r="D45" s="56"/>
      <c r="E45" s="58" t="s">
        <v>81</v>
      </c>
      <c r="F45" s="59"/>
      <c r="G45" s="60"/>
      <c r="H45" s="60"/>
      <c r="I45" s="60"/>
      <c r="J45" s="60"/>
      <c r="K45" s="61"/>
      <c r="L45" s="81"/>
      <c r="M45" s="49"/>
      <c r="N45" s="50"/>
      <c r="O45" s="1"/>
    </row>
    <row r="46" ht="15.75" customHeight="1">
      <c r="A46" s="1"/>
      <c r="B46" s="56" t="s">
        <v>59</v>
      </c>
      <c r="C46" s="69" t="s">
        <v>88</v>
      </c>
      <c r="D46" s="56"/>
      <c r="E46" s="58" t="s">
        <v>87</v>
      </c>
      <c r="F46" s="74"/>
      <c r="G46" s="60"/>
      <c r="H46" s="60"/>
      <c r="I46" s="60"/>
      <c r="J46" s="60"/>
      <c r="K46" s="61"/>
      <c r="L46" s="81"/>
      <c r="M46" s="49"/>
      <c r="N46" s="50"/>
      <c r="O46" s="1"/>
    </row>
    <row r="47" ht="15.75" customHeight="1">
      <c r="A47" s="1"/>
      <c r="B47" s="72" t="s">
        <v>37</v>
      </c>
      <c r="C47" s="80" t="s">
        <v>94</v>
      </c>
      <c r="D47" s="56"/>
      <c r="E47" s="58" t="s">
        <v>83</v>
      </c>
      <c r="F47" s="59"/>
      <c r="G47" s="60"/>
      <c r="H47" s="60"/>
      <c r="I47" s="60"/>
      <c r="J47" s="60"/>
      <c r="K47" s="61"/>
      <c r="L47" s="81"/>
      <c r="M47" s="49"/>
      <c r="N47" s="50"/>
      <c r="O47" s="1"/>
    </row>
    <row r="48" ht="15.75" customHeight="1">
      <c r="A48" s="1"/>
      <c r="B48" s="56" t="s">
        <v>39</v>
      </c>
      <c r="C48" s="80" t="s">
        <v>94</v>
      </c>
      <c r="D48" s="80" t="s">
        <v>98</v>
      </c>
      <c r="E48" s="58" t="s">
        <v>81</v>
      </c>
      <c r="F48" s="59"/>
      <c r="G48" s="60"/>
      <c r="H48" s="60"/>
      <c r="I48" s="60"/>
      <c r="J48" s="60"/>
      <c r="K48" s="61"/>
      <c r="L48" s="81"/>
      <c r="M48" s="49"/>
      <c r="N48" s="50"/>
      <c r="O48" s="1"/>
    </row>
    <row r="49" ht="15.75" customHeight="1">
      <c r="A49" s="1"/>
      <c r="B49" s="56" t="s">
        <v>40</v>
      </c>
      <c r="C49" s="79" t="s">
        <v>89</v>
      </c>
      <c r="D49" s="83"/>
      <c r="E49" s="58" t="s">
        <v>81</v>
      </c>
      <c r="F49" s="59"/>
      <c r="G49" s="60"/>
      <c r="H49" s="60"/>
      <c r="I49" s="60"/>
      <c r="J49" s="60"/>
      <c r="K49" s="61"/>
      <c r="L49" s="81"/>
      <c r="M49" s="49"/>
      <c r="N49" s="50"/>
      <c r="O49" s="1"/>
    </row>
    <row r="50" ht="15.75" customHeight="1">
      <c r="A50" s="1"/>
      <c r="B50" s="56" t="s">
        <v>34</v>
      </c>
      <c r="C50" s="80" t="s">
        <v>94</v>
      </c>
      <c r="D50" s="56"/>
      <c r="E50" s="78" t="s">
        <v>81</v>
      </c>
      <c r="F50" s="59"/>
      <c r="G50" s="60"/>
      <c r="H50" s="60"/>
      <c r="I50" s="60"/>
      <c r="J50" s="60"/>
      <c r="K50" s="61"/>
      <c r="L50" s="81"/>
      <c r="M50" s="49"/>
      <c r="N50" s="50"/>
      <c r="O50" s="1"/>
    </row>
    <row r="51" ht="15.75" customHeight="1">
      <c r="A51" s="1"/>
      <c r="B51" s="56" t="s">
        <v>36</v>
      </c>
      <c r="C51" s="80" t="s">
        <v>94</v>
      </c>
      <c r="D51" s="80" t="s">
        <v>104</v>
      </c>
      <c r="E51" s="58" t="s">
        <v>81</v>
      </c>
      <c r="F51" s="59"/>
      <c r="G51" s="60"/>
      <c r="H51" s="60"/>
      <c r="I51" s="60"/>
      <c r="J51" s="60"/>
      <c r="K51" s="61"/>
      <c r="L51" s="81"/>
      <c r="M51" s="49"/>
      <c r="N51" s="50"/>
      <c r="O51" s="1"/>
    </row>
    <row r="52" ht="15.75" customHeight="1">
      <c r="A52" s="1"/>
      <c r="B52" s="56" t="s">
        <v>64</v>
      </c>
      <c r="C52" s="73" t="s">
        <v>86</v>
      </c>
      <c r="D52" s="56"/>
      <c r="E52" s="58" t="s">
        <v>81</v>
      </c>
      <c r="F52" s="59"/>
      <c r="G52" s="60"/>
      <c r="H52" s="60"/>
      <c r="I52" s="60"/>
      <c r="J52" s="60"/>
      <c r="K52" s="61"/>
      <c r="L52" s="81"/>
      <c r="M52" s="49"/>
      <c r="N52" s="50"/>
      <c r="O52" s="1"/>
    </row>
    <row r="53" ht="16.5" customHeight="1">
      <c r="A53" s="1"/>
      <c r="B53" s="56" t="s">
        <v>46</v>
      </c>
      <c r="C53" s="71" t="s">
        <v>89</v>
      </c>
      <c r="D53" s="71" t="s">
        <v>101</v>
      </c>
      <c r="E53" s="58" t="s">
        <v>83</v>
      </c>
      <c r="F53" s="59"/>
      <c r="G53" s="60"/>
      <c r="H53" s="60"/>
      <c r="I53" s="60"/>
      <c r="J53" s="60"/>
      <c r="K53" s="61"/>
      <c r="L53" s="81"/>
      <c r="M53" s="49"/>
      <c r="N53" s="50"/>
      <c r="O53" s="1"/>
      <c r="P53" s="1"/>
      <c r="Q53" s="1"/>
      <c r="R53" s="1"/>
      <c r="S53" s="1"/>
    </row>
    <row r="54" ht="15.75" customHeight="1">
      <c r="A54" s="1"/>
      <c r="B54" s="56" t="s">
        <v>45</v>
      </c>
      <c r="C54" s="80" t="s">
        <v>94</v>
      </c>
      <c r="D54" s="80" t="s">
        <v>94</v>
      </c>
      <c r="E54" s="58" t="s">
        <v>81</v>
      </c>
      <c r="F54" s="59"/>
      <c r="G54" s="60"/>
      <c r="H54" s="60"/>
      <c r="I54" s="60"/>
      <c r="J54" s="60"/>
      <c r="K54" s="61"/>
      <c r="L54" s="81"/>
      <c r="M54" s="49"/>
      <c r="N54" s="50"/>
      <c r="O54" s="1"/>
    </row>
    <row r="55" ht="15.75" customHeight="1">
      <c r="A55" s="1"/>
      <c r="B55" s="56" t="s">
        <v>70</v>
      </c>
      <c r="C55" s="69" t="s">
        <v>88</v>
      </c>
      <c r="D55" s="87" t="s">
        <v>102</v>
      </c>
      <c r="E55" s="58" t="s">
        <v>83</v>
      </c>
      <c r="F55" s="59"/>
      <c r="G55" s="60"/>
      <c r="H55" s="60"/>
      <c r="I55" s="60"/>
      <c r="J55" s="60"/>
      <c r="K55" s="61"/>
      <c r="L55" s="81"/>
      <c r="M55" s="49"/>
      <c r="N55" s="50"/>
      <c r="O55" s="1"/>
    </row>
    <row r="56" ht="16.5" customHeight="1">
      <c r="A56" s="1"/>
      <c r="B56" s="88"/>
      <c r="C56" s="88"/>
      <c r="D56" s="88"/>
      <c r="E56" s="88"/>
      <c r="F56" s="74"/>
      <c r="G56" s="60"/>
      <c r="H56" s="60"/>
      <c r="I56" s="60"/>
      <c r="J56" s="60"/>
      <c r="K56" s="61"/>
      <c r="L56" s="81"/>
      <c r="M56" s="49"/>
      <c r="N56" s="50"/>
      <c r="O56" s="1"/>
    </row>
    <row r="57" ht="15.75" customHeight="1">
      <c r="A57" s="1"/>
      <c r="B57" s="58"/>
      <c r="C57" s="58"/>
      <c r="D57" s="58"/>
      <c r="E57" s="58"/>
      <c r="F57" s="74"/>
      <c r="G57" s="60"/>
      <c r="H57" s="60"/>
      <c r="I57" s="60"/>
      <c r="J57" s="60"/>
      <c r="K57" s="61"/>
      <c r="L57" s="81"/>
      <c r="M57" s="49"/>
      <c r="N57" s="50"/>
      <c r="O57" s="1"/>
    </row>
    <row r="58" ht="15.75" customHeight="1">
      <c r="A58" s="1"/>
      <c r="B58" s="89"/>
      <c r="C58" s="90"/>
      <c r="D58" s="91"/>
      <c r="E58" s="91"/>
      <c r="F58" s="92"/>
      <c r="G58" s="91"/>
      <c r="K58" s="7"/>
      <c r="L58" s="93"/>
      <c r="M58" s="1"/>
      <c r="N58" s="1"/>
      <c r="O58" s="1"/>
    </row>
    <row r="59" ht="15.75" customHeight="1">
      <c r="A59" s="1"/>
      <c r="B59" s="94"/>
      <c r="D59" s="95"/>
      <c r="E59" s="95"/>
      <c r="F59" s="96"/>
      <c r="G59" s="95"/>
      <c r="K59" s="7"/>
      <c r="O59" s="1"/>
    </row>
    <row r="60" ht="15.75" customHeight="1">
      <c r="A60" s="1"/>
      <c r="B60" s="97"/>
      <c r="D60" s="98"/>
      <c r="E60" s="98"/>
      <c r="F60" s="99"/>
      <c r="G60" s="95"/>
      <c r="K60" s="7"/>
      <c r="O60" s="1"/>
    </row>
    <row r="61" ht="15.75" customHeight="1">
      <c r="A61" s="1"/>
      <c r="B61" s="97"/>
      <c r="D61" s="98"/>
      <c r="E61" s="98"/>
      <c r="F61" s="99"/>
      <c r="G61" s="95"/>
      <c r="K61" s="7"/>
      <c r="O61" s="1"/>
    </row>
    <row r="62" ht="15.75" customHeight="1">
      <c r="A62" s="1"/>
      <c r="B62" s="97"/>
      <c r="D62" s="98"/>
      <c r="E62" s="98"/>
      <c r="F62" s="99"/>
      <c r="G62" s="95"/>
      <c r="K62" s="7"/>
      <c r="O62" s="1"/>
    </row>
    <row r="63" ht="15.75" customHeight="1">
      <c r="A63" s="1"/>
      <c r="B63" s="97"/>
      <c r="D63" s="98"/>
      <c r="E63" s="98"/>
      <c r="F63" s="99"/>
      <c r="G63" s="95"/>
      <c r="K63" s="7"/>
      <c r="O63" s="1"/>
    </row>
    <row r="64" ht="15.75" customHeight="1">
      <c r="A64" s="1"/>
      <c r="B64" s="97"/>
      <c r="D64" s="98"/>
      <c r="E64" s="98"/>
      <c r="F64" s="99"/>
      <c r="G64" s="95"/>
      <c r="K64" s="7"/>
      <c r="O64" s="1"/>
    </row>
    <row r="65" ht="15.75" customHeight="1">
      <c r="A65" s="1"/>
      <c r="B65" s="97"/>
      <c r="D65" s="98"/>
      <c r="E65" s="98"/>
      <c r="F65" s="99"/>
      <c r="G65" s="95"/>
      <c r="K65" s="7"/>
      <c r="O65" s="1"/>
    </row>
    <row r="66" ht="15.75" customHeight="1">
      <c r="A66" s="1"/>
      <c r="B66" s="97"/>
      <c r="D66" s="98"/>
      <c r="E66" s="98"/>
      <c r="F66" s="99"/>
      <c r="G66" s="95"/>
      <c r="K66" s="7"/>
      <c r="O66" s="1"/>
    </row>
    <row r="67" ht="15.75" customHeight="1">
      <c r="A67" s="1"/>
      <c r="B67" s="97"/>
      <c r="D67" s="98"/>
      <c r="E67" s="98"/>
      <c r="F67" s="99"/>
      <c r="G67" s="95"/>
      <c r="K67" s="7"/>
      <c r="O67" s="1"/>
    </row>
    <row r="68" ht="15.75" customHeight="1">
      <c r="A68" s="1"/>
      <c r="B68" s="97"/>
      <c r="D68" s="98"/>
      <c r="E68" s="98"/>
      <c r="F68" s="99"/>
      <c r="G68" s="95"/>
      <c r="K68" s="7"/>
      <c r="O68" s="1"/>
    </row>
    <row r="69" ht="15.75" customHeight="1">
      <c r="A69" s="1"/>
      <c r="B69" s="97"/>
      <c r="D69" s="98"/>
      <c r="E69" s="98"/>
      <c r="F69" s="99"/>
      <c r="G69" s="98"/>
      <c r="O69" s="1"/>
    </row>
    <row r="70" ht="15.75" customHeight="1">
      <c r="A70" s="1"/>
      <c r="B70" s="97"/>
      <c r="D70" s="98"/>
      <c r="E70" s="98"/>
      <c r="F70" s="99"/>
      <c r="G70" s="98"/>
      <c r="O70" s="1"/>
    </row>
    <row r="71" ht="15.75" customHeight="1">
      <c r="A71" s="1"/>
      <c r="B71" s="97"/>
      <c r="O71" s="1"/>
    </row>
    <row r="72" ht="15.75" customHeight="1">
      <c r="A72" s="1"/>
      <c r="B72" s="97"/>
      <c r="O72" s="1"/>
    </row>
    <row r="73" ht="15.75" customHeight="1">
      <c r="A73" s="1"/>
      <c r="B73" s="97"/>
      <c r="O73" s="1"/>
    </row>
    <row r="74" ht="15.75" customHeight="1">
      <c r="A74" s="1"/>
      <c r="B74" s="97"/>
      <c r="O74" s="1"/>
    </row>
    <row r="75" ht="15.75" customHeight="1">
      <c r="A75" s="1"/>
      <c r="B75" s="97"/>
      <c r="O75" s="1"/>
    </row>
    <row r="76" ht="15.75" customHeight="1">
      <c r="A76" s="1"/>
      <c r="B76" s="97"/>
      <c r="O76" s="1"/>
    </row>
    <row r="77" ht="15.75" customHeight="1">
      <c r="A77" s="1"/>
      <c r="B77" s="97"/>
      <c r="O77" s="1"/>
    </row>
    <row r="78" ht="15.75" customHeight="1">
      <c r="A78" s="1"/>
      <c r="B78" s="97"/>
      <c r="O78" s="1"/>
    </row>
    <row r="79" ht="15.75" customHeight="1">
      <c r="A79" s="1"/>
      <c r="B79" s="97"/>
      <c r="O79" s="1"/>
    </row>
    <row r="80" ht="15.75" customHeight="1">
      <c r="A80" s="1"/>
      <c r="B80" s="97"/>
      <c r="O80" s="1"/>
    </row>
    <row r="81" ht="15.75" customHeight="1">
      <c r="A81" s="1"/>
      <c r="B81" s="97"/>
      <c r="O81" s="1"/>
    </row>
    <row r="82" ht="15.75" customHeight="1">
      <c r="A82" s="1"/>
      <c r="B82" s="97"/>
      <c r="O82" s="1"/>
    </row>
    <row r="83" ht="15.75" customHeight="1">
      <c r="A83" s="1"/>
      <c r="B83" s="97"/>
      <c r="O83" s="1"/>
    </row>
    <row r="84" ht="15.75" customHeight="1">
      <c r="A84" s="1"/>
      <c r="B84" s="97"/>
      <c r="O84" s="1"/>
    </row>
    <row r="85" ht="15.75" customHeight="1">
      <c r="A85" s="1"/>
      <c r="B85" s="97"/>
      <c r="O85" s="1"/>
    </row>
    <row r="86" ht="15.75" customHeight="1">
      <c r="A86" s="1"/>
      <c r="B86" s="97"/>
      <c r="O86" s="1"/>
    </row>
    <row r="87" ht="15.75" customHeight="1">
      <c r="A87" s="1"/>
      <c r="B87" s="97"/>
      <c r="O87" s="1"/>
    </row>
    <row r="88" ht="15.75" customHeight="1">
      <c r="A88" s="1"/>
      <c r="B88" s="97"/>
      <c r="O88" s="1"/>
    </row>
    <row r="89" ht="15.75" customHeight="1">
      <c r="A89" s="1"/>
      <c r="O89" s="1"/>
    </row>
    <row r="90" ht="15.75" customHeight="1">
      <c r="A90" s="1"/>
      <c r="O90" s="1"/>
    </row>
    <row r="91" ht="15.75" customHeight="1">
      <c r="A91" s="1"/>
      <c r="O91" s="1"/>
    </row>
    <row r="92" ht="15.75" customHeight="1">
      <c r="A92" s="1"/>
      <c r="O92" s="1"/>
    </row>
    <row r="93" ht="15.75" customHeight="1">
      <c r="A93" s="1"/>
      <c r="O93" s="1"/>
    </row>
    <row r="94" ht="15.75" customHeight="1">
      <c r="A94" s="1"/>
      <c r="O94" s="1"/>
    </row>
    <row r="95" ht="15.75" customHeight="1">
      <c r="A95" s="1"/>
      <c r="O95" s="1"/>
    </row>
    <row r="96" ht="15.75" customHeight="1">
      <c r="A96" s="1"/>
      <c r="O96" s="1"/>
    </row>
    <row r="97" ht="15.75" customHeight="1">
      <c r="A97" s="1"/>
      <c r="O97" s="1"/>
    </row>
    <row r="98" ht="15.75" customHeight="1">
      <c r="A98" s="1"/>
      <c r="O98" s="1"/>
    </row>
    <row r="99" ht="15.75" customHeight="1">
      <c r="A99" s="1"/>
      <c r="O99" s="1"/>
    </row>
    <row r="100" ht="15.75" customHeight="1">
      <c r="A100" s="1"/>
      <c r="O100" s="1"/>
    </row>
    <row r="101" ht="15.75" customHeight="1">
      <c r="A101" s="1"/>
      <c r="O101" s="1"/>
    </row>
    <row r="102" ht="15.75" customHeight="1">
      <c r="A102" s="1"/>
      <c r="O102" s="1"/>
    </row>
    <row r="103" ht="15.75" customHeight="1">
      <c r="A103" s="1"/>
      <c r="O103" s="1"/>
    </row>
    <row r="104" ht="15.75" customHeight="1">
      <c r="A104" s="1"/>
      <c r="O104" s="1"/>
    </row>
    <row r="105" ht="15.75" customHeight="1">
      <c r="A105" s="1"/>
      <c r="O105" s="1"/>
    </row>
    <row r="106" ht="15.75" customHeight="1">
      <c r="A106" s="1"/>
      <c r="O106" s="1"/>
    </row>
    <row r="107" ht="15.75" customHeight="1">
      <c r="A107" s="1"/>
      <c r="O107" s="1"/>
    </row>
    <row r="108" ht="15.75" customHeight="1">
      <c r="A108" s="1"/>
      <c r="O108" s="1"/>
    </row>
    <row r="109" ht="15.75" customHeight="1">
      <c r="A109" s="1"/>
      <c r="O109" s="1"/>
    </row>
    <row r="110" ht="15.75" customHeight="1">
      <c r="A110" s="1"/>
      <c r="O110" s="1"/>
    </row>
    <row r="111" ht="15.75" customHeight="1">
      <c r="A111" s="1"/>
      <c r="O111" s="1"/>
    </row>
    <row r="112" ht="15.75" customHeight="1">
      <c r="A112" s="1"/>
      <c r="O112" s="1"/>
    </row>
    <row r="113" ht="15.75" customHeight="1">
      <c r="A113" s="1"/>
      <c r="O113" s="1"/>
    </row>
    <row r="114" ht="15.75" customHeight="1">
      <c r="A114" s="1"/>
      <c r="O114" s="1"/>
    </row>
    <row r="115" ht="15.75" customHeight="1">
      <c r="A115" s="1"/>
      <c r="O115" s="1"/>
    </row>
    <row r="116" ht="15.75" customHeight="1">
      <c r="A116" s="1"/>
      <c r="O116" s="1"/>
    </row>
    <row r="117" ht="15.75" customHeight="1">
      <c r="A117" s="1"/>
      <c r="O117" s="1"/>
    </row>
    <row r="118" ht="15.75" customHeight="1">
      <c r="A118" s="1"/>
      <c r="O118" s="1"/>
    </row>
    <row r="119" ht="15.75" customHeight="1">
      <c r="A119" s="1"/>
      <c r="O119" s="1"/>
    </row>
    <row r="120" ht="15.75" customHeight="1">
      <c r="A120" s="1"/>
      <c r="O120" s="1"/>
    </row>
    <row r="121" ht="15.75" customHeight="1">
      <c r="A121" s="1"/>
      <c r="O121" s="1"/>
    </row>
    <row r="122" ht="15.75" customHeight="1">
      <c r="A122" s="1"/>
      <c r="O122" s="1"/>
    </row>
    <row r="123" ht="15.75" customHeight="1">
      <c r="A123" s="1"/>
      <c r="O123" s="1"/>
    </row>
    <row r="124" ht="15.75" customHeight="1">
      <c r="A124" s="1"/>
      <c r="O124" s="1"/>
    </row>
    <row r="125" ht="15.75" customHeight="1">
      <c r="A125" s="1"/>
      <c r="O125" s="1"/>
    </row>
    <row r="126" ht="15.75" customHeight="1">
      <c r="A126" s="1"/>
      <c r="O126" s="1"/>
    </row>
    <row r="127" ht="15.75" customHeight="1">
      <c r="A127" s="1"/>
      <c r="O127" s="1"/>
    </row>
    <row r="128" ht="15.75" customHeight="1">
      <c r="A128" s="1"/>
      <c r="O128" s="1"/>
    </row>
    <row r="129" ht="15.75" customHeight="1">
      <c r="A129" s="1"/>
      <c r="O129" s="1"/>
    </row>
    <row r="130" ht="15.75" customHeight="1">
      <c r="A130" s="1"/>
      <c r="O130" s="1"/>
    </row>
    <row r="131" ht="15.75" customHeight="1">
      <c r="A131" s="1"/>
      <c r="O131" s="1"/>
    </row>
    <row r="132" ht="15.75" customHeight="1">
      <c r="A132" s="1"/>
      <c r="O132" s="1"/>
    </row>
    <row r="133" ht="15.75" customHeight="1">
      <c r="A133" s="1"/>
      <c r="O133" s="1"/>
    </row>
    <row r="134" ht="15.75" customHeight="1">
      <c r="A134" s="1"/>
      <c r="O134" s="1"/>
    </row>
    <row r="135" ht="15.75" customHeight="1">
      <c r="A135" s="1"/>
      <c r="O135" s="1"/>
    </row>
    <row r="136" ht="15.75" customHeight="1">
      <c r="A136" s="1"/>
      <c r="O136" s="1"/>
    </row>
    <row r="137" ht="15.75" customHeight="1">
      <c r="A137" s="1"/>
      <c r="O137" s="1"/>
    </row>
    <row r="138" ht="15.75" customHeight="1">
      <c r="A138" s="1"/>
      <c r="O138" s="1"/>
    </row>
    <row r="139" ht="15.75" customHeight="1">
      <c r="A139" s="1"/>
      <c r="O139" s="1"/>
    </row>
    <row r="140" ht="15.75" customHeight="1">
      <c r="A140" s="1"/>
      <c r="O140" s="1"/>
    </row>
    <row r="141" ht="15.75" customHeight="1">
      <c r="A141" s="1"/>
      <c r="O141" s="1"/>
    </row>
    <row r="142" ht="15.75" customHeight="1">
      <c r="A142" s="1"/>
      <c r="O142" s="1"/>
    </row>
    <row r="143" ht="15.75" customHeight="1">
      <c r="A143" s="1"/>
      <c r="O143" s="1"/>
    </row>
    <row r="144" ht="15.75" customHeight="1">
      <c r="A144" s="1"/>
      <c r="O144" s="1"/>
    </row>
    <row r="145" ht="15.75" customHeight="1">
      <c r="A145" s="1"/>
      <c r="O145" s="1"/>
    </row>
    <row r="146" ht="15.75" customHeight="1">
      <c r="A146" s="1"/>
      <c r="O146" s="1"/>
    </row>
    <row r="147" ht="15.75" customHeight="1">
      <c r="A147" s="1"/>
      <c r="O147" s="1"/>
    </row>
    <row r="148" ht="15.75" customHeight="1">
      <c r="A148" s="1"/>
      <c r="O148" s="1"/>
    </row>
    <row r="149" ht="15.75" customHeight="1">
      <c r="A149" s="1"/>
      <c r="O149" s="1"/>
    </row>
    <row r="150" ht="15.75" customHeight="1">
      <c r="A150" s="1"/>
      <c r="O150" s="1"/>
    </row>
    <row r="151" ht="15.75" customHeight="1">
      <c r="A151" s="1"/>
      <c r="O151" s="1"/>
    </row>
    <row r="152" ht="15.75" customHeight="1">
      <c r="A152" s="1"/>
      <c r="O152" s="1"/>
    </row>
    <row r="153" ht="15.75" customHeight="1">
      <c r="A153" s="1"/>
      <c r="O153" s="1"/>
    </row>
    <row r="154" ht="15.75" customHeight="1">
      <c r="A154" s="1"/>
      <c r="O154" s="1"/>
    </row>
    <row r="155" ht="15.75" customHeight="1">
      <c r="A155" s="1"/>
      <c r="O155" s="1"/>
    </row>
    <row r="156" ht="15.75" customHeight="1">
      <c r="A156" s="1"/>
      <c r="O156" s="1"/>
    </row>
    <row r="157" ht="15.75" customHeight="1">
      <c r="A157" s="1"/>
      <c r="O157" s="1"/>
    </row>
    <row r="158" ht="15.75" customHeight="1">
      <c r="A158" s="1"/>
      <c r="O158" s="1"/>
    </row>
    <row r="159" ht="15.75" customHeight="1">
      <c r="A159" s="1"/>
      <c r="O159" s="1"/>
    </row>
    <row r="160" ht="15.75" customHeight="1">
      <c r="A160" s="1"/>
      <c r="O160" s="1"/>
    </row>
    <row r="161" ht="15.75" customHeight="1">
      <c r="A161" s="1"/>
      <c r="O161" s="1"/>
    </row>
    <row r="162" ht="15.75" customHeight="1">
      <c r="A162" s="1"/>
      <c r="O162" s="1"/>
    </row>
    <row r="163" ht="15.75" customHeight="1">
      <c r="A163" s="1"/>
      <c r="O163" s="1"/>
    </row>
    <row r="164" ht="15.75" customHeight="1">
      <c r="A164" s="1"/>
      <c r="O164" s="1"/>
    </row>
    <row r="165" ht="15.75" customHeight="1">
      <c r="A165" s="1"/>
      <c r="O165" s="1"/>
    </row>
    <row r="166" ht="15.75" customHeight="1">
      <c r="A166" s="1"/>
      <c r="O166" s="1"/>
    </row>
    <row r="167" ht="15.75" customHeight="1">
      <c r="A167" s="1"/>
      <c r="O167" s="1"/>
    </row>
    <row r="168" ht="15.75" customHeight="1">
      <c r="A168" s="1"/>
      <c r="O168" s="1"/>
    </row>
    <row r="169" ht="15.75" customHeight="1">
      <c r="A169" s="1"/>
      <c r="O169" s="1"/>
    </row>
    <row r="170" ht="15.75" customHeight="1">
      <c r="A170" s="1"/>
      <c r="O170" s="1"/>
    </row>
    <row r="171" ht="15.75" customHeight="1">
      <c r="A171" s="1"/>
      <c r="O171" s="1"/>
    </row>
    <row r="172" ht="15.75" customHeight="1">
      <c r="A172" s="1"/>
      <c r="O172" s="1"/>
    </row>
    <row r="173" ht="15.75" customHeight="1">
      <c r="A173" s="1"/>
      <c r="O173" s="1"/>
    </row>
    <row r="174" ht="15.75" customHeight="1">
      <c r="A174" s="1"/>
      <c r="O174" s="1"/>
    </row>
    <row r="175" ht="15.75" customHeight="1">
      <c r="A175" s="1"/>
      <c r="O175" s="1"/>
    </row>
    <row r="176" ht="15.75" customHeight="1">
      <c r="A176" s="1"/>
      <c r="O176" s="1"/>
    </row>
    <row r="177" ht="15.75" customHeight="1">
      <c r="A177" s="1"/>
      <c r="O177" s="1"/>
    </row>
    <row r="178" ht="15.75" customHeight="1">
      <c r="A178" s="1"/>
      <c r="O178" s="1"/>
    </row>
    <row r="179" ht="15.75" customHeight="1">
      <c r="A179" s="1"/>
      <c r="O179" s="1"/>
    </row>
    <row r="180" ht="15.75" customHeight="1">
      <c r="A180" s="1"/>
      <c r="O180" s="1"/>
    </row>
    <row r="181" ht="15.75" customHeight="1">
      <c r="A181" s="1"/>
      <c r="O181" s="1"/>
    </row>
    <row r="182" ht="15.75" customHeight="1">
      <c r="A182" s="1"/>
      <c r="O182" s="1"/>
    </row>
    <row r="183" ht="15.75" customHeight="1">
      <c r="A183" s="1"/>
      <c r="O183" s="1"/>
    </row>
    <row r="184" ht="15.75" customHeight="1">
      <c r="A184" s="1"/>
      <c r="O184" s="1"/>
    </row>
    <row r="185" ht="15.75" customHeight="1">
      <c r="A185" s="1"/>
      <c r="O185" s="1"/>
    </row>
    <row r="186" ht="15.75" customHeight="1">
      <c r="A186" s="1"/>
      <c r="O186" s="1"/>
    </row>
    <row r="187" ht="15.75" customHeight="1">
      <c r="A187" s="1"/>
      <c r="O187" s="1"/>
    </row>
    <row r="188" ht="15.75" customHeight="1">
      <c r="A188" s="1"/>
      <c r="O188" s="1"/>
    </row>
    <row r="189" ht="15.75" customHeight="1">
      <c r="A189" s="1"/>
      <c r="O189" s="1"/>
    </row>
    <row r="190" ht="15.75" customHeight="1">
      <c r="A190" s="1"/>
      <c r="O190" s="1"/>
    </row>
    <row r="191" ht="15.75" customHeight="1">
      <c r="A191" s="1"/>
      <c r="O191" s="1"/>
    </row>
    <row r="192" ht="15.75" customHeight="1">
      <c r="A192" s="1"/>
      <c r="O192" s="1"/>
    </row>
    <row r="193" ht="15.75" customHeight="1">
      <c r="A193" s="1"/>
      <c r="O193" s="1"/>
    </row>
    <row r="194" ht="15.75" customHeight="1">
      <c r="A194" s="1"/>
      <c r="O194" s="1"/>
    </row>
    <row r="195" ht="15.75" customHeight="1">
      <c r="A195" s="1"/>
      <c r="O195" s="1"/>
    </row>
    <row r="196" ht="15.75" customHeight="1">
      <c r="A196" s="1"/>
      <c r="O196" s="1"/>
    </row>
    <row r="197" ht="15.75" customHeight="1">
      <c r="A197" s="1"/>
      <c r="O197" s="1"/>
    </row>
    <row r="198" ht="15.75" customHeight="1">
      <c r="A198" s="1"/>
      <c r="O198" s="1"/>
    </row>
    <row r="199" ht="15.75" customHeight="1">
      <c r="A199" s="1"/>
      <c r="O199" s="1"/>
    </row>
    <row r="200" ht="15.75" customHeight="1">
      <c r="A200" s="1"/>
      <c r="O200" s="1"/>
    </row>
    <row r="201" ht="15.75" customHeight="1">
      <c r="A201" s="1"/>
      <c r="O201" s="1"/>
    </row>
    <row r="202" ht="15.75" customHeight="1">
      <c r="A202" s="1"/>
      <c r="O202" s="1"/>
    </row>
    <row r="203" ht="15.75" customHeight="1">
      <c r="A203" s="1"/>
      <c r="O203" s="1"/>
    </row>
    <row r="204" ht="15.75" customHeight="1">
      <c r="A204" s="1"/>
      <c r="O204" s="1"/>
    </row>
    <row r="205" ht="15.75" customHeight="1">
      <c r="A205" s="1"/>
      <c r="O205" s="1"/>
    </row>
    <row r="206" ht="15.75" customHeight="1">
      <c r="A206" s="1"/>
      <c r="O206" s="1"/>
    </row>
    <row r="207" ht="15.75" customHeight="1">
      <c r="A207" s="1"/>
      <c r="O207" s="1"/>
    </row>
    <row r="208" ht="15.75" customHeight="1">
      <c r="A208" s="1"/>
      <c r="O208" s="1"/>
    </row>
    <row r="209" ht="15.75" customHeight="1">
      <c r="A209" s="1"/>
      <c r="O209" s="1"/>
    </row>
    <row r="210" ht="15.75" customHeight="1">
      <c r="A210" s="1"/>
      <c r="O210" s="1"/>
    </row>
    <row r="211" ht="15.75" customHeight="1">
      <c r="A211" s="1"/>
      <c r="O211" s="1"/>
    </row>
    <row r="212" ht="15.75" customHeight="1">
      <c r="A212" s="1"/>
      <c r="O212" s="1"/>
    </row>
    <row r="213" ht="15.75" customHeight="1">
      <c r="A213" s="1"/>
      <c r="O213" s="1"/>
    </row>
    <row r="214" ht="15.75" customHeight="1">
      <c r="A214" s="1"/>
      <c r="O214" s="1"/>
    </row>
    <row r="215" ht="15.75" customHeight="1">
      <c r="A215" s="1"/>
      <c r="O215" s="1"/>
    </row>
    <row r="216" ht="15.75" customHeight="1">
      <c r="A216" s="1"/>
      <c r="O216" s="1"/>
    </row>
    <row r="217" ht="15.75" customHeight="1">
      <c r="A217" s="1"/>
      <c r="O217" s="1"/>
    </row>
    <row r="218" ht="15.75" customHeight="1">
      <c r="A218" s="1"/>
      <c r="O218" s="1"/>
    </row>
    <row r="219" ht="15.75" customHeight="1">
      <c r="A219" s="1"/>
      <c r="O219" s="1"/>
    </row>
    <row r="220" ht="15.75" customHeight="1">
      <c r="A220" s="1"/>
      <c r="O220" s="1"/>
    </row>
    <row r="221" ht="15.75" customHeight="1">
      <c r="A221" s="1"/>
      <c r="O221" s="1"/>
    </row>
    <row r="222" ht="15.75" customHeight="1">
      <c r="A222" s="1"/>
      <c r="O222" s="1"/>
    </row>
    <row r="223" ht="15.75" customHeight="1">
      <c r="A223" s="1"/>
      <c r="O223" s="1"/>
    </row>
    <row r="224" ht="15.75" customHeight="1">
      <c r="A224" s="1"/>
      <c r="O224" s="1"/>
    </row>
    <row r="225" ht="15.75" customHeight="1">
      <c r="A225" s="1"/>
      <c r="O225" s="1"/>
    </row>
    <row r="226" ht="15.75" customHeight="1">
      <c r="A226" s="1"/>
      <c r="O226" s="1"/>
    </row>
    <row r="227" ht="15.75" customHeight="1">
      <c r="A227" s="1"/>
      <c r="O227" s="1"/>
    </row>
    <row r="228" ht="15.75" customHeight="1">
      <c r="A228" s="1"/>
      <c r="O228" s="1"/>
    </row>
    <row r="229" ht="15.75" customHeight="1">
      <c r="A229" s="1"/>
      <c r="O229" s="1"/>
    </row>
    <row r="230" ht="15.75" customHeight="1">
      <c r="A230" s="1"/>
      <c r="O230" s="1"/>
    </row>
    <row r="231" ht="15.75" customHeight="1">
      <c r="A231" s="1"/>
      <c r="O231" s="1"/>
    </row>
    <row r="232" ht="15.75" customHeight="1">
      <c r="A232" s="1"/>
      <c r="O232" s="1"/>
    </row>
    <row r="233" ht="15.75" customHeight="1">
      <c r="A233" s="1"/>
      <c r="O233" s="1"/>
    </row>
    <row r="234" ht="15.75" customHeight="1">
      <c r="A234" s="1"/>
      <c r="O234" s="1"/>
    </row>
    <row r="235" ht="15.75" customHeight="1">
      <c r="A235" s="1"/>
      <c r="O235" s="1"/>
    </row>
    <row r="236" ht="15.75" customHeight="1">
      <c r="A236" s="1"/>
      <c r="O236" s="1"/>
    </row>
    <row r="237" ht="15.75" customHeight="1">
      <c r="A237" s="1"/>
      <c r="O237" s="1"/>
    </row>
    <row r="238" ht="15.75" customHeight="1">
      <c r="A238" s="1"/>
      <c r="O238" s="1"/>
    </row>
    <row r="239" ht="15.75" customHeight="1">
      <c r="A239" s="1"/>
      <c r="O239" s="1"/>
    </row>
    <row r="240" ht="15.75" customHeight="1">
      <c r="A240" s="1"/>
      <c r="O240" s="1"/>
    </row>
    <row r="241" ht="15.75" customHeight="1">
      <c r="A241" s="1"/>
      <c r="O241" s="1"/>
    </row>
    <row r="242" ht="15.75" customHeight="1">
      <c r="A242" s="1"/>
      <c r="O242" s="1"/>
    </row>
    <row r="243" ht="15.75" customHeight="1">
      <c r="A243" s="1"/>
      <c r="O243" s="1"/>
    </row>
    <row r="244" ht="15.75" customHeight="1">
      <c r="A244" s="1"/>
      <c r="O244" s="1"/>
    </row>
    <row r="245" ht="15.75" customHeight="1">
      <c r="A245" s="1"/>
      <c r="O245" s="1"/>
    </row>
    <row r="246" ht="15.75" customHeight="1">
      <c r="A246" s="1"/>
      <c r="O246" s="1"/>
    </row>
    <row r="247" ht="15.75" customHeight="1">
      <c r="A247" s="1"/>
      <c r="O247" s="1"/>
    </row>
    <row r="248" ht="15.75" customHeight="1">
      <c r="A248" s="1"/>
      <c r="O248" s="1"/>
    </row>
    <row r="249" ht="15.75" customHeight="1">
      <c r="A249" s="1"/>
      <c r="O249" s="1"/>
    </row>
    <row r="250" ht="15.75" customHeight="1">
      <c r="A250" s="1"/>
      <c r="O250" s="1"/>
    </row>
    <row r="251" ht="15.75" customHeight="1">
      <c r="A251" s="1"/>
      <c r="O251" s="1"/>
    </row>
    <row r="252" ht="15.75" customHeight="1">
      <c r="A252" s="1"/>
      <c r="O252" s="1"/>
    </row>
    <row r="253" ht="15.75" customHeight="1">
      <c r="A253" s="1"/>
      <c r="O253" s="1"/>
    </row>
    <row r="254" ht="15.75" customHeight="1">
      <c r="A254" s="1"/>
      <c r="O254" s="1"/>
    </row>
    <row r="255" ht="15.75" customHeight="1">
      <c r="A255" s="1"/>
      <c r="O255" s="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72:C72"/>
    <mergeCell ref="B73:C73"/>
    <mergeCell ref="B74:C74"/>
    <mergeCell ref="B75:C75"/>
    <mergeCell ref="B76:C76"/>
    <mergeCell ref="B77:C77"/>
    <mergeCell ref="B78:C78"/>
    <mergeCell ref="B86:C86"/>
    <mergeCell ref="B87:C87"/>
    <mergeCell ref="B88:C88"/>
    <mergeCell ref="B79:C79"/>
    <mergeCell ref="B80:C80"/>
    <mergeCell ref="B81:C81"/>
    <mergeCell ref="B82:C82"/>
    <mergeCell ref="B83:C83"/>
    <mergeCell ref="B84:C84"/>
    <mergeCell ref="B85:C85"/>
    <mergeCell ref="B2:N5"/>
    <mergeCell ref="B14:J15"/>
    <mergeCell ref="K14:K15"/>
    <mergeCell ref="L14:L15"/>
    <mergeCell ref="M14:M16"/>
    <mergeCell ref="P18:Q19"/>
    <mergeCell ref="P20:Q20"/>
    <mergeCell ref="G60:K60"/>
    <mergeCell ref="G61:K61"/>
    <mergeCell ref="P21:Q21"/>
    <mergeCell ref="P22:Q22"/>
    <mergeCell ref="G58:K58"/>
    <mergeCell ref="B59:C59"/>
    <mergeCell ref="G59:K59"/>
    <mergeCell ref="B60:C60"/>
    <mergeCell ref="B61:C61"/>
    <mergeCell ref="B62:C62"/>
    <mergeCell ref="G62:K62"/>
    <mergeCell ref="B63:C63"/>
    <mergeCell ref="G63:K63"/>
    <mergeCell ref="B64:C64"/>
    <mergeCell ref="G64:K64"/>
    <mergeCell ref="G65:K65"/>
    <mergeCell ref="B65:C65"/>
    <mergeCell ref="B66:C66"/>
    <mergeCell ref="B67:C67"/>
    <mergeCell ref="B68:C68"/>
    <mergeCell ref="B69:C69"/>
    <mergeCell ref="B70:C70"/>
    <mergeCell ref="B71:C71"/>
    <mergeCell ref="G73:K73"/>
    <mergeCell ref="G74:K74"/>
    <mergeCell ref="G75:K75"/>
    <mergeCell ref="G66:K66"/>
    <mergeCell ref="G67:K67"/>
    <mergeCell ref="G68:K68"/>
    <mergeCell ref="G69:K69"/>
    <mergeCell ref="G70:K70"/>
    <mergeCell ref="G71:K71"/>
    <mergeCell ref="G72:K72"/>
  </mergeCells>
  <conditionalFormatting sqref="L29:L57">
    <cfRule type="notContainsBlanks" dxfId="0" priority="1">
      <formula>LEN(TRIM(L29))&gt;0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customWidth="1" hidden="1" min="16" max="18" width="12.63"/>
    <col customWidth="1" hidden="1" min="19" max="19" width="3.88"/>
  </cols>
  <sheetData>
    <row r="1" ht="15.75" customHeight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5"/>
      <c r="Q2" s="5"/>
      <c r="R2" s="5"/>
    </row>
    <row r="3" ht="15.75" customHeight="1">
      <c r="A3" s="1"/>
      <c r="B3" s="6"/>
      <c r="N3" s="7"/>
      <c r="O3" s="1"/>
      <c r="P3" s="5"/>
      <c r="Q3" s="5"/>
      <c r="R3" s="5"/>
    </row>
    <row r="4" ht="15.75" customHeight="1">
      <c r="A4" s="1"/>
      <c r="B4" s="6"/>
      <c r="N4" s="7"/>
      <c r="O4" s="1"/>
      <c r="P4" s="8"/>
      <c r="Q4" s="9"/>
      <c r="R4" s="9"/>
    </row>
    <row r="5" ht="1.5" customHeight="1">
      <c r="A5" s="1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  <c r="O5" s="1"/>
      <c r="P5" s="8"/>
      <c r="Q5" s="9"/>
      <c r="R5" s="9"/>
    </row>
    <row r="6" ht="35.25" hidden="1" customHeight="1">
      <c r="A6" s="13"/>
      <c r="B6" s="14" t="s">
        <v>105</v>
      </c>
      <c r="C6" s="14"/>
      <c r="D6" s="15"/>
      <c r="E6" s="14"/>
      <c r="F6" s="14"/>
      <c r="G6" s="14"/>
      <c r="H6" s="14"/>
      <c r="I6" s="16"/>
      <c r="J6" s="14"/>
      <c r="K6" s="14"/>
      <c r="L6" s="14"/>
      <c r="M6" s="14"/>
      <c r="N6" s="14"/>
      <c r="O6" s="17"/>
      <c r="P6" s="8"/>
      <c r="Q6" s="9"/>
      <c r="R6" s="9"/>
      <c r="S6" s="18"/>
    </row>
    <row r="7" ht="52.5" customHeight="1">
      <c r="A7" s="17"/>
      <c r="B7" s="19" t="s">
        <v>3</v>
      </c>
      <c r="C7" s="20" t="s">
        <v>4</v>
      </c>
      <c r="D7" s="20" t="s">
        <v>5</v>
      </c>
      <c r="E7" s="20" t="s">
        <v>6</v>
      </c>
      <c r="F7" s="20" t="s">
        <v>7</v>
      </c>
      <c r="G7" s="21" t="s">
        <v>8</v>
      </c>
      <c r="H7" s="21" t="s">
        <v>9</v>
      </c>
      <c r="I7" s="21" t="s">
        <v>106</v>
      </c>
      <c r="J7" s="21" t="s">
        <v>11</v>
      </c>
      <c r="K7" s="21" t="s">
        <v>12</v>
      </c>
      <c r="L7" s="21" t="s">
        <v>13</v>
      </c>
      <c r="M7" s="20" t="s">
        <v>14</v>
      </c>
      <c r="N7" s="20" t="s">
        <v>15</v>
      </c>
      <c r="O7" s="17"/>
      <c r="P7" s="8"/>
      <c r="Q7" s="9"/>
      <c r="R7" s="9"/>
      <c r="S7" s="18"/>
    </row>
    <row r="8" ht="15.75" customHeight="1">
      <c r="A8" s="1"/>
      <c r="B8" s="23" t="s">
        <v>16</v>
      </c>
      <c r="C8" s="23" t="s">
        <v>17</v>
      </c>
      <c r="D8" s="24" t="s">
        <v>18</v>
      </c>
      <c r="E8" s="25" t="s">
        <v>19</v>
      </c>
      <c r="F8" s="25" t="s">
        <v>20</v>
      </c>
      <c r="G8" s="25" t="s">
        <v>21</v>
      </c>
      <c r="H8" s="25" t="s">
        <v>22</v>
      </c>
      <c r="I8" s="25" t="s">
        <v>23</v>
      </c>
      <c r="J8" s="23" t="s">
        <v>24</v>
      </c>
      <c r="K8" s="25" t="s">
        <v>25</v>
      </c>
      <c r="L8" s="25" t="s">
        <v>26</v>
      </c>
      <c r="M8" s="26" t="s">
        <v>27</v>
      </c>
      <c r="N8" s="25" t="s">
        <v>28</v>
      </c>
      <c r="O8" s="1"/>
      <c r="P8" s="8"/>
      <c r="Q8" s="9"/>
      <c r="R8" s="9"/>
    </row>
    <row r="9" ht="15.75" customHeight="1">
      <c r="A9" s="1"/>
      <c r="B9" s="100"/>
      <c r="C9" s="101" t="s">
        <v>107</v>
      </c>
      <c r="D9" s="102"/>
      <c r="E9" s="103" t="s">
        <v>93</v>
      </c>
      <c r="F9" s="104" t="s">
        <v>108</v>
      </c>
      <c r="G9" s="103" t="s">
        <v>96</v>
      </c>
      <c r="H9" s="105" t="s">
        <v>86</v>
      </c>
      <c r="I9" s="106" t="s">
        <v>109</v>
      </c>
      <c r="J9" s="107" t="s">
        <v>99</v>
      </c>
      <c r="K9" s="108" t="s">
        <v>110</v>
      </c>
      <c r="L9" s="106" t="s">
        <v>89</v>
      </c>
      <c r="M9" s="44" t="s">
        <v>109</v>
      </c>
      <c r="N9" s="109" t="s">
        <v>98</v>
      </c>
      <c r="O9" s="1"/>
      <c r="P9" s="8"/>
      <c r="Q9" s="9"/>
      <c r="R9" s="9"/>
    </row>
    <row r="10" ht="15.75" customHeight="1">
      <c r="A10" s="27"/>
      <c r="B10" s="28" t="s">
        <v>29</v>
      </c>
      <c r="C10" s="29" t="s">
        <v>30</v>
      </c>
      <c r="D10" s="30" t="s">
        <v>31</v>
      </c>
      <c r="E10" s="30" t="s">
        <v>32</v>
      </c>
      <c r="F10" s="30" t="s">
        <v>33</v>
      </c>
      <c r="G10" s="30" t="s">
        <v>34</v>
      </c>
      <c r="H10" s="30" t="s">
        <v>35</v>
      </c>
      <c r="I10" s="30" t="s">
        <v>36</v>
      </c>
      <c r="J10" s="29" t="s">
        <v>37</v>
      </c>
      <c r="K10" s="30" t="s">
        <v>38</v>
      </c>
      <c r="L10" s="30" t="s">
        <v>39</v>
      </c>
      <c r="M10" s="29" t="s">
        <v>40</v>
      </c>
      <c r="N10" s="30" t="s">
        <v>41</v>
      </c>
      <c r="O10" s="27"/>
      <c r="P10" s="31"/>
      <c r="Q10" s="32"/>
      <c r="R10" s="32"/>
      <c r="S10" s="33"/>
    </row>
    <row r="11" ht="15.75" customHeight="1">
      <c r="A11" s="27"/>
      <c r="B11" s="28"/>
      <c r="C11" s="110" t="s">
        <v>89</v>
      </c>
      <c r="D11" s="111" t="s">
        <v>110</v>
      </c>
      <c r="E11" s="111" t="s">
        <v>110</v>
      </c>
      <c r="F11" s="112" t="s">
        <v>94</v>
      </c>
      <c r="G11" s="112" t="s">
        <v>94</v>
      </c>
      <c r="H11" s="111" t="s">
        <v>80</v>
      </c>
      <c r="I11" s="111" t="s">
        <v>111</v>
      </c>
      <c r="J11" s="113" t="s">
        <v>98</v>
      </c>
      <c r="K11" s="111" t="s">
        <v>80</v>
      </c>
      <c r="L11" s="112" t="s">
        <v>104</v>
      </c>
      <c r="M11" s="114" t="s">
        <v>101</v>
      </c>
      <c r="N11" s="115" t="s">
        <v>107</v>
      </c>
      <c r="O11" s="27"/>
      <c r="P11" s="31"/>
      <c r="Q11" s="32"/>
      <c r="R11" s="32"/>
      <c r="S11" s="33"/>
    </row>
    <row r="12" ht="15.75" customHeight="1">
      <c r="A12" s="27"/>
      <c r="B12" s="34" t="s">
        <v>42</v>
      </c>
      <c r="C12" s="35" t="s">
        <v>43</v>
      </c>
      <c r="D12" s="35" t="s">
        <v>44</v>
      </c>
      <c r="E12" s="35" t="s">
        <v>45</v>
      </c>
      <c r="F12" s="35" t="s">
        <v>46</v>
      </c>
      <c r="G12" s="35" t="s">
        <v>47</v>
      </c>
      <c r="H12" s="35" t="s">
        <v>48</v>
      </c>
      <c r="I12" s="35" t="s">
        <v>49</v>
      </c>
      <c r="J12" s="36" t="s">
        <v>50</v>
      </c>
      <c r="K12" s="35" t="s">
        <v>51</v>
      </c>
      <c r="L12" s="35" t="s">
        <v>52</v>
      </c>
      <c r="M12" s="36" t="s">
        <v>53</v>
      </c>
      <c r="N12" s="35" t="s">
        <v>54</v>
      </c>
      <c r="O12" s="27"/>
      <c r="P12" s="31"/>
      <c r="Q12" s="32"/>
      <c r="R12" s="32"/>
      <c r="S12" s="33"/>
    </row>
    <row r="13" ht="15.75" customHeight="1">
      <c r="A13" s="27"/>
      <c r="B13" s="34"/>
      <c r="C13" s="35" t="s">
        <v>101</v>
      </c>
      <c r="D13" s="116" t="s">
        <v>111</v>
      </c>
      <c r="E13" s="35" t="s">
        <v>109</v>
      </c>
      <c r="F13" s="117" t="s">
        <v>86</v>
      </c>
      <c r="G13" s="118" t="s">
        <v>99</v>
      </c>
      <c r="H13" s="117" t="s">
        <v>100</v>
      </c>
      <c r="I13" s="119" t="s">
        <v>94</v>
      </c>
      <c r="J13" s="120" t="s">
        <v>88</v>
      </c>
      <c r="K13" s="121" t="s">
        <v>104</v>
      </c>
      <c r="L13" s="122" t="s">
        <v>93</v>
      </c>
      <c r="M13" s="123" t="s">
        <v>100</v>
      </c>
      <c r="N13" s="118" t="s">
        <v>91</v>
      </c>
      <c r="O13" s="27"/>
      <c r="P13" s="31"/>
      <c r="Q13" s="32"/>
      <c r="R13" s="32"/>
      <c r="S13" s="33"/>
    </row>
    <row r="14" ht="15.75" customHeight="1">
      <c r="A14" s="27"/>
      <c r="B14" s="37" t="s">
        <v>55</v>
      </c>
      <c r="C14" s="38" t="s">
        <v>56</v>
      </c>
      <c r="D14" s="38" t="s">
        <v>57</v>
      </c>
      <c r="E14" s="38" t="s">
        <v>58</v>
      </c>
      <c r="F14" s="39" t="s">
        <v>59</v>
      </c>
      <c r="G14" s="39" t="s">
        <v>60</v>
      </c>
      <c r="H14" s="38" t="s">
        <v>61</v>
      </c>
      <c r="I14" s="39" t="s">
        <v>62</v>
      </c>
      <c r="J14" s="40" t="s">
        <v>63</v>
      </c>
      <c r="K14" s="41" t="s">
        <v>64</v>
      </c>
      <c r="L14" s="42" t="s">
        <v>65</v>
      </c>
      <c r="M14" s="38" t="s">
        <v>66</v>
      </c>
      <c r="N14" s="42" t="s">
        <v>67</v>
      </c>
      <c r="O14" s="27"/>
      <c r="P14" s="31"/>
      <c r="Q14" s="32"/>
      <c r="R14" s="32"/>
      <c r="S14" s="33"/>
    </row>
    <row r="15" ht="15.75" customHeight="1">
      <c r="A15" s="27"/>
      <c r="B15" s="28"/>
      <c r="C15" s="122" t="s">
        <v>96</v>
      </c>
      <c r="D15" s="122" t="s">
        <v>92</v>
      </c>
      <c r="E15" s="118" t="s">
        <v>88</v>
      </c>
      <c r="F15" s="124" t="s">
        <v>100</v>
      </c>
      <c r="G15" s="125" t="s">
        <v>92</v>
      </c>
      <c r="H15" s="126" t="s">
        <v>108</v>
      </c>
      <c r="I15" s="127" t="s">
        <v>91</v>
      </c>
      <c r="J15" s="128" t="s">
        <v>112</v>
      </c>
      <c r="K15" s="85" t="s">
        <v>112</v>
      </c>
      <c r="L15" s="129" t="s">
        <v>102</v>
      </c>
      <c r="M15" s="130" t="s">
        <v>102</v>
      </c>
      <c r="N15" s="131" t="s">
        <v>92</v>
      </c>
      <c r="O15" s="27"/>
      <c r="P15" s="31"/>
      <c r="Q15" s="32"/>
      <c r="R15" s="32"/>
      <c r="S15" s="33"/>
    </row>
    <row r="16" ht="15.75" customHeight="1">
      <c r="A16" s="27"/>
      <c r="B16" s="34" t="s">
        <v>68</v>
      </c>
      <c r="C16" s="35" t="s">
        <v>69</v>
      </c>
      <c r="D16" s="35" t="s">
        <v>70</v>
      </c>
      <c r="E16" s="35" t="s">
        <v>71</v>
      </c>
      <c r="F16" s="43"/>
      <c r="G16" s="35"/>
      <c r="H16" s="35"/>
      <c r="I16" s="35"/>
      <c r="J16" s="44"/>
      <c r="K16" s="35"/>
      <c r="L16" s="35"/>
      <c r="M16" s="45"/>
      <c r="N16" s="35"/>
      <c r="O16" s="27"/>
      <c r="P16" s="31"/>
      <c r="Q16" s="32"/>
      <c r="R16" s="32"/>
      <c r="S16" s="33"/>
    </row>
    <row r="17" ht="15.75" customHeight="1">
      <c r="A17" s="27"/>
      <c r="B17" s="132"/>
      <c r="C17" s="133"/>
      <c r="D17" s="134" t="s">
        <v>102</v>
      </c>
      <c r="E17" s="133"/>
      <c r="F17" s="135"/>
      <c r="G17" s="133"/>
      <c r="H17" s="133"/>
      <c r="I17" s="133"/>
      <c r="J17" s="136"/>
      <c r="K17" s="133"/>
      <c r="L17" s="133"/>
      <c r="M17" s="136"/>
      <c r="N17" s="133"/>
      <c r="O17" s="27"/>
      <c r="P17" s="31"/>
      <c r="Q17" s="32"/>
      <c r="R17" s="32"/>
      <c r="S17" s="33"/>
    </row>
    <row r="18" ht="15.75" customHeight="1">
      <c r="A18" s="1"/>
      <c r="B18" s="46" t="s">
        <v>72</v>
      </c>
      <c r="C18" s="3"/>
      <c r="D18" s="3"/>
      <c r="E18" s="3"/>
      <c r="F18" s="3"/>
      <c r="G18" s="3"/>
      <c r="H18" s="3"/>
      <c r="I18" s="3"/>
      <c r="J18" s="3"/>
      <c r="K18" s="47"/>
      <c r="L18" s="48" t="s">
        <v>73</v>
      </c>
      <c r="M18" s="49" t="s">
        <v>74</v>
      </c>
      <c r="N18" s="50"/>
      <c r="O18" s="1"/>
      <c r="P18" s="8"/>
      <c r="Q18" s="9"/>
      <c r="R18" s="9"/>
    </row>
    <row r="19" ht="15.75" customHeight="1">
      <c r="A19" s="1"/>
      <c r="B19" s="10"/>
      <c r="C19" s="11"/>
      <c r="D19" s="11"/>
      <c r="E19" s="11"/>
      <c r="F19" s="11"/>
      <c r="G19" s="11"/>
      <c r="H19" s="11"/>
      <c r="I19" s="11"/>
      <c r="J19" s="11"/>
      <c r="K19" s="12"/>
      <c r="L19" s="12"/>
      <c r="N19" s="50"/>
      <c r="O19" s="1"/>
      <c r="P19" s="51"/>
      <c r="Q19" s="51"/>
      <c r="R19" s="51"/>
    </row>
    <row r="20" ht="15.75" customHeight="1">
      <c r="A20" s="1"/>
      <c r="B20" s="52" t="s">
        <v>75</v>
      </c>
      <c r="C20" s="53" t="s">
        <v>76</v>
      </c>
      <c r="D20" s="53" t="s">
        <v>77</v>
      </c>
      <c r="E20" s="53" t="s">
        <v>113</v>
      </c>
      <c r="F20" s="53" t="s">
        <v>78</v>
      </c>
      <c r="G20" s="53" t="s">
        <v>79</v>
      </c>
      <c r="H20" s="53"/>
      <c r="I20" s="53"/>
      <c r="J20" s="53"/>
      <c r="K20" s="54"/>
      <c r="L20" s="55" t="s">
        <v>75</v>
      </c>
      <c r="N20" s="50">
        <v>1.0</v>
      </c>
      <c r="O20" s="1"/>
    </row>
    <row r="21" ht="15.75" customHeight="1">
      <c r="A21" s="1"/>
      <c r="B21" s="56" t="s">
        <v>31</v>
      </c>
      <c r="C21" s="57" t="s">
        <v>80</v>
      </c>
      <c r="D21" s="57" t="s">
        <v>80</v>
      </c>
      <c r="E21" s="111" t="s">
        <v>110</v>
      </c>
      <c r="F21" s="58" t="s">
        <v>81</v>
      </c>
      <c r="G21" s="59"/>
      <c r="H21" s="60"/>
      <c r="I21" s="60"/>
      <c r="J21" s="60"/>
      <c r="K21" s="61"/>
      <c r="L21" s="56" t="s">
        <v>28</v>
      </c>
      <c r="M21" s="62" t="s">
        <v>82</v>
      </c>
      <c r="N21" s="63"/>
      <c r="O21" s="1"/>
      <c r="P21" s="64"/>
      <c r="Q21" s="65"/>
      <c r="R21" s="65"/>
    </row>
    <row r="22" ht="15.75" customHeight="1">
      <c r="A22" s="1"/>
      <c r="B22" s="56" t="s">
        <v>32</v>
      </c>
      <c r="C22" s="57" t="s">
        <v>80</v>
      </c>
      <c r="D22" s="57" t="s">
        <v>80</v>
      </c>
      <c r="E22" s="111" t="s">
        <v>110</v>
      </c>
      <c r="F22" s="58" t="s">
        <v>83</v>
      </c>
      <c r="G22" s="59"/>
      <c r="H22" s="60"/>
      <c r="I22" s="60"/>
      <c r="J22" s="60"/>
      <c r="K22" s="61"/>
      <c r="L22" s="56" t="s">
        <v>26</v>
      </c>
      <c r="M22" s="35" t="s">
        <v>18</v>
      </c>
      <c r="N22" s="66"/>
      <c r="O22" s="1"/>
      <c r="P22" s="67" t="s">
        <v>84</v>
      </c>
      <c r="Q22" s="4"/>
      <c r="R22" s="64"/>
    </row>
    <row r="23" ht="15.75" customHeight="1">
      <c r="A23" s="1"/>
      <c r="B23" s="56" t="s">
        <v>62</v>
      </c>
      <c r="C23" s="68" t="s">
        <v>86</v>
      </c>
      <c r="D23" s="68" t="s">
        <v>86</v>
      </c>
      <c r="E23" s="127" t="s">
        <v>91</v>
      </c>
      <c r="F23" s="58" t="s">
        <v>87</v>
      </c>
      <c r="G23" s="59"/>
      <c r="H23" s="60"/>
      <c r="I23" s="60"/>
      <c r="J23" s="60"/>
      <c r="K23" s="61"/>
      <c r="L23" s="56" t="s">
        <v>27</v>
      </c>
      <c r="M23" s="35"/>
      <c r="N23" s="66"/>
      <c r="O23" s="1"/>
      <c r="P23" s="10"/>
      <c r="Q23" s="12"/>
    </row>
    <row r="24" ht="15.75" customHeight="1">
      <c r="A24" s="1"/>
      <c r="B24" s="56" t="s">
        <v>56</v>
      </c>
      <c r="C24" s="69" t="s">
        <v>88</v>
      </c>
      <c r="D24" s="69" t="s">
        <v>88</v>
      </c>
      <c r="E24" s="122" t="s">
        <v>96</v>
      </c>
      <c r="F24" s="58" t="s">
        <v>87</v>
      </c>
      <c r="G24" s="59"/>
      <c r="H24" s="60"/>
      <c r="I24" s="60"/>
      <c r="J24" s="60"/>
      <c r="K24" s="61"/>
      <c r="L24" s="56" t="s">
        <v>21</v>
      </c>
      <c r="M24" s="35"/>
      <c r="N24" s="66"/>
      <c r="O24" s="1"/>
      <c r="P24" s="70"/>
      <c r="Q24" s="7"/>
    </row>
    <row r="25" ht="15.75" customHeight="1">
      <c r="A25" s="1"/>
      <c r="B25" s="56" t="s">
        <v>47</v>
      </c>
      <c r="C25" s="71" t="s">
        <v>89</v>
      </c>
      <c r="D25" s="56"/>
      <c r="E25" s="118" t="s">
        <v>99</v>
      </c>
      <c r="F25" s="58" t="s">
        <v>83</v>
      </c>
      <c r="G25" s="59"/>
      <c r="H25" s="60"/>
      <c r="I25" s="60"/>
      <c r="J25" s="60"/>
      <c r="K25" s="61"/>
      <c r="L25" s="72" t="s">
        <v>24</v>
      </c>
      <c r="M25" s="35"/>
      <c r="N25" s="66"/>
      <c r="O25" s="1"/>
      <c r="P25" s="70"/>
      <c r="Q25" s="7"/>
    </row>
    <row r="26" ht="15.75" customHeight="1">
      <c r="A26" s="1"/>
      <c r="B26" s="56" t="s">
        <v>51</v>
      </c>
      <c r="C26" s="73" t="s">
        <v>86</v>
      </c>
      <c r="D26" s="56"/>
      <c r="E26" s="121" t="s">
        <v>104</v>
      </c>
      <c r="F26" s="58" t="s">
        <v>81</v>
      </c>
      <c r="G26" s="74"/>
      <c r="H26" s="60"/>
      <c r="I26" s="60"/>
      <c r="J26" s="60"/>
      <c r="K26" s="61"/>
      <c r="L26" s="56" t="s">
        <v>90</v>
      </c>
      <c r="M26" s="35"/>
      <c r="N26" s="66"/>
      <c r="O26" s="1"/>
      <c r="P26" s="75"/>
      <c r="Q26" s="12"/>
    </row>
    <row r="27" ht="15.75" customHeight="1">
      <c r="A27" s="1"/>
      <c r="B27" s="72" t="s">
        <v>48</v>
      </c>
      <c r="C27" s="69" t="s">
        <v>88</v>
      </c>
      <c r="D27" s="69" t="s">
        <v>91</v>
      </c>
      <c r="E27" s="117" t="s">
        <v>100</v>
      </c>
      <c r="F27" s="58" t="s">
        <v>81</v>
      </c>
      <c r="G27" s="59"/>
      <c r="H27" s="60"/>
      <c r="I27" s="60"/>
      <c r="J27" s="60"/>
      <c r="K27" s="61"/>
      <c r="L27" s="56" t="s">
        <v>19</v>
      </c>
      <c r="M27" s="49"/>
      <c r="N27" s="50"/>
      <c r="O27" s="1"/>
    </row>
    <row r="28" ht="15.75" customHeight="1">
      <c r="A28" s="1"/>
      <c r="B28" s="56" t="s">
        <v>60</v>
      </c>
      <c r="C28" s="76" t="s">
        <v>92</v>
      </c>
      <c r="D28" s="76" t="s">
        <v>93</v>
      </c>
      <c r="E28" s="125" t="s">
        <v>92</v>
      </c>
      <c r="F28" s="58" t="s">
        <v>81</v>
      </c>
      <c r="G28" s="77"/>
      <c r="H28" s="60"/>
      <c r="I28" s="60"/>
      <c r="J28" s="60"/>
      <c r="K28" s="61"/>
      <c r="L28" s="72" t="s">
        <v>25</v>
      </c>
      <c r="M28" s="49"/>
      <c r="N28" s="50"/>
      <c r="O28" s="1"/>
    </row>
    <row r="29" ht="15.75" customHeight="1">
      <c r="A29" s="1"/>
      <c r="B29" s="56" t="s">
        <v>65</v>
      </c>
      <c r="C29" s="73" t="s">
        <v>86</v>
      </c>
      <c r="D29" s="56"/>
      <c r="E29" s="129" t="s">
        <v>102</v>
      </c>
      <c r="F29" s="78" t="s">
        <v>81</v>
      </c>
      <c r="G29" s="59"/>
      <c r="H29" s="60"/>
      <c r="I29" s="60"/>
      <c r="J29" s="60"/>
      <c r="K29" s="61"/>
      <c r="L29" s="72" t="s">
        <v>18</v>
      </c>
      <c r="M29" s="49"/>
      <c r="N29" s="50"/>
      <c r="O29" s="1"/>
    </row>
    <row r="30" ht="15.75" customHeight="1">
      <c r="A30" s="1"/>
      <c r="B30" s="56" t="s">
        <v>33</v>
      </c>
      <c r="C30" s="79" t="s">
        <v>89</v>
      </c>
      <c r="D30" s="80" t="s">
        <v>94</v>
      </c>
      <c r="E30" s="112" t="s">
        <v>94</v>
      </c>
      <c r="F30" s="78" t="s">
        <v>81</v>
      </c>
      <c r="G30" s="59"/>
      <c r="H30" s="60"/>
      <c r="I30" s="60"/>
      <c r="J30" s="60"/>
      <c r="K30" s="61"/>
      <c r="L30" s="72" t="s">
        <v>22</v>
      </c>
      <c r="M30" s="49"/>
      <c r="N30" s="50"/>
      <c r="O30" s="1"/>
    </row>
    <row r="31" ht="15.75" customHeight="1">
      <c r="A31" s="1"/>
      <c r="B31" s="56" t="s">
        <v>69</v>
      </c>
      <c r="C31" s="76" t="s">
        <v>92</v>
      </c>
      <c r="D31" s="56"/>
      <c r="F31" s="58" t="s">
        <v>83</v>
      </c>
      <c r="G31" s="59"/>
      <c r="H31" s="60"/>
      <c r="I31" s="60"/>
      <c r="J31" s="60"/>
      <c r="K31" s="61"/>
      <c r="L31" s="72" t="s">
        <v>20</v>
      </c>
      <c r="M31" s="49"/>
      <c r="N31" s="50"/>
      <c r="O31" s="1"/>
    </row>
    <row r="32" ht="15.75" customHeight="1">
      <c r="A32" s="1"/>
      <c r="B32" s="56" t="s">
        <v>58</v>
      </c>
      <c r="C32" s="69" t="s">
        <v>88</v>
      </c>
      <c r="D32" s="69" t="s">
        <v>88</v>
      </c>
      <c r="E32" s="118" t="s">
        <v>88</v>
      </c>
      <c r="F32" s="58" t="s">
        <v>83</v>
      </c>
      <c r="G32" s="59"/>
      <c r="H32" s="60"/>
      <c r="I32" s="60"/>
      <c r="J32" s="60"/>
      <c r="K32" s="61"/>
      <c r="L32" s="72" t="s">
        <v>23</v>
      </c>
      <c r="M32" s="49"/>
      <c r="N32" s="50"/>
      <c r="O32" s="1"/>
    </row>
    <row r="33" ht="15.75" customHeight="1">
      <c r="A33" s="1"/>
      <c r="B33" s="72" t="s">
        <v>49</v>
      </c>
      <c r="C33" s="71" t="s">
        <v>89</v>
      </c>
      <c r="D33" s="56"/>
      <c r="E33" s="119" t="s">
        <v>94</v>
      </c>
      <c r="F33" s="78" t="s">
        <v>83</v>
      </c>
      <c r="G33" s="59"/>
      <c r="H33" s="60"/>
      <c r="I33" s="60"/>
      <c r="J33" s="60"/>
      <c r="K33" s="61"/>
      <c r="L33" s="81"/>
      <c r="M33" s="49"/>
      <c r="N33" s="50"/>
      <c r="O33" s="1"/>
    </row>
    <row r="34" ht="15.75" customHeight="1">
      <c r="A34" s="1"/>
      <c r="B34" s="56" t="s">
        <v>66</v>
      </c>
      <c r="C34" s="76" t="s">
        <v>92</v>
      </c>
      <c r="D34" s="56"/>
      <c r="E34" s="130" t="s">
        <v>102</v>
      </c>
      <c r="F34" s="58" t="s">
        <v>95</v>
      </c>
      <c r="G34" s="74"/>
      <c r="H34" s="60"/>
      <c r="I34" s="60"/>
      <c r="J34" s="60"/>
      <c r="K34" s="61"/>
      <c r="L34" s="81"/>
      <c r="M34" s="49"/>
      <c r="N34" s="50"/>
      <c r="O34" s="1"/>
    </row>
    <row r="35" ht="15.75" customHeight="1">
      <c r="A35" s="1"/>
      <c r="B35" s="72" t="s">
        <v>41</v>
      </c>
      <c r="C35" s="79" t="s">
        <v>89</v>
      </c>
      <c r="D35" s="56"/>
      <c r="E35" s="115" t="s">
        <v>107</v>
      </c>
      <c r="F35" s="58" t="s">
        <v>95</v>
      </c>
      <c r="G35" s="59"/>
      <c r="H35" s="60"/>
      <c r="I35" s="60"/>
      <c r="J35" s="60"/>
      <c r="K35" s="61"/>
      <c r="L35" s="81"/>
      <c r="M35" s="49"/>
      <c r="N35" s="50"/>
      <c r="O35" s="1"/>
    </row>
    <row r="36" ht="15.75" customHeight="1">
      <c r="A36" s="1"/>
      <c r="B36" s="56" t="s">
        <v>53</v>
      </c>
      <c r="C36" s="82" t="s">
        <v>88</v>
      </c>
      <c r="D36" s="56"/>
      <c r="E36" s="123" t="s">
        <v>100</v>
      </c>
      <c r="F36" s="58" t="s">
        <v>83</v>
      </c>
      <c r="G36" s="59"/>
      <c r="H36" s="60"/>
      <c r="I36" s="60"/>
      <c r="J36" s="60"/>
      <c r="K36" s="61"/>
      <c r="L36" s="81"/>
      <c r="M36" s="49"/>
      <c r="N36" s="50"/>
      <c r="O36" s="1"/>
    </row>
    <row r="37" ht="15.75" customHeight="1">
      <c r="A37" s="1"/>
      <c r="B37" s="72" t="s">
        <v>44</v>
      </c>
      <c r="C37" s="80" t="s">
        <v>94</v>
      </c>
      <c r="D37" s="56"/>
      <c r="E37" s="116" t="s">
        <v>111</v>
      </c>
      <c r="F37" s="58" t="s">
        <v>81</v>
      </c>
      <c r="G37" s="59"/>
      <c r="H37" s="60"/>
      <c r="I37" s="60"/>
      <c r="J37" s="60"/>
      <c r="K37" s="61"/>
      <c r="L37" s="81"/>
      <c r="M37" s="49"/>
      <c r="N37" s="50"/>
      <c r="O37" s="1"/>
    </row>
    <row r="38" ht="15.75" customHeight="1">
      <c r="A38" s="1"/>
      <c r="B38" s="56" t="s">
        <v>61</v>
      </c>
      <c r="C38" s="73" t="s">
        <v>86</v>
      </c>
      <c r="D38" s="56"/>
      <c r="E38" s="126" t="s">
        <v>108</v>
      </c>
      <c r="F38" s="58" t="s">
        <v>81</v>
      </c>
      <c r="G38" s="59"/>
      <c r="H38" s="60"/>
      <c r="I38" s="60"/>
      <c r="J38" s="60"/>
      <c r="K38" s="61"/>
      <c r="L38" s="81"/>
      <c r="M38" s="49"/>
      <c r="N38" s="50"/>
      <c r="O38" s="1"/>
    </row>
    <row r="39" ht="15.75" customHeight="1">
      <c r="A39" s="1"/>
      <c r="B39" s="56" t="s">
        <v>52</v>
      </c>
      <c r="C39" s="82" t="s">
        <v>88</v>
      </c>
      <c r="D39" s="76" t="s">
        <v>96</v>
      </c>
      <c r="E39" s="122" t="s">
        <v>93</v>
      </c>
      <c r="F39" s="58" t="s">
        <v>83</v>
      </c>
      <c r="G39" s="59"/>
      <c r="H39" s="60"/>
      <c r="I39" s="60"/>
      <c r="J39" s="60"/>
      <c r="K39" s="61"/>
      <c r="L39" s="81"/>
      <c r="M39" s="49"/>
      <c r="N39" s="50"/>
      <c r="O39" s="1"/>
    </row>
    <row r="40" ht="15.75" customHeight="1">
      <c r="A40" s="1"/>
      <c r="B40" s="56" t="s">
        <v>67</v>
      </c>
      <c r="C40" s="83" t="s">
        <v>97</v>
      </c>
      <c r="D40" s="56"/>
      <c r="E40" s="131" t="s">
        <v>92</v>
      </c>
      <c r="F40" s="58" t="s">
        <v>95</v>
      </c>
      <c r="G40" s="74"/>
      <c r="H40" s="60"/>
      <c r="I40" s="60"/>
      <c r="J40" s="60"/>
      <c r="K40" s="61"/>
      <c r="L40" s="81"/>
      <c r="M40" s="49"/>
      <c r="N40" s="50"/>
      <c r="O40" s="1"/>
    </row>
    <row r="41" ht="15.75" customHeight="1">
      <c r="A41" s="1"/>
      <c r="B41" s="72" t="s">
        <v>63</v>
      </c>
      <c r="C41" s="83" t="s">
        <v>97</v>
      </c>
      <c r="D41" s="56"/>
      <c r="E41" s="128" t="s">
        <v>112</v>
      </c>
      <c r="F41" s="58" t="s">
        <v>95</v>
      </c>
      <c r="G41" s="59"/>
      <c r="H41" s="60"/>
      <c r="I41" s="60"/>
      <c r="J41" s="60"/>
      <c r="K41" s="61"/>
      <c r="L41" s="81"/>
      <c r="M41" s="49"/>
      <c r="N41" s="50"/>
      <c r="O41" s="1"/>
    </row>
    <row r="42" ht="15.75" customHeight="1">
      <c r="A42" s="1"/>
      <c r="B42" s="56" t="s">
        <v>35</v>
      </c>
      <c r="C42" s="80" t="s">
        <v>94</v>
      </c>
      <c r="D42" s="80" t="s">
        <v>98</v>
      </c>
      <c r="E42" s="111" t="s">
        <v>80</v>
      </c>
      <c r="F42" s="58" t="s">
        <v>83</v>
      </c>
      <c r="G42" s="59"/>
      <c r="H42" s="60"/>
      <c r="I42" s="60"/>
      <c r="J42" s="60"/>
      <c r="K42" s="61"/>
      <c r="L42" s="81"/>
      <c r="M42" s="49"/>
      <c r="N42" s="50"/>
      <c r="O42" s="1"/>
      <c r="P42" s="84"/>
    </row>
    <row r="43" ht="15.75" customHeight="1">
      <c r="A43" s="1"/>
      <c r="B43" s="56" t="s">
        <v>54</v>
      </c>
      <c r="C43" s="69" t="s">
        <v>88</v>
      </c>
      <c r="D43" s="69" t="s">
        <v>99</v>
      </c>
      <c r="E43" s="118" t="s">
        <v>91</v>
      </c>
      <c r="F43" s="58" t="s">
        <v>95</v>
      </c>
      <c r="G43" s="74"/>
      <c r="H43" s="60"/>
      <c r="I43" s="60"/>
      <c r="J43" s="60"/>
      <c r="K43" s="61"/>
      <c r="L43" s="81"/>
      <c r="M43" s="49"/>
      <c r="N43" s="50"/>
      <c r="O43" s="1"/>
    </row>
    <row r="44" ht="15.75" customHeight="1">
      <c r="A44" s="1"/>
      <c r="B44" s="56" t="s">
        <v>50</v>
      </c>
      <c r="C44" s="69" t="s">
        <v>88</v>
      </c>
      <c r="D44" s="73" t="s">
        <v>100</v>
      </c>
      <c r="E44" s="120" t="s">
        <v>88</v>
      </c>
      <c r="F44" s="58" t="s">
        <v>83</v>
      </c>
      <c r="G44" s="59"/>
      <c r="H44" s="60"/>
      <c r="I44" s="60"/>
      <c r="J44" s="60"/>
      <c r="K44" s="61"/>
      <c r="L44" s="81"/>
      <c r="M44" s="49"/>
      <c r="N44" s="50"/>
      <c r="O44" s="1"/>
    </row>
    <row r="45" ht="15.75" customHeight="1">
      <c r="A45" s="1"/>
      <c r="B45" s="56" t="s">
        <v>30</v>
      </c>
      <c r="C45" s="57" t="s">
        <v>80</v>
      </c>
      <c r="D45" s="57" t="s">
        <v>80</v>
      </c>
      <c r="E45" s="110" t="s">
        <v>89</v>
      </c>
      <c r="F45" s="58" t="s">
        <v>95</v>
      </c>
      <c r="G45" s="59"/>
      <c r="H45" s="60"/>
      <c r="I45" s="60"/>
      <c r="J45" s="60"/>
      <c r="K45" s="61"/>
      <c r="L45" s="81"/>
      <c r="M45" s="49"/>
      <c r="N45" s="50"/>
      <c r="O45" s="1"/>
    </row>
    <row r="46" ht="15.75" customHeight="1">
      <c r="A46" s="1"/>
      <c r="B46" s="56" t="s">
        <v>57</v>
      </c>
      <c r="C46" s="69" t="s">
        <v>88</v>
      </c>
      <c r="D46" s="69" t="s">
        <v>91</v>
      </c>
      <c r="E46" s="122" t="s">
        <v>92</v>
      </c>
      <c r="F46" s="58" t="s">
        <v>81</v>
      </c>
      <c r="G46" s="59"/>
      <c r="H46" s="60"/>
      <c r="I46" s="60"/>
      <c r="J46" s="60"/>
      <c r="K46" s="61"/>
      <c r="L46" s="81"/>
      <c r="M46" s="49"/>
      <c r="N46" s="50"/>
      <c r="O46" s="1"/>
    </row>
    <row r="47" ht="15.75" customHeight="1">
      <c r="A47" s="1"/>
      <c r="B47" s="72" t="s">
        <v>43</v>
      </c>
      <c r="C47" s="71" t="s">
        <v>89</v>
      </c>
      <c r="D47" s="71" t="s">
        <v>101</v>
      </c>
      <c r="E47" s="35" t="s">
        <v>101</v>
      </c>
      <c r="F47" s="58" t="s">
        <v>81</v>
      </c>
      <c r="G47" s="74"/>
      <c r="H47" s="60"/>
      <c r="I47" s="60"/>
      <c r="J47" s="60"/>
      <c r="K47" s="61"/>
      <c r="L47" s="81"/>
      <c r="M47" s="49"/>
      <c r="N47" s="50"/>
      <c r="O47" s="1"/>
    </row>
    <row r="48" ht="15.75" customHeight="1">
      <c r="A48" s="1"/>
      <c r="B48" s="56" t="s">
        <v>71</v>
      </c>
      <c r="C48" s="76" t="s">
        <v>92</v>
      </c>
      <c r="D48" s="85" t="s">
        <v>102</v>
      </c>
      <c r="F48" s="58" t="s">
        <v>103</v>
      </c>
      <c r="G48" s="59"/>
      <c r="H48" s="60"/>
      <c r="I48" s="60"/>
      <c r="J48" s="60"/>
      <c r="K48" s="61"/>
      <c r="L48" s="81"/>
      <c r="M48" s="49"/>
      <c r="N48" s="50"/>
      <c r="O48" s="1"/>
    </row>
    <row r="49" ht="15.75" customHeight="1">
      <c r="A49" s="1"/>
      <c r="B49" s="56" t="s">
        <v>38</v>
      </c>
      <c r="C49" s="86" t="s">
        <v>94</v>
      </c>
      <c r="D49" s="56"/>
      <c r="E49" s="111" t="s">
        <v>80</v>
      </c>
      <c r="F49" s="58" t="s">
        <v>81</v>
      </c>
      <c r="G49" s="59"/>
      <c r="H49" s="60"/>
      <c r="I49" s="60"/>
      <c r="J49" s="60"/>
      <c r="K49" s="61"/>
      <c r="L49" s="81"/>
      <c r="M49" s="49"/>
      <c r="N49" s="50"/>
      <c r="O49" s="1"/>
    </row>
    <row r="50" ht="15.75" customHeight="1">
      <c r="A50" s="1"/>
      <c r="B50" s="56" t="s">
        <v>59</v>
      </c>
      <c r="C50" s="69" t="s">
        <v>88</v>
      </c>
      <c r="D50" s="56"/>
      <c r="E50" s="124" t="s">
        <v>100</v>
      </c>
      <c r="F50" s="58" t="s">
        <v>87</v>
      </c>
      <c r="G50" s="74"/>
      <c r="H50" s="60"/>
      <c r="I50" s="60"/>
      <c r="J50" s="60"/>
      <c r="K50" s="61"/>
      <c r="L50" s="81"/>
      <c r="M50" s="49"/>
      <c r="N50" s="50"/>
      <c r="O50" s="1"/>
    </row>
    <row r="51" ht="15.75" customHeight="1">
      <c r="A51" s="1"/>
      <c r="B51" s="72" t="s">
        <v>37</v>
      </c>
      <c r="C51" s="80" t="s">
        <v>94</v>
      </c>
      <c r="D51" s="56"/>
      <c r="E51" s="113" t="s">
        <v>98</v>
      </c>
      <c r="F51" s="58" t="s">
        <v>83</v>
      </c>
      <c r="G51" s="59"/>
      <c r="H51" s="60"/>
      <c r="I51" s="60"/>
      <c r="J51" s="60"/>
      <c r="K51" s="61"/>
      <c r="L51" s="81"/>
      <c r="M51" s="49"/>
      <c r="N51" s="50"/>
      <c r="O51" s="1"/>
    </row>
    <row r="52" ht="15.75" customHeight="1">
      <c r="A52" s="1"/>
      <c r="B52" s="56" t="s">
        <v>39</v>
      </c>
      <c r="C52" s="80" t="s">
        <v>94</v>
      </c>
      <c r="D52" s="80" t="s">
        <v>98</v>
      </c>
      <c r="E52" s="112" t="s">
        <v>104</v>
      </c>
      <c r="F52" s="58" t="s">
        <v>81</v>
      </c>
      <c r="G52" s="59"/>
      <c r="H52" s="60"/>
      <c r="I52" s="60"/>
      <c r="J52" s="60"/>
      <c r="K52" s="61"/>
      <c r="L52" s="81"/>
      <c r="M52" s="49"/>
      <c r="N52" s="50"/>
      <c r="O52" s="1"/>
    </row>
    <row r="53" ht="15.75" customHeight="1">
      <c r="A53" s="1"/>
      <c r="B53" s="56" t="s">
        <v>40</v>
      </c>
      <c r="C53" s="79" t="s">
        <v>89</v>
      </c>
      <c r="D53" s="83"/>
      <c r="E53" s="114" t="s">
        <v>101</v>
      </c>
      <c r="F53" s="58" t="s">
        <v>81</v>
      </c>
      <c r="G53" s="59"/>
      <c r="H53" s="60"/>
      <c r="I53" s="60"/>
      <c r="J53" s="60"/>
      <c r="K53" s="61"/>
      <c r="L53" s="81"/>
      <c r="M53" s="49"/>
      <c r="N53" s="50"/>
      <c r="O53" s="1"/>
    </row>
    <row r="54" ht="15.75" customHeight="1">
      <c r="A54" s="1"/>
      <c r="B54" s="56" t="s">
        <v>34</v>
      </c>
      <c r="C54" s="80" t="s">
        <v>94</v>
      </c>
      <c r="D54" s="56"/>
      <c r="E54" s="112" t="s">
        <v>94</v>
      </c>
      <c r="F54" s="78" t="s">
        <v>81</v>
      </c>
      <c r="G54" s="59"/>
      <c r="H54" s="60"/>
      <c r="I54" s="60"/>
      <c r="J54" s="60"/>
      <c r="K54" s="61"/>
      <c r="L54" s="81"/>
      <c r="M54" s="49"/>
      <c r="N54" s="50"/>
      <c r="O54" s="1"/>
    </row>
    <row r="55" ht="15.75" customHeight="1">
      <c r="A55" s="1"/>
      <c r="B55" s="56" t="s">
        <v>36</v>
      </c>
      <c r="C55" s="80" t="s">
        <v>94</v>
      </c>
      <c r="D55" s="80" t="s">
        <v>104</v>
      </c>
      <c r="E55" s="111" t="s">
        <v>111</v>
      </c>
      <c r="F55" s="58" t="s">
        <v>81</v>
      </c>
      <c r="G55" s="59"/>
      <c r="H55" s="60"/>
      <c r="I55" s="60"/>
      <c r="J55" s="60"/>
      <c r="K55" s="61"/>
      <c r="L55" s="81"/>
      <c r="M55" s="49"/>
      <c r="N55" s="50"/>
      <c r="O55" s="1"/>
    </row>
    <row r="56" ht="15.75" customHeight="1">
      <c r="A56" s="1"/>
      <c r="B56" s="56" t="s">
        <v>64</v>
      </c>
      <c r="C56" s="73" t="s">
        <v>86</v>
      </c>
      <c r="D56" s="56"/>
      <c r="E56" s="85" t="s">
        <v>112</v>
      </c>
      <c r="F56" s="58" t="s">
        <v>81</v>
      </c>
      <c r="G56" s="59"/>
      <c r="H56" s="60"/>
      <c r="I56" s="60"/>
      <c r="J56" s="60"/>
      <c r="K56" s="61"/>
      <c r="L56" s="81"/>
      <c r="M56" s="49"/>
      <c r="N56" s="50"/>
      <c r="O56" s="1"/>
    </row>
    <row r="57" ht="16.5" customHeight="1">
      <c r="A57" s="1"/>
      <c r="B57" s="56" t="s">
        <v>46</v>
      </c>
      <c r="C57" s="71" t="s">
        <v>89</v>
      </c>
      <c r="D57" s="71" t="s">
        <v>101</v>
      </c>
      <c r="E57" s="117" t="s">
        <v>86</v>
      </c>
      <c r="F57" s="58" t="s">
        <v>83</v>
      </c>
      <c r="G57" s="59"/>
      <c r="H57" s="60"/>
      <c r="I57" s="60"/>
      <c r="J57" s="60"/>
      <c r="K57" s="61"/>
      <c r="L57" s="81"/>
      <c r="M57" s="49"/>
      <c r="N57" s="50"/>
      <c r="O57" s="1"/>
      <c r="P57" s="1"/>
      <c r="Q57" s="1"/>
      <c r="R57" s="1"/>
      <c r="S57" s="1"/>
    </row>
    <row r="58" ht="15.75" customHeight="1">
      <c r="A58" s="1"/>
      <c r="B58" s="56" t="s">
        <v>45</v>
      </c>
      <c r="C58" s="80" t="s">
        <v>94</v>
      </c>
      <c r="D58" s="80" t="s">
        <v>94</v>
      </c>
      <c r="E58" s="35" t="s">
        <v>109</v>
      </c>
      <c r="F58" s="58" t="s">
        <v>81</v>
      </c>
      <c r="G58" s="59"/>
      <c r="H58" s="60"/>
      <c r="I58" s="60"/>
      <c r="J58" s="60"/>
      <c r="K58" s="61"/>
      <c r="L58" s="81"/>
      <c r="M58" s="49"/>
      <c r="N58" s="50"/>
      <c r="O58" s="1"/>
    </row>
    <row r="59" ht="15.75" customHeight="1">
      <c r="A59" s="1"/>
      <c r="B59" s="56" t="s">
        <v>70</v>
      </c>
      <c r="C59" s="69" t="s">
        <v>88</v>
      </c>
      <c r="D59" s="87" t="s">
        <v>102</v>
      </c>
      <c r="E59" s="134" t="s">
        <v>102</v>
      </c>
      <c r="F59" s="58" t="s">
        <v>83</v>
      </c>
      <c r="G59" s="59"/>
      <c r="H59" s="60"/>
      <c r="I59" s="60"/>
      <c r="J59" s="60"/>
      <c r="K59" s="61"/>
      <c r="L59" s="81"/>
      <c r="M59" s="49"/>
      <c r="N59" s="50"/>
      <c r="O59" s="1"/>
    </row>
    <row r="60" ht="16.5" customHeight="1">
      <c r="A60" s="1"/>
      <c r="B60" s="88"/>
      <c r="C60" s="88"/>
      <c r="D60" s="88"/>
      <c r="E60" s="88"/>
      <c r="F60" s="74"/>
      <c r="G60" s="60"/>
      <c r="H60" s="60"/>
      <c r="I60" s="60"/>
      <c r="J60" s="60"/>
      <c r="K60" s="61"/>
      <c r="L60" s="81"/>
      <c r="M60" s="49"/>
      <c r="N60" s="50"/>
      <c r="O60" s="1"/>
    </row>
    <row r="61" ht="15.75" customHeight="1">
      <c r="A61" s="1"/>
      <c r="B61" s="58"/>
      <c r="C61" s="58"/>
      <c r="D61" s="58"/>
      <c r="E61" s="58"/>
      <c r="F61" s="74"/>
      <c r="G61" s="60"/>
      <c r="H61" s="60"/>
      <c r="I61" s="60"/>
      <c r="J61" s="60"/>
      <c r="K61" s="61"/>
      <c r="L61" s="81"/>
      <c r="M61" s="49"/>
      <c r="N61" s="50"/>
      <c r="O61" s="1"/>
    </row>
    <row r="62" ht="15.75" customHeight="1">
      <c r="A62" s="1"/>
      <c r="B62" s="89"/>
      <c r="C62" s="90"/>
      <c r="D62" s="91"/>
      <c r="E62" s="91"/>
      <c r="F62" s="92"/>
      <c r="G62" s="91"/>
      <c r="K62" s="7"/>
      <c r="L62" s="93"/>
      <c r="M62" s="1"/>
      <c r="N62" s="1"/>
      <c r="O62" s="1"/>
    </row>
    <row r="63" ht="15.75" customHeight="1">
      <c r="A63" s="1"/>
      <c r="B63" s="94"/>
      <c r="D63" s="95"/>
      <c r="E63" s="95"/>
      <c r="F63" s="96"/>
      <c r="G63" s="95"/>
      <c r="K63" s="7"/>
      <c r="O63" s="1"/>
    </row>
    <row r="64" ht="15.75" customHeight="1">
      <c r="A64" s="1"/>
      <c r="B64" s="97"/>
      <c r="D64" s="98"/>
      <c r="E64" s="98"/>
      <c r="F64" s="99"/>
      <c r="G64" s="95"/>
      <c r="K64" s="7"/>
      <c r="O64" s="1"/>
    </row>
    <row r="65" ht="15.75" customHeight="1">
      <c r="A65" s="1"/>
      <c r="B65" s="97"/>
      <c r="D65" s="98"/>
      <c r="E65" s="98"/>
      <c r="F65" s="99"/>
      <c r="G65" s="95"/>
      <c r="K65" s="7"/>
      <c r="O65" s="1"/>
    </row>
    <row r="66" ht="15.75" customHeight="1">
      <c r="A66" s="1"/>
      <c r="B66" s="97"/>
      <c r="D66" s="98"/>
      <c r="E66" s="98"/>
      <c r="F66" s="99"/>
      <c r="G66" s="95"/>
      <c r="K66" s="7"/>
      <c r="O66" s="1"/>
    </row>
    <row r="67" ht="15.75" customHeight="1">
      <c r="A67" s="1"/>
      <c r="B67" s="97"/>
      <c r="D67" s="98"/>
      <c r="E67" s="98"/>
      <c r="F67" s="99"/>
      <c r="G67" s="95"/>
      <c r="K67" s="7"/>
      <c r="O67" s="1"/>
    </row>
    <row r="68" ht="15.75" customHeight="1">
      <c r="A68" s="1"/>
      <c r="B68" s="97"/>
      <c r="D68" s="98"/>
      <c r="E68" s="98"/>
      <c r="F68" s="99"/>
      <c r="G68" s="95"/>
      <c r="K68" s="7"/>
      <c r="O68" s="1"/>
    </row>
    <row r="69" ht="15.75" customHeight="1">
      <c r="A69" s="1"/>
      <c r="B69" s="97"/>
      <c r="D69" s="98"/>
      <c r="E69" s="98"/>
      <c r="F69" s="99"/>
      <c r="G69" s="95"/>
      <c r="K69" s="7"/>
      <c r="O69" s="1"/>
    </row>
    <row r="70" ht="15.75" customHeight="1">
      <c r="A70" s="1"/>
      <c r="B70" s="97"/>
      <c r="D70" s="98"/>
      <c r="E70" s="98"/>
      <c r="F70" s="99"/>
      <c r="G70" s="95"/>
      <c r="K70" s="7"/>
      <c r="O70" s="1"/>
    </row>
    <row r="71" ht="15.75" customHeight="1">
      <c r="A71" s="1"/>
      <c r="B71" s="97"/>
      <c r="D71" s="98"/>
      <c r="E71" s="98"/>
      <c r="F71" s="99"/>
      <c r="G71" s="95"/>
      <c r="K71" s="7"/>
      <c r="O71" s="1"/>
    </row>
    <row r="72" ht="15.75" customHeight="1">
      <c r="A72" s="1"/>
      <c r="B72" s="97"/>
      <c r="D72" s="98"/>
      <c r="E72" s="98"/>
      <c r="F72" s="99"/>
      <c r="G72" s="95"/>
      <c r="K72" s="7"/>
      <c r="O72" s="1"/>
    </row>
    <row r="73" ht="15.75" customHeight="1">
      <c r="A73" s="1"/>
      <c r="B73" s="97"/>
      <c r="D73" s="98"/>
      <c r="E73" s="98"/>
      <c r="F73" s="99"/>
      <c r="G73" s="98"/>
      <c r="O73" s="1"/>
    </row>
    <row r="74" ht="15.75" customHeight="1">
      <c r="A74" s="1"/>
      <c r="B74" s="97"/>
      <c r="D74" s="98"/>
      <c r="E74" s="98"/>
      <c r="F74" s="99"/>
      <c r="G74" s="98"/>
      <c r="O74" s="1"/>
    </row>
    <row r="75" ht="15.75" customHeight="1">
      <c r="A75" s="1"/>
      <c r="B75" s="97"/>
      <c r="O75" s="1"/>
    </row>
    <row r="76" ht="15.75" customHeight="1">
      <c r="A76" s="1"/>
      <c r="B76" s="97"/>
      <c r="O76" s="1"/>
    </row>
    <row r="77" ht="15.75" customHeight="1">
      <c r="A77" s="1"/>
      <c r="B77" s="97"/>
      <c r="O77" s="1"/>
    </row>
    <row r="78" ht="15.75" customHeight="1">
      <c r="A78" s="1"/>
      <c r="B78" s="97"/>
      <c r="O78" s="1"/>
    </row>
    <row r="79" ht="15.75" customHeight="1">
      <c r="A79" s="1"/>
      <c r="B79" s="97"/>
      <c r="O79" s="1"/>
    </row>
    <row r="80" ht="15.75" customHeight="1">
      <c r="A80" s="1"/>
      <c r="B80" s="97"/>
      <c r="O80" s="1"/>
    </row>
    <row r="81" ht="15.75" customHeight="1">
      <c r="A81" s="1"/>
      <c r="B81" s="97"/>
      <c r="O81" s="1"/>
    </row>
    <row r="82" ht="15.75" customHeight="1">
      <c r="A82" s="1"/>
      <c r="B82" s="97"/>
      <c r="O82" s="1"/>
    </row>
    <row r="83" ht="15.75" customHeight="1">
      <c r="A83" s="1"/>
      <c r="B83" s="97"/>
      <c r="O83" s="1"/>
    </row>
    <row r="84" ht="15.75" customHeight="1">
      <c r="A84" s="1"/>
      <c r="B84" s="97"/>
      <c r="O84" s="1"/>
    </row>
    <row r="85" ht="15.75" customHeight="1">
      <c r="A85" s="1"/>
      <c r="B85" s="97"/>
      <c r="O85" s="1"/>
    </row>
    <row r="86" ht="15.75" customHeight="1">
      <c r="A86" s="1"/>
      <c r="B86" s="97"/>
      <c r="O86" s="1"/>
    </row>
    <row r="87" ht="15.75" customHeight="1">
      <c r="A87" s="1"/>
      <c r="B87" s="97"/>
      <c r="O87" s="1"/>
    </row>
    <row r="88" ht="15.75" customHeight="1">
      <c r="A88" s="1"/>
      <c r="B88" s="97"/>
      <c r="O88" s="1"/>
    </row>
    <row r="89" ht="15.75" customHeight="1">
      <c r="A89" s="1"/>
      <c r="B89" s="97"/>
      <c r="O89" s="1"/>
    </row>
    <row r="90" ht="15.75" customHeight="1">
      <c r="A90" s="1"/>
      <c r="B90" s="97"/>
      <c r="O90" s="1"/>
    </row>
    <row r="91" ht="15.75" customHeight="1">
      <c r="A91" s="1"/>
      <c r="B91" s="97"/>
      <c r="O91" s="1"/>
    </row>
    <row r="92" ht="15.75" customHeight="1">
      <c r="A92" s="1"/>
      <c r="B92" s="97"/>
      <c r="O92" s="1"/>
    </row>
    <row r="93" ht="15.75" customHeight="1">
      <c r="A93" s="1"/>
      <c r="O93" s="1"/>
    </row>
    <row r="94" ht="15.75" customHeight="1">
      <c r="A94" s="1"/>
      <c r="O94" s="1"/>
    </row>
    <row r="95" ht="15.75" customHeight="1">
      <c r="A95" s="1"/>
      <c r="O95" s="1"/>
    </row>
    <row r="96" ht="15.75" customHeight="1">
      <c r="A96" s="1"/>
      <c r="O96" s="1"/>
    </row>
    <row r="97" ht="15.75" customHeight="1">
      <c r="A97" s="1"/>
      <c r="O97" s="1"/>
    </row>
    <row r="98" ht="15.75" customHeight="1">
      <c r="A98" s="1"/>
      <c r="O98" s="1"/>
    </row>
    <row r="99" ht="15.75" customHeight="1">
      <c r="A99" s="1"/>
      <c r="O99" s="1"/>
    </row>
    <row r="100" ht="15.75" customHeight="1">
      <c r="A100" s="1"/>
      <c r="O100" s="1"/>
    </row>
    <row r="101" ht="15.75" customHeight="1">
      <c r="A101" s="1"/>
      <c r="O101" s="1"/>
    </row>
    <row r="102" ht="15.75" customHeight="1">
      <c r="A102" s="1"/>
      <c r="O102" s="1"/>
    </row>
    <row r="103" ht="15.75" customHeight="1">
      <c r="A103" s="1"/>
      <c r="O103" s="1"/>
    </row>
    <row r="104" ht="15.75" customHeight="1">
      <c r="A104" s="1"/>
      <c r="O104" s="1"/>
    </row>
    <row r="105" ht="15.75" customHeight="1">
      <c r="A105" s="1"/>
      <c r="O105" s="1"/>
    </row>
    <row r="106" ht="15.75" customHeight="1">
      <c r="A106" s="1"/>
      <c r="O106" s="1"/>
    </row>
    <row r="107" ht="15.75" customHeight="1">
      <c r="A107" s="1"/>
      <c r="O107" s="1"/>
    </row>
    <row r="108" ht="15.75" customHeight="1">
      <c r="A108" s="1"/>
      <c r="O108" s="1"/>
    </row>
    <row r="109" ht="15.75" customHeight="1">
      <c r="A109" s="1"/>
      <c r="O109" s="1"/>
    </row>
    <row r="110" ht="15.75" customHeight="1">
      <c r="A110" s="1"/>
      <c r="O110" s="1"/>
    </row>
    <row r="111" ht="15.75" customHeight="1">
      <c r="A111" s="1"/>
      <c r="O111" s="1"/>
    </row>
    <row r="112" ht="15.75" customHeight="1">
      <c r="A112" s="1"/>
      <c r="O112" s="1"/>
    </row>
    <row r="113" ht="15.75" customHeight="1">
      <c r="A113" s="1"/>
      <c r="O113" s="1"/>
    </row>
    <row r="114" ht="15.75" customHeight="1">
      <c r="A114" s="1"/>
      <c r="O114" s="1"/>
    </row>
    <row r="115" ht="15.75" customHeight="1">
      <c r="A115" s="1"/>
      <c r="O115" s="1"/>
    </row>
    <row r="116" ht="15.75" customHeight="1">
      <c r="A116" s="1"/>
      <c r="O116" s="1"/>
    </row>
    <row r="117" ht="15.75" customHeight="1">
      <c r="A117" s="1"/>
      <c r="O117" s="1"/>
    </row>
    <row r="118" ht="15.75" customHeight="1">
      <c r="A118" s="1"/>
      <c r="O118" s="1"/>
    </row>
    <row r="119" ht="15.75" customHeight="1">
      <c r="A119" s="1"/>
      <c r="O119" s="1"/>
    </row>
    <row r="120" ht="15.75" customHeight="1">
      <c r="A120" s="1"/>
      <c r="O120" s="1"/>
    </row>
    <row r="121" ht="15.75" customHeight="1">
      <c r="A121" s="1"/>
      <c r="O121" s="1"/>
    </row>
    <row r="122" ht="15.75" customHeight="1">
      <c r="A122" s="1"/>
      <c r="O122" s="1"/>
    </row>
    <row r="123" ht="15.75" customHeight="1">
      <c r="A123" s="1"/>
      <c r="O123" s="1"/>
    </row>
    <row r="124" ht="15.75" customHeight="1">
      <c r="A124" s="1"/>
      <c r="O124" s="1"/>
    </row>
    <row r="125" ht="15.75" customHeight="1">
      <c r="A125" s="1"/>
      <c r="O125" s="1"/>
    </row>
    <row r="126" ht="15.75" customHeight="1">
      <c r="A126" s="1"/>
      <c r="O126" s="1"/>
    </row>
    <row r="127" ht="15.75" customHeight="1">
      <c r="A127" s="1"/>
      <c r="O127" s="1"/>
    </row>
    <row r="128" ht="15.75" customHeight="1">
      <c r="A128" s="1"/>
      <c r="O128" s="1"/>
    </row>
    <row r="129" ht="15.75" customHeight="1">
      <c r="A129" s="1"/>
      <c r="O129" s="1"/>
    </row>
    <row r="130" ht="15.75" customHeight="1">
      <c r="A130" s="1"/>
      <c r="O130" s="1"/>
    </row>
    <row r="131" ht="15.75" customHeight="1">
      <c r="A131" s="1"/>
      <c r="O131" s="1"/>
    </row>
    <row r="132" ht="15.75" customHeight="1">
      <c r="A132" s="1"/>
      <c r="O132" s="1"/>
    </row>
    <row r="133" ht="15.75" customHeight="1">
      <c r="A133" s="1"/>
      <c r="O133" s="1"/>
    </row>
    <row r="134" ht="15.75" customHeight="1">
      <c r="A134" s="1"/>
      <c r="O134" s="1"/>
    </row>
    <row r="135" ht="15.75" customHeight="1">
      <c r="A135" s="1"/>
      <c r="O135" s="1"/>
    </row>
    <row r="136" ht="15.75" customHeight="1">
      <c r="A136" s="1"/>
      <c r="O136" s="1"/>
    </row>
    <row r="137" ht="15.75" customHeight="1">
      <c r="A137" s="1"/>
      <c r="O137" s="1"/>
    </row>
    <row r="138" ht="15.75" customHeight="1">
      <c r="A138" s="1"/>
      <c r="O138" s="1"/>
    </row>
    <row r="139" ht="15.75" customHeight="1">
      <c r="A139" s="1"/>
      <c r="O139" s="1"/>
    </row>
    <row r="140" ht="15.75" customHeight="1">
      <c r="A140" s="1"/>
      <c r="O140" s="1"/>
    </row>
    <row r="141" ht="15.75" customHeight="1">
      <c r="A141" s="1"/>
      <c r="O141" s="1"/>
    </row>
    <row r="142" ht="15.75" customHeight="1">
      <c r="A142" s="1"/>
      <c r="O142" s="1"/>
    </row>
    <row r="143" ht="15.75" customHeight="1">
      <c r="A143" s="1"/>
      <c r="O143" s="1"/>
    </row>
    <row r="144" ht="15.75" customHeight="1">
      <c r="A144" s="1"/>
      <c r="O144" s="1"/>
    </row>
    <row r="145" ht="15.75" customHeight="1">
      <c r="A145" s="1"/>
      <c r="O145" s="1"/>
    </row>
    <row r="146" ht="15.75" customHeight="1">
      <c r="A146" s="1"/>
      <c r="O146" s="1"/>
    </row>
    <row r="147" ht="15.75" customHeight="1">
      <c r="A147" s="1"/>
      <c r="O147" s="1"/>
    </row>
    <row r="148" ht="15.75" customHeight="1">
      <c r="A148" s="1"/>
      <c r="O148" s="1"/>
    </row>
    <row r="149" ht="15.75" customHeight="1">
      <c r="A149" s="1"/>
      <c r="O149" s="1"/>
    </row>
    <row r="150" ht="15.75" customHeight="1">
      <c r="A150" s="1"/>
      <c r="O150" s="1"/>
    </row>
    <row r="151" ht="15.75" customHeight="1">
      <c r="A151" s="1"/>
      <c r="O151" s="1"/>
    </row>
    <row r="152" ht="15.75" customHeight="1">
      <c r="A152" s="1"/>
      <c r="O152" s="1"/>
    </row>
    <row r="153" ht="15.75" customHeight="1">
      <c r="A153" s="1"/>
      <c r="O153" s="1"/>
    </row>
    <row r="154" ht="15.75" customHeight="1">
      <c r="A154" s="1"/>
      <c r="O154" s="1"/>
    </row>
    <row r="155" ht="15.75" customHeight="1">
      <c r="A155" s="1"/>
      <c r="O155" s="1"/>
    </row>
    <row r="156" ht="15.75" customHeight="1">
      <c r="A156" s="1"/>
      <c r="O156" s="1"/>
    </row>
    <row r="157" ht="15.75" customHeight="1">
      <c r="A157" s="1"/>
      <c r="O157" s="1"/>
    </row>
    <row r="158" ht="15.75" customHeight="1">
      <c r="A158" s="1"/>
      <c r="O158" s="1"/>
    </row>
    <row r="159" ht="15.75" customHeight="1">
      <c r="A159" s="1"/>
      <c r="O159" s="1"/>
    </row>
    <row r="160" ht="15.75" customHeight="1">
      <c r="A160" s="1"/>
      <c r="O160" s="1"/>
    </row>
    <row r="161" ht="15.75" customHeight="1">
      <c r="A161" s="1"/>
      <c r="O161" s="1"/>
    </row>
    <row r="162" ht="15.75" customHeight="1">
      <c r="A162" s="1"/>
      <c r="O162" s="1"/>
    </row>
    <row r="163" ht="15.75" customHeight="1">
      <c r="A163" s="1"/>
      <c r="O163" s="1"/>
    </row>
    <row r="164" ht="15.75" customHeight="1">
      <c r="A164" s="1"/>
      <c r="O164" s="1"/>
    </row>
    <row r="165" ht="15.75" customHeight="1">
      <c r="A165" s="1"/>
      <c r="O165" s="1"/>
    </row>
    <row r="166" ht="15.75" customHeight="1">
      <c r="A166" s="1"/>
      <c r="O166" s="1"/>
    </row>
    <row r="167" ht="15.75" customHeight="1">
      <c r="A167" s="1"/>
      <c r="O167" s="1"/>
    </row>
    <row r="168" ht="15.75" customHeight="1">
      <c r="A168" s="1"/>
      <c r="O168" s="1"/>
    </row>
    <row r="169" ht="15.75" customHeight="1">
      <c r="A169" s="1"/>
      <c r="O169" s="1"/>
    </row>
    <row r="170" ht="15.75" customHeight="1">
      <c r="A170" s="1"/>
      <c r="O170" s="1"/>
    </row>
    <row r="171" ht="15.75" customHeight="1">
      <c r="A171" s="1"/>
      <c r="O171" s="1"/>
    </row>
    <row r="172" ht="15.75" customHeight="1">
      <c r="A172" s="1"/>
      <c r="O172" s="1"/>
    </row>
    <row r="173" ht="15.75" customHeight="1">
      <c r="A173" s="1"/>
      <c r="O173" s="1"/>
    </row>
    <row r="174" ht="15.75" customHeight="1">
      <c r="A174" s="1"/>
      <c r="O174" s="1"/>
    </row>
    <row r="175" ht="15.75" customHeight="1">
      <c r="A175" s="1"/>
      <c r="O175" s="1"/>
    </row>
    <row r="176" ht="15.75" customHeight="1">
      <c r="A176" s="1"/>
      <c r="O176" s="1"/>
    </row>
    <row r="177" ht="15.75" customHeight="1">
      <c r="A177" s="1"/>
      <c r="O177" s="1"/>
    </row>
    <row r="178" ht="15.75" customHeight="1">
      <c r="A178" s="1"/>
      <c r="O178" s="1"/>
    </row>
    <row r="179" ht="15.75" customHeight="1">
      <c r="A179" s="1"/>
      <c r="O179" s="1"/>
    </row>
    <row r="180" ht="15.75" customHeight="1">
      <c r="A180" s="1"/>
      <c r="O180" s="1"/>
    </row>
    <row r="181" ht="15.75" customHeight="1">
      <c r="A181" s="1"/>
      <c r="O181" s="1"/>
    </row>
    <row r="182" ht="15.75" customHeight="1">
      <c r="A182" s="1"/>
      <c r="O182" s="1"/>
    </row>
    <row r="183" ht="15.75" customHeight="1">
      <c r="A183" s="1"/>
      <c r="O183" s="1"/>
    </row>
    <row r="184" ht="15.75" customHeight="1">
      <c r="A184" s="1"/>
      <c r="O184" s="1"/>
    </row>
    <row r="185" ht="15.75" customHeight="1">
      <c r="A185" s="1"/>
      <c r="O185" s="1"/>
    </row>
    <row r="186" ht="15.75" customHeight="1">
      <c r="A186" s="1"/>
      <c r="O186" s="1"/>
    </row>
    <row r="187" ht="15.75" customHeight="1">
      <c r="A187" s="1"/>
      <c r="O187" s="1"/>
    </row>
    <row r="188" ht="15.75" customHeight="1">
      <c r="A188" s="1"/>
      <c r="O188" s="1"/>
    </row>
    <row r="189" ht="15.75" customHeight="1">
      <c r="A189" s="1"/>
      <c r="O189" s="1"/>
    </row>
    <row r="190" ht="15.75" customHeight="1">
      <c r="A190" s="1"/>
      <c r="O190" s="1"/>
    </row>
    <row r="191" ht="15.75" customHeight="1">
      <c r="A191" s="1"/>
      <c r="O191" s="1"/>
    </row>
    <row r="192" ht="15.75" customHeight="1">
      <c r="A192" s="1"/>
      <c r="O192" s="1"/>
    </row>
    <row r="193" ht="15.75" customHeight="1">
      <c r="A193" s="1"/>
      <c r="O193" s="1"/>
    </row>
    <row r="194" ht="15.75" customHeight="1">
      <c r="A194" s="1"/>
      <c r="O194" s="1"/>
    </row>
    <row r="195" ht="15.75" customHeight="1">
      <c r="A195" s="1"/>
      <c r="O195" s="1"/>
    </row>
    <row r="196" ht="15.75" customHeight="1">
      <c r="A196" s="1"/>
      <c r="O196" s="1"/>
    </row>
    <row r="197" ht="15.75" customHeight="1">
      <c r="A197" s="1"/>
      <c r="O197" s="1"/>
    </row>
    <row r="198" ht="15.75" customHeight="1">
      <c r="A198" s="1"/>
      <c r="O198" s="1"/>
    </row>
    <row r="199" ht="15.75" customHeight="1">
      <c r="A199" s="1"/>
      <c r="O199" s="1"/>
    </row>
    <row r="200" ht="15.75" customHeight="1">
      <c r="A200" s="1"/>
      <c r="O200" s="1"/>
    </row>
    <row r="201" ht="15.75" customHeight="1">
      <c r="A201" s="1"/>
      <c r="O201" s="1"/>
    </row>
    <row r="202" ht="15.75" customHeight="1">
      <c r="A202" s="1"/>
      <c r="O202" s="1"/>
    </row>
    <row r="203" ht="15.75" customHeight="1">
      <c r="A203" s="1"/>
      <c r="O203" s="1"/>
    </row>
    <row r="204" ht="15.75" customHeight="1">
      <c r="A204" s="1"/>
      <c r="O204" s="1"/>
    </row>
    <row r="205" ht="15.75" customHeight="1">
      <c r="A205" s="1"/>
      <c r="O205" s="1"/>
    </row>
    <row r="206" ht="15.75" customHeight="1">
      <c r="A206" s="1"/>
      <c r="O206" s="1"/>
    </row>
    <row r="207" ht="15.75" customHeight="1">
      <c r="A207" s="1"/>
      <c r="O207" s="1"/>
    </row>
    <row r="208" ht="15.75" customHeight="1">
      <c r="A208" s="1"/>
      <c r="O208" s="1"/>
    </row>
    <row r="209" ht="15.75" customHeight="1">
      <c r="A209" s="1"/>
      <c r="O209" s="1"/>
    </row>
    <row r="210" ht="15.75" customHeight="1">
      <c r="A210" s="1"/>
      <c r="O210" s="1"/>
    </row>
    <row r="211" ht="15.75" customHeight="1">
      <c r="A211" s="1"/>
      <c r="O211" s="1"/>
    </row>
    <row r="212" ht="15.75" customHeight="1">
      <c r="A212" s="1"/>
      <c r="O212" s="1"/>
    </row>
    <row r="213" ht="15.75" customHeight="1">
      <c r="A213" s="1"/>
      <c r="O213" s="1"/>
    </row>
    <row r="214" ht="15.75" customHeight="1">
      <c r="A214" s="1"/>
      <c r="O214" s="1"/>
    </row>
    <row r="215" ht="15.75" customHeight="1">
      <c r="A215" s="1"/>
      <c r="O215" s="1"/>
    </row>
    <row r="216" ht="15.75" customHeight="1">
      <c r="A216" s="1"/>
      <c r="O216" s="1"/>
    </row>
    <row r="217" ht="15.75" customHeight="1">
      <c r="A217" s="1"/>
      <c r="O217" s="1"/>
    </row>
    <row r="218" ht="15.75" customHeight="1">
      <c r="A218" s="1"/>
      <c r="O218" s="1"/>
    </row>
    <row r="219" ht="15.75" customHeight="1">
      <c r="A219" s="1"/>
      <c r="O219" s="1"/>
    </row>
    <row r="220" ht="15.75" customHeight="1">
      <c r="A220" s="1"/>
      <c r="O220" s="1"/>
    </row>
    <row r="221" ht="15.75" customHeight="1">
      <c r="A221" s="1"/>
      <c r="O221" s="1"/>
    </row>
    <row r="222" ht="15.75" customHeight="1">
      <c r="A222" s="1"/>
      <c r="O222" s="1"/>
    </row>
    <row r="223" ht="15.75" customHeight="1">
      <c r="A223" s="1"/>
      <c r="O223" s="1"/>
    </row>
    <row r="224" ht="15.75" customHeight="1">
      <c r="A224" s="1"/>
      <c r="O224" s="1"/>
    </row>
    <row r="225" ht="15.75" customHeight="1">
      <c r="A225" s="1"/>
      <c r="O225" s="1"/>
    </row>
    <row r="226" ht="15.75" customHeight="1">
      <c r="A226" s="1"/>
      <c r="O226" s="1"/>
    </row>
    <row r="227" ht="15.75" customHeight="1">
      <c r="A227" s="1"/>
      <c r="O227" s="1"/>
    </row>
    <row r="228" ht="15.75" customHeight="1">
      <c r="A228" s="1"/>
      <c r="O228" s="1"/>
    </row>
    <row r="229" ht="15.75" customHeight="1">
      <c r="A229" s="1"/>
      <c r="O229" s="1"/>
    </row>
    <row r="230" ht="15.75" customHeight="1">
      <c r="A230" s="1"/>
      <c r="O230" s="1"/>
    </row>
    <row r="231" ht="15.75" customHeight="1">
      <c r="A231" s="1"/>
      <c r="O231" s="1"/>
    </row>
    <row r="232" ht="15.75" customHeight="1">
      <c r="A232" s="1"/>
      <c r="O232" s="1"/>
    </row>
    <row r="233" ht="15.75" customHeight="1">
      <c r="A233" s="1"/>
      <c r="O233" s="1"/>
    </row>
    <row r="234" ht="15.75" customHeight="1">
      <c r="A234" s="1"/>
      <c r="O234" s="1"/>
    </row>
    <row r="235" ht="15.75" customHeight="1">
      <c r="A235" s="1"/>
      <c r="O235" s="1"/>
    </row>
    <row r="236" ht="15.75" customHeight="1">
      <c r="A236" s="1"/>
      <c r="O236" s="1"/>
    </row>
    <row r="237" ht="15.75" customHeight="1">
      <c r="A237" s="1"/>
      <c r="O237" s="1"/>
    </row>
    <row r="238" ht="15.75" customHeight="1">
      <c r="A238" s="1"/>
      <c r="O238" s="1"/>
    </row>
    <row r="239" ht="15.75" customHeight="1">
      <c r="A239" s="1"/>
      <c r="O239" s="1"/>
    </row>
    <row r="240" ht="15.75" customHeight="1">
      <c r="A240" s="1"/>
      <c r="O240" s="1"/>
    </row>
    <row r="241" ht="15.75" customHeight="1">
      <c r="A241" s="1"/>
      <c r="O241" s="1"/>
    </row>
    <row r="242" ht="15.75" customHeight="1">
      <c r="A242" s="1"/>
      <c r="O242" s="1"/>
    </row>
    <row r="243" ht="15.75" customHeight="1">
      <c r="A243" s="1"/>
      <c r="O243" s="1"/>
    </row>
    <row r="244" ht="15.75" customHeight="1">
      <c r="A244" s="1"/>
      <c r="O244" s="1"/>
    </row>
    <row r="245" ht="15.75" customHeight="1">
      <c r="A245" s="1"/>
      <c r="O245" s="1"/>
    </row>
    <row r="246" ht="15.75" customHeight="1">
      <c r="A246" s="1"/>
      <c r="O246" s="1"/>
    </row>
    <row r="247" ht="15.75" customHeight="1">
      <c r="A247" s="1"/>
      <c r="O247" s="1"/>
    </row>
    <row r="248" ht="15.75" customHeight="1">
      <c r="A248" s="1"/>
      <c r="O248" s="1"/>
    </row>
    <row r="249" ht="15.75" customHeight="1">
      <c r="A249" s="1"/>
      <c r="O249" s="1"/>
    </row>
    <row r="250" ht="15.75" customHeight="1">
      <c r="A250" s="1"/>
      <c r="O250" s="1"/>
    </row>
    <row r="251" ht="15.75" customHeight="1">
      <c r="A251" s="1"/>
      <c r="O251" s="1"/>
    </row>
    <row r="252" ht="15.75" customHeight="1">
      <c r="A252" s="1"/>
      <c r="O252" s="1"/>
    </row>
    <row r="253" ht="15.75" customHeight="1">
      <c r="A253" s="1"/>
      <c r="O253" s="1"/>
    </row>
    <row r="254" ht="15.75" customHeight="1">
      <c r="A254" s="1"/>
      <c r="O254" s="1"/>
    </row>
    <row r="255" ht="15.75" customHeight="1">
      <c r="A255" s="1"/>
      <c r="O255" s="1"/>
    </row>
    <row r="256" ht="15.75" customHeight="1">
      <c r="A256" s="1"/>
      <c r="O256" s="1"/>
    </row>
    <row r="257" ht="15.75" customHeight="1">
      <c r="A257" s="1"/>
      <c r="O257" s="1"/>
    </row>
    <row r="258" ht="15.75" customHeight="1">
      <c r="A258" s="1"/>
      <c r="O258" s="1"/>
    </row>
    <row r="259" ht="15.75" customHeight="1">
      <c r="A259" s="1"/>
      <c r="O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0" priority="1">
      <formula>LEN(TRIM(L33))&gt;0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63"/>
    <col customWidth="1" min="2" max="2" width="27.0"/>
    <col customWidth="1" min="3" max="3" width="1.75"/>
    <col customWidth="1" min="4" max="5" width="27.13"/>
    <col customWidth="1" min="6" max="6" width="21.88"/>
    <col customWidth="1" min="7" max="7" width="2.75"/>
    <col customWidth="1" min="8" max="8" width="26.38"/>
    <col customWidth="1" min="9" max="9" width="9.5"/>
    <col customWidth="1" min="10" max="11" width="9.38"/>
    <col customWidth="1" min="12" max="13" width="2.38"/>
  </cols>
  <sheetData>
    <row r="1" ht="15.75" customHeight="1">
      <c r="A1" s="137"/>
      <c r="B1" s="138" t="s">
        <v>114</v>
      </c>
      <c r="C1" s="139"/>
      <c r="D1" s="140"/>
      <c r="E1" s="138"/>
      <c r="F1" s="140"/>
      <c r="G1" s="138"/>
      <c r="H1" s="138"/>
      <c r="I1" s="138"/>
      <c r="J1" s="138"/>
      <c r="K1" s="138"/>
      <c r="L1" s="138"/>
      <c r="M1" s="138"/>
    </row>
    <row r="2" ht="15.75" customHeight="1">
      <c r="A2" s="141" t="s">
        <v>115</v>
      </c>
      <c r="B2" s="142" t="s">
        <v>116</v>
      </c>
      <c r="C2" s="143"/>
      <c r="D2" s="144" t="s">
        <v>117</v>
      </c>
      <c r="E2" s="145" t="s">
        <v>118</v>
      </c>
      <c r="F2" s="146"/>
      <c r="G2" s="1"/>
      <c r="H2" s="147" t="s">
        <v>119</v>
      </c>
      <c r="I2" s="148" t="s">
        <v>120</v>
      </c>
      <c r="J2" s="148" t="s">
        <v>121</v>
      </c>
      <c r="K2" s="149" t="s">
        <v>122</v>
      </c>
      <c r="L2" s="150"/>
      <c r="M2" s="151"/>
    </row>
    <row r="3" ht="15.75" customHeight="1">
      <c r="A3" s="152" t="s">
        <v>123</v>
      </c>
      <c r="B3" s="153" t="s">
        <v>124</v>
      </c>
      <c r="C3" s="143"/>
      <c r="D3" s="154"/>
      <c r="E3" s="155" t="s">
        <v>125</v>
      </c>
      <c r="F3" s="156" t="s">
        <v>126</v>
      </c>
      <c r="G3" s="157">
        <v>1.0</v>
      </c>
      <c r="H3" s="158" t="s">
        <v>6</v>
      </c>
      <c r="I3" s="159">
        <v>17.0</v>
      </c>
      <c r="J3" s="159">
        <v>5.0</v>
      </c>
      <c r="K3" s="160">
        <f t="shared" ref="K3:K14" si="1">22-SUM(I3,J3)</f>
        <v>0</v>
      </c>
      <c r="L3" s="161"/>
      <c r="M3" s="151"/>
    </row>
    <row r="4" ht="15.75" customHeight="1">
      <c r="A4" s="152"/>
      <c r="B4" s="153" t="s">
        <v>127</v>
      </c>
      <c r="C4" s="143"/>
      <c r="D4" s="162"/>
      <c r="E4" s="163" t="s">
        <v>128</v>
      </c>
      <c r="F4" s="164" t="s">
        <v>129</v>
      </c>
      <c r="G4" s="157">
        <v>2.0</v>
      </c>
      <c r="H4" s="165" t="s">
        <v>11</v>
      </c>
      <c r="I4" s="166">
        <v>16.0</v>
      </c>
      <c r="J4" s="166">
        <v>6.0</v>
      </c>
      <c r="K4" s="167">
        <f t="shared" si="1"/>
        <v>0</v>
      </c>
      <c r="L4" s="161"/>
      <c r="M4" s="168"/>
    </row>
    <row r="5" ht="15.75" customHeight="1">
      <c r="A5" s="152"/>
      <c r="B5" s="153" t="s">
        <v>130</v>
      </c>
      <c r="C5" s="143"/>
      <c r="D5" s="162"/>
      <c r="E5" s="169" t="s">
        <v>131</v>
      </c>
      <c r="F5" s="170" t="s">
        <v>132</v>
      </c>
      <c r="G5" s="157">
        <v>3.0</v>
      </c>
      <c r="H5" s="171" t="s">
        <v>106</v>
      </c>
      <c r="I5" s="172">
        <v>15.0</v>
      </c>
      <c r="J5" s="172">
        <v>7.0</v>
      </c>
      <c r="K5" s="173">
        <f t="shared" si="1"/>
        <v>0</v>
      </c>
      <c r="L5" s="161"/>
      <c r="M5" s="168"/>
    </row>
    <row r="6" ht="15.75" customHeight="1">
      <c r="A6" s="174" t="s">
        <v>133</v>
      </c>
      <c r="B6" s="175" t="s">
        <v>134</v>
      </c>
      <c r="C6" s="176"/>
      <c r="D6" s="177" t="s">
        <v>135</v>
      </c>
      <c r="E6" s="178" t="s">
        <v>136</v>
      </c>
      <c r="F6" s="179" t="s">
        <v>137</v>
      </c>
      <c r="G6" s="157">
        <v>4.0</v>
      </c>
      <c r="H6" s="180" t="s">
        <v>5</v>
      </c>
      <c r="I6" s="181">
        <v>15.0</v>
      </c>
      <c r="J6" s="181">
        <v>7.0</v>
      </c>
      <c r="K6" s="182">
        <f t="shared" si="1"/>
        <v>0</v>
      </c>
      <c r="L6" s="161"/>
      <c r="M6" s="168"/>
    </row>
    <row r="7" ht="15.75" customHeight="1">
      <c r="A7" s="174"/>
      <c r="B7" s="175" t="s">
        <v>138</v>
      </c>
      <c r="C7" s="176"/>
      <c r="D7" s="177" t="s">
        <v>139</v>
      </c>
      <c r="E7" s="155" t="s">
        <v>140</v>
      </c>
      <c r="F7" s="183" t="s">
        <v>141</v>
      </c>
      <c r="G7" s="157">
        <v>5.0</v>
      </c>
      <c r="H7" s="184" t="s">
        <v>12</v>
      </c>
      <c r="I7" s="185">
        <v>13.0</v>
      </c>
      <c r="J7" s="185">
        <v>9.0</v>
      </c>
      <c r="K7" s="186">
        <f t="shared" si="1"/>
        <v>0</v>
      </c>
      <c r="L7" s="161"/>
      <c r="M7" s="168"/>
    </row>
    <row r="8" ht="15.75" customHeight="1">
      <c r="A8" s="174"/>
      <c r="B8" s="175" t="s">
        <v>142</v>
      </c>
      <c r="C8" s="176"/>
      <c r="D8" s="177" t="s">
        <v>143</v>
      </c>
      <c r="E8" s="187" t="s">
        <v>144</v>
      </c>
      <c r="F8" s="188" t="s">
        <v>145</v>
      </c>
      <c r="G8" s="157">
        <v>6.0</v>
      </c>
      <c r="H8" s="189" t="s">
        <v>9</v>
      </c>
      <c r="I8" s="190">
        <v>11.0</v>
      </c>
      <c r="J8" s="190">
        <v>11.0</v>
      </c>
      <c r="K8" s="191">
        <f t="shared" si="1"/>
        <v>0</v>
      </c>
      <c r="L8" s="161"/>
      <c r="M8" s="168"/>
    </row>
    <row r="9" ht="15.75" customHeight="1">
      <c r="A9" s="192" t="s">
        <v>146</v>
      </c>
      <c r="B9" s="193" t="s">
        <v>147</v>
      </c>
      <c r="C9" s="176"/>
      <c r="D9" s="194" t="s">
        <v>148</v>
      </c>
      <c r="E9" s="169" t="s">
        <v>149</v>
      </c>
      <c r="F9" s="195" t="s">
        <v>150</v>
      </c>
      <c r="G9" s="157">
        <v>7.0</v>
      </c>
      <c r="H9" s="196" t="s">
        <v>4</v>
      </c>
      <c r="I9" s="197">
        <v>9.0</v>
      </c>
      <c r="J9" s="197">
        <v>13.0</v>
      </c>
      <c r="K9" s="198">
        <f t="shared" si="1"/>
        <v>0</v>
      </c>
      <c r="L9" s="161"/>
      <c r="M9" s="168"/>
    </row>
    <row r="10" ht="15.75" customHeight="1">
      <c r="A10" s="192"/>
      <c r="B10" s="193" t="s">
        <v>151</v>
      </c>
      <c r="C10" s="143"/>
      <c r="D10" s="199"/>
      <c r="E10" s="200" t="s">
        <v>152</v>
      </c>
      <c r="F10" s="201" t="s">
        <v>153</v>
      </c>
      <c r="G10" s="157">
        <v>8.0</v>
      </c>
      <c r="H10" s="202" t="s">
        <v>8</v>
      </c>
      <c r="I10" s="203">
        <v>9.0</v>
      </c>
      <c r="J10" s="203">
        <v>13.0</v>
      </c>
      <c r="K10" s="204">
        <f t="shared" si="1"/>
        <v>0</v>
      </c>
      <c r="L10" s="161"/>
      <c r="M10" s="168"/>
    </row>
    <row r="11" ht="15.75" customHeight="1">
      <c r="A11" s="205" t="s">
        <v>154</v>
      </c>
      <c r="B11" s="206" t="s">
        <v>155</v>
      </c>
      <c r="C11" s="143"/>
      <c r="D11" s="207" t="s">
        <v>156</v>
      </c>
      <c r="E11" s="200" t="s">
        <v>157</v>
      </c>
      <c r="F11" s="208" t="s">
        <v>158</v>
      </c>
      <c r="G11" s="209" t="s">
        <v>159</v>
      </c>
      <c r="H11" s="210" t="s">
        <v>15</v>
      </c>
      <c r="I11" s="211">
        <v>8.0</v>
      </c>
      <c r="J11" s="211">
        <v>14.0</v>
      </c>
      <c r="K11" s="212">
        <f t="shared" si="1"/>
        <v>0</v>
      </c>
      <c r="L11" s="213"/>
      <c r="M11" s="168"/>
    </row>
    <row r="12" ht="15.75" customHeight="1">
      <c r="A12" s="205"/>
      <c r="B12" s="214" t="s">
        <v>160</v>
      </c>
      <c r="C12" s="143"/>
      <c r="D12" s="207" t="s">
        <v>161</v>
      </c>
      <c r="E12" s="200" t="s">
        <v>162</v>
      </c>
      <c r="F12" s="208"/>
      <c r="G12" s="157" t="s">
        <v>159</v>
      </c>
      <c r="H12" s="215" t="s">
        <v>7</v>
      </c>
      <c r="I12" s="216">
        <v>8.0</v>
      </c>
      <c r="J12" s="216">
        <v>14.0</v>
      </c>
      <c r="K12" s="217">
        <f t="shared" si="1"/>
        <v>0</v>
      </c>
      <c r="L12" s="161"/>
      <c r="M12" s="168"/>
    </row>
    <row r="13" ht="15.75" customHeight="1">
      <c r="A13" s="205"/>
      <c r="B13" s="206" t="s">
        <v>163</v>
      </c>
      <c r="C13" s="143"/>
      <c r="D13" s="207" t="s">
        <v>164</v>
      </c>
      <c r="E13" s="218" t="s">
        <v>165</v>
      </c>
      <c r="F13" s="219" t="s">
        <v>166</v>
      </c>
      <c r="G13" s="157" t="s">
        <v>159</v>
      </c>
      <c r="H13" s="220" t="s">
        <v>13</v>
      </c>
      <c r="I13" s="221">
        <v>6.0</v>
      </c>
      <c r="J13" s="221">
        <v>16.0</v>
      </c>
      <c r="K13" s="222">
        <f t="shared" si="1"/>
        <v>0</v>
      </c>
      <c r="L13" s="161"/>
      <c r="M13" s="168"/>
    </row>
    <row r="14" ht="15.75" customHeight="1">
      <c r="A14" s="205"/>
      <c r="B14" s="206" t="s">
        <v>167</v>
      </c>
      <c r="C14" s="143"/>
      <c r="D14" s="223"/>
      <c r="E14" s="169" t="s">
        <v>168</v>
      </c>
      <c r="F14" s="219"/>
      <c r="G14" s="157" t="s">
        <v>159</v>
      </c>
      <c r="H14" s="224" t="s">
        <v>14</v>
      </c>
      <c r="I14" s="225">
        <v>5.0</v>
      </c>
      <c r="J14" s="225">
        <v>17.0</v>
      </c>
      <c r="K14" s="226">
        <f t="shared" si="1"/>
        <v>0</v>
      </c>
      <c r="L14" s="161"/>
      <c r="M14" s="168"/>
    </row>
    <row r="15" ht="15.75" customHeight="1">
      <c r="A15" s="205"/>
      <c r="B15" s="206" t="s">
        <v>169</v>
      </c>
      <c r="C15" s="143"/>
      <c r="D15" s="223"/>
      <c r="E15" s="187" t="s">
        <v>170</v>
      </c>
      <c r="F15" s="219"/>
      <c r="G15" s="1"/>
      <c r="H15" s="227"/>
      <c r="I15" s="228"/>
      <c r="J15" s="228"/>
      <c r="K15" s="229"/>
      <c r="L15" s="161"/>
      <c r="M15" s="168"/>
    </row>
    <row r="16" ht="15.75" customHeight="1">
      <c r="A16" s="230" t="s">
        <v>171</v>
      </c>
      <c r="B16" s="231" t="s">
        <v>172</v>
      </c>
      <c r="C16" s="232"/>
      <c r="D16" s="233" t="s">
        <v>173</v>
      </c>
      <c r="E16" s="187" t="s">
        <v>174</v>
      </c>
      <c r="F16" s="1"/>
      <c r="G16" s="1"/>
      <c r="H16" s="1"/>
      <c r="I16" s="1"/>
      <c r="J16" s="1"/>
      <c r="K16" s="1"/>
      <c r="L16" s="161"/>
      <c r="M16" s="168"/>
    </row>
    <row r="17" ht="15.75" customHeight="1">
      <c r="A17" s="230"/>
      <c r="B17" s="234" t="s">
        <v>175</v>
      </c>
      <c r="C17" s="232"/>
      <c r="D17" s="233" t="s">
        <v>176</v>
      </c>
      <c r="E17" s="235" t="s">
        <v>177</v>
      </c>
      <c r="F17" s="236"/>
      <c r="G17" s="1"/>
      <c r="H17" s="227"/>
      <c r="I17" s="228"/>
      <c r="J17" s="228"/>
      <c r="K17" s="229"/>
      <c r="L17" s="161"/>
      <c r="M17" s="168"/>
    </row>
    <row r="18" ht="15.75" customHeight="1">
      <c r="A18" s="230"/>
      <c r="B18" s="234" t="s">
        <v>178</v>
      </c>
      <c r="C18" s="232"/>
      <c r="D18" s="237"/>
      <c r="E18" s="235" t="s">
        <v>179</v>
      </c>
      <c r="F18" s="236"/>
      <c r="G18" s="1"/>
      <c r="H18" s="238"/>
      <c r="I18" s="239"/>
      <c r="J18" s="239"/>
      <c r="K18" s="240"/>
      <c r="L18" s="161"/>
      <c r="M18" s="168"/>
    </row>
    <row r="19" ht="15.75" customHeight="1">
      <c r="A19" s="230"/>
      <c r="B19" s="241" t="s">
        <v>180</v>
      </c>
      <c r="C19" s="232"/>
      <c r="D19" s="237"/>
      <c r="F19" s="1"/>
      <c r="G19" s="1"/>
      <c r="H19" s="146"/>
      <c r="I19" s="157"/>
      <c r="J19" s="157"/>
      <c r="K19" s="157"/>
      <c r="L19" s="161"/>
      <c r="M19" s="168"/>
    </row>
    <row r="20" ht="15.75" customHeight="1">
      <c r="A20" s="230"/>
      <c r="B20" s="241"/>
      <c r="C20" s="232"/>
      <c r="D20" s="237"/>
      <c r="E20" s="242"/>
      <c r="F20" s="243"/>
      <c r="G20" s="1"/>
      <c r="H20" s="238"/>
      <c r="I20" s="239"/>
      <c r="J20" s="239"/>
      <c r="K20" s="240"/>
      <c r="L20" s="244"/>
      <c r="M20" s="168"/>
    </row>
    <row r="21" ht="15.75" customHeight="1">
      <c r="A21" s="245" t="s">
        <v>181</v>
      </c>
      <c r="B21" s="246" t="s">
        <v>182</v>
      </c>
      <c r="C21" s="143"/>
      <c r="D21" s="247"/>
      <c r="E21" s="1"/>
      <c r="F21" s="1"/>
      <c r="G21" s="1"/>
      <c r="H21" s="1"/>
      <c r="I21" s="1"/>
      <c r="J21" s="1"/>
      <c r="K21" s="1"/>
      <c r="L21" s="244"/>
      <c r="M21" s="168"/>
    </row>
    <row r="22" ht="15.75" customHeight="1">
      <c r="A22" s="245"/>
      <c r="B22" s="248" t="s">
        <v>183</v>
      </c>
      <c r="C22" s="143"/>
      <c r="D22" s="249" t="s">
        <v>184</v>
      </c>
      <c r="E22" s="1"/>
      <c r="F22" s="1"/>
      <c r="G22" s="1"/>
      <c r="H22" s="1"/>
      <c r="I22" s="1"/>
      <c r="J22" s="1"/>
      <c r="K22" s="1"/>
      <c r="L22" s="161"/>
      <c r="M22" s="168"/>
    </row>
    <row r="23" ht="15.75" customHeight="1">
      <c r="A23" s="250" t="s">
        <v>185</v>
      </c>
      <c r="B23" s="251" t="s">
        <v>186</v>
      </c>
      <c r="C23" s="143"/>
      <c r="D23" s="252"/>
      <c r="E23" s="253"/>
      <c r="F23" s="1"/>
      <c r="G23" s="1"/>
      <c r="H23" s="227"/>
      <c r="I23" s="228"/>
      <c r="J23" s="228"/>
      <c r="K23" s="229"/>
      <c r="L23" s="161"/>
      <c r="M23" s="168"/>
    </row>
    <row r="24" ht="15.75" customHeight="1">
      <c r="A24" s="141" t="s">
        <v>187</v>
      </c>
      <c r="B24" s="142" t="s">
        <v>188</v>
      </c>
      <c r="C24" s="143"/>
      <c r="D24" s="254"/>
      <c r="E24" s="1"/>
      <c r="F24" s="1"/>
      <c r="G24" s="1"/>
      <c r="H24" s="1"/>
      <c r="I24" s="1"/>
      <c r="J24" s="1"/>
      <c r="K24" s="1"/>
      <c r="L24" s="161"/>
      <c r="M24" s="168"/>
    </row>
    <row r="25" ht="15.75" customHeight="1">
      <c r="A25" s="152" t="s">
        <v>189</v>
      </c>
      <c r="B25" s="255" t="s">
        <v>190</v>
      </c>
      <c r="C25" s="143"/>
      <c r="D25" s="154"/>
      <c r="E25" s="253"/>
      <c r="F25" s="1"/>
      <c r="G25" s="1"/>
      <c r="H25" s="227"/>
      <c r="I25" s="228">
        <v>61.0</v>
      </c>
      <c r="J25" s="228"/>
      <c r="K25" s="229"/>
      <c r="L25" s="244"/>
      <c r="M25" s="168"/>
    </row>
    <row r="26" ht="15.75" customHeight="1">
      <c r="A26" s="152"/>
      <c r="B26" s="256" t="s">
        <v>191</v>
      </c>
      <c r="C26" s="143"/>
      <c r="D26" s="257" t="s">
        <v>192</v>
      </c>
      <c r="E26" s="258"/>
      <c r="F26" s="1"/>
      <c r="G26" s="1"/>
      <c r="H26" s="63"/>
      <c r="I26" s="228"/>
      <c r="J26" s="228"/>
      <c r="K26" s="228"/>
      <c r="L26" s="244"/>
      <c r="M26" s="168"/>
    </row>
    <row r="27" ht="15.75" customHeight="1">
      <c r="A27" s="152"/>
      <c r="B27" s="256" t="s">
        <v>193</v>
      </c>
      <c r="C27" s="143"/>
      <c r="D27" s="257" t="s">
        <v>194</v>
      </c>
      <c r="E27" s="258"/>
      <c r="F27" s="1"/>
      <c r="G27" s="1"/>
      <c r="H27" s="63"/>
      <c r="I27" s="228"/>
      <c r="J27" s="228"/>
      <c r="K27" s="228"/>
      <c r="L27" s="244"/>
      <c r="M27" s="168"/>
    </row>
    <row r="28" ht="15.75" customHeight="1">
      <c r="A28" s="174" t="s">
        <v>195</v>
      </c>
      <c r="B28" s="175" t="s">
        <v>196</v>
      </c>
      <c r="C28" s="259"/>
      <c r="D28" s="177" t="s">
        <v>197</v>
      </c>
      <c r="E28" s="1"/>
      <c r="F28" s="1"/>
      <c r="G28" s="1"/>
      <c r="H28" s="1"/>
      <c r="I28" s="1"/>
      <c r="J28" s="1"/>
      <c r="K28" s="1"/>
      <c r="L28" s="244"/>
      <c r="M28" s="168"/>
    </row>
    <row r="29" ht="15.75" customHeight="1">
      <c r="A29" s="174"/>
      <c r="B29" s="175" t="s">
        <v>198</v>
      </c>
      <c r="C29" s="259"/>
      <c r="D29" s="177" t="s">
        <v>199</v>
      </c>
      <c r="E29" s="258"/>
      <c r="F29" s="219"/>
      <c r="G29" s="157"/>
      <c r="H29" s="227"/>
      <c r="I29" s="228"/>
      <c r="J29" s="228"/>
      <c r="K29" s="229"/>
      <c r="L29" s="244"/>
      <c r="M29" s="168"/>
    </row>
    <row r="30" ht="15.75" customHeight="1">
      <c r="A30" s="192" t="s">
        <v>200</v>
      </c>
      <c r="B30" s="260" t="s">
        <v>201</v>
      </c>
      <c r="C30" s="143"/>
      <c r="D30" s="199"/>
      <c r="E30" s="258"/>
      <c r="F30" s="219"/>
      <c r="G30" s="157"/>
      <c r="H30" s="227"/>
      <c r="I30" s="228"/>
      <c r="J30" s="228"/>
      <c r="K30" s="229"/>
      <c r="L30" s="244"/>
      <c r="M30" s="168"/>
    </row>
    <row r="31" ht="15.75" customHeight="1">
      <c r="A31" s="192"/>
      <c r="B31" s="193" t="s">
        <v>202</v>
      </c>
      <c r="C31" s="143"/>
      <c r="D31" s="199"/>
      <c r="E31" s="261"/>
      <c r="F31" s="146"/>
      <c r="G31" s="1"/>
      <c r="H31" s="63"/>
      <c r="I31" s="228"/>
      <c r="J31" s="228"/>
      <c r="K31" s="228"/>
      <c r="L31" s="161"/>
      <c r="M31" s="168"/>
    </row>
    <row r="32" ht="15.75" customHeight="1">
      <c r="A32" s="205" t="s">
        <v>203</v>
      </c>
      <c r="B32" s="206" t="s">
        <v>204</v>
      </c>
      <c r="C32" s="143"/>
      <c r="D32" s="207" t="s">
        <v>205</v>
      </c>
      <c r="E32" s="261"/>
      <c r="F32" s="146"/>
      <c r="G32" s="1"/>
      <c r="H32" s="63"/>
      <c r="I32" s="228"/>
      <c r="J32" s="228"/>
      <c r="K32" s="228"/>
      <c r="L32" s="161"/>
      <c r="M32" s="168"/>
    </row>
    <row r="33" ht="15.75" customHeight="1">
      <c r="A33" s="205"/>
      <c r="B33" s="214" t="s">
        <v>206</v>
      </c>
      <c r="C33" s="143"/>
      <c r="D33" s="207" t="s">
        <v>207</v>
      </c>
      <c r="E33" s="1"/>
      <c r="F33" s="243"/>
      <c r="G33" s="1"/>
      <c r="H33" s="262"/>
      <c r="I33" s="262"/>
      <c r="J33" s="262"/>
      <c r="K33" s="262"/>
      <c r="L33" s="161"/>
      <c r="M33" s="168"/>
    </row>
    <row r="34" ht="15.75" customHeight="1">
      <c r="A34" s="205"/>
      <c r="B34" s="206" t="s">
        <v>208</v>
      </c>
      <c r="C34" s="143"/>
      <c r="D34" s="223"/>
      <c r="E34" s="1"/>
      <c r="F34" s="243"/>
      <c r="G34" s="1"/>
      <c r="H34" s="262"/>
      <c r="I34" s="262"/>
      <c r="J34" s="262"/>
      <c r="K34" s="262"/>
      <c r="L34" s="161"/>
      <c r="M34" s="168"/>
    </row>
    <row r="35" ht="15.75" customHeight="1">
      <c r="A35" s="205"/>
      <c r="B35" s="206" t="s">
        <v>209</v>
      </c>
      <c r="C35" s="143"/>
      <c r="D35" s="223"/>
      <c r="E35" s="1"/>
      <c r="F35" s="243"/>
      <c r="G35" s="1"/>
      <c r="H35" s="262"/>
      <c r="I35" s="262"/>
      <c r="J35" s="262"/>
      <c r="K35" s="262"/>
      <c r="L35" s="161"/>
      <c r="M35" s="168"/>
    </row>
    <row r="36" ht="15.75" customHeight="1">
      <c r="A36" s="205"/>
      <c r="B36" s="263" t="s">
        <v>210</v>
      </c>
      <c r="C36" s="143"/>
      <c r="D36" s="223"/>
      <c r="E36" s="261"/>
      <c r="F36" s="243"/>
      <c r="G36" s="1"/>
      <c r="H36" s="262"/>
      <c r="I36" s="262"/>
      <c r="J36" s="262"/>
      <c r="K36" s="262"/>
      <c r="L36" s="161"/>
      <c r="M36" s="168"/>
    </row>
    <row r="37" ht="15.75" customHeight="1">
      <c r="A37" s="205"/>
      <c r="B37" s="214" t="s">
        <v>211</v>
      </c>
      <c r="C37" s="143"/>
      <c r="D37" s="223"/>
      <c r="E37" s="1"/>
      <c r="F37" s="264"/>
      <c r="G37" s="1"/>
      <c r="H37" s="262"/>
      <c r="I37" s="262"/>
      <c r="J37" s="262"/>
      <c r="K37" s="262"/>
      <c r="L37" s="161"/>
      <c r="M37" s="168"/>
    </row>
    <row r="38" ht="15.75" customHeight="1">
      <c r="A38" s="230" t="s">
        <v>212</v>
      </c>
      <c r="B38" s="241" t="s">
        <v>213</v>
      </c>
      <c r="C38" s="143"/>
      <c r="D38" s="237"/>
      <c r="E38" s="261"/>
      <c r="F38" s="264"/>
      <c r="G38" s="1"/>
      <c r="H38" s="262"/>
      <c r="I38" s="262"/>
      <c r="J38" s="262"/>
      <c r="K38" s="262"/>
      <c r="L38" s="161"/>
      <c r="M38" s="168"/>
    </row>
    <row r="39" ht="15.75" customHeight="1">
      <c r="A39" s="230"/>
      <c r="B39" s="231" t="s">
        <v>214</v>
      </c>
      <c r="C39" s="143"/>
      <c r="D39" s="237"/>
      <c r="E39" s="261"/>
      <c r="F39" s="264"/>
      <c r="G39" s="1"/>
      <c r="H39" s="262"/>
      <c r="I39" s="262"/>
      <c r="J39" s="262"/>
      <c r="K39" s="262"/>
      <c r="L39" s="161"/>
      <c r="M39" s="168"/>
    </row>
    <row r="40" ht="15.75" customHeight="1">
      <c r="A40" s="230"/>
      <c r="B40" s="234" t="s">
        <v>215</v>
      </c>
      <c r="C40" s="143"/>
      <c r="D40" s="237"/>
      <c r="E40" s="261"/>
      <c r="F40" s="264"/>
      <c r="G40" s="1"/>
      <c r="H40" s="262"/>
      <c r="I40" s="262"/>
      <c r="J40" s="262"/>
      <c r="K40" s="262"/>
      <c r="L40" s="161"/>
      <c r="M40" s="168"/>
    </row>
    <row r="41" ht="15.75" customHeight="1">
      <c r="A41" s="230"/>
      <c r="B41" s="234" t="s">
        <v>216</v>
      </c>
      <c r="C41" s="143"/>
      <c r="D41" s="237"/>
      <c r="E41" s="261"/>
      <c r="F41" s="264"/>
      <c r="G41" s="1"/>
      <c r="H41" s="265"/>
      <c r="I41" s="262"/>
      <c r="J41" s="262"/>
      <c r="K41" s="262"/>
      <c r="L41" s="161"/>
      <c r="M41" s="168"/>
    </row>
    <row r="42" ht="15.75" customHeight="1">
      <c r="A42" s="230"/>
      <c r="B42" s="266" t="s">
        <v>217</v>
      </c>
      <c r="C42" s="143"/>
      <c r="D42" s="237"/>
      <c r="E42" s="261"/>
      <c r="F42" s="264"/>
      <c r="G42" s="1"/>
      <c r="H42" s="262"/>
      <c r="I42" s="262"/>
      <c r="J42" s="262"/>
      <c r="K42" s="262"/>
      <c r="L42" s="161"/>
      <c r="M42" s="168"/>
    </row>
    <row r="43" ht="15.75" customHeight="1">
      <c r="A43" s="245" t="s">
        <v>218</v>
      </c>
      <c r="B43" s="248" t="s">
        <v>219</v>
      </c>
      <c r="C43" s="143"/>
      <c r="D43" s="249" t="s">
        <v>220</v>
      </c>
      <c r="E43" s="1"/>
      <c r="F43" s="264"/>
      <c r="G43" s="1"/>
      <c r="H43" s="267"/>
      <c r="I43" s="63"/>
      <c r="J43" s="63"/>
      <c r="K43" s="63"/>
      <c r="L43" s="161"/>
      <c r="M43" s="168"/>
    </row>
    <row r="44" ht="15.75" customHeight="1">
      <c r="A44" s="245"/>
      <c r="B44" s="246" t="s">
        <v>221</v>
      </c>
      <c r="C44" s="143"/>
      <c r="D44" s="249" t="s">
        <v>222</v>
      </c>
      <c r="E44" s="268"/>
      <c r="F44" s="264"/>
      <c r="G44" s="1"/>
      <c r="H44" s="267"/>
      <c r="I44" s="63"/>
      <c r="J44" s="63"/>
      <c r="K44" s="63"/>
      <c r="L44" s="161"/>
      <c r="M44" s="168"/>
    </row>
    <row r="45" ht="15.75" customHeight="1">
      <c r="A45" s="250" t="s">
        <v>223</v>
      </c>
      <c r="B45" s="251" t="s">
        <v>224</v>
      </c>
      <c r="C45" s="143"/>
      <c r="D45" s="252" t="s">
        <v>225</v>
      </c>
      <c r="E45" s="1"/>
      <c r="F45" s="269"/>
      <c r="G45" s="1"/>
      <c r="H45" s="267"/>
      <c r="I45" s="63"/>
      <c r="J45" s="63"/>
      <c r="K45" s="63"/>
      <c r="L45" s="161"/>
      <c r="M45" s="168"/>
    </row>
    <row r="46" ht="15.75" customHeight="1">
      <c r="A46" s="250"/>
      <c r="B46" s="270"/>
      <c r="C46" s="143"/>
      <c r="D46" s="271" t="s">
        <v>226</v>
      </c>
      <c r="E46" s="272"/>
      <c r="F46" s="264"/>
      <c r="G46" s="146"/>
      <c r="H46" s="267"/>
      <c r="I46" s="63"/>
      <c r="J46" s="63"/>
      <c r="K46" s="63"/>
      <c r="L46" s="161"/>
      <c r="M46" s="146"/>
    </row>
    <row r="47" ht="15.75" customHeight="1">
      <c r="A47" s="250"/>
      <c r="B47" s="270"/>
      <c r="C47" s="143"/>
      <c r="D47" s="273" t="s">
        <v>147</v>
      </c>
      <c r="E47" s="272"/>
      <c r="F47" s="264"/>
      <c r="G47" s="146"/>
      <c r="H47" s="267"/>
      <c r="I47" s="63"/>
      <c r="J47" s="63"/>
      <c r="K47" s="63"/>
      <c r="L47" s="161"/>
      <c r="M47" s="146"/>
    </row>
    <row r="48" ht="15.75" customHeight="1">
      <c r="A48" s="250"/>
      <c r="B48" s="270"/>
      <c r="C48" s="143"/>
      <c r="D48" s="252" t="s">
        <v>227</v>
      </c>
      <c r="E48" s="243"/>
      <c r="F48" s="264"/>
      <c r="G48" s="146"/>
      <c r="H48" s="267"/>
      <c r="I48" s="63"/>
      <c r="J48" s="63"/>
      <c r="K48" s="63"/>
      <c r="L48" s="161"/>
      <c r="M48" s="146"/>
    </row>
    <row r="49" ht="15.75" customHeight="1">
      <c r="A49" s="250"/>
      <c r="B49" s="270"/>
      <c r="C49" s="143"/>
      <c r="D49" s="252" t="s">
        <v>228</v>
      </c>
      <c r="E49" s="243"/>
      <c r="F49" s="264"/>
      <c r="G49" s="146"/>
      <c r="H49" s="267"/>
      <c r="I49" s="63"/>
      <c r="J49" s="63"/>
      <c r="K49" s="63"/>
      <c r="L49" s="161"/>
      <c r="M49" s="146"/>
    </row>
    <row r="50" ht="15.75" customHeight="1">
      <c r="A50" s="274">
        <v>45644.0</v>
      </c>
      <c r="B50" s="142" t="s">
        <v>229</v>
      </c>
      <c r="C50" s="143"/>
      <c r="D50" s="254"/>
      <c r="E50" s="243"/>
      <c r="F50" s="264"/>
      <c r="G50" s="146"/>
      <c r="H50" s="267"/>
      <c r="I50" s="63"/>
      <c r="J50" s="63"/>
      <c r="K50" s="63"/>
      <c r="L50" s="161"/>
      <c r="M50" s="146"/>
    </row>
    <row r="51" ht="15.75" customHeight="1">
      <c r="A51" s="152" t="s">
        <v>230</v>
      </c>
      <c r="B51" s="275" t="s">
        <v>231</v>
      </c>
      <c r="C51" s="143"/>
      <c r="D51" s="154"/>
      <c r="E51" s="243"/>
      <c r="F51" s="264"/>
      <c r="G51" s="146"/>
      <c r="H51" s="267"/>
      <c r="I51" s="63"/>
      <c r="J51" s="63"/>
      <c r="K51" s="63"/>
      <c r="L51" s="161"/>
      <c r="M51" s="146"/>
    </row>
    <row r="52" ht="15.75" customHeight="1">
      <c r="A52" s="152"/>
      <c r="B52" s="153" t="s">
        <v>232</v>
      </c>
      <c r="C52" s="143"/>
      <c r="D52" s="162"/>
      <c r="E52" s="276"/>
      <c r="F52" s="264"/>
      <c r="G52" s="146"/>
      <c r="H52" s="277"/>
      <c r="I52" s="278"/>
      <c r="J52" s="63"/>
      <c r="K52" s="63"/>
      <c r="L52" s="161"/>
      <c r="M52" s="168"/>
    </row>
    <row r="53" ht="15.75" customHeight="1">
      <c r="A53" s="174" t="s">
        <v>233</v>
      </c>
      <c r="B53" s="279" t="s">
        <v>234</v>
      </c>
      <c r="C53" s="143"/>
      <c r="D53" s="177" t="s">
        <v>235</v>
      </c>
      <c r="E53" s="276"/>
      <c r="F53" s="264"/>
      <c r="G53" s="146"/>
      <c r="H53" s="277"/>
      <c r="I53" s="278"/>
      <c r="J53" s="63"/>
      <c r="K53" s="63"/>
      <c r="L53" s="161"/>
      <c r="M53" s="168"/>
    </row>
    <row r="54" ht="15.75" customHeight="1">
      <c r="A54" s="174"/>
      <c r="B54" s="175" t="s">
        <v>236</v>
      </c>
      <c r="C54" s="259"/>
      <c r="D54" s="280"/>
      <c r="E54" s="276"/>
      <c r="F54" s="264"/>
      <c r="G54" s="146"/>
      <c r="H54" s="277"/>
      <c r="I54" s="278"/>
      <c r="J54" s="63"/>
      <c r="K54" s="63"/>
      <c r="L54" s="161"/>
      <c r="M54" s="168"/>
    </row>
    <row r="55" ht="15.75" customHeight="1">
      <c r="A55" s="174"/>
      <c r="B55" s="175" t="s">
        <v>237</v>
      </c>
      <c r="C55" s="259"/>
      <c r="D55" s="280"/>
      <c r="E55" s="281"/>
      <c r="F55" s="269"/>
      <c r="G55" s="146"/>
      <c r="H55" s="277"/>
      <c r="I55" s="278"/>
      <c r="J55" s="63"/>
      <c r="K55" s="63"/>
      <c r="L55" s="161"/>
      <c r="M55" s="168"/>
    </row>
    <row r="56" ht="15.75" customHeight="1">
      <c r="A56" s="192" t="s">
        <v>238</v>
      </c>
      <c r="B56" s="193" t="s">
        <v>239</v>
      </c>
      <c r="C56" s="143"/>
      <c r="D56" s="199" t="s">
        <v>240</v>
      </c>
      <c r="E56" s="281"/>
      <c r="F56" s="269"/>
      <c r="G56" s="146"/>
      <c r="H56" s="277"/>
      <c r="I56" s="278"/>
      <c r="J56" s="63"/>
      <c r="K56" s="63"/>
      <c r="L56" s="161"/>
      <c r="M56" s="146"/>
    </row>
    <row r="57" ht="15.75" customHeight="1">
      <c r="A57" s="192"/>
      <c r="B57" s="282" t="s">
        <v>241</v>
      </c>
      <c r="C57" s="143"/>
      <c r="D57" s="199" t="s">
        <v>151</v>
      </c>
      <c r="E57" s="1"/>
      <c r="F57" s="269"/>
      <c r="G57" s="146"/>
      <c r="H57" s="277"/>
      <c r="I57" s="278"/>
      <c r="J57" s="63"/>
      <c r="K57" s="63"/>
      <c r="L57" s="161"/>
      <c r="M57" s="146"/>
    </row>
    <row r="58" ht="15.75" customHeight="1">
      <c r="A58" s="205" t="s">
        <v>242</v>
      </c>
      <c r="B58" s="214" t="s">
        <v>243</v>
      </c>
      <c r="C58" s="143"/>
      <c r="D58" s="207" t="s">
        <v>244</v>
      </c>
      <c r="E58" s="1"/>
      <c r="F58" s="269"/>
      <c r="G58" s="146"/>
      <c r="H58" s="277"/>
      <c r="I58" s="278"/>
      <c r="J58" s="63"/>
      <c r="K58" s="63"/>
      <c r="L58" s="161"/>
      <c r="M58" s="146"/>
    </row>
    <row r="59" ht="15.75" customHeight="1">
      <c r="A59" s="205"/>
      <c r="B59" s="214" t="s">
        <v>245</v>
      </c>
      <c r="C59" s="143"/>
      <c r="D59" s="207" t="s">
        <v>246</v>
      </c>
      <c r="E59" s="1"/>
      <c r="F59" s="269"/>
      <c r="G59" s="146"/>
      <c r="H59" s="277"/>
      <c r="I59" s="278"/>
      <c r="J59" s="63"/>
      <c r="K59" s="63"/>
      <c r="L59" s="161"/>
      <c r="M59" s="146"/>
    </row>
    <row r="60" ht="15.75" customHeight="1">
      <c r="A60" s="205"/>
      <c r="B60" s="206" t="s">
        <v>247</v>
      </c>
      <c r="C60" s="143"/>
      <c r="D60" s="283"/>
      <c r="E60" s="1"/>
      <c r="F60" s="269"/>
      <c r="G60" s="146"/>
      <c r="H60" s="277"/>
      <c r="I60" s="278"/>
      <c r="J60" s="63"/>
      <c r="K60" s="63"/>
      <c r="L60" s="161"/>
      <c r="M60" s="146"/>
    </row>
    <row r="61" ht="15.75" customHeight="1">
      <c r="A61" s="205"/>
      <c r="B61" s="214" t="s">
        <v>248</v>
      </c>
      <c r="C61" s="143"/>
      <c r="D61" s="283"/>
      <c r="E61" s="1"/>
      <c r="F61" s="269"/>
      <c r="G61" s="146"/>
      <c r="H61" s="277"/>
      <c r="I61" s="278"/>
      <c r="J61" s="63"/>
      <c r="K61" s="63"/>
      <c r="L61" s="161"/>
      <c r="M61" s="146"/>
    </row>
    <row r="62" ht="15.75" customHeight="1">
      <c r="A62" s="205"/>
      <c r="B62" s="206" t="s">
        <v>249</v>
      </c>
      <c r="C62" s="143"/>
      <c r="D62" s="223"/>
      <c r="E62" s="1"/>
      <c r="F62" s="269"/>
      <c r="G62" s="146"/>
      <c r="H62" s="277"/>
      <c r="I62" s="278"/>
      <c r="J62" s="63"/>
      <c r="K62" s="63"/>
      <c r="L62" s="161"/>
      <c r="M62" s="146"/>
    </row>
    <row r="63" ht="15.75" customHeight="1">
      <c r="A63" s="205"/>
      <c r="B63" s="214" t="s">
        <v>250</v>
      </c>
      <c r="C63" s="143"/>
      <c r="D63" s="223"/>
      <c r="E63" s="1"/>
      <c r="F63" s="264"/>
      <c r="G63" s="146"/>
      <c r="H63" s="278"/>
      <c r="I63" s="278"/>
      <c r="J63" s="63"/>
      <c r="K63" s="63"/>
      <c r="L63" s="161"/>
      <c r="M63" s="146"/>
    </row>
    <row r="64" ht="15.75" customHeight="1">
      <c r="A64" s="205"/>
      <c r="B64" s="206" t="s">
        <v>251</v>
      </c>
      <c r="C64" s="143"/>
      <c r="D64" s="223"/>
      <c r="E64" s="1"/>
      <c r="F64" s="264"/>
      <c r="G64" s="146"/>
      <c r="H64" s="278"/>
      <c r="I64" s="278"/>
      <c r="J64" s="63"/>
      <c r="K64" s="63"/>
      <c r="L64" s="161"/>
      <c r="M64" s="146"/>
    </row>
    <row r="65" ht="15.75" customHeight="1">
      <c r="A65" s="230" t="s">
        <v>252</v>
      </c>
      <c r="B65" s="241" t="s">
        <v>176</v>
      </c>
      <c r="C65" s="143"/>
      <c r="D65" s="237"/>
      <c r="E65" s="1"/>
      <c r="F65" s="264"/>
      <c r="G65" s="146"/>
      <c r="H65" s="278"/>
      <c r="I65" s="278"/>
      <c r="J65" s="63"/>
      <c r="K65" s="63"/>
      <c r="L65" s="161"/>
      <c r="M65" s="146"/>
    </row>
    <row r="66" ht="15.75" customHeight="1">
      <c r="A66" s="245" t="s">
        <v>253</v>
      </c>
      <c r="B66" s="246" t="s">
        <v>254</v>
      </c>
      <c r="C66" s="143"/>
      <c r="D66" s="249" t="s">
        <v>221</v>
      </c>
      <c r="E66" s="1"/>
      <c r="F66" s="264"/>
      <c r="G66" s="146"/>
      <c r="H66" s="278"/>
      <c r="I66" s="278"/>
      <c r="J66" s="63"/>
      <c r="K66" s="63"/>
      <c r="L66" s="161"/>
      <c r="M66" s="146"/>
    </row>
    <row r="67" ht="15.75" customHeight="1">
      <c r="A67" s="245"/>
      <c r="B67" s="246" t="s">
        <v>255</v>
      </c>
      <c r="C67" s="143"/>
      <c r="D67" s="247"/>
      <c r="E67" s="1"/>
      <c r="F67" s="264"/>
      <c r="G67" s="146"/>
      <c r="H67" s="278"/>
      <c r="I67" s="278"/>
      <c r="J67" s="63"/>
      <c r="K67" s="63"/>
      <c r="L67" s="161"/>
      <c r="M67" s="146"/>
    </row>
    <row r="68" ht="15.75" customHeight="1">
      <c r="A68" s="284" t="s">
        <v>256</v>
      </c>
      <c r="B68" s="251" t="s">
        <v>257</v>
      </c>
      <c r="C68" s="143"/>
      <c r="D68" s="252"/>
      <c r="E68" s="276"/>
      <c r="F68" s="264"/>
      <c r="G68" s="146"/>
      <c r="H68" s="278"/>
      <c r="I68" s="278"/>
      <c r="J68" s="63"/>
      <c r="K68" s="63"/>
      <c r="L68" s="161"/>
      <c r="M68" s="146"/>
    </row>
    <row r="69" ht="15.75" customHeight="1">
      <c r="A69" s="284"/>
      <c r="B69" s="251" t="s">
        <v>258</v>
      </c>
      <c r="C69" s="143"/>
      <c r="D69" s="252"/>
      <c r="E69" s="276"/>
      <c r="F69" s="264"/>
      <c r="G69" s="146"/>
      <c r="H69" s="278"/>
      <c r="I69" s="278"/>
      <c r="J69" s="63"/>
      <c r="K69" s="63"/>
      <c r="L69" s="161"/>
      <c r="M69" s="146"/>
    </row>
    <row r="70" ht="15.75" customHeight="1">
      <c r="A70" s="284"/>
      <c r="B70" s="251" t="s">
        <v>259</v>
      </c>
      <c r="C70" s="143"/>
      <c r="D70" s="252"/>
      <c r="E70" s="281"/>
      <c r="F70" s="1"/>
      <c r="G70" s="146"/>
      <c r="H70" s="278"/>
      <c r="I70" s="278"/>
      <c r="J70" s="63"/>
      <c r="K70" s="63"/>
      <c r="L70" s="285"/>
      <c r="M70" s="286"/>
    </row>
    <row r="71" ht="15.75" customHeight="1">
      <c r="A71" s="141" t="s">
        <v>260</v>
      </c>
      <c r="B71" s="142" t="s">
        <v>261</v>
      </c>
      <c r="C71" s="143"/>
      <c r="D71" s="254"/>
      <c r="E71" s="287"/>
      <c r="F71" s="269"/>
      <c r="G71" s="146"/>
      <c r="H71" s="146"/>
      <c r="I71" s="146"/>
      <c r="J71" s="146"/>
      <c r="K71" s="146"/>
      <c r="L71" s="146"/>
      <c r="M71" s="146"/>
    </row>
    <row r="72" ht="15.75" customHeight="1">
      <c r="A72" s="152" t="s">
        <v>262</v>
      </c>
      <c r="B72" s="256" t="s">
        <v>263</v>
      </c>
      <c r="C72" s="143"/>
      <c r="D72" s="154"/>
      <c r="E72" s="146"/>
      <c r="F72" s="269"/>
      <c r="G72" s="146"/>
      <c r="H72" s="146"/>
      <c r="I72" s="146"/>
      <c r="J72" s="146"/>
      <c r="K72" s="146"/>
      <c r="L72" s="146"/>
      <c r="M72" s="146"/>
    </row>
    <row r="73" ht="15.75" customHeight="1">
      <c r="A73" s="152"/>
      <c r="B73" s="153" t="s">
        <v>264</v>
      </c>
      <c r="C73" s="143"/>
      <c r="D73" s="162"/>
      <c r="E73" s="243"/>
      <c r="F73" s="269"/>
      <c r="G73" s="146"/>
      <c r="H73" s="146"/>
      <c r="I73" s="146"/>
      <c r="J73" s="146"/>
      <c r="K73" s="146"/>
      <c r="L73" s="146"/>
      <c r="M73" s="146"/>
    </row>
    <row r="74" ht="15.75" customHeight="1">
      <c r="A74" s="174" t="s">
        <v>265</v>
      </c>
      <c r="B74" s="175" t="s">
        <v>266</v>
      </c>
      <c r="C74" s="143"/>
      <c r="D74" s="177" t="s">
        <v>267</v>
      </c>
      <c r="E74" s="243"/>
      <c r="F74" s="269"/>
      <c r="G74" s="146"/>
      <c r="H74" s="146"/>
      <c r="I74" s="146"/>
      <c r="J74" s="146"/>
      <c r="K74" s="146"/>
      <c r="L74" s="146"/>
      <c r="M74" s="146"/>
    </row>
    <row r="75" ht="15.75" customHeight="1">
      <c r="A75" s="192" t="s">
        <v>268</v>
      </c>
      <c r="B75" s="193" t="s">
        <v>269</v>
      </c>
      <c r="C75" s="143"/>
      <c r="D75" s="199"/>
      <c r="E75" s="288"/>
      <c r="F75" s="269"/>
      <c r="G75" s="146"/>
      <c r="H75" s="146"/>
      <c r="I75" s="146"/>
      <c r="J75" s="146"/>
      <c r="K75" s="146"/>
      <c r="L75" s="146"/>
      <c r="M75" s="146"/>
    </row>
    <row r="76" ht="15.75" customHeight="1">
      <c r="A76" s="192"/>
      <c r="B76" s="193" t="s">
        <v>270</v>
      </c>
      <c r="C76" s="143"/>
      <c r="D76" s="199"/>
      <c r="E76" s="288"/>
      <c r="F76" s="269"/>
      <c r="G76" s="146"/>
      <c r="H76" s="146"/>
      <c r="I76" s="146"/>
      <c r="J76" s="146"/>
      <c r="K76" s="146"/>
      <c r="L76" s="146"/>
      <c r="M76" s="146"/>
    </row>
    <row r="77" ht="15.75" customHeight="1">
      <c r="A77" s="205" t="s">
        <v>271</v>
      </c>
      <c r="B77" s="214" t="s">
        <v>272</v>
      </c>
      <c r="C77" s="143"/>
      <c r="D77" s="207" t="s">
        <v>273</v>
      </c>
      <c r="E77" s="289"/>
      <c r="F77" s="269"/>
      <c r="G77" s="146"/>
      <c r="H77" s="146"/>
      <c r="I77" s="146"/>
      <c r="J77" s="146"/>
      <c r="K77" s="146"/>
      <c r="L77" s="146"/>
      <c r="M77" s="146"/>
    </row>
    <row r="78" ht="15.75" customHeight="1">
      <c r="A78" s="205"/>
      <c r="B78" s="206" t="s">
        <v>274</v>
      </c>
      <c r="C78" s="143"/>
      <c r="D78" s="223"/>
      <c r="E78" s="289"/>
      <c r="F78" s="269"/>
      <c r="G78" s="146"/>
      <c r="H78" s="146"/>
      <c r="I78" s="146"/>
      <c r="J78" s="146"/>
      <c r="K78" s="146"/>
      <c r="L78" s="146"/>
      <c r="M78" s="146"/>
    </row>
    <row r="79" ht="15.75" customHeight="1">
      <c r="A79" s="205"/>
      <c r="B79" s="214" t="s">
        <v>275</v>
      </c>
      <c r="C79" s="143"/>
      <c r="D79" s="207" t="s">
        <v>180</v>
      </c>
      <c r="E79" s="289"/>
      <c r="F79" s="269"/>
      <c r="G79" s="146"/>
      <c r="H79" s="146"/>
      <c r="I79" s="146"/>
      <c r="J79" s="146"/>
      <c r="K79" s="146"/>
      <c r="L79" s="146"/>
      <c r="M79" s="146"/>
    </row>
    <row r="80" ht="15.75" customHeight="1">
      <c r="A80" s="205"/>
      <c r="B80" s="214" t="s">
        <v>276</v>
      </c>
      <c r="C80" s="143"/>
      <c r="D80" s="223"/>
      <c r="E80" s="289"/>
      <c r="F80" s="269"/>
      <c r="G80" s="146"/>
      <c r="H80" s="146"/>
      <c r="I80" s="146"/>
      <c r="J80" s="146"/>
      <c r="K80" s="146"/>
      <c r="L80" s="146"/>
      <c r="M80" s="146"/>
    </row>
    <row r="81" ht="15.75" customHeight="1">
      <c r="A81" s="205"/>
      <c r="B81" s="206" t="s">
        <v>277</v>
      </c>
      <c r="C81" s="143"/>
      <c r="D81" s="223"/>
      <c r="E81" s="1"/>
      <c r="F81" s="269"/>
      <c r="G81" s="146"/>
      <c r="H81" s="146"/>
      <c r="I81" s="146"/>
      <c r="J81" s="146"/>
      <c r="K81" s="146"/>
      <c r="L81" s="146"/>
      <c r="M81" s="146"/>
    </row>
    <row r="82" ht="15.75" customHeight="1">
      <c r="A82" s="230" t="s">
        <v>278</v>
      </c>
      <c r="B82" s="241" t="s">
        <v>173</v>
      </c>
      <c r="C82" s="143"/>
      <c r="D82" s="233" t="s">
        <v>239</v>
      </c>
      <c r="E82" s="1"/>
      <c r="F82" s="269"/>
      <c r="G82" s="146"/>
      <c r="H82" s="146"/>
      <c r="I82" s="146"/>
      <c r="J82" s="146"/>
      <c r="K82" s="146"/>
      <c r="L82" s="146"/>
      <c r="M82" s="146"/>
    </row>
    <row r="83" ht="15.75" customHeight="1">
      <c r="A83" s="245" t="s">
        <v>279</v>
      </c>
      <c r="B83" s="248" t="s">
        <v>280</v>
      </c>
      <c r="C83" s="143"/>
      <c r="D83" s="249" t="s">
        <v>281</v>
      </c>
      <c r="E83" s="1"/>
      <c r="F83" s="269"/>
      <c r="G83" s="146"/>
      <c r="H83" s="146"/>
      <c r="I83" s="146"/>
      <c r="J83" s="146"/>
      <c r="K83" s="146"/>
      <c r="L83" s="146"/>
      <c r="M83" s="146"/>
    </row>
    <row r="84" ht="15.75" customHeight="1">
      <c r="A84" s="245"/>
      <c r="B84" s="248" t="s">
        <v>282</v>
      </c>
      <c r="C84" s="143"/>
      <c r="D84" s="249" t="s">
        <v>283</v>
      </c>
      <c r="E84" s="1"/>
      <c r="F84" s="269"/>
      <c r="G84" s="146"/>
      <c r="H84" s="146"/>
      <c r="I84" s="146"/>
      <c r="J84" s="146"/>
      <c r="K84" s="146"/>
      <c r="L84" s="146"/>
      <c r="M84" s="146"/>
    </row>
    <row r="85" ht="15.75" customHeight="1">
      <c r="A85" s="245"/>
      <c r="B85" s="290"/>
      <c r="C85" s="143"/>
      <c r="D85" s="249" t="s">
        <v>284</v>
      </c>
      <c r="E85" s="1"/>
      <c r="F85" s="269"/>
      <c r="G85" s="146"/>
      <c r="H85" s="146"/>
      <c r="I85" s="146"/>
      <c r="J85" s="146"/>
      <c r="K85" s="146"/>
      <c r="L85" s="146"/>
      <c r="M85" s="146"/>
    </row>
    <row r="86" ht="15.75" customHeight="1">
      <c r="A86" s="250" t="s">
        <v>285</v>
      </c>
      <c r="B86" s="270" t="s">
        <v>286</v>
      </c>
      <c r="C86" s="143"/>
      <c r="D86" s="291"/>
      <c r="E86" s="1"/>
      <c r="F86" s="269"/>
      <c r="G86" s="146"/>
      <c r="H86" s="146"/>
      <c r="I86" s="146"/>
      <c r="J86" s="146"/>
      <c r="K86" s="146"/>
      <c r="L86" s="146"/>
      <c r="M86" s="146"/>
    </row>
    <row r="87" ht="15.75" customHeight="1">
      <c r="A87" s="292"/>
      <c r="B87" s="293"/>
      <c r="C87" s="143"/>
      <c r="D87" s="291" t="s">
        <v>269</v>
      </c>
      <c r="E87" s="1"/>
      <c r="F87" s="269"/>
      <c r="G87" s="146"/>
      <c r="H87" s="146"/>
      <c r="I87" s="146"/>
      <c r="J87" s="146"/>
      <c r="K87" s="146"/>
      <c r="L87" s="146"/>
      <c r="M87" s="146"/>
    </row>
    <row r="88" ht="15.75" customHeight="1">
      <c r="C88" s="143"/>
      <c r="E88" s="1"/>
      <c r="F88" s="269"/>
      <c r="G88" s="146"/>
      <c r="H88" s="146"/>
      <c r="I88" s="146"/>
      <c r="J88" s="146"/>
      <c r="K88" s="146"/>
      <c r="L88" s="146"/>
      <c r="M88" s="146"/>
    </row>
    <row r="89" ht="15.75" customHeight="1">
      <c r="C89" s="143"/>
      <c r="E89" s="1"/>
      <c r="F89" s="269"/>
      <c r="G89" s="146"/>
      <c r="H89" s="146"/>
      <c r="I89" s="146"/>
      <c r="J89" s="146"/>
      <c r="K89" s="146"/>
      <c r="L89" s="146"/>
      <c r="M89" s="146"/>
    </row>
    <row r="90" ht="15.75" customHeight="1">
      <c r="C90" s="143"/>
      <c r="E90" s="1"/>
      <c r="F90" s="269"/>
      <c r="G90" s="146"/>
      <c r="H90" s="146"/>
      <c r="I90" s="146"/>
      <c r="J90" s="146"/>
      <c r="K90" s="146"/>
      <c r="L90" s="146"/>
      <c r="M90" s="146"/>
    </row>
    <row r="91" ht="15.75" customHeight="1">
      <c r="C91" s="143"/>
      <c r="E91" s="1"/>
      <c r="F91" s="269"/>
      <c r="G91" s="146"/>
      <c r="H91" s="146"/>
      <c r="I91" s="146"/>
      <c r="J91" s="146"/>
      <c r="K91" s="146"/>
      <c r="L91" s="146"/>
      <c r="M91" s="146"/>
    </row>
    <row r="92" ht="15.75" customHeight="1">
      <c r="C92" s="143"/>
      <c r="E92" s="1"/>
      <c r="F92" s="269"/>
      <c r="G92" s="146"/>
      <c r="H92" s="146"/>
      <c r="I92" s="146"/>
      <c r="J92" s="146"/>
      <c r="K92" s="146"/>
      <c r="L92" s="146"/>
      <c r="M92" s="146"/>
    </row>
    <row r="93" ht="15.75" customHeight="1">
      <c r="C93" s="143"/>
      <c r="E93" s="288"/>
      <c r="F93" s="269"/>
      <c r="G93" s="146"/>
      <c r="H93" s="146"/>
      <c r="I93" s="146"/>
      <c r="J93" s="146"/>
      <c r="K93" s="146"/>
      <c r="L93" s="146"/>
      <c r="M93" s="146"/>
    </row>
    <row r="94" ht="15.75" customHeight="1">
      <c r="C94" s="143"/>
      <c r="E94" s="288"/>
      <c r="F94" s="269"/>
      <c r="G94" s="146"/>
      <c r="H94" s="146"/>
      <c r="I94" s="146"/>
      <c r="J94" s="146"/>
      <c r="K94" s="146"/>
      <c r="L94" s="146"/>
      <c r="M94" s="146"/>
    </row>
    <row r="95" ht="15.75" customHeight="1">
      <c r="C95" s="143"/>
      <c r="E95" s="289"/>
      <c r="F95" s="269"/>
      <c r="G95" s="146"/>
      <c r="H95" s="146"/>
      <c r="I95" s="146"/>
      <c r="J95" s="146"/>
      <c r="K95" s="146"/>
      <c r="L95" s="146"/>
      <c r="M95" s="146"/>
    </row>
    <row r="96" ht="15.75" customHeight="1">
      <c r="C96" s="143"/>
      <c r="E96" s="289"/>
      <c r="F96" s="269"/>
      <c r="G96" s="146"/>
      <c r="H96" s="146"/>
      <c r="I96" s="146"/>
      <c r="J96" s="146"/>
      <c r="K96" s="146"/>
      <c r="L96" s="146"/>
      <c r="M96" s="146"/>
    </row>
    <row r="97" ht="15.75" customHeight="1">
      <c r="C97" s="143"/>
      <c r="E97" s="272"/>
      <c r="F97" s="1"/>
      <c r="G97" s="146"/>
      <c r="H97" s="146"/>
      <c r="I97" s="146"/>
      <c r="J97" s="146"/>
      <c r="K97" s="146"/>
      <c r="L97" s="146"/>
      <c r="M97" s="146"/>
    </row>
    <row r="98" ht="15.75" customHeight="1">
      <c r="C98" s="143"/>
      <c r="E98" s="243"/>
      <c r="F98" s="1"/>
      <c r="G98" s="146"/>
      <c r="H98" s="146"/>
      <c r="I98" s="146"/>
      <c r="J98" s="146"/>
      <c r="K98" s="146"/>
      <c r="L98" s="146"/>
      <c r="M98" s="146"/>
    </row>
    <row r="99" ht="15.75" customHeight="1">
      <c r="C99" s="143"/>
      <c r="E99" s="243"/>
      <c r="F99" s="1"/>
      <c r="G99" s="146"/>
      <c r="H99" s="146"/>
      <c r="I99" s="146"/>
      <c r="J99" s="146"/>
      <c r="K99" s="146"/>
      <c r="L99" s="146"/>
      <c r="M99" s="146"/>
    </row>
    <row r="100" ht="15.75" customHeight="1">
      <c r="C100" s="143"/>
      <c r="E100" s="288"/>
      <c r="F100" s="1"/>
      <c r="G100" s="146"/>
      <c r="H100" s="146"/>
      <c r="I100" s="146"/>
      <c r="J100" s="146"/>
      <c r="K100" s="146"/>
      <c r="L100" s="146"/>
      <c r="M100" s="146"/>
    </row>
    <row r="101" ht="15.75" customHeight="1">
      <c r="C101" s="143"/>
      <c r="E101" s="288"/>
      <c r="F101" s="1"/>
      <c r="G101" s="146"/>
      <c r="H101" s="146"/>
      <c r="I101" s="146"/>
      <c r="J101" s="146"/>
      <c r="K101" s="146"/>
      <c r="L101" s="146"/>
      <c r="M101" s="146"/>
    </row>
    <row r="102" ht="15.75" customHeight="1">
      <c r="C102" s="143"/>
      <c r="E102" s="288"/>
      <c r="F102" s="1"/>
      <c r="G102" s="146"/>
      <c r="H102" s="146"/>
      <c r="I102" s="146"/>
      <c r="J102" s="146"/>
      <c r="K102" s="146"/>
      <c r="L102" s="146"/>
      <c r="M102" s="146"/>
    </row>
    <row r="103" ht="15.75" customHeight="1">
      <c r="C103" s="143"/>
      <c r="E103" s="289"/>
      <c r="F103" s="269"/>
      <c r="G103" s="146"/>
      <c r="H103" s="146"/>
      <c r="I103" s="146"/>
      <c r="J103" s="146"/>
      <c r="K103" s="146"/>
      <c r="L103" s="146"/>
      <c r="M103" s="146"/>
    </row>
    <row r="104" ht="15.75" customHeight="1">
      <c r="C104" s="143"/>
      <c r="E104" s="289"/>
      <c r="F104" s="269"/>
      <c r="G104" s="146"/>
      <c r="H104" s="146"/>
      <c r="I104" s="146"/>
      <c r="J104" s="146"/>
      <c r="K104" s="146"/>
      <c r="L104" s="146"/>
      <c r="M104" s="146"/>
    </row>
    <row r="105" ht="15.75" customHeight="1">
      <c r="C105" s="143"/>
      <c r="E105" s="1"/>
      <c r="F105" s="1"/>
      <c r="G105" s="146"/>
      <c r="H105" s="146"/>
      <c r="I105" s="146"/>
      <c r="J105" s="146"/>
      <c r="K105" s="146"/>
      <c r="L105" s="146"/>
      <c r="M105" s="146"/>
    </row>
    <row r="106" ht="15.75" customHeight="1">
      <c r="C106" s="143"/>
      <c r="E106" s="1"/>
      <c r="F106" s="1"/>
      <c r="G106" s="146"/>
      <c r="H106" s="146"/>
      <c r="I106" s="146"/>
      <c r="J106" s="146"/>
      <c r="K106" s="146"/>
      <c r="L106" s="146"/>
      <c r="M106" s="146"/>
    </row>
    <row r="107" ht="15.75" customHeight="1">
      <c r="C107" s="143"/>
      <c r="E107" s="1"/>
      <c r="F107" s="1"/>
      <c r="G107" s="146"/>
      <c r="H107" s="146"/>
      <c r="I107" s="146"/>
      <c r="J107" s="146"/>
      <c r="K107" s="146"/>
      <c r="L107" s="146"/>
      <c r="M107" s="146"/>
    </row>
    <row r="108" ht="15.75" customHeight="1">
      <c r="C108" s="143"/>
      <c r="E108" s="1"/>
      <c r="F108" s="1"/>
      <c r="G108" s="146"/>
      <c r="H108" s="146"/>
      <c r="I108" s="146"/>
      <c r="J108" s="146"/>
      <c r="K108" s="146"/>
      <c r="L108" s="146"/>
      <c r="M108" s="146"/>
    </row>
    <row r="109" ht="15.75" customHeight="1">
      <c r="C109" s="143"/>
      <c r="E109" s="1"/>
      <c r="F109" s="1"/>
      <c r="G109" s="146"/>
      <c r="H109" s="146"/>
      <c r="I109" s="146"/>
      <c r="J109" s="146"/>
      <c r="K109" s="146"/>
      <c r="L109" s="146"/>
      <c r="M109" s="146"/>
    </row>
    <row r="110" ht="15.75" customHeight="1">
      <c r="C110" s="143"/>
      <c r="E110" s="1"/>
      <c r="F110" s="1"/>
      <c r="G110" s="146"/>
      <c r="H110" s="146"/>
      <c r="I110" s="146"/>
      <c r="J110" s="146"/>
      <c r="K110" s="146"/>
      <c r="L110" s="146"/>
      <c r="M110" s="146"/>
    </row>
    <row r="111" ht="15.75" customHeight="1">
      <c r="C111" s="143"/>
      <c r="E111" s="1"/>
      <c r="F111" s="1"/>
      <c r="G111" s="146"/>
      <c r="H111" s="146"/>
      <c r="I111" s="146"/>
      <c r="J111" s="146"/>
      <c r="K111" s="146"/>
      <c r="L111" s="146"/>
      <c r="M111" s="146"/>
    </row>
    <row r="112" ht="15.75" customHeight="1">
      <c r="C112" s="143"/>
      <c r="E112" s="288"/>
      <c r="F112" s="1"/>
      <c r="G112" s="146"/>
      <c r="H112" s="146"/>
      <c r="I112" s="146"/>
      <c r="J112" s="146"/>
      <c r="K112" s="146"/>
      <c r="L112" s="146"/>
      <c r="M112" s="146"/>
    </row>
    <row r="113" ht="15.75" hidden="1" customHeight="1">
      <c r="C113" s="143"/>
      <c r="E113" s="288"/>
      <c r="F113" s="1"/>
      <c r="G113" s="146"/>
      <c r="H113" s="146"/>
      <c r="I113" s="146"/>
      <c r="J113" s="146"/>
      <c r="K113" s="146"/>
      <c r="L113" s="146"/>
      <c r="M113" s="146"/>
    </row>
    <row r="114" ht="15.75" hidden="1" customHeight="1">
      <c r="C114" s="143"/>
      <c r="E114" s="289"/>
      <c r="F114" s="1"/>
      <c r="G114" s="146"/>
      <c r="H114" s="146"/>
      <c r="I114" s="146"/>
      <c r="J114" s="146"/>
      <c r="K114" s="146"/>
      <c r="L114" s="146"/>
      <c r="M114" s="146"/>
    </row>
    <row r="115" ht="15.75" hidden="1" customHeight="1">
      <c r="C115" s="143"/>
      <c r="E115" s="289"/>
      <c r="F115" s="1"/>
      <c r="G115" s="146"/>
      <c r="H115" s="146"/>
      <c r="I115" s="146"/>
      <c r="J115" s="146"/>
      <c r="K115" s="146"/>
      <c r="L115" s="146"/>
      <c r="M115" s="146"/>
    </row>
    <row r="116" ht="15.75" hidden="1" customHeight="1">
      <c r="C116" s="143"/>
      <c r="E116" s="289"/>
      <c r="F116" s="1"/>
      <c r="G116" s="146"/>
      <c r="H116" s="146"/>
      <c r="I116" s="146"/>
      <c r="J116" s="146"/>
      <c r="K116" s="146"/>
      <c r="L116" s="146"/>
      <c r="M116" s="146"/>
    </row>
    <row r="117" ht="15.75" hidden="1" customHeight="1">
      <c r="C117" s="143"/>
      <c r="E117" s="272"/>
      <c r="F117" s="1"/>
      <c r="G117" s="146"/>
      <c r="H117" s="146"/>
      <c r="I117" s="146"/>
      <c r="J117" s="146"/>
      <c r="K117" s="146"/>
      <c r="L117" s="146"/>
      <c r="M117" s="146"/>
    </row>
    <row r="118" ht="15.75" hidden="1" customHeight="1">
      <c r="C118" s="143"/>
      <c r="E118" s="243"/>
      <c r="F118" s="1"/>
      <c r="G118" s="146"/>
      <c r="H118" s="146"/>
      <c r="I118" s="146"/>
      <c r="J118" s="146"/>
      <c r="K118" s="146"/>
      <c r="L118" s="146"/>
      <c r="M118" s="146"/>
    </row>
    <row r="119" ht="15.75" hidden="1" customHeight="1">
      <c r="C119" s="143"/>
      <c r="E119" s="243"/>
      <c r="F119" s="1"/>
      <c r="G119" s="146"/>
      <c r="H119" s="146"/>
      <c r="I119" s="146"/>
      <c r="J119" s="146"/>
      <c r="K119" s="146"/>
      <c r="L119" s="146"/>
      <c r="M119" s="146"/>
    </row>
    <row r="120" ht="15.75" hidden="1" customHeight="1">
      <c r="C120" s="143"/>
      <c r="E120" s="288"/>
      <c r="F120" s="1"/>
      <c r="G120" s="146"/>
      <c r="H120" s="146"/>
      <c r="I120" s="146"/>
      <c r="J120" s="146"/>
      <c r="K120" s="146"/>
      <c r="L120" s="146"/>
      <c r="M120" s="146"/>
    </row>
    <row r="121" ht="15.75" hidden="1" customHeight="1">
      <c r="C121" s="143"/>
      <c r="E121" s="289"/>
      <c r="F121" s="1"/>
      <c r="G121" s="146"/>
      <c r="H121" s="146"/>
      <c r="I121" s="146"/>
      <c r="J121" s="146"/>
      <c r="K121" s="146"/>
      <c r="L121" s="146"/>
      <c r="M121" s="146"/>
    </row>
    <row r="122" ht="15.75" hidden="1" customHeight="1">
      <c r="C122" s="143"/>
      <c r="E122" s="289"/>
      <c r="F122" s="1"/>
      <c r="G122" s="146"/>
      <c r="H122" s="146"/>
      <c r="I122" s="146"/>
      <c r="J122" s="146"/>
      <c r="K122" s="146"/>
      <c r="L122" s="146"/>
      <c r="M122" s="146"/>
    </row>
    <row r="123" ht="15.75" hidden="1" customHeight="1">
      <c r="C123" s="143"/>
      <c r="E123" s="1"/>
      <c r="F123" s="1"/>
      <c r="G123" s="146"/>
      <c r="H123" s="146"/>
      <c r="I123" s="146"/>
      <c r="J123" s="146"/>
      <c r="K123" s="146"/>
      <c r="L123" s="146"/>
      <c r="M123" s="146"/>
    </row>
    <row r="124" ht="15.75" hidden="1" customHeight="1">
      <c r="C124" s="143"/>
      <c r="E124" s="1"/>
      <c r="F124" s="1"/>
      <c r="G124" s="146"/>
      <c r="H124" s="146"/>
      <c r="I124" s="146"/>
      <c r="J124" s="146"/>
      <c r="K124" s="146"/>
      <c r="L124" s="146"/>
      <c r="M124" s="146"/>
    </row>
    <row r="125" ht="15.75" hidden="1" customHeight="1">
      <c r="C125" s="143"/>
      <c r="E125" s="1"/>
      <c r="F125" s="1"/>
      <c r="G125" s="146"/>
      <c r="H125" s="146"/>
      <c r="I125" s="146"/>
      <c r="J125" s="146"/>
      <c r="K125" s="146"/>
      <c r="L125" s="146"/>
      <c r="M125" s="146"/>
    </row>
    <row r="126" ht="15.75" hidden="1" customHeight="1">
      <c r="C126" s="143"/>
      <c r="E126" s="1"/>
      <c r="F126" s="1"/>
      <c r="G126" s="146"/>
      <c r="H126" s="146"/>
      <c r="I126" s="146"/>
      <c r="J126" s="146"/>
      <c r="K126" s="146"/>
      <c r="L126" s="146"/>
      <c r="M126" s="146"/>
    </row>
    <row r="127" ht="15.75" hidden="1" customHeight="1">
      <c r="C127" s="143"/>
      <c r="E127" s="1"/>
      <c r="F127" s="1"/>
      <c r="G127" s="146"/>
      <c r="H127" s="146"/>
      <c r="I127" s="146"/>
      <c r="J127" s="146"/>
      <c r="K127" s="146"/>
      <c r="L127" s="146"/>
      <c r="M127" s="146"/>
    </row>
    <row r="128" ht="15.75" hidden="1" customHeight="1">
      <c r="C128" s="143"/>
      <c r="E128" s="1"/>
      <c r="F128" s="146"/>
      <c r="G128" s="146"/>
      <c r="H128" s="146"/>
      <c r="I128" s="146"/>
      <c r="J128" s="146"/>
      <c r="K128" s="146"/>
      <c r="L128" s="146"/>
      <c r="M128" s="146"/>
    </row>
    <row r="129" ht="15.75" hidden="1" customHeight="1">
      <c r="C129" s="143"/>
      <c r="E129" s="288"/>
      <c r="F129" s="146"/>
      <c r="G129" s="146"/>
      <c r="H129" s="146"/>
      <c r="I129" s="146"/>
      <c r="J129" s="146"/>
      <c r="K129" s="146"/>
      <c r="L129" s="146"/>
      <c r="M129" s="146"/>
    </row>
    <row r="130" ht="15.75" hidden="1" customHeight="1">
      <c r="C130" s="143"/>
      <c r="E130" s="288"/>
      <c r="F130" s="146"/>
      <c r="G130" s="146"/>
      <c r="H130" s="146"/>
      <c r="I130" s="146"/>
      <c r="J130" s="146"/>
      <c r="K130" s="146"/>
      <c r="L130" s="146"/>
      <c r="M130" s="146"/>
    </row>
    <row r="131" ht="15.75" hidden="1" customHeight="1">
      <c r="C131" s="143"/>
      <c r="E131" s="289"/>
      <c r="F131" s="146"/>
      <c r="G131" s="146"/>
      <c r="H131" s="146"/>
      <c r="I131" s="146"/>
      <c r="J131" s="146"/>
      <c r="K131" s="146"/>
      <c r="L131" s="146"/>
      <c r="M131" s="146"/>
    </row>
    <row r="132" ht="15.75" hidden="1" customHeight="1">
      <c r="A132" s="294"/>
      <c r="C132" s="143"/>
      <c r="D132" s="72"/>
      <c r="E132" s="1"/>
      <c r="F132" s="146"/>
      <c r="G132" s="146"/>
      <c r="H132" s="146"/>
      <c r="I132" s="146"/>
      <c r="J132" s="146"/>
      <c r="K132" s="146"/>
      <c r="L132" s="146"/>
      <c r="M132" s="146"/>
    </row>
    <row r="133" ht="15.75" hidden="1" customHeight="1">
      <c r="A133" s="294"/>
      <c r="C133" s="143"/>
      <c r="D133" s="72"/>
      <c r="E133" s="1"/>
      <c r="F133" s="146"/>
      <c r="G133" s="146"/>
      <c r="H133" s="146"/>
      <c r="I133" s="146"/>
      <c r="J133" s="146"/>
      <c r="K133" s="146"/>
      <c r="L133" s="146"/>
      <c r="M133" s="146"/>
    </row>
    <row r="134" ht="15.75" hidden="1" customHeight="1">
      <c r="A134" s="294"/>
      <c r="C134" s="143"/>
      <c r="D134" s="72"/>
      <c r="E134" s="1"/>
      <c r="F134" s="146"/>
      <c r="G134" s="146"/>
      <c r="H134" s="146"/>
      <c r="I134" s="146"/>
      <c r="J134" s="146"/>
      <c r="K134" s="146"/>
      <c r="L134" s="146"/>
      <c r="M134" s="146"/>
    </row>
    <row r="135" ht="15.75" hidden="1" customHeight="1">
      <c r="A135" s="294"/>
      <c r="C135" s="143"/>
      <c r="D135" s="72"/>
      <c r="E135" s="1"/>
      <c r="F135" s="146"/>
      <c r="G135" s="146"/>
      <c r="H135" s="146"/>
      <c r="I135" s="146"/>
      <c r="J135" s="146"/>
      <c r="K135" s="146"/>
      <c r="L135" s="146"/>
      <c r="M135" s="146"/>
    </row>
    <row r="136" ht="15.75" hidden="1" customHeight="1">
      <c r="A136" s="294"/>
      <c r="C136" s="143"/>
      <c r="D136" s="72"/>
      <c r="E136" s="1"/>
      <c r="F136" s="146"/>
      <c r="G136" s="146"/>
      <c r="H136" s="146"/>
      <c r="I136" s="146"/>
      <c r="J136" s="146"/>
      <c r="K136" s="146"/>
      <c r="L136" s="146"/>
      <c r="M136" s="146"/>
    </row>
    <row r="137" ht="15.75" hidden="1" customHeight="1">
      <c r="A137" s="294"/>
      <c r="C137" s="143"/>
      <c r="D137" s="72"/>
      <c r="E137" s="1"/>
      <c r="F137" s="146"/>
      <c r="G137" s="146"/>
      <c r="H137" s="146"/>
      <c r="I137" s="146"/>
      <c r="J137" s="146"/>
      <c r="K137" s="146"/>
      <c r="L137" s="146"/>
      <c r="M137" s="146"/>
    </row>
    <row r="138" ht="15.75" hidden="1" customHeight="1">
      <c r="A138" s="294"/>
      <c r="C138" s="143"/>
      <c r="D138" s="72"/>
      <c r="E138" s="1"/>
      <c r="F138" s="146"/>
      <c r="G138" s="146"/>
      <c r="H138" s="146"/>
      <c r="I138" s="146"/>
      <c r="J138" s="146"/>
      <c r="K138" s="146"/>
      <c r="L138" s="146"/>
      <c r="M138" s="146"/>
    </row>
    <row r="139" ht="15.75" hidden="1" customHeight="1">
      <c r="A139" s="294"/>
      <c r="C139" s="143"/>
      <c r="D139" s="72"/>
      <c r="E139" s="1"/>
      <c r="F139" s="146"/>
      <c r="G139" s="146"/>
      <c r="H139" s="146"/>
      <c r="I139" s="146"/>
      <c r="J139" s="146"/>
      <c r="K139" s="146"/>
      <c r="L139" s="146"/>
      <c r="M139" s="146"/>
    </row>
    <row r="140" ht="15.75" hidden="1" customHeight="1">
      <c r="A140" s="294"/>
      <c r="C140" s="143"/>
      <c r="D140" s="72"/>
      <c r="E140" s="1"/>
      <c r="F140" s="146"/>
      <c r="G140" s="146"/>
      <c r="H140" s="146"/>
      <c r="I140" s="146"/>
      <c r="J140" s="146"/>
      <c r="K140" s="146"/>
      <c r="L140" s="146"/>
      <c r="M140" s="146"/>
    </row>
    <row r="141" ht="15.75" hidden="1" customHeight="1">
      <c r="A141" s="294"/>
      <c r="C141" s="143"/>
      <c r="D141" s="72"/>
      <c r="E141" s="1"/>
      <c r="F141" s="146"/>
      <c r="G141" s="146"/>
      <c r="H141" s="146"/>
      <c r="I141" s="146"/>
      <c r="J141" s="146"/>
      <c r="K141" s="146"/>
      <c r="L141" s="146"/>
      <c r="M141" s="146"/>
    </row>
    <row r="142" ht="15.75" hidden="1" customHeight="1">
      <c r="A142" s="294"/>
      <c r="C142" s="143"/>
      <c r="D142" s="72"/>
      <c r="E142" s="1"/>
      <c r="F142" s="146"/>
      <c r="G142" s="146"/>
      <c r="H142" s="146"/>
      <c r="I142" s="146"/>
      <c r="J142" s="146"/>
      <c r="K142" s="146"/>
      <c r="L142" s="146"/>
      <c r="M142" s="146"/>
    </row>
    <row r="143" ht="15.75" hidden="1" customHeight="1">
      <c r="A143" s="294"/>
      <c r="C143" s="143"/>
      <c r="D143" s="72"/>
      <c r="E143" s="1"/>
      <c r="F143" s="146"/>
      <c r="G143" s="146"/>
      <c r="H143" s="146"/>
      <c r="I143" s="146"/>
      <c r="J143" s="146"/>
      <c r="K143" s="146"/>
      <c r="L143" s="146"/>
      <c r="M143" s="146"/>
    </row>
    <row r="144" ht="15.75" hidden="1" customHeight="1">
      <c r="A144" s="294"/>
      <c r="C144" s="143"/>
      <c r="D144" s="72"/>
      <c r="E144" s="1"/>
      <c r="F144" s="146"/>
      <c r="G144" s="146"/>
      <c r="H144" s="146"/>
      <c r="I144" s="146"/>
      <c r="J144" s="146"/>
      <c r="K144" s="146"/>
      <c r="L144" s="146"/>
      <c r="M144" s="146"/>
    </row>
    <row r="145" ht="15.75" hidden="1" customHeight="1">
      <c r="A145" s="294"/>
      <c r="C145" s="143"/>
      <c r="D145" s="72"/>
      <c r="E145" s="1"/>
      <c r="F145" s="146"/>
      <c r="G145" s="146"/>
      <c r="H145" s="146"/>
      <c r="I145" s="146"/>
      <c r="J145" s="146"/>
      <c r="K145" s="146"/>
      <c r="L145" s="146"/>
      <c r="M145" s="146"/>
    </row>
    <row r="146" ht="15.75" hidden="1" customHeight="1">
      <c r="A146" s="294"/>
      <c r="C146" s="143"/>
      <c r="D146" s="72"/>
      <c r="E146" s="1"/>
      <c r="F146" s="146"/>
      <c r="G146" s="146"/>
      <c r="H146" s="146"/>
      <c r="I146" s="146"/>
      <c r="J146" s="146"/>
      <c r="K146" s="146"/>
      <c r="L146" s="146"/>
      <c r="M146" s="146"/>
    </row>
    <row r="147" ht="15.75" hidden="1" customHeight="1">
      <c r="A147" s="294"/>
      <c r="C147" s="143"/>
      <c r="D147" s="72"/>
      <c r="E147" s="1"/>
      <c r="F147" s="146"/>
      <c r="G147" s="146"/>
      <c r="H147" s="146"/>
      <c r="I147" s="146"/>
      <c r="J147" s="146"/>
      <c r="K147" s="146"/>
      <c r="L147" s="146"/>
      <c r="M147" s="146"/>
    </row>
    <row r="148" ht="15.75" hidden="1" customHeight="1">
      <c r="A148" s="294"/>
      <c r="C148" s="143"/>
      <c r="D148" s="72"/>
      <c r="E148" s="1"/>
      <c r="F148" s="146"/>
      <c r="G148" s="146"/>
      <c r="H148" s="146"/>
      <c r="I148" s="146"/>
      <c r="J148" s="146"/>
      <c r="K148" s="146"/>
      <c r="L148" s="146"/>
      <c r="M148" s="146"/>
    </row>
    <row r="149" ht="15.75" hidden="1" customHeight="1">
      <c r="A149" s="294"/>
      <c r="C149" s="143"/>
      <c r="D149" s="72"/>
      <c r="E149" s="1"/>
      <c r="F149" s="146"/>
      <c r="G149" s="146"/>
      <c r="H149" s="146"/>
      <c r="I149" s="146"/>
      <c r="J149" s="146"/>
      <c r="K149" s="146"/>
      <c r="L149" s="146"/>
      <c r="M149" s="146"/>
    </row>
    <row r="150" ht="15.75" hidden="1" customHeight="1">
      <c r="A150" s="294"/>
      <c r="C150" s="143"/>
      <c r="D150" s="72"/>
      <c r="E150" s="1"/>
      <c r="F150" s="146"/>
      <c r="G150" s="146"/>
      <c r="H150" s="146"/>
      <c r="I150" s="146"/>
      <c r="J150" s="146"/>
      <c r="K150" s="146"/>
      <c r="L150" s="146"/>
      <c r="M150" s="146"/>
    </row>
    <row r="151" ht="15.75" hidden="1" customHeight="1">
      <c r="A151" s="294"/>
      <c r="C151" s="143"/>
      <c r="D151" s="72"/>
      <c r="E151" s="1"/>
      <c r="F151" s="146"/>
      <c r="G151" s="146"/>
      <c r="H151" s="146"/>
      <c r="I151" s="146"/>
      <c r="J151" s="146"/>
      <c r="K151" s="146"/>
      <c r="L151" s="146"/>
      <c r="M151" s="146"/>
    </row>
    <row r="152" ht="15.75" hidden="1" customHeight="1">
      <c r="A152" s="294"/>
      <c r="C152" s="143"/>
      <c r="D152" s="72"/>
      <c r="E152" s="1"/>
      <c r="F152" s="146"/>
      <c r="G152" s="146"/>
      <c r="H152" s="146"/>
      <c r="I152" s="146"/>
      <c r="J152" s="146"/>
      <c r="K152" s="146"/>
      <c r="L152" s="146"/>
      <c r="M152" s="146"/>
    </row>
    <row r="153" ht="15.75" hidden="1" customHeight="1">
      <c r="A153" s="294"/>
      <c r="C153" s="143"/>
      <c r="D153" s="72"/>
      <c r="E153" s="1"/>
      <c r="F153" s="146"/>
      <c r="G153" s="146"/>
      <c r="H153" s="146"/>
      <c r="I153" s="146"/>
      <c r="J153" s="146"/>
      <c r="K153" s="146"/>
      <c r="L153" s="146"/>
      <c r="M153" s="146"/>
    </row>
    <row r="154" ht="15.75" hidden="1" customHeight="1">
      <c r="A154" s="294"/>
      <c r="C154" s="143"/>
      <c r="D154" s="72"/>
      <c r="E154" s="1"/>
      <c r="F154" s="146"/>
      <c r="G154" s="146"/>
      <c r="H154" s="146"/>
      <c r="I154" s="146"/>
      <c r="J154" s="146"/>
      <c r="K154" s="146"/>
      <c r="L154" s="146"/>
      <c r="M154" s="146"/>
    </row>
    <row r="155" ht="15.75" hidden="1" customHeight="1">
      <c r="A155" s="294"/>
      <c r="C155" s="143"/>
      <c r="D155" s="72"/>
      <c r="E155" s="1"/>
      <c r="F155" s="146"/>
      <c r="G155" s="146"/>
      <c r="H155" s="146"/>
      <c r="I155" s="146"/>
      <c r="J155" s="146"/>
      <c r="K155" s="146"/>
      <c r="L155" s="146"/>
      <c r="M155" s="146"/>
    </row>
    <row r="156" ht="15.75" hidden="1" customHeight="1">
      <c r="A156" s="294"/>
      <c r="C156" s="143"/>
      <c r="D156" s="72"/>
      <c r="E156" s="1"/>
      <c r="F156" s="146"/>
      <c r="G156" s="146"/>
      <c r="H156" s="146"/>
      <c r="I156" s="146"/>
      <c r="J156" s="146"/>
      <c r="K156" s="146"/>
      <c r="L156" s="146"/>
      <c r="M156" s="146"/>
    </row>
    <row r="157" ht="15.75" hidden="1" customHeight="1">
      <c r="A157" s="294"/>
      <c r="C157" s="143"/>
      <c r="D157" s="72"/>
      <c r="E157" s="1"/>
      <c r="F157" s="146"/>
      <c r="G157" s="146"/>
      <c r="H157" s="146"/>
      <c r="I157" s="146"/>
      <c r="J157" s="146"/>
      <c r="K157" s="146"/>
      <c r="L157" s="146"/>
      <c r="M157" s="146"/>
    </row>
    <row r="158" ht="15.75" hidden="1" customHeight="1">
      <c r="A158" s="294"/>
      <c r="C158" s="143"/>
      <c r="D158" s="72"/>
      <c r="E158" s="1"/>
      <c r="F158" s="146"/>
      <c r="G158" s="146"/>
      <c r="H158" s="146"/>
      <c r="I158" s="146"/>
      <c r="J158" s="146"/>
      <c r="K158" s="146"/>
      <c r="L158" s="146"/>
      <c r="M158" s="146"/>
    </row>
    <row r="159" ht="15.75" hidden="1" customHeight="1">
      <c r="A159" s="294"/>
      <c r="C159" s="143"/>
      <c r="D159" s="72"/>
      <c r="E159" s="1"/>
      <c r="F159" s="146"/>
      <c r="G159" s="146"/>
      <c r="H159" s="146"/>
      <c r="I159" s="146"/>
      <c r="J159" s="146"/>
      <c r="K159" s="146"/>
      <c r="L159" s="146"/>
      <c r="M159" s="146"/>
    </row>
    <row r="160" ht="15.75" hidden="1" customHeight="1">
      <c r="A160" s="294"/>
      <c r="C160" s="143"/>
      <c r="D160" s="72"/>
      <c r="E160" s="1"/>
      <c r="F160" s="146"/>
      <c r="G160" s="146"/>
      <c r="H160" s="146"/>
      <c r="I160" s="146"/>
      <c r="J160" s="146"/>
      <c r="K160" s="146"/>
      <c r="L160" s="146"/>
      <c r="M160" s="146"/>
    </row>
    <row r="161" ht="15.75" hidden="1" customHeight="1">
      <c r="A161" s="294"/>
      <c r="C161" s="143"/>
      <c r="D161" s="72"/>
      <c r="E161" s="1"/>
      <c r="F161" s="146"/>
      <c r="G161" s="146"/>
      <c r="H161" s="146"/>
      <c r="I161" s="146"/>
      <c r="J161" s="146"/>
      <c r="K161" s="146"/>
      <c r="L161" s="146"/>
      <c r="M161" s="146"/>
    </row>
    <row r="162" ht="15.75" hidden="1" customHeight="1">
      <c r="A162" s="294"/>
      <c r="C162" s="143"/>
      <c r="D162" s="72"/>
      <c r="E162" s="1"/>
      <c r="F162" s="146"/>
      <c r="G162" s="146"/>
      <c r="H162" s="146"/>
      <c r="I162" s="146"/>
      <c r="J162" s="146"/>
      <c r="K162" s="146"/>
      <c r="L162" s="146"/>
      <c r="M162" s="146"/>
    </row>
    <row r="163" ht="15.75" hidden="1" customHeight="1">
      <c r="A163" s="294"/>
      <c r="C163" s="143"/>
      <c r="D163" s="72"/>
      <c r="E163" s="1"/>
      <c r="F163" s="146"/>
      <c r="G163" s="146"/>
      <c r="H163" s="146"/>
      <c r="I163" s="146"/>
      <c r="J163" s="146"/>
      <c r="K163" s="146"/>
      <c r="L163" s="146"/>
      <c r="M163" s="146"/>
    </row>
    <row r="164" ht="15.75" hidden="1" customHeight="1">
      <c r="A164" s="294"/>
      <c r="C164" s="143"/>
      <c r="D164" s="72"/>
      <c r="E164" s="1"/>
      <c r="F164" s="146"/>
      <c r="G164" s="146"/>
      <c r="H164" s="146"/>
      <c r="I164" s="146"/>
      <c r="J164" s="146"/>
      <c r="K164" s="146"/>
      <c r="L164" s="146"/>
      <c r="M164" s="146"/>
    </row>
    <row r="165" ht="15.75" hidden="1" customHeight="1">
      <c r="A165" s="294"/>
      <c r="C165" s="143"/>
      <c r="D165" s="72"/>
      <c r="E165" s="1"/>
      <c r="F165" s="146"/>
      <c r="G165" s="146"/>
      <c r="H165" s="146"/>
      <c r="I165" s="146"/>
      <c r="J165" s="146"/>
      <c r="K165" s="146"/>
      <c r="L165" s="146"/>
      <c r="M165" s="146"/>
    </row>
    <row r="166" ht="15.75" hidden="1" customHeight="1">
      <c r="A166" s="294"/>
      <c r="C166" s="143"/>
      <c r="D166" s="72"/>
      <c r="E166" s="1"/>
      <c r="F166" s="146"/>
      <c r="G166" s="146"/>
      <c r="H166" s="146"/>
      <c r="I166" s="146"/>
      <c r="J166" s="146"/>
      <c r="K166" s="146"/>
      <c r="L166" s="146"/>
      <c r="M166" s="146"/>
    </row>
    <row r="167" ht="15.75" hidden="1" customHeight="1">
      <c r="A167" s="294"/>
      <c r="C167" s="143"/>
      <c r="D167" s="72"/>
      <c r="E167" s="1"/>
      <c r="F167" s="146"/>
      <c r="G167" s="146"/>
      <c r="H167" s="146"/>
      <c r="I167" s="146"/>
      <c r="J167" s="146"/>
      <c r="K167" s="146"/>
      <c r="L167" s="146"/>
      <c r="M167" s="146"/>
    </row>
    <row r="168" ht="15.75" hidden="1" customHeight="1">
      <c r="A168" s="294"/>
      <c r="C168" s="143"/>
      <c r="D168" s="72"/>
      <c r="E168" s="1"/>
      <c r="F168" s="146"/>
      <c r="G168" s="146"/>
      <c r="H168" s="146"/>
      <c r="I168" s="146"/>
      <c r="J168" s="146"/>
      <c r="K168" s="146"/>
      <c r="L168" s="146"/>
      <c r="M168" s="146"/>
    </row>
    <row r="169" ht="15.75" hidden="1" customHeight="1">
      <c r="A169" s="294"/>
      <c r="C169" s="143"/>
      <c r="D169" s="72"/>
      <c r="E169" s="1"/>
      <c r="F169" s="146"/>
      <c r="G169" s="146"/>
      <c r="H169" s="146"/>
      <c r="I169" s="146"/>
      <c r="J169" s="146"/>
      <c r="K169" s="146"/>
      <c r="L169" s="146"/>
      <c r="M169" s="146"/>
    </row>
    <row r="170" ht="15.75" hidden="1" customHeight="1">
      <c r="A170" s="295"/>
      <c r="C170" s="143"/>
      <c r="D170" s="72"/>
      <c r="E170" s="1"/>
      <c r="F170" s="146"/>
      <c r="G170" s="146"/>
      <c r="H170" s="146"/>
      <c r="I170" s="146"/>
      <c r="J170" s="146"/>
      <c r="K170" s="146"/>
      <c r="L170" s="146"/>
      <c r="M170" s="146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H$2:$J$14">
    <sortState ref="H2:J14">
      <sortCondition descending="1" ref="J2:J14"/>
      <sortCondition descending="1" ref="H2:H14"/>
      <sortCondition descending="1" ref="I2:I1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96" t="s">
        <v>287</v>
      </c>
    </row>
    <row r="2" ht="15.75" customHeight="1"/>
    <row r="3" ht="15.75" customHeight="1">
      <c r="A3" s="297" t="str">
        <f>IFERROR(__xludf.DUMMYFUNCTION("IMPORTRANGE(A1, ""S4:T51"")"),"#REF!")</f>
        <v>#REF!</v>
      </c>
      <c r="B3" s="84"/>
    </row>
    <row r="4" ht="15.75" customHeight="1">
      <c r="A4" s="298"/>
      <c r="B4" s="84"/>
    </row>
    <row r="5" ht="15.75" customHeight="1">
      <c r="A5" s="298"/>
      <c r="B5" s="84"/>
    </row>
    <row r="6" ht="15.75" customHeight="1">
      <c r="A6" s="298"/>
      <c r="B6" s="84"/>
    </row>
    <row r="7" ht="15.75" customHeight="1">
      <c r="A7" s="298"/>
      <c r="B7" s="84"/>
    </row>
    <row r="8" ht="15.75" customHeight="1">
      <c r="A8" s="298"/>
      <c r="B8" s="84"/>
    </row>
    <row r="9" ht="15.75" customHeight="1">
      <c r="A9" s="298"/>
      <c r="B9" s="84"/>
    </row>
    <row r="10" ht="15.75" customHeight="1">
      <c r="A10" s="298"/>
      <c r="B10" s="84"/>
    </row>
    <row r="11" ht="15.75" customHeight="1">
      <c r="A11" s="298"/>
      <c r="B11" s="84"/>
    </row>
    <row r="12" ht="15.75" customHeight="1">
      <c r="A12" s="298"/>
      <c r="B12" s="84"/>
    </row>
    <row r="13" ht="15.75" customHeight="1">
      <c r="A13" s="298"/>
      <c r="B13" s="84"/>
    </row>
    <row r="14" ht="15.75" customHeight="1">
      <c r="A14" s="298"/>
      <c r="B14" s="84"/>
    </row>
    <row r="15" ht="15.75" customHeight="1">
      <c r="A15" s="298"/>
      <c r="B15" s="84"/>
    </row>
    <row r="16" ht="15.75" customHeight="1">
      <c r="A16" s="298"/>
      <c r="B16" s="84"/>
    </row>
    <row r="17" ht="15.75" customHeight="1">
      <c r="A17" s="298"/>
      <c r="B17" s="84"/>
    </row>
    <row r="18" ht="15.75" customHeight="1">
      <c r="A18" s="298"/>
      <c r="B18" s="84"/>
    </row>
    <row r="19" ht="15.75" customHeight="1">
      <c r="A19" s="298"/>
      <c r="B19" s="84"/>
    </row>
    <row r="20" ht="15.75" customHeight="1">
      <c r="A20" s="298"/>
      <c r="B20" s="84"/>
    </row>
    <row r="21" ht="15.75" customHeight="1">
      <c r="A21" s="298"/>
      <c r="B21" s="84"/>
    </row>
    <row r="22" ht="15.75" customHeight="1">
      <c r="A22" s="298"/>
      <c r="B22" s="84"/>
    </row>
    <row r="23" ht="15.75" customHeight="1">
      <c r="A23" s="298"/>
      <c r="B23" s="84"/>
    </row>
    <row r="24" ht="15.75" customHeight="1">
      <c r="A24" s="298"/>
      <c r="B24" s="84"/>
    </row>
    <row r="25" ht="15.75" customHeight="1">
      <c r="A25" s="298"/>
      <c r="B25" s="84"/>
    </row>
    <row r="26" ht="15.75" customHeight="1">
      <c r="A26" s="298"/>
      <c r="B26" s="84"/>
    </row>
    <row r="27" ht="15.75" customHeight="1">
      <c r="A27" s="298"/>
      <c r="B27" s="84"/>
    </row>
    <row r="28" ht="15.75" customHeight="1">
      <c r="A28" s="298"/>
      <c r="B28" s="84"/>
    </row>
    <row r="29" ht="15.75" customHeight="1">
      <c r="A29" s="298"/>
      <c r="B29" s="84"/>
    </row>
    <row r="30" ht="15.75" customHeight="1">
      <c r="A30" s="298"/>
      <c r="B30" s="84"/>
    </row>
    <row r="31" ht="15.75" customHeight="1">
      <c r="A31" s="298"/>
      <c r="B31" s="84"/>
    </row>
    <row r="32" ht="15.75" customHeight="1">
      <c r="A32" s="298"/>
      <c r="B32" s="84"/>
    </row>
    <row r="33" ht="15.75" customHeight="1">
      <c r="A33" s="298"/>
      <c r="B33" s="84"/>
    </row>
    <row r="34" ht="15.75" customHeight="1">
      <c r="A34" s="298"/>
      <c r="B34" s="84"/>
    </row>
    <row r="35" ht="15.75" customHeight="1">
      <c r="A35" s="298"/>
      <c r="B35" s="84"/>
    </row>
    <row r="36" ht="15.75" customHeight="1">
      <c r="A36" s="298"/>
      <c r="B36" s="84"/>
    </row>
    <row r="37" ht="15.75" customHeight="1">
      <c r="A37" s="298"/>
      <c r="B37" s="84"/>
    </row>
    <row r="38" ht="15.75" customHeight="1">
      <c r="A38" s="298"/>
      <c r="B38" s="84"/>
    </row>
    <row r="39" ht="15.75" customHeight="1">
      <c r="A39" s="298"/>
      <c r="B39" s="84"/>
    </row>
    <row r="40" ht="15.75" customHeight="1">
      <c r="A40" s="84"/>
      <c r="B40" s="298"/>
    </row>
    <row r="41" ht="15.75" customHeight="1">
      <c r="A41" s="84"/>
      <c r="B41" s="298"/>
    </row>
    <row r="42" ht="15.75" customHeight="1">
      <c r="A42" s="84"/>
      <c r="B42" s="298"/>
    </row>
    <row r="43" ht="15.75" customHeight="1">
      <c r="A43" s="84"/>
      <c r="B43" s="298"/>
    </row>
    <row r="44" ht="15.75" customHeight="1">
      <c r="A44" s="84"/>
      <c r="B44" s="298"/>
    </row>
    <row r="45" ht="15.75" customHeight="1">
      <c r="A45" s="84"/>
      <c r="B45" s="298"/>
    </row>
    <row r="46" ht="15.75" customHeight="1">
      <c r="A46" s="84"/>
      <c r="B46" s="298"/>
    </row>
    <row r="47" ht="15.75" customHeight="1">
      <c r="A47" s="84"/>
      <c r="B47" s="298"/>
    </row>
    <row r="48" ht="15.75" customHeight="1">
      <c r="A48" s="84"/>
      <c r="B48" s="298"/>
    </row>
    <row r="49" ht="15.75" customHeight="1">
      <c r="A49" s="84"/>
      <c r="B49" s="298"/>
    </row>
    <row r="50" ht="15.75" customHeight="1">
      <c r="A50" s="84"/>
      <c r="B50" s="29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1265428282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4.75"/>
    <col customWidth="1" min="3" max="3" width="14.88"/>
    <col customWidth="1" min="4" max="5" width="12.63"/>
    <col customWidth="1" min="6" max="6" width="21.75"/>
    <col customWidth="1" min="7" max="7" width="4.88"/>
    <col customWidth="1" min="8" max="8" width="12.5"/>
    <col customWidth="1" min="9" max="9" width="17.25"/>
    <col customWidth="1" hidden="1" min="10" max="10" width="8.63"/>
    <col customWidth="1" hidden="1" min="11" max="11" width="10.75"/>
  </cols>
  <sheetData>
    <row r="1" ht="15.75" customHeight="1">
      <c r="A1" s="299" t="s">
        <v>74</v>
      </c>
      <c r="B1" s="300" t="s">
        <v>288</v>
      </c>
      <c r="C1" s="301" t="s">
        <v>289</v>
      </c>
      <c r="D1" s="302" t="s">
        <v>290</v>
      </c>
      <c r="E1" s="302" t="s">
        <v>291</v>
      </c>
      <c r="F1" s="303" t="s">
        <v>292</v>
      </c>
      <c r="G1" s="299"/>
      <c r="H1" s="304" t="s">
        <v>293</v>
      </c>
      <c r="I1" s="305"/>
      <c r="J1" s="303"/>
      <c r="K1" s="306"/>
    </row>
    <row r="2" ht="15.75" customHeight="1">
      <c r="A2" s="299"/>
      <c r="B2" s="146"/>
      <c r="C2" s="307"/>
      <c r="D2" s="308"/>
      <c r="E2" s="309"/>
      <c r="F2" s="310"/>
      <c r="G2" s="299"/>
      <c r="H2" s="311"/>
      <c r="I2" s="312"/>
      <c r="J2" s="311"/>
      <c r="K2" s="313"/>
    </row>
    <row r="3" ht="15.75" customHeight="1">
      <c r="A3" s="314" t="s">
        <v>294</v>
      </c>
      <c r="B3" s="315" t="s">
        <v>21</v>
      </c>
      <c r="C3" s="316" t="s">
        <v>19</v>
      </c>
      <c r="D3" s="317" t="s">
        <v>295</v>
      </c>
      <c r="E3" s="318" t="s">
        <v>296</v>
      </c>
      <c r="F3" s="319" t="s">
        <v>297</v>
      </c>
      <c r="G3" s="314"/>
      <c r="H3" s="320" t="s">
        <v>298</v>
      </c>
      <c r="I3" s="321"/>
      <c r="J3" s="322"/>
      <c r="K3" s="323"/>
    </row>
    <row r="4" ht="15.75" customHeight="1">
      <c r="B4" s="324" t="s">
        <v>299</v>
      </c>
      <c r="C4" s="325" t="s">
        <v>300</v>
      </c>
      <c r="D4" s="317" t="s">
        <v>301</v>
      </c>
      <c r="E4" s="318" t="s">
        <v>302</v>
      </c>
      <c r="F4" s="319" t="s">
        <v>303</v>
      </c>
      <c r="H4" s="326"/>
      <c r="I4" s="327"/>
      <c r="J4" s="322">
        <f t="shared" ref="J4:J15" si="1">E4*24*60</f>
        <v>1252</v>
      </c>
      <c r="K4" s="323"/>
    </row>
    <row r="5" ht="15.75" customHeight="1">
      <c r="B5" s="328" t="s">
        <v>300</v>
      </c>
      <c r="C5" s="329" t="s">
        <v>299</v>
      </c>
      <c r="D5" s="330" t="s">
        <v>304</v>
      </c>
      <c r="E5" s="318" t="s">
        <v>305</v>
      </c>
      <c r="F5" s="319" t="s">
        <v>306</v>
      </c>
      <c r="H5" s="331"/>
      <c r="I5" s="332"/>
      <c r="J5" s="322">
        <f t="shared" si="1"/>
        <v>1061</v>
      </c>
      <c r="K5" s="333"/>
    </row>
    <row r="6" ht="15.75" customHeight="1">
      <c r="B6" s="328" t="s">
        <v>299</v>
      </c>
      <c r="C6" s="334" t="s">
        <v>19</v>
      </c>
      <c r="D6" s="330" t="s">
        <v>301</v>
      </c>
      <c r="E6" s="318" t="s">
        <v>307</v>
      </c>
      <c r="F6" s="319" t="s">
        <v>308</v>
      </c>
      <c r="H6" s="335" t="s">
        <v>309</v>
      </c>
      <c r="I6" s="332"/>
      <c r="J6" s="322">
        <f t="shared" si="1"/>
        <v>1206</v>
      </c>
      <c r="K6" s="333"/>
    </row>
    <row r="7" ht="15.75" customHeight="1">
      <c r="B7" s="324" t="s">
        <v>24</v>
      </c>
      <c r="C7" s="325" t="s">
        <v>310</v>
      </c>
      <c r="D7" s="317" t="s">
        <v>311</v>
      </c>
      <c r="E7" s="318" t="s">
        <v>312</v>
      </c>
      <c r="F7" s="319" t="s">
        <v>313</v>
      </c>
      <c r="H7" s="336"/>
      <c r="I7" s="337"/>
      <c r="J7" s="322">
        <f t="shared" si="1"/>
        <v>2181</v>
      </c>
      <c r="K7" s="338"/>
    </row>
    <row r="8" ht="15.75" customHeight="1">
      <c r="B8" s="324" t="s">
        <v>24</v>
      </c>
      <c r="C8" s="325" t="s">
        <v>26</v>
      </c>
      <c r="D8" s="317" t="s">
        <v>314</v>
      </c>
      <c r="E8" s="318" t="s">
        <v>315</v>
      </c>
      <c r="F8" s="319" t="s">
        <v>316</v>
      </c>
      <c r="H8" s="336"/>
      <c r="I8" s="332"/>
      <c r="J8" s="322">
        <f t="shared" si="1"/>
        <v>492</v>
      </c>
      <c r="K8" s="333"/>
    </row>
    <row r="9" ht="15.75" customHeight="1">
      <c r="B9" s="339" t="s">
        <v>27</v>
      </c>
      <c r="C9" s="340" t="s">
        <v>22</v>
      </c>
      <c r="D9" s="341" t="s">
        <v>317</v>
      </c>
      <c r="E9" s="342" t="s">
        <v>318</v>
      </c>
      <c r="F9" s="343" t="s">
        <v>319</v>
      </c>
      <c r="H9" s="331"/>
      <c r="I9" s="332"/>
      <c r="J9" s="322">
        <f t="shared" si="1"/>
        <v>1437</v>
      </c>
      <c r="K9" s="333"/>
    </row>
    <row r="10" ht="15.75" customHeight="1">
      <c r="B10" s="344" t="s">
        <v>320</v>
      </c>
      <c r="C10" s="345" t="s">
        <v>22</v>
      </c>
      <c r="D10" s="346" t="s">
        <v>311</v>
      </c>
      <c r="E10" s="347" t="s">
        <v>321</v>
      </c>
      <c r="F10" s="348" t="s">
        <v>322</v>
      </c>
      <c r="H10" s="336"/>
      <c r="I10" s="337"/>
      <c r="J10" s="322">
        <f t="shared" si="1"/>
        <v>982</v>
      </c>
      <c r="K10" s="338"/>
    </row>
    <row r="11" ht="15.75" customHeight="1">
      <c r="B11" s="349" t="s">
        <v>27</v>
      </c>
      <c r="C11" s="350" t="s">
        <v>26</v>
      </c>
      <c r="D11" s="330" t="s">
        <v>311</v>
      </c>
      <c r="E11" s="318" t="s">
        <v>323</v>
      </c>
      <c r="F11" s="319" t="s">
        <v>324</v>
      </c>
      <c r="H11" s="336"/>
      <c r="I11" s="332"/>
      <c r="J11" s="322">
        <f t="shared" si="1"/>
        <v>1115</v>
      </c>
      <c r="K11" s="333"/>
    </row>
    <row r="12" ht="15.75" customHeight="1">
      <c r="B12" s="324" t="s">
        <v>23</v>
      </c>
      <c r="C12" s="325" t="s">
        <v>26</v>
      </c>
      <c r="D12" s="317" t="s">
        <v>311</v>
      </c>
      <c r="E12" s="318" t="s">
        <v>325</v>
      </c>
      <c r="F12" s="319" t="s">
        <v>326</v>
      </c>
      <c r="H12" s="336"/>
      <c r="I12" s="332"/>
      <c r="J12" s="322">
        <f t="shared" si="1"/>
        <v>784</v>
      </c>
      <c r="K12" s="333"/>
    </row>
    <row r="13" ht="15.75" customHeight="1">
      <c r="B13" s="325" t="s">
        <v>26</v>
      </c>
      <c r="C13" s="316" t="s">
        <v>23</v>
      </c>
      <c r="D13" s="351" t="s">
        <v>327</v>
      </c>
      <c r="E13" s="318" t="s">
        <v>328</v>
      </c>
      <c r="F13" s="319" t="s">
        <v>329</v>
      </c>
      <c r="H13" s="336"/>
      <c r="I13" s="332"/>
      <c r="J13" s="322">
        <f t="shared" si="1"/>
        <v>525</v>
      </c>
      <c r="K13" s="333"/>
    </row>
    <row r="14" ht="15.75" customHeight="1">
      <c r="A14" s="314"/>
      <c r="B14" s="352" t="s">
        <v>22</v>
      </c>
      <c r="C14" s="353" t="s">
        <v>330</v>
      </c>
      <c r="D14" s="330" t="s">
        <v>331</v>
      </c>
      <c r="E14" s="318" t="s">
        <v>332</v>
      </c>
      <c r="F14" s="319" t="s">
        <v>333</v>
      </c>
      <c r="H14" s="335" t="s">
        <v>309</v>
      </c>
      <c r="I14" s="332"/>
      <c r="J14" s="322">
        <f t="shared" si="1"/>
        <v>370</v>
      </c>
      <c r="K14" s="333"/>
    </row>
    <row r="15" ht="15.75" customHeight="1">
      <c r="A15" s="314"/>
      <c r="B15" s="344" t="s">
        <v>320</v>
      </c>
      <c r="C15" s="354" t="s">
        <v>299</v>
      </c>
      <c r="D15" s="355" t="s">
        <v>304</v>
      </c>
      <c r="E15" s="347" t="s">
        <v>334</v>
      </c>
      <c r="F15" s="348" t="s">
        <v>335</v>
      </c>
      <c r="H15" s="336"/>
      <c r="I15" s="337"/>
      <c r="J15" s="322">
        <f t="shared" si="1"/>
        <v>617</v>
      </c>
      <c r="K15" s="338"/>
    </row>
    <row r="16" ht="15.75" customHeight="1">
      <c r="A16" s="299" t="s">
        <v>336</v>
      </c>
      <c r="B16" s="356"/>
      <c r="C16" s="357"/>
      <c r="D16" s="358"/>
      <c r="E16" s="359"/>
      <c r="F16" s="360"/>
      <c r="G16" s="1"/>
      <c r="H16" s="311"/>
      <c r="I16" s="312"/>
      <c r="J16" s="311"/>
      <c r="K16" s="313"/>
    </row>
    <row r="17" ht="15.75" customHeight="1">
      <c r="B17" s="361" t="s">
        <v>299</v>
      </c>
      <c r="C17" s="328" t="s">
        <v>21</v>
      </c>
      <c r="D17" s="330" t="s">
        <v>327</v>
      </c>
      <c r="E17" s="318" t="s">
        <v>337</v>
      </c>
      <c r="F17" s="319" t="s">
        <v>338</v>
      </c>
      <c r="G17" s="299"/>
      <c r="H17" s="362" t="s">
        <v>339</v>
      </c>
      <c r="I17" s="337"/>
      <c r="J17" s="322" t="str">
        <f t="shared" ref="J17:J18" si="2">#REF!*24*60</f>
        <v>#REF!</v>
      </c>
      <c r="K17" s="338"/>
    </row>
    <row r="18" ht="15.75" customHeight="1">
      <c r="B18" s="328" t="s">
        <v>21</v>
      </c>
      <c r="C18" s="363" t="s">
        <v>299</v>
      </c>
      <c r="D18" s="330" t="s">
        <v>314</v>
      </c>
      <c r="E18" s="318" t="s">
        <v>340</v>
      </c>
      <c r="F18" s="319" t="s">
        <v>341</v>
      </c>
      <c r="H18" s="362" t="s">
        <v>339</v>
      </c>
      <c r="I18" s="337"/>
      <c r="J18" s="322" t="str">
        <f t="shared" si="2"/>
        <v>#REF!</v>
      </c>
      <c r="K18" s="338"/>
    </row>
    <row r="19" ht="15.75" customHeight="1">
      <c r="B19" s="353" t="s">
        <v>310</v>
      </c>
      <c r="C19" s="363" t="s">
        <v>26</v>
      </c>
      <c r="D19" s="330" t="s">
        <v>342</v>
      </c>
      <c r="E19" s="318" t="s">
        <v>343</v>
      </c>
      <c r="F19" s="364" t="s">
        <v>344</v>
      </c>
      <c r="H19" s="365"/>
      <c r="I19" s="332"/>
      <c r="J19" s="322">
        <f t="shared" ref="J19:J39" si="3">E19*24*60</f>
        <v>1137</v>
      </c>
      <c r="K19" s="333"/>
    </row>
    <row r="20" ht="15.75" customHeight="1">
      <c r="B20" s="363" t="s">
        <v>26</v>
      </c>
      <c r="C20" s="353" t="s">
        <v>310</v>
      </c>
      <c r="D20" s="366" t="s">
        <v>317</v>
      </c>
      <c r="E20" s="318" t="s">
        <v>345</v>
      </c>
      <c r="F20" s="364" t="s">
        <v>346</v>
      </c>
      <c r="H20" s="365"/>
      <c r="I20" s="332"/>
      <c r="J20" s="322">
        <f t="shared" si="3"/>
        <v>1287</v>
      </c>
      <c r="K20" s="333"/>
    </row>
    <row r="21" ht="15.75" customHeight="1">
      <c r="B21" s="367" t="s">
        <v>19</v>
      </c>
      <c r="C21" s="363" t="s">
        <v>299</v>
      </c>
      <c r="D21" s="330" t="s">
        <v>314</v>
      </c>
      <c r="E21" s="318" t="s">
        <v>347</v>
      </c>
      <c r="F21" s="364" t="s">
        <v>348</v>
      </c>
      <c r="H21" s="365"/>
      <c r="I21" s="337"/>
      <c r="J21" s="322">
        <f t="shared" si="3"/>
        <v>326</v>
      </c>
      <c r="K21" s="338"/>
    </row>
    <row r="22" ht="15.75" customHeight="1">
      <c r="B22" s="293" t="s">
        <v>19</v>
      </c>
      <c r="C22" s="368" t="s">
        <v>27</v>
      </c>
      <c r="D22" s="369" t="s">
        <v>349</v>
      </c>
      <c r="E22" s="318" t="s">
        <v>350</v>
      </c>
      <c r="F22" s="364" t="s">
        <v>351</v>
      </c>
      <c r="H22" s="362" t="s">
        <v>352</v>
      </c>
      <c r="I22" s="332"/>
      <c r="J22" s="322">
        <f t="shared" si="3"/>
        <v>649</v>
      </c>
      <c r="K22" s="333"/>
    </row>
    <row r="23" ht="15.75" customHeight="1">
      <c r="B23" s="370" t="s">
        <v>310</v>
      </c>
      <c r="C23" s="363" t="s">
        <v>24</v>
      </c>
      <c r="D23" s="330" t="s">
        <v>314</v>
      </c>
      <c r="E23" s="318" t="s">
        <v>353</v>
      </c>
      <c r="F23" s="364" t="s">
        <v>354</v>
      </c>
      <c r="H23" s="365"/>
      <c r="I23" s="332"/>
      <c r="J23" s="322">
        <f t="shared" si="3"/>
        <v>1260</v>
      </c>
      <c r="K23" s="333"/>
    </row>
    <row r="24" ht="15.75" customHeight="1">
      <c r="B24" s="340" t="s">
        <v>22</v>
      </c>
      <c r="C24" s="339" t="s">
        <v>27</v>
      </c>
      <c r="D24" s="351" t="s">
        <v>314</v>
      </c>
      <c r="E24" s="318" t="s">
        <v>355</v>
      </c>
      <c r="F24" s="364" t="s">
        <v>356</v>
      </c>
      <c r="H24" s="365"/>
      <c r="I24" s="332"/>
      <c r="J24" s="322">
        <f t="shared" si="3"/>
        <v>658</v>
      </c>
      <c r="K24" s="333"/>
    </row>
    <row r="25" ht="15.75" customHeight="1">
      <c r="B25" s="371" t="s">
        <v>26</v>
      </c>
      <c r="C25" s="372" t="s">
        <v>27</v>
      </c>
      <c r="D25" s="373" t="s">
        <v>317</v>
      </c>
      <c r="E25" s="318" t="s">
        <v>357</v>
      </c>
      <c r="F25" s="364" t="s">
        <v>358</v>
      </c>
      <c r="H25" s="365"/>
      <c r="I25" s="332"/>
      <c r="J25" s="322">
        <f t="shared" si="3"/>
        <v>934</v>
      </c>
      <c r="K25" s="333"/>
    </row>
    <row r="26" ht="15.75" customHeight="1">
      <c r="B26" s="374" t="s">
        <v>22</v>
      </c>
      <c r="C26" s="375" t="s">
        <v>320</v>
      </c>
      <c r="D26" s="330" t="s">
        <v>327</v>
      </c>
      <c r="E26" s="318" t="s">
        <v>359</v>
      </c>
      <c r="F26" s="364" t="s">
        <v>360</v>
      </c>
      <c r="H26" s="365"/>
      <c r="I26" s="332"/>
      <c r="J26" s="322">
        <f t="shared" si="3"/>
        <v>1116</v>
      </c>
      <c r="K26" s="333"/>
    </row>
    <row r="27" ht="15.75" customHeight="1">
      <c r="B27" s="353" t="s">
        <v>19</v>
      </c>
      <c r="C27" s="374" t="s">
        <v>22</v>
      </c>
      <c r="D27" s="369" t="s">
        <v>314</v>
      </c>
      <c r="E27" s="318" t="s">
        <v>361</v>
      </c>
      <c r="F27" s="364" t="s">
        <v>362</v>
      </c>
      <c r="H27" s="362" t="s">
        <v>309</v>
      </c>
      <c r="I27" s="332"/>
      <c r="J27" s="322">
        <f t="shared" si="3"/>
        <v>452</v>
      </c>
      <c r="K27" s="333"/>
    </row>
    <row r="28" ht="15.75" customHeight="1">
      <c r="B28" s="324" t="s">
        <v>23</v>
      </c>
      <c r="C28" s="339" t="s">
        <v>27</v>
      </c>
      <c r="D28" s="351" t="s">
        <v>304</v>
      </c>
      <c r="E28" s="318" t="s">
        <v>363</v>
      </c>
      <c r="F28" s="364" t="s">
        <v>364</v>
      </c>
      <c r="H28" s="376"/>
      <c r="I28" s="332"/>
      <c r="J28" s="322">
        <f t="shared" si="3"/>
        <v>948</v>
      </c>
      <c r="K28" s="333"/>
    </row>
    <row r="29" ht="15.75" customHeight="1">
      <c r="B29" s="339" t="s">
        <v>27</v>
      </c>
      <c r="C29" s="324" t="s">
        <v>23</v>
      </c>
      <c r="D29" s="373" t="s">
        <v>331</v>
      </c>
      <c r="E29" s="318" t="s">
        <v>365</v>
      </c>
      <c r="F29" s="364" t="s">
        <v>366</v>
      </c>
      <c r="H29" s="376"/>
      <c r="I29" s="332"/>
      <c r="J29" s="322">
        <f t="shared" si="3"/>
        <v>676</v>
      </c>
      <c r="K29" s="333"/>
    </row>
    <row r="30" ht="15.75" customHeight="1">
      <c r="B30" s="349" t="s">
        <v>27</v>
      </c>
      <c r="C30" s="377" t="s">
        <v>300</v>
      </c>
      <c r="D30" s="330" t="s">
        <v>331</v>
      </c>
      <c r="E30" s="318" t="s">
        <v>367</v>
      </c>
      <c r="F30" s="364" t="s">
        <v>368</v>
      </c>
      <c r="H30" s="365"/>
      <c r="I30" s="332"/>
      <c r="J30" s="322">
        <f t="shared" si="3"/>
        <v>345</v>
      </c>
      <c r="K30" s="333"/>
    </row>
    <row r="31" ht="15.75" customHeight="1">
      <c r="B31" s="315" t="s">
        <v>27</v>
      </c>
      <c r="C31" s="378" t="s">
        <v>320</v>
      </c>
      <c r="D31" s="351" t="s">
        <v>331</v>
      </c>
      <c r="E31" s="318" t="s">
        <v>369</v>
      </c>
      <c r="F31" s="364" t="s">
        <v>370</v>
      </c>
      <c r="H31" s="365"/>
      <c r="I31" s="332"/>
      <c r="J31" s="322">
        <f t="shared" si="3"/>
        <v>471</v>
      </c>
      <c r="K31" s="333"/>
    </row>
    <row r="32" ht="15.75" customHeight="1">
      <c r="A32" s="299"/>
      <c r="B32" s="325" t="s">
        <v>371</v>
      </c>
      <c r="C32" s="379" t="s">
        <v>24</v>
      </c>
      <c r="D32" s="351" t="s">
        <v>327</v>
      </c>
      <c r="E32" s="318" t="s">
        <v>372</v>
      </c>
      <c r="F32" s="364" t="s">
        <v>373</v>
      </c>
      <c r="G32" s="299"/>
      <c r="H32" s="376"/>
      <c r="I32" s="332"/>
      <c r="J32" s="322">
        <f t="shared" si="3"/>
        <v>692</v>
      </c>
      <c r="K32" s="333"/>
    </row>
    <row r="33" ht="15.75" customHeight="1">
      <c r="A33" s="299"/>
      <c r="B33" s="379" t="s">
        <v>24</v>
      </c>
      <c r="C33" s="325" t="s">
        <v>371</v>
      </c>
      <c r="D33" s="351" t="s">
        <v>311</v>
      </c>
      <c r="E33" s="318" t="s">
        <v>374</v>
      </c>
      <c r="F33" s="364" t="s">
        <v>375</v>
      </c>
      <c r="G33" s="299"/>
      <c r="H33" s="376"/>
      <c r="I33" s="332"/>
      <c r="J33" s="322">
        <f t="shared" si="3"/>
        <v>486</v>
      </c>
      <c r="K33" s="333"/>
    </row>
    <row r="34" ht="15.75" customHeight="1">
      <c r="A34" s="299"/>
      <c r="B34" s="328" t="s">
        <v>26</v>
      </c>
      <c r="C34" s="363" t="s">
        <v>299</v>
      </c>
      <c r="D34" s="330" t="s">
        <v>342</v>
      </c>
      <c r="E34" s="318" t="s">
        <v>376</v>
      </c>
      <c r="F34" s="364" t="s">
        <v>377</v>
      </c>
      <c r="G34" s="299"/>
      <c r="H34" s="376"/>
      <c r="I34" s="332"/>
      <c r="J34" s="322">
        <f t="shared" si="3"/>
        <v>796</v>
      </c>
      <c r="K34" s="333"/>
    </row>
    <row r="35" ht="15.75" customHeight="1">
      <c r="A35" s="299"/>
      <c r="B35" s="363" t="s">
        <v>299</v>
      </c>
      <c r="C35" s="328" t="s">
        <v>26</v>
      </c>
      <c r="D35" s="380">
        <v>45296.0</v>
      </c>
      <c r="E35" s="318" t="s">
        <v>378</v>
      </c>
      <c r="F35" s="381" t="s">
        <v>379</v>
      </c>
      <c r="G35" s="299"/>
      <c r="H35" s="376"/>
      <c r="I35" s="332"/>
      <c r="J35" s="322">
        <f t="shared" si="3"/>
        <v>527</v>
      </c>
      <c r="K35" s="333"/>
    </row>
    <row r="36" ht="15.75" customHeight="1">
      <c r="A36" s="299"/>
      <c r="B36" s="315" t="s">
        <v>299</v>
      </c>
      <c r="C36" s="382" t="s">
        <v>23</v>
      </c>
      <c r="D36" s="351" t="s">
        <v>349</v>
      </c>
      <c r="E36" s="318" t="s">
        <v>380</v>
      </c>
      <c r="F36" s="364" t="s">
        <v>381</v>
      </c>
      <c r="G36" s="299"/>
      <c r="H36" s="365"/>
      <c r="I36" s="332"/>
      <c r="J36" s="322">
        <f t="shared" si="3"/>
        <v>1070</v>
      </c>
      <c r="K36" s="333"/>
    </row>
    <row r="37" ht="15.75" customHeight="1">
      <c r="A37" s="299"/>
      <c r="B37" s="328" t="s">
        <v>300</v>
      </c>
      <c r="C37" s="363" t="s">
        <v>26</v>
      </c>
      <c r="D37" s="330" t="s">
        <v>342</v>
      </c>
      <c r="E37" s="318" t="s">
        <v>382</v>
      </c>
      <c r="F37" s="364" t="s">
        <v>383</v>
      </c>
      <c r="G37" s="299"/>
      <c r="H37" s="376"/>
      <c r="I37" s="332"/>
      <c r="J37" s="322">
        <f t="shared" si="3"/>
        <v>639</v>
      </c>
      <c r="K37" s="333"/>
    </row>
    <row r="38" ht="15.75" customHeight="1">
      <c r="A38" s="299"/>
      <c r="B38" s="363" t="s">
        <v>26</v>
      </c>
      <c r="C38" s="353" t="s">
        <v>300</v>
      </c>
      <c r="D38" s="330" t="s">
        <v>295</v>
      </c>
      <c r="E38" s="318" t="s">
        <v>384</v>
      </c>
      <c r="F38" s="364" t="s">
        <v>385</v>
      </c>
      <c r="G38" s="299"/>
      <c r="H38" s="376"/>
      <c r="I38" s="332"/>
      <c r="J38" s="322">
        <f t="shared" si="3"/>
        <v>993</v>
      </c>
      <c r="K38" s="333"/>
    </row>
    <row r="39" ht="15.75" customHeight="1">
      <c r="A39" s="299"/>
      <c r="B39" s="354" t="s">
        <v>23</v>
      </c>
      <c r="C39" s="383" t="s">
        <v>320</v>
      </c>
      <c r="D39" s="355" t="s">
        <v>295</v>
      </c>
      <c r="E39" s="347" t="s">
        <v>386</v>
      </c>
      <c r="F39" s="384" t="s">
        <v>387</v>
      </c>
      <c r="G39" s="299"/>
      <c r="H39" s="365"/>
      <c r="I39" s="332"/>
      <c r="J39" s="322">
        <f t="shared" si="3"/>
        <v>1056</v>
      </c>
      <c r="K39" s="333"/>
    </row>
    <row r="40" ht="15.75" customHeight="1">
      <c r="A40" s="299"/>
      <c r="B40" s="339" t="s">
        <v>320</v>
      </c>
      <c r="C40" s="385" t="s">
        <v>23</v>
      </c>
      <c r="D40" s="386" t="s">
        <v>295</v>
      </c>
      <c r="E40" s="387" t="s">
        <v>388</v>
      </c>
      <c r="F40" s="388" t="s">
        <v>389</v>
      </c>
      <c r="G40" s="299"/>
      <c r="H40" s="365"/>
      <c r="I40" s="332"/>
      <c r="J40" s="322"/>
      <c r="K40" s="333"/>
    </row>
    <row r="41" ht="15.75" customHeight="1">
      <c r="A41" s="299"/>
      <c r="B41" s="389" t="s">
        <v>23</v>
      </c>
      <c r="C41" s="328" t="s">
        <v>299</v>
      </c>
      <c r="D41" s="390" t="s">
        <v>295</v>
      </c>
      <c r="E41" s="387" t="s">
        <v>390</v>
      </c>
      <c r="F41" s="388" t="s">
        <v>391</v>
      </c>
      <c r="G41" s="299"/>
      <c r="H41" s="365"/>
      <c r="I41" s="332"/>
      <c r="J41" s="322"/>
      <c r="K41" s="333"/>
    </row>
    <row r="42" ht="15.75" customHeight="1">
      <c r="A42" s="391"/>
      <c r="B42" s="391"/>
      <c r="C42" s="307"/>
      <c r="D42" s="308"/>
      <c r="E42" s="309"/>
      <c r="F42" s="310"/>
      <c r="G42" s="392"/>
      <c r="H42" s="311"/>
      <c r="I42" s="312"/>
      <c r="J42" s="311"/>
      <c r="K42" s="313"/>
    </row>
    <row r="43" ht="15.75" customHeight="1">
      <c r="A43" s="299" t="s">
        <v>392</v>
      </c>
      <c r="B43" s="379" t="s">
        <v>330</v>
      </c>
      <c r="C43" s="393" t="s">
        <v>24</v>
      </c>
      <c r="D43" s="394" t="s">
        <v>342</v>
      </c>
      <c r="E43" s="318" t="s">
        <v>393</v>
      </c>
      <c r="F43" s="319" t="s">
        <v>394</v>
      </c>
      <c r="G43" s="299"/>
      <c r="H43" s="376"/>
      <c r="I43" s="332"/>
      <c r="J43" s="322">
        <f t="shared" ref="J43:J49" si="4">E43*24*60</f>
        <v>878</v>
      </c>
      <c r="K43" s="333"/>
    </row>
    <row r="44" ht="15.75" customHeight="1">
      <c r="B44" s="328" t="s">
        <v>310</v>
      </c>
      <c r="C44" s="374" t="s">
        <v>299</v>
      </c>
      <c r="D44" s="330" t="s">
        <v>301</v>
      </c>
      <c r="E44" s="318" t="s">
        <v>395</v>
      </c>
      <c r="F44" s="319" t="s">
        <v>396</v>
      </c>
      <c r="H44" s="376"/>
      <c r="I44" s="332"/>
      <c r="J44" s="322">
        <f t="shared" si="4"/>
        <v>1304</v>
      </c>
      <c r="K44" s="333"/>
    </row>
    <row r="45" ht="15.75" customHeight="1">
      <c r="B45" s="315" t="s">
        <v>371</v>
      </c>
      <c r="C45" s="395" t="s">
        <v>19</v>
      </c>
      <c r="D45" s="351" t="s">
        <v>331</v>
      </c>
      <c r="E45" s="318" t="s">
        <v>397</v>
      </c>
      <c r="F45" s="319" t="s">
        <v>398</v>
      </c>
      <c r="H45" s="365"/>
      <c r="I45" s="332"/>
      <c r="J45" s="322">
        <f t="shared" si="4"/>
        <v>383</v>
      </c>
      <c r="K45" s="333"/>
    </row>
    <row r="46" ht="15.75" customHeight="1">
      <c r="B46" s="379" t="s">
        <v>19</v>
      </c>
      <c r="C46" s="393" t="s">
        <v>371</v>
      </c>
      <c r="D46" s="351" t="s">
        <v>342</v>
      </c>
      <c r="E46" s="318" t="s">
        <v>361</v>
      </c>
      <c r="F46" s="319" t="s">
        <v>399</v>
      </c>
      <c r="H46" s="376"/>
      <c r="I46" s="332"/>
      <c r="J46" s="322">
        <f t="shared" si="4"/>
        <v>452</v>
      </c>
      <c r="K46" s="333"/>
    </row>
    <row r="47" ht="15.75" customHeight="1">
      <c r="B47" s="315" t="s">
        <v>310</v>
      </c>
      <c r="C47" s="395" t="s">
        <v>21</v>
      </c>
      <c r="D47" s="351" t="s">
        <v>317</v>
      </c>
      <c r="E47" s="318" t="s">
        <v>400</v>
      </c>
      <c r="F47" s="319" t="s">
        <v>401</v>
      </c>
      <c r="H47" s="365"/>
      <c r="I47" s="337"/>
      <c r="J47" s="322">
        <f t="shared" si="4"/>
        <v>1364</v>
      </c>
      <c r="K47" s="338"/>
    </row>
    <row r="48" ht="15.75" customHeight="1">
      <c r="B48" s="379" t="s">
        <v>21</v>
      </c>
      <c r="C48" s="393" t="s">
        <v>310</v>
      </c>
      <c r="D48" s="351" t="s">
        <v>314</v>
      </c>
      <c r="E48" s="318" t="s">
        <v>402</v>
      </c>
      <c r="F48" s="319" t="s">
        <v>403</v>
      </c>
      <c r="H48" s="365"/>
      <c r="I48" s="337"/>
      <c r="J48" s="322">
        <f t="shared" si="4"/>
        <v>1010</v>
      </c>
      <c r="K48" s="338"/>
    </row>
    <row r="49" ht="15.75" customHeight="1">
      <c r="B49" s="315" t="s">
        <v>22</v>
      </c>
      <c r="C49" s="395" t="s">
        <v>24</v>
      </c>
      <c r="D49" s="351" t="s">
        <v>327</v>
      </c>
      <c r="E49" s="318" t="s">
        <v>404</v>
      </c>
      <c r="F49" s="319" t="s">
        <v>405</v>
      </c>
      <c r="H49" s="365"/>
      <c r="I49" s="337"/>
      <c r="J49" s="322">
        <f t="shared" si="4"/>
        <v>962</v>
      </c>
      <c r="K49" s="338"/>
    </row>
    <row r="50" ht="15.75" customHeight="1">
      <c r="B50" s="328" t="s">
        <v>320</v>
      </c>
      <c r="C50" s="396" t="s">
        <v>26</v>
      </c>
      <c r="D50" s="330" t="s">
        <v>314</v>
      </c>
      <c r="E50" s="318" t="s">
        <v>406</v>
      </c>
      <c r="F50" s="319" t="s">
        <v>407</v>
      </c>
      <c r="H50" s="365"/>
      <c r="I50" s="337"/>
      <c r="J50" s="322"/>
      <c r="K50" s="338"/>
    </row>
    <row r="51" ht="15.75" customHeight="1">
      <c r="B51" s="315" t="s">
        <v>26</v>
      </c>
      <c r="C51" s="395" t="s">
        <v>320</v>
      </c>
      <c r="D51" s="330" t="s">
        <v>331</v>
      </c>
      <c r="E51" s="318" t="s">
        <v>408</v>
      </c>
      <c r="F51" s="319" t="s">
        <v>409</v>
      </c>
      <c r="H51" s="365"/>
      <c r="I51" s="337"/>
      <c r="J51" s="322">
        <f>E51*24*60</f>
        <v>573</v>
      </c>
      <c r="K51" s="338"/>
    </row>
    <row r="52" ht="15.75" customHeight="1">
      <c r="B52" s="382" t="s">
        <v>24</v>
      </c>
      <c r="C52" s="315" t="s">
        <v>22</v>
      </c>
      <c r="D52" s="397">
        <v>45413.0</v>
      </c>
      <c r="E52" s="318" t="s">
        <v>410</v>
      </c>
      <c r="F52" s="319" t="s">
        <v>411</v>
      </c>
      <c r="H52" s="365"/>
      <c r="I52" s="337"/>
      <c r="J52" s="322"/>
      <c r="K52" s="338"/>
    </row>
    <row r="53" ht="15.75" customHeight="1">
      <c r="B53" s="379" t="s">
        <v>320</v>
      </c>
      <c r="C53" s="393" t="s">
        <v>27</v>
      </c>
      <c r="D53" s="351" t="s">
        <v>311</v>
      </c>
      <c r="E53" s="318" t="s">
        <v>412</v>
      </c>
      <c r="F53" s="319" t="s">
        <v>413</v>
      </c>
      <c r="H53" s="365"/>
      <c r="I53" s="337"/>
      <c r="J53" s="322">
        <f t="shared" ref="J53:J55" si="5">E53*24*60</f>
        <v>792</v>
      </c>
      <c r="K53" s="338"/>
    </row>
    <row r="54" ht="15.75" customHeight="1">
      <c r="B54" s="328" t="s">
        <v>310</v>
      </c>
      <c r="C54" s="374" t="s">
        <v>22</v>
      </c>
      <c r="D54" s="330" t="s">
        <v>301</v>
      </c>
      <c r="E54" s="318" t="s">
        <v>414</v>
      </c>
      <c r="F54" s="319" t="s">
        <v>415</v>
      </c>
      <c r="H54" s="365"/>
      <c r="I54" s="332"/>
      <c r="J54" s="322">
        <f t="shared" si="5"/>
        <v>1248</v>
      </c>
      <c r="K54" s="333"/>
    </row>
    <row r="55" ht="15.75" customHeight="1">
      <c r="B55" s="374" t="s">
        <v>22</v>
      </c>
      <c r="C55" s="328" t="s">
        <v>310</v>
      </c>
      <c r="D55" s="330" t="s">
        <v>331</v>
      </c>
      <c r="E55" s="318" t="s">
        <v>416</v>
      </c>
      <c r="F55" s="319" t="s">
        <v>417</v>
      </c>
      <c r="H55" s="365"/>
      <c r="I55" s="332"/>
      <c r="J55" s="322">
        <f t="shared" si="5"/>
        <v>421</v>
      </c>
      <c r="K55" s="333"/>
    </row>
    <row r="56" ht="15.75" customHeight="1">
      <c r="A56" s="146"/>
      <c r="B56" s="379" t="s">
        <v>23</v>
      </c>
      <c r="C56" s="393" t="s">
        <v>371</v>
      </c>
      <c r="D56" s="351" t="s">
        <v>301</v>
      </c>
      <c r="E56" s="318" t="s">
        <v>418</v>
      </c>
      <c r="F56" s="319" t="s">
        <v>419</v>
      </c>
      <c r="G56" s="1"/>
      <c r="H56" s="376"/>
      <c r="I56" s="332"/>
      <c r="J56" s="322"/>
      <c r="K56" s="333"/>
    </row>
    <row r="57" ht="15.75" customHeight="1">
      <c r="A57" s="146"/>
      <c r="B57" s="393" t="s">
        <v>371</v>
      </c>
      <c r="C57" s="379" t="s">
        <v>23</v>
      </c>
      <c r="D57" s="351" t="s">
        <v>331</v>
      </c>
      <c r="E57" s="318" t="s">
        <v>420</v>
      </c>
      <c r="F57" s="319" t="s">
        <v>421</v>
      </c>
      <c r="G57" s="1"/>
      <c r="H57" s="376"/>
      <c r="I57" s="332"/>
      <c r="J57" s="322"/>
      <c r="K57" s="333"/>
    </row>
    <row r="58" ht="15.75" customHeight="1">
      <c r="A58" s="146"/>
      <c r="B58" s="328" t="s">
        <v>320</v>
      </c>
      <c r="C58" s="374" t="s">
        <v>24</v>
      </c>
      <c r="D58" s="330" t="s">
        <v>314</v>
      </c>
      <c r="E58" s="318" t="s">
        <v>422</v>
      </c>
      <c r="F58" s="319" t="s">
        <v>423</v>
      </c>
      <c r="G58" s="1"/>
      <c r="H58" s="376"/>
      <c r="I58" s="332"/>
      <c r="J58" s="322">
        <f t="shared" ref="J58:J59" si="6">E58*24*60</f>
        <v>738</v>
      </c>
      <c r="K58" s="333"/>
    </row>
    <row r="59" ht="15.75" customHeight="1">
      <c r="A59" s="146"/>
      <c r="B59" s="361" t="s">
        <v>310</v>
      </c>
      <c r="C59" s="367" t="s">
        <v>320</v>
      </c>
      <c r="D59" s="398" t="s">
        <v>317</v>
      </c>
      <c r="E59" s="318" t="s">
        <v>424</v>
      </c>
      <c r="F59" s="319" t="s">
        <v>425</v>
      </c>
      <c r="G59" s="1"/>
      <c r="H59" s="376"/>
      <c r="I59" s="332"/>
      <c r="J59" s="322">
        <f t="shared" si="6"/>
        <v>1660</v>
      </c>
      <c r="K59" s="333"/>
    </row>
    <row r="60" ht="15.75" customHeight="1">
      <c r="A60" s="146"/>
      <c r="B60" s="382" t="s">
        <v>24</v>
      </c>
      <c r="C60" s="339" t="s">
        <v>27</v>
      </c>
      <c r="D60" s="386" t="s">
        <v>314</v>
      </c>
      <c r="E60" s="387" t="s">
        <v>426</v>
      </c>
      <c r="F60" s="399" t="s">
        <v>427</v>
      </c>
      <c r="G60" s="1"/>
      <c r="H60" s="376"/>
      <c r="I60" s="332"/>
      <c r="J60" s="322"/>
      <c r="K60" s="333"/>
    </row>
    <row r="61" ht="15.75" customHeight="1">
      <c r="A61" s="391"/>
      <c r="B61" s="391"/>
      <c r="C61" s="307"/>
      <c r="D61" s="308"/>
      <c r="E61" s="309"/>
      <c r="F61" s="310"/>
      <c r="G61" s="392"/>
      <c r="H61" s="311"/>
      <c r="I61" s="312"/>
      <c r="J61" s="311"/>
      <c r="K61" s="313"/>
    </row>
    <row r="62" ht="15.75" customHeight="1">
      <c r="A62" s="400" t="s">
        <v>428</v>
      </c>
      <c r="B62" s="361" t="s">
        <v>300</v>
      </c>
      <c r="C62" s="353" t="s">
        <v>19</v>
      </c>
      <c r="D62" s="330" t="s">
        <v>295</v>
      </c>
      <c r="E62" s="318" t="s">
        <v>429</v>
      </c>
      <c r="F62" s="319" t="s">
        <v>430</v>
      </c>
      <c r="G62" s="400"/>
      <c r="H62" s="376"/>
      <c r="I62" s="332"/>
      <c r="J62" s="322">
        <f t="shared" ref="J62:J67" si="7">E62*24*60</f>
        <v>1093</v>
      </c>
      <c r="K62" s="333"/>
    </row>
    <row r="63" ht="15.75" customHeight="1">
      <c r="B63" s="361" t="s">
        <v>23</v>
      </c>
      <c r="C63" s="353" t="s">
        <v>19</v>
      </c>
      <c r="D63" s="330" t="s">
        <v>349</v>
      </c>
      <c r="E63" s="318" t="s">
        <v>431</v>
      </c>
      <c r="F63" s="319" t="s">
        <v>432</v>
      </c>
      <c r="H63" s="376"/>
      <c r="I63" s="332"/>
      <c r="J63" s="322">
        <f t="shared" si="7"/>
        <v>1067</v>
      </c>
      <c r="K63" s="333"/>
    </row>
    <row r="64" ht="15.75" customHeight="1">
      <c r="B64" s="328" t="s">
        <v>19</v>
      </c>
      <c r="C64" s="325" t="s">
        <v>23</v>
      </c>
      <c r="D64" s="330" t="s">
        <v>311</v>
      </c>
      <c r="E64" s="318" t="s">
        <v>433</v>
      </c>
      <c r="F64" s="319" t="s">
        <v>434</v>
      </c>
      <c r="H64" s="376"/>
      <c r="I64" s="332"/>
      <c r="J64" s="322">
        <f t="shared" si="7"/>
        <v>1353</v>
      </c>
      <c r="K64" s="333"/>
    </row>
    <row r="65" ht="15.75" customHeight="1">
      <c r="B65" s="361" t="s">
        <v>21</v>
      </c>
      <c r="C65" s="353" t="s">
        <v>22</v>
      </c>
      <c r="D65" s="330" t="s">
        <v>435</v>
      </c>
      <c r="E65" s="318" t="s">
        <v>436</v>
      </c>
      <c r="F65" s="319" t="s">
        <v>437</v>
      </c>
      <c r="H65" s="376"/>
      <c r="I65" s="332"/>
      <c r="J65" s="322">
        <f t="shared" si="7"/>
        <v>119</v>
      </c>
      <c r="K65" s="333"/>
    </row>
    <row r="66" ht="15.75" customHeight="1">
      <c r="B66" s="328" t="s">
        <v>22</v>
      </c>
      <c r="C66" s="363" t="s">
        <v>21</v>
      </c>
      <c r="D66" s="330" t="s">
        <v>301</v>
      </c>
      <c r="E66" s="318" t="s">
        <v>438</v>
      </c>
      <c r="F66" s="319" t="s">
        <v>439</v>
      </c>
      <c r="H66" s="376"/>
      <c r="I66" s="337"/>
      <c r="J66" s="322">
        <f t="shared" si="7"/>
        <v>915</v>
      </c>
      <c r="K66" s="338"/>
    </row>
    <row r="67" ht="15.75" customHeight="1">
      <c r="B67" s="328" t="s">
        <v>310</v>
      </c>
      <c r="C67" s="363" t="s">
        <v>27</v>
      </c>
      <c r="D67" s="330" t="s">
        <v>304</v>
      </c>
      <c r="E67" s="318" t="s">
        <v>440</v>
      </c>
      <c r="F67" s="319" t="s">
        <v>441</v>
      </c>
      <c r="H67" s="365"/>
      <c r="I67" s="337"/>
      <c r="J67" s="322">
        <f t="shared" si="7"/>
        <v>748</v>
      </c>
      <c r="K67" s="338"/>
    </row>
    <row r="68" ht="15.75" customHeight="1">
      <c r="A68" s="400"/>
      <c r="B68" s="162" t="s">
        <v>24</v>
      </c>
      <c r="C68" s="389" t="s">
        <v>19</v>
      </c>
      <c r="D68" s="390" t="s">
        <v>301</v>
      </c>
      <c r="E68" s="387" t="s">
        <v>442</v>
      </c>
      <c r="F68" s="399" t="s">
        <v>443</v>
      </c>
      <c r="G68" s="400"/>
      <c r="H68" s="365"/>
      <c r="I68" s="337"/>
      <c r="J68" s="322"/>
      <c r="K68" s="338"/>
    </row>
    <row r="69" ht="15.75" customHeight="1">
      <c r="A69" s="400"/>
      <c r="B69" s="401" t="s">
        <v>19</v>
      </c>
      <c r="C69" s="402" t="s">
        <v>310</v>
      </c>
      <c r="D69" s="386" t="s">
        <v>301</v>
      </c>
      <c r="E69" s="387" t="s">
        <v>444</v>
      </c>
      <c r="F69" s="399" t="s">
        <v>445</v>
      </c>
      <c r="G69" s="400"/>
      <c r="H69" s="365"/>
      <c r="I69" s="337"/>
      <c r="J69" s="322"/>
      <c r="K69" s="338"/>
    </row>
    <row r="70" ht="15.75" customHeight="1">
      <c r="A70" s="400"/>
      <c r="B70" s="162" t="s">
        <v>310</v>
      </c>
      <c r="C70" s="389" t="s">
        <v>19</v>
      </c>
      <c r="D70" s="390" t="s">
        <v>314</v>
      </c>
      <c r="E70" s="387" t="s">
        <v>446</v>
      </c>
      <c r="F70" s="403"/>
      <c r="G70" s="400"/>
      <c r="H70" s="365"/>
      <c r="I70" s="337"/>
      <c r="J70" s="322"/>
      <c r="K70" s="338"/>
    </row>
    <row r="71" ht="15.75" customHeight="1">
      <c r="A71" s="400"/>
      <c r="B71" s="339" t="s">
        <v>300</v>
      </c>
      <c r="C71" s="385" t="s">
        <v>24</v>
      </c>
      <c r="D71" s="386" t="s">
        <v>331</v>
      </c>
      <c r="E71" s="387" t="s">
        <v>446</v>
      </c>
      <c r="F71" s="403"/>
      <c r="G71" s="400"/>
      <c r="H71" s="365"/>
      <c r="I71" s="337"/>
      <c r="J71" s="322"/>
      <c r="K71" s="338"/>
    </row>
    <row r="72" ht="15.75" customHeight="1">
      <c r="A72" s="400"/>
      <c r="B72" s="339" t="s">
        <v>27</v>
      </c>
      <c r="C72" s="385" t="s">
        <v>19</v>
      </c>
      <c r="D72" s="386" t="s">
        <v>327</v>
      </c>
      <c r="E72" s="387" t="s">
        <v>447</v>
      </c>
      <c r="F72" s="399" t="s">
        <v>448</v>
      </c>
      <c r="G72" s="400"/>
      <c r="H72" s="365"/>
      <c r="I72" s="337"/>
      <c r="J72" s="322"/>
      <c r="K72" s="338"/>
    </row>
    <row r="73" ht="15.75" customHeight="1">
      <c r="A73" s="400"/>
      <c r="B73" s="401" t="s">
        <v>22</v>
      </c>
      <c r="C73" s="402" t="s">
        <v>320</v>
      </c>
      <c r="D73" s="386" t="s">
        <v>342</v>
      </c>
      <c r="E73" s="387" t="s">
        <v>449</v>
      </c>
      <c r="F73" s="399" t="s">
        <v>450</v>
      </c>
      <c r="G73" s="400"/>
      <c r="H73" s="365"/>
      <c r="I73" s="337"/>
      <c r="J73" s="322"/>
      <c r="K73" s="338"/>
    </row>
    <row r="74" ht="15.75" customHeight="1">
      <c r="A74" s="400"/>
      <c r="B74" s="339" t="s">
        <v>300</v>
      </c>
      <c r="C74" s="385" t="s">
        <v>310</v>
      </c>
      <c r="D74" s="386" t="s">
        <v>295</v>
      </c>
      <c r="E74" s="387" t="s">
        <v>451</v>
      </c>
      <c r="F74" s="399" t="s">
        <v>452</v>
      </c>
      <c r="G74" s="400"/>
      <c r="H74" s="365"/>
      <c r="I74" s="337"/>
      <c r="J74" s="322"/>
      <c r="K74" s="338"/>
    </row>
    <row r="75" ht="15.75" customHeight="1">
      <c r="A75" s="400"/>
      <c r="B75" s="401" t="s">
        <v>19</v>
      </c>
      <c r="C75" s="389" t="s">
        <v>320</v>
      </c>
      <c r="D75" s="386" t="s">
        <v>311</v>
      </c>
      <c r="E75" s="387" t="s">
        <v>453</v>
      </c>
      <c r="F75" s="399" t="s">
        <v>454</v>
      </c>
      <c r="G75" s="400"/>
      <c r="H75" s="365"/>
      <c r="I75" s="337"/>
      <c r="J75" s="322"/>
      <c r="K75" s="338"/>
    </row>
    <row r="76" ht="15.75" customHeight="1">
      <c r="A76" s="400"/>
      <c r="B76" s="162" t="s">
        <v>21</v>
      </c>
      <c r="C76" s="389" t="s">
        <v>371</v>
      </c>
      <c r="D76" s="390" t="s">
        <v>301</v>
      </c>
      <c r="E76" s="387" t="s">
        <v>455</v>
      </c>
      <c r="F76" s="399" t="s">
        <v>456</v>
      </c>
      <c r="G76" s="400"/>
      <c r="H76" s="365"/>
      <c r="I76" s="337"/>
      <c r="J76" s="322"/>
      <c r="K76" s="338"/>
    </row>
    <row r="77" ht="15.75" customHeight="1">
      <c r="A77" s="400"/>
      <c r="B77" s="401" t="s">
        <v>371</v>
      </c>
      <c r="C77" s="402" t="s">
        <v>21</v>
      </c>
      <c r="D77" s="386" t="s">
        <v>311</v>
      </c>
      <c r="E77" s="387" t="s">
        <v>457</v>
      </c>
      <c r="F77" s="399" t="s">
        <v>458</v>
      </c>
      <c r="G77" s="400"/>
      <c r="H77" s="365"/>
      <c r="I77" s="337"/>
      <c r="J77" s="322"/>
      <c r="K77" s="338"/>
    </row>
    <row r="78" ht="15.75" customHeight="1">
      <c r="A78" s="400"/>
      <c r="B78" s="339" t="s">
        <v>320</v>
      </c>
      <c r="C78" s="385" t="s">
        <v>299</v>
      </c>
      <c r="D78" s="386" t="s">
        <v>349</v>
      </c>
      <c r="E78" s="387" t="s">
        <v>459</v>
      </c>
      <c r="F78" s="399" t="s">
        <v>460</v>
      </c>
      <c r="G78" s="400"/>
      <c r="H78" s="365" t="s">
        <v>461</v>
      </c>
      <c r="I78" s="337"/>
      <c r="J78" s="322"/>
      <c r="K78" s="338"/>
    </row>
    <row r="79" ht="15.75" customHeight="1">
      <c r="A79" s="400"/>
      <c r="B79" s="339" t="s">
        <v>371</v>
      </c>
      <c r="C79" s="385" t="s">
        <v>299</v>
      </c>
      <c r="D79" s="386" t="s">
        <v>349</v>
      </c>
      <c r="E79" s="387" t="s">
        <v>462</v>
      </c>
      <c r="F79" s="399" t="s">
        <v>463</v>
      </c>
      <c r="G79" s="400"/>
      <c r="H79" s="365" t="s">
        <v>461</v>
      </c>
      <c r="I79" s="337"/>
      <c r="J79" s="322"/>
      <c r="K79" s="338"/>
    </row>
    <row r="80" ht="15.75" customHeight="1">
      <c r="A80" s="400"/>
      <c r="B80" s="401" t="s">
        <v>23</v>
      </c>
      <c r="C80" s="402" t="s">
        <v>320</v>
      </c>
      <c r="D80" s="386" t="s">
        <v>311</v>
      </c>
      <c r="E80" s="387" t="s">
        <v>464</v>
      </c>
      <c r="F80" s="399" t="s">
        <v>465</v>
      </c>
      <c r="G80" s="400"/>
      <c r="H80" s="365" t="s">
        <v>461</v>
      </c>
      <c r="I80" s="337"/>
      <c r="J80" s="322"/>
      <c r="K80" s="338"/>
    </row>
    <row r="81" ht="15.75" customHeight="1">
      <c r="A81" s="400"/>
      <c r="B81" s="162" t="s">
        <v>19</v>
      </c>
      <c r="C81" s="389" t="s">
        <v>21</v>
      </c>
      <c r="D81" s="390" t="s">
        <v>314</v>
      </c>
      <c r="E81" s="387" t="s">
        <v>466</v>
      </c>
      <c r="F81" s="399" t="s">
        <v>467</v>
      </c>
      <c r="G81" s="400"/>
      <c r="H81" s="365" t="s">
        <v>461</v>
      </c>
      <c r="I81" s="337"/>
      <c r="J81" s="322"/>
      <c r="K81" s="338"/>
    </row>
    <row r="82" ht="15.75" customHeight="1">
      <c r="A82" s="400"/>
      <c r="B82" s="339" t="s">
        <v>27</v>
      </c>
      <c r="C82" s="385" t="s">
        <v>24</v>
      </c>
      <c r="D82" s="386" t="s">
        <v>295</v>
      </c>
      <c r="E82" s="387" t="s">
        <v>468</v>
      </c>
      <c r="F82" s="399" t="s">
        <v>469</v>
      </c>
      <c r="G82" s="400"/>
      <c r="H82" s="365" t="s">
        <v>461</v>
      </c>
      <c r="I82" s="337"/>
      <c r="J82" s="322"/>
      <c r="K82" s="338"/>
    </row>
    <row r="83" ht="15.75" customHeight="1">
      <c r="A83" s="400"/>
      <c r="B83" s="339" t="s">
        <v>23</v>
      </c>
      <c r="C83" s="385" t="s">
        <v>21</v>
      </c>
      <c r="D83" s="386" t="s">
        <v>331</v>
      </c>
      <c r="E83" s="387" t="s">
        <v>446</v>
      </c>
      <c r="F83" s="403"/>
      <c r="G83" s="400"/>
      <c r="H83" s="365"/>
      <c r="I83" s="337"/>
      <c r="J83" s="322"/>
      <c r="K83" s="338"/>
    </row>
    <row r="84" ht="15.75" customHeight="1">
      <c r="A84" s="400"/>
      <c r="B84" s="404" t="s">
        <v>24</v>
      </c>
      <c r="C84" s="402" t="s">
        <v>300</v>
      </c>
      <c r="D84" s="386" t="s">
        <v>311</v>
      </c>
      <c r="E84" s="387" t="s">
        <v>470</v>
      </c>
      <c r="F84" s="399" t="s">
        <v>471</v>
      </c>
      <c r="G84" s="400"/>
      <c r="H84" s="365" t="s">
        <v>461</v>
      </c>
      <c r="I84" s="337"/>
      <c r="J84" s="322"/>
      <c r="K84" s="338"/>
    </row>
    <row r="85" ht="15.75" customHeight="1">
      <c r="A85" s="400"/>
      <c r="B85" s="339" t="s">
        <v>22</v>
      </c>
      <c r="C85" s="385" t="s">
        <v>299</v>
      </c>
      <c r="D85" s="386" t="s">
        <v>317</v>
      </c>
      <c r="E85" s="387" t="s">
        <v>472</v>
      </c>
      <c r="F85" s="399" t="s">
        <v>473</v>
      </c>
      <c r="G85" s="400"/>
      <c r="H85" s="365" t="s">
        <v>461</v>
      </c>
      <c r="I85" s="337"/>
      <c r="J85" s="322"/>
      <c r="K85" s="338"/>
    </row>
    <row r="86" ht="15.75" customHeight="1">
      <c r="A86" s="400"/>
      <c r="B86" s="405" t="s">
        <v>299</v>
      </c>
      <c r="C86" s="368" t="s">
        <v>22</v>
      </c>
      <c r="D86" s="390" t="s">
        <v>317</v>
      </c>
      <c r="E86" s="387" t="s">
        <v>474</v>
      </c>
      <c r="F86" s="399" t="s">
        <v>475</v>
      </c>
      <c r="G86" s="400"/>
      <c r="H86" s="365" t="s">
        <v>461</v>
      </c>
      <c r="I86" s="337"/>
      <c r="J86" s="322"/>
      <c r="K86" s="338"/>
    </row>
    <row r="87" ht="15.75" customHeight="1">
      <c r="A87" s="391"/>
      <c r="B87" s="391"/>
      <c r="C87" s="307"/>
      <c r="D87" s="308"/>
      <c r="E87" s="309"/>
      <c r="F87" s="310"/>
      <c r="G87" s="392"/>
      <c r="H87" s="311"/>
      <c r="I87" s="312"/>
      <c r="J87" s="311"/>
      <c r="K87" s="313"/>
    </row>
    <row r="88" ht="15.75" customHeight="1">
      <c r="A88" s="299" t="s">
        <v>476</v>
      </c>
      <c r="B88" s="162" t="s">
        <v>27</v>
      </c>
      <c r="C88" s="406" t="s">
        <v>310</v>
      </c>
      <c r="D88" s="390" t="s">
        <v>311</v>
      </c>
      <c r="E88" s="318" t="s">
        <v>477</v>
      </c>
      <c r="F88" s="407" t="s">
        <v>478</v>
      </c>
      <c r="G88" s="299"/>
      <c r="H88" s="365" t="s">
        <v>461</v>
      </c>
      <c r="I88" s="337"/>
      <c r="J88" s="408" t="s">
        <v>479</v>
      </c>
      <c r="K88" s="338" t="str">
        <f>AVERAGE(J3:J15,J17:J39,J43:J59,J62:J67,J105:J114,J144:J163)/60</f>
        <v>#REF!</v>
      </c>
    </row>
    <row r="89" ht="15.75" customHeight="1">
      <c r="B89" s="389" t="s">
        <v>21</v>
      </c>
      <c r="C89" s="162" t="s">
        <v>27</v>
      </c>
      <c r="D89" s="390" t="s">
        <v>349</v>
      </c>
      <c r="E89" s="318" t="s">
        <v>480</v>
      </c>
      <c r="F89" s="407" t="s">
        <v>481</v>
      </c>
      <c r="H89" s="365" t="s">
        <v>461</v>
      </c>
      <c r="I89" s="337"/>
      <c r="J89" s="408" t="s">
        <v>482</v>
      </c>
      <c r="K89" s="338" t="str">
        <f>MIN(J3:J15,J17:J39,J43:J59,J62:J67,J105:J114,J144:J163)/60</f>
        <v>#REF!</v>
      </c>
    </row>
    <row r="90" ht="15.75" customHeight="1">
      <c r="B90" s="379" t="s">
        <v>23</v>
      </c>
      <c r="C90" s="325" t="s">
        <v>310</v>
      </c>
      <c r="D90" s="351" t="s">
        <v>311</v>
      </c>
      <c r="E90" s="318" t="s">
        <v>483</v>
      </c>
      <c r="F90" s="319" t="s">
        <v>484</v>
      </c>
      <c r="H90" s="365" t="s">
        <v>461</v>
      </c>
      <c r="I90" s="337"/>
      <c r="J90" s="408" t="s">
        <v>485</v>
      </c>
      <c r="K90" s="338" t="str">
        <f>MAX(J3:J15,J17:J39,J43:J59,J62:J67,J105:J114,J144:J163)/60</f>
        <v>#REF!</v>
      </c>
    </row>
    <row r="91" ht="15.75" customHeight="1">
      <c r="B91" s="350" t="s">
        <v>310</v>
      </c>
      <c r="C91" s="409" t="s">
        <v>23</v>
      </c>
      <c r="D91" s="390" t="s">
        <v>304</v>
      </c>
      <c r="E91" s="387" t="s">
        <v>486</v>
      </c>
      <c r="F91" s="399" t="s">
        <v>487</v>
      </c>
      <c r="G91" s="299"/>
      <c r="H91" s="365" t="s">
        <v>461</v>
      </c>
      <c r="I91" s="337"/>
      <c r="J91" s="408"/>
      <c r="K91" s="338"/>
    </row>
    <row r="92" ht="15.75" customHeight="1">
      <c r="B92" s="410" t="s">
        <v>26</v>
      </c>
      <c r="C92" s="411" t="s">
        <v>22</v>
      </c>
      <c r="D92" s="386" t="s">
        <v>295</v>
      </c>
      <c r="E92" s="387" t="s">
        <v>488</v>
      </c>
      <c r="F92" s="399" t="s">
        <v>489</v>
      </c>
      <c r="G92" s="299"/>
      <c r="H92" s="365" t="s">
        <v>461</v>
      </c>
      <c r="I92" s="337"/>
      <c r="J92" s="408"/>
      <c r="K92" s="338"/>
    </row>
    <row r="93" ht="15.75" customHeight="1">
      <c r="B93" s="412" t="s">
        <v>22</v>
      </c>
      <c r="C93" s="413" t="s">
        <v>26</v>
      </c>
      <c r="D93" s="386" t="s">
        <v>342</v>
      </c>
      <c r="E93" s="387" t="s">
        <v>490</v>
      </c>
      <c r="F93" s="399" t="s">
        <v>491</v>
      </c>
      <c r="G93" s="299"/>
      <c r="H93" s="365" t="s">
        <v>461</v>
      </c>
      <c r="I93" s="337"/>
      <c r="J93" s="408"/>
      <c r="K93" s="338"/>
    </row>
    <row r="94" ht="15.75" customHeight="1">
      <c r="B94" s="412" t="s">
        <v>371</v>
      </c>
      <c r="C94" s="414" t="s">
        <v>26</v>
      </c>
      <c r="D94" s="386" t="s">
        <v>301</v>
      </c>
      <c r="E94" s="387" t="s">
        <v>492</v>
      </c>
      <c r="F94" s="399" t="s">
        <v>493</v>
      </c>
      <c r="G94" s="299"/>
      <c r="H94" s="365" t="s">
        <v>461</v>
      </c>
      <c r="I94" s="337"/>
      <c r="J94" s="408"/>
      <c r="K94" s="338"/>
    </row>
    <row r="95" ht="15.75" customHeight="1">
      <c r="B95" s="350" t="s">
        <v>26</v>
      </c>
      <c r="C95" s="409" t="s">
        <v>371</v>
      </c>
      <c r="D95" s="390" t="s">
        <v>301</v>
      </c>
      <c r="E95" s="387" t="s">
        <v>494</v>
      </c>
      <c r="F95" s="399" t="s">
        <v>495</v>
      </c>
      <c r="G95" s="299"/>
      <c r="H95" s="365" t="s">
        <v>461</v>
      </c>
      <c r="I95" s="337"/>
      <c r="J95" s="408"/>
      <c r="K95" s="338"/>
    </row>
    <row r="96" ht="15.75" customHeight="1">
      <c r="B96" s="350" t="s">
        <v>26</v>
      </c>
      <c r="C96" s="409" t="s">
        <v>21</v>
      </c>
      <c r="D96" s="390" t="s">
        <v>342</v>
      </c>
      <c r="E96" s="387" t="s">
        <v>496</v>
      </c>
      <c r="F96" s="399" t="s">
        <v>497</v>
      </c>
      <c r="G96" s="299"/>
      <c r="H96" s="365" t="s">
        <v>461</v>
      </c>
      <c r="I96" s="337"/>
      <c r="J96" s="408"/>
      <c r="K96" s="338"/>
    </row>
    <row r="97" ht="15.75" customHeight="1">
      <c r="B97" s="412" t="s">
        <v>21</v>
      </c>
      <c r="C97" s="414" t="s">
        <v>26</v>
      </c>
      <c r="D97" s="386" t="s">
        <v>342</v>
      </c>
      <c r="E97" s="387" t="s">
        <v>498</v>
      </c>
      <c r="F97" s="399" t="s">
        <v>499</v>
      </c>
      <c r="G97" s="299"/>
      <c r="H97" s="365" t="s">
        <v>461</v>
      </c>
      <c r="I97" s="337"/>
      <c r="J97" s="408"/>
      <c r="K97" s="338"/>
    </row>
    <row r="98" ht="15.75" customHeight="1">
      <c r="B98" s="350" t="s">
        <v>310</v>
      </c>
      <c r="C98" s="409" t="s">
        <v>371</v>
      </c>
      <c r="D98" s="390" t="s">
        <v>301</v>
      </c>
      <c r="E98" s="387" t="s">
        <v>500</v>
      </c>
      <c r="F98" s="399" t="s">
        <v>501</v>
      </c>
      <c r="G98" s="299"/>
      <c r="H98" s="365" t="s">
        <v>461</v>
      </c>
      <c r="I98" s="337"/>
      <c r="J98" s="408"/>
      <c r="K98" s="338"/>
    </row>
    <row r="99" ht="15.75" customHeight="1">
      <c r="B99" s="412" t="s">
        <v>371</v>
      </c>
      <c r="C99" s="414" t="s">
        <v>310</v>
      </c>
      <c r="D99" s="386" t="s">
        <v>301</v>
      </c>
      <c r="E99" s="387" t="s">
        <v>502</v>
      </c>
      <c r="F99" s="399" t="s">
        <v>503</v>
      </c>
      <c r="G99" s="299"/>
      <c r="H99" s="365" t="s">
        <v>461</v>
      </c>
      <c r="I99" s="337"/>
      <c r="J99" s="408"/>
      <c r="K99" s="338"/>
    </row>
    <row r="100" ht="15.75" customHeight="1">
      <c r="A100" s="299"/>
      <c r="B100" s="412" t="s">
        <v>24</v>
      </c>
      <c r="C100" s="414" t="s">
        <v>320</v>
      </c>
      <c r="D100" s="386" t="s">
        <v>311</v>
      </c>
      <c r="E100" s="387" t="s">
        <v>504</v>
      </c>
      <c r="F100" s="399" t="s">
        <v>505</v>
      </c>
      <c r="G100" s="299"/>
      <c r="H100" s="365" t="s">
        <v>461</v>
      </c>
      <c r="I100" s="337"/>
      <c r="J100" s="408"/>
      <c r="K100" s="338"/>
    </row>
    <row r="101" ht="15.75" customHeight="1">
      <c r="A101" s="299"/>
      <c r="B101" s="350" t="s">
        <v>23</v>
      </c>
      <c r="C101" s="409" t="s">
        <v>24</v>
      </c>
      <c r="D101" s="390" t="s">
        <v>301</v>
      </c>
      <c r="E101" s="387" t="s">
        <v>506</v>
      </c>
      <c r="F101" s="399" t="s">
        <v>507</v>
      </c>
      <c r="G101" s="299"/>
      <c r="H101" s="365" t="s">
        <v>461</v>
      </c>
      <c r="I101" s="337"/>
      <c r="J101" s="408"/>
      <c r="K101" s="338"/>
    </row>
    <row r="102" ht="15.75" customHeight="1">
      <c r="A102" s="146"/>
      <c r="B102" s="415"/>
      <c r="C102" s="416"/>
      <c r="D102" s="417"/>
      <c r="E102" s="418"/>
      <c r="F102" s="419"/>
      <c r="G102" s="1"/>
      <c r="H102" s="420"/>
      <c r="I102" s="146"/>
      <c r="J102" s="1"/>
      <c r="K102" s="421"/>
    </row>
    <row r="103" ht="15.75" customHeight="1">
      <c r="A103" s="299" t="s">
        <v>508</v>
      </c>
      <c r="B103" s="328" t="s">
        <v>320</v>
      </c>
      <c r="C103" s="363" t="s">
        <v>21</v>
      </c>
      <c r="D103" s="330" t="s">
        <v>301</v>
      </c>
      <c r="E103" s="318" t="s">
        <v>509</v>
      </c>
      <c r="F103" s="319" t="s">
        <v>510</v>
      </c>
      <c r="G103" s="299"/>
      <c r="H103" s="365" t="s">
        <v>461</v>
      </c>
      <c r="I103" s="332"/>
      <c r="J103" s="322">
        <f t="shared" ref="J103:J112" si="8">E103*24*60</f>
        <v>1586</v>
      </c>
      <c r="K103" s="333"/>
    </row>
    <row r="104" ht="15.75" customHeight="1">
      <c r="B104" s="361" t="s">
        <v>21</v>
      </c>
      <c r="C104" s="353" t="s">
        <v>320</v>
      </c>
      <c r="D104" s="330" t="s">
        <v>317</v>
      </c>
      <c r="E104" s="318" t="s">
        <v>511</v>
      </c>
      <c r="F104" s="319" t="s">
        <v>512</v>
      </c>
      <c r="H104" s="365" t="s">
        <v>461</v>
      </c>
      <c r="I104" s="332"/>
      <c r="J104" s="322">
        <f t="shared" si="8"/>
        <v>786</v>
      </c>
      <c r="K104" s="333"/>
    </row>
    <row r="105" ht="15.75" customHeight="1">
      <c r="B105" s="379" t="s">
        <v>24</v>
      </c>
      <c r="C105" s="325" t="s">
        <v>21</v>
      </c>
      <c r="D105" s="351" t="s">
        <v>304</v>
      </c>
      <c r="E105" s="318" t="s">
        <v>513</v>
      </c>
      <c r="F105" s="319" t="s">
        <v>514</v>
      </c>
      <c r="H105" s="365" t="s">
        <v>461</v>
      </c>
      <c r="I105" s="332"/>
      <c r="J105" s="322">
        <f t="shared" si="8"/>
        <v>772</v>
      </c>
      <c r="K105" s="333"/>
    </row>
    <row r="106" ht="15.75" customHeight="1">
      <c r="B106" s="315" t="s">
        <v>21</v>
      </c>
      <c r="C106" s="382" t="s">
        <v>24</v>
      </c>
      <c r="D106" s="330" t="s">
        <v>349</v>
      </c>
      <c r="E106" s="318" t="s">
        <v>515</v>
      </c>
      <c r="F106" s="319" t="s">
        <v>516</v>
      </c>
      <c r="H106" s="365" t="s">
        <v>461</v>
      </c>
      <c r="I106" s="337"/>
      <c r="J106" s="322">
        <f t="shared" si="8"/>
        <v>1203</v>
      </c>
      <c r="K106" s="338"/>
    </row>
    <row r="107" ht="15.75" customHeight="1">
      <c r="B107" s="328" t="s">
        <v>320</v>
      </c>
      <c r="C107" s="363" t="s">
        <v>371</v>
      </c>
      <c r="D107" s="330" t="s">
        <v>301</v>
      </c>
      <c r="E107" s="318" t="s">
        <v>517</v>
      </c>
      <c r="F107" s="319" t="s">
        <v>518</v>
      </c>
      <c r="H107" s="365" t="s">
        <v>461</v>
      </c>
      <c r="I107" s="337"/>
      <c r="J107" s="322">
        <f t="shared" si="8"/>
        <v>1482</v>
      </c>
      <c r="K107" s="338"/>
    </row>
    <row r="108" ht="15.75" customHeight="1">
      <c r="B108" s="361" t="s">
        <v>371</v>
      </c>
      <c r="C108" s="353" t="s">
        <v>320</v>
      </c>
      <c r="D108" s="330" t="s">
        <v>327</v>
      </c>
      <c r="E108" s="318" t="s">
        <v>519</v>
      </c>
      <c r="F108" s="319" t="s">
        <v>520</v>
      </c>
      <c r="H108" s="365" t="s">
        <v>461</v>
      </c>
      <c r="I108" s="337"/>
      <c r="J108" s="322">
        <f t="shared" si="8"/>
        <v>897</v>
      </c>
      <c r="K108" s="338"/>
    </row>
    <row r="109" ht="15.75" customHeight="1">
      <c r="B109" s="328" t="s">
        <v>299</v>
      </c>
      <c r="C109" s="363" t="s">
        <v>310</v>
      </c>
      <c r="D109" s="330" t="s">
        <v>295</v>
      </c>
      <c r="E109" s="318" t="s">
        <v>521</v>
      </c>
      <c r="F109" s="319" t="s">
        <v>522</v>
      </c>
      <c r="H109" s="365" t="s">
        <v>461</v>
      </c>
      <c r="I109" s="337"/>
      <c r="J109" s="322">
        <f t="shared" si="8"/>
        <v>951</v>
      </c>
      <c r="K109" s="338"/>
    </row>
    <row r="110" ht="15.75" customHeight="1">
      <c r="B110" s="315" t="s">
        <v>27</v>
      </c>
      <c r="C110" s="382" t="s">
        <v>21</v>
      </c>
      <c r="D110" s="351" t="s">
        <v>327</v>
      </c>
      <c r="E110" s="318" t="s">
        <v>523</v>
      </c>
      <c r="F110" s="319" t="s">
        <v>524</v>
      </c>
      <c r="H110" s="365" t="s">
        <v>461</v>
      </c>
      <c r="I110" s="337"/>
      <c r="J110" s="322">
        <f t="shared" si="8"/>
        <v>998</v>
      </c>
      <c r="K110" s="338"/>
    </row>
    <row r="111" ht="15.75" customHeight="1">
      <c r="B111" s="361" t="s">
        <v>26</v>
      </c>
      <c r="C111" s="353" t="s">
        <v>19</v>
      </c>
      <c r="D111" s="330" t="s">
        <v>331</v>
      </c>
      <c r="E111" s="318" t="s">
        <v>525</v>
      </c>
      <c r="F111" s="319" t="s">
        <v>526</v>
      </c>
      <c r="H111" s="365" t="s">
        <v>461</v>
      </c>
      <c r="I111" s="337"/>
      <c r="J111" s="322">
        <f t="shared" si="8"/>
        <v>242</v>
      </c>
      <c r="K111" s="422"/>
    </row>
    <row r="112" ht="15.75" customHeight="1">
      <c r="B112" s="328" t="s">
        <v>19</v>
      </c>
      <c r="C112" s="363" t="s">
        <v>26</v>
      </c>
      <c r="D112" s="330" t="s">
        <v>314</v>
      </c>
      <c r="E112" s="318" t="s">
        <v>527</v>
      </c>
      <c r="F112" s="319" t="s">
        <v>528</v>
      </c>
      <c r="H112" s="365" t="s">
        <v>461</v>
      </c>
      <c r="I112" s="337"/>
      <c r="J112" s="322">
        <f t="shared" si="8"/>
        <v>213</v>
      </c>
      <c r="K112" s="423"/>
    </row>
    <row r="113" ht="15.75" customHeight="1">
      <c r="B113" s="371" t="s">
        <v>320</v>
      </c>
      <c r="C113" s="424" t="s">
        <v>19</v>
      </c>
      <c r="D113" s="390" t="s">
        <v>327</v>
      </c>
      <c r="E113" s="387"/>
      <c r="F113" s="425" t="s">
        <v>529</v>
      </c>
      <c r="H113" s="365"/>
      <c r="I113" s="337"/>
      <c r="J113" s="322"/>
      <c r="K113" s="423"/>
    </row>
    <row r="114" ht="15.75" customHeight="1">
      <c r="B114" s="412" t="s">
        <v>23</v>
      </c>
      <c r="C114" s="414" t="s">
        <v>22</v>
      </c>
      <c r="D114" s="390" t="s">
        <v>342</v>
      </c>
      <c r="E114" s="387" t="s">
        <v>530</v>
      </c>
      <c r="F114" s="399" t="s">
        <v>531</v>
      </c>
      <c r="H114" s="365" t="s">
        <v>461</v>
      </c>
      <c r="I114" s="337"/>
      <c r="J114" s="322">
        <f>E114*24*60</f>
        <v>768</v>
      </c>
      <c r="K114" s="423"/>
    </row>
    <row r="115" ht="15.75" customHeight="1">
      <c r="A115" s="299"/>
      <c r="B115" s="410" t="s">
        <v>22</v>
      </c>
      <c r="C115" s="411" t="s">
        <v>23</v>
      </c>
      <c r="D115" s="390" t="s">
        <v>349</v>
      </c>
      <c r="E115" s="387" t="s">
        <v>532</v>
      </c>
      <c r="F115" s="399" t="s">
        <v>533</v>
      </c>
      <c r="G115" s="299"/>
      <c r="H115" s="365" t="s">
        <v>461</v>
      </c>
      <c r="I115" s="337"/>
      <c r="J115" s="322"/>
      <c r="K115" s="423"/>
    </row>
    <row r="116" ht="15.75" customHeight="1">
      <c r="A116" s="299"/>
      <c r="B116" s="412" t="s">
        <v>24</v>
      </c>
      <c r="C116" s="414" t="s">
        <v>299</v>
      </c>
      <c r="D116" s="386" t="s">
        <v>311</v>
      </c>
      <c r="E116" s="387" t="s">
        <v>534</v>
      </c>
      <c r="F116" s="399" t="s">
        <v>535</v>
      </c>
      <c r="G116" s="299"/>
      <c r="H116" s="365" t="s">
        <v>461</v>
      </c>
      <c r="I116" s="337"/>
      <c r="J116" s="322"/>
      <c r="K116" s="423"/>
    </row>
    <row r="117" ht="15.75" customHeight="1">
      <c r="A117" s="299"/>
      <c r="B117" s="412" t="s">
        <v>320</v>
      </c>
      <c r="C117" s="414" t="s">
        <v>310</v>
      </c>
      <c r="D117" s="386" t="s">
        <v>311</v>
      </c>
      <c r="E117" s="387" t="s">
        <v>536</v>
      </c>
      <c r="F117" s="399" t="s">
        <v>537</v>
      </c>
      <c r="G117" s="299"/>
      <c r="H117" s="365" t="s">
        <v>461</v>
      </c>
      <c r="I117" s="337"/>
      <c r="J117" s="322"/>
      <c r="K117" s="423"/>
    </row>
    <row r="118" ht="15.75" customHeight="1">
      <c r="A118" s="299"/>
      <c r="B118" s="371" t="s">
        <v>299</v>
      </c>
      <c r="C118" s="424" t="s">
        <v>371</v>
      </c>
      <c r="D118" s="386" t="s">
        <v>349</v>
      </c>
      <c r="E118" s="387" t="s">
        <v>538</v>
      </c>
      <c r="F118" s="399" t="s">
        <v>539</v>
      </c>
      <c r="G118" s="299"/>
      <c r="H118" s="365" t="s">
        <v>461</v>
      </c>
      <c r="I118" s="337"/>
      <c r="J118" s="322"/>
      <c r="K118" s="423"/>
    </row>
    <row r="119" ht="15.75" customHeight="1">
      <c r="A119" s="299"/>
      <c r="B119" s="350" t="s">
        <v>26</v>
      </c>
      <c r="C119" s="409" t="s">
        <v>24</v>
      </c>
      <c r="D119" s="390" t="s">
        <v>311</v>
      </c>
      <c r="E119" s="387" t="s">
        <v>540</v>
      </c>
      <c r="F119" s="399" t="s">
        <v>541</v>
      </c>
      <c r="G119" s="299"/>
      <c r="H119" s="365" t="s">
        <v>461</v>
      </c>
      <c r="I119" s="337"/>
      <c r="J119" s="322"/>
      <c r="K119" s="423"/>
    </row>
    <row r="120" ht="15.75" customHeight="1">
      <c r="A120" s="299"/>
      <c r="B120" s="412" t="s">
        <v>371</v>
      </c>
      <c r="C120" s="414" t="s">
        <v>27</v>
      </c>
      <c r="D120" s="386" t="s">
        <v>342</v>
      </c>
      <c r="E120" s="387" t="s">
        <v>542</v>
      </c>
      <c r="F120" s="399" t="s">
        <v>543</v>
      </c>
      <c r="G120" s="299"/>
      <c r="H120" s="365" t="s">
        <v>461</v>
      </c>
      <c r="I120" s="337"/>
      <c r="J120" s="322"/>
      <c r="K120" s="423"/>
    </row>
    <row r="121" ht="15.75" customHeight="1">
      <c r="A121" s="299"/>
      <c r="B121" s="410" t="s">
        <v>27</v>
      </c>
      <c r="C121" s="411" t="s">
        <v>371</v>
      </c>
      <c r="D121" s="386" t="s">
        <v>317</v>
      </c>
      <c r="E121" s="387" t="s">
        <v>544</v>
      </c>
      <c r="F121" s="399" t="s">
        <v>545</v>
      </c>
      <c r="G121" s="299"/>
      <c r="H121" s="365" t="s">
        <v>461</v>
      </c>
      <c r="I121" s="337"/>
      <c r="J121" s="322"/>
      <c r="K121" s="423"/>
    </row>
    <row r="122" ht="15.75" customHeight="1">
      <c r="A122" s="299"/>
      <c r="B122" s="350" t="s">
        <v>371</v>
      </c>
      <c r="C122" s="409" t="s">
        <v>300</v>
      </c>
      <c r="D122" s="390" t="s">
        <v>342</v>
      </c>
      <c r="E122" s="387" t="s">
        <v>546</v>
      </c>
      <c r="F122" s="399" t="s">
        <v>547</v>
      </c>
      <c r="G122" s="299"/>
      <c r="H122" s="365" t="s">
        <v>461</v>
      </c>
      <c r="I122" s="337"/>
      <c r="J122" s="322"/>
      <c r="K122" s="423"/>
    </row>
    <row r="123" ht="15.75" customHeight="1">
      <c r="A123" s="299"/>
      <c r="B123" s="410" t="s">
        <v>300</v>
      </c>
      <c r="C123" s="411" t="s">
        <v>371</v>
      </c>
      <c r="D123" s="390" t="s">
        <v>295</v>
      </c>
      <c r="E123" s="387" t="s">
        <v>548</v>
      </c>
      <c r="F123" s="399" t="s">
        <v>549</v>
      </c>
      <c r="G123" s="299"/>
      <c r="H123" s="365" t="s">
        <v>461</v>
      </c>
      <c r="I123" s="337"/>
      <c r="J123" s="322"/>
      <c r="K123" s="423"/>
    </row>
    <row r="124" ht="15.75" customHeight="1">
      <c r="A124" s="299"/>
      <c r="B124" s="410" t="s">
        <v>299</v>
      </c>
      <c r="C124" s="411" t="s">
        <v>320</v>
      </c>
      <c r="D124" s="390" t="s">
        <v>327</v>
      </c>
      <c r="E124" s="387" t="s">
        <v>550</v>
      </c>
      <c r="F124" s="399" t="s">
        <v>551</v>
      </c>
      <c r="G124" s="299"/>
      <c r="H124" s="365" t="s">
        <v>461</v>
      </c>
      <c r="I124" s="337"/>
      <c r="J124" s="322"/>
      <c r="K124" s="423"/>
    </row>
    <row r="125" ht="15.75" customHeight="1">
      <c r="A125" s="299"/>
      <c r="B125" s="350" t="s">
        <v>27</v>
      </c>
      <c r="C125" s="409" t="s">
        <v>299</v>
      </c>
      <c r="D125" s="390" t="s">
        <v>342</v>
      </c>
      <c r="E125" s="387" t="s">
        <v>552</v>
      </c>
      <c r="F125" s="399" t="s">
        <v>553</v>
      </c>
      <c r="G125" s="299"/>
      <c r="H125" s="365" t="s">
        <v>461</v>
      </c>
      <c r="I125" s="337"/>
      <c r="J125" s="322"/>
      <c r="K125" s="423"/>
    </row>
    <row r="126" ht="15.75" customHeight="1">
      <c r="A126" s="299"/>
      <c r="B126" s="412" t="s">
        <v>299</v>
      </c>
      <c r="C126" s="414" t="s">
        <v>27</v>
      </c>
      <c r="D126" s="386" t="s">
        <v>304</v>
      </c>
      <c r="E126" s="387" t="s">
        <v>554</v>
      </c>
      <c r="F126" s="399" t="s">
        <v>555</v>
      </c>
      <c r="G126" s="299"/>
      <c r="H126" s="365" t="s">
        <v>461</v>
      </c>
      <c r="I126" s="337"/>
      <c r="J126" s="322"/>
      <c r="K126" s="423"/>
    </row>
    <row r="127" ht="15.75" customHeight="1">
      <c r="A127" s="299"/>
      <c r="B127" s="350" t="s">
        <v>23</v>
      </c>
      <c r="C127" s="409" t="s">
        <v>300</v>
      </c>
      <c r="D127" s="390" t="s">
        <v>311</v>
      </c>
      <c r="E127" s="387" t="s">
        <v>556</v>
      </c>
      <c r="F127" s="399" t="s">
        <v>557</v>
      </c>
      <c r="G127" s="299"/>
      <c r="H127" s="365" t="s">
        <v>461</v>
      </c>
      <c r="I127" s="337"/>
      <c r="J127" s="322"/>
      <c r="K127" s="423"/>
    </row>
    <row r="128" ht="15.75" customHeight="1">
      <c r="A128" s="299"/>
      <c r="B128" s="410" t="s">
        <v>300</v>
      </c>
      <c r="C128" s="411" t="s">
        <v>23</v>
      </c>
      <c r="D128" s="390" t="s">
        <v>349</v>
      </c>
      <c r="E128" s="387" t="s">
        <v>558</v>
      </c>
      <c r="F128" s="399" t="s">
        <v>559</v>
      </c>
      <c r="G128" s="299"/>
      <c r="H128" s="365" t="s">
        <v>461</v>
      </c>
      <c r="I128" s="337"/>
      <c r="J128" s="322"/>
      <c r="K128" s="423"/>
    </row>
    <row r="129" ht="15.75" customHeight="1">
      <c r="A129" s="299"/>
      <c r="B129" s="350" t="s">
        <v>320</v>
      </c>
      <c r="C129" s="409" t="s">
        <v>300</v>
      </c>
      <c r="D129" s="390" t="s">
        <v>304</v>
      </c>
      <c r="E129" s="387" t="s">
        <v>560</v>
      </c>
      <c r="F129" s="399" t="s">
        <v>561</v>
      </c>
      <c r="G129" s="299"/>
      <c r="H129" s="365" t="s">
        <v>461</v>
      </c>
      <c r="I129" s="337"/>
      <c r="J129" s="322"/>
      <c r="K129" s="423"/>
    </row>
    <row r="130" ht="15.75" customHeight="1">
      <c r="A130" s="299"/>
      <c r="B130" s="410" t="s">
        <v>300</v>
      </c>
      <c r="C130" s="411" t="s">
        <v>320</v>
      </c>
      <c r="D130" s="390" t="s">
        <v>349</v>
      </c>
      <c r="E130" s="387" t="s">
        <v>562</v>
      </c>
      <c r="F130" s="399" t="s">
        <v>563</v>
      </c>
      <c r="G130" s="299"/>
      <c r="H130" s="365" t="s">
        <v>461</v>
      </c>
      <c r="I130" s="337"/>
      <c r="J130" s="322"/>
      <c r="K130" s="423"/>
    </row>
    <row r="131" ht="16.5" customHeight="1">
      <c r="A131" s="299"/>
      <c r="B131" s="412" t="s">
        <v>300</v>
      </c>
      <c r="C131" s="414" t="s">
        <v>21</v>
      </c>
      <c r="D131" s="386" t="s">
        <v>301</v>
      </c>
      <c r="E131" s="387" t="s">
        <v>564</v>
      </c>
      <c r="F131" s="399" t="s">
        <v>565</v>
      </c>
      <c r="G131" s="299"/>
      <c r="H131" s="365" t="s">
        <v>461</v>
      </c>
      <c r="I131" s="337"/>
      <c r="J131" s="322"/>
      <c r="K131" s="423"/>
    </row>
    <row r="132" ht="16.5" customHeight="1">
      <c r="A132" s="299"/>
      <c r="B132" s="371" t="s">
        <v>21</v>
      </c>
      <c r="C132" s="424" t="s">
        <v>300</v>
      </c>
      <c r="D132" s="386" t="s">
        <v>327</v>
      </c>
      <c r="E132" s="387" t="s">
        <v>566</v>
      </c>
      <c r="F132" s="399" t="s">
        <v>567</v>
      </c>
      <c r="G132" s="299"/>
      <c r="H132" s="365" t="s">
        <v>461</v>
      </c>
      <c r="I132" s="337"/>
      <c r="J132" s="322"/>
      <c r="K132" s="423"/>
    </row>
    <row r="133" ht="16.5" customHeight="1">
      <c r="A133" s="299"/>
      <c r="B133" s="410" t="s">
        <v>19</v>
      </c>
      <c r="C133" s="411" t="s">
        <v>300</v>
      </c>
      <c r="D133" s="390" t="s">
        <v>317</v>
      </c>
      <c r="E133" s="387" t="s">
        <v>568</v>
      </c>
      <c r="F133" s="399" t="s">
        <v>569</v>
      </c>
      <c r="G133" s="299"/>
      <c r="H133" s="365" t="s">
        <v>461</v>
      </c>
      <c r="I133" s="337"/>
      <c r="J133" s="322"/>
      <c r="K133" s="423"/>
    </row>
    <row r="134" ht="16.5" customHeight="1">
      <c r="A134" s="299"/>
      <c r="B134" s="412" t="s">
        <v>299</v>
      </c>
      <c r="C134" s="414" t="s">
        <v>24</v>
      </c>
      <c r="D134" s="386" t="s">
        <v>311</v>
      </c>
      <c r="E134" s="387" t="s">
        <v>570</v>
      </c>
      <c r="F134" s="399" t="s">
        <v>571</v>
      </c>
      <c r="G134" s="299"/>
      <c r="H134" s="365" t="s">
        <v>461</v>
      </c>
      <c r="I134" s="337"/>
      <c r="J134" s="322"/>
      <c r="K134" s="423"/>
    </row>
    <row r="135" ht="16.5" customHeight="1">
      <c r="A135" s="299"/>
      <c r="B135" s="412" t="s">
        <v>24</v>
      </c>
      <c r="C135" s="414" t="s">
        <v>23</v>
      </c>
      <c r="D135" s="386" t="s">
        <v>314</v>
      </c>
      <c r="E135" s="387" t="s">
        <v>572</v>
      </c>
      <c r="F135" s="399" t="s">
        <v>573</v>
      </c>
      <c r="G135" s="299"/>
      <c r="H135" s="365" t="s">
        <v>461</v>
      </c>
      <c r="I135" s="337"/>
      <c r="J135" s="322"/>
      <c r="K135" s="423"/>
    </row>
    <row r="136" ht="16.5" customHeight="1">
      <c r="A136" s="299"/>
      <c r="B136" s="412" t="s">
        <v>22</v>
      </c>
      <c r="C136" s="414" t="s">
        <v>300</v>
      </c>
      <c r="D136" s="386" t="s">
        <v>314</v>
      </c>
      <c r="E136" s="387" t="s">
        <v>446</v>
      </c>
      <c r="F136" s="403"/>
      <c r="G136" s="299"/>
      <c r="H136" s="365"/>
      <c r="I136" s="337"/>
      <c r="J136" s="322"/>
      <c r="K136" s="423"/>
    </row>
    <row r="137" ht="16.5" customHeight="1">
      <c r="A137" s="299"/>
      <c r="B137" s="412" t="s">
        <v>300</v>
      </c>
      <c r="C137" s="414" t="s">
        <v>22</v>
      </c>
      <c r="D137" s="386" t="s">
        <v>314</v>
      </c>
      <c r="E137" s="387" t="s">
        <v>446</v>
      </c>
      <c r="F137" s="403"/>
      <c r="G137" s="299"/>
      <c r="H137" s="365"/>
      <c r="I137" s="337"/>
      <c r="J137" s="322"/>
      <c r="K137" s="423"/>
    </row>
    <row r="138" ht="16.5" customHeight="1">
      <c r="A138" s="299"/>
      <c r="B138" s="412" t="s">
        <v>300</v>
      </c>
      <c r="C138" s="414" t="s">
        <v>27</v>
      </c>
      <c r="D138" s="386" t="s">
        <v>314</v>
      </c>
      <c r="E138" s="387" t="s">
        <v>446</v>
      </c>
      <c r="F138" s="403"/>
      <c r="G138" s="299"/>
      <c r="H138" s="365"/>
      <c r="I138" s="337"/>
      <c r="J138" s="322"/>
      <c r="K138" s="423"/>
    </row>
    <row r="139" ht="16.5" customHeight="1">
      <c r="A139" s="299"/>
      <c r="B139" s="412" t="s">
        <v>21</v>
      </c>
      <c r="C139" s="414" t="s">
        <v>23</v>
      </c>
      <c r="D139" s="386" t="s">
        <v>342</v>
      </c>
      <c r="E139" s="387" t="s">
        <v>574</v>
      </c>
      <c r="F139" s="399" t="s">
        <v>575</v>
      </c>
      <c r="G139" s="299"/>
      <c r="H139" s="365"/>
      <c r="I139" s="337"/>
      <c r="J139" s="322"/>
      <c r="K139" s="423"/>
    </row>
    <row r="140" ht="16.5" customHeight="1">
      <c r="A140" s="299"/>
      <c r="B140" s="412" t="s">
        <v>310</v>
      </c>
      <c r="C140" s="414" t="s">
        <v>300</v>
      </c>
      <c r="D140" s="386" t="s">
        <v>314</v>
      </c>
      <c r="E140" s="387" t="s">
        <v>446</v>
      </c>
      <c r="F140" s="403"/>
      <c r="G140" s="299"/>
      <c r="H140" s="365"/>
      <c r="I140" s="337"/>
      <c r="J140" s="322"/>
      <c r="K140" s="423"/>
    </row>
    <row r="141" ht="16.5" customHeight="1">
      <c r="A141" s="299"/>
      <c r="B141" s="412" t="s">
        <v>22</v>
      </c>
      <c r="C141" s="414" t="s">
        <v>371</v>
      </c>
      <c r="D141" s="386" t="s">
        <v>314</v>
      </c>
      <c r="E141" s="387" t="s">
        <v>446</v>
      </c>
      <c r="F141" s="403"/>
      <c r="G141" s="299"/>
      <c r="H141" s="365"/>
      <c r="I141" s="337"/>
      <c r="J141" s="322"/>
      <c r="K141" s="423"/>
    </row>
    <row r="142" ht="16.5" customHeight="1">
      <c r="A142" s="299"/>
      <c r="B142" s="410" t="s">
        <v>371</v>
      </c>
      <c r="C142" s="411" t="s">
        <v>22</v>
      </c>
      <c r="D142" s="390" t="s">
        <v>331</v>
      </c>
      <c r="E142" s="387" t="s">
        <v>446</v>
      </c>
      <c r="F142" s="403"/>
      <c r="G142" s="299"/>
      <c r="H142" s="365"/>
      <c r="I142" s="337"/>
      <c r="J142" s="322"/>
      <c r="K142" s="423"/>
    </row>
    <row r="143" ht="15.75" customHeight="1">
      <c r="A143" s="146"/>
      <c r="B143" s="415"/>
      <c r="C143" s="416"/>
      <c r="D143" s="417"/>
      <c r="E143" s="418"/>
      <c r="F143" s="419"/>
      <c r="G143" s="1"/>
      <c r="H143" s="420"/>
      <c r="I143" s="146"/>
      <c r="J143" s="1"/>
      <c r="K143" s="421"/>
    </row>
    <row r="144" ht="15.75" customHeight="1">
      <c r="A144" s="400" t="s">
        <v>2</v>
      </c>
      <c r="B144" s="361" t="s">
        <v>24</v>
      </c>
      <c r="C144" s="353" t="s">
        <v>21</v>
      </c>
      <c r="D144" s="330" t="s">
        <v>349</v>
      </c>
      <c r="E144" s="318" t="s">
        <v>576</v>
      </c>
      <c r="F144" s="319" t="s">
        <v>577</v>
      </c>
      <c r="G144" s="299"/>
      <c r="H144" s="376"/>
      <c r="I144" s="332"/>
      <c r="J144" s="322">
        <f t="shared" ref="J144:J157" si="9">E144*24*60</f>
        <v>855</v>
      </c>
      <c r="K144" s="333"/>
    </row>
    <row r="145" ht="15.75" customHeight="1">
      <c r="B145" s="379" t="s">
        <v>24</v>
      </c>
      <c r="C145" s="325" t="s">
        <v>21</v>
      </c>
      <c r="D145" s="351" t="s">
        <v>311</v>
      </c>
      <c r="E145" s="318" t="s">
        <v>578</v>
      </c>
      <c r="F145" s="319" t="s">
        <v>579</v>
      </c>
      <c r="H145" s="365"/>
      <c r="I145" s="337"/>
      <c r="J145" s="322">
        <f t="shared" si="9"/>
        <v>1239</v>
      </c>
      <c r="K145" s="338"/>
    </row>
    <row r="146" ht="15.75" customHeight="1">
      <c r="B146" s="361" t="s">
        <v>24</v>
      </c>
      <c r="C146" s="353" t="s">
        <v>21</v>
      </c>
      <c r="D146" s="330" t="s">
        <v>317</v>
      </c>
      <c r="E146" s="318" t="s">
        <v>580</v>
      </c>
      <c r="F146" s="319" t="s">
        <v>581</v>
      </c>
      <c r="H146" s="365"/>
      <c r="I146" s="337"/>
      <c r="J146" s="322">
        <f t="shared" si="9"/>
        <v>540</v>
      </c>
      <c r="K146" s="338"/>
    </row>
    <row r="147" ht="15.75" customHeight="1">
      <c r="B147" s="426" t="s">
        <v>320</v>
      </c>
      <c r="C147" s="411" t="s">
        <v>310</v>
      </c>
      <c r="D147" s="330" t="s">
        <v>327</v>
      </c>
      <c r="E147" s="318" t="s">
        <v>582</v>
      </c>
      <c r="F147" s="319" t="s">
        <v>583</v>
      </c>
      <c r="H147" s="365"/>
      <c r="I147" s="337"/>
      <c r="J147" s="322">
        <f t="shared" si="9"/>
        <v>901</v>
      </c>
      <c r="K147" s="338"/>
    </row>
    <row r="148" ht="15.75" customHeight="1">
      <c r="B148" s="406" t="s">
        <v>320</v>
      </c>
      <c r="C148" s="368" t="s">
        <v>310</v>
      </c>
      <c r="D148" s="427" t="s">
        <v>349</v>
      </c>
      <c r="E148" s="318" t="s">
        <v>584</v>
      </c>
      <c r="F148" s="319" t="s">
        <v>585</v>
      </c>
      <c r="H148" s="365"/>
      <c r="I148" s="337"/>
      <c r="J148" s="322">
        <f t="shared" si="9"/>
        <v>1279</v>
      </c>
      <c r="K148" s="338"/>
    </row>
    <row r="149" ht="15.75" customHeight="1">
      <c r="B149" s="339" t="s">
        <v>300</v>
      </c>
      <c r="C149" s="385" t="s">
        <v>19</v>
      </c>
      <c r="D149" s="428" t="s">
        <v>342</v>
      </c>
      <c r="E149" s="318" t="s">
        <v>586</v>
      </c>
      <c r="F149" s="319" t="s">
        <v>587</v>
      </c>
      <c r="H149" s="365"/>
      <c r="I149" s="337"/>
      <c r="J149" s="322">
        <f t="shared" si="9"/>
        <v>875</v>
      </c>
      <c r="K149" s="338"/>
    </row>
    <row r="150" ht="15.75" customHeight="1">
      <c r="B150" s="385" t="s">
        <v>19</v>
      </c>
      <c r="C150" s="339" t="s">
        <v>300</v>
      </c>
      <c r="D150" s="351" t="s">
        <v>317</v>
      </c>
      <c r="E150" s="318" t="s">
        <v>588</v>
      </c>
      <c r="F150" s="319" t="s">
        <v>589</v>
      </c>
      <c r="H150" s="365"/>
      <c r="I150" s="337"/>
      <c r="J150" s="322">
        <f t="shared" si="9"/>
        <v>1018</v>
      </c>
      <c r="K150" s="338"/>
    </row>
    <row r="151" ht="15.75" customHeight="1">
      <c r="B151" s="379" t="s">
        <v>23</v>
      </c>
      <c r="C151" s="325" t="s">
        <v>22</v>
      </c>
      <c r="D151" s="351" t="s">
        <v>314</v>
      </c>
      <c r="E151" s="318" t="s">
        <v>590</v>
      </c>
      <c r="F151" s="319" t="s">
        <v>591</v>
      </c>
      <c r="H151" s="365"/>
      <c r="I151" s="337"/>
      <c r="J151" s="322">
        <f t="shared" si="9"/>
        <v>784</v>
      </c>
      <c r="K151" s="338"/>
    </row>
    <row r="152" ht="15.75" customHeight="1">
      <c r="B152" s="315" t="s">
        <v>22</v>
      </c>
      <c r="C152" s="382" t="s">
        <v>23</v>
      </c>
      <c r="D152" s="351" t="s">
        <v>327</v>
      </c>
      <c r="E152" s="318" t="s">
        <v>592</v>
      </c>
      <c r="F152" s="319" t="s">
        <v>593</v>
      </c>
      <c r="H152" s="365"/>
      <c r="I152" s="337"/>
      <c r="J152" s="322">
        <f t="shared" si="9"/>
        <v>617</v>
      </c>
      <c r="K152" s="338"/>
    </row>
    <row r="153" ht="15.75" customHeight="1">
      <c r="B153" s="379" t="s">
        <v>310</v>
      </c>
      <c r="C153" s="325" t="s">
        <v>21</v>
      </c>
      <c r="D153" s="351" t="s">
        <v>301</v>
      </c>
      <c r="E153" s="318" t="s">
        <v>594</v>
      </c>
      <c r="F153" s="319" t="s">
        <v>595</v>
      </c>
      <c r="H153" s="365"/>
      <c r="I153" s="337"/>
      <c r="J153" s="322">
        <f t="shared" si="9"/>
        <v>1928</v>
      </c>
      <c r="K153" s="338"/>
    </row>
    <row r="154" ht="15.75" customHeight="1">
      <c r="B154" s="315" t="s">
        <v>21</v>
      </c>
      <c r="C154" s="382" t="s">
        <v>310</v>
      </c>
      <c r="D154" s="351" t="s">
        <v>317</v>
      </c>
      <c r="E154" s="318" t="s">
        <v>596</v>
      </c>
      <c r="F154" s="319" t="s">
        <v>597</v>
      </c>
      <c r="H154" s="365"/>
      <c r="I154" s="337"/>
      <c r="J154" s="322">
        <f t="shared" si="9"/>
        <v>961</v>
      </c>
      <c r="K154" s="338"/>
    </row>
    <row r="155" ht="15.75" customHeight="1">
      <c r="B155" s="315" t="s">
        <v>300</v>
      </c>
      <c r="C155" s="382" t="s">
        <v>23</v>
      </c>
      <c r="D155" s="330" t="s">
        <v>349</v>
      </c>
      <c r="E155" s="318" t="s">
        <v>598</v>
      </c>
      <c r="F155" s="319" t="s">
        <v>599</v>
      </c>
      <c r="H155" s="365"/>
      <c r="I155" s="337"/>
      <c r="J155" s="322">
        <f t="shared" si="9"/>
        <v>1462</v>
      </c>
      <c r="K155" s="338"/>
    </row>
    <row r="156" ht="15.75" customHeight="1">
      <c r="B156" s="379" t="s">
        <v>23</v>
      </c>
      <c r="C156" s="325" t="s">
        <v>300</v>
      </c>
      <c r="D156" s="351" t="s">
        <v>600</v>
      </c>
      <c r="E156" s="318" t="s">
        <v>601</v>
      </c>
      <c r="F156" s="319" t="s">
        <v>602</v>
      </c>
      <c r="H156" s="365"/>
      <c r="I156" s="337"/>
      <c r="J156" s="322">
        <f t="shared" si="9"/>
        <v>2296</v>
      </c>
      <c r="K156" s="338"/>
    </row>
    <row r="157" ht="15.75" customHeight="1">
      <c r="B157" s="328" t="s">
        <v>23</v>
      </c>
      <c r="C157" s="363" t="s">
        <v>300</v>
      </c>
      <c r="D157" s="351" t="s">
        <v>603</v>
      </c>
      <c r="E157" s="318" t="s">
        <v>604</v>
      </c>
      <c r="F157" s="319" t="s">
        <v>605</v>
      </c>
      <c r="H157" s="365"/>
      <c r="I157" s="337"/>
      <c r="J157" s="322">
        <f t="shared" si="9"/>
        <v>327</v>
      </c>
      <c r="K157" s="338"/>
    </row>
    <row r="158" ht="15.75" customHeight="1">
      <c r="B158" s="379" t="s">
        <v>23</v>
      </c>
      <c r="C158" s="353" t="s">
        <v>310</v>
      </c>
      <c r="D158" s="351" t="s">
        <v>301</v>
      </c>
      <c r="E158" s="318" t="s">
        <v>606</v>
      </c>
      <c r="F158" s="319" t="s">
        <v>607</v>
      </c>
      <c r="H158" s="365"/>
      <c r="I158" s="337"/>
      <c r="J158" s="322"/>
      <c r="K158" s="338"/>
    </row>
    <row r="159" ht="15.75" customHeight="1">
      <c r="A159" s="400"/>
      <c r="B159" s="379" t="s">
        <v>23</v>
      </c>
      <c r="C159" s="353" t="s">
        <v>310</v>
      </c>
      <c r="D159" s="390" t="s">
        <v>295</v>
      </c>
      <c r="E159" s="387" t="s">
        <v>608</v>
      </c>
      <c r="F159" s="399" t="s">
        <v>609</v>
      </c>
      <c r="G159" s="299"/>
      <c r="H159" s="365"/>
      <c r="I159" s="337"/>
      <c r="J159" s="322"/>
      <c r="K159" s="338"/>
    </row>
    <row r="160" ht="15.75" customHeight="1">
      <c r="A160" s="400"/>
      <c r="B160" s="379" t="s">
        <v>23</v>
      </c>
      <c r="C160" s="353" t="s">
        <v>310</v>
      </c>
      <c r="D160" s="386" t="s">
        <v>342</v>
      </c>
      <c r="E160" s="387" t="s">
        <v>610</v>
      </c>
      <c r="F160" s="399" t="s">
        <v>611</v>
      </c>
      <c r="G160" s="299"/>
      <c r="H160" s="365"/>
      <c r="I160" s="337"/>
      <c r="J160" s="322"/>
      <c r="K160" s="338"/>
    </row>
    <row r="161" ht="15.75" customHeight="1">
      <c r="A161" s="400"/>
      <c r="B161" s="379" t="s">
        <v>23</v>
      </c>
      <c r="C161" s="353" t="s">
        <v>310</v>
      </c>
      <c r="D161" s="386" t="s">
        <v>304</v>
      </c>
      <c r="E161" s="387" t="s">
        <v>612</v>
      </c>
      <c r="F161" s="399" t="s">
        <v>613</v>
      </c>
      <c r="G161" s="299"/>
      <c r="H161" s="365"/>
      <c r="I161" s="337"/>
      <c r="J161" s="322"/>
      <c r="K161" s="338"/>
    </row>
    <row r="162" ht="15.75" customHeight="1">
      <c r="A162" s="400"/>
      <c r="B162" s="371"/>
      <c r="C162" s="424"/>
      <c r="D162" s="386"/>
      <c r="E162" s="387"/>
      <c r="F162" s="403"/>
      <c r="G162" s="299"/>
      <c r="H162" s="365"/>
      <c r="I162" s="337"/>
      <c r="J162" s="322"/>
      <c r="K162" s="338"/>
    </row>
    <row r="163" ht="15.75" customHeight="1">
      <c r="A163" s="146"/>
      <c r="B163" s="415"/>
      <c r="C163" s="416"/>
      <c r="D163" s="417"/>
      <c r="E163" s="418"/>
      <c r="F163" s="419"/>
      <c r="G163" s="1"/>
      <c r="H163" s="420"/>
      <c r="I163" s="146"/>
      <c r="J163" s="322"/>
      <c r="K163" s="338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6:A31"/>
    <mergeCell ref="A43:A55"/>
    <mergeCell ref="A62:A67"/>
    <mergeCell ref="A88:A99"/>
    <mergeCell ref="A103:A114"/>
    <mergeCell ref="A144:A158"/>
    <mergeCell ref="C42:D42"/>
    <mergeCell ref="C61:D61"/>
    <mergeCell ref="G62:G67"/>
    <mergeCell ref="C87:D87"/>
    <mergeCell ref="G88:G90"/>
    <mergeCell ref="G103:G114"/>
    <mergeCell ref="G144:G158"/>
    <mergeCell ref="H1:I1"/>
    <mergeCell ref="C2:D2"/>
    <mergeCell ref="A3:A13"/>
    <mergeCell ref="G3:G15"/>
    <mergeCell ref="C16:D16"/>
    <mergeCell ref="G17:G31"/>
    <mergeCell ref="G43:G55"/>
  </mergeCells>
  <conditionalFormatting sqref="F1:F18 F42:F163">
    <cfRule type="cellIs" dxfId="1" priority="1" operator="equal">
      <formula>"Sandbox"</formula>
    </cfRule>
  </conditionalFormatting>
  <conditionalFormatting sqref="F1:F18 F42:F163">
    <cfRule type="cellIs" dxfId="2" priority="2" operator="equal">
      <formula>"Foundry"</formula>
    </cfRule>
  </conditionalFormatting>
  <hyperlinks>
    <hyperlink r:id="rId1" ref="F3"/>
    <hyperlink r:id="rId2" ref="H3"/>
    <hyperlink r:id="rId3" ref="F4"/>
    <hyperlink r:id="rId4" ref="F5"/>
    <hyperlink r:id="rId5" ref="F6"/>
    <hyperlink r:id="rId6" ref="H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H14"/>
    <hyperlink r:id="rId16" ref="F15"/>
    <hyperlink r:id="rId17" ref="F17"/>
    <hyperlink r:id="rId18" ref="H17"/>
    <hyperlink r:id="rId19" ref="F18"/>
    <hyperlink r:id="rId20" ref="H18"/>
    <hyperlink r:id="rId21" ref="F19"/>
    <hyperlink r:id="rId22" ref="F20"/>
    <hyperlink r:id="rId23" ref="F21"/>
    <hyperlink r:id="rId24" ref="F22"/>
    <hyperlink r:id="rId25" ref="H22"/>
    <hyperlink r:id="rId26" ref="F23"/>
    <hyperlink r:id="rId27" ref="F24"/>
    <hyperlink r:id="rId28" ref="F25"/>
    <hyperlink r:id="rId29" ref="F26"/>
    <hyperlink r:id="rId30" ref="F27"/>
    <hyperlink r:id="rId31" ref="H27"/>
    <hyperlink r:id="rId32" ref="F28"/>
    <hyperlink r:id="rId33" ref="F29"/>
    <hyperlink r:id="rId34" ref="F30"/>
    <hyperlink r:id="rId35" ref="F31"/>
    <hyperlink r:id="rId36" ref="F32"/>
    <hyperlink r:id="rId37" ref="F33"/>
    <hyperlink r:id="rId38" ref="F34"/>
    <hyperlink r:id="rId39" ref="F35"/>
    <hyperlink r:id="rId40" ref="F36"/>
    <hyperlink r:id="rId41" ref="F37"/>
    <hyperlink r:id="rId42" ref="F38"/>
    <hyperlink r:id="rId43" ref="F39"/>
    <hyperlink r:id="rId44" ref="F40"/>
    <hyperlink r:id="rId45" ref="F41"/>
    <hyperlink r:id="rId46" ref="F43"/>
    <hyperlink r:id="rId47" ref="F44"/>
    <hyperlink r:id="rId48" ref="F45"/>
    <hyperlink r:id="rId49" ref="F46"/>
    <hyperlink r:id="rId50" ref="F47"/>
    <hyperlink r:id="rId51" ref="F48"/>
    <hyperlink r:id="rId52" ref="F49"/>
    <hyperlink r:id="rId53" ref="F50"/>
    <hyperlink r:id="rId54" ref="F51"/>
    <hyperlink r:id="rId55" ref="F52"/>
    <hyperlink r:id="rId56" ref="F53"/>
    <hyperlink r:id="rId57" ref="F54"/>
    <hyperlink r:id="rId58" ref="F55"/>
    <hyperlink r:id="rId59" ref="F56"/>
    <hyperlink r:id="rId60" ref="F57"/>
    <hyperlink r:id="rId61" ref="F58"/>
    <hyperlink r:id="rId62" ref="F59"/>
    <hyperlink r:id="rId63" ref="F60"/>
    <hyperlink r:id="rId64" ref="F62"/>
    <hyperlink r:id="rId65" ref="F63"/>
    <hyperlink r:id="rId66" ref="F64"/>
    <hyperlink r:id="rId67" ref="F65"/>
    <hyperlink r:id="rId68" ref="F66"/>
    <hyperlink r:id="rId69" ref="F67"/>
    <hyperlink r:id="rId70" ref="F68"/>
    <hyperlink r:id="rId71" ref="F69"/>
    <hyperlink r:id="rId72" ref="F72"/>
    <hyperlink r:id="rId73" ref="F73"/>
    <hyperlink r:id="rId74" ref="F74"/>
    <hyperlink r:id="rId75" ref="F75"/>
    <hyperlink r:id="rId76" ref="F76"/>
    <hyperlink r:id="rId77" ref="F77"/>
    <hyperlink r:id="rId78" ref="F78"/>
    <hyperlink r:id="rId79" ref="F79"/>
    <hyperlink r:id="rId80" ref="F80"/>
    <hyperlink r:id="rId81" ref="F81"/>
    <hyperlink r:id="rId82" ref="F82"/>
    <hyperlink r:id="rId83" ref="F84"/>
    <hyperlink r:id="rId84" ref="F85"/>
    <hyperlink r:id="rId85" ref="F86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4"/>
    <hyperlink r:id="rId111" ref="F115"/>
    <hyperlink r:id="rId112" ref="F116"/>
    <hyperlink r:id="rId113" ref="F117"/>
    <hyperlink r:id="rId114" ref="F118"/>
    <hyperlink r:id="rId115" ref="F119"/>
    <hyperlink r:id="rId116" ref="F120"/>
    <hyperlink r:id="rId117" ref="F121"/>
    <hyperlink r:id="rId118" ref="F122"/>
    <hyperlink r:id="rId119" ref="F123"/>
    <hyperlink r:id="rId120" ref="F124"/>
    <hyperlink r:id="rId121" ref="F125"/>
    <hyperlink r:id="rId122" ref="F126"/>
    <hyperlink r:id="rId123" ref="F127"/>
    <hyperlink r:id="rId124" ref="F128"/>
    <hyperlink r:id="rId125" ref="F129"/>
    <hyperlink r:id="rId126" ref="F130"/>
    <hyperlink r:id="rId127" ref="F131"/>
    <hyperlink r:id="rId128" ref="F132"/>
    <hyperlink r:id="rId129" ref="F133"/>
    <hyperlink r:id="rId130" ref="F134"/>
    <hyperlink r:id="rId131" ref="F135"/>
    <hyperlink r:id="rId132" ref="F139"/>
    <hyperlink r:id="rId133" ref="F144"/>
    <hyperlink r:id="rId134" ref="F145"/>
    <hyperlink r:id="rId135" ref="F146"/>
    <hyperlink r:id="rId136" ref="F147"/>
    <hyperlink r:id="rId137" ref="F148"/>
    <hyperlink r:id="rId138" ref="F149"/>
    <hyperlink r:id="rId139" ref="F150"/>
    <hyperlink r:id="rId140" ref="F151"/>
    <hyperlink r:id="rId141" ref="F152"/>
    <hyperlink r:id="rId142" ref="F153"/>
    <hyperlink r:id="rId143" ref="F154"/>
    <hyperlink r:id="rId144" ref="F155"/>
    <hyperlink r:id="rId145" ref="F156"/>
    <hyperlink r:id="rId146" ref="F157"/>
    <hyperlink r:id="rId147" ref="F158"/>
    <hyperlink r:id="rId148" ref="F159"/>
    <hyperlink r:id="rId149" ref="F160"/>
    <hyperlink r:id="rId150" ref="F161"/>
  </hyperlinks>
  <drawing r:id="rId15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5.25"/>
    <col customWidth="1" min="2" max="3" width="5.88"/>
    <col customWidth="1" min="4" max="4" width="12.63"/>
    <col customWidth="1" min="5" max="5" width="13.5"/>
    <col customWidth="1" hidden="1" min="6" max="6" width="5.25"/>
    <col customWidth="1" min="7" max="7" width="12.63"/>
    <col customWidth="1" min="8" max="8" width="12.5"/>
    <col customWidth="1" hidden="1" min="9" max="9" width="5.25"/>
    <col customWidth="1" min="10" max="10" width="16.38"/>
    <col customWidth="1" min="11" max="11" width="14.38"/>
    <col customWidth="1" min="12" max="12" width="15.13"/>
    <col customWidth="1" min="13" max="13" width="19.88"/>
    <col customWidth="1" min="14" max="14" width="17.25"/>
    <col customWidth="1" min="15" max="15" width="7.5"/>
  </cols>
  <sheetData>
    <row r="1" ht="15.75" customHeight="1">
      <c r="A1" s="146"/>
      <c r="B1" s="146"/>
      <c r="C1" s="429" t="s">
        <v>614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ht="15.75" customHeight="1">
      <c r="A2" s="430" t="s">
        <v>615</v>
      </c>
      <c r="B2" s="431" t="s">
        <v>616</v>
      </c>
      <c r="C2" s="432" t="str">
        <f>CONCATENATE(D36)</f>
        <v>Skill Diff</v>
      </c>
      <c r="D2" s="433"/>
      <c r="E2" s="349"/>
      <c r="F2" s="430" t="s">
        <v>617</v>
      </c>
      <c r="G2" s="349"/>
      <c r="H2" s="349"/>
      <c r="I2" s="430" t="s">
        <v>618</v>
      </c>
      <c r="J2" s="349"/>
      <c r="K2" s="349"/>
      <c r="L2" s="349"/>
      <c r="M2" s="146"/>
      <c r="N2" s="146"/>
      <c r="O2" s="146"/>
    </row>
    <row r="3" ht="15.75" customHeight="1">
      <c r="B3" s="434"/>
      <c r="C3" s="435"/>
      <c r="D3" s="436"/>
      <c r="E3" s="437"/>
      <c r="G3" s="349"/>
      <c r="H3" s="349"/>
      <c r="J3" s="349"/>
      <c r="K3" s="349"/>
      <c r="L3" s="349"/>
      <c r="M3" s="146"/>
      <c r="N3" s="146"/>
      <c r="O3" s="146"/>
    </row>
    <row r="4" ht="15.75" customHeight="1">
      <c r="B4" s="146"/>
      <c r="C4" s="438" t="s">
        <v>619</v>
      </c>
      <c r="E4" s="439"/>
      <c r="G4" s="349"/>
      <c r="H4" s="349"/>
      <c r="J4" s="349"/>
      <c r="K4" s="349"/>
      <c r="L4" s="349"/>
      <c r="M4" s="146"/>
      <c r="N4" s="146"/>
      <c r="O4" s="146"/>
    </row>
    <row r="5" ht="15.75" customHeight="1">
      <c r="B5" s="431" t="s">
        <v>620</v>
      </c>
      <c r="C5" s="440" t="str">
        <f>D42</f>
        <v>Operation: Doomsday</v>
      </c>
      <c r="D5" s="433"/>
      <c r="E5" s="439"/>
      <c r="G5" s="441" t="str">
        <f>D42</f>
        <v>Operation: Doomsday</v>
      </c>
      <c r="H5" s="349"/>
      <c r="J5" s="349"/>
      <c r="K5" s="349"/>
      <c r="L5" s="349"/>
      <c r="M5" s="146"/>
      <c r="N5" s="146"/>
      <c r="O5" s="146"/>
    </row>
    <row r="6" ht="25.5" customHeight="1">
      <c r="B6" s="434"/>
      <c r="C6" s="435"/>
      <c r="D6" s="436"/>
      <c r="E6" s="352"/>
      <c r="G6" s="442"/>
      <c r="H6" s="349"/>
      <c r="J6" s="349"/>
      <c r="K6" s="349"/>
      <c r="L6" s="349"/>
      <c r="M6" s="146"/>
      <c r="N6" s="146"/>
      <c r="O6" s="146"/>
    </row>
    <row r="7" ht="15.75" customHeight="1">
      <c r="B7" s="146"/>
      <c r="C7" s="146"/>
      <c r="D7" s="278"/>
      <c r="E7" s="349"/>
      <c r="G7" s="443" t="s">
        <v>621</v>
      </c>
      <c r="H7" s="349"/>
      <c r="J7" s="349"/>
      <c r="K7" s="349"/>
      <c r="L7" s="349"/>
      <c r="M7" s="146"/>
      <c r="N7" s="146"/>
      <c r="O7" s="146"/>
    </row>
    <row r="8" ht="15.75" customHeight="1">
      <c r="B8" s="431" t="s">
        <v>622</v>
      </c>
      <c r="C8" s="444" t="str">
        <f>D38</f>
        <v>Post Grif Depression</v>
      </c>
      <c r="D8" s="433"/>
      <c r="E8" s="349"/>
      <c r="G8" s="445" t="str">
        <f>D39</f>
        <v>GET SHREKT</v>
      </c>
      <c r="H8" s="349"/>
      <c r="J8" s="349"/>
      <c r="K8" s="349"/>
      <c r="L8" s="349"/>
      <c r="M8" s="146"/>
      <c r="N8" s="146"/>
      <c r="O8" s="146"/>
    </row>
    <row r="9" ht="25.5" customHeight="1">
      <c r="B9" s="434"/>
      <c r="C9" s="435"/>
      <c r="D9" s="436"/>
      <c r="E9" s="437"/>
      <c r="G9" s="442"/>
      <c r="H9" s="437"/>
      <c r="J9" s="349"/>
      <c r="K9" s="349"/>
      <c r="L9" s="349"/>
      <c r="M9" s="146"/>
      <c r="N9" s="146"/>
      <c r="O9" s="146"/>
    </row>
    <row r="10" ht="15.75" customHeight="1">
      <c r="B10" s="146"/>
      <c r="C10" s="438" t="s">
        <v>621</v>
      </c>
      <c r="E10" s="439"/>
      <c r="G10" s="349"/>
      <c r="H10" s="439"/>
      <c r="J10" s="349"/>
      <c r="K10" s="349"/>
      <c r="L10" s="349"/>
      <c r="M10" s="146"/>
      <c r="N10" s="146"/>
      <c r="O10" s="146"/>
    </row>
    <row r="11" ht="24.75" customHeight="1">
      <c r="B11" s="446" t="s">
        <v>623</v>
      </c>
      <c r="C11" s="440" t="str">
        <f>D39</f>
        <v>GET SHREKT</v>
      </c>
      <c r="D11" s="433"/>
      <c r="E11" s="439"/>
      <c r="G11" s="349"/>
      <c r="H11" s="349"/>
      <c r="J11" s="441" t="str">
        <f>G8</f>
        <v>GET SHREKT</v>
      </c>
      <c r="K11" s="349"/>
      <c r="L11" s="349"/>
      <c r="M11" s="146"/>
      <c r="N11" s="146"/>
      <c r="O11" s="146"/>
    </row>
    <row r="12" ht="15.75" customHeight="1">
      <c r="B12" s="146"/>
      <c r="C12" s="435"/>
      <c r="D12" s="436"/>
      <c r="E12" s="352"/>
      <c r="G12" s="349"/>
      <c r="H12" s="349"/>
      <c r="J12" s="442"/>
      <c r="K12" s="437"/>
      <c r="L12" s="349"/>
      <c r="M12" s="146"/>
      <c r="N12" s="146"/>
      <c r="O12" s="146"/>
    </row>
    <row r="13" ht="27.0" customHeight="1">
      <c r="A13" s="146"/>
      <c r="B13" s="146"/>
      <c r="C13" s="146"/>
      <c r="D13" s="278"/>
      <c r="E13" s="146"/>
      <c r="G13" s="146"/>
      <c r="H13" s="146"/>
      <c r="J13" s="443" t="s">
        <v>624</v>
      </c>
      <c r="K13" s="439"/>
      <c r="L13" s="447" t="str">
        <f>J14</f>
        <v>Puffy Grifbussy</v>
      </c>
      <c r="M13" s="146"/>
      <c r="N13" s="146"/>
      <c r="O13" s="146"/>
    </row>
    <row r="14" ht="15.75" customHeight="1">
      <c r="A14" s="430" t="s">
        <v>625</v>
      </c>
      <c r="B14" s="446" t="s">
        <v>626</v>
      </c>
      <c r="C14" s="440" t="str">
        <f>D37</f>
        <v>Puffy Grifbussy</v>
      </c>
      <c r="D14" s="433"/>
      <c r="E14" s="349"/>
      <c r="G14" s="349"/>
      <c r="H14" s="349"/>
      <c r="J14" s="445" t="str">
        <f>G17</f>
        <v>Puffy Grifbussy</v>
      </c>
      <c r="K14" s="448"/>
      <c r="L14" s="442"/>
      <c r="M14" s="146"/>
      <c r="N14" s="146"/>
      <c r="O14" s="146"/>
    </row>
    <row r="15" ht="15.75" customHeight="1">
      <c r="B15" s="146"/>
      <c r="C15" s="435"/>
      <c r="D15" s="436"/>
      <c r="E15" s="437"/>
      <c r="G15" s="349"/>
      <c r="H15" s="439"/>
      <c r="J15" s="442"/>
      <c r="K15" s="349"/>
      <c r="L15" s="349"/>
      <c r="M15" s="146"/>
      <c r="N15" s="146"/>
      <c r="O15" s="146"/>
    </row>
    <row r="16" ht="15.75" customHeight="1">
      <c r="B16" s="146"/>
      <c r="C16" s="438" t="s">
        <v>621</v>
      </c>
      <c r="D16" s="449"/>
      <c r="E16" s="439"/>
      <c r="G16" s="349"/>
      <c r="H16" s="439"/>
      <c r="J16" s="450"/>
      <c r="K16" s="349"/>
      <c r="L16" s="349"/>
      <c r="M16" s="146"/>
      <c r="N16" s="146"/>
      <c r="O16" s="146"/>
    </row>
    <row r="17" ht="15.75" customHeight="1">
      <c r="B17" s="446" t="s">
        <v>627</v>
      </c>
      <c r="C17" s="444" t="str">
        <f>D40</f>
        <v>Angry Duck Noises</v>
      </c>
      <c r="D17" s="433"/>
      <c r="E17" s="439"/>
      <c r="G17" s="445" t="str">
        <f>C14</f>
        <v>Puffy Grifbussy</v>
      </c>
      <c r="H17" s="448"/>
      <c r="J17" s="349"/>
      <c r="K17" s="349"/>
      <c r="L17" s="349"/>
      <c r="M17" s="146"/>
      <c r="N17" s="146"/>
      <c r="O17" s="146"/>
    </row>
    <row r="18" ht="15.75" customHeight="1">
      <c r="B18" s="146"/>
      <c r="C18" s="435"/>
      <c r="D18" s="436"/>
      <c r="E18" s="352"/>
      <c r="G18" s="442"/>
      <c r="H18" s="349"/>
      <c r="J18" s="349"/>
      <c r="K18" s="349"/>
      <c r="L18" s="349"/>
      <c r="M18" s="146"/>
      <c r="N18" s="146"/>
      <c r="O18" s="146"/>
    </row>
    <row r="19" ht="15.75" customHeight="1">
      <c r="B19" s="146"/>
      <c r="C19" s="146"/>
      <c r="D19" s="278"/>
      <c r="E19" s="349"/>
      <c r="G19" s="443" t="s">
        <v>621</v>
      </c>
      <c r="H19" s="349"/>
      <c r="J19" s="349"/>
      <c r="K19" s="349"/>
      <c r="L19" s="349"/>
      <c r="M19" s="146"/>
      <c r="N19" s="146"/>
      <c r="O19" s="146"/>
    </row>
    <row r="20" ht="15.75" customHeight="1">
      <c r="B20" s="446" t="s">
        <v>628</v>
      </c>
      <c r="C20" s="440" t="str">
        <f>D41</f>
        <v>Buff Oily Men (&amp; Women)</v>
      </c>
      <c r="D20" s="433"/>
      <c r="E20" s="349"/>
      <c r="G20" s="441" t="str">
        <f>C20</f>
        <v>Buff Oily Men (&amp; Women)</v>
      </c>
      <c r="H20" s="349"/>
      <c r="J20" s="349"/>
      <c r="K20" s="349"/>
      <c r="L20" s="349"/>
      <c r="M20" s="146"/>
      <c r="N20" s="146"/>
      <c r="O20" s="146"/>
    </row>
    <row r="21" ht="15.75" customHeight="1">
      <c r="B21" s="146"/>
      <c r="C21" s="435"/>
      <c r="D21" s="436"/>
      <c r="E21" s="437"/>
      <c r="G21" s="442"/>
      <c r="H21" s="349"/>
      <c r="J21" s="349"/>
      <c r="K21" s="349"/>
      <c r="L21" s="349"/>
      <c r="M21" s="146"/>
      <c r="N21" s="146"/>
      <c r="O21" s="146"/>
    </row>
    <row r="22" ht="15.75" customHeight="1">
      <c r="B22" s="146"/>
      <c r="C22" s="438" t="s">
        <v>621</v>
      </c>
      <c r="D22" s="449"/>
      <c r="E22" s="439"/>
      <c r="G22" s="349"/>
      <c r="H22" s="349"/>
      <c r="J22" s="349"/>
      <c r="K22" s="349"/>
      <c r="L22" s="349"/>
      <c r="M22" s="146"/>
      <c r="N22" s="146"/>
      <c r="O22" s="146"/>
    </row>
    <row r="23" ht="15.75" customHeight="1">
      <c r="B23" s="446" t="s">
        <v>629</v>
      </c>
      <c r="C23" s="432" t="str">
        <f>CONCATENATE(D35)</f>
        <v>Crazy Guys</v>
      </c>
      <c r="D23" s="433"/>
      <c r="E23" s="439"/>
      <c r="G23" s="349"/>
      <c r="H23" s="349"/>
      <c r="J23" s="349"/>
      <c r="K23" s="349"/>
      <c r="L23" s="349"/>
      <c r="M23" s="146"/>
      <c r="N23" s="146"/>
      <c r="O23" s="146"/>
    </row>
    <row r="24" ht="15.75" customHeight="1">
      <c r="B24" s="146"/>
      <c r="C24" s="435"/>
      <c r="D24" s="436"/>
      <c r="E24" s="352"/>
      <c r="G24" s="349"/>
      <c r="H24" s="349"/>
      <c r="J24" s="349"/>
      <c r="K24" s="349"/>
      <c r="L24" s="349"/>
      <c r="M24" s="146"/>
      <c r="N24" s="146"/>
      <c r="O24" s="146"/>
    </row>
    <row r="25" ht="15.75" customHeight="1">
      <c r="A25" s="146"/>
      <c r="B25" s="146"/>
      <c r="C25" s="146"/>
      <c r="D25" s="278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ht="15.75" customHeight="1">
      <c r="A26" s="146"/>
      <c r="B26" s="146"/>
      <c r="C26" s="146"/>
      <c r="D26" s="451" t="s">
        <v>630</v>
      </c>
      <c r="E26" s="452" t="s">
        <v>6</v>
      </c>
      <c r="F26" s="452"/>
      <c r="G26" s="452" t="s">
        <v>11</v>
      </c>
      <c r="H26" s="452" t="s">
        <v>106</v>
      </c>
      <c r="I26" s="452"/>
      <c r="J26" s="452" t="s">
        <v>5</v>
      </c>
      <c r="K26" s="452" t="s">
        <v>12</v>
      </c>
      <c r="L26" s="452" t="s">
        <v>9</v>
      </c>
      <c r="M26" s="452" t="s">
        <v>4</v>
      </c>
      <c r="N26" s="452" t="s">
        <v>8</v>
      </c>
      <c r="O26" s="146"/>
    </row>
    <row r="27" ht="15.75" customHeight="1">
      <c r="A27" s="146"/>
      <c r="B27" s="146"/>
      <c r="C27" s="146"/>
      <c r="D27" s="451" t="s">
        <v>631</v>
      </c>
      <c r="E27" s="453" t="s">
        <v>19</v>
      </c>
      <c r="F27" s="453"/>
      <c r="G27" s="453" t="s">
        <v>24</v>
      </c>
      <c r="H27" s="453" t="s">
        <v>23</v>
      </c>
      <c r="I27" s="453"/>
      <c r="J27" s="453" t="s">
        <v>44</v>
      </c>
      <c r="K27" s="453" t="s">
        <v>25</v>
      </c>
      <c r="L27" s="453" t="s">
        <v>22</v>
      </c>
      <c r="M27" s="453" t="s">
        <v>17</v>
      </c>
      <c r="N27" s="453" t="s">
        <v>21</v>
      </c>
      <c r="O27" s="146"/>
    </row>
    <row r="28" ht="15.75" customHeight="1">
      <c r="A28" s="146"/>
      <c r="B28" s="146"/>
      <c r="C28" s="146"/>
      <c r="D28" s="451" t="s">
        <v>632</v>
      </c>
      <c r="E28" s="452" t="s">
        <v>32</v>
      </c>
      <c r="F28" s="452"/>
      <c r="G28" s="452" t="s">
        <v>37</v>
      </c>
      <c r="H28" s="452" t="s">
        <v>36</v>
      </c>
      <c r="I28" s="452"/>
      <c r="J28" s="452" t="s">
        <v>31</v>
      </c>
      <c r="K28" s="452" t="s">
        <v>633</v>
      </c>
      <c r="L28" s="452" t="s">
        <v>35</v>
      </c>
      <c r="M28" s="452" t="s">
        <v>30</v>
      </c>
      <c r="N28" s="452" t="s">
        <v>34</v>
      </c>
      <c r="O28" s="146"/>
    </row>
    <row r="29" ht="15.75" customHeight="1">
      <c r="A29" s="146"/>
      <c r="B29" s="146"/>
      <c r="C29" s="146"/>
      <c r="D29" s="451" t="s">
        <v>634</v>
      </c>
      <c r="E29" s="454" t="s">
        <v>45</v>
      </c>
      <c r="F29" s="454"/>
      <c r="G29" s="452" t="s">
        <v>50</v>
      </c>
      <c r="H29" s="452" t="s">
        <v>49</v>
      </c>
      <c r="I29" s="452"/>
      <c r="J29" s="452" t="s">
        <v>57</v>
      </c>
      <c r="K29" s="452" t="s">
        <v>635</v>
      </c>
      <c r="L29" s="452" t="s">
        <v>48</v>
      </c>
      <c r="M29" s="452" t="s">
        <v>43</v>
      </c>
      <c r="N29" s="452" t="s">
        <v>47</v>
      </c>
      <c r="O29" s="146"/>
    </row>
    <row r="30" ht="15.75" customHeight="1">
      <c r="A30" s="146"/>
      <c r="B30" s="146"/>
      <c r="C30" s="146"/>
      <c r="D30" s="451" t="s">
        <v>636</v>
      </c>
      <c r="E30" s="452" t="s">
        <v>58</v>
      </c>
      <c r="F30" s="452"/>
      <c r="G30" s="452" t="s">
        <v>63</v>
      </c>
      <c r="H30" s="452" t="s">
        <v>62</v>
      </c>
      <c r="I30" s="452"/>
      <c r="J30" s="452" t="s">
        <v>70</v>
      </c>
      <c r="K30" s="452" t="s">
        <v>64</v>
      </c>
      <c r="L30" s="452" t="s">
        <v>61</v>
      </c>
      <c r="M30" s="452" t="s">
        <v>56</v>
      </c>
      <c r="N30" s="452" t="s">
        <v>60</v>
      </c>
      <c r="O30" s="146"/>
    </row>
    <row r="31" ht="15.75" customHeight="1">
      <c r="A31" s="146"/>
      <c r="B31" s="146"/>
      <c r="C31" s="455"/>
      <c r="D31" s="456" t="s">
        <v>637</v>
      </c>
      <c r="E31" s="457"/>
      <c r="F31" s="457"/>
      <c r="G31" s="457"/>
      <c r="H31" s="457"/>
      <c r="I31" s="457"/>
      <c r="J31" s="457"/>
      <c r="K31" s="457"/>
      <c r="L31" s="457" t="s">
        <v>638</v>
      </c>
      <c r="M31" s="457" t="s">
        <v>26</v>
      </c>
      <c r="N31" s="457"/>
      <c r="O31" s="455"/>
    </row>
    <row r="32" ht="15.75" customHeight="1">
      <c r="A32" s="146"/>
      <c r="B32" s="146"/>
      <c r="C32" s="146"/>
      <c r="D32" s="451" t="s">
        <v>639</v>
      </c>
      <c r="E32" s="454"/>
      <c r="F32" s="454"/>
      <c r="G32" s="454"/>
      <c r="H32" s="454"/>
      <c r="I32" s="454"/>
      <c r="J32" s="454"/>
      <c r="K32" s="454"/>
      <c r="L32" s="454" t="s">
        <v>640</v>
      </c>
      <c r="M32" s="454" t="s">
        <v>641</v>
      </c>
      <c r="N32" s="454"/>
      <c r="O32" s="146"/>
    </row>
    <row r="33" ht="15.75" customHeight="1">
      <c r="A33" s="146"/>
      <c r="B33" s="146"/>
      <c r="C33" s="146"/>
      <c r="D33" s="278"/>
      <c r="E33" s="458" t="s">
        <v>642</v>
      </c>
      <c r="N33" s="146"/>
      <c r="O33" s="146"/>
    </row>
    <row r="34" ht="15.75" customHeight="1">
      <c r="A34" s="146"/>
      <c r="B34" s="146"/>
      <c r="C34" s="146"/>
      <c r="D34" s="278"/>
      <c r="N34" s="146"/>
      <c r="O34" s="146"/>
    </row>
    <row r="35" ht="15.75" hidden="1" customHeight="1">
      <c r="A35" s="146"/>
      <c r="B35" s="146"/>
      <c r="C35" s="146"/>
      <c r="D35" s="459" t="str">
        <f>IFERROR(__xludf.DUMMYFUNCTION("QUERY('Schedule ListStandings'!H3:K14, ""Select H,I,J order by I Desc"")"),"Crazy Guys")</f>
        <v>Crazy Guys</v>
      </c>
      <c r="E35" s="460">
        <f>IFERROR(__xludf.DUMMYFUNCTION("""COMPUTED_VALUE"""),17.0)</f>
        <v>17</v>
      </c>
      <c r="F35" s="460">
        <f>IFERROR(__xludf.DUMMYFUNCTION("""COMPUTED_VALUE"""),5.0)</f>
        <v>5</v>
      </c>
      <c r="G35" s="72"/>
      <c r="H35" s="461">
        <f t="shared" ref="H35:H45" si="1">E35/20</f>
        <v>0.85</v>
      </c>
      <c r="I35" s="461"/>
      <c r="J35" s="462" t="s">
        <v>643</v>
      </c>
      <c r="K35" s="146"/>
      <c r="L35" s="146"/>
      <c r="M35" s="146"/>
      <c r="N35" s="146"/>
      <c r="O35" s="146"/>
    </row>
    <row r="36" ht="15.75" hidden="1" customHeight="1">
      <c r="A36" s="146"/>
      <c r="B36" s="146"/>
      <c r="C36" s="146"/>
      <c r="D36" s="459" t="str">
        <f>IFERROR(__xludf.DUMMYFUNCTION("""COMPUTED_VALUE"""),"Skill Diff")</f>
        <v>Skill Diff</v>
      </c>
      <c r="E36" s="460">
        <f>IFERROR(__xludf.DUMMYFUNCTION("""COMPUTED_VALUE"""),16.0)</f>
        <v>16</v>
      </c>
      <c r="F36" s="460">
        <f>IFERROR(__xludf.DUMMYFUNCTION("""COMPUTED_VALUE"""),6.0)</f>
        <v>6</v>
      </c>
      <c r="G36" s="72"/>
      <c r="H36" s="461">
        <f t="shared" si="1"/>
        <v>0.8</v>
      </c>
      <c r="I36" s="461"/>
      <c r="J36" s="462" t="s">
        <v>644</v>
      </c>
      <c r="K36" s="146"/>
      <c r="L36" s="146"/>
      <c r="M36" s="146"/>
      <c r="N36" s="146"/>
      <c r="O36" s="146"/>
    </row>
    <row r="37" ht="15.75" hidden="1" customHeight="1">
      <c r="A37" s="146"/>
      <c r="B37" s="146"/>
      <c r="C37" s="146"/>
      <c r="D37" s="459" t="str">
        <f>IFERROR(__xludf.DUMMYFUNCTION("""COMPUTED_VALUE"""),"Puffy Grifbussy")</f>
        <v>Puffy Grifbussy</v>
      </c>
      <c r="E37" s="460">
        <f>IFERROR(__xludf.DUMMYFUNCTION("""COMPUTED_VALUE"""),15.0)</f>
        <v>15</v>
      </c>
      <c r="F37" s="460">
        <f>IFERROR(__xludf.DUMMYFUNCTION("""COMPUTED_VALUE"""),7.0)</f>
        <v>7</v>
      </c>
      <c r="G37" s="72"/>
      <c r="H37" s="461">
        <f t="shared" si="1"/>
        <v>0.75</v>
      </c>
      <c r="I37" s="461"/>
      <c r="J37" s="462" t="s">
        <v>645</v>
      </c>
      <c r="K37" s="146"/>
      <c r="L37" s="146"/>
      <c r="M37" s="146"/>
      <c r="N37" s="146"/>
      <c r="O37" s="146"/>
    </row>
    <row r="38" ht="15.75" hidden="1" customHeight="1">
      <c r="A38" s="146"/>
      <c r="B38" s="146"/>
      <c r="C38" s="146"/>
      <c r="D38" s="459" t="str">
        <f>IFERROR(__xludf.DUMMYFUNCTION("""COMPUTED_VALUE"""),"Post Grif Depression")</f>
        <v>Post Grif Depression</v>
      </c>
      <c r="E38" s="460">
        <f>IFERROR(__xludf.DUMMYFUNCTION("""COMPUTED_VALUE"""),15.0)</f>
        <v>15</v>
      </c>
      <c r="F38" s="460">
        <f>IFERROR(__xludf.DUMMYFUNCTION("""COMPUTED_VALUE"""),7.0)</f>
        <v>7</v>
      </c>
      <c r="G38" s="72"/>
      <c r="H38" s="461">
        <f t="shared" si="1"/>
        <v>0.75</v>
      </c>
      <c r="I38" s="461"/>
      <c r="J38" s="462" t="s">
        <v>646</v>
      </c>
      <c r="K38" s="146"/>
      <c r="L38" s="146"/>
      <c r="M38" s="146"/>
      <c r="N38" s="146"/>
      <c r="O38" s="146"/>
    </row>
    <row r="39" ht="15.75" hidden="1" customHeight="1">
      <c r="A39" s="146"/>
      <c r="B39" s="146"/>
      <c r="C39" s="146"/>
      <c r="D39" s="459" t="str">
        <f>IFERROR(__xludf.DUMMYFUNCTION("""COMPUTED_VALUE"""),"GET SHREKT")</f>
        <v>GET SHREKT</v>
      </c>
      <c r="E39" s="460">
        <f>IFERROR(__xludf.DUMMYFUNCTION("""COMPUTED_VALUE"""),13.0)</f>
        <v>13</v>
      </c>
      <c r="F39" s="460">
        <f>IFERROR(__xludf.DUMMYFUNCTION("""COMPUTED_VALUE"""),9.0)</f>
        <v>9</v>
      </c>
      <c r="G39" s="72"/>
      <c r="H39" s="461">
        <f t="shared" si="1"/>
        <v>0.65</v>
      </c>
      <c r="I39" s="461"/>
      <c r="J39" s="462" t="s">
        <v>647</v>
      </c>
      <c r="K39" s="146"/>
      <c r="L39" s="146"/>
      <c r="M39" s="146"/>
      <c r="N39" s="146"/>
      <c r="O39" s="146"/>
    </row>
    <row r="40" ht="15.75" hidden="1" customHeight="1">
      <c r="A40" s="146"/>
      <c r="B40" s="146"/>
      <c r="C40" s="146"/>
      <c r="D40" s="459" t="str">
        <f>IFERROR(__xludf.DUMMYFUNCTION("""COMPUTED_VALUE"""),"Angry Duck Noises")</f>
        <v>Angry Duck Noises</v>
      </c>
      <c r="E40" s="460">
        <f>IFERROR(__xludf.DUMMYFUNCTION("""COMPUTED_VALUE"""),11.0)</f>
        <v>11</v>
      </c>
      <c r="F40" s="460">
        <f>IFERROR(__xludf.DUMMYFUNCTION("""COMPUTED_VALUE"""),11.0)</f>
        <v>11</v>
      </c>
      <c r="G40" s="72"/>
      <c r="H40" s="461">
        <f t="shared" si="1"/>
        <v>0.55</v>
      </c>
      <c r="I40" s="461"/>
      <c r="J40" s="462" t="s">
        <v>648</v>
      </c>
      <c r="K40" s="146"/>
      <c r="L40" s="146"/>
      <c r="M40" s="146"/>
      <c r="N40" s="146"/>
      <c r="O40" s="146"/>
    </row>
    <row r="41" ht="15.75" hidden="1" customHeight="1">
      <c r="A41" s="146"/>
      <c r="B41" s="146"/>
      <c r="C41" s="146"/>
      <c r="D41" s="459" t="str">
        <f>IFERROR(__xludf.DUMMYFUNCTION("""COMPUTED_VALUE"""),"Buff Oily Men (&amp; Women)")</f>
        <v>Buff Oily Men (&amp; Women)</v>
      </c>
      <c r="E41" s="460">
        <f>IFERROR(__xludf.DUMMYFUNCTION("""COMPUTED_VALUE"""),9.0)</f>
        <v>9</v>
      </c>
      <c r="F41" s="460">
        <f>IFERROR(__xludf.DUMMYFUNCTION("""COMPUTED_VALUE"""),13.0)</f>
        <v>13</v>
      </c>
      <c r="G41" s="72"/>
      <c r="H41" s="461">
        <f t="shared" si="1"/>
        <v>0.45</v>
      </c>
      <c r="I41" s="461"/>
      <c r="J41" s="462" t="s">
        <v>649</v>
      </c>
      <c r="K41" s="146"/>
      <c r="L41" s="146"/>
      <c r="M41" s="146"/>
      <c r="N41" s="146"/>
      <c r="O41" s="146"/>
    </row>
    <row r="42" ht="15.75" hidden="1" customHeight="1">
      <c r="A42" s="146"/>
      <c r="B42" s="146"/>
      <c r="C42" s="146"/>
      <c r="D42" s="459" t="str">
        <f>IFERROR(__xludf.DUMMYFUNCTION("""COMPUTED_VALUE"""),"Operation: Doomsday")</f>
        <v>Operation: Doomsday</v>
      </c>
      <c r="E42" s="460">
        <f>IFERROR(__xludf.DUMMYFUNCTION("""COMPUTED_VALUE"""),9.0)</f>
        <v>9</v>
      </c>
      <c r="F42" s="460">
        <f>IFERROR(__xludf.DUMMYFUNCTION("""COMPUTED_VALUE"""),13.0)</f>
        <v>13</v>
      </c>
      <c r="G42" s="72"/>
      <c r="H42" s="461">
        <f t="shared" si="1"/>
        <v>0.45</v>
      </c>
      <c r="I42" s="461"/>
      <c r="J42" s="462" t="s">
        <v>650</v>
      </c>
      <c r="K42" s="146"/>
      <c r="L42" s="146"/>
      <c r="M42" s="146"/>
      <c r="N42" s="146"/>
      <c r="O42" s="146"/>
    </row>
    <row r="43" ht="15.75" hidden="1" customHeight="1">
      <c r="A43" s="146"/>
      <c r="B43" s="146"/>
      <c r="C43" s="146"/>
      <c r="D43" s="463" t="str">
        <f>IFERROR(__xludf.DUMMYFUNCTION("""COMPUTED_VALUE"""),"Moist grapefruit")</f>
        <v>Moist grapefruit</v>
      </c>
      <c r="E43" s="464">
        <f>IFERROR(__xludf.DUMMYFUNCTION("""COMPUTED_VALUE"""),8.0)</f>
        <v>8</v>
      </c>
      <c r="F43" s="464">
        <f>IFERROR(__xludf.DUMMYFUNCTION("""COMPUTED_VALUE"""),14.0)</f>
        <v>14</v>
      </c>
      <c r="G43" s="465"/>
      <c r="H43" s="466">
        <f t="shared" si="1"/>
        <v>0.4</v>
      </c>
      <c r="I43" s="466"/>
      <c r="J43" s="146"/>
      <c r="K43" s="146"/>
      <c r="L43" s="146"/>
      <c r="M43" s="146"/>
      <c r="N43" s="146"/>
      <c r="O43" s="146"/>
    </row>
    <row r="44" ht="15.75" hidden="1" customHeight="1">
      <c r="A44" s="146"/>
      <c r="B44" s="146"/>
      <c r="C44" s="146"/>
      <c r="D44" s="463" t="str">
        <f>IFERROR(__xludf.DUMMYFUNCTION("""COMPUTED_VALUE"""),"Sarge’s Squad")</f>
        <v>Sarge’s Squad</v>
      </c>
      <c r="E44" s="464">
        <f>IFERROR(__xludf.DUMMYFUNCTION("""COMPUTED_VALUE"""),8.0)</f>
        <v>8</v>
      </c>
      <c r="F44" s="464">
        <f>IFERROR(__xludf.DUMMYFUNCTION("""COMPUTED_VALUE"""),14.0)</f>
        <v>14</v>
      </c>
      <c r="G44" s="465"/>
      <c r="H44" s="466">
        <f t="shared" si="1"/>
        <v>0.4</v>
      </c>
      <c r="I44" s="466"/>
      <c r="J44" s="146"/>
      <c r="K44" s="146"/>
      <c r="L44" s="146"/>
      <c r="M44" s="146"/>
      <c r="N44" s="146"/>
      <c r="O44" s="146"/>
    </row>
    <row r="45" ht="15.75" hidden="1" customHeight="1">
      <c r="A45" s="146"/>
      <c r="B45" s="146"/>
      <c r="C45" s="146"/>
      <c r="D45" s="463" t="str">
        <f>IFERROR(__xludf.DUMMYFUNCTION("""COMPUTED_VALUE"""),"Separate Intelligence")</f>
        <v>Separate Intelligence</v>
      </c>
      <c r="E45" s="464">
        <f>IFERROR(__xludf.DUMMYFUNCTION("""COMPUTED_VALUE"""),6.0)</f>
        <v>6</v>
      </c>
      <c r="F45" s="464">
        <f>IFERROR(__xludf.DUMMYFUNCTION("""COMPUTED_VALUE"""),16.0)</f>
        <v>16</v>
      </c>
      <c r="G45" s="465"/>
      <c r="H45" s="466">
        <f t="shared" si="1"/>
        <v>0.3</v>
      </c>
      <c r="I45" s="466"/>
      <c r="J45" s="146"/>
      <c r="K45" s="146"/>
      <c r="L45" s="146"/>
      <c r="M45" s="146"/>
      <c r="N45" s="146"/>
      <c r="O45" s="146"/>
    </row>
    <row r="46" ht="15.75" hidden="1" customHeight="1">
      <c r="A46" s="146"/>
      <c r="B46" s="146"/>
      <c r="C46" s="146"/>
      <c r="D46" s="278" t="str">
        <f>IFERROR(__xludf.DUMMYFUNCTION("""COMPUTED_VALUE"""),"Paradox Warriors")</f>
        <v>Paradox Warriors</v>
      </c>
      <c r="E46" s="467">
        <f>IFERROR(__xludf.DUMMYFUNCTION("""COMPUTED_VALUE"""),5.0)</f>
        <v>5</v>
      </c>
      <c r="F46" s="467">
        <f>IFERROR(__xludf.DUMMYFUNCTION("""COMPUTED_VALUE"""),17.0)</f>
        <v>17</v>
      </c>
      <c r="G46" s="146"/>
      <c r="H46" s="146"/>
      <c r="I46" s="146"/>
      <c r="J46" s="146"/>
      <c r="K46" s="146"/>
      <c r="L46" s="146"/>
      <c r="M46" s="146"/>
      <c r="N46" s="146"/>
      <c r="O46" s="146"/>
    </row>
    <row r="47" ht="15.75" hidden="1" customHeight="1">
      <c r="A47" s="146"/>
      <c r="B47" s="146"/>
      <c r="C47" s="146"/>
      <c r="D47" s="278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</row>
    <row r="48" ht="15.75" hidden="1" customHeight="1">
      <c r="A48" s="146"/>
      <c r="B48" s="146"/>
      <c r="C48" s="146"/>
      <c r="D48" s="278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</row>
    <row r="49" ht="15.75" hidden="1" customHeight="1">
      <c r="A49" s="146"/>
      <c r="B49" s="146"/>
      <c r="C49" s="146"/>
      <c r="D49" s="278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C5:D6"/>
    <mergeCell ref="C8:D9"/>
    <mergeCell ref="C4:D4"/>
    <mergeCell ref="C10:D10"/>
    <mergeCell ref="C11:D12"/>
    <mergeCell ref="J11:J12"/>
    <mergeCell ref="L13:L14"/>
    <mergeCell ref="J14:J15"/>
    <mergeCell ref="C2:D3"/>
    <mergeCell ref="C14:D15"/>
    <mergeCell ref="C16:D16"/>
    <mergeCell ref="C17:D18"/>
    <mergeCell ref="G17:G18"/>
    <mergeCell ref="C20:D21"/>
    <mergeCell ref="G20:G21"/>
    <mergeCell ref="C22:D22"/>
    <mergeCell ref="C23:D24"/>
    <mergeCell ref="E33:M34"/>
    <mergeCell ref="C1:D1"/>
    <mergeCell ref="A2:A12"/>
    <mergeCell ref="F2:F24"/>
    <mergeCell ref="I2:I24"/>
    <mergeCell ref="G5:G6"/>
    <mergeCell ref="G8:G9"/>
    <mergeCell ref="A14:A24"/>
  </mergeCells>
  <drawing r:id="rId1"/>
</worksheet>
</file>