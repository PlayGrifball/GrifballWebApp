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Chart" sheetId="1" r:id="rId4"/>
    <sheet state="visible" name="Schedule ListStandings" sheetId="2" r:id="rId5"/>
    <sheet state="visible" name="Game History" sheetId="3" r:id="rId6"/>
    <sheet state="visible" name="Playoffs" sheetId="4" r:id="rId7"/>
    <sheet state="visible" name="Schedule" sheetId="5" r:id="rId8"/>
    <sheet state="hidden" name="Copy of Draft Sheet" sheetId="6" r:id="rId9"/>
    <sheet state="hidden" name="Substitution List" sheetId="7" r:id="rId10"/>
    <sheet state="hidden" name="Schedule Lookup Tool" sheetId="8" r:id="rId11"/>
    <sheet state="hidden" name="Alt Draft Sheet" sheetId="9" r:id="rId12"/>
    <sheet state="hidden" name="Sheet5" sheetId="10" r:id="rId13"/>
    <sheet state="hidden" name="Game History (OLD)" sheetId="11" r:id="rId14"/>
  </sheets>
  <definedNames>
    <definedName hidden="1" localSheetId="4" name="_xlnm._FilterDatabase">Schedule!$A$43:$H$106</definedName>
  </definedNames>
  <calcPr/>
  <extLst>
    <ext uri="GoogleSheetsCustomDataVersion2">
      <go:sheetsCustomData xmlns:go="http://customooxmlschemas.google.com/" r:id="rId15" roundtripDataChecksum="5iJyfQxAQ5RkI4k98mnjwaemqQ96QX51v/E430SkTL0="/>
    </ext>
  </extLst>
</workbook>
</file>

<file path=xl/sharedStrings.xml><?xml version="1.0" encoding="utf-8"?>
<sst xmlns="http://schemas.openxmlformats.org/spreadsheetml/2006/main" count="3145" uniqueCount="1188">
  <si>
    <t>HALO INFINITE Spring Bid League 2025 GRIFBALL SEASON</t>
  </si>
  <si>
    <t>Season Standings</t>
  </si>
  <si>
    <t>5th</t>
  </si>
  <si>
    <t>3rd</t>
  </si>
  <si>
    <t>6th</t>
  </si>
  <si>
    <t>7th</t>
  </si>
  <si>
    <t>4th</t>
  </si>
  <si>
    <t>13th</t>
  </si>
  <si>
    <t>1st</t>
  </si>
  <si>
    <t>8th</t>
  </si>
  <si>
    <t>9th</t>
  </si>
  <si>
    <t>2nd</t>
  </si>
  <si>
    <t>10th</t>
  </si>
  <si>
    <t>14th</t>
  </si>
  <si>
    <t>11th</t>
  </si>
  <si>
    <t>12th</t>
  </si>
  <si>
    <t>Playoff Ending</t>
  </si>
  <si>
    <t>3rd (Semi-Finals)</t>
  </si>
  <si>
    <t>4th (Quarter Finals)</t>
  </si>
  <si>
    <t>2nd (Finals)</t>
  </si>
  <si>
    <t>1st (Season Winner)</t>
  </si>
  <si>
    <t>Team Name:</t>
  </si>
  <si>
    <t>First Strike</t>
  </si>
  <si>
    <t>Clip Hunters</t>
  </si>
  <si>
    <t>Hammers are for Losers</t>
  </si>
  <si>
    <t>Skill Differential</t>
  </si>
  <si>
    <t>Chick-fil-Ass Grabbers</t>
  </si>
  <si>
    <t>Intervention</t>
  </si>
  <si>
    <t>Chemical Imbalance</t>
  </si>
  <si>
    <t>Cosmic Oblivion</t>
  </si>
  <si>
    <t>Murder Incorporated</t>
  </si>
  <si>
    <t>Like Clockwork</t>
  </si>
  <si>
    <t>Ascension</t>
  </si>
  <si>
    <t>Junkyard Dogs</t>
  </si>
  <si>
    <t>Underrated</t>
  </si>
  <si>
    <t>NeuraLink II</t>
  </si>
  <si>
    <t>Captain:</t>
  </si>
  <si>
    <t>NecessaryEvil</t>
  </si>
  <si>
    <t>ASpence501</t>
  </si>
  <si>
    <t>Mr Epic Beast</t>
  </si>
  <si>
    <t>KDSkill</t>
  </si>
  <si>
    <t>MysticalNovice</t>
  </si>
  <si>
    <t>Scullen cx</t>
  </si>
  <si>
    <t>Chemical</t>
  </si>
  <si>
    <t>DaedricKindred</t>
  </si>
  <si>
    <t>MasterSquirre</t>
  </si>
  <si>
    <t>yLuxe</t>
  </si>
  <si>
    <t>Solace VII</t>
  </si>
  <si>
    <t>Nkot</t>
  </si>
  <si>
    <t>NOPLEX</t>
  </si>
  <si>
    <t>TcT AVENGER</t>
  </si>
  <si>
    <t>Bid 1</t>
  </si>
  <si>
    <t>Mavbrid</t>
  </si>
  <si>
    <t>Fanciest Pants</t>
  </si>
  <si>
    <t>Triumph Penguin</t>
  </si>
  <si>
    <t>Invayda Zim</t>
  </si>
  <si>
    <t>Dhlyn</t>
  </si>
  <si>
    <t>ShadowPandah</t>
  </si>
  <si>
    <t>PoisonxPoptart</t>
  </si>
  <si>
    <t>Cosmos5024</t>
  </si>
  <si>
    <t>mxrvine</t>
  </si>
  <si>
    <t>Its Low Mane</t>
  </si>
  <si>
    <t>Grunt Padre</t>
  </si>
  <si>
    <t>PapasnipezX</t>
  </si>
  <si>
    <t>Sabasaurus rex</t>
  </si>
  <si>
    <t>Deathcrawller</t>
  </si>
  <si>
    <t>Bid 2</t>
  </si>
  <si>
    <t>PsyDuck54</t>
  </si>
  <si>
    <t>Boss Tycoon</t>
  </si>
  <si>
    <t>ill shrek u</t>
  </si>
  <si>
    <t>AwareMosquito</t>
  </si>
  <si>
    <t>Trespa5s</t>
  </si>
  <si>
    <t>The Goosler2948</t>
  </si>
  <si>
    <t>Priest XYZ</t>
  </si>
  <si>
    <t>Rechargen</t>
  </si>
  <si>
    <t>Ump Double Ump</t>
  </si>
  <si>
    <t>ixGingy</t>
  </si>
  <si>
    <t>Inactive Spoon</t>
  </si>
  <si>
    <t>iReign 7</t>
  </si>
  <si>
    <t>Big Al 60</t>
  </si>
  <si>
    <t>Havoc Puppies</t>
  </si>
  <si>
    <t>Bid 3</t>
  </si>
  <si>
    <t>TcT Demon</t>
  </si>
  <si>
    <t>Sauted Smurf</t>
  </si>
  <si>
    <t>Rage More Nerd</t>
  </si>
  <si>
    <t>II Panther Lily</t>
  </si>
  <si>
    <t>itsRiskE</t>
  </si>
  <si>
    <t>SPANKTR0N</t>
  </si>
  <si>
    <t>CaptainSev004</t>
  </si>
  <si>
    <t>VwS Executioner</t>
  </si>
  <si>
    <t>ENDASIS ZX5080</t>
  </si>
  <si>
    <t>TommyWstSide</t>
  </si>
  <si>
    <t>MuNgO PuNgO</t>
  </si>
  <si>
    <t>Legion of Toast</t>
  </si>
  <si>
    <t>Pacfan010</t>
  </si>
  <si>
    <t>El Diablo</t>
  </si>
  <si>
    <t>h</t>
  </si>
  <si>
    <t>All Times Are Eastern Daylight Time</t>
  </si>
  <si>
    <t>ALL IN CONFERENCE MATCHES ARE DOUBLE HEADERS</t>
  </si>
  <si>
    <t>Hammer Conference</t>
  </si>
  <si>
    <t>Sword Conference</t>
  </si>
  <si>
    <t>ALL OUT OF CONFERENCE MATCHES ARE SINGLES</t>
  </si>
  <si>
    <t>Week 1 (March)</t>
  </si>
  <si>
    <t>Bouts</t>
  </si>
  <si>
    <t>Times</t>
  </si>
  <si>
    <t>In/Out of Conference</t>
  </si>
  <si>
    <t>Reschedules</t>
  </si>
  <si>
    <t>In/Out</t>
  </si>
  <si>
    <t>Free Scheduling</t>
  </si>
  <si>
    <t>Team Standings</t>
  </si>
  <si>
    <t>Wins</t>
  </si>
  <si>
    <t>Loss</t>
  </si>
  <si>
    <t>Games</t>
  </si>
  <si>
    <t>Monday 24th</t>
  </si>
  <si>
    <t>ASpence vs Solace</t>
  </si>
  <si>
    <t>Out</t>
  </si>
  <si>
    <t>Evil vs kdskill (out)</t>
  </si>
  <si>
    <t>Sunday</t>
  </si>
  <si>
    <t>Chemical Imbalance (chemical)</t>
  </si>
  <si>
    <t>Clip Hunters (aspence)</t>
  </si>
  <si>
    <t>Chemical vs KDSkill</t>
  </si>
  <si>
    <t>Evil vs Daedric (in)</t>
  </si>
  <si>
    <t>Monday</t>
  </si>
  <si>
    <t>Like Clockwork (luxe)</t>
  </si>
  <si>
    <t>Chick-fil-Ass Grabbers (novice)</t>
  </si>
  <si>
    <t>Tuesday 25th</t>
  </si>
  <si>
    <t xml:space="preserve">Luxe vs Noplex 9:30 PM </t>
  </si>
  <si>
    <t>in</t>
  </si>
  <si>
    <t>Evil vs Solace (in)</t>
  </si>
  <si>
    <t>Tuesday</t>
  </si>
  <si>
    <t>First Strike (evil)</t>
  </si>
  <si>
    <t>Hammers are for Losers (epic)</t>
  </si>
  <si>
    <t>Luxe vs Nkot</t>
  </si>
  <si>
    <t>Evil vs Epic (out)</t>
  </si>
  <si>
    <t>Wednesday</t>
  </si>
  <si>
    <t>Cosmic Oblivion (Daedric)</t>
  </si>
  <si>
    <t>Skill Differential (kdskill)</t>
  </si>
  <si>
    <t>Wednesday 26th</t>
  </si>
  <si>
    <t>Evil vs Avenger</t>
  </si>
  <si>
    <t>In</t>
  </si>
  <si>
    <t>ASpence vs Scullen (in)</t>
  </si>
  <si>
    <t>Thursday</t>
  </si>
  <si>
    <t>Ascension (solace)</t>
  </si>
  <si>
    <t>Murder Incorporated (squirell)</t>
  </si>
  <si>
    <t>ASpence vs Daedric (out)</t>
  </si>
  <si>
    <t>Friday</t>
  </si>
  <si>
    <t>Underrated (noplex)</t>
  </si>
  <si>
    <t>Intervention (scullen)</t>
  </si>
  <si>
    <t>Thursday 27th</t>
  </si>
  <si>
    <t>Nkot vs Noplex</t>
  </si>
  <si>
    <t>Nkot vs Noplex 9:00 PM</t>
  </si>
  <si>
    <t>out</t>
  </si>
  <si>
    <t xml:space="preserve"> ASpence vs Luxe (out)</t>
  </si>
  <si>
    <t>Saturday</t>
  </si>
  <si>
    <t>NeuraLink II (avenger)</t>
  </si>
  <si>
    <t>Junkyard Dogs (nkot)</t>
  </si>
  <si>
    <t>Friday 28th</t>
  </si>
  <si>
    <t>Noplex vs Epic</t>
  </si>
  <si>
    <t>ASpence vs Nkot (in)</t>
  </si>
  <si>
    <t>Reschedule Thread Opened</t>
  </si>
  <si>
    <t>Saturday 29th</t>
  </si>
  <si>
    <t>Daedric vs Solace</t>
  </si>
  <si>
    <t>ASpence vs Noplex (out)</t>
  </si>
  <si>
    <t>Reschedule Locked in</t>
  </si>
  <si>
    <t>Week 2 (April)</t>
  </si>
  <si>
    <t>ASpence vs Avenger (out)</t>
  </si>
  <si>
    <t>Sunday 30th</t>
  </si>
  <si>
    <t>Scullen vs Luxe</t>
  </si>
  <si>
    <t xml:space="preserve"> ASpence vs Epic (in)</t>
  </si>
  <si>
    <t>kdskill vs scullen (in)</t>
  </si>
  <si>
    <t>Monday 31st</t>
  </si>
  <si>
    <t>KDSkill vs Solace</t>
  </si>
  <si>
    <t>7:00 PM</t>
  </si>
  <si>
    <t>kdskill vs chemical (out)</t>
  </si>
  <si>
    <t>Scullen vs Avenger</t>
  </si>
  <si>
    <t>kdskill vs daedric (out)</t>
  </si>
  <si>
    <t>Novice vs Solace</t>
  </si>
  <si>
    <t>Solace vs Novice</t>
  </si>
  <si>
    <t>Chemical vs Nkot</t>
  </si>
  <si>
    <t>kdskill vs luxe (out)</t>
  </si>
  <si>
    <t>Chemical vs Noplex</t>
  </si>
  <si>
    <t>kdskill vs solace (out)</t>
  </si>
  <si>
    <t>Tuesday 1st</t>
  </si>
  <si>
    <t>Luxe vs Noplex</t>
  </si>
  <si>
    <t>kdskill vs nkot (in)</t>
  </si>
  <si>
    <t>kdskill vs avenger (out)</t>
  </si>
  <si>
    <t>Wednesday 2nd</t>
  </si>
  <si>
    <t>Evil vs KDSkill</t>
  </si>
  <si>
    <t>8:00 PM</t>
  </si>
  <si>
    <t>Novice vs Luxe</t>
  </si>
  <si>
    <t>kdskill vs epic (in)</t>
  </si>
  <si>
    <t>Evil vs ASpence</t>
  </si>
  <si>
    <t>kdskill vs noplex (out)</t>
  </si>
  <si>
    <t>Thursday 3rd</t>
  </si>
  <si>
    <t>Evil vs Scullen</t>
  </si>
  <si>
    <t>Evil vs Noplex 9:00 PM</t>
  </si>
  <si>
    <t>scullen vs chemical (out)</t>
  </si>
  <si>
    <t>scullen vs daedric (out)</t>
  </si>
  <si>
    <t>Friday 4th</t>
  </si>
  <si>
    <t>Evil vs Noplex</t>
  </si>
  <si>
    <t>scullen vs squirell (in)</t>
  </si>
  <si>
    <t>chemical vs daedrice (in)</t>
  </si>
  <si>
    <t>Saturday 5th</t>
  </si>
  <si>
    <t>Daedric vs Avenger</t>
  </si>
  <si>
    <t>chemical vs luxe (in)</t>
  </si>
  <si>
    <t>chemical vs nkot (out)</t>
  </si>
  <si>
    <t>Week 3</t>
  </si>
  <si>
    <t>chemical vs noplex (in)</t>
  </si>
  <si>
    <t>Sunday 6th</t>
  </si>
  <si>
    <t>Scullen vs Solace</t>
  </si>
  <si>
    <t>Evil vs Epic</t>
  </si>
  <si>
    <t>chemical vs avenger (in)</t>
  </si>
  <si>
    <t>Evil vs Solace</t>
  </si>
  <si>
    <t>chemical vs epic (out)</t>
  </si>
  <si>
    <t>Monday 7th</t>
  </si>
  <si>
    <t>Scullen vs Noplex</t>
  </si>
  <si>
    <t>Solace vs Nkot 8 PM</t>
  </si>
  <si>
    <t>daedric vs squirell (out)</t>
  </si>
  <si>
    <t>Solace vs Nkot</t>
  </si>
  <si>
    <t>Scullen vs Avenger 9 PM</t>
  </si>
  <si>
    <t>daedric vs luxe (in)</t>
  </si>
  <si>
    <t>Scullen vs Noplex 9:30 PM</t>
  </si>
  <si>
    <t>daedric vs nkot (out)</t>
  </si>
  <si>
    <t>Tuesday 8th</t>
  </si>
  <si>
    <t>daedric vs noplex (in)</t>
  </si>
  <si>
    <t>squirell vs luxe (out)</t>
  </si>
  <si>
    <t>Wednesday 9th</t>
  </si>
  <si>
    <t>Evil vs Chemical</t>
  </si>
  <si>
    <t>Luxe vs KDSkill 8 PM</t>
  </si>
  <si>
    <t>squirell vs nkot (in)</t>
  </si>
  <si>
    <t>Chemical vs Epic</t>
  </si>
  <si>
    <t>Novice vs Chemical 8:30 PM</t>
  </si>
  <si>
    <t>squirell vs noplex (out)</t>
  </si>
  <si>
    <t>Novice vs Luxe 9 PM</t>
  </si>
  <si>
    <t>squirell vs avenger (out)</t>
  </si>
  <si>
    <t>Thursday 10th</t>
  </si>
  <si>
    <t>Evil vs Luxe</t>
  </si>
  <si>
    <t>squirell vs epic (in)</t>
  </si>
  <si>
    <t>Nkot vs Daedric</t>
  </si>
  <si>
    <t>Friday 11th</t>
  </si>
  <si>
    <t>nkot vs epic (in)</t>
  </si>
  <si>
    <t>KDSkill vs NOPLEX</t>
  </si>
  <si>
    <t>noplex vs epic (out)</t>
  </si>
  <si>
    <t>Saturday 12th</t>
  </si>
  <si>
    <t>Daedric vs Epic</t>
  </si>
  <si>
    <t>novice vs aspence (in)</t>
  </si>
  <si>
    <t>Daedric vs Luxe</t>
  </si>
  <si>
    <t>novice vs nkot (in)</t>
  </si>
  <si>
    <t>squirell vs avenger</t>
  </si>
  <si>
    <t>Week 4</t>
  </si>
  <si>
    <t>novice vs kdskill (in)</t>
  </si>
  <si>
    <t>Sunday 13th</t>
  </si>
  <si>
    <t>Scullen vs Epic</t>
  </si>
  <si>
    <t>Daedric vs Epic 7 PM</t>
  </si>
  <si>
    <t>novice vs epic (in)</t>
  </si>
  <si>
    <t>novice vs scullen (in)</t>
  </si>
  <si>
    <t>novice vs squirell (in)</t>
  </si>
  <si>
    <t>Monday 14th</t>
  </si>
  <si>
    <t>ASpence vs Chemical</t>
  </si>
  <si>
    <t>Avenger vs KDSkill 7PM</t>
  </si>
  <si>
    <t>novice vs luxe (out)</t>
  </si>
  <si>
    <t>Scullen vs Nkot</t>
  </si>
  <si>
    <t>Solace vs Avenger</t>
  </si>
  <si>
    <t>novice vs solace (out)</t>
  </si>
  <si>
    <t>novice vs chemical (out)</t>
  </si>
  <si>
    <t>Tuesday 15th</t>
  </si>
  <si>
    <t>ASpence vs NOPLEX</t>
  </si>
  <si>
    <t>novice vs evil (out)</t>
  </si>
  <si>
    <t>novice vs daedric (out)</t>
  </si>
  <si>
    <t>Wednesday 16th</t>
  </si>
  <si>
    <t>Avenger vs Luxe</t>
  </si>
  <si>
    <t>Evil vs Luxe 8 PM</t>
  </si>
  <si>
    <t>novice vs noplex (out)</t>
  </si>
  <si>
    <t xml:space="preserve">Evil vs Novice </t>
  </si>
  <si>
    <t>novice vs avenger (out)</t>
  </si>
  <si>
    <t>ASpence vs KDSkill</t>
  </si>
  <si>
    <t>ASpence vs Squirell (in)</t>
  </si>
  <si>
    <t>Thursday 17th</t>
  </si>
  <si>
    <t>Evil vs Nkot</t>
  </si>
  <si>
    <t>ASpence vs KDSkill 9PM</t>
  </si>
  <si>
    <t>Novice vs Noplex</t>
  </si>
  <si>
    <t>KDSkill vs Squirell (in)</t>
  </si>
  <si>
    <t>Novice vs Nkot</t>
  </si>
  <si>
    <t>Friday 18th</t>
  </si>
  <si>
    <t>KDSkill vs Daedric</t>
  </si>
  <si>
    <t>Squirell vs Solace 9:30 PM</t>
  </si>
  <si>
    <t>Evil vs Squirell (in)</t>
  </si>
  <si>
    <t>NOPLEX vs Daedric</t>
  </si>
  <si>
    <t>Chemical vs Squirell (out)</t>
  </si>
  <si>
    <t>Nkot vs Epic</t>
  </si>
  <si>
    <t>Saturday 19th</t>
  </si>
  <si>
    <t>Squirell vs Solace</t>
  </si>
  <si>
    <t>Luxe vs Avenger (in)</t>
  </si>
  <si>
    <t>Luxe vs Epic</t>
  </si>
  <si>
    <t>Avenger vs Epic</t>
  </si>
  <si>
    <t>Week 5</t>
  </si>
  <si>
    <t>Sunday 20th</t>
  </si>
  <si>
    <t>Luxe vs Solace</t>
  </si>
  <si>
    <t>Noplex vs Squirell</t>
  </si>
  <si>
    <t>Chemical vs Avenger</t>
  </si>
  <si>
    <t>Monday 21st</t>
  </si>
  <si>
    <t>Chemical vs Solace</t>
  </si>
  <si>
    <t>Noplex vs Avenger 9:30 PM</t>
  </si>
  <si>
    <t>ASpence vs Scullen</t>
  </si>
  <si>
    <t>10:00 PM</t>
  </si>
  <si>
    <t>Luxe vs Solace 8 PM</t>
  </si>
  <si>
    <t>Scullen vs KDSKill</t>
  </si>
  <si>
    <t>Tuesday 22nd</t>
  </si>
  <si>
    <t>Wednesday 23rd</t>
  </si>
  <si>
    <t>ASpence vs Epic</t>
  </si>
  <si>
    <t>Avenger vs Novice</t>
  </si>
  <si>
    <t>Thursday 24th</t>
  </si>
  <si>
    <t>Novice vs Epic</t>
  </si>
  <si>
    <t>Friday 25th</t>
  </si>
  <si>
    <t>Saturday 26th</t>
  </si>
  <si>
    <t>Avenger vs Epic 7 PM</t>
  </si>
  <si>
    <t>Epic vs Daedric 8 PM</t>
  </si>
  <si>
    <t>Week 6 (May)</t>
  </si>
  <si>
    <t>Sunday 27th</t>
  </si>
  <si>
    <t>Solace vs Daedric 8 PM</t>
  </si>
  <si>
    <t>Squirell vs Daedric</t>
  </si>
  <si>
    <t>Monday 28th</t>
  </si>
  <si>
    <t>Nkot vs Avenger</t>
  </si>
  <si>
    <t>Tuesday 29th</t>
  </si>
  <si>
    <t>kdskill vs nkot</t>
  </si>
  <si>
    <t>Wednesday 30th</t>
  </si>
  <si>
    <t>ASpence vs Daedric</t>
  </si>
  <si>
    <t>Squirell vs Luxe</t>
  </si>
  <si>
    <t>Squirell vs ASpence</t>
  </si>
  <si>
    <t>Thursday 1st</t>
  </si>
  <si>
    <t>Novice vs ASpence</t>
  </si>
  <si>
    <t>novice vs kdskill</t>
  </si>
  <si>
    <t>Friday 2nd</t>
  </si>
  <si>
    <t>scullen vs daedric</t>
  </si>
  <si>
    <t>Chemical vs Daedric</t>
  </si>
  <si>
    <t>scullen vs chemical</t>
  </si>
  <si>
    <t>Saturday 3rd</t>
  </si>
  <si>
    <t>Solace vs Epic</t>
  </si>
  <si>
    <t>Week 7</t>
  </si>
  <si>
    <t>Sunday 4th</t>
  </si>
  <si>
    <t>Evil vs Daedric</t>
  </si>
  <si>
    <t>Solace vs Epic 8 PM</t>
  </si>
  <si>
    <t>Scullen vs Solace 10 PM</t>
  </si>
  <si>
    <t>Monday 5th</t>
  </si>
  <si>
    <t>Solace vs Noplex</t>
  </si>
  <si>
    <t>Solace vs Noplex 9:30 PM</t>
  </si>
  <si>
    <t>ASpence vs Nkot</t>
  </si>
  <si>
    <t>Tuesday 6th</t>
  </si>
  <si>
    <t>Wednesday 7th</t>
  </si>
  <si>
    <t>Luxe vs chemical</t>
  </si>
  <si>
    <t>8:30 PM</t>
  </si>
  <si>
    <t>ASpence vs Luxe</t>
  </si>
  <si>
    <t>aspence vs chemical</t>
  </si>
  <si>
    <t>Chemical vs Squirell</t>
  </si>
  <si>
    <t>Thursday 8th</t>
  </si>
  <si>
    <t>novice vs squirell</t>
  </si>
  <si>
    <t>Squirell vs scullen</t>
  </si>
  <si>
    <t>Friday 9th</t>
  </si>
  <si>
    <t>Saturday 10th</t>
  </si>
  <si>
    <t>Week 8</t>
  </si>
  <si>
    <t>Sunday 11th</t>
  </si>
  <si>
    <t>Monday 12th</t>
  </si>
  <si>
    <t>ASpence vs Avenger</t>
  </si>
  <si>
    <t>Evil vs Luxe 9 PM</t>
  </si>
  <si>
    <t>squirrell vs avenger</t>
  </si>
  <si>
    <t>Tuesday 13th</t>
  </si>
  <si>
    <t xml:space="preserve">KDSkill vs Squirell </t>
  </si>
  <si>
    <t>squirrell vs Epic</t>
  </si>
  <si>
    <t>Wednesday 14th</t>
  </si>
  <si>
    <t>Luxe vs ASpence 9:30 PM</t>
  </si>
  <si>
    <t>Thursday 15th</t>
  </si>
  <si>
    <t>Evil vs Daedric 8 PM</t>
  </si>
  <si>
    <t>Evil vs Novice 9 PM</t>
  </si>
  <si>
    <t>Evil vs Scullen 9:30 PM</t>
  </si>
  <si>
    <t>Friday 16th</t>
  </si>
  <si>
    <t>Evil vs Squirell</t>
  </si>
  <si>
    <t>kdskill vs epic</t>
  </si>
  <si>
    <t>Saturday 17th</t>
  </si>
  <si>
    <t>daedric vs novice</t>
  </si>
  <si>
    <t xml:space="preserve"> </t>
  </si>
  <si>
    <t>Home</t>
  </si>
  <si>
    <t>Away</t>
  </si>
  <si>
    <t>Score</t>
  </si>
  <si>
    <t>Time</t>
  </si>
  <si>
    <t>Waypoint URL</t>
  </si>
  <si>
    <t>VOD</t>
  </si>
  <si>
    <t>4/5th used Home</t>
  </si>
  <si>
    <t>4/5th used Away</t>
  </si>
  <si>
    <t>Home Win</t>
  </si>
  <si>
    <t>Away Win</t>
  </si>
  <si>
    <t>Team</t>
  </si>
  <si>
    <t>Win</t>
  </si>
  <si>
    <t>Games left</t>
  </si>
  <si>
    <t>4th/5th played</t>
  </si>
  <si>
    <t>Captain</t>
  </si>
  <si>
    <t>Week 1</t>
  </si>
  <si>
    <t>5-1</t>
  </si>
  <si>
    <t>16:23</t>
  </si>
  <si>
    <t>https://www.halowaypoint.com/en-gb/halo-infinite/players/Chemical/matches/6b04f745-3a8d-4679-85e7-be5c1782c44f</t>
  </si>
  <si>
    <t>Solace</t>
  </si>
  <si>
    <t>5-4</t>
  </si>
  <si>
    <t>19:56</t>
  </si>
  <si>
    <t>https://www.halowaypoint.com/en-gb/halo-infinite/players/ASpence501/matches/a559a9da-7b4f-41ca-a85f-17c65d017d54</t>
  </si>
  <si>
    <t>Luxe</t>
  </si>
  <si>
    <t>08:22</t>
  </si>
  <si>
    <t>https://www.halowaypoint.com/halo-infinite/players/yLuxe/matches/8925f53b-02b3-4889-973f-7f849ee60098</t>
  </si>
  <si>
    <t>Noplex</t>
  </si>
  <si>
    <t>5-2</t>
  </si>
  <si>
    <t>09:52</t>
  </si>
  <si>
    <t>https://www.halowaypoint.com/halo-infinite/players/yLuxe/matches/979ec3c6-991d-42c9-b022-2d9377c804dd</t>
  </si>
  <si>
    <t>1-5</t>
  </si>
  <si>
    <t>16:26</t>
  </si>
  <si>
    <t>https://www.halowaypoint.com/halo-infinite/players/yLuxe/matches/a75c3aae-868c-4e8a-be13-3b5b7e31f39d</t>
  </si>
  <si>
    <t>Evil</t>
  </si>
  <si>
    <t>Avenger</t>
  </si>
  <si>
    <t>5-3</t>
  </si>
  <si>
    <t>18:27</t>
  </si>
  <si>
    <t>https://www.halowaypoint.com/halo-infinite/players/NecessaryEvil10/matches/243ac8c8-bc77-42b5-8577-d8b408f79f92</t>
  </si>
  <si>
    <t>4-5</t>
  </si>
  <si>
    <t>23:01</t>
  </si>
  <si>
    <t>https://www.halowaypoint.com/halo-infinite/players/NecessaryEvil10/matches/c25a6dca-7d33-41f8-bd7b-e389d5d16b62</t>
  </si>
  <si>
    <t>16:02</t>
  </si>
  <si>
    <t>https://www.halowaypoint.com/halo-infinite/players/noplex/matches/4247275d-eb0f-4dfb-8031-baa1ac87b009</t>
  </si>
  <si>
    <t>Epic</t>
  </si>
  <si>
    <t>7:51</t>
  </si>
  <si>
    <t>https://www.halowaypoint.com/halo-infinite/players/Mr%20Epic%20Beast/matches/147b7287-6958-4b3c-bfd9-fbfbbbfb5204</t>
  </si>
  <si>
    <t>Week 2</t>
  </si>
  <si>
    <t>25:08</t>
  </si>
  <si>
    <t>https://www.halowaypoint.com/halo-infinite/players/KDSkill/matches/562b2b3b-74c6-42b7-988a-bc6061615728</t>
  </si>
  <si>
    <t>Novice</t>
  </si>
  <si>
    <t>11:24</t>
  </si>
  <si>
    <t>https://www.halowaypoint.com/halo-infinite/players/Mungo%20pungo/matches/6127c510-2bf9-4945-94b8-72cec1e79ae9</t>
  </si>
  <si>
    <t>19:30</t>
  </si>
  <si>
    <t>https://halodatahive.com/Infinite/Match/fea4d761-ea75-4c72-b4ad-d7f08f76b334?gamertag=Chemical</t>
  </si>
  <si>
    <t>5-0</t>
  </si>
  <si>
    <t>13:02</t>
  </si>
  <si>
    <t>https://halodatahive.com/Infinite/Match/7a842a4f-c607-41dd-aa80-b753002d0656?gamertag=Chemical</t>
  </si>
  <si>
    <t>0-5</t>
  </si>
  <si>
    <t>8:23</t>
  </si>
  <si>
    <t>https://halodatahive.com/Infinite/Match/22872b17-5658-4660-bc25-69581dba40b7?gamertag=Chemical</t>
  </si>
  <si>
    <t>23:53</t>
  </si>
  <si>
    <t>https://www.halowaypoint.com/halo-infinite/players/Kdskill/matches/679cb4ab-bdb3-4436-b407-caf11086a5da</t>
  </si>
  <si>
    <t>33:58</t>
  </si>
  <si>
    <t>https://www.halowaypoint.com/halo-infinite/players/ASpence501/matches/2d636f46-43f8-41d1-851f-81ddf09b294d</t>
  </si>
  <si>
    <t>Scullen</t>
  </si>
  <si>
    <t>10:00</t>
  </si>
  <si>
    <t>https://www.halowaypoint.com/halo-infinite/players/yLuxe/matches/c9dcaa9b-272a-408f-a20a-a75d1507633a</t>
  </si>
  <si>
    <t>19:28</t>
  </si>
  <si>
    <t>https://halodatahive.com/Infinite/Match/e3b3b9e0-b1fb-479d-ae50-88b33473a98d?gamertag=Mavbrid&amp;type=Custom&amp;page=0</t>
  </si>
  <si>
    <t>2-5</t>
  </si>
  <si>
    <t>9:57</t>
  </si>
  <si>
    <t>https://halodatahive.com/Infinite/Match/527affdf-9d67-4586-b073-66fa56fd8bcb?gamertag=Mavbrid&amp;type=Custom&amp;page=0</t>
  </si>
  <si>
    <t>Daedric</t>
  </si>
  <si>
    <t>13:29</t>
  </si>
  <si>
    <t>https://halodatahive.com/Infinite/Match/e3524393-bdfd-446e-994b-dce3e80baa2a?gamertag=KindredDaedric&amp;type=Custom&amp;page=0</t>
  </si>
  <si>
    <t>21:08</t>
  </si>
  <si>
    <t>https://halodatahive.com/Infinite/Match/805a2658-b0e4-4106-9fbb-958e3deef4a9?gamertag=KindredDaedric&amp;type=Custom&amp;page=0</t>
  </si>
  <si>
    <t>13:21</t>
  </si>
  <si>
    <t>https://halodatahive.com/Infinite/Match/791d8a3d-689b-4dbc-82d4-9c90e35edcde?gamertag=Mavbrid&amp;type=Custom&amp;page=0</t>
  </si>
  <si>
    <t>16:11</t>
  </si>
  <si>
    <t>https://halodatahive.com/Infinite/Match/0fefe2b0-c9c4-47fd-ba4b-43289929c576?gamertag=Mavbrid&amp;type=Custom&amp;page=0</t>
  </si>
  <si>
    <t>26:11</t>
  </si>
  <si>
    <t>https://halodatahive.com/Infinite/Match/b9cced5e-9dae-458b-ad97-d16572f2e7c3?gamertag=Mavbrid&amp;type=Custom&amp;page=0</t>
  </si>
  <si>
    <t>nkot</t>
  </si>
  <si>
    <t>9:16</t>
  </si>
  <si>
    <t>https://www.halowaypoint.com/halo-infinite/players/solace%20viii/matches/01100ef7-3c69-439a-b46c-956086914c7f</t>
  </si>
  <si>
    <t>11:40</t>
  </si>
  <si>
    <t>https://www.halowaypoint.com/halo-infinite/players/Scullen%20cx/matches/ee3e9266-fc11-4f37-b84c-04863b4f162f</t>
  </si>
  <si>
    <t>7:10</t>
  </si>
  <si>
    <t>https://halodatahive.com/Infinite/Match/79e753e0-210e-4232-9fe0-965d14a785a6?gamertag=NOPLEX&amp;type=Custom&amp;page=0</t>
  </si>
  <si>
    <t>19:23</t>
  </si>
  <si>
    <t>https://halodatahive.com/Infinite/Match/ada7be7a-85df-4036-8299-0df24c9c44e1?gamertag=yLuxe&amp;type=Custom&amp;page=0</t>
  </si>
  <si>
    <t>8:30</t>
  </si>
  <si>
    <t>https://halodatahive.com/Infinite/Match/b6276562-691c-49b7-a230-dc013f186244?gamertag=Chemical</t>
  </si>
  <si>
    <t>7:11</t>
  </si>
  <si>
    <t>https://halodatahive.com/Infinite/Match/32906473-85fe-43f4-a535-801d8d6025d3?gamertag=Chemical</t>
  </si>
  <si>
    <t>9:44</t>
  </si>
  <si>
    <t>https://halodatahive.com/Infinite/Match/633ed321-ec37-416d-8c98-89384ef84853?gamertag=Chemical</t>
  </si>
  <si>
    <t>17:22</t>
  </si>
  <si>
    <r>
      <rPr>
        <color rgb="FF1155CC"/>
        <u/>
      </rPr>
      <t>https://halodatahive.com/Infinite/Match/4ad5c405-45f0-4c19-94b7-cb0d1b5b884b?gamertag=Chemical</t>
    </r>
    <r>
      <rPr/>
      <t>l</t>
    </r>
  </si>
  <si>
    <t>12:36</t>
  </si>
  <si>
    <t>https://halodatahive.com/Infinite/Match/34f11d6b-1b84-4938-b248-0b92647583c9?gamertag=yLuxe&amp;type=Custom&amp;page=0</t>
  </si>
  <si>
    <t>22:39</t>
  </si>
  <si>
    <t>https://halodatahive.com/Infinite/Match/3ea6823b-92b4-4c91-b67d-b26c975cc620?gamertag=KindredDaedric&amp;type=Custom&amp;page=0</t>
  </si>
  <si>
    <t>kdskill</t>
  </si>
  <si>
    <t>noplex</t>
  </si>
  <si>
    <t>11:23</t>
  </si>
  <si>
    <t>https://www.halowaypoint.com/halo-infinite/players/KDSkill/matches/0e2d86a6-084c-4c23-a551-3f7b8180ad38</t>
  </si>
  <si>
    <t>7:22</t>
  </si>
  <si>
    <t>https://www.halowaypoint.com/halo-infinite/players/yLuxe/matches/60d1e8af-39fa-4877-b6b4-b4122991f43c</t>
  </si>
  <si>
    <t>6:20</t>
  </si>
  <si>
    <t>https://www.halowaypoint.com/halo-infinite/players/yLuxe/matches/e3128434-4d40-4621-b1df-81277e3af6af</t>
  </si>
  <si>
    <t>12:19</t>
  </si>
  <si>
    <t>https://www.halowaypoint.com/halo-infinite/players/Mr%20Epic%20Beast/matches/6da69fc1-1df4-42cc-89e7-b9119aca057c</t>
  </si>
  <si>
    <t>13:59</t>
  </si>
  <si>
    <t>https://www.halowaypoint.com/halo-infinite/players/Mr%20Epic%20Beast/matches/f99675a3-6a15-4db2-b6e5-e9b71edc5efb</t>
  </si>
  <si>
    <t>KDskill</t>
  </si>
  <si>
    <t>10:17</t>
  </si>
  <si>
    <t>https://www.halowaypoint.com/halo-infinite/players/KDSkill/matches/21113fa8-e7cb-4303-a8af-91df4d69e067</t>
  </si>
  <si>
    <t>11:13</t>
  </si>
  <si>
    <t>https://www.halowaypoint.com/halo-infinite/players/Deathcrawller/matches/818f7275-8306-4f6f-a140-07da951ce376</t>
  </si>
  <si>
    <t>3-5</t>
  </si>
  <si>
    <t>14:35</t>
  </si>
  <si>
    <t>https://www.halowaypoint.com/halo-infinite/players/Deathcrawller/matches/d75873f7-3de7-4c49-8865-dd2f2654d599</t>
  </si>
  <si>
    <t>07:55</t>
  </si>
  <si>
    <t>https://www.halowaypoint.com/halo-infinite/players/ASpence501/matches/73c7d5b7-9315-4934-99e4-e9d08c1d74a2</t>
  </si>
  <si>
    <t>09:03</t>
  </si>
  <si>
    <t>https://halodatahive.com/Infinite/Match/cf2b1f5c-8191-4b4b-99cd-a1b4cb9e3d66?gamertag=yLuxe&amp;type=Custom&amp;page=0</t>
  </si>
  <si>
    <t>06:58</t>
  </si>
  <si>
    <t>https://halodatahive.com/Infinite/Match/acff30f4-b5ac-4438-9001-567dd34720e1?gamertag=yLuxe&amp;type=Custom&amp;page=0</t>
  </si>
  <si>
    <t>41:57</t>
  </si>
  <si>
    <t>https://halodatahive.com/Infinite/Match/dd6efd57-216b-487d-a5d4-2b086dd43433?gamertag=ASpence501&amp;type=Custom&amp;page=0</t>
  </si>
  <si>
    <t>25:51</t>
  </si>
  <si>
    <t>https://halodatahive.com/Infinite/Match/eee631e6-c85f-4cc7-becd-c116bb9c9c5c?gamertag=ASpence501&amp;type=Custom&amp;page=0</t>
  </si>
  <si>
    <t>10:59</t>
  </si>
  <si>
    <t>https://halodatahive.com/Infinite/Match/8c1aef70-1da5-463b-aaa2-12cd11f42c96?gamertag=Cosmos5024&amp;page=0</t>
  </si>
  <si>
    <t>15:05</t>
  </si>
  <si>
    <t>https://halodatahive.com/Infinite/Match/913df4a3-8ec8-4395-827e-adc911256555?gamertag=Cosmos5024&amp;page=0</t>
  </si>
  <si>
    <t>10:41</t>
  </si>
  <si>
    <t>https://halodatahive.com/Infinite/Match/3f28200b-9886-4f79-aec3-958097795b2f?gamertag=NOPLEX&amp;type=Custom&amp;page=0</t>
  </si>
  <si>
    <t>15:45</t>
  </si>
  <si>
    <t>https://halodatahive.com/Infinite/Match/e31e7af5-781c-4eea-b0fb-812ad1e97f1d?gamertag=NOPLEX&amp;type=Custom&amp;page=0</t>
  </si>
  <si>
    <t>11:27</t>
  </si>
  <si>
    <t>https://halodatahive.com/Infinite/Match/52ef2e5d-bea3-4e30-8f2d-8b27db727037?gamertag=NOPLEX&amp;type=Custom&amp;page=0</t>
  </si>
  <si>
    <t>21:16</t>
  </si>
  <si>
    <t>https://halodatahive.com/Infinite/Match/a6fa968c-e71b-42a4-bd70-547b24ed179a?gamertag=KindredDaedric&amp;type=Custom&amp;page=0</t>
  </si>
  <si>
    <t>Squirell</t>
  </si>
  <si>
    <t>15:52</t>
  </si>
  <si>
    <t>https://halodatahive.com/Infinite/Match/b41ce6a1-072e-4b29-a3f8-7872d214a0ab?gamertag=mxrvine&amp;type=Custom&amp;page=0</t>
  </si>
  <si>
    <t>14:00</t>
  </si>
  <si>
    <t>https://www.halowaypoint.com/halo-infinite/players/Mr%20Epic%20Beast/matches/e4ae3147-798f-4904-9ad9-3a01def54300</t>
  </si>
  <si>
    <t>10:27</t>
  </si>
  <si>
    <t>https://www.halowaypoint.com/halo-infinite/players/Mr%20Epic%20Beast/matches/b7cb60d8-7431-49cd-a5ae-4d733a2afae7</t>
  </si>
  <si>
    <t>12:32</t>
  </si>
  <si>
    <t>https://www.halowaypoint.com/halo-infinite/players/Mr%20Epic%20Beast/matches/7df59eeb-85f9-4c9b-ba58-8376cd536114</t>
  </si>
  <si>
    <t>11:20</t>
  </si>
  <si>
    <t>https://halodatahive.com/Infinite/Match/e282b994-efa3-4d87-9f7c-cff9652a8034?gamertag=NOPLEX&amp;type=Custom&amp;page=0</t>
  </si>
  <si>
    <t>10:38</t>
  </si>
  <si>
    <t>https://www.halowaypoint.com/halo-infinite/players/KDSkill/matches/420bed3b-2f2e-4699-acab-f9b5ab0cbed0</t>
  </si>
  <si>
    <t>20:06</t>
  </si>
  <si>
    <t>https://www.halowaypoint.com/halo-infinite/players/KDSkill/matches/19a74991-fe3c-4b09-823a-4753e3ec2b82</t>
  </si>
  <si>
    <t>10:46</t>
  </si>
  <si>
    <t>https://halodatahive.com/Infinite/Match/40ef80ab-9ef2-4c7f-a824-d16b12305d2b?gamertag=Chemical</t>
  </si>
  <si>
    <t>26:21</t>
  </si>
  <si>
    <t>https://halodatahive.com/Infinite/Match/afb16580-980b-4d90-bd07-0b78c79da320?gamertag=Chemical</t>
  </si>
  <si>
    <t>15:06</t>
  </si>
  <si>
    <t>https://halodatahive.com/Infinite/Match/8cc60668-4b84-4d02-8ef0-7ed8fb79c18a?gamertag=CaptainSev004</t>
  </si>
  <si>
    <t>11:57</t>
  </si>
  <si>
    <t>https://halodatahive.com/Infinite/Match/db2c6b38-e034-4938-ab0e-0beacbd97c0a?gamertag=Chemical</t>
  </si>
  <si>
    <t>ASpence</t>
  </si>
  <si>
    <t>08:31</t>
  </si>
  <si>
    <t>https://halodatahive.com/Infinite/Match/e38fc61b-e2f9-4e04-8a2f-9442e7b377ba?gamertag=ASpence501&amp;type=Custom&amp;page=0</t>
  </si>
  <si>
    <t>14:43</t>
  </si>
  <si>
    <t>https://halodatahive.com/Infinite/Match/a273a3a3-0aa0-4bc3-ab67-ad0b48154d38?gamertag=ASpence501&amp;type=Custom&amp;page=0</t>
  </si>
  <si>
    <t>09:30</t>
  </si>
  <si>
    <t>https://halodatahive.com/Infinite/Match/37dc6fc3-4e76-498b-8714-6c316003c952?gamertag=NOPLEX&amp;type=Custom&amp;page=0</t>
  </si>
  <si>
    <t>14:06</t>
  </si>
  <si>
    <t>https://halodatahive.com/Infinite/Match/1ac71f87-b5f5-4eb7-a78b-4ffae034adbc?gamertag=NOPLEX&amp;type=Custom&amp;page=0</t>
  </si>
  <si>
    <t>16:45</t>
  </si>
  <si>
    <t>https://halodatahive.com/Infinite/Match/a8d53a85-2d06-4a70-865b-f6c6eaa14743?gamertag=ASpence501&amp;type=Custom&amp;page=0</t>
  </si>
  <si>
    <t>Aspence</t>
  </si>
  <si>
    <t>21:28</t>
  </si>
  <si>
    <t>https://halodatahive.com/Infinite/Match/cb27dbca-3a77-4741-a782-0e593e235190?gamertag=ASpence501&amp;type=Custom&amp;page=0</t>
  </si>
  <si>
    <t>13:52</t>
  </si>
  <si>
    <t>https://halodatahive.com/Infinite/Match/2953646b-ea67-4f32-8652-4e599c3b32e0?gamertag=Dhlyn&amp;type=Custom&amp;page=0</t>
  </si>
  <si>
    <t>https://halodatahive.com/Infinite/Match/2eee9b0b-5b17-431c-bb69-079ac3865ca7?gamertag=ill%20shrek%20u&amp;type=Custom&amp;page=0, https://halodatahive.com/Infinite/Match/5a425271-f925-432d-a216-aefbf29dea8e?gamertag=ill%20shrek%20u&amp;type=Custom&amp;page=0</t>
  </si>
  <si>
    <t>09:50</t>
  </si>
  <si>
    <t>https://halodatahive.com/Infinite/Match/a7b996ce-84b8-43ca-bf52-e5dd8da3c704?gamertag=ill%20shrek%20u&amp;type=Custom&amp;page=0</t>
  </si>
  <si>
    <t>4 vs 3</t>
  </si>
  <si>
    <t>https://www.halowaypoint.com/halo-infinite/players/Mr%20Epic%20Beast/matches/7b0744f0-fb71-47b0-ad7c-155788185f30</t>
  </si>
  <si>
    <t>Not allowed - 4 vs 3</t>
  </si>
  <si>
    <t>15:24</t>
  </si>
  <si>
    <t>https://halodatahive.com/Infinite/Match/7ca58153-9e00-4373-ab32-fda186e2ed21?gamertag=KindredDaedric&amp;type=Custom&amp;page=0</t>
  </si>
  <si>
    <t>Week 6</t>
  </si>
  <si>
    <t>21:45</t>
  </si>
  <si>
    <t>https://halodatahive.com/Infinite/Match/bc5c3f72-50e9-44ce-abc7-9aa901898a93?gamertag=KindredDaedric&amp;type=Custom&amp;page=0</t>
  </si>
  <si>
    <t>16:41</t>
  </si>
  <si>
    <t>https://halodatahive.com/Infinite/Match/f5e427c2-304d-4d3f-8ef9-86238fc71011?gamertag=KindredDaedric&amp;type=Custom&amp;page=0</t>
  </si>
  <si>
    <t>11:22</t>
  </si>
  <si>
    <t>https://halodatahive.com/Infinite/Match/dd73d33a-db17-4a94-8d84-6485d93039aa?gamertag=KindredDaedric&amp;type=Custom&amp;page=0</t>
  </si>
  <si>
    <t>21:20</t>
  </si>
  <si>
    <t>https://halodatahive.com/Infinite/Match/f175023a-f1c8-488e-b55f-d37e65d72632?gamertag=TcT%20AVENGER&amp;type=Custom&amp;page=0</t>
  </si>
  <si>
    <t>21:49</t>
  </si>
  <si>
    <t>https://halodatahive.com/Infinite/Match/fc061ee6-ca53-4600-a2b2-9d1523a496f2?gamertag=ASpence501&amp;type=Custom&amp;page=0</t>
  </si>
  <si>
    <t>13:19</t>
  </si>
  <si>
    <t>https://halodatahive.com/Infinite/Match/24021827-aefc-4881-99c8-2eba2999f67a?gamertag=ASpence501&amp;type=Custom&amp;page=0</t>
  </si>
  <si>
    <t>18:34</t>
  </si>
  <si>
    <t>http://halodatahive.com/Infinite/Match/b92f4b48-1556-4454-a86c-a53b02a48a6b?gamertag=MasterSquirre&amp;type=Custom&amp;page=0</t>
  </si>
  <si>
    <t>14:29</t>
  </si>
  <si>
    <t>https://halodatahive.com/Infinite/Match/89ae8655-5aad-4383-a028-8ad8e6442ec7?gamertag=mxrvine&amp;type=Custom&amp;page=0</t>
  </si>
  <si>
    <t xml:space="preserve">Squirel </t>
  </si>
  <si>
    <t>FF (5-0)</t>
  </si>
  <si>
    <t>14:54</t>
  </si>
  <si>
    <t>https://www.halowaypoint.com/halo-infinite/players/KDSkill/matches/009788af-d2d9-4266-8fb0-eddc8622ce9d</t>
  </si>
  <si>
    <t>18:14</t>
  </si>
  <si>
    <t>https://www.halowaypoint.com/halo-infinite/players/KDSkill/matches/93771673-c81d-4c3c-bdd4-4c642373dd4b</t>
  </si>
  <si>
    <t>Kdskill</t>
  </si>
  <si>
    <t>12:16</t>
  </si>
  <si>
    <t>https://www.halowaypoint.com/halo-infinite/players/KDSkill/matches/cc68e3d8-8f33-402b-8f42-ced9cc804671</t>
  </si>
  <si>
    <t>22:29</t>
  </si>
  <si>
    <t>https://www.halowaypoint.com/halo-infinite/players/KDSkill/matches/3e49182c-f617-4450-94f7-e1dc730277ce</t>
  </si>
  <si>
    <t>13:23</t>
  </si>
  <si>
    <t>https://halodatahive.com/Infinite/Match/f3d41456-74e4-44cf-9e0c-813e332b0fd7?gamertag=ASpence501&amp;type=Custom&amp;page=0</t>
  </si>
  <si>
    <t>25:28</t>
  </si>
  <si>
    <t>https://halodatahive.com/Infinite/Match/e480f7ee-26e8-4cb6-98f9-627ed56b4288?gamertag=ASpence501&amp;type=Custom&amp;page=0</t>
  </si>
  <si>
    <t>16:42</t>
  </si>
  <si>
    <t>https://halodatahive.com/Infinite/Match/6378b788-9c53-48f1-b483-67ee8a18116d?gamertag=Chemical</t>
  </si>
  <si>
    <t>24:39</t>
  </si>
  <si>
    <t>https://halodatahive.com/Infinite/Match/3e14b247-085e-468a-981a-fc787d14261c?gamertag=Chemical</t>
  </si>
  <si>
    <t>15:33</t>
  </si>
  <si>
    <t>https://halodatahive.com/Infinite/Match/761b0a7a-7058-4a8b-8c75-18392eff8d21?gamertag=CaptainSev004</t>
  </si>
  <si>
    <t>12:20</t>
  </si>
  <si>
    <t>https://halodatahive.com/Infinite/Match/f2f17545-862a-45c0-ae93-7a3398fd63ed?gamertag=Scullen%20cx&amp;type=Custom&amp;page=0</t>
  </si>
  <si>
    <t>13:49</t>
  </si>
  <si>
    <t>https://www.halowaypoint.com/halo-infinite/players/Mr%20Epic%20Beast/matches/6360ec15-2e7a-43b8-8c4a-610dcb436fe4</t>
  </si>
  <si>
    <t>07:41</t>
  </si>
  <si>
    <t>https://www.halowaypoint.com/halo-infinite/players/Scullen%20cx/matches/7d7652ed-56e7-4ad7-9072-e7c904cc84e3</t>
  </si>
  <si>
    <t>14:32</t>
  </si>
  <si>
    <t>https://halodatahive.com/Infinite/Match/1767e57e-c94b-44b1-8466-c808d523437f?gamertag=ASpence501&amp;type=Custom&amp;page=0</t>
  </si>
  <si>
    <t>06:34</t>
  </si>
  <si>
    <t>https://halodatahive.com/Infinite/Match/4d8a102a-1f2b-487c-a6a0-a57b7b6599bb?gamertag=ASpence501&amp;type=Custom&amp;page=0</t>
  </si>
  <si>
    <t>12:56</t>
  </si>
  <si>
    <t>https://www.halowaypoint.com/halo-infinite/players/KDSkill/matches/e8b70bc1-a94d-470c-b12c-464d8200fcac</t>
  </si>
  <si>
    <t>12:26</t>
  </si>
  <si>
    <t>https://www.halowaypoint.com/halo-infinite/players/KDSkill/matches/7e94b10e-48c6-4a74-956c-215ef4f3e4cb</t>
  </si>
  <si>
    <t>13:27</t>
  </si>
  <si>
    <t>https://halodatahive.com/Infinite/Match/d060fa25-e864-4f23-8ca7-23a77e0588f0?gamertag=Chemical</t>
  </si>
  <si>
    <t>Not allowed - wrong mode</t>
  </si>
  <si>
    <t>21:02</t>
  </si>
  <si>
    <t>https://halodatahive.com/Infinite/Match/554a64e5-2a44-4d32-9ff0-75350b18f300?gamertag=Chemical</t>
  </si>
  <si>
    <t>05:41</t>
  </si>
  <si>
    <t>https://halodatahive.com/Infinite/Match/5565399b-d243-40f1-9426-efd658a4f36f?gamertag=ASpence501&amp;type=Custom&amp;page=0</t>
  </si>
  <si>
    <t>Squirel</t>
  </si>
  <si>
    <t>https://halodatahive.com/Infinite/Match/79bebe0a-5850-4fbc-b78a-3d957593ada7?gamertag=Chemical</t>
  </si>
  <si>
    <t>5:20</t>
  </si>
  <si>
    <t>https://halodatahive.com/Infinite/Match/e4e21230-98fb-4f7b-81e3-17fd320b6d98?gamertag=MysticalNovice&amp;type=Custom&amp;page=0</t>
  </si>
  <si>
    <t>3:53</t>
  </si>
  <si>
    <t>https://halodatahive.com/Infinite/Match/163f068f-f916-4121-8fe1-63701a7d89e8?gamertag=MysticalNovice&amp;type=Custom&amp;page=0</t>
  </si>
  <si>
    <t>12:52</t>
  </si>
  <si>
    <r>
      <rPr>
        <color rgb="FF1155CC"/>
        <u/>
      </rPr>
      <t>https://halodatahive.com/Infinite/Match/1297f6fc-39ec-4afc-af31-fd6d8577386b?gamertag=MysticalNovice&amp;type=Custom&amp;page=0</t>
    </r>
    <r>
      <rPr/>
      <t>0</t>
    </r>
  </si>
  <si>
    <t>9:34</t>
  </si>
  <si>
    <t>https://halodatahive.com/Infinite/Match/aaf995f6-53aa-481b-874a-447a41ddf54c?gamertag=MysticalNovice&amp;type=Custom&amp;page=0</t>
  </si>
  <si>
    <t>14:09</t>
  </si>
  <si>
    <r>
      <rPr>
        <color rgb="FF1155CC"/>
        <u/>
      </rPr>
      <t>https://halodatahive.com/Infinite/Match/09a4f40a-eb85-4b22-b254-97864336f717?gamertag=mxrvine&amp;type=Custom&amp;page=0</t>
    </r>
    <r>
      <rPr/>
      <t xml:space="preserve"> ,  </t>
    </r>
    <r>
      <rPr>
        <color rgb="FF1155CC"/>
        <u/>
      </rPr>
      <t>https://halodatahive.com/Infinite/Match/ba486f54-78c2-4884-adf7-2f0100596fdf?gamertag=mxrvine&amp;type=Custom&amp;page=0</t>
    </r>
  </si>
  <si>
    <t>04:11</t>
  </si>
  <si>
    <t>https://halodatahive.com/Infinite/Match/fc2a3b8f-f3e1-47e0-8af6-7726751515c6?gamertag=mxrvine&amp;type=Custom&amp;page=0</t>
  </si>
  <si>
    <t>luxe</t>
  </si>
  <si>
    <t>evil</t>
  </si>
  <si>
    <t>05:03</t>
  </si>
  <si>
    <t>https://halodatahive.com/Infinite/Match/8672309c-894d-4291-8c7b-79a03e498985?gamertag=yLuxe&amp;type=Custom&amp;page=0</t>
  </si>
  <si>
    <t>13:42</t>
  </si>
  <si>
    <t>https://halodatahive.com/Infinite/Match/66428d88-18af-4fe6-aad7-0ece6b3687c8?gamertag=yLuxe&amp;type=Custom&amp;page=0</t>
  </si>
  <si>
    <t>squirell</t>
  </si>
  <si>
    <t>avenger</t>
  </si>
  <si>
    <t>08:40</t>
  </si>
  <si>
    <t>https://halodatahive.com/Infinite/Match/443b211d-ec56-4b7f-8246-796bc0f121bf?gamertag=TcT%20AVENGER&amp;type=Custom&amp;page=0</t>
  </si>
  <si>
    <t>aspence</t>
  </si>
  <si>
    <t>20:31</t>
  </si>
  <si>
    <t>https://halodatahive.com/Infinite/Match/99149d70-fd80-4eab-a6af-7e3eccbe6d6f?gamertag=ASpence501&amp;type=Custom&amp;page=0</t>
  </si>
  <si>
    <t>14:50</t>
  </si>
  <si>
    <t>https://halodatahive.com/Infinite/Match/2f224a50-90c0-4af5-b74c-c5d06f13e16f?gamertag=yLuxe&amp;type=Custom&amp;page=0</t>
  </si>
  <si>
    <t>https://halodatahive.com/Infinite/Match/b391fdba-a2bb-47c7-9995-58bbcff25f61?gamertag=yLuxe&amp;type=Custom&amp;page=0</t>
  </si>
  <si>
    <t>12:41</t>
  </si>
  <si>
    <t>https://www.halowaypoint.com/halo-infinite/players/KDSkill/matches/3c551a00-de8e-4e4d-b804-6e49c75c587b</t>
  </si>
  <si>
    <t>10:21</t>
  </si>
  <si>
    <t>https://www.halowaypoint.com/halo-infinite/players/KDSkill/matches/fd118d75-a338-427b-adae-1d16e70bea46</t>
  </si>
  <si>
    <t>19:34</t>
  </si>
  <si>
    <t>https://halodatahive.com/Infinite/Match/45ee59d3-8bee-4935-82c9-dd5e74102f84?gamertag=mxrvine&amp;type=Custom&amp;page=0</t>
  </si>
  <si>
    <t>https://halodatahive.com/Infinite/Match/ba079122-3325-4ed0-b722-c3f52512d03f?gamertag=mxrvine&amp;type=Custom&amp;page=0</t>
  </si>
  <si>
    <t>14:31</t>
  </si>
  <si>
    <t>https://halodatahive.com/Infinite/Match/b22caac5-90da-4187-9e83-b7177c106375?gamertag=ASpence501&amp;type=Custom&amp;page=0</t>
  </si>
  <si>
    <t>https://halodatahive.com/Infinite/Match/dc16eea7-2893-476e-9b2f-f3b012ee9b91?gamertag=Mavbrid&amp;type=Custom&amp;page=0</t>
  </si>
  <si>
    <t>23:17</t>
  </si>
  <si>
    <t>https://halodatahive.com/Infinite/Match/846613ff-cc67-4d37-8369-11ff5aecf024?gamertag=Mavbrid&amp;type=Custom&amp;page=0</t>
  </si>
  <si>
    <t>24:58</t>
  </si>
  <si>
    <t>https://halodatahive.com/Infinite/Match/30702817-8714-4c96-89ac-16eb0e39e93c?gamertag=Mavbrid&amp;type=Custom&amp;page=0</t>
  </si>
  <si>
    <t>https://halodatahive.com/Infinite/Match/71db727a-337b-4590-bfa6-c979a7d7eaff?gamertag=Mavbrid&amp;type=Custom&amp;page=0</t>
  </si>
  <si>
    <t>14:26</t>
  </si>
  <si>
    <t>https://halodatahive.com/Infinite/Match/2c29d9c5-e52f-413c-8d50-18567cf54e04?gamertag=MysticalNovice&amp;type=Custom&amp;page=0</t>
  </si>
  <si>
    <t>18:29</t>
  </si>
  <si>
    <t>https://halodatahive.com/Infinite/Match/7d3a2f97-d521-4668-bcbe-7c12aac4b226?gamertag=Mavbrid&amp;type=Custom&amp;page=0</t>
  </si>
  <si>
    <t xml:space="preserve">Time removed </t>
  </si>
  <si>
    <t>10:34</t>
  </si>
  <si>
    <t>https://www.halowaypoint.com/halo-infinite/players/Mr%20Epic%20Beast/matches/e4653073-847d-4e42-8307-b0cb9bd47ed2</t>
  </si>
  <si>
    <t>KdSkill</t>
  </si>
  <si>
    <t>28:40</t>
  </si>
  <si>
    <t>https://www.halowaypoint.com/halo-infinite/players/Mr%20Epic%20Beast/matches/5b9ef953-a6dd-4015-bd0f-da4eeab474a7</t>
  </si>
  <si>
    <t>12:31</t>
  </si>
  <si>
    <t>https://halodatahive.com/Infinite/Match/bc569365-66dd-4c9c-9027-67b57645219f?gamertag=yLuxe&amp;type=Custom&amp;page=0</t>
  </si>
  <si>
    <t>13:43</t>
  </si>
  <si>
    <t>https://halodatahive.com/Infinite/Match/230063da-ea4a-4bfb-b51d-82edf611a791?gamertag=yLuxe&amp;type=Custom&amp;page=0</t>
  </si>
  <si>
    <t>playoffs</t>
  </si>
  <si>
    <t>12:48</t>
  </si>
  <si>
    <t>https://halodatahive.com/Infinite/Match/37da46e1-aa78-44e7-a95a-797650551ac7?gamertag=Mavbrid&amp;type=Custom&amp;page=0</t>
  </si>
  <si>
    <t>14:14</t>
  </si>
  <si>
    <t>https://halodatahive.com/Infinite/Match/16de2ab4-96e7-4be3-9d83-fff422b96360?gamertag=Mavbrid&amp;type=Custom&amp;page=0</t>
  </si>
  <si>
    <t>26:14</t>
  </si>
  <si>
    <t>https://halodatahive.com/Infinite/Match/f4fc360d-ee96-4210-a16d-60b65f03eeae?gamertag=ASpence501&amp;type=Custom&amp;page=0</t>
  </si>
  <si>
    <t>10:35</t>
  </si>
  <si>
    <t>https://halodatahive.com/Infinite/Match/20f8de1c-19d1-42a0-9e3b-a0eb69a277ff?gamertag=ASpence501&amp;type=Custom&amp;page=0</t>
  </si>
  <si>
    <t>20:37</t>
  </si>
  <si>
    <t>https://halodatahive.com/Infinite/Match/c5e4ffc4-6c0c-4ac8-a60e-d78ef92287e9?gamertag=Chemical&amp;type=Custom&amp;page=0</t>
  </si>
  <si>
    <t>07:07</t>
  </si>
  <si>
    <t>https://halodatahive.com/Infinite/Match/e2af9c83-c8ce-4c5c-9f2a-3a5ae517feeb?gamertag=Chemical&amp;type=Custom&amp;page=0</t>
  </si>
  <si>
    <t>18:21</t>
  </si>
  <si>
    <t>https://halodatahive.com/Infinite/Match/6040bea7-de52-4a83-af85-61904d519b86?gamertag=Mavbrid&amp;type=Custom&amp;page=0</t>
  </si>
  <si>
    <t>36:45</t>
  </si>
  <si>
    <t>https://halodatahive.com/Infinite/Match/6e50efc6-d900-4a65-a511-a4d1444af8ec?gamertag=Mavbrid&amp;type=Custom&amp;page=0</t>
  </si>
  <si>
    <t>20:56</t>
  </si>
  <si>
    <t>https://halodatahive.com/Infinite/Match/44a0c4a6-7c83-41e9-82d7-4ceb910a8ae9?gamertag=ASpence501&amp;type=Custom&amp;page=0</t>
  </si>
  <si>
    <t>31:41</t>
  </si>
  <si>
    <t>https://halodatahive.com/Infinite/Match/f6f54456-27d6-4452-b8e7-16594ccbe20b?gamertag=ASpence501&amp;type=Custom&amp;page=0</t>
  </si>
  <si>
    <t>https://halodatahive.com/Infinite/Match/061ab5b4-05c5-4eca-8c3f-e7040f420466?gamertag=ASpence501&amp;type=Custom&amp;page=0</t>
  </si>
  <si>
    <t>29:54</t>
  </si>
  <si>
    <t>https://halodatahive.com/Infinite/Match/55c962b9-eb0a-4888-976d-e4e67b99152e?gamertag=yLuxe&amp;type=Custom&amp;page=0</t>
  </si>
  <si>
    <t>8:01</t>
  </si>
  <si>
    <t>https://halodatahive.com/Infinite/Match/94665849-9586-4e26-aea9-afb6fc26dbd5?gamertag=yLuxe&amp;type=Custom&amp;page=0</t>
  </si>
  <si>
    <t>Game stopped</t>
  </si>
  <si>
    <t>22:09</t>
  </si>
  <si>
    <t>https://halodatahive.com/Infinite/Match/1b851a88-c22c-424f-beaf-7831830cb29f?gamertag=yLuxe&amp;type=Custom&amp;page=0</t>
  </si>
  <si>
    <t>5:31</t>
  </si>
  <si>
    <t>https://halodatahive.com/Infinite/Match/cc15fd80-88e7-4b9f-9db7-7c8e9a0a3612?gamertag=yLuxe&amp;type=Custom&amp;page=0</t>
  </si>
  <si>
    <t>24:24</t>
  </si>
  <si>
    <t>https://halodatahive.com/Infinite/Match/af65a0b3-462a-44dc-8cfd-0cc80c3f49c3?gamertag=yLuxe&amp;type=Custom&amp;page=0</t>
  </si>
  <si>
    <t>Auto Updates</t>
  </si>
  <si>
    <t>S1</t>
  </si>
  <si>
    <t>Day 4</t>
  </si>
  <si>
    <t>vs (2-0)</t>
  </si>
  <si>
    <t>S8</t>
  </si>
  <si>
    <t>S4</t>
  </si>
  <si>
    <t>S5</t>
  </si>
  <si>
    <t>Winner</t>
  </si>
  <si>
    <t>vs (3-1)</t>
  </si>
  <si>
    <t>S3</t>
  </si>
  <si>
    <t>S6</t>
  </si>
  <si>
    <t>vs (2-1)</t>
  </si>
  <si>
    <t>S2</t>
  </si>
  <si>
    <t>S7</t>
  </si>
  <si>
    <t>Roster</t>
  </si>
  <si>
    <t>R1</t>
  </si>
  <si>
    <t>R2</t>
  </si>
  <si>
    <t>R3</t>
  </si>
  <si>
    <t>SUB</t>
  </si>
  <si>
    <t>SUB ALT</t>
  </si>
  <si>
    <t>Teams MUST play their full roster. Subs may only be used when a player has quit.</t>
  </si>
  <si>
    <t>Seed 1</t>
  </si>
  <si>
    <t>Seed 2</t>
  </si>
  <si>
    <t>Seed 3</t>
  </si>
  <si>
    <t>Seed 4</t>
  </si>
  <si>
    <t>Seed 5</t>
  </si>
  <si>
    <t>Seed 6</t>
  </si>
  <si>
    <t>Seed 7</t>
  </si>
  <si>
    <t>Seed 8</t>
  </si>
  <si>
    <t xml:space="preserve">unavailable </t>
  </si>
  <si>
    <t>Available</t>
  </si>
  <si>
    <t>Based on top 3 players</t>
  </si>
  <si>
    <t>Sun</t>
  </si>
  <si>
    <t>Mon</t>
  </si>
  <si>
    <t>Tue</t>
  </si>
  <si>
    <t>Wed</t>
  </si>
  <si>
    <t>Thu</t>
  </si>
  <si>
    <t>Fri</t>
  </si>
  <si>
    <t>Sat</t>
  </si>
  <si>
    <t>Captain Sev</t>
  </si>
  <si>
    <t>-</t>
  </si>
  <si>
    <t>8-10</t>
  </si>
  <si>
    <t>3/19, 3/20, 3/26, 3/30-4/1, 4/7-4/10</t>
  </si>
  <si>
    <t>novice</t>
  </si>
  <si>
    <t>?</t>
  </si>
  <si>
    <t>5/8-5/11</t>
  </si>
  <si>
    <t>scullen</t>
  </si>
  <si>
    <t>chemical</t>
  </si>
  <si>
    <t>9-9:30</t>
  </si>
  <si>
    <t>Mav</t>
  </si>
  <si>
    <t>daedric</t>
  </si>
  <si>
    <t>7-8:30</t>
  </si>
  <si>
    <t>4/11- 4/13</t>
  </si>
  <si>
    <t>squire</t>
  </si>
  <si>
    <t>solace</t>
  </si>
  <si>
    <t>7-9:30</t>
  </si>
  <si>
    <t>7:30-8:30</t>
  </si>
  <si>
    <t>7:30-9</t>
  </si>
  <si>
    <t>epic</t>
  </si>
  <si>
    <t>7-9</t>
  </si>
  <si>
    <t>Hammer</t>
  </si>
  <si>
    <t>Sword</t>
  </si>
  <si>
    <t>necessevil</t>
  </si>
  <si>
    <t>daedrice</t>
  </si>
  <si>
    <t>March</t>
  </si>
  <si>
    <t>May</t>
  </si>
  <si>
    <t>23rd</t>
  </si>
  <si>
    <t>18th</t>
  </si>
  <si>
    <t>Week</t>
  </si>
  <si>
    <t>Day</t>
  </si>
  <si>
    <t>Date</t>
  </si>
  <si>
    <t>4th round can?</t>
  </si>
  <si>
    <t>Conference</t>
  </si>
  <si>
    <t>|</t>
  </si>
  <si>
    <t>HALO INFINITE Winter League 2025 GRIFBALL SEASON</t>
  </si>
  <si>
    <t>Ending</t>
  </si>
  <si>
    <t>B.U.R.T</t>
  </si>
  <si>
    <t>Knocked Goose</t>
  </si>
  <si>
    <t>9th Place</t>
  </si>
  <si>
    <t>Coup De Puff</t>
  </si>
  <si>
    <t>The Shrek Republic</t>
  </si>
  <si>
    <t>Employees of the Month</t>
  </si>
  <si>
    <t>Like clockwork</t>
  </si>
  <si>
    <t>F.C Barcelona</t>
  </si>
  <si>
    <t>EXTORTION SZN</t>
  </si>
  <si>
    <t>NecessaryEvil10</t>
  </si>
  <si>
    <t>Hells Angel cx</t>
  </si>
  <si>
    <t>Solace VIII</t>
  </si>
  <si>
    <t>Sabasauros rex</t>
  </si>
  <si>
    <t>1st Round:</t>
  </si>
  <si>
    <t>Spanktron</t>
  </si>
  <si>
    <t>Cosmos5024(R1P9)</t>
  </si>
  <si>
    <t>2nd Round:</t>
  </si>
  <si>
    <t>Mastersquirrel (R3P9)</t>
  </si>
  <si>
    <t>3rd Round:</t>
  </si>
  <si>
    <t>TJP37</t>
  </si>
  <si>
    <t>4th Round:</t>
  </si>
  <si>
    <t>GankedYoAss</t>
  </si>
  <si>
    <t>Gamertag</t>
  </si>
  <si>
    <t>Skill Estimate</t>
  </si>
  <si>
    <t>Last Season</t>
  </si>
  <si>
    <t>Region</t>
  </si>
  <si>
    <t>Input</t>
  </si>
  <si>
    <t>Captains</t>
  </si>
  <si>
    <t>Free Sub Pool</t>
  </si>
  <si>
    <t>iNf3ktion</t>
  </si>
  <si>
    <t>Psyduck</t>
  </si>
  <si>
    <t>Big Al</t>
  </si>
  <si>
    <t>Priest</t>
  </si>
  <si>
    <t>Ram Osneb</t>
  </si>
  <si>
    <t>BloodenNick</t>
  </si>
  <si>
    <t>Reign</t>
  </si>
  <si>
    <t>Panther Lily</t>
  </si>
  <si>
    <t>Endasis zx</t>
  </si>
  <si>
    <t>G3ohh</t>
  </si>
  <si>
    <t>Clutch Academy</t>
  </si>
  <si>
    <t xml:space="preserve">
MajesticKittens  </t>
  </si>
  <si>
    <t>KindredDaedric</t>
  </si>
  <si>
    <t>w</t>
  </si>
  <si>
    <t>Substitution List</t>
  </si>
  <si>
    <t>Bad Intentions</t>
  </si>
  <si>
    <t>NeuraLink</t>
  </si>
  <si>
    <t xml:space="preserve"> Crazy Guys 2.0</t>
  </si>
  <si>
    <t>Wang Industries</t>
  </si>
  <si>
    <t>The @MenZ Fan Club</t>
  </si>
  <si>
    <t>Ken no senshi</t>
  </si>
  <si>
    <t>Asking Alexandra</t>
  </si>
  <si>
    <t>4G1B</t>
  </si>
  <si>
    <t>PsyDucky54</t>
  </si>
  <si>
    <t>solace viii</t>
  </si>
  <si>
    <t>Digital Pain</t>
  </si>
  <si>
    <t>mavbrid</t>
  </si>
  <si>
    <t>ill Shrek u</t>
  </si>
  <si>
    <t>Gingy</t>
  </si>
  <si>
    <t>A</t>
  </si>
  <si>
    <t>S</t>
  </si>
  <si>
    <t>Fancy</t>
  </si>
  <si>
    <t>Dhyln</t>
  </si>
  <si>
    <t>DCleak</t>
  </si>
  <si>
    <t>IReign 77</t>
  </si>
  <si>
    <t>iNF3ktioN</t>
  </si>
  <si>
    <t>B</t>
  </si>
  <si>
    <t>C</t>
  </si>
  <si>
    <t>D</t>
  </si>
  <si>
    <t>Blooden nick</t>
  </si>
  <si>
    <t>about73puppies</t>
  </si>
  <si>
    <t>Squarebarton</t>
  </si>
  <si>
    <t>Mastersquirrel</t>
  </si>
  <si>
    <t>UNKNOWN</t>
  </si>
  <si>
    <t>TcT J Bomb</t>
  </si>
  <si>
    <t xml:space="preserve">Recharged </t>
  </si>
  <si>
    <t xml:space="preserve">NinjadYoAss </t>
  </si>
  <si>
    <t>MajesticKittens</t>
  </si>
  <si>
    <t>The Goosler</t>
  </si>
  <si>
    <t>Itsriske</t>
  </si>
  <si>
    <t>E</t>
  </si>
  <si>
    <t>5th Round:</t>
  </si>
  <si>
    <t>OREOTHECAT</t>
  </si>
  <si>
    <t>Jceyyy</t>
  </si>
  <si>
    <t>DuffyCreates</t>
  </si>
  <si>
    <t>Use this to search the schedule sheet for your or other captain's games. UPDATES AUTOMATICALLY FROM ADMIN SHEET, refer to schedule for captain name spelling</t>
  </si>
  <si>
    <t>Captain Search:</t>
  </si>
  <si>
    <t>Death</t>
  </si>
  <si>
    <t>N/A means there isn't anything in the category</t>
  </si>
  <si>
    <t>Scheduled Games</t>
  </si>
  <si>
    <t>Matchup/Time</t>
  </si>
  <si>
    <t>Matchup</t>
  </si>
  <si>
    <t>IGNORE, RAW INPUT</t>
  </si>
  <si>
    <t>Sunday Aug 25</t>
  </si>
  <si>
    <t>Monday Aug 26</t>
  </si>
  <si>
    <t>Tuesday Aug 27</t>
  </si>
  <si>
    <t>Wednesday Aug 28</t>
  </si>
  <si>
    <t>Thursday Aug 29</t>
  </si>
  <si>
    <t>Friday Aug 30</t>
  </si>
  <si>
    <t>Saturday Aug 31</t>
  </si>
  <si>
    <t>September 1-7</t>
  </si>
  <si>
    <t>Sunday Sept 1</t>
  </si>
  <si>
    <t>Monday Sept 2</t>
  </si>
  <si>
    <t>Tuesday Sept 3</t>
  </si>
  <si>
    <t>Wednesday Sept 4</t>
  </si>
  <si>
    <t>Thursday Sept 5</t>
  </si>
  <si>
    <t>Friday Sept 6</t>
  </si>
  <si>
    <t>Saturday Sept 7</t>
  </si>
  <si>
    <t>September 8-14</t>
  </si>
  <si>
    <t>Sunday Sept 8</t>
  </si>
  <si>
    <t>Monday Sept 9</t>
  </si>
  <si>
    <t>Tuesday Sept 10</t>
  </si>
  <si>
    <t>Wednesday Sept 11</t>
  </si>
  <si>
    <t>Thursday Sept 12</t>
  </si>
  <si>
    <t>Friday Sept 13</t>
  </si>
  <si>
    <t>Saturday Sept 14</t>
  </si>
  <si>
    <t>September 15-21</t>
  </si>
  <si>
    <t>Sunday Sept 15</t>
  </si>
  <si>
    <t>Monday Sept 16</t>
  </si>
  <si>
    <t>Tuesday Sept 17</t>
  </si>
  <si>
    <t>Wednesday Sept 18</t>
  </si>
  <si>
    <t>Thursday Sept 19</t>
  </si>
  <si>
    <t>Friday Sept 20</t>
  </si>
  <si>
    <t>Saturday Sept 21</t>
  </si>
  <si>
    <t>September 22-28</t>
  </si>
  <si>
    <t>Sunday Sept 22</t>
  </si>
  <si>
    <t>Monday Sept 23</t>
  </si>
  <si>
    <t>HALO INFINITE SPRING LEAGUE 2024 GRIFBALL SEASON</t>
  </si>
  <si>
    <t>Buff Oily Men (&amp; Women)</t>
  </si>
  <si>
    <t>Post Grif Depression</t>
  </si>
  <si>
    <t>Crazy Guys</t>
  </si>
  <si>
    <t>Sarge’s Squad</t>
  </si>
  <si>
    <t>Operation: Doomsday</t>
  </si>
  <si>
    <t>Angry Duck Noises</t>
  </si>
  <si>
    <t>Puffy Grifbussy</t>
  </si>
  <si>
    <t>Skill Diff</t>
  </si>
  <si>
    <t>GET SHREKT</t>
  </si>
  <si>
    <t>Separate Intelligence</t>
  </si>
  <si>
    <t>Paradox Warriors</t>
  </si>
  <si>
    <t>Moist grapefruit</t>
  </si>
  <si>
    <t>commandstation</t>
  </si>
  <si>
    <t>DMar7in69</t>
  </si>
  <si>
    <t xml:space="preserve">IxGingy </t>
  </si>
  <si>
    <t>D-</t>
  </si>
  <si>
    <t>E-</t>
  </si>
  <si>
    <t>F+</t>
  </si>
  <si>
    <t>E+</t>
  </si>
  <si>
    <t>B-</t>
  </si>
  <si>
    <t>C+</t>
  </si>
  <si>
    <t>S+</t>
  </si>
  <si>
    <t>A+</t>
  </si>
  <si>
    <t>Ace B S1lentND1</t>
  </si>
  <si>
    <t xml:space="preserve">Papasnipezx </t>
  </si>
  <si>
    <t>Sherbetshake</t>
  </si>
  <si>
    <t>Icey Tanker</t>
  </si>
  <si>
    <t>S-</t>
  </si>
  <si>
    <t>A-</t>
  </si>
  <si>
    <t>B+</t>
  </si>
  <si>
    <t>oh zilly</t>
  </si>
  <si>
    <t>TommyWestSide</t>
  </si>
  <si>
    <t xml:space="preserve">Cosmos5024 </t>
  </si>
  <si>
    <t>Its Rainin Menz</t>
  </si>
  <si>
    <t>Mr epic beast</t>
  </si>
  <si>
    <t>D+</t>
  </si>
  <si>
    <t>C-</t>
  </si>
  <si>
    <t xml:space="preserve">NOPLEX </t>
  </si>
  <si>
    <t>Reyas</t>
  </si>
  <si>
    <t>Doerstopper</t>
  </si>
  <si>
    <t>Listless DK</t>
  </si>
  <si>
    <t>El Diablo X230X</t>
  </si>
  <si>
    <t>I iTz Bear I</t>
  </si>
  <si>
    <t>JOEPRO v2</t>
  </si>
  <si>
    <t>F</t>
  </si>
  <si>
    <t>F-</t>
  </si>
  <si>
    <t>GamezoWinselot</t>
  </si>
  <si>
    <t>OREOTHECAT5618</t>
  </si>
  <si>
    <t>Draft Pool</t>
  </si>
  <si>
    <t>Current Season</t>
  </si>
  <si>
    <t>Experience:</t>
  </si>
  <si>
    <t>Central North America</t>
  </si>
  <si>
    <t>Banned Player List</t>
  </si>
  <si>
    <t>East North America</t>
  </si>
  <si>
    <t>North Europe</t>
  </si>
  <si>
    <t xml:space="preserve">commandstation </t>
  </si>
  <si>
    <t>West North America</t>
  </si>
  <si>
    <t>Australia</t>
  </si>
  <si>
    <t>https://docs.google.com/spreadsheets/d/1d-JA1rtr6SsQ3KDwXKl9d69yCGp7i6YiLm1GlgrUU-M/edit#gid=1265428282</t>
  </si>
  <si>
    <t>Poptart</t>
  </si>
  <si>
    <t>27:45</t>
  </si>
  <si>
    <t>https://www.halowaypoint.com/halo-infinite/players/poisonxpoptart/matches/d499aa43-c785-435c-83a6-a5050b9443bb</t>
  </si>
  <si>
    <t>https://www.youtube.com/watch?v=rI0O9YwUeBA</t>
  </si>
  <si>
    <t>panther lily 4th</t>
  </si>
  <si>
    <t>https://www.halowaypoint.com/halo-infinite/players/poisonxpoptart/matches/3eb32b53-159a-456e-925f-cace43cf6f33</t>
  </si>
  <si>
    <t>tct j bomb 4th</t>
  </si>
  <si>
    <t>Ducky</t>
  </si>
  <si>
    <t>https://www.halowaypoint.com/halo-infinite/players/ASpence501/matches/8334ccd4-6be3-456b-a29a-470db18c98a7</t>
  </si>
  <si>
    <t>https://www.youtube.com/watch?v=xe_gW5uLgP0</t>
  </si>
  <si>
    <t>https://www.youtube.com/watch?v=i1o9OyYhTxs</t>
  </si>
  <si>
    <t>majestickittens 4th</t>
  </si>
  <si>
    <t>https://www.halowaypoint.com/halo-infinite/players/ASpence501/matches/3dc50d1f-7b2c-4c0b-941c-acf68ecebe6c</t>
  </si>
  <si>
    <t>Spankatron</t>
  </si>
  <si>
    <t>26:10</t>
  </si>
  <si>
    <t>https://www.halowaypoint.com/halo-infinite/players/KDSkill/matches/758ddf71-f680-4309-a927-e4cc67deb427</t>
  </si>
  <si>
    <t>https://www.youtube.com/watch?v=NCrpquy6Eo0</t>
  </si>
  <si>
    <t>https://www.halowaypoint.com/halo-infinite/players/Chemical/matches/7cbfde02-c8ed-471b-ba15-008fd15c770c</t>
  </si>
  <si>
    <t>https://www.halowaypoint.com/halo-infinite/players/Chemical/matches/a8f552ed-6d75-489c-aba9-4c5d70c4717a, https://www.halowaypoint.com/halo-infinite/players/Chemical/matches/c4cbfc1a-b2b3-4de5-9e45-e2298859d762</t>
  </si>
  <si>
    <t>https://youtu.be/rttZonE5nAk</t>
  </si>
  <si>
    <t>https://youtu.be/842VD3NilSY</t>
  </si>
  <si>
    <t>riske 4th</t>
  </si>
  <si>
    <t>20:49</t>
  </si>
  <si>
    <t>https://www.halowaypoint.com/halo-infinite/players/ASpence501/matches/5b9e267a-3135-42de-a34f-6130ce72b474</t>
  </si>
  <si>
    <t>https://youtu.be/DyfXzLx2LgA</t>
  </si>
  <si>
    <t>32:48</t>
  </si>
  <si>
    <t>https://www.halowaypoint.com/halo-infinite/players/ASpence501/matches/2beec333-28e4-40f8-9642-f42f32cb5a6a , https://www.halowaypoint.com/halo-infinite/players/ASpence501/matches/eee0debe-77fa-477a-a085-3802fd7bdcce  ,  https://www.halowaypoint.com/halo-infinite/players/ASpence501/matches/8f25ba83-fe35-49c1-a716-07cef05c012a</t>
  </si>
  <si>
    <t>https://youtu.be/C3tvPuI_KCc</t>
  </si>
  <si>
    <t>https://youtu.be/6fPsh-3dDSk</t>
  </si>
  <si>
    <t>12:33</t>
  </si>
  <si>
    <t>https://www.halowaypoint.com/halo-infinite/players/ASpence501/matches/0e35a3b4-4ea6-4df3-acc5-c8d7a593efbb</t>
  </si>
  <si>
    <t>Hells</t>
  </si>
  <si>
    <t>16:56</t>
  </si>
  <si>
    <t>https://www.halowaypoint.com/halo-infinite/players/Hells%20Angel%20cx/matches/286885ae-380b-4d28-9a5f-5cd8aed463eb</t>
  </si>
  <si>
    <t>https://youtu.be/VPVhcmPZSvk</t>
  </si>
  <si>
    <t>trespass 4th</t>
  </si>
  <si>
    <t>06:07</t>
  </si>
  <si>
    <t>https://www.halowaypoint.com/halo-infinite/players/Hells%20Angel%20cx/matches/b977d1ad-5f5c-437c-9fc4-cc491d6c2fd6</t>
  </si>
  <si>
    <t>Zim</t>
  </si>
  <si>
    <t>21:53</t>
  </si>
  <si>
    <t>https://www.halowaypoint.com/halo-infinite/players/KDSkill/matches/dace01d5-f4e4-467f-a4a4-a71ec1b3e43b</t>
  </si>
  <si>
    <t>https://youtu.be/GnKqU3PEd8M</t>
  </si>
  <si>
    <t>15:59</t>
  </si>
  <si>
    <t>https://www.halowaypoint.com/halo-infinite/players/ASpence501/matches/26e0c67b-b804-4cbe-9843-0a576830c0cb</t>
  </si>
  <si>
    <t>https://youtu.be/YfmkFymlaO8</t>
  </si>
  <si>
    <t>https://youtu.be/ibxQd3DAyqU</t>
  </si>
  <si>
    <t>recharged 4th</t>
  </si>
  <si>
    <t>38:33</t>
  </si>
  <si>
    <t>https://www.halowaypoint.com/halo-infinite/players/tct%20avenger/matches/05f1b78b-fd7b-4c06-a561-b729bfefd4ed</t>
  </si>
  <si>
    <t>https://youtu.be/nAHq7XU4d3g</t>
  </si>
  <si>
    <t>https://youtu.be/mXX2RC7Jqlw</t>
  </si>
  <si>
    <t>11:02</t>
  </si>
  <si>
    <t>https://www.halowaypoint.com/halo-infinite/players/dlgital%20pain/matches/ee0426e9-5bda-4260-a5b1-b0d49fd978b9</t>
  </si>
  <si>
    <t>https://youtu.be/MePKeNTRLzU</t>
  </si>
  <si>
    <t>10:05</t>
  </si>
  <si>
    <t>https://www.halowaypoint.com/halo-infinite/players/tct%20avenger/matches/ec453e42-b5a3-4cdc-be5f-7d63aece1877</t>
  </si>
  <si>
    <t>https://youtu.be/tdL1OWiP8Jg</t>
  </si>
  <si>
    <t>https://youtu.be/wTxtC2Kv3i4</t>
  </si>
  <si>
    <t>priest 4th</t>
  </si>
  <si>
    <t>14:47</t>
  </si>
  <si>
    <t>https://www.halowaypoint.com/halo-infinite/players/Chemical/matches/c8035678-8279-4fc0-8ad1-05274081ee43</t>
  </si>
  <si>
    <t>https://youtu.be/dAOBCJc3Ff4</t>
  </si>
  <si>
    <t>21:37</t>
  </si>
  <si>
    <t>https://www.halowaypoint.com/halo-infinite/players/Chemical/matches/1356c312-401b-4669-ba5c-aaf0c3005088</t>
  </si>
  <si>
    <t>https://youtu.be/cIBGI6FiEWA</t>
  </si>
  <si>
    <t>30:03</t>
  </si>
  <si>
    <t>https://www.halowaypoint.com/halo-infinite/players/necessaryevil10/matches/8e947422-10c9-4079-abb2-2583a3737e31</t>
  </si>
  <si>
    <t>https://youtu.be/tXVmC_mSsp4</t>
  </si>
  <si>
    <t>26:40</t>
  </si>
  <si>
    <t>https://www.halowaypoint.com/halo-infinite/players/chemical/matches/ff5aa4bc-b98a-47e9-b323-827bbf26e48e</t>
  </si>
  <si>
    <t>24:31</t>
  </si>
  <si>
    <t>https://www.halowaypoint.com/halo-infinite/players/ASpence501/matches/b7717934-48a6-40c4-8360-e5dcb9eb44ce , https://www.halowaypoint.com/halo-infinite/players/ASpence501/matches/9fd23735-63d2-4df9-854d-dbe9e16d68b6</t>
  </si>
  <si>
    <t>https://youtu.be/OdbfxO1d1J0</t>
  </si>
  <si>
    <t>16:59</t>
  </si>
  <si>
    <t>https://www.halowaypoint.com/halo-infinite/players/chemical/matches/b972d93b-4e07-43f5-90c3-d406b81b6ab6</t>
  </si>
  <si>
    <t>https://youtu.be/3jzKrWpolxE</t>
  </si>
  <si>
    <t>Spoon</t>
  </si>
  <si>
    <t>10:23</t>
  </si>
  <si>
    <t>https://www.halowaypoint.com/halo-infinite/players/Inactive%20Spoon/matches/3577a745-a9ed-4be2-bdbf-b2350251843c</t>
  </si>
  <si>
    <t>15:01</t>
  </si>
  <si>
    <t>https://www.halowaypoint.com/halo-infinite/players/Inactive%20Spoon/matches/3165a244-f289-4940-9295-a54ea2b66362</t>
  </si>
  <si>
    <t>41:06</t>
  </si>
  <si>
    <t>https://www.halowaypoint.com/halo-infinite/players/NecessaryEvil10/matches/9d9838e8-eb04-4d91-8740-d65e87e6bdfe</t>
  </si>
  <si>
    <t>https://www.twitch.tv/videos/2245464514</t>
  </si>
  <si>
    <t>15:35</t>
  </si>
  <si>
    <t>https://www.halowaypoint.com/halo-infinite/players/Hells%20Angel%20cx/matches/12a5ece9-951b-4387-862c-359377d510ac</t>
  </si>
  <si>
    <t>https://www.halowaypoint.com/halo-infinite/players/Hells%20Angel%20cx/matches/e6218524-0d8d-46ca-bfdf-1b507ff6d588</t>
  </si>
  <si>
    <t>Trespass</t>
  </si>
  <si>
    <t>14:42</t>
  </si>
  <si>
    <t>https://www.halowaypoint.com/halo-infinite/players/inactive%20spoon/matches/a9d1df5b-1af6-4ac3-9aad-f847b04863d8</t>
  </si>
  <si>
    <t>24:35</t>
  </si>
  <si>
    <t>https://www.halowaypoint.com/halo-infinite/players/TcT%20Avenger/matches/2e0dbb70-bbe1-4c37-9452-c12559be0c80</t>
  </si>
  <si>
    <t>https://youtu.be/alTyLyCAXWM</t>
  </si>
  <si>
    <t>17:28</t>
  </si>
  <si>
    <t>https://www.halowaypoint.com/halo-infinite/players/TcT%20Avenger/matches/f72a17e6-c6a4-4be8-abd4-9ccffd36d4fb , https://www.halowaypoint.com/halo-infinite/players/TcT%20Avenger/matches/9a40d417-48cc-44a8-984f-a9d0984cf86f</t>
  </si>
  <si>
    <t>https://youtu.be/kRh1-tNw5c8</t>
  </si>
  <si>
    <t>goosler 4th</t>
  </si>
  <si>
    <t>17:11</t>
  </si>
  <si>
    <t>https://www.halowaypoint.com/halo-infinite/players/ASpence501/matches/eb2f8686-35ae-4c21-aceb-b37ef668f447</t>
  </si>
  <si>
    <t>https://youtu.be/JhZvE035KF4</t>
  </si>
  <si>
    <t>NinjadYoAss 4th</t>
  </si>
  <si>
    <t>13:22</t>
  </si>
  <si>
    <t>https://www.halowaypoint.com/halo-infinite/players/Inactive%20Spoon/matches/ad0104ef-7c1a-4127-aa85-48b470d3f078</t>
  </si>
  <si>
    <t>NinjadyoAss 4th</t>
  </si>
  <si>
    <t>https://www.halowaypoint.com/halo-infinite/players/InactiveSpoon/matches/4a1415c2-1989-4ce1-85b5-0d9239de7eb9</t>
  </si>
  <si>
    <t>32:07</t>
  </si>
  <si>
    <t>https://www.halowaypoint.com/halo-infinite/players/TcT%20Avenger/matches/2bc2d388-07df-486c-adbb-9f37584a9681</t>
  </si>
  <si>
    <t>21:10</t>
  </si>
  <si>
    <t>https://www.halowaypoint.com/halo-infinite/players/TcT%20Avenger/matches/372ca0d1-62fa-47b8-a75d-fa4c3108412d</t>
  </si>
  <si>
    <t>21:59</t>
  </si>
  <si>
    <t>https://www.halowaypoint.com/halo-infinite/players/poisonxpoptart/matches/1432fced-0913-4163-adc4-737760ac4362</t>
  </si>
  <si>
    <t>PantherLily 4th</t>
  </si>
  <si>
    <t>REMAKE</t>
  </si>
  <si>
    <t>SPOON V POPTAR</t>
  </si>
  <si>
    <t>https://www.halowaypoint.com/halo-infinite/players/poisonxpoptart/matches/839f9623-e6ae-4dfa-b67c-3d2e2f40283e</t>
  </si>
  <si>
    <t>poptart</t>
  </si>
  <si>
    <t>https://www.halowaypoint.com/halo-infinite/players/poisonxpoptart/matches/a8c19ecb-e9a8-4398-8617-ccdb9555b20a</t>
  </si>
  <si>
    <t>7:46</t>
  </si>
  <si>
    <t>https://www.halowaypoint.com/halo-infinite/players/poisonxpoptart/matches/3e374a75-3bb9-4b7e-91fd-0c987c6378ac</t>
  </si>
  <si>
    <t>23:21</t>
  </si>
  <si>
    <t>https://www.halowaypoint.com/halo-infinite/players/Inactive%20Spoon/matches/2415a4d2-9567-4d8b-9d0d-31f53db7de78</t>
  </si>
  <si>
    <t>20:51</t>
  </si>
  <si>
    <t>https://www.halowaypoint.com/halo-infinite/players/Inactive%20Spoon/matches/80b8d986-0694-4d6d-ad2e-4e762cc6c36d</t>
  </si>
  <si>
    <t>https://www.halowaypoint.com/halo-infinite/players/mr%20epic%20beast/matches/4476fd45-6dd6-474c-8cab-98e4ec3af979</t>
  </si>
  <si>
    <t>17:45</t>
  </si>
  <si>
    <t>https://www.halowaypoint.com/halo-infinite/players/PoisonxPoptart/matches/4da296ad-8561-4257-a021-a29eb81e2e94</t>
  </si>
  <si>
    <t>14:58</t>
  </si>
  <si>
    <t>https://www.halowaypoint.com/halo-infinite/players/PoisonxPoptart/matches/48d9fdbd-018f-4990-9803-2d50288eeeec</t>
  </si>
  <si>
    <t>27:20</t>
  </si>
  <si>
    <t>https://www.halowaypoint.com/halo-infinite/players/PoisonxPoptart/matches/2f34cb8c-5e0b-42f1-9527-2c2ea9477894</t>
  </si>
  <si>
    <t>20:59</t>
  </si>
  <si>
    <t>https://www.halowaypoint.com/halo-infinite/players/invayda%20zim/matches/aab32f11-6be3-4c84-8e04-a7d54d748c49</t>
  </si>
  <si>
    <t>FF Ducky Win</t>
  </si>
  <si>
    <t>18:11</t>
  </si>
  <si>
    <t>https://www.halowaypoint.com/halo-infinite/players/ASpence501/matches/a7d23cbe-494e-493e-8d3b-6b323bcf4b6b</t>
  </si>
  <si>
    <t>17:38</t>
  </si>
  <si>
    <t>https://www.halowaypoint.com/halo-infinite/players/ASpence501/matches/11344b45-d862-4653-8a7e-e2ee14a77afc</t>
  </si>
  <si>
    <t>https://www.halowaypoint.com/halo-infinite/players/DlGITAL%20PAIN/matches/8a6a32e9-7986-4cfb-84f8-3d1cc7500999</t>
  </si>
  <si>
    <t>Tct Jbomb</t>
  </si>
  <si>
    <t>21:34</t>
  </si>
  <si>
    <t>https://www.halowaypoint.com/halo-infinite/players/NecessaryEvil10/matches/a9eab66c-e722-4bdc-9fd8-ed57aa1551fd</t>
  </si>
  <si>
    <t>13:16</t>
  </si>
  <si>
    <t>https://www.halowaypoint.com/halo-infinite/players/inactivespoon/matches/cd2fac03-c253-441e-a667-bc663cf00495</t>
  </si>
  <si>
    <t>20:36</t>
  </si>
  <si>
    <t>https://www.halowaypoint.com/halo-infinite/players/PoisonxPoptart/matches/af4b5b4b-4805-4a0f-bf7a-3e12010649a9</t>
  </si>
  <si>
    <t>17:30</t>
  </si>
  <si>
    <t>https://www.halowaypoint.com/halo-infinite/players/inactive%20spoon/matches/b7cbcbb3-6d32-4fa8-8c56-c19880cd0f09</t>
  </si>
  <si>
    <t>https://www.halowaypoint.com/halo-infinite/players/invayda%20zim/matches/3f86c4d5-3be9-40e0-9022-e4494d1ced97</t>
  </si>
  <si>
    <t>MajesticKittens 4th</t>
  </si>
  <si>
    <t>06:11</t>
  </si>
  <si>
    <t>https://www.halowaypoint.com/halo-infinite/players/invayda%20zim/matches/ec4544a0-cefa-4e49-8ca1-d0804a161d89</t>
  </si>
  <si>
    <t>10:11</t>
  </si>
  <si>
    <t>https://www.halowaypoint.com/halo-infinite/players/Chemical/matches/66d0ab7b-d09e-45de-adcb-86d1c89c1ffe</t>
  </si>
  <si>
    <t>Goosler 4th</t>
  </si>
  <si>
    <t>09:44</t>
  </si>
  <si>
    <t>https://www.halowaypoint.com/halo-infinite/players/Chemical/matches/a116f7f5-4282-4fcb-ac78-14eac6f85fb5</t>
  </si>
  <si>
    <t>25.54</t>
  </si>
  <si>
    <t>https://www.halowaypoint.com/halo-infinite/players/necessaryevil10/matches/5037f5d0-08b5-4049-a003-256df0f80591</t>
  </si>
  <si>
    <t>06:20</t>
  </si>
  <si>
    <t>https://www.halowaypoint.com/halo-infinite/players/Hells%20Angel%20cx/matches/a918ab2b-8069-4041-bd1a-89cec355118c</t>
  </si>
  <si>
    <t>Trespass 4th</t>
  </si>
  <si>
    <t>18:40</t>
  </si>
  <si>
    <t>https://www.halowaypoint.com/halo-infinite/players/spanktr0n/matches/20ac27b1-5bf9-40e1-a7a2-3e10c02cf853</t>
  </si>
  <si>
    <t>gankedyoass 4th</t>
  </si>
  <si>
    <t>8:03</t>
  </si>
  <si>
    <t>https://www.halowaypoint.com/halo-infinite/players/spanktr0n/matches/79897f05-a0bd-4a07-93e5-6920f37983c1</t>
  </si>
  <si>
    <r>
      <rPr>
        <rFont val="Arial"/>
        <b/>
        <color theme="1"/>
      </rPr>
      <t>Part 1</t>
    </r>
    <r>
      <rPr>
        <rFont val="Arial"/>
        <color theme="1"/>
      </rPr>
      <t xml:space="preserve"> Spankatron</t>
    </r>
  </si>
  <si>
    <t>0-2</t>
  </si>
  <si>
    <t>10:29</t>
  </si>
  <si>
    <t>https://www.halowaypoint.com/halo-infinite/players/invayda%20zim/matches/ca290405-fd28-49d2-9c44-e8329f9e4977</t>
  </si>
  <si>
    <t>RESUBMIT STATS</t>
  </si>
  <si>
    <r>
      <rPr>
        <rFont val="Arial"/>
        <b/>
        <color theme="1"/>
      </rPr>
      <t>Part 2</t>
    </r>
    <r>
      <rPr>
        <rFont val="Arial"/>
        <color theme="1"/>
      </rPr>
      <t xml:space="preserve"> Spankatron</t>
    </r>
  </si>
  <si>
    <t>2-3</t>
  </si>
  <si>
    <t>19:47</t>
  </si>
  <si>
    <t>https://www.halowaypoint.com/halo-infinite/players/invayda%20zim/matches/cf25769f-10e8-438d-a3e2-64c2627ff7a0</t>
  </si>
  <si>
    <t>19:14</t>
  </si>
  <si>
    <t>https://www.halowaypoint.com/halo-infinite/players/Hells%20Angel%20cx/matches/a8b05cf4-2d3e-40db-a071-8399d4d37489</t>
  </si>
  <si>
    <t>ganked 4th</t>
  </si>
  <si>
    <t>10:25</t>
  </si>
  <si>
    <t>https://www.halowaypoint.com/halo-infinite/players/invayda%20zim/matches/a3ed88b8-372e-44e6-9fdf-4aaaa5127089</t>
  </si>
  <si>
    <t>Riske 4th</t>
  </si>
  <si>
    <t>17:10</t>
  </si>
  <si>
    <t>https://www.halowaypoint.com/halo-infinite/players/TJP37/matches/7db163d7-4a65-40f3-9777-5f732b799935</t>
  </si>
  <si>
    <t>8:59</t>
  </si>
  <si>
    <t>https://www.halowaypoint.com/halo-infinite/players/Hells%20Angel%20cx/matches/c864bd5f-7b53-468d-99a5-9cc9ab26aee7</t>
  </si>
  <si>
    <t>J bomb 4th</t>
  </si>
  <si>
    <t>17:49</t>
  </si>
  <si>
    <t>https://www.halowaypoint.com/halo-infinite/players/Hells%20Angel%20cx/matches/9d0a7c95-4b1f-4105-95d0-dff894000f62</t>
  </si>
  <si>
    <t>15:25</t>
  </si>
  <si>
    <t>https://www.halowaypoint.com/halo-infinite/players/Hells%20Angel%20cx/matches/d05d0a23-91a2-4e42-ab61-2d6e7f0dd595</t>
  </si>
  <si>
    <t>11:10</t>
  </si>
  <si>
    <t>https://www.halowaypoint.com/halo-infinite/players/MuNgO%20PuNgO/matches/f2e70ece-5264-4841-a077-09798a614509</t>
  </si>
  <si>
    <t>Part 1 Spoon</t>
  </si>
  <si>
    <t>4-3</t>
  </si>
  <si>
    <t>https://www.halowaypoint.com/halo-infinite/players/Chemical/matches/854f653b-f7ba-4abf-bf74-b92da809fa8c</t>
  </si>
  <si>
    <t>Part 2 Spoon</t>
  </si>
  <si>
    <t>1-0</t>
  </si>
  <si>
    <t>02:14</t>
  </si>
  <si>
    <t>https://www.halowaypoint.com/halo-infinite/players/Chemical/matches/672b8a3a-a6d1-4221-ab6f-d5b1a8849564</t>
  </si>
  <si>
    <t>17:39</t>
  </si>
  <si>
    <t>https://www.halowaypoint.com/halo-infinite/players/Chemical/matches/63b70f46-7416-46c3-9a86-7ee3bab8cdeb</t>
  </si>
  <si>
    <t>Playoffs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</si>
</sst>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h:mm am/pm"/>
    <numFmt numFmtId="165" formatCode="m-d"/>
    <numFmt numFmtId="166" formatCode="dddd mmm d"/>
    <numFmt numFmtId="167" formatCode="mmmm d"/>
    <numFmt numFmtId="168" formatCode="m/d"/>
    <numFmt numFmtId="169" formatCode="M/d/yyyy"/>
    <numFmt numFmtId="170" formatCode="h:mm:ss am/pm"/>
    <numFmt numFmtId="171" formatCode="0.000"/>
  </numFmts>
  <fonts count="120">
    <font>
      <sz val="10.0"/>
      <color rgb="FF000000"/>
      <name val="Arial"/>
      <scheme val="minor"/>
    </font>
    <font>
      <color theme="1"/>
      <name val="Arial"/>
    </font>
    <font>
      <sz val="36.0"/>
      <color theme="1"/>
      <name val="EB Garamond"/>
    </font>
    <font>
      <sz val="14.0"/>
      <color theme="1"/>
      <name val="Oswald"/>
    </font>
    <font>
      <sz val="11.0"/>
      <color theme="1"/>
      <name val="Oswald"/>
    </font>
    <font>
      <b/>
      <color theme="1"/>
      <name val="Arial"/>
    </font>
    <font>
      <b/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b/>
      <color theme="1"/>
      <name val="Georgia"/>
    </font>
    <font>
      <sz val="12.0"/>
      <color theme="1"/>
      <name val="Oswald"/>
    </font>
    <font>
      <b/>
      <sz val="11.0"/>
      <color theme="1"/>
      <name val="Merriweather"/>
    </font>
    <font>
      <sz val="11.0"/>
      <color theme="1"/>
      <name val="Merriweather"/>
    </font>
    <font>
      <color theme="1"/>
      <name val="Merriweather"/>
    </font>
    <font>
      <b/>
      <sz val="24.0"/>
      <color theme="1"/>
      <name val="Calibri"/>
    </font>
    <font/>
    <font>
      <sz val="11.0"/>
      <color theme="1"/>
      <name val="Calibri"/>
    </font>
    <font>
      <sz val="9.0"/>
      <color theme="1"/>
      <name val="Calibri"/>
    </font>
    <font>
      <b/>
      <strike/>
      <color rgb="FF000000"/>
      <name val="Arial"/>
    </font>
    <font>
      <b/>
      <sz val="22.0"/>
      <color rgb="FFE6B8AF"/>
      <name val="Arial"/>
    </font>
    <font>
      <sz val="15.0"/>
      <color rgb="FF000000"/>
      <name val="Arial"/>
    </font>
    <font>
      <color rgb="FF000000"/>
      <name val="Arial"/>
    </font>
    <font>
      <b/>
      <sz val="15.0"/>
      <color theme="1"/>
      <name val="Arial"/>
    </font>
    <font>
      <strike/>
      <color theme="1"/>
      <name val="Arial"/>
    </font>
    <font>
      <b/>
      <strike/>
      <color theme="1"/>
      <name val="Arial"/>
    </font>
    <font>
      <b/>
      <strike/>
      <sz val="10.0"/>
      <color theme="1"/>
      <name val="Arial"/>
    </font>
    <font>
      <color rgb="FFFF0000"/>
      <name val="Arial"/>
    </font>
    <font>
      <b/>
      <color rgb="FFFF00FF"/>
      <name val="Arial"/>
    </font>
    <font>
      <strike/>
      <color rgb="FFFF0000"/>
      <name val="Arial"/>
    </font>
    <font>
      <b/>
      <color rgb="FFFF0000"/>
      <name val="Arial"/>
    </font>
    <font>
      <b/>
      <strike/>
      <color rgb="FFFF0000"/>
      <name val="Arial"/>
    </font>
    <font>
      <sz val="15.0"/>
      <color theme="1"/>
      <name val="Arial"/>
    </font>
    <font>
      <strike/>
      <sz val="10.0"/>
      <color theme="1"/>
      <name val="Arial"/>
    </font>
    <font>
      <strike/>
      <color rgb="FF000000"/>
      <name val="Arial"/>
    </font>
    <font>
      <b/>
      <color rgb="FFFF9900"/>
      <name val="Arial"/>
    </font>
    <font>
      <b/>
      <sz val="14.0"/>
      <color rgb="FFFF0000"/>
      <name val="Arial"/>
    </font>
    <font>
      <i/>
      <color theme="1"/>
      <name val="Arial"/>
    </font>
    <font>
      <b/>
      <strike/>
      <sz val="14.0"/>
      <color rgb="FFFF0000"/>
      <name val="Arial"/>
    </font>
    <font>
      <i/>
      <strike/>
      <color theme="1"/>
      <name val="Arial"/>
    </font>
    <font>
      <b/>
      <color rgb="FF000000"/>
      <name val="Arial"/>
    </font>
    <font>
      <b/>
      <strike/>
      <color rgb="FF434343"/>
      <name val="Arial"/>
    </font>
    <font>
      <b/>
      <strike/>
      <sz val="10.0"/>
      <color rgb="FFFF0000"/>
      <name val="Arial"/>
    </font>
    <font>
      <sz val="20.0"/>
      <color rgb="FFFF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b/>
      <sz val="11.0"/>
      <color rgb="FF000000"/>
      <name val="Arial"/>
    </font>
    <font>
      <b/>
      <sz val="12.0"/>
      <color rgb="FFFF0000"/>
      <name val="Arial"/>
    </font>
    <font>
      <u/>
      <color rgb="FFFF0000"/>
      <name val="Arial"/>
    </font>
    <font>
      <b/>
      <u/>
      <color rgb="FF000000"/>
      <name val="Arial"/>
    </font>
    <font>
      <b/>
      <u/>
      <color rgb="FF000000"/>
      <name val="Arial"/>
    </font>
    <font>
      <u/>
      <color rgb="FFFF0000"/>
      <name val="Arial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b/>
      <u/>
      <color rgb="FF000000"/>
      <name val="Arial"/>
    </font>
    <font>
      <b/>
      <u/>
      <color rgb="FF000000"/>
      <name val="Arial"/>
    </font>
    <font>
      <u/>
      <color rgb="FF1155CC"/>
      <name val="Arial"/>
    </font>
    <font>
      <u/>
      <color rgb="FF0000FF"/>
    </font>
    <font>
      <u/>
      <color rgb="FF0000FF"/>
    </font>
    <font>
      <u/>
      <color rgb="FF1155CC"/>
      <name val="Arial"/>
    </font>
    <font>
      <u/>
      <color rgb="FF0000FF"/>
    </font>
    <font>
      <u/>
      <color rgb="FF0000FF"/>
    </font>
    <font>
      <u/>
      <color rgb="FF1155CC"/>
      <name val="Arial"/>
    </font>
    <font>
      <u/>
      <color rgb="FF0B5394"/>
    </font>
    <font>
      <u/>
      <color rgb="FF0000FF"/>
    </font>
    <font>
      <u/>
      <color rgb="FF0000FF"/>
    </font>
    <font>
      <u/>
      <color rgb="FF1155CC"/>
      <name val="Arial"/>
    </font>
    <font>
      <b/>
      <u/>
      <color rgb="FF000000"/>
      <name val="Arial"/>
    </font>
    <font>
      <u/>
      <color rgb="FF1155CC"/>
      <name val="Arial"/>
    </font>
    <font>
      <u/>
      <color rgb="FF0000FF"/>
    </font>
    <font>
      <b/>
      <sz val="20.0"/>
      <color rgb="FFFF0000"/>
      <name val="Arial"/>
    </font>
    <font>
      <sz val="12.0"/>
      <color rgb="FFFF0000"/>
      <name val="Arial"/>
    </font>
    <font>
      <u/>
      <color rgb="FF000000"/>
    </font>
    <font>
      <u/>
      <color rgb="FFFF0000"/>
      <name val="Arial"/>
    </font>
    <font>
      <sz val="25.0"/>
      <color rgb="FF000000"/>
      <name val="Arial"/>
    </font>
    <font>
      <sz val="9.0"/>
      <color theme="1"/>
      <name val="Arial"/>
    </font>
    <font>
      <i/>
      <color rgb="FF000000"/>
      <name val="Arial"/>
    </font>
    <font>
      <sz val="15.0"/>
      <color rgb="FFFF0000"/>
      <name val="Arial"/>
    </font>
    <font>
      <color rgb="FF434343"/>
      <name val="Roboto"/>
    </font>
    <font>
      <sz val="10.0"/>
      <color theme="1"/>
      <name val="Merriweather"/>
    </font>
    <font>
      <b/>
      <color rgb="FF434343"/>
      <name val="Roboto"/>
    </font>
    <font>
      <b/>
      <color theme="1"/>
      <name val="Roboto"/>
    </font>
    <font>
      <b/>
      <sz val="12.0"/>
      <color rgb="FF000000"/>
      <name val="Oswald"/>
    </font>
    <font>
      <b/>
      <sz val="13.0"/>
      <color theme="1"/>
      <name val="Comfortaa"/>
    </font>
    <font>
      <color theme="1"/>
      <name val="Calibri"/>
    </font>
    <font>
      <sz val="11.0"/>
      <color theme="1"/>
      <name val="Arial"/>
    </font>
    <font>
      <sz val="10.0"/>
      <color theme="1"/>
      <name val="Lora"/>
    </font>
    <font>
      <b/>
      <sz val="12.0"/>
      <color theme="1"/>
      <name val="Times New Roman"/>
    </font>
    <font>
      <b/>
      <color theme="1"/>
      <name val="Comfortaa"/>
    </font>
    <font>
      <b/>
      <sz val="12.0"/>
      <color theme="1"/>
      <name val="Calibri"/>
    </font>
    <font>
      <b/>
      <sz val="20.0"/>
      <color theme="1"/>
      <name val="Calibri"/>
    </font>
    <font>
      <sz val="11.0"/>
      <color rgb="FF000000"/>
      <name val="Merriweather"/>
    </font>
    <font>
      <sz val="10.0"/>
      <color rgb="FF000000"/>
      <name val="Merriweather"/>
    </font>
    <font>
      <b/>
      <sz val="14.0"/>
      <color theme="1"/>
      <name val="Arial"/>
    </font>
    <font>
      <color rgb="FF666666"/>
      <name val="Arial"/>
    </font>
    <font>
      <b/>
      <sz val="11.0"/>
      <color theme="1"/>
      <name val="Arial"/>
    </font>
    <font>
      <b/>
      <sz val="11.0"/>
      <color rgb="FFFFFFFF"/>
      <name val="Arial"/>
    </font>
    <font>
      <color rgb="FFFFFFFF"/>
      <name val="Arial"/>
    </font>
    <font>
      <b/>
      <sz val="15.0"/>
      <color rgb="FF000000"/>
      <name val="Arial"/>
    </font>
    <font>
      <b/>
      <sz val="11.0"/>
      <color rgb="FF000000"/>
      <name val="Merriweather"/>
    </font>
    <font>
      <strike/>
      <sz val="10.0"/>
      <color theme="1"/>
      <name val="Merriweather"/>
    </font>
    <font>
      <strike/>
      <sz val="9.0"/>
      <color theme="1"/>
      <name val="Calibri"/>
    </font>
    <font>
      <u/>
      <color rgb="FF0000FF"/>
    </font>
    <font>
      <sz val="9.0"/>
      <color rgb="FF000000"/>
      <name val="Arial"/>
    </font>
    <font>
      <u/>
      <color rgb="FFFF0000"/>
      <name val="Arial"/>
    </font>
    <font>
      <u/>
      <color rgb="FF0000FF"/>
    </font>
    <font>
      <u/>
      <color rgb="FF0000FF"/>
    </font>
    <font>
      <u/>
      <color rgb="FF1155CC"/>
    </font>
    <font>
      <u/>
      <color rgb="FF0000FF"/>
    </font>
    <font>
      <u/>
      <color rgb="FF1155CC"/>
    </font>
    <font>
      <u/>
      <color rgb="FF0000FF"/>
    </font>
    <font>
      <u/>
      <color rgb="FF1155CC"/>
      <name val="Arial"/>
    </font>
    <font>
      <u/>
      <color rgb="FF1155CC"/>
    </font>
    <font>
      <u/>
      <color rgb="FF0B5394"/>
    </font>
    <font>
      <u/>
      <color rgb="FF0000FF"/>
    </font>
    <font>
      <u/>
      <color rgb="FF0000FF"/>
    </font>
    <font>
      <u/>
      <color rgb="FF0000FF"/>
    </font>
    <font>
      <u/>
      <color rgb="FFFF0000"/>
      <name val="Arial"/>
    </font>
    <font>
      <u/>
      <color rgb="FF1155CC"/>
      <name val="Arial"/>
    </font>
  </fonts>
  <fills count="3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382F2F"/>
        <bgColor rgb="FF382F2F"/>
      </patternFill>
    </fill>
    <fill>
      <patternFill patternType="solid">
        <fgColor rgb="FFFCE5CD"/>
        <bgColor rgb="FFFCE5CD"/>
      </patternFill>
    </fill>
    <fill>
      <patternFill patternType="solid">
        <fgColor rgb="FF666666"/>
        <bgColor rgb="FF666666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B4A7D6"/>
        <bgColor rgb="FFB4A7D6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980000"/>
        <bgColor rgb="FF980000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F8F9FA"/>
        <bgColor rgb="FFF8F9FA"/>
      </patternFill>
    </fill>
    <fill>
      <patternFill patternType="solid">
        <fgColor rgb="FFEFEFEF"/>
        <bgColor rgb="FFEFEFEF"/>
      </patternFill>
    </fill>
    <fill>
      <patternFill patternType="solid">
        <fgColor rgb="FF8E7CC3"/>
        <bgColor rgb="FF8E7CC3"/>
      </patternFill>
    </fill>
    <fill>
      <patternFill patternType="solid">
        <fgColor rgb="FFFBBC04"/>
        <bgColor rgb="FFFBBC04"/>
      </patternFill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  <fill>
      <patternFill patternType="solid">
        <fgColor rgb="FFC27BA0"/>
        <bgColor rgb="FFC27BA0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999999"/>
        <bgColor rgb="FF999999"/>
      </patternFill>
    </fill>
  </fills>
  <borders count="83">
    <border/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ck">
        <color rgb="FF000000"/>
      </right>
      <top style="thin">
        <color rgb="FF000000"/>
      </top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ck">
        <color rgb="FF000000"/>
      </top>
    </border>
    <border>
      <left style="thick">
        <color rgb="FF000000"/>
      </left>
      <right style="medium">
        <color rgb="FF000000"/>
      </right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ck">
        <color rgb="FF000000"/>
      </right>
      <top style="thin">
        <color rgb="FFD9EAD3"/>
      </top>
      <bottom style="thin">
        <color rgb="FFD9EAD3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D9EAD3"/>
      </left>
      <right style="thin">
        <color rgb="FF000000"/>
      </right>
      <top style="thin">
        <color rgb="FFD9EAD3"/>
      </top>
      <bottom style="thin">
        <color rgb="FFD9EAD3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right style="thick">
        <color rgb="FF000000"/>
      </right>
      <top style="thin">
        <color rgb="FFD9EAD3"/>
      </top>
      <bottom style="thin">
        <color rgb="FFD9EAD3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bottom style="medium">
        <color rgb="FF000000"/>
      </bottom>
    </border>
    <border>
      <left style="thick">
        <color rgb="FF000000"/>
      </left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6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2" numFmtId="0" xfId="0" applyAlignment="1" applyFill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2" fillId="3" fontId="2" numFmtId="0" xfId="0" applyAlignment="1" applyBorder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4" fontId="3" numFmtId="49" xfId="0" applyAlignment="1" applyFill="1" applyFont="1" applyNumberFormat="1">
      <alignment horizontal="center" vertical="bottom"/>
    </xf>
    <xf borderId="0" fillId="4" fontId="4" numFmtId="0" xfId="0" applyAlignment="1" applyFont="1">
      <alignment horizontal="center" vertical="bottom"/>
    </xf>
    <xf borderId="3" fillId="2" fontId="1" numFmtId="0" xfId="0" applyAlignment="1" applyBorder="1" applyFont="1">
      <alignment vertical="bottom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7" numFmtId="49" xfId="0" applyAlignment="1" applyFont="1" applyNumberFormat="1">
      <alignment horizontal="center" vertical="center"/>
    </xf>
    <xf borderId="0" fillId="2" fontId="1" numFmtId="0" xfId="0" applyAlignment="1" applyFont="1">
      <alignment vertical="bottom"/>
    </xf>
    <xf borderId="0" fillId="0" fontId="5" numFmtId="0" xfId="0" applyAlignment="1" applyFont="1">
      <alignment horizontal="center" shrinkToFit="0" vertical="center" wrapText="1"/>
    </xf>
    <xf borderId="0" fillId="5" fontId="7" numFmtId="0" xfId="0" applyAlignment="1" applyFill="1" applyFont="1">
      <alignment horizontal="center" shrinkToFit="0" vertical="center" wrapText="1"/>
    </xf>
    <xf borderId="0" fillId="0" fontId="8" numFmtId="0" xfId="0" applyAlignment="1" applyFont="1">
      <alignment vertical="bottom"/>
    </xf>
    <xf borderId="0" fillId="4" fontId="8" numFmtId="49" xfId="0" applyAlignment="1" applyFont="1" applyNumberFormat="1">
      <alignment horizontal="center" vertical="bottom"/>
    </xf>
    <xf borderId="0" fillId="4" fontId="8" numFmtId="0" xfId="0" applyAlignment="1" applyFont="1">
      <alignment horizontal="center" vertical="bottom"/>
    </xf>
    <xf borderId="4" fillId="0" fontId="9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vertical="center"/>
    </xf>
    <xf borderId="6" fillId="5" fontId="10" numFmtId="0" xfId="0" applyAlignment="1" applyBorder="1" applyFont="1">
      <alignment horizontal="center" vertical="center"/>
    </xf>
    <xf borderId="6" fillId="0" fontId="10" numFmtId="49" xfId="0" applyAlignment="1" applyBorder="1" applyFont="1" applyNumberFormat="1">
      <alignment horizontal="center" vertical="center"/>
    </xf>
    <xf borderId="7" fillId="3" fontId="11" numFmtId="0" xfId="0" applyAlignment="1" applyBorder="1" applyFont="1">
      <alignment horizontal="center" vertical="bottom"/>
    </xf>
    <xf borderId="7" fillId="3" fontId="11" numFmtId="0" xfId="0" applyAlignment="1" applyBorder="1" applyFont="1">
      <alignment horizontal="center"/>
    </xf>
    <xf borderId="0" fillId="2" fontId="1" numFmtId="0" xfId="0" applyAlignment="1" applyFont="1">
      <alignment horizontal="center" shrinkToFit="0" vertical="center" wrapText="1"/>
    </xf>
    <xf borderId="7" fillId="4" fontId="11" numFmtId="0" xfId="0" applyAlignment="1" applyBorder="1" applyFont="1">
      <alignment horizontal="center" shrinkToFit="0" vertical="center" wrapText="1"/>
    </xf>
    <xf borderId="7" fillId="4" fontId="12" numFmtId="0" xfId="0" applyAlignment="1" applyBorder="1" applyFont="1">
      <alignment horizontal="center" vertical="bottom"/>
    </xf>
    <xf borderId="7" fillId="4" fontId="13" numFmtId="49" xfId="0" applyAlignment="1" applyBorder="1" applyFont="1" applyNumberFormat="1">
      <alignment horizontal="center" vertical="bottom"/>
    </xf>
    <xf borderId="7" fillId="3" fontId="11" numFmtId="0" xfId="0" applyAlignment="1" applyBorder="1" applyFont="1">
      <alignment horizontal="center" shrinkToFit="0" vertical="center" wrapText="1"/>
    </xf>
    <xf borderId="7" fillId="3" fontId="13" numFmtId="0" xfId="0" applyAlignment="1" applyBorder="1" applyFont="1">
      <alignment horizontal="center" vertical="bottom"/>
    </xf>
    <xf borderId="7" fillId="3" fontId="13" numFmtId="49" xfId="0" applyAlignment="1" applyBorder="1" applyFont="1" applyNumberFormat="1">
      <alignment horizontal="center" vertical="bottom"/>
    </xf>
    <xf borderId="7" fillId="0" fontId="13" numFmtId="0" xfId="0" applyAlignment="1" applyBorder="1" applyFont="1">
      <alignment horizontal="center" vertical="bottom"/>
    </xf>
    <xf borderId="7" fillId="0" fontId="13" numFmtId="49" xfId="0" applyAlignment="1" applyBorder="1" applyFont="1" applyNumberFormat="1">
      <alignment horizontal="center" vertical="bottom"/>
    </xf>
    <xf borderId="1" fillId="3" fontId="14" numFmtId="0" xfId="0" applyAlignment="1" applyBorder="1" applyFont="1">
      <alignment horizontal="center"/>
    </xf>
    <xf borderId="2" fillId="0" fontId="15" numFmtId="0" xfId="0" applyBorder="1" applyFont="1"/>
    <xf borderId="8" fillId="2" fontId="16" numFmtId="0" xfId="0" applyAlignment="1" applyBorder="1" applyFont="1">
      <alignment horizontal="center"/>
    </xf>
    <xf borderId="0" fillId="2" fontId="16" numFmtId="0" xfId="0" applyFont="1"/>
    <xf borderId="0" fillId="2" fontId="17" numFmtId="0" xfId="0" applyFont="1"/>
    <xf borderId="0" fillId="2" fontId="16" numFmtId="0" xfId="0" applyAlignment="1" applyFont="1">
      <alignment horizontal="center"/>
    </xf>
    <xf borderId="0" fillId="2" fontId="18" numFmtId="49" xfId="0" applyAlignment="1" applyFont="1" applyNumberFormat="1">
      <alignment horizontal="center" shrinkToFit="0" vertical="center" wrapText="1"/>
    </xf>
    <xf borderId="0" fillId="2" fontId="19" numFmtId="0" xfId="0" applyAlignment="1" applyFont="1">
      <alignment horizontal="left"/>
    </xf>
    <xf borderId="9" fillId="2" fontId="19" numFmtId="0" xfId="0" applyAlignment="1" applyBorder="1" applyFont="1">
      <alignment horizontal="left"/>
    </xf>
    <xf borderId="0" fillId="2" fontId="19" numFmtId="0" xfId="0" applyAlignment="1" applyFont="1">
      <alignment horizontal="center"/>
    </xf>
    <xf borderId="10" fillId="2" fontId="19" numFmtId="0" xfId="0" applyAlignment="1" applyBorder="1" applyFont="1">
      <alignment horizontal="left"/>
    </xf>
    <xf borderId="0" fillId="6" fontId="19" numFmtId="0" xfId="0" applyAlignment="1" applyFill="1" applyFont="1">
      <alignment horizontal="center" vertical="center"/>
    </xf>
    <xf borderId="11" fillId="0" fontId="20" numFmtId="0" xfId="0" applyAlignment="1" applyBorder="1" applyFont="1">
      <alignment horizontal="center" vertical="bottom"/>
    </xf>
    <xf borderId="12" fillId="0" fontId="20" numFmtId="0" xfId="0" applyAlignment="1" applyBorder="1" applyFont="1">
      <alignment horizontal="center" vertical="bottom"/>
    </xf>
    <xf borderId="10" fillId="2" fontId="21" numFmtId="0" xfId="0" applyBorder="1" applyFont="1"/>
    <xf borderId="13" fillId="0" fontId="20" numFmtId="0" xfId="0" applyAlignment="1" applyBorder="1" applyFont="1">
      <alignment horizontal="center"/>
    </xf>
    <xf borderId="0" fillId="0" fontId="20" numFmtId="0" xfId="0" applyAlignment="1" applyFont="1">
      <alignment horizontal="center"/>
    </xf>
    <xf borderId="0" fillId="0" fontId="22" numFmtId="0" xfId="0" applyAlignment="1" applyFont="1">
      <alignment horizontal="center"/>
    </xf>
    <xf borderId="0" fillId="2" fontId="1" numFmtId="0" xfId="0" applyAlignment="1" applyFont="1">
      <alignment horizontal="center"/>
    </xf>
    <xf borderId="0" fillId="0" fontId="22" numFmtId="0" xfId="0" applyAlignment="1" applyFont="1">
      <alignment horizontal="center" shrinkToFit="0" vertical="bottom" wrapText="0"/>
    </xf>
    <xf borderId="14" fillId="2" fontId="22" numFmtId="0" xfId="0" applyAlignment="1" applyBorder="1" applyFont="1">
      <alignment horizontal="center" vertical="bottom"/>
    </xf>
    <xf borderId="15" fillId="7" fontId="7" numFmtId="0" xfId="0" applyAlignment="1" applyBorder="1" applyFill="1" applyFont="1">
      <alignment horizontal="center"/>
    </xf>
    <xf borderId="11" fillId="7" fontId="23" numFmtId="0" xfId="0" applyAlignment="1" applyBorder="1" applyFont="1">
      <alignment horizontal="center" vertical="bottom"/>
    </xf>
    <xf borderId="11" fillId="7" fontId="23" numFmtId="164" xfId="0" applyAlignment="1" applyBorder="1" applyFont="1" applyNumberFormat="1">
      <alignment horizontal="center" vertical="bottom"/>
    </xf>
    <xf borderId="11" fillId="7" fontId="24" numFmtId="0" xfId="0" applyAlignment="1" applyBorder="1" applyFont="1">
      <alignment horizontal="center" vertical="bottom"/>
    </xf>
    <xf borderId="10" fillId="2" fontId="1" numFmtId="0" xfId="0" applyBorder="1" applyFont="1"/>
    <xf borderId="0" fillId="7" fontId="8" numFmtId="0" xfId="0" applyAlignment="1" applyFont="1">
      <alignment horizontal="center"/>
    </xf>
    <xf borderId="16" fillId="8" fontId="25" numFmtId="0" xfId="0" applyAlignment="1" applyBorder="1" applyFill="1" applyFont="1">
      <alignment horizontal="center"/>
    </xf>
    <xf borderId="17" fillId="9" fontId="5" numFmtId="0" xfId="0" applyAlignment="1" applyBorder="1" applyFill="1" applyFont="1">
      <alignment horizontal="center"/>
    </xf>
    <xf borderId="0" fillId="2" fontId="26" numFmtId="0" xfId="0" applyFont="1"/>
    <xf borderId="18" fillId="10" fontId="5" numFmtId="0" xfId="0" applyAlignment="1" applyBorder="1" applyFill="1" applyFont="1">
      <alignment horizontal="center" shrinkToFit="0" vertical="center" wrapText="0"/>
    </xf>
    <xf borderId="17" fillId="10" fontId="5" numFmtId="3" xfId="0" applyAlignment="1" applyBorder="1" applyFont="1" applyNumberFormat="1">
      <alignment shrinkToFit="0" vertical="center" wrapText="0"/>
    </xf>
    <xf borderId="19" fillId="10" fontId="5" numFmtId="3" xfId="0" applyAlignment="1" applyBorder="1" applyFont="1" applyNumberFormat="1">
      <alignment shrinkToFit="0" vertical="center" wrapText="0"/>
    </xf>
    <xf borderId="20" fillId="10" fontId="5" numFmtId="3" xfId="0" applyAlignment="1" applyBorder="1" applyFont="1" applyNumberFormat="1">
      <alignment shrinkToFit="0" vertical="center" wrapText="0"/>
    </xf>
    <xf borderId="21" fillId="2" fontId="5" numFmtId="3" xfId="0" applyAlignment="1" applyBorder="1" applyFont="1" applyNumberFormat="1">
      <alignment horizontal="center"/>
    </xf>
    <xf borderId="18" fillId="11" fontId="5" numFmtId="0" xfId="0" applyAlignment="1" applyBorder="1" applyFill="1" applyFont="1">
      <alignment horizontal="center" shrinkToFit="0" vertical="center" wrapText="0"/>
    </xf>
    <xf borderId="17" fillId="11" fontId="5" numFmtId="3" xfId="0" applyAlignment="1" applyBorder="1" applyFont="1" applyNumberFormat="1">
      <alignment shrinkToFit="0" vertical="center" wrapText="0"/>
    </xf>
    <xf borderId="19" fillId="11" fontId="5" numFmtId="3" xfId="0" applyAlignment="1" applyBorder="1" applyFont="1" applyNumberFormat="1">
      <alignment shrinkToFit="0" vertical="center" wrapText="0"/>
    </xf>
    <xf borderId="20" fillId="11" fontId="5" numFmtId="3" xfId="0" applyAlignment="1" applyBorder="1" applyFont="1" applyNumberFormat="1">
      <alignment shrinkToFit="0" vertical="center" wrapText="0"/>
    </xf>
    <xf borderId="7" fillId="7" fontId="7" numFmtId="49" xfId="0" applyAlignment="1" applyBorder="1" applyFont="1" applyNumberFormat="1">
      <alignment horizontal="center" vertical="bottom"/>
    </xf>
    <xf borderId="11" fillId="7" fontId="24" numFmtId="164" xfId="0" applyAlignment="1" applyBorder="1" applyFont="1" applyNumberFormat="1">
      <alignment horizontal="center" vertical="bottom"/>
    </xf>
    <xf borderId="15" fillId="7" fontId="5" numFmtId="0" xfId="0" applyAlignment="1" applyBorder="1" applyFont="1">
      <alignment horizontal="center"/>
    </xf>
    <xf borderId="16" fillId="12" fontId="5" numFmtId="0" xfId="0" applyAlignment="1" applyBorder="1" applyFill="1" applyFont="1">
      <alignment horizontal="center" shrinkToFit="0" vertical="center" wrapText="0"/>
    </xf>
    <xf borderId="15" fillId="12" fontId="5" numFmtId="3" xfId="0" applyAlignment="1" applyBorder="1" applyFont="1" applyNumberFormat="1">
      <alignment shrinkToFit="0" vertical="center" wrapText="0"/>
    </xf>
    <xf borderId="0" fillId="12" fontId="5" numFmtId="3" xfId="0" applyAlignment="1" applyFont="1" applyNumberFormat="1">
      <alignment shrinkToFit="0" vertical="center" wrapText="0"/>
    </xf>
    <xf borderId="21" fillId="12" fontId="5" numFmtId="3" xfId="0" applyAlignment="1" applyBorder="1" applyFont="1" applyNumberFormat="1">
      <alignment shrinkToFit="0" vertical="center" wrapText="0"/>
    </xf>
    <xf borderId="21" fillId="2" fontId="27" numFmtId="3" xfId="0" applyAlignment="1" applyBorder="1" applyFont="1" applyNumberFormat="1">
      <alignment horizontal="center"/>
    </xf>
    <xf borderId="15" fillId="13" fontId="7" numFmtId="0" xfId="0" applyAlignment="1" applyBorder="1" applyFill="1" applyFont="1">
      <alignment horizontal="center"/>
    </xf>
    <xf borderId="22" fillId="13" fontId="1" numFmtId="0" xfId="0" applyAlignment="1" applyBorder="1" applyFont="1">
      <alignment horizontal="center" vertical="bottom"/>
    </xf>
    <xf borderId="22" fillId="13" fontId="1" numFmtId="164" xfId="0" applyAlignment="1" applyBorder="1" applyFont="1" applyNumberFormat="1">
      <alignment horizontal="center" vertical="bottom"/>
    </xf>
    <xf borderId="11" fillId="13" fontId="5" numFmtId="0" xfId="0" applyAlignment="1" applyBorder="1" applyFont="1">
      <alignment horizontal="center" vertical="bottom"/>
    </xf>
    <xf borderId="0" fillId="13" fontId="24" numFmtId="0" xfId="0" applyAlignment="1" applyFont="1">
      <alignment horizontal="center"/>
    </xf>
    <xf borderId="15" fillId="13" fontId="5" numFmtId="0" xfId="0" applyAlignment="1" applyBorder="1" applyFont="1">
      <alignment horizontal="center"/>
    </xf>
    <xf borderId="16" fillId="14" fontId="5" numFmtId="0" xfId="0" applyAlignment="1" applyBorder="1" applyFill="1" applyFont="1">
      <alignment horizontal="center" shrinkToFit="0" vertical="center" wrapText="0"/>
    </xf>
    <xf borderId="15" fillId="14" fontId="5" numFmtId="3" xfId="0" applyAlignment="1" applyBorder="1" applyFont="1" applyNumberFormat="1">
      <alignment shrinkToFit="0" vertical="center" wrapText="0"/>
    </xf>
    <xf borderId="0" fillId="14" fontId="5" numFmtId="3" xfId="0" applyAlignment="1" applyFont="1" applyNumberFormat="1">
      <alignment shrinkToFit="0" vertical="center" wrapText="0"/>
    </xf>
    <xf borderId="21" fillId="14" fontId="5" numFmtId="3" xfId="0" applyAlignment="1" applyBorder="1" applyFont="1" applyNumberFormat="1">
      <alignment shrinkToFit="0" vertical="center" wrapText="0"/>
    </xf>
    <xf borderId="16" fillId="15" fontId="5" numFmtId="0" xfId="0" applyAlignment="1" applyBorder="1" applyFill="1" applyFont="1">
      <alignment horizontal="center" shrinkToFit="0" vertical="center" wrapText="0"/>
    </xf>
    <xf borderId="15" fillId="15" fontId="5" numFmtId="3" xfId="0" applyAlignment="1" applyBorder="1" applyFont="1" applyNumberFormat="1">
      <alignment shrinkToFit="0" vertical="center" wrapText="0"/>
    </xf>
    <xf borderId="0" fillId="15" fontId="5" numFmtId="3" xfId="0" applyAlignment="1" applyFont="1" applyNumberFormat="1">
      <alignment shrinkToFit="0" vertical="center" wrapText="0"/>
    </xf>
    <xf borderId="21" fillId="15" fontId="5" numFmtId="3" xfId="0" applyAlignment="1" applyBorder="1" applyFont="1" applyNumberFormat="1">
      <alignment shrinkToFit="0" vertical="center" wrapText="0"/>
    </xf>
    <xf borderId="7" fillId="13" fontId="7" numFmtId="49" xfId="0" applyAlignment="1" applyBorder="1" applyFont="1" applyNumberFormat="1">
      <alignment horizontal="center" vertical="bottom"/>
    </xf>
    <xf borderId="11" fillId="13" fontId="23" numFmtId="0" xfId="0" applyAlignment="1" applyBorder="1" applyFont="1">
      <alignment horizontal="center" vertical="bottom"/>
    </xf>
    <xf borderId="23" fillId="13" fontId="23" numFmtId="164" xfId="0" applyAlignment="1" applyBorder="1" applyFont="1" applyNumberFormat="1">
      <alignment horizontal="center" vertical="bottom"/>
    </xf>
    <xf borderId="23" fillId="13" fontId="24" numFmtId="0" xfId="0" applyAlignment="1" applyBorder="1" applyFont="1">
      <alignment horizontal="center" vertical="bottom"/>
    </xf>
    <xf borderId="24" fillId="2" fontId="1" numFmtId="0" xfId="0" applyBorder="1" applyFont="1"/>
    <xf borderId="25" fillId="13" fontId="1" numFmtId="0" xfId="0" applyAlignment="1" applyBorder="1" applyFont="1">
      <alignment horizontal="center"/>
    </xf>
    <xf borderId="0" fillId="13" fontId="1" numFmtId="0" xfId="0" applyAlignment="1" applyFont="1">
      <alignment horizontal="center"/>
    </xf>
    <xf borderId="15" fillId="16" fontId="5" numFmtId="0" xfId="0" applyAlignment="1" applyBorder="1" applyFill="1" applyFont="1">
      <alignment horizontal="center"/>
    </xf>
    <xf borderId="26" fillId="15" fontId="5" numFmtId="0" xfId="0" applyAlignment="1" applyBorder="1" applyFont="1">
      <alignment horizontal="center" shrinkToFit="0" vertical="center" wrapText="0"/>
    </xf>
    <xf borderId="27" fillId="15" fontId="5" numFmtId="3" xfId="0" applyAlignment="1" applyBorder="1" applyFont="1" applyNumberFormat="1">
      <alignment shrinkToFit="0" vertical="center" wrapText="0"/>
    </xf>
    <xf borderId="28" fillId="15" fontId="5" numFmtId="3" xfId="0" applyAlignment="1" applyBorder="1" applyFont="1" applyNumberFormat="1">
      <alignment shrinkToFit="0" vertical="center" wrapText="0"/>
    </xf>
    <xf borderId="29" fillId="15" fontId="5" numFmtId="3" xfId="0" applyAlignment="1" applyBorder="1" applyFont="1" applyNumberFormat="1">
      <alignment shrinkToFit="0" vertical="center" wrapText="0"/>
    </xf>
    <xf borderId="29" fillId="2" fontId="5" numFmtId="3" xfId="0" applyAlignment="1" applyBorder="1" applyFont="1" applyNumberFormat="1">
      <alignment horizontal="center"/>
    </xf>
    <xf borderId="26" fillId="14" fontId="5" numFmtId="0" xfId="0" applyAlignment="1" applyBorder="1" applyFont="1">
      <alignment horizontal="center" shrinkToFit="0" vertical="center" wrapText="0"/>
    </xf>
    <xf borderId="27" fillId="14" fontId="5" numFmtId="3" xfId="0" applyAlignment="1" applyBorder="1" applyFont="1" applyNumberFormat="1">
      <alignment shrinkToFit="0" vertical="center" wrapText="0"/>
    </xf>
    <xf borderId="28" fillId="14" fontId="5" numFmtId="3" xfId="0" applyAlignment="1" applyBorder="1" applyFont="1" applyNumberFormat="1">
      <alignment shrinkToFit="0" vertical="center" wrapText="0"/>
    </xf>
    <xf borderId="29" fillId="14" fontId="5" numFmtId="3" xfId="0" applyAlignment="1" applyBorder="1" applyFont="1" applyNumberFormat="1">
      <alignment shrinkToFit="0" vertical="center" wrapText="0"/>
    </xf>
    <xf borderId="15" fillId="16" fontId="7" numFmtId="0" xfId="0" applyAlignment="1" applyBorder="1" applyFont="1">
      <alignment horizontal="center"/>
    </xf>
    <xf borderId="22" fillId="16" fontId="23" numFmtId="0" xfId="0" applyAlignment="1" applyBorder="1" applyFont="1">
      <alignment horizontal="center" vertical="bottom"/>
    </xf>
    <xf borderId="11" fillId="16" fontId="23" numFmtId="164" xfId="0" applyAlignment="1" applyBorder="1" applyFont="1" applyNumberFormat="1">
      <alignment horizontal="center" vertical="bottom"/>
    </xf>
    <xf borderId="11" fillId="16" fontId="24" numFmtId="0" xfId="0" applyAlignment="1" applyBorder="1" applyFont="1">
      <alignment horizontal="center" vertical="bottom"/>
    </xf>
    <xf borderId="0" fillId="16" fontId="1" numFmtId="0" xfId="0" applyAlignment="1" applyFont="1">
      <alignment horizontal="center"/>
    </xf>
    <xf borderId="15" fillId="17" fontId="5" numFmtId="0" xfId="0" applyAlignment="1" applyBorder="1" applyFill="1" applyFont="1">
      <alignment horizontal="center"/>
    </xf>
    <xf borderId="30" fillId="11" fontId="5" numFmtId="0" xfId="0" applyAlignment="1" applyBorder="1" applyFont="1">
      <alignment horizontal="center" shrinkToFit="0" vertical="center" wrapText="0"/>
    </xf>
    <xf borderId="31" fillId="11" fontId="5" numFmtId="3" xfId="0" applyAlignment="1" applyBorder="1" applyFont="1" applyNumberFormat="1">
      <alignment shrinkToFit="0" vertical="center" wrapText="0"/>
    </xf>
    <xf borderId="32" fillId="11" fontId="5" numFmtId="3" xfId="0" applyAlignment="1" applyBorder="1" applyFont="1" applyNumberFormat="1">
      <alignment shrinkToFit="0" vertical="center" wrapText="0"/>
    </xf>
    <xf borderId="33" fillId="11" fontId="5" numFmtId="3" xfId="0" applyAlignment="1" applyBorder="1" applyFont="1" applyNumberFormat="1">
      <alignment shrinkToFit="0" vertical="center" wrapText="0"/>
    </xf>
    <xf borderId="9" fillId="2" fontId="27" numFmtId="3" xfId="0" applyAlignment="1" applyBorder="1" applyFont="1" applyNumberFormat="1">
      <alignment horizontal="center"/>
    </xf>
    <xf borderId="16" fillId="16" fontId="5" numFmtId="0" xfId="0" applyAlignment="1" applyBorder="1" applyFont="1">
      <alignment horizontal="center" shrinkToFit="0" vertical="center" wrapText="0"/>
    </xf>
    <xf borderId="15" fillId="16" fontId="5" numFmtId="3" xfId="0" applyAlignment="1" applyBorder="1" applyFont="1" applyNumberFormat="1">
      <alignment shrinkToFit="0" vertical="center" wrapText="0"/>
    </xf>
    <xf borderId="3" fillId="16" fontId="5" numFmtId="3" xfId="0" applyAlignment="1" applyBorder="1" applyFont="1" applyNumberFormat="1">
      <alignment shrinkToFit="0" vertical="center" wrapText="0"/>
    </xf>
    <xf borderId="21" fillId="16" fontId="5" numFmtId="3" xfId="0" applyAlignment="1" applyBorder="1" applyFont="1" applyNumberFormat="1">
      <alignment shrinkToFit="0" vertical="center" wrapText="0"/>
    </xf>
    <xf borderId="7" fillId="16" fontId="7" numFmtId="49" xfId="0" applyAlignment="1" applyBorder="1" applyFont="1" applyNumberFormat="1">
      <alignment horizontal="center" vertical="bottom"/>
    </xf>
    <xf borderId="11" fillId="16" fontId="1" numFmtId="0" xfId="0" applyAlignment="1" applyBorder="1" applyFont="1">
      <alignment horizontal="center" vertical="bottom"/>
    </xf>
    <xf borderId="11" fillId="16" fontId="1" numFmtId="164" xfId="0" applyAlignment="1" applyBorder="1" applyFont="1" applyNumberFormat="1">
      <alignment horizontal="center" vertical="bottom"/>
    </xf>
    <xf borderId="11" fillId="16" fontId="5" numFmtId="0" xfId="0" applyAlignment="1" applyBorder="1" applyFont="1">
      <alignment horizontal="center" vertical="bottom"/>
    </xf>
    <xf borderId="15" fillId="18" fontId="5" numFmtId="0" xfId="0" applyAlignment="1" applyBorder="1" applyFill="1" applyFont="1">
      <alignment horizontal="center"/>
    </xf>
    <xf borderId="16" fillId="17" fontId="5" numFmtId="0" xfId="0" applyAlignment="1" applyBorder="1" applyFont="1">
      <alignment horizontal="center" shrinkToFit="0" vertical="center" wrapText="0"/>
    </xf>
    <xf borderId="15" fillId="17" fontId="5" numFmtId="3" xfId="0" applyAlignment="1" applyBorder="1" applyFont="1" applyNumberFormat="1">
      <alignment shrinkToFit="0" vertical="center" wrapText="0"/>
    </xf>
    <xf borderId="3" fillId="17" fontId="5" numFmtId="3" xfId="0" applyAlignment="1" applyBorder="1" applyFont="1" applyNumberFormat="1">
      <alignment shrinkToFit="0" vertical="center" wrapText="0"/>
    </xf>
    <xf borderId="11" fillId="17" fontId="5" numFmtId="3" xfId="0" applyAlignment="1" applyBorder="1" applyFont="1" applyNumberFormat="1">
      <alignment shrinkToFit="0" vertical="center" wrapText="0"/>
    </xf>
    <xf borderId="10" fillId="2" fontId="5" numFmtId="3" xfId="0" applyAlignment="1" applyBorder="1" applyFont="1" applyNumberFormat="1">
      <alignment horizontal="center"/>
    </xf>
    <xf borderId="0" fillId="17" fontId="5" numFmtId="0" xfId="0" applyAlignment="1" applyFont="1">
      <alignment horizontal="center" shrinkToFit="0" vertical="center" wrapText="0"/>
    </xf>
    <xf borderId="0" fillId="17" fontId="5" numFmtId="3" xfId="0" applyAlignment="1" applyFont="1" applyNumberFormat="1">
      <alignment shrinkToFit="0" vertical="center" wrapText="0"/>
    </xf>
    <xf borderId="15" fillId="17" fontId="7" numFmtId="0" xfId="0" applyAlignment="1" applyBorder="1" applyFont="1">
      <alignment horizontal="center"/>
    </xf>
    <xf borderId="34" fillId="17" fontId="28" numFmtId="0" xfId="0" applyAlignment="1" applyBorder="1" applyFont="1">
      <alignment horizontal="center" vertical="bottom"/>
    </xf>
    <xf borderId="34" fillId="17" fontId="28" numFmtId="164" xfId="0" applyAlignment="1" applyBorder="1" applyFont="1" applyNumberFormat="1">
      <alignment horizontal="center" vertical="bottom"/>
    </xf>
    <xf borderId="11" fillId="17" fontId="24" numFmtId="0" xfId="0" applyAlignment="1" applyBorder="1" applyFont="1">
      <alignment horizontal="center" vertical="bottom"/>
    </xf>
    <xf borderId="10" fillId="2" fontId="8" numFmtId="0" xfId="0" applyBorder="1" applyFont="1"/>
    <xf borderId="0" fillId="17" fontId="24" numFmtId="0" xfId="0" applyAlignment="1" applyFont="1">
      <alignment horizontal="center"/>
    </xf>
    <xf borderId="16" fillId="8" fontId="7" numFmtId="0" xfId="0" applyAlignment="1" applyBorder="1" applyFont="1">
      <alignment horizontal="center"/>
    </xf>
    <xf borderId="35" fillId="3" fontId="5" numFmtId="0" xfId="0" applyAlignment="1" applyBorder="1" applyFont="1">
      <alignment horizontal="center"/>
    </xf>
    <xf borderId="26" fillId="16" fontId="5" numFmtId="0" xfId="0" applyAlignment="1" applyBorder="1" applyFont="1">
      <alignment horizontal="center" shrinkToFit="0" vertical="center" wrapText="0"/>
    </xf>
    <xf borderId="27" fillId="16" fontId="5" numFmtId="3" xfId="0" applyAlignment="1" applyBorder="1" applyFont="1" applyNumberFormat="1">
      <alignment shrinkToFit="0" vertical="center" wrapText="0"/>
    </xf>
    <xf borderId="36" fillId="16" fontId="5" numFmtId="3" xfId="0" applyAlignment="1" applyBorder="1" applyFont="1" applyNumberFormat="1">
      <alignment shrinkToFit="0" vertical="center" wrapText="0"/>
    </xf>
    <xf borderId="12" fillId="16" fontId="5" numFmtId="3" xfId="0" applyAlignment="1" applyBorder="1" applyFont="1" applyNumberFormat="1">
      <alignment shrinkToFit="0" vertical="center" wrapText="0"/>
    </xf>
    <xf borderId="37" fillId="2" fontId="5" numFmtId="3" xfId="0" applyAlignment="1" applyBorder="1" applyFont="1" applyNumberFormat="1">
      <alignment horizontal="center"/>
    </xf>
    <xf borderId="0" fillId="10" fontId="5" numFmtId="0" xfId="0" applyAlignment="1" applyFont="1">
      <alignment horizontal="center" shrinkToFit="0" vertical="center" wrapText="0"/>
    </xf>
    <xf borderId="35" fillId="10" fontId="5" numFmtId="3" xfId="0" applyAlignment="1" applyBorder="1" applyFont="1" applyNumberFormat="1">
      <alignment shrinkToFit="0" vertical="center" wrapText="0"/>
    </xf>
    <xf borderId="3" fillId="10" fontId="5" numFmtId="3" xfId="0" applyAlignment="1" applyBorder="1" applyFont="1" applyNumberFormat="1">
      <alignment shrinkToFit="0" vertical="center" wrapText="0"/>
    </xf>
    <xf borderId="0" fillId="11" fontId="5" numFmtId="3" xfId="0" applyAlignment="1" applyFont="1" applyNumberFormat="1">
      <alignment shrinkToFit="0" vertical="center" wrapText="0"/>
    </xf>
    <xf borderId="15" fillId="18" fontId="7" numFmtId="0" xfId="0" applyAlignment="1" applyBorder="1" applyFont="1">
      <alignment horizontal="center"/>
    </xf>
    <xf borderId="11" fillId="18" fontId="23" numFmtId="0" xfId="0" applyAlignment="1" applyBorder="1" applyFont="1">
      <alignment horizontal="center" vertical="bottom"/>
    </xf>
    <xf borderId="11" fillId="18" fontId="23" numFmtId="164" xfId="0" applyAlignment="1" applyBorder="1" applyFont="1" applyNumberFormat="1">
      <alignment horizontal="center" vertical="bottom"/>
    </xf>
    <xf borderId="11" fillId="18" fontId="5" numFmtId="0" xfId="0" applyAlignment="1" applyBorder="1" applyFont="1">
      <alignment horizontal="center" vertical="bottom"/>
    </xf>
    <xf borderId="0" fillId="18" fontId="1" numFmtId="0" xfId="0" applyAlignment="1" applyFont="1">
      <alignment horizontal="center"/>
    </xf>
    <xf borderId="0" fillId="19" fontId="29" numFmtId="0" xfId="0" applyAlignment="1" applyFill="1" applyFont="1">
      <alignment horizontal="center" shrinkToFit="0" wrapText="0"/>
    </xf>
    <xf borderId="0" fillId="2" fontId="5" numFmtId="0" xfId="0" applyAlignment="1" applyFont="1">
      <alignment horizontal="center"/>
    </xf>
    <xf borderId="0" fillId="2" fontId="5" numFmtId="3" xfId="0" applyAlignment="1" applyFont="1" applyNumberFormat="1">
      <alignment horizontal="center"/>
    </xf>
    <xf borderId="35" fillId="3" fontId="7" numFmtId="0" xfId="0" applyAlignment="1" applyBorder="1" applyFont="1">
      <alignment horizontal="center"/>
    </xf>
    <xf borderId="11" fillId="3" fontId="30" numFmtId="0" xfId="0" applyAlignment="1" applyBorder="1" applyFont="1">
      <alignment horizontal="center" vertical="bottom"/>
    </xf>
    <xf borderId="11" fillId="3" fontId="30" numFmtId="164" xfId="0" applyAlignment="1" applyBorder="1" applyFont="1" applyNumberFormat="1">
      <alignment horizontal="center" vertical="bottom"/>
    </xf>
    <xf borderId="0" fillId="3" fontId="8" numFmtId="0" xfId="0" applyAlignment="1" applyFont="1">
      <alignment horizontal="center"/>
    </xf>
    <xf borderId="0" fillId="19" fontId="30" numFmtId="0" xfId="0" applyAlignment="1" applyFont="1">
      <alignment horizontal="center" shrinkToFit="0" wrapText="0"/>
    </xf>
    <xf borderId="19" fillId="2" fontId="26" numFmtId="0" xfId="0" applyBorder="1" applyFont="1"/>
    <xf borderId="16" fillId="2" fontId="5" numFmtId="0" xfId="0" applyAlignment="1" applyBorder="1" applyFont="1">
      <alignment horizontal="center"/>
    </xf>
    <xf borderId="7" fillId="0" fontId="31" numFmtId="0" xfId="0" applyAlignment="1" applyBorder="1" applyFont="1">
      <alignment horizontal="center" vertical="bottom"/>
    </xf>
    <xf borderId="38" fillId="0" fontId="31" numFmtId="0" xfId="0" applyAlignment="1" applyBorder="1" applyFont="1">
      <alignment horizontal="center" vertical="bottom"/>
    </xf>
    <xf borderId="11" fillId="0" fontId="22" numFmtId="0" xfId="0" applyAlignment="1" applyBorder="1" applyFont="1">
      <alignment horizontal="center" vertical="bottom"/>
    </xf>
    <xf borderId="13" fillId="0" fontId="31" numFmtId="0" xfId="0" applyAlignment="1" applyBorder="1" applyFont="1">
      <alignment horizontal="center"/>
    </xf>
    <xf borderId="16" fillId="0" fontId="31" numFmtId="0" xfId="0" applyAlignment="1" applyBorder="1" applyFont="1">
      <alignment horizontal="center"/>
    </xf>
    <xf borderId="0" fillId="2" fontId="30" numFmtId="0" xfId="0" applyAlignment="1" applyFont="1">
      <alignment horizontal="center" shrinkToFit="0" wrapText="0"/>
    </xf>
    <xf borderId="0" fillId="2" fontId="1" numFmtId="3" xfId="0" applyFont="1" applyNumberFormat="1"/>
    <xf borderId="11" fillId="2" fontId="1" numFmtId="0" xfId="0" applyAlignment="1" applyBorder="1" applyFont="1">
      <alignment horizontal="center"/>
    </xf>
    <xf borderId="17" fillId="9" fontId="7" numFmtId="0" xfId="0" applyAlignment="1" applyBorder="1" applyFont="1">
      <alignment horizontal="center"/>
    </xf>
    <xf borderId="11" fillId="9" fontId="30" numFmtId="0" xfId="0" applyAlignment="1" applyBorder="1" applyFont="1">
      <alignment horizontal="center" vertical="bottom"/>
    </xf>
    <xf borderId="11" fillId="9" fontId="29" numFmtId="164" xfId="0" applyAlignment="1" applyBorder="1" applyFont="1" applyNumberFormat="1">
      <alignment horizontal="center" vertical="bottom"/>
    </xf>
    <xf borderId="11" fillId="9" fontId="29" numFmtId="0" xfId="0" applyAlignment="1" applyBorder="1" applyFont="1">
      <alignment horizontal="center" vertical="bottom"/>
    </xf>
    <xf borderId="10" fillId="9" fontId="1" numFmtId="0" xfId="0" applyAlignment="1" applyBorder="1" applyFont="1">
      <alignment horizontal="center"/>
    </xf>
    <xf borderId="16" fillId="9" fontId="1" numFmtId="0" xfId="0" applyAlignment="1" applyBorder="1" applyFont="1">
      <alignment horizontal="center"/>
    </xf>
    <xf borderId="10" fillId="2" fontId="1" numFmtId="0" xfId="0" applyAlignment="1" applyBorder="1" applyFont="1">
      <alignment horizontal="center"/>
    </xf>
    <xf borderId="7" fillId="9" fontId="7" numFmtId="49" xfId="0" applyAlignment="1" applyBorder="1" applyFont="1" applyNumberFormat="1">
      <alignment horizontal="center" vertical="bottom"/>
    </xf>
    <xf borderId="11" fillId="9" fontId="1" numFmtId="0" xfId="0" applyAlignment="1" applyBorder="1" applyFont="1">
      <alignment horizontal="center" vertical="bottom"/>
    </xf>
    <xf borderId="11" fillId="9" fontId="5" numFmtId="0" xfId="0" applyAlignment="1" applyBorder="1" applyFont="1">
      <alignment horizontal="center" vertical="bottom"/>
    </xf>
    <xf borderId="0" fillId="9" fontId="1" numFmtId="0" xfId="0" applyAlignment="1" applyFont="1">
      <alignment horizontal="center"/>
    </xf>
    <xf borderId="11" fillId="7" fontId="23" numFmtId="0" xfId="0" applyAlignment="1" applyBorder="1" applyFont="1">
      <alignment horizontal="center"/>
    </xf>
    <xf borderId="0" fillId="7" fontId="32" numFmtId="49" xfId="0" applyAlignment="1" applyFont="1" applyNumberFormat="1">
      <alignment horizontal="center" vertical="bottom"/>
    </xf>
    <xf borderId="10" fillId="7" fontId="25" numFmtId="49" xfId="0" applyAlignment="1" applyBorder="1" applyFont="1" applyNumberFormat="1">
      <alignment horizontal="center" vertical="bottom"/>
    </xf>
    <xf borderId="11" fillId="2" fontId="1" numFmtId="0" xfId="0" applyBorder="1" applyFont="1"/>
    <xf borderId="0" fillId="7" fontId="30" numFmtId="0" xfId="0" applyAlignment="1" applyFont="1">
      <alignment horizontal="center"/>
    </xf>
    <xf borderId="16" fillId="7" fontId="30" numFmtId="164" xfId="0" applyAlignment="1" applyBorder="1" applyFont="1" applyNumberFormat="1">
      <alignment horizontal="center"/>
    </xf>
    <xf borderId="16" fillId="7" fontId="30" numFmtId="0" xfId="0" applyAlignment="1" applyBorder="1" applyFont="1">
      <alignment horizontal="center"/>
    </xf>
    <xf borderId="0" fillId="7" fontId="24" numFmtId="0" xfId="0" applyAlignment="1" applyFont="1">
      <alignment horizontal="center"/>
    </xf>
    <xf borderId="16" fillId="7" fontId="24" numFmtId="164" xfId="0" applyAlignment="1" applyBorder="1" applyFont="1" applyNumberFormat="1">
      <alignment horizontal="center"/>
    </xf>
    <xf borderId="16" fillId="7" fontId="24" numFmtId="0" xfId="0" applyAlignment="1" applyBorder="1" applyFont="1">
      <alignment horizontal="center"/>
    </xf>
    <xf borderId="0" fillId="7" fontId="33" numFmtId="0" xfId="0" applyAlignment="1" applyFont="1">
      <alignment horizontal="center"/>
    </xf>
    <xf borderId="16" fillId="7" fontId="33" numFmtId="164" xfId="0" applyAlignment="1" applyBorder="1" applyFont="1" applyNumberFormat="1">
      <alignment horizontal="center"/>
    </xf>
    <xf borderId="16" fillId="7" fontId="18" numFmtId="0" xfId="0" applyAlignment="1" applyBorder="1" applyFont="1">
      <alignment horizontal="center"/>
    </xf>
    <xf borderId="16" fillId="7" fontId="23" numFmtId="164" xfId="0" applyAlignment="1" applyBorder="1" applyFont="1" applyNumberFormat="1">
      <alignment horizontal="center"/>
    </xf>
    <xf borderId="16" fillId="2" fontId="5" numFmtId="0" xfId="0" applyAlignment="1" applyBorder="1" applyFont="1">
      <alignment horizontal="center" vertical="center"/>
    </xf>
    <xf borderId="0" fillId="2" fontId="5" numFmtId="3" xfId="0" applyAlignment="1" applyFont="1" applyNumberFormat="1">
      <alignment horizontal="center" vertical="center"/>
    </xf>
    <xf borderId="11" fillId="2" fontId="5" numFmtId="3" xfId="0" applyAlignment="1" applyBorder="1" applyFont="1" applyNumberFormat="1">
      <alignment horizontal="center" vertical="center"/>
    </xf>
    <xf borderId="10" fillId="7" fontId="23" numFmtId="164" xfId="0" applyAlignment="1" applyBorder="1" applyFont="1" applyNumberFormat="1">
      <alignment horizontal="center" vertical="bottom"/>
    </xf>
    <xf borderId="10" fillId="7" fontId="24" numFmtId="0" xfId="0" applyAlignment="1" applyBorder="1" applyFont="1">
      <alignment horizontal="center" vertical="bottom"/>
    </xf>
    <xf borderId="0" fillId="2" fontId="5" numFmtId="0" xfId="0" applyAlignment="1" applyFont="1">
      <alignment horizontal="center" vertical="center"/>
    </xf>
    <xf borderId="22" fillId="13" fontId="28" numFmtId="0" xfId="0" applyAlignment="1" applyBorder="1" applyFont="1">
      <alignment horizontal="center" vertical="bottom"/>
    </xf>
    <xf borderId="22" fillId="13" fontId="28" numFmtId="164" xfId="0" applyAlignment="1" applyBorder="1" applyFont="1" applyNumberFormat="1">
      <alignment horizontal="center" vertical="bottom"/>
    </xf>
    <xf borderId="11" fillId="13" fontId="24" numFmtId="0" xfId="0" applyAlignment="1" applyBorder="1" applyFont="1">
      <alignment horizontal="center" vertical="bottom"/>
    </xf>
    <xf borderId="23" fillId="13" fontId="1" numFmtId="0" xfId="0" applyAlignment="1" applyBorder="1" applyFont="1">
      <alignment horizontal="center" vertical="bottom"/>
    </xf>
    <xf borderId="23" fillId="13" fontId="5" numFmtId="0" xfId="0" applyAlignment="1" applyBorder="1" applyFont="1">
      <alignment horizontal="center" vertical="bottom"/>
    </xf>
    <xf borderId="11" fillId="16" fontId="23" numFmtId="0" xfId="0" applyAlignment="1" applyBorder="1" applyFont="1">
      <alignment horizontal="center" vertical="bottom"/>
    </xf>
    <xf borderId="11" fillId="16" fontId="23" numFmtId="49" xfId="0" applyAlignment="1" applyBorder="1" applyFont="1" applyNumberFormat="1">
      <alignment horizontal="center" vertical="bottom"/>
    </xf>
    <xf borderId="11" fillId="16" fontId="30" numFmtId="0" xfId="0" applyAlignment="1" applyBorder="1" applyFont="1">
      <alignment horizontal="center" vertical="bottom"/>
    </xf>
    <xf borderId="11" fillId="16" fontId="29" numFmtId="49" xfId="0" applyAlignment="1" applyBorder="1" applyFont="1" applyNumberFormat="1">
      <alignment horizontal="center" vertical="bottom"/>
    </xf>
    <xf borderId="11" fillId="16" fontId="29" numFmtId="0" xfId="0" applyAlignment="1" applyBorder="1" applyFont="1">
      <alignment horizontal="center" vertical="bottom"/>
    </xf>
    <xf borderId="0" fillId="2" fontId="34" numFmtId="0" xfId="0" applyAlignment="1" applyFont="1">
      <alignment horizontal="center" shrinkToFit="0" wrapText="1"/>
    </xf>
    <xf borderId="23" fillId="16" fontId="23" numFmtId="0" xfId="0" applyAlignment="1" applyBorder="1" applyFont="1">
      <alignment horizontal="center" vertical="bottom"/>
    </xf>
    <xf borderId="23" fillId="16" fontId="23" numFmtId="164" xfId="0" applyAlignment="1" applyBorder="1" applyFont="1" applyNumberFormat="1">
      <alignment horizontal="center" vertical="bottom"/>
    </xf>
    <xf borderId="23" fillId="16" fontId="24" numFmtId="0" xfId="0" applyAlignment="1" applyBorder="1" applyFont="1">
      <alignment horizontal="center" vertical="bottom"/>
    </xf>
    <xf borderId="25" fillId="16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5" fillId="2" fontId="1" numFmtId="0" xfId="0" applyBorder="1" applyFont="1"/>
    <xf borderId="25" fillId="2" fontId="5" numFmtId="0" xfId="0" applyAlignment="1" applyBorder="1" applyFont="1">
      <alignment horizontal="center" vertical="center"/>
    </xf>
    <xf borderId="25" fillId="2" fontId="5" numFmtId="3" xfId="0" applyAlignment="1" applyBorder="1" applyFont="1" applyNumberFormat="1">
      <alignment horizontal="center" vertical="center"/>
    </xf>
    <xf borderId="24" fillId="2" fontId="1" numFmtId="0" xfId="0" applyAlignment="1" applyBorder="1" applyFont="1">
      <alignment horizontal="center"/>
    </xf>
    <xf borderId="25" fillId="17" fontId="30" numFmtId="0" xfId="0" applyAlignment="1" applyBorder="1" applyFont="1">
      <alignment horizontal="center" vertical="bottom"/>
    </xf>
    <xf borderId="24" fillId="17" fontId="30" numFmtId="164" xfId="0" applyAlignment="1" applyBorder="1" applyFont="1" applyNumberFormat="1">
      <alignment horizontal="center" vertical="bottom"/>
    </xf>
    <xf borderId="11" fillId="17" fontId="29" numFmtId="0" xfId="0" applyAlignment="1" applyBorder="1" applyFont="1">
      <alignment horizontal="center" vertical="bottom"/>
    </xf>
    <xf borderId="10" fillId="2" fontId="23" numFmtId="0" xfId="0" applyBorder="1" applyFont="1"/>
    <xf borderId="7" fillId="17" fontId="7" numFmtId="49" xfId="0" applyAlignment="1" applyBorder="1" applyFont="1" applyNumberFormat="1">
      <alignment horizontal="center" vertical="bottom"/>
    </xf>
    <xf borderId="23" fillId="17" fontId="1" numFmtId="0" xfId="0" applyAlignment="1" applyBorder="1" applyFont="1">
      <alignment horizontal="center" vertical="bottom"/>
    </xf>
    <xf borderId="23" fillId="17" fontId="5" numFmtId="0" xfId="0" applyAlignment="1" applyBorder="1" applyFont="1">
      <alignment horizontal="center" vertical="bottom"/>
    </xf>
    <xf borderId="25" fillId="17" fontId="1" numFmtId="0" xfId="0" applyAlignment="1" applyBorder="1" applyFont="1">
      <alignment horizontal="center"/>
    </xf>
    <xf borderId="0" fillId="17" fontId="1" numFmtId="0" xfId="0" applyAlignment="1" applyFont="1">
      <alignment horizontal="center"/>
    </xf>
    <xf borderId="25" fillId="2" fontId="5" numFmtId="0" xfId="0" applyAlignment="1" applyBorder="1" applyFont="1">
      <alignment horizontal="center"/>
    </xf>
    <xf borderId="0" fillId="2" fontId="35" numFmtId="0" xfId="0" applyAlignment="1" applyFont="1">
      <alignment horizontal="center" vertical="center"/>
    </xf>
    <xf borderId="25" fillId="2" fontId="35" numFmtId="0" xfId="0" applyAlignment="1" applyBorder="1" applyFont="1">
      <alignment horizontal="center" vertical="center"/>
    </xf>
    <xf borderId="11" fillId="18" fontId="28" numFmtId="0" xfId="0" applyAlignment="1" applyBorder="1" applyFont="1">
      <alignment horizontal="center" vertical="bottom"/>
    </xf>
    <xf borderId="11" fillId="18" fontId="28" numFmtId="164" xfId="0" applyAlignment="1" applyBorder="1" applyFont="1" applyNumberFormat="1">
      <alignment horizontal="center" vertical="bottom"/>
    </xf>
    <xf borderId="11" fillId="18" fontId="24" numFmtId="0" xfId="0" applyAlignment="1" applyBorder="1" applyFont="1">
      <alignment horizontal="center" vertical="bottom"/>
    </xf>
    <xf borderId="0" fillId="18" fontId="5" numFmtId="0" xfId="0" applyAlignment="1" applyFont="1">
      <alignment horizontal="center"/>
    </xf>
    <xf borderId="0" fillId="2" fontId="36" numFmtId="0" xfId="0" applyAlignment="1" applyFont="1">
      <alignment horizontal="center"/>
    </xf>
    <xf borderId="7" fillId="18" fontId="7" numFmtId="49" xfId="0" applyAlignment="1" applyBorder="1" applyFont="1" applyNumberFormat="1">
      <alignment horizontal="center" vertical="bottom"/>
    </xf>
    <xf borderId="23" fillId="18" fontId="1" numFmtId="0" xfId="0" applyAlignment="1" applyBorder="1" applyFont="1">
      <alignment horizontal="center" vertical="bottom"/>
    </xf>
    <xf borderId="25" fillId="2" fontId="36" numFmtId="0" xfId="0" applyAlignment="1" applyBorder="1" applyFont="1">
      <alignment horizontal="center"/>
    </xf>
    <xf borderId="11" fillId="3" fontId="23" numFmtId="0" xfId="0" applyAlignment="1" applyBorder="1" applyFont="1">
      <alignment horizontal="center" vertical="bottom"/>
    </xf>
    <xf borderId="11" fillId="3" fontId="23" numFmtId="164" xfId="0" applyAlignment="1" applyBorder="1" applyFont="1" applyNumberFormat="1">
      <alignment horizontal="center" vertical="bottom"/>
    </xf>
    <xf borderId="11" fillId="3" fontId="24" numFmtId="0" xfId="0" applyAlignment="1" applyBorder="1" applyFont="1">
      <alignment horizontal="center" vertical="bottom"/>
    </xf>
    <xf borderId="0" fillId="3" fontId="5" numFmtId="0" xfId="0" applyAlignment="1" applyFont="1">
      <alignment horizontal="center"/>
    </xf>
    <xf borderId="7" fillId="3" fontId="7" numFmtId="49" xfId="0" applyAlignment="1" applyBorder="1" applyFont="1" applyNumberFormat="1">
      <alignment horizontal="center" vertical="bottom"/>
    </xf>
    <xf borderId="11" fillId="3" fontId="5" numFmtId="0" xfId="0" applyAlignment="1" applyBorder="1" applyFont="1">
      <alignment horizontal="center" vertical="bottom"/>
    </xf>
    <xf borderId="11" fillId="3" fontId="5" numFmtId="164" xfId="0" applyAlignment="1" applyBorder="1" applyFont="1" applyNumberFormat="1">
      <alignment horizontal="center" vertical="bottom"/>
    </xf>
    <xf borderId="0" fillId="2" fontId="37" numFmtId="0" xfId="0" applyAlignment="1" applyFont="1">
      <alignment horizontal="center" vertical="center"/>
    </xf>
    <xf borderId="0" fillId="2" fontId="38" numFmtId="0" xfId="0" applyAlignment="1" applyFont="1">
      <alignment horizontal="center"/>
    </xf>
    <xf borderId="0" fillId="2" fontId="39" numFmtId="0" xfId="0" applyAlignment="1" applyFont="1">
      <alignment horizontal="center" vertical="center"/>
    </xf>
    <xf borderId="11" fillId="9" fontId="30" numFmtId="164" xfId="0" applyAlignment="1" applyBorder="1" applyFont="1" applyNumberFormat="1">
      <alignment horizontal="center" vertical="bottom"/>
    </xf>
    <xf borderId="10" fillId="9" fontId="5" numFmtId="0" xfId="0" applyAlignment="1" applyBorder="1" applyFont="1">
      <alignment horizontal="center"/>
    </xf>
    <xf borderId="16" fillId="9" fontId="5" numFmtId="0" xfId="0" applyAlignment="1" applyBorder="1" applyFont="1">
      <alignment horizontal="center"/>
    </xf>
    <xf borderId="11" fillId="9" fontId="23" numFmtId="0" xfId="0" applyAlignment="1" applyBorder="1" applyFont="1">
      <alignment horizontal="center" vertical="bottom"/>
    </xf>
    <xf borderId="11" fillId="9" fontId="23" numFmtId="164" xfId="0" applyAlignment="1" applyBorder="1" applyFont="1" applyNumberFormat="1">
      <alignment horizontal="center" vertical="bottom"/>
    </xf>
    <xf borderId="11" fillId="9" fontId="24" numFmtId="0" xfId="0" applyAlignment="1" applyBorder="1" applyFont="1">
      <alignment horizontal="center" vertical="bottom"/>
    </xf>
    <xf borderId="22" fillId="7" fontId="30" numFmtId="0" xfId="0" applyAlignment="1" applyBorder="1" applyFont="1">
      <alignment horizontal="center" vertical="bottom"/>
    </xf>
    <xf borderId="22" fillId="7" fontId="30" numFmtId="164" xfId="0" applyAlignment="1" applyBorder="1" applyFont="1" applyNumberFormat="1">
      <alignment horizontal="center" vertical="bottom"/>
    </xf>
    <xf borderId="11" fillId="7" fontId="30" numFmtId="0" xfId="0" applyAlignment="1" applyBorder="1" applyFont="1">
      <alignment horizontal="center" vertical="bottom"/>
    </xf>
    <xf borderId="0" fillId="2" fontId="21" numFmtId="0" xfId="0" applyAlignment="1" applyFont="1">
      <alignment horizontal="center" vertical="center"/>
    </xf>
    <xf borderId="0" fillId="2" fontId="1" numFmtId="0" xfId="0" applyAlignment="1" applyFont="1">
      <alignment horizontal="center" vertical="center"/>
    </xf>
    <xf borderId="11" fillId="7" fontId="30" numFmtId="164" xfId="0" applyAlignment="1" applyBorder="1" applyFont="1" applyNumberFormat="1">
      <alignment horizontal="center" vertical="bottom"/>
    </xf>
    <xf borderId="0" fillId="7" fontId="25" numFmtId="0" xfId="0" applyAlignment="1" applyFont="1">
      <alignment horizontal="center"/>
    </xf>
    <xf borderId="15" fillId="7" fontId="7" numFmtId="49" xfId="0" applyAlignment="1" applyBorder="1" applyFont="1" applyNumberFormat="1">
      <alignment horizontal="center" vertical="bottom"/>
    </xf>
    <xf borderId="22" fillId="13" fontId="5" numFmtId="0" xfId="0" applyAlignment="1" applyBorder="1" applyFont="1">
      <alignment horizontal="center" vertical="bottom"/>
    </xf>
    <xf borderId="22" fillId="13" fontId="5" numFmtId="164" xfId="0" applyAlignment="1" applyBorder="1" applyFont="1" applyNumberFormat="1">
      <alignment horizontal="center" vertical="bottom"/>
    </xf>
    <xf borderId="11" fillId="13" fontId="5" numFmtId="164" xfId="0" applyAlignment="1" applyBorder="1" applyFont="1" applyNumberFormat="1">
      <alignment horizontal="center" vertical="bottom"/>
    </xf>
    <xf borderId="0" fillId="13" fontId="5" numFmtId="0" xfId="0" applyAlignment="1" applyFont="1">
      <alignment horizontal="center"/>
    </xf>
    <xf borderId="0" fillId="16" fontId="24" numFmtId="0" xfId="0" applyAlignment="1" applyFont="1">
      <alignment horizontal="center"/>
    </xf>
    <xf borderId="25" fillId="2" fontId="38" numFmtId="0" xfId="0" applyAlignment="1" applyBorder="1" applyFont="1">
      <alignment horizontal="center"/>
    </xf>
    <xf borderId="25" fillId="2" fontId="2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2" fillId="17" fontId="30" numFmtId="0" xfId="0" applyAlignment="1" applyBorder="1" applyFont="1">
      <alignment horizontal="center" vertical="bottom"/>
    </xf>
    <xf borderId="22" fillId="17" fontId="30" numFmtId="164" xfId="0" applyAlignment="1" applyBorder="1" applyFont="1" applyNumberFormat="1">
      <alignment horizontal="center" vertical="bottom"/>
    </xf>
    <xf borderId="11" fillId="17" fontId="30" numFmtId="0" xfId="0" applyAlignment="1" applyBorder="1" applyFont="1">
      <alignment horizontal="center" vertical="bottom"/>
    </xf>
    <xf borderId="0" fillId="17" fontId="5" numFmtId="0" xfId="0" applyAlignment="1" applyFont="1">
      <alignment horizontal="center"/>
    </xf>
    <xf borderId="0" fillId="17" fontId="1" numFmtId="0" xfId="0" applyFont="1"/>
    <xf borderId="22" fillId="17" fontId="33" numFmtId="0" xfId="0" applyAlignment="1" applyBorder="1" applyFont="1">
      <alignment horizontal="center" vertical="bottom"/>
    </xf>
    <xf borderId="22" fillId="17" fontId="33" numFmtId="164" xfId="0" applyAlignment="1" applyBorder="1" applyFont="1" applyNumberFormat="1">
      <alignment horizontal="center" vertical="bottom"/>
    </xf>
    <xf borderId="11" fillId="17" fontId="40" numFmtId="0" xfId="0" applyAlignment="1" applyBorder="1" applyFont="1">
      <alignment horizontal="center" vertical="bottom"/>
    </xf>
    <xf borderId="22" fillId="18" fontId="1" numFmtId="0" xfId="0" applyAlignment="1" applyBorder="1" applyFont="1">
      <alignment horizontal="center" vertical="bottom"/>
    </xf>
    <xf borderId="22" fillId="18" fontId="1" numFmtId="164" xfId="0" applyAlignment="1" applyBorder="1" applyFont="1" applyNumberFormat="1">
      <alignment horizontal="center" vertical="bottom"/>
    </xf>
    <xf borderId="0" fillId="18" fontId="7" numFmtId="0" xfId="0" applyAlignment="1" applyFont="1">
      <alignment horizontal="center"/>
    </xf>
    <xf borderId="22" fillId="18" fontId="23" numFmtId="0" xfId="0" applyAlignment="1" applyBorder="1" applyFont="1">
      <alignment horizontal="center" vertical="bottom"/>
    </xf>
    <xf borderId="22" fillId="18" fontId="23" numFmtId="164" xfId="0" applyAlignment="1" applyBorder="1" applyFont="1" applyNumberFormat="1">
      <alignment horizontal="center" vertical="bottom"/>
    </xf>
    <xf borderId="22" fillId="3" fontId="28" numFmtId="0" xfId="0" applyAlignment="1" applyBorder="1" applyFont="1">
      <alignment horizontal="center" vertical="bottom"/>
    </xf>
    <xf borderId="22" fillId="3" fontId="28" numFmtId="164" xfId="0" applyAlignment="1" applyBorder="1" applyFont="1" applyNumberFormat="1">
      <alignment horizontal="center" vertical="bottom"/>
    </xf>
    <xf borderId="0" fillId="3" fontId="1" numFmtId="0" xfId="0" applyAlignment="1" applyFont="1">
      <alignment horizontal="center"/>
    </xf>
    <xf borderId="11" fillId="3" fontId="1" numFmtId="164" xfId="0" applyAlignment="1" applyBorder="1" applyFont="1" applyNumberFormat="1">
      <alignment horizontal="center" vertical="bottom"/>
    </xf>
    <xf borderId="0" fillId="9" fontId="24" numFmtId="0" xfId="0" applyAlignment="1" applyFont="1">
      <alignment horizontal="center"/>
    </xf>
    <xf borderId="11" fillId="9" fontId="5" numFmtId="0" xfId="0" applyAlignment="1" applyBorder="1" applyFont="1">
      <alignment horizontal="center"/>
    </xf>
    <xf borderId="10" fillId="9" fontId="5" numFmtId="164" xfId="0" applyAlignment="1" applyBorder="1" applyFont="1" applyNumberFormat="1">
      <alignment horizontal="center"/>
    </xf>
    <xf borderId="0" fillId="9" fontId="1" numFmtId="0" xfId="0" applyFont="1"/>
    <xf borderId="22" fillId="7" fontId="29" numFmtId="0" xfId="0" applyAlignment="1" applyBorder="1" applyFont="1">
      <alignment horizontal="center" vertical="bottom"/>
    </xf>
    <xf borderId="22" fillId="7" fontId="29" numFmtId="164" xfId="0" applyAlignment="1" applyBorder="1" applyFont="1" applyNumberFormat="1">
      <alignment horizontal="center" vertical="bottom"/>
    </xf>
    <xf borderId="11" fillId="7" fontId="29" numFmtId="0" xfId="0" applyAlignment="1" applyBorder="1" applyFont="1">
      <alignment horizontal="center" vertical="bottom"/>
    </xf>
    <xf borderId="11" fillId="7" fontId="29" numFmtId="164" xfId="0" applyAlignment="1" applyBorder="1" applyFont="1" applyNumberFormat="1">
      <alignment horizontal="center" vertical="bottom"/>
    </xf>
    <xf borderId="11" fillId="7" fontId="5" numFmtId="0" xfId="0" applyAlignment="1" applyBorder="1" applyFont="1">
      <alignment horizontal="center" vertical="bottom"/>
    </xf>
    <xf borderId="11" fillId="7" fontId="1" numFmtId="0" xfId="0" applyAlignment="1" applyBorder="1" applyFont="1">
      <alignment horizontal="center" vertical="bottom"/>
    </xf>
    <xf borderId="11" fillId="7" fontId="1" numFmtId="164" xfId="0" applyAlignment="1" applyBorder="1" applyFont="1" applyNumberFormat="1">
      <alignment horizontal="center" vertical="bottom"/>
    </xf>
    <xf borderId="22" fillId="13" fontId="23" numFmtId="0" xfId="0" applyAlignment="1" applyBorder="1" applyFont="1">
      <alignment horizontal="center" vertical="bottom"/>
    </xf>
    <xf borderId="22" fillId="13" fontId="23" numFmtId="164" xfId="0" applyAlignment="1" applyBorder="1" applyFont="1" applyNumberFormat="1">
      <alignment horizontal="center" vertical="bottom"/>
    </xf>
    <xf borderId="11" fillId="13" fontId="1" numFmtId="0" xfId="0" applyAlignment="1" applyBorder="1" applyFont="1">
      <alignment horizontal="center" vertical="bottom"/>
    </xf>
    <xf borderId="22" fillId="16" fontId="23" numFmtId="164" xfId="0" applyAlignment="1" applyBorder="1" applyFont="1" applyNumberFormat="1">
      <alignment horizontal="center" vertical="bottom"/>
    </xf>
    <xf borderId="0" fillId="16" fontId="30" numFmtId="0" xfId="0" applyAlignment="1" applyFont="1">
      <alignment horizontal="center"/>
    </xf>
    <xf borderId="7" fillId="16" fontId="6" numFmtId="49" xfId="0" applyAlignment="1" applyBorder="1" applyFont="1" applyNumberFormat="1">
      <alignment horizontal="center" vertical="bottom"/>
    </xf>
    <xf borderId="22" fillId="16" fontId="30" numFmtId="0" xfId="0" applyAlignment="1" applyBorder="1" applyFont="1">
      <alignment horizontal="center" vertical="bottom"/>
    </xf>
    <xf borderId="22" fillId="16" fontId="30" numFmtId="164" xfId="0" applyAlignment="1" applyBorder="1" applyFont="1" applyNumberFormat="1">
      <alignment horizontal="center" vertical="bottom"/>
    </xf>
    <xf borderId="11" fillId="16" fontId="39" numFmtId="0" xfId="0" applyAlignment="1" applyBorder="1" applyFont="1">
      <alignment horizontal="center" vertical="bottom"/>
    </xf>
    <xf borderId="23" fillId="2" fontId="21" numFmtId="0" xfId="0" applyBorder="1" applyFont="1"/>
    <xf borderId="25" fillId="16" fontId="21" numFmtId="0" xfId="0" applyAlignment="1" applyBorder="1" applyFont="1">
      <alignment horizontal="center"/>
    </xf>
    <xf borderId="0" fillId="16" fontId="21" numFmtId="0" xfId="0" applyAlignment="1" applyFont="1">
      <alignment horizontal="center"/>
    </xf>
    <xf borderId="23" fillId="2" fontId="1" numFmtId="0" xfId="0" applyBorder="1" applyFont="1"/>
    <xf borderId="39" fillId="17" fontId="30" numFmtId="164" xfId="0" applyAlignment="1" applyBorder="1" applyFont="1" applyNumberFormat="1">
      <alignment horizontal="center" vertical="bottom"/>
    </xf>
    <xf borderId="10" fillId="17" fontId="5" numFmtId="0" xfId="0" applyAlignment="1" applyBorder="1" applyFont="1">
      <alignment horizontal="center" vertical="bottom"/>
    </xf>
    <xf borderId="11" fillId="17" fontId="23" numFmtId="0" xfId="0" applyAlignment="1" applyBorder="1" applyFont="1">
      <alignment horizontal="center" vertical="bottom"/>
    </xf>
    <xf borderId="10" fillId="17" fontId="23" numFmtId="164" xfId="0" applyAlignment="1" applyBorder="1" applyFont="1" applyNumberFormat="1">
      <alignment horizontal="center" vertical="bottom"/>
    </xf>
    <xf borderId="15" fillId="17" fontId="7" numFmtId="49" xfId="0" applyAlignment="1" applyBorder="1" applyFont="1" applyNumberFormat="1">
      <alignment horizontal="center" vertical="bottom"/>
    </xf>
    <xf borderId="39" fillId="18" fontId="23" numFmtId="164" xfId="0" applyAlignment="1" applyBorder="1" applyFont="1" applyNumberFormat="1">
      <alignment horizontal="center" vertical="bottom"/>
    </xf>
    <xf borderId="10" fillId="18" fontId="24" numFmtId="0" xfId="0" applyAlignment="1" applyBorder="1" applyFont="1">
      <alignment horizontal="center" vertical="bottom"/>
    </xf>
    <xf borderId="0" fillId="18" fontId="25" numFmtId="0" xfId="0" applyAlignment="1" applyFont="1">
      <alignment horizontal="center"/>
    </xf>
    <xf borderId="0" fillId="18" fontId="24" numFmtId="0" xfId="0" applyAlignment="1" applyFont="1">
      <alignment horizontal="center" vertical="bottom"/>
    </xf>
    <xf borderId="0" fillId="18" fontId="8" numFmtId="0" xfId="0" applyAlignment="1" applyFont="1">
      <alignment horizontal="center"/>
    </xf>
    <xf borderId="0" fillId="18" fontId="5" numFmtId="0" xfId="0" applyAlignment="1" applyFont="1">
      <alignment horizontal="center" vertical="bottom"/>
    </xf>
    <xf borderId="22" fillId="3" fontId="30" numFmtId="0" xfId="0" applyAlignment="1" applyBorder="1" applyFont="1">
      <alignment horizontal="center" vertical="bottom"/>
    </xf>
    <xf borderId="22" fillId="3" fontId="30" numFmtId="164" xfId="0" applyAlignment="1" applyBorder="1" applyFont="1" applyNumberFormat="1">
      <alignment horizontal="center" vertical="bottom"/>
    </xf>
    <xf borderId="0" fillId="3" fontId="5" numFmtId="0" xfId="0" applyAlignment="1" applyFont="1">
      <alignment horizontal="center" vertical="bottom"/>
    </xf>
    <xf borderId="0" fillId="3" fontId="23" numFmtId="0" xfId="0" applyAlignment="1" applyFont="1">
      <alignment horizontal="center" vertical="bottom"/>
    </xf>
    <xf borderId="16" fillId="3" fontId="23" numFmtId="164" xfId="0" applyAlignment="1" applyBorder="1" applyFont="1" applyNumberFormat="1">
      <alignment horizontal="center" vertical="bottom"/>
    </xf>
    <xf borderId="16" fillId="3" fontId="5" numFmtId="0" xfId="0" applyAlignment="1" applyBorder="1" applyFont="1">
      <alignment horizontal="center" vertical="bottom"/>
    </xf>
    <xf borderId="0" fillId="3" fontId="30" numFmtId="0" xfId="0" applyAlignment="1" applyFont="1">
      <alignment horizontal="center" vertical="bottom"/>
    </xf>
    <xf borderId="16" fillId="3" fontId="30" numFmtId="164" xfId="0" applyAlignment="1" applyBorder="1" applyFont="1" applyNumberFormat="1">
      <alignment horizontal="center" vertical="bottom"/>
    </xf>
    <xf borderId="10" fillId="9" fontId="30" numFmtId="164" xfId="0" applyAlignment="1" applyBorder="1" applyFont="1" applyNumberFormat="1">
      <alignment horizontal="center" vertical="bottom"/>
    </xf>
    <xf borderId="10" fillId="9" fontId="5" numFmtId="0" xfId="0" applyAlignment="1" applyBorder="1" applyFont="1">
      <alignment horizontal="center" vertical="bottom"/>
    </xf>
    <xf borderId="0" fillId="9" fontId="1" numFmtId="0" xfId="0" applyAlignment="1" applyFont="1">
      <alignment horizontal="center" vertical="bottom"/>
    </xf>
    <xf borderId="0" fillId="2" fontId="18" numFmtId="0" xfId="0" applyAlignment="1" applyFont="1">
      <alignment horizontal="center"/>
    </xf>
    <xf borderId="0" fillId="9" fontId="23" numFmtId="0" xfId="0" applyAlignment="1" applyFont="1">
      <alignment horizontal="center" vertical="bottom"/>
    </xf>
    <xf borderId="10" fillId="9" fontId="23" numFmtId="164" xfId="0" applyAlignment="1" applyBorder="1" applyFont="1" applyNumberFormat="1">
      <alignment horizontal="center" vertical="bottom"/>
    </xf>
    <xf borderId="0" fillId="9" fontId="24" numFmtId="0" xfId="0" applyAlignment="1" applyFont="1">
      <alignment horizontal="center" vertical="bottom"/>
    </xf>
    <xf borderId="15" fillId="9" fontId="7" numFmtId="49" xfId="0" applyAlignment="1" applyBorder="1" applyFont="1" applyNumberFormat="1">
      <alignment horizontal="center" vertical="bottom"/>
    </xf>
    <xf borderId="10" fillId="9" fontId="1" numFmtId="164" xfId="0" applyAlignment="1" applyBorder="1" applyFont="1" applyNumberFormat="1">
      <alignment horizontal="center" vertical="bottom"/>
    </xf>
    <xf borderId="0" fillId="9" fontId="5" numFmtId="0" xfId="0" applyAlignment="1" applyFont="1">
      <alignment horizontal="center" vertical="bottom"/>
    </xf>
    <xf borderId="22" fillId="7" fontId="23" numFmtId="0" xfId="0" applyAlignment="1" applyBorder="1" applyFont="1">
      <alignment horizontal="center" vertical="bottom"/>
    </xf>
    <xf borderId="39" fillId="7" fontId="23" numFmtId="164" xfId="0" applyAlignment="1" applyBorder="1" applyFont="1" applyNumberFormat="1">
      <alignment horizontal="center" vertical="bottom"/>
    </xf>
    <xf borderId="10" fillId="7" fontId="23" numFmtId="49" xfId="0" applyAlignment="1" applyBorder="1" applyFont="1" applyNumberFormat="1">
      <alignment horizontal="center" vertical="bottom"/>
    </xf>
    <xf borderId="0" fillId="7" fontId="23" numFmtId="0" xfId="0" applyAlignment="1" applyFont="1">
      <alignment horizontal="center" vertical="bottom"/>
    </xf>
    <xf borderId="10" fillId="7" fontId="5" numFmtId="0" xfId="0" applyAlignment="1" applyBorder="1" applyFont="1">
      <alignment horizontal="center" vertical="bottom"/>
    </xf>
    <xf borderId="19" fillId="13" fontId="5" numFmtId="0" xfId="0" applyAlignment="1" applyBorder="1" applyFont="1">
      <alignment horizontal="center" vertical="bottom"/>
    </xf>
    <xf borderId="39" fillId="13" fontId="1" numFmtId="164" xfId="0" applyAlignment="1" applyBorder="1" applyFont="1" applyNumberFormat="1">
      <alignment horizontal="center" vertical="bottom"/>
    </xf>
    <xf borderId="0" fillId="13" fontId="5" numFmtId="164" xfId="0" applyAlignment="1" applyFont="1" applyNumberFormat="1">
      <alignment horizontal="center" vertical="bottom"/>
    </xf>
    <xf borderId="39" fillId="16" fontId="23" numFmtId="164" xfId="0" applyAlignment="1" applyBorder="1" applyFont="1" applyNumberFormat="1">
      <alignment horizontal="center" vertical="bottom"/>
    </xf>
    <xf borderId="10" fillId="16" fontId="24" numFmtId="0" xfId="0" applyAlignment="1" applyBorder="1" applyFont="1">
      <alignment horizontal="center" vertical="bottom"/>
    </xf>
    <xf borderId="0" fillId="2" fontId="22" numFmtId="0" xfId="0" applyAlignment="1" applyFont="1">
      <alignment horizontal="center"/>
    </xf>
    <xf borderId="22" fillId="17" fontId="23" numFmtId="0" xfId="0" applyAlignment="1" applyBorder="1" applyFont="1">
      <alignment horizontal="center" vertical="bottom"/>
    </xf>
    <xf borderId="22" fillId="17" fontId="23" numFmtId="164" xfId="0" applyAlignment="1" applyBorder="1" applyFont="1" applyNumberFormat="1">
      <alignment horizontal="center" vertical="bottom"/>
    </xf>
    <xf borderId="11" fillId="17" fontId="5" numFmtId="0" xfId="0" applyAlignment="1" applyBorder="1" applyFont="1">
      <alignment horizontal="center" vertical="bottom"/>
    </xf>
    <xf borderId="39" fillId="18" fontId="1" numFmtId="164" xfId="0" applyAlignment="1" applyBorder="1" applyFont="1" applyNumberFormat="1">
      <alignment horizontal="center" vertical="bottom"/>
    </xf>
    <xf borderId="10" fillId="18" fontId="5" numFmtId="164" xfId="0" applyAlignment="1" applyBorder="1" applyFont="1" applyNumberFormat="1">
      <alignment horizontal="center" vertical="bottom"/>
    </xf>
    <xf borderId="0" fillId="2" fontId="24" numFmtId="0" xfId="0" applyAlignment="1" applyFont="1">
      <alignment horizontal="center"/>
    </xf>
    <xf borderId="22" fillId="3" fontId="1" numFmtId="0" xfId="0" applyAlignment="1" applyBorder="1" applyFont="1">
      <alignment horizontal="center" vertical="bottom"/>
    </xf>
    <xf borderId="39" fillId="3" fontId="1" numFmtId="0" xfId="0" applyAlignment="1" applyBorder="1" applyFont="1">
      <alignment horizontal="center" vertical="bottom"/>
    </xf>
    <xf borderId="10" fillId="3" fontId="5" numFmtId="0" xfId="0" applyAlignment="1" applyBorder="1" applyFont="1">
      <alignment horizontal="center" vertical="bottom"/>
    </xf>
    <xf borderId="0" fillId="3" fontId="24" numFmtId="0" xfId="0" applyAlignment="1" applyFont="1">
      <alignment horizontal="center"/>
    </xf>
    <xf borderId="11" fillId="3" fontId="1" numFmtId="0" xfId="0" applyAlignment="1" applyBorder="1" applyFont="1">
      <alignment horizontal="center" vertical="bottom"/>
    </xf>
    <xf borderId="10" fillId="3" fontId="1" numFmtId="0" xfId="0" applyAlignment="1" applyBorder="1" applyFont="1">
      <alignment horizontal="center" vertical="bottom"/>
    </xf>
    <xf borderId="13" fillId="0" fontId="31" numFmtId="0" xfId="0" applyAlignment="1" applyBorder="1" applyFont="1">
      <alignment horizontal="center" vertical="bottom"/>
    </xf>
    <xf borderId="10" fillId="0" fontId="22" numFmtId="0" xfId="0" applyAlignment="1" applyBorder="1" applyFont="1">
      <alignment horizontal="center" vertical="bottom"/>
    </xf>
    <xf borderId="0" fillId="0" fontId="31" numFmtId="0" xfId="0" applyAlignment="1" applyFont="1">
      <alignment horizontal="center"/>
    </xf>
    <xf borderId="11" fillId="9" fontId="28" numFmtId="0" xfId="0" applyAlignment="1" applyBorder="1" applyFont="1">
      <alignment horizontal="center" vertical="bottom"/>
    </xf>
    <xf borderId="10" fillId="9" fontId="24" numFmtId="0" xfId="0" applyAlignment="1" applyBorder="1" applyFont="1">
      <alignment horizontal="center"/>
    </xf>
    <xf borderId="25" fillId="2" fontId="22" numFmtId="0" xfId="0" applyAlignment="1" applyBorder="1" applyFont="1">
      <alignment horizontal="center"/>
    </xf>
    <xf borderId="0" fillId="9" fontId="5" numFmtId="0" xfId="0" applyAlignment="1" applyFont="1">
      <alignment horizontal="center"/>
    </xf>
    <xf borderId="0" fillId="7" fontId="7" numFmtId="0" xfId="0" applyAlignment="1" applyFont="1">
      <alignment horizontal="center"/>
    </xf>
    <xf borderId="39" fillId="13" fontId="23" numFmtId="164" xfId="0" applyAlignment="1" applyBorder="1" applyFont="1" applyNumberFormat="1">
      <alignment horizontal="center" vertical="bottom"/>
    </xf>
    <xf borderId="10" fillId="13" fontId="24" numFmtId="0" xfId="0" applyAlignment="1" applyBorder="1" applyFont="1">
      <alignment horizontal="center" vertical="bottom"/>
    </xf>
    <xf borderId="22" fillId="16" fontId="32" numFmtId="0" xfId="0" applyAlignment="1" applyBorder="1" applyFont="1">
      <alignment horizontal="center"/>
    </xf>
    <xf borderId="22" fillId="16" fontId="32" numFmtId="164" xfId="0" applyAlignment="1" applyBorder="1" applyFont="1" applyNumberFormat="1">
      <alignment horizontal="center"/>
    </xf>
    <xf borderId="0" fillId="16" fontId="25" numFmtId="0" xfId="0" applyAlignment="1" applyFont="1">
      <alignment horizontal="center"/>
    </xf>
    <xf borderId="19" fillId="17" fontId="23" numFmtId="0" xfId="0" applyAlignment="1" applyBorder="1" applyFont="1">
      <alignment horizontal="center" vertical="bottom"/>
    </xf>
    <xf borderId="39" fillId="17" fontId="23" numFmtId="164" xfId="0" applyAlignment="1" applyBorder="1" applyFont="1" applyNumberFormat="1">
      <alignment horizontal="center" vertical="bottom"/>
    </xf>
    <xf borderId="0" fillId="17" fontId="24" numFmtId="0" xfId="0" applyAlignment="1" applyFont="1">
      <alignment horizontal="center" vertical="bottom"/>
    </xf>
    <xf borderId="19" fillId="17" fontId="1" numFmtId="0" xfId="0" applyAlignment="1" applyBorder="1" applyFont="1">
      <alignment horizontal="center" vertical="bottom"/>
    </xf>
    <xf borderId="39" fillId="17" fontId="1" numFmtId="164" xfId="0" applyAlignment="1" applyBorder="1" applyFont="1" applyNumberFormat="1">
      <alignment horizontal="center" vertical="bottom"/>
    </xf>
    <xf borderId="0" fillId="17" fontId="5" numFmtId="0" xfId="0" applyAlignment="1" applyFont="1">
      <alignment horizontal="center" vertical="bottom"/>
    </xf>
    <xf borderId="10" fillId="18" fontId="5" numFmtId="0" xfId="0" applyAlignment="1" applyBorder="1" applyFont="1">
      <alignment horizontal="center" vertical="bottom"/>
    </xf>
    <xf borderId="39" fillId="3" fontId="1" numFmtId="164" xfId="0" applyAlignment="1" applyBorder="1" applyFont="1" applyNumberFormat="1">
      <alignment horizontal="center" vertical="bottom"/>
    </xf>
    <xf borderId="10" fillId="9" fontId="23" numFmtId="0" xfId="0" applyAlignment="1" applyBorder="1" applyFont="1">
      <alignment horizontal="center"/>
    </xf>
    <xf borderId="0" fillId="9" fontId="23" numFmtId="0" xfId="0" applyAlignment="1" applyFont="1">
      <alignment horizontal="center"/>
    </xf>
    <xf borderId="11" fillId="7" fontId="28" numFmtId="0" xfId="0" applyAlignment="1" applyBorder="1" applyFont="1">
      <alignment horizontal="center" vertical="bottom"/>
    </xf>
    <xf borderId="10" fillId="7" fontId="28" numFmtId="164" xfId="0" applyAlignment="1" applyBorder="1" applyFont="1" applyNumberFormat="1">
      <alignment horizontal="center" vertical="bottom"/>
    </xf>
    <xf borderId="10" fillId="13" fontId="5" numFmtId="164" xfId="0" applyAlignment="1" applyBorder="1" applyFont="1" applyNumberFormat="1">
      <alignment horizontal="center" vertical="bottom"/>
    </xf>
    <xf borderId="22" fillId="16" fontId="41" numFmtId="0" xfId="0" applyAlignment="1" applyBorder="1" applyFont="1">
      <alignment horizontal="center"/>
    </xf>
    <xf borderId="11" fillId="16" fontId="41" numFmtId="164" xfId="0" applyAlignment="1" applyBorder="1" applyFont="1" applyNumberFormat="1">
      <alignment horizontal="center"/>
    </xf>
    <xf borderId="0" fillId="16" fontId="41" numFmtId="0" xfId="0" applyAlignment="1" applyFont="1">
      <alignment horizontal="center"/>
    </xf>
    <xf borderId="19" fillId="16" fontId="32" numFmtId="0" xfId="0" applyAlignment="1" applyBorder="1" applyFont="1">
      <alignment horizontal="center"/>
    </xf>
    <xf borderId="11" fillId="16" fontId="32" numFmtId="49" xfId="0" applyAlignment="1" applyBorder="1" applyFont="1" applyNumberFormat="1">
      <alignment horizontal="center"/>
    </xf>
    <xf borderId="19" fillId="16" fontId="41" numFmtId="0" xfId="0" applyAlignment="1" applyBorder="1" applyFont="1">
      <alignment horizontal="center"/>
    </xf>
    <xf borderId="0" fillId="16" fontId="6" numFmtId="0" xfId="0" applyAlignment="1" applyFont="1">
      <alignment horizontal="center"/>
    </xf>
    <xf borderId="11" fillId="16" fontId="32" numFmtId="164" xfId="0" applyAlignment="1" applyBorder="1" applyFont="1" applyNumberFormat="1">
      <alignment horizontal="center"/>
    </xf>
    <xf borderId="0" fillId="16" fontId="7" numFmtId="0" xfId="0" applyAlignment="1" applyFont="1">
      <alignment horizontal="center"/>
    </xf>
    <xf borderId="23" fillId="9" fontId="1" numFmtId="0" xfId="0" applyAlignment="1" applyBorder="1" applyFont="1">
      <alignment horizontal="center" vertical="bottom"/>
    </xf>
    <xf borderId="24" fillId="9" fontId="1" numFmtId="0" xfId="0" applyAlignment="1" applyBorder="1" applyFont="1">
      <alignment horizontal="center" vertical="bottom"/>
    </xf>
    <xf borderId="24" fillId="9" fontId="5" numFmtId="0" xfId="0" applyAlignment="1" applyBorder="1" applyFont="1">
      <alignment horizontal="center" vertical="bottom"/>
    </xf>
    <xf borderId="25" fillId="9" fontId="1" numFmtId="0" xfId="0" applyAlignment="1" applyBorder="1" applyFont="1">
      <alignment horizontal="center"/>
    </xf>
    <xf borderId="10" fillId="13" fontId="5" numFmtId="0" xfId="0" applyAlignment="1" applyBorder="1" applyFont="1">
      <alignment horizontal="center" vertical="bottom"/>
    </xf>
    <xf borderId="22" fillId="16" fontId="8" numFmtId="0" xfId="0" applyAlignment="1" applyBorder="1" applyFont="1">
      <alignment horizontal="center"/>
    </xf>
    <xf borderId="11" fillId="16" fontId="8" numFmtId="164" xfId="0" applyAlignment="1" applyBorder="1" applyFont="1" applyNumberFormat="1">
      <alignment horizontal="center"/>
    </xf>
    <xf borderId="0" fillId="16" fontId="7" numFmtId="164" xfId="0" applyAlignment="1" applyFont="1" applyNumberFormat="1">
      <alignment horizontal="center"/>
    </xf>
    <xf borderId="25" fillId="16" fontId="24" numFmtId="0" xfId="0" applyAlignment="1" applyBorder="1" applyFont="1">
      <alignment horizontal="center"/>
    </xf>
    <xf borderId="19" fillId="17" fontId="24" numFmtId="0" xfId="0" applyAlignment="1" applyBorder="1" applyFont="1">
      <alignment horizontal="center" vertical="bottom"/>
    </xf>
    <xf borderId="39" fillId="17" fontId="1" numFmtId="0" xfId="0" applyAlignment="1" applyBorder="1" applyFont="1">
      <alignment horizontal="center" vertical="bottom"/>
    </xf>
    <xf borderId="25" fillId="17" fontId="24" numFmtId="0" xfId="0" applyAlignment="1" applyBorder="1" applyFont="1">
      <alignment horizontal="center"/>
    </xf>
    <xf borderId="10" fillId="18" fontId="23" numFmtId="49" xfId="0" applyAlignment="1" applyBorder="1" applyFont="1" applyNumberFormat="1">
      <alignment horizontal="center" vertical="bottom"/>
    </xf>
    <xf borderId="22" fillId="3" fontId="23" numFmtId="0" xfId="0" applyAlignment="1" applyBorder="1" applyFont="1">
      <alignment horizontal="center" vertical="bottom"/>
    </xf>
    <xf borderId="25" fillId="3" fontId="1" numFmtId="0" xfId="0" applyAlignment="1" applyBorder="1" applyFont="1">
      <alignment horizontal="center" vertical="bottom"/>
    </xf>
    <xf borderId="40" fillId="3" fontId="1" numFmtId="0" xfId="0" applyAlignment="1" applyBorder="1" applyFont="1">
      <alignment horizontal="center" vertical="bottom"/>
    </xf>
    <xf borderId="40" fillId="3" fontId="5" numFmtId="0" xfId="0" applyAlignment="1" applyBorder="1" applyFont="1">
      <alignment horizontal="center" vertical="bottom"/>
    </xf>
    <xf borderId="25" fillId="3" fontId="1" numFmtId="0" xfId="0" applyAlignment="1" applyBorder="1" applyFont="1">
      <alignment horizontal="center"/>
    </xf>
    <xf borderId="0" fillId="2" fontId="7" numFmtId="49" xfId="0" applyAlignment="1" applyFont="1" applyNumberFormat="1">
      <alignment horizontal="center" vertical="bottom"/>
    </xf>
    <xf borderId="0" fillId="2" fontId="1" numFmtId="0" xfId="0" applyAlignment="1" applyFont="1">
      <alignment horizontal="center" vertical="bottom"/>
    </xf>
    <xf borderId="0" fillId="2" fontId="5" numFmtId="0" xfId="0" applyAlignment="1" applyFont="1">
      <alignment horizontal="center" vertical="bottom"/>
    </xf>
    <xf borderId="0" fillId="2" fontId="42" numFmtId="0" xfId="0" applyAlignment="1" applyFont="1">
      <alignment horizontal="center" shrinkToFit="0" textRotation="255" vertical="center" wrapText="0"/>
    </xf>
    <xf borderId="28" fillId="11" fontId="43" numFmtId="0" xfId="0" applyAlignment="1" applyBorder="1" applyFont="1">
      <alignment horizontal="center"/>
    </xf>
    <xf borderId="12" fillId="11" fontId="43" numFmtId="0" xfId="0" applyAlignment="1" applyBorder="1" applyFont="1">
      <alignment horizontal="center"/>
    </xf>
    <xf borderId="13" fillId="11" fontId="43" numFmtId="49" xfId="0" applyAlignment="1" applyBorder="1" applyFont="1" applyNumberFormat="1">
      <alignment horizontal="center"/>
    </xf>
    <xf borderId="0" fillId="11" fontId="43" numFmtId="0" xfId="0" applyAlignment="1" applyFont="1">
      <alignment horizontal="center" shrinkToFit="0" wrapText="0"/>
    </xf>
    <xf borderId="28" fillId="11" fontId="43" numFmtId="0" xfId="0" applyAlignment="1" applyBorder="1" applyFont="1">
      <alignment horizontal="left" shrinkToFit="0" wrapText="0"/>
    </xf>
    <xf borderId="28" fillId="11" fontId="44" numFmtId="49" xfId="0" applyAlignment="1" applyBorder="1" applyFont="1" applyNumberFormat="1">
      <alignment horizontal="left" shrinkToFit="0" wrapText="0"/>
    </xf>
    <xf borderId="0" fillId="11" fontId="43" numFmtId="2" xfId="0" applyAlignment="1" applyFont="1" applyNumberFormat="1">
      <alignment horizontal="center"/>
    </xf>
    <xf borderId="0" fillId="11" fontId="44" numFmtId="49" xfId="0" applyAlignment="1" applyFont="1" applyNumberFormat="1">
      <alignment horizontal="center"/>
    </xf>
    <xf borderId="0" fillId="11" fontId="1" numFmtId="0" xfId="0" applyFont="1"/>
    <xf borderId="0" fillId="11" fontId="43" numFmtId="0" xfId="0" applyAlignment="1" applyFont="1">
      <alignment horizontal="center"/>
    </xf>
    <xf borderId="19" fillId="11" fontId="44" numFmtId="49" xfId="0" applyAlignment="1" applyBorder="1" applyFont="1" applyNumberFormat="1">
      <alignment horizontal="center"/>
    </xf>
    <xf borderId="41" fillId="11" fontId="44" numFmtId="49" xfId="0" applyAlignment="1" applyBorder="1" applyFont="1" applyNumberFormat="1">
      <alignment horizontal="center"/>
    </xf>
    <xf borderId="0" fillId="11" fontId="43" numFmtId="0" xfId="0" applyFont="1"/>
    <xf borderId="0" fillId="11" fontId="45" numFmtId="49" xfId="0" applyAlignment="1" applyFont="1" applyNumberFormat="1">
      <alignment horizontal="center"/>
    </xf>
    <xf borderId="20" fillId="11" fontId="44" numFmtId="2" xfId="0" applyAlignment="1" applyBorder="1" applyFont="1" applyNumberFormat="1">
      <alignment horizontal="center"/>
    </xf>
    <xf borderId="0" fillId="2" fontId="46" numFmtId="0" xfId="0" applyAlignment="1" applyFont="1">
      <alignment horizontal="center"/>
    </xf>
    <xf borderId="11" fillId="0" fontId="15" numFmtId="0" xfId="0" applyBorder="1" applyFont="1"/>
    <xf borderId="0" fillId="2" fontId="46" numFmtId="49" xfId="0" applyAlignment="1" applyFont="1" applyNumberFormat="1">
      <alignment horizontal="center"/>
    </xf>
    <xf borderId="0" fillId="2" fontId="26" numFmtId="0" xfId="0" applyAlignment="1" applyFont="1">
      <alignment horizontal="left" shrinkToFit="0" wrapText="0"/>
    </xf>
    <xf borderId="0" fillId="2" fontId="47" numFmtId="0" xfId="0" applyAlignment="1" applyFont="1">
      <alignment horizontal="left" shrinkToFit="0" vertical="center" wrapText="0"/>
    </xf>
    <xf borderId="0" fillId="2" fontId="48" numFmtId="49" xfId="0" applyAlignment="1" applyFont="1" applyNumberFormat="1">
      <alignment horizontal="center" shrinkToFit="0" vertical="center" wrapText="1"/>
    </xf>
    <xf borderId="0" fillId="2" fontId="49" numFmtId="49" xfId="0" applyAlignment="1" applyFont="1" applyNumberFormat="1">
      <alignment horizontal="left" shrinkToFit="0" vertical="center" wrapText="1"/>
    </xf>
    <xf borderId="0" fillId="2" fontId="50" numFmtId="2" xfId="0" applyAlignment="1" applyFont="1" applyNumberFormat="1">
      <alignment horizontal="left" shrinkToFit="0" vertical="center" wrapText="1"/>
    </xf>
    <xf borderId="0" fillId="2" fontId="39" numFmtId="49" xfId="0" applyAlignment="1" applyFont="1" applyNumberFormat="1">
      <alignment horizontal="left" shrinkToFit="0" vertical="center" wrapText="1"/>
    </xf>
    <xf borderId="0" fillId="2" fontId="21" numFmtId="49" xfId="0" applyAlignment="1" applyFont="1" applyNumberFormat="1">
      <alignment horizontal="left" shrinkToFit="0" vertical="center" wrapText="1"/>
    </xf>
    <xf borderId="0" fillId="2" fontId="39" numFmtId="2" xfId="0" applyAlignment="1" applyFont="1" applyNumberFormat="1">
      <alignment horizontal="left" shrinkToFit="0" vertical="center" wrapText="1"/>
    </xf>
    <xf borderId="0" fillId="2" fontId="42" numFmtId="0" xfId="0" applyAlignment="1" applyFont="1">
      <alignment horizontal="center" shrinkToFit="0" textRotation="255" vertical="top" wrapText="0"/>
    </xf>
    <xf borderId="7" fillId="3" fontId="5" numFmtId="0" xfId="0" applyAlignment="1" applyBorder="1" applyFont="1">
      <alignment horizontal="center"/>
    </xf>
    <xf borderId="34" fillId="9" fontId="1" numFmtId="0" xfId="0" applyAlignment="1" applyBorder="1" applyFont="1">
      <alignment horizontal="center"/>
    </xf>
    <xf borderId="42" fillId="0" fontId="1" numFmtId="49" xfId="0" applyAlignment="1" applyBorder="1" applyFont="1" applyNumberFormat="1">
      <alignment horizontal="center"/>
    </xf>
    <xf borderId="43" fillId="16" fontId="1" numFmtId="49" xfId="0" applyAlignment="1" applyBorder="1" applyFont="1" applyNumberFormat="1">
      <alignment horizontal="center"/>
    </xf>
    <xf borderId="44" fillId="16" fontId="51" numFmtId="0" xfId="0" applyAlignment="1" applyBorder="1" applyFont="1">
      <alignment horizontal="left" shrinkToFit="0" wrapText="0"/>
    </xf>
    <xf borderId="0" fillId="20" fontId="1" numFmtId="0" xfId="0" applyAlignment="1" applyFill="1" applyFont="1">
      <alignment horizontal="left" shrinkToFit="0" vertical="center" wrapText="0"/>
    </xf>
    <xf borderId="0" fillId="5" fontId="1" numFmtId="0" xfId="0" applyAlignment="1" applyFont="1">
      <alignment horizontal="left" shrinkToFit="0" vertical="center" wrapText="0"/>
    </xf>
    <xf borderId="0" fillId="20" fontId="39" numFmtId="49" xfId="0" applyAlignment="1" applyFont="1" applyNumberFormat="1">
      <alignment horizontal="left" shrinkToFit="0" vertical="center" wrapText="0"/>
    </xf>
    <xf borderId="0" fillId="20" fontId="52" numFmtId="2" xfId="0" applyAlignment="1" applyFont="1" applyNumberFormat="1">
      <alignment horizontal="left" shrinkToFit="0" vertical="center" wrapText="1"/>
    </xf>
    <xf borderId="0" fillId="20" fontId="39" numFmtId="49" xfId="0" applyAlignment="1" applyFont="1" applyNumberFormat="1">
      <alignment horizontal="left" shrinkToFit="0" vertical="center" wrapText="1"/>
    </xf>
    <xf borderId="0" fillId="20" fontId="1" numFmtId="0" xfId="0" applyFont="1"/>
    <xf borderId="0" fillId="20" fontId="21" numFmtId="49" xfId="0" applyAlignment="1" applyFont="1" applyNumberFormat="1">
      <alignment horizontal="left" shrinkToFit="0" vertical="center" wrapText="1"/>
    </xf>
    <xf borderId="0" fillId="20" fontId="39" numFmtId="2" xfId="0" applyAlignment="1" applyFont="1" applyNumberFormat="1">
      <alignment horizontal="left" shrinkToFit="0" vertical="center" wrapText="1"/>
    </xf>
    <xf borderId="7" fillId="9" fontId="5" numFmtId="0" xfId="0" applyAlignment="1" applyBorder="1" applyFont="1">
      <alignment horizontal="center"/>
    </xf>
    <xf borderId="34" fillId="18" fontId="1" numFmtId="0" xfId="0" applyAlignment="1" applyBorder="1" applyFont="1">
      <alignment horizontal="center"/>
    </xf>
    <xf borderId="0" fillId="20" fontId="53" numFmtId="0" xfId="0" applyAlignment="1" applyFont="1">
      <alignment horizontal="left" shrinkToFit="0" vertical="center" wrapText="0"/>
    </xf>
    <xf borderId="0" fillId="5" fontId="54" numFmtId="0" xfId="0" applyAlignment="1" applyFont="1">
      <alignment horizontal="left" shrinkToFit="0" vertical="center" wrapText="0"/>
    </xf>
    <xf borderId="45" fillId="18" fontId="1" numFmtId="0" xfId="0" applyAlignment="1" applyBorder="1" applyFont="1">
      <alignment horizontal="center"/>
    </xf>
    <xf borderId="0" fillId="20" fontId="1" numFmtId="0" xfId="0" applyAlignment="1" applyFont="1">
      <alignment horizontal="left" shrinkToFit="0" wrapText="0"/>
    </xf>
    <xf borderId="0" fillId="5" fontId="1" numFmtId="0" xfId="0" applyAlignment="1" applyFont="1">
      <alignment horizontal="left" shrinkToFit="0" wrapText="0"/>
    </xf>
    <xf borderId="0" fillId="20" fontId="55" numFmtId="49" xfId="0" applyAlignment="1" applyFont="1" applyNumberFormat="1">
      <alignment horizontal="center"/>
    </xf>
    <xf borderId="0" fillId="20" fontId="56" numFmtId="49" xfId="0" applyAlignment="1" applyFont="1" applyNumberFormat="1">
      <alignment horizontal="left" shrinkToFit="0" vertical="center" wrapText="1"/>
    </xf>
    <xf borderId="0" fillId="20" fontId="57" numFmtId="2" xfId="0" applyFont="1" applyNumberFormat="1"/>
    <xf borderId="0" fillId="20" fontId="39" numFmtId="2" xfId="0" applyFont="1" applyNumberFormat="1"/>
    <xf borderId="7" fillId="18" fontId="1" numFmtId="0" xfId="0" applyAlignment="1" applyBorder="1" applyFont="1">
      <alignment horizontal="center"/>
    </xf>
    <xf borderId="34" fillId="9" fontId="5" numFmtId="0" xfId="0" applyAlignment="1" applyBorder="1" applyFont="1">
      <alignment horizontal="center"/>
    </xf>
    <xf borderId="25" fillId="16" fontId="1" numFmtId="49" xfId="0" applyAlignment="1" applyBorder="1" applyFont="1" applyNumberFormat="1">
      <alignment horizontal="center"/>
    </xf>
    <xf borderId="43" fillId="16" fontId="58" numFmtId="49" xfId="0" applyAlignment="1" applyBorder="1" applyFont="1" applyNumberFormat="1">
      <alignment horizontal="left"/>
    </xf>
    <xf borderId="0" fillId="20" fontId="39" numFmtId="49" xfId="0" applyAlignment="1" applyFont="1" applyNumberFormat="1">
      <alignment horizontal="center"/>
    </xf>
    <xf borderId="0" fillId="20" fontId="1" numFmtId="2" xfId="0" applyFont="1" applyNumberFormat="1"/>
    <xf borderId="3" fillId="9" fontId="1" numFmtId="0" xfId="0" applyAlignment="1" applyBorder="1" applyFont="1">
      <alignment horizontal="center"/>
    </xf>
    <xf borderId="19" fillId="18" fontId="5" numFmtId="0" xfId="0" applyAlignment="1" applyBorder="1" applyFont="1">
      <alignment horizontal="center"/>
    </xf>
    <xf borderId="24" fillId="0" fontId="1" numFmtId="49" xfId="0" applyAlignment="1" applyBorder="1" applyFont="1" applyNumberFormat="1">
      <alignment horizontal="center"/>
    </xf>
    <xf borderId="25" fillId="16" fontId="59" numFmtId="0" xfId="0" applyAlignment="1" applyBorder="1" applyFont="1">
      <alignment horizontal="left" shrinkToFit="0" wrapText="0"/>
    </xf>
    <xf borderId="0" fillId="5" fontId="60" numFmtId="0" xfId="0" applyAlignment="1" applyFont="1">
      <alignment horizontal="left" shrinkToFit="0" wrapText="0"/>
    </xf>
    <xf borderId="43" fillId="18" fontId="1" numFmtId="0" xfId="0" applyAlignment="1" applyBorder="1" applyFont="1">
      <alignment horizontal="center"/>
    </xf>
    <xf borderId="0" fillId="20" fontId="45" numFmtId="2" xfId="0" applyAlignment="1" applyFont="1" applyNumberFormat="1">
      <alignment horizontal="left" shrinkToFit="0" vertical="center" wrapText="0"/>
    </xf>
    <xf borderId="7" fillId="2" fontId="1" numFmtId="0" xfId="0" applyAlignment="1" applyBorder="1" applyFont="1">
      <alignment horizontal="center"/>
    </xf>
    <xf borderId="43" fillId="2" fontId="46" numFmtId="0" xfId="0" applyAlignment="1" applyBorder="1" applyFont="1">
      <alignment horizontal="center"/>
    </xf>
    <xf borderId="34" fillId="0" fontId="15" numFmtId="0" xfId="0" applyBorder="1" applyFont="1"/>
    <xf borderId="43" fillId="2" fontId="46" numFmtId="49" xfId="0" applyAlignment="1" applyBorder="1" applyFont="1" applyNumberFormat="1">
      <alignment horizontal="center"/>
    </xf>
    <xf borderId="44" fillId="2" fontId="26" numFmtId="0" xfId="0" applyAlignment="1" applyBorder="1" applyFont="1">
      <alignment horizontal="left" shrinkToFit="0" wrapText="0"/>
    </xf>
    <xf borderId="0" fillId="20" fontId="21" numFmtId="49" xfId="0" applyFont="1" applyNumberFormat="1"/>
    <xf borderId="3" fillId="9" fontId="5" numFmtId="0" xfId="0" applyAlignment="1" applyBorder="1" applyFont="1">
      <alignment horizontal="center"/>
    </xf>
    <xf borderId="19" fillId="18" fontId="1" numFmtId="0" xfId="0" applyAlignment="1" applyBorder="1" applyFont="1">
      <alignment horizontal="center"/>
    </xf>
    <xf borderId="7" fillId="18" fontId="5" numFmtId="0" xfId="0" applyAlignment="1" applyBorder="1" applyFont="1">
      <alignment horizontal="center"/>
    </xf>
    <xf borderId="44" fillId="9" fontId="5" numFmtId="0" xfId="0" applyAlignment="1" applyBorder="1" applyFont="1">
      <alignment horizontal="center"/>
    </xf>
    <xf borderId="46" fillId="18" fontId="1" numFmtId="0" xfId="0" applyAlignment="1" applyBorder="1" applyFont="1">
      <alignment horizontal="center"/>
    </xf>
    <xf borderId="41" fillId="9" fontId="5" numFmtId="0" xfId="0" applyAlignment="1" applyBorder="1" applyFont="1">
      <alignment horizontal="center"/>
    </xf>
    <xf borderId="45" fillId="9" fontId="5" numFmtId="0" xfId="0" applyAlignment="1" applyBorder="1" applyFont="1">
      <alignment horizontal="center"/>
    </xf>
    <xf borderId="43" fillId="16" fontId="61" numFmtId="49" xfId="0" applyAlignment="1" applyBorder="1" applyFont="1" applyNumberFormat="1">
      <alignment horizontal="left" shrinkToFit="0" wrapText="0"/>
    </xf>
    <xf borderId="34" fillId="0" fontId="1" numFmtId="49" xfId="0" applyAlignment="1" applyBorder="1" applyFont="1" applyNumberFormat="1">
      <alignment horizontal="center" vertical="bottom"/>
    </xf>
    <xf borderId="10" fillId="0" fontId="1" numFmtId="49" xfId="0" applyAlignment="1" applyBorder="1" applyFont="1" applyNumberFormat="1">
      <alignment horizontal="center"/>
    </xf>
    <xf borderId="44" fillId="18" fontId="1" numFmtId="0" xfId="0" applyAlignment="1" applyBorder="1" applyFont="1">
      <alignment horizontal="center"/>
    </xf>
    <xf borderId="46" fillId="9" fontId="39" numFmtId="0" xfId="0" applyAlignment="1" applyBorder="1" applyFont="1">
      <alignment horizontal="center"/>
    </xf>
    <xf borderId="3" fillId="18" fontId="1" numFmtId="0" xfId="0" applyAlignment="1" applyBorder="1" applyFont="1">
      <alignment horizontal="center"/>
    </xf>
    <xf borderId="11" fillId="9" fontId="39" numFmtId="0" xfId="0" applyAlignment="1" applyBorder="1" applyFont="1">
      <alignment horizontal="center"/>
    </xf>
    <xf borderId="11" fillId="0" fontId="1" numFmtId="49" xfId="0" applyAlignment="1" applyBorder="1" applyFont="1" applyNumberFormat="1">
      <alignment horizontal="center"/>
    </xf>
    <xf borderId="0" fillId="16" fontId="1" numFmtId="49" xfId="0" applyAlignment="1" applyFont="1" applyNumberFormat="1">
      <alignment horizontal="center"/>
    </xf>
    <xf borderId="0" fillId="16" fontId="62" numFmtId="49" xfId="0" applyAlignment="1" applyFont="1" applyNumberFormat="1">
      <alignment horizontal="left" shrinkToFit="0" wrapText="0"/>
    </xf>
    <xf borderId="3" fillId="21" fontId="1" numFmtId="0" xfId="0" applyAlignment="1" applyBorder="1" applyFill="1" applyFont="1">
      <alignment horizontal="center"/>
    </xf>
    <xf borderId="0" fillId="21" fontId="1" numFmtId="0" xfId="0" applyFont="1"/>
    <xf borderId="0" fillId="20" fontId="63" numFmtId="0" xfId="0" applyAlignment="1" applyFont="1">
      <alignment horizontal="left" shrinkToFit="0" wrapText="0"/>
    </xf>
    <xf borderId="44" fillId="9" fontId="1" numFmtId="0" xfId="0" applyAlignment="1" applyBorder="1" applyFont="1">
      <alignment horizontal="center"/>
    </xf>
    <xf borderId="34" fillId="18" fontId="5" numFmtId="0" xfId="0" applyAlignment="1" applyBorder="1" applyFont="1">
      <alignment horizontal="center"/>
    </xf>
    <xf borderId="7" fillId="9" fontId="39" numFmtId="0" xfId="0" applyAlignment="1" applyBorder="1" applyFont="1">
      <alignment horizontal="center"/>
    </xf>
    <xf borderId="34" fillId="18" fontId="21" numFmtId="0" xfId="0" applyAlignment="1" applyBorder="1" applyFont="1">
      <alignment horizontal="center"/>
    </xf>
    <xf borderId="42" fillId="0" fontId="21" numFmtId="49" xfId="0" applyAlignment="1" applyBorder="1" applyFont="1" applyNumberFormat="1">
      <alignment horizontal="center"/>
    </xf>
    <xf borderId="43" fillId="16" fontId="21" numFmtId="49" xfId="0" applyAlignment="1" applyBorder="1" applyFont="1" applyNumberFormat="1">
      <alignment horizontal="center"/>
    </xf>
    <xf borderId="43" fillId="16" fontId="64" numFmtId="49" xfId="0" applyAlignment="1" applyBorder="1" applyFont="1" applyNumberFormat="1">
      <alignment horizontal="left" shrinkToFit="0" wrapText="0"/>
    </xf>
    <xf borderId="11" fillId="18" fontId="1" numFmtId="0" xfId="0" applyAlignment="1" applyBorder="1" applyFont="1">
      <alignment horizontal="center"/>
    </xf>
    <xf borderId="39" fillId="0" fontId="1" numFmtId="49" xfId="0" applyAlignment="1" applyBorder="1" applyFont="1" applyNumberFormat="1">
      <alignment horizontal="center"/>
    </xf>
    <xf borderId="19" fillId="16" fontId="1" numFmtId="49" xfId="0" applyAlignment="1" applyBorder="1" applyFont="1" applyNumberFormat="1">
      <alignment horizontal="center"/>
    </xf>
    <xf borderId="19" fillId="16" fontId="65" numFmtId="49" xfId="0" applyAlignment="1" applyBorder="1" applyFont="1" applyNumberFormat="1">
      <alignment horizontal="left" shrinkToFit="0" wrapText="0"/>
    </xf>
    <xf borderId="42" fillId="0" fontId="1" numFmtId="165" xfId="0" applyAlignment="1" applyBorder="1" applyFont="1" applyNumberFormat="1">
      <alignment horizontal="center"/>
    </xf>
    <xf borderId="7" fillId="9" fontId="1" numFmtId="0" xfId="0" applyAlignment="1" applyBorder="1" applyFont="1">
      <alignment horizontal="center"/>
    </xf>
    <xf borderId="0" fillId="20" fontId="21" numFmtId="0" xfId="0" applyAlignment="1" applyFont="1">
      <alignment horizontal="left" shrinkToFit="0" wrapText="0"/>
    </xf>
    <xf borderId="45" fillId="18" fontId="5" numFmtId="0" xfId="0" applyAlignment="1" applyBorder="1" applyFont="1">
      <alignment horizontal="center"/>
    </xf>
    <xf borderId="44" fillId="16" fontId="1" numFmtId="49" xfId="0" applyAlignment="1" applyBorder="1" applyFont="1" applyNumberFormat="1">
      <alignment horizontal="center"/>
    </xf>
    <xf borderId="7" fillId="16" fontId="66" numFmtId="0" xfId="0" applyAlignment="1" applyBorder="1" applyFont="1">
      <alignment horizontal="left" shrinkToFit="0" wrapText="0"/>
    </xf>
    <xf borderId="45" fillId="2" fontId="5" numFmtId="0" xfId="0" applyAlignment="1" applyBorder="1" applyFont="1">
      <alignment horizontal="center"/>
    </xf>
    <xf borderId="42" fillId="2" fontId="1" numFmtId="49" xfId="0" applyAlignment="1" applyBorder="1" applyFont="1" applyNumberFormat="1">
      <alignment horizontal="center"/>
    </xf>
    <xf borderId="44" fillId="2" fontId="1" numFmtId="49" xfId="0" applyAlignment="1" applyBorder="1" applyFont="1" applyNumberFormat="1">
      <alignment horizontal="center"/>
    </xf>
    <xf borderId="7" fillId="2" fontId="1" numFmtId="0" xfId="0" applyAlignment="1" applyBorder="1" applyFont="1">
      <alignment horizontal="left" shrinkToFit="0" wrapText="0"/>
    </xf>
    <xf borderId="0" fillId="2" fontId="21" numFmtId="0" xfId="0" applyAlignment="1" applyFont="1">
      <alignment horizontal="left" shrinkToFit="0" wrapText="0"/>
    </xf>
    <xf borderId="0" fillId="2" fontId="67" numFmtId="0" xfId="0" applyAlignment="1" applyFont="1">
      <alignment horizontal="left" shrinkToFit="0" wrapText="0"/>
    </xf>
    <xf borderId="0" fillId="2" fontId="68" numFmtId="49" xfId="0" applyAlignment="1" applyFont="1" applyNumberFormat="1">
      <alignment horizontal="center"/>
    </xf>
    <xf borderId="0" fillId="2" fontId="69" numFmtId="2" xfId="0" applyFont="1" applyNumberFormat="1"/>
    <xf borderId="0" fillId="2" fontId="39" numFmtId="2" xfId="0" applyFont="1" applyNumberFormat="1"/>
    <xf borderId="0" fillId="2" fontId="21" numFmtId="49" xfId="0" applyFont="1" applyNumberFormat="1"/>
    <xf borderId="0" fillId="16" fontId="70" numFmtId="0" xfId="0" applyAlignment="1" applyFont="1">
      <alignment horizontal="left" shrinkToFit="0" wrapText="0"/>
    </xf>
    <xf borderId="0" fillId="2" fontId="71" numFmtId="0" xfId="0" applyAlignment="1" applyFont="1">
      <alignment horizontal="center" shrinkToFit="0" textRotation="255" vertical="center" wrapText="0"/>
    </xf>
    <xf borderId="47" fillId="0" fontId="1" numFmtId="49" xfId="0" applyAlignment="1" applyBorder="1" applyFont="1" applyNumberFormat="1">
      <alignment horizontal="center"/>
    </xf>
    <xf borderId="48" fillId="16" fontId="1" numFmtId="49" xfId="0" applyAlignment="1" applyBorder="1" applyFont="1" applyNumberFormat="1">
      <alignment horizontal="center"/>
    </xf>
    <xf borderId="0" fillId="2" fontId="72" numFmtId="0" xfId="0" applyAlignment="1" applyFont="1">
      <alignment horizontal="center" shrinkToFit="0" textRotation="255" vertical="center" wrapText="0"/>
    </xf>
    <xf borderId="49" fillId="9" fontId="5" numFmtId="0" xfId="0" applyAlignment="1" applyBorder="1" applyFont="1">
      <alignment horizontal="center"/>
    </xf>
    <xf borderId="23" fillId="18" fontId="1" numFmtId="0" xfId="0" applyAlignment="1" applyBorder="1" applyFont="1">
      <alignment horizontal="center"/>
    </xf>
    <xf borderId="43" fillId="0" fontId="1" numFmtId="49" xfId="0" applyAlignment="1" applyBorder="1" applyFont="1" applyNumberFormat="1">
      <alignment horizontal="center"/>
    </xf>
    <xf borderId="11" fillId="18" fontId="5" numFmtId="0" xfId="0" applyAlignment="1" applyBorder="1" applyFont="1">
      <alignment horizontal="center"/>
    </xf>
    <xf borderId="16" fillId="0" fontId="1" numFmtId="49" xfId="0" applyAlignment="1" applyBorder="1" applyFont="1" applyNumberFormat="1">
      <alignment horizontal="center"/>
    </xf>
    <xf borderId="7" fillId="16" fontId="1" numFmtId="0" xfId="0" applyAlignment="1" applyBorder="1" applyFont="1">
      <alignment horizontal="left" shrinkToFit="0" wrapText="0"/>
    </xf>
    <xf borderId="0" fillId="22" fontId="1" numFmtId="0" xfId="0" applyAlignment="1" applyFill="1" applyFont="1">
      <alignment horizontal="left" shrinkToFit="0" wrapText="0"/>
    </xf>
    <xf borderId="0" fillId="20" fontId="39" numFmtId="49" xfId="0" applyFont="1" applyNumberFormat="1"/>
    <xf borderId="7" fillId="16" fontId="73" numFmtId="0" xfId="0" applyAlignment="1" applyBorder="1" applyFont="1">
      <alignment horizontal="left" shrinkToFit="0" wrapText="0"/>
    </xf>
    <xf borderId="46" fillId="18" fontId="5" numFmtId="0" xfId="0" applyAlignment="1" applyBorder="1" applyFont="1">
      <alignment horizontal="center"/>
    </xf>
    <xf borderId="0" fillId="2" fontId="1" numFmtId="2" xfId="0" applyFont="1" applyNumberFormat="1"/>
    <xf borderId="19" fillId="0" fontId="1" numFmtId="49" xfId="0" applyAlignment="1" applyBorder="1" applyFont="1" applyNumberFormat="1">
      <alignment horizontal="center"/>
    </xf>
    <xf borderId="22" fillId="18" fontId="1" numFmtId="0" xfId="0" applyAlignment="1" applyBorder="1" applyFont="1">
      <alignment horizontal="center"/>
    </xf>
    <xf borderId="0" fillId="0" fontId="1" numFmtId="49" xfId="0" applyAlignment="1" applyFont="1" applyNumberFormat="1">
      <alignment horizontal="center"/>
    </xf>
    <xf borderId="22" fillId="18" fontId="5" numFmtId="0" xfId="0" applyAlignment="1" applyBorder="1" applyFont="1">
      <alignment horizontal="center"/>
    </xf>
    <xf borderId="3" fillId="2" fontId="1" numFmtId="0" xfId="0" applyAlignment="1" applyBorder="1" applyFont="1">
      <alignment horizontal="center" vertical="bottom"/>
    </xf>
    <xf borderId="22" fillId="2" fontId="1" numFmtId="0" xfId="0" applyAlignment="1" applyBorder="1" applyFont="1">
      <alignment horizontal="center" vertical="bottom"/>
    </xf>
    <xf borderId="11" fillId="2" fontId="1" numFmtId="49" xfId="0" applyAlignment="1" applyBorder="1" applyFont="1" applyNumberFormat="1">
      <alignment horizontal="center" vertical="bottom"/>
    </xf>
    <xf borderId="0" fillId="2" fontId="1" numFmtId="49" xfId="0" applyAlignment="1" applyFont="1" applyNumberFormat="1">
      <alignment horizontal="center" vertical="bottom"/>
    </xf>
    <xf borderId="0" fillId="2" fontId="1" numFmtId="0" xfId="0" applyAlignment="1" applyFont="1">
      <alignment horizontal="left" shrinkToFit="0" vertical="bottom" wrapText="0"/>
    </xf>
    <xf borderId="0" fillId="2" fontId="1" numFmtId="0" xfId="0" applyAlignment="1" applyFont="1">
      <alignment horizontal="left" shrinkToFit="0" wrapText="0"/>
    </xf>
    <xf borderId="0" fillId="2" fontId="39" numFmtId="49" xfId="0" applyAlignment="1" applyFont="1" applyNumberFormat="1">
      <alignment horizontal="center"/>
    </xf>
    <xf borderId="0" fillId="2" fontId="39" numFmtId="49" xfId="0" applyFont="1" applyNumberFormat="1"/>
    <xf borderId="0" fillId="20" fontId="74" numFmtId="2" xfId="0" applyAlignment="1" applyFont="1" applyNumberFormat="1">
      <alignment horizontal="left" shrinkToFit="0" vertical="center" wrapText="1"/>
    </xf>
    <xf borderId="41" fillId="9" fontId="1" numFmtId="0" xfId="0" applyAlignment="1" applyBorder="1" applyFont="1">
      <alignment horizontal="center"/>
    </xf>
    <xf borderId="0" fillId="5" fontId="1" numFmtId="0" xfId="0" applyFont="1"/>
    <xf borderId="46" fillId="18" fontId="39" numFmtId="0" xfId="0" applyAlignment="1" applyBorder="1" applyFont="1">
      <alignment horizontal="center"/>
    </xf>
    <xf borderId="46" fillId="18" fontId="21" numFmtId="0" xfId="0" applyAlignment="1" applyBorder="1" applyFont="1">
      <alignment horizontal="center"/>
    </xf>
    <xf borderId="0" fillId="16" fontId="1" numFmtId="0" xfId="0" applyAlignment="1" applyFont="1">
      <alignment horizontal="left" shrinkToFit="0" wrapText="0"/>
    </xf>
    <xf borderId="17" fillId="18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2" fontId="21" numFmtId="0" xfId="0" applyAlignment="1" applyFont="1">
      <alignment horizontal="center"/>
    </xf>
    <xf borderId="0" fillId="7" fontId="75" numFmtId="166" xfId="0" applyAlignment="1" applyFont="1" applyNumberFormat="1">
      <alignment horizontal="center" shrinkToFit="0" textRotation="255" vertical="center" wrapText="0"/>
    </xf>
    <xf borderId="0" fillId="2" fontId="26" numFmtId="0" xfId="0" applyAlignment="1" applyFont="1">
      <alignment horizontal="center" shrinkToFit="0" vertical="top" wrapText="1"/>
    </xf>
    <xf borderId="20" fillId="23" fontId="1" numFmtId="0" xfId="0" applyAlignment="1" applyBorder="1" applyFill="1" applyFont="1">
      <alignment horizontal="center" shrinkToFit="0" vertical="center" wrapText="1"/>
    </xf>
    <xf borderId="41" fillId="0" fontId="15" numFmtId="0" xfId="0" applyBorder="1" applyFont="1"/>
    <xf borderId="0" fillId="7" fontId="75" numFmtId="167" xfId="0" applyAlignment="1" applyFont="1" applyNumberFormat="1">
      <alignment horizontal="center" shrinkToFit="0" textRotation="255" vertical="center" wrapText="0"/>
    </xf>
    <xf borderId="0" fillId="7" fontId="75" numFmtId="0" xfId="0" applyAlignment="1" applyFont="1">
      <alignment horizontal="center" shrinkToFit="0" textRotation="255" vertical="center" wrapText="0"/>
    </xf>
    <xf borderId="0" fillId="2" fontId="21" numFmtId="0" xfId="0" applyAlignment="1" applyFont="1">
      <alignment horizontal="center" shrinkToFit="0" vertical="top" wrapText="1"/>
    </xf>
    <xf borderId="50" fillId="0" fontId="15" numFmtId="0" xfId="0" applyBorder="1" applyFont="1"/>
    <xf borderId="49" fillId="0" fontId="15" numFmtId="0" xfId="0" applyBorder="1" applyFont="1"/>
    <xf borderId="41" fillId="18" fontId="1" numFmtId="0" xfId="0" applyAlignment="1" applyBorder="1" applyFont="1">
      <alignment horizontal="center"/>
    </xf>
    <xf borderId="0" fillId="7" fontId="5" numFmtId="0" xfId="0" applyAlignment="1" applyFont="1">
      <alignment horizontal="center" vertical="center"/>
    </xf>
    <xf borderId="20" fillId="24" fontId="23" numFmtId="0" xfId="0" applyAlignment="1" applyBorder="1" applyFill="1" applyFont="1">
      <alignment horizontal="center" shrinkToFit="0" vertical="center" wrapText="1"/>
    </xf>
    <xf borderId="17" fillId="23" fontId="1" numFmtId="0" xfId="0" applyAlignment="1" applyBorder="1" applyFont="1">
      <alignment horizontal="center" shrinkToFit="0" vertical="center" wrapText="1"/>
    </xf>
    <xf borderId="35" fillId="0" fontId="15" numFmtId="0" xfId="0" applyBorder="1" applyFont="1"/>
    <xf borderId="3" fillId="7" fontId="5" numFmtId="0" xfId="0" applyAlignment="1" applyBorder="1" applyFont="1">
      <alignment horizontal="center" vertical="center"/>
    </xf>
    <xf borderId="17" fillId="24" fontId="23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horizontal="center" shrinkToFit="0" vertical="top" wrapText="1"/>
    </xf>
    <xf borderId="0" fillId="2" fontId="26" numFmtId="0" xfId="0" applyAlignment="1" applyFont="1">
      <alignment horizontal="center"/>
    </xf>
    <xf borderId="17" fillId="23" fontId="5" numFmtId="0" xfId="0" applyAlignment="1" applyBorder="1" applyFont="1">
      <alignment horizontal="center" shrinkToFit="0" vertical="center" wrapText="1"/>
    </xf>
    <xf borderId="49" fillId="18" fontId="1" numFmtId="0" xfId="0" applyAlignment="1" applyBorder="1" applyFont="1">
      <alignment horizontal="center"/>
    </xf>
    <xf borderId="3" fillId="0" fontId="15" numFmtId="0" xfId="0" applyBorder="1" applyFont="1"/>
    <xf borderId="0" fillId="18" fontId="1" numFmtId="0" xfId="0" applyAlignment="1" applyFont="1">
      <alignment horizontal="center" vertical="center"/>
    </xf>
    <xf borderId="0" fillId="2" fontId="76" numFmtId="0" xfId="0" applyAlignment="1" applyFont="1">
      <alignment horizontal="center" shrinkToFit="0" vertical="center" wrapText="1"/>
    </xf>
    <xf borderId="0" fillId="2" fontId="75" numFmtId="167" xfId="0" applyAlignment="1" applyFont="1" applyNumberFormat="1">
      <alignment horizontal="center" shrinkToFit="0" textRotation="255" vertical="center" wrapText="0"/>
    </xf>
    <xf borderId="0" fillId="7" fontId="1" numFmtId="0" xfId="0" applyAlignment="1" applyFont="1">
      <alignment horizontal="center" vertical="center"/>
    </xf>
    <xf borderId="0" fillId="7" fontId="21" numFmtId="0" xfId="0" applyAlignment="1" applyFont="1">
      <alignment horizontal="center"/>
    </xf>
    <xf borderId="0" fillId="7" fontId="39" numFmtId="0" xfId="0" applyAlignment="1" applyFont="1">
      <alignment horizontal="center"/>
    </xf>
    <xf borderId="0" fillId="7" fontId="77" numFmtId="0" xfId="0" applyAlignment="1" applyFont="1">
      <alignment horizontal="center"/>
    </xf>
    <xf borderId="19" fillId="2" fontId="1" numFmtId="0" xfId="0" applyAlignment="1" applyBorder="1" applyFont="1">
      <alignment horizontal="center"/>
    </xf>
    <xf borderId="19" fillId="7" fontId="1" numFmtId="0" xfId="0" applyAlignment="1" applyBorder="1" applyFont="1">
      <alignment horizontal="center" vertical="center"/>
    </xf>
    <xf borderId="19" fillId="7" fontId="39" numFmtId="0" xfId="0" applyAlignment="1" applyBorder="1" applyFont="1">
      <alignment horizontal="center"/>
    </xf>
    <xf borderId="0" fillId="2" fontId="78" numFmtId="0" xfId="0" applyAlignment="1" applyFont="1">
      <alignment horizontal="center"/>
    </xf>
    <xf borderId="0" fillId="4" fontId="1" numFmtId="0" xfId="0" applyAlignment="1" applyFont="1">
      <alignment horizontal="left" vertical="center"/>
    </xf>
    <xf borderId="0" fillId="4" fontId="1" numFmtId="3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9" xfId="0" applyFont="1" applyNumberFormat="1"/>
    <xf borderId="0" fillId="4" fontId="1" numFmtId="0" xfId="0" applyAlignment="1" applyFont="1">
      <alignment horizontal="center"/>
    </xf>
    <xf borderId="0" fillId="4" fontId="23" numFmtId="0" xfId="0" applyAlignment="1" applyFont="1">
      <alignment horizontal="left" vertical="center"/>
    </xf>
    <xf borderId="0" fillId="4" fontId="23" numFmtId="0" xfId="0" applyAlignment="1" applyFont="1">
      <alignment horizontal="center"/>
    </xf>
    <xf borderId="0" fillId="0" fontId="23" numFmtId="9" xfId="0" applyFont="1" applyNumberFormat="1"/>
    <xf borderId="0" fillId="4" fontId="23" numFmtId="3" xfId="0" applyAlignment="1" applyFont="1" applyNumberFormat="1">
      <alignment horizontal="left" vertical="center"/>
    </xf>
    <xf borderId="0" fillId="0" fontId="1" numFmtId="0" xfId="0" applyAlignment="1" applyFont="1">
      <alignment vertical="bottom"/>
    </xf>
    <xf borderId="30" fillId="0" fontId="1" numFmtId="0" xfId="0" applyAlignment="1" applyBorder="1" applyFont="1">
      <alignment horizontal="center"/>
    </xf>
    <xf borderId="51" fillId="0" fontId="5" numFmtId="49" xfId="0" applyAlignment="1" applyBorder="1" applyFont="1" applyNumberFormat="1">
      <alignment horizontal="center" shrinkToFit="0" vertical="center" wrapText="1"/>
    </xf>
    <xf borderId="14" fillId="0" fontId="5" numFmtId="49" xfId="0" applyAlignment="1" applyBorder="1" applyFont="1" applyNumberFormat="1">
      <alignment horizontal="center" shrinkToFit="0" vertical="center" wrapText="1"/>
    </xf>
    <xf borderId="0" fillId="0" fontId="1" numFmtId="49" xfId="0" applyAlignment="1" applyFont="1" applyNumberFormat="1">
      <alignment vertical="bottom"/>
    </xf>
    <xf borderId="0" fillId="0" fontId="5" numFmtId="49" xfId="0" applyAlignment="1" applyFont="1" applyNumberFormat="1">
      <alignment horizontal="center" vertical="bottom"/>
    </xf>
    <xf borderId="0" fillId="3" fontId="11" numFmtId="0" xfId="0" applyAlignment="1" applyFont="1">
      <alignment horizontal="center" vertical="bottom"/>
    </xf>
    <xf borderId="52" fillId="3" fontId="11" numFmtId="0" xfId="0" applyAlignment="1" applyBorder="1" applyFont="1">
      <alignment horizontal="center" vertical="bottom"/>
    </xf>
    <xf borderId="53" fillId="16" fontId="79" numFmtId="49" xfId="0" applyAlignment="1" applyBorder="1" applyFont="1" applyNumberFormat="1">
      <alignment shrinkToFit="0" wrapText="0"/>
    </xf>
    <xf borderId="53" fillId="8" fontId="1" numFmtId="49" xfId="0" applyBorder="1" applyFont="1" applyNumberFormat="1"/>
    <xf borderId="54" fillId="8" fontId="1" numFmtId="49" xfId="0" applyBorder="1" applyFont="1" applyNumberFormat="1"/>
    <xf borderId="0" fillId="8" fontId="1" numFmtId="0" xfId="0" applyAlignment="1" applyFont="1">
      <alignment horizontal="center"/>
    </xf>
    <xf borderId="55" fillId="0" fontId="1" numFmtId="0" xfId="0" applyAlignment="1" applyBorder="1" applyFont="1">
      <alignment vertical="bottom"/>
    </xf>
    <xf borderId="56" fillId="0" fontId="5" numFmtId="49" xfId="0" applyAlignment="1" applyBorder="1" applyFont="1" applyNumberFormat="1">
      <alignment horizontal="center" vertical="bottom"/>
    </xf>
    <xf borderId="57" fillId="0" fontId="5" numFmtId="49" xfId="0" applyAlignment="1" applyBorder="1" applyFont="1" applyNumberFormat="1">
      <alignment horizontal="center" vertical="bottom"/>
    </xf>
    <xf borderId="0" fillId="0" fontId="5" numFmtId="0" xfId="0" applyAlignment="1" applyFont="1">
      <alignment horizontal="center" vertical="bottom"/>
    </xf>
    <xf borderId="0" fillId="4" fontId="12" numFmtId="0" xfId="0" applyAlignment="1" applyFont="1">
      <alignment horizontal="center" vertical="bottom"/>
    </xf>
    <xf borderId="16" fillId="4" fontId="12" numFmtId="0" xfId="0" applyAlignment="1" applyBorder="1" applyFont="1">
      <alignment horizontal="center" vertical="bottom"/>
    </xf>
    <xf borderId="54" fillId="16" fontId="79" numFmtId="49" xfId="0" applyAlignment="1" applyBorder="1" applyFont="1" applyNumberFormat="1">
      <alignment shrinkToFit="0" wrapText="0"/>
    </xf>
    <xf borderId="0" fillId="16" fontId="79" numFmtId="0" xfId="0" applyAlignment="1" applyFont="1">
      <alignment horizontal="center" shrinkToFit="0" wrapText="0"/>
    </xf>
    <xf borderId="58" fillId="0" fontId="1" numFmtId="0" xfId="0" applyAlignment="1" applyBorder="1" applyFont="1">
      <alignment vertical="bottom"/>
    </xf>
    <xf borderId="0" fillId="25" fontId="1" numFmtId="49" xfId="0" applyAlignment="1" applyFill="1" applyFont="1" applyNumberFormat="1">
      <alignment horizontal="center" vertical="bottom"/>
    </xf>
    <xf borderId="0" fillId="5" fontId="1" numFmtId="49" xfId="0" applyAlignment="1" applyFont="1" applyNumberFormat="1">
      <alignment horizontal="center" vertical="bottom"/>
    </xf>
    <xf borderId="11" fillId="25" fontId="1" numFmtId="49" xfId="0" applyAlignment="1" applyBorder="1" applyFont="1" applyNumberFormat="1">
      <alignment horizontal="center" vertical="bottom"/>
    </xf>
    <xf borderId="0" fillId="0" fontId="1" numFmtId="0" xfId="0" applyAlignment="1" applyFont="1">
      <alignment horizontal="left" vertical="bottom"/>
    </xf>
    <xf borderId="0" fillId="3" fontId="13" numFmtId="0" xfId="0" applyAlignment="1" applyFont="1">
      <alignment horizontal="center" vertical="bottom"/>
    </xf>
    <xf borderId="16" fillId="3" fontId="13" numFmtId="0" xfId="0" applyAlignment="1" applyBorder="1" applyFont="1">
      <alignment horizontal="center" vertical="bottom"/>
    </xf>
    <xf borderId="53" fillId="16" fontId="79" numFmtId="0" xfId="0" applyAlignment="1" applyBorder="1" applyFont="1">
      <alignment shrinkToFit="0" wrapText="0"/>
    </xf>
    <xf borderId="0" fillId="5" fontId="1" numFmtId="165" xfId="0" applyAlignment="1" applyFont="1" applyNumberFormat="1">
      <alignment horizontal="center" vertical="bottom"/>
    </xf>
    <xf borderId="0" fillId="25" fontId="1" numFmtId="0" xfId="0" applyAlignment="1" applyFont="1">
      <alignment horizontal="center" vertical="bottom"/>
    </xf>
    <xf borderId="0" fillId="0" fontId="13" numFmtId="0" xfId="0" applyAlignment="1" applyFont="1">
      <alignment horizontal="center" vertical="bottom"/>
    </xf>
    <xf borderId="16" fillId="0" fontId="13" numFmtId="0" xfId="0" applyAlignment="1" applyBorder="1" applyFont="1">
      <alignment horizontal="center" vertical="bottom"/>
    </xf>
    <xf borderId="53" fillId="8" fontId="79" numFmtId="49" xfId="0" applyAlignment="1" applyBorder="1" applyFont="1" applyNumberFormat="1">
      <alignment shrinkToFit="0" wrapText="0"/>
    </xf>
    <xf borderId="0" fillId="25" fontId="5" numFmtId="0" xfId="0" applyAlignment="1" applyFont="1">
      <alignment horizontal="center" vertical="bottom"/>
    </xf>
    <xf borderId="0" fillId="3" fontId="80" numFmtId="0" xfId="0" applyAlignment="1" applyFont="1">
      <alignment horizontal="center" shrinkToFit="0" vertical="center" wrapText="1"/>
    </xf>
    <xf borderId="58" fillId="3" fontId="80" numFmtId="0" xfId="0" applyAlignment="1" applyBorder="1" applyFont="1">
      <alignment horizontal="center" shrinkToFit="0" vertical="center" wrapText="1"/>
    </xf>
    <xf borderId="0" fillId="0" fontId="1" numFmtId="49" xfId="0" applyAlignment="1" applyFont="1" applyNumberFormat="1">
      <alignment horizontal="center" vertical="bottom"/>
    </xf>
    <xf borderId="11" fillId="0" fontId="1" numFmtId="49" xfId="0" applyAlignment="1" applyBorder="1" applyFont="1" applyNumberFormat="1">
      <alignment horizontal="center" vertical="bottom"/>
    </xf>
    <xf borderId="0" fillId="0" fontId="1" numFmtId="0" xfId="0" applyAlignment="1" applyFont="1">
      <alignment horizontal="center"/>
    </xf>
    <xf borderId="26" fillId="3" fontId="1" numFmtId="0" xfId="0" applyAlignment="1" applyBorder="1" applyFont="1">
      <alignment horizontal="center"/>
    </xf>
    <xf borderId="28" fillId="5" fontId="79" numFmtId="0" xfId="0" applyAlignment="1" applyBorder="1" applyFont="1">
      <alignment horizontal="center" shrinkToFit="0" wrapText="0"/>
    </xf>
    <xf borderId="28" fillId="26" fontId="1" numFmtId="0" xfId="0" applyAlignment="1" applyBorder="1" applyFill="1" applyFont="1">
      <alignment horizontal="center"/>
    </xf>
    <xf borderId="28" fillId="22" fontId="79" numFmtId="0" xfId="0" applyAlignment="1" applyBorder="1" applyFont="1">
      <alignment horizontal="center" shrinkToFit="0" wrapText="0"/>
    </xf>
    <xf borderId="28" fillId="22" fontId="79" numFmtId="49" xfId="0" applyAlignment="1" applyBorder="1" applyFont="1" applyNumberFormat="1">
      <alignment horizontal="center" shrinkToFit="0" vertical="bottom" wrapText="0"/>
    </xf>
    <xf borderId="12" fillId="22" fontId="1" numFmtId="49" xfId="0" applyAlignment="1" applyBorder="1" applyFont="1" applyNumberFormat="1">
      <alignment horizontal="center" vertical="bottom"/>
    </xf>
    <xf borderId="0" fillId="22" fontId="1" numFmtId="0" xfId="0" applyAlignment="1" applyFont="1">
      <alignment horizontal="center" vertical="bottom"/>
    </xf>
    <xf borderId="11" fillId="25" fontId="1" numFmtId="0" xfId="0" applyAlignment="1" applyBorder="1" applyFont="1">
      <alignment horizontal="center" vertical="bottom"/>
    </xf>
    <xf borderId="0" fillId="0" fontId="1" numFmtId="0" xfId="0" applyAlignment="1" applyFont="1">
      <alignment horizontal="center" vertical="bottom"/>
    </xf>
    <xf borderId="30" fillId="0" fontId="1" numFmtId="0" xfId="0" applyAlignment="1" applyBorder="1" applyFont="1">
      <alignment horizontal="center" vertical="bottom"/>
    </xf>
    <xf borderId="51" fillId="5" fontId="81" numFmtId="49" xfId="0" applyAlignment="1" applyBorder="1" applyFont="1" applyNumberFormat="1">
      <alignment horizontal="center" shrinkToFit="0" wrapText="0"/>
    </xf>
    <xf borderId="51" fillId="26" fontId="5" numFmtId="49" xfId="0" applyAlignment="1" applyBorder="1" applyFont="1" applyNumberFormat="1">
      <alignment horizontal="center" shrinkToFit="0" wrapText="1"/>
    </xf>
    <xf borderId="51" fillId="22" fontId="81" numFmtId="49" xfId="0" applyAlignment="1" applyBorder="1" applyFont="1" applyNumberFormat="1">
      <alignment horizontal="center" shrinkToFit="0" wrapText="0"/>
    </xf>
    <xf borderId="51" fillId="22" fontId="81" numFmtId="49" xfId="0" applyAlignment="1" applyBorder="1" applyFont="1" applyNumberFormat="1">
      <alignment horizontal="center" shrinkToFit="0" vertical="bottom" wrapText="0"/>
    </xf>
    <xf borderId="14" fillId="22" fontId="5" numFmtId="49" xfId="0" applyAlignment="1" applyBorder="1" applyFont="1" applyNumberFormat="1">
      <alignment horizontal="center" shrinkToFit="0" vertical="bottom" wrapText="1"/>
    </xf>
    <xf borderId="0" fillId="25" fontId="1" numFmtId="49" xfId="0" applyAlignment="1" applyFont="1" applyNumberFormat="1">
      <alignment horizontal="center" vertical="bottom"/>
    </xf>
    <xf borderId="0" fillId="5" fontId="1" numFmtId="49" xfId="0" applyAlignment="1" applyFont="1" applyNumberFormat="1">
      <alignment horizontal="center" vertical="bottom"/>
    </xf>
    <xf borderId="11" fillId="25" fontId="1" numFmtId="49" xfId="0" applyAlignment="1" applyBorder="1" applyFont="1" applyNumberFormat="1">
      <alignment horizontal="center" vertical="bottom"/>
    </xf>
    <xf borderId="0" fillId="0" fontId="5" numFmtId="0" xfId="0" applyAlignment="1" applyFont="1">
      <alignment horizontal="center"/>
    </xf>
    <xf borderId="16" fillId="3" fontId="11" numFmtId="0" xfId="0" applyAlignment="1" applyBorder="1" applyFont="1">
      <alignment horizontal="center" vertical="bottom"/>
    </xf>
    <xf borderId="11" fillId="5" fontId="1" numFmtId="49" xfId="0" applyAlignment="1" applyBorder="1" applyFont="1" applyNumberFormat="1">
      <alignment horizontal="center" vertical="bottom"/>
    </xf>
    <xf borderId="0" fillId="5" fontId="1" numFmtId="0" xfId="0" applyAlignment="1" applyFont="1">
      <alignment horizontal="center" vertical="bottom"/>
    </xf>
    <xf borderId="11" fillId="5" fontId="1" numFmtId="165" xfId="0" applyAlignment="1" applyBorder="1" applyFont="1" applyNumberFormat="1">
      <alignment horizontal="center" vertical="bottom"/>
    </xf>
    <xf borderId="53" fillId="0" fontId="79" numFmtId="49" xfId="0" applyAlignment="1" applyBorder="1" applyFont="1" applyNumberFormat="1">
      <alignment shrinkToFit="0" wrapText="0"/>
    </xf>
    <xf borderId="59" fillId="0" fontId="79" numFmtId="49" xfId="0" applyAlignment="1" applyBorder="1" applyFont="1" applyNumberFormat="1">
      <alignment shrinkToFit="0" wrapText="0"/>
    </xf>
    <xf borderId="0" fillId="0" fontId="79" numFmtId="0" xfId="0" applyAlignment="1" applyFont="1">
      <alignment horizontal="center" shrinkToFit="0" wrapText="0"/>
    </xf>
    <xf borderId="16" fillId="3" fontId="1" numFmtId="0" xfId="0" applyAlignment="1" applyBorder="1" applyFont="1">
      <alignment horizontal="center"/>
    </xf>
    <xf borderId="26" fillId="0" fontId="13" numFmtId="0" xfId="0" applyAlignment="1" applyBorder="1" applyFont="1">
      <alignment horizontal="center" vertical="bottom"/>
    </xf>
    <xf borderId="28" fillId="26" fontId="79" numFmtId="49" xfId="0" applyAlignment="1" applyBorder="1" applyFont="1" applyNumberFormat="1">
      <alignment horizontal="center" shrinkToFit="0" vertical="bottom" wrapText="0"/>
    </xf>
    <xf borderId="28" fillId="5" fontId="79" numFmtId="49" xfId="0" applyAlignment="1" applyBorder="1" applyFont="1" applyNumberFormat="1">
      <alignment horizontal="center" shrinkToFit="0" vertical="bottom" wrapText="0"/>
    </xf>
    <xf borderId="12" fillId="5" fontId="79" numFmtId="49" xfId="0" applyAlignment="1" applyBorder="1" applyFont="1" applyNumberFormat="1">
      <alignment horizontal="center" shrinkToFit="0" vertical="bottom" wrapText="0"/>
    </xf>
    <xf borderId="0" fillId="5" fontId="79" numFmtId="0" xfId="0" applyAlignment="1" applyFont="1">
      <alignment horizontal="center" shrinkToFit="0" vertical="bottom" wrapText="0"/>
    </xf>
    <xf borderId="51" fillId="26" fontId="81" numFmtId="49" xfId="0" applyAlignment="1" applyBorder="1" applyFont="1" applyNumberFormat="1">
      <alignment horizontal="center" shrinkToFit="0" vertical="bottom" wrapText="0"/>
    </xf>
    <xf borderId="51" fillId="5" fontId="81" numFmtId="49" xfId="0" applyAlignment="1" applyBorder="1" applyFont="1" applyNumberFormat="1">
      <alignment horizontal="center" shrinkToFit="0" vertical="bottom" wrapText="0"/>
    </xf>
    <xf borderId="14" fillId="5" fontId="81" numFmtId="49" xfId="0" applyAlignment="1" applyBorder="1" applyFont="1" applyNumberFormat="1">
      <alignment horizontal="center" shrinkToFit="0" vertical="bottom" wrapText="0"/>
    </xf>
    <xf borderId="16" fillId="0" fontId="1" numFmtId="0" xfId="0" applyAlignment="1" applyBorder="1" applyFont="1">
      <alignment vertical="bottom"/>
    </xf>
    <xf borderId="60" fillId="0" fontId="1" numFmtId="0" xfId="0" applyAlignment="1" applyBorder="1" applyFont="1">
      <alignment vertical="bottom"/>
    </xf>
    <xf borderId="28" fillId="5" fontId="1" numFmtId="49" xfId="0" applyAlignment="1" applyBorder="1" applyFont="1" applyNumberFormat="1">
      <alignment horizontal="center" vertical="bottom"/>
    </xf>
    <xf borderId="28" fillId="25" fontId="1" numFmtId="49" xfId="0" applyAlignment="1" applyBorder="1" applyFont="1" applyNumberFormat="1">
      <alignment horizontal="center" vertical="bottom"/>
    </xf>
    <xf borderId="12" fillId="5" fontId="1" numFmtId="49" xfId="0" applyAlignment="1" applyBorder="1" applyFont="1" applyNumberFormat="1">
      <alignment horizontal="center" vertical="bottom"/>
    </xf>
    <xf borderId="0" fillId="0" fontId="79" numFmtId="49" xfId="0" applyAlignment="1" applyFont="1" applyNumberFormat="1">
      <alignment shrinkToFit="0" wrapText="0"/>
    </xf>
    <xf borderId="0" fillId="0" fontId="1" numFmtId="49" xfId="0" applyFont="1" applyNumberFormat="1"/>
    <xf borderId="0" fillId="16" fontId="79" numFmtId="49" xfId="0" applyAlignment="1" applyFont="1" applyNumberFormat="1">
      <alignment horizontal="center" shrinkToFit="0" vertical="bottom" wrapText="0"/>
    </xf>
    <xf borderId="11" fillId="16" fontId="79" numFmtId="49" xfId="0" applyAlignment="1" applyBorder="1" applyFont="1" applyNumberFormat="1">
      <alignment horizontal="center" shrinkToFit="0" vertical="bottom" wrapText="0"/>
    </xf>
    <xf borderId="0" fillId="16" fontId="79" numFmtId="0" xfId="0" applyAlignment="1" applyFont="1">
      <alignment horizontal="center" shrinkToFit="0" vertical="bottom" wrapText="0"/>
    </xf>
    <xf borderId="0" fillId="0" fontId="79" numFmtId="0" xfId="0" applyAlignment="1" applyFont="1">
      <alignment horizontal="center" shrinkToFit="0" vertical="bottom" wrapText="0"/>
    </xf>
    <xf borderId="0" fillId="0" fontId="79" numFmtId="49" xfId="0" applyAlignment="1" applyFont="1" applyNumberFormat="1">
      <alignment horizontal="center" shrinkToFit="0" vertical="bottom" wrapText="0"/>
    </xf>
    <xf borderId="16" fillId="3" fontId="80" numFmtId="0" xfId="0" applyAlignment="1" applyBorder="1" applyFont="1">
      <alignment horizontal="center" shrinkToFit="0" vertical="center" wrapText="1"/>
    </xf>
    <xf borderId="0" fillId="0" fontId="79" numFmtId="49" xfId="0" applyAlignment="1" applyFont="1" applyNumberFormat="1">
      <alignment shrinkToFit="0" wrapText="0"/>
    </xf>
    <xf borderId="61" fillId="0" fontId="79" numFmtId="49" xfId="0" applyAlignment="1" applyBorder="1" applyFont="1" applyNumberFormat="1">
      <alignment shrinkToFit="0" wrapText="0"/>
    </xf>
    <xf borderId="0" fillId="0" fontId="5" numFmtId="49" xfId="0" applyAlignment="1" applyFont="1" applyNumberFormat="1">
      <alignment horizontal="center" shrinkToFit="0" vertical="center" wrapText="1"/>
    </xf>
    <xf borderId="26" fillId="0" fontId="1" numFmtId="0" xfId="0" applyAlignment="1" applyBorder="1" applyFont="1">
      <alignment horizontal="center" vertical="bottom"/>
    </xf>
    <xf borderId="0" fillId="26" fontId="79" numFmtId="49" xfId="0" applyAlignment="1" applyFont="1" applyNumberFormat="1">
      <alignment shrinkToFit="0" wrapText="0"/>
    </xf>
    <xf borderId="28" fillId="5" fontId="1" numFmtId="49" xfId="0" applyAlignment="1" applyBorder="1" applyFont="1" applyNumberFormat="1">
      <alignment horizontal="center" vertical="bottom"/>
    </xf>
    <xf borderId="11" fillId="26" fontId="79" numFmtId="49" xfId="0" applyAlignment="1" applyBorder="1" applyFont="1" applyNumberFormat="1">
      <alignment shrinkToFit="0" wrapText="0"/>
    </xf>
    <xf borderId="0" fillId="0" fontId="11" numFmtId="0" xfId="0" applyAlignment="1" applyFont="1">
      <alignment horizontal="center"/>
    </xf>
    <xf borderId="0" fillId="4" fontId="79" numFmtId="49" xfId="0" applyAlignment="1" applyFont="1" applyNumberFormat="1">
      <alignment shrinkToFit="0" wrapText="0"/>
    </xf>
    <xf borderId="51" fillId="0" fontId="5" numFmtId="49" xfId="0" applyAlignment="1" applyBorder="1" applyFont="1" applyNumberFormat="1">
      <alignment horizontal="center" shrinkToFit="0" vertical="bottom" wrapText="1"/>
    </xf>
    <xf borderId="14" fillId="0" fontId="5" numFmtId="49" xfId="0" applyAlignment="1" applyBorder="1" applyFont="1" applyNumberFormat="1">
      <alignment horizontal="center" shrinkToFit="0" vertical="bottom" wrapText="1"/>
    </xf>
    <xf borderId="0" fillId="0" fontId="12" numFmtId="0" xfId="0" applyAlignment="1" applyFont="1">
      <alignment horizontal="center" vertical="bottom"/>
    </xf>
    <xf borderId="0" fillId="27" fontId="79" numFmtId="0" xfId="0" applyAlignment="1" applyFill="1" applyFont="1">
      <alignment shrinkToFit="0" wrapText="0"/>
    </xf>
    <xf borderId="0" fillId="4" fontId="82" numFmtId="49" xfId="0" applyAlignment="1" applyFont="1" applyNumberFormat="1">
      <alignment horizontal="center" shrinkToFit="0" wrapText="0"/>
    </xf>
    <xf borderId="53" fillId="0" fontId="1" numFmtId="49" xfId="0" applyBorder="1" applyFont="1" applyNumberFormat="1"/>
    <xf borderId="54" fillId="0" fontId="1" numFmtId="49" xfId="0" applyBorder="1" applyFont="1" applyNumberFormat="1"/>
    <xf borderId="0" fillId="27" fontId="79" numFmtId="49" xfId="0" applyAlignment="1" applyFont="1" applyNumberFormat="1">
      <alignment horizontal="center" shrinkToFit="0" vertical="bottom" wrapText="0"/>
    </xf>
    <xf borderId="0" fillId="27" fontId="1" numFmtId="0" xfId="0" applyAlignment="1" applyFont="1">
      <alignment horizontal="center"/>
    </xf>
    <xf borderId="0" fillId="4" fontId="79" numFmtId="0" xfId="0" applyAlignment="1" applyFont="1">
      <alignment horizontal="center" shrinkToFit="0" vertical="bottom" wrapText="0"/>
    </xf>
    <xf borderId="0" fillId="27" fontId="79" numFmtId="0" xfId="0" applyAlignment="1" applyFont="1">
      <alignment horizontal="center" shrinkToFit="0" vertical="bottom" wrapText="0"/>
    </xf>
    <xf borderId="58" fillId="3" fontId="1" numFmtId="0" xfId="0" applyAlignment="1" applyBorder="1" applyFont="1">
      <alignment horizontal="center"/>
    </xf>
    <xf borderId="62" fillId="26" fontId="79" numFmtId="49" xfId="0" applyAlignment="1" applyBorder="1" applyFont="1" applyNumberFormat="1">
      <alignment shrinkToFit="0" wrapText="0"/>
    </xf>
    <xf borderId="0" fillId="4" fontId="79" numFmtId="49" xfId="0" applyAlignment="1" applyFont="1" applyNumberFormat="1">
      <alignment horizontal="center" shrinkToFit="0" vertical="bottom" wrapText="0"/>
    </xf>
    <xf borderId="0" fillId="0" fontId="13" numFmtId="0" xfId="0" applyAlignment="1" applyFont="1">
      <alignment horizontal="center" shrinkToFit="0" wrapText="1"/>
    </xf>
    <xf borderId="0" fillId="0" fontId="1" numFmtId="49" xfId="0" applyAlignment="1" applyFont="1" applyNumberFormat="1">
      <alignment horizontal="center" vertical="bottom"/>
    </xf>
    <xf borderId="0" fillId="0" fontId="11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12" numFmtId="0" xfId="0" applyAlignment="1" applyFont="1">
      <alignment horizontal="center" shrinkToFit="0" vertical="bottom" wrapText="1"/>
    </xf>
    <xf borderId="0" fillId="0" fontId="23" numFmtId="0" xfId="0" applyAlignment="1" applyFont="1">
      <alignment horizontal="center" vertical="bottom"/>
    </xf>
    <xf borderId="0" fillId="0" fontId="13" numFmtId="0" xfId="0" applyAlignment="1" applyFont="1">
      <alignment horizontal="center" shrinkToFit="0" vertical="bottom" wrapText="1"/>
    </xf>
    <xf borderId="0" fillId="0" fontId="1" numFmtId="168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0" fillId="0" fontId="5" numFmtId="168" xfId="0" applyAlignment="1" applyFont="1" applyNumberFormat="1">
      <alignment horizontal="center" vertical="bottom"/>
    </xf>
    <xf borderId="0" fillId="0" fontId="5" numFmtId="164" xfId="0" applyAlignment="1" applyFont="1" applyNumberFormat="1">
      <alignment horizontal="center" vertical="bottom"/>
    </xf>
    <xf borderId="0" fillId="0" fontId="1" numFmtId="0" xfId="0" applyAlignment="1" applyFont="1">
      <alignment horizontal="left" vertical="bottom"/>
    </xf>
    <xf borderId="0" fillId="11" fontId="1" numFmtId="0" xfId="0" applyAlignment="1" applyFont="1">
      <alignment horizontal="center" vertical="bottom"/>
    </xf>
    <xf borderId="63" fillId="11" fontId="1" numFmtId="0" xfId="0" applyAlignment="1" applyBorder="1" applyFont="1">
      <alignment horizontal="center" vertical="bottom"/>
    </xf>
    <xf borderId="0" fillId="0" fontId="1" numFmtId="169" xfId="0" applyAlignment="1" applyFont="1" applyNumberFormat="1">
      <alignment horizontal="center" vertical="bottom"/>
    </xf>
    <xf borderId="0" fillId="0" fontId="1" numFmtId="170" xfId="0" applyAlignment="1" applyFont="1" applyNumberFormat="1">
      <alignment horizontal="center" vertical="bottom"/>
    </xf>
    <xf borderId="0" fillId="0" fontId="1" numFmtId="0" xfId="0" applyAlignment="1" applyFont="1">
      <alignment horizontal="left"/>
    </xf>
    <xf borderId="0" fillId="0" fontId="36" numFmtId="0" xfId="0" applyAlignment="1" applyFont="1">
      <alignment horizontal="center" vertical="bottom"/>
    </xf>
    <xf borderId="25" fillId="0" fontId="1" numFmtId="164" xfId="0" applyAlignment="1" applyBorder="1" applyFont="1" applyNumberFormat="1">
      <alignment horizontal="center" vertical="bottom"/>
    </xf>
    <xf borderId="48" fillId="11" fontId="1" numFmtId="0" xfId="0" applyAlignment="1" applyBorder="1" applyFont="1">
      <alignment horizontal="center" vertical="bottom"/>
    </xf>
    <xf borderId="25" fillId="0" fontId="1" numFmtId="0" xfId="0" applyAlignment="1" applyBorder="1" applyFont="1">
      <alignment horizontal="left"/>
    </xf>
    <xf borderId="25" fillId="0" fontId="1" numFmtId="169" xfId="0" applyAlignment="1" applyBorder="1" applyFont="1" applyNumberFormat="1">
      <alignment horizontal="center" vertical="bottom"/>
    </xf>
    <xf borderId="25" fillId="0" fontId="1" numFmtId="170" xfId="0" applyAlignment="1" applyBorder="1" applyFont="1" applyNumberFormat="1">
      <alignment horizontal="center" vertical="bottom"/>
    </xf>
    <xf borderId="25" fillId="0" fontId="1" numFmtId="0" xfId="0" applyAlignment="1" applyBorder="1" applyFont="1">
      <alignment horizontal="left" vertical="bottom"/>
    </xf>
    <xf borderId="0" fillId="0" fontId="31" numFmtId="0" xfId="0" applyAlignment="1" applyFont="1">
      <alignment horizontal="center" vertical="bottom"/>
    </xf>
    <xf borderId="25" fillId="0" fontId="1" numFmtId="0" xfId="0" applyAlignment="1" applyBorder="1" applyFont="1">
      <alignment horizontal="center" vertical="bottom"/>
    </xf>
    <xf borderId="0" fillId="0" fontId="1" numFmtId="10" xfId="0" applyAlignment="1" applyFont="1" applyNumberFormat="1">
      <alignment vertical="bottom"/>
    </xf>
    <xf borderId="0" fillId="0" fontId="1" numFmtId="10" xfId="0" applyAlignment="1" applyFont="1" applyNumberFormat="1">
      <alignment horizontal="center" vertical="bottom"/>
    </xf>
    <xf borderId="0" fillId="0" fontId="1" numFmtId="9" xfId="0" applyAlignment="1" applyFont="1" applyNumberFormat="1">
      <alignment horizontal="center" vertical="bottom"/>
    </xf>
    <xf borderId="25" fillId="0" fontId="1" numFmtId="49" xfId="0" applyAlignment="1" applyBorder="1" applyFont="1" applyNumberFormat="1">
      <alignment horizontal="center" vertical="bottom"/>
    </xf>
    <xf borderId="64" fillId="11" fontId="1" numFmtId="0" xfId="0" applyAlignment="1" applyBorder="1" applyFont="1">
      <alignment horizontal="center" vertical="bottom"/>
    </xf>
    <xf borderId="28" fillId="0" fontId="1" numFmtId="0" xfId="0" applyAlignment="1" applyBorder="1" applyFont="1">
      <alignment horizontal="center" vertical="bottom"/>
    </xf>
    <xf borderId="28" fillId="0" fontId="1" numFmtId="49" xfId="0" applyAlignment="1" applyBorder="1" applyFont="1" applyNumberFormat="1">
      <alignment horizontal="center" vertical="bottom"/>
    </xf>
    <xf borderId="28" fillId="0" fontId="1" numFmtId="0" xfId="0" applyAlignment="1" applyBorder="1" applyFont="1">
      <alignment horizontal="left" vertical="bottom"/>
    </xf>
    <xf borderId="28" fillId="0" fontId="1" numFmtId="0" xfId="0" applyAlignment="1" applyBorder="1" applyFont="1">
      <alignment vertical="bottom"/>
    </xf>
    <xf borderId="58" fillId="11" fontId="1" numFmtId="0" xfId="0" applyAlignment="1" applyBorder="1" applyFont="1">
      <alignment horizontal="center" vertical="bottom"/>
    </xf>
    <xf borderId="0" fillId="0" fontId="1" numFmtId="49" xfId="0" applyFont="1" applyNumberFormat="1"/>
    <xf borderId="65" fillId="3" fontId="2" numFmtId="0" xfId="0" applyAlignment="1" applyBorder="1" applyFont="1">
      <alignment horizontal="center" vertical="center"/>
    </xf>
    <xf borderId="66" fillId="0" fontId="15" numFmtId="0" xfId="0" applyBorder="1" applyFont="1"/>
    <xf borderId="0" fillId="4" fontId="14" numFmtId="0" xfId="0" applyAlignment="1" applyFont="1">
      <alignment horizontal="center" vertical="bottom"/>
    </xf>
    <xf borderId="8" fillId="0" fontId="15" numFmtId="0" xfId="0" applyBorder="1" applyFont="1"/>
    <xf borderId="0" fillId="10" fontId="83" numFmtId="0" xfId="0" applyAlignment="1" applyFont="1">
      <alignment horizontal="center" shrinkToFit="0" vertical="center" wrapText="1"/>
    </xf>
    <xf borderId="0" fillId="0" fontId="83" numFmtId="0" xfId="0" applyAlignment="1" applyFont="1">
      <alignment horizontal="center" shrinkToFit="0" vertical="center" wrapText="1"/>
    </xf>
    <xf borderId="17" fillId="0" fontId="10" numFmtId="0" xfId="0" applyAlignment="1" applyBorder="1" applyFont="1">
      <alignment horizontal="center" vertical="center"/>
    </xf>
    <xf borderId="17" fillId="0" fontId="4" numFmtId="0" xfId="0" applyAlignment="1" applyBorder="1" applyFont="1">
      <alignment horizontal="center" vertical="center"/>
    </xf>
    <xf borderId="20" fillId="0" fontId="10" numFmtId="0" xfId="0" applyAlignment="1" applyBorder="1" applyFont="1">
      <alignment horizontal="center" vertical="center"/>
    </xf>
    <xf borderId="0" fillId="2" fontId="10" numFmtId="0" xfId="0" applyAlignment="1" applyFont="1">
      <alignment horizontal="center" vertical="center"/>
    </xf>
    <xf borderId="0" fillId="2" fontId="11" numFmtId="0" xfId="0" applyAlignment="1" applyFont="1">
      <alignment horizontal="center" vertical="bottom"/>
    </xf>
    <xf borderId="0" fillId="2" fontId="12" numFmtId="0" xfId="0" applyAlignment="1" applyFont="1">
      <alignment horizontal="center" shrinkToFit="0" vertical="center" wrapText="1"/>
    </xf>
    <xf borderId="0" fillId="4" fontId="3" numFmtId="49" xfId="0" applyAlignment="1" applyFont="1" applyNumberFormat="1">
      <alignment horizontal="center" shrinkToFit="0" vertical="center" wrapText="1"/>
    </xf>
    <xf borderId="0" fillId="4" fontId="4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2" fontId="13" numFmtId="0" xfId="0" applyAlignment="1" applyFont="1">
      <alignment horizontal="center" vertical="bottom"/>
    </xf>
    <xf borderId="7" fillId="3" fontId="80" numFmtId="0" xfId="0" applyAlignment="1" applyBorder="1" applyFont="1">
      <alignment horizontal="center" shrinkToFit="0" vertical="center" wrapText="1"/>
    </xf>
    <xf borderId="7" fillId="3" fontId="1" numFmtId="0" xfId="0" applyAlignment="1" applyBorder="1" applyFont="1">
      <alignment horizontal="center"/>
    </xf>
    <xf borderId="0" fillId="2" fontId="80" numFmtId="0" xfId="0" applyAlignment="1" applyFont="1">
      <alignment horizontal="center" shrinkToFit="0" vertical="center" wrapText="1"/>
    </xf>
    <xf borderId="67" fillId="2" fontId="14" numFmtId="0" xfId="0" applyAlignment="1" applyBorder="1" applyFont="1">
      <alignment horizontal="center"/>
    </xf>
    <xf borderId="68" fillId="28" fontId="84" numFmtId="0" xfId="0" applyAlignment="1" applyBorder="1" applyFill="1" applyFont="1">
      <alignment horizontal="center"/>
    </xf>
    <xf borderId="2" fillId="28" fontId="84" numFmtId="0" xfId="0" applyAlignment="1" applyBorder="1" applyFont="1">
      <alignment horizontal="center"/>
    </xf>
    <xf borderId="69" fillId="28" fontId="84" numFmtId="0" xfId="0" applyAlignment="1" applyBorder="1" applyFont="1">
      <alignment horizontal="center"/>
    </xf>
    <xf borderId="25" fillId="25" fontId="84" numFmtId="0" xfId="0" applyAlignment="1" applyBorder="1" applyFont="1">
      <alignment horizontal="center"/>
    </xf>
    <xf borderId="70" fillId="3" fontId="14" numFmtId="0" xfId="0" applyAlignment="1" applyBorder="1" applyFont="1">
      <alignment horizontal="center" vertical="center"/>
    </xf>
    <xf borderId="71" fillId="2" fontId="14" numFmtId="0" xfId="0" applyAlignment="1" applyBorder="1" applyFont="1">
      <alignment horizontal="center" vertical="center"/>
    </xf>
    <xf borderId="0" fillId="4" fontId="85" numFmtId="0" xfId="0" applyAlignment="1" applyFont="1">
      <alignment horizontal="center" vertical="bottom"/>
    </xf>
    <xf borderId="0" fillId="25" fontId="23" numFmtId="0" xfId="0" applyAlignment="1" applyFont="1">
      <alignment horizontal="center" vertical="bottom"/>
    </xf>
    <xf borderId="0" fillId="25" fontId="1" numFmtId="0" xfId="0" applyAlignment="1" applyFont="1">
      <alignment horizontal="center" vertical="bottom"/>
    </xf>
    <xf borderId="0" fillId="25" fontId="1" numFmtId="0" xfId="0" applyAlignment="1" applyFont="1">
      <alignment vertical="bottom"/>
    </xf>
    <xf borderId="0" fillId="25" fontId="86" numFmtId="0" xfId="0" applyAlignment="1" applyFont="1">
      <alignment horizontal="center" vertical="bottom"/>
    </xf>
    <xf borderId="11" fillId="25" fontId="1" numFmtId="0" xfId="0" applyAlignment="1" applyBorder="1" applyFont="1">
      <alignment horizontal="center" vertical="bottom"/>
    </xf>
    <xf borderId="0" fillId="25" fontId="86" numFmtId="0" xfId="0" applyAlignment="1" applyFont="1">
      <alignment vertical="bottom"/>
    </xf>
    <xf borderId="72" fillId="0" fontId="15" numFmtId="0" xfId="0" applyBorder="1" applyFont="1"/>
    <xf borderId="19" fillId="2" fontId="14" numFmtId="0" xfId="0" applyAlignment="1" applyBorder="1" applyFont="1">
      <alignment horizontal="center" vertical="center"/>
    </xf>
    <xf borderId="0" fillId="25" fontId="1" numFmtId="171" xfId="0" applyAlignment="1" applyFont="1" applyNumberFormat="1">
      <alignment horizontal="center" vertical="bottom"/>
    </xf>
    <xf borderId="0" fillId="25" fontId="86" numFmtId="171" xfId="0" applyAlignment="1" applyFont="1" applyNumberFormat="1">
      <alignment horizontal="center" vertical="bottom"/>
    </xf>
    <xf borderId="25" fillId="28" fontId="84" numFmtId="0" xfId="0" applyAlignment="1" applyBorder="1" applyFont="1">
      <alignment horizontal="center" vertical="center"/>
    </xf>
    <xf borderId="0" fillId="2" fontId="84" numFmtId="0" xfId="0" applyAlignment="1" applyFont="1">
      <alignment horizontal="center" vertical="center"/>
    </xf>
    <xf borderId="0" fillId="0" fontId="85" numFmtId="0" xfId="0" applyAlignment="1" applyFont="1">
      <alignment horizontal="center" vertical="bottom"/>
    </xf>
    <xf borderId="0" fillId="0" fontId="87" numFmtId="0" xfId="0" applyAlignment="1" applyFont="1">
      <alignment horizontal="center"/>
    </xf>
    <xf borderId="0" fillId="25" fontId="86" numFmtId="171" xfId="0" applyAlignment="1" applyFont="1" applyNumberFormat="1">
      <alignment vertical="bottom"/>
    </xf>
    <xf borderId="0" fillId="3" fontId="88" numFmtId="0" xfId="0" applyAlignment="1" applyFont="1">
      <alignment horizontal="center" vertical="bottom"/>
    </xf>
    <xf borderId="0" fillId="2" fontId="43" numFmtId="0" xfId="0" applyAlignment="1" applyFont="1">
      <alignment horizontal="center" vertical="bottom"/>
    </xf>
    <xf borderId="65" fillId="29" fontId="14" numFmtId="0" xfId="0" applyAlignment="1" applyBorder="1" applyFill="1" applyFont="1">
      <alignment horizontal="center" vertical="bottom"/>
    </xf>
    <xf borderId="71" fillId="0" fontId="15" numFmtId="0" xfId="0" applyBorder="1" applyFont="1"/>
    <xf borderId="0" fillId="25" fontId="1" numFmtId="171" xfId="0" applyAlignment="1" applyFont="1" applyNumberFormat="1">
      <alignment vertical="bottom"/>
    </xf>
    <xf borderId="0" fillId="25" fontId="86" numFmtId="171" xfId="0" applyAlignment="1" applyFont="1" applyNumberFormat="1">
      <alignment horizontal="center" shrinkToFit="0" vertical="bottom" wrapText="1"/>
    </xf>
    <xf borderId="1" fillId="0" fontId="15" numFmtId="0" xfId="0" applyBorder="1" applyFont="1"/>
    <xf borderId="73" fillId="0" fontId="15" numFmtId="0" xfId="0" applyBorder="1" applyFont="1"/>
    <xf borderId="7" fillId="5" fontId="12" numFmtId="0" xfId="0" applyAlignment="1" applyBorder="1" applyFont="1">
      <alignment horizontal="center" vertical="bottom"/>
    </xf>
    <xf borderId="0" fillId="3" fontId="88" numFmtId="0" xfId="0" applyAlignment="1" applyFont="1">
      <alignment horizontal="center"/>
    </xf>
    <xf borderId="8" fillId="0" fontId="89" numFmtId="0" xfId="0" applyAlignment="1" applyBorder="1" applyFont="1">
      <alignment horizontal="center"/>
    </xf>
    <xf borderId="74" fillId="0" fontId="15" numFmtId="0" xfId="0" applyBorder="1" applyFont="1"/>
    <xf borderId="7" fillId="5" fontId="13" numFmtId="0" xfId="0" applyAlignment="1" applyBorder="1" applyFont="1">
      <alignment horizontal="center" vertical="bottom"/>
    </xf>
    <xf borderId="0" fillId="2" fontId="43" numFmtId="0" xfId="0" applyAlignment="1" applyFont="1">
      <alignment horizontal="center"/>
    </xf>
    <xf borderId="1" fillId="0" fontId="89" numFmtId="0" xfId="0" applyAlignment="1" applyBorder="1" applyFont="1">
      <alignment horizontal="center"/>
    </xf>
    <xf borderId="0" fillId="25" fontId="1" numFmtId="0" xfId="0" applyAlignment="1" applyFont="1">
      <alignment horizontal="center" shrinkToFit="0" vertical="bottom" wrapText="1"/>
    </xf>
    <xf borderId="0" fillId="3" fontId="88" numFmtId="0" xfId="0" applyAlignment="1" applyFont="1">
      <alignment horizontal="center" vertical="center"/>
    </xf>
    <xf borderId="0" fillId="25" fontId="1" numFmtId="171" xfId="0" applyAlignment="1" applyFont="1" applyNumberFormat="1">
      <alignment horizontal="center" shrinkToFit="0" vertical="bottom" wrapText="1"/>
    </xf>
    <xf borderId="0" fillId="2" fontId="43" numFmtId="0" xfId="0" applyAlignment="1" applyFont="1">
      <alignment horizontal="center" vertical="center"/>
    </xf>
    <xf borderId="0" fillId="25" fontId="1" numFmtId="0" xfId="0" applyFont="1"/>
    <xf borderId="0" fillId="2" fontId="90" numFmtId="0" xfId="0" applyAlignment="1" applyFont="1">
      <alignment horizontal="center" vertical="center"/>
    </xf>
    <xf borderId="0" fillId="25" fontId="91" numFmtId="0" xfId="0" applyAlignment="1" applyFont="1">
      <alignment horizontal="center" vertical="center"/>
    </xf>
    <xf borderId="0" fillId="2" fontId="90" numFmtId="0" xfId="0" applyAlignment="1" applyFont="1">
      <alignment horizontal="center" shrinkToFit="0" vertical="center" wrapText="1"/>
    </xf>
    <xf borderId="0" fillId="25" fontId="86" numFmtId="0" xfId="0" applyAlignment="1" applyFont="1">
      <alignment horizontal="center" shrinkToFit="0" vertical="bottom" wrapText="1"/>
    </xf>
    <xf borderId="0" fillId="0" fontId="1" numFmtId="0" xfId="0" applyFont="1"/>
    <xf borderId="11" fillId="25" fontId="1" numFmtId="0" xfId="0" applyAlignment="1" applyBorder="1" applyFont="1">
      <alignment horizontal="center" shrinkToFit="0" vertical="bottom" wrapText="1"/>
    </xf>
    <xf borderId="0" fillId="25" fontId="16" numFmtId="0" xfId="0" applyAlignment="1" applyFont="1">
      <alignment horizontal="center"/>
    </xf>
    <xf borderId="28" fillId="25" fontId="23" numFmtId="0" xfId="0" applyAlignment="1" applyBorder="1" applyFont="1">
      <alignment horizontal="center" vertical="bottom"/>
    </xf>
    <xf borderId="28" fillId="25" fontId="1" numFmtId="171" xfId="0" applyAlignment="1" applyBorder="1" applyFont="1" applyNumberFormat="1">
      <alignment horizontal="center" vertical="bottom"/>
    </xf>
    <xf borderId="28" fillId="25" fontId="1" numFmtId="0" xfId="0" applyAlignment="1" applyBorder="1" applyFont="1">
      <alignment horizontal="center" vertical="bottom"/>
    </xf>
    <xf borderId="28" fillId="25" fontId="86" numFmtId="0" xfId="0" applyAlignment="1" applyBorder="1" applyFont="1">
      <alignment horizontal="center" vertical="bottom"/>
    </xf>
    <xf borderId="12" fillId="25" fontId="1" numFmtId="0" xfId="0" applyAlignment="1" applyBorder="1" applyFont="1">
      <alignment horizontal="center" vertical="bottom"/>
    </xf>
    <xf borderId="17" fillId="3" fontId="11" numFmtId="0" xfId="0" applyAlignment="1" applyBorder="1" applyFont="1">
      <alignment horizontal="center" vertical="bottom"/>
    </xf>
    <xf borderId="41" fillId="3" fontId="11" numFmtId="0" xfId="0" applyAlignment="1" applyBorder="1" applyFont="1">
      <alignment horizontal="center" vertical="bottom"/>
    </xf>
    <xf borderId="75" fillId="4" fontId="11" numFmtId="0" xfId="0" applyAlignment="1" applyBorder="1" applyFont="1">
      <alignment horizontal="center" shrinkToFit="0" vertical="center" wrapText="1"/>
    </xf>
    <xf borderId="31" fillId="4" fontId="12" numFmtId="0" xfId="0" applyAlignment="1" applyBorder="1" applyFont="1">
      <alignment horizontal="center" shrinkToFit="0" vertical="center" wrapText="1"/>
    </xf>
    <xf borderId="32" fillId="4" fontId="12" numFmtId="0" xfId="0" applyAlignment="1" applyBorder="1" applyFont="1">
      <alignment horizontal="center" shrinkToFit="0" vertical="center" wrapText="1"/>
    </xf>
    <xf borderId="14" fillId="4" fontId="12" numFmtId="0" xfId="0" applyAlignment="1" applyBorder="1" applyFont="1">
      <alignment horizontal="center" shrinkToFit="0" vertical="center" wrapText="1"/>
    </xf>
    <xf borderId="60" fillId="4" fontId="11" numFmtId="0" xfId="0" applyAlignment="1" applyBorder="1" applyFont="1">
      <alignment horizontal="center" shrinkToFit="0" vertical="center" wrapText="1"/>
    </xf>
    <xf borderId="28" fillId="18" fontId="1" numFmtId="171" xfId="0" applyAlignment="1" applyBorder="1" applyFont="1" applyNumberFormat="1">
      <alignment horizontal="center" shrinkToFit="0" vertical="bottom" wrapText="1"/>
    </xf>
    <xf borderId="28" fillId="30" fontId="1" numFmtId="171" xfId="0" applyAlignment="1" applyBorder="1" applyFill="1" applyFont="1" applyNumberFormat="1">
      <alignment horizontal="center" vertical="bottom"/>
    </xf>
    <xf borderId="28" fillId="18" fontId="86" numFmtId="171" xfId="0" applyAlignment="1" applyBorder="1" applyFont="1" applyNumberFormat="1">
      <alignment horizontal="center" vertical="bottom"/>
    </xf>
    <xf borderId="28" fillId="18" fontId="1" numFmtId="0" xfId="0" applyAlignment="1" applyBorder="1" applyFont="1">
      <alignment horizontal="center" shrinkToFit="0" vertical="bottom" wrapText="1"/>
    </xf>
    <xf borderId="12" fillId="18" fontId="1" numFmtId="0" xfId="0" applyAlignment="1" applyBorder="1" applyFont="1">
      <alignment horizontal="center" shrinkToFit="0" vertical="bottom" wrapText="1"/>
    </xf>
    <xf borderId="75" fillId="3" fontId="11" numFmtId="0" xfId="0" applyAlignment="1" applyBorder="1" applyFont="1">
      <alignment horizontal="center" shrinkToFit="0" vertical="center" wrapText="1"/>
    </xf>
    <xf borderId="32" fillId="3" fontId="80" numFmtId="0" xfId="0" applyAlignment="1" applyBorder="1" applyFont="1">
      <alignment horizontal="center" shrinkToFit="0" vertical="center" wrapText="1"/>
    </xf>
    <xf borderId="31" fillId="3" fontId="92" numFmtId="0" xfId="0" applyAlignment="1" applyBorder="1" applyFont="1">
      <alignment horizontal="center"/>
    </xf>
    <xf borderId="14" fillId="3" fontId="80" numFmtId="0" xfId="0" applyAlignment="1" applyBorder="1" applyFont="1">
      <alignment horizontal="center" shrinkToFit="0" vertical="center" wrapText="1"/>
    </xf>
    <xf borderId="60" fillId="3" fontId="11" numFmtId="0" xfId="0" applyAlignment="1" applyBorder="1" applyFont="1">
      <alignment horizontal="center" shrinkToFit="0" vertical="center" wrapText="1"/>
    </xf>
    <xf borderId="28" fillId="11" fontId="1" numFmtId="0" xfId="0" applyAlignment="1" applyBorder="1" applyFont="1">
      <alignment horizontal="center" vertical="bottom"/>
    </xf>
    <xf borderId="28" fillId="11" fontId="1" numFmtId="171" xfId="0" applyAlignment="1" applyBorder="1" applyFont="1" applyNumberFormat="1">
      <alignment horizontal="center" vertical="bottom"/>
    </xf>
    <xf borderId="28" fillId="31" fontId="86" numFmtId="171" xfId="0" applyAlignment="1" applyBorder="1" applyFill="1" applyFont="1" applyNumberFormat="1">
      <alignment horizontal="center" vertical="bottom"/>
    </xf>
    <xf borderId="28" fillId="32" fontId="1" numFmtId="171" xfId="0" applyAlignment="1" applyBorder="1" applyFill="1" applyFont="1" applyNumberFormat="1">
      <alignment horizontal="center" shrinkToFit="0" vertical="bottom" wrapText="1"/>
    </xf>
    <xf borderId="12" fillId="32" fontId="1" numFmtId="0" xfId="0" applyAlignment="1" applyBorder="1" applyFont="1">
      <alignment horizontal="center" shrinkToFit="0" vertical="bottom" wrapText="1"/>
    </xf>
    <xf borderId="55" fillId="4" fontId="11" numFmtId="0" xfId="0" applyAlignment="1" applyBorder="1" applyFont="1">
      <alignment horizontal="center" shrinkToFit="0" vertical="center" wrapText="1"/>
    </xf>
    <xf borderId="76" fillId="4" fontId="80" numFmtId="0" xfId="0" applyAlignment="1" applyBorder="1" applyFont="1">
      <alignment horizontal="center" shrinkToFit="0" vertical="center" wrapText="1"/>
    </xf>
    <xf borderId="76" fillId="4" fontId="93" numFmtId="0" xfId="0" applyAlignment="1" applyBorder="1" applyFont="1">
      <alignment horizontal="center" shrinkToFit="0" vertical="center" wrapText="1"/>
    </xf>
    <xf borderId="77" fillId="4" fontId="80" numFmtId="0" xfId="0" applyAlignment="1" applyBorder="1" applyFont="1">
      <alignment horizontal="center" shrinkToFit="0" vertical="center" wrapText="1"/>
    </xf>
    <xf borderId="77" fillId="0" fontId="1" numFmtId="0" xfId="0" applyAlignment="1" applyBorder="1" applyFont="1">
      <alignment horizontal="center" vertical="bottom"/>
    </xf>
    <xf borderId="78" fillId="0" fontId="1" numFmtId="0" xfId="0" applyAlignment="1" applyBorder="1" applyFont="1">
      <alignment horizontal="center" vertical="bottom"/>
    </xf>
    <xf borderId="12" fillId="32" fontId="1" numFmtId="171" xfId="0" applyAlignment="1" applyBorder="1" applyFont="1" applyNumberFormat="1">
      <alignment horizontal="center" shrinkToFit="0" vertical="bottom" wrapText="1"/>
    </xf>
    <xf borderId="0" fillId="33" fontId="1" numFmtId="171" xfId="0" applyAlignment="1" applyFill="1" applyFont="1" applyNumberFormat="1">
      <alignment horizontal="center" vertical="bottom"/>
    </xf>
    <xf borderId="56" fillId="4" fontId="80" numFmtId="0" xfId="0" applyAlignment="1" applyBorder="1" applyFont="1">
      <alignment horizontal="center" shrinkToFit="0" vertical="center" wrapText="1"/>
    </xf>
    <xf borderId="0" fillId="2" fontId="92" numFmtId="0" xfId="0" applyAlignment="1" applyFont="1">
      <alignment horizontal="center"/>
    </xf>
    <xf borderId="28" fillId="33" fontId="1" numFmtId="171" xfId="0" applyAlignment="1" applyBorder="1" applyFont="1" applyNumberFormat="1">
      <alignment horizontal="center" vertical="bottom"/>
    </xf>
    <xf borderId="0" fillId="0" fontId="94" numFmtId="0" xfId="0" applyFont="1"/>
    <xf borderId="0" fillId="0" fontId="95" numFmtId="0" xfId="0" applyFont="1"/>
    <xf borderId="45" fillId="19" fontId="8" numFmtId="0" xfId="0" applyBorder="1" applyFont="1"/>
    <xf borderId="7" fillId="34" fontId="45" numFmtId="0" xfId="0" applyBorder="1" applyFill="1" applyFont="1"/>
    <xf borderId="0" fillId="0" fontId="43" numFmtId="0" xfId="0" applyFont="1"/>
    <xf borderId="0" fillId="35" fontId="43" numFmtId="0" xfId="0" applyFill="1" applyFont="1"/>
    <xf borderId="45" fillId="12" fontId="96" numFmtId="0" xfId="0" applyBorder="1" applyFont="1"/>
    <xf borderId="43" fillId="12" fontId="97" numFmtId="0" xfId="0" applyBorder="1" applyFont="1"/>
    <xf borderId="45" fillId="15" fontId="96" numFmtId="0" xfId="0" applyBorder="1" applyFont="1"/>
    <xf borderId="44" fillId="15" fontId="96" numFmtId="0" xfId="0" applyBorder="1" applyFont="1"/>
    <xf borderId="45" fillId="31" fontId="96" numFmtId="0" xfId="0" applyBorder="1" applyFont="1"/>
    <xf borderId="43" fillId="31" fontId="1" numFmtId="0" xfId="0" applyBorder="1" applyFont="1"/>
    <xf borderId="44" fillId="31" fontId="96" numFmtId="0" xfId="0" applyBorder="1" applyFont="1"/>
    <xf borderId="45" fillId="36" fontId="96" numFmtId="0" xfId="0" applyBorder="1" applyFill="1" applyFont="1"/>
    <xf borderId="44" fillId="36" fontId="1" numFmtId="0" xfId="0" applyBorder="1" applyFont="1"/>
    <xf borderId="21" fillId="0" fontId="1" numFmtId="0" xfId="0" applyBorder="1" applyFont="1"/>
    <xf borderId="0" fillId="0" fontId="98" numFmtId="49" xfId="0" applyFont="1" applyNumberFormat="1"/>
    <xf borderId="3" fillId="0" fontId="1" numFmtId="0" xfId="0" applyBorder="1" applyFont="1"/>
    <xf borderId="0" fillId="4" fontId="98" numFmtId="0" xfId="0" applyFont="1"/>
    <xf borderId="21" fillId="0" fontId="1" numFmtId="20" xfId="0" applyBorder="1" applyFont="1" applyNumberFormat="1"/>
    <xf borderId="0" fillId="0" fontId="98" numFmtId="0" xfId="0" applyFont="1"/>
    <xf borderId="0" fillId="4" fontId="98" numFmtId="49" xfId="0" applyFont="1" applyNumberFormat="1"/>
    <xf borderId="0" fillId="0" fontId="1" numFmtId="20" xfId="0" applyFont="1" applyNumberFormat="1"/>
    <xf borderId="25" fillId="4" fontId="98" numFmtId="0" xfId="0" applyBorder="1" applyFont="1"/>
    <xf borderId="49" fillId="0" fontId="1" numFmtId="0" xfId="0" applyBorder="1" applyFont="1"/>
    <xf borderId="50" fillId="0" fontId="1" numFmtId="0" xfId="0" applyBorder="1" applyFont="1"/>
    <xf borderId="19" fillId="0" fontId="1" numFmtId="0" xfId="0" applyBorder="1" applyFont="1"/>
    <xf borderId="7" fillId="12" fontId="99" numFmtId="0" xfId="0" applyBorder="1" applyFont="1"/>
    <xf borderId="7" fillId="12" fontId="43" numFmtId="0" xfId="0" applyBorder="1" applyFont="1"/>
    <xf borderId="0" fillId="0" fontId="1" numFmtId="10" xfId="0" applyFont="1" applyNumberFormat="1"/>
    <xf borderId="65" fillId="29" fontId="2" numFmtId="0" xfId="0" applyAlignment="1" applyBorder="1" applyFont="1">
      <alignment horizontal="center" vertical="center"/>
    </xf>
    <xf borderId="17" fillId="11" fontId="11" numFmtId="0" xfId="0" applyAlignment="1" applyBorder="1" applyFont="1">
      <alignment horizontal="center" vertical="bottom"/>
    </xf>
    <xf borderId="41" fillId="22" fontId="11" numFmtId="0" xfId="0" applyAlignment="1" applyBorder="1" applyFont="1">
      <alignment horizontal="center" vertical="bottom"/>
    </xf>
    <xf borderId="41" fillId="11" fontId="11" numFmtId="0" xfId="0" applyAlignment="1" applyBorder="1" applyFont="1">
      <alignment horizontal="center" vertical="bottom"/>
    </xf>
    <xf borderId="17" fillId="11" fontId="100" numFmtId="0" xfId="0" applyAlignment="1" applyBorder="1" applyFont="1">
      <alignment horizontal="center"/>
    </xf>
    <xf borderId="15" fillId="11" fontId="11" numFmtId="0" xfId="0" applyAlignment="1" applyBorder="1" applyFont="1">
      <alignment horizontal="center" vertical="bottom"/>
    </xf>
    <xf borderId="15" fillId="32" fontId="11" numFmtId="0" xfId="0" applyAlignment="1" applyBorder="1" applyFont="1">
      <alignment horizontal="center" vertical="bottom"/>
    </xf>
    <xf borderId="3" fillId="22" fontId="11" numFmtId="0" xfId="0" applyAlignment="1" applyBorder="1" applyFont="1">
      <alignment horizontal="center" vertical="bottom"/>
    </xf>
    <xf borderId="3" fillId="33" fontId="11" numFmtId="0" xfId="0" applyAlignment="1" applyBorder="1" applyFont="1">
      <alignment horizontal="center" vertical="bottom"/>
    </xf>
    <xf borderId="3" fillId="24" fontId="11" numFmtId="0" xfId="0" applyAlignment="1" applyBorder="1" applyFont="1">
      <alignment horizontal="center" vertical="bottom"/>
    </xf>
    <xf borderId="3" fillId="32" fontId="11" numFmtId="0" xfId="0" applyAlignment="1" applyBorder="1" applyFont="1">
      <alignment horizontal="center" vertical="bottom"/>
    </xf>
    <xf borderId="3" fillId="11" fontId="11" numFmtId="0" xfId="0" applyAlignment="1" applyBorder="1" applyFont="1">
      <alignment horizontal="center" vertical="bottom"/>
    </xf>
    <xf borderId="15" fillId="31" fontId="11" numFmtId="0" xfId="0" applyAlignment="1" applyBorder="1" applyFont="1">
      <alignment horizontal="center" vertical="bottom"/>
    </xf>
    <xf borderId="3" fillId="30" fontId="11" numFmtId="0" xfId="0" applyAlignment="1" applyBorder="1" applyFont="1">
      <alignment horizontal="center" vertical="bottom"/>
    </xf>
    <xf borderId="15" fillId="11" fontId="100" numFmtId="0" xfId="0" applyAlignment="1" applyBorder="1" applyFont="1">
      <alignment horizontal="center"/>
    </xf>
    <xf borderId="3" fillId="18" fontId="11" numFmtId="0" xfId="0" applyAlignment="1" applyBorder="1" applyFont="1">
      <alignment horizontal="center" vertical="bottom"/>
    </xf>
    <xf borderId="15" fillId="4" fontId="11" numFmtId="0" xfId="0" applyAlignment="1" applyBorder="1" applyFont="1">
      <alignment horizontal="center" shrinkToFit="0" vertical="center" wrapText="1"/>
    </xf>
    <xf borderId="15" fillId="4" fontId="12" numFmtId="0" xfId="0" applyAlignment="1" applyBorder="1" applyFont="1">
      <alignment horizontal="center" shrinkToFit="0" vertical="center" wrapText="1"/>
    </xf>
    <xf borderId="3" fillId="4" fontId="12" numFmtId="0" xfId="0" applyAlignment="1" applyBorder="1" applyFont="1">
      <alignment horizontal="center" shrinkToFit="0" vertical="center" wrapText="1"/>
    </xf>
    <xf borderId="3" fillId="11" fontId="12" numFmtId="0" xfId="0" applyAlignment="1" applyBorder="1" applyFont="1">
      <alignment horizontal="center" shrinkToFit="0" vertical="center" wrapText="1"/>
    </xf>
    <xf borderId="3" fillId="30" fontId="12" numFmtId="0" xfId="0" applyAlignment="1" applyBorder="1" applyFont="1">
      <alignment horizontal="center" shrinkToFit="0" vertical="center" wrapText="1"/>
    </xf>
    <xf borderId="3" fillId="18" fontId="12" numFmtId="0" xfId="0" applyAlignment="1" applyBorder="1" applyFont="1">
      <alignment horizontal="center" shrinkToFit="0" vertical="center" wrapText="1"/>
    </xf>
    <xf borderId="15" fillId="18" fontId="12" numFmtId="0" xfId="0" applyAlignment="1" applyBorder="1" applyFont="1">
      <alignment horizontal="center" shrinkToFit="0" vertical="center" wrapText="1"/>
    </xf>
    <xf borderId="15" fillId="11" fontId="12" numFmtId="0" xfId="0" applyAlignment="1" applyBorder="1" applyFont="1">
      <alignment horizontal="center" shrinkToFit="0" vertical="center" wrapText="1"/>
    </xf>
    <xf borderId="3" fillId="32" fontId="12" numFmtId="0" xfId="0" applyAlignment="1" applyBorder="1" applyFont="1">
      <alignment horizontal="center" shrinkToFit="0" vertical="center" wrapText="1"/>
    </xf>
    <xf borderId="15" fillId="11" fontId="11" numFmtId="0" xfId="0" applyAlignment="1" applyBorder="1" applyFont="1">
      <alignment horizontal="center" shrinkToFit="0" vertical="center" wrapText="1"/>
    </xf>
    <xf borderId="3" fillId="11" fontId="80" numFmtId="0" xfId="0" applyAlignment="1" applyBorder="1" applyFont="1">
      <alignment horizontal="center" shrinkToFit="0" vertical="center" wrapText="1"/>
    </xf>
    <xf borderId="15" fillId="11" fontId="92" numFmtId="0" xfId="0" applyAlignment="1" applyBorder="1" applyFont="1">
      <alignment horizontal="center"/>
    </xf>
    <xf borderId="3" fillId="30" fontId="80" numFmtId="0" xfId="0" applyAlignment="1" applyBorder="1" applyFont="1">
      <alignment horizontal="center" shrinkToFit="0" vertical="center" wrapText="1"/>
    </xf>
    <xf borderId="3" fillId="32" fontId="80" numFmtId="0" xfId="0" applyAlignment="1" applyBorder="1" applyFont="1">
      <alignment horizontal="center" shrinkToFit="0" vertical="center" wrapText="1"/>
    </xf>
    <xf borderId="3" fillId="31" fontId="80" numFmtId="0" xfId="0" applyAlignment="1" applyBorder="1" applyFont="1">
      <alignment horizontal="center" shrinkToFit="0" vertical="center" wrapText="1"/>
    </xf>
    <xf borderId="3" fillId="3" fontId="80" numFmtId="0" xfId="0" applyAlignment="1" applyBorder="1" applyFont="1">
      <alignment horizontal="center" shrinkToFit="0" vertical="center" wrapText="1"/>
    </xf>
    <xf borderId="21" fillId="31" fontId="92" numFmtId="0" xfId="0" applyAlignment="1" applyBorder="1" applyFont="1">
      <alignment horizontal="center"/>
    </xf>
    <xf borderId="3" fillId="33" fontId="80" numFmtId="0" xfId="0" applyAlignment="1" applyBorder="1" applyFont="1">
      <alignment horizontal="center" shrinkToFit="0" vertical="center" wrapText="1"/>
    </xf>
    <xf borderId="3" fillId="32" fontId="92" numFmtId="0" xfId="0" applyAlignment="1" applyBorder="1" applyFont="1">
      <alignment horizontal="center"/>
    </xf>
    <xf borderId="35" fillId="4" fontId="11" numFmtId="0" xfId="0" applyAlignment="1" applyBorder="1" applyFont="1">
      <alignment horizontal="center" shrinkToFit="0" vertical="center" wrapText="1"/>
    </xf>
    <xf borderId="49" fillId="4" fontId="80" numFmtId="0" xfId="0" applyAlignment="1" applyBorder="1" applyFont="1">
      <alignment horizontal="center" shrinkToFit="0" vertical="center" wrapText="1"/>
    </xf>
    <xf borderId="49" fillId="4" fontId="93" numFmtId="0" xfId="0" applyAlignment="1" applyBorder="1" applyFont="1">
      <alignment horizontal="center" shrinkToFit="0" vertical="center" wrapText="1"/>
    </xf>
    <xf borderId="50" fillId="4" fontId="80" numFmtId="0" xfId="0" applyAlignment="1" applyBorder="1" applyFont="1">
      <alignment horizontal="center" shrinkToFit="0" vertical="center" wrapText="1"/>
    </xf>
    <xf borderId="50" fillId="0" fontId="1" numFmtId="0" xfId="0" applyAlignment="1" applyBorder="1" applyFont="1">
      <alignment horizontal="center" vertical="bottom"/>
    </xf>
    <xf borderId="35" fillId="0" fontId="1" numFmtId="0" xfId="0" applyAlignment="1" applyBorder="1" applyFont="1">
      <alignment horizontal="center" vertical="bottom"/>
    </xf>
    <xf borderId="3" fillId="32" fontId="93" numFmtId="0" xfId="0" applyAlignment="1" applyBorder="1" applyFont="1">
      <alignment horizontal="center" shrinkToFit="0" vertical="center" wrapText="1"/>
    </xf>
    <xf borderId="3" fillId="33" fontId="93" numFmtId="0" xfId="0" applyAlignment="1" applyBorder="1" applyFont="1">
      <alignment horizontal="center" shrinkToFit="0" vertical="center" wrapText="1"/>
    </xf>
    <xf borderId="3" fillId="24" fontId="80" numFmtId="0" xfId="0" applyAlignment="1" applyBorder="1" applyFont="1">
      <alignment horizontal="center" shrinkToFit="0" vertical="center" wrapText="1"/>
    </xf>
    <xf borderId="3" fillId="31" fontId="93" numFmtId="0" xfId="0" applyAlignment="1" applyBorder="1" applyFont="1">
      <alignment horizontal="center" shrinkToFit="0" vertical="center" wrapText="1"/>
    </xf>
    <xf borderId="21" fillId="24" fontId="80" numFmtId="0" xfId="0" applyAlignment="1" applyBorder="1" applyFont="1">
      <alignment horizontal="center" shrinkToFit="0" vertical="center" wrapText="1"/>
    </xf>
    <xf borderId="0" fillId="24" fontId="1" numFmtId="0" xfId="0" applyAlignment="1" applyFont="1">
      <alignment horizontal="center" vertical="bottom"/>
    </xf>
    <xf borderId="3" fillId="24" fontId="1" numFmtId="0" xfId="0" applyAlignment="1" applyBorder="1" applyFont="1">
      <alignment horizontal="center" vertical="bottom"/>
    </xf>
    <xf borderId="49" fillId="24" fontId="80" numFmtId="0" xfId="0" applyAlignment="1" applyBorder="1" applyFont="1">
      <alignment horizontal="center" shrinkToFit="0" vertical="center" wrapText="1"/>
    </xf>
    <xf borderId="3" fillId="33" fontId="1" numFmtId="0" xfId="0" applyAlignment="1" applyBorder="1" applyFont="1">
      <alignment horizontal="center" vertical="bottom"/>
    </xf>
    <xf borderId="3" fillId="11" fontId="101" numFmtId="0" xfId="0" applyAlignment="1" applyBorder="1" applyFont="1">
      <alignment horizontal="center" shrinkToFit="0" vertical="center" wrapText="1"/>
    </xf>
    <xf borderId="35" fillId="11" fontId="100" numFmtId="0" xfId="0" applyAlignment="1" applyBorder="1" applyFont="1">
      <alignment horizontal="center"/>
    </xf>
    <xf borderId="0" fillId="11" fontId="11" numFmtId="0" xfId="0" applyAlignment="1" applyFont="1">
      <alignment horizontal="center" shrinkToFit="0" vertical="center" wrapText="1"/>
    </xf>
    <xf borderId="0" fillId="11" fontId="80" numFmtId="0" xfId="0" applyAlignment="1" applyFont="1">
      <alignment horizontal="center" shrinkToFit="0" vertical="center" wrapText="1"/>
    </xf>
    <xf borderId="0" fillId="24" fontId="80" numFmtId="0" xfId="0" applyAlignment="1" applyFont="1">
      <alignment horizontal="center" shrinkToFit="0" vertical="center" wrapText="1"/>
    </xf>
    <xf borderId="0" fillId="11" fontId="101" numFmtId="0" xfId="0" applyAlignment="1" applyFont="1">
      <alignment horizontal="center" shrinkToFit="0" vertical="center" wrapText="1"/>
    </xf>
    <xf borderId="0" fillId="11" fontId="100" numFmtId="0" xfId="0" applyAlignment="1" applyFont="1">
      <alignment horizontal="center"/>
    </xf>
    <xf borderId="65" fillId="29" fontId="14" numFmtId="0" xfId="0" applyAlignment="1" applyBorder="1" applyFont="1">
      <alignment horizontal="center"/>
    </xf>
    <xf borderId="71" fillId="29" fontId="14" numFmtId="0" xfId="0" applyAlignment="1" applyBorder="1" applyFont="1">
      <alignment horizontal="center" vertical="bottom"/>
    </xf>
    <xf borderId="71" fillId="29" fontId="14" numFmtId="0" xfId="0" applyAlignment="1" applyBorder="1" applyFont="1">
      <alignment horizontal="center" vertical="center"/>
    </xf>
    <xf borderId="0" fillId="25" fontId="1" numFmtId="0" xfId="0" applyAlignment="1" applyFont="1">
      <alignment vertical="center"/>
    </xf>
    <xf borderId="0" fillId="2" fontId="1" numFmtId="0" xfId="0" applyAlignment="1" applyFont="1">
      <alignment vertical="center"/>
    </xf>
    <xf borderId="79" fillId="28" fontId="84" numFmtId="0" xfId="0" applyAlignment="1" applyBorder="1" applyFont="1">
      <alignment horizontal="center"/>
    </xf>
    <xf borderId="25" fillId="28" fontId="84" numFmtId="0" xfId="0" applyAlignment="1" applyBorder="1" applyFont="1">
      <alignment horizontal="center"/>
    </xf>
    <xf borderId="80" fillId="28" fontId="84" numFmtId="0" xfId="0" applyAlignment="1" applyBorder="1" applyFont="1">
      <alignment horizontal="center"/>
    </xf>
    <xf borderId="81" fillId="28" fontId="84" numFmtId="0" xfId="0" applyAlignment="1" applyBorder="1" applyFont="1">
      <alignment horizontal="center" vertical="center"/>
    </xf>
    <xf borderId="0" fillId="30" fontId="1" numFmtId="0" xfId="0" applyAlignment="1" applyFont="1">
      <alignment horizontal="center" vertical="bottom"/>
    </xf>
    <xf borderId="0" fillId="37" fontId="16" numFmtId="0" xfId="0" applyAlignment="1" applyFill="1" applyFont="1">
      <alignment horizontal="center"/>
    </xf>
    <xf borderId="0" fillId="37" fontId="17" numFmtId="0" xfId="0" applyAlignment="1" applyFont="1">
      <alignment horizontal="center"/>
    </xf>
    <xf borderId="74" fillId="25" fontId="91" numFmtId="0" xfId="0" applyAlignment="1" applyBorder="1" applyFont="1">
      <alignment horizontal="center" vertical="center"/>
    </xf>
    <xf borderId="0" fillId="25" fontId="5" numFmtId="0" xfId="0" applyAlignment="1" applyFont="1">
      <alignment horizontal="center" vertical="center"/>
    </xf>
    <xf borderId="0" fillId="32" fontId="86" numFmtId="171" xfId="0" applyAlignment="1" applyFont="1" applyNumberFormat="1">
      <alignment horizontal="center" vertical="bottom"/>
    </xf>
    <xf borderId="0" fillId="31" fontId="86" numFmtId="171" xfId="0" applyAlignment="1" applyFont="1" applyNumberFormat="1">
      <alignment horizontal="center" vertical="bottom"/>
    </xf>
    <xf borderId="0" fillId="32" fontId="1" numFmtId="0" xfId="0" applyAlignment="1" applyFont="1">
      <alignment horizontal="center" shrinkToFit="0" wrapText="1"/>
    </xf>
    <xf borderId="0" fillId="37" fontId="102" numFmtId="0" xfId="0" applyAlignment="1" applyFont="1">
      <alignment horizontal="center"/>
    </xf>
    <xf borderId="0" fillId="33" fontId="1" numFmtId="0" xfId="0" applyAlignment="1" applyFont="1">
      <alignment horizontal="center" vertical="bottom"/>
    </xf>
    <xf borderId="0" fillId="37" fontId="17" numFmtId="0" xfId="0" applyAlignment="1" applyFont="1">
      <alignment horizontal="center" vertical="bottom"/>
    </xf>
    <xf borderId="0" fillId="37" fontId="16" numFmtId="0" xfId="0" applyAlignment="1" applyFont="1">
      <alignment horizontal="center" vertical="bottom"/>
    </xf>
    <xf borderId="0" fillId="11" fontId="1" numFmtId="0" xfId="0" applyAlignment="1" applyFont="1">
      <alignment horizontal="center" shrinkToFit="0" wrapText="1"/>
    </xf>
    <xf borderId="0" fillId="18" fontId="86" numFmtId="171" xfId="0" applyAlignment="1" applyFont="1" applyNumberFormat="1">
      <alignment horizontal="center" vertical="bottom"/>
    </xf>
    <xf borderId="74" fillId="25" fontId="90" numFmtId="0" xfId="0" applyAlignment="1" applyBorder="1" applyFont="1">
      <alignment horizontal="center" shrinkToFit="0" vertical="center" wrapText="1"/>
    </xf>
    <xf borderId="0" fillId="31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wrapText="1"/>
    </xf>
    <xf borderId="0" fillId="18" fontId="1" numFmtId="0" xfId="0" applyAlignment="1" applyFont="1">
      <alignment horizontal="center" shrinkToFit="0" wrapText="1"/>
    </xf>
    <xf borderId="0" fillId="24" fontId="1" numFmtId="0" xfId="0" applyAlignment="1" applyFont="1">
      <alignment horizontal="center"/>
    </xf>
    <xf borderId="0" fillId="37" fontId="1" numFmtId="0" xfId="0" applyAlignment="1" applyFont="1">
      <alignment horizontal="center"/>
    </xf>
    <xf borderId="8" fillId="2" fontId="16" numFmtId="0" xfId="0" applyAlignment="1" applyBorder="1" applyFont="1">
      <alignment horizontal="center" vertical="bottom"/>
    </xf>
    <xf borderId="0" fillId="2" fontId="16" numFmtId="0" xfId="0" applyAlignment="1" applyFont="1">
      <alignment horizontal="center" vertical="bottom"/>
    </xf>
    <xf borderId="0" fillId="2" fontId="17" numFmtId="0" xfId="0" applyAlignment="1" applyFont="1">
      <alignment horizontal="center"/>
    </xf>
    <xf borderId="82" fillId="2" fontId="1" numFmtId="0" xfId="0" applyBorder="1" applyFont="1"/>
    <xf borderId="8" fillId="4" fontId="16" numFmtId="0" xfId="0" applyAlignment="1" applyBorder="1" applyFont="1">
      <alignment horizontal="center" vertical="bottom"/>
    </xf>
    <xf borderId="0" fillId="4" fontId="16" numFmtId="0" xfId="0" applyAlignment="1" applyFont="1">
      <alignment horizontal="center"/>
    </xf>
    <xf borderId="0" fillId="4" fontId="17" numFmtId="0" xfId="0" applyAlignment="1" applyFont="1">
      <alignment horizontal="center"/>
    </xf>
    <xf borderId="8" fillId="0" fontId="16" numFmtId="0" xfId="0" applyAlignment="1" applyBorder="1" applyFont="1">
      <alignment horizontal="center"/>
    </xf>
    <xf borderId="0" fillId="0" fontId="16" numFmtId="0" xfId="0" applyFont="1"/>
    <xf borderId="0" fillId="0" fontId="17" numFmtId="0" xfId="0" applyFont="1"/>
    <xf borderId="0" fillId="0" fontId="103" numFmtId="0" xfId="0" applyFont="1"/>
    <xf borderId="0" fillId="4" fontId="104" numFmtId="171" xfId="0" applyFont="1" applyNumberFormat="1"/>
    <xf borderId="0" fillId="0" fontId="1" numFmtId="171" xfId="0" applyFont="1" applyNumberFormat="1"/>
    <xf borderId="28" fillId="11" fontId="43" numFmtId="0" xfId="0" applyAlignment="1" applyBorder="1" applyFont="1">
      <alignment horizontal="left"/>
    </xf>
    <xf borderId="28" fillId="11" fontId="44" numFmtId="49" xfId="0" applyAlignment="1" applyBorder="1" applyFont="1" applyNumberFormat="1">
      <alignment horizontal="left"/>
    </xf>
    <xf borderId="0" fillId="2" fontId="26" numFmtId="0" xfId="0" applyAlignment="1" applyFont="1">
      <alignment horizontal="left"/>
    </xf>
    <xf borderId="0" fillId="2" fontId="105" numFmtId="0" xfId="0" applyAlignment="1" applyFont="1">
      <alignment horizontal="left" shrinkToFit="0" vertical="center" wrapText="1"/>
    </xf>
    <xf borderId="44" fillId="16" fontId="106" numFmtId="0" xfId="0" applyAlignment="1" applyBorder="1" applyFont="1">
      <alignment horizontal="left"/>
    </xf>
    <xf borderId="0" fillId="20" fontId="107" numFmtId="0" xfId="0" applyAlignment="1" applyFont="1">
      <alignment horizontal="left" shrinkToFit="0" vertical="center" wrapText="0"/>
    </xf>
    <xf borderId="0" fillId="20" fontId="108" numFmtId="0" xfId="0" applyAlignment="1" applyFont="1">
      <alignment horizontal="left" shrinkToFit="0" vertical="center" wrapText="0"/>
    </xf>
    <xf borderId="0" fillId="20" fontId="109" numFmtId="0" xfId="0" applyAlignment="1" applyFont="1">
      <alignment horizontal="left" shrinkToFit="0" wrapText="0"/>
    </xf>
    <xf borderId="25" fillId="16" fontId="1" numFmtId="0" xfId="0" applyAlignment="1" applyBorder="1" applyFont="1">
      <alignment horizontal="left"/>
    </xf>
    <xf borderId="0" fillId="20" fontId="110" numFmtId="0" xfId="0" applyAlignment="1" applyFont="1">
      <alignment horizontal="left" shrinkToFit="0" wrapText="0"/>
    </xf>
    <xf borderId="44" fillId="16" fontId="1" numFmtId="0" xfId="0" applyAlignment="1" applyBorder="1" applyFont="1">
      <alignment horizontal="left"/>
    </xf>
    <xf borderId="44" fillId="2" fontId="26" numFmtId="0" xfId="0" applyAlignment="1" applyBorder="1" applyFont="1">
      <alignment horizontal="left"/>
    </xf>
    <xf borderId="0" fillId="20" fontId="111" numFmtId="0" xfId="0" applyAlignment="1" applyFont="1">
      <alignment horizontal="left"/>
    </xf>
    <xf borderId="0" fillId="20" fontId="1" numFmtId="0" xfId="0" applyAlignment="1" applyFont="1">
      <alignment horizontal="left"/>
    </xf>
    <xf borderId="3" fillId="9" fontId="5" numFmtId="0" xfId="0" applyAlignment="1" applyBorder="1" applyFont="1">
      <alignment horizontal="center" vertical="bottom"/>
    </xf>
    <xf borderId="44" fillId="9" fontId="1" numFmtId="0" xfId="0" applyAlignment="1" applyBorder="1" applyFont="1">
      <alignment horizontal="center" vertical="bottom"/>
    </xf>
    <xf borderId="25" fillId="18" fontId="5" numFmtId="0" xfId="0" applyAlignment="1" applyBorder="1" applyFont="1">
      <alignment horizontal="center"/>
    </xf>
    <xf borderId="45" fillId="18" fontId="21" numFmtId="0" xfId="0" applyAlignment="1" applyBorder="1" applyFont="1">
      <alignment horizontal="center"/>
    </xf>
    <xf borderId="43" fillId="16" fontId="1" numFmtId="49" xfId="0" applyAlignment="1" applyBorder="1" applyFont="1" applyNumberFormat="1">
      <alignment horizontal="left"/>
    </xf>
    <xf borderId="0" fillId="20" fontId="112" numFmtId="0" xfId="0" applyAlignment="1" applyFont="1">
      <alignment horizontal="left"/>
    </xf>
    <xf borderId="7" fillId="18" fontId="5" numFmtId="0" xfId="0" applyAlignment="1" applyBorder="1" applyFont="1">
      <alignment horizontal="center" vertical="bottom"/>
    </xf>
    <xf borderId="25" fillId="18" fontId="5" numFmtId="0" xfId="0" applyAlignment="1" applyBorder="1" applyFont="1">
      <alignment horizontal="center" vertical="bottom"/>
    </xf>
    <xf borderId="0" fillId="20" fontId="113" numFmtId="0" xfId="0" applyAlignment="1" applyFont="1">
      <alignment horizontal="left"/>
    </xf>
    <xf borderId="10" fillId="0" fontId="1" numFmtId="165" xfId="0" applyAlignment="1" applyBorder="1" applyFont="1" applyNumberFormat="1">
      <alignment horizontal="center"/>
    </xf>
    <xf borderId="0" fillId="16" fontId="1" numFmtId="0" xfId="0" applyFont="1"/>
    <xf borderId="0" fillId="21" fontId="1" numFmtId="0" xfId="0" applyAlignment="1" applyFont="1">
      <alignment horizontal="center"/>
    </xf>
    <xf borderId="43" fillId="16" fontId="114" numFmtId="49" xfId="0" applyAlignment="1" applyBorder="1" applyFont="1" applyNumberFormat="1">
      <alignment horizontal="left"/>
    </xf>
    <xf borderId="0" fillId="16" fontId="115" numFmtId="49" xfId="0" applyAlignment="1" applyFont="1" applyNumberFormat="1">
      <alignment horizontal="left"/>
    </xf>
    <xf borderId="19" fillId="16" fontId="116" numFmtId="49" xfId="0" applyAlignment="1" applyBorder="1" applyFont="1" applyNumberFormat="1">
      <alignment horizontal="left"/>
    </xf>
    <xf borderId="43" fillId="18" fontId="5" numFmtId="0" xfId="0" applyAlignment="1" applyBorder="1" applyFont="1">
      <alignment horizontal="center"/>
    </xf>
    <xf borderId="7" fillId="16" fontId="117" numFmtId="0" xfId="0" applyAlignment="1" applyBorder="1" applyFont="1">
      <alignment horizontal="left"/>
    </xf>
    <xf borderId="7" fillId="16" fontId="1" numFmtId="0" xfId="0" applyAlignment="1" applyBorder="1" applyFont="1">
      <alignment horizontal="left"/>
    </xf>
    <xf borderId="49" fillId="9" fontId="1" numFmtId="0" xfId="0" applyAlignment="1" applyBorder="1" applyFont="1">
      <alignment horizontal="center"/>
    </xf>
    <xf borderId="23" fillId="18" fontId="5" numFmtId="0" xfId="0" applyAlignment="1" applyBorder="1" applyFont="1">
      <alignment horizontal="center"/>
    </xf>
    <xf borderId="0" fillId="2" fontId="1" numFmtId="0" xfId="0" applyAlignment="1" applyFont="1">
      <alignment horizontal="left" vertical="bottom"/>
    </xf>
    <xf borderId="0" fillId="2" fontId="1" numFmtId="0" xfId="0" applyAlignment="1" applyFont="1">
      <alignment horizontal="left"/>
    </xf>
    <xf borderId="0" fillId="0" fontId="118" numFmtId="2" xfId="0" applyAlignment="1" applyFont="1" applyNumberFormat="1">
      <alignment horizontal="left" shrinkToFit="0" vertical="center" wrapText="1"/>
    </xf>
    <xf borderId="0" fillId="0" fontId="1" numFmtId="2" xfId="0" applyFont="1" applyNumberFormat="1"/>
    <xf borderId="19" fillId="2" fontId="1" numFmtId="0" xfId="0" applyAlignment="1" applyBorder="1" applyFont="1">
      <alignment horizontal="center" vertical="bottom"/>
    </xf>
    <xf borderId="45" fillId="2" fontId="1" numFmtId="0" xfId="0" applyAlignment="1" applyBorder="1" applyFont="1">
      <alignment horizontal="center"/>
    </xf>
    <xf borderId="34" fillId="2" fontId="5" numFmtId="0" xfId="0" applyAlignment="1" applyBorder="1" applyFont="1">
      <alignment horizontal="center"/>
    </xf>
    <xf borderId="43" fillId="2" fontId="1" numFmtId="49" xfId="0" applyAlignment="1" applyBorder="1" applyFont="1" applyNumberFormat="1">
      <alignment horizontal="center"/>
    </xf>
    <xf borderId="44" fillId="2" fontId="1" numFmtId="0" xfId="0" applyAlignment="1" applyBorder="1" applyFont="1">
      <alignment horizontal="left"/>
    </xf>
    <xf borderId="0" fillId="2" fontId="119" numFmtId="0" xfId="0" applyAlignment="1" applyFont="1">
      <alignment horizontal="left"/>
    </xf>
    <xf borderId="34" fillId="2" fontId="1" numFmtId="0" xfId="0" applyAlignment="1" applyBorder="1" applyFont="1">
      <alignment horizontal="center"/>
    </xf>
    <xf borderId="20" fillId="2" fontId="1" numFmtId="0" xfId="0" applyAlignment="1" applyBorder="1" applyFont="1">
      <alignment horizontal="center"/>
    </xf>
    <xf borderId="22" fillId="2" fontId="5" numFmtId="0" xfId="0" applyAlignment="1" applyBorder="1" applyFont="1">
      <alignment horizontal="center"/>
    </xf>
    <xf borderId="11" fillId="2" fontId="5" numFmtId="0" xfId="0" applyAlignment="1" applyBorder="1" applyFont="1">
      <alignment horizontal="center"/>
    </xf>
    <xf borderId="34" fillId="2" fontId="1" numFmtId="49" xfId="0" applyAlignment="1" applyBorder="1" applyFont="1" applyNumberFormat="1">
      <alignment horizontal="center"/>
    </xf>
    <xf borderId="11" fillId="2" fontId="1" numFmtId="49" xfId="0" applyAlignment="1" applyBorder="1" applyFont="1" applyNumberFormat="1">
      <alignment horizontal="center"/>
    </xf>
    <xf borderId="0" fillId="2" fontId="1" numFmtId="49" xfId="0" applyAlignment="1" applyFont="1" applyNumberFormat="1">
      <alignment horizontal="center"/>
    </xf>
  </cellXfs>
  <cellStyles count="1">
    <cellStyle xfId="0" name="Normal" builtinId="0"/>
  </cellStyles>
  <dxfs count="11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>
        <color rgb="FFFF00FF"/>
      </font>
      <fill>
        <patternFill patternType="none"/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>
        <strike/>
        <color rgb="FFFF0000"/>
      </font>
      <fill>
        <patternFill patternType="solid">
          <fgColor rgb="FFFFFFFF"/>
          <bgColor rgb="FFFFFFFF"/>
        </patternFill>
      </fill>
      <border/>
    </dxf>
  </dxfs>
  <tableStyles count="9">
    <tableStyle count="3" pivot="0" name="Schedule ListStandings-style">
      <tableStyleElement dxfId="2" type="headerRow"/>
      <tableStyleElement dxfId="3" type="firstRowStripe"/>
      <tableStyleElement dxfId="4" type="secondRowStripe"/>
    </tableStyle>
    <tableStyle count="3" pivot="0" name="Schedule ListStandings-style 2">
      <tableStyleElement dxfId="2" type="headerRow"/>
      <tableStyleElement dxfId="3" type="firstRowStripe"/>
      <tableStyleElement dxfId="4" type="secondRowStripe"/>
    </tableStyle>
    <tableStyle count="2" pivot="0" name="Schedule-style">
      <tableStyleElement dxfId="3" type="firstRowStripe"/>
      <tableStyleElement dxfId="8" type="secondRowStripe"/>
    </tableStyle>
    <tableStyle count="2" pivot="0" name="Schedule-style 2">
      <tableStyleElement dxfId="3" type="firstRowStripe"/>
      <tableStyleElement dxfId="8" type="secondRowStripe"/>
    </tableStyle>
    <tableStyle count="2" pivot="0" name="Schedule-style 3">
      <tableStyleElement dxfId="3" type="firstRowStripe"/>
      <tableStyleElement dxfId="8" type="secondRowStripe"/>
    </tableStyle>
    <tableStyle count="2" pivot="0" name="Schedule-style 4">
      <tableStyleElement dxfId="8" type="firstRowStripe"/>
      <tableStyleElement dxfId="3" type="secondRowStripe"/>
    </tableStyle>
    <tableStyle count="2" pivot="0" name="Schedule-style 5">
      <tableStyleElement dxfId="8" type="firstRowStripe"/>
      <tableStyleElement dxfId="3" type="secondRowStripe"/>
    </tableStyle>
    <tableStyle count="2" pivot="0" name="Schedule-style 6">
      <tableStyleElement dxfId="3" type="firstRowStripe"/>
      <tableStyleElement dxfId="8" type="secondRowStripe"/>
    </tableStyle>
    <tableStyle count="2" pivot="0" name="Schedule-style 7">
      <tableStyleElement dxfId="8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1019175</xdr:colOff>
      <xdr:row>34</xdr:row>
      <xdr:rowOff>180975</xdr:rowOff>
    </xdr:from>
    <xdr:ext cx="3857625" cy="39719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390525</xdr:colOff>
      <xdr:row>35</xdr:row>
      <xdr:rowOff>19050</xdr:rowOff>
    </xdr:from>
    <xdr:ext cx="3638550" cy="38862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1476375</xdr:colOff>
      <xdr:row>34</xdr:row>
      <xdr:rowOff>180975</xdr:rowOff>
    </xdr:from>
    <xdr:ext cx="3638550" cy="388620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K4:N11" displayName="Table_1" name="Table_1" id="1">
  <tableColumns count="4">
    <tableColumn name="Team Standings" id="1"/>
    <tableColumn name="Wins" id="2"/>
    <tableColumn name="Loss" id="3"/>
    <tableColumn name="Games" id="4"/>
  </tableColumns>
  <tableStyleInfo name="Schedule ListStandings-style" showColumnStripes="0" showFirstColumn="1" showLastColumn="1" showRowStripes="1"/>
</table>
</file>

<file path=xl/tables/table2.xml><?xml version="1.0" encoding="utf-8"?>
<table xmlns="http://schemas.openxmlformats.org/spreadsheetml/2006/main" ref="P4:S11" displayName="Table_2" name="Table_2" id="2">
  <tableColumns count="4">
    <tableColumn name="Team Standings" id="1"/>
    <tableColumn name="Wins" id="2"/>
    <tableColumn name="Loss" id="3"/>
    <tableColumn name="Games" id="4"/>
  </tableColumns>
  <tableStyleInfo name="Schedule ListStandings-style 2" showColumnStripes="0" showFirstColumn="1" showLastColumn="1" showRowStripes="1"/>
</table>
</file>

<file path=xl/tables/table3.xml><?xml version="1.0" encoding="utf-8"?>
<table xmlns="http://schemas.openxmlformats.org/spreadsheetml/2006/main" headerRowCount="0" ref="C6:J12" displayName="Table_3" name="Table_3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chedule-style" showColumnStripes="0" showFirstColumn="1" showLastColumn="1" showRowStripes="1"/>
</table>
</file>

<file path=xl/tables/table4.xml><?xml version="1.0" encoding="utf-8"?>
<table xmlns="http://schemas.openxmlformats.org/spreadsheetml/2006/main" headerRowCount="0" ref="L6:X11" displayName="Table_4" name="Table_4" id="4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Schedule-style 2" showColumnStripes="0" showFirstColumn="1" showLastColumn="1" showRowStripes="1"/>
</table>
</file>

<file path=xl/tables/table5.xml><?xml version="1.0" encoding="utf-8"?>
<table xmlns="http://schemas.openxmlformats.org/spreadsheetml/2006/main" headerRowCount="0" ref="C13:J19" displayName="Table_5" name="Table_5" id="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chedule-style 3" showColumnStripes="0" showFirstColumn="1" showLastColumn="1" showRowStripes="1"/>
</table>
</file>

<file path=xl/tables/table6.xml><?xml version="1.0" encoding="utf-8"?>
<table xmlns="http://schemas.openxmlformats.org/spreadsheetml/2006/main" headerRowCount="0" ref="L13:S17" displayName="Table_6" name="Table_6" id="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chedule-style 4" showColumnStripes="0" showFirstColumn="1" showLastColumn="1" showRowStripes="1"/>
</table>
</file>

<file path=xl/tables/table7.xml><?xml version="1.0" encoding="utf-8"?>
<table xmlns="http://schemas.openxmlformats.org/spreadsheetml/2006/main" headerRowCount="0" ref="L19:R23" displayName="Table_7" name="Table_7" id="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chedule-style 5" showColumnStripes="0" showFirstColumn="1" showLastColumn="1" showRowStripes="1"/>
</table>
</file>

<file path=xl/tables/table8.xml><?xml version="1.0" encoding="utf-8"?>
<table xmlns="http://schemas.openxmlformats.org/spreadsheetml/2006/main" headerRowCount="0" ref="C20:J23" displayName="Table_8" name="Table_8" id="8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chedule-style 6" showColumnStripes="0" showFirstColumn="1" showLastColumn="1" showRowStripes="1"/>
</table>
</file>

<file path=xl/tables/table9.xml><?xml version="1.0" encoding="utf-8"?>
<table xmlns="http://schemas.openxmlformats.org/spreadsheetml/2006/main" headerRowCount="0" ref="C27:I32" displayName="Table_9" name="Table_9" id="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chedule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alowaypoint.com/halo-infinite/players/KDSkill/matches/21113fa8-e7cb-4303-a8af-91df4d69e067" TargetMode="External"/><Relationship Id="rId42" Type="http://schemas.openxmlformats.org/officeDocument/2006/relationships/hyperlink" Target="https://www.halowaypoint.com/halo-infinite/players/Deathcrawller/matches/d75873f7-3de7-4c49-8865-dd2f2654d599" TargetMode="External"/><Relationship Id="rId41" Type="http://schemas.openxmlformats.org/officeDocument/2006/relationships/hyperlink" Target="https://www.halowaypoint.com/halo-infinite/players/Deathcrawller/matches/818f7275-8306-4f6f-a140-07da951ce376" TargetMode="External"/><Relationship Id="rId44" Type="http://schemas.openxmlformats.org/officeDocument/2006/relationships/hyperlink" Target="https://halodatahive.com/Infinite/Match/cf2b1f5c-8191-4b4b-99cd-a1b4cb9e3d66?gamertag=yLuxe&amp;type=Custom&amp;page=0" TargetMode="External"/><Relationship Id="rId43" Type="http://schemas.openxmlformats.org/officeDocument/2006/relationships/hyperlink" Target="https://www.halowaypoint.com/halo-infinite/players/ASpence501/matches/73c7d5b7-9315-4934-99e4-e9d08c1d74a2" TargetMode="External"/><Relationship Id="rId46" Type="http://schemas.openxmlformats.org/officeDocument/2006/relationships/hyperlink" Target="https://halodatahive.com/Infinite/Match/dd6efd57-216b-487d-a5d4-2b086dd43433?gamertag=ASpence501&amp;type=Custom&amp;page=0" TargetMode="External"/><Relationship Id="rId45" Type="http://schemas.openxmlformats.org/officeDocument/2006/relationships/hyperlink" Target="https://halodatahive.com/Infinite/Match/acff30f4-b5ac-4438-9001-567dd34720e1?gamertag=yLuxe&amp;type=Custom&amp;page=0" TargetMode="External"/><Relationship Id="rId107" Type="http://schemas.openxmlformats.org/officeDocument/2006/relationships/hyperlink" Target="https://halodatahive.com/Infinite/Match/09a4f40a-eb85-4b22-b254-97864336f717?gamertag=mxrvine&amp;type=Custom&amp;page=0" TargetMode="External"/><Relationship Id="rId106" Type="http://schemas.openxmlformats.org/officeDocument/2006/relationships/hyperlink" Target="https://halodatahive.com/Infinite/Match/aaf995f6-53aa-481b-874a-447a41ddf54c?gamertag=MysticalNovice&amp;type=Custom&amp;page=0" TargetMode="External"/><Relationship Id="rId105" Type="http://schemas.openxmlformats.org/officeDocument/2006/relationships/hyperlink" Target="https://halodatahive.com/Infinite/Match/1297f6fc-39ec-4afc-af31-fd6d8577386b?gamertag=MysticalNovice&amp;type=Custom&amp;page=0" TargetMode="External"/><Relationship Id="rId104" Type="http://schemas.openxmlformats.org/officeDocument/2006/relationships/hyperlink" Target="https://halodatahive.com/Infinite/Match/163f068f-f916-4121-8fe1-63701a7d89e8?gamertag=MysticalNovice&amp;type=Custom&amp;page=0" TargetMode="External"/><Relationship Id="rId109" Type="http://schemas.openxmlformats.org/officeDocument/2006/relationships/hyperlink" Target="https://halodatahive.com/Infinite/Match/8672309c-894d-4291-8c7b-79a03e498985?gamertag=yLuxe&amp;type=Custom&amp;page=0" TargetMode="External"/><Relationship Id="rId108" Type="http://schemas.openxmlformats.org/officeDocument/2006/relationships/hyperlink" Target="https://halodatahive.com/Infinite/Match/fc2a3b8f-f3e1-47e0-8af6-7726751515c6?gamertag=mxrvine&amp;type=Custom&amp;page=0" TargetMode="External"/><Relationship Id="rId48" Type="http://schemas.openxmlformats.org/officeDocument/2006/relationships/hyperlink" Target="https://halodatahive.com/Infinite/Match/8c1aef70-1da5-463b-aaa2-12cd11f42c96?gamertag=Cosmos5024&amp;page=0" TargetMode="External"/><Relationship Id="rId47" Type="http://schemas.openxmlformats.org/officeDocument/2006/relationships/hyperlink" Target="https://halodatahive.com/Infinite/Match/eee631e6-c85f-4cc7-becd-c116bb9c9c5c?gamertag=ASpence501&amp;type=Custom&amp;page=0" TargetMode="External"/><Relationship Id="rId49" Type="http://schemas.openxmlformats.org/officeDocument/2006/relationships/hyperlink" Target="https://halodatahive.com/Infinite/Match/913df4a3-8ec8-4395-827e-adc911256555?gamertag=Cosmos5024&amp;page=0" TargetMode="External"/><Relationship Id="rId103" Type="http://schemas.openxmlformats.org/officeDocument/2006/relationships/hyperlink" Target="https://halodatahive.com/Infinite/Match/e4e21230-98fb-4f7b-81e3-17fd320b6d98?gamertag=MysticalNovice&amp;type=Custom&amp;page=0" TargetMode="External"/><Relationship Id="rId102" Type="http://schemas.openxmlformats.org/officeDocument/2006/relationships/hyperlink" Target="https://halodatahive.com/Infinite/Match/79bebe0a-5850-4fbc-b78a-3d957593ada7?gamertag=Chemical" TargetMode="External"/><Relationship Id="rId101" Type="http://schemas.openxmlformats.org/officeDocument/2006/relationships/hyperlink" Target="https://halodatahive.com/Infinite/Match/5565399b-d243-40f1-9426-efd658a4f36f?gamertag=ASpence501&amp;type=Custom&amp;page=0" TargetMode="External"/><Relationship Id="rId100" Type="http://schemas.openxmlformats.org/officeDocument/2006/relationships/hyperlink" Target="https://halodatahive.com/Infinite/Match/554a64e5-2a44-4d32-9ff0-75350b18f300?gamertag=Chemical" TargetMode="External"/><Relationship Id="rId31" Type="http://schemas.openxmlformats.org/officeDocument/2006/relationships/hyperlink" Target="https://halodatahive.com/Infinite/Match/633ed321-ec37-416d-8c98-89384ef84853?gamertag=Chemical" TargetMode="External"/><Relationship Id="rId30" Type="http://schemas.openxmlformats.org/officeDocument/2006/relationships/hyperlink" Target="https://halodatahive.com/Infinite/Match/32906473-85fe-43f4-a535-801d8d6025d3?gamertag=Chemical" TargetMode="External"/><Relationship Id="rId33" Type="http://schemas.openxmlformats.org/officeDocument/2006/relationships/hyperlink" Target="https://halodatahive.com/Infinite/Match/34f11d6b-1b84-4938-b248-0b92647583c9?gamertag=yLuxe&amp;type=Custom&amp;page=0" TargetMode="External"/><Relationship Id="rId32" Type="http://schemas.openxmlformats.org/officeDocument/2006/relationships/hyperlink" Target="https://halodatahive.com/Infinite/Match/4ad5c405-45f0-4c19-94b7-cb0d1b5b884b?gamertag=Chemical" TargetMode="External"/><Relationship Id="rId35" Type="http://schemas.openxmlformats.org/officeDocument/2006/relationships/hyperlink" Target="https://www.halowaypoint.com/halo-infinite/players/KDSkill/matches/0e2d86a6-084c-4c23-a551-3f7b8180ad38" TargetMode="External"/><Relationship Id="rId34" Type="http://schemas.openxmlformats.org/officeDocument/2006/relationships/hyperlink" Target="https://halodatahive.com/Infinite/Match/3ea6823b-92b4-4c91-b67d-b26c975cc620?gamertag=KindredDaedric&amp;type=Custom&amp;page=0" TargetMode="External"/><Relationship Id="rId37" Type="http://schemas.openxmlformats.org/officeDocument/2006/relationships/hyperlink" Target="https://www.halowaypoint.com/halo-infinite/players/yLuxe/matches/e3128434-4d40-4621-b1df-81277e3af6af" TargetMode="External"/><Relationship Id="rId36" Type="http://schemas.openxmlformats.org/officeDocument/2006/relationships/hyperlink" Target="https://www.halowaypoint.com/halo-infinite/players/yLuxe/matches/60d1e8af-39fa-4877-b6b4-b4122991f43c" TargetMode="External"/><Relationship Id="rId39" Type="http://schemas.openxmlformats.org/officeDocument/2006/relationships/hyperlink" Target="https://www.halowaypoint.com/halo-infinite/players/Mr%20Epic%20Beast/matches/f99675a3-6a15-4db2-b6e5-e9b71edc5efb" TargetMode="External"/><Relationship Id="rId38" Type="http://schemas.openxmlformats.org/officeDocument/2006/relationships/hyperlink" Target="https://www.halowaypoint.com/halo-infinite/players/Mr%20Epic%20Beast/matches/6da69fc1-1df4-42cc-89e7-b9119aca057c" TargetMode="External"/><Relationship Id="rId20" Type="http://schemas.openxmlformats.org/officeDocument/2006/relationships/hyperlink" Target="https://halodatahive.com/Infinite/Match/e3524393-bdfd-446e-994b-dce3e80baa2a?gamertag=KindredDaedric&amp;type=Custom&amp;page=0" TargetMode="External"/><Relationship Id="rId22" Type="http://schemas.openxmlformats.org/officeDocument/2006/relationships/hyperlink" Target="https://halodatahive.com/Infinite/Match/791d8a3d-689b-4dbc-82d4-9c90e35edcde?gamertag=Mavbrid&amp;type=Custom&amp;page=0" TargetMode="External"/><Relationship Id="rId21" Type="http://schemas.openxmlformats.org/officeDocument/2006/relationships/hyperlink" Target="https://halodatahive.com/Infinite/Match/805a2658-b0e4-4106-9fbb-958e3deef4a9?gamertag=KindredDaedric&amp;type=Custom&amp;page=0" TargetMode="External"/><Relationship Id="rId24" Type="http://schemas.openxmlformats.org/officeDocument/2006/relationships/hyperlink" Target="https://halodatahive.com/Infinite/Match/b9cced5e-9dae-458b-ad97-d16572f2e7c3?gamertag=Mavbrid&amp;type=Custom&amp;page=0" TargetMode="External"/><Relationship Id="rId23" Type="http://schemas.openxmlformats.org/officeDocument/2006/relationships/hyperlink" Target="https://halodatahive.com/Infinite/Match/0fefe2b0-c9c4-47fd-ba4b-43289929c576?gamertag=Mavbrid&amp;type=Custom&amp;page=0" TargetMode="External"/><Relationship Id="rId129" Type="http://schemas.openxmlformats.org/officeDocument/2006/relationships/hyperlink" Target="https://halodatahive.com/Infinite/Match/230063da-ea4a-4bfb-b51d-82edf611a791?gamertag=yLuxe&amp;type=Custom&amp;page=0" TargetMode="External"/><Relationship Id="rId128" Type="http://schemas.openxmlformats.org/officeDocument/2006/relationships/hyperlink" Target="https://halodatahive.com/Infinite/Match/bc569365-66dd-4c9c-9027-67b57645219f?gamertag=yLuxe&amp;type=Custom&amp;page=0" TargetMode="External"/><Relationship Id="rId127" Type="http://schemas.openxmlformats.org/officeDocument/2006/relationships/hyperlink" Target="https://www.halowaypoint.com/halo-infinite/players/Mr%20Epic%20Beast/matches/5b9ef953-a6dd-4015-bd0f-da4eeab474a7" TargetMode="External"/><Relationship Id="rId126" Type="http://schemas.openxmlformats.org/officeDocument/2006/relationships/hyperlink" Target="https://www.halowaypoint.com/halo-infinite/players/Mr%20Epic%20Beast/matches/e4653073-847d-4e42-8307-b0cb9bd47ed2" TargetMode="External"/><Relationship Id="rId26" Type="http://schemas.openxmlformats.org/officeDocument/2006/relationships/hyperlink" Target="https://www.halowaypoint.com/halo-infinite/players/Scullen%20cx/matches/ee3e9266-fc11-4f37-b84c-04863b4f162f" TargetMode="External"/><Relationship Id="rId121" Type="http://schemas.openxmlformats.org/officeDocument/2006/relationships/hyperlink" Target="https://halodatahive.com/Infinite/Match/846613ff-cc67-4d37-8369-11ff5aecf024?gamertag=Mavbrid&amp;type=Custom&amp;page=0" TargetMode="External"/><Relationship Id="rId25" Type="http://schemas.openxmlformats.org/officeDocument/2006/relationships/hyperlink" Target="https://www.halowaypoint.com/halo-infinite/players/solace%20viii/matches/01100ef7-3c69-439a-b46c-956086914c7f" TargetMode="External"/><Relationship Id="rId120" Type="http://schemas.openxmlformats.org/officeDocument/2006/relationships/hyperlink" Target="https://halodatahive.com/Infinite/Match/dc16eea7-2893-476e-9b2f-f3b012ee9b91?gamertag=Mavbrid&amp;type=Custom&amp;page=0" TargetMode="External"/><Relationship Id="rId28" Type="http://schemas.openxmlformats.org/officeDocument/2006/relationships/hyperlink" Target="https://halodatahive.com/Infinite/Match/ada7be7a-85df-4036-8299-0df24c9c44e1?gamertag=yLuxe&amp;type=Custom&amp;page=0" TargetMode="External"/><Relationship Id="rId27" Type="http://schemas.openxmlformats.org/officeDocument/2006/relationships/hyperlink" Target="https://halodatahive.com/Infinite/Match/79e753e0-210e-4232-9fe0-965d14a785a6?gamertag=NOPLEX&amp;type=Custom&amp;page=0" TargetMode="External"/><Relationship Id="rId125" Type="http://schemas.openxmlformats.org/officeDocument/2006/relationships/hyperlink" Target="https://halodatahive.com/Infinite/Match/7d3a2f97-d521-4668-bcbe-7c12aac4b226?gamertag=Mavbrid&amp;type=Custom&amp;page=0" TargetMode="External"/><Relationship Id="rId29" Type="http://schemas.openxmlformats.org/officeDocument/2006/relationships/hyperlink" Target="https://halodatahive.com/Infinite/Match/b6276562-691c-49b7-a230-dc013f186244?gamertag=Chemical" TargetMode="External"/><Relationship Id="rId124" Type="http://schemas.openxmlformats.org/officeDocument/2006/relationships/hyperlink" Target="https://halodatahive.com/Infinite/Match/2c29d9c5-e52f-413c-8d50-18567cf54e04?gamertag=MysticalNovice&amp;type=Custom&amp;page=0" TargetMode="External"/><Relationship Id="rId123" Type="http://schemas.openxmlformats.org/officeDocument/2006/relationships/hyperlink" Target="https://halodatahive.com/Infinite/Match/71db727a-337b-4590-bfa6-c979a7d7eaff?gamertag=Mavbrid&amp;type=Custom&amp;page=0" TargetMode="External"/><Relationship Id="rId122" Type="http://schemas.openxmlformats.org/officeDocument/2006/relationships/hyperlink" Target="https://halodatahive.com/Infinite/Match/30702817-8714-4c96-89ac-16eb0e39e93c?gamertag=Mavbrid&amp;type=Custom&amp;page=0" TargetMode="External"/><Relationship Id="rId95" Type="http://schemas.openxmlformats.org/officeDocument/2006/relationships/hyperlink" Target="https://halodatahive.com/Infinite/Match/1767e57e-c94b-44b1-8466-c808d523437f?gamertag=ASpence501&amp;type=Custom&amp;page=0" TargetMode="External"/><Relationship Id="rId94" Type="http://schemas.openxmlformats.org/officeDocument/2006/relationships/hyperlink" Target="https://www.halowaypoint.com/halo-infinite/players/Scullen%20cx/matches/7d7652ed-56e7-4ad7-9072-e7c904cc84e3" TargetMode="External"/><Relationship Id="rId97" Type="http://schemas.openxmlformats.org/officeDocument/2006/relationships/hyperlink" Target="https://www.halowaypoint.com/halo-infinite/players/KDSkill/matches/e8b70bc1-a94d-470c-b12c-464d8200fcac" TargetMode="External"/><Relationship Id="rId96" Type="http://schemas.openxmlformats.org/officeDocument/2006/relationships/hyperlink" Target="https://halodatahive.com/Infinite/Match/4d8a102a-1f2b-487c-a6a0-a57b7b6599bb?gamertag=ASpence501&amp;type=Custom&amp;page=0" TargetMode="External"/><Relationship Id="rId11" Type="http://schemas.openxmlformats.org/officeDocument/2006/relationships/hyperlink" Target="https://www.halowaypoint.com/halo-infinite/players/Mungo%20pungo/matches/6127c510-2bf9-4945-94b8-72cec1e79ae9" TargetMode="External"/><Relationship Id="rId99" Type="http://schemas.openxmlformats.org/officeDocument/2006/relationships/hyperlink" Target="https://halodatahive.com/Infinite/Match/d060fa25-e864-4f23-8ca7-23a77e0588f0?gamertag=Chemical" TargetMode="External"/><Relationship Id="rId10" Type="http://schemas.openxmlformats.org/officeDocument/2006/relationships/hyperlink" Target="https://www.halowaypoint.com/halo-infinite/players/KDSkill/matches/562b2b3b-74c6-42b7-988a-bc6061615728" TargetMode="External"/><Relationship Id="rId98" Type="http://schemas.openxmlformats.org/officeDocument/2006/relationships/hyperlink" Target="https://www.halowaypoint.com/halo-infinite/players/KDSkill/matches/7e94b10e-48c6-4a74-956c-215ef4f3e4cb" TargetMode="External"/><Relationship Id="rId13" Type="http://schemas.openxmlformats.org/officeDocument/2006/relationships/hyperlink" Target="https://halodatahive.com/Infinite/Match/7a842a4f-c607-41dd-aa80-b753002d0656?gamertag=Chemical" TargetMode="External"/><Relationship Id="rId12" Type="http://schemas.openxmlformats.org/officeDocument/2006/relationships/hyperlink" Target="https://halodatahive.com/Infinite/Match/fea4d761-ea75-4c72-b4ad-d7f08f76b334?gamertag=Chemical" TargetMode="External"/><Relationship Id="rId91" Type="http://schemas.openxmlformats.org/officeDocument/2006/relationships/hyperlink" Target="https://halodatahive.com/Infinite/Match/761b0a7a-7058-4a8b-8c75-18392eff8d21?gamertag=CaptainSev004" TargetMode="External"/><Relationship Id="rId90" Type="http://schemas.openxmlformats.org/officeDocument/2006/relationships/hyperlink" Target="https://halodatahive.com/Infinite/Match/3e14b247-085e-468a-981a-fc787d14261c?gamertag=Chemical" TargetMode="External"/><Relationship Id="rId93" Type="http://schemas.openxmlformats.org/officeDocument/2006/relationships/hyperlink" Target="https://www.halowaypoint.com/halo-infinite/players/Mr%20Epic%20Beast/matches/6360ec15-2e7a-43b8-8c4a-610dcb436fe4" TargetMode="External"/><Relationship Id="rId92" Type="http://schemas.openxmlformats.org/officeDocument/2006/relationships/hyperlink" Target="https://halodatahive.com/Infinite/Match/f2f17545-862a-45c0-ae93-7a3398fd63ed?gamertag=Scullen%20cx&amp;type=Custom&amp;page=0" TargetMode="External"/><Relationship Id="rId118" Type="http://schemas.openxmlformats.org/officeDocument/2006/relationships/hyperlink" Target="https://halodatahive.com/Infinite/Match/ba079122-3325-4ed0-b722-c3f52512d03f?gamertag=mxrvine&amp;type=Custom&amp;page=0" TargetMode="External"/><Relationship Id="rId117" Type="http://schemas.openxmlformats.org/officeDocument/2006/relationships/hyperlink" Target="https://halodatahive.com/Infinite/Match/45ee59d3-8bee-4935-82c9-dd5e74102f84?gamertag=mxrvine&amp;type=Custom&amp;page=0" TargetMode="External"/><Relationship Id="rId116" Type="http://schemas.openxmlformats.org/officeDocument/2006/relationships/hyperlink" Target="https://www.halowaypoint.com/halo-infinite/players/KDSkill/matches/fd118d75-a338-427b-adae-1d16e70bea46" TargetMode="External"/><Relationship Id="rId115" Type="http://schemas.openxmlformats.org/officeDocument/2006/relationships/hyperlink" Target="https://www.halowaypoint.com/halo-infinite/players/KDSkill/matches/3c551a00-de8e-4e4d-b804-6e49c75c587b" TargetMode="External"/><Relationship Id="rId119" Type="http://schemas.openxmlformats.org/officeDocument/2006/relationships/hyperlink" Target="https://halodatahive.com/Infinite/Match/b22caac5-90da-4187-9e83-b7177c106375?gamertag=ASpence501&amp;type=Custom&amp;page=0" TargetMode="External"/><Relationship Id="rId15" Type="http://schemas.openxmlformats.org/officeDocument/2006/relationships/hyperlink" Target="https://www.halowaypoint.com/halo-infinite/players/Kdskill/matches/679cb4ab-bdb3-4436-b407-caf11086a5da" TargetMode="External"/><Relationship Id="rId110" Type="http://schemas.openxmlformats.org/officeDocument/2006/relationships/hyperlink" Target="https://halodatahive.com/Infinite/Match/66428d88-18af-4fe6-aad7-0ece6b3687c8?gamertag=yLuxe&amp;type=Custom&amp;page=0" TargetMode="External"/><Relationship Id="rId14" Type="http://schemas.openxmlformats.org/officeDocument/2006/relationships/hyperlink" Target="https://halodatahive.com/Infinite/Match/22872b17-5658-4660-bc25-69581dba40b7?gamertag=Chemical" TargetMode="External"/><Relationship Id="rId17" Type="http://schemas.openxmlformats.org/officeDocument/2006/relationships/hyperlink" Target="https://www.halowaypoint.com/halo-infinite/players/yLuxe/matches/c9dcaa9b-272a-408f-a20a-a75d1507633a" TargetMode="External"/><Relationship Id="rId16" Type="http://schemas.openxmlformats.org/officeDocument/2006/relationships/hyperlink" Target="https://www.halowaypoint.com/halo-infinite/players/ASpence501/matches/2d636f46-43f8-41d1-851f-81ddf09b294d" TargetMode="External"/><Relationship Id="rId19" Type="http://schemas.openxmlformats.org/officeDocument/2006/relationships/hyperlink" Target="https://halodatahive.com/Infinite/Match/527affdf-9d67-4586-b073-66fa56fd8bcb?gamertag=Mavbrid&amp;type=Custom&amp;page=0" TargetMode="External"/><Relationship Id="rId114" Type="http://schemas.openxmlformats.org/officeDocument/2006/relationships/hyperlink" Target="https://halodatahive.com/Infinite/Match/b391fdba-a2bb-47c7-9995-58bbcff25f61?gamertag=yLuxe&amp;type=Custom&amp;page=0" TargetMode="External"/><Relationship Id="rId18" Type="http://schemas.openxmlformats.org/officeDocument/2006/relationships/hyperlink" Target="https://halodatahive.com/Infinite/Match/e3b3b9e0-b1fb-479d-ae50-88b33473a98d?gamertag=Mavbrid&amp;type=Custom&amp;page=0" TargetMode="External"/><Relationship Id="rId113" Type="http://schemas.openxmlformats.org/officeDocument/2006/relationships/hyperlink" Target="https://halodatahive.com/Infinite/Match/2f224a50-90c0-4af5-b74c-c5d06f13e16f?gamertag=yLuxe&amp;type=Custom&amp;page=0" TargetMode="External"/><Relationship Id="rId112" Type="http://schemas.openxmlformats.org/officeDocument/2006/relationships/hyperlink" Target="https://halodatahive.com/Infinite/Match/99149d70-fd80-4eab-a6af-7e3eccbe6d6f?gamertag=ASpence501&amp;type=Custom&amp;page=0" TargetMode="External"/><Relationship Id="rId111" Type="http://schemas.openxmlformats.org/officeDocument/2006/relationships/hyperlink" Target="https://halodatahive.com/Infinite/Match/443b211d-ec56-4b7f-8246-796bc0f121bf?gamertag=TcT%20AVENGER&amp;type=Custom&amp;page=0" TargetMode="External"/><Relationship Id="rId84" Type="http://schemas.openxmlformats.org/officeDocument/2006/relationships/hyperlink" Target="https://www.halowaypoint.com/halo-infinite/players/KDSkill/matches/93771673-c81d-4c3c-bdd4-4c642373dd4b" TargetMode="External"/><Relationship Id="rId83" Type="http://schemas.openxmlformats.org/officeDocument/2006/relationships/hyperlink" Target="https://www.halowaypoint.com/halo-infinite/players/KDSkill/matches/009788af-d2d9-4266-8fb0-eddc8622ce9d" TargetMode="External"/><Relationship Id="rId86" Type="http://schemas.openxmlformats.org/officeDocument/2006/relationships/hyperlink" Target="https://www.halowaypoint.com/halo-infinite/players/KDSkill/matches/3e49182c-f617-4450-94f7-e1dc730277ce" TargetMode="External"/><Relationship Id="rId85" Type="http://schemas.openxmlformats.org/officeDocument/2006/relationships/hyperlink" Target="https://www.halowaypoint.com/halo-infinite/players/KDSkill/matches/cc68e3d8-8f33-402b-8f42-ced9cc804671" TargetMode="External"/><Relationship Id="rId88" Type="http://schemas.openxmlformats.org/officeDocument/2006/relationships/hyperlink" Target="https://halodatahive.com/Infinite/Match/e480f7ee-26e8-4cb6-98f9-627ed56b4288?gamertag=ASpence501&amp;type=Custom&amp;page=0" TargetMode="External"/><Relationship Id="rId87" Type="http://schemas.openxmlformats.org/officeDocument/2006/relationships/hyperlink" Target="https://halodatahive.com/Infinite/Match/f3d41456-74e4-44cf-9e0c-813e332b0fd7?gamertag=ASpence501&amp;type=Custom&amp;page=0" TargetMode="External"/><Relationship Id="rId89" Type="http://schemas.openxmlformats.org/officeDocument/2006/relationships/hyperlink" Target="https://halodatahive.com/Infinite/Match/6378b788-9c53-48f1-b483-67ee8a18116d?gamertag=Chemical" TargetMode="External"/><Relationship Id="rId80" Type="http://schemas.openxmlformats.org/officeDocument/2006/relationships/hyperlink" Target="https://halodatahive.com/Infinite/Match/24021827-aefc-4881-99c8-2eba2999f67a?gamertag=ASpence501&amp;type=Custom&amp;page=0" TargetMode="External"/><Relationship Id="rId82" Type="http://schemas.openxmlformats.org/officeDocument/2006/relationships/hyperlink" Target="https://halodatahive.com/Infinite/Match/89ae8655-5aad-4383-a028-8ad8e6442ec7?gamertag=mxrvine&amp;type=Custom&amp;page=0" TargetMode="External"/><Relationship Id="rId81" Type="http://schemas.openxmlformats.org/officeDocument/2006/relationships/hyperlink" Target="http://halodatahive.com/Infinite/Match/b92f4b48-1556-4454-a86c-a53b02a48a6b?gamertag=MasterSquirre&amp;type=Custom&amp;page=0" TargetMode="External"/><Relationship Id="rId1" Type="http://schemas.openxmlformats.org/officeDocument/2006/relationships/hyperlink" Target="https://www.halowaypoint.com/en-gb/halo-infinite/players/Chemical/matches/6b04f745-3a8d-4679-85e7-be5c1782c44f" TargetMode="External"/><Relationship Id="rId2" Type="http://schemas.openxmlformats.org/officeDocument/2006/relationships/hyperlink" Target="https://www.halowaypoint.com/en-gb/halo-infinite/players/ASpence501/matches/a559a9da-7b4f-41ca-a85f-17c65d017d54" TargetMode="External"/><Relationship Id="rId3" Type="http://schemas.openxmlformats.org/officeDocument/2006/relationships/hyperlink" Target="https://www.halowaypoint.com/halo-infinite/players/yLuxe/matches/8925f53b-02b3-4889-973f-7f849ee60098" TargetMode="External"/><Relationship Id="rId4" Type="http://schemas.openxmlformats.org/officeDocument/2006/relationships/hyperlink" Target="https://www.halowaypoint.com/halo-infinite/players/yLuxe/matches/979ec3c6-991d-42c9-b022-2d9377c804dd" TargetMode="External"/><Relationship Id="rId9" Type="http://schemas.openxmlformats.org/officeDocument/2006/relationships/hyperlink" Target="https://halodatahive.com/Infinite/Match/147b7287-6958-4b3c-bfd9-fbfbbbfb5204?gamertag=NOPLEX&amp;type=Custom&amp;page=0" TargetMode="External"/><Relationship Id="rId143" Type="http://schemas.openxmlformats.org/officeDocument/2006/relationships/hyperlink" Target="https://halodatahive.com/Infinite/Match/1b851a88-c22c-424f-beaf-7831830cb29f?gamertag=yLuxe&amp;type=Custom&amp;page=0" TargetMode="External"/><Relationship Id="rId142" Type="http://schemas.openxmlformats.org/officeDocument/2006/relationships/hyperlink" Target="https://halodatahive.com/Infinite/Match/94665849-9586-4e26-aea9-afb6fc26dbd5?gamertag=yLuxe&amp;type=Custom&amp;page=0" TargetMode="External"/><Relationship Id="rId141" Type="http://schemas.openxmlformats.org/officeDocument/2006/relationships/hyperlink" Target="https://halodatahive.com/Infinite/Match/55c962b9-eb0a-4888-976d-e4e67b99152e?gamertag=yLuxe&amp;type=Custom&amp;page=0" TargetMode="External"/><Relationship Id="rId140" Type="http://schemas.openxmlformats.org/officeDocument/2006/relationships/hyperlink" Target="https://halodatahive.com/Infinite/Match/061ab5b4-05c5-4eca-8c3f-e7040f420466?gamertag=ASpence501&amp;type=Custom&amp;page=0" TargetMode="External"/><Relationship Id="rId5" Type="http://schemas.openxmlformats.org/officeDocument/2006/relationships/hyperlink" Target="https://www.halowaypoint.com/halo-infinite/players/yLuxe/matches/a75c3aae-868c-4e8a-be13-3b5b7e31f39d" TargetMode="External"/><Relationship Id="rId6" Type="http://schemas.openxmlformats.org/officeDocument/2006/relationships/hyperlink" Target="https://www.halowaypoint.com/halo-infinite/players/NecessaryEvil10/matches/243ac8c8-bc77-42b5-8577-d8b408f79f92" TargetMode="External"/><Relationship Id="rId146" Type="http://schemas.openxmlformats.org/officeDocument/2006/relationships/drawing" Target="../drawings/drawing3.xml"/><Relationship Id="rId7" Type="http://schemas.openxmlformats.org/officeDocument/2006/relationships/hyperlink" Target="https://www.halowaypoint.com/halo-infinite/players/NecessaryEvil10/matches/c25a6dca-7d33-41f8-bd7b-e389d5d16b62" TargetMode="External"/><Relationship Id="rId145" Type="http://schemas.openxmlformats.org/officeDocument/2006/relationships/hyperlink" Target="https://halodatahive.com/Infinite/Match/af65a0b3-462a-44dc-8cfd-0cc80c3f49c3?gamertag=yLuxe&amp;type=Custom&amp;page=0" TargetMode="External"/><Relationship Id="rId8" Type="http://schemas.openxmlformats.org/officeDocument/2006/relationships/hyperlink" Target="https://www.halowaypoint.com/halo-infinite/players/noplex/matches/4247275d-eb0f-4dfb-8031-baa1ac87b009" TargetMode="External"/><Relationship Id="rId144" Type="http://schemas.openxmlformats.org/officeDocument/2006/relationships/hyperlink" Target="https://halodatahive.com/Infinite/Match/cc15fd80-88e7-4b9f-9db7-7c8e9a0a3612?gamertag=yLuxe&amp;type=Custom&amp;page=0" TargetMode="External"/><Relationship Id="rId73" Type="http://schemas.openxmlformats.org/officeDocument/2006/relationships/hyperlink" Target="https://www.halowaypoint.com/halo-infinite/players/Mr%20Epic%20Beast/matches/7b0744f0-fb71-47b0-ad7c-155788185f30" TargetMode="External"/><Relationship Id="rId72" Type="http://schemas.openxmlformats.org/officeDocument/2006/relationships/hyperlink" Target="https://halodatahive.com/Infinite/Match/a7b996ce-84b8-43ca-bf52-e5dd8da3c704?gamertag=ill%20shrek%20u&amp;type=Custom&amp;page=0" TargetMode="External"/><Relationship Id="rId75" Type="http://schemas.openxmlformats.org/officeDocument/2006/relationships/hyperlink" Target="https://halodatahive.com/Infinite/Match/bc5c3f72-50e9-44ce-abc7-9aa901898a93?gamertag=KindredDaedric&amp;type=Custom&amp;page=0" TargetMode="External"/><Relationship Id="rId74" Type="http://schemas.openxmlformats.org/officeDocument/2006/relationships/hyperlink" Target="https://halodatahive.com/Infinite/Match/7ca58153-9e00-4373-ab32-fda186e2ed21?gamertag=KindredDaedric&amp;type=Custom&amp;page=0" TargetMode="External"/><Relationship Id="rId77" Type="http://schemas.openxmlformats.org/officeDocument/2006/relationships/hyperlink" Target="https://halodatahive.com/Infinite/Match/dd73d33a-db17-4a94-8d84-6485d93039aa?gamertag=KindredDaedric&amp;type=Custom&amp;page=0" TargetMode="External"/><Relationship Id="rId76" Type="http://schemas.openxmlformats.org/officeDocument/2006/relationships/hyperlink" Target="https://halodatahive.com/Infinite/Match/f5e427c2-304d-4d3f-8ef9-86238fc71011?gamertag=KindredDaedric&amp;type=Custom&amp;page=0" TargetMode="External"/><Relationship Id="rId79" Type="http://schemas.openxmlformats.org/officeDocument/2006/relationships/hyperlink" Target="https://halodatahive.com/Infinite/Match/fc061ee6-ca53-4600-a2b2-9d1523a496f2?gamertag=ASpence501&amp;type=Custom&amp;page=0" TargetMode="External"/><Relationship Id="rId78" Type="http://schemas.openxmlformats.org/officeDocument/2006/relationships/hyperlink" Target="https://halodatahive.com/Infinite/Match/f175023a-f1c8-488e-b55f-d37e65d72632?gamertag=TcT%20AVENGER&amp;type=Custom&amp;page=0" TargetMode="External"/><Relationship Id="rId71" Type="http://schemas.openxmlformats.org/officeDocument/2006/relationships/hyperlink" Target="https://halodatahive.com/Infinite/Match/2953646b-ea67-4f32-8652-4e599c3b32e0?gamertag=Dhlyn&amp;type=Custom&amp;page=0" TargetMode="External"/><Relationship Id="rId70" Type="http://schemas.openxmlformats.org/officeDocument/2006/relationships/hyperlink" Target="https://halodatahive.com/Infinite/Match/cb27dbca-3a77-4741-a782-0e593e235190?gamertag=ASpence501&amp;type=Custom&amp;page=0" TargetMode="External"/><Relationship Id="rId139" Type="http://schemas.openxmlformats.org/officeDocument/2006/relationships/hyperlink" Target="https://halodatahive.com/Infinite/Match/f6f54456-27d6-4452-b8e7-16594ccbe20b?gamertag=ASpence501&amp;type=Custom&amp;page=0" TargetMode="External"/><Relationship Id="rId138" Type="http://schemas.openxmlformats.org/officeDocument/2006/relationships/hyperlink" Target="https://halodatahive.com/Infinite/Match/44a0c4a6-7c83-41e9-82d7-4ceb910a8ae9?gamertag=ASpence501&amp;type=Custom&amp;page=0" TargetMode="External"/><Relationship Id="rId137" Type="http://schemas.openxmlformats.org/officeDocument/2006/relationships/hyperlink" Target="https://halodatahive.com/Infinite/Match/6e50efc6-d900-4a65-a511-a4d1444af8ec?gamertag=Mavbrid&amp;type=Custom&amp;page=0" TargetMode="External"/><Relationship Id="rId132" Type="http://schemas.openxmlformats.org/officeDocument/2006/relationships/hyperlink" Target="https://halodatahive.com/Infinite/Match/f4fc360d-ee96-4210-a16d-60b65f03eeae?gamertag=ASpence501&amp;type=Custom&amp;page=0" TargetMode="External"/><Relationship Id="rId131" Type="http://schemas.openxmlformats.org/officeDocument/2006/relationships/hyperlink" Target="https://halodatahive.com/Infinite/Match/16de2ab4-96e7-4be3-9d83-fff422b96360?gamertag=Mavbrid&amp;type=Custom&amp;page=0" TargetMode="External"/><Relationship Id="rId130" Type="http://schemas.openxmlformats.org/officeDocument/2006/relationships/hyperlink" Target="https://halodatahive.com/Infinite/Match/37da46e1-aa78-44e7-a95a-797650551ac7?gamertag=Mavbrid&amp;type=Custom&amp;page=0" TargetMode="External"/><Relationship Id="rId136" Type="http://schemas.openxmlformats.org/officeDocument/2006/relationships/hyperlink" Target="https://halodatahive.com/Infinite/Match/6040bea7-de52-4a83-af85-61904d519b86?gamertag=Mavbrid&amp;type=Custom&amp;page=0" TargetMode="External"/><Relationship Id="rId135" Type="http://schemas.openxmlformats.org/officeDocument/2006/relationships/hyperlink" Target="https://halodatahive.com/Infinite/Match/e2af9c83-c8ce-4c5c-9f2a-3a5ae517feeb?gamertag=Chemical&amp;type=Custom&amp;page=0" TargetMode="External"/><Relationship Id="rId134" Type="http://schemas.openxmlformats.org/officeDocument/2006/relationships/hyperlink" Target="https://halodatahive.com/Infinite/Match/c5e4ffc4-6c0c-4ac8-a60e-d78ef92287e9?gamertag=Chemical&amp;type=Custom&amp;page=0" TargetMode="External"/><Relationship Id="rId133" Type="http://schemas.openxmlformats.org/officeDocument/2006/relationships/hyperlink" Target="https://halodatahive.com/Infinite/Match/20f8de1c-19d1-42a0-9e3b-a0eb69a277ff?gamertag=ASpence501&amp;type=Custom&amp;page=0" TargetMode="External"/><Relationship Id="rId62" Type="http://schemas.openxmlformats.org/officeDocument/2006/relationships/hyperlink" Target="https://halodatahive.com/Infinite/Match/afb16580-980b-4d90-bd07-0b78c79da320?gamertag=Chemical" TargetMode="External"/><Relationship Id="rId61" Type="http://schemas.openxmlformats.org/officeDocument/2006/relationships/hyperlink" Target="https://halodatahive.com/Infinite/Match/40ef80ab-9ef2-4c7f-a824-d16b12305d2b?gamertag=Chemical" TargetMode="External"/><Relationship Id="rId64" Type="http://schemas.openxmlformats.org/officeDocument/2006/relationships/hyperlink" Target="https://halodatahive.com/Infinite/Match/db2c6b38-e034-4938-ab0e-0beacbd97c0a?gamertag=Chemical" TargetMode="External"/><Relationship Id="rId63" Type="http://schemas.openxmlformats.org/officeDocument/2006/relationships/hyperlink" Target="https://halodatahive.com/Infinite/Match/8cc60668-4b84-4d02-8ef0-7ed8fb79c18a?gamertag=CaptainSev004" TargetMode="External"/><Relationship Id="rId66" Type="http://schemas.openxmlformats.org/officeDocument/2006/relationships/hyperlink" Target="https://halodatahive.com/Infinite/Match/a273a3a3-0aa0-4bc3-ab67-ad0b48154d38?gamertag=ASpence501&amp;type=Custom&amp;page=0" TargetMode="External"/><Relationship Id="rId65" Type="http://schemas.openxmlformats.org/officeDocument/2006/relationships/hyperlink" Target="https://halodatahive.com/Infinite/Match/e38fc61b-e2f9-4e04-8a2f-9442e7b377ba?gamertag=ASpence501&amp;type=Custom&amp;page=0" TargetMode="External"/><Relationship Id="rId68" Type="http://schemas.openxmlformats.org/officeDocument/2006/relationships/hyperlink" Target="https://halodatahive.com/Infinite/Match/1ac71f87-b5f5-4eb7-a78b-4ffae034adbc?gamertag=NOPLEX&amp;type=Custom&amp;page=0" TargetMode="External"/><Relationship Id="rId67" Type="http://schemas.openxmlformats.org/officeDocument/2006/relationships/hyperlink" Target="https://halodatahive.com/Infinite/Match/37dc6fc3-4e76-498b-8714-6c316003c952?gamertag=NOPLEX&amp;type=Custom&amp;page=0" TargetMode="External"/><Relationship Id="rId60" Type="http://schemas.openxmlformats.org/officeDocument/2006/relationships/hyperlink" Target="https://www.halowaypoint.com/halo-infinite/players/KDSkill/matches/19a74991-fe3c-4b09-823a-4753e3ec2b82" TargetMode="External"/><Relationship Id="rId69" Type="http://schemas.openxmlformats.org/officeDocument/2006/relationships/hyperlink" Target="https://halodatahive.com/Infinite/Match/a8d53a85-2d06-4a70-865b-f6c6eaa14743?gamertag=ASpence501&amp;type=Custom&amp;page=0" TargetMode="External"/><Relationship Id="rId51" Type="http://schemas.openxmlformats.org/officeDocument/2006/relationships/hyperlink" Target="https://halodatahive.com/Infinite/Match/e31e7af5-781c-4eea-b0fb-812ad1e97f1d?gamertag=NOPLEX&amp;type=Custom&amp;page=0" TargetMode="External"/><Relationship Id="rId50" Type="http://schemas.openxmlformats.org/officeDocument/2006/relationships/hyperlink" Target="https://halodatahive.com/Infinite/Match/3f28200b-9886-4f79-aec3-958097795b2f?gamertag=NOPLEX&amp;type=Custom&amp;page=0" TargetMode="External"/><Relationship Id="rId53" Type="http://schemas.openxmlformats.org/officeDocument/2006/relationships/hyperlink" Target="https://halodatahive.com/Infinite/Match/a6fa968c-e71b-42a4-bd70-547b24ed179a?gamertag=KindredDaedric&amp;type=Custom&amp;page=0" TargetMode="External"/><Relationship Id="rId52" Type="http://schemas.openxmlformats.org/officeDocument/2006/relationships/hyperlink" Target="https://halodatahive.com/Infinite/Match/52ef2e5d-bea3-4e30-8f2d-8b27db727037?gamertag=NOPLEX&amp;type=Custom&amp;page=0" TargetMode="External"/><Relationship Id="rId55" Type="http://schemas.openxmlformats.org/officeDocument/2006/relationships/hyperlink" Target="https://www.halowaypoint.com/halo-infinite/players/Mr%20Epic%20Beast/matches/e4ae3147-798f-4904-9ad9-3a01def54300" TargetMode="External"/><Relationship Id="rId54" Type="http://schemas.openxmlformats.org/officeDocument/2006/relationships/hyperlink" Target="https://halodatahive.com/Infinite/Match/b41ce6a1-072e-4b29-a3f8-7872d214a0ab?gamertag=mxrvine&amp;type=Custom&amp;page=0" TargetMode="External"/><Relationship Id="rId57" Type="http://schemas.openxmlformats.org/officeDocument/2006/relationships/hyperlink" Target="https://www.halowaypoint.com/halo-infinite/players/Mr%20Epic%20Beast/matches/7df59eeb-85f9-4c9b-ba58-8376cd536114" TargetMode="External"/><Relationship Id="rId56" Type="http://schemas.openxmlformats.org/officeDocument/2006/relationships/hyperlink" Target="https://www.halowaypoint.com/halo-infinite/players/Mr%20Epic%20Beast/matches/b7cb60d8-7431-49cd-a5ae-4d733a2afae7" TargetMode="External"/><Relationship Id="rId59" Type="http://schemas.openxmlformats.org/officeDocument/2006/relationships/hyperlink" Target="https://www.halowaypoint.com/halo-infinite/players/KDSkill/matches/420bed3b-2f2e-4699-acab-f9b5ab0cbed0" TargetMode="External"/><Relationship Id="rId58" Type="http://schemas.openxmlformats.org/officeDocument/2006/relationships/hyperlink" Target="https://halodatahive.com/Infinite/Match/e282b994-efa3-4d87-9f7c-cff9652a8034?gamertag=NOPLEX&amp;type=Custom&amp;page=0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15" Type="http://schemas.openxmlformats.org/officeDocument/2006/relationships/table" Target="../tables/table9.xml"/><Relationship Id="rId14" Type="http://schemas.openxmlformats.org/officeDocument/2006/relationships/table" Target="../tables/table8.xml"/><Relationship Id="rId1" Type="http://schemas.openxmlformats.org/officeDocument/2006/relationships/drawing" Target="../drawings/drawing5.xml"/><Relationship Id="rId9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d-JA1rtr6SsQ3KDwXKl9d69yCGp7i6YiLm1GlgrUU-M/edit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alowaypoint.com/halo-infinite/players/Chemical/matches/1356c312-401b-4669-ba5c-aaf0c3005088" TargetMode="External"/><Relationship Id="rId42" Type="http://schemas.openxmlformats.org/officeDocument/2006/relationships/hyperlink" Target="https://www.halowaypoint.com/halo-infinite/players/necessaryevil10/matches/8e947422-10c9-4079-abb2-2583a3737e31" TargetMode="External"/><Relationship Id="rId41" Type="http://schemas.openxmlformats.org/officeDocument/2006/relationships/hyperlink" Target="https://youtu.be/cIBGI6FiEWA" TargetMode="External"/><Relationship Id="rId44" Type="http://schemas.openxmlformats.org/officeDocument/2006/relationships/hyperlink" Target="https://www.halowaypoint.com/halo-infinite/players/chemical/matches/ff5aa4bc-b98a-47e9-b323-827bbf26e48e" TargetMode="External"/><Relationship Id="rId43" Type="http://schemas.openxmlformats.org/officeDocument/2006/relationships/hyperlink" Target="https://youtu.be/tXVmC_mSsp4" TargetMode="External"/><Relationship Id="rId46" Type="http://schemas.openxmlformats.org/officeDocument/2006/relationships/hyperlink" Target="https://www.halowaypoint.com/halo-infinite/players/chemical/matches/b972d93b-4e07-43f5-90c3-d406b81b6ab6" TargetMode="External"/><Relationship Id="rId45" Type="http://schemas.openxmlformats.org/officeDocument/2006/relationships/hyperlink" Target="https://youtu.be/OdbfxO1d1J0" TargetMode="External"/><Relationship Id="rId48" Type="http://schemas.openxmlformats.org/officeDocument/2006/relationships/hyperlink" Target="https://www.halowaypoint.com/halo-infinite/players/Inactive%20Spoon/matches/3577a745-a9ed-4be2-bdbf-b2350251843c" TargetMode="External"/><Relationship Id="rId47" Type="http://schemas.openxmlformats.org/officeDocument/2006/relationships/hyperlink" Target="https://youtu.be/3jzKrWpolxE" TargetMode="External"/><Relationship Id="rId49" Type="http://schemas.openxmlformats.org/officeDocument/2006/relationships/hyperlink" Target="https://www.halowaypoint.com/halo-infinite/players/Inactive%20Spoon/matches/3165a244-f289-4940-9295-a54ea2b66362" TargetMode="External"/><Relationship Id="rId102" Type="http://schemas.openxmlformats.org/officeDocument/2006/relationships/drawing" Target="../drawings/drawing11.xml"/><Relationship Id="rId101" Type="http://schemas.openxmlformats.org/officeDocument/2006/relationships/hyperlink" Target="https://www.halowaypoint.com/halo-infinite/players/Chemical/matches/63b70f46-7416-46c3-9a86-7ee3bab8cdeb" TargetMode="External"/><Relationship Id="rId100" Type="http://schemas.openxmlformats.org/officeDocument/2006/relationships/hyperlink" Target="https://www.halowaypoint.com/halo-infinite/players/Chemical/matches/672b8a3a-a6d1-4221-ab6f-d5b1a8849564" TargetMode="External"/><Relationship Id="rId31" Type="http://schemas.openxmlformats.org/officeDocument/2006/relationships/hyperlink" Target="https://youtu.be/nAHq7XU4d3g" TargetMode="External"/><Relationship Id="rId30" Type="http://schemas.openxmlformats.org/officeDocument/2006/relationships/hyperlink" Target="https://www.halowaypoint.com/halo-infinite/players/tct%20avenger/matches/05f1b78b-fd7b-4c06-a561-b729bfefd4ed" TargetMode="External"/><Relationship Id="rId33" Type="http://schemas.openxmlformats.org/officeDocument/2006/relationships/hyperlink" Target="https://www.halowaypoint.com/halo-infinite/players/dlgital%20pain/matches/ee0426e9-5bda-4260-a5b1-b0d49fd978b9" TargetMode="External"/><Relationship Id="rId32" Type="http://schemas.openxmlformats.org/officeDocument/2006/relationships/hyperlink" Target="https://youtu.be/mXX2RC7Jqlw" TargetMode="External"/><Relationship Id="rId35" Type="http://schemas.openxmlformats.org/officeDocument/2006/relationships/hyperlink" Target="https://www.halowaypoint.com/halo-infinite/players/tct%20avenger/matches/ec453e42-b5a3-4cdc-be5f-7d63aece1877" TargetMode="External"/><Relationship Id="rId34" Type="http://schemas.openxmlformats.org/officeDocument/2006/relationships/hyperlink" Target="https://youtu.be/MePKeNTRLzU" TargetMode="External"/><Relationship Id="rId37" Type="http://schemas.openxmlformats.org/officeDocument/2006/relationships/hyperlink" Target="https://youtu.be/wTxtC2Kv3i4" TargetMode="External"/><Relationship Id="rId36" Type="http://schemas.openxmlformats.org/officeDocument/2006/relationships/hyperlink" Target="https://youtu.be/tdL1OWiP8Jg" TargetMode="External"/><Relationship Id="rId39" Type="http://schemas.openxmlformats.org/officeDocument/2006/relationships/hyperlink" Target="https://youtu.be/dAOBCJc3Ff4" TargetMode="External"/><Relationship Id="rId38" Type="http://schemas.openxmlformats.org/officeDocument/2006/relationships/hyperlink" Target="https://www.halowaypoint.com/halo-infinite/players/Chemical/matches/c8035678-8279-4fc0-8ad1-05274081ee43" TargetMode="External"/><Relationship Id="rId20" Type="http://schemas.openxmlformats.org/officeDocument/2006/relationships/hyperlink" Target="https://www.halowaypoint.com/halo-infinite/players/ASpence501/matches/0e35a3b4-4ea6-4df3-acc5-c8d7a593efbb" TargetMode="External"/><Relationship Id="rId22" Type="http://schemas.openxmlformats.org/officeDocument/2006/relationships/hyperlink" Target="https://www.halowaypoint.com/halo-infinite/players/Hells%20Angel%20cx/matches/286885ae-380b-4d28-9a5f-5cd8aed463eb" TargetMode="External"/><Relationship Id="rId21" Type="http://schemas.openxmlformats.org/officeDocument/2006/relationships/hyperlink" Target="https://youtu.be/C3tvPuI_KCc" TargetMode="External"/><Relationship Id="rId24" Type="http://schemas.openxmlformats.org/officeDocument/2006/relationships/hyperlink" Target="https://www.halowaypoint.com/halo-infinite/players/Hells%20Angel%20cx/matches/b977d1ad-5f5c-437c-9fc4-cc491d6c2fd6" TargetMode="External"/><Relationship Id="rId23" Type="http://schemas.openxmlformats.org/officeDocument/2006/relationships/hyperlink" Target="https://youtu.be/VPVhcmPZSvk" TargetMode="External"/><Relationship Id="rId26" Type="http://schemas.openxmlformats.org/officeDocument/2006/relationships/hyperlink" Target="https://youtu.be/GnKqU3PEd8M" TargetMode="External"/><Relationship Id="rId25" Type="http://schemas.openxmlformats.org/officeDocument/2006/relationships/hyperlink" Target="https://www.halowaypoint.com/halo-infinite/players/KDSkill/matches/dace01d5-f4e4-467f-a4a4-a71ec1b3e43b" TargetMode="External"/><Relationship Id="rId28" Type="http://schemas.openxmlformats.org/officeDocument/2006/relationships/hyperlink" Target="https://youtu.be/YfmkFymlaO8" TargetMode="External"/><Relationship Id="rId27" Type="http://schemas.openxmlformats.org/officeDocument/2006/relationships/hyperlink" Target="https://www.halowaypoint.com/halo-infinite/players/ASpence501/matches/26e0c67b-b804-4cbe-9843-0a576830c0cb" TargetMode="External"/><Relationship Id="rId29" Type="http://schemas.openxmlformats.org/officeDocument/2006/relationships/hyperlink" Target="https://youtu.be/ibxQd3DAyqU" TargetMode="External"/><Relationship Id="rId95" Type="http://schemas.openxmlformats.org/officeDocument/2006/relationships/hyperlink" Target="https://www.halowaypoint.com/halo-infinite/players/Hells%20Angel%20cx/matches/c864bd5f-7b53-468d-99a5-9cc9ab26aee7" TargetMode="External"/><Relationship Id="rId94" Type="http://schemas.openxmlformats.org/officeDocument/2006/relationships/hyperlink" Target="https://www.halowaypoint.com/halo-infinite/players/TJP37/matches/7db163d7-4a65-40f3-9777-5f732b799935" TargetMode="External"/><Relationship Id="rId97" Type="http://schemas.openxmlformats.org/officeDocument/2006/relationships/hyperlink" Target="https://www.halowaypoint.com/halo-infinite/players/Hells%20Angel%20cx/matches/d05d0a23-91a2-4e42-ab61-2d6e7f0dd595" TargetMode="External"/><Relationship Id="rId96" Type="http://schemas.openxmlformats.org/officeDocument/2006/relationships/hyperlink" Target="https://www.halowaypoint.com/halo-infinite/players/Hells%20Angel%20cx/matches/9d0a7c95-4b1f-4105-95d0-dff894000f62" TargetMode="External"/><Relationship Id="rId11" Type="http://schemas.openxmlformats.org/officeDocument/2006/relationships/hyperlink" Target="https://www.halowaypoint.com/halo-infinite/players/KDSkill/matches/758ddf71-f680-4309-a927-e4cc67deb427" TargetMode="External"/><Relationship Id="rId99" Type="http://schemas.openxmlformats.org/officeDocument/2006/relationships/hyperlink" Target="https://www.halowaypoint.com/halo-infinite/players/Chemical/matches/854f653b-f7ba-4abf-bf74-b92da809fa8c" TargetMode="External"/><Relationship Id="rId10" Type="http://schemas.openxmlformats.org/officeDocument/2006/relationships/hyperlink" Target="https://www.youtube.com/watch?v=i1o9OyYhTxs" TargetMode="External"/><Relationship Id="rId98" Type="http://schemas.openxmlformats.org/officeDocument/2006/relationships/hyperlink" Target="https://www.halowaypoint.com/halo-infinite/players/MuNgO%20PuNgO/matches/f2e70ece-5264-4841-a077-09798a614509" TargetMode="External"/><Relationship Id="rId13" Type="http://schemas.openxmlformats.org/officeDocument/2006/relationships/hyperlink" Target="https://www.halowaypoint.com/halo-infinite/players/Chemical/matches/7cbfde02-c8ed-471b-ba15-008fd15c770c" TargetMode="External"/><Relationship Id="rId12" Type="http://schemas.openxmlformats.org/officeDocument/2006/relationships/hyperlink" Target="https://www.youtube.com/watch?v=NCrpquy6Eo0" TargetMode="External"/><Relationship Id="rId91" Type="http://schemas.openxmlformats.org/officeDocument/2006/relationships/hyperlink" Target="https://www.halowaypoint.com/halo-infinite/players/invayda%20zim/matches/cf25769f-10e8-438d-a3e2-64c2627ff7a0" TargetMode="External"/><Relationship Id="rId90" Type="http://schemas.openxmlformats.org/officeDocument/2006/relationships/hyperlink" Target="https://www.halowaypoint.com/halo-infinite/players/invayda%20zim/matches/ca290405-fd28-49d2-9c44-e8329f9e4977" TargetMode="External"/><Relationship Id="rId93" Type="http://schemas.openxmlformats.org/officeDocument/2006/relationships/hyperlink" Target="https://www.halowaypoint.com/halo-infinite/players/invayda%20zim/matches/a3ed88b8-372e-44e6-9fdf-4aaaa5127089" TargetMode="External"/><Relationship Id="rId92" Type="http://schemas.openxmlformats.org/officeDocument/2006/relationships/hyperlink" Target="https://www.halowaypoint.com/halo-infinite/players/Hells%20Angel%20cx/matches/a8b05cf4-2d3e-40db-a071-8399d4d37489" TargetMode="External"/><Relationship Id="rId15" Type="http://schemas.openxmlformats.org/officeDocument/2006/relationships/hyperlink" Target="https://youtu.be/842VD3NilSY" TargetMode="External"/><Relationship Id="rId14" Type="http://schemas.openxmlformats.org/officeDocument/2006/relationships/hyperlink" Target="https://youtu.be/rttZonE5nAk" TargetMode="External"/><Relationship Id="rId17" Type="http://schemas.openxmlformats.org/officeDocument/2006/relationships/hyperlink" Target="https://youtu.be/DyfXzLx2LgA" TargetMode="External"/><Relationship Id="rId16" Type="http://schemas.openxmlformats.org/officeDocument/2006/relationships/hyperlink" Target="https://www.halowaypoint.com/halo-infinite/players/ASpence501/matches/5b9e267a-3135-42de-a34f-6130ce72b474" TargetMode="External"/><Relationship Id="rId19" Type="http://schemas.openxmlformats.org/officeDocument/2006/relationships/hyperlink" Target="https://youtu.be/6fPsh-3dDSk" TargetMode="External"/><Relationship Id="rId18" Type="http://schemas.openxmlformats.org/officeDocument/2006/relationships/hyperlink" Target="https://youtu.be/C3tvPuI_KCc" TargetMode="External"/><Relationship Id="rId84" Type="http://schemas.openxmlformats.org/officeDocument/2006/relationships/hyperlink" Target="https://www.halowaypoint.com/halo-infinite/players/Chemical/matches/66d0ab7b-d09e-45de-adcb-86d1c89c1ffe" TargetMode="External"/><Relationship Id="rId83" Type="http://schemas.openxmlformats.org/officeDocument/2006/relationships/hyperlink" Target="https://www.halowaypoint.com/halo-infinite/players/invayda%20zim/matches/ec4544a0-cefa-4e49-8ca1-d0804a161d89" TargetMode="External"/><Relationship Id="rId86" Type="http://schemas.openxmlformats.org/officeDocument/2006/relationships/hyperlink" Target="https://www.halowaypoint.com/halo-infinite/players/necessaryevil10/matches/5037f5d0-08b5-4049-a003-256df0f80591" TargetMode="External"/><Relationship Id="rId85" Type="http://schemas.openxmlformats.org/officeDocument/2006/relationships/hyperlink" Target="https://www.halowaypoint.com/halo-infinite/players/Chemical/matches/a116f7f5-4282-4fcb-ac78-14eac6f85fb5" TargetMode="External"/><Relationship Id="rId88" Type="http://schemas.openxmlformats.org/officeDocument/2006/relationships/hyperlink" Target="https://www.halowaypoint.com/halo-infinite/players/spanktr0n/matches/20ac27b1-5bf9-40e1-a7a2-3e10c02cf853" TargetMode="External"/><Relationship Id="rId87" Type="http://schemas.openxmlformats.org/officeDocument/2006/relationships/hyperlink" Target="https://www.halowaypoint.com/halo-infinite/players/Hells%20Angel%20cx/matches/a918ab2b-8069-4041-bd1a-89cec355118c" TargetMode="External"/><Relationship Id="rId89" Type="http://schemas.openxmlformats.org/officeDocument/2006/relationships/hyperlink" Target="https://www.halowaypoint.com/halo-infinite/players/spanktr0n/matches/79897f05-a0bd-4a07-93e5-6920f37983c1" TargetMode="External"/><Relationship Id="rId80" Type="http://schemas.openxmlformats.org/officeDocument/2006/relationships/hyperlink" Target="https://www.halowaypoint.com/halo-infinite/players/PoisonxPoptart/matches/af4b5b4b-4805-4a0f-bf7a-3e12010649a9" TargetMode="External"/><Relationship Id="rId82" Type="http://schemas.openxmlformats.org/officeDocument/2006/relationships/hyperlink" Target="https://www.halowaypoint.com/halo-infinite/players/invayda%20zim/matches/3f86c4d5-3be9-40e0-9022-e4494d1ced97" TargetMode="External"/><Relationship Id="rId81" Type="http://schemas.openxmlformats.org/officeDocument/2006/relationships/hyperlink" Target="https://www.halowaypoint.com/halo-infinite/players/inactive%20spoon/matches/b7cbcbb3-6d32-4fa8-8c56-c19880cd0f09" TargetMode="External"/><Relationship Id="rId1" Type="http://schemas.openxmlformats.org/officeDocument/2006/relationships/hyperlink" Target="https://www.halowaypoint.com/halo-infinite/players/poisonxpoptart/matches/d499aa43-c785-435c-83a6-a5050b9443bb" TargetMode="External"/><Relationship Id="rId2" Type="http://schemas.openxmlformats.org/officeDocument/2006/relationships/hyperlink" Target="https://www.youtube.com/watch?v=rI0O9YwUeBA" TargetMode="External"/><Relationship Id="rId3" Type="http://schemas.openxmlformats.org/officeDocument/2006/relationships/hyperlink" Target="https://www.halowaypoint.com/halo-infinite/players/poisonxpoptart/matches/3eb32b53-159a-456e-925f-cace43cf6f33" TargetMode="External"/><Relationship Id="rId4" Type="http://schemas.openxmlformats.org/officeDocument/2006/relationships/hyperlink" Target="https://www.youtube.com/watch?v=rI0O9YwUeBA" TargetMode="External"/><Relationship Id="rId9" Type="http://schemas.openxmlformats.org/officeDocument/2006/relationships/hyperlink" Target="https://www.youtube.com/watch?v=xe_gW5uLgP0" TargetMode="External"/><Relationship Id="rId5" Type="http://schemas.openxmlformats.org/officeDocument/2006/relationships/hyperlink" Target="https://www.halowaypoint.com/halo-infinite/players/ASpence501/matches/8334ccd4-6be3-456b-a29a-470db18c98a7" TargetMode="External"/><Relationship Id="rId6" Type="http://schemas.openxmlformats.org/officeDocument/2006/relationships/hyperlink" Target="https://www.youtube.com/watch?v=xe_gW5uLgP0" TargetMode="External"/><Relationship Id="rId7" Type="http://schemas.openxmlformats.org/officeDocument/2006/relationships/hyperlink" Target="https://www.youtube.com/watch?v=i1o9OyYhTxs" TargetMode="External"/><Relationship Id="rId8" Type="http://schemas.openxmlformats.org/officeDocument/2006/relationships/hyperlink" Target="https://www.halowaypoint.com/halo-infinite/players/ASpence501/matches/3dc50d1f-7b2c-4c0b-941c-acf68ecebe6c" TargetMode="External"/><Relationship Id="rId73" Type="http://schemas.openxmlformats.org/officeDocument/2006/relationships/hyperlink" Target="https://www.halowaypoint.com/halo-infinite/players/PoisonxPoptart/matches/2f34cb8c-5e0b-42f1-9527-2c2ea9477894" TargetMode="External"/><Relationship Id="rId72" Type="http://schemas.openxmlformats.org/officeDocument/2006/relationships/hyperlink" Target="https://www.halowaypoint.com/halo-infinite/players/PoisonxPoptart/matches/48d9fdbd-018f-4990-9803-2d50288eeeec" TargetMode="External"/><Relationship Id="rId75" Type="http://schemas.openxmlformats.org/officeDocument/2006/relationships/hyperlink" Target="https://www.halowaypoint.com/halo-infinite/players/ASpence501/matches/a7d23cbe-494e-493e-8d3b-6b323bcf4b6b" TargetMode="External"/><Relationship Id="rId74" Type="http://schemas.openxmlformats.org/officeDocument/2006/relationships/hyperlink" Target="https://www.halowaypoint.com/halo-infinite/players/invayda%20zim/matches/aab32f11-6be3-4c84-8e04-a7d54d748c49" TargetMode="External"/><Relationship Id="rId77" Type="http://schemas.openxmlformats.org/officeDocument/2006/relationships/hyperlink" Target="https://www.halowaypoint.com/halo-infinite/players/DlGITAL%20PAIN/matches/8a6a32e9-7986-4cfb-84f8-3d1cc7500999" TargetMode="External"/><Relationship Id="rId76" Type="http://schemas.openxmlformats.org/officeDocument/2006/relationships/hyperlink" Target="https://www.halowaypoint.com/halo-infinite/players/ASpence501/matches/11344b45-d862-4653-8a7e-e2ee14a77afc" TargetMode="External"/><Relationship Id="rId79" Type="http://schemas.openxmlformats.org/officeDocument/2006/relationships/hyperlink" Target="https://www.halowaypoint.com/halo-infinite/players/inactivespoon/matches/cd2fac03-c253-441e-a667-bc663cf00495" TargetMode="External"/><Relationship Id="rId78" Type="http://schemas.openxmlformats.org/officeDocument/2006/relationships/hyperlink" Target="https://www.halowaypoint.com/halo-infinite/players/NecessaryEvil10/matches/a9eab66c-e722-4bdc-9fd8-ed57aa1551fd" TargetMode="External"/><Relationship Id="rId71" Type="http://schemas.openxmlformats.org/officeDocument/2006/relationships/hyperlink" Target="https://www.halowaypoint.com/halo-infinite/players/PoisonxPoptart/matches/4da296ad-8561-4257-a021-a29eb81e2e94" TargetMode="External"/><Relationship Id="rId70" Type="http://schemas.openxmlformats.org/officeDocument/2006/relationships/hyperlink" Target="https://www.halowaypoint.com/halo-infinite/players/mr%20epic%20beast/matches/4476fd45-6dd6-474c-8cab-98e4ec3af979" TargetMode="External"/><Relationship Id="rId62" Type="http://schemas.openxmlformats.org/officeDocument/2006/relationships/hyperlink" Target="https://www.halowaypoint.com/halo-infinite/players/TcT%20Avenger/matches/2bc2d388-07df-486c-adbb-9f37584a9681" TargetMode="External"/><Relationship Id="rId61" Type="http://schemas.openxmlformats.org/officeDocument/2006/relationships/hyperlink" Target="https://www.halowaypoint.com/halo-infinite/players/InactiveSpoon/matches/4a1415c2-1989-4ce1-85b5-0d9239de7eb9" TargetMode="External"/><Relationship Id="rId64" Type="http://schemas.openxmlformats.org/officeDocument/2006/relationships/hyperlink" Target="https://www.halowaypoint.com/halo-infinite/players/poisonxpoptart/matches/1432fced-0913-4163-adc4-737760ac4362" TargetMode="External"/><Relationship Id="rId63" Type="http://schemas.openxmlformats.org/officeDocument/2006/relationships/hyperlink" Target="https://www.halowaypoint.com/halo-infinite/players/TcT%20Avenger/matches/372ca0d1-62fa-47b8-a75d-fa4c3108412d" TargetMode="External"/><Relationship Id="rId66" Type="http://schemas.openxmlformats.org/officeDocument/2006/relationships/hyperlink" Target="https://www.halowaypoint.com/halo-infinite/players/poisonxpoptart/matches/a8c19ecb-e9a8-4398-8617-ccdb9555b20a" TargetMode="External"/><Relationship Id="rId65" Type="http://schemas.openxmlformats.org/officeDocument/2006/relationships/hyperlink" Target="https://www.halowaypoint.com/halo-infinite/players/poisonxpoptart/matches/839f9623-e6ae-4dfa-b67c-3d2e2f40283e" TargetMode="External"/><Relationship Id="rId68" Type="http://schemas.openxmlformats.org/officeDocument/2006/relationships/hyperlink" Target="https://www.halowaypoint.com/halo-infinite/players/Inactive%20Spoon/matches/2415a4d2-9567-4d8b-9d0d-31f53db7de78" TargetMode="External"/><Relationship Id="rId67" Type="http://schemas.openxmlformats.org/officeDocument/2006/relationships/hyperlink" Target="https://www.halowaypoint.com/halo-infinite/players/poisonxpoptart/matches/3e374a75-3bb9-4b7e-91fd-0c987c6378ac" TargetMode="External"/><Relationship Id="rId60" Type="http://schemas.openxmlformats.org/officeDocument/2006/relationships/hyperlink" Target="https://www.halowaypoint.com/halo-infinite/players/Inactive%20Spoon/matches/ad0104ef-7c1a-4127-aa85-48b470d3f078" TargetMode="External"/><Relationship Id="rId69" Type="http://schemas.openxmlformats.org/officeDocument/2006/relationships/hyperlink" Target="https://www.halowaypoint.com/halo-infinite/players/Inactive%20Spoon/matches/80b8d986-0694-4d6d-ad2e-4e762cc6c36d" TargetMode="External"/><Relationship Id="rId51" Type="http://schemas.openxmlformats.org/officeDocument/2006/relationships/hyperlink" Target="https://www.twitch.tv/videos/2245464514" TargetMode="External"/><Relationship Id="rId50" Type="http://schemas.openxmlformats.org/officeDocument/2006/relationships/hyperlink" Target="https://www.halowaypoint.com/halo-infinite/players/NecessaryEvil10/matches/9d9838e8-eb04-4d91-8740-d65e87e6bdfe" TargetMode="External"/><Relationship Id="rId53" Type="http://schemas.openxmlformats.org/officeDocument/2006/relationships/hyperlink" Target="https://www.halowaypoint.com/halo-infinite/players/Hells%20Angel%20cx/matches/e6218524-0d8d-46ca-bfdf-1b507ff6d588" TargetMode="External"/><Relationship Id="rId52" Type="http://schemas.openxmlformats.org/officeDocument/2006/relationships/hyperlink" Target="https://www.halowaypoint.com/halo-infinite/players/Hells%20Angel%20cx/matches/12a5ece9-951b-4387-862c-359377d510ac" TargetMode="External"/><Relationship Id="rId55" Type="http://schemas.openxmlformats.org/officeDocument/2006/relationships/hyperlink" Target="https://www.halowaypoint.com/halo-infinite/players/TcT%20Avenger/matches/2e0dbb70-bbe1-4c37-9452-c12559be0c80" TargetMode="External"/><Relationship Id="rId54" Type="http://schemas.openxmlformats.org/officeDocument/2006/relationships/hyperlink" Target="https://www.halowaypoint.com/halo-infinite/players/inactive%20spoon/matches/a9d1df5b-1af6-4ac3-9aad-f847b04863d8" TargetMode="External"/><Relationship Id="rId57" Type="http://schemas.openxmlformats.org/officeDocument/2006/relationships/hyperlink" Target="https://youtu.be/kRh1-tNw5c8" TargetMode="External"/><Relationship Id="rId56" Type="http://schemas.openxmlformats.org/officeDocument/2006/relationships/hyperlink" Target="https://youtu.be/alTyLyCAXWM" TargetMode="External"/><Relationship Id="rId59" Type="http://schemas.openxmlformats.org/officeDocument/2006/relationships/hyperlink" Target="https://youtu.be/JhZvE035KF4" TargetMode="External"/><Relationship Id="rId58" Type="http://schemas.openxmlformats.org/officeDocument/2006/relationships/hyperlink" Target="https://www.halowaypoint.com/halo-infinite/players/ASpence501/matches/eb2f8686-35ae-4c21-aceb-b37ef668f4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1.75"/>
    <col customWidth="1" min="2" max="2" width="15.25"/>
    <col customWidth="1" min="3" max="4" width="14.5"/>
    <col customWidth="1" min="5" max="5" width="18.25"/>
    <col customWidth="1" min="6" max="6" width="16.38"/>
    <col customWidth="1" min="7" max="7" width="17.13"/>
    <col customWidth="1" min="8" max="8" width="14.63"/>
    <col customWidth="1" min="9" max="9" width="15.5"/>
    <col customWidth="1" min="10" max="10" width="15.25"/>
    <col customWidth="1" min="11" max="11" width="15.88"/>
    <col customWidth="1" min="12" max="12" width="13.75"/>
    <col customWidth="1" min="13" max="13" width="13.13"/>
    <col customWidth="1" min="14" max="14" width="13.38"/>
    <col customWidth="1" min="15" max="15" width="13.13"/>
    <col customWidth="1" min="16" max="16" width="13.88"/>
    <col customWidth="1" min="17" max="17" width="1.88"/>
  </cols>
  <sheetData>
    <row r="1" ht="15.75" customHeight="1">
      <c r="A1" s="1">
        <v>7.0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5.75" customHeight="1">
      <c r="A2" s="1"/>
      <c r="B2" s="2" t="s">
        <v>0</v>
      </c>
      <c r="Q2" s="1"/>
    </row>
    <row r="3" ht="15.75" customHeight="1">
      <c r="A3" s="1"/>
      <c r="Q3" s="1"/>
    </row>
    <row r="4" ht="15.75" customHeight="1">
      <c r="A4" s="1"/>
      <c r="Q4" s="1"/>
    </row>
    <row r="5" ht="1.5" customHeight="1">
      <c r="A5" s="1"/>
      <c r="B5" s="3"/>
      <c r="C5" s="4"/>
      <c r="D5" s="4"/>
      <c r="E5" s="4"/>
      <c r="F5" s="4"/>
      <c r="G5" s="4"/>
      <c r="H5" s="4"/>
      <c r="I5" s="4"/>
      <c r="J5" s="4"/>
      <c r="K5" s="4"/>
      <c r="L5" s="5"/>
      <c r="M5" s="1"/>
      <c r="N5" s="6"/>
      <c r="O5" s="7"/>
      <c r="P5" s="1"/>
      <c r="Q5" s="1"/>
    </row>
    <row r="6" ht="35.25" customHeight="1">
      <c r="A6" s="8"/>
      <c r="B6" s="9" t="s">
        <v>1</v>
      </c>
      <c r="C6" s="9" t="s">
        <v>2</v>
      </c>
      <c r="D6" s="10" t="s">
        <v>3</v>
      </c>
      <c r="E6" s="9" t="s">
        <v>4</v>
      </c>
      <c r="F6" s="9" t="s">
        <v>5</v>
      </c>
      <c r="G6" s="9" t="s">
        <v>6</v>
      </c>
      <c r="H6" s="9" t="s">
        <v>7</v>
      </c>
      <c r="I6" s="10" t="s">
        <v>8</v>
      </c>
      <c r="J6" s="9" t="s">
        <v>9</v>
      </c>
      <c r="K6" s="9" t="s">
        <v>10</v>
      </c>
      <c r="L6" s="11" t="s">
        <v>11</v>
      </c>
      <c r="M6" s="11" t="s">
        <v>12</v>
      </c>
      <c r="N6" s="12" t="s">
        <v>13</v>
      </c>
      <c r="O6" s="11" t="s">
        <v>14</v>
      </c>
      <c r="P6" s="11" t="s">
        <v>15</v>
      </c>
      <c r="Q6" s="13"/>
    </row>
    <row r="7" ht="35.25" customHeight="1">
      <c r="A7" s="13"/>
      <c r="B7" s="9" t="s">
        <v>16</v>
      </c>
      <c r="C7" s="14" t="s">
        <v>17</v>
      </c>
      <c r="D7" s="14" t="s">
        <v>17</v>
      </c>
      <c r="E7" s="14" t="s">
        <v>18</v>
      </c>
      <c r="F7" s="14" t="s">
        <v>18</v>
      </c>
      <c r="G7" s="14" t="s">
        <v>18</v>
      </c>
      <c r="H7" s="14"/>
      <c r="I7" s="10" t="s">
        <v>19</v>
      </c>
      <c r="J7" s="14" t="s">
        <v>18</v>
      </c>
      <c r="K7" s="14"/>
      <c r="L7" s="15" t="s">
        <v>20</v>
      </c>
      <c r="M7" s="16"/>
      <c r="N7" s="17"/>
      <c r="O7" s="18"/>
      <c r="P7" s="16"/>
      <c r="Q7" s="13"/>
    </row>
    <row r="8" ht="52.5" customHeight="1">
      <c r="A8" s="13"/>
      <c r="B8" s="19" t="s">
        <v>21</v>
      </c>
      <c r="C8" s="20" t="s">
        <v>22</v>
      </c>
      <c r="D8" s="20" t="s">
        <v>23</v>
      </c>
      <c r="E8" s="20" t="s">
        <v>24</v>
      </c>
      <c r="F8" s="20" t="s">
        <v>25</v>
      </c>
      <c r="G8" s="21" t="s">
        <v>26</v>
      </c>
      <c r="H8" s="21" t="s">
        <v>27</v>
      </c>
      <c r="I8" s="21" t="s">
        <v>28</v>
      </c>
      <c r="J8" s="21" t="s">
        <v>29</v>
      </c>
      <c r="K8" s="22" t="s">
        <v>30</v>
      </c>
      <c r="L8" s="23" t="s">
        <v>31</v>
      </c>
      <c r="M8" s="22" t="s">
        <v>32</v>
      </c>
      <c r="N8" s="24" t="s">
        <v>33</v>
      </c>
      <c r="O8" s="24" t="s">
        <v>34</v>
      </c>
      <c r="P8" s="24" t="s">
        <v>35</v>
      </c>
      <c r="Q8" s="13"/>
    </row>
    <row r="9" ht="15.75" customHeight="1">
      <c r="A9" s="1"/>
      <c r="B9" s="25" t="s">
        <v>36</v>
      </c>
      <c r="C9" s="25" t="s">
        <v>37</v>
      </c>
      <c r="D9" s="25" t="s">
        <v>38</v>
      </c>
      <c r="E9" s="25" t="s">
        <v>39</v>
      </c>
      <c r="F9" s="25" t="s">
        <v>40</v>
      </c>
      <c r="G9" s="25" t="s">
        <v>41</v>
      </c>
      <c r="H9" s="25" t="s">
        <v>42</v>
      </c>
      <c r="I9" s="26" t="s">
        <v>43</v>
      </c>
      <c r="J9" s="26" t="s">
        <v>44</v>
      </c>
      <c r="K9" s="26" t="s">
        <v>45</v>
      </c>
      <c r="L9" s="26" t="s">
        <v>46</v>
      </c>
      <c r="M9" s="26" t="s">
        <v>47</v>
      </c>
      <c r="N9" s="26" t="s">
        <v>48</v>
      </c>
      <c r="O9" s="26" t="s">
        <v>49</v>
      </c>
      <c r="P9" s="26" t="s">
        <v>50</v>
      </c>
      <c r="Q9" s="1"/>
    </row>
    <row r="10" ht="23.25" customHeight="1">
      <c r="A10" s="27"/>
      <c r="B10" s="28" t="s">
        <v>51</v>
      </c>
      <c r="C10" s="29" t="s">
        <v>52</v>
      </c>
      <c r="D10" s="29" t="s">
        <v>53</v>
      </c>
      <c r="E10" s="29" t="s">
        <v>54</v>
      </c>
      <c r="F10" s="29" t="s">
        <v>55</v>
      </c>
      <c r="G10" s="29" t="s">
        <v>56</v>
      </c>
      <c r="H10" s="29" t="s">
        <v>57</v>
      </c>
      <c r="I10" s="29" t="s">
        <v>58</v>
      </c>
      <c r="J10" s="29" t="s">
        <v>59</v>
      </c>
      <c r="K10" s="29" t="s">
        <v>60</v>
      </c>
      <c r="L10" s="29" t="s">
        <v>61</v>
      </c>
      <c r="M10" s="29" t="s">
        <v>62</v>
      </c>
      <c r="N10" s="30" t="s">
        <v>63</v>
      </c>
      <c r="O10" s="30" t="s">
        <v>64</v>
      </c>
      <c r="P10" s="30" t="s">
        <v>65</v>
      </c>
      <c r="Q10" s="27"/>
    </row>
    <row r="11" ht="15.75" customHeight="1">
      <c r="A11" s="27"/>
      <c r="B11" s="31" t="s">
        <v>66</v>
      </c>
      <c r="C11" s="32" t="s">
        <v>67</v>
      </c>
      <c r="D11" s="32" t="s">
        <v>68</v>
      </c>
      <c r="E11" s="32" t="s">
        <v>69</v>
      </c>
      <c r="F11" s="32" t="s">
        <v>70</v>
      </c>
      <c r="G11" s="32" t="s">
        <v>71</v>
      </c>
      <c r="H11" s="32" t="s">
        <v>72</v>
      </c>
      <c r="I11" s="32" t="s">
        <v>73</v>
      </c>
      <c r="J11" s="32" t="s">
        <v>74</v>
      </c>
      <c r="K11" s="32" t="s">
        <v>75</v>
      </c>
      <c r="L11" s="32" t="s">
        <v>76</v>
      </c>
      <c r="M11" s="32" t="s">
        <v>77</v>
      </c>
      <c r="N11" s="33" t="s">
        <v>78</v>
      </c>
      <c r="O11" s="33" t="s">
        <v>79</v>
      </c>
      <c r="P11" s="33" t="s">
        <v>80</v>
      </c>
      <c r="Q11" s="27"/>
    </row>
    <row r="12" ht="15.75" customHeight="1">
      <c r="A12" s="27"/>
      <c r="B12" s="28" t="s">
        <v>81</v>
      </c>
      <c r="C12" s="34" t="s">
        <v>82</v>
      </c>
      <c r="D12" s="34" t="s">
        <v>83</v>
      </c>
      <c r="E12" s="34" t="s">
        <v>84</v>
      </c>
      <c r="F12" s="34" t="s">
        <v>85</v>
      </c>
      <c r="G12" s="34" t="s">
        <v>86</v>
      </c>
      <c r="H12" s="34" t="s">
        <v>87</v>
      </c>
      <c r="I12" s="34" t="s">
        <v>88</v>
      </c>
      <c r="J12" s="34" t="s">
        <v>89</v>
      </c>
      <c r="K12" s="34" t="s">
        <v>90</v>
      </c>
      <c r="L12" s="34" t="s">
        <v>91</v>
      </c>
      <c r="M12" s="34" t="s">
        <v>92</v>
      </c>
      <c r="N12" s="35" t="s">
        <v>93</v>
      </c>
      <c r="O12" s="35" t="s">
        <v>94</v>
      </c>
      <c r="P12" s="35" t="s">
        <v>95</v>
      </c>
      <c r="Q12" s="27"/>
    </row>
    <row r="13" ht="15.75" customHeight="1">
      <c r="A13" s="1"/>
      <c r="B13" s="36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ht="15.75" customHeight="1">
      <c r="A15" s="1"/>
      <c r="B15" s="38"/>
      <c r="D15" s="39"/>
      <c r="E15" s="39"/>
      <c r="F15" s="40"/>
      <c r="G15" s="41"/>
      <c r="H15" s="41"/>
      <c r="I15" s="41"/>
      <c r="J15" s="41"/>
      <c r="K15" s="41"/>
      <c r="L15" s="1"/>
      <c r="M15" s="1"/>
      <c r="N15" s="1"/>
      <c r="O15" s="1"/>
      <c r="P15" s="1"/>
      <c r="Q15" s="1"/>
    </row>
    <row r="16" ht="15.75" customHeight="1">
      <c r="A16" s="1"/>
      <c r="B16" s="38"/>
      <c r="D16" s="39"/>
      <c r="E16" s="39"/>
      <c r="F16" s="40"/>
      <c r="G16" s="41"/>
      <c r="H16" s="41"/>
      <c r="I16" s="41"/>
      <c r="J16" s="41"/>
      <c r="K16" s="41"/>
      <c r="L16" s="1"/>
      <c r="M16" s="1"/>
      <c r="N16" s="1"/>
      <c r="O16" s="1"/>
      <c r="P16" s="1"/>
      <c r="Q16" s="1"/>
    </row>
    <row r="17" ht="15.75" customHeight="1">
      <c r="A17" s="1"/>
      <c r="B17" s="38"/>
      <c r="D17" s="39"/>
      <c r="E17" s="39"/>
      <c r="F17" s="40"/>
      <c r="G17" s="41"/>
      <c r="H17" s="41"/>
      <c r="I17" s="41"/>
      <c r="J17" s="41"/>
      <c r="K17" s="41"/>
      <c r="L17" s="1"/>
      <c r="M17" s="1"/>
      <c r="N17" s="1"/>
      <c r="O17" s="1"/>
      <c r="P17" s="1"/>
      <c r="Q17" s="1"/>
    </row>
    <row r="18" ht="15.75" customHeight="1">
      <c r="A18" s="1"/>
      <c r="B18" s="38"/>
      <c r="D18" s="39"/>
      <c r="E18" s="39"/>
      <c r="F18" s="40"/>
      <c r="G18" s="41"/>
      <c r="H18" s="41"/>
      <c r="I18" s="41"/>
      <c r="J18" s="41"/>
      <c r="K18" s="41"/>
      <c r="L18" s="1"/>
      <c r="M18" s="1"/>
      <c r="N18" s="1"/>
      <c r="O18" s="1"/>
      <c r="P18" s="1"/>
      <c r="Q18" s="1"/>
    </row>
    <row r="19" ht="15.75" customHeight="1">
      <c r="A19" s="1"/>
      <c r="B19" s="38"/>
      <c r="D19" s="39"/>
      <c r="E19" s="39"/>
      <c r="F19" s="40"/>
      <c r="G19" s="41"/>
      <c r="H19" s="41"/>
      <c r="I19" s="41"/>
      <c r="J19" s="41"/>
      <c r="K19" s="41"/>
      <c r="L19" s="1"/>
      <c r="M19" s="1"/>
      <c r="N19" s="1"/>
      <c r="O19" s="1"/>
      <c r="P19" s="1"/>
      <c r="Q19" s="1"/>
    </row>
    <row r="20" ht="15.75" customHeight="1">
      <c r="A20" s="1"/>
      <c r="B20" s="38"/>
      <c r="D20" s="39"/>
      <c r="E20" s="39"/>
      <c r="F20" s="40"/>
      <c r="G20" s="41"/>
      <c r="H20" s="41"/>
      <c r="I20" s="41"/>
      <c r="J20" s="41"/>
      <c r="K20" s="41"/>
      <c r="L20" s="1"/>
      <c r="M20" s="1"/>
      <c r="N20" s="1"/>
      <c r="O20" s="1"/>
      <c r="P20" s="1"/>
      <c r="Q20" s="1"/>
    </row>
    <row r="21" ht="15.75" customHeight="1">
      <c r="A21" s="1"/>
      <c r="B21" s="38"/>
      <c r="D21" s="39"/>
      <c r="E21" s="39"/>
      <c r="F21" s="40"/>
      <c r="G21" s="41"/>
      <c r="H21" s="41"/>
      <c r="I21" s="41"/>
      <c r="J21" s="41"/>
      <c r="K21" s="41"/>
      <c r="L21" s="1"/>
      <c r="M21" s="1"/>
      <c r="N21" s="1"/>
      <c r="O21" s="1"/>
      <c r="P21" s="1"/>
      <c r="Q21" s="1"/>
    </row>
    <row r="22" ht="15.75" customHeight="1">
      <c r="A22" s="1"/>
      <c r="B22" s="38"/>
      <c r="D22" s="39"/>
      <c r="E22" s="39"/>
      <c r="F22" s="40"/>
      <c r="G22" s="41"/>
      <c r="H22" s="41"/>
      <c r="I22" s="41"/>
      <c r="J22" s="41"/>
      <c r="K22" s="41"/>
      <c r="L22" s="1"/>
      <c r="M22" s="1"/>
      <c r="N22" s="1"/>
      <c r="O22" s="1"/>
      <c r="P22" s="1"/>
      <c r="Q22" s="1"/>
    </row>
    <row r="23" ht="15.75" customHeight="1">
      <c r="A23" s="1"/>
      <c r="B23" s="38"/>
      <c r="D23" s="39"/>
      <c r="E23" s="39"/>
      <c r="F23" s="40"/>
      <c r="G23" s="41"/>
      <c r="H23" s="41"/>
      <c r="I23" s="41"/>
      <c r="J23" s="41"/>
      <c r="K23" s="41"/>
      <c r="L23" s="1"/>
      <c r="M23" s="1"/>
      <c r="N23" s="1"/>
      <c r="O23" s="1"/>
      <c r="P23" s="1"/>
      <c r="Q23" s="1"/>
    </row>
    <row r="24" ht="15.75" customHeight="1">
      <c r="A24" s="1"/>
      <c r="B24" s="38"/>
      <c r="D24" s="39"/>
      <c r="E24" s="39"/>
      <c r="F24" s="40"/>
      <c r="G24" s="39"/>
      <c r="H24" s="39"/>
      <c r="I24" s="39"/>
      <c r="J24" s="39"/>
      <c r="K24" s="39"/>
      <c r="L24" s="1"/>
      <c r="M24" s="1"/>
      <c r="N24" s="1"/>
      <c r="O24" s="1"/>
      <c r="P24" s="1"/>
      <c r="Q24" s="1"/>
    </row>
    <row r="25" ht="15.75" customHeight="1">
      <c r="A25" s="1"/>
      <c r="B25" s="38"/>
      <c r="D25" s="39"/>
      <c r="E25" s="39"/>
      <c r="F25" s="40"/>
      <c r="G25" s="39"/>
      <c r="H25" s="39"/>
      <c r="I25" s="39"/>
      <c r="J25" s="39"/>
      <c r="K25" s="39"/>
      <c r="L25" s="1"/>
      <c r="M25" s="1"/>
      <c r="N25" s="1"/>
      <c r="O25" s="1"/>
      <c r="P25" s="1"/>
      <c r="Q25" s="1"/>
    </row>
    <row r="26" ht="15.75" customHeight="1">
      <c r="A26" s="1"/>
      <c r="B26" s="38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20:C20"/>
    <mergeCell ref="B21:C21"/>
    <mergeCell ref="B22:C22"/>
    <mergeCell ref="B23:C23"/>
    <mergeCell ref="B24:C24"/>
    <mergeCell ref="B25:C25"/>
    <mergeCell ref="B26:C26"/>
    <mergeCell ref="B2:P4"/>
    <mergeCell ref="B13:P13"/>
    <mergeCell ref="B15:C15"/>
    <mergeCell ref="B16:C16"/>
    <mergeCell ref="B17:C17"/>
    <mergeCell ref="B18:C18"/>
    <mergeCell ref="B19:C19"/>
  </mergeCells>
  <conditionalFormatting sqref="N14 N16 N18 N20 N22 N24 N26">
    <cfRule type="notContainsBlanks" dxfId="0" priority="1">
      <formula>LEN(TRIM(N14))&gt;0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9.25"/>
    <col customWidth="1" min="2" max="2" width="21.88"/>
    <col customWidth="1" min="3" max="4" width="27.0"/>
    <col customWidth="1" min="5" max="5" width="1.75"/>
    <col customWidth="1" min="6" max="6" width="27.13"/>
    <col customWidth="1" min="7" max="7" width="7.75"/>
    <col customWidth="1" min="8" max="8" width="27.13"/>
    <col customWidth="1" min="9" max="9" width="23.0"/>
    <col customWidth="1" min="10" max="10" width="2.75"/>
    <col customWidth="1" min="11" max="11" width="28.63"/>
    <col customWidth="1" min="12" max="12" width="14.75"/>
    <col customWidth="1" min="13" max="13" width="14.63"/>
    <col customWidth="1" min="14" max="14" width="17.13"/>
    <col customWidth="1" min="15" max="15" width="3.88"/>
    <col customWidth="1" min="16" max="16" width="27.5"/>
    <col customWidth="1" min="17" max="17" width="14.75"/>
    <col customWidth="1" min="18" max="18" width="14.63"/>
    <col customWidth="1" min="19" max="19" width="17.13"/>
    <col customWidth="1" min="20" max="20" width="18.75"/>
  </cols>
  <sheetData>
    <row r="1" ht="15.75" customHeight="1">
      <c r="A1" s="42" t="s">
        <v>96</v>
      </c>
      <c r="B1" s="43" t="s">
        <v>97</v>
      </c>
      <c r="C1" s="43"/>
      <c r="D1" s="43"/>
      <c r="E1" s="44"/>
      <c r="F1" s="45"/>
      <c r="G1" s="45"/>
      <c r="H1" s="43"/>
      <c r="I1" s="45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</row>
    <row r="2" ht="15.75" customHeight="1">
      <c r="A2" s="42"/>
      <c r="B2" s="43" t="s">
        <v>98</v>
      </c>
      <c r="C2" s="43"/>
      <c r="D2" s="43"/>
      <c r="E2" s="46"/>
      <c r="F2" s="45"/>
      <c r="G2" s="45"/>
      <c r="H2" s="43"/>
      <c r="I2" s="45"/>
      <c r="J2" s="43"/>
      <c r="K2" s="47" t="s">
        <v>99</v>
      </c>
      <c r="O2" s="43"/>
      <c r="P2" s="47" t="s">
        <v>100</v>
      </c>
      <c r="T2" s="43"/>
    </row>
    <row r="3" ht="31.5" customHeight="1">
      <c r="A3" s="42"/>
      <c r="B3" s="43" t="s">
        <v>101</v>
      </c>
      <c r="C3" s="43"/>
      <c r="D3" s="43"/>
      <c r="E3" s="46"/>
      <c r="F3" s="45"/>
      <c r="G3" s="45"/>
      <c r="H3" s="43"/>
      <c r="I3" s="45"/>
      <c r="J3" s="43"/>
      <c r="O3" s="43"/>
      <c r="T3" s="43"/>
    </row>
    <row r="4" ht="22.5" customHeight="1">
      <c r="A4" s="48" t="s">
        <v>102</v>
      </c>
      <c r="B4" s="49" t="s">
        <v>103</v>
      </c>
      <c r="C4" s="49" t="s">
        <v>104</v>
      </c>
      <c r="D4" s="48" t="s">
        <v>105</v>
      </c>
      <c r="E4" s="50"/>
      <c r="F4" s="51" t="s">
        <v>106</v>
      </c>
      <c r="G4" s="52" t="s">
        <v>107</v>
      </c>
      <c r="H4" s="53" t="s">
        <v>108</v>
      </c>
      <c r="I4" s="54"/>
      <c r="J4" s="1"/>
      <c r="K4" s="55" t="s">
        <v>109</v>
      </c>
      <c r="L4" s="55" t="s">
        <v>110</v>
      </c>
      <c r="M4" s="55" t="s">
        <v>111</v>
      </c>
      <c r="N4" s="55" t="s">
        <v>112</v>
      </c>
      <c r="O4" s="56"/>
      <c r="P4" s="55" t="s">
        <v>109</v>
      </c>
      <c r="Q4" s="55" t="s">
        <v>110</v>
      </c>
      <c r="R4" s="55" t="s">
        <v>111</v>
      </c>
      <c r="S4" s="55" t="s">
        <v>112</v>
      </c>
      <c r="T4" s="54"/>
    </row>
    <row r="5" ht="22.5" customHeight="1">
      <c r="A5" s="57" t="s">
        <v>113</v>
      </c>
      <c r="B5" s="58" t="s">
        <v>114</v>
      </c>
      <c r="C5" s="59">
        <v>0.875</v>
      </c>
      <c r="D5" s="60" t="s">
        <v>115</v>
      </c>
      <c r="E5" s="61"/>
      <c r="F5" s="62"/>
      <c r="G5" s="62"/>
      <c r="H5" s="63" t="s">
        <v>116</v>
      </c>
      <c r="I5" s="64" t="s">
        <v>117</v>
      </c>
      <c r="J5" s="65">
        <v>1.0</v>
      </c>
      <c r="K5" s="66" t="s">
        <v>118</v>
      </c>
      <c r="L5" s="67">
        <v>16.0</v>
      </c>
      <c r="M5" s="68">
        <v>3.0</v>
      </c>
      <c r="N5" s="69">
        <f t="shared" ref="N5:N11" si="1">19-L5-M5</f>
        <v>0</v>
      </c>
      <c r="O5" s="70"/>
      <c r="P5" s="71" t="s">
        <v>119</v>
      </c>
      <c r="Q5" s="72">
        <v>15.0</v>
      </c>
      <c r="R5" s="73">
        <v>4.0</v>
      </c>
      <c r="S5" s="74">
        <f t="shared" ref="S5:S11" si="2">19-Q5-R5</f>
        <v>0</v>
      </c>
      <c r="T5" s="1"/>
    </row>
    <row r="6" ht="22.5" customHeight="1">
      <c r="A6" s="75"/>
      <c r="B6" s="58" t="s">
        <v>120</v>
      </c>
      <c r="C6" s="76">
        <v>0.8125</v>
      </c>
      <c r="D6" s="60" t="s">
        <v>115</v>
      </c>
      <c r="E6" s="61"/>
      <c r="F6" s="62"/>
      <c r="G6" s="62"/>
      <c r="H6" s="63" t="s">
        <v>121</v>
      </c>
      <c r="I6" s="77" t="s">
        <v>122</v>
      </c>
      <c r="J6" s="65">
        <v>2.0</v>
      </c>
      <c r="K6" s="78" t="s">
        <v>123</v>
      </c>
      <c r="L6" s="79">
        <v>16.0</v>
      </c>
      <c r="M6" s="80">
        <v>3.0</v>
      </c>
      <c r="N6" s="81">
        <f t="shared" si="1"/>
        <v>0</v>
      </c>
      <c r="O6" s="82"/>
      <c r="P6" s="78" t="s">
        <v>124</v>
      </c>
      <c r="Q6" s="79">
        <v>14.0</v>
      </c>
      <c r="R6" s="80">
        <v>5.0</v>
      </c>
      <c r="S6" s="81">
        <f t="shared" si="2"/>
        <v>0</v>
      </c>
      <c r="T6" s="1"/>
    </row>
    <row r="7" ht="22.5" customHeight="1">
      <c r="A7" s="83" t="s">
        <v>125</v>
      </c>
      <c r="B7" s="84"/>
      <c r="C7" s="85"/>
      <c r="D7" s="86"/>
      <c r="E7" s="61"/>
      <c r="F7" s="87" t="s">
        <v>126</v>
      </c>
      <c r="G7" s="87" t="s">
        <v>127</v>
      </c>
      <c r="H7" s="63" t="s">
        <v>128</v>
      </c>
      <c r="I7" s="88" t="s">
        <v>129</v>
      </c>
      <c r="J7" s="65">
        <v>3.0</v>
      </c>
      <c r="K7" s="89" t="s">
        <v>130</v>
      </c>
      <c r="L7" s="90">
        <v>13.0</v>
      </c>
      <c r="M7" s="91">
        <v>6.0</v>
      </c>
      <c r="N7" s="92">
        <f t="shared" si="1"/>
        <v>0</v>
      </c>
      <c r="O7" s="70"/>
      <c r="P7" s="93" t="s">
        <v>131</v>
      </c>
      <c r="Q7" s="94">
        <v>11.0</v>
      </c>
      <c r="R7" s="95">
        <v>8.0</v>
      </c>
      <c r="S7" s="96">
        <f t="shared" si="2"/>
        <v>0</v>
      </c>
      <c r="T7" s="54"/>
    </row>
    <row r="8" ht="22.5" customHeight="1">
      <c r="A8" s="97"/>
      <c r="B8" s="98" t="s">
        <v>132</v>
      </c>
      <c r="C8" s="99">
        <v>0.8333333333333334</v>
      </c>
      <c r="D8" s="100" t="s">
        <v>115</v>
      </c>
      <c r="E8" s="101"/>
      <c r="F8" s="102"/>
      <c r="G8" s="103"/>
      <c r="H8" s="63" t="s">
        <v>133</v>
      </c>
      <c r="I8" s="104" t="s">
        <v>134</v>
      </c>
      <c r="J8" s="65">
        <v>4.0</v>
      </c>
      <c r="K8" s="105" t="s">
        <v>135</v>
      </c>
      <c r="L8" s="106">
        <v>9.0</v>
      </c>
      <c r="M8" s="107">
        <v>10.0</v>
      </c>
      <c r="N8" s="108">
        <f t="shared" si="1"/>
        <v>0</v>
      </c>
      <c r="O8" s="109"/>
      <c r="P8" s="110" t="s">
        <v>136</v>
      </c>
      <c r="Q8" s="111">
        <v>10.0</v>
      </c>
      <c r="R8" s="112">
        <v>9.0</v>
      </c>
      <c r="S8" s="113">
        <f t="shared" si="2"/>
        <v>0</v>
      </c>
      <c r="T8" s="54"/>
    </row>
    <row r="9" ht="22.5" customHeight="1">
      <c r="A9" s="114" t="s">
        <v>137</v>
      </c>
      <c r="B9" s="115" t="s">
        <v>138</v>
      </c>
      <c r="C9" s="116">
        <v>0.8333333333333334</v>
      </c>
      <c r="D9" s="117" t="s">
        <v>139</v>
      </c>
      <c r="E9" s="61"/>
      <c r="F9" s="118"/>
      <c r="G9" s="118"/>
      <c r="H9" s="63" t="s">
        <v>140</v>
      </c>
      <c r="I9" s="119" t="s">
        <v>141</v>
      </c>
      <c r="J9" s="65">
        <v>5.0</v>
      </c>
      <c r="K9" s="120" t="s">
        <v>142</v>
      </c>
      <c r="L9" s="121">
        <v>8.0</v>
      </c>
      <c r="M9" s="122">
        <v>11.0</v>
      </c>
      <c r="N9" s="123">
        <f t="shared" si="1"/>
        <v>0</v>
      </c>
      <c r="O9" s="124"/>
      <c r="P9" s="125" t="s">
        <v>143</v>
      </c>
      <c r="Q9" s="126">
        <v>8.0</v>
      </c>
      <c r="R9" s="127">
        <v>11.0</v>
      </c>
      <c r="S9" s="128">
        <f t="shared" si="2"/>
        <v>0</v>
      </c>
      <c r="T9" s="54"/>
    </row>
    <row r="10" ht="22.5" customHeight="1">
      <c r="A10" s="129"/>
      <c r="B10" s="130"/>
      <c r="C10" s="131"/>
      <c r="D10" s="132"/>
      <c r="E10" s="61"/>
      <c r="F10" s="118"/>
      <c r="G10" s="118"/>
      <c r="H10" s="63" t="s">
        <v>144</v>
      </c>
      <c r="I10" s="133" t="s">
        <v>145</v>
      </c>
      <c r="J10" s="65">
        <v>6.0</v>
      </c>
      <c r="K10" s="134" t="s">
        <v>146</v>
      </c>
      <c r="L10" s="135">
        <v>6.0</v>
      </c>
      <c r="M10" s="136">
        <v>13.0</v>
      </c>
      <c r="N10" s="137">
        <f t="shared" si="1"/>
        <v>0</v>
      </c>
      <c r="O10" s="138"/>
      <c r="P10" s="139" t="s">
        <v>147</v>
      </c>
      <c r="Q10" s="135">
        <v>2.0</v>
      </c>
      <c r="R10" s="136">
        <v>17.0</v>
      </c>
      <c r="S10" s="140">
        <f t="shared" si="2"/>
        <v>0</v>
      </c>
      <c r="T10" s="54"/>
    </row>
    <row r="11" ht="22.5" customHeight="1">
      <c r="A11" s="141" t="s">
        <v>148</v>
      </c>
      <c r="B11" s="142" t="s">
        <v>149</v>
      </c>
      <c r="C11" s="143">
        <v>0.8125</v>
      </c>
      <c r="D11" s="144" t="s">
        <v>115</v>
      </c>
      <c r="E11" s="145"/>
      <c r="F11" s="146" t="s">
        <v>150</v>
      </c>
      <c r="G11" s="146" t="s">
        <v>151</v>
      </c>
      <c r="H11" s="147" t="s">
        <v>152</v>
      </c>
      <c r="I11" s="148" t="s">
        <v>153</v>
      </c>
      <c r="J11" s="65">
        <v>7.0</v>
      </c>
      <c r="K11" s="149" t="s">
        <v>154</v>
      </c>
      <c r="L11" s="150">
        <v>4.0</v>
      </c>
      <c r="M11" s="151">
        <v>15.0</v>
      </c>
      <c r="N11" s="152">
        <f t="shared" si="1"/>
        <v>0</v>
      </c>
      <c r="O11" s="153"/>
      <c r="P11" s="154" t="s">
        <v>155</v>
      </c>
      <c r="Q11" s="155">
        <v>1.0</v>
      </c>
      <c r="R11" s="156">
        <v>18.0</v>
      </c>
      <c r="S11" s="157">
        <f t="shared" si="2"/>
        <v>0</v>
      </c>
      <c r="T11" s="54"/>
    </row>
    <row r="12" ht="15.75" customHeight="1">
      <c r="A12" s="158" t="s">
        <v>156</v>
      </c>
      <c r="B12" s="159" t="s">
        <v>157</v>
      </c>
      <c r="C12" s="160">
        <v>0.8958333333333334</v>
      </c>
      <c r="D12" s="161" t="s">
        <v>115</v>
      </c>
      <c r="E12" s="145"/>
      <c r="F12" s="162"/>
      <c r="G12" s="162"/>
      <c r="H12" s="63" t="s">
        <v>158</v>
      </c>
      <c r="I12" s="163" t="s">
        <v>159</v>
      </c>
      <c r="J12" s="65"/>
      <c r="K12" s="164"/>
      <c r="L12" s="165"/>
      <c r="M12" s="165"/>
      <c r="N12" s="70"/>
      <c r="O12" s="70"/>
      <c r="P12" s="164"/>
      <c r="Q12" s="165"/>
      <c r="R12" s="165"/>
      <c r="S12" s="70"/>
      <c r="T12" s="54"/>
    </row>
    <row r="13" ht="15.75" customHeight="1">
      <c r="A13" s="166" t="s">
        <v>160</v>
      </c>
      <c r="B13" s="167" t="s">
        <v>161</v>
      </c>
      <c r="C13" s="168">
        <v>0.7916666666666666</v>
      </c>
      <c r="D13" s="167" t="s">
        <v>139</v>
      </c>
      <c r="E13" s="61"/>
      <c r="F13" s="169"/>
      <c r="G13" s="169"/>
      <c r="H13" s="63" t="s">
        <v>162</v>
      </c>
      <c r="I13" s="170" t="s">
        <v>163</v>
      </c>
      <c r="J13" s="171"/>
      <c r="K13" s="172"/>
      <c r="L13" s="165"/>
      <c r="M13" s="165"/>
      <c r="N13" s="70"/>
      <c r="O13" s="82"/>
      <c r="P13" s="172"/>
      <c r="Q13" s="165"/>
      <c r="R13" s="165"/>
      <c r="S13" s="70"/>
      <c r="T13" s="54"/>
    </row>
    <row r="14" ht="15.75" customHeight="1">
      <c r="A14" s="173" t="s">
        <v>164</v>
      </c>
      <c r="B14" s="174" t="s">
        <v>103</v>
      </c>
      <c r="C14" s="174" t="s">
        <v>104</v>
      </c>
      <c r="D14" s="175"/>
      <c r="E14" s="61"/>
      <c r="F14" s="176" t="s">
        <v>106</v>
      </c>
      <c r="G14" s="177"/>
      <c r="H14" s="63" t="s">
        <v>165</v>
      </c>
      <c r="I14" s="178"/>
      <c r="J14" s="65"/>
      <c r="K14" s="172"/>
      <c r="L14" s="165"/>
      <c r="M14" s="165"/>
      <c r="N14" s="70"/>
      <c r="O14" s="82"/>
      <c r="P14" s="179"/>
      <c r="Q14" s="180"/>
      <c r="R14" s="54"/>
      <c r="S14" s="54"/>
      <c r="T14" s="54"/>
    </row>
    <row r="15" ht="15.75" customHeight="1">
      <c r="A15" s="181" t="s">
        <v>166</v>
      </c>
      <c r="B15" s="182" t="s">
        <v>167</v>
      </c>
      <c r="C15" s="183">
        <v>0.8333333333333334</v>
      </c>
      <c r="D15" s="184" t="s">
        <v>139</v>
      </c>
      <c r="E15" s="61"/>
      <c r="F15" s="185"/>
      <c r="G15" s="186"/>
      <c r="H15" s="63" t="s">
        <v>168</v>
      </c>
      <c r="I15" s="1"/>
      <c r="J15" s="1"/>
      <c r="K15" s="1"/>
      <c r="L15" s="1"/>
      <c r="M15" s="1"/>
      <c r="N15" s="1"/>
      <c r="O15" s="1"/>
      <c r="P15" s="1"/>
      <c r="Q15" s="187"/>
      <c r="R15" s="54"/>
      <c r="S15" s="54"/>
      <c r="T15" s="54"/>
    </row>
    <row r="16" ht="15.75" customHeight="1">
      <c r="A16" s="188"/>
      <c r="B16" s="189"/>
      <c r="C16" s="189"/>
      <c r="D16" s="190"/>
      <c r="E16" s="61"/>
      <c r="F16" s="191"/>
      <c r="G16" s="191"/>
      <c r="H16" s="63" t="s">
        <v>169</v>
      </c>
      <c r="I16" s="1"/>
      <c r="J16" s="1"/>
      <c r="K16" s="54"/>
      <c r="L16" s="65"/>
      <c r="M16" s="65"/>
      <c r="N16" s="65"/>
      <c r="O16" s="65"/>
      <c r="P16" s="65"/>
      <c r="Q16" s="187"/>
      <c r="R16" s="54"/>
      <c r="S16" s="54"/>
      <c r="T16" s="54"/>
    </row>
    <row r="17" ht="15.75" customHeight="1">
      <c r="A17" s="57" t="s">
        <v>170</v>
      </c>
      <c r="B17" s="192" t="s">
        <v>171</v>
      </c>
      <c r="C17" s="193" t="s">
        <v>172</v>
      </c>
      <c r="D17" s="194" t="s">
        <v>115</v>
      </c>
      <c r="E17" s="195"/>
      <c r="F17" s="75"/>
      <c r="G17" s="75"/>
      <c r="H17" s="63" t="s">
        <v>173</v>
      </c>
      <c r="I17" s="1"/>
      <c r="J17" s="1"/>
      <c r="K17" s="1"/>
      <c r="L17" s="1"/>
      <c r="M17" s="1"/>
      <c r="N17" s="1"/>
      <c r="O17" s="1"/>
      <c r="P17" s="1"/>
      <c r="Q17" s="187"/>
      <c r="R17" s="54"/>
      <c r="S17" s="54"/>
      <c r="T17" s="54"/>
    </row>
    <row r="18" ht="15.75" customHeight="1">
      <c r="A18" s="75"/>
      <c r="B18" s="196" t="s">
        <v>174</v>
      </c>
      <c r="C18" s="197">
        <v>0.8333333333333334</v>
      </c>
      <c r="D18" s="198" t="s">
        <v>115</v>
      </c>
      <c r="E18" s="61"/>
      <c r="F18" s="62"/>
      <c r="G18" s="62"/>
      <c r="H18" s="63" t="s">
        <v>175</v>
      </c>
      <c r="I18" s="1"/>
      <c r="J18" s="1"/>
      <c r="K18" s="1"/>
      <c r="L18" s="1"/>
      <c r="M18" s="1"/>
      <c r="N18" s="1"/>
      <c r="O18" s="1"/>
      <c r="P18" s="1"/>
      <c r="Q18" s="187"/>
      <c r="R18" s="54"/>
      <c r="S18" s="54"/>
      <c r="T18" s="54"/>
    </row>
    <row r="19" ht="15.75" customHeight="1">
      <c r="A19" s="75"/>
      <c r="B19" s="199" t="s">
        <v>176</v>
      </c>
      <c r="C19" s="200">
        <v>0.8333333333333334</v>
      </c>
      <c r="D19" s="201" t="s">
        <v>115</v>
      </c>
      <c r="E19" s="61"/>
      <c r="F19" s="62"/>
      <c r="G19" s="62"/>
      <c r="H19" s="63"/>
      <c r="I19" s="1"/>
      <c r="J19" s="1"/>
      <c r="K19" s="1"/>
      <c r="L19" s="1"/>
      <c r="M19" s="1"/>
      <c r="N19" s="1"/>
      <c r="O19" s="1"/>
      <c r="P19" s="1"/>
      <c r="Q19" s="180"/>
      <c r="R19" s="54"/>
      <c r="S19" s="54"/>
      <c r="T19" s="54"/>
    </row>
    <row r="20" ht="15.75" customHeight="1">
      <c r="A20" s="75"/>
      <c r="B20" s="202" t="s">
        <v>177</v>
      </c>
      <c r="C20" s="203">
        <v>0.8333333333333334</v>
      </c>
      <c r="D20" s="204" t="s">
        <v>115</v>
      </c>
      <c r="E20" s="61"/>
      <c r="F20" s="62"/>
      <c r="G20" s="62"/>
      <c r="H20" s="63"/>
      <c r="I20" s="1"/>
      <c r="J20" s="1"/>
      <c r="K20" s="1"/>
      <c r="L20" s="1"/>
      <c r="M20" s="1"/>
      <c r="N20" s="1"/>
      <c r="O20" s="1"/>
      <c r="P20" s="1"/>
      <c r="Q20" s="180"/>
      <c r="R20" s="54"/>
      <c r="S20" s="54"/>
      <c r="T20" s="54"/>
    </row>
    <row r="21" ht="15.75" customHeight="1">
      <c r="A21" s="75"/>
      <c r="B21" s="202" t="s">
        <v>178</v>
      </c>
      <c r="C21" s="205">
        <v>0.8541666666666666</v>
      </c>
      <c r="D21" s="201" t="s">
        <v>115</v>
      </c>
      <c r="E21" s="195"/>
      <c r="F21" s="62"/>
      <c r="G21" s="62"/>
      <c r="H21" s="63" t="s">
        <v>179</v>
      </c>
      <c r="I21" s="1"/>
      <c r="J21" s="1"/>
      <c r="K21" s="206"/>
      <c r="L21" s="207"/>
      <c r="M21" s="207"/>
      <c r="N21" s="208"/>
      <c r="O21" s="208"/>
      <c r="P21" s="208"/>
      <c r="Q21" s="180"/>
      <c r="R21" s="54"/>
      <c r="S21" s="54"/>
      <c r="T21" s="54"/>
    </row>
    <row r="22" ht="15.75" customHeight="1">
      <c r="A22" s="75"/>
      <c r="B22" s="58" t="s">
        <v>180</v>
      </c>
      <c r="C22" s="209">
        <v>0.8958333333333334</v>
      </c>
      <c r="D22" s="210" t="s">
        <v>139</v>
      </c>
      <c r="E22" s="195"/>
      <c r="F22" s="62"/>
      <c r="G22" s="62"/>
      <c r="H22" s="63" t="s">
        <v>181</v>
      </c>
      <c r="I22" s="1"/>
      <c r="J22" s="1"/>
      <c r="K22" s="211"/>
      <c r="L22" s="207"/>
      <c r="M22" s="207"/>
      <c r="N22" s="207"/>
      <c r="O22" s="207"/>
      <c r="P22" s="207"/>
      <c r="Q22" s="180"/>
      <c r="R22" s="54"/>
      <c r="S22" s="54"/>
      <c r="T22" s="54"/>
    </row>
    <row r="23" ht="15.75" customHeight="1">
      <c r="A23" s="83" t="s">
        <v>182</v>
      </c>
      <c r="B23" s="212" t="s">
        <v>183</v>
      </c>
      <c r="C23" s="213">
        <v>0.8333333333333334</v>
      </c>
      <c r="D23" s="214" t="s">
        <v>139</v>
      </c>
      <c r="E23" s="61"/>
      <c r="F23" s="103"/>
      <c r="G23" s="103"/>
      <c r="H23" s="63" t="s">
        <v>184</v>
      </c>
      <c r="I23" s="1"/>
      <c r="J23" s="1"/>
      <c r="K23" s="1"/>
      <c r="L23" s="1"/>
      <c r="M23" s="1"/>
      <c r="N23" s="1"/>
      <c r="O23" s="1"/>
      <c r="P23" s="1"/>
      <c r="Q23" s="180"/>
      <c r="R23" s="54"/>
      <c r="S23" s="54"/>
      <c r="T23" s="54"/>
    </row>
    <row r="24" ht="15.75" customHeight="1">
      <c r="A24" s="97"/>
      <c r="B24" s="215"/>
      <c r="C24" s="215"/>
      <c r="D24" s="216"/>
      <c r="E24" s="101"/>
      <c r="F24" s="102"/>
      <c r="G24" s="103"/>
      <c r="H24" s="63" t="s">
        <v>185</v>
      </c>
      <c r="I24" s="1"/>
      <c r="J24" s="1"/>
      <c r="K24" s="1"/>
      <c r="L24" s="1"/>
      <c r="M24" s="1"/>
      <c r="N24" s="1"/>
      <c r="O24" s="1"/>
      <c r="P24" s="1"/>
      <c r="Q24" s="180"/>
      <c r="R24" s="54"/>
      <c r="S24" s="54"/>
      <c r="T24" s="54"/>
    </row>
    <row r="25" ht="15.75" customHeight="1">
      <c r="A25" s="114" t="s">
        <v>186</v>
      </c>
      <c r="B25" s="217" t="s">
        <v>187</v>
      </c>
      <c r="C25" s="218" t="s">
        <v>188</v>
      </c>
      <c r="D25" s="117" t="s">
        <v>115</v>
      </c>
      <c r="E25" s="61"/>
      <c r="F25" s="118"/>
      <c r="G25" s="118"/>
      <c r="H25" s="63"/>
      <c r="I25" s="1"/>
      <c r="J25" s="1"/>
      <c r="K25" s="1"/>
      <c r="L25" s="1"/>
      <c r="M25" s="1"/>
      <c r="N25" s="1"/>
      <c r="O25" s="1"/>
      <c r="P25" s="1"/>
      <c r="Q25" s="180"/>
      <c r="R25" s="54"/>
      <c r="S25" s="54"/>
      <c r="T25" s="54"/>
    </row>
    <row r="26" ht="15.75" customHeight="1">
      <c r="A26" s="114"/>
      <c r="B26" s="219" t="s">
        <v>189</v>
      </c>
      <c r="C26" s="220" t="s">
        <v>188</v>
      </c>
      <c r="D26" s="221" t="s">
        <v>115</v>
      </c>
      <c r="E26" s="61"/>
      <c r="F26" s="118"/>
      <c r="G26" s="118"/>
      <c r="H26" s="63" t="s">
        <v>190</v>
      </c>
      <c r="I26" s="222"/>
      <c r="J26" s="65"/>
      <c r="K26" s="206"/>
      <c r="L26" s="207"/>
      <c r="M26" s="207"/>
      <c r="N26" s="208"/>
      <c r="O26" s="208"/>
      <c r="P26" s="208"/>
      <c r="Q26" s="180"/>
      <c r="R26" s="54"/>
      <c r="S26" s="54"/>
      <c r="T26" s="54"/>
    </row>
    <row r="27" ht="15.75" customHeight="1">
      <c r="A27" s="129"/>
      <c r="B27" s="223" t="s">
        <v>191</v>
      </c>
      <c r="C27" s="224">
        <v>0.875</v>
      </c>
      <c r="D27" s="225" t="s">
        <v>115</v>
      </c>
      <c r="E27" s="101"/>
      <c r="F27" s="226"/>
      <c r="G27" s="118"/>
      <c r="H27" s="63" t="s">
        <v>192</v>
      </c>
      <c r="I27" s="227"/>
      <c r="J27" s="228"/>
      <c r="K27" s="229"/>
      <c r="L27" s="230"/>
      <c r="M27" s="230"/>
      <c r="N27" s="230"/>
      <c r="O27" s="230"/>
      <c r="P27" s="230"/>
      <c r="Q27" s="231"/>
      <c r="R27" s="54"/>
      <c r="S27" s="54"/>
      <c r="T27" s="54"/>
    </row>
    <row r="28" ht="15.75" customHeight="1">
      <c r="A28" s="141" t="s">
        <v>193</v>
      </c>
      <c r="B28" s="232" t="s">
        <v>194</v>
      </c>
      <c r="C28" s="233">
        <v>0.8333333333333334</v>
      </c>
      <c r="D28" s="234" t="s">
        <v>115</v>
      </c>
      <c r="E28" s="235"/>
      <c r="F28" s="146" t="s">
        <v>195</v>
      </c>
      <c r="G28" s="146" t="s">
        <v>127</v>
      </c>
      <c r="H28" s="63" t="s">
        <v>196</v>
      </c>
      <c r="I28" s="54"/>
      <c r="J28" s="1"/>
      <c r="K28" s="211"/>
      <c r="L28" s="207"/>
      <c r="M28" s="207"/>
      <c r="N28" s="207"/>
      <c r="O28" s="207"/>
      <c r="P28" s="207"/>
      <c r="Q28" s="187"/>
      <c r="R28" s="54"/>
      <c r="S28" s="54"/>
      <c r="T28" s="54"/>
    </row>
    <row r="29" ht="15.75" customHeight="1">
      <c r="A29" s="236"/>
      <c r="B29" s="237"/>
      <c r="C29" s="237"/>
      <c r="D29" s="238"/>
      <c r="E29" s="101"/>
      <c r="F29" s="239"/>
      <c r="G29" s="240"/>
      <c r="H29" s="63" t="s">
        <v>197</v>
      </c>
      <c r="I29" s="241"/>
      <c r="J29" s="228"/>
      <c r="K29" s="242"/>
      <c r="L29" s="243"/>
      <c r="M29" s="243"/>
      <c r="N29" s="243"/>
      <c r="O29" s="243"/>
      <c r="P29" s="243"/>
      <c r="Q29" s="231"/>
      <c r="R29" s="54"/>
      <c r="S29" s="54"/>
      <c r="T29" s="54"/>
    </row>
    <row r="30" ht="15.75" customHeight="1">
      <c r="A30" s="158" t="s">
        <v>198</v>
      </c>
      <c r="B30" s="244" t="s">
        <v>199</v>
      </c>
      <c r="C30" s="245">
        <v>0.8333333333333334</v>
      </c>
      <c r="D30" s="246" t="s">
        <v>139</v>
      </c>
      <c r="E30" s="61"/>
      <c r="F30" s="247"/>
      <c r="G30" s="247"/>
      <c r="H30" s="63" t="s">
        <v>200</v>
      </c>
      <c r="I30" s="248"/>
      <c r="J30" s="1"/>
      <c r="K30" s="211"/>
      <c r="L30" s="242"/>
      <c r="M30" s="242"/>
      <c r="N30" s="242"/>
      <c r="O30" s="242"/>
      <c r="P30" s="242"/>
      <c r="Q30" s="187"/>
      <c r="R30" s="54"/>
      <c r="S30" s="54"/>
      <c r="T30" s="54"/>
    </row>
    <row r="31" ht="15.75" customHeight="1">
      <c r="A31" s="249"/>
      <c r="B31" s="250"/>
      <c r="C31" s="250"/>
      <c r="D31" s="161"/>
      <c r="E31" s="61"/>
      <c r="F31" s="162"/>
      <c r="G31" s="162"/>
      <c r="H31" s="63" t="s">
        <v>201</v>
      </c>
      <c r="I31" s="251"/>
      <c r="J31" s="228"/>
      <c r="K31" s="243"/>
      <c r="L31" s="243"/>
      <c r="M31" s="243"/>
      <c r="N31" s="243"/>
      <c r="O31" s="243"/>
      <c r="P31" s="243"/>
      <c r="Q31" s="231"/>
      <c r="R31" s="54"/>
      <c r="S31" s="54"/>
      <c r="T31" s="54"/>
    </row>
    <row r="32" ht="15.75" customHeight="1">
      <c r="A32" s="166" t="s">
        <v>202</v>
      </c>
      <c r="B32" s="252" t="s">
        <v>203</v>
      </c>
      <c r="C32" s="253">
        <v>0.7916666666666666</v>
      </c>
      <c r="D32" s="254" t="s">
        <v>139</v>
      </c>
      <c r="E32" s="61"/>
      <c r="F32" s="255"/>
      <c r="G32" s="255"/>
      <c r="H32" s="63" t="s">
        <v>204</v>
      </c>
      <c r="I32" s="248"/>
      <c r="J32" s="1"/>
      <c r="K32" s="242"/>
      <c r="L32" s="242"/>
      <c r="M32" s="242"/>
      <c r="N32" s="242"/>
      <c r="O32" s="242"/>
      <c r="P32" s="242"/>
      <c r="Q32" s="187"/>
      <c r="R32" s="54"/>
      <c r="S32" s="54"/>
      <c r="T32" s="54"/>
    </row>
    <row r="33" ht="15.75" customHeight="1">
      <c r="A33" s="256"/>
      <c r="B33" s="257"/>
      <c r="C33" s="258"/>
      <c r="D33" s="258"/>
      <c r="E33" s="61"/>
      <c r="F33" s="255"/>
      <c r="G33" s="255"/>
      <c r="H33" s="63" t="s">
        <v>205</v>
      </c>
      <c r="I33" s="248"/>
      <c r="J33" s="1"/>
      <c r="K33" s="259"/>
      <c r="L33" s="242"/>
      <c r="M33" s="242"/>
      <c r="N33" s="242"/>
      <c r="O33" s="242"/>
      <c r="P33" s="242"/>
      <c r="Q33" s="187"/>
      <c r="R33" s="54"/>
      <c r="S33" s="54"/>
      <c r="T33" s="54"/>
    </row>
    <row r="34" ht="15.75" customHeight="1">
      <c r="A34" s="173" t="s">
        <v>206</v>
      </c>
      <c r="B34" s="174" t="s">
        <v>103</v>
      </c>
      <c r="C34" s="174" t="s">
        <v>104</v>
      </c>
      <c r="D34" s="175"/>
      <c r="E34" s="61"/>
      <c r="F34" s="176" t="s">
        <v>106</v>
      </c>
      <c r="G34" s="177"/>
      <c r="H34" s="63" t="s">
        <v>207</v>
      </c>
      <c r="I34" s="260"/>
      <c r="J34" s="1"/>
      <c r="K34" s="261"/>
      <c r="L34" s="211"/>
      <c r="M34" s="211"/>
      <c r="N34" s="211"/>
      <c r="O34" s="211"/>
      <c r="P34" s="211"/>
      <c r="Q34" s="187"/>
      <c r="R34" s="54"/>
      <c r="S34" s="54"/>
      <c r="T34" s="54"/>
    </row>
    <row r="35" ht="15.75" customHeight="1">
      <c r="A35" s="181" t="s">
        <v>208</v>
      </c>
      <c r="B35" s="182" t="s">
        <v>209</v>
      </c>
      <c r="C35" s="262">
        <v>0.8333333333333334</v>
      </c>
      <c r="D35" s="184" t="s">
        <v>115</v>
      </c>
      <c r="E35" s="61"/>
      <c r="F35" s="263"/>
      <c r="G35" s="264"/>
      <c r="H35" s="63"/>
      <c r="I35" s="260"/>
      <c r="J35" s="1"/>
      <c r="K35" s="261"/>
      <c r="L35" s="211"/>
      <c r="M35" s="211"/>
      <c r="N35" s="211"/>
      <c r="O35" s="211"/>
      <c r="P35" s="211"/>
      <c r="Q35" s="187"/>
      <c r="R35" s="54"/>
      <c r="S35" s="54"/>
      <c r="T35" s="54"/>
    </row>
    <row r="36" ht="15.75" customHeight="1">
      <c r="A36" s="181"/>
      <c r="B36" s="265" t="s">
        <v>210</v>
      </c>
      <c r="C36" s="266">
        <v>0.8541666666666666</v>
      </c>
      <c r="D36" s="267" t="s">
        <v>115</v>
      </c>
      <c r="E36" s="61"/>
      <c r="F36" s="263"/>
      <c r="G36" s="264"/>
      <c r="H36" s="63" t="s">
        <v>211</v>
      </c>
      <c r="I36" s="260"/>
      <c r="J36" s="1"/>
      <c r="K36" s="261"/>
      <c r="L36" s="211"/>
      <c r="M36" s="211"/>
      <c r="N36" s="211"/>
      <c r="O36" s="211"/>
      <c r="P36" s="211"/>
      <c r="Q36" s="187"/>
      <c r="R36" s="54"/>
      <c r="S36" s="54"/>
      <c r="T36" s="54"/>
    </row>
    <row r="37" ht="15.75" customHeight="1">
      <c r="A37" s="188"/>
      <c r="B37" s="265" t="s">
        <v>212</v>
      </c>
      <c r="C37" s="266">
        <v>0.875</v>
      </c>
      <c r="D37" s="267" t="s">
        <v>127</v>
      </c>
      <c r="E37" s="61"/>
      <c r="F37" s="185"/>
      <c r="G37" s="186"/>
      <c r="H37" s="63" t="s">
        <v>213</v>
      </c>
      <c r="I37" s="248"/>
      <c r="J37" s="54"/>
      <c r="K37" s="261"/>
      <c r="L37" s="211"/>
      <c r="M37" s="211"/>
      <c r="N37" s="211"/>
      <c r="O37" s="211"/>
      <c r="P37" s="211"/>
      <c r="Q37" s="187"/>
      <c r="R37" s="54"/>
      <c r="S37" s="54"/>
      <c r="T37" s="54"/>
    </row>
    <row r="38" ht="15.75" customHeight="1">
      <c r="A38" s="57" t="s">
        <v>214</v>
      </c>
      <c r="B38" s="268" t="s">
        <v>215</v>
      </c>
      <c r="C38" s="269">
        <v>0.8333333333333334</v>
      </c>
      <c r="D38" s="270" t="s">
        <v>151</v>
      </c>
      <c r="E38" s="61"/>
      <c r="F38" s="199" t="s">
        <v>216</v>
      </c>
      <c r="G38" s="199" t="s">
        <v>151</v>
      </c>
      <c r="H38" s="63" t="s">
        <v>217</v>
      </c>
      <c r="I38" s="248"/>
      <c r="J38" s="54"/>
      <c r="K38" s="271"/>
      <c r="L38" s="272"/>
      <c r="M38" s="211"/>
      <c r="N38" s="211"/>
      <c r="O38" s="211"/>
      <c r="P38" s="211"/>
      <c r="Q38" s="187"/>
      <c r="R38" s="54"/>
      <c r="S38" s="54"/>
      <c r="T38" s="54"/>
    </row>
    <row r="39" ht="15.75" customHeight="1">
      <c r="A39" s="75"/>
      <c r="B39" s="270" t="s">
        <v>218</v>
      </c>
      <c r="C39" s="273">
        <v>0.7916666666666666</v>
      </c>
      <c r="D39" s="270" t="s">
        <v>151</v>
      </c>
      <c r="E39" s="61"/>
      <c r="F39" s="274" t="s">
        <v>219</v>
      </c>
      <c r="G39" s="274" t="s">
        <v>151</v>
      </c>
      <c r="H39" s="63" t="s">
        <v>220</v>
      </c>
      <c r="I39" s="248"/>
      <c r="J39" s="54"/>
      <c r="K39" s="271"/>
      <c r="L39" s="272"/>
      <c r="M39" s="211"/>
      <c r="N39" s="211"/>
      <c r="O39" s="211"/>
      <c r="P39" s="211"/>
      <c r="Q39" s="187"/>
      <c r="R39" s="54"/>
      <c r="S39" s="54"/>
      <c r="T39" s="54"/>
    </row>
    <row r="40" ht="15.75" customHeight="1">
      <c r="A40" s="275"/>
      <c r="B40" s="275"/>
      <c r="C40" s="275"/>
      <c r="D40" s="275"/>
      <c r="E40" s="1"/>
      <c r="F40" s="274" t="s">
        <v>221</v>
      </c>
      <c r="G40" s="274" t="s">
        <v>151</v>
      </c>
      <c r="H40" s="63" t="s">
        <v>222</v>
      </c>
      <c r="I40" s="248"/>
      <c r="J40" s="54"/>
      <c r="K40" s="271"/>
      <c r="L40" s="272"/>
      <c r="M40" s="211"/>
      <c r="N40" s="211"/>
      <c r="O40" s="211"/>
      <c r="P40" s="211"/>
      <c r="Q40" s="187"/>
      <c r="R40" s="54"/>
      <c r="S40" s="54"/>
      <c r="T40" s="54"/>
    </row>
    <row r="41" ht="15.75" customHeight="1">
      <c r="A41" s="83" t="s">
        <v>223</v>
      </c>
      <c r="B41" s="276"/>
      <c r="C41" s="277"/>
      <c r="D41" s="278"/>
      <c r="E41" s="61"/>
      <c r="F41" s="279"/>
      <c r="G41" s="279"/>
      <c r="H41" s="63" t="s">
        <v>224</v>
      </c>
      <c r="I41" s="248"/>
      <c r="J41" s="54"/>
      <c r="K41" s="271"/>
      <c r="L41" s="272"/>
      <c r="M41" s="211"/>
      <c r="N41" s="211"/>
      <c r="O41" s="211"/>
      <c r="P41" s="211"/>
      <c r="Q41" s="187"/>
      <c r="R41" s="54"/>
      <c r="S41" s="54"/>
      <c r="T41" s="54"/>
    </row>
    <row r="42" ht="15.75" customHeight="1">
      <c r="A42" s="97"/>
      <c r="B42" s="215"/>
      <c r="C42" s="215"/>
      <c r="D42" s="216"/>
      <c r="E42" s="101"/>
      <c r="F42" s="102"/>
      <c r="G42" s="103"/>
      <c r="H42" s="63" t="s">
        <v>225</v>
      </c>
      <c r="I42" s="260"/>
      <c r="J42" s="54"/>
      <c r="K42" s="271"/>
      <c r="L42" s="272"/>
      <c r="M42" s="211"/>
      <c r="N42" s="211"/>
      <c r="O42" s="211"/>
      <c r="P42" s="211"/>
      <c r="Q42" s="187"/>
      <c r="R42" s="54"/>
      <c r="S42" s="54"/>
      <c r="T42" s="54"/>
    </row>
    <row r="43" ht="15.75" customHeight="1">
      <c r="A43" s="114" t="s">
        <v>226</v>
      </c>
      <c r="B43" s="217" t="s">
        <v>227</v>
      </c>
      <c r="C43" s="116">
        <v>0.875</v>
      </c>
      <c r="D43" s="117" t="s">
        <v>127</v>
      </c>
      <c r="E43" s="235"/>
      <c r="F43" s="280" t="s">
        <v>228</v>
      </c>
      <c r="G43" s="280" t="s">
        <v>151</v>
      </c>
      <c r="H43" s="63" t="s">
        <v>229</v>
      </c>
      <c r="I43" s="260"/>
      <c r="J43" s="54"/>
      <c r="K43" s="271"/>
      <c r="L43" s="272"/>
      <c r="M43" s="211"/>
      <c r="N43" s="211"/>
      <c r="O43" s="211"/>
      <c r="P43" s="211"/>
      <c r="Q43" s="187"/>
      <c r="R43" s="54"/>
      <c r="S43" s="54"/>
      <c r="T43" s="54"/>
    </row>
    <row r="44" ht="15.75" customHeight="1">
      <c r="A44" s="129"/>
      <c r="B44" s="217" t="s">
        <v>230</v>
      </c>
      <c r="C44" s="116">
        <v>0.9166666666666666</v>
      </c>
      <c r="D44" s="117" t="s">
        <v>151</v>
      </c>
      <c r="E44" s="235"/>
      <c r="F44" s="280" t="s">
        <v>231</v>
      </c>
      <c r="G44" s="280" t="s">
        <v>151</v>
      </c>
      <c r="H44" s="63" t="s">
        <v>232</v>
      </c>
      <c r="I44" s="281"/>
      <c r="J44" s="227"/>
      <c r="K44" s="282"/>
      <c r="L44" s="283"/>
      <c r="M44" s="229"/>
      <c r="N44" s="229"/>
      <c r="O44" s="229"/>
      <c r="P44" s="229"/>
      <c r="Q44" s="231"/>
      <c r="R44" s="54"/>
      <c r="S44" s="54"/>
      <c r="T44" s="54"/>
    </row>
    <row r="45" ht="15.75" customHeight="1">
      <c r="A45" s="129"/>
      <c r="B45" s="217"/>
      <c r="C45" s="116"/>
      <c r="D45" s="117"/>
      <c r="E45" s="235"/>
      <c r="F45" s="280" t="s">
        <v>233</v>
      </c>
      <c r="G45" s="280" t="s">
        <v>151</v>
      </c>
      <c r="H45" s="63" t="s">
        <v>234</v>
      </c>
      <c r="I45" s="260"/>
      <c r="J45" s="54"/>
      <c r="K45" s="271"/>
      <c r="L45" s="272"/>
      <c r="M45" s="211"/>
      <c r="N45" s="211"/>
      <c r="O45" s="211"/>
      <c r="P45" s="211"/>
      <c r="Q45" s="187"/>
      <c r="R45" s="54"/>
      <c r="S45" s="54"/>
      <c r="T45" s="54"/>
    </row>
    <row r="46" ht="15.75" customHeight="1">
      <c r="A46" s="141" t="s">
        <v>235</v>
      </c>
      <c r="B46" s="284" t="s">
        <v>236</v>
      </c>
      <c r="C46" s="285">
        <v>0.8333333333333334</v>
      </c>
      <c r="D46" s="286" t="s">
        <v>127</v>
      </c>
      <c r="E46" s="61"/>
      <c r="F46" s="287"/>
      <c r="G46" s="287"/>
      <c r="H46" s="63" t="s">
        <v>237</v>
      </c>
      <c r="I46" s="248"/>
      <c r="J46" s="54"/>
      <c r="K46" s="272"/>
      <c r="L46" s="272"/>
      <c r="M46" s="211"/>
      <c r="N46" s="211"/>
      <c r="O46" s="211"/>
      <c r="P46" s="211"/>
      <c r="Q46" s="187"/>
      <c r="R46" s="54"/>
      <c r="S46" s="54"/>
      <c r="T46" s="54"/>
    </row>
    <row r="47" ht="15.75" customHeight="1">
      <c r="A47" s="288"/>
      <c r="B47" s="289" t="s">
        <v>238</v>
      </c>
      <c r="C47" s="290">
        <v>0.8541666666666666</v>
      </c>
      <c r="D47" s="291" t="s">
        <v>127</v>
      </c>
      <c r="E47" s="61"/>
      <c r="F47" s="287"/>
      <c r="G47" s="287"/>
      <c r="H47" s="63"/>
      <c r="I47" s="248"/>
      <c r="J47" s="54"/>
      <c r="K47" s="272"/>
      <c r="L47" s="272"/>
      <c r="M47" s="211"/>
      <c r="N47" s="211"/>
      <c r="O47" s="211"/>
      <c r="P47" s="211"/>
      <c r="Q47" s="187"/>
      <c r="R47" s="54"/>
      <c r="S47" s="54"/>
      <c r="T47" s="54"/>
    </row>
    <row r="48" ht="15.75" customHeight="1">
      <c r="A48" s="158" t="s">
        <v>239</v>
      </c>
      <c r="B48" s="292"/>
      <c r="C48" s="293"/>
      <c r="D48" s="161"/>
      <c r="E48" s="61"/>
      <c r="F48" s="294"/>
      <c r="G48" s="294"/>
      <c r="H48" s="63" t="s">
        <v>240</v>
      </c>
      <c r="I48" s="248"/>
      <c r="J48" s="54"/>
      <c r="K48" s="272"/>
      <c r="L48" s="272"/>
      <c r="M48" s="211"/>
      <c r="N48" s="211"/>
      <c r="O48" s="211"/>
      <c r="P48" s="211"/>
      <c r="Q48" s="187"/>
      <c r="R48" s="54"/>
      <c r="S48" s="54"/>
      <c r="T48" s="54"/>
    </row>
    <row r="49" ht="15.75" customHeight="1">
      <c r="A49" s="158"/>
      <c r="B49" s="295" t="s">
        <v>241</v>
      </c>
      <c r="C49" s="296">
        <v>0.875</v>
      </c>
      <c r="D49" s="246" t="s">
        <v>151</v>
      </c>
      <c r="E49" s="61"/>
      <c r="F49" s="294"/>
      <c r="G49" s="294"/>
      <c r="H49" s="63" t="s">
        <v>242</v>
      </c>
      <c r="I49" s="248"/>
      <c r="J49" s="54"/>
      <c r="K49" s="272"/>
      <c r="L49" s="272"/>
      <c r="M49" s="211"/>
      <c r="N49" s="211"/>
      <c r="O49" s="211"/>
      <c r="P49" s="211"/>
      <c r="Q49" s="187"/>
      <c r="R49" s="54"/>
      <c r="S49" s="54"/>
      <c r="T49" s="54"/>
    </row>
    <row r="50" ht="15.75" customHeight="1">
      <c r="A50" s="166" t="s">
        <v>243</v>
      </c>
      <c r="B50" s="297" t="s">
        <v>244</v>
      </c>
      <c r="C50" s="298">
        <v>0.7916666666666666</v>
      </c>
      <c r="D50" s="257" t="s">
        <v>151</v>
      </c>
      <c r="E50" s="61"/>
      <c r="F50" s="299"/>
      <c r="G50" s="299"/>
      <c r="H50" s="63" t="s">
        <v>245</v>
      </c>
      <c r="I50" s="260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ht="15.75" customHeight="1">
      <c r="A51" s="256"/>
      <c r="B51" s="252" t="s">
        <v>246</v>
      </c>
      <c r="C51" s="253">
        <v>0.8541666666666666</v>
      </c>
      <c r="D51" s="254" t="s">
        <v>139</v>
      </c>
      <c r="E51" s="61"/>
      <c r="F51" s="299"/>
      <c r="G51" s="299"/>
      <c r="H51" s="63" t="s">
        <v>247</v>
      </c>
      <c r="I51" s="260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ht="15.75" customHeight="1">
      <c r="A52" s="256"/>
      <c r="B52" s="252" t="s">
        <v>248</v>
      </c>
      <c r="C52" s="300">
        <v>0.8958333333333334</v>
      </c>
      <c r="D52" s="257" t="s">
        <v>151</v>
      </c>
      <c r="E52" s="61"/>
      <c r="F52" s="299"/>
      <c r="G52" s="299"/>
      <c r="H52" s="63"/>
      <c r="I52" s="260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ht="15.75" customHeight="1">
      <c r="A53" s="173" t="s">
        <v>249</v>
      </c>
      <c r="B53" s="174" t="s">
        <v>103</v>
      </c>
      <c r="C53" s="174" t="s">
        <v>104</v>
      </c>
      <c r="D53" s="175"/>
      <c r="E53" s="61"/>
      <c r="F53" s="176" t="s">
        <v>106</v>
      </c>
      <c r="G53" s="177"/>
      <c r="H53" s="63" t="s">
        <v>250</v>
      </c>
      <c r="I53" s="260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ht="15.75" customHeight="1">
      <c r="A54" s="181" t="s">
        <v>251</v>
      </c>
      <c r="B54" s="265" t="s">
        <v>252</v>
      </c>
      <c r="C54" s="266">
        <v>0.8333333333333334</v>
      </c>
      <c r="D54" s="267" t="s">
        <v>127</v>
      </c>
      <c r="E54" s="61"/>
      <c r="F54" s="301" t="s">
        <v>253</v>
      </c>
      <c r="G54" s="301" t="s">
        <v>151</v>
      </c>
      <c r="H54" s="63" t="s">
        <v>254</v>
      </c>
      <c r="I54" s="260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ht="15.75" customHeight="1">
      <c r="A55" s="188"/>
      <c r="B55" s="302"/>
      <c r="C55" s="303"/>
      <c r="D55" s="303"/>
      <c r="E55" s="61"/>
      <c r="F55" s="304"/>
      <c r="G55" s="304"/>
      <c r="H55" s="63" t="s">
        <v>255</v>
      </c>
      <c r="I55" s="260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ht="15.75" customHeight="1">
      <c r="A56" s="188"/>
      <c r="B56" s="189"/>
      <c r="C56" s="189"/>
      <c r="D56" s="190"/>
      <c r="E56" s="61"/>
      <c r="F56" s="304"/>
      <c r="G56" s="304"/>
      <c r="H56" s="63" t="s">
        <v>256</v>
      </c>
      <c r="I56" s="260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ht="15.75" customHeight="1">
      <c r="A57" s="57" t="s">
        <v>257</v>
      </c>
      <c r="B57" s="305" t="s">
        <v>258</v>
      </c>
      <c r="C57" s="306">
        <v>0.875</v>
      </c>
      <c r="D57" s="307" t="s">
        <v>151</v>
      </c>
      <c r="E57" s="61"/>
      <c r="F57" s="274" t="s">
        <v>259</v>
      </c>
      <c r="G57" s="274" t="s">
        <v>151</v>
      </c>
      <c r="H57" s="63" t="s">
        <v>260</v>
      </c>
      <c r="I57" s="260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ht="15.75" customHeight="1">
      <c r="A58" s="75"/>
      <c r="B58" s="307" t="s">
        <v>261</v>
      </c>
      <c r="C58" s="308">
        <v>0.8333333333333334</v>
      </c>
      <c r="D58" s="309" t="s">
        <v>127</v>
      </c>
      <c r="E58" s="61"/>
      <c r="F58" s="62"/>
      <c r="G58" s="62"/>
      <c r="H58" s="63"/>
      <c r="I58" s="260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ht="15.75" customHeight="1">
      <c r="A59" s="75"/>
      <c r="B59" s="58" t="s">
        <v>262</v>
      </c>
      <c r="C59" s="59">
        <v>0.8125</v>
      </c>
      <c r="D59" s="60" t="s">
        <v>127</v>
      </c>
      <c r="E59" s="61"/>
      <c r="F59" s="62"/>
      <c r="G59" s="62"/>
      <c r="H59" s="63" t="s">
        <v>263</v>
      </c>
      <c r="I59" s="260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ht="15.75" customHeight="1">
      <c r="A60" s="275"/>
      <c r="B60" s="310"/>
      <c r="C60" s="311"/>
      <c r="D60" s="309"/>
      <c r="E60" s="61"/>
      <c r="F60" s="62"/>
      <c r="G60" s="62"/>
      <c r="H60" s="63" t="s">
        <v>264</v>
      </c>
      <c r="I60" s="260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ht="15.75" customHeight="1">
      <c r="A61" s="83" t="s">
        <v>265</v>
      </c>
      <c r="B61" s="312" t="s">
        <v>266</v>
      </c>
      <c r="C61" s="313">
        <v>0.875</v>
      </c>
      <c r="D61" s="86" t="s">
        <v>151</v>
      </c>
      <c r="E61" s="61"/>
      <c r="F61" s="103"/>
      <c r="G61" s="103"/>
      <c r="H61" s="63" t="s">
        <v>267</v>
      </c>
      <c r="I61" s="260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ht="15.75" customHeight="1">
      <c r="A62" s="97"/>
      <c r="B62" s="314"/>
      <c r="C62" s="86"/>
      <c r="D62" s="86"/>
      <c r="E62" s="61"/>
      <c r="F62" s="103"/>
      <c r="G62" s="103"/>
      <c r="H62" s="63" t="s">
        <v>268</v>
      </c>
      <c r="I62" s="260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ht="15.75" customHeight="1">
      <c r="A63" s="114" t="s">
        <v>269</v>
      </c>
      <c r="B63" s="115" t="s">
        <v>270</v>
      </c>
      <c r="C63" s="315">
        <v>0.875</v>
      </c>
      <c r="D63" s="132" t="s">
        <v>127</v>
      </c>
      <c r="E63" s="61"/>
      <c r="F63" s="316" t="s">
        <v>271</v>
      </c>
      <c r="G63" s="118" t="s">
        <v>127</v>
      </c>
      <c r="H63" s="63" t="s">
        <v>272</v>
      </c>
      <c r="I63" s="260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ht="15.75" customHeight="1">
      <c r="A64" s="317"/>
      <c r="B64" s="318" t="s">
        <v>273</v>
      </c>
      <c r="C64" s="319">
        <v>0.875</v>
      </c>
      <c r="D64" s="320" t="s">
        <v>151</v>
      </c>
      <c r="E64" s="321"/>
      <c r="F64" s="322"/>
      <c r="G64" s="323"/>
      <c r="H64" s="63" t="s">
        <v>274</v>
      </c>
      <c r="I64" s="281"/>
      <c r="J64" s="227"/>
      <c r="K64" s="227"/>
      <c r="L64" s="227"/>
      <c r="M64" s="227"/>
      <c r="N64" s="227"/>
      <c r="O64" s="227"/>
      <c r="P64" s="227"/>
      <c r="Q64" s="227"/>
      <c r="R64" s="54"/>
      <c r="S64" s="54"/>
      <c r="T64" s="54"/>
    </row>
    <row r="65" ht="15.75" customHeight="1">
      <c r="A65" s="129"/>
      <c r="B65" s="318" t="s">
        <v>275</v>
      </c>
      <c r="C65" s="319">
        <v>0.9166666666666666</v>
      </c>
      <c r="D65" s="221" t="s">
        <v>127</v>
      </c>
      <c r="E65" s="324"/>
      <c r="F65" s="226"/>
      <c r="G65" s="118"/>
      <c r="H65" s="63" t="s">
        <v>276</v>
      </c>
      <c r="I65" s="260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ht="15.75" customHeight="1">
      <c r="A66" s="141" t="s">
        <v>277</v>
      </c>
      <c r="B66" s="284" t="s">
        <v>278</v>
      </c>
      <c r="C66" s="325">
        <v>0.8333333333333334</v>
      </c>
      <c r="D66" s="326" t="s">
        <v>151</v>
      </c>
      <c r="E66" s="61"/>
      <c r="F66" s="146" t="s">
        <v>279</v>
      </c>
      <c r="G66" s="146" t="s">
        <v>127</v>
      </c>
      <c r="H66" s="63"/>
      <c r="I66" s="260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  <row r="67" ht="15.75" customHeight="1">
      <c r="A67" s="236"/>
      <c r="B67" s="327" t="s">
        <v>280</v>
      </c>
      <c r="C67" s="328">
        <v>0.8541666666666666</v>
      </c>
      <c r="D67" s="326" t="s">
        <v>151</v>
      </c>
      <c r="E67" s="61"/>
      <c r="F67" s="240"/>
      <c r="G67" s="240"/>
      <c r="H67" s="63" t="s">
        <v>281</v>
      </c>
      <c r="I67" s="260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</row>
    <row r="68" ht="15.75" customHeight="1">
      <c r="A68" s="329"/>
      <c r="B68" s="327" t="s">
        <v>282</v>
      </c>
      <c r="C68" s="328">
        <v>0.875</v>
      </c>
      <c r="D68" s="326" t="s">
        <v>151</v>
      </c>
      <c r="E68" s="61"/>
      <c r="F68" s="240"/>
      <c r="G68" s="240"/>
      <c r="H68" s="63"/>
      <c r="I68" s="260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</row>
    <row r="69" ht="15.75" customHeight="1">
      <c r="A69" s="158" t="s">
        <v>283</v>
      </c>
      <c r="B69" s="295" t="s">
        <v>284</v>
      </c>
      <c r="C69" s="330">
        <v>0.8333333333333334</v>
      </c>
      <c r="D69" s="331" t="s">
        <v>151</v>
      </c>
      <c r="E69" s="61"/>
      <c r="F69" s="332" t="s">
        <v>285</v>
      </c>
      <c r="G69" s="294" t="s">
        <v>151</v>
      </c>
      <c r="H69" s="63" t="s">
        <v>286</v>
      </c>
      <c r="I69" s="260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</row>
    <row r="70" ht="15.75" customHeight="1">
      <c r="A70" s="158"/>
      <c r="B70" s="295" t="s">
        <v>287</v>
      </c>
      <c r="C70" s="296">
        <v>0.8958333333333334</v>
      </c>
      <c r="D70" s="333" t="s">
        <v>139</v>
      </c>
      <c r="E70" s="61"/>
      <c r="F70" s="334"/>
      <c r="G70" s="334"/>
      <c r="H70" s="63" t="s">
        <v>288</v>
      </c>
      <c r="I70" s="260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</row>
    <row r="71" ht="15.75" customHeight="1">
      <c r="A71" s="158"/>
      <c r="B71" s="295" t="s">
        <v>289</v>
      </c>
      <c r="C71" s="296">
        <v>0.9166666666666666</v>
      </c>
      <c r="D71" s="335" t="s">
        <v>127</v>
      </c>
      <c r="E71" s="61"/>
      <c r="F71" s="334"/>
      <c r="G71" s="334"/>
      <c r="H71" s="63"/>
      <c r="I71" s="260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</row>
    <row r="72" ht="15.75" customHeight="1">
      <c r="A72" s="158"/>
      <c r="B72" s="292"/>
      <c r="C72" s="293"/>
      <c r="D72" s="335"/>
      <c r="E72" s="61"/>
      <c r="F72" s="334"/>
      <c r="G72" s="334"/>
      <c r="H72" s="63"/>
      <c r="I72" s="260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</row>
    <row r="73" ht="15.75" customHeight="1">
      <c r="A73" s="166" t="s">
        <v>290</v>
      </c>
      <c r="B73" s="336" t="s">
        <v>291</v>
      </c>
      <c r="C73" s="337">
        <v>0.875</v>
      </c>
      <c r="D73" s="338" t="s">
        <v>151</v>
      </c>
      <c r="E73" s="61"/>
      <c r="F73" s="255"/>
      <c r="G73" s="255"/>
      <c r="H73" s="63" t="s">
        <v>292</v>
      </c>
      <c r="I73" s="260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</row>
    <row r="74" ht="15.75" customHeight="1">
      <c r="A74" s="256"/>
      <c r="B74" s="339" t="s">
        <v>293</v>
      </c>
      <c r="C74" s="340">
        <v>0.8333333333333334</v>
      </c>
      <c r="D74" s="341" t="s">
        <v>151</v>
      </c>
      <c r="E74" s="61"/>
      <c r="F74" s="255"/>
      <c r="G74" s="255"/>
      <c r="H74" s="63"/>
      <c r="I74" s="260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</row>
    <row r="75" ht="15.75" customHeight="1">
      <c r="A75" s="256"/>
      <c r="B75" s="342" t="s">
        <v>294</v>
      </c>
      <c r="C75" s="343">
        <v>0.8125</v>
      </c>
      <c r="D75" s="341" t="s">
        <v>151</v>
      </c>
      <c r="E75" s="61"/>
      <c r="F75" s="255"/>
      <c r="G75" s="255"/>
      <c r="H75" s="63"/>
      <c r="I75" s="260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</row>
    <row r="76" ht="15.75" customHeight="1">
      <c r="A76" s="173" t="s">
        <v>295</v>
      </c>
      <c r="B76" s="174" t="s">
        <v>103</v>
      </c>
      <c r="C76" s="174" t="s">
        <v>104</v>
      </c>
      <c r="D76" s="175"/>
      <c r="E76" s="61"/>
      <c r="F76" s="176" t="s">
        <v>106</v>
      </c>
      <c r="G76" s="177"/>
      <c r="H76" s="63"/>
      <c r="I76" s="260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</row>
    <row r="77" ht="15.75" customHeight="1">
      <c r="A77" s="181" t="s">
        <v>296</v>
      </c>
      <c r="B77" s="182" t="s">
        <v>297</v>
      </c>
      <c r="C77" s="344">
        <v>0.8333333333333334</v>
      </c>
      <c r="D77" s="345" t="s">
        <v>127</v>
      </c>
      <c r="E77" s="61"/>
      <c r="F77" s="189"/>
      <c r="G77" s="346"/>
      <c r="H77" s="347"/>
      <c r="I77" s="260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</row>
    <row r="78" ht="15.75" customHeight="1">
      <c r="A78" s="188"/>
      <c r="B78" s="348" t="s">
        <v>298</v>
      </c>
      <c r="C78" s="349">
        <v>0.8958333333333334</v>
      </c>
      <c r="D78" s="350" t="s">
        <v>151</v>
      </c>
      <c r="E78" s="1"/>
      <c r="F78" s="191"/>
      <c r="G78" s="191"/>
      <c r="H78" s="228"/>
      <c r="I78" s="228"/>
      <c r="J78" s="227"/>
      <c r="K78" s="227"/>
      <c r="L78" s="227"/>
      <c r="M78" s="227"/>
      <c r="N78" s="227"/>
      <c r="O78" s="227"/>
      <c r="P78" s="227"/>
      <c r="Q78" s="227"/>
      <c r="R78" s="54"/>
      <c r="S78" s="54"/>
      <c r="T78" s="54"/>
    </row>
    <row r="79" ht="15.75" customHeight="1">
      <c r="A79" s="351"/>
      <c r="B79" s="346" t="s">
        <v>299</v>
      </c>
      <c r="C79" s="352">
        <v>0.8333333333333334</v>
      </c>
      <c r="D79" s="353" t="s">
        <v>127</v>
      </c>
      <c r="E79" s="1"/>
      <c r="F79" s="191"/>
      <c r="G79" s="191"/>
      <c r="H79" s="228"/>
      <c r="I79" s="228"/>
      <c r="J79" s="227"/>
      <c r="K79" s="227"/>
      <c r="L79" s="227"/>
      <c r="M79" s="227"/>
      <c r="N79" s="227"/>
      <c r="O79" s="227"/>
      <c r="P79" s="227"/>
      <c r="Q79" s="227"/>
      <c r="R79" s="54"/>
      <c r="S79" s="54"/>
      <c r="T79" s="54"/>
    </row>
    <row r="80" ht="15.75" customHeight="1">
      <c r="A80" s="57" t="s">
        <v>300</v>
      </c>
      <c r="B80" s="354" t="s">
        <v>301</v>
      </c>
      <c r="C80" s="355">
        <v>0.875</v>
      </c>
      <c r="D80" s="210" t="s">
        <v>127</v>
      </c>
      <c r="E80" s="61"/>
      <c r="F80" s="274" t="s">
        <v>302</v>
      </c>
      <c r="G80" s="274" t="s">
        <v>127</v>
      </c>
      <c r="H80" s="228"/>
      <c r="I80" s="228"/>
      <c r="J80" s="227"/>
      <c r="K80" s="227"/>
      <c r="L80" s="227"/>
      <c r="M80" s="227"/>
      <c r="N80" s="227"/>
      <c r="O80" s="227"/>
      <c r="P80" s="227"/>
      <c r="Q80" s="227"/>
      <c r="R80" s="54"/>
      <c r="S80" s="54"/>
      <c r="T80" s="54"/>
    </row>
    <row r="81" ht="15.75" customHeight="1">
      <c r="A81" s="75"/>
      <c r="B81" s="58" t="s">
        <v>303</v>
      </c>
      <c r="C81" s="356" t="s">
        <v>304</v>
      </c>
      <c r="D81" s="210" t="s">
        <v>127</v>
      </c>
      <c r="E81" s="61"/>
      <c r="F81" s="274" t="s">
        <v>305</v>
      </c>
      <c r="G81" s="62" t="s">
        <v>127</v>
      </c>
      <c r="H81" s="1"/>
      <c r="I81" s="1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</row>
    <row r="82" ht="15.75" customHeight="1">
      <c r="A82" s="275"/>
      <c r="B82" s="357" t="s">
        <v>306</v>
      </c>
      <c r="C82" s="355">
        <v>0.8333333333333334</v>
      </c>
      <c r="D82" s="358" t="s">
        <v>127</v>
      </c>
      <c r="E82" s="195"/>
      <c r="F82" s="62"/>
      <c r="G82" s="62"/>
      <c r="H82" s="1"/>
      <c r="I82" s="1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</row>
    <row r="83" ht="15.75" customHeight="1">
      <c r="A83" s="83" t="s">
        <v>307</v>
      </c>
      <c r="B83" s="359"/>
      <c r="C83" s="360"/>
      <c r="D83" s="361"/>
      <c r="E83" s="195"/>
      <c r="F83" s="103"/>
      <c r="G83" s="103"/>
      <c r="H83" s="228"/>
      <c r="I83" s="228"/>
      <c r="J83" s="227"/>
      <c r="K83" s="227"/>
      <c r="L83" s="227"/>
      <c r="M83" s="227"/>
      <c r="N83" s="227"/>
      <c r="O83" s="227"/>
      <c r="P83" s="227"/>
      <c r="Q83" s="227"/>
      <c r="R83" s="54"/>
      <c r="S83" s="54"/>
      <c r="T83" s="54"/>
    </row>
    <row r="84" ht="15.75" customHeight="1">
      <c r="A84" s="114" t="s">
        <v>308</v>
      </c>
      <c r="B84" s="115" t="s">
        <v>309</v>
      </c>
      <c r="C84" s="362">
        <v>0.9166666666666666</v>
      </c>
      <c r="D84" s="363" t="s">
        <v>127</v>
      </c>
      <c r="E84" s="61"/>
      <c r="F84" s="118"/>
      <c r="G84" s="118"/>
      <c r="H84" s="364"/>
      <c r="I84" s="1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</row>
    <row r="85" ht="15.75" customHeight="1">
      <c r="A85" s="114"/>
      <c r="B85" s="115" t="s">
        <v>310</v>
      </c>
      <c r="C85" s="315">
        <v>0.875</v>
      </c>
      <c r="D85" s="117" t="s">
        <v>151</v>
      </c>
      <c r="E85" s="61"/>
      <c r="F85" s="118"/>
      <c r="G85" s="118"/>
      <c r="H85" s="364"/>
      <c r="I85" s="1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</row>
    <row r="86" ht="15.75" customHeight="1">
      <c r="A86" s="141" t="s">
        <v>311</v>
      </c>
      <c r="B86" s="365" t="s">
        <v>312</v>
      </c>
      <c r="C86" s="366">
        <v>0.9166666666666666</v>
      </c>
      <c r="D86" s="367" t="s">
        <v>127</v>
      </c>
      <c r="E86" s="61"/>
      <c r="F86" s="287"/>
      <c r="G86" s="287"/>
      <c r="H86" s="347"/>
      <c r="I86" s="1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</row>
    <row r="87" ht="15.75" customHeight="1">
      <c r="A87" s="158" t="s">
        <v>313</v>
      </c>
      <c r="B87" s="292"/>
      <c r="C87" s="368"/>
      <c r="D87" s="369"/>
      <c r="E87" s="61"/>
      <c r="F87" s="294"/>
      <c r="G87" s="294"/>
      <c r="H87" s="370"/>
      <c r="I87" s="1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</row>
    <row r="88" ht="15.75" customHeight="1">
      <c r="A88" s="166" t="s">
        <v>314</v>
      </c>
      <c r="B88" s="371"/>
      <c r="C88" s="372"/>
      <c r="D88" s="373"/>
      <c r="E88" s="61"/>
      <c r="F88" s="374" t="s">
        <v>315</v>
      </c>
      <c r="G88" s="255" t="s">
        <v>151</v>
      </c>
      <c r="H88" s="164"/>
      <c r="I88" s="1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</row>
    <row r="89" ht="15.75" customHeight="1">
      <c r="A89" s="166"/>
      <c r="B89" s="375"/>
      <c r="C89" s="376"/>
      <c r="D89" s="373"/>
      <c r="E89" s="61"/>
      <c r="F89" s="374" t="s">
        <v>316</v>
      </c>
      <c r="G89" s="255" t="s">
        <v>151</v>
      </c>
      <c r="H89" s="164"/>
      <c r="I89" s="1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</row>
    <row r="90" ht="15.75" customHeight="1">
      <c r="A90" s="173" t="s">
        <v>317</v>
      </c>
      <c r="B90" s="174" t="s">
        <v>103</v>
      </c>
      <c r="C90" s="377" t="s">
        <v>104</v>
      </c>
      <c r="D90" s="378"/>
      <c r="E90" s="61"/>
      <c r="F90" s="176" t="s">
        <v>106</v>
      </c>
      <c r="G90" s="379"/>
      <c r="H90" s="1"/>
      <c r="I90" s="1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</row>
    <row r="91" ht="15.75" customHeight="1">
      <c r="A91" s="188" t="s">
        <v>318</v>
      </c>
      <c r="B91" s="380" t="s">
        <v>293</v>
      </c>
      <c r="C91" s="352">
        <v>0.8333333333333334</v>
      </c>
      <c r="D91" s="345" t="s">
        <v>151</v>
      </c>
      <c r="E91" s="61"/>
      <c r="F91" s="381" t="s">
        <v>319</v>
      </c>
      <c r="G91" s="301" t="s">
        <v>127</v>
      </c>
      <c r="H91" s="382"/>
      <c r="I91" s="227"/>
      <c r="J91" s="227"/>
      <c r="K91" s="227"/>
      <c r="L91" s="227"/>
      <c r="M91" s="227"/>
      <c r="N91" s="227"/>
      <c r="O91" s="227"/>
      <c r="P91" s="227"/>
      <c r="Q91" s="227"/>
      <c r="R91" s="54"/>
      <c r="S91" s="54"/>
      <c r="T91" s="54"/>
    </row>
    <row r="92" ht="15.75" customHeight="1">
      <c r="A92" s="351"/>
      <c r="B92" s="265" t="s">
        <v>320</v>
      </c>
      <c r="C92" s="349">
        <v>0.8125</v>
      </c>
      <c r="D92" s="345" t="s">
        <v>151</v>
      </c>
      <c r="E92" s="61"/>
      <c r="F92" s="383"/>
      <c r="G92" s="383"/>
      <c r="H92" s="36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</row>
    <row r="93" ht="15.75" customHeight="1">
      <c r="A93" s="57" t="s">
        <v>321</v>
      </c>
      <c r="B93" s="58" t="s">
        <v>322</v>
      </c>
      <c r="C93" s="209">
        <v>0.8125</v>
      </c>
      <c r="D93" s="358" t="s">
        <v>151</v>
      </c>
      <c r="E93" s="61"/>
      <c r="F93" s="384"/>
      <c r="G93" s="384"/>
      <c r="H93" s="36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</row>
    <row r="94" ht="15.75" customHeight="1">
      <c r="A94" s="83" t="s">
        <v>323</v>
      </c>
      <c r="B94" s="312" t="s">
        <v>324</v>
      </c>
      <c r="C94" s="385">
        <v>0.8333333333333334</v>
      </c>
      <c r="D94" s="386" t="s">
        <v>127</v>
      </c>
      <c r="E94" s="61"/>
      <c r="F94" s="103"/>
      <c r="G94" s="103"/>
      <c r="H94" s="36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</row>
    <row r="95" ht="15.75" customHeight="1">
      <c r="A95" s="114" t="s">
        <v>325</v>
      </c>
      <c r="B95" s="387" t="s">
        <v>326</v>
      </c>
      <c r="C95" s="388">
        <v>0.875</v>
      </c>
      <c r="D95" s="389" t="s">
        <v>151</v>
      </c>
      <c r="E95" s="101"/>
      <c r="F95" s="226"/>
      <c r="G95" s="118"/>
      <c r="H95" s="228"/>
      <c r="I95" s="227"/>
      <c r="J95" s="227"/>
      <c r="K95" s="227"/>
      <c r="L95" s="227"/>
      <c r="M95" s="227"/>
      <c r="N95" s="227"/>
      <c r="O95" s="227"/>
      <c r="P95" s="227"/>
      <c r="Q95" s="227"/>
      <c r="R95" s="54"/>
      <c r="S95" s="54"/>
      <c r="T95" s="54"/>
    </row>
    <row r="96" ht="15.75" customHeight="1">
      <c r="A96" s="114"/>
      <c r="B96" s="387" t="s">
        <v>327</v>
      </c>
      <c r="C96" s="388">
        <v>0.8958333333333334</v>
      </c>
      <c r="D96" s="389" t="s">
        <v>151</v>
      </c>
      <c r="E96" s="324"/>
      <c r="F96" s="226"/>
      <c r="G96" s="118"/>
      <c r="H96" s="1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</row>
    <row r="97" ht="15.75" customHeight="1">
      <c r="A97" s="114"/>
      <c r="B97" s="387" t="s">
        <v>328</v>
      </c>
      <c r="C97" s="388">
        <v>0.9166666666666666</v>
      </c>
      <c r="D97" s="389" t="s">
        <v>127</v>
      </c>
      <c r="E97" s="324"/>
      <c r="F97" s="226"/>
      <c r="G97" s="118"/>
      <c r="H97" s="1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</row>
    <row r="98" ht="15.75" customHeight="1">
      <c r="A98" s="141" t="s">
        <v>329</v>
      </c>
      <c r="B98" s="390" t="s">
        <v>330</v>
      </c>
      <c r="C98" s="391">
        <v>0.9166666666666666</v>
      </c>
      <c r="D98" s="392" t="s">
        <v>127</v>
      </c>
      <c r="E98" s="324"/>
      <c r="F98" s="239"/>
      <c r="G98" s="240"/>
      <c r="H98" s="1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</row>
    <row r="99" ht="15.75" customHeight="1">
      <c r="A99" s="141"/>
      <c r="B99" s="390" t="s">
        <v>331</v>
      </c>
      <c r="C99" s="391">
        <v>0.875</v>
      </c>
      <c r="D99" s="392" t="s">
        <v>127</v>
      </c>
      <c r="E99" s="195"/>
      <c r="F99" s="240"/>
      <c r="G99" s="240"/>
      <c r="H99" s="1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</row>
    <row r="100" ht="15.75" customHeight="1">
      <c r="A100" s="141"/>
      <c r="B100" s="393"/>
      <c r="C100" s="394"/>
      <c r="D100" s="395"/>
      <c r="E100" s="195"/>
      <c r="F100" s="240"/>
      <c r="G100" s="240"/>
      <c r="H100" s="1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</row>
    <row r="101" ht="15.75" customHeight="1">
      <c r="A101" s="158" t="s">
        <v>332</v>
      </c>
      <c r="B101" s="295" t="s">
        <v>333</v>
      </c>
      <c r="C101" s="330">
        <v>0.8541666666666666</v>
      </c>
      <c r="D101" s="396" t="s">
        <v>151</v>
      </c>
      <c r="E101" s="61"/>
      <c r="F101" s="332" t="s">
        <v>334</v>
      </c>
      <c r="G101" s="332" t="s">
        <v>127</v>
      </c>
      <c r="H101" s="1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</row>
    <row r="102" ht="15.75" customHeight="1">
      <c r="A102" s="158"/>
      <c r="B102" s="295" t="s">
        <v>335</v>
      </c>
      <c r="C102" s="330">
        <v>0.8333333333333334</v>
      </c>
      <c r="D102" s="396" t="s">
        <v>151</v>
      </c>
      <c r="E102" s="61"/>
      <c r="F102" s="334"/>
      <c r="G102" s="334"/>
      <c r="H102" s="1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</row>
    <row r="103" ht="15.75" customHeight="1">
      <c r="A103" s="158"/>
      <c r="B103" s="292"/>
      <c r="C103" s="368"/>
      <c r="D103" s="396" t="s">
        <v>127</v>
      </c>
      <c r="E103" s="61"/>
      <c r="F103" s="334"/>
      <c r="G103" s="334"/>
      <c r="H103" s="1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</row>
    <row r="104" ht="15.75" customHeight="1">
      <c r="A104" s="166" t="s">
        <v>336</v>
      </c>
      <c r="B104" s="297" t="s">
        <v>337</v>
      </c>
      <c r="C104" s="397">
        <v>0.7916666666666666</v>
      </c>
      <c r="D104" s="373" t="s">
        <v>151</v>
      </c>
      <c r="E104" s="61"/>
      <c r="F104" s="299"/>
      <c r="G104" s="299"/>
      <c r="H104" s="1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</row>
    <row r="105" ht="15.75" customHeight="1">
      <c r="A105" s="173" t="s">
        <v>338</v>
      </c>
      <c r="B105" s="174" t="s">
        <v>103</v>
      </c>
      <c r="C105" s="377" t="s">
        <v>104</v>
      </c>
      <c r="D105" s="378"/>
      <c r="E105" s="61"/>
      <c r="F105" s="176" t="s">
        <v>106</v>
      </c>
      <c r="G105" s="379"/>
      <c r="H105" s="1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</row>
    <row r="106" ht="15.75" customHeight="1">
      <c r="A106" s="188" t="s">
        <v>339</v>
      </c>
      <c r="B106" s="265" t="s">
        <v>340</v>
      </c>
      <c r="C106" s="349">
        <v>0.8541666666666666</v>
      </c>
      <c r="D106" s="345" t="s">
        <v>127</v>
      </c>
      <c r="E106" s="61"/>
      <c r="F106" s="398" t="s">
        <v>341</v>
      </c>
      <c r="G106" s="399" t="s">
        <v>151</v>
      </c>
      <c r="H106" s="1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</row>
    <row r="107" ht="15.75" customHeight="1">
      <c r="A107" s="351"/>
      <c r="B107" s="189"/>
      <c r="C107" s="352"/>
      <c r="D107" s="345"/>
      <c r="E107" s="61"/>
      <c r="F107" s="399" t="s">
        <v>342</v>
      </c>
      <c r="G107" s="399" t="s">
        <v>151</v>
      </c>
      <c r="H107" s="1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</row>
    <row r="108" ht="15.75" customHeight="1">
      <c r="A108" s="57" t="s">
        <v>343</v>
      </c>
      <c r="B108" s="400" t="s">
        <v>344</v>
      </c>
      <c r="C108" s="401">
        <v>0.8125</v>
      </c>
      <c r="D108" s="358" t="s">
        <v>127</v>
      </c>
      <c r="E108" s="61"/>
      <c r="F108" s="274" t="s">
        <v>345</v>
      </c>
      <c r="G108" s="274" t="s">
        <v>127</v>
      </c>
      <c r="H108" s="36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</row>
    <row r="109" ht="15.75" customHeight="1">
      <c r="A109" s="57"/>
      <c r="B109" s="58" t="s">
        <v>346</v>
      </c>
      <c r="C109" s="209">
        <v>0.875</v>
      </c>
      <c r="D109" s="358"/>
      <c r="E109" s="61"/>
      <c r="F109" s="384"/>
      <c r="G109" s="384"/>
      <c r="H109" s="36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</row>
    <row r="110" ht="15.75" customHeight="1">
      <c r="A110" s="83" t="s">
        <v>347</v>
      </c>
      <c r="B110" s="84"/>
      <c r="C110" s="360"/>
      <c r="D110" s="402"/>
      <c r="E110" s="61"/>
      <c r="F110" s="103"/>
      <c r="G110" s="103"/>
      <c r="H110" s="36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</row>
    <row r="111" ht="15.75" customHeight="1">
      <c r="A111" s="114" t="s">
        <v>348</v>
      </c>
      <c r="B111" s="403" t="s">
        <v>334</v>
      </c>
      <c r="C111" s="404">
        <v>0.8333333333333334</v>
      </c>
      <c r="D111" s="405" t="s">
        <v>127</v>
      </c>
      <c r="E111" s="101"/>
      <c r="F111" s="226"/>
      <c r="G111" s="118"/>
      <c r="H111" s="1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</row>
    <row r="112" ht="15.75" customHeight="1">
      <c r="A112" s="114"/>
      <c r="B112" s="406" t="s">
        <v>349</v>
      </c>
      <c r="C112" s="407" t="s">
        <v>350</v>
      </c>
      <c r="D112" s="389" t="s">
        <v>127</v>
      </c>
      <c r="E112" s="324"/>
      <c r="F112" s="226"/>
      <c r="G112" s="118"/>
      <c r="H112" s="1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</row>
    <row r="113" ht="15.75" customHeight="1">
      <c r="A113" s="114"/>
      <c r="B113" s="408" t="s">
        <v>351</v>
      </c>
      <c r="C113" s="404">
        <v>0.875</v>
      </c>
      <c r="D113" s="409" t="s">
        <v>151</v>
      </c>
      <c r="E113" s="324"/>
      <c r="F113" s="226"/>
      <c r="G113" s="118"/>
      <c r="H113" s="1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</row>
    <row r="114" ht="15.75" customHeight="1">
      <c r="A114" s="114"/>
      <c r="B114" s="406" t="s">
        <v>352</v>
      </c>
      <c r="C114" s="410">
        <v>0.8958333333333334</v>
      </c>
      <c r="D114" s="389" t="s">
        <v>151</v>
      </c>
      <c r="E114" s="324"/>
      <c r="F114" s="226"/>
      <c r="G114" s="118"/>
      <c r="H114" s="1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</row>
    <row r="115" ht="15.75" customHeight="1">
      <c r="A115" s="114"/>
      <c r="B115" s="406" t="s">
        <v>353</v>
      </c>
      <c r="C115" s="410">
        <v>0.9166666666666666</v>
      </c>
      <c r="D115" s="411" t="s">
        <v>151</v>
      </c>
      <c r="E115" s="324"/>
      <c r="F115" s="226"/>
      <c r="G115" s="118"/>
      <c r="H115" s="228"/>
      <c r="I115" s="227"/>
      <c r="J115" s="227"/>
      <c r="K115" s="227"/>
      <c r="L115" s="227"/>
      <c r="M115" s="227"/>
      <c r="N115" s="227"/>
      <c r="O115" s="227"/>
      <c r="P115" s="227"/>
      <c r="Q115" s="227"/>
      <c r="R115" s="54"/>
      <c r="S115" s="54"/>
      <c r="T115" s="54"/>
    </row>
    <row r="116" ht="15.75" customHeight="1">
      <c r="A116" s="141" t="s">
        <v>354</v>
      </c>
      <c r="B116" s="390" t="s">
        <v>355</v>
      </c>
      <c r="C116" s="391">
        <v>0.8958333333333334</v>
      </c>
      <c r="D116" s="395" t="s">
        <v>127</v>
      </c>
      <c r="E116" s="324"/>
      <c r="F116" s="239"/>
      <c r="G116" s="240"/>
      <c r="H116" s="1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</row>
    <row r="117" ht="15.75" customHeight="1">
      <c r="A117" s="141"/>
      <c r="B117" s="390" t="s">
        <v>356</v>
      </c>
      <c r="C117" s="391">
        <v>0.9375</v>
      </c>
      <c r="D117" s="395" t="s">
        <v>127</v>
      </c>
      <c r="E117" s="195"/>
      <c r="F117" s="240"/>
      <c r="G117" s="240"/>
      <c r="H117" s="1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</row>
    <row r="118" ht="15.75" customHeight="1">
      <c r="A118" s="158" t="s">
        <v>357</v>
      </c>
      <c r="B118" s="292"/>
      <c r="C118" s="368"/>
      <c r="D118" s="369"/>
      <c r="E118" s="61"/>
      <c r="F118" s="334"/>
      <c r="G118" s="334"/>
      <c r="H118" s="1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</row>
    <row r="119" ht="15.75" customHeight="1">
      <c r="A119" s="166" t="s">
        <v>358</v>
      </c>
      <c r="B119" s="371"/>
      <c r="C119" s="372"/>
      <c r="D119" s="373"/>
      <c r="E119" s="61"/>
      <c r="F119" s="299"/>
      <c r="G119" s="299"/>
      <c r="H119" s="1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</row>
    <row r="120" ht="15.75" customHeight="1">
      <c r="A120" s="173" t="s">
        <v>359</v>
      </c>
      <c r="B120" s="174" t="s">
        <v>103</v>
      </c>
      <c r="C120" s="377" t="s">
        <v>104</v>
      </c>
      <c r="D120" s="378"/>
      <c r="E120" s="61"/>
      <c r="F120" s="176" t="s">
        <v>106</v>
      </c>
      <c r="G120" s="379"/>
      <c r="H120" s="1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</row>
    <row r="121" ht="15.75" customHeight="1">
      <c r="A121" s="188" t="s">
        <v>360</v>
      </c>
      <c r="B121" s="189"/>
      <c r="C121" s="352"/>
      <c r="D121" s="345"/>
      <c r="E121" s="61"/>
      <c r="F121" s="185"/>
      <c r="G121" s="191"/>
      <c r="H121" s="1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</row>
    <row r="122" ht="15.75" customHeight="1">
      <c r="A122" s="188"/>
      <c r="B122" s="412"/>
      <c r="C122" s="413"/>
      <c r="D122" s="414"/>
      <c r="E122" s="101"/>
      <c r="F122" s="415"/>
      <c r="G122" s="191"/>
      <c r="H122" s="1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</row>
    <row r="123" ht="15.75" customHeight="1">
      <c r="A123" s="57" t="s">
        <v>361</v>
      </c>
      <c r="B123" s="58" t="s">
        <v>362</v>
      </c>
      <c r="C123" s="209">
        <v>0.9166666666666666</v>
      </c>
      <c r="D123" s="210" t="s">
        <v>151</v>
      </c>
      <c r="E123" s="61"/>
      <c r="F123" s="274" t="s">
        <v>363</v>
      </c>
      <c r="G123" s="384" t="s">
        <v>127</v>
      </c>
      <c r="H123" s="1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</row>
    <row r="124" ht="15.75" customHeight="1">
      <c r="A124" s="75"/>
      <c r="B124" s="58" t="s">
        <v>364</v>
      </c>
      <c r="C124" s="209">
        <v>0.8958333333333334</v>
      </c>
      <c r="D124" s="358" t="s">
        <v>151</v>
      </c>
      <c r="E124" s="61"/>
      <c r="F124" s="62"/>
      <c r="G124" s="62"/>
      <c r="H124" s="1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</row>
    <row r="125" ht="15.75" customHeight="1">
      <c r="A125" s="83" t="s">
        <v>365</v>
      </c>
      <c r="B125" s="312" t="s">
        <v>366</v>
      </c>
      <c r="C125" s="385">
        <v>0.8958333333333334</v>
      </c>
      <c r="D125" s="416" t="s">
        <v>127</v>
      </c>
      <c r="E125" s="61"/>
      <c r="F125" s="103"/>
      <c r="G125" s="103"/>
      <c r="H125" s="1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</row>
    <row r="126" ht="15.75" customHeight="1">
      <c r="A126" s="97"/>
      <c r="B126" s="98" t="s">
        <v>367</v>
      </c>
      <c r="C126" s="99">
        <v>0.9375</v>
      </c>
      <c r="D126" s="216" t="s">
        <v>127</v>
      </c>
      <c r="E126" s="101"/>
      <c r="F126" s="102"/>
      <c r="G126" s="103"/>
      <c r="H126" s="1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</row>
    <row r="127" ht="15.75" customHeight="1">
      <c r="A127" s="114" t="s">
        <v>368</v>
      </c>
      <c r="B127" s="417"/>
      <c r="C127" s="418"/>
      <c r="D127" s="419"/>
      <c r="E127" s="101"/>
      <c r="F127" s="420" t="s">
        <v>369</v>
      </c>
      <c r="G127" s="280" t="s">
        <v>151</v>
      </c>
      <c r="H127" s="1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</row>
    <row r="128" ht="15.75" customHeight="1">
      <c r="A128" s="141" t="s">
        <v>370</v>
      </c>
      <c r="B128" s="393"/>
      <c r="C128" s="394"/>
      <c r="D128" s="395"/>
      <c r="E128" s="324"/>
      <c r="F128" s="421" t="s">
        <v>371</v>
      </c>
      <c r="G128" s="146" t="s">
        <v>127</v>
      </c>
      <c r="H128" s="1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</row>
    <row r="129" ht="15.75" customHeight="1">
      <c r="A129" s="141"/>
      <c r="B129" s="393"/>
      <c r="C129" s="422"/>
      <c r="D129" s="395"/>
      <c r="E129" s="195"/>
      <c r="F129" s="423" t="s">
        <v>372</v>
      </c>
      <c r="G129" s="146" t="s">
        <v>151</v>
      </c>
      <c r="H129" s="1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</row>
    <row r="130" ht="15.75" customHeight="1">
      <c r="A130" s="141"/>
      <c r="B130" s="393"/>
      <c r="C130" s="422"/>
      <c r="D130" s="395"/>
      <c r="E130" s="195"/>
      <c r="F130" s="146" t="s">
        <v>373</v>
      </c>
      <c r="G130" s="146" t="s">
        <v>151</v>
      </c>
      <c r="H130" s="1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</row>
    <row r="131" ht="15.75" customHeight="1">
      <c r="A131" s="158" t="s">
        <v>374</v>
      </c>
      <c r="B131" s="295" t="s">
        <v>375</v>
      </c>
      <c r="C131" s="330">
        <v>0.8958333333333334</v>
      </c>
      <c r="D131" s="331" t="s">
        <v>151</v>
      </c>
      <c r="E131" s="61"/>
      <c r="F131" s="334"/>
      <c r="G131" s="334"/>
      <c r="H131" s="1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</row>
    <row r="132" ht="15.75" customHeight="1">
      <c r="A132" s="249"/>
      <c r="B132" s="159" t="s">
        <v>376</v>
      </c>
      <c r="C132" s="424" t="s">
        <v>304</v>
      </c>
      <c r="D132" s="331" t="s">
        <v>127</v>
      </c>
      <c r="E132" s="61"/>
      <c r="F132" s="334"/>
      <c r="G132" s="334"/>
      <c r="H132" s="1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</row>
    <row r="133" ht="15.75" customHeight="1">
      <c r="A133" s="166" t="s">
        <v>377</v>
      </c>
      <c r="B133" s="425" t="s">
        <v>378</v>
      </c>
      <c r="C133" s="372"/>
      <c r="D133" s="373"/>
      <c r="E133" s="61"/>
      <c r="F133" s="299"/>
      <c r="G133" s="299"/>
      <c r="H133" s="1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</row>
    <row r="134" ht="15.75" customHeight="1">
      <c r="A134" s="256"/>
      <c r="B134" s="426"/>
      <c r="C134" s="427"/>
      <c r="D134" s="428"/>
      <c r="E134" s="101"/>
      <c r="F134" s="429"/>
      <c r="G134" s="299"/>
      <c r="H134" s="1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</row>
    <row r="135" ht="15.75" customHeight="1">
      <c r="A135" s="430"/>
      <c r="B135" s="431"/>
      <c r="C135" s="431"/>
      <c r="D135" s="432"/>
      <c r="E135" s="1"/>
      <c r="F135" s="54"/>
      <c r="G135" s="54"/>
      <c r="H135" s="1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</row>
    <row r="136" ht="15.75" customHeight="1">
      <c r="A136" s="430"/>
      <c r="B136" s="431"/>
      <c r="C136" s="431"/>
      <c r="D136" s="432"/>
      <c r="E136" s="1"/>
      <c r="F136" s="54"/>
      <c r="G136" s="54"/>
      <c r="H136" s="1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</row>
    <row r="137" ht="15.75" customHeight="1">
      <c r="A137" s="430"/>
      <c r="B137" s="431"/>
      <c r="C137" s="431"/>
      <c r="D137" s="432"/>
      <c r="E137" s="1"/>
      <c r="F137" s="54"/>
      <c r="G137" s="54"/>
      <c r="H137" s="1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</row>
    <row r="138" ht="15.75" customHeight="1">
      <c r="A138" s="430"/>
      <c r="B138" s="431"/>
      <c r="C138" s="431"/>
      <c r="D138" s="432"/>
      <c r="E138" s="1"/>
      <c r="F138" s="54"/>
      <c r="G138" s="54"/>
      <c r="H138" s="1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</row>
    <row r="139" ht="15.75" customHeight="1">
      <c r="A139" s="430"/>
      <c r="B139" s="431"/>
      <c r="C139" s="431"/>
      <c r="D139" s="432"/>
      <c r="E139" s="1"/>
      <c r="F139" s="54"/>
      <c r="G139" s="54"/>
      <c r="H139" s="1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</row>
    <row r="140" ht="15.75" customHeight="1">
      <c r="A140" s="430"/>
      <c r="B140" s="431"/>
      <c r="C140" s="431"/>
      <c r="D140" s="432"/>
      <c r="E140" s="1"/>
      <c r="F140" s="54"/>
      <c r="G140" s="54"/>
      <c r="H140" s="1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</row>
    <row r="141" ht="15.75" customHeight="1">
      <c r="A141" s="430"/>
      <c r="B141" s="431"/>
      <c r="C141" s="431"/>
      <c r="D141" s="432"/>
      <c r="E141" s="1"/>
      <c r="F141" s="54"/>
      <c r="G141" s="54"/>
      <c r="H141" s="1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</row>
    <row r="142" ht="15.75" customHeight="1">
      <c r="A142" s="430"/>
      <c r="B142" s="431"/>
      <c r="C142" s="431"/>
      <c r="D142" s="432"/>
      <c r="E142" s="1"/>
      <c r="F142" s="54"/>
      <c r="G142" s="54"/>
      <c r="H142" s="1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</row>
    <row r="143" ht="15.75" customHeight="1">
      <c r="A143" s="430"/>
      <c r="B143" s="431"/>
      <c r="C143" s="431"/>
      <c r="D143" s="432"/>
      <c r="E143" s="1"/>
      <c r="F143" s="54"/>
      <c r="G143" s="54"/>
      <c r="H143" s="1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K2:N3"/>
    <mergeCell ref="P2:S3"/>
  </mergeCells>
  <conditionalFormatting sqref="O5:O14">
    <cfRule type="cellIs" dxfId="5" priority="1" operator="greaterThanOrEqual">
      <formula>5</formula>
    </cfRule>
  </conditionalFormatting>
  <dataValidations>
    <dataValidation type="custom" allowBlank="1" showDropDown="1" sqref="L5:N11 Q5:S11">
      <formula1>AND(ISNUMBER(L5),(NOT(OR(NOT(ISERROR(DATEVALUE(L5))), AND(ISNUMBER(L5), LEFT(CELL("format", L5))="D")))))</formula1>
    </dataValidation>
  </dataValidation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38"/>
    <col customWidth="1" min="2" max="2" width="14.75"/>
    <col customWidth="1" min="3" max="3" width="14.88"/>
    <col customWidth="1" min="4" max="5" width="12.63"/>
    <col customWidth="1" min="6" max="6" width="48.63"/>
    <col customWidth="1" min="7" max="7" width="4.88"/>
    <col customWidth="1" min="8" max="8" width="12.5"/>
    <col customWidth="1" min="9" max="9" width="20.38"/>
    <col customWidth="1" hidden="1" min="10" max="10" width="17.0"/>
    <col customWidth="1" hidden="1" min="11" max="11" width="16.63"/>
    <col customWidth="1" hidden="1" min="12" max="14" width="10.75"/>
    <col customWidth="1" hidden="1" min="15" max="15" width="9.25"/>
    <col customWidth="1" hidden="1" min="16" max="16" width="18.38"/>
    <col customWidth="1" hidden="1" min="17" max="18" width="10.75"/>
    <col customWidth="1" hidden="1" min="19" max="19" width="12.75"/>
    <col customWidth="1" hidden="1" min="20" max="21" width="17.13"/>
  </cols>
  <sheetData>
    <row r="1" ht="15.75" customHeight="1">
      <c r="A1" s="433" t="s">
        <v>379</v>
      </c>
      <c r="B1" s="434" t="s">
        <v>380</v>
      </c>
      <c r="C1" s="435" t="s">
        <v>381</v>
      </c>
      <c r="D1" s="436" t="s">
        <v>382</v>
      </c>
      <c r="E1" s="436" t="s">
        <v>383</v>
      </c>
      <c r="F1" s="437" t="s">
        <v>384</v>
      </c>
      <c r="G1" s="433"/>
      <c r="H1" s="438" t="s">
        <v>385</v>
      </c>
      <c r="I1" s="438"/>
      <c r="J1" s="439" t="s">
        <v>386</v>
      </c>
      <c r="K1" s="439" t="s">
        <v>387</v>
      </c>
      <c r="L1" s="440"/>
      <c r="M1" s="441" t="s">
        <v>388</v>
      </c>
      <c r="N1" s="441" t="s">
        <v>389</v>
      </c>
      <c r="O1" s="442"/>
      <c r="P1" s="443" t="s">
        <v>390</v>
      </c>
      <c r="Q1" s="444" t="s">
        <v>391</v>
      </c>
      <c r="R1" s="445" t="s">
        <v>111</v>
      </c>
      <c r="S1" s="446" t="s">
        <v>392</v>
      </c>
      <c r="T1" s="447" t="s">
        <v>393</v>
      </c>
      <c r="U1" s="448" t="s">
        <v>394</v>
      </c>
    </row>
    <row r="2" ht="15.75" customHeight="1">
      <c r="A2" s="433"/>
      <c r="B2" s="54"/>
      <c r="C2" s="449"/>
      <c r="D2" s="450"/>
      <c r="E2" s="451"/>
      <c r="F2" s="452"/>
      <c r="G2" s="433"/>
      <c r="H2" s="453"/>
      <c r="I2" s="453"/>
      <c r="J2" s="454"/>
      <c r="K2" s="455"/>
      <c r="L2" s="456"/>
      <c r="M2" s="457"/>
      <c r="N2" s="457"/>
      <c r="O2" s="1"/>
      <c r="P2" s="1"/>
      <c r="Q2" s="458"/>
      <c r="R2" s="458"/>
      <c r="S2" s="1"/>
      <c r="T2" s="458"/>
      <c r="U2" s="459"/>
    </row>
    <row r="3" ht="15.75" customHeight="1">
      <c r="A3" s="460" t="s">
        <v>395</v>
      </c>
      <c r="B3" s="461" t="s">
        <v>43</v>
      </c>
      <c r="C3" s="462" t="s">
        <v>40</v>
      </c>
      <c r="D3" s="463" t="s">
        <v>396</v>
      </c>
      <c r="E3" s="464" t="s">
        <v>397</v>
      </c>
      <c r="F3" s="465" t="s">
        <v>398</v>
      </c>
      <c r="G3" s="460"/>
      <c r="H3" s="466"/>
      <c r="I3" s="467"/>
      <c r="J3" s="468"/>
      <c r="K3" s="468"/>
      <c r="L3" s="469"/>
      <c r="M3" s="470"/>
      <c r="N3" s="470"/>
      <c r="O3" s="471"/>
      <c r="P3" s="471"/>
      <c r="Q3" s="472"/>
      <c r="R3" s="472"/>
      <c r="S3" s="471"/>
      <c r="T3" s="472"/>
      <c r="U3" s="473"/>
    </row>
    <row r="4" ht="15.75" customHeight="1">
      <c r="B4" s="474" t="s">
        <v>399</v>
      </c>
      <c r="C4" s="475" t="s">
        <v>38</v>
      </c>
      <c r="D4" s="463" t="s">
        <v>400</v>
      </c>
      <c r="E4" s="464" t="s">
        <v>401</v>
      </c>
      <c r="F4" s="465" t="s">
        <v>402</v>
      </c>
      <c r="H4" s="476"/>
      <c r="I4" s="477"/>
      <c r="J4" s="468"/>
      <c r="K4" s="468"/>
      <c r="L4" s="469"/>
      <c r="M4" s="470"/>
      <c r="N4" s="470"/>
      <c r="O4" s="471"/>
      <c r="P4" s="471"/>
      <c r="Q4" s="472"/>
      <c r="R4" s="472"/>
      <c r="S4" s="471"/>
      <c r="T4" s="472"/>
      <c r="U4" s="473"/>
    </row>
    <row r="5" ht="15.75" customHeight="1">
      <c r="B5" s="474" t="s">
        <v>403</v>
      </c>
      <c r="C5" s="478" t="s">
        <v>48</v>
      </c>
      <c r="D5" s="463" t="s">
        <v>396</v>
      </c>
      <c r="E5" s="464" t="s">
        <v>404</v>
      </c>
      <c r="F5" s="465" t="s">
        <v>405</v>
      </c>
      <c r="H5" s="479"/>
      <c r="I5" s="480"/>
      <c r="J5" s="481"/>
      <c r="K5" s="482"/>
      <c r="L5" s="483"/>
      <c r="M5" s="470"/>
      <c r="N5" s="470"/>
      <c r="O5" s="471"/>
      <c r="P5" s="471"/>
      <c r="Q5" s="472"/>
      <c r="R5" s="472"/>
      <c r="S5" s="471"/>
      <c r="T5" s="472"/>
      <c r="U5" s="484"/>
    </row>
    <row r="6" ht="15.75" customHeight="1">
      <c r="B6" s="474" t="s">
        <v>403</v>
      </c>
      <c r="C6" s="475" t="s">
        <v>406</v>
      </c>
      <c r="D6" s="463" t="s">
        <v>407</v>
      </c>
      <c r="E6" s="464" t="s">
        <v>408</v>
      </c>
      <c r="F6" s="465" t="s">
        <v>409</v>
      </c>
      <c r="H6" s="479"/>
      <c r="I6" s="480"/>
      <c r="J6" s="482"/>
      <c r="K6" s="482"/>
      <c r="L6" s="483"/>
      <c r="M6" s="470"/>
      <c r="N6" s="470"/>
      <c r="O6" s="471"/>
      <c r="P6" s="471"/>
      <c r="Q6" s="472"/>
      <c r="R6" s="472"/>
      <c r="S6" s="471"/>
      <c r="T6" s="472"/>
      <c r="U6" s="484"/>
    </row>
    <row r="7" ht="15.75" customHeight="1">
      <c r="B7" s="485" t="s">
        <v>406</v>
      </c>
      <c r="C7" s="486" t="s">
        <v>403</v>
      </c>
      <c r="D7" s="463" t="s">
        <v>410</v>
      </c>
      <c r="E7" s="487" t="s">
        <v>411</v>
      </c>
      <c r="F7" s="488" t="s">
        <v>412</v>
      </c>
      <c r="H7" s="479"/>
      <c r="I7" s="480"/>
      <c r="J7" s="489"/>
      <c r="K7" s="482"/>
      <c r="L7" s="490"/>
      <c r="M7" s="470"/>
      <c r="N7" s="470"/>
      <c r="O7" s="471"/>
      <c r="P7" s="471"/>
      <c r="Q7" s="472"/>
      <c r="R7" s="472"/>
      <c r="S7" s="471"/>
      <c r="T7" s="472"/>
      <c r="U7" s="484"/>
    </row>
    <row r="8" ht="15.75" customHeight="1">
      <c r="B8" s="474" t="s">
        <v>413</v>
      </c>
      <c r="C8" s="475" t="s">
        <v>414</v>
      </c>
      <c r="D8" s="463" t="s">
        <v>415</v>
      </c>
      <c r="E8" s="487" t="s">
        <v>416</v>
      </c>
      <c r="F8" s="488" t="s">
        <v>417</v>
      </c>
      <c r="H8" s="479"/>
      <c r="I8" s="480"/>
      <c r="J8" s="481"/>
      <c r="K8" s="482"/>
      <c r="L8" s="483"/>
      <c r="M8" s="470"/>
      <c r="N8" s="470"/>
      <c r="O8" s="471"/>
      <c r="P8" s="471"/>
      <c r="Q8" s="472"/>
      <c r="R8" s="472"/>
      <c r="S8" s="471"/>
      <c r="T8" s="472"/>
      <c r="U8" s="484"/>
    </row>
    <row r="9" ht="15.75" customHeight="1">
      <c r="B9" s="491" t="s">
        <v>414</v>
      </c>
      <c r="C9" s="492" t="s">
        <v>413</v>
      </c>
      <c r="D9" s="493" t="s">
        <v>418</v>
      </c>
      <c r="E9" s="487" t="s">
        <v>419</v>
      </c>
      <c r="F9" s="494" t="s">
        <v>420</v>
      </c>
      <c r="H9" s="479"/>
      <c r="I9" s="495"/>
      <c r="J9" s="481"/>
      <c r="K9" s="482"/>
      <c r="L9" s="483"/>
      <c r="M9" s="470"/>
      <c r="N9" s="470"/>
      <c r="O9" s="471"/>
      <c r="P9" s="471"/>
      <c r="Q9" s="472"/>
      <c r="R9" s="472"/>
      <c r="S9" s="471"/>
      <c r="T9" s="472"/>
      <c r="U9" s="484"/>
    </row>
    <row r="10" ht="15.75" customHeight="1">
      <c r="B10" s="474" t="s">
        <v>406</v>
      </c>
      <c r="C10" s="496" t="s">
        <v>48</v>
      </c>
      <c r="D10" s="463" t="s">
        <v>415</v>
      </c>
      <c r="E10" s="464" t="s">
        <v>421</v>
      </c>
      <c r="F10" s="465" t="s">
        <v>422</v>
      </c>
      <c r="H10" s="479"/>
      <c r="I10" s="480"/>
      <c r="J10" s="489"/>
      <c r="K10" s="482"/>
      <c r="L10" s="490"/>
      <c r="M10" s="470"/>
      <c r="N10" s="470"/>
      <c r="O10" s="471"/>
      <c r="P10" s="471"/>
      <c r="Q10" s="472"/>
      <c r="R10" s="472"/>
      <c r="S10" s="471"/>
      <c r="T10" s="472"/>
      <c r="U10" s="484"/>
    </row>
    <row r="11" ht="15.75" customHeight="1">
      <c r="B11" s="474" t="s">
        <v>406</v>
      </c>
      <c r="C11" s="496" t="s">
        <v>423</v>
      </c>
      <c r="D11" s="463" t="s">
        <v>407</v>
      </c>
      <c r="E11" s="464" t="s">
        <v>424</v>
      </c>
      <c r="F11" s="465" t="s">
        <v>425</v>
      </c>
      <c r="G11" s="1"/>
      <c r="H11" s="479"/>
      <c r="I11" s="480"/>
      <c r="L11" s="456"/>
      <c r="M11" s="470"/>
      <c r="N11" s="470"/>
      <c r="O11" s="497"/>
      <c r="P11" s="472"/>
      <c r="Q11" s="472"/>
      <c r="R11" s="472"/>
      <c r="S11" s="472"/>
      <c r="T11" s="472"/>
      <c r="U11" s="472"/>
    </row>
    <row r="12" ht="15.75" customHeight="1">
      <c r="A12" s="433"/>
      <c r="B12" s="498"/>
      <c r="C12" s="499"/>
      <c r="D12" s="500"/>
      <c r="E12" s="501"/>
      <c r="F12" s="502"/>
      <c r="G12" s="1"/>
      <c r="H12" s="453"/>
      <c r="I12" s="453"/>
      <c r="J12" s="454"/>
      <c r="K12" s="455"/>
      <c r="L12" s="490"/>
      <c r="M12" s="470"/>
      <c r="N12" s="470"/>
      <c r="O12" s="484"/>
      <c r="P12" s="503"/>
      <c r="Q12" s="503"/>
      <c r="R12" s="503"/>
      <c r="S12" s="503"/>
      <c r="T12" s="503"/>
      <c r="U12" s="503"/>
    </row>
    <row r="13" ht="15.75" customHeight="1">
      <c r="A13" s="433" t="s">
        <v>426</v>
      </c>
      <c r="B13" s="504" t="s">
        <v>399</v>
      </c>
      <c r="C13" s="505" t="s">
        <v>40</v>
      </c>
      <c r="D13" s="463" t="s">
        <v>396</v>
      </c>
      <c r="E13" s="464" t="s">
        <v>427</v>
      </c>
      <c r="F13" s="465" t="s">
        <v>428</v>
      </c>
      <c r="G13" s="433"/>
      <c r="H13" s="479"/>
      <c r="I13" s="480"/>
      <c r="J13" s="489"/>
      <c r="K13" s="482"/>
      <c r="L13" s="490"/>
      <c r="M13" s="470"/>
      <c r="N13" s="470"/>
      <c r="O13" s="484"/>
      <c r="P13" s="503"/>
      <c r="Q13" s="503"/>
      <c r="R13" s="503"/>
      <c r="S13" s="503"/>
      <c r="T13" s="503"/>
      <c r="U13" s="503"/>
    </row>
    <row r="14" ht="15.75" customHeight="1">
      <c r="B14" s="506" t="s">
        <v>429</v>
      </c>
      <c r="C14" s="462" t="s">
        <v>399</v>
      </c>
      <c r="D14" s="463" t="s">
        <v>400</v>
      </c>
      <c r="E14" s="464" t="s">
        <v>430</v>
      </c>
      <c r="F14" s="465" t="s">
        <v>431</v>
      </c>
      <c r="H14" s="479"/>
      <c r="I14" s="480"/>
      <c r="J14" s="489"/>
      <c r="K14" s="482"/>
      <c r="L14" s="483"/>
      <c r="M14" s="470"/>
      <c r="N14" s="470"/>
      <c r="O14" s="484"/>
      <c r="P14" s="503"/>
      <c r="Q14" s="503"/>
      <c r="R14" s="503"/>
      <c r="S14" s="503"/>
      <c r="T14" s="503"/>
      <c r="U14" s="503"/>
    </row>
    <row r="15" ht="15.75" customHeight="1">
      <c r="B15" s="507" t="s">
        <v>43</v>
      </c>
      <c r="C15" s="508" t="s">
        <v>48</v>
      </c>
      <c r="D15" s="463" t="s">
        <v>396</v>
      </c>
      <c r="E15" s="464" t="s">
        <v>432</v>
      </c>
      <c r="F15" s="465" t="s">
        <v>433</v>
      </c>
      <c r="H15" s="479"/>
      <c r="I15" s="480"/>
      <c r="J15" s="482"/>
      <c r="K15" s="482"/>
      <c r="L15" s="483"/>
      <c r="M15" s="470"/>
      <c r="N15" s="470"/>
      <c r="O15" s="484"/>
      <c r="P15" s="503"/>
      <c r="Q15" s="503"/>
      <c r="R15" s="503"/>
      <c r="S15" s="503"/>
      <c r="T15" s="503"/>
      <c r="U15" s="503"/>
    </row>
    <row r="16" ht="15.75" customHeight="1">
      <c r="B16" s="509" t="s">
        <v>43</v>
      </c>
      <c r="C16" s="475" t="s">
        <v>406</v>
      </c>
      <c r="D16" s="463" t="s">
        <v>434</v>
      </c>
      <c r="E16" s="464" t="s">
        <v>435</v>
      </c>
      <c r="F16" s="465" t="s">
        <v>436</v>
      </c>
      <c r="H16" s="479"/>
      <c r="I16" s="480"/>
      <c r="J16" s="482"/>
      <c r="K16" s="482"/>
      <c r="L16" s="490"/>
      <c r="M16" s="470"/>
      <c r="N16" s="470"/>
      <c r="O16" s="484"/>
      <c r="P16" s="503"/>
      <c r="Q16" s="503"/>
      <c r="R16" s="503"/>
      <c r="S16" s="503"/>
      <c r="T16" s="503"/>
      <c r="U16" s="503"/>
    </row>
    <row r="17" ht="15.75" customHeight="1">
      <c r="B17" s="485" t="s">
        <v>406</v>
      </c>
      <c r="C17" s="510" t="s">
        <v>43</v>
      </c>
      <c r="D17" s="463" t="s">
        <v>437</v>
      </c>
      <c r="E17" s="464" t="s">
        <v>438</v>
      </c>
      <c r="F17" s="465" t="s">
        <v>439</v>
      </c>
      <c r="H17" s="479"/>
      <c r="I17" s="480"/>
      <c r="J17" s="489"/>
      <c r="K17" s="482"/>
      <c r="L17" s="483"/>
      <c r="M17" s="470"/>
      <c r="N17" s="470"/>
      <c r="O17" s="484"/>
      <c r="P17" s="503"/>
      <c r="Q17" s="503"/>
      <c r="R17" s="503"/>
      <c r="S17" s="503"/>
      <c r="T17" s="503"/>
      <c r="U17" s="503"/>
    </row>
    <row r="18" ht="15.75" customHeight="1">
      <c r="B18" s="474" t="s">
        <v>413</v>
      </c>
      <c r="C18" s="475" t="s">
        <v>40</v>
      </c>
      <c r="D18" s="463" t="s">
        <v>407</v>
      </c>
      <c r="E18" s="464" t="s">
        <v>440</v>
      </c>
      <c r="F18" s="465" t="s">
        <v>441</v>
      </c>
      <c r="H18" s="479"/>
      <c r="I18" s="480"/>
      <c r="J18" s="481"/>
      <c r="K18" s="482"/>
      <c r="L18" s="483"/>
      <c r="M18" s="470"/>
      <c r="N18" s="470"/>
      <c r="O18" s="484"/>
      <c r="P18" s="503"/>
      <c r="Q18" s="503"/>
      <c r="R18" s="503"/>
      <c r="S18" s="503"/>
      <c r="T18" s="503"/>
      <c r="U18" s="503"/>
    </row>
    <row r="19" ht="15.75" customHeight="1">
      <c r="B19" s="507" t="s">
        <v>38</v>
      </c>
      <c r="C19" s="475" t="s">
        <v>413</v>
      </c>
      <c r="D19" s="463" t="s">
        <v>400</v>
      </c>
      <c r="E19" s="464" t="s">
        <v>442</v>
      </c>
      <c r="F19" s="511" t="s">
        <v>443</v>
      </c>
      <c r="H19" s="479"/>
      <c r="I19" s="480"/>
      <c r="J19" s="481"/>
      <c r="K19" s="482"/>
      <c r="L19" s="483"/>
      <c r="M19" s="470"/>
      <c r="N19" s="470"/>
      <c r="O19" s="484"/>
      <c r="P19" s="503"/>
      <c r="Q19" s="503"/>
      <c r="R19" s="503"/>
      <c r="S19" s="503"/>
      <c r="T19" s="503"/>
      <c r="U19" s="503"/>
    </row>
    <row r="20" ht="15.75" customHeight="1">
      <c r="B20" s="507" t="s">
        <v>403</v>
      </c>
      <c r="C20" s="475" t="s">
        <v>444</v>
      </c>
      <c r="D20" s="512" t="s">
        <v>434</v>
      </c>
      <c r="E20" s="464" t="s">
        <v>445</v>
      </c>
      <c r="F20" s="511" t="s">
        <v>446</v>
      </c>
      <c r="H20" s="479"/>
      <c r="I20" s="480"/>
      <c r="J20" s="481"/>
      <c r="K20" s="482"/>
      <c r="L20" s="483"/>
      <c r="M20" s="470"/>
      <c r="N20" s="470"/>
      <c r="O20" s="484"/>
      <c r="P20" s="503"/>
      <c r="Q20" s="503"/>
      <c r="R20" s="503"/>
      <c r="S20" s="503"/>
      <c r="T20" s="503"/>
      <c r="U20" s="503"/>
    </row>
    <row r="21" ht="15.75" customHeight="1">
      <c r="B21" s="509" t="s">
        <v>413</v>
      </c>
      <c r="C21" s="162" t="s">
        <v>406</v>
      </c>
      <c r="D21" s="513" t="s">
        <v>415</v>
      </c>
      <c r="E21" s="464" t="s">
        <v>447</v>
      </c>
      <c r="F21" s="511" t="s">
        <v>448</v>
      </c>
      <c r="H21" s="479"/>
      <c r="I21" s="480"/>
      <c r="J21" s="481"/>
      <c r="K21" s="482"/>
      <c r="L21" s="483"/>
      <c r="M21" s="470"/>
      <c r="N21" s="470"/>
      <c r="O21" s="484"/>
      <c r="P21" s="503"/>
      <c r="Q21" s="503"/>
      <c r="R21" s="503"/>
      <c r="S21" s="503"/>
      <c r="T21" s="503"/>
      <c r="U21" s="503"/>
    </row>
    <row r="22" ht="15.75" customHeight="1">
      <c r="B22" s="514" t="s">
        <v>406</v>
      </c>
      <c r="C22" s="515" t="s">
        <v>413</v>
      </c>
      <c r="D22" s="463" t="s">
        <v>449</v>
      </c>
      <c r="E22" s="464" t="s">
        <v>450</v>
      </c>
      <c r="F22" s="511" t="s">
        <v>451</v>
      </c>
      <c r="H22" s="479"/>
      <c r="I22" s="480"/>
      <c r="J22" s="481"/>
      <c r="K22" s="482"/>
      <c r="L22" s="483"/>
      <c r="M22" s="470"/>
      <c r="N22" s="470"/>
      <c r="O22" s="484"/>
      <c r="P22" s="503"/>
      <c r="Q22" s="503"/>
      <c r="R22" s="503"/>
      <c r="S22" s="503"/>
      <c r="T22" s="503"/>
      <c r="U22" s="503"/>
    </row>
    <row r="23" ht="15.75" customHeight="1">
      <c r="A23" s="433"/>
      <c r="B23" s="516" t="s">
        <v>414</v>
      </c>
      <c r="C23" s="517" t="s">
        <v>452</v>
      </c>
      <c r="D23" s="518" t="s">
        <v>449</v>
      </c>
      <c r="E23" s="519" t="s">
        <v>453</v>
      </c>
      <c r="F23" s="520" t="s">
        <v>454</v>
      </c>
      <c r="G23" s="433"/>
      <c r="H23" s="479"/>
      <c r="I23" s="480"/>
      <c r="J23" s="481"/>
      <c r="K23" s="482"/>
      <c r="L23" s="483"/>
      <c r="M23" s="470"/>
      <c r="N23" s="470"/>
      <c r="O23" s="484"/>
      <c r="P23" s="503"/>
      <c r="Q23" s="503"/>
      <c r="R23" s="503"/>
      <c r="S23" s="503"/>
      <c r="T23" s="503"/>
      <c r="U23" s="503"/>
    </row>
    <row r="24" ht="15.75" customHeight="1">
      <c r="A24" s="433"/>
      <c r="B24" s="516" t="s">
        <v>452</v>
      </c>
      <c r="C24" s="517" t="s">
        <v>414</v>
      </c>
      <c r="D24" s="518" t="s">
        <v>449</v>
      </c>
      <c r="E24" s="519" t="s">
        <v>455</v>
      </c>
      <c r="F24" s="520" t="s">
        <v>456</v>
      </c>
      <c r="G24" s="433"/>
      <c r="H24" s="479"/>
      <c r="I24" s="480"/>
      <c r="J24" s="481"/>
      <c r="K24" s="482"/>
      <c r="L24" s="483"/>
      <c r="M24" s="470"/>
      <c r="N24" s="470"/>
      <c r="O24" s="484"/>
      <c r="P24" s="503"/>
      <c r="Q24" s="503"/>
      <c r="R24" s="503"/>
      <c r="S24" s="503"/>
      <c r="T24" s="503"/>
      <c r="U24" s="503"/>
    </row>
    <row r="25" ht="15.75" customHeight="1">
      <c r="A25" s="433" t="s">
        <v>206</v>
      </c>
      <c r="B25" s="521"/>
      <c r="C25" s="449"/>
      <c r="D25" s="450"/>
      <c r="E25" s="451"/>
      <c r="F25" s="452"/>
      <c r="G25" s="522"/>
      <c r="H25" s="453"/>
      <c r="I25" s="453"/>
      <c r="J25" s="454"/>
      <c r="K25" s="455"/>
      <c r="L25" s="483"/>
      <c r="M25" s="470"/>
      <c r="N25" s="470"/>
      <c r="O25" s="484"/>
      <c r="P25" s="503"/>
      <c r="Q25" s="503"/>
      <c r="R25" s="503"/>
      <c r="S25" s="503"/>
      <c r="T25" s="503"/>
      <c r="U25" s="503"/>
    </row>
    <row r="26" ht="15.75" customHeight="1">
      <c r="B26" s="507" t="s">
        <v>413</v>
      </c>
      <c r="C26" s="496" t="s">
        <v>423</v>
      </c>
      <c r="D26" s="513" t="s">
        <v>396</v>
      </c>
      <c r="E26" s="464" t="s">
        <v>457</v>
      </c>
      <c r="F26" s="511" t="s">
        <v>458</v>
      </c>
      <c r="G26" s="433"/>
      <c r="H26" s="479"/>
      <c r="I26" s="480"/>
      <c r="J26" s="481"/>
      <c r="K26" s="482"/>
      <c r="L26" s="483"/>
      <c r="M26" s="470"/>
      <c r="N26" s="470"/>
      <c r="O26" s="484"/>
      <c r="P26" s="503"/>
      <c r="Q26" s="503"/>
      <c r="R26" s="503"/>
      <c r="S26" s="503"/>
      <c r="T26" s="503"/>
      <c r="U26" s="503"/>
    </row>
    <row r="27" ht="15.75" customHeight="1">
      <c r="B27" s="474" t="s">
        <v>413</v>
      </c>
      <c r="C27" s="475" t="s">
        <v>399</v>
      </c>
      <c r="D27" s="463" t="s">
        <v>396</v>
      </c>
      <c r="E27" s="464" t="s">
        <v>459</v>
      </c>
      <c r="F27" s="511" t="s">
        <v>460</v>
      </c>
      <c r="G27" s="433"/>
      <c r="H27" s="523"/>
      <c r="I27" s="495"/>
      <c r="J27" s="482"/>
      <c r="K27" s="482"/>
      <c r="L27" s="483"/>
      <c r="M27" s="470"/>
      <c r="N27" s="470"/>
      <c r="O27" s="484"/>
      <c r="P27" s="503"/>
      <c r="Q27" s="503"/>
      <c r="R27" s="503"/>
      <c r="S27" s="503"/>
      <c r="T27" s="503"/>
      <c r="U27" s="503"/>
    </row>
    <row r="28" ht="15.75" customHeight="1">
      <c r="B28" s="524" t="s">
        <v>399</v>
      </c>
      <c r="C28" s="525" t="s">
        <v>413</v>
      </c>
      <c r="D28" s="463" t="s">
        <v>418</v>
      </c>
      <c r="E28" s="464" t="s">
        <v>461</v>
      </c>
      <c r="F28" s="511" t="s">
        <v>462</v>
      </c>
      <c r="G28" s="433"/>
      <c r="H28" s="479"/>
      <c r="I28" s="495"/>
      <c r="J28" s="481"/>
      <c r="K28" s="482"/>
      <c r="L28" s="483"/>
      <c r="M28" s="470"/>
      <c r="N28" s="470"/>
      <c r="O28" s="484"/>
      <c r="P28" s="503"/>
      <c r="Q28" s="503"/>
      <c r="R28" s="503"/>
      <c r="S28" s="503"/>
      <c r="T28" s="503"/>
      <c r="U28" s="503"/>
    </row>
    <row r="29" ht="15.75" customHeight="1">
      <c r="B29" s="526" t="s">
        <v>399</v>
      </c>
      <c r="C29" s="527" t="s">
        <v>463</v>
      </c>
      <c r="D29" s="528" t="s">
        <v>396</v>
      </c>
      <c r="E29" s="529" t="s">
        <v>464</v>
      </c>
      <c r="F29" s="530" t="s">
        <v>465</v>
      </c>
      <c r="G29" s="433"/>
      <c r="H29" s="479"/>
      <c r="I29" s="480"/>
      <c r="J29" s="481"/>
      <c r="K29" s="482"/>
      <c r="L29" s="490"/>
      <c r="M29" s="470"/>
      <c r="N29" s="470"/>
      <c r="O29" s="484"/>
      <c r="P29" s="503"/>
      <c r="Q29" s="503"/>
      <c r="R29" s="503"/>
      <c r="S29" s="503"/>
      <c r="T29" s="503"/>
      <c r="U29" s="503"/>
    </row>
    <row r="30" ht="15.75" customHeight="1">
      <c r="B30" s="504" t="s">
        <v>414</v>
      </c>
      <c r="C30" s="531" t="s">
        <v>444</v>
      </c>
      <c r="D30" s="518" t="s">
        <v>396</v>
      </c>
      <c r="E30" s="519" t="s">
        <v>466</v>
      </c>
      <c r="F30" s="520" t="s">
        <v>467</v>
      </c>
      <c r="G30" s="433"/>
      <c r="H30" s="479"/>
      <c r="I30" s="480"/>
      <c r="J30" s="481"/>
      <c r="K30" s="482"/>
      <c r="L30" s="490"/>
      <c r="M30" s="470"/>
      <c r="N30" s="470"/>
      <c r="O30" s="484"/>
      <c r="P30" s="503"/>
      <c r="Q30" s="503"/>
      <c r="R30" s="503"/>
      <c r="S30" s="503"/>
      <c r="T30" s="503"/>
      <c r="U30" s="503"/>
    </row>
    <row r="31" ht="15.75" customHeight="1">
      <c r="B31" s="509" t="s">
        <v>406</v>
      </c>
      <c r="C31" s="478" t="s">
        <v>444</v>
      </c>
      <c r="D31" s="532" t="s">
        <v>434</v>
      </c>
      <c r="E31" s="533" t="s">
        <v>468</v>
      </c>
      <c r="F31" s="534" t="s">
        <v>469</v>
      </c>
      <c r="G31" s="433"/>
      <c r="H31" s="479"/>
      <c r="I31" s="480"/>
      <c r="J31" s="481"/>
      <c r="K31" s="482"/>
      <c r="L31" s="490"/>
      <c r="M31" s="470"/>
      <c r="N31" s="470"/>
      <c r="O31" s="484"/>
      <c r="P31" s="503"/>
      <c r="Q31" s="503"/>
      <c r="R31" s="503"/>
      <c r="S31" s="503"/>
      <c r="T31" s="503"/>
      <c r="U31" s="503"/>
    </row>
    <row r="32" ht="15.75" customHeight="1">
      <c r="B32" s="474" t="s">
        <v>403</v>
      </c>
      <c r="C32" s="496" t="s">
        <v>40</v>
      </c>
      <c r="D32" s="463" t="s">
        <v>407</v>
      </c>
      <c r="E32" s="464" t="s">
        <v>470</v>
      </c>
      <c r="F32" s="465" t="s">
        <v>471</v>
      </c>
      <c r="G32" s="433"/>
      <c r="H32" s="479"/>
      <c r="I32" s="480"/>
      <c r="J32" s="481"/>
      <c r="K32" s="482"/>
      <c r="L32" s="490"/>
      <c r="M32" s="470"/>
      <c r="N32" s="470"/>
      <c r="O32" s="484"/>
      <c r="P32" s="503"/>
      <c r="Q32" s="503"/>
      <c r="R32" s="503"/>
      <c r="S32" s="503"/>
      <c r="T32" s="503"/>
      <c r="U32" s="503"/>
    </row>
    <row r="33" ht="15.75" customHeight="1">
      <c r="B33" s="474" t="s">
        <v>43</v>
      </c>
      <c r="C33" s="496" t="s">
        <v>429</v>
      </c>
      <c r="D33" s="463" t="s">
        <v>396</v>
      </c>
      <c r="E33" s="464" t="s">
        <v>472</v>
      </c>
      <c r="F33" s="465" t="s">
        <v>473</v>
      </c>
      <c r="G33" s="433"/>
      <c r="H33" s="479"/>
      <c r="I33" s="480"/>
      <c r="J33" s="489"/>
      <c r="K33" s="482"/>
      <c r="L33" s="490"/>
      <c r="M33" s="470"/>
      <c r="N33" s="470"/>
      <c r="O33" s="484"/>
      <c r="P33" s="503"/>
      <c r="Q33" s="503"/>
      <c r="R33" s="503"/>
      <c r="S33" s="503"/>
      <c r="T33" s="503"/>
      <c r="U33" s="503"/>
    </row>
    <row r="34" ht="15.75" customHeight="1">
      <c r="B34" s="474" t="s">
        <v>43</v>
      </c>
      <c r="C34" s="496" t="s">
        <v>413</v>
      </c>
      <c r="D34" s="463" t="s">
        <v>396</v>
      </c>
      <c r="E34" s="464" t="s">
        <v>474</v>
      </c>
      <c r="F34" s="465" t="s">
        <v>475</v>
      </c>
      <c r="G34" s="433"/>
      <c r="H34" s="479"/>
      <c r="I34" s="480"/>
      <c r="J34" s="489"/>
      <c r="K34" s="482"/>
      <c r="L34" s="490"/>
      <c r="M34" s="470"/>
      <c r="N34" s="470"/>
      <c r="O34" s="484"/>
      <c r="P34" s="503"/>
      <c r="Q34" s="503"/>
      <c r="R34" s="503"/>
      <c r="S34" s="503"/>
      <c r="T34" s="503"/>
      <c r="U34" s="503"/>
    </row>
    <row r="35" ht="15.75" customHeight="1">
      <c r="B35" s="507" t="s">
        <v>413</v>
      </c>
      <c r="C35" s="478" t="s">
        <v>43</v>
      </c>
      <c r="D35" s="535">
        <v>45780.0</v>
      </c>
      <c r="E35" s="464" t="s">
        <v>476</v>
      </c>
      <c r="F35" s="465" t="s">
        <v>477</v>
      </c>
      <c r="G35" s="433"/>
      <c r="H35" s="479"/>
      <c r="I35" s="480"/>
      <c r="J35" s="489"/>
      <c r="K35" s="482"/>
      <c r="L35" s="490"/>
      <c r="M35" s="470"/>
      <c r="N35" s="470"/>
      <c r="O35" s="484"/>
      <c r="P35" s="503"/>
      <c r="Q35" s="503"/>
      <c r="R35" s="503"/>
      <c r="S35" s="503"/>
      <c r="T35" s="503"/>
      <c r="U35" s="503"/>
    </row>
    <row r="36" ht="15.75" customHeight="1">
      <c r="B36" s="474" t="s">
        <v>43</v>
      </c>
      <c r="C36" s="496" t="s">
        <v>423</v>
      </c>
      <c r="D36" s="463" t="s">
        <v>396</v>
      </c>
      <c r="E36" s="464" t="s">
        <v>478</v>
      </c>
      <c r="F36" s="465" t="s">
        <v>479</v>
      </c>
      <c r="G36" s="433"/>
      <c r="H36" s="479"/>
      <c r="I36" s="480"/>
      <c r="J36" s="489"/>
      <c r="K36" s="482"/>
      <c r="L36" s="483"/>
      <c r="M36" s="470"/>
      <c r="N36" s="470"/>
      <c r="O36" s="484"/>
      <c r="P36" s="503"/>
      <c r="Q36" s="503"/>
      <c r="R36" s="503"/>
      <c r="S36" s="503"/>
      <c r="T36" s="503"/>
      <c r="U36" s="503"/>
    </row>
    <row r="37" ht="15.75" customHeight="1">
      <c r="B37" s="474" t="s">
        <v>429</v>
      </c>
      <c r="C37" s="496" t="s">
        <v>403</v>
      </c>
      <c r="D37" s="463" t="s">
        <v>415</v>
      </c>
      <c r="E37" s="464" t="s">
        <v>480</v>
      </c>
      <c r="F37" s="465" t="s">
        <v>481</v>
      </c>
      <c r="G37" s="433"/>
      <c r="H37" s="479"/>
      <c r="I37" s="480"/>
      <c r="J37" s="481"/>
      <c r="K37" s="482"/>
      <c r="L37" s="483"/>
      <c r="M37" s="470"/>
      <c r="N37" s="470"/>
      <c r="O37" s="484"/>
      <c r="P37" s="503"/>
      <c r="Q37" s="503"/>
      <c r="R37" s="503"/>
      <c r="S37" s="503"/>
      <c r="T37" s="503"/>
      <c r="U37" s="503"/>
    </row>
    <row r="38" ht="15.75" customHeight="1">
      <c r="B38" s="507" t="s">
        <v>48</v>
      </c>
      <c r="C38" s="478" t="s">
        <v>452</v>
      </c>
      <c r="D38" s="463" t="s">
        <v>437</v>
      </c>
      <c r="E38" s="464" t="s">
        <v>482</v>
      </c>
      <c r="F38" s="465" t="s">
        <v>483</v>
      </c>
      <c r="G38" s="433"/>
      <c r="H38" s="479"/>
      <c r="I38" s="480"/>
      <c r="J38" s="482"/>
      <c r="K38" s="482"/>
      <c r="L38" s="483"/>
      <c r="M38" s="470"/>
      <c r="N38" s="470"/>
      <c r="O38" s="484"/>
      <c r="P38" s="503"/>
      <c r="Q38" s="503"/>
      <c r="R38" s="503"/>
      <c r="S38" s="503"/>
      <c r="T38" s="503"/>
      <c r="U38" s="503"/>
    </row>
    <row r="39" ht="15.75" customHeight="1">
      <c r="B39" s="536" t="s">
        <v>484</v>
      </c>
      <c r="C39" s="496" t="s">
        <v>485</v>
      </c>
      <c r="D39" s="463" t="s">
        <v>415</v>
      </c>
      <c r="E39" s="464" t="s">
        <v>486</v>
      </c>
      <c r="F39" s="465" t="s">
        <v>487</v>
      </c>
      <c r="G39" s="1"/>
      <c r="H39" s="479"/>
      <c r="I39" s="495"/>
      <c r="J39" s="481"/>
      <c r="K39" s="482"/>
      <c r="L39" s="483"/>
      <c r="M39" s="470"/>
      <c r="N39" s="470"/>
      <c r="O39" s="484"/>
      <c r="P39" s="503"/>
      <c r="Q39" s="503"/>
      <c r="R39" s="503"/>
      <c r="S39" s="503"/>
      <c r="T39" s="503"/>
      <c r="U39" s="503"/>
    </row>
    <row r="40" ht="15.75" customHeight="1">
      <c r="B40" s="507" t="s">
        <v>403</v>
      </c>
      <c r="C40" s="478" t="s">
        <v>452</v>
      </c>
      <c r="D40" s="463" t="s">
        <v>396</v>
      </c>
      <c r="E40" s="464" t="s">
        <v>488</v>
      </c>
      <c r="F40" s="465" t="s">
        <v>489</v>
      </c>
      <c r="G40" s="1"/>
      <c r="H40" s="537"/>
      <c r="I40" s="495"/>
      <c r="J40" s="481"/>
      <c r="K40" s="482"/>
      <c r="L40" s="483"/>
      <c r="M40" s="470"/>
      <c r="N40" s="470"/>
      <c r="O40" s="484"/>
      <c r="P40" s="503"/>
      <c r="Q40" s="503"/>
      <c r="R40" s="503"/>
      <c r="S40" s="503"/>
      <c r="T40" s="503"/>
      <c r="U40" s="503"/>
    </row>
    <row r="41" ht="15.75" customHeight="1">
      <c r="B41" s="536" t="s">
        <v>452</v>
      </c>
      <c r="C41" s="538" t="s">
        <v>403</v>
      </c>
      <c r="D41" s="463" t="s">
        <v>437</v>
      </c>
      <c r="E41" s="539" t="s">
        <v>490</v>
      </c>
      <c r="F41" s="540" t="s">
        <v>491</v>
      </c>
      <c r="G41" s="1"/>
      <c r="H41" s="537"/>
      <c r="I41" s="495"/>
      <c r="J41" s="481"/>
      <c r="K41" s="482"/>
      <c r="L41" s="483"/>
      <c r="M41" s="470"/>
      <c r="N41" s="470"/>
      <c r="O41" s="484"/>
      <c r="P41" s="503"/>
      <c r="Q41" s="503"/>
      <c r="R41" s="503"/>
      <c r="S41" s="503"/>
      <c r="T41" s="503"/>
      <c r="U41" s="503"/>
    </row>
    <row r="42" ht="15.75" customHeight="1">
      <c r="A42" s="433"/>
      <c r="B42" s="498"/>
      <c r="C42" s="541"/>
      <c r="D42" s="542"/>
      <c r="E42" s="543"/>
      <c r="F42" s="544"/>
      <c r="G42" s="1"/>
      <c r="H42" s="545"/>
      <c r="I42" s="546"/>
      <c r="J42" s="547"/>
      <c r="K42" s="455"/>
      <c r="L42" s="548"/>
      <c r="M42" s="457"/>
      <c r="N42" s="457"/>
      <c r="O42" s="549"/>
      <c r="P42" s="550"/>
      <c r="Q42" s="550"/>
      <c r="R42" s="550"/>
      <c r="S42" s="550"/>
      <c r="T42" s="550"/>
      <c r="U42" s="550"/>
    </row>
    <row r="43" ht="15.75" customHeight="1">
      <c r="A43" s="433" t="s">
        <v>249</v>
      </c>
      <c r="B43" s="474" t="s">
        <v>423</v>
      </c>
      <c r="C43" s="478" t="s">
        <v>444</v>
      </c>
      <c r="D43" s="463" t="s">
        <v>396</v>
      </c>
      <c r="E43" s="539" t="s">
        <v>492</v>
      </c>
      <c r="F43" s="540" t="s">
        <v>493</v>
      </c>
      <c r="G43" s="1"/>
      <c r="H43" s="537"/>
      <c r="I43" s="495"/>
      <c r="J43" s="481"/>
      <c r="K43" s="482"/>
      <c r="L43" s="483"/>
      <c r="M43" s="470"/>
      <c r="N43" s="470"/>
      <c r="O43" s="484"/>
      <c r="P43" s="503"/>
      <c r="Q43" s="503"/>
      <c r="R43" s="503"/>
      <c r="S43" s="503"/>
      <c r="T43" s="503"/>
      <c r="U43" s="503"/>
    </row>
    <row r="44" ht="15.75" customHeight="1">
      <c r="B44" s="536" t="s">
        <v>444</v>
      </c>
      <c r="C44" s="538" t="s">
        <v>423</v>
      </c>
      <c r="D44" s="463" t="s">
        <v>418</v>
      </c>
      <c r="E44" s="539" t="s">
        <v>494</v>
      </c>
      <c r="F44" s="540" t="s">
        <v>495</v>
      </c>
      <c r="G44" s="1"/>
      <c r="H44" s="537"/>
      <c r="I44" s="495"/>
      <c r="J44" s="481"/>
      <c r="K44" s="482"/>
      <c r="L44" s="483"/>
      <c r="M44" s="470"/>
      <c r="N44" s="470"/>
      <c r="O44" s="484"/>
      <c r="P44" s="503"/>
      <c r="Q44" s="503"/>
      <c r="R44" s="503"/>
      <c r="S44" s="503"/>
      <c r="T44" s="503"/>
      <c r="U44" s="503"/>
    </row>
    <row r="45" ht="15.75" customHeight="1">
      <c r="B45" s="474" t="s">
        <v>496</v>
      </c>
      <c r="C45" s="478" t="s">
        <v>414</v>
      </c>
      <c r="D45" s="463" t="s">
        <v>434</v>
      </c>
      <c r="E45" s="539" t="s">
        <v>497</v>
      </c>
      <c r="F45" s="540" t="s">
        <v>498</v>
      </c>
      <c r="G45" s="1"/>
      <c r="H45" s="537"/>
      <c r="I45" s="495"/>
      <c r="J45" s="481"/>
      <c r="K45" s="482"/>
      <c r="L45" s="456"/>
      <c r="M45" s="470"/>
      <c r="N45" s="470"/>
      <c r="O45" s="473"/>
      <c r="P45" s="472"/>
      <c r="Q45" s="472"/>
      <c r="R45" s="472"/>
      <c r="S45" s="472"/>
      <c r="T45" s="472"/>
      <c r="U45" s="472"/>
    </row>
    <row r="46" ht="15.75" customHeight="1">
      <c r="B46" s="474" t="s">
        <v>399</v>
      </c>
      <c r="C46" s="478" t="s">
        <v>414</v>
      </c>
      <c r="D46" s="463" t="s">
        <v>415</v>
      </c>
      <c r="E46" s="539" t="s">
        <v>499</v>
      </c>
      <c r="F46" s="540" t="s">
        <v>500</v>
      </c>
      <c r="G46" s="1"/>
      <c r="H46" s="537"/>
      <c r="I46" s="495"/>
      <c r="L46" s="483"/>
      <c r="M46" s="470"/>
      <c r="N46" s="470"/>
      <c r="O46" s="484"/>
      <c r="P46" s="503"/>
      <c r="Q46" s="503"/>
      <c r="R46" s="503"/>
      <c r="S46" s="503"/>
      <c r="T46" s="503"/>
      <c r="U46" s="503"/>
    </row>
    <row r="47" ht="15.75" customHeight="1">
      <c r="B47" s="491" t="s">
        <v>414</v>
      </c>
      <c r="C47" s="247" t="s">
        <v>399</v>
      </c>
      <c r="D47" s="518" t="s">
        <v>501</v>
      </c>
      <c r="E47" s="519" t="s">
        <v>502</v>
      </c>
      <c r="F47" s="551" t="s">
        <v>503</v>
      </c>
      <c r="G47" s="1"/>
      <c r="H47" s="537"/>
      <c r="I47" s="495"/>
      <c r="L47" s="483"/>
      <c r="M47" s="470"/>
      <c r="N47" s="470"/>
      <c r="O47" s="484"/>
      <c r="P47" s="503"/>
      <c r="Q47" s="503"/>
      <c r="R47" s="503"/>
      <c r="S47" s="503"/>
      <c r="T47" s="503"/>
      <c r="U47" s="503"/>
    </row>
    <row r="48" ht="15.75" customHeight="1">
      <c r="B48" s="504" t="s">
        <v>38</v>
      </c>
      <c r="C48" s="162" t="s">
        <v>49</v>
      </c>
      <c r="D48" s="518" t="s">
        <v>407</v>
      </c>
      <c r="E48" s="519" t="s">
        <v>504</v>
      </c>
      <c r="F48" s="551" t="s">
        <v>505</v>
      </c>
      <c r="G48" s="1"/>
      <c r="H48" s="537"/>
      <c r="I48" s="495"/>
      <c r="L48" s="483"/>
      <c r="M48" s="470"/>
      <c r="N48" s="470"/>
      <c r="O48" s="484"/>
      <c r="P48" s="503"/>
      <c r="Q48" s="503"/>
      <c r="R48" s="503"/>
      <c r="S48" s="503"/>
      <c r="T48" s="503"/>
      <c r="U48" s="503"/>
    </row>
    <row r="49" ht="15.75" customHeight="1">
      <c r="B49" s="504" t="s">
        <v>403</v>
      </c>
      <c r="C49" s="162" t="s">
        <v>414</v>
      </c>
      <c r="D49" s="518" t="s">
        <v>396</v>
      </c>
      <c r="E49" s="519" t="s">
        <v>506</v>
      </c>
      <c r="F49" s="551" t="s">
        <v>507</v>
      </c>
      <c r="G49" s="1"/>
      <c r="H49" s="537"/>
      <c r="I49" s="495"/>
      <c r="L49" s="483"/>
      <c r="M49" s="470"/>
      <c r="N49" s="470"/>
      <c r="O49" s="484"/>
      <c r="P49" s="503"/>
      <c r="Q49" s="503"/>
      <c r="R49" s="503"/>
      <c r="S49" s="503"/>
      <c r="T49" s="503"/>
      <c r="U49" s="503"/>
    </row>
    <row r="50" ht="15.75" customHeight="1">
      <c r="B50" s="491" t="s">
        <v>414</v>
      </c>
      <c r="C50" s="247" t="s">
        <v>403</v>
      </c>
      <c r="D50" s="518" t="s">
        <v>449</v>
      </c>
      <c r="E50" s="519" t="s">
        <v>508</v>
      </c>
      <c r="F50" s="551" t="s">
        <v>509</v>
      </c>
      <c r="G50" s="1"/>
      <c r="H50" s="537"/>
      <c r="I50" s="495"/>
      <c r="L50" s="483"/>
      <c r="M50" s="470"/>
      <c r="N50" s="470"/>
      <c r="O50" s="484"/>
      <c r="P50" s="503"/>
      <c r="Q50" s="503"/>
      <c r="R50" s="503"/>
      <c r="S50" s="503"/>
      <c r="T50" s="503"/>
      <c r="U50" s="503"/>
    </row>
    <row r="51" ht="15.75" customHeight="1">
      <c r="B51" s="504" t="s">
        <v>38</v>
      </c>
      <c r="C51" s="162" t="s">
        <v>40</v>
      </c>
      <c r="D51" s="518" t="s">
        <v>400</v>
      </c>
      <c r="E51" s="519" t="s">
        <v>510</v>
      </c>
      <c r="F51" s="551" t="s">
        <v>511</v>
      </c>
      <c r="G51" s="1"/>
      <c r="H51" s="537"/>
      <c r="I51" s="495"/>
      <c r="L51" s="483"/>
      <c r="M51" s="470"/>
      <c r="N51" s="470"/>
      <c r="O51" s="484"/>
      <c r="P51" s="503"/>
      <c r="Q51" s="503"/>
      <c r="R51" s="503"/>
      <c r="S51" s="503"/>
      <c r="T51" s="503"/>
      <c r="U51" s="503"/>
    </row>
    <row r="52" ht="15.75" customHeight="1">
      <c r="B52" s="504" t="s">
        <v>496</v>
      </c>
      <c r="C52" s="162" t="s">
        <v>38</v>
      </c>
      <c r="D52" s="518" t="s">
        <v>400</v>
      </c>
      <c r="E52" s="519" t="s">
        <v>512</v>
      </c>
      <c r="F52" s="551" t="s">
        <v>513</v>
      </c>
      <c r="G52" s="1"/>
      <c r="H52" s="537"/>
      <c r="I52" s="495"/>
      <c r="L52" s="483"/>
      <c r="M52" s="470"/>
      <c r="N52" s="470"/>
      <c r="O52" s="484"/>
      <c r="P52" s="503"/>
      <c r="Q52" s="503"/>
      <c r="R52" s="503"/>
      <c r="S52" s="503"/>
      <c r="T52" s="503"/>
      <c r="U52" s="503"/>
    </row>
    <row r="53" ht="15.75" customHeight="1">
      <c r="B53" s="504" t="s">
        <v>429</v>
      </c>
      <c r="C53" s="162" t="s">
        <v>48</v>
      </c>
      <c r="D53" s="518" t="s">
        <v>434</v>
      </c>
      <c r="E53" s="519" t="s">
        <v>514</v>
      </c>
      <c r="F53" s="551" t="s">
        <v>515</v>
      </c>
      <c r="G53" s="1"/>
      <c r="H53" s="537"/>
      <c r="I53" s="495"/>
      <c r="L53" s="483"/>
      <c r="M53" s="470"/>
      <c r="N53" s="470"/>
      <c r="O53" s="484"/>
      <c r="P53" s="503"/>
      <c r="Q53" s="503"/>
      <c r="R53" s="503"/>
      <c r="S53" s="503"/>
      <c r="T53" s="503"/>
      <c r="U53" s="503"/>
    </row>
    <row r="54" ht="15.75" customHeight="1">
      <c r="B54" s="491" t="s">
        <v>48</v>
      </c>
      <c r="C54" s="247" t="s">
        <v>429</v>
      </c>
      <c r="D54" s="518" t="s">
        <v>449</v>
      </c>
      <c r="E54" s="519" t="s">
        <v>516</v>
      </c>
      <c r="F54" s="551" t="s">
        <v>517</v>
      </c>
      <c r="G54" s="1"/>
      <c r="H54" s="537"/>
      <c r="I54" s="495"/>
      <c r="L54" s="483"/>
      <c r="M54" s="470"/>
      <c r="N54" s="470"/>
      <c r="O54" s="484"/>
      <c r="P54" s="503"/>
      <c r="Q54" s="503"/>
      <c r="R54" s="503"/>
      <c r="S54" s="503"/>
      <c r="T54" s="503"/>
      <c r="U54" s="503"/>
    </row>
    <row r="55" ht="15.75" customHeight="1">
      <c r="B55" s="504" t="s">
        <v>429</v>
      </c>
      <c r="C55" s="162" t="s">
        <v>49</v>
      </c>
      <c r="D55" s="518" t="s">
        <v>396</v>
      </c>
      <c r="E55" s="519" t="s">
        <v>518</v>
      </c>
      <c r="F55" s="551" t="s">
        <v>519</v>
      </c>
      <c r="G55" s="1"/>
      <c r="H55" s="537"/>
      <c r="I55" s="495"/>
      <c r="L55" s="483"/>
      <c r="M55" s="470"/>
      <c r="N55" s="470"/>
      <c r="O55" s="484"/>
      <c r="P55" s="503"/>
      <c r="Q55" s="503"/>
      <c r="R55" s="503"/>
      <c r="S55" s="503"/>
      <c r="T55" s="503"/>
      <c r="U55" s="503"/>
    </row>
    <row r="56" ht="15.75" customHeight="1">
      <c r="B56" s="504" t="s">
        <v>406</v>
      </c>
      <c r="C56" s="162" t="s">
        <v>452</v>
      </c>
      <c r="D56" s="518" t="s">
        <v>400</v>
      </c>
      <c r="E56" s="519" t="s">
        <v>520</v>
      </c>
      <c r="F56" s="551" t="s">
        <v>521</v>
      </c>
      <c r="G56" s="1"/>
      <c r="H56" s="537"/>
      <c r="I56" s="495"/>
      <c r="L56" s="483"/>
      <c r="M56" s="470"/>
      <c r="N56" s="470"/>
      <c r="O56" s="484"/>
      <c r="P56" s="503"/>
      <c r="Q56" s="503"/>
      <c r="R56" s="503"/>
      <c r="S56" s="503"/>
      <c r="T56" s="503"/>
      <c r="U56" s="503"/>
    </row>
    <row r="57" ht="15.75" customHeight="1">
      <c r="B57" s="504" t="s">
        <v>452</v>
      </c>
      <c r="C57" s="162" t="s">
        <v>406</v>
      </c>
      <c r="D57" s="518" t="s">
        <v>415</v>
      </c>
      <c r="E57" s="519" t="s">
        <v>522</v>
      </c>
      <c r="F57" s="551" t="s">
        <v>523</v>
      </c>
      <c r="G57" s="1"/>
      <c r="H57" s="537"/>
      <c r="I57" s="495"/>
      <c r="L57" s="483"/>
      <c r="M57" s="470"/>
      <c r="N57" s="470"/>
      <c r="O57" s="484"/>
      <c r="P57" s="503"/>
      <c r="Q57" s="503"/>
      <c r="R57" s="503"/>
      <c r="S57" s="503"/>
      <c r="T57" s="503"/>
      <c r="U57" s="503"/>
    </row>
    <row r="58" ht="15.75" customHeight="1">
      <c r="B58" s="504" t="s">
        <v>452</v>
      </c>
      <c r="C58" s="162" t="s">
        <v>40</v>
      </c>
      <c r="D58" s="518" t="s">
        <v>415</v>
      </c>
      <c r="E58" s="519" t="s">
        <v>524</v>
      </c>
      <c r="F58" s="551" t="s">
        <v>525</v>
      </c>
      <c r="G58" s="1"/>
      <c r="H58" s="537"/>
      <c r="I58" s="495"/>
      <c r="L58" s="483"/>
      <c r="M58" s="470"/>
      <c r="N58" s="470"/>
      <c r="O58" s="484"/>
      <c r="P58" s="503"/>
      <c r="Q58" s="503"/>
      <c r="R58" s="503"/>
      <c r="S58" s="503"/>
      <c r="T58" s="503"/>
      <c r="U58" s="503"/>
    </row>
    <row r="59" ht="15.75" customHeight="1">
      <c r="B59" s="504" t="s">
        <v>526</v>
      </c>
      <c r="C59" s="162" t="s">
        <v>399</v>
      </c>
      <c r="D59" s="518" t="s">
        <v>400</v>
      </c>
      <c r="E59" s="519" t="s">
        <v>527</v>
      </c>
      <c r="F59" s="551" t="s">
        <v>528</v>
      </c>
      <c r="G59" s="1"/>
      <c r="H59" s="537"/>
      <c r="I59" s="495"/>
      <c r="L59" s="483"/>
      <c r="M59" s="470"/>
      <c r="N59" s="470"/>
      <c r="O59" s="484"/>
      <c r="P59" s="503"/>
      <c r="Q59" s="503"/>
      <c r="R59" s="503"/>
      <c r="S59" s="503"/>
      <c r="T59" s="503"/>
      <c r="U59" s="503"/>
    </row>
    <row r="60" ht="15.75" customHeight="1">
      <c r="B60" s="504" t="s">
        <v>423</v>
      </c>
      <c r="C60" s="162" t="s">
        <v>48</v>
      </c>
      <c r="D60" s="518" t="s">
        <v>396</v>
      </c>
      <c r="E60" s="519" t="s">
        <v>529</v>
      </c>
      <c r="F60" s="551" t="s">
        <v>530</v>
      </c>
      <c r="G60" s="1"/>
      <c r="H60" s="537"/>
      <c r="I60" s="495"/>
      <c r="L60" s="483"/>
      <c r="M60" s="470"/>
      <c r="N60" s="470"/>
      <c r="O60" s="484"/>
      <c r="P60" s="503"/>
      <c r="Q60" s="503"/>
      <c r="R60" s="503"/>
      <c r="S60" s="503"/>
      <c r="T60" s="503"/>
      <c r="U60" s="503"/>
    </row>
    <row r="61" ht="15.75" customHeight="1">
      <c r="B61" s="491" t="s">
        <v>48</v>
      </c>
      <c r="C61" s="247" t="s">
        <v>423</v>
      </c>
      <c r="D61" s="518" t="s">
        <v>410</v>
      </c>
      <c r="E61" s="519" t="s">
        <v>531</v>
      </c>
      <c r="F61" s="551" t="s">
        <v>532</v>
      </c>
      <c r="G61" s="1"/>
      <c r="H61" s="537"/>
      <c r="I61" s="495"/>
      <c r="L61" s="483"/>
      <c r="M61" s="470"/>
      <c r="N61" s="470"/>
      <c r="O61" s="484"/>
      <c r="P61" s="503"/>
      <c r="Q61" s="503"/>
      <c r="R61" s="503"/>
      <c r="S61" s="503"/>
      <c r="T61" s="503"/>
      <c r="U61" s="503"/>
    </row>
    <row r="62" ht="15.75" customHeight="1">
      <c r="B62" s="504" t="s">
        <v>423</v>
      </c>
      <c r="C62" s="162" t="s">
        <v>403</v>
      </c>
      <c r="D62" s="518" t="s">
        <v>400</v>
      </c>
      <c r="E62" s="519" t="s">
        <v>533</v>
      </c>
      <c r="F62" s="551" t="s">
        <v>534</v>
      </c>
      <c r="G62" s="1"/>
      <c r="H62" s="537"/>
      <c r="I62" s="495"/>
      <c r="L62" s="483"/>
      <c r="M62" s="470"/>
      <c r="N62" s="470"/>
      <c r="O62" s="484"/>
      <c r="P62" s="503"/>
      <c r="Q62" s="503"/>
      <c r="R62" s="503"/>
      <c r="S62" s="503"/>
      <c r="T62" s="503"/>
      <c r="U62" s="503"/>
    </row>
    <row r="63" ht="15.75" customHeight="1">
      <c r="A63" s="552" t="s">
        <v>295</v>
      </c>
      <c r="B63" s="521"/>
      <c r="C63" s="449"/>
      <c r="D63" s="450"/>
      <c r="E63" s="451"/>
      <c r="F63" s="452"/>
      <c r="G63" s="522"/>
      <c r="H63" s="453"/>
      <c r="I63" s="453"/>
      <c r="J63" s="454"/>
      <c r="K63" s="455"/>
      <c r="L63" s="483"/>
      <c r="M63" s="470"/>
      <c r="N63" s="470"/>
      <c r="O63" s="484"/>
      <c r="P63" s="503"/>
      <c r="Q63" s="503"/>
      <c r="R63" s="503"/>
      <c r="S63" s="503"/>
      <c r="T63" s="503"/>
      <c r="U63" s="503"/>
    </row>
    <row r="64" ht="15.75" customHeight="1">
      <c r="B64" s="474" t="s">
        <v>49</v>
      </c>
      <c r="C64" s="475" t="s">
        <v>526</v>
      </c>
      <c r="D64" s="553" t="s">
        <v>396</v>
      </c>
      <c r="E64" s="554" t="s">
        <v>535</v>
      </c>
      <c r="F64" s="540" t="s">
        <v>536</v>
      </c>
      <c r="G64" s="555"/>
      <c r="H64" s="479"/>
      <c r="I64" s="495"/>
      <c r="J64" s="481"/>
      <c r="K64" s="482"/>
      <c r="L64" s="483"/>
      <c r="M64" s="470"/>
      <c r="N64" s="470"/>
      <c r="O64" s="484"/>
      <c r="P64" s="503"/>
      <c r="Q64" s="503"/>
      <c r="R64" s="503"/>
      <c r="S64" s="503"/>
      <c r="T64" s="503"/>
      <c r="U64" s="503"/>
    </row>
    <row r="65" ht="15.75" customHeight="1">
      <c r="B65" s="536" t="s">
        <v>444</v>
      </c>
      <c r="C65" s="525" t="s">
        <v>40</v>
      </c>
      <c r="D65" s="553" t="s">
        <v>410</v>
      </c>
      <c r="E65" s="554" t="s">
        <v>537</v>
      </c>
      <c r="F65" s="540" t="s">
        <v>538</v>
      </c>
      <c r="H65" s="479"/>
      <c r="I65" s="495"/>
      <c r="J65" s="481"/>
      <c r="K65" s="482"/>
      <c r="L65" s="483"/>
      <c r="M65" s="470"/>
      <c r="N65" s="470"/>
      <c r="O65" s="484"/>
      <c r="P65" s="503"/>
      <c r="Q65" s="503"/>
      <c r="R65" s="503"/>
      <c r="S65" s="503"/>
      <c r="T65" s="503"/>
      <c r="U65" s="503"/>
    </row>
    <row r="66" ht="15.75" customHeight="1">
      <c r="B66" s="474" t="s">
        <v>496</v>
      </c>
      <c r="C66" s="475" t="s">
        <v>444</v>
      </c>
      <c r="D66" s="553" t="s">
        <v>434</v>
      </c>
      <c r="E66" s="554" t="s">
        <v>539</v>
      </c>
      <c r="F66" s="540" t="s">
        <v>540</v>
      </c>
      <c r="H66" s="479"/>
      <c r="I66" s="495"/>
      <c r="J66" s="481"/>
      <c r="K66" s="482"/>
      <c r="L66" s="490"/>
      <c r="M66" s="470"/>
      <c r="N66" s="470"/>
      <c r="O66" s="484"/>
      <c r="P66" s="503"/>
      <c r="Q66" s="503"/>
      <c r="R66" s="503"/>
      <c r="S66" s="503"/>
      <c r="T66" s="503"/>
      <c r="U66" s="503"/>
    </row>
    <row r="67" ht="15.75" customHeight="1">
      <c r="B67" s="474" t="s">
        <v>43</v>
      </c>
      <c r="C67" s="475" t="s">
        <v>399</v>
      </c>
      <c r="D67" s="553" t="s">
        <v>396</v>
      </c>
      <c r="E67" s="554" t="s">
        <v>541</v>
      </c>
      <c r="F67" s="540" t="s">
        <v>542</v>
      </c>
      <c r="H67" s="479"/>
      <c r="I67" s="495"/>
      <c r="J67" s="481"/>
      <c r="K67" s="482"/>
      <c r="L67" s="490"/>
      <c r="M67" s="470"/>
      <c r="N67" s="470"/>
      <c r="O67" s="484"/>
      <c r="P67" s="503"/>
      <c r="Q67" s="503"/>
      <c r="R67" s="503"/>
      <c r="S67" s="503"/>
      <c r="T67" s="503"/>
      <c r="U67" s="503"/>
    </row>
    <row r="68" ht="15.75" customHeight="1">
      <c r="B68" s="536" t="s">
        <v>399</v>
      </c>
      <c r="C68" s="525" t="s">
        <v>43</v>
      </c>
      <c r="D68" s="553" t="s">
        <v>418</v>
      </c>
      <c r="E68" s="554" t="s">
        <v>543</v>
      </c>
      <c r="F68" s="540" t="s">
        <v>544</v>
      </c>
      <c r="H68" s="479"/>
      <c r="I68" s="495"/>
      <c r="J68" s="489"/>
      <c r="K68" s="482"/>
      <c r="L68" s="490"/>
      <c r="M68" s="470"/>
      <c r="N68" s="470"/>
      <c r="O68" s="484"/>
      <c r="P68" s="503"/>
      <c r="Q68" s="503"/>
      <c r="R68" s="503"/>
      <c r="S68" s="503"/>
      <c r="T68" s="503"/>
      <c r="U68" s="503"/>
    </row>
    <row r="69" ht="15.75" customHeight="1">
      <c r="B69" s="536" t="s">
        <v>414</v>
      </c>
      <c r="C69" s="525" t="s">
        <v>43</v>
      </c>
      <c r="D69" s="553" t="s">
        <v>396</v>
      </c>
      <c r="E69" s="554" t="s">
        <v>545</v>
      </c>
      <c r="F69" s="540" t="s">
        <v>546</v>
      </c>
      <c r="H69" s="479"/>
      <c r="I69" s="495"/>
      <c r="J69" s="489"/>
      <c r="K69" s="482"/>
      <c r="L69" s="490"/>
      <c r="M69" s="470"/>
      <c r="N69" s="470"/>
      <c r="O69" s="484"/>
      <c r="P69" s="503"/>
      <c r="Q69" s="503"/>
      <c r="R69" s="503"/>
      <c r="S69" s="503"/>
      <c r="T69" s="503"/>
      <c r="U69" s="503"/>
    </row>
    <row r="70" ht="15.75" customHeight="1">
      <c r="B70" s="556" t="s">
        <v>43</v>
      </c>
      <c r="C70" s="557" t="s">
        <v>414</v>
      </c>
      <c r="D70" s="558" t="s">
        <v>434</v>
      </c>
      <c r="E70" s="554" t="s">
        <v>547</v>
      </c>
      <c r="F70" s="540" t="s">
        <v>548</v>
      </c>
      <c r="G70" s="555"/>
      <c r="H70" s="479"/>
      <c r="I70" s="495"/>
      <c r="J70" s="489"/>
      <c r="K70" s="482"/>
      <c r="L70" s="490"/>
      <c r="M70" s="470"/>
      <c r="N70" s="470"/>
      <c r="O70" s="484"/>
      <c r="P70" s="503"/>
      <c r="Q70" s="503"/>
      <c r="R70" s="503"/>
      <c r="S70" s="503"/>
      <c r="T70" s="503"/>
      <c r="U70" s="503"/>
    </row>
    <row r="71" ht="15.75" customHeight="1">
      <c r="B71" s="556" t="s">
        <v>549</v>
      </c>
      <c r="C71" s="557" t="s">
        <v>444</v>
      </c>
      <c r="D71" s="558" t="s">
        <v>434</v>
      </c>
      <c r="E71" s="554" t="s">
        <v>550</v>
      </c>
      <c r="F71" s="540" t="s">
        <v>551</v>
      </c>
      <c r="G71" s="555"/>
      <c r="H71" s="479"/>
      <c r="I71" s="495"/>
      <c r="J71" s="489"/>
      <c r="K71" s="482"/>
      <c r="L71" s="490"/>
      <c r="M71" s="470"/>
      <c r="N71" s="470"/>
      <c r="O71" s="484"/>
      <c r="P71" s="503"/>
      <c r="Q71" s="503"/>
      <c r="R71" s="503"/>
      <c r="S71" s="503"/>
      <c r="T71" s="503"/>
      <c r="U71" s="503"/>
    </row>
    <row r="72" ht="15.75" customHeight="1">
      <c r="B72" s="491" t="s">
        <v>444</v>
      </c>
      <c r="C72" s="559" t="s">
        <v>549</v>
      </c>
      <c r="D72" s="560" t="s">
        <v>501</v>
      </c>
      <c r="E72" s="554" t="s">
        <v>552</v>
      </c>
      <c r="F72" s="540" t="s">
        <v>553</v>
      </c>
      <c r="G72" s="555"/>
      <c r="H72" s="479"/>
      <c r="I72" s="495"/>
      <c r="J72" s="489"/>
      <c r="K72" s="482"/>
      <c r="L72" s="490"/>
      <c r="M72" s="470"/>
      <c r="N72" s="470"/>
      <c r="O72" s="484"/>
      <c r="P72" s="503"/>
      <c r="Q72" s="503"/>
      <c r="R72" s="503"/>
      <c r="S72" s="503"/>
      <c r="T72" s="503"/>
      <c r="U72" s="503"/>
    </row>
    <row r="73" ht="15.75" customHeight="1">
      <c r="B73" s="474" t="s">
        <v>406</v>
      </c>
      <c r="C73" s="478" t="s">
        <v>414</v>
      </c>
      <c r="D73" s="553" t="s">
        <v>407</v>
      </c>
      <c r="E73" s="554" t="s">
        <v>554</v>
      </c>
      <c r="F73" s="540" t="s">
        <v>555</v>
      </c>
      <c r="G73" s="555"/>
      <c r="H73" s="479"/>
      <c r="I73" s="495"/>
      <c r="J73" s="489"/>
      <c r="K73" s="482"/>
      <c r="L73" s="490"/>
      <c r="M73" s="470"/>
      <c r="N73" s="470"/>
      <c r="O73" s="484"/>
      <c r="P73" s="503"/>
      <c r="Q73" s="503"/>
      <c r="R73" s="503"/>
      <c r="S73" s="503"/>
      <c r="T73" s="503"/>
      <c r="U73" s="503"/>
    </row>
    <row r="74" ht="15.75" customHeight="1">
      <c r="B74" s="536" t="s">
        <v>414</v>
      </c>
      <c r="C74" s="538" t="s">
        <v>406</v>
      </c>
      <c r="D74" s="553" t="s">
        <v>410</v>
      </c>
      <c r="E74" s="554" t="s">
        <v>556</v>
      </c>
      <c r="F74" s="540" t="s">
        <v>557</v>
      </c>
      <c r="G74" s="555"/>
      <c r="H74" s="479"/>
      <c r="I74" s="495"/>
      <c r="J74" s="489"/>
      <c r="K74" s="482"/>
      <c r="L74" s="490"/>
      <c r="M74" s="470"/>
      <c r="N74" s="470"/>
      <c r="O74" s="484"/>
      <c r="P74" s="503"/>
      <c r="Q74" s="503"/>
      <c r="R74" s="503"/>
      <c r="S74" s="503"/>
      <c r="T74" s="503"/>
      <c r="U74" s="503"/>
    </row>
    <row r="75" ht="15.75" customHeight="1">
      <c r="B75" s="474" t="s">
        <v>423</v>
      </c>
      <c r="C75" s="478" t="s">
        <v>549</v>
      </c>
      <c r="D75" s="553" t="s">
        <v>400</v>
      </c>
      <c r="E75" s="554" t="s">
        <v>558</v>
      </c>
      <c r="F75" s="540" t="s">
        <v>559</v>
      </c>
      <c r="G75" s="555"/>
      <c r="H75" s="479"/>
      <c r="I75" s="480"/>
      <c r="J75" s="489"/>
      <c r="K75" s="482"/>
      <c r="L75" s="490"/>
      <c r="M75" s="470"/>
      <c r="N75" s="470"/>
      <c r="O75" s="484"/>
      <c r="P75" s="503"/>
      <c r="Q75" s="503"/>
      <c r="R75" s="503"/>
      <c r="S75" s="503"/>
      <c r="T75" s="503"/>
      <c r="U75" s="503"/>
    </row>
    <row r="76" ht="15.75" customHeight="1">
      <c r="B76" s="474" t="s">
        <v>560</v>
      </c>
      <c r="C76" s="478" t="s">
        <v>423</v>
      </c>
      <c r="D76" s="553" t="s">
        <v>407</v>
      </c>
      <c r="E76" s="554" t="s">
        <v>561</v>
      </c>
      <c r="F76" s="540" t="s">
        <v>562</v>
      </c>
      <c r="G76" s="555"/>
      <c r="H76" s="479"/>
      <c r="I76" s="480"/>
      <c r="J76" s="489"/>
      <c r="K76" s="482"/>
      <c r="L76" s="490"/>
      <c r="M76" s="470"/>
      <c r="N76" s="470"/>
      <c r="O76" s="484"/>
      <c r="P76" s="503"/>
      <c r="Q76" s="503"/>
      <c r="R76" s="503"/>
      <c r="S76" s="503"/>
      <c r="T76" s="503"/>
      <c r="U76" s="503"/>
    </row>
    <row r="77" ht="15.75" customHeight="1">
      <c r="B77" s="474" t="s">
        <v>429</v>
      </c>
      <c r="C77" s="478" t="s">
        <v>414</v>
      </c>
      <c r="D77" s="553" t="s">
        <v>400</v>
      </c>
      <c r="E77" s="554" t="s">
        <v>563</v>
      </c>
      <c r="F77" s="540" t="s">
        <v>564</v>
      </c>
      <c r="G77" s="555"/>
      <c r="H77" s="479"/>
      <c r="I77" s="480"/>
      <c r="J77" s="482"/>
      <c r="K77" s="471"/>
      <c r="L77" s="490"/>
      <c r="M77" s="470"/>
      <c r="N77" s="470"/>
      <c r="O77" s="484"/>
      <c r="P77" s="503"/>
      <c r="Q77" s="503"/>
      <c r="R77" s="503"/>
      <c r="S77" s="503"/>
      <c r="T77" s="503"/>
      <c r="U77" s="503"/>
    </row>
    <row r="78" ht="15.75" customHeight="1">
      <c r="B78" s="474" t="s">
        <v>429</v>
      </c>
      <c r="C78" s="478" t="s">
        <v>423</v>
      </c>
      <c r="D78" s="553" t="s">
        <v>396</v>
      </c>
      <c r="E78" s="554" t="s">
        <v>397</v>
      </c>
      <c r="F78" s="561" t="s">
        <v>565</v>
      </c>
      <c r="G78" s="555"/>
      <c r="H78" s="479"/>
      <c r="I78" s="480"/>
      <c r="J78" s="489"/>
      <c r="K78" s="482"/>
      <c r="L78" s="490"/>
      <c r="M78" s="470"/>
      <c r="N78" s="470"/>
      <c r="O78" s="484"/>
      <c r="P78" s="503"/>
      <c r="Q78" s="503"/>
      <c r="R78" s="503"/>
      <c r="S78" s="503"/>
      <c r="T78" s="503"/>
      <c r="U78" s="503"/>
    </row>
    <row r="79" ht="15.75" customHeight="1">
      <c r="B79" s="474" t="s">
        <v>423</v>
      </c>
      <c r="C79" s="478" t="s">
        <v>429</v>
      </c>
      <c r="D79" s="553" t="s">
        <v>407</v>
      </c>
      <c r="E79" s="554" t="s">
        <v>566</v>
      </c>
      <c r="F79" s="540" t="s">
        <v>567</v>
      </c>
      <c r="G79" s="555"/>
      <c r="H79" s="479"/>
      <c r="I79" s="480"/>
      <c r="J79" s="489"/>
      <c r="K79" s="482"/>
      <c r="L79" s="490"/>
      <c r="M79" s="470"/>
      <c r="N79" s="470"/>
      <c r="O79" s="484"/>
      <c r="P79" s="503"/>
      <c r="Q79" s="503"/>
      <c r="R79" s="503"/>
      <c r="S79" s="503"/>
      <c r="T79" s="503"/>
      <c r="U79" s="503"/>
    </row>
    <row r="80" ht="15.75" customHeight="1">
      <c r="B80" s="474" t="s">
        <v>423</v>
      </c>
      <c r="C80" s="478" t="s">
        <v>414</v>
      </c>
      <c r="D80" s="553" t="s">
        <v>434</v>
      </c>
      <c r="E80" s="554" t="s">
        <v>568</v>
      </c>
      <c r="F80" s="540" t="s">
        <v>569</v>
      </c>
      <c r="G80" s="555"/>
      <c r="H80" s="479"/>
      <c r="I80" s="562" t="s">
        <v>570</v>
      </c>
      <c r="J80" s="489"/>
      <c r="K80" s="482"/>
      <c r="L80" s="490"/>
      <c r="M80" s="470"/>
      <c r="N80" s="470"/>
      <c r="O80" s="484"/>
      <c r="P80" s="503"/>
      <c r="Q80" s="503"/>
      <c r="R80" s="503"/>
      <c r="S80" s="503"/>
      <c r="T80" s="503"/>
      <c r="U80" s="503"/>
    </row>
    <row r="81" ht="15.75" customHeight="1">
      <c r="B81" s="474" t="s">
        <v>452</v>
      </c>
      <c r="C81" s="478" t="s">
        <v>423</v>
      </c>
      <c r="D81" s="553" t="s">
        <v>400</v>
      </c>
      <c r="E81" s="554" t="s">
        <v>571</v>
      </c>
      <c r="F81" s="540" t="s">
        <v>572</v>
      </c>
      <c r="G81" s="555"/>
      <c r="H81" s="479"/>
      <c r="I81" s="480"/>
      <c r="J81" s="489"/>
      <c r="K81" s="482"/>
      <c r="L81" s="490"/>
      <c r="M81" s="470"/>
      <c r="N81" s="470"/>
      <c r="O81" s="484"/>
      <c r="P81" s="503"/>
      <c r="Q81" s="503"/>
      <c r="R81" s="503"/>
      <c r="S81" s="503"/>
      <c r="T81" s="503"/>
      <c r="U81" s="503"/>
    </row>
    <row r="82" ht="15.75" customHeight="1">
      <c r="A82" s="433" t="s">
        <v>573</v>
      </c>
      <c r="B82" s="521"/>
      <c r="C82" s="449"/>
      <c r="D82" s="450"/>
      <c r="E82" s="451"/>
      <c r="F82" s="452"/>
      <c r="G82" s="522"/>
      <c r="H82" s="453"/>
      <c r="I82" s="453"/>
      <c r="J82" s="454"/>
      <c r="K82" s="455"/>
      <c r="L82" s="490"/>
      <c r="M82" s="470"/>
      <c r="N82" s="470"/>
      <c r="O82" s="484"/>
      <c r="P82" s="503"/>
      <c r="Q82" s="503"/>
      <c r="R82" s="503"/>
      <c r="S82" s="503"/>
      <c r="T82" s="503"/>
      <c r="U82" s="503"/>
    </row>
    <row r="83" ht="15.75" customHeight="1">
      <c r="B83" s="474" t="s">
        <v>526</v>
      </c>
      <c r="C83" s="478" t="s">
        <v>452</v>
      </c>
      <c r="D83" s="553" t="s">
        <v>407</v>
      </c>
      <c r="E83" s="554" t="s">
        <v>574</v>
      </c>
      <c r="F83" s="540" t="s">
        <v>575</v>
      </c>
      <c r="G83" s="555"/>
      <c r="H83" s="479"/>
      <c r="I83" s="480"/>
      <c r="J83" s="489"/>
      <c r="K83" s="482"/>
      <c r="L83" s="490"/>
      <c r="M83" s="470"/>
      <c r="N83" s="470"/>
      <c r="O83" s="484"/>
      <c r="P83" s="503"/>
      <c r="Q83" s="503"/>
      <c r="R83" s="503"/>
      <c r="S83" s="503"/>
      <c r="T83" s="503"/>
      <c r="U83" s="503"/>
    </row>
    <row r="84" ht="15.75" customHeight="1">
      <c r="B84" s="474" t="s">
        <v>452</v>
      </c>
      <c r="C84" s="478" t="s">
        <v>399</v>
      </c>
      <c r="D84" s="553" t="s">
        <v>415</v>
      </c>
      <c r="E84" s="554" t="s">
        <v>576</v>
      </c>
      <c r="F84" s="540" t="s">
        <v>577</v>
      </c>
      <c r="G84" s="555"/>
      <c r="H84" s="479"/>
      <c r="I84" s="480"/>
      <c r="J84" s="489"/>
      <c r="K84" s="482"/>
      <c r="L84" s="490"/>
      <c r="M84" s="470"/>
      <c r="N84" s="470"/>
      <c r="O84" s="484"/>
      <c r="P84" s="503"/>
      <c r="Q84" s="503"/>
      <c r="R84" s="503"/>
      <c r="S84" s="503"/>
      <c r="T84" s="503"/>
      <c r="U84" s="503"/>
    </row>
    <row r="85" ht="15.75" customHeight="1">
      <c r="B85" s="536" t="s">
        <v>399</v>
      </c>
      <c r="C85" s="538" t="s">
        <v>452</v>
      </c>
      <c r="D85" s="553" t="s">
        <v>410</v>
      </c>
      <c r="E85" s="554" t="s">
        <v>578</v>
      </c>
      <c r="F85" s="540" t="s">
        <v>579</v>
      </c>
      <c r="G85" s="555"/>
      <c r="H85" s="479"/>
      <c r="I85" s="480"/>
      <c r="J85" s="489"/>
      <c r="K85" s="482"/>
      <c r="L85" s="490"/>
      <c r="M85" s="470"/>
      <c r="N85" s="470"/>
      <c r="O85" s="484"/>
      <c r="P85" s="503"/>
      <c r="Q85" s="503"/>
      <c r="R85" s="503"/>
      <c r="S85" s="503"/>
      <c r="T85" s="503"/>
      <c r="U85" s="503"/>
    </row>
    <row r="86" ht="15.75" customHeight="1">
      <c r="B86" s="474" t="s">
        <v>48</v>
      </c>
      <c r="C86" s="508" t="s">
        <v>414</v>
      </c>
      <c r="D86" s="558" t="s">
        <v>400</v>
      </c>
      <c r="E86" s="554" t="s">
        <v>580</v>
      </c>
      <c r="F86" s="540" t="s">
        <v>581</v>
      </c>
      <c r="G86" s="433"/>
      <c r="H86" s="479"/>
      <c r="I86" s="480"/>
      <c r="J86" s="489"/>
      <c r="K86" s="563"/>
      <c r="L86" s="490"/>
      <c r="M86" s="470"/>
      <c r="N86" s="470"/>
      <c r="O86" s="484"/>
      <c r="P86" s="503"/>
      <c r="Q86" s="503"/>
      <c r="R86" s="503"/>
      <c r="S86" s="503"/>
      <c r="T86" s="503"/>
      <c r="U86" s="503"/>
    </row>
    <row r="87" ht="15.75" customHeight="1">
      <c r="B87" s="474" t="s">
        <v>549</v>
      </c>
      <c r="C87" s="508" t="s">
        <v>452</v>
      </c>
      <c r="D87" s="558" t="s">
        <v>415</v>
      </c>
      <c r="E87" s="554" t="s">
        <v>582</v>
      </c>
      <c r="F87" s="564" t="s">
        <v>583</v>
      </c>
      <c r="G87" s="433"/>
      <c r="H87" s="479"/>
      <c r="I87" s="480"/>
      <c r="J87" s="489"/>
      <c r="K87" s="563"/>
      <c r="L87" s="490"/>
      <c r="M87" s="470"/>
      <c r="N87" s="470"/>
      <c r="O87" s="484"/>
      <c r="P87" s="503"/>
      <c r="Q87" s="503"/>
      <c r="R87" s="503"/>
      <c r="S87" s="503"/>
      <c r="T87" s="503"/>
      <c r="U87" s="503"/>
    </row>
    <row r="88" ht="15.75" customHeight="1">
      <c r="B88" s="474" t="s">
        <v>549</v>
      </c>
      <c r="C88" s="508" t="s">
        <v>526</v>
      </c>
      <c r="D88" s="558" t="s">
        <v>407</v>
      </c>
      <c r="E88" s="554" t="s">
        <v>584</v>
      </c>
      <c r="F88" s="540" t="s">
        <v>585</v>
      </c>
      <c r="G88" s="433"/>
      <c r="H88" s="479"/>
      <c r="I88" s="480"/>
      <c r="J88" s="489"/>
      <c r="K88" s="563"/>
      <c r="L88" s="490"/>
      <c r="M88" s="470"/>
      <c r="N88" s="470"/>
      <c r="O88" s="484"/>
      <c r="P88" s="503"/>
      <c r="Q88" s="503"/>
      <c r="R88" s="503"/>
      <c r="S88" s="503"/>
      <c r="T88" s="503"/>
      <c r="U88" s="503"/>
    </row>
    <row r="89" ht="15.75" customHeight="1">
      <c r="B89" s="536" t="s">
        <v>526</v>
      </c>
      <c r="C89" s="565" t="s">
        <v>549</v>
      </c>
      <c r="D89" s="558" t="s">
        <v>501</v>
      </c>
      <c r="E89" s="554" t="s">
        <v>586</v>
      </c>
      <c r="F89" s="564" t="s">
        <v>587</v>
      </c>
      <c r="G89" s="433"/>
      <c r="H89" s="479"/>
      <c r="I89" s="480"/>
      <c r="J89" s="489"/>
      <c r="K89" s="563"/>
      <c r="L89" s="490"/>
      <c r="M89" s="470"/>
      <c r="N89" s="470"/>
      <c r="O89" s="484"/>
      <c r="P89" s="503"/>
      <c r="Q89" s="503"/>
      <c r="R89" s="503"/>
      <c r="S89" s="503"/>
      <c r="T89" s="503"/>
      <c r="U89" s="503"/>
    </row>
    <row r="90" ht="15.75" customHeight="1">
      <c r="B90" s="474" t="s">
        <v>403</v>
      </c>
      <c r="C90" s="508" t="s">
        <v>526</v>
      </c>
      <c r="D90" s="558" t="s">
        <v>407</v>
      </c>
      <c r="E90" s="554" t="s">
        <v>588</v>
      </c>
      <c r="F90" s="564" t="s">
        <v>589</v>
      </c>
      <c r="G90" s="433"/>
      <c r="H90" s="479"/>
      <c r="I90" s="480"/>
      <c r="J90" s="489"/>
      <c r="K90" s="563"/>
      <c r="L90" s="490"/>
      <c r="M90" s="470"/>
      <c r="N90" s="470"/>
      <c r="O90" s="484"/>
      <c r="P90" s="503"/>
      <c r="Q90" s="503"/>
      <c r="R90" s="503"/>
      <c r="S90" s="503"/>
      <c r="T90" s="503"/>
      <c r="U90" s="503"/>
    </row>
    <row r="91" ht="15.75" customHeight="1">
      <c r="B91" s="474" t="s">
        <v>590</v>
      </c>
      <c r="C91" s="508" t="s">
        <v>463</v>
      </c>
      <c r="D91" s="558" t="s">
        <v>591</v>
      </c>
      <c r="E91" s="554"/>
      <c r="F91" s="561"/>
      <c r="G91" s="433"/>
      <c r="H91" s="479"/>
      <c r="I91" s="479"/>
      <c r="J91" s="489"/>
      <c r="K91" s="563"/>
      <c r="L91" s="490"/>
      <c r="M91" s="470"/>
      <c r="N91" s="470"/>
      <c r="O91" s="484"/>
      <c r="P91" s="503"/>
      <c r="Q91" s="503"/>
      <c r="R91" s="503"/>
      <c r="S91" s="503"/>
      <c r="T91" s="503"/>
      <c r="U91" s="503"/>
    </row>
    <row r="92" ht="15.75" customHeight="1">
      <c r="B92" s="536" t="s">
        <v>463</v>
      </c>
      <c r="C92" s="565" t="s">
        <v>590</v>
      </c>
      <c r="D92" s="558" t="s">
        <v>591</v>
      </c>
      <c r="E92" s="554"/>
      <c r="F92" s="561"/>
      <c r="G92" s="433"/>
      <c r="H92" s="479"/>
      <c r="I92" s="479"/>
      <c r="J92" s="489"/>
      <c r="K92" s="563"/>
      <c r="L92" s="490"/>
      <c r="M92" s="470"/>
      <c r="N92" s="470"/>
      <c r="O92" s="484"/>
      <c r="P92" s="503"/>
      <c r="Q92" s="503"/>
      <c r="R92" s="503"/>
      <c r="S92" s="503"/>
      <c r="T92" s="503"/>
      <c r="U92" s="503"/>
    </row>
    <row r="93" ht="15.75" customHeight="1">
      <c r="B93" s="536" t="s">
        <v>484</v>
      </c>
      <c r="C93" s="508" t="s">
        <v>463</v>
      </c>
      <c r="D93" s="558" t="s">
        <v>407</v>
      </c>
      <c r="E93" s="554" t="s">
        <v>592</v>
      </c>
      <c r="F93" s="540" t="s">
        <v>593</v>
      </c>
      <c r="G93" s="433"/>
      <c r="H93" s="479"/>
      <c r="I93" s="480"/>
      <c r="J93" s="482"/>
      <c r="K93" s="563"/>
      <c r="L93" s="490"/>
      <c r="M93" s="470"/>
      <c r="N93" s="470"/>
      <c r="O93" s="484"/>
      <c r="P93" s="503"/>
      <c r="Q93" s="503"/>
      <c r="R93" s="503"/>
      <c r="S93" s="503"/>
      <c r="T93" s="503"/>
      <c r="U93" s="503"/>
    </row>
    <row r="94" ht="15.75" customHeight="1">
      <c r="A94" s="433"/>
      <c r="B94" s="536" t="s">
        <v>463</v>
      </c>
      <c r="C94" s="508" t="s">
        <v>484</v>
      </c>
      <c r="D94" s="558" t="s">
        <v>501</v>
      </c>
      <c r="E94" s="554" t="s">
        <v>594</v>
      </c>
      <c r="F94" s="540" t="s">
        <v>595</v>
      </c>
      <c r="G94" s="433"/>
      <c r="H94" s="479"/>
      <c r="I94" s="480"/>
      <c r="J94" s="489"/>
      <c r="K94" s="563"/>
      <c r="L94" s="490"/>
      <c r="M94" s="470"/>
      <c r="N94" s="470"/>
      <c r="O94" s="484"/>
      <c r="P94" s="503"/>
      <c r="Q94" s="503"/>
      <c r="R94" s="503"/>
      <c r="S94" s="503"/>
      <c r="T94" s="503"/>
      <c r="U94" s="503"/>
    </row>
    <row r="95" ht="15.75" customHeight="1">
      <c r="A95" s="433"/>
      <c r="B95" s="474" t="s">
        <v>429</v>
      </c>
      <c r="C95" s="508" t="s">
        <v>596</v>
      </c>
      <c r="D95" s="558" t="s">
        <v>407</v>
      </c>
      <c r="E95" s="554" t="s">
        <v>597</v>
      </c>
      <c r="F95" s="540" t="s">
        <v>598</v>
      </c>
      <c r="G95" s="433"/>
      <c r="H95" s="479"/>
      <c r="I95" s="480"/>
      <c r="J95" s="489"/>
      <c r="K95" s="563"/>
      <c r="L95" s="566"/>
      <c r="M95" s="470"/>
      <c r="N95" s="470"/>
      <c r="O95" s="484"/>
      <c r="P95" s="503"/>
      <c r="Q95" s="503"/>
      <c r="R95" s="503"/>
      <c r="S95" s="503"/>
      <c r="T95" s="503"/>
      <c r="U95" s="503"/>
    </row>
    <row r="96" ht="15.75" customHeight="1">
      <c r="A96" s="54"/>
      <c r="B96" s="474" t="s">
        <v>496</v>
      </c>
      <c r="C96" s="508" t="s">
        <v>429</v>
      </c>
      <c r="D96" s="567" t="s">
        <v>415</v>
      </c>
      <c r="E96" s="554" t="s">
        <v>599</v>
      </c>
      <c r="F96" s="540" t="s">
        <v>600</v>
      </c>
      <c r="G96" s="433"/>
      <c r="H96" s="479"/>
      <c r="I96" s="480"/>
      <c r="J96" s="489"/>
      <c r="K96" s="563"/>
      <c r="L96" s="483"/>
      <c r="M96" s="470"/>
      <c r="N96" s="470"/>
      <c r="O96" s="484"/>
      <c r="P96" s="503"/>
      <c r="Q96" s="503"/>
      <c r="R96" s="503"/>
      <c r="S96" s="503"/>
      <c r="T96" s="503"/>
      <c r="U96" s="503"/>
    </row>
    <row r="97" ht="15.75" customHeight="1">
      <c r="A97" s="54"/>
      <c r="B97" s="504" t="s">
        <v>549</v>
      </c>
      <c r="C97" s="568" t="s">
        <v>429</v>
      </c>
      <c r="D97" s="569" t="s">
        <v>415</v>
      </c>
      <c r="E97" s="519" t="s">
        <v>601</v>
      </c>
      <c r="F97" s="551" t="s">
        <v>602</v>
      </c>
      <c r="G97" s="433"/>
      <c r="H97" s="479"/>
      <c r="I97" s="480"/>
      <c r="J97" s="489"/>
      <c r="K97" s="563"/>
      <c r="L97" s="483"/>
      <c r="M97" s="470"/>
      <c r="N97" s="470"/>
      <c r="O97" s="484"/>
      <c r="P97" s="503"/>
      <c r="Q97" s="503"/>
      <c r="R97" s="503"/>
      <c r="S97" s="503"/>
      <c r="T97" s="503"/>
      <c r="U97" s="503"/>
    </row>
    <row r="98" ht="15.75" customHeight="1">
      <c r="A98" s="54"/>
      <c r="B98" s="491" t="s">
        <v>429</v>
      </c>
      <c r="C98" s="570" t="s">
        <v>560</v>
      </c>
      <c r="D98" s="569" t="s">
        <v>501</v>
      </c>
      <c r="E98" s="519" t="s">
        <v>603</v>
      </c>
      <c r="F98" s="551" t="s">
        <v>604</v>
      </c>
      <c r="G98" s="433"/>
      <c r="H98" s="479"/>
      <c r="I98" s="480"/>
      <c r="J98" s="489"/>
      <c r="K98" s="563"/>
      <c r="L98" s="483"/>
      <c r="M98" s="470"/>
      <c r="N98" s="470"/>
      <c r="O98" s="484"/>
      <c r="P98" s="503"/>
      <c r="Q98" s="503"/>
      <c r="R98" s="503"/>
      <c r="S98" s="503"/>
      <c r="T98" s="503"/>
      <c r="U98" s="503"/>
    </row>
    <row r="99" ht="15.75" customHeight="1">
      <c r="A99" s="54"/>
      <c r="B99" s="504" t="s">
        <v>43</v>
      </c>
      <c r="C99" s="568" t="s">
        <v>444</v>
      </c>
      <c r="D99" s="569" t="s">
        <v>407</v>
      </c>
      <c r="E99" s="519" t="s">
        <v>605</v>
      </c>
      <c r="F99" s="551" t="s">
        <v>606</v>
      </c>
      <c r="G99" s="433"/>
      <c r="H99" s="479"/>
      <c r="I99" s="480"/>
      <c r="J99" s="489"/>
      <c r="K99" s="563"/>
      <c r="L99" s="483"/>
      <c r="M99" s="470"/>
      <c r="N99" s="470"/>
      <c r="O99" s="484"/>
      <c r="P99" s="503"/>
      <c r="Q99" s="503"/>
      <c r="R99" s="503"/>
      <c r="S99" s="503"/>
      <c r="T99" s="503"/>
      <c r="U99" s="503"/>
    </row>
    <row r="100" ht="15.75" customHeight="1">
      <c r="A100" s="54"/>
      <c r="B100" s="504" t="s">
        <v>43</v>
      </c>
      <c r="C100" s="568" t="s">
        <v>452</v>
      </c>
      <c r="D100" s="569" t="s">
        <v>415</v>
      </c>
      <c r="E100" s="519" t="s">
        <v>607</v>
      </c>
      <c r="F100" s="551" t="s">
        <v>608</v>
      </c>
      <c r="G100" s="433"/>
      <c r="H100" s="479"/>
      <c r="I100" s="480"/>
      <c r="J100" s="489"/>
      <c r="K100" s="563"/>
      <c r="L100" s="483"/>
      <c r="M100" s="470"/>
      <c r="N100" s="470"/>
      <c r="O100" s="484"/>
      <c r="P100" s="503"/>
      <c r="Q100" s="503"/>
      <c r="R100" s="503"/>
      <c r="S100" s="503"/>
      <c r="T100" s="503"/>
      <c r="U100" s="503"/>
    </row>
    <row r="101" ht="15.75" customHeight="1">
      <c r="A101" s="54"/>
      <c r="B101" s="491" t="s">
        <v>452</v>
      </c>
      <c r="C101" s="570" t="s">
        <v>43</v>
      </c>
      <c r="D101" s="569" t="s">
        <v>501</v>
      </c>
      <c r="E101" s="519" t="s">
        <v>609</v>
      </c>
      <c r="F101" s="551" t="s">
        <v>610</v>
      </c>
      <c r="G101" s="433"/>
      <c r="H101" s="479"/>
      <c r="I101" s="480"/>
      <c r="J101" s="489"/>
      <c r="K101" s="563"/>
      <c r="L101" s="483"/>
      <c r="M101" s="470"/>
      <c r="N101" s="470"/>
      <c r="O101" s="484"/>
      <c r="P101" s="503"/>
      <c r="Q101" s="503"/>
      <c r="R101" s="503"/>
      <c r="S101" s="503"/>
      <c r="T101" s="503"/>
      <c r="U101" s="503"/>
    </row>
    <row r="102" ht="15.75" customHeight="1">
      <c r="A102" s="54"/>
      <c r="B102" s="504" t="s">
        <v>452</v>
      </c>
      <c r="C102" s="568" t="s">
        <v>444</v>
      </c>
      <c r="D102" s="569" t="s">
        <v>407</v>
      </c>
      <c r="E102" s="519" t="s">
        <v>611</v>
      </c>
      <c r="F102" s="551" t="s">
        <v>612</v>
      </c>
      <c r="G102" s="433"/>
      <c r="H102" s="479"/>
      <c r="I102" s="480"/>
      <c r="J102" s="489"/>
      <c r="K102" s="563"/>
      <c r="L102" s="483"/>
      <c r="M102" s="470"/>
      <c r="N102" s="470"/>
      <c r="O102" s="484"/>
      <c r="P102" s="503"/>
      <c r="Q102" s="503"/>
      <c r="R102" s="503"/>
      <c r="S102" s="503"/>
      <c r="T102" s="503"/>
      <c r="U102" s="503"/>
    </row>
    <row r="103" ht="15.75" customHeight="1">
      <c r="A103" s="54"/>
      <c r="B103" s="504" t="s">
        <v>423</v>
      </c>
      <c r="C103" s="568" t="s">
        <v>399</v>
      </c>
      <c r="D103" s="569" t="s">
        <v>407</v>
      </c>
      <c r="E103" s="519" t="s">
        <v>613</v>
      </c>
      <c r="F103" s="551" t="s">
        <v>614</v>
      </c>
      <c r="G103" s="433"/>
      <c r="H103" s="479"/>
      <c r="I103" s="480"/>
      <c r="J103" s="489"/>
      <c r="K103" s="563"/>
      <c r="L103" s="483"/>
      <c r="M103" s="470"/>
      <c r="N103" s="470"/>
      <c r="O103" s="484"/>
      <c r="P103" s="503"/>
      <c r="Q103" s="503"/>
      <c r="R103" s="503"/>
      <c r="S103" s="503"/>
      <c r="T103" s="503"/>
      <c r="U103" s="503"/>
    </row>
    <row r="104" ht="15.75" customHeight="1">
      <c r="A104" s="54"/>
      <c r="B104" s="504" t="s">
        <v>399</v>
      </c>
      <c r="C104" s="568" t="s">
        <v>444</v>
      </c>
      <c r="D104" s="569" t="s">
        <v>434</v>
      </c>
      <c r="E104" s="519" t="s">
        <v>615</v>
      </c>
      <c r="F104" s="551" t="s">
        <v>616</v>
      </c>
      <c r="G104" s="433"/>
      <c r="H104" s="479"/>
      <c r="I104" s="480"/>
      <c r="J104" s="489"/>
      <c r="K104" s="563"/>
      <c r="L104" s="483"/>
      <c r="M104" s="470"/>
      <c r="N104" s="470"/>
      <c r="O104" s="484"/>
      <c r="P104" s="503"/>
      <c r="Q104" s="503"/>
      <c r="R104" s="503"/>
      <c r="S104" s="503"/>
      <c r="T104" s="503"/>
      <c r="U104" s="503"/>
    </row>
    <row r="105" ht="15.75" customHeight="1">
      <c r="A105" s="433" t="s">
        <v>338</v>
      </c>
      <c r="B105" s="571"/>
      <c r="C105" s="572"/>
      <c r="D105" s="573"/>
      <c r="E105" s="574"/>
      <c r="F105" s="575"/>
      <c r="G105" s="1"/>
      <c r="H105" s="576"/>
      <c r="I105" s="576"/>
      <c r="J105" s="577"/>
      <c r="K105" s="578"/>
      <c r="L105" s="483"/>
      <c r="M105" s="470"/>
      <c r="N105" s="470"/>
      <c r="O105" s="484"/>
      <c r="P105" s="503"/>
      <c r="Q105" s="503"/>
      <c r="R105" s="503"/>
      <c r="S105" s="503"/>
      <c r="T105" s="503"/>
      <c r="U105" s="503"/>
    </row>
    <row r="106" ht="15.75" customHeight="1">
      <c r="B106" s="474" t="s">
        <v>549</v>
      </c>
      <c r="C106" s="475" t="s">
        <v>48</v>
      </c>
      <c r="D106" s="569" t="s">
        <v>407</v>
      </c>
      <c r="E106" s="554" t="s">
        <v>617</v>
      </c>
      <c r="F106" s="540" t="s">
        <v>618</v>
      </c>
      <c r="G106" s="433"/>
      <c r="H106" s="479"/>
      <c r="I106" s="480"/>
      <c r="J106" s="481"/>
      <c r="K106" s="482"/>
      <c r="L106" s="483"/>
      <c r="M106" s="470"/>
      <c r="N106" s="470"/>
      <c r="O106" s="484"/>
      <c r="P106" s="503"/>
      <c r="Q106" s="503"/>
      <c r="R106" s="503"/>
      <c r="S106" s="503"/>
      <c r="T106" s="503"/>
      <c r="U106" s="503"/>
    </row>
    <row r="107" ht="15.75" customHeight="1">
      <c r="B107" s="536" t="s">
        <v>48</v>
      </c>
      <c r="C107" s="525" t="s">
        <v>549</v>
      </c>
      <c r="D107" s="553" t="s">
        <v>437</v>
      </c>
      <c r="E107" s="554" t="s">
        <v>619</v>
      </c>
      <c r="F107" s="540" t="s">
        <v>620</v>
      </c>
      <c r="H107" s="479"/>
      <c r="I107" s="480"/>
      <c r="J107" s="481"/>
      <c r="K107" s="482"/>
      <c r="L107" s="490"/>
      <c r="M107" s="470"/>
      <c r="N107" s="470"/>
      <c r="O107" s="484"/>
      <c r="P107" s="503"/>
      <c r="Q107" s="503"/>
      <c r="R107" s="503"/>
      <c r="S107" s="503"/>
      <c r="T107" s="503"/>
      <c r="U107" s="503"/>
    </row>
    <row r="108" ht="15.75" customHeight="1">
      <c r="B108" s="474" t="s">
        <v>413</v>
      </c>
      <c r="C108" s="475" t="s">
        <v>48</v>
      </c>
      <c r="D108" s="553" t="s">
        <v>591</v>
      </c>
      <c r="E108" s="554"/>
      <c r="F108" s="561"/>
      <c r="H108" s="479"/>
      <c r="I108" s="479"/>
      <c r="J108" s="481"/>
      <c r="K108" s="482"/>
      <c r="L108" s="490"/>
      <c r="M108" s="470"/>
      <c r="N108" s="470"/>
      <c r="O108" s="484"/>
      <c r="P108" s="503"/>
      <c r="Q108" s="503"/>
      <c r="R108" s="503"/>
      <c r="S108" s="503"/>
      <c r="T108" s="503"/>
      <c r="U108" s="503"/>
    </row>
    <row r="109" ht="15.75" customHeight="1">
      <c r="B109" s="474" t="s">
        <v>399</v>
      </c>
      <c r="C109" s="475" t="s">
        <v>406</v>
      </c>
      <c r="D109" s="553" t="s">
        <v>396</v>
      </c>
      <c r="E109" s="554" t="s">
        <v>621</v>
      </c>
      <c r="F109" s="540" t="s">
        <v>622</v>
      </c>
      <c r="H109" s="479"/>
      <c r="I109" s="480"/>
      <c r="J109" s="489"/>
      <c r="K109" s="482"/>
      <c r="L109" s="490"/>
      <c r="M109" s="470"/>
      <c r="N109" s="470"/>
      <c r="O109" s="484"/>
      <c r="P109" s="503"/>
      <c r="Q109" s="503"/>
      <c r="R109" s="503"/>
      <c r="S109" s="503"/>
      <c r="T109" s="503"/>
      <c r="U109" s="503"/>
    </row>
    <row r="110" ht="15.75" customHeight="1">
      <c r="B110" s="536" t="s">
        <v>406</v>
      </c>
      <c r="C110" s="525" t="s">
        <v>399</v>
      </c>
      <c r="D110" s="553" t="s">
        <v>449</v>
      </c>
      <c r="E110" s="554" t="s">
        <v>623</v>
      </c>
      <c r="F110" s="540" t="s">
        <v>624</v>
      </c>
      <c r="H110" s="479"/>
      <c r="I110" s="480"/>
      <c r="J110" s="489"/>
      <c r="K110" s="482"/>
      <c r="L110" s="490"/>
      <c r="M110" s="470"/>
      <c r="N110" s="470"/>
      <c r="O110" s="484"/>
      <c r="P110" s="503"/>
      <c r="Q110" s="503"/>
      <c r="R110" s="503"/>
      <c r="S110" s="503"/>
      <c r="T110" s="503"/>
      <c r="U110" s="503"/>
    </row>
    <row r="111" ht="15.75" customHeight="1">
      <c r="B111" s="474" t="s">
        <v>43</v>
      </c>
      <c r="C111" s="475" t="s">
        <v>403</v>
      </c>
      <c r="D111" s="553" t="s">
        <v>407</v>
      </c>
      <c r="E111" s="554" t="s">
        <v>625</v>
      </c>
      <c r="F111" s="540" t="s">
        <v>626</v>
      </c>
      <c r="H111" s="479"/>
      <c r="I111" s="562" t="s">
        <v>627</v>
      </c>
      <c r="J111" s="489"/>
      <c r="K111" s="563"/>
      <c r="L111" s="490"/>
      <c r="M111" s="470"/>
      <c r="N111" s="470"/>
      <c r="O111" s="484"/>
      <c r="P111" s="503"/>
      <c r="Q111" s="503"/>
      <c r="R111" s="503"/>
      <c r="S111" s="503"/>
      <c r="T111" s="503"/>
      <c r="U111" s="503"/>
    </row>
    <row r="112" ht="15.75" customHeight="1">
      <c r="B112" s="474" t="s">
        <v>403</v>
      </c>
      <c r="C112" s="475" t="s">
        <v>43</v>
      </c>
      <c r="D112" s="553" t="s">
        <v>415</v>
      </c>
      <c r="E112" s="554" t="s">
        <v>628</v>
      </c>
      <c r="F112" s="540" t="s">
        <v>629</v>
      </c>
      <c r="H112" s="479"/>
      <c r="I112" s="562" t="s">
        <v>627</v>
      </c>
      <c r="J112" s="489"/>
      <c r="K112" s="482"/>
      <c r="L112" s="579"/>
      <c r="M112" s="470"/>
      <c r="N112" s="470"/>
      <c r="O112" s="473"/>
      <c r="P112" s="472"/>
      <c r="Q112" s="472"/>
      <c r="R112" s="472"/>
      <c r="S112" s="472"/>
      <c r="T112" s="472"/>
      <c r="U112" s="472"/>
    </row>
    <row r="113" ht="15.75" customHeight="1">
      <c r="B113" s="474" t="s">
        <v>549</v>
      </c>
      <c r="C113" s="475" t="s">
        <v>43</v>
      </c>
      <c r="D113" s="553" t="s">
        <v>407</v>
      </c>
      <c r="E113" s="554" t="s">
        <v>630</v>
      </c>
      <c r="F113" s="540" t="s">
        <v>631</v>
      </c>
      <c r="H113" s="479"/>
      <c r="I113" s="480"/>
      <c r="J113" s="489"/>
      <c r="K113" s="482"/>
      <c r="L113" s="490"/>
      <c r="M113" s="470"/>
      <c r="N113" s="470"/>
      <c r="O113" s="484"/>
      <c r="P113" s="503"/>
      <c r="Q113" s="503"/>
      <c r="R113" s="503"/>
      <c r="S113" s="503"/>
      <c r="T113" s="503"/>
      <c r="U113" s="503"/>
    </row>
    <row r="114" ht="15.75" customHeight="1">
      <c r="B114" s="474" t="s">
        <v>43</v>
      </c>
      <c r="C114" s="475" t="s">
        <v>632</v>
      </c>
      <c r="D114" s="553" t="s">
        <v>396</v>
      </c>
      <c r="E114" s="554" t="s">
        <v>435</v>
      </c>
      <c r="F114" s="540" t="s">
        <v>633</v>
      </c>
      <c r="H114" s="479"/>
      <c r="I114" s="480"/>
      <c r="J114" s="489"/>
      <c r="K114" s="482"/>
      <c r="L114" s="490"/>
      <c r="M114" s="470"/>
      <c r="N114" s="470"/>
      <c r="O114" s="484"/>
      <c r="P114" s="503"/>
      <c r="Q114" s="503"/>
      <c r="R114" s="503"/>
      <c r="S114" s="503"/>
      <c r="T114" s="503"/>
      <c r="U114" s="503"/>
    </row>
    <row r="115" ht="15.75" customHeight="1">
      <c r="A115" s="433"/>
      <c r="B115" s="474" t="s">
        <v>429</v>
      </c>
      <c r="C115" s="475" t="s">
        <v>632</v>
      </c>
      <c r="D115" s="553" t="s">
        <v>434</v>
      </c>
      <c r="E115" s="554" t="s">
        <v>634</v>
      </c>
      <c r="F115" s="540" t="s">
        <v>635</v>
      </c>
      <c r="H115" s="479"/>
      <c r="I115" s="480"/>
      <c r="J115" s="489"/>
      <c r="K115" s="482"/>
      <c r="L115" s="490"/>
      <c r="M115" s="470"/>
      <c r="N115" s="470"/>
      <c r="O115" s="484"/>
      <c r="P115" s="503"/>
      <c r="Q115" s="503"/>
      <c r="R115" s="503"/>
      <c r="S115" s="503"/>
      <c r="T115" s="503"/>
      <c r="U115" s="503"/>
    </row>
    <row r="116" ht="15.75" customHeight="1">
      <c r="A116" s="1"/>
      <c r="B116" s="571"/>
      <c r="C116" s="572"/>
      <c r="D116" s="573"/>
      <c r="E116" s="574"/>
      <c r="F116" s="575"/>
      <c r="G116" s="1"/>
      <c r="H116" s="576"/>
      <c r="I116" s="576"/>
      <c r="J116" s="577"/>
      <c r="K116" s="578"/>
      <c r="L116" s="490"/>
      <c r="M116" s="470"/>
      <c r="N116" s="470"/>
      <c r="O116" s="484"/>
      <c r="P116" s="503"/>
      <c r="Q116" s="503"/>
      <c r="R116" s="503"/>
      <c r="S116" s="503"/>
      <c r="T116" s="503"/>
      <c r="U116" s="503"/>
    </row>
    <row r="117" ht="15.75" customHeight="1">
      <c r="A117" s="433" t="s">
        <v>359</v>
      </c>
      <c r="B117" s="580" t="s">
        <v>632</v>
      </c>
      <c r="C117" s="570" t="s">
        <v>429</v>
      </c>
      <c r="D117" s="553" t="s">
        <v>437</v>
      </c>
      <c r="E117" s="554" t="s">
        <v>636</v>
      </c>
      <c r="F117" s="540" t="s">
        <v>637</v>
      </c>
      <c r="G117" s="433"/>
      <c r="H117" s="479"/>
      <c r="I117" s="581"/>
      <c r="J117" s="489"/>
      <c r="K117" s="482"/>
      <c r="L117" s="490"/>
      <c r="M117" s="470"/>
      <c r="N117" s="470"/>
      <c r="O117" s="484"/>
      <c r="P117" s="503"/>
      <c r="Q117" s="503"/>
      <c r="R117" s="503"/>
      <c r="S117" s="503"/>
      <c r="T117" s="503"/>
      <c r="U117" s="503"/>
    </row>
    <row r="118" ht="15.75" customHeight="1">
      <c r="B118" s="509" t="s">
        <v>429</v>
      </c>
      <c r="C118" s="568" t="s">
        <v>444</v>
      </c>
      <c r="D118" s="569" t="s">
        <v>396</v>
      </c>
      <c r="E118" s="554" t="s">
        <v>638</v>
      </c>
      <c r="F118" s="540" t="s">
        <v>639</v>
      </c>
      <c r="G118" s="433"/>
      <c r="H118" s="479"/>
      <c r="I118" s="581"/>
      <c r="J118" s="489"/>
      <c r="K118" s="482"/>
      <c r="L118" s="490"/>
      <c r="M118" s="470"/>
      <c r="N118" s="470"/>
      <c r="O118" s="484"/>
      <c r="P118" s="503"/>
      <c r="Q118" s="503"/>
      <c r="R118" s="503"/>
      <c r="S118" s="503"/>
      <c r="T118" s="503"/>
      <c r="U118" s="503"/>
    </row>
    <row r="119" ht="15.75" customHeight="1">
      <c r="B119" s="580" t="s">
        <v>444</v>
      </c>
      <c r="C119" s="570" t="s">
        <v>429</v>
      </c>
      <c r="D119" s="569" t="s">
        <v>415</v>
      </c>
      <c r="E119" s="554" t="s">
        <v>640</v>
      </c>
      <c r="F119" s="540" t="s">
        <v>641</v>
      </c>
      <c r="G119" s="433"/>
      <c r="H119" s="479"/>
      <c r="I119" s="480"/>
      <c r="J119" s="489"/>
      <c r="K119" s="482"/>
      <c r="L119" s="490"/>
      <c r="M119" s="470"/>
      <c r="N119" s="470"/>
      <c r="O119" s="484"/>
      <c r="P119" s="503"/>
      <c r="Q119" s="503"/>
      <c r="R119" s="503"/>
      <c r="S119" s="503"/>
      <c r="T119" s="503"/>
      <c r="U119" s="503"/>
    </row>
    <row r="120" ht="15.75" customHeight="1">
      <c r="B120" s="509" t="s">
        <v>526</v>
      </c>
      <c r="C120" s="568" t="s">
        <v>444</v>
      </c>
      <c r="D120" s="569" t="s">
        <v>407</v>
      </c>
      <c r="E120" s="554" t="s">
        <v>642</v>
      </c>
      <c r="F120" s="540" t="s">
        <v>643</v>
      </c>
      <c r="G120" s="433"/>
      <c r="H120" s="479"/>
      <c r="I120" s="480"/>
      <c r="J120" s="489"/>
      <c r="K120" s="482"/>
      <c r="L120" s="490"/>
      <c r="M120" s="470"/>
      <c r="N120" s="470"/>
      <c r="O120" s="484"/>
      <c r="P120" s="503"/>
      <c r="Q120" s="503"/>
      <c r="R120" s="503"/>
      <c r="S120" s="503"/>
      <c r="T120" s="503"/>
      <c r="U120" s="503"/>
    </row>
    <row r="121" ht="15.75" customHeight="1">
      <c r="B121" s="536" t="s">
        <v>444</v>
      </c>
      <c r="C121" s="582" t="s">
        <v>526</v>
      </c>
      <c r="D121" s="558" t="s">
        <v>410</v>
      </c>
      <c r="E121" s="554" t="s">
        <v>644</v>
      </c>
      <c r="F121" s="540" t="s">
        <v>645</v>
      </c>
      <c r="G121" s="433"/>
      <c r="H121" s="479"/>
      <c r="I121" s="480"/>
      <c r="J121" s="489"/>
      <c r="K121" s="482"/>
      <c r="L121" s="490"/>
      <c r="M121" s="470"/>
      <c r="N121" s="470"/>
      <c r="O121" s="484"/>
      <c r="P121" s="503"/>
      <c r="Q121" s="503"/>
      <c r="R121" s="503"/>
      <c r="S121" s="503"/>
      <c r="T121" s="503"/>
      <c r="U121" s="503"/>
    </row>
    <row r="122" ht="15.75" customHeight="1">
      <c r="B122" s="474" t="s">
        <v>646</v>
      </c>
      <c r="C122" s="583" t="s">
        <v>647</v>
      </c>
      <c r="D122" s="558" t="s">
        <v>434</v>
      </c>
      <c r="E122" s="554" t="s">
        <v>648</v>
      </c>
      <c r="F122" s="540" t="s">
        <v>649</v>
      </c>
      <c r="G122" s="433"/>
      <c r="H122" s="479"/>
      <c r="I122" s="480"/>
      <c r="J122" s="489"/>
      <c r="K122" s="482"/>
      <c r="L122" s="490"/>
      <c r="M122" s="470"/>
      <c r="N122" s="470"/>
      <c r="O122" s="484"/>
      <c r="P122" s="503"/>
      <c r="Q122" s="503"/>
      <c r="R122" s="503"/>
      <c r="S122" s="503"/>
      <c r="T122" s="503"/>
      <c r="U122" s="503"/>
    </row>
    <row r="123" ht="15.75" customHeight="1">
      <c r="B123" s="536" t="s">
        <v>647</v>
      </c>
      <c r="C123" s="565" t="s">
        <v>646</v>
      </c>
      <c r="D123" s="558" t="s">
        <v>501</v>
      </c>
      <c r="E123" s="554" t="s">
        <v>650</v>
      </c>
      <c r="F123" s="540" t="s">
        <v>651</v>
      </c>
      <c r="G123" s="433"/>
      <c r="H123" s="479"/>
      <c r="I123" s="480"/>
      <c r="J123" s="489"/>
      <c r="K123" s="482"/>
      <c r="L123" s="490"/>
      <c r="M123" s="470"/>
      <c r="N123" s="470"/>
      <c r="O123" s="484"/>
      <c r="P123" s="503"/>
      <c r="Q123" s="503"/>
      <c r="R123" s="503"/>
      <c r="S123" s="503"/>
      <c r="T123" s="503"/>
      <c r="U123" s="503"/>
    </row>
    <row r="124" ht="15.75" customHeight="1">
      <c r="B124" s="536" t="s">
        <v>652</v>
      </c>
      <c r="C124" s="565" t="s">
        <v>653</v>
      </c>
      <c r="D124" s="558" t="s">
        <v>501</v>
      </c>
      <c r="E124" s="554" t="s">
        <v>654</v>
      </c>
      <c r="F124" s="540" t="s">
        <v>655</v>
      </c>
      <c r="G124" s="433"/>
      <c r="H124" s="479"/>
      <c r="I124" s="480"/>
      <c r="J124" s="489"/>
      <c r="K124" s="482"/>
      <c r="L124" s="490"/>
      <c r="M124" s="470"/>
      <c r="N124" s="470"/>
      <c r="O124" s="484"/>
      <c r="P124" s="503"/>
      <c r="Q124" s="503"/>
      <c r="R124" s="503"/>
      <c r="S124" s="503"/>
      <c r="T124" s="503"/>
      <c r="U124" s="503"/>
    </row>
    <row r="125" ht="15.75" customHeight="1">
      <c r="B125" s="509" t="s">
        <v>656</v>
      </c>
      <c r="C125" s="568" t="s">
        <v>653</v>
      </c>
      <c r="D125" s="569" t="s">
        <v>415</v>
      </c>
      <c r="E125" s="554" t="s">
        <v>657</v>
      </c>
      <c r="F125" s="540" t="s">
        <v>658</v>
      </c>
      <c r="G125" s="433"/>
      <c r="H125" s="479"/>
      <c r="I125" s="480"/>
      <c r="J125" s="489"/>
      <c r="K125" s="482"/>
      <c r="L125" s="490"/>
      <c r="M125" s="470"/>
      <c r="N125" s="470"/>
      <c r="O125" s="484"/>
      <c r="P125" s="503"/>
      <c r="Q125" s="503"/>
      <c r="R125" s="503"/>
      <c r="S125" s="503"/>
      <c r="T125" s="503"/>
      <c r="U125" s="503"/>
    </row>
    <row r="126" ht="15.75" customHeight="1">
      <c r="B126" s="509" t="s">
        <v>403</v>
      </c>
      <c r="C126" s="568" t="s">
        <v>399</v>
      </c>
      <c r="D126" s="569" t="s">
        <v>415</v>
      </c>
      <c r="E126" s="554" t="s">
        <v>659</v>
      </c>
      <c r="F126" s="540" t="s">
        <v>660</v>
      </c>
      <c r="G126" s="433"/>
      <c r="H126" s="479"/>
      <c r="I126" s="480"/>
      <c r="J126" s="489"/>
      <c r="K126" s="482"/>
      <c r="L126" s="490"/>
      <c r="M126" s="470"/>
      <c r="N126" s="470"/>
      <c r="O126" s="484"/>
      <c r="P126" s="503"/>
      <c r="Q126" s="503"/>
      <c r="R126" s="503"/>
      <c r="S126" s="503"/>
      <c r="T126" s="503"/>
      <c r="U126" s="503"/>
    </row>
    <row r="127" ht="15.75" customHeight="1">
      <c r="B127" s="580" t="s">
        <v>399</v>
      </c>
      <c r="C127" s="570" t="s">
        <v>403</v>
      </c>
      <c r="D127" s="569" t="s">
        <v>449</v>
      </c>
      <c r="E127" s="554" t="s">
        <v>494</v>
      </c>
      <c r="F127" s="540" t="s">
        <v>661</v>
      </c>
      <c r="G127" s="433"/>
      <c r="H127" s="479"/>
      <c r="I127" s="480"/>
      <c r="J127" s="489"/>
      <c r="K127" s="482"/>
      <c r="L127" s="490"/>
      <c r="M127" s="470"/>
      <c r="N127" s="470"/>
      <c r="O127" s="484"/>
      <c r="P127" s="503"/>
      <c r="Q127" s="503"/>
      <c r="R127" s="503"/>
      <c r="S127" s="503"/>
      <c r="T127" s="503"/>
      <c r="U127" s="503"/>
    </row>
    <row r="128" ht="15.75" customHeight="1">
      <c r="A128" s="433"/>
      <c r="B128" s="509" t="s">
        <v>526</v>
      </c>
      <c r="C128" s="568" t="s">
        <v>596</v>
      </c>
      <c r="D128" s="569" t="s">
        <v>415</v>
      </c>
      <c r="E128" s="554" t="s">
        <v>662</v>
      </c>
      <c r="F128" s="540" t="s">
        <v>663</v>
      </c>
      <c r="G128" s="433"/>
      <c r="H128" s="479"/>
      <c r="I128" s="480"/>
      <c r="J128" s="489"/>
      <c r="K128" s="482"/>
      <c r="L128" s="490"/>
      <c r="M128" s="470"/>
      <c r="N128" s="470"/>
      <c r="O128" s="484"/>
      <c r="P128" s="503"/>
      <c r="Q128" s="503"/>
      <c r="R128" s="503"/>
      <c r="S128" s="503"/>
      <c r="T128" s="503"/>
      <c r="U128" s="503"/>
    </row>
    <row r="129" ht="15.75" customHeight="1">
      <c r="A129" s="433"/>
      <c r="B129" s="509" t="s">
        <v>596</v>
      </c>
      <c r="C129" s="568" t="s">
        <v>526</v>
      </c>
      <c r="D129" s="569" t="s">
        <v>415</v>
      </c>
      <c r="E129" s="554" t="s">
        <v>664</v>
      </c>
      <c r="F129" s="540" t="s">
        <v>665</v>
      </c>
      <c r="G129" s="433"/>
      <c r="H129" s="479"/>
      <c r="I129" s="480"/>
      <c r="J129" s="489"/>
      <c r="K129" s="482"/>
      <c r="L129" s="490"/>
      <c r="M129" s="470"/>
      <c r="N129" s="470"/>
      <c r="O129" s="484"/>
      <c r="P129" s="503"/>
      <c r="Q129" s="503"/>
      <c r="R129" s="503"/>
      <c r="S129" s="503"/>
      <c r="T129" s="503"/>
      <c r="U129" s="503"/>
    </row>
    <row r="130" ht="15.75" customHeight="1">
      <c r="A130" s="433"/>
      <c r="B130" s="509" t="s">
        <v>423</v>
      </c>
      <c r="C130" s="568" t="s">
        <v>526</v>
      </c>
      <c r="D130" s="569" t="s">
        <v>415</v>
      </c>
      <c r="E130" s="554" t="s">
        <v>666</v>
      </c>
      <c r="F130" s="540" t="s">
        <v>667</v>
      </c>
      <c r="G130" s="433"/>
      <c r="H130" s="479"/>
      <c r="I130" s="480"/>
      <c r="J130" s="489"/>
      <c r="K130" s="482"/>
      <c r="L130" s="490"/>
      <c r="M130" s="470"/>
      <c r="N130" s="470"/>
      <c r="O130" s="484"/>
      <c r="P130" s="503"/>
      <c r="Q130" s="503"/>
      <c r="R130" s="503"/>
      <c r="S130" s="503"/>
      <c r="T130" s="503"/>
      <c r="U130" s="503"/>
    </row>
    <row r="131" ht="15.75" customHeight="1">
      <c r="A131" s="433"/>
      <c r="B131" s="509" t="s">
        <v>526</v>
      </c>
      <c r="C131" s="568" t="s">
        <v>423</v>
      </c>
      <c r="D131" s="569" t="s">
        <v>400</v>
      </c>
      <c r="E131" s="554" t="s">
        <v>594</v>
      </c>
      <c r="F131" s="540" t="s">
        <v>668</v>
      </c>
      <c r="G131" s="433"/>
      <c r="H131" s="479"/>
      <c r="I131" s="480"/>
      <c r="J131" s="489"/>
      <c r="K131" s="482"/>
      <c r="L131" s="490"/>
      <c r="M131" s="470"/>
      <c r="N131" s="470"/>
      <c r="O131" s="484"/>
      <c r="P131" s="503"/>
      <c r="Q131" s="503"/>
      <c r="R131" s="503"/>
      <c r="S131" s="503"/>
      <c r="T131" s="503"/>
      <c r="U131" s="503"/>
    </row>
    <row r="132" ht="15.75" customHeight="1">
      <c r="A132" s="433"/>
      <c r="B132" s="509" t="s">
        <v>403</v>
      </c>
      <c r="C132" s="568" t="s">
        <v>549</v>
      </c>
      <c r="D132" s="569" t="s">
        <v>396</v>
      </c>
      <c r="E132" s="554" t="s">
        <v>669</v>
      </c>
      <c r="F132" s="540" t="s">
        <v>670</v>
      </c>
      <c r="G132" s="433"/>
      <c r="H132" s="479"/>
      <c r="I132" s="480"/>
      <c r="J132" s="489"/>
      <c r="K132" s="482"/>
      <c r="L132" s="490"/>
      <c r="M132" s="470"/>
      <c r="N132" s="470"/>
      <c r="O132" s="484"/>
      <c r="P132" s="503"/>
      <c r="Q132" s="503"/>
      <c r="R132" s="503"/>
      <c r="S132" s="503"/>
      <c r="T132" s="503"/>
      <c r="U132" s="503"/>
    </row>
    <row r="133" ht="15.75" customHeight="1">
      <c r="A133" s="433"/>
      <c r="B133" s="509" t="s">
        <v>452</v>
      </c>
      <c r="C133" s="568" t="s">
        <v>413</v>
      </c>
      <c r="D133" s="569" t="s">
        <v>400</v>
      </c>
      <c r="E133" s="554" t="s">
        <v>642</v>
      </c>
      <c r="F133" s="540" t="s">
        <v>671</v>
      </c>
      <c r="G133" s="433"/>
      <c r="H133" s="479"/>
      <c r="I133" s="480"/>
      <c r="J133" s="489"/>
      <c r="K133" s="482"/>
      <c r="L133" s="490"/>
      <c r="M133" s="470"/>
      <c r="N133" s="470"/>
      <c r="O133" s="484"/>
      <c r="P133" s="503"/>
      <c r="Q133" s="503"/>
      <c r="R133" s="503"/>
      <c r="S133" s="503"/>
      <c r="T133" s="503"/>
      <c r="U133" s="503"/>
    </row>
    <row r="134" ht="15.75" customHeight="1">
      <c r="A134" s="433"/>
      <c r="B134" s="509" t="s">
        <v>413</v>
      </c>
      <c r="C134" s="568" t="s">
        <v>452</v>
      </c>
      <c r="D134" s="569" t="s">
        <v>400</v>
      </c>
      <c r="E134" s="554" t="s">
        <v>672</v>
      </c>
      <c r="F134" s="540" t="s">
        <v>673</v>
      </c>
      <c r="G134" s="433"/>
      <c r="H134" s="479"/>
      <c r="I134" s="480"/>
      <c r="J134" s="489"/>
      <c r="K134" s="482"/>
      <c r="L134" s="490"/>
      <c r="M134" s="470"/>
      <c r="N134" s="470"/>
      <c r="O134" s="484"/>
      <c r="P134" s="503"/>
      <c r="Q134" s="503"/>
      <c r="R134" s="503"/>
      <c r="S134" s="503"/>
      <c r="T134" s="503"/>
      <c r="U134" s="503"/>
    </row>
    <row r="135" ht="15.75" customHeight="1">
      <c r="A135" s="1"/>
      <c r="B135" s="509" t="s">
        <v>429</v>
      </c>
      <c r="C135" s="568" t="s">
        <v>413</v>
      </c>
      <c r="D135" s="569" t="s">
        <v>400</v>
      </c>
      <c r="E135" s="554" t="s">
        <v>674</v>
      </c>
      <c r="F135" s="540" t="s">
        <v>675</v>
      </c>
      <c r="G135" s="433"/>
      <c r="H135" s="479"/>
      <c r="I135" s="480"/>
      <c r="J135" s="489"/>
      <c r="K135" s="482"/>
      <c r="L135" s="490"/>
      <c r="M135" s="470"/>
      <c r="N135" s="470"/>
      <c r="O135" s="484"/>
      <c r="P135" s="503"/>
      <c r="Q135" s="503"/>
      <c r="R135" s="503"/>
      <c r="S135" s="503"/>
      <c r="T135" s="503"/>
      <c r="U135" s="503"/>
    </row>
    <row r="136" ht="15.75" customHeight="1">
      <c r="A136" s="1"/>
      <c r="B136" s="504" t="s">
        <v>413</v>
      </c>
      <c r="C136" s="568" t="s">
        <v>444</v>
      </c>
      <c r="D136" s="569" t="s">
        <v>407</v>
      </c>
      <c r="E136" s="519" t="s">
        <v>472</v>
      </c>
      <c r="F136" s="551" t="s">
        <v>676</v>
      </c>
      <c r="G136" s="433"/>
      <c r="H136" s="479"/>
      <c r="I136" s="480"/>
      <c r="J136" s="489"/>
      <c r="K136" s="482"/>
      <c r="L136" s="490"/>
      <c r="M136" s="470"/>
      <c r="N136" s="470"/>
      <c r="O136" s="484"/>
      <c r="P136" s="503"/>
      <c r="Q136" s="503"/>
      <c r="R136" s="503"/>
      <c r="S136" s="503"/>
      <c r="T136" s="503"/>
      <c r="U136" s="503"/>
    </row>
    <row r="137" ht="15.75" customHeight="1">
      <c r="A137" s="1"/>
      <c r="B137" s="509" t="s">
        <v>444</v>
      </c>
      <c r="C137" s="568" t="s">
        <v>48</v>
      </c>
      <c r="D137" s="569" t="s">
        <v>591</v>
      </c>
      <c r="E137" s="519"/>
      <c r="F137" s="584"/>
      <c r="G137" s="433"/>
      <c r="H137" s="479"/>
      <c r="I137" s="480"/>
      <c r="J137" s="489"/>
      <c r="K137" s="482"/>
      <c r="L137" s="490"/>
      <c r="M137" s="470"/>
      <c r="N137" s="470"/>
      <c r="O137" s="484"/>
      <c r="P137" s="503"/>
      <c r="Q137" s="503"/>
      <c r="R137" s="503"/>
      <c r="S137" s="503"/>
      <c r="T137" s="503"/>
      <c r="U137" s="503"/>
    </row>
    <row r="138" ht="15.75" customHeight="1">
      <c r="A138" s="1"/>
      <c r="B138" s="580" t="s">
        <v>48</v>
      </c>
      <c r="C138" s="570" t="s">
        <v>444</v>
      </c>
      <c r="D138" s="569" t="s">
        <v>591</v>
      </c>
      <c r="E138" s="519"/>
      <c r="F138" s="584"/>
      <c r="G138" s="433"/>
      <c r="H138" s="479"/>
      <c r="I138" s="480"/>
      <c r="J138" s="489"/>
      <c r="K138" s="482"/>
      <c r="L138" s="490"/>
      <c r="M138" s="470"/>
      <c r="N138" s="470"/>
      <c r="O138" s="484"/>
      <c r="P138" s="503"/>
      <c r="Q138" s="503"/>
      <c r="R138" s="503"/>
      <c r="S138" s="503"/>
      <c r="T138" s="503"/>
      <c r="U138" s="503"/>
    </row>
    <row r="139" ht="15.75" customHeight="1">
      <c r="A139" s="1"/>
      <c r="B139" s="504" t="s">
        <v>429</v>
      </c>
      <c r="C139" s="568" t="s">
        <v>452</v>
      </c>
      <c r="D139" s="569" t="s">
        <v>415</v>
      </c>
      <c r="E139" s="519" t="s">
        <v>677</v>
      </c>
      <c r="F139" s="551" t="s">
        <v>678</v>
      </c>
      <c r="G139" s="433"/>
      <c r="H139" s="479"/>
      <c r="I139" s="480"/>
      <c r="J139" s="489"/>
      <c r="K139" s="482"/>
      <c r="L139" s="490"/>
      <c r="M139" s="470"/>
      <c r="N139" s="470"/>
      <c r="O139" s="484"/>
      <c r="P139" s="503"/>
      <c r="Q139" s="503"/>
      <c r="R139" s="503"/>
      <c r="S139" s="503"/>
      <c r="T139" s="503"/>
      <c r="U139" s="503"/>
    </row>
    <row r="140" ht="15.75" customHeight="1">
      <c r="A140" s="1"/>
      <c r="B140" s="504" t="s">
        <v>413</v>
      </c>
      <c r="C140" s="568" t="s">
        <v>526</v>
      </c>
      <c r="D140" s="569" t="s">
        <v>415</v>
      </c>
      <c r="E140" s="519" t="s">
        <v>679</v>
      </c>
      <c r="F140" s="551" t="s">
        <v>680</v>
      </c>
      <c r="G140" s="433"/>
      <c r="H140" s="479" t="s">
        <v>681</v>
      </c>
      <c r="I140" s="480"/>
      <c r="J140" s="489"/>
      <c r="K140" s="482"/>
      <c r="L140" s="490"/>
      <c r="M140" s="470"/>
      <c r="N140" s="470"/>
      <c r="O140" s="484"/>
      <c r="P140" s="503"/>
      <c r="Q140" s="503"/>
      <c r="R140" s="503"/>
      <c r="S140" s="503"/>
      <c r="T140" s="503"/>
      <c r="U140" s="503"/>
    </row>
    <row r="141" ht="15.75" customHeight="1">
      <c r="A141" s="1"/>
      <c r="B141" s="504" t="s">
        <v>596</v>
      </c>
      <c r="C141" s="568" t="s">
        <v>423</v>
      </c>
      <c r="D141" s="569" t="s">
        <v>407</v>
      </c>
      <c r="E141" s="519" t="s">
        <v>682</v>
      </c>
      <c r="F141" s="551" t="s">
        <v>683</v>
      </c>
      <c r="G141" s="433"/>
      <c r="H141" s="479"/>
      <c r="I141" s="480"/>
      <c r="J141" s="489"/>
      <c r="K141" s="482"/>
      <c r="L141" s="490"/>
      <c r="M141" s="470"/>
      <c r="N141" s="470"/>
      <c r="O141" s="484"/>
      <c r="P141" s="503"/>
      <c r="Q141" s="503"/>
      <c r="R141" s="503"/>
      <c r="S141" s="503"/>
      <c r="T141" s="503"/>
      <c r="U141" s="503"/>
    </row>
    <row r="142" ht="15.75" customHeight="1">
      <c r="A142" s="1"/>
      <c r="B142" s="504" t="s">
        <v>423</v>
      </c>
      <c r="C142" s="568" t="s">
        <v>684</v>
      </c>
      <c r="D142" s="569" t="s">
        <v>415</v>
      </c>
      <c r="E142" s="519" t="s">
        <v>685</v>
      </c>
      <c r="F142" s="551" t="s">
        <v>686</v>
      </c>
      <c r="G142" s="433"/>
      <c r="H142" s="479"/>
      <c r="I142" s="480"/>
      <c r="J142" s="489"/>
      <c r="K142" s="482"/>
      <c r="L142" s="490"/>
      <c r="M142" s="470"/>
      <c r="N142" s="470"/>
      <c r="O142" s="484"/>
      <c r="P142" s="503"/>
      <c r="Q142" s="503"/>
      <c r="R142" s="503"/>
      <c r="S142" s="503"/>
      <c r="T142" s="503"/>
      <c r="U142" s="503"/>
    </row>
    <row r="143" ht="15.75" customHeight="1">
      <c r="A143" s="1"/>
      <c r="B143" s="571"/>
      <c r="C143" s="572"/>
      <c r="D143" s="573"/>
      <c r="E143" s="574"/>
      <c r="F143" s="575"/>
      <c r="G143" s="1"/>
      <c r="H143" s="576"/>
      <c r="I143" s="576"/>
      <c r="J143" s="489"/>
      <c r="K143" s="482"/>
      <c r="L143" s="490"/>
      <c r="M143" s="470"/>
      <c r="N143" s="470"/>
      <c r="O143" s="484"/>
      <c r="P143" s="503"/>
      <c r="Q143" s="503"/>
      <c r="R143" s="503"/>
      <c r="S143" s="503"/>
      <c r="T143" s="503"/>
      <c r="U143" s="503"/>
    </row>
    <row r="144" ht="15.75" customHeight="1">
      <c r="A144" s="433"/>
      <c r="B144" s="509" t="s">
        <v>403</v>
      </c>
      <c r="C144" s="568" t="s">
        <v>496</v>
      </c>
      <c r="D144" s="569" t="s">
        <v>396</v>
      </c>
      <c r="E144" s="554" t="s">
        <v>687</v>
      </c>
      <c r="F144" s="540" t="s">
        <v>688</v>
      </c>
      <c r="G144" s="433"/>
      <c r="H144" s="479"/>
      <c r="I144" s="480"/>
      <c r="J144" s="489"/>
      <c r="K144" s="482"/>
      <c r="L144" s="490"/>
      <c r="M144" s="470"/>
      <c r="N144" s="470"/>
      <c r="O144" s="484"/>
      <c r="P144" s="503"/>
      <c r="Q144" s="503"/>
      <c r="R144" s="503"/>
      <c r="S144" s="503"/>
      <c r="T144" s="503"/>
      <c r="U144" s="503"/>
    </row>
    <row r="145" ht="16.5" customHeight="1">
      <c r="A145" s="433"/>
      <c r="B145" s="580" t="s">
        <v>40</v>
      </c>
      <c r="C145" s="570" t="s">
        <v>403</v>
      </c>
      <c r="D145" s="569" t="s">
        <v>410</v>
      </c>
      <c r="E145" s="554" t="s">
        <v>689</v>
      </c>
      <c r="F145" s="540" t="s">
        <v>690</v>
      </c>
      <c r="G145" s="433"/>
      <c r="H145" s="479"/>
      <c r="I145" s="480"/>
      <c r="J145" s="489"/>
      <c r="K145" s="482"/>
      <c r="L145" s="490"/>
      <c r="M145" s="470"/>
      <c r="N145" s="470"/>
      <c r="O145" s="484"/>
      <c r="P145" s="503"/>
      <c r="Q145" s="503"/>
      <c r="R145" s="503"/>
      <c r="S145" s="503"/>
      <c r="T145" s="503"/>
      <c r="U145" s="503"/>
    </row>
    <row r="146" ht="16.5" customHeight="1">
      <c r="A146" s="433" t="s">
        <v>691</v>
      </c>
      <c r="B146" s="509" t="s">
        <v>413</v>
      </c>
      <c r="C146" s="568" t="s">
        <v>429</v>
      </c>
      <c r="D146" s="569" t="s">
        <v>407</v>
      </c>
      <c r="E146" s="554" t="s">
        <v>692</v>
      </c>
      <c r="F146" s="540" t="s">
        <v>693</v>
      </c>
      <c r="G146" s="433"/>
      <c r="H146" s="479"/>
      <c r="I146" s="480"/>
      <c r="J146" s="489"/>
      <c r="K146" s="482"/>
      <c r="L146" s="490"/>
      <c r="M146" s="470"/>
      <c r="N146" s="470"/>
      <c r="O146" s="484"/>
      <c r="P146" s="503"/>
      <c r="Q146" s="503"/>
      <c r="R146" s="503"/>
      <c r="S146" s="503"/>
      <c r="T146" s="503"/>
      <c r="U146" s="503"/>
    </row>
    <row r="147" ht="16.5" customHeight="1">
      <c r="B147" s="580" t="s">
        <v>429</v>
      </c>
      <c r="C147" s="570" t="s">
        <v>413</v>
      </c>
      <c r="D147" s="569" t="s">
        <v>410</v>
      </c>
      <c r="E147" s="554" t="s">
        <v>694</v>
      </c>
      <c r="F147" s="540" t="s">
        <v>695</v>
      </c>
      <c r="G147" s="433"/>
      <c r="H147" s="479"/>
      <c r="I147" s="480"/>
      <c r="J147" s="489"/>
      <c r="K147" s="482"/>
      <c r="L147" s="490"/>
      <c r="M147" s="470"/>
      <c r="N147" s="470"/>
      <c r="O147" s="484"/>
      <c r="P147" s="503"/>
      <c r="Q147" s="503"/>
      <c r="R147" s="503"/>
      <c r="S147" s="503"/>
      <c r="T147" s="503"/>
      <c r="U147" s="503"/>
    </row>
    <row r="148" ht="16.5" customHeight="1">
      <c r="B148" s="509" t="s">
        <v>549</v>
      </c>
      <c r="C148" s="568" t="s">
        <v>423</v>
      </c>
      <c r="D148" s="569" t="s">
        <v>407</v>
      </c>
      <c r="E148" s="554" t="s">
        <v>696</v>
      </c>
      <c r="F148" s="540" t="s">
        <v>697</v>
      </c>
      <c r="G148" s="433"/>
      <c r="H148" s="479"/>
      <c r="I148" s="480"/>
      <c r="J148" s="489"/>
      <c r="K148" s="482"/>
      <c r="L148" s="490"/>
      <c r="M148" s="470"/>
      <c r="N148" s="470"/>
      <c r="O148" s="484"/>
      <c r="P148" s="503"/>
      <c r="Q148" s="503"/>
      <c r="R148" s="503"/>
      <c r="S148" s="503"/>
      <c r="T148" s="503"/>
      <c r="U148" s="503"/>
    </row>
    <row r="149" ht="16.5" customHeight="1">
      <c r="B149" s="580" t="s">
        <v>423</v>
      </c>
      <c r="C149" s="570" t="s">
        <v>549</v>
      </c>
      <c r="D149" s="569" t="s">
        <v>410</v>
      </c>
      <c r="E149" s="554" t="s">
        <v>698</v>
      </c>
      <c r="F149" s="540" t="s">
        <v>699</v>
      </c>
      <c r="G149" s="433"/>
      <c r="H149" s="479"/>
      <c r="I149" s="480"/>
      <c r="J149" s="479"/>
      <c r="K149" s="479"/>
      <c r="L149" s="490"/>
      <c r="M149" s="470"/>
      <c r="N149" s="470"/>
      <c r="O149" s="484"/>
      <c r="P149" s="503"/>
      <c r="Q149" s="503"/>
      <c r="R149" s="503"/>
      <c r="S149" s="503"/>
      <c r="T149" s="503"/>
      <c r="U149" s="503"/>
    </row>
    <row r="150" ht="16.5" customHeight="1">
      <c r="B150" s="509" t="s">
        <v>43</v>
      </c>
      <c r="C150" s="568" t="s">
        <v>452</v>
      </c>
      <c r="D150" s="569" t="s">
        <v>396</v>
      </c>
      <c r="E150" s="554" t="s">
        <v>700</v>
      </c>
      <c r="F150" s="540" t="s">
        <v>701</v>
      </c>
      <c r="G150" s="433"/>
      <c r="H150" s="479"/>
      <c r="I150" s="480"/>
      <c r="J150" s="479"/>
      <c r="K150" s="482"/>
      <c r="L150" s="490"/>
      <c r="M150" s="470"/>
      <c r="N150" s="470"/>
      <c r="O150" s="484"/>
      <c r="P150" s="503"/>
      <c r="Q150" s="503"/>
      <c r="R150" s="503"/>
      <c r="S150" s="503"/>
      <c r="T150" s="503"/>
      <c r="U150" s="503"/>
    </row>
    <row r="151" ht="16.5" customHeight="1">
      <c r="B151" s="580" t="s">
        <v>452</v>
      </c>
      <c r="C151" s="570" t="s">
        <v>43</v>
      </c>
      <c r="D151" s="569" t="s">
        <v>410</v>
      </c>
      <c r="E151" s="554" t="s">
        <v>702</v>
      </c>
      <c r="F151" s="540" t="s">
        <v>703</v>
      </c>
      <c r="G151" s="433"/>
      <c r="H151" s="479"/>
      <c r="I151" s="480"/>
      <c r="J151" s="479"/>
      <c r="K151" s="482"/>
      <c r="L151" s="490"/>
      <c r="M151" s="470"/>
      <c r="N151" s="470"/>
      <c r="O151" s="484"/>
      <c r="P151" s="503"/>
      <c r="Q151" s="503"/>
      <c r="R151" s="503"/>
      <c r="S151" s="503"/>
      <c r="T151" s="503"/>
      <c r="U151" s="503"/>
    </row>
    <row r="152" ht="16.5" customHeight="1">
      <c r="B152" s="509" t="s">
        <v>43</v>
      </c>
      <c r="C152" s="568" t="s">
        <v>413</v>
      </c>
      <c r="D152" s="569" t="s">
        <v>396</v>
      </c>
      <c r="E152" s="554" t="s">
        <v>704</v>
      </c>
      <c r="F152" s="540" t="s">
        <v>705</v>
      </c>
      <c r="G152" s="433"/>
      <c r="H152" s="479"/>
      <c r="I152" s="480"/>
      <c r="J152" s="489"/>
      <c r="K152" s="482"/>
      <c r="L152" s="490"/>
      <c r="M152" s="470"/>
      <c r="N152" s="470"/>
      <c r="O152" s="484"/>
      <c r="P152" s="503"/>
      <c r="Q152" s="503"/>
      <c r="R152" s="503"/>
      <c r="S152" s="503"/>
      <c r="T152" s="503"/>
      <c r="U152" s="503"/>
    </row>
    <row r="153" ht="16.5" customHeight="1">
      <c r="B153" s="580" t="s">
        <v>413</v>
      </c>
      <c r="C153" s="570" t="s">
        <v>43</v>
      </c>
      <c r="D153" s="569" t="s">
        <v>418</v>
      </c>
      <c r="E153" s="554" t="s">
        <v>706</v>
      </c>
      <c r="F153" s="540" t="s">
        <v>707</v>
      </c>
      <c r="G153" s="433"/>
      <c r="H153" s="479"/>
      <c r="I153" s="480"/>
      <c r="J153" s="489"/>
      <c r="K153" s="482"/>
      <c r="L153" s="490"/>
      <c r="M153" s="470"/>
      <c r="N153" s="470"/>
      <c r="O153" s="484"/>
      <c r="P153" s="503"/>
      <c r="Q153" s="503"/>
      <c r="R153" s="503"/>
      <c r="S153" s="503"/>
      <c r="T153" s="503"/>
      <c r="U153" s="503"/>
    </row>
    <row r="154" ht="16.5" customHeight="1">
      <c r="B154" s="509" t="s">
        <v>403</v>
      </c>
      <c r="C154" s="568" t="s">
        <v>549</v>
      </c>
      <c r="D154" s="569" t="s">
        <v>410</v>
      </c>
      <c r="E154" s="554" t="s">
        <v>708</v>
      </c>
      <c r="F154" s="540" t="s">
        <v>709</v>
      </c>
      <c r="G154" s="433"/>
      <c r="H154" s="479"/>
      <c r="I154" s="480"/>
      <c r="J154" s="489"/>
      <c r="K154" s="482"/>
      <c r="L154" s="490"/>
      <c r="M154" s="470"/>
      <c r="N154" s="470"/>
      <c r="O154" s="484"/>
      <c r="P154" s="503"/>
      <c r="Q154" s="503"/>
      <c r="R154" s="503"/>
      <c r="S154" s="503"/>
      <c r="T154" s="503"/>
      <c r="U154" s="503"/>
    </row>
    <row r="155" ht="16.5" customHeight="1">
      <c r="B155" s="509" t="s">
        <v>549</v>
      </c>
      <c r="C155" s="568" t="s">
        <v>403</v>
      </c>
      <c r="D155" s="569" t="s">
        <v>400</v>
      </c>
      <c r="E155" s="554" t="s">
        <v>710</v>
      </c>
      <c r="F155" s="540" t="s">
        <v>711</v>
      </c>
      <c r="G155" s="433"/>
      <c r="H155" s="479"/>
      <c r="I155" s="480"/>
      <c r="J155" s="489"/>
      <c r="K155" s="482"/>
      <c r="L155" s="490"/>
      <c r="M155" s="470"/>
      <c r="N155" s="470"/>
      <c r="O155" s="484"/>
      <c r="P155" s="503"/>
      <c r="Q155" s="503"/>
      <c r="R155" s="503"/>
      <c r="S155" s="503"/>
      <c r="T155" s="503"/>
      <c r="U155" s="503"/>
    </row>
    <row r="156" ht="16.5" customHeight="1">
      <c r="A156" s="433"/>
      <c r="B156" s="504" t="s">
        <v>403</v>
      </c>
      <c r="C156" s="568" t="s">
        <v>549</v>
      </c>
      <c r="D156" s="569" t="s">
        <v>407</v>
      </c>
      <c r="E156" s="519" t="s">
        <v>459</v>
      </c>
      <c r="F156" s="551" t="s">
        <v>712</v>
      </c>
      <c r="G156" s="433"/>
      <c r="H156" s="479"/>
      <c r="I156" s="480"/>
      <c r="J156" s="489"/>
      <c r="K156" s="482"/>
      <c r="L156" s="490"/>
      <c r="M156" s="470"/>
      <c r="N156" s="470"/>
      <c r="O156" s="484"/>
      <c r="P156" s="503"/>
      <c r="Q156" s="503"/>
      <c r="R156" s="503"/>
      <c r="S156" s="503"/>
      <c r="T156" s="503"/>
      <c r="U156" s="503"/>
    </row>
    <row r="157" ht="16.5" customHeight="1">
      <c r="A157" s="433"/>
      <c r="B157" s="504" t="s">
        <v>43</v>
      </c>
      <c r="C157" s="568" t="s">
        <v>403</v>
      </c>
      <c r="D157" s="569" t="s">
        <v>400</v>
      </c>
      <c r="E157" s="519" t="s">
        <v>713</v>
      </c>
      <c r="F157" s="551" t="s">
        <v>714</v>
      </c>
      <c r="G157" s="433"/>
      <c r="H157" s="479"/>
      <c r="I157" s="480"/>
      <c r="J157" s="489"/>
      <c r="K157" s="482"/>
      <c r="L157" s="490"/>
      <c r="M157" s="470"/>
      <c r="N157" s="470"/>
      <c r="O157" s="484"/>
      <c r="P157" s="503"/>
      <c r="Q157" s="503"/>
      <c r="R157" s="503"/>
      <c r="S157" s="503"/>
      <c r="T157" s="503"/>
      <c r="U157" s="503"/>
    </row>
    <row r="158" ht="16.5" customHeight="1">
      <c r="A158" s="433"/>
      <c r="B158" s="383" t="s">
        <v>403</v>
      </c>
      <c r="C158" s="585" t="s">
        <v>43</v>
      </c>
      <c r="D158" s="586">
        <v>45689.0</v>
      </c>
      <c r="E158" s="519" t="s">
        <v>715</v>
      </c>
      <c r="F158" s="551" t="s">
        <v>716</v>
      </c>
      <c r="G158" s="433"/>
      <c r="H158" s="479" t="s">
        <v>717</v>
      </c>
      <c r="I158" s="480"/>
      <c r="J158" s="489"/>
      <c r="K158" s="482"/>
      <c r="L158" s="490"/>
      <c r="M158" s="470"/>
      <c r="N158" s="470"/>
      <c r="O158" s="484"/>
      <c r="P158" s="503"/>
      <c r="Q158" s="503"/>
      <c r="R158" s="503"/>
      <c r="S158" s="503"/>
      <c r="T158" s="503"/>
      <c r="U158" s="503"/>
    </row>
    <row r="159" ht="16.5" customHeight="1">
      <c r="A159" s="433"/>
      <c r="B159" s="504" t="s">
        <v>403</v>
      </c>
      <c r="C159" s="568" t="s">
        <v>43</v>
      </c>
      <c r="D159" s="569" t="s">
        <v>400</v>
      </c>
      <c r="E159" s="519" t="s">
        <v>718</v>
      </c>
      <c r="F159" s="551" t="s">
        <v>719</v>
      </c>
      <c r="G159" s="433"/>
      <c r="H159" s="479" t="s">
        <v>717</v>
      </c>
      <c r="I159" s="480"/>
      <c r="J159" s="489"/>
      <c r="K159" s="482"/>
      <c r="L159" s="490"/>
      <c r="M159" s="470"/>
      <c r="N159" s="470"/>
      <c r="O159" s="484"/>
      <c r="P159" s="503"/>
      <c r="Q159" s="503"/>
      <c r="R159" s="503"/>
      <c r="S159" s="503"/>
      <c r="T159" s="503"/>
      <c r="U159" s="503"/>
    </row>
    <row r="160" ht="16.5" customHeight="1">
      <c r="A160" s="433"/>
      <c r="B160" s="504" t="s">
        <v>403</v>
      </c>
      <c r="C160" s="568" t="s">
        <v>43</v>
      </c>
      <c r="D160" s="569" t="s">
        <v>434</v>
      </c>
      <c r="E160" s="519" t="s">
        <v>720</v>
      </c>
      <c r="F160" s="551" t="s">
        <v>721</v>
      </c>
      <c r="G160" s="433"/>
      <c r="H160" s="479"/>
      <c r="I160" s="480"/>
      <c r="J160" s="489"/>
      <c r="K160" s="482"/>
      <c r="L160" s="490"/>
      <c r="M160" s="470"/>
      <c r="N160" s="470"/>
      <c r="O160" s="484"/>
      <c r="P160" s="503"/>
      <c r="Q160" s="503"/>
      <c r="R160" s="503"/>
      <c r="S160" s="503"/>
      <c r="T160" s="503"/>
      <c r="U160" s="503"/>
    </row>
    <row r="161" ht="16.5" customHeight="1">
      <c r="A161" s="433"/>
      <c r="B161" s="504" t="s">
        <v>403</v>
      </c>
      <c r="C161" s="568" t="s">
        <v>43</v>
      </c>
      <c r="D161" s="569" t="s">
        <v>415</v>
      </c>
      <c r="E161" s="519" t="s">
        <v>722</v>
      </c>
      <c r="F161" s="551" t="s">
        <v>723</v>
      </c>
      <c r="G161" s="433"/>
      <c r="H161" s="479"/>
      <c r="I161" s="480"/>
      <c r="J161" s="489"/>
      <c r="K161" s="482"/>
      <c r="L161" s="490"/>
      <c r="M161" s="470"/>
      <c r="N161" s="470"/>
      <c r="O161" s="484"/>
      <c r="P161" s="503"/>
      <c r="Q161" s="503"/>
      <c r="R161" s="503"/>
      <c r="S161" s="503"/>
      <c r="T161" s="503"/>
      <c r="U161" s="503"/>
    </row>
    <row r="162" ht="16.5" customHeight="1">
      <c r="A162" s="433"/>
      <c r="B162" s="571"/>
      <c r="C162" s="572"/>
      <c r="D162" s="573"/>
      <c r="E162" s="574"/>
      <c r="F162" s="575"/>
      <c r="G162" s="1"/>
      <c r="H162" s="576"/>
      <c r="I162" s="576"/>
      <c r="J162" s="489"/>
      <c r="K162" s="482"/>
      <c r="L162" s="490"/>
      <c r="M162" s="470"/>
      <c r="N162" s="470"/>
      <c r="O162" s="484"/>
      <c r="P162" s="503"/>
      <c r="Q162" s="503"/>
      <c r="R162" s="503"/>
      <c r="S162" s="503"/>
      <c r="T162" s="503"/>
      <c r="U162" s="503"/>
    </row>
    <row r="163" ht="16.5" customHeight="1">
      <c r="A163" s="433"/>
      <c r="B163" s="509"/>
      <c r="C163" s="568"/>
      <c r="D163" s="569"/>
      <c r="E163" s="554"/>
      <c r="F163" s="561"/>
      <c r="G163" s="433"/>
      <c r="H163" s="479"/>
      <c r="I163" s="479"/>
      <c r="J163" s="489"/>
      <c r="K163" s="482"/>
      <c r="L163" s="490"/>
      <c r="M163" s="470"/>
      <c r="N163" s="470"/>
      <c r="O163" s="484"/>
      <c r="P163" s="503"/>
      <c r="Q163" s="503"/>
      <c r="R163" s="503"/>
      <c r="S163" s="503"/>
      <c r="T163" s="503"/>
      <c r="U163" s="503"/>
    </row>
    <row r="164" ht="16.5" customHeight="1">
      <c r="A164" s="433"/>
      <c r="B164" s="524"/>
      <c r="C164" s="570"/>
      <c r="D164" s="569"/>
      <c r="E164" s="554"/>
      <c r="F164" s="561"/>
      <c r="G164" s="433"/>
      <c r="H164" s="479"/>
      <c r="I164" s="479"/>
      <c r="J164" s="489"/>
      <c r="K164" s="482"/>
      <c r="L164" s="490"/>
      <c r="M164" s="470"/>
      <c r="N164" s="470"/>
      <c r="O164" s="484"/>
      <c r="P164" s="503"/>
      <c r="Q164" s="503"/>
      <c r="R164" s="503"/>
      <c r="S164" s="503"/>
      <c r="T164" s="503"/>
      <c r="U164" s="503"/>
    </row>
    <row r="165" ht="16.5" customHeight="1">
      <c r="A165" s="433"/>
      <c r="B165" s="191"/>
      <c r="C165" s="247"/>
      <c r="D165" s="569"/>
      <c r="E165" s="519"/>
      <c r="F165" s="584"/>
      <c r="G165" s="433"/>
      <c r="H165" s="479"/>
      <c r="I165" s="479"/>
      <c r="J165" s="489"/>
      <c r="K165" s="482"/>
      <c r="L165" s="490"/>
      <c r="M165" s="470"/>
      <c r="N165" s="470"/>
      <c r="O165" s="484"/>
      <c r="P165" s="503"/>
      <c r="Q165" s="503"/>
      <c r="R165" s="503"/>
      <c r="S165" s="503"/>
      <c r="T165" s="503"/>
      <c r="U165" s="503"/>
    </row>
    <row r="166" ht="16.5" customHeight="1">
      <c r="A166" s="433"/>
      <c r="B166" s="191"/>
      <c r="C166" s="247"/>
      <c r="D166" s="569"/>
      <c r="E166" s="519"/>
      <c r="F166" s="584"/>
      <c r="G166" s="433"/>
      <c r="H166" s="479"/>
      <c r="I166" s="479"/>
      <c r="J166" s="489"/>
      <c r="K166" s="482"/>
      <c r="L166" s="490"/>
      <c r="M166" s="470"/>
      <c r="N166" s="470"/>
      <c r="O166" s="484"/>
      <c r="P166" s="503"/>
      <c r="Q166" s="503"/>
      <c r="R166" s="503"/>
      <c r="S166" s="503"/>
      <c r="T166" s="503"/>
      <c r="U166" s="503"/>
    </row>
    <row r="167" ht="16.5" customHeight="1">
      <c r="A167" s="433"/>
      <c r="B167" s="191"/>
      <c r="C167" s="247"/>
      <c r="D167" s="569"/>
      <c r="E167" s="519"/>
      <c r="F167" s="584"/>
      <c r="G167" s="433"/>
      <c r="H167" s="479"/>
      <c r="I167" s="479"/>
      <c r="J167" s="489"/>
      <c r="K167" s="482"/>
      <c r="L167" s="490"/>
      <c r="M167" s="470"/>
      <c r="N167" s="470"/>
      <c r="O167" s="484"/>
      <c r="P167" s="503"/>
      <c r="Q167" s="503"/>
      <c r="R167" s="503"/>
      <c r="S167" s="503"/>
      <c r="T167" s="503"/>
      <c r="U167" s="503"/>
    </row>
    <row r="168" ht="16.5" customHeight="1">
      <c r="A168" s="433"/>
      <c r="B168" s="191"/>
      <c r="C168" s="247"/>
      <c r="D168" s="569"/>
      <c r="E168" s="519"/>
      <c r="F168" s="584"/>
      <c r="G168" s="433"/>
      <c r="H168" s="479"/>
      <c r="I168" s="479"/>
      <c r="J168" s="489"/>
      <c r="K168" s="482"/>
      <c r="L168" s="490"/>
      <c r="M168" s="470"/>
      <c r="N168" s="470"/>
      <c r="O168" s="484"/>
      <c r="P168" s="503"/>
      <c r="Q168" s="503"/>
      <c r="R168" s="503"/>
      <c r="S168" s="503"/>
      <c r="T168" s="503"/>
      <c r="U168" s="503"/>
    </row>
    <row r="169" ht="16.5" customHeight="1">
      <c r="A169" s="433"/>
      <c r="B169" s="191"/>
      <c r="C169" s="247"/>
      <c r="D169" s="569"/>
      <c r="E169" s="519"/>
      <c r="F169" s="584"/>
      <c r="G169" s="433"/>
      <c r="H169" s="479"/>
      <c r="I169" s="479"/>
      <c r="J169" s="489"/>
      <c r="K169" s="482"/>
      <c r="L169" s="490"/>
      <c r="M169" s="470"/>
      <c r="N169" s="470"/>
      <c r="O169" s="484"/>
      <c r="P169" s="503"/>
      <c r="Q169" s="503"/>
      <c r="R169" s="503"/>
      <c r="S169" s="503"/>
      <c r="T169" s="503"/>
      <c r="U169" s="503"/>
    </row>
    <row r="170" ht="16.5" customHeight="1">
      <c r="A170" s="433"/>
      <c r="B170" s="191"/>
      <c r="C170" s="247"/>
      <c r="D170" s="569"/>
      <c r="E170" s="519"/>
      <c r="F170" s="584"/>
      <c r="G170" s="433"/>
      <c r="H170" s="479"/>
      <c r="I170" s="479"/>
      <c r="J170" s="489"/>
      <c r="K170" s="482"/>
      <c r="L170" s="490"/>
      <c r="M170" s="470"/>
      <c r="N170" s="470"/>
      <c r="O170" s="484"/>
      <c r="P170" s="503"/>
      <c r="Q170" s="503"/>
      <c r="R170" s="503"/>
      <c r="S170" s="503"/>
      <c r="T170" s="503"/>
      <c r="U170" s="503"/>
    </row>
    <row r="171" ht="16.5" customHeight="1">
      <c r="A171" s="433"/>
      <c r="B171" s="191"/>
      <c r="C171" s="247"/>
      <c r="D171" s="569"/>
      <c r="E171" s="519"/>
      <c r="F171" s="584"/>
      <c r="G171" s="433"/>
      <c r="H171" s="479"/>
      <c r="I171" s="479"/>
      <c r="J171" s="489"/>
      <c r="K171" s="482"/>
      <c r="L171" s="490"/>
      <c r="M171" s="470"/>
      <c r="N171" s="470"/>
      <c r="O171" s="484"/>
      <c r="P171" s="503"/>
      <c r="Q171" s="503"/>
      <c r="R171" s="503"/>
      <c r="S171" s="503"/>
      <c r="T171" s="503"/>
      <c r="U171" s="503"/>
    </row>
    <row r="172" ht="16.5" customHeight="1">
      <c r="B172" s="191"/>
      <c r="C172" s="247"/>
      <c r="D172" s="569"/>
      <c r="E172" s="519"/>
      <c r="F172" s="584"/>
      <c r="G172" s="433"/>
      <c r="H172" s="479"/>
      <c r="I172" s="479"/>
      <c r="J172" s="489"/>
      <c r="K172" s="482"/>
      <c r="L172" s="490"/>
      <c r="M172" s="470"/>
      <c r="N172" s="470"/>
      <c r="O172" s="484"/>
      <c r="P172" s="503"/>
      <c r="Q172" s="503"/>
      <c r="R172" s="503"/>
      <c r="S172" s="503"/>
      <c r="T172" s="503"/>
      <c r="U172" s="503"/>
    </row>
    <row r="173" ht="16.5" customHeight="1">
      <c r="B173" s="191"/>
      <c r="C173" s="247"/>
      <c r="D173" s="569"/>
      <c r="E173" s="519"/>
      <c r="F173" s="584"/>
      <c r="G173" s="433"/>
      <c r="H173" s="479"/>
      <c r="I173" s="479"/>
      <c r="J173" s="489"/>
      <c r="K173" s="482"/>
      <c r="L173" s="490"/>
      <c r="M173" s="470"/>
      <c r="N173" s="470"/>
      <c r="O173" s="484"/>
      <c r="P173" s="503"/>
      <c r="Q173" s="503"/>
      <c r="R173" s="503"/>
      <c r="S173" s="503"/>
      <c r="T173" s="503"/>
      <c r="U173" s="503"/>
    </row>
    <row r="174" ht="16.5" customHeight="1">
      <c r="B174" s="191"/>
      <c r="C174" s="247"/>
      <c r="D174" s="569"/>
      <c r="E174" s="519"/>
      <c r="F174" s="584"/>
      <c r="G174" s="433"/>
      <c r="H174" s="479"/>
      <c r="I174" s="479"/>
      <c r="J174" s="489"/>
      <c r="K174" s="482"/>
      <c r="L174" s="490"/>
      <c r="M174" s="470"/>
      <c r="N174" s="470"/>
      <c r="O174" s="484"/>
      <c r="P174" s="503"/>
      <c r="Q174" s="503"/>
      <c r="R174" s="503"/>
      <c r="S174" s="503"/>
      <c r="T174" s="503"/>
      <c r="U174" s="503"/>
    </row>
    <row r="175" ht="16.5" customHeight="1">
      <c r="B175" s="191"/>
      <c r="C175" s="247"/>
      <c r="D175" s="569"/>
      <c r="E175" s="519"/>
      <c r="F175" s="584"/>
      <c r="G175" s="433"/>
      <c r="H175" s="479"/>
      <c r="I175" s="479"/>
      <c r="J175" s="489"/>
      <c r="K175" s="482"/>
      <c r="L175" s="490"/>
      <c r="M175" s="470"/>
      <c r="N175" s="470"/>
      <c r="O175" s="484"/>
      <c r="P175" s="503"/>
      <c r="Q175" s="503"/>
      <c r="R175" s="503"/>
      <c r="S175" s="503"/>
      <c r="T175" s="503"/>
      <c r="U175" s="503"/>
    </row>
    <row r="176" ht="16.5" customHeight="1">
      <c r="B176" s="191"/>
      <c r="C176" s="247"/>
      <c r="D176" s="569"/>
      <c r="E176" s="519"/>
      <c r="F176" s="584"/>
      <c r="G176" s="433"/>
      <c r="H176" s="479"/>
      <c r="I176" s="479"/>
      <c r="J176" s="489"/>
      <c r="K176" s="482"/>
      <c r="L176" s="490"/>
      <c r="M176" s="470"/>
      <c r="N176" s="470"/>
      <c r="O176" s="484"/>
      <c r="P176" s="503"/>
      <c r="Q176" s="503"/>
      <c r="R176" s="503"/>
      <c r="S176" s="503"/>
      <c r="T176" s="503"/>
      <c r="U176" s="503"/>
    </row>
    <row r="177" ht="16.5" customHeight="1">
      <c r="B177" s="191"/>
      <c r="C177" s="247"/>
      <c r="D177" s="569"/>
      <c r="E177" s="519"/>
      <c r="F177" s="584"/>
      <c r="G177" s="433"/>
      <c r="H177" s="479"/>
      <c r="I177" s="479"/>
      <c r="J177" s="489"/>
      <c r="K177" s="482"/>
      <c r="L177" s="490"/>
      <c r="M177" s="470"/>
      <c r="N177" s="470"/>
      <c r="O177" s="484"/>
      <c r="P177" s="503"/>
      <c r="Q177" s="503"/>
      <c r="R177" s="503"/>
      <c r="S177" s="503"/>
      <c r="T177" s="503"/>
      <c r="U177" s="503"/>
    </row>
    <row r="178" ht="16.5" customHeight="1">
      <c r="B178" s="191"/>
      <c r="C178" s="247"/>
      <c r="D178" s="569"/>
      <c r="E178" s="519"/>
      <c r="F178" s="584"/>
      <c r="G178" s="433"/>
      <c r="H178" s="479"/>
      <c r="I178" s="479"/>
      <c r="J178" s="489"/>
      <c r="K178" s="482"/>
      <c r="L178" s="490"/>
      <c r="M178" s="470"/>
      <c r="N178" s="470"/>
      <c r="O178" s="484"/>
      <c r="P178" s="503"/>
      <c r="Q178" s="503"/>
      <c r="R178" s="503"/>
      <c r="S178" s="503"/>
      <c r="T178" s="503"/>
      <c r="U178" s="503"/>
    </row>
    <row r="179" ht="16.5" customHeight="1">
      <c r="B179" s="191"/>
      <c r="C179" s="247"/>
      <c r="D179" s="569"/>
      <c r="E179" s="519"/>
      <c r="F179" s="584"/>
      <c r="G179" s="433"/>
      <c r="H179" s="479"/>
      <c r="I179" s="479"/>
      <c r="J179" s="489"/>
      <c r="K179" s="482"/>
      <c r="L179" s="490"/>
      <c r="M179" s="470"/>
      <c r="N179" s="470"/>
      <c r="O179" s="484"/>
      <c r="P179" s="503"/>
      <c r="Q179" s="503"/>
      <c r="R179" s="503"/>
      <c r="S179" s="503"/>
      <c r="T179" s="503"/>
      <c r="U179" s="503"/>
    </row>
    <row r="180" ht="16.5" customHeight="1">
      <c r="B180" s="191"/>
      <c r="C180" s="247"/>
      <c r="D180" s="569"/>
      <c r="E180" s="519"/>
      <c r="F180" s="584"/>
      <c r="G180" s="433"/>
      <c r="H180" s="479"/>
      <c r="I180" s="479"/>
      <c r="J180" s="489"/>
      <c r="K180" s="482"/>
      <c r="L180" s="490"/>
      <c r="M180" s="470"/>
      <c r="N180" s="470"/>
      <c r="O180" s="484"/>
      <c r="P180" s="503"/>
      <c r="Q180" s="503"/>
      <c r="R180" s="503"/>
      <c r="S180" s="503"/>
      <c r="T180" s="503"/>
      <c r="U180" s="503"/>
    </row>
    <row r="181" ht="16.5" customHeight="1">
      <c r="B181" s="191"/>
      <c r="C181" s="247"/>
      <c r="D181" s="569"/>
      <c r="E181" s="519"/>
      <c r="F181" s="584"/>
      <c r="G181" s="433"/>
      <c r="H181" s="479"/>
      <c r="I181" s="479"/>
      <c r="J181" s="489"/>
      <c r="K181" s="482"/>
      <c r="L181" s="490"/>
      <c r="M181" s="470"/>
      <c r="N181" s="470"/>
      <c r="O181" s="484"/>
      <c r="P181" s="503"/>
      <c r="Q181" s="503"/>
      <c r="R181" s="503"/>
      <c r="S181" s="503"/>
      <c r="T181" s="503"/>
      <c r="U181" s="503"/>
    </row>
    <row r="182" ht="16.5" customHeight="1">
      <c r="B182" s="191"/>
      <c r="C182" s="247"/>
      <c r="D182" s="569"/>
      <c r="E182" s="519"/>
      <c r="F182" s="584"/>
      <c r="G182" s="433"/>
      <c r="H182" s="479"/>
      <c r="I182" s="479"/>
      <c r="J182" s="489"/>
      <c r="K182" s="482"/>
      <c r="L182" s="490"/>
      <c r="M182" s="470"/>
      <c r="N182" s="470"/>
      <c r="O182" s="484"/>
      <c r="P182" s="503"/>
      <c r="Q182" s="503"/>
      <c r="R182" s="503"/>
      <c r="S182" s="503"/>
      <c r="T182" s="503"/>
      <c r="U182" s="503"/>
    </row>
    <row r="183" ht="16.5" customHeight="1">
      <c r="B183" s="191"/>
      <c r="C183" s="247"/>
      <c r="D183" s="569"/>
      <c r="E183" s="519"/>
      <c r="F183" s="584"/>
      <c r="G183" s="433"/>
      <c r="H183" s="479"/>
      <c r="I183" s="479"/>
      <c r="J183" s="489"/>
      <c r="K183" s="482"/>
      <c r="L183" s="490"/>
      <c r="M183" s="470"/>
      <c r="N183" s="470"/>
      <c r="O183" s="484"/>
      <c r="P183" s="503"/>
      <c r="Q183" s="503"/>
      <c r="R183" s="503"/>
      <c r="S183" s="503"/>
      <c r="T183" s="503"/>
      <c r="U183" s="503"/>
    </row>
    <row r="184" ht="16.5" customHeight="1">
      <c r="A184" s="433"/>
      <c r="B184" s="191"/>
      <c r="C184" s="247"/>
      <c r="D184" s="569"/>
      <c r="E184" s="519"/>
      <c r="F184" s="584"/>
      <c r="G184" s="433"/>
      <c r="H184" s="479"/>
      <c r="I184" s="479"/>
      <c r="J184" s="489"/>
      <c r="K184" s="482"/>
      <c r="L184" s="490"/>
      <c r="M184" s="470"/>
      <c r="N184" s="470"/>
      <c r="O184" s="484"/>
      <c r="P184" s="503"/>
      <c r="Q184" s="503"/>
      <c r="R184" s="503"/>
      <c r="S184" s="503"/>
      <c r="T184" s="503"/>
      <c r="U184" s="503"/>
    </row>
    <row r="185" ht="16.5" customHeight="1">
      <c r="A185" s="433"/>
      <c r="B185" s="191"/>
      <c r="C185" s="247"/>
      <c r="D185" s="569"/>
      <c r="E185" s="519"/>
      <c r="F185" s="584"/>
      <c r="G185" s="433"/>
      <c r="H185" s="479"/>
      <c r="I185" s="479"/>
      <c r="J185" s="489"/>
      <c r="K185" s="482"/>
      <c r="L185" s="490"/>
      <c r="M185" s="470"/>
      <c r="N185" s="470"/>
      <c r="O185" s="484"/>
      <c r="P185" s="503"/>
      <c r="Q185" s="503"/>
      <c r="R185" s="503"/>
      <c r="S185" s="503"/>
      <c r="T185" s="503"/>
      <c r="U185" s="503"/>
    </row>
    <row r="186" ht="16.5" customHeight="1">
      <c r="A186" s="433"/>
      <c r="B186" s="191"/>
      <c r="C186" s="247"/>
      <c r="D186" s="569"/>
      <c r="E186" s="519"/>
      <c r="F186" s="584"/>
      <c r="G186" s="433"/>
      <c r="H186" s="479"/>
      <c r="I186" s="479"/>
      <c r="J186" s="489"/>
      <c r="K186" s="482"/>
      <c r="L186" s="490"/>
      <c r="M186" s="470"/>
      <c r="N186" s="470"/>
      <c r="O186" s="484"/>
      <c r="P186" s="503"/>
      <c r="Q186" s="503"/>
      <c r="R186" s="503"/>
      <c r="S186" s="503"/>
      <c r="T186" s="503"/>
      <c r="U186" s="503"/>
    </row>
    <row r="187" ht="16.5" customHeight="1">
      <c r="A187" s="433"/>
      <c r="B187" s="191"/>
      <c r="C187" s="247"/>
      <c r="D187" s="569"/>
      <c r="E187" s="519"/>
      <c r="F187" s="584"/>
      <c r="G187" s="433"/>
      <c r="H187" s="479"/>
      <c r="I187" s="479"/>
      <c r="J187" s="489"/>
      <c r="K187" s="482"/>
      <c r="L187" s="490"/>
      <c r="M187" s="470"/>
      <c r="N187" s="470"/>
      <c r="O187" s="484"/>
      <c r="P187" s="503"/>
      <c r="Q187" s="503"/>
      <c r="R187" s="503"/>
      <c r="S187" s="503"/>
      <c r="T187" s="503"/>
      <c r="U187" s="503"/>
    </row>
    <row r="188" ht="16.5" customHeight="1">
      <c r="A188" s="433"/>
      <c r="B188" s="191"/>
      <c r="C188" s="247"/>
      <c r="D188" s="569"/>
      <c r="E188" s="519"/>
      <c r="F188" s="584"/>
      <c r="G188" s="433"/>
      <c r="H188" s="479"/>
      <c r="I188" s="479"/>
      <c r="J188" s="489"/>
      <c r="K188" s="482"/>
      <c r="L188" s="490"/>
      <c r="M188" s="470"/>
      <c r="N188" s="470"/>
      <c r="O188" s="484"/>
      <c r="P188" s="503"/>
      <c r="Q188" s="503"/>
      <c r="R188" s="503"/>
      <c r="S188" s="503"/>
      <c r="T188" s="503"/>
      <c r="U188" s="503"/>
    </row>
    <row r="189" ht="16.5" customHeight="1">
      <c r="A189" s="433"/>
      <c r="B189" s="191"/>
      <c r="C189" s="247"/>
      <c r="D189" s="569"/>
      <c r="E189" s="519"/>
      <c r="F189" s="584"/>
      <c r="G189" s="433"/>
      <c r="H189" s="479"/>
      <c r="I189" s="479"/>
      <c r="J189" s="489"/>
      <c r="K189" s="482"/>
      <c r="L189" s="490"/>
      <c r="M189" s="470"/>
      <c r="N189" s="470"/>
      <c r="O189" s="484"/>
      <c r="P189" s="503"/>
      <c r="Q189" s="503"/>
      <c r="R189" s="503"/>
      <c r="S189" s="503"/>
      <c r="T189" s="503"/>
      <c r="U189" s="503"/>
    </row>
    <row r="190" ht="16.5" customHeight="1">
      <c r="A190" s="433"/>
      <c r="B190" s="191"/>
      <c r="C190" s="247"/>
      <c r="D190" s="569"/>
      <c r="E190" s="519"/>
      <c r="F190" s="584"/>
      <c r="G190" s="433"/>
      <c r="H190" s="479"/>
      <c r="I190" s="479"/>
      <c r="J190" s="489"/>
      <c r="K190" s="482"/>
      <c r="L190" s="490"/>
      <c r="M190" s="470"/>
      <c r="N190" s="470"/>
      <c r="O190" s="484"/>
      <c r="P190" s="503"/>
      <c r="Q190" s="503"/>
      <c r="R190" s="503"/>
      <c r="S190" s="503"/>
      <c r="T190" s="503"/>
      <c r="U190" s="503"/>
    </row>
    <row r="191" ht="16.5" customHeight="1">
      <c r="A191" s="433"/>
      <c r="B191" s="191"/>
      <c r="C191" s="247"/>
      <c r="D191" s="569"/>
      <c r="E191" s="519"/>
      <c r="F191" s="584"/>
      <c r="G191" s="433"/>
      <c r="H191" s="479"/>
      <c r="I191" s="479"/>
      <c r="J191" s="489"/>
      <c r="K191" s="482"/>
      <c r="L191" s="490"/>
      <c r="M191" s="470"/>
      <c r="N191" s="470"/>
      <c r="O191" s="484"/>
      <c r="P191" s="503"/>
      <c r="Q191" s="503"/>
      <c r="R191" s="503"/>
      <c r="S191" s="503"/>
      <c r="T191" s="503"/>
      <c r="U191" s="503"/>
    </row>
    <row r="192" ht="16.5" customHeight="1">
      <c r="A192" s="433"/>
      <c r="B192" s="191"/>
      <c r="C192" s="247"/>
      <c r="D192" s="569"/>
      <c r="E192" s="519"/>
      <c r="F192" s="584"/>
      <c r="G192" s="433"/>
      <c r="H192" s="479"/>
      <c r="I192" s="479"/>
      <c r="J192" s="489"/>
      <c r="K192" s="482"/>
      <c r="L192" s="490"/>
      <c r="M192" s="470"/>
      <c r="N192" s="470"/>
      <c r="O192" s="484"/>
      <c r="P192" s="503"/>
      <c r="Q192" s="503"/>
      <c r="R192" s="503"/>
      <c r="S192" s="503"/>
      <c r="T192" s="503"/>
      <c r="U192" s="503"/>
    </row>
    <row r="193" ht="16.5" customHeight="1">
      <c r="A193" s="433"/>
      <c r="B193" s="191"/>
      <c r="C193" s="247"/>
      <c r="D193" s="569"/>
      <c r="E193" s="519"/>
      <c r="F193" s="584"/>
      <c r="G193" s="433"/>
      <c r="H193" s="479"/>
      <c r="I193" s="479"/>
      <c r="J193" s="489"/>
      <c r="K193" s="482"/>
      <c r="L193" s="490"/>
      <c r="M193" s="470"/>
      <c r="N193" s="470"/>
      <c r="O193" s="484"/>
      <c r="P193" s="503"/>
      <c r="Q193" s="503"/>
      <c r="R193" s="503"/>
      <c r="S193" s="503"/>
      <c r="T193" s="503"/>
      <c r="U193" s="503"/>
    </row>
    <row r="194" ht="16.5" customHeight="1">
      <c r="A194" s="433"/>
      <c r="B194" s="191"/>
      <c r="C194" s="247"/>
      <c r="D194" s="569"/>
      <c r="E194" s="519"/>
      <c r="F194" s="584"/>
      <c r="G194" s="433"/>
      <c r="H194" s="479"/>
      <c r="I194" s="479"/>
      <c r="J194" s="489"/>
      <c r="K194" s="482"/>
      <c r="L194" s="490"/>
      <c r="M194" s="470"/>
      <c r="N194" s="470"/>
      <c r="O194" s="484"/>
      <c r="P194" s="503"/>
      <c r="Q194" s="503"/>
      <c r="R194" s="503"/>
      <c r="S194" s="503"/>
      <c r="T194" s="503"/>
      <c r="U194" s="503"/>
    </row>
    <row r="195" ht="16.5" customHeight="1">
      <c r="A195" s="433"/>
      <c r="B195" s="191"/>
      <c r="C195" s="247"/>
      <c r="D195" s="569"/>
      <c r="E195" s="519"/>
      <c r="F195" s="584"/>
      <c r="G195" s="433"/>
      <c r="H195" s="479"/>
      <c r="I195" s="479"/>
      <c r="J195" s="489"/>
      <c r="K195" s="482"/>
      <c r="L195" s="490"/>
      <c r="M195" s="470"/>
      <c r="N195" s="470"/>
      <c r="O195" s="484"/>
      <c r="P195" s="503"/>
      <c r="Q195" s="503"/>
      <c r="R195" s="503"/>
      <c r="S195" s="503"/>
      <c r="T195" s="503"/>
      <c r="U195" s="503"/>
    </row>
    <row r="196" ht="16.5" customHeight="1">
      <c r="A196" s="433"/>
      <c r="B196" s="191"/>
      <c r="C196" s="247"/>
      <c r="D196" s="569"/>
      <c r="E196" s="519"/>
      <c r="F196" s="584"/>
      <c r="G196" s="433"/>
      <c r="H196" s="479"/>
      <c r="I196" s="479"/>
      <c r="J196" s="489"/>
      <c r="K196" s="482"/>
      <c r="L196" s="490"/>
      <c r="M196" s="470"/>
      <c r="N196" s="470"/>
      <c r="O196" s="484"/>
      <c r="P196" s="503"/>
      <c r="Q196" s="503"/>
      <c r="R196" s="503"/>
      <c r="S196" s="503"/>
      <c r="T196" s="503"/>
      <c r="U196" s="503"/>
    </row>
    <row r="197" ht="16.5" customHeight="1">
      <c r="A197" s="433"/>
      <c r="B197" s="191"/>
      <c r="C197" s="247"/>
      <c r="D197" s="569"/>
      <c r="E197" s="519"/>
      <c r="F197" s="584"/>
      <c r="G197" s="433"/>
      <c r="H197" s="479"/>
      <c r="I197" s="479"/>
      <c r="J197" s="489"/>
      <c r="K197" s="482"/>
      <c r="L197" s="490"/>
      <c r="M197" s="470"/>
      <c r="N197" s="470"/>
      <c r="O197" s="484"/>
      <c r="P197" s="503"/>
      <c r="Q197" s="503"/>
      <c r="R197" s="503"/>
      <c r="S197" s="503"/>
      <c r="T197" s="503"/>
      <c r="U197" s="503"/>
    </row>
    <row r="198" ht="16.5" customHeight="1">
      <c r="A198" s="433"/>
      <c r="B198" s="191"/>
      <c r="C198" s="247"/>
      <c r="D198" s="569"/>
      <c r="E198" s="519"/>
      <c r="F198" s="584"/>
      <c r="G198" s="433"/>
      <c r="H198" s="479"/>
      <c r="I198" s="479"/>
      <c r="J198" s="489"/>
      <c r="K198" s="482"/>
      <c r="L198" s="490"/>
      <c r="M198" s="470"/>
      <c r="N198" s="470"/>
      <c r="O198" s="484"/>
      <c r="P198" s="503"/>
      <c r="Q198" s="503"/>
      <c r="R198" s="503"/>
      <c r="S198" s="503"/>
      <c r="T198" s="503"/>
      <c r="U198" s="503"/>
    </row>
    <row r="199" ht="16.5" customHeight="1">
      <c r="A199" s="433"/>
      <c r="B199" s="191"/>
      <c r="C199" s="247"/>
      <c r="D199" s="569"/>
      <c r="E199" s="519"/>
      <c r="F199" s="584"/>
      <c r="G199" s="433"/>
      <c r="H199" s="479"/>
      <c r="I199" s="479"/>
      <c r="J199" s="489"/>
      <c r="K199" s="482"/>
      <c r="L199" s="490"/>
      <c r="M199" s="470"/>
      <c r="N199" s="470"/>
      <c r="O199" s="484"/>
      <c r="P199" s="503"/>
      <c r="Q199" s="503"/>
      <c r="R199" s="503"/>
      <c r="S199" s="503"/>
      <c r="T199" s="503"/>
      <c r="U199" s="503"/>
    </row>
    <row r="200" ht="16.5" customHeight="1">
      <c r="A200" s="433"/>
      <c r="B200" s="191"/>
      <c r="C200" s="247"/>
      <c r="D200" s="569"/>
      <c r="E200" s="519"/>
      <c r="F200" s="584"/>
      <c r="G200" s="433"/>
      <c r="H200" s="479"/>
      <c r="I200" s="479"/>
      <c r="J200" s="489"/>
      <c r="K200" s="482"/>
      <c r="L200" s="490"/>
      <c r="M200" s="470"/>
      <c r="N200" s="470"/>
      <c r="O200" s="484"/>
      <c r="P200" s="503"/>
      <c r="Q200" s="503"/>
      <c r="R200" s="503"/>
      <c r="S200" s="503"/>
      <c r="T200" s="503"/>
      <c r="U200" s="503"/>
    </row>
    <row r="201" ht="16.5" customHeight="1">
      <c r="A201" s="433"/>
      <c r="B201" s="191"/>
      <c r="C201" s="247"/>
      <c r="D201" s="569"/>
      <c r="E201" s="519"/>
      <c r="F201" s="584"/>
      <c r="G201" s="433"/>
      <c r="H201" s="479"/>
      <c r="I201" s="479"/>
      <c r="J201" s="489"/>
      <c r="K201" s="482"/>
      <c r="L201" s="490"/>
      <c r="M201" s="470"/>
      <c r="N201" s="470"/>
      <c r="O201" s="484"/>
      <c r="P201" s="503"/>
      <c r="Q201" s="503"/>
      <c r="R201" s="503"/>
      <c r="S201" s="503"/>
      <c r="T201" s="503"/>
      <c r="U201" s="503"/>
    </row>
    <row r="202" ht="16.5" customHeight="1">
      <c r="A202" s="433"/>
      <c r="B202" s="191"/>
      <c r="C202" s="247"/>
      <c r="D202" s="569"/>
      <c r="E202" s="519"/>
      <c r="F202" s="584"/>
      <c r="G202" s="433"/>
      <c r="H202" s="479"/>
      <c r="I202" s="479"/>
      <c r="J202" s="489"/>
      <c r="K202" s="482"/>
      <c r="L202" s="490"/>
      <c r="M202" s="470"/>
      <c r="N202" s="470"/>
      <c r="O202" s="484"/>
      <c r="P202" s="503"/>
      <c r="Q202" s="503"/>
      <c r="R202" s="503"/>
      <c r="S202" s="503"/>
      <c r="T202" s="503"/>
      <c r="U202" s="503"/>
    </row>
    <row r="203" ht="16.5" customHeight="1">
      <c r="A203" s="433"/>
      <c r="B203" s="191"/>
      <c r="C203" s="247"/>
      <c r="D203" s="569"/>
      <c r="E203" s="519"/>
      <c r="F203" s="584"/>
      <c r="G203" s="433"/>
      <c r="H203" s="479"/>
      <c r="I203" s="479"/>
      <c r="J203" s="489"/>
      <c r="K203" s="482"/>
      <c r="L203" s="490"/>
      <c r="M203" s="470"/>
      <c r="N203" s="470"/>
      <c r="O203" s="484"/>
      <c r="P203" s="503"/>
      <c r="Q203" s="503"/>
      <c r="R203" s="503"/>
      <c r="S203" s="503"/>
      <c r="T203" s="503"/>
      <c r="U203" s="503"/>
    </row>
    <row r="204" ht="16.5" customHeight="1">
      <c r="A204" s="433"/>
      <c r="B204" s="191"/>
      <c r="C204" s="247"/>
      <c r="D204" s="569"/>
      <c r="E204" s="519"/>
      <c r="F204" s="584"/>
      <c r="G204" s="433"/>
      <c r="H204" s="479"/>
      <c r="I204" s="479"/>
      <c r="J204" s="489"/>
      <c r="K204" s="482"/>
      <c r="L204" s="490"/>
      <c r="M204" s="470"/>
      <c r="N204" s="470"/>
      <c r="O204" s="484"/>
      <c r="P204" s="503"/>
      <c r="Q204" s="503"/>
      <c r="R204" s="503"/>
      <c r="S204" s="503"/>
      <c r="T204" s="503"/>
      <c r="U204" s="503"/>
    </row>
    <row r="205" ht="16.5" customHeight="1">
      <c r="A205" s="433"/>
      <c r="B205" s="191"/>
      <c r="C205" s="247"/>
      <c r="D205" s="569"/>
      <c r="E205" s="519"/>
      <c r="F205" s="584"/>
      <c r="G205" s="433"/>
      <c r="H205" s="479"/>
      <c r="I205" s="479"/>
      <c r="J205" s="489"/>
      <c r="K205" s="482"/>
      <c r="L205" s="490"/>
      <c r="M205" s="470"/>
      <c r="N205" s="470"/>
      <c r="O205" s="484"/>
      <c r="P205" s="503"/>
      <c r="Q205" s="503"/>
      <c r="R205" s="503"/>
      <c r="S205" s="503"/>
      <c r="T205" s="503"/>
      <c r="U205" s="503"/>
    </row>
    <row r="206" ht="16.5" customHeight="1">
      <c r="A206" s="433"/>
      <c r="B206" s="191"/>
      <c r="C206" s="247"/>
      <c r="D206" s="569"/>
      <c r="E206" s="519"/>
      <c r="F206" s="584"/>
      <c r="G206" s="433"/>
      <c r="H206" s="479"/>
      <c r="I206" s="479"/>
      <c r="J206" s="489"/>
      <c r="K206" s="482"/>
      <c r="L206" s="490"/>
      <c r="M206" s="470"/>
      <c r="N206" s="470"/>
      <c r="O206" s="484"/>
      <c r="P206" s="503"/>
      <c r="Q206" s="503"/>
      <c r="R206" s="503"/>
      <c r="S206" s="503"/>
      <c r="T206" s="503"/>
      <c r="U206" s="503"/>
    </row>
    <row r="207" ht="16.5" customHeight="1">
      <c r="A207" s="433"/>
      <c r="B207" s="191"/>
      <c r="C207" s="247"/>
      <c r="D207" s="569"/>
      <c r="E207" s="519"/>
      <c r="F207" s="584"/>
      <c r="G207" s="433"/>
      <c r="H207" s="479"/>
      <c r="I207" s="479"/>
      <c r="J207" s="489"/>
      <c r="K207" s="482"/>
      <c r="L207" s="490"/>
      <c r="M207" s="470"/>
      <c r="N207" s="470"/>
      <c r="O207" s="484"/>
      <c r="P207" s="503"/>
      <c r="Q207" s="503"/>
      <c r="R207" s="503"/>
      <c r="S207" s="503"/>
      <c r="T207" s="503"/>
      <c r="U207" s="503"/>
    </row>
    <row r="208" ht="16.5" customHeight="1">
      <c r="A208" s="433"/>
      <c r="B208" s="191"/>
      <c r="C208" s="247"/>
      <c r="D208" s="569"/>
      <c r="E208" s="519"/>
      <c r="F208" s="584"/>
      <c r="G208" s="433"/>
      <c r="H208" s="479"/>
      <c r="I208" s="479"/>
      <c r="J208" s="489"/>
      <c r="K208" s="482"/>
      <c r="L208" s="490"/>
      <c r="M208" s="470"/>
      <c r="N208" s="470"/>
      <c r="O208" s="484"/>
      <c r="P208" s="503"/>
      <c r="Q208" s="503"/>
      <c r="R208" s="503"/>
      <c r="S208" s="503"/>
      <c r="T208" s="503"/>
      <c r="U208" s="503"/>
    </row>
    <row r="209" ht="16.5" customHeight="1">
      <c r="A209" s="433"/>
      <c r="B209" s="191"/>
      <c r="C209" s="247"/>
      <c r="D209" s="569"/>
      <c r="E209" s="519"/>
      <c r="F209" s="584"/>
      <c r="G209" s="433"/>
      <c r="H209" s="479"/>
      <c r="I209" s="479"/>
      <c r="J209" s="489"/>
      <c r="K209" s="482"/>
      <c r="L209" s="490"/>
      <c r="M209" s="470"/>
      <c r="N209" s="470"/>
      <c r="O209" s="484"/>
      <c r="P209" s="503"/>
      <c r="Q209" s="503"/>
      <c r="R209" s="503"/>
      <c r="S209" s="503"/>
      <c r="T209" s="503"/>
      <c r="U209" s="503"/>
    </row>
    <row r="210" ht="16.5" customHeight="1">
      <c r="A210" s="433"/>
      <c r="B210" s="191"/>
      <c r="C210" s="247"/>
      <c r="D210" s="569"/>
      <c r="E210" s="519"/>
      <c r="F210" s="584"/>
      <c r="G210" s="433"/>
      <c r="H210" s="479"/>
      <c r="I210" s="479"/>
      <c r="J210" s="489"/>
      <c r="K210" s="482"/>
      <c r="L210" s="490"/>
      <c r="M210" s="470"/>
      <c r="N210" s="470"/>
      <c r="O210" s="484"/>
      <c r="P210" s="503"/>
      <c r="Q210" s="503"/>
      <c r="R210" s="503"/>
      <c r="S210" s="503"/>
      <c r="T210" s="503"/>
      <c r="U210" s="503"/>
    </row>
    <row r="211" ht="16.5" customHeight="1">
      <c r="A211" s="433"/>
      <c r="B211" s="191"/>
      <c r="C211" s="247"/>
      <c r="D211" s="569"/>
      <c r="E211" s="519"/>
      <c r="F211" s="584"/>
      <c r="G211" s="433"/>
      <c r="H211" s="479"/>
      <c r="I211" s="479"/>
      <c r="J211" s="489"/>
      <c r="K211" s="482"/>
      <c r="L211" s="490"/>
      <c r="M211" s="470"/>
      <c r="N211" s="470"/>
      <c r="O211" s="484"/>
      <c r="P211" s="503"/>
      <c r="Q211" s="503"/>
      <c r="R211" s="503"/>
      <c r="S211" s="503"/>
      <c r="T211" s="503"/>
      <c r="U211" s="503"/>
    </row>
    <row r="212" ht="16.5" customHeight="1">
      <c r="A212" s="433"/>
      <c r="B212" s="191"/>
      <c r="C212" s="247"/>
      <c r="D212" s="569"/>
      <c r="E212" s="519"/>
      <c r="F212" s="584"/>
      <c r="G212" s="433"/>
      <c r="H212" s="479"/>
      <c r="I212" s="479"/>
      <c r="J212" s="489"/>
      <c r="K212" s="482"/>
      <c r="L212" s="490"/>
      <c r="M212" s="470"/>
      <c r="N212" s="470"/>
      <c r="O212" s="484"/>
      <c r="P212" s="503"/>
      <c r="Q212" s="503"/>
      <c r="R212" s="503"/>
      <c r="S212" s="503"/>
      <c r="T212" s="503"/>
      <c r="U212" s="503"/>
    </row>
    <row r="213" ht="16.5" customHeight="1">
      <c r="A213" s="433"/>
      <c r="B213" s="191"/>
      <c r="C213" s="247"/>
      <c r="D213" s="569"/>
      <c r="E213" s="519"/>
      <c r="F213" s="584"/>
      <c r="G213" s="433"/>
      <c r="H213" s="479"/>
      <c r="I213" s="479"/>
      <c r="J213" s="489"/>
      <c r="K213" s="482"/>
      <c r="L213" s="490"/>
      <c r="M213" s="470"/>
      <c r="N213" s="470"/>
      <c r="O213" s="484"/>
      <c r="P213" s="503"/>
      <c r="Q213" s="503"/>
      <c r="R213" s="503"/>
      <c r="S213" s="503"/>
      <c r="T213" s="503"/>
      <c r="U213" s="503"/>
    </row>
    <row r="214" ht="16.5" customHeight="1">
      <c r="A214" s="433"/>
      <c r="B214" s="191"/>
      <c r="C214" s="247"/>
      <c r="D214" s="569"/>
      <c r="E214" s="519"/>
      <c r="F214" s="584"/>
      <c r="G214" s="433"/>
      <c r="H214" s="479"/>
      <c r="I214" s="479"/>
      <c r="J214" s="489"/>
      <c r="K214" s="482"/>
      <c r="L214" s="490"/>
      <c r="M214" s="470"/>
      <c r="N214" s="470"/>
      <c r="O214" s="484"/>
      <c r="P214" s="503"/>
      <c r="Q214" s="503"/>
      <c r="R214" s="503"/>
      <c r="S214" s="503"/>
      <c r="T214" s="503"/>
      <c r="U214" s="503"/>
    </row>
    <row r="215" ht="16.5" customHeight="1">
      <c r="A215" s="433"/>
      <c r="B215" s="191"/>
      <c r="C215" s="247"/>
      <c r="D215" s="569"/>
      <c r="E215" s="519"/>
      <c r="F215" s="584"/>
      <c r="G215" s="433"/>
      <c r="H215" s="479"/>
      <c r="I215" s="479"/>
      <c r="J215" s="489"/>
      <c r="K215" s="482"/>
      <c r="L215" s="490"/>
      <c r="M215" s="470"/>
      <c r="N215" s="470"/>
      <c r="O215" s="484"/>
      <c r="P215" s="503"/>
      <c r="Q215" s="503"/>
      <c r="R215" s="503"/>
      <c r="S215" s="503"/>
      <c r="T215" s="503"/>
      <c r="U215" s="503"/>
    </row>
    <row r="216" ht="16.5" customHeight="1">
      <c r="A216" s="433"/>
      <c r="B216" s="191"/>
      <c r="C216" s="247"/>
      <c r="D216" s="569"/>
      <c r="E216" s="519"/>
      <c r="F216" s="584"/>
      <c r="G216" s="433"/>
      <c r="H216" s="479"/>
      <c r="I216" s="479"/>
      <c r="J216" s="489"/>
      <c r="K216" s="482"/>
      <c r="L216" s="490"/>
      <c r="M216" s="470"/>
      <c r="N216" s="470"/>
      <c r="O216" s="484"/>
      <c r="P216" s="503"/>
      <c r="Q216" s="503"/>
      <c r="R216" s="503"/>
      <c r="S216" s="503"/>
      <c r="T216" s="503"/>
      <c r="U216" s="503"/>
    </row>
    <row r="217" ht="16.5" customHeight="1">
      <c r="A217" s="433"/>
      <c r="B217" s="191"/>
      <c r="C217" s="247"/>
      <c r="D217" s="569"/>
      <c r="E217" s="519"/>
      <c r="F217" s="584"/>
      <c r="G217" s="433"/>
      <c r="H217" s="479"/>
      <c r="I217" s="479"/>
      <c r="J217" s="489"/>
      <c r="K217" s="482"/>
      <c r="L217" s="490"/>
      <c r="M217" s="470"/>
      <c r="N217" s="470"/>
      <c r="O217" s="484"/>
      <c r="P217" s="503"/>
      <c r="Q217" s="503"/>
      <c r="R217" s="503"/>
      <c r="S217" s="503"/>
      <c r="T217" s="503"/>
      <c r="U217" s="503"/>
    </row>
    <row r="218" ht="16.5" customHeight="1">
      <c r="A218" s="433"/>
      <c r="B218" s="191"/>
      <c r="C218" s="247"/>
      <c r="D218" s="569"/>
      <c r="E218" s="519"/>
      <c r="F218" s="584"/>
      <c r="G218" s="433"/>
      <c r="H218" s="479"/>
      <c r="I218" s="479"/>
      <c r="J218" s="489"/>
      <c r="K218" s="482"/>
      <c r="L218" s="490"/>
      <c r="M218" s="470"/>
      <c r="N218" s="470"/>
      <c r="O218" s="484"/>
      <c r="P218" s="503"/>
      <c r="Q218" s="503"/>
      <c r="R218" s="503"/>
      <c r="S218" s="503"/>
      <c r="T218" s="503"/>
      <c r="U218" s="503"/>
    </row>
    <row r="219" ht="16.5" customHeight="1">
      <c r="A219" s="433"/>
      <c r="B219" s="191"/>
      <c r="C219" s="247"/>
      <c r="D219" s="569"/>
      <c r="E219" s="519"/>
      <c r="F219" s="584"/>
      <c r="G219" s="433"/>
      <c r="H219" s="479"/>
      <c r="I219" s="479"/>
      <c r="J219" s="489"/>
      <c r="K219" s="482"/>
      <c r="L219" s="490"/>
      <c r="M219" s="470"/>
      <c r="N219" s="470"/>
      <c r="O219" s="484"/>
      <c r="P219" s="503"/>
      <c r="Q219" s="503"/>
      <c r="R219" s="503"/>
      <c r="S219" s="503"/>
      <c r="T219" s="503"/>
      <c r="U219" s="503"/>
    </row>
    <row r="220" ht="16.5" customHeight="1">
      <c r="A220" s="433"/>
      <c r="B220" s="191"/>
      <c r="C220" s="247"/>
      <c r="D220" s="569"/>
      <c r="E220" s="519"/>
      <c r="F220" s="584"/>
      <c r="G220" s="433"/>
      <c r="H220" s="479"/>
      <c r="I220" s="479"/>
      <c r="J220" s="489"/>
      <c r="K220" s="482"/>
      <c r="L220" s="490"/>
      <c r="M220" s="470"/>
      <c r="N220" s="470"/>
      <c r="O220" s="484"/>
      <c r="P220" s="503"/>
      <c r="Q220" s="503"/>
      <c r="R220" s="503"/>
      <c r="S220" s="503"/>
      <c r="T220" s="503"/>
      <c r="U220" s="503"/>
    </row>
    <row r="221" ht="16.5" customHeight="1">
      <c r="A221" s="433"/>
      <c r="B221" s="191"/>
      <c r="C221" s="247"/>
      <c r="D221" s="569"/>
      <c r="E221" s="519"/>
      <c r="F221" s="584"/>
      <c r="G221" s="433"/>
      <c r="H221" s="479"/>
      <c r="I221" s="479"/>
      <c r="J221" s="489"/>
      <c r="K221" s="482"/>
      <c r="L221" s="490"/>
      <c r="M221" s="470"/>
      <c r="N221" s="470"/>
      <c r="O221" s="484"/>
      <c r="P221" s="503"/>
      <c r="Q221" s="503"/>
      <c r="R221" s="503"/>
      <c r="S221" s="503"/>
      <c r="T221" s="503"/>
      <c r="U221" s="503"/>
    </row>
    <row r="222" ht="16.5" customHeight="1">
      <c r="A222" s="433"/>
      <c r="B222" s="191"/>
      <c r="C222" s="247"/>
      <c r="D222" s="569"/>
      <c r="E222" s="519"/>
      <c r="F222" s="584"/>
      <c r="G222" s="433"/>
      <c r="H222" s="479"/>
      <c r="I222" s="479"/>
      <c r="J222" s="489"/>
      <c r="K222" s="482"/>
      <c r="L222" s="490"/>
      <c r="M222" s="470"/>
      <c r="N222" s="470"/>
      <c r="O222" s="484"/>
      <c r="P222" s="503"/>
      <c r="Q222" s="503"/>
      <c r="R222" s="503"/>
      <c r="S222" s="503"/>
      <c r="T222" s="503"/>
      <c r="U222" s="503"/>
    </row>
    <row r="223" ht="16.5" customHeight="1">
      <c r="A223" s="433"/>
      <c r="B223" s="191"/>
      <c r="C223" s="247"/>
      <c r="D223" s="569"/>
      <c r="E223" s="519"/>
      <c r="F223" s="584"/>
      <c r="G223" s="433"/>
      <c r="H223" s="479"/>
      <c r="I223" s="479"/>
      <c r="J223" s="489"/>
      <c r="K223" s="482"/>
      <c r="L223" s="490"/>
      <c r="M223" s="470"/>
      <c r="N223" s="470"/>
      <c r="O223" s="484"/>
      <c r="P223" s="503"/>
      <c r="Q223" s="503"/>
      <c r="R223" s="503"/>
      <c r="S223" s="503"/>
      <c r="T223" s="503"/>
      <c r="U223" s="503"/>
    </row>
    <row r="224" ht="16.5" customHeight="1">
      <c r="A224" s="433"/>
      <c r="B224" s="191"/>
      <c r="C224" s="247"/>
      <c r="D224" s="569"/>
      <c r="E224" s="519"/>
      <c r="F224" s="584"/>
      <c r="G224" s="433"/>
      <c r="H224" s="479"/>
      <c r="I224" s="479"/>
      <c r="J224" s="489"/>
      <c r="K224" s="482"/>
      <c r="L224" s="490"/>
      <c r="M224" s="470"/>
      <c r="N224" s="470"/>
      <c r="O224" s="484"/>
      <c r="P224" s="503"/>
      <c r="Q224" s="503"/>
      <c r="R224" s="503"/>
      <c r="S224" s="503"/>
      <c r="T224" s="503"/>
      <c r="U224" s="503"/>
    </row>
    <row r="225" ht="16.5" customHeight="1">
      <c r="A225" s="433"/>
      <c r="B225" s="191"/>
      <c r="C225" s="247"/>
      <c r="D225" s="569"/>
      <c r="E225" s="519"/>
      <c r="F225" s="584"/>
      <c r="G225" s="433"/>
      <c r="H225" s="479"/>
      <c r="I225" s="479"/>
      <c r="J225" s="489"/>
      <c r="K225" s="482"/>
      <c r="L225" s="490"/>
      <c r="M225" s="470"/>
      <c r="N225" s="470"/>
      <c r="O225" s="484"/>
      <c r="P225" s="503"/>
      <c r="Q225" s="503"/>
      <c r="R225" s="503"/>
      <c r="S225" s="503"/>
      <c r="T225" s="503"/>
      <c r="U225" s="503"/>
    </row>
    <row r="226" ht="16.5" customHeight="1">
      <c r="A226" s="433"/>
      <c r="B226" s="191"/>
      <c r="C226" s="247"/>
      <c r="D226" s="569"/>
      <c r="E226" s="519"/>
      <c r="F226" s="584"/>
      <c r="G226" s="433"/>
      <c r="H226" s="479"/>
      <c r="I226" s="479"/>
      <c r="J226" s="489"/>
      <c r="K226" s="482"/>
      <c r="L226" s="490"/>
      <c r="M226" s="470"/>
      <c r="N226" s="470"/>
      <c r="O226" s="484"/>
      <c r="P226" s="503"/>
      <c r="Q226" s="503"/>
      <c r="R226" s="503"/>
      <c r="S226" s="503"/>
      <c r="T226" s="503"/>
      <c r="U226" s="503"/>
    </row>
    <row r="227" ht="16.5" customHeight="1">
      <c r="A227" s="433"/>
      <c r="B227" s="191"/>
      <c r="C227" s="247"/>
      <c r="D227" s="569"/>
      <c r="E227" s="519"/>
      <c r="F227" s="584"/>
      <c r="G227" s="433"/>
      <c r="H227" s="479"/>
      <c r="I227" s="479"/>
      <c r="J227" s="489"/>
      <c r="K227" s="482"/>
      <c r="L227" s="490"/>
      <c r="M227" s="470"/>
      <c r="N227" s="470"/>
      <c r="O227" s="484"/>
      <c r="P227" s="503"/>
      <c r="Q227" s="503"/>
      <c r="R227" s="503"/>
      <c r="S227" s="503"/>
      <c r="T227" s="503"/>
      <c r="U227" s="503"/>
    </row>
    <row r="228" ht="16.5" customHeight="1">
      <c r="A228" s="433"/>
      <c r="B228" s="191"/>
      <c r="C228" s="247"/>
      <c r="D228" s="569"/>
      <c r="E228" s="519"/>
      <c r="F228" s="584"/>
      <c r="G228" s="433"/>
      <c r="H228" s="479"/>
      <c r="I228" s="479"/>
      <c r="J228" s="489"/>
      <c r="K228" s="482"/>
      <c r="L228" s="490"/>
      <c r="M228" s="470"/>
      <c r="N228" s="470"/>
      <c r="O228" s="484"/>
      <c r="P228" s="503"/>
      <c r="Q228" s="503"/>
      <c r="R228" s="503"/>
      <c r="S228" s="503"/>
      <c r="T228" s="503"/>
      <c r="U228" s="503"/>
    </row>
    <row r="229" ht="16.5" customHeight="1">
      <c r="A229" s="433"/>
      <c r="B229" s="191"/>
      <c r="C229" s="247"/>
      <c r="D229" s="569"/>
      <c r="E229" s="519"/>
      <c r="F229" s="584"/>
      <c r="G229" s="433"/>
      <c r="H229" s="479"/>
      <c r="I229" s="479"/>
      <c r="J229" s="489"/>
      <c r="K229" s="482"/>
      <c r="L229" s="490"/>
      <c r="M229" s="470"/>
      <c r="N229" s="470"/>
      <c r="O229" s="484"/>
      <c r="P229" s="503"/>
      <c r="Q229" s="503"/>
      <c r="R229" s="503"/>
      <c r="S229" s="503"/>
      <c r="T229" s="503"/>
      <c r="U229" s="503"/>
    </row>
    <row r="230" ht="16.5" customHeight="1">
      <c r="A230" s="433"/>
      <c r="B230" s="191"/>
      <c r="C230" s="247"/>
      <c r="D230" s="569"/>
      <c r="E230" s="519"/>
      <c r="F230" s="584"/>
      <c r="G230" s="433"/>
      <c r="H230" s="479"/>
      <c r="I230" s="479"/>
      <c r="J230" s="489"/>
      <c r="K230" s="482"/>
      <c r="L230" s="490"/>
      <c r="M230" s="470"/>
      <c r="N230" s="470"/>
      <c r="O230" s="484"/>
      <c r="P230" s="503"/>
      <c r="Q230" s="503"/>
      <c r="R230" s="503"/>
      <c r="S230" s="503"/>
      <c r="T230" s="503"/>
      <c r="U230" s="503"/>
    </row>
    <row r="231" ht="16.5" customHeight="1">
      <c r="A231" s="433"/>
      <c r="B231" s="191"/>
      <c r="C231" s="247"/>
      <c r="D231" s="569"/>
      <c r="E231" s="519"/>
      <c r="F231" s="584"/>
      <c r="G231" s="433"/>
      <c r="H231" s="479"/>
      <c r="I231" s="479"/>
      <c r="J231" s="489"/>
      <c r="K231" s="482"/>
      <c r="L231" s="490"/>
      <c r="M231" s="470"/>
      <c r="N231" s="470"/>
      <c r="O231" s="484"/>
      <c r="P231" s="503"/>
      <c r="Q231" s="503"/>
      <c r="R231" s="503"/>
      <c r="S231" s="503"/>
      <c r="T231" s="503"/>
      <c r="U231" s="503"/>
    </row>
    <row r="232" ht="16.5" customHeight="1">
      <c r="A232" s="433"/>
      <c r="B232" s="191"/>
      <c r="C232" s="247"/>
      <c r="D232" s="569"/>
      <c r="E232" s="519"/>
      <c r="F232" s="584"/>
      <c r="G232" s="433"/>
      <c r="H232" s="479"/>
      <c r="I232" s="479"/>
      <c r="J232" s="489"/>
      <c r="K232" s="482"/>
      <c r="L232" s="490"/>
      <c r="M232" s="470"/>
      <c r="N232" s="470"/>
      <c r="O232" s="484"/>
      <c r="P232" s="503"/>
      <c r="Q232" s="503"/>
      <c r="R232" s="503"/>
      <c r="S232" s="503"/>
      <c r="T232" s="503"/>
      <c r="U232" s="503"/>
    </row>
    <row r="233" ht="16.5" customHeight="1">
      <c r="A233" s="433"/>
      <c r="B233" s="191"/>
      <c r="C233" s="247"/>
      <c r="D233" s="569"/>
      <c r="E233" s="519"/>
      <c r="F233" s="584"/>
      <c r="G233" s="433"/>
      <c r="H233" s="479"/>
      <c r="I233" s="479"/>
      <c r="J233" s="489"/>
      <c r="K233" s="482"/>
      <c r="L233" s="490"/>
      <c r="M233" s="470"/>
      <c r="N233" s="470"/>
      <c r="O233" s="484"/>
      <c r="P233" s="503"/>
      <c r="Q233" s="503"/>
      <c r="R233" s="503"/>
      <c r="S233" s="503"/>
      <c r="T233" s="503"/>
      <c r="U233" s="503"/>
    </row>
    <row r="234" ht="16.5" customHeight="1">
      <c r="A234" s="433"/>
      <c r="B234" s="191"/>
      <c r="C234" s="247"/>
      <c r="D234" s="569"/>
      <c r="E234" s="519"/>
      <c r="F234" s="584"/>
      <c r="G234" s="433"/>
      <c r="H234" s="479"/>
      <c r="I234" s="479"/>
      <c r="J234" s="489"/>
      <c r="K234" s="482"/>
      <c r="L234" s="490"/>
      <c r="M234" s="470"/>
      <c r="N234" s="470"/>
      <c r="O234" s="484"/>
      <c r="P234" s="503"/>
      <c r="Q234" s="503"/>
      <c r="R234" s="503"/>
      <c r="S234" s="503"/>
      <c r="T234" s="503"/>
      <c r="U234" s="503"/>
    </row>
    <row r="235" ht="16.5" customHeight="1">
      <c r="A235" s="433"/>
      <c r="B235" s="191"/>
      <c r="C235" s="247"/>
      <c r="D235" s="569"/>
      <c r="E235" s="519"/>
      <c r="F235" s="584"/>
      <c r="G235" s="433"/>
      <c r="H235" s="479"/>
      <c r="I235" s="479"/>
      <c r="J235" s="489"/>
      <c r="K235" s="482"/>
      <c r="L235" s="490"/>
      <c r="M235" s="470"/>
      <c r="N235" s="470"/>
      <c r="O235" s="484"/>
      <c r="P235" s="503"/>
      <c r="Q235" s="503"/>
      <c r="R235" s="503"/>
      <c r="S235" s="503"/>
      <c r="T235" s="503"/>
      <c r="U235" s="503"/>
    </row>
    <row r="236" ht="16.5" customHeight="1">
      <c r="A236" s="433"/>
      <c r="B236" s="191"/>
      <c r="C236" s="247"/>
      <c r="D236" s="569"/>
      <c r="E236" s="519"/>
      <c r="F236" s="584"/>
      <c r="G236" s="433"/>
      <c r="H236" s="479"/>
      <c r="I236" s="479"/>
      <c r="J236" s="489"/>
      <c r="K236" s="482"/>
      <c r="L236" s="490"/>
      <c r="M236" s="470"/>
      <c r="N236" s="470"/>
      <c r="O236" s="484"/>
      <c r="P236" s="503"/>
      <c r="Q236" s="503"/>
      <c r="R236" s="503"/>
      <c r="S236" s="503"/>
      <c r="T236" s="503"/>
      <c r="U236" s="503"/>
    </row>
    <row r="237" ht="16.5" customHeight="1">
      <c r="A237" s="433"/>
      <c r="B237" s="191"/>
      <c r="C237" s="247"/>
      <c r="D237" s="569"/>
      <c r="E237" s="519"/>
      <c r="F237" s="584"/>
      <c r="G237" s="433"/>
      <c r="H237" s="479"/>
      <c r="I237" s="479"/>
      <c r="J237" s="489"/>
      <c r="K237" s="482"/>
      <c r="L237" s="490"/>
      <c r="M237" s="470"/>
      <c r="N237" s="470"/>
      <c r="O237" s="484"/>
      <c r="P237" s="503"/>
      <c r="Q237" s="503"/>
      <c r="R237" s="503"/>
      <c r="S237" s="503"/>
      <c r="T237" s="503"/>
      <c r="U237" s="503"/>
    </row>
    <row r="238" ht="16.5" customHeight="1">
      <c r="A238" s="433"/>
      <c r="B238" s="191"/>
      <c r="C238" s="247"/>
      <c r="D238" s="569"/>
      <c r="E238" s="519"/>
      <c r="F238" s="584"/>
      <c r="G238" s="433"/>
      <c r="H238" s="479"/>
      <c r="I238" s="479"/>
      <c r="J238" s="489"/>
      <c r="K238" s="482"/>
      <c r="L238" s="490"/>
      <c r="M238" s="470"/>
      <c r="N238" s="470"/>
      <c r="O238" s="484"/>
      <c r="P238" s="503"/>
      <c r="Q238" s="503"/>
      <c r="R238" s="503"/>
      <c r="S238" s="503"/>
      <c r="T238" s="503"/>
      <c r="U238" s="503"/>
    </row>
    <row r="239" ht="16.5" customHeight="1">
      <c r="A239" s="433"/>
      <c r="B239" s="191"/>
      <c r="C239" s="247"/>
      <c r="D239" s="569"/>
      <c r="E239" s="519"/>
      <c r="F239" s="584"/>
      <c r="G239" s="433"/>
      <c r="H239" s="479"/>
      <c r="I239" s="479"/>
      <c r="J239" s="489"/>
      <c r="K239" s="482"/>
      <c r="L239" s="490"/>
      <c r="M239" s="470"/>
      <c r="N239" s="470"/>
      <c r="O239" s="484"/>
      <c r="P239" s="503"/>
      <c r="Q239" s="503"/>
      <c r="R239" s="503"/>
      <c r="S239" s="503"/>
      <c r="T239" s="503"/>
      <c r="U239" s="503"/>
    </row>
    <row r="240" ht="16.5" customHeight="1">
      <c r="A240" s="433"/>
      <c r="B240" s="191"/>
      <c r="C240" s="247"/>
      <c r="D240" s="569"/>
      <c r="E240" s="519"/>
      <c r="F240" s="584"/>
      <c r="G240" s="433"/>
      <c r="H240" s="479"/>
      <c r="I240" s="479"/>
      <c r="J240" s="489"/>
      <c r="K240" s="482"/>
      <c r="L240" s="490"/>
      <c r="M240" s="470"/>
      <c r="N240" s="470"/>
      <c r="O240" s="484"/>
      <c r="P240" s="503"/>
      <c r="Q240" s="503"/>
      <c r="R240" s="503"/>
      <c r="S240" s="503"/>
      <c r="T240" s="503"/>
      <c r="U240" s="503"/>
    </row>
    <row r="241" ht="16.5" customHeight="1">
      <c r="A241" s="433"/>
      <c r="B241" s="191"/>
      <c r="C241" s="247"/>
      <c r="D241" s="569"/>
      <c r="E241" s="519"/>
      <c r="F241" s="584"/>
      <c r="G241" s="433"/>
      <c r="H241" s="479"/>
      <c r="I241" s="479"/>
      <c r="J241" s="489"/>
      <c r="K241" s="482"/>
      <c r="L241" s="490"/>
      <c r="M241" s="470"/>
      <c r="N241" s="470"/>
      <c r="O241" s="484"/>
      <c r="P241" s="503"/>
      <c r="Q241" s="503"/>
      <c r="R241" s="503"/>
      <c r="S241" s="503"/>
      <c r="T241" s="503"/>
      <c r="U241" s="503"/>
    </row>
    <row r="242" ht="16.5" customHeight="1">
      <c r="A242" s="433"/>
      <c r="B242" s="191"/>
      <c r="C242" s="247"/>
      <c r="D242" s="569"/>
      <c r="E242" s="519"/>
      <c r="F242" s="584"/>
      <c r="G242" s="433"/>
      <c r="H242" s="479"/>
      <c r="I242" s="479"/>
      <c r="J242" s="489"/>
      <c r="K242" s="482"/>
      <c r="L242" s="490"/>
      <c r="M242" s="470"/>
      <c r="N242" s="470"/>
      <c r="O242" s="484"/>
      <c r="P242" s="503"/>
      <c r="Q242" s="503"/>
      <c r="R242" s="503"/>
      <c r="S242" s="503"/>
      <c r="T242" s="503"/>
      <c r="U242" s="503"/>
    </row>
    <row r="243" ht="16.5" customHeight="1">
      <c r="A243" s="433"/>
      <c r="B243" s="191"/>
      <c r="C243" s="247"/>
      <c r="D243" s="569"/>
      <c r="E243" s="519"/>
      <c r="F243" s="584"/>
      <c r="G243" s="433"/>
      <c r="H243" s="479"/>
      <c r="I243" s="479"/>
      <c r="J243" s="489"/>
      <c r="K243" s="482"/>
      <c r="L243" s="490"/>
      <c r="M243" s="470"/>
      <c r="N243" s="470"/>
      <c r="O243" s="484"/>
      <c r="P243" s="503"/>
      <c r="Q243" s="503"/>
      <c r="R243" s="503"/>
      <c r="S243" s="503"/>
      <c r="T243" s="503"/>
      <c r="U243" s="503"/>
    </row>
    <row r="244" ht="16.5" customHeight="1">
      <c r="A244" s="433"/>
      <c r="B244" s="191"/>
      <c r="C244" s="247"/>
      <c r="D244" s="569"/>
      <c r="E244" s="519"/>
      <c r="F244" s="584"/>
      <c r="G244" s="433"/>
      <c r="H244" s="479"/>
      <c r="I244" s="479"/>
      <c r="J244" s="489"/>
      <c r="K244" s="482"/>
      <c r="L244" s="490"/>
      <c r="M244" s="470"/>
      <c r="N244" s="470"/>
      <c r="O244" s="484"/>
      <c r="P244" s="503"/>
      <c r="Q244" s="503"/>
      <c r="R244" s="503"/>
      <c r="S244" s="503"/>
      <c r="T244" s="503"/>
      <c r="U244" s="503"/>
    </row>
    <row r="245" ht="16.5" customHeight="1">
      <c r="A245" s="433"/>
      <c r="B245" s="191"/>
      <c r="C245" s="247"/>
      <c r="D245" s="569"/>
      <c r="E245" s="519"/>
      <c r="F245" s="584"/>
      <c r="G245" s="433"/>
      <c r="H245" s="479"/>
      <c r="I245" s="479"/>
      <c r="J245" s="489"/>
      <c r="K245" s="482"/>
      <c r="L245" s="490"/>
      <c r="M245" s="470"/>
      <c r="N245" s="470"/>
      <c r="O245" s="484"/>
      <c r="P245" s="503"/>
      <c r="Q245" s="503"/>
      <c r="R245" s="503"/>
      <c r="S245" s="503"/>
      <c r="T245" s="503"/>
      <c r="U245" s="503"/>
    </row>
    <row r="246" ht="16.5" customHeight="1">
      <c r="A246" s="433"/>
      <c r="B246" s="191"/>
      <c r="C246" s="247"/>
      <c r="D246" s="569"/>
      <c r="E246" s="519"/>
      <c r="F246" s="584"/>
      <c r="G246" s="433"/>
      <c r="H246" s="479"/>
      <c r="I246" s="479"/>
      <c r="J246" s="489"/>
      <c r="K246" s="482"/>
      <c r="L246" s="490"/>
      <c r="M246" s="470"/>
      <c r="N246" s="470"/>
      <c r="O246" s="484"/>
      <c r="P246" s="503"/>
      <c r="Q246" s="503"/>
      <c r="R246" s="503"/>
      <c r="S246" s="503"/>
      <c r="T246" s="503"/>
      <c r="U246" s="503"/>
    </row>
    <row r="247" ht="16.5" customHeight="1">
      <c r="A247" s="433"/>
      <c r="B247" s="191"/>
      <c r="C247" s="247"/>
      <c r="D247" s="569"/>
      <c r="E247" s="519"/>
      <c r="F247" s="584"/>
      <c r="G247" s="433"/>
      <c r="H247" s="479"/>
      <c r="I247" s="479"/>
      <c r="J247" s="489"/>
      <c r="K247" s="482"/>
      <c r="L247" s="490"/>
      <c r="M247" s="470"/>
      <c r="N247" s="470"/>
      <c r="O247" s="484"/>
      <c r="P247" s="503"/>
      <c r="Q247" s="503"/>
      <c r="R247" s="503"/>
      <c r="S247" s="503"/>
      <c r="T247" s="503"/>
      <c r="U247" s="503"/>
    </row>
    <row r="248" ht="16.5" customHeight="1">
      <c r="A248" s="433"/>
      <c r="B248" s="191"/>
      <c r="C248" s="247"/>
      <c r="D248" s="569"/>
      <c r="E248" s="519"/>
      <c r="F248" s="584"/>
      <c r="G248" s="433"/>
      <c r="H248" s="479"/>
      <c r="I248" s="479"/>
      <c r="J248" s="489"/>
      <c r="K248" s="482"/>
      <c r="L248" s="490"/>
      <c r="M248" s="470"/>
      <c r="N248" s="470"/>
      <c r="O248" s="484"/>
      <c r="P248" s="503"/>
      <c r="Q248" s="503"/>
      <c r="R248" s="503"/>
      <c r="S248" s="503"/>
      <c r="T248" s="503"/>
      <c r="U248" s="503"/>
    </row>
    <row r="249" ht="16.5" customHeight="1">
      <c r="A249" s="433"/>
      <c r="B249" s="191"/>
      <c r="C249" s="247"/>
      <c r="D249" s="569"/>
      <c r="E249" s="519"/>
      <c r="F249" s="584"/>
      <c r="G249" s="433"/>
      <c r="H249" s="479"/>
      <c r="I249" s="479"/>
      <c r="J249" s="489"/>
      <c r="K249" s="482"/>
      <c r="L249" s="490"/>
      <c r="M249" s="470"/>
      <c r="N249" s="470"/>
      <c r="O249" s="484"/>
      <c r="P249" s="503"/>
      <c r="Q249" s="503"/>
      <c r="R249" s="503"/>
      <c r="S249" s="503"/>
      <c r="T249" s="503"/>
      <c r="U249" s="503"/>
    </row>
    <row r="250" ht="16.5" customHeight="1">
      <c r="A250" s="433"/>
      <c r="B250" s="191"/>
      <c r="C250" s="247"/>
      <c r="D250" s="569"/>
      <c r="E250" s="519"/>
      <c r="F250" s="584"/>
      <c r="G250" s="433"/>
      <c r="H250" s="479"/>
      <c r="I250" s="479"/>
      <c r="J250" s="489"/>
      <c r="K250" s="482"/>
      <c r="L250" s="490"/>
      <c r="M250" s="470"/>
      <c r="N250" s="470"/>
      <c r="O250" s="484"/>
      <c r="P250" s="503"/>
      <c r="Q250" s="503"/>
      <c r="R250" s="503"/>
      <c r="S250" s="503"/>
      <c r="T250" s="503"/>
      <c r="U250" s="503"/>
    </row>
    <row r="251" ht="16.5" customHeight="1">
      <c r="A251" s="433"/>
      <c r="B251" s="191"/>
      <c r="C251" s="247"/>
      <c r="D251" s="569"/>
      <c r="E251" s="519"/>
      <c r="F251" s="584"/>
      <c r="G251" s="433"/>
      <c r="H251" s="479"/>
      <c r="I251" s="479"/>
      <c r="J251" s="489"/>
      <c r="K251" s="482"/>
      <c r="L251" s="490"/>
      <c r="M251" s="470"/>
      <c r="N251" s="470"/>
      <c r="O251" s="484"/>
      <c r="P251" s="503"/>
      <c r="Q251" s="503"/>
      <c r="R251" s="503"/>
      <c r="S251" s="503"/>
      <c r="T251" s="503"/>
      <c r="U251" s="503"/>
    </row>
    <row r="252" ht="16.5" customHeight="1">
      <c r="A252" s="433"/>
      <c r="B252" s="191"/>
      <c r="C252" s="247"/>
      <c r="D252" s="569"/>
      <c r="E252" s="519"/>
      <c r="F252" s="584"/>
      <c r="G252" s="433"/>
      <c r="H252" s="479"/>
      <c r="I252" s="479"/>
      <c r="J252" s="489"/>
      <c r="K252" s="482"/>
      <c r="L252" s="490"/>
      <c r="M252" s="470"/>
      <c r="N252" s="470"/>
      <c r="O252" s="484"/>
      <c r="P252" s="503"/>
      <c r="Q252" s="503"/>
      <c r="R252" s="503"/>
      <c r="S252" s="503"/>
      <c r="T252" s="503"/>
      <c r="U252" s="503"/>
    </row>
    <row r="253" ht="16.5" customHeight="1">
      <c r="A253" s="433"/>
      <c r="B253" s="191"/>
      <c r="C253" s="247"/>
      <c r="D253" s="569"/>
      <c r="E253" s="519"/>
      <c r="F253" s="584"/>
      <c r="G253" s="433"/>
      <c r="H253" s="479"/>
      <c r="I253" s="479"/>
      <c r="J253" s="489"/>
      <c r="K253" s="482"/>
      <c r="L253" s="490"/>
      <c r="M253" s="470"/>
      <c r="N253" s="470"/>
      <c r="O253" s="484"/>
      <c r="P253" s="503"/>
      <c r="Q253" s="503"/>
      <c r="R253" s="503"/>
      <c r="S253" s="503"/>
      <c r="T253" s="503"/>
      <c r="U253" s="503"/>
    </row>
    <row r="254" ht="16.5" customHeight="1">
      <c r="A254" s="433"/>
      <c r="B254" s="191"/>
      <c r="C254" s="247"/>
      <c r="D254" s="569"/>
      <c r="E254" s="519"/>
      <c r="F254" s="584"/>
      <c r="G254" s="433"/>
      <c r="H254" s="479"/>
      <c r="I254" s="479"/>
      <c r="J254" s="489"/>
      <c r="K254" s="482"/>
      <c r="L254" s="490"/>
      <c r="M254" s="470"/>
      <c r="N254" s="470"/>
      <c r="O254" s="484"/>
      <c r="P254" s="503"/>
      <c r="Q254" s="503"/>
      <c r="R254" s="503"/>
      <c r="S254" s="503"/>
      <c r="T254" s="503"/>
      <c r="U254" s="503"/>
    </row>
    <row r="255" ht="16.5" customHeight="1">
      <c r="A255" s="433"/>
      <c r="B255" s="191"/>
      <c r="C255" s="247"/>
      <c r="D255" s="569"/>
      <c r="E255" s="519"/>
      <c r="F255" s="584"/>
      <c r="G255" s="433"/>
      <c r="H255" s="479"/>
      <c r="I255" s="479"/>
      <c r="J255" s="489"/>
      <c r="K255" s="482"/>
      <c r="L255" s="490"/>
      <c r="M255" s="470"/>
      <c r="N255" s="470"/>
      <c r="O255" s="484"/>
      <c r="P255" s="503"/>
      <c r="Q255" s="503"/>
      <c r="R255" s="503"/>
      <c r="S255" s="503"/>
      <c r="T255" s="503"/>
      <c r="U255" s="503"/>
    </row>
    <row r="256" ht="16.5" customHeight="1">
      <c r="A256" s="433"/>
      <c r="B256" s="191"/>
      <c r="C256" s="247"/>
      <c r="D256" s="569"/>
      <c r="E256" s="519"/>
      <c r="F256" s="584"/>
      <c r="G256" s="433"/>
      <c r="H256" s="479"/>
      <c r="I256" s="479"/>
      <c r="J256" s="489"/>
      <c r="K256" s="482"/>
      <c r="L256" s="490"/>
      <c r="M256" s="470"/>
      <c r="N256" s="470"/>
      <c r="O256" s="484"/>
      <c r="P256" s="503"/>
      <c r="Q256" s="503"/>
      <c r="R256" s="503"/>
      <c r="S256" s="503"/>
      <c r="T256" s="503"/>
      <c r="U256" s="503"/>
    </row>
    <row r="257" ht="16.5" customHeight="1">
      <c r="A257" s="433"/>
      <c r="B257" s="191"/>
      <c r="C257" s="247"/>
      <c r="D257" s="569"/>
      <c r="E257" s="519"/>
      <c r="F257" s="584"/>
      <c r="G257" s="433"/>
      <c r="H257" s="479"/>
      <c r="I257" s="479"/>
      <c r="J257" s="489"/>
      <c r="K257" s="482"/>
      <c r="L257" s="490"/>
      <c r="M257" s="470"/>
      <c r="N257" s="470"/>
      <c r="O257" s="484"/>
      <c r="P257" s="503"/>
      <c r="Q257" s="503"/>
      <c r="R257" s="503"/>
      <c r="S257" s="503"/>
      <c r="T257" s="503"/>
      <c r="U257" s="503"/>
    </row>
    <row r="258" ht="16.5" customHeight="1">
      <c r="A258" s="433"/>
      <c r="B258" s="191"/>
      <c r="C258" s="247"/>
      <c r="D258" s="569"/>
      <c r="E258" s="519"/>
      <c r="F258" s="584"/>
      <c r="G258" s="433"/>
      <c r="H258" s="479"/>
      <c r="I258" s="479"/>
      <c r="J258" s="489"/>
      <c r="K258" s="482"/>
      <c r="L258" s="490"/>
      <c r="M258" s="470"/>
      <c r="N258" s="470"/>
      <c r="O258" s="484"/>
      <c r="P258" s="503"/>
      <c r="Q258" s="503"/>
      <c r="R258" s="503"/>
      <c r="S258" s="503"/>
      <c r="T258" s="503"/>
      <c r="U258" s="503"/>
    </row>
    <row r="259" ht="16.5" customHeight="1">
      <c r="A259" s="433"/>
      <c r="B259" s="191"/>
      <c r="C259" s="247"/>
      <c r="D259" s="569"/>
      <c r="E259" s="519"/>
      <c r="F259" s="584"/>
      <c r="G259" s="433"/>
      <c r="H259" s="479"/>
      <c r="I259" s="479"/>
      <c r="J259" s="489"/>
      <c r="K259" s="482"/>
      <c r="L259" s="490"/>
      <c r="M259" s="470"/>
      <c r="N259" s="470"/>
      <c r="O259" s="484"/>
      <c r="P259" s="503"/>
      <c r="Q259" s="503"/>
      <c r="R259" s="503"/>
      <c r="S259" s="503"/>
      <c r="T259" s="503"/>
      <c r="U259" s="503"/>
    </row>
    <row r="260" ht="16.5" customHeight="1">
      <c r="A260" s="433"/>
      <c r="B260" s="191"/>
      <c r="C260" s="247"/>
      <c r="D260" s="569"/>
      <c r="E260" s="519"/>
      <c r="F260" s="584"/>
      <c r="G260" s="433"/>
      <c r="H260" s="479"/>
      <c r="I260" s="479"/>
      <c r="J260" s="489"/>
      <c r="K260" s="482"/>
      <c r="L260" s="490"/>
      <c r="M260" s="470"/>
      <c r="N260" s="470"/>
      <c r="O260" s="484"/>
      <c r="P260" s="503"/>
      <c r="Q260" s="503"/>
      <c r="R260" s="503"/>
      <c r="S260" s="503"/>
      <c r="T260" s="503"/>
      <c r="U260" s="503"/>
    </row>
    <row r="261" ht="16.5" customHeight="1">
      <c r="A261" s="433"/>
      <c r="B261" s="191"/>
      <c r="C261" s="247"/>
      <c r="D261" s="569"/>
      <c r="E261" s="519"/>
      <c r="F261" s="584"/>
      <c r="G261" s="433"/>
      <c r="H261" s="479"/>
      <c r="I261" s="479"/>
      <c r="J261" s="489"/>
      <c r="K261" s="482"/>
      <c r="L261" s="490"/>
      <c r="M261" s="470"/>
      <c r="N261" s="470"/>
      <c r="O261" s="484"/>
      <c r="P261" s="503"/>
      <c r="Q261" s="503"/>
      <c r="R261" s="503"/>
      <c r="S261" s="503"/>
      <c r="T261" s="503"/>
      <c r="U261" s="503"/>
    </row>
    <row r="262" ht="16.5" customHeight="1">
      <c r="A262" s="433"/>
      <c r="B262" s="191"/>
      <c r="C262" s="247"/>
      <c r="D262" s="569"/>
      <c r="E262" s="519"/>
      <c r="F262" s="584"/>
      <c r="G262" s="433"/>
      <c r="H262" s="479"/>
      <c r="I262" s="479"/>
      <c r="J262" s="489"/>
      <c r="K262" s="482"/>
      <c r="L262" s="490"/>
      <c r="M262" s="470"/>
      <c r="N262" s="470"/>
      <c r="O262" s="484"/>
      <c r="P262" s="503"/>
      <c r="Q262" s="503"/>
      <c r="R262" s="503"/>
      <c r="S262" s="503"/>
      <c r="T262" s="503"/>
      <c r="U262" s="503"/>
    </row>
    <row r="263" ht="16.5" customHeight="1">
      <c r="A263" s="433"/>
      <c r="B263" s="191"/>
      <c r="C263" s="247"/>
      <c r="D263" s="569"/>
      <c r="E263" s="519"/>
      <c r="F263" s="584"/>
      <c r="G263" s="433"/>
      <c r="H263" s="479"/>
      <c r="I263" s="479"/>
      <c r="J263" s="489"/>
      <c r="K263" s="482"/>
      <c r="L263" s="490"/>
      <c r="M263" s="470"/>
      <c r="N263" s="470"/>
      <c r="O263" s="484"/>
      <c r="P263" s="503"/>
      <c r="Q263" s="503"/>
      <c r="R263" s="503"/>
      <c r="S263" s="503"/>
      <c r="T263" s="503"/>
      <c r="U263" s="503"/>
    </row>
    <row r="264" ht="16.5" customHeight="1">
      <c r="A264" s="433"/>
      <c r="B264" s="191"/>
      <c r="C264" s="247"/>
      <c r="D264" s="569"/>
      <c r="E264" s="519"/>
      <c r="F264" s="584"/>
      <c r="G264" s="433"/>
      <c r="H264" s="479"/>
      <c r="I264" s="479"/>
      <c r="J264" s="489"/>
      <c r="K264" s="482"/>
      <c r="L264" s="490"/>
      <c r="M264" s="470"/>
      <c r="N264" s="470"/>
      <c r="O264" s="484"/>
      <c r="P264" s="503"/>
      <c r="Q264" s="503"/>
      <c r="R264" s="503"/>
      <c r="S264" s="503"/>
      <c r="T264" s="503"/>
      <c r="U264" s="503"/>
    </row>
    <row r="265" ht="16.5" customHeight="1">
      <c r="A265" s="433"/>
      <c r="B265" s="191"/>
      <c r="C265" s="247"/>
      <c r="D265" s="569"/>
      <c r="E265" s="519"/>
      <c r="F265" s="584"/>
      <c r="G265" s="433"/>
      <c r="H265" s="479"/>
      <c r="I265" s="479"/>
      <c r="J265" s="489"/>
      <c r="K265" s="482"/>
      <c r="L265" s="490"/>
      <c r="M265" s="470"/>
      <c r="N265" s="470"/>
      <c r="O265" s="484"/>
      <c r="P265" s="503"/>
      <c r="Q265" s="503"/>
      <c r="R265" s="503"/>
      <c r="S265" s="503"/>
      <c r="T265" s="503"/>
      <c r="U265" s="503"/>
    </row>
    <row r="266" ht="16.5" customHeight="1">
      <c r="A266" s="433"/>
      <c r="B266" s="191"/>
      <c r="C266" s="247"/>
      <c r="D266" s="569"/>
      <c r="E266" s="519"/>
      <c r="F266" s="584"/>
      <c r="G266" s="433"/>
      <c r="H266" s="479"/>
      <c r="I266" s="479"/>
      <c r="J266" s="489"/>
      <c r="K266" s="482"/>
      <c r="L266" s="490"/>
      <c r="M266" s="470"/>
      <c r="N266" s="470"/>
      <c r="O266" s="484"/>
      <c r="P266" s="503"/>
      <c r="Q266" s="503"/>
      <c r="R266" s="503"/>
      <c r="S266" s="503"/>
      <c r="T266" s="503"/>
      <c r="U266" s="503"/>
    </row>
    <row r="267" ht="16.5" customHeight="1">
      <c r="A267" s="433"/>
      <c r="B267" s="191"/>
      <c r="C267" s="247"/>
      <c r="D267" s="569"/>
      <c r="E267" s="519"/>
      <c r="F267" s="584"/>
      <c r="G267" s="433"/>
      <c r="H267" s="479"/>
      <c r="I267" s="479"/>
      <c r="J267" s="489"/>
      <c r="K267" s="482"/>
      <c r="L267" s="490"/>
      <c r="M267" s="470"/>
      <c r="N267" s="470"/>
      <c r="O267" s="484"/>
      <c r="P267" s="503"/>
      <c r="Q267" s="503"/>
      <c r="R267" s="503"/>
      <c r="S267" s="503"/>
      <c r="T267" s="503"/>
      <c r="U267" s="503"/>
    </row>
    <row r="268" ht="16.5" customHeight="1">
      <c r="A268" s="433"/>
      <c r="B268" s="191"/>
      <c r="C268" s="247"/>
      <c r="D268" s="569"/>
      <c r="E268" s="519"/>
      <c r="F268" s="584"/>
      <c r="G268" s="433"/>
      <c r="H268" s="479"/>
      <c r="I268" s="479"/>
      <c r="J268" s="489"/>
      <c r="K268" s="482"/>
      <c r="L268" s="490"/>
      <c r="M268" s="470"/>
      <c r="N268" s="470"/>
      <c r="O268" s="484"/>
      <c r="P268" s="503"/>
      <c r="Q268" s="503"/>
      <c r="R268" s="503"/>
      <c r="S268" s="503"/>
      <c r="T268" s="503"/>
      <c r="U268" s="503"/>
    </row>
    <row r="269" ht="16.5" customHeight="1">
      <c r="A269" s="433"/>
      <c r="B269" s="191"/>
      <c r="C269" s="247"/>
      <c r="D269" s="569"/>
      <c r="E269" s="519"/>
      <c r="F269" s="584"/>
      <c r="G269" s="433"/>
      <c r="H269" s="479"/>
      <c r="I269" s="479"/>
      <c r="J269" s="489"/>
      <c r="K269" s="482"/>
      <c r="L269" s="490"/>
      <c r="M269" s="470"/>
      <c r="N269" s="470"/>
      <c r="O269" s="484"/>
      <c r="P269" s="503"/>
      <c r="Q269" s="503"/>
      <c r="R269" s="503"/>
      <c r="S269" s="503"/>
      <c r="T269" s="503"/>
      <c r="U269" s="503"/>
    </row>
    <row r="270" ht="16.5" customHeight="1">
      <c r="A270" s="433"/>
      <c r="B270" s="191"/>
      <c r="C270" s="247"/>
      <c r="D270" s="569"/>
      <c r="E270" s="519"/>
      <c r="F270" s="584"/>
      <c r="G270" s="433"/>
      <c r="H270" s="479"/>
      <c r="I270" s="479"/>
      <c r="J270" s="489"/>
      <c r="K270" s="482"/>
      <c r="L270" s="490"/>
      <c r="M270" s="470"/>
      <c r="N270" s="470"/>
      <c r="O270" s="484"/>
      <c r="P270" s="503"/>
      <c r="Q270" s="503"/>
      <c r="R270" s="503"/>
      <c r="S270" s="503"/>
      <c r="T270" s="503"/>
      <c r="U270" s="503"/>
    </row>
    <row r="271" ht="16.5" customHeight="1">
      <c r="A271" s="433"/>
      <c r="B271" s="191"/>
      <c r="C271" s="247"/>
      <c r="D271" s="569"/>
      <c r="E271" s="519"/>
      <c r="F271" s="584"/>
      <c r="G271" s="433"/>
      <c r="H271" s="479"/>
      <c r="I271" s="479"/>
      <c r="J271" s="489"/>
      <c r="K271" s="482"/>
      <c r="L271" s="490"/>
      <c r="M271" s="470"/>
      <c r="N271" s="470"/>
      <c r="O271" s="484"/>
      <c r="P271" s="503"/>
      <c r="Q271" s="503"/>
      <c r="R271" s="503"/>
      <c r="S271" s="503"/>
      <c r="T271" s="503"/>
      <c r="U271" s="503"/>
    </row>
    <row r="272" ht="16.5" customHeight="1">
      <c r="A272" s="433"/>
      <c r="B272" s="191"/>
      <c r="C272" s="247"/>
      <c r="D272" s="569"/>
      <c r="E272" s="519"/>
      <c r="F272" s="584"/>
      <c r="G272" s="433"/>
      <c r="H272" s="479"/>
      <c r="I272" s="479"/>
      <c r="J272" s="489"/>
      <c r="K272" s="482"/>
      <c r="L272" s="490"/>
      <c r="M272" s="470"/>
      <c r="N272" s="470"/>
      <c r="O272" s="484"/>
      <c r="P272" s="503"/>
      <c r="Q272" s="503"/>
      <c r="R272" s="503"/>
      <c r="S272" s="503"/>
      <c r="T272" s="503"/>
      <c r="U272" s="503"/>
    </row>
    <row r="273" ht="16.5" customHeight="1">
      <c r="A273" s="433"/>
      <c r="B273" s="191"/>
      <c r="C273" s="247"/>
      <c r="D273" s="569"/>
      <c r="E273" s="519"/>
      <c r="F273" s="584"/>
      <c r="G273" s="433"/>
      <c r="H273" s="479"/>
      <c r="I273" s="479"/>
      <c r="J273" s="489"/>
      <c r="K273" s="482"/>
      <c r="L273" s="490"/>
      <c r="M273" s="470"/>
      <c r="N273" s="470"/>
      <c r="O273" s="484"/>
      <c r="P273" s="503"/>
      <c r="Q273" s="503"/>
      <c r="R273" s="503"/>
      <c r="S273" s="503"/>
      <c r="T273" s="503"/>
      <c r="U273" s="503"/>
    </row>
    <row r="274" ht="16.5" customHeight="1">
      <c r="A274" s="433"/>
      <c r="B274" s="191"/>
      <c r="C274" s="247"/>
      <c r="D274" s="569"/>
      <c r="E274" s="519"/>
      <c r="F274" s="584"/>
      <c r="G274" s="433"/>
      <c r="H274" s="479"/>
      <c r="I274" s="479"/>
      <c r="J274" s="489"/>
      <c r="K274" s="482"/>
      <c r="L274" s="490"/>
      <c r="M274" s="470"/>
      <c r="N274" s="470"/>
      <c r="O274" s="484"/>
      <c r="P274" s="503"/>
      <c r="Q274" s="503"/>
      <c r="R274" s="503"/>
      <c r="S274" s="503"/>
      <c r="T274" s="503"/>
      <c r="U274" s="503"/>
    </row>
    <row r="275" ht="16.5" customHeight="1">
      <c r="A275" s="433"/>
      <c r="B275" s="191"/>
      <c r="C275" s="247"/>
      <c r="D275" s="569"/>
      <c r="E275" s="519"/>
      <c r="F275" s="584"/>
      <c r="G275" s="433"/>
      <c r="H275" s="479"/>
      <c r="I275" s="479"/>
      <c r="J275" s="489"/>
      <c r="K275" s="482"/>
      <c r="L275" s="490"/>
      <c r="M275" s="470"/>
      <c r="N275" s="470"/>
      <c r="O275" s="484"/>
      <c r="P275" s="503"/>
      <c r="Q275" s="503"/>
      <c r="R275" s="503"/>
      <c r="S275" s="503"/>
      <c r="T275" s="503"/>
      <c r="U275" s="503"/>
    </row>
    <row r="276" ht="16.5" customHeight="1">
      <c r="A276" s="433"/>
      <c r="B276" s="191"/>
      <c r="C276" s="247"/>
      <c r="D276" s="569"/>
      <c r="E276" s="519"/>
      <c r="F276" s="584"/>
      <c r="G276" s="433"/>
      <c r="H276" s="479"/>
      <c r="I276" s="479"/>
      <c r="J276" s="489"/>
      <c r="K276" s="482"/>
      <c r="L276" s="490"/>
      <c r="M276" s="470"/>
      <c r="N276" s="470"/>
      <c r="O276" s="484"/>
      <c r="P276" s="503"/>
      <c r="Q276" s="503"/>
      <c r="R276" s="503"/>
      <c r="S276" s="503"/>
      <c r="T276" s="503"/>
      <c r="U276" s="503"/>
    </row>
    <row r="277" ht="16.5" customHeight="1">
      <c r="A277" s="433"/>
      <c r="B277" s="191"/>
      <c r="C277" s="247"/>
      <c r="D277" s="569"/>
      <c r="E277" s="519"/>
      <c r="F277" s="584"/>
      <c r="G277" s="433"/>
      <c r="H277" s="479"/>
      <c r="I277" s="479"/>
      <c r="J277" s="489"/>
      <c r="K277" s="482"/>
      <c r="L277" s="490"/>
      <c r="M277" s="470"/>
      <c r="N277" s="470"/>
      <c r="O277" s="484"/>
      <c r="P277" s="503"/>
      <c r="Q277" s="503"/>
      <c r="R277" s="503"/>
      <c r="S277" s="503"/>
      <c r="T277" s="503"/>
      <c r="U277" s="503"/>
    </row>
    <row r="278" ht="16.5" customHeight="1">
      <c r="A278" s="433"/>
      <c r="B278" s="191"/>
      <c r="C278" s="247"/>
      <c r="D278" s="569"/>
      <c r="E278" s="519"/>
      <c r="F278" s="584"/>
      <c r="G278" s="433"/>
      <c r="H278" s="479"/>
      <c r="I278" s="479"/>
      <c r="J278" s="489"/>
      <c r="K278" s="482"/>
      <c r="L278" s="490"/>
      <c r="M278" s="470"/>
      <c r="N278" s="470"/>
      <c r="O278" s="484"/>
      <c r="P278" s="503"/>
      <c r="Q278" s="503"/>
      <c r="R278" s="503"/>
      <c r="S278" s="503"/>
      <c r="T278" s="503"/>
      <c r="U278" s="503"/>
    </row>
    <row r="279" ht="16.5" customHeight="1">
      <c r="A279" s="433"/>
      <c r="B279" s="191"/>
      <c r="C279" s="247"/>
      <c r="D279" s="569"/>
      <c r="E279" s="519"/>
      <c r="F279" s="584"/>
      <c r="G279" s="433"/>
      <c r="H279" s="479"/>
      <c r="I279" s="479"/>
      <c r="J279" s="489"/>
      <c r="K279" s="482"/>
      <c r="L279" s="490"/>
      <c r="M279" s="470"/>
      <c r="N279" s="470"/>
      <c r="O279" s="484"/>
      <c r="P279" s="503"/>
      <c r="Q279" s="503"/>
      <c r="R279" s="503"/>
      <c r="S279" s="503"/>
      <c r="T279" s="503"/>
      <c r="U279" s="503"/>
    </row>
    <row r="280" ht="16.5" customHeight="1">
      <c r="A280" s="433"/>
      <c r="B280" s="191"/>
      <c r="C280" s="247"/>
      <c r="D280" s="569"/>
      <c r="E280" s="519"/>
      <c r="F280" s="584"/>
      <c r="G280" s="433"/>
      <c r="H280" s="479"/>
      <c r="I280" s="479"/>
      <c r="J280" s="489"/>
      <c r="K280" s="482"/>
      <c r="L280" s="490"/>
      <c r="M280" s="470"/>
      <c r="N280" s="470"/>
      <c r="O280" s="484"/>
      <c r="P280" s="503"/>
      <c r="Q280" s="503"/>
      <c r="R280" s="503"/>
      <c r="S280" s="503"/>
      <c r="T280" s="503"/>
      <c r="U280" s="503"/>
    </row>
    <row r="281" ht="16.5" customHeight="1">
      <c r="A281" s="433"/>
      <c r="B281" s="191"/>
      <c r="C281" s="247"/>
      <c r="D281" s="569"/>
      <c r="E281" s="519"/>
      <c r="F281" s="584"/>
      <c r="G281" s="433"/>
      <c r="H281" s="479"/>
      <c r="I281" s="479"/>
      <c r="J281" s="489"/>
      <c r="K281" s="482"/>
      <c r="L281" s="490"/>
      <c r="M281" s="470"/>
      <c r="N281" s="470"/>
      <c r="O281" s="484"/>
      <c r="P281" s="503"/>
      <c r="Q281" s="503"/>
      <c r="R281" s="503"/>
      <c r="S281" s="503"/>
      <c r="T281" s="503"/>
      <c r="U281" s="503"/>
    </row>
    <row r="282" ht="16.5" customHeight="1">
      <c r="A282" s="433"/>
      <c r="B282" s="191"/>
      <c r="C282" s="247"/>
      <c r="D282" s="569"/>
      <c r="E282" s="519"/>
      <c r="F282" s="584"/>
      <c r="G282" s="433"/>
      <c r="H282" s="479"/>
      <c r="I282" s="479"/>
      <c r="J282" s="489"/>
      <c r="K282" s="482"/>
      <c r="L282" s="490"/>
      <c r="M282" s="470"/>
      <c r="N282" s="470"/>
      <c r="O282" s="484"/>
      <c r="P282" s="503"/>
      <c r="Q282" s="503"/>
      <c r="R282" s="503"/>
      <c r="S282" s="503"/>
      <c r="T282" s="503"/>
      <c r="U282" s="503"/>
    </row>
    <row r="283" ht="16.5" customHeight="1">
      <c r="A283" s="433"/>
      <c r="B283" s="191"/>
      <c r="C283" s="247"/>
      <c r="D283" s="569"/>
      <c r="E283" s="519"/>
      <c r="F283" s="584"/>
      <c r="G283" s="433"/>
      <c r="H283" s="479"/>
      <c r="I283" s="479"/>
      <c r="J283" s="489"/>
      <c r="K283" s="482"/>
      <c r="L283" s="490"/>
      <c r="M283" s="470"/>
      <c r="N283" s="470"/>
      <c r="O283" s="484"/>
      <c r="P283" s="503"/>
      <c r="Q283" s="503"/>
      <c r="R283" s="503"/>
      <c r="S283" s="503"/>
      <c r="T283" s="503"/>
      <c r="U283" s="503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C2:D2"/>
    <mergeCell ref="A3:A11"/>
    <mergeCell ref="G3:G10"/>
    <mergeCell ref="C12:D12"/>
    <mergeCell ref="A13:A22"/>
    <mergeCell ref="G13:G22"/>
    <mergeCell ref="C25:D25"/>
    <mergeCell ref="G64:G69"/>
    <mergeCell ref="G106:G115"/>
    <mergeCell ref="A117:A127"/>
    <mergeCell ref="A146:A155"/>
    <mergeCell ref="A171:A183"/>
    <mergeCell ref="A25:A41"/>
    <mergeCell ref="A43:A62"/>
    <mergeCell ref="A63:A81"/>
    <mergeCell ref="C63:D63"/>
    <mergeCell ref="A82:A93"/>
    <mergeCell ref="C82:D82"/>
    <mergeCell ref="A105:A114"/>
  </mergeCells>
  <conditionalFormatting sqref="F1:F6 F9:F18 F25 F31:F283">
    <cfRule type="cellIs" dxfId="6" priority="1" operator="equal">
      <formula>"Sandbox"</formula>
    </cfRule>
  </conditionalFormatting>
  <conditionalFormatting sqref="F1:F6 F9:F18 F25 F31:F283">
    <cfRule type="cellIs" dxfId="7" priority="2" operator="equal">
      <formula>"Foundry"</formula>
    </cfRule>
  </conditionalFormatting>
  <hyperlinks>
    <hyperlink r:id="rId1" ref="F3"/>
    <hyperlink r:id="rId2" ref="F4"/>
    <hyperlink r:id="rId3" ref="F5"/>
    <hyperlink r:id="rId4" ref="F6"/>
    <hyperlink r:id="rId5" ref="F7"/>
    <hyperlink r:id="rId6" ref="F8"/>
    <hyperlink r:id="rId7" ref="F9"/>
    <hyperlink r:id="rId8" ref="F10"/>
    <hyperlink r:id="rId9" ref="F11"/>
    <hyperlink r:id="rId10" ref="F13"/>
    <hyperlink r:id="rId11" ref="F14"/>
    <hyperlink r:id="rId12" ref="F15"/>
    <hyperlink r:id="rId13" ref="F16"/>
    <hyperlink r:id="rId14" ref="F17"/>
    <hyperlink r:id="rId15" ref="F18"/>
    <hyperlink r:id="rId16" ref="F19"/>
    <hyperlink r:id="rId17" ref="F20"/>
    <hyperlink r:id="rId18" ref="F21"/>
    <hyperlink r:id="rId19" ref="F22"/>
    <hyperlink r:id="rId20" ref="F23"/>
    <hyperlink r:id="rId21" ref="F24"/>
    <hyperlink r:id="rId22" ref="F26"/>
    <hyperlink r:id="rId23" ref="F27"/>
    <hyperlink r:id="rId24" ref="F28"/>
    <hyperlink r:id="rId25" ref="F29"/>
    <hyperlink r:id="rId26" ref="F30"/>
    <hyperlink r:id="rId27" ref="F31"/>
    <hyperlink r:id="rId28" ref="F32"/>
    <hyperlink r:id="rId29" ref="F33"/>
    <hyperlink r:id="rId30" ref="F34"/>
    <hyperlink r:id="rId31" ref="F35"/>
    <hyperlink r:id="rId32" ref="F36"/>
    <hyperlink r:id="rId33" ref="F37"/>
    <hyperlink r:id="rId34" ref="F38"/>
    <hyperlink r:id="rId35" ref="F39"/>
    <hyperlink r:id="rId36" ref="F40"/>
    <hyperlink r:id="rId37" ref="F41"/>
    <hyperlink r:id="rId38" ref="F43"/>
    <hyperlink r:id="rId39" ref="F44"/>
    <hyperlink r:id="rId40" ref="F45"/>
    <hyperlink r:id="rId41" ref="F46"/>
    <hyperlink r:id="rId42" ref="F47"/>
    <hyperlink r:id="rId43" ref="F48"/>
    <hyperlink r:id="rId44" ref="F49"/>
    <hyperlink r:id="rId45" ref="F50"/>
    <hyperlink r:id="rId46" ref="F51"/>
    <hyperlink r:id="rId47" ref="F52"/>
    <hyperlink r:id="rId48" ref="F53"/>
    <hyperlink r:id="rId49" ref="F54"/>
    <hyperlink r:id="rId50" ref="F55"/>
    <hyperlink r:id="rId51" ref="F56"/>
    <hyperlink r:id="rId52" ref="F57"/>
    <hyperlink r:id="rId53" ref="F58"/>
    <hyperlink r:id="rId54" ref="F59"/>
    <hyperlink r:id="rId55" ref="F60"/>
    <hyperlink r:id="rId56" ref="F61"/>
    <hyperlink r:id="rId57" ref="F62"/>
    <hyperlink r:id="rId58" ref="F64"/>
    <hyperlink r:id="rId59" ref="F65"/>
    <hyperlink r:id="rId60" ref="F66"/>
    <hyperlink r:id="rId61" ref="F67"/>
    <hyperlink r:id="rId62" ref="F68"/>
    <hyperlink r:id="rId63" ref="F69"/>
    <hyperlink r:id="rId64" ref="F70"/>
    <hyperlink r:id="rId65" ref="F71"/>
    <hyperlink r:id="rId66" ref="F72"/>
    <hyperlink r:id="rId67" ref="F73"/>
    <hyperlink r:id="rId68" ref="F74"/>
    <hyperlink r:id="rId69" ref="F75"/>
    <hyperlink r:id="rId70" ref="F76"/>
    <hyperlink r:id="rId71" ref="F77"/>
    <hyperlink r:id="rId72" ref="F79"/>
    <hyperlink r:id="rId73" ref="F80"/>
    <hyperlink r:id="rId74" ref="F81"/>
    <hyperlink r:id="rId75" ref="F83"/>
    <hyperlink r:id="rId76" ref="F84"/>
    <hyperlink r:id="rId77" ref="F85"/>
    <hyperlink r:id="rId78" ref="F86"/>
    <hyperlink r:id="rId79" ref="F87"/>
    <hyperlink r:id="rId80" ref="F88"/>
    <hyperlink r:id="rId81" ref="F89"/>
    <hyperlink r:id="rId82" ref="F90"/>
    <hyperlink r:id="rId83" ref="F93"/>
    <hyperlink r:id="rId84" ref="F94"/>
    <hyperlink r:id="rId85" ref="F95"/>
    <hyperlink r:id="rId86" ref="F96"/>
    <hyperlink r:id="rId87" ref="F97"/>
    <hyperlink r:id="rId88" ref="F98"/>
    <hyperlink r:id="rId89" ref="F99"/>
    <hyperlink r:id="rId90" ref="F100"/>
    <hyperlink r:id="rId91" ref="F101"/>
    <hyperlink r:id="rId92" ref="F102"/>
    <hyperlink r:id="rId93" ref="F103"/>
    <hyperlink r:id="rId94" ref="F104"/>
    <hyperlink r:id="rId95" ref="F106"/>
    <hyperlink r:id="rId96" ref="F107"/>
    <hyperlink r:id="rId97" ref="F109"/>
    <hyperlink r:id="rId98" ref="F110"/>
    <hyperlink r:id="rId99" ref="F111"/>
    <hyperlink r:id="rId100" ref="F112"/>
    <hyperlink r:id="rId101" ref="F113"/>
    <hyperlink r:id="rId102" ref="F114"/>
    <hyperlink r:id="rId103" ref="F115"/>
    <hyperlink r:id="rId104" ref="F117"/>
    <hyperlink r:id="rId105" ref="F118"/>
    <hyperlink r:id="rId106" ref="F119"/>
    <hyperlink r:id="rId107" ref="F120"/>
    <hyperlink r:id="rId108" ref="F121"/>
    <hyperlink r:id="rId109" ref="F122"/>
    <hyperlink r:id="rId110" ref="F123"/>
    <hyperlink r:id="rId111" ref="F124"/>
    <hyperlink r:id="rId112" ref="F125"/>
    <hyperlink r:id="rId113" ref="F126"/>
    <hyperlink r:id="rId114" ref="F127"/>
    <hyperlink r:id="rId115" ref="F128"/>
    <hyperlink r:id="rId116" ref="F129"/>
    <hyperlink r:id="rId117" ref="F130"/>
    <hyperlink r:id="rId118" ref="F131"/>
    <hyperlink r:id="rId119" ref="F132"/>
    <hyperlink r:id="rId120" ref="F133"/>
    <hyperlink r:id="rId121" ref="F134"/>
    <hyperlink r:id="rId122" ref="F135"/>
    <hyperlink r:id="rId123" ref="F136"/>
    <hyperlink r:id="rId124" ref="F139"/>
    <hyperlink r:id="rId125" ref="F140"/>
    <hyperlink r:id="rId126" ref="F141"/>
    <hyperlink r:id="rId127" ref="F142"/>
    <hyperlink r:id="rId128" ref="F144"/>
    <hyperlink r:id="rId129" ref="F145"/>
    <hyperlink r:id="rId130" ref="F146"/>
    <hyperlink r:id="rId131" ref="F147"/>
    <hyperlink r:id="rId132" ref="F148"/>
    <hyperlink r:id="rId133" ref="F149"/>
    <hyperlink r:id="rId134" ref="F150"/>
    <hyperlink r:id="rId135" ref="F151"/>
    <hyperlink r:id="rId136" ref="F152"/>
    <hyperlink r:id="rId137" ref="F153"/>
    <hyperlink r:id="rId138" ref="F154"/>
    <hyperlink r:id="rId139" ref="F155"/>
    <hyperlink r:id="rId140" ref="F156"/>
    <hyperlink r:id="rId141" ref="F157"/>
    <hyperlink r:id="rId142" ref="F158"/>
    <hyperlink r:id="rId143" ref="F159"/>
    <hyperlink r:id="rId144" ref="F160"/>
    <hyperlink r:id="rId145" ref="F161"/>
  </hyperlinks>
  <drawing r:id="rId14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0"/>
  <cols>
    <col customWidth="1" min="1" max="1" width="5.25"/>
    <col customWidth="1" min="2" max="3" width="5.88"/>
    <col customWidth="1" min="4" max="4" width="12.63"/>
    <col customWidth="1" min="5" max="5" width="13.5"/>
    <col customWidth="1" min="6" max="6" width="5.25"/>
    <col customWidth="1" min="7" max="7" width="12.63"/>
    <col customWidth="1" min="8" max="8" width="12.5"/>
    <col customWidth="1" hidden="1" min="9" max="9" width="5.25"/>
    <col customWidth="1" min="10" max="10" width="16.38"/>
    <col customWidth="1" min="11" max="11" width="14.38"/>
    <col customWidth="1" min="12" max="12" width="15.13"/>
    <col customWidth="1" min="13" max="13" width="19.88"/>
    <col customWidth="1" min="14" max="14" width="17.25"/>
    <col customWidth="1" min="15" max="15" width="7.5"/>
  </cols>
  <sheetData>
    <row r="1" ht="15.75" customHeight="1">
      <c r="A1" s="54"/>
      <c r="B1" s="587"/>
      <c r="C1" s="587" t="s">
        <v>724</v>
      </c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ht="15.75" customHeight="1">
      <c r="A2" s="588"/>
      <c r="B2" s="589" t="s">
        <v>725</v>
      </c>
      <c r="C2" s="590" t="str">
        <f>D37</f>
        <v>Chemical Imbalance (chemical)</v>
      </c>
      <c r="D2" s="591"/>
      <c r="E2" s="162"/>
      <c r="F2" s="592"/>
      <c r="G2" s="54"/>
      <c r="H2" s="54"/>
      <c r="I2" s="593" t="s">
        <v>726</v>
      </c>
      <c r="J2" s="54"/>
      <c r="K2" s="54"/>
      <c r="L2" s="54"/>
      <c r="M2" s="54"/>
      <c r="N2" s="54"/>
      <c r="O2" s="54"/>
    </row>
    <row r="3" ht="15.75" customHeight="1">
      <c r="B3" s="594"/>
      <c r="C3" s="595"/>
      <c r="D3" s="596"/>
      <c r="E3" s="597"/>
      <c r="G3" s="54"/>
      <c r="H3" s="54"/>
      <c r="J3" s="54"/>
      <c r="K3" s="54"/>
      <c r="L3" s="54"/>
      <c r="M3" s="54"/>
      <c r="N3" s="54"/>
      <c r="O3" s="54"/>
    </row>
    <row r="4" ht="15.75" customHeight="1">
      <c r="B4" s="587"/>
      <c r="C4" s="598" t="s">
        <v>727</v>
      </c>
      <c r="E4" s="516"/>
      <c r="G4" s="54"/>
      <c r="H4" s="54"/>
      <c r="J4" s="54"/>
      <c r="K4" s="54"/>
      <c r="L4" s="54"/>
      <c r="M4" s="54"/>
      <c r="N4" s="54"/>
      <c r="O4" s="54"/>
    </row>
    <row r="5" ht="15.75" customHeight="1">
      <c r="B5" s="589" t="s">
        <v>728</v>
      </c>
      <c r="C5" s="599" t="str">
        <f>D44</f>
        <v>Cosmic Oblivion (Daedric)</v>
      </c>
      <c r="D5" s="591"/>
      <c r="E5" s="516"/>
      <c r="G5" s="600" t="str">
        <f>C2</f>
        <v>Chemical Imbalance (chemical)</v>
      </c>
      <c r="H5" s="162"/>
      <c r="J5" s="54"/>
      <c r="K5" s="54"/>
      <c r="L5" s="54"/>
      <c r="M5" s="54"/>
      <c r="N5" s="54"/>
      <c r="O5" s="54"/>
    </row>
    <row r="6" ht="25.5" customHeight="1">
      <c r="B6" s="594"/>
      <c r="C6" s="595"/>
      <c r="D6" s="596"/>
      <c r="E6" s="505"/>
      <c r="G6" s="601"/>
      <c r="H6" s="162"/>
      <c r="J6" s="54"/>
      <c r="K6" s="54"/>
      <c r="L6" s="54"/>
      <c r="M6" s="54"/>
      <c r="N6" s="54"/>
      <c r="O6" s="54"/>
    </row>
    <row r="7" ht="15.75" customHeight="1">
      <c r="B7" s="54"/>
      <c r="C7" s="54"/>
      <c r="D7" s="272"/>
      <c r="E7" s="54"/>
      <c r="G7" s="602" t="s">
        <v>727</v>
      </c>
      <c r="H7" s="162"/>
      <c r="J7" s="162"/>
      <c r="K7" s="162"/>
      <c r="L7" s="54"/>
      <c r="M7" s="54"/>
      <c r="N7" s="54"/>
      <c r="O7" s="54"/>
    </row>
    <row r="8" ht="15.75" customHeight="1">
      <c r="B8" s="589" t="s">
        <v>729</v>
      </c>
      <c r="C8" s="599" t="str">
        <f>D40</f>
        <v>Chick-fil-Ass Grabbers (novice)</v>
      </c>
      <c r="D8" s="591"/>
      <c r="E8" s="162"/>
      <c r="G8" s="603" t="s">
        <v>130</v>
      </c>
      <c r="H8" s="162"/>
      <c r="J8" s="162"/>
      <c r="K8" s="162"/>
      <c r="L8" s="162"/>
      <c r="M8" s="54"/>
      <c r="N8" s="54"/>
      <c r="O8" s="54"/>
    </row>
    <row r="9" ht="25.5" customHeight="1">
      <c r="B9" s="604"/>
      <c r="C9" s="595"/>
      <c r="D9" s="596"/>
      <c r="E9" s="597"/>
      <c r="G9" s="601"/>
      <c r="H9" s="597"/>
      <c r="J9" s="162"/>
      <c r="K9" s="162"/>
      <c r="L9" s="162"/>
      <c r="M9" s="54"/>
      <c r="N9" s="54"/>
      <c r="O9" s="54"/>
    </row>
    <row r="10" ht="15.75" customHeight="1">
      <c r="B10" s="54"/>
      <c r="C10" s="598" t="s">
        <v>727</v>
      </c>
      <c r="E10" s="516"/>
      <c r="G10" s="162"/>
      <c r="H10" s="516"/>
      <c r="J10" s="162"/>
      <c r="K10" s="162"/>
      <c r="L10" s="162"/>
      <c r="M10" s="54"/>
      <c r="N10" s="54"/>
      <c r="O10" s="54"/>
    </row>
    <row r="11" ht="24.75" customHeight="1">
      <c r="B11" s="605" t="s">
        <v>730</v>
      </c>
      <c r="C11" s="590" t="str">
        <f>D41</f>
        <v>First Strike (evil)</v>
      </c>
      <c r="D11" s="591"/>
      <c r="E11" s="516"/>
      <c r="G11" s="162"/>
      <c r="H11" s="162"/>
      <c r="J11" s="603" t="str">
        <f>G5</f>
        <v>Chemical Imbalance (chemical)</v>
      </c>
      <c r="K11" s="162"/>
      <c r="L11" s="162"/>
      <c r="M11" s="54"/>
      <c r="N11" s="54"/>
      <c r="O11" s="54"/>
    </row>
    <row r="12" ht="15.75" customHeight="1">
      <c r="B12" s="54"/>
      <c r="C12" s="595"/>
      <c r="D12" s="596"/>
      <c r="E12" s="505"/>
      <c r="G12" s="162"/>
      <c r="H12" s="162"/>
      <c r="J12" s="601"/>
      <c r="K12" s="597"/>
      <c r="L12" s="247" t="s">
        <v>731</v>
      </c>
      <c r="M12" s="54"/>
      <c r="N12" s="54"/>
      <c r="O12" s="54"/>
    </row>
    <row r="13" ht="27.0" customHeight="1">
      <c r="B13" s="54"/>
      <c r="C13" s="54"/>
      <c r="D13" s="272"/>
      <c r="E13" s="54"/>
      <c r="G13" s="54"/>
      <c r="H13" s="54"/>
      <c r="J13" s="602" t="s">
        <v>732</v>
      </c>
      <c r="K13" s="516"/>
      <c r="L13" s="606" t="str">
        <f>J14</f>
        <v>Like Clockwork (luxe)</v>
      </c>
      <c r="M13" s="54"/>
      <c r="N13" s="54"/>
      <c r="O13" s="54"/>
    </row>
    <row r="14" ht="15.75" customHeight="1">
      <c r="B14" s="605" t="s">
        <v>733</v>
      </c>
      <c r="C14" s="590" t="str">
        <f>D39</f>
        <v>Clip Hunters (aspence)</v>
      </c>
      <c r="D14" s="591"/>
      <c r="E14" s="162"/>
      <c r="G14" s="162"/>
      <c r="H14" s="162"/>
      <c r="J14" s="600" t="str">
        <f>G20</f>
        <v>Like Clockwork (luxe)</v>
      </c>
      <c r="K14" s="607"/>
      <c r="L14" s="601"/>
      <c r="M14" s="54"/>
      <c r="N14" s="54"/>
      <c r="O14" s="54"/>
    </row>
    <row r="15" ht="15.75" customHeight="1">
      <c r="B15" s="54"/>
      <c r="C15" s="595"/>
      <c r="D15" s="596"/>
      <c r="E15" s="597"/>
      <c r="G15" s="162"/>
      <c r="H15" s="162"/>
      <c r="J15" s="601"/>
      <c r="K15" s="162"/>
      <c r="L15" s="162"/>
      <c r="M15" s="54"/>
      <c r="N15" s="54"/>
      <c r="O15" s="54"/>
    </row>
    <row r="16" ht="15.75" customHeight="1">
      <c r="B16" s="54"/>
      <c r="C16" s="598" t="s">
        <v>727</v>
      </c>
      <c r="D16" s="608"/>
      <c r="E16" s="516"/>
      <c r="G16" s="162"/>
      <c r="H16" s="516"/>
      <c r="J16" s="609"/>
      <c r="K16" s="162"/>
      <c r="L16" s="162"/>
      <c r="M16" s="54"/>
      <c r="N16" s="54"/>
      <c r="O16" s="54"/>
    </row>
    <row r="17" ht="15.75" customHeight="1">
      <c r="B17" s="605" t="s">
        <v>734</v>
      </c>
      <c r="C17" s="599" t="str">
        <f>D42</f>
        <v>Hammers are for Losers (epic)</v>
      </c>
      <c r="D17" s="591"/>
      <c r="E17" s="516"/>
      <c r="G17" s="603" t="str">
        <f>C14</f>
        <v>Clip Hunters (aspence)</v>
      </c>
      <c r="H17" s="516"/>
      <c r="J17" s="162"/>
      <c r="K17" s="162"/>
      <c r="L17" s="162"/>
      <c r="M17" s="54"/>
      <c r="N17" s="54"/>
      <c r="O17" s="54"/>
    </row>
    <row r="18" ht="15.75" customHeight="1">
      <c r="B18" s="54"/>
      <c r="C18" s="595"/>
      <c r="D18" s="596"/>
      <c r="E18" s="505"/>
      <c r="G18" s="601"/>
      <c r="H18" s="516"/>
      <c r="J18" s="162"/>
      <c r="K18" s="162"/>
      <c r="L18" s="162"/>
      <c r="M18" s="54"/>
      <c r="N18" s="54"/>
      <c r="O18" s="54"/>
    </row>
    <row r="19" ht="15.75" customHeight="1">
      <c r="B19" s="54"/>
      <c r="C19" s="54"/>
      <c r="D19" s="272"/>
      <c r="E19" s="54"/>
      <c r="G19" s="602" t="s">
        <v>735</v>
      </c>
      <c r="H19" s="516"/>
      <c r="J19" s="162"/>
      <c r="K19" s="54"/>
      <c r="L19" s="54"/>
      <c r="M19" s="54"/>
      <c r="N19" s="54"/>
      <c r="O19" s="54"/>
    </row>
    <row r="20" ht="15.75" customHeight="1">
      <c r="B20" s="605" t="s">
        <v>736</v>
      </c>
      <c r="C20" s="590" t="str">
        <f>D38</f>
        <v>Like Clockwork (luxe)</v>
      </c>
      <c r="D20" s="591"/>
      <c r="E20" s="162"/>
      <c r="G20" s="600" t="str">
        <f>C20</f>
        <v>Like Clockwork (luxe)</v>
      </c>
      <c r="H20" s="607"/>
      <c r="J20" s="162"/>
      <c r="K20" s="54"/>
      <c r="L20" s="54"/>
      <c r="M20" s="54"/>
      <c r="N20" s="54"/>
      <c r="O20" s="54"/>
    </row>
    <row r="21" ht="15.75" customHeight="1">
      <c r="B21" s="54"/>
      <c r="C21" s="595"/>
      <c r="D21" s="596"/>
      <c r="E21" s="597"/>
      <c r="G21" s="601"/>
      <c r="H21" s="162"/>
      <c r="J21" s="162"/>
      <c r="K21" s="54"/>
      <c r="L21" s="54"/>
      <c r="M21" s="54"/>
      <c r="N21" s="54"/>
      <c r="O21" s="54"/>
    </row>
    <row r="22" ht="15.75" customHeight="1">
      <c r="B22" s="54"/>
      <c r="C22" s="598" t="s">
        <v>727</v>
      </c>
      <c r="D22" s="608"/>
      <c r="E22" s="516"/>
      <c r="G22" s="54"/>
      <c r="H22" s="54"/>
      <c r="J22" s="54"/>
      <c r="K22" s="54"/>
      <c r="L22" s="54"/>
      <c r="M22" s="54"/>
      <c r="N22" s="54"/>
      <c r="O22" s="54"/>
    </row>
    <row r="23" ht="15.75" customHeight="1">
      <c r="B23" s="605" t="s">
        <v>737</v>
      </c>
      <c r="C23" s="599" t="str">
        <f>D43</f>
        <v>Skill Differential (kdskill)</v>
      </c>
      <c r="D23" s="591"/>
      <c r="E23" s="516"/>
      <c r="G23" s="54"/>
      <c r="H23" s="54"/>
      <c r="J23" s="54"/>
      <c r="K23" s="54"/>
      <c r="L23" s="54"/>
      <c r="M23" s="54"/>
      <c r="N23" s="54"/>
      <c r="O23" s="54"/>
    </row>
    <row r="24" ht="15.75" customHeight="1">
      <c r="B24" s="54"/>
      <c r="C24" s="595"/>
      <c r="D24" s="596"/>
      <c r="E24" s="505"/>
      <c r="G24" s="54"/>
      <c r="H24" s="54"/>
      <c r="J24" s="54"/>
      <c r="K24" s="54"/>
      <c r="L24" s="54"/>
      <c r="M24" s="54"/>
      <c r="N24" s="54"/>
      <c r="O24" s="54"/>
    </row>
    <row r="25" ht="15.75" customHeight="1">
      <c r="A25" s="588"/>
      <c r="B25" s="54"/>
      <c r="C25" s="610"/>
      <c r="D25" s="610"/>
      <c r="E25" s="54"/>
      <c r="F25" s="611"/>
      <c r="G25" s="54"/>
      <c r="H25" s="54"/>
      <c r="I25" s="593"/>
      <c r="J25" s="54"/>
      <c r="K25" s="54"/>
      <c r="L25" s="54"/>
      <c r="M25" s="54"/>
      <c r="N25" s="54"/>
      <c r="O25" s="54"/>
    </row>
    <row r="26" ht="15.75" customHeight="1">
      <c r="A26" s="588"/>
      <c r="B26" s="54"/>
      <c r="C26" s="610"/>
      <c r="D26" s="610"/>
      <c r="E26" s="54"/>
      <c r="F26" s="611"/>
      <c r="G26" s="54"/>
      <c r="H26" s="54"/>
      <c r="I26" s="593"/>
      <c r="J26" s="54"/>
      <c r="K26" s="54"/>
      <c r="L26" s="54"/>
      <c r="M26" s="54"/>
      <c r="N26" s="54"/>
      <c r="O26" s="54"/>
    </row>
    <row r="27" ht="15.75" customHeight="1">
      <c r="A27" s="54"/>
      <c r="B27" s="54"/>
      <c r="C27" s="54"/>
      <c r="D27" s="272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</row>
    <row r="28" ht="15.75" hidden="1" customHeight="1">
      <c r="A28" s="54"/>
      <c r="B28" s="54"/>
      <c r="C28" s="54"/>
      <c r="D28" s="612" t="s">
        <v>738</v>
      </c>
      <c r="E28" s="613"/>
      <c r="F28" s="613"/>
      <c r="G28" s="613"/>
      <c r="H28" s="613"/>
      <c r="I28" s="613"/>
      <c r="J28" s="613"/>
      <c r="K28" s="613"/>
      <c r="L28" s="613"/>
      <c r="M28" s="613"/>
      <c r="N28" s="613"/>
      <c r="O28" s="54"/>
    </row>
    <row r="29" ht="15.75" hidden="1" customHeight="1">
      <c r="A29" s="54"/>
      <c r="B29" s="54"/>
      <c r="C29" s="54"/>
      <c r="D29" s="612" t="s">
        <v>394</v>
      </c>
      <c r="E29" s="614"/>
      <c r="F29" s="614"/>
      <c r="G29" s="614"/>
      <c r="H29" s="614"/>
      <c r="I29" s="614"/>
      <c r="J29" s="614"/>
      <c r="K29" s="614"/>
      <c r="L29" s="614"/>
      <c r="M29" s="614"/>
      <c r="N29" s="614"/>
      <c r="O29" s="54"/>
    </row>
    <row r="30" ht="15.75" hidden="1" customHeight="1">
      <c r="A30" s="54"/>
      <c r="B30" s="54"/>
      <c r="C30" s="54"/>
      <c r="D30" s="612" t="s">
        <v>739</v>
      </c>
      <c r="E30" s="613"/>
      <c r="F30" s="613"/>
      <c r="G30" s="613"/>
      <c r="H30" s="613"/>
      <c r="I30" s="613"/>
      <c r="J30" s="613"/>
      <c r="K30" s="613"/>
      <c r="L30" s="613"/>
      <c r="M30" s="613"/>
      <c r="N30" s="613"/>
      <c r="O30" s="54"/>
    </row>
    <row r="31" ht="15.75" hidden="1" customHeight="1">
      <c r="A31" s="54"/>
      <c r="B31" s="54"/>
      <c r="C31" s="54"/>
      <c r="D31" s="612" t="s">
        <v>740</v>
      </c>
      <c r="E31" s="615"/>
      <c r="F31" s="615"/>
      <c r="G31" s="613"/>
      <c r="H31" s="613"/>
      <c r="I31" s="613"/>
      <c r="J31" s="613"/>
      <c r="K31" s="613"/>
      <c r="L31" s="613"/>
      <c r="M31" s="613"/>
      <c r="N31" s="613"/>
      <c r="O31" s="54"/>
    </row>
    <row r="32" ht="15.75" hidden="1" customHeight="1">
      <c r="A32" s="54"/>
      <c r="B32" s="54"/>
      <c r="C32" s="54"/>
      <c r="D32" s="612" t="s">
        <v>741</v>
      </c>
      <c r="E32" s="613"/>
      <c r="F32" s="613"/>
      <c r="G32" s="613"/>
      <c r="H32" s="613"/>
      <c r="I32" s="613"/>
      <c r="J32" s="613"/>
      <c r="K32" s="613"/>
      <c r="L32" s="613"/>
      <c r="M32" s="613"/>
      <c r="N32" s="613"/>
      <c r="O32" s="54"/>
    </row>
    <row r="33" ht="15.75" hidden="1" customHeight="1">
      <c r="A33" s="54"/>
      <c r="B33" s="54"/>
      <c r="C33" s="616"/>
      <c r="D33" s="617" t="s">
        <v>742</v>
      </c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6"/>
    </row>
    <row r="34" ht="15.75" hidden="1" customHeight="1">
      <c r="A34" s="54"/>
      <c r="B34" s="54"/>
      <c r="C34" s="54"/>
      <c r="D34" s="612" t="s">
        <v>743</v>
      </c>
      <c r="E34" s="615"/>
      <c r="F34" s="615"/>
      <c r="G34" s="615"/>
      <c r="H34" s="615"/>
      <c r="I34" s="615"/>
      <c r="J34" s="615"/>
      <c r="K34" s="615"/>
      <c r="L34" s="615"/>
      <c r="M34" s="615"/>
      <c r="N34" s="615"/>
      <c r="O34" s="54"/>
    </row>
    <row r="35" ht="15.75" customHeight="1">
      <c r="A35" s="54"/>
      <c r="B35" s="54"/>
      <c r="C35" s="54"/>
      <c r="D35" s="272"/>
      <c r="E35" s="619" t="s">
        <v>744</v>
      </c>
      <c r="N35" s="54"/>
      <c r="O35" s="54"/>
    </row>
    <row r="36" ht="15.75" customHeight="1">
      <c r="A36" s="54"/>
      <c r="B36" s="54"/>
      <c r="C36" s="54"/>
      <c r="D36" s="272"/>
      <c r="N36" s="54"/>
      <c r="O36" s="54"/>
    </row>
    <row r="37" ht="15.75" hidden="1" customHeight="1">
      <c r="A37" s="54"/>
      <c r="B37" s="54"/>
      <c r="C37" s="54"/>
      <c r="D37" s="620" t="str">
        <f>IFERROR(__xludf.DUMMYFUNCTION("QUERY(D49:F56,""Select D,E,F ORDER BY E DESC"")"),"Chemical Imbalance (chemical)")</f>
        <v>Chemical Imbalance (chemical)</v>
      </c>
      <c r="E37" s="621">
        <f>IFERROR(__xludf.DUMMYFUNCTION("""COMPUTED_VALUE"""),16.0)</f>
        <v>16</v>
      </c>
      <c r="F37" s="621">
        <f>IFERROR(__xludf.DUMMYFUNCTION("""COMPUTED_VALUE"""),3.0)</f>
        <v>3</v>
      </c>
      <c r="G37" s="622"/>
      <c r="H37" s="623">
        <f t="shared" ref="H37:H47" si="1">E37/20</f>
        <v>0.8</v>
      </c>
      <c r="I37" s="623"/>
      <c r="J37" s="624" t="s">
        <v>745</v>
      </c>
      <c r="K37" s="54"/>
      <c r="L37" s="54"/>
      <c r="M37" s="54"/>
      <c r="N37" s="54"/>
      <c r="O37" s="54"/>
    </row>
    <row r="38" ht="15.75" hidden="1" customHeight="1">
      <c r="A38" s="54"/>
      <c r="B38" s="54"/>
      <c r="C38" s="54"/>
      <c r="D38" s="620" t="str">
        <f>IFERROR(__xludf.DUMMYFUNCTION("""COMPUTED_VALUE"""),"Like Clockwork (luxe)")</f>
        <v>Like Clockwork (luxe)</v>
      </c>
      <c r="E38" s="621">
        <f>IFERROR(__xludf.DUMMYFUNCTION("""COMPUTED_VALUE"""),16.0)</f>
        <v>16</v>
      </c>
      <c r="F38" s="621">
        <f>IFERROR(__xludf.DUMMYFUNCTION("""COMPUTED_VALUE"""),3.0)</f>
        <v>3</v>
      </c>
      <c r="G38" s="622"/>
      <c r="H38" s="623">
        <f t="shared" si="1"/>
        <v>0.8</v>
      </c>
      <c r="I38" s="623"/>
      <c r="J38" s="624" t="s">
        <v>746</v>
      </c>
      <c r="K38" s="54"/>
      <c r="L38" s="54"/>
      <c r="M38" s="54"/>
      <c r="N38" s="54"/>
      <c r="O38" s="54"/>
    </row>
    <row r="39" ht="15.75" hidden="1" customHeight="1">
      <c r="A39" s="54"/>
      <c r="B39" s="54"/>
      <c r="C39" s="54"/>
      <c r="D39" s="620" t="str">
        <f>IFERROR(__xludf.DUMMYFUNCTION("""COMPUTED_VALUE"""),"Clip Hunters (aspence)")</f>
        <v>Clip Hunters (aspence)</v>
      </c>
      <c r="E39" s="621">
        <f>IFERROR(__xludf.DUMMYFUNCTION("""COMPUTED_VALUE"""),15.0)</f>
        <v>15</v>
      </c>
      <c r="F39" s="621">
        <f>IFERROR(__xludf.DUMMYFUNCTION("""COMPUTED_VALUE"""),4.0)</f>
        <v>4</v>
      </c>
      <c r="G39" s="622"/>
      <c r="H39" s="623">
        <f t="shared" si="1"/>
        <v>0.75</v>
      </c>
      <c r="I39" s="623"/>
      <c r="J39" s="624" t="s">
        <v>747</v>
      </c>
      <c r="K39" s="54"/>
      <c r="L39" s="54"/>
      <c r="M39" s="54"/>
      <c r="N39" s="54"/>
      <c r="O39" s="54"/>
    </row>
    <row r="40" ht="15.75" hidden="1" customHeight="1">
      <c r="A40" s="54"/>
      <c r="B40" s="54"/>
      <c r="C40" s="54"/>
      <c r="D40" s="620" t="str">
        <f>IFERROR(__xludf.DUMMYFUNCTION("""COMPUTED_VALUE"""),"Chick-fil-Ass Grabbers (novice)")</f>
        <v>Chick-fil-Ass Grabbers (novice)</v>
      </c>
      <c r="E40" s="621">
        <f>IFERROR(__xludf.DUMMYFUNCTION("""COMPUTED_VALUE"""),14.0)</f>
        <v>14</v>
      </c>
      <c r="F40" s="621">
        <f>IFERROR(__xludf.DUMMYFUNCTION("""COMPUTED_VALUE"""),5.0)</f>
        <v>5</v>
      </c>
      <c r="G40" s="622"/>
      <c r="H40" s="623">
        <f t="shared" si="1"/>
        <v>0.7</v>
      </c>
      <c r="I40" s="623"/>
      <c r="J40" s="624" t="s">
        <v>748</v>
      </c>
      <c r="K40" s="54"/>
      <c r="L40" s="54"/>
      <c r="M40" s="54"/>
      <c r="N40" s="54"/>
      <c r="O40" s="54"/>
    </row>
    <row r="41" ht="15.75" hidden="1" customHeight="1">
      <c r="A41" s="54"/>
      <c r="B41" s="54"/>
      <c r="C41" s="54"/>
      <c r="D41" s="620" t="str">
        <f>IFERROR(__xludf.DUMMYFUNCTION("""COMPUTED_VALUE"""),"First Strike (evil)")</f>
        <v>First Strike (evil)</v>
      </c>
      <c r="E41" s="621">
        <f>IFERROR(__xludf.DUMMYFUNCTION("""COMPUTED_VALUE"""),13.0)</f>
        <v>13</v>
      </c>
      <c r="F41" s="621">
        <f>IFERROR(__xludf.DUMMYFUNCTION("""COMPUTED_VALUE"""),6.0)</f>
        <v>6</v>
      </c>
      <c r="G41" s="622"/>
      <c r="H41" s="623">
        <f t="shared" si="1"/>
        <v>0.65</v>
      </c>
      <c r="I41" s="623"/>
      <c r="J41" s="624" t="s">
        <v>749</v>
      </c>
      <c r="K41" s="54"/>
      <c r="L41" s="54"/>
      <c r="M41" s="54"/>
      <c r="N41" s="54"/>
      <c r="O41" s="54"/>
    </row>
    <row r="42" ht="15.75" hidden="1" customHeight="1">
      <c r="A42" s="54"/>
      <c r="B42" s="54"/>
      <c r="C42" s="54"/>
      <c r="D42" s="620" t="str">
        <f>IFERROR(__xludf.DUMMYFUNCTION("""COMPUTED_VALUE"""),"Hammers are for Losers (epic)")</f>
        <v>Hammers are for Losers (epic)</v>
      </c>
      <c r="E42" s="621">
        <f>IFERROR(__xludf.DUMMYFUNCTION("""COMPUTED_VALUE"""),11.0)</f>
        <v>11</v>
      </c>
      <c r="F42" s="621">
        <f>IFERROR(__xludf.DUMMYFUNCTION("""COMPUTED_VALUE"""),8.0)</f>
        <v>8</v>
      </c>
      <c r="G42" s="622"/>
      <c r="H42" s="623">
        <f t="shared" si="1"/>
        <v>0.55</v>
      </c>
      <c r="I42" s="623"/>
      <c r="J42" s="624" t="s">
        <v>750</v>
      </c>
      <c r="K42" s="54"/>
      <c r="L42" s="54"/>
      <c r="M42" s="54"/>
      <c r="N42" s="54"/>
      <c r="O42" s="54"/>
    </row>
    <row r="43" ht="15.75" hidden="1" customHeight="1">
      <c r="A43" s="54"/>
      <c r="B43" s="54"/>
      <c r="C43" s="54"/>
      <c r="D43" s="620" t="str">
        <f>IFERROR(__xludf.DUMMYFUNCTION("""COMPUTED_VALUE"""),"Skill Differential (kdskill)")</f>
        <v>Skill Differential (kdskill)</v>
      </c>
      <c r="E43" s="621">
        <f>IFERROR(__xludf.DUMMYFUNCTION("""COMPUTED_VALUE"""),10.0)</f>
        <v>10</v>
      </c>
      <c r="F43" s="621">
        <f>IFERROR(__xludf.DUMMYFUNCTION("""COMPUTED_VALUE"""),9.0)</f>
        <v>9</v>
      </c>
      <c r="G43" s="622"/>
      <c r="H43" s="623">
        <f t="shared" si="1"/>
        <v>0.5</v>
      </c>
      <c r="I43" s="623"/>
      <c r="J43" s="624" t="s">
        <v>751</v>
      </c>
      <c r="K43" s="54"/>
      <c r="L43" s="54"/>
      <c r="M43" s="54"/>
      <c r="N43" s="54"/>
      <c r="O43" s="54"/>
    </row>
    <row r="44" ht="15.75" hidden="1" customHeight="1">
      <c r="A44" s="54"/>
      <c r="B44" s="54"/>
      <c r="C44" s="54"/>
      <c r="D44" s="620" t="str">
        <f>IFERROR(__xludf.DUMMYFUNCTION("""COMPUTED_VALUE"""),"Cosmic Oblivion (Daedric)")</f>
        <v>Cosmic Oblivion (Daedric)</v>
      </c>
      <c r="E44" s="621">
        <f>IFERROR(__xludf.DUMMYFUNCTION("""COMPUTED_VALUE"""),9.0)</f>
        <v>9</v>
      </c>
      <c r="F44" s="621">
        <f>IFERROR(__xludf.DUMMYFUNCTION("""COMPUTED_VALUE"""),10.0)</f>
        <v>10</v>
      </c>
      <c r="G44" s="622"/>
      <c r="H44" s="623">
        <f t="shared" si="1"/>
        <v>0.45</v>
      </c>
      <c r="I44" s="623"/>
      <c r="J44" s="624" t="s">
        <v>752</v>
      </c>
      <c r="K44" s="54"/>
      <c r="L44" s="54"/>
      <c r="M44" s="54"/>
      <c r="N44" s="54"/>
      <c r="O44" s="54"/>
    </row>
    <row r="45" ht="15.75" hidden="1" customHeight="1">
      <c r="A45" s="54"/>
      <c r="B45" s="54"/>
      <c r="C45" s="54"/>
      <c r="D45" s="625"/>
      <c r="E45" s="626"/>
      <c r="F45" s="626"/>
      <c r="G45" s="626"/>
      <c r="H45" s="627">
        <f t="shared" si="1"/>
        <v>0</v>
      </c>
      <c r="I45" s="627"/>
      <c r="J45" s="54"/>
      <c r="K45" s="54"/>
      <c r="L45" s="54"/>
      <c r="M45" s="54"/>
      <c r="N45" s="54"/>
      <c r="O45" s="54"/>
    </row>
    <row r="46" ht="15.75" hidden="1" customHeight="1">
      <c r="A46" s="54"/>
      <c r="B46" s="54"/>
      <c r="C46" s="54"/>
      <c r="D46" s="625"/>
      <c r="E46" s="626"/>
      <c r="F46" s="626"/>
      <c r="G46" s="626"/>
      <c r="H46" s="627">
        <f t="shared" si="1"/>
        <v>0</v>
      </c>
      <c r="I46" s="627"/>
      <c r="J46" s="54"/>
      <c r="K46" s="54"/>
      <c r="L46" s="54"/>
      <c r="M46" s="54"/>
      <c r="N46" s="54"/>
      <c r="O46" s="54"/>
    </row>
    <row r="47" ht="15.75" hidden="1" customHeight="1">
      <c r="A47" s="54"/>
      <c r="B47" s="54"/>
      <c r="C47" s="54"/>
      <c r="D47" s="625"/>
      <c r="E47" s="626"/>
      <c r="F47" s="626"/>
      <c r="G47" s="626"/>
      <c r="H47" s="627">
        <f t="shared" si="1"/>
        <v>0</v>
      </c>
      <c r="I47" s="627"/>
      <c r="J47" s="54"/>
      <c r="K47" s="54"/>
      <c r="L47" s="54"/>
      <c r="M47" s="54"/>
      <c r="N47" s="54"/>
      <c r="O47" s="54"/>
    </row>
    <row r="48" ht="15.75" hidden="1" customHeight="1">
      <c r="A48" s="54"/>
      <c r="B48" s="54"/>
      <c r="C48" s="54"/>
      <c r="D48" s="625"/>
      <c r="E48" s="626"/>
      <c r="F48" s="626"/>
      <c r="G48" s="626"/>
      <c r="H48" s="54"/>
      <c r="I48" s="54"/>
      <c r="J48" s="54"/>
      <c r="K48" s="54"/>
      <c r="L48" s="54" t="s">
        <v>379</v>
      </c>
      <c r="M48" s="54"/>
      <c r="N48" s="54"/>
      <c r="O48" s="54"/>
    </row>
    <row r="49" ht="15.75" hidden="1" customHeight="1">
      <c r="A49" s="54"/>
      <c r="B49" s="54"/>
      <c r="C49" s="54"/>
      <c r="D49" s="625" t="str">
        <f>'Schedule ListStandings'!K5</f>
        <v>Chemical Imbalance (chemical)</v>
      </c>
      <c r="E49" s="628">
        <f>'Schedule ListStandings'!L5</f>
        <v>16</v>
      </c>
      <c r="F49" s="628">
        <f>'Schedule ListStandings'!M5</f>
        <v>3</v>
      </c>
      <c r="G49" s="626"/>
      <c r="H49" s="54"/>
      <c r="I49" s="54"/>
      <c r="J49" s="54"/>
      <c r="K49" s="54"/>
      <c r="L49" s="54"/>
      <c r="M49" s="54"/>
      <c r="N49" s="54"/>
      <c r="O49" s="54"/>
    </row>
    <row r="50" ht="15.75" hidden="1" customHeight="1">
      <c r="A50" s="54"/>
      <c r="B50" s="54"/>
      <c r="C50" s="54"/>
      <c r="D50" s="625" t="str">
        <f>'Schedule ListStandings'!K6</f>
        <v>Like Clockwork (luxe)</v>
      </c>
      <c r="E50" s="628">
        <f>'Schedule ListStandings'!L6</f>
        <v>16</v>
      </c>
      <c r="F50" s="628">
        <f>'Schedule ListStandings'!M6</f>
        <v>3</v>
      </c>
      <c r="G50" s="626"/>
      <c r="H50" s="54"/>
      <c r="I50" s="54"/>
      <c r="J50" s="54"/>
      <c r="K50" s="54"/>
      <c r="L50" s="54"/>
      <c r="M50" s="54"/>
      <c r="N50" s="54"/>
      <c r="O50" s="54"/>
    </row>
    <row r="51" ht="15.75" hidden="1" customHeight="1">
      <c r="A51" s="54"/>
      <c r="B51" s="54"/>
      <c r="C51" s="54"/>
      <c r="D51" s="625" t="str">
        <f>'Schedule ListStandings'!K7</f>
        <v>First Strike (evil)</v>
      </c>
      <c r="E51" s="628">
        <f>'Schedule ListStandings'!L7</f>
        <v>13</v>
      </c>
      <c r="F51" s="628">
        <f>'Schedule ListStandings'!M7</f>
        <v>6</v>
      </c>
      <c r="G51" s="626"/>
      <c r="H51" s="54"/>
      <c r="I51" s="54"/>
      <c r="J51" s="54"/>
      <c r="K51" s="54"/>
      <c r="L51" s="54"/>
      <c r="M51" s="54"/>
      <c r="N51" s="54"/>
      <c r="O51" s="54"/>
    </row>
    <row r="52" ht="15.75" hidden="1" customHeight="1">
      <c r="A52" s="54"/>
      <c r="B52" s="54"/>
      <c r="C52" s="54"/>
      <c r="D52" s="625" t="str">
        <f>'Schedule ListStandings'!K8</f>
        <v>Cosmic Oblivion (Daedric)</v>
      </c>
      <c r="E52" s="628">
        <f>'Schedule ListStandings'!L8</f>
        <v>9</v>
      </c>
      <c r="F52" s="628">
        <f>'Schedule ListStandings'!M8</f>
        <v>10</v>
      </c>
      <c r="G52" s="626"/>
      <c r="H52" s="54"/>
      <c r="I52" s="54"/>
      <c r="J52" s="54"/>
      <c r="K52" s="54"/>
      <c r="L52" s="54"/>
      <c r="M52" s="54"/>
      <c r="N52" s="54"/>
      <c r="O52" s="54"/>
    </row>
    <row r="53" ht="15.75" hidden="1" customHeight="1">
      <c r="A53" s="54"/>
      <c r="B53" s="54"/>
      <c r="C53" s="54"/>
      <c r="D53" s="625" t="str">
        <f>'Schedule ListStandings'!P5</f>
        <v>Clip Hunters (aspence)</v>
      </c>
      <c r="E53" s="628">
        <f>'Schedule ListStandings'!Q5</f>
        <v>15</v>
      </c>
      <c r="F53" s="628">
        <f>'Schedule ListStandings'!R5</f>
        <v>4</v>
      </c>
      <c r="G53" s="626"/>
      <c r="H53" s="54"/>
      <c r="I53" s="54"/>
      <c r="J53" s="54"/>
      <c r="K53" s="54"/>
      <c r="L53" s="54"/>
      <c r="M53" s="54"/>
      <c r="N53" s="54"/>
      <c r="O53" s="54"/>
    </row>
    <row r="54" ht="15.75" hidden="1" customHeight="1">
      <c r="A54" s="54"/>
      <c r="B54" s="54"/>
      <c r="C54" s="54"/>
      <c r="D54" s="625" t="str">
        <f>'Schedule ListStandings'!P6</f>
        <v>Chick-fil-Ass Grabbers (novice)</v>
      </c>
      <c r="E54" s="628">
        <f>'Schedule ListStandings'!Q6</f>
        <v>14</v>
      </c>
      <c r="F54" s="628">
        <f>'Schedule ListStandings'!R6</f>
        <v>5</v>
      </c>
      <c r="G54" s="626"/>
      <c r="H54" s="54"/>
      <c r="I54" s="54"/>
      <c r="J54" s="54"/>
      <c r="K54" s="54"/>
      <c r="L54" s="54"/>
      <c r="M54" s="54"/>
      <c r="N54" s="54"/>
      <c r="O54" s="54"/>
    </row>
    <row r="55" ht="15.75" hidden="1" customHeight="1">
      <c r="A55" s="54"/>
      <c r="B55" s="54"/>
      <c r="C55" s="54"/>
      <c r="D55" s="625" t="str">
        <f>'Schedule ListStandings'!P7</f>
        <v>Hammers are for Losers (epic)</v>
      </c>
      <c r="E55" s="628">
        <f>'Schedule ListStandings'!Q7</f>
        <v>11</v>
      </c>
      <c r="F55" s="628">
        <f>'Schedule ListStandings'!R7</f>
        <v>8</v>
      </c>
      <c r="G55" s="626"/>
      <c r="H55" s="54"/>
      <c r="I55" s="54"/>
      <c r="J55" s="54"/>
      <c r="K55" s="54"/>
      <c r="L55" s="54"/>
      <c r="M55" s="54"/>
      <c r="N55" s="54"/>
      <c r="O55" s="54"/>
    </row>
    <row r="56" ht="15.75" hidden="1" customHeight="1">
      <c r="A56" s="54"/>
      <c r="B56" s="54"/>
      <c r="C56" s="54"/>
      <c r="D56" s="625" t="str">
        <f>'Schedule ListStandings'!P8</f>
        <v>Skill Differential (kdskill)</v>
      </c>
      <c r="E56" s="628">
        <f>'Schedule ListStandings'!Q8</f>
        <v>10</v>
      </c>
      <c r="F56" s="628">
        <f>'Schedule ListStandings'!R8</f>
        <v>9</v>
      </c>
      <c r="G56" s="626"/>
      <c r="H56" s="54"/>
      <c r="I56" s="54"/>
      <c r="J56" s="54"/>
      <c r="K56" s="54"/>
      <c r="L56" s="54"/>
      <c r="M56" s="54"/>
      <c r="N56" s="54"/>
      <c r="O56" s="54"/>
    </row>
    <row r="57" ht="15.75" hidden="1" customHeight="1">
      <c r="A57" s="54"/>
      <c r="B57" s="54"/>
      <c r="C57" s="54"/>
      <c r="D57" s="625"/>
      <c r="E57" s="626"/>
      <c r="F57" s="626"/>
      <c r="G57" s="626"/>
      <c r="H57" s="54"/>
      <c r="I57" s="54"/>
      <c r="J57" s="54"/>
      <c r="K57" s="54"/>
      <c r="L57" s="54"/>
      <c r="M57" s="54"/>
      <c r="N57" s="54"/>
      <c r="O57" s="54"/>
    </row>
    <row r="58" ht="15.75" hidden="1" customHeight="1">
      <c r="A58" s="54"/>
      <c r="B58" s="54"/>
      <c r="C58" s="54"/>
      <c r="D58" s="625"/>
      <c r="E58" s="626"/>
      <c r="F58" s="626"/>
      <c r="G58" s="626"/>
      <c r="H58" s="54"/>
      <c r="I58" s="54"/>
      <c r="J58" s="54"/>
      <c r="K58" s="54"/>
      <c r="L58" s="54"/>
      <c r="M58" s="54"/>
      <c r="N58" s="54"/>
      <c r="O58" s="54"/>
    </row>
    <row r="59" ht="15.75" hidden="1" customHeight="1">
      <c r="A59" s="54"/>
      <c r="B59" s="54"/>
      <c r="C59" s="54"/>
      <c r="D59" s="625"/>
      <c r="E59" s="626"/>
      <c r="F59" s="626"/>
      <c r="G59" s="626"/>
      <c r="H59" s="54"/>
      <c r="I59" s="54"/>
      <c r="J59" s="54"/>
      <c r="K59" s="54"/>
      <c r="L59" s="54"/>
      <c r="M59" s="54"/>
      <c r="N59" s="54"/>
      <c r="O59" s="54"/>
    </row>
    <row r="60" ht="15.75" hidden="1" customHeight="1">
      <c r="A60" s="54"/>
      <c r="B60" s="54"/>
      <c r="C60" s="54"/>
      <c r="D60" s="625"/>
      <c r="E60" s="626"/>
      <c r="F60" s="626"/>
      <c r="G60" s="626"/>
      <c r="H60" s="54"/>
      <c r="I60" s="54"/>
      <c r="J60" s="54"/>
      <c r="K60" s="54"/>
      <c r="L60" s="54"/>
      <c r="M60" s="54"/>
      <c r="N60" s="54"/>
      <c r="O60" s="54"/>
    </row>
    <row r="61" ht="15.75" hidden="1" customHeight="1">
      <c r="A61" s="54"/>
      <c r="B61" s="54"/>
      <c r="C61" s="54"/>
      <c r="D61" s="272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C5:D6"/>
    <mergeCell ref="C8:D9"/>
    <mergeCell ref="C4:D4"/>
    <mergeCell ref="C10:D10"/>
    <mergeCell ref="C11:D12"/>
    <mergeCell ref="J11:J12"/>
    <mergeCell ref="L13:L14"/>
    <mergeCell ref="J14:J15"/>
    <mergeCell ref="C14:D15"/>
    <mergeCell ref="C16:D16"/>
    <mergeCell ref="C17:D18"/>
    <mergeCell ref="G17:G18"/>
    <mergeCell ref="C20:D21"/>
    <mergeCell ref="G20:G21"/>
    <mergeCell ref="C22:D22"/>
    <mergeCell ref="C23:D24"/>
    <mergeCell ref="E35:M36"/>
    <mergeCell ref="C1:D1"/>
    <mergeCell ref="A2:A24"/>
    <mergeCell ref="C2:D3"/>
    <mergeCell ref="F2:F24"/>
    <mergeCell ref="I2:I24"/>
    <mergeCell ref="G5:G6"/>
    <mergeCell ref="G8:G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17.63"/>
    <col customWidth="1" min="3" max="3" width="11.38"/>
    <col customWidth="1" min="4" max="4" width="12.63"/>
    <col customWidth="1" min="5" max="5" width="14.38"/>
    <col customWidth="1" min="6" max="6" width="12.63"/>
    <col customWidth="1" min="7" max="7" width="15.5"/>
    <col customWidth="1" min="8" max="8" width="12.63"/>
    <col customWidth="1" min="9" max="9" width="12.0"/>
    <col customWidth="1" min="10" max="11" width="11.63"/>
    <col customWidth="1" min="12" max="18" width="11.38"/>
    <col customWidth="1" min="19" max="19" width="10.0"/>
    <col customWidth="1" min="20" max="20" width="10.5"/>
    <col customWidth="1" min="21" max="21" width="9.75"/>
    <col customWidth="1" min="22" max="22" width="9.25"/>
    <col customWidth="1" min="23" max="23" width="7.13"/>
    <col customWidth="1" min="24" max="24" width="8.63"/>
  </cols>
  <sheetData>
    <row r="1" ht="15.75" customHeight="1">
      <c r="A1" s="622"/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  <c r="N1" s="622"/>
      <c r="O1" s="622"/>
      <c r="P1" s="622"/>
      <c r="Q1" s="622"/>
      <c r="R1" s="622"/>
      <c r="S1" s="622" t="s">
        <v>753</v>
      </c>
      <c r="T1" s="622" t="s">
        <v>754</v>
      </c>
      <c r="U1" s="622"/>
      <c r="V1" s="622"/>
      <c r="W1" s="622"/>
      <c r="X1" s="622"/>
    </row>
    <row r="2" ht="15.75" customHeight="1">
      <c r="A2" s="622"/>
      <c r="B2" s="622"/>
      <c r="C2" s="622"/>
      <c r="D2" s="622"/>
      <c r="E2" s="622"/>
      <c r="F2" s="622"/>
      <c r="G2" s="622"/>
      <c r="H2" s="622"/>
      <c r="I2" s="622"/>
      <c r="J2" s="622"/>
      <c r="K2" s="622"/>
      <c r="L2" s="622"/>
      <c r="M2" s="622"/>
      <c r="N2" s="622"/>
      <c r="O2" s="622"/>
      <c r="P2" s="622"/>
      <c r="Q2" s="622"/>
      <c r="R2" s="622"/>
      <c r="S2" s="622"/>
      <c r="T2" s="622"/>
      <c r="U2" s="622"/>
      <c r="V2" s="622"/>
      <c r="W2" s="622"/>
      <c r="X2" s="622"/>
    </row>
    <row r="3" ht="15.75" customHeight="1">
      <c r="A3" s="622"/>
      <c r="B3" s="622"/>
      <c r="C3" s="622"/>
      <c r="D3" s="622"/>
      <c r="E3" s="622"/>
      <c r="F3" s="622"/>
      <c r="G3" s="622"/>
      <c r="H3" s="622"/>
      <c r="I3" s="622"/>
      <c r="J3" s="622"/>
      <c r="K3" s="622"/>
      <c r="L3" s="622"/>
      <c r="M3" s="622"/>
      <c r="N3" s="622"/>
      <c r="O3" s="622"/>
      <c r="P3" s="622"/>
      <c r="Q3" s="622"/>
      <c r="R3" s="622"/>
      <c r="S3" s="622"/>
      <c r="T3" s="622"/>
      <c r="U3" s="622"/>
      <c r="V3" s="622"/>
      <c r="W3" s="622"/>
      <c r="X3" s="622"/>
    </row>
    <row r="4" ht="15.75" customHeight="1">
      <c r="A4" s="622"/>
      <c r="B4" s="622"/>
      <c r="C4" s="622"/>
      <c r="D4" s="622"/>
      <c r="E4" s="622"/>
      <c r="F4" s="622"/>
      <c r="G4" s="622"/>
      <c r="H4" s="622"/>
      <c r="I4" s="622"/>
      <c r="J4" s="622"/>
      <c r="K4" s="629"/>
      <c r="L4" s="629"/>
      <c r="M4" s="629"/>
      <c r="N4" s="629"/>
      <c r="O4" s="629"/>
      <c r="P4" s="629"/>
      <c r="Q4" s="629"/>
      <c r="R4" s="629"/>
      <c r="S4" s="622"/>
      <c r="T4" s="622"/>
      <c r="U4" s="622"/>
      <c r="V4" s="622"/>
      <c r="W4" s="622"/>
      <c r="X4" s="622"/>
    </row>
    <row r="5" ht="15.75" customHeight="1">
      <c r="A5" s="622"/>
      <c r="B5" s="630"/>
      <c r="C5" s="631" t="s">
        <v>117</v>
      </c>
      <c r="D5" s="631" t="s">
        <v>122</v>
      </c>
      <c r="E5" s="631" t="s">
        <v>129</v>
      </c>
      <c r="F5" s="631" t="s">
        <v>134</v>
      </c>
      <c r="G5" s="631" t="s">
        <v>141</v>
      </c>
      <c r="H5" s="631" t="s">
        <v>145</v>
      </c>
      <c r="I5" s="632" t="s">
        <v>153</v>
      </c>
      <c r="J5" s="622"/>
      <c r="K5" s="629"/>
      <c r="L5" s="633"/>
      <c r="M5" s="634" t="s">
        <v>755</v>
      </c>
      <c r="Q5" s="633"/>
      <c r="R5" s="633"/>
      <c r="S5" s="622"/>
      <c r="T5" s="622"/>
      <c r="U5" s="622"/>
      <c r="V5" s="622"/>
      <c r="W5" s="622"/>
      <c r="X5" s="622"/>
    </row>
    <row r="6" ht="15.75" customHeight="1">
      <c r="A6" s="635"/>
      <c r="B6" s="636"/>
      <c r="C6" s="637"/>
      <c r="D6" s="637"/>
      <c r="E6" s="637"/>
      <c r="F6" s="637"/>
      <c r="G6" s="638"/>
      <c r="H6" s="638"/>
      <c r="I6" s="639"/>
      <c r="J6" s="640"/>
      <c r="K6" s="641"/>
      <c r="L6" s="642" t="s">
        <v>756</v>
      </c>
      <c r="M6" s="642" t="s">
        <v>757</v>
      </c>
      <c r="N6" s="642" t="s">
        <v>758</v>
      </c>
      <c r="O6" s="642" t="s">
        <v>759</v>
      </c>
      <c r="P6" s="642" t="s">
        <v>760</v>
      </c>
      <c r="Q6" s="642" t="s">
        <v>761</v>
      </c>
      <c r="R6" s="643" t="s">
        <v>762</v>
      </c>
      <c r="S6" s="644" t="s">
        <v>656</v>
      </c>
      <c r="T6" s="644" t="s">
        <v>763</v>
      </c>
      <c r="U6" s="644"/>
      <c r="V6" s="644"/>
      <c r="W6" s="644"/>
      <c r="X6" s="644"/>
    </row>
    <row r="7" ht="15.75" customHeight="1">
      <c r="A7" s="645"/>
      <c r="B7" s="646"/>
      <c r="C7" s="637"/>
      <c r="D7" s="637"/>
      <c r="E7" s="637"/>
      <c r="F7" s="637"/>
      <c r="G7" s="637"/>
      <c r="H7" s="637"/>
      <c r="I7" s="647"/>
      <c r="J7" s="648">
        <v>1.0</v>
      </c>
      <c r="K7" s="649" t="s">
        <v>37</v>
      </c>
      <c r="L7" s="650" t="s">
        <v>764</v>
      </c>
      <c r="M7" s="650" t="s">
        <v>764</v>
      </c>
      <c r="N7" s="650" t="s">
        <v>764</v>
      </c>
      <c r="O7" s="651" t="s">
        <v>765</v>
      </c>
      <c r="P7" s="651" t="s">
        <v>765</v>
      </c>
      <c r="Q7" s="651" t="s">
        <v>765</v>
      </c>
      <c r="R7" s="652" t="s">
        <v>764</v>
      </c>
      <c r="S7" s="653" t="s">
        <v>766</v>
      </c>
      <c r="T7" s="653"/>
      <c r="U7" s="653"/>
      <c r="V7" s="653"/>
      <c r="W7" s="653"/>
      <c r="X7" s="653"/>
    </row>
    <row r="8" ht="15.75" customHeight="1">
      <c r="A8" s="654"/>
      <c r="B8" s="655"/>
      <c r="C8" s="637"/>
      <c r="D8" s="656"/>
      <c r="E8" s="637"/>
      <c r="F8" s="637"/>
      <c r="G8" s="637"/>
      <c r="H8" s="637"/>
      <c r="I8" s="647"/>
      <c r="J8" s="648">
        <v>2.0</v>
      </c>
      <c r="K8" s="649" t="s">
        <v>560</v>
      </c>
      <c r="L8" s="650" t="s">
        <v>764</v>
      </c>
      <c r="M8" s="657">
        <v>45912.0</v>
      </c>
      <c r="N8" s="657">
        <v>45912.0</v>
      </c>
      <c r="O8" s="657">
        <v>45912.0</v>
      </c>
      <c r="P8" s="650" t="s">
        <v>764</v>
      </c>
      <c r="Q8" s="650" t="s">
        <v>764</v>
      </c>
      <c r="R8" s="652" t="s">
        <v>764</v>
      </c>
      <c r="S8" s="658"/>
      <c r="T8" s="658"/>
      <c r="U8" s="658"/>
      <c r="V8" s="658"/>
      <c r="W8" s="658"/>
      <c r="X8" s="658"/>
    </row>
    <row r="9" ht="15.75" customHeight="1">
      <c r="A9" s="659"/>
      <c r="B9" s="660"/>
      <c r="C9" s="637"/>
      <c r="D9" s="637"/>
      <c r="E9" s="638"/>
      <c r="F9" s="638"/>
      <c r="G9" s="661"/>
      <c r="H9" s="638"/>
      <c r="I9" s="647"/>
      <c r="J9" s="648">
        <v>3.0</v>
      </c>
      <c r="K9" s="649" t="s">
        <v>496</v>
      </c>
      <c r="L9" s="650" t="s">
        <v>764</v>
      </c>
      <c r="M9" s="650" t="s">
        <v>764</v>
      </c>
      <c r="N9" s="650" t="s">
        <v>764</v>
      </c>
      <c r="O9" s="657">
        <v>45942.0</v>
      </c>
      <c r="P9" s="650" t="s">
        <v>764</v>
      </c>
      <c r="Q9" s="650" t="s">
        <v>764</v>
      </c>
      <c r="R9" s="652" t="s">
        <v>764</v>
      </c>
      <c r="S9" s="662" t="s">
        <v>413</v>
      </c>
      <c r="T9" s="658"/>
      <c r="U9" s="658"/>
      <c r="V9" s="658"/>
      <c r="W9" s="658"/>
      <c r="X9" s="658"/>
    </row>
    <row r="10" ht="15.0" customHeight="1">
      <c r="A10" s="663"/>
      <c r="B10" s="664"/>
      <c r="C10" s="637"/>
      <c r="D10" s="638"/>
      <c r="E10" s="638"/>
      <c r="F10" s="637"/>
      <c r="G10" s="637"/>
      <c r="H10" s="637"/>
      <c r="I10" s="639"/>
      <c r="J10" s="640">
        <v>4.0</v>
      </c>
      <c r="K10" s="649" t="s">
        <v>767</v>
      </c>
      <c r="L10" s="665" t="s">
        <v>768</v>
      </c>
      <c r="M10" s="665" t="s">
        <v>768</v>
      </c>
      <c r="N10" s="665" t="s">
        <v>768</v>
      </c>
      <c r="O10" s="665" t="s">
        <v>768</v>
      </c>
      <c r="P10" s="665" t="s">
        <v>768</v>
      </c>
      <c r="Q10" s="665" t="s">
        <v>768</v>
      </c>
      <c r="R10" s="666" t="s">
        <v>768</v>
      </c>
      <c r="S10" s="667" t="s">
        <v>769</v>
      </c>
      <c r="T10" s="667"/>
      <c r="U10" s="667"/>
      <c r="V10" s="667"/>
      <c r="W10" s="667"/>
      <c r="X10" s="667"/>
    </row>
    <row r="11" ht="15.75" customHeight="1">
      <c r="A11" s="299"/>
      <c r="B11" s="668"/>
      <c r="C11" s="669"/>
      <c r="D11" s="669"/>
      <c r="E11" s="670"/>
      <c r="F11" s="669"/>
      <c r="G11" s="671"/>
      <c r="H11" s="672"/>
      <c r="I11" s="673"/>
      <c r="J11" s="674">
        <v>5.0</v>
      </c>
      <c r="K11" s="649" t="s">
        <v>770</v>
      </c>
      <c r="L11" s="657">
        <v>45878.0</v>
      </c>
      <c r="M11" s="657">
        <v>45878.0</v>
      </c>
      <c r="N11" s="658" t="s">
        <v>764</v>
      </c>
      <c r="O11" s="657">
        <v>45878.0</v>
      </c>
      <c r="P11" s="657">
        <v>45878.0</v>
      </c>
      <c r="Q11" s="658" t="s">
        <v>764</v>
      </c>
      <c r="R11" s="675" t="s">
        <v>764</v>
      </c>
      <c r="S11" s="658"/>
      <c r="T11" s="658"/>
      <c r="U11" s="658"/>
      <c r="V11" s="658"/>
      <c r="W11" s="658"/>
      <c r="X11" s="658"/>
    </row>
    <row r="12" ht="15.75" customHeight="1">
      <c r="A12" s="676"/>
      <c r="B12" s="677"/>
      <c r="C12" s="678"/>
      <c r="D12" s="678"/>
      <c r="E12" s="679"/>
      <c r="F12" s="678"/>
      <c r="G12" s="680"/>
      <c r="H12" s="681"/>
      <c r="I12" s="682"/>
      <c r="J12" s="674">
        <v>6.0</v>
      </c>
      <c r="K12" s="649" t="s">
        <v>771</v>
      </c>
      <c r="L12" s="683" t="s">
        <v>764</v>
      </c>
      <c r="M12" s="684" t="s">
        <v>772</v>
      </c>
      <c r="N12" s="683" t="s">
        <v>764</v>
      </c>
      <c r="O12" s="684" t="s">
        <v>772</v>
      </c>
      <c r="P12" s="683" t="s">
        <v>764</v>
      </c>
      <c r="Q12" s="683" t="s">
        <v>764</v>
      </c>
      <c r="R12" s="685" t="s">
        <v>764</v>
      </c>
      <c r="S12" s="686" t="s">
        <v>773</v>
      </c>
      <c r="T12" s="622"/>
      <c r="U12" s="622"/>
      <c r="V12" s="622"/>
      <c r="W12" s="622"/>
      <c r="X12" s="622"/>
    </row>
    <row r="13" ht="15.75" customHeight="1">
      <c r="A13" s="635"/>
      <c r="B13" s="687"/>
      <c r="C13" s="637"/>
      <c r="D13" s="637"/>
      <c r="E13" s="637"/>
      <c r="F13" s="637"/>
      <c r="G13" s="637"/>
      <c r="H13" s="637"/>
      <c r="I13" s="647"/>
      <c r="J13" s="648">
        <v>7.0</v>
      </c>
      <c r="K13" s="649" t="s">
        <v>774</v>
      </c>
      <c r="L13" s="650" t="s">
        <v>764</v>
      </c>
      <c r="M13" s="650" t="s">
        <v>764</v>
      </c>
      <c r="N13" s="650" t="s">
        <v>764</v>
      </c>
      <c r="O13" s="650" t="s">
        <v>764</v>
      </c>
      <c r="P13" s="650" t="s">
        <v>764</v>
      </c>
      <c r="Q13" s="650" t="s">
        <v>764</v>
      </c>
      <c r="R13" s="688" t="s">
        <v>775</v>
      </c>
      <c r="S13" s="689" t="s">
        <v>776</v>
      </c>
      <c r="T13" s="622"/>
      <c r="U13" s="622"/>
      <c r="V13" s="622"/>
      <c r="W13" s="622"/>
      <c r="X13" s="622"/>
    </row>
    <row r="14" ht="15.75" customHeight="1">
      <c r="A14" s="645"/>
      <c r="B14" s="646"/>
      <c r="C14" s="638"/>
      <c r="D14" s="637"/>
      <c r="E14" s="637"/>
      <c r="F14" s="637"/>
      <c r="G14" s="638"/>
      <c r="H14" s="637"/>
      <c r="I14" s="647"/>
      <c r="J14" s="648">
        <v>8.0</v>
      </c>
      <c r="K14" s="649" t="s">
        <v>777</v>
      </c>
      <c r="L14" s="657">
        <v>45912.0</v>
      </c>
      <c r="M14" s="657">
        <v>45912.0</v>
      </c>
      <c r="N14" s="657">
        <v>45912.0</v>
      </c>
      <c r="O14" s="657">
        <v>45912.0</v>
      </c>
      <c r="P14" s="657">
        <v>45912.0</v>
      </c>
      <c r="Q14" s="657">
        <v>45912.0</v>
      </c>
      <c r="R14" s="690">
        <v>45912.0</v>
      </c>
      <c r="S14" s="689"/>
      <c r="T14" s="622"/>
      <c r="U14" s="622"/>
      <c r="V14" s="622"/>
      <c r="W14" s="622"/>
      <c r="X14" s="622"/>
    </row>
    <row r="15" ht="15.75" customHeight="1">
      <c r="A15" s="654"/>
      <c r="B15" s="655"/>
      <c r="C15" s="691"/>
      <c r="D15" s="691"/>
      <c r="E15" s="691"/>
      <c r="F15" s="691"/>
      <c r="G15" s="691"/>
      <c r="H15" s="691"/>
      <c r="I15" s="692"/>
      <c r="J15" s="693">
        <v>9.0</v>
      </c>
      <c r="K15" s="649" t="s">
        <v>646</v>
      </c>
      <c r="L15" s="657">
        <v>45878.0</v>
      </c>
      <c r="M15" s="650" t="s">
        <v>764</v>
      </c>
      <c r="N15" s="657">
        <v>45878.0</v>
      </c>
      <c r="O15" s="650" t="s">
        <v>764</v>
      </c>
      <c r="P15" s="657">
        <v>45878.0</v>
      </c>
      <c r="Q15" s="650" t="s">
        <v>764</v>
      </c>
      <c r="R15" s="652" t="s">
        <v>764</v>
      </c>
      <c r="S15" s="658"/>
      <c r="T15" s="622"/>
      <c r="U15" s="622"/>
      <c r="V15" s="622"/>
      <c r="W15" s="622"/>
      <c r="X15" s="622"/>
    </row>
    <row r="16" ht="15.75" customHeight="1">
      <c r="A16" s="659"/>
      <c r="B16" s="660"/>
      <c r="C16" s="638"/>
      <c r="D16" s="638"/>
      <c r="E16" s="638"/>
      <c r="F16" s="638"/>
      <c r="G16" s="637"/>
      <c r="H16" s="637"/>
      <c r="I16" s="647"/>
      <c r="J16" s="648">
        <v>10.0</v>
      </c>
      <c r="K16" s="649" t="s">
        <v>778</v>
      </c>
      <c r="L16" s="651" t="s">
        <v>779</v>
      </c>
      <c r="M16" s="651" t="s">
        <v>779</v>
      </c>
      <c r="N16" s="650" t="s">
        <v>764</v>
      </c>
      <c r="O16" s="650" t="s">
        <v>764</v>
      </c>
      <c r="P16" s="650" t="s">
        <v>764</v>
      </c>
      <c r="Q16" s="650" t="s">
        <v>764</v>
      </c>
      <c r="R16" s="688" t="s">
        <v>779</v>
      </c>
      <c r="S16" s="689"/>
      <c r="T16" s="622"/>
      <c r="U16" s="622"/>
      <c r="V16" s="622"/>
      <c r="W16" s="622"/>
      <c r="X16" s="622"/>
    </row>
    <row r="17" ht="15.75" customHeight="1">
      <c r="A17" s="299"/>
      <c r="B17" s="694"/>
      <c r="C17" s="637"/>
      <c r="D17" s="637"/>
      <c r="E17" s="637"/>
      <c r="F17" s="637"/>
      <c r="G17" s="637"/>
      <c r="H17" s="637"/>
      <c r="I17" s="647"/>
      <c r="J17" s="648">
        <v>11.0</v>
      </c>
      <c r="K17" s="649" t="s">
        <v>463</v>
      </c>
      <c r="L17" s="658" t="s">
        <v>764</v>
      </c>
      <c r="M17" s="657">
        <v>45847.0</v>
      </c>
      <c r="N17" s="657">
        <v>45847.0</v>
      </c>
      <c r="O17" s="658" t="s">
        <v>764</v>
      </c>
      <c r="P17" s="657">
        <v>45847.0</v>
      </c>
      <c r="Q17" s="658" t="s">
        <v>764</v>
      </c>
      <c r="R17" s="675" t="s">
        <v>764</v>
      </c>
      <c r="S17" s="658"/>
      <c r="T17" s="622"/>
      <c r="U17" s="622"/>
      <c r="V17" s="622"/>
      <c r="W17" s="622"/>
      <c r="X17" s="622"/>
    </row>
    <row r="18" ht="15.75" customHeight="1">
      <c r="A18" s="659"/>
      <c r="B18" s="695"/>
      <c r="C18" s="696"/>
      <c r="D18" s="697"/>
      <c r="E18" s="697"/>
      <c r="F18" s="697"/>
      <c r="G18" s="696"/>
      <c r="H18" s="697"/>
      <c r="I18" s="698"/>
      <c r="J18" s="699">
        <v>12.0</v>
      </c>
      <c r="K18" s="649" t="s">
        <v>485</v>
      </c>
      <c r="L18" s="683" t="s">
        <v>764</v>
      </c>
      <c r="M18" s="684" t="s">
        <v>780</v>
      </c>
      <c r="N18" s="684" t="s">
        <v>780</v>
      </c>
      <c r="O18" s="683" t="s">
        <v>764</v>
      </c>
      <c r="P18" s="684" t="s">
        <v>780</v>
      </c>
      <c r="Q18" s="684" t="s">
        <v>780</v>
      </c>
      <c r="R18" s="685" t="s">
        <v>764</v>
      </c>
      <c r="S18" s="622"/>
      <c r="T18" s="622"/>
      <c r="U18" s="622"/>
      <c r="V18" s="622"/>
      <c r="W18" s="622"/>
      <c r="X18" s="622"/>
    </row>
    <row r="19" ht="15.75" customHeight="1">
      <c r="A19" s="676"/>
      <c r="B19" s="677"/>
      <c r="C19" s="700"/>
      <c r="D19" s="701"/>
      <c r="E19" s="701"/>
      <c r="F19" s="701"/>
      <c r="G19" s="700"/>
      <c r="H19" s="701"/>
      <c r="I19" s="702"/>
      <c r="J19" s="699">
        <v>13.0</v>
      </c>
      <c r="K19" s="703" t="s">
        <v>653</v>
      </c>
      <c r="L19" s="650" t="s">
        <v>764</v>
      </c>
      <c r="M19" s="651" t="s">
        <v>781</v>
      </c>
      <c r="N19" s="650" t="s">
        <v>764</v>
      </c>
      <c r="O19" s="651" t="s">
        <v>781</v>
      </c>
      <c r="P19" s="650" t="s">
        <v>764</v>
      </c>
      <c r="Q19" s="650" t="s">
        <v>764</v>
      </c>
      <c r="R19" s="688" t="s">
        <v>781</v>
      </c>
      <c r="S19" s="622"/>
      <c r="T19" s="622"/>
      <c r="U19" s="622"/>
      <c r="V19" s="622"/>
      <c r="W19" s="622"/>
      <c r="X19" s="622"/>
    </row>
    <row r="20" ht="15.75" customHeight="1">
      <c r="A20" s="635"/>
      <c r="B20" s="636"/>
      <c r="C20" s="637"/>
      <c r="D20" s="637"/>
      <c r="E20" s="637"/>
      <c r="F20" s="637"/>
      <c r="G20" s="637"/>
      <c r="H20" s="637"/>
      <c r="I20" s="647"/>
      <c r="J20" s="648">
        <v>14.0</v>
      </c>
      <c r="K20" s="704" t="s">
        <v>782</v>
      </c>
      <c r="L20" s="705" t="s">
        <v>783</v>
      </c>
      <c r="M20" s="706" t="s">
        <v>764</v>
      </c>
      <c r="N20" s="706" t="s">
        <v>764</v>
      </c>
      <c r="O20" s="706" t="s">
        <v>764</v>
      </c>
      <c r="P20" s="706" t="s">
        <v>764</v>
      </c>
      <c r="Q20" s="706" t="s">
        <v>764</v>
      </c>
      <c r="R20" s="707" t="s">
        <v>783</v>
      </c>
      <c r="S20" s="622"/>
      <c r="T20" s="622"/>
      <c r="U20" s="622"/>
      <c r="V20" s="622"/>
      <c r="W20" s="622"/>
      <c r="X20" s="622"/>
    </row>
    <row r="21" ht="15.75" customHeight="1">
      <c r="A21" s="645"/>
      <c r="B21" s="646"/>
      <c r="C21" s="637"/>
      <c r="D21" s="637"/>
      <c r="E21" s="637"/>
      <c r="F21" s="637"/>
      <c r="G21" s="637"/>
      <c r="H21" s="637"/>
      <c r="I21" s="647"/>
      <c r="J21" s="648"/>
      <c r="K21" s="659"/>
      <c r="L21" s="708"/>
      <c r="M21" s="708"/>
      <c r="N21" s="709"/>
      <c r="O21" s="709"/>
      <c r="P21" s="709"/>
      <c r="Q21" s="708"/>
      <c r="R21" s="708"/>
      <c r="S21" s="622"/>
      <c r="T21" s="622"/>
      <c r="U21" s="622"/>
      <c r="V21" s="622"/>
      <c r="W21" s="622"/>
      <c r="X21" s="622"/>
    </row>
    <row r="22" ht="15.75" customHeight="1">
      <c r="A22" s="654"/>
      <c r="B22" s="655"/>
      <c r="C22" s="637"/>
      <c r="D22" s="637"/>
      <c r="E22" s="638"/>
      <c r="F22" s="637"/>
      <c r="G22" s="637"/>
      <c r="H22" s="638"/>
      <c r="I22" s="639"/>
      <c r="J22" s="640"/>
      <c r="K22" s="659"/>
      <c r="L22" s="708"/>
      <c r="M22" s="708"/>
      <c r="N22" s="708"/>
      <c r="O22" s="708"/>
      <c r="P22" s="708"/>
      <c r="Q22" s="708"/>
      <c r="R22" s="708"/>
      <c r="S22" s="622"/>
      <c r="T22" s="622"/>
      <c r="U22" s="622"/>
      <c r="V22" s="622"/>
      <c r="W22" s="622"/>
      <c r="X22" s="622"/>
    </row>
    <row r="23" ht="15.75" customHeight="1">
      <c r="A23" s="659"/>
      <c r="B23" s="660"/>
      <c r="C23" s="710"/>
      <c r="D23" s="710"/>
      <c r="E23" s="710"/>
      <c r="F23" s="710"/>
      <c r="G23" s="710"/>
      <c r="H23" s="710"/>
      <c r="I23" s="711"/>
      <c r="J23" s="712"/>
      <c r="K23" s="629"/>
      <c r="L23" s="713"/>
      <c r="M23" s="714"/>
      <c r="N23" s="714"/>
      <c r="O23" s="714"/>
      <c r="P23" s="714"/>
      <c r="Q23" s="714"/>
      <c r="R23" s="713"/>
      <c r="S23" s="622"/>
      <c r="T23" s="622"/>
      <c r="U23" s="622"/>
      <c r="V23" s="622"/>
      <c r="W23" s="622"/>
      <c r="X23" s="622"/>
    </row>
    <row r="24" ht="15.75" customHeight="1">
      <c r="A24" s="663"/>
      <c r="B24" s="715"/>
      <c r="C24" s="716"/>
      <c r="D24" s="716"/>
      <c r="E24" s="716"/>
      <c r="F24" s="716"/>
      <c r="G24" s="716"/>
      <c r="H24" s="716"/>
      <c r="I24" s="717"/>
      <c r="J24" s="622"/>
      <c r="K24" s="622"/>
      <c r="L24" s="718"/>
      <c r="M24" s="718"/>
      <c r="N24" s="718"/>
      <c r="O24" s="718"/>
      <c r="P24" s="718"/>
      <c r="Q24" s="718"/>
      <c r="R24" s="718"/>
      <c r="S24" s="622"/>
      <c r="T24" s="622"/>
      <c r="U24" s="622"/>
      <c r="V24" s="622"/>
      <c r="W24" s="622"/>
      <c r="X24" s="622"/>
    </row>
    <row r="25" ht="15.75" customHeight="1">
      <c r="A25" s="676"/>
      <c r="B25" s="719"/>
      <c r="C25" s="720"/>
      <c r="D25" s="721"/>
      <c r="E25" s="720"/>
      <c r="F25" s="721"/>
      <c r="G25" s="721"/>
      <c r="H25" s="720"/>
      <c r="I25" s="722"/>
      <c r="J25" s="622"/>
      <c r="K25" s="723"/>
      <c r="L25" s="724"/>
      <c r="M25" s="724"/>
      <c r="N25" s="724"/>
      <c r="O25" s="724"/>
      <c r="P25" s="724"/>
      <c r="Q25" s="724"/>
      <c r="R25" s="724"/>
      <c r="S25" s="622"/>
      <c r="T25" s="622"/>
      <c r="U25" s="622"/>
      <c r="V25" s="622"/>
      <c r="W25" s="622"/>
      <c r="X25" s="622"/>
    </row>
    <row r="26" ht="15.75" customHeight="1">
      <c r="A26" s="676"/>
      <c r="B26" s="677"/>
      <c r="C26" s="725"/>
      <c r="D26" s="725"/>
      <c r="E26" s="725"/>
      <c r="F26" s="725"/>
      <c r="G26" s="725"/>
      <c r="H26" s="725"/>
      <c r="I26" s="726"/>
      <c r="J26" s="622"/>
      <c r="K26" s="727"/>
      <c r="L26" s="728"/>
      <c r="M26" s="728"/>
      <c r="N26" s="728"/>
      <c r="O26" s="728"/>
      <c r="P26" s="728"/>
      <c r="Q26" s="728"/>
      <c r="R26" s="728"/>
      <c r="S26" s="622"/>
      <c r="T26" s="622"/>
      <c r="U26" s="622"/>
      <c r="V26" s="622"/>
      <c r="W26" s="622"/>
      <c r="X26" s="622"/>
    </row>
    <row r="27" ht="15.75" customHeight="1">
      <c r="A27" s="635"/>
      <c r="B27" s="636"/>
      <c r="C27" s="637"/>
      <c r="D27" s="637"/>
      <c r="E27" s="637"/>
      <c r="F27" s="637"/>
      <c r="G27" s="637"/>
      <c r="H27" s="637"/>
      <c r="I27" s="647"/>
      <c r="J27" s="622"/>
      <c r="K27" s="659"/>
      <c r="L27" s="724"/>
      <c r="M27" s="724"/>
      <c r="N27" s="724"/>
      <c r="O27" s="729" t="s">
        <v>784</v>
      </c>
      <c r="P27" s="729" t="s">
        <v>785</v>
      </c>
      <c r="Q27" s="724"/>
      <c r="R27" s="724"/>
      <c r="S27" s="622"/>
      <c r="T27" s="622"/>
      <c r="U27" s="622"/>
      <c r="V27" s="622"/>
      <c r="W27" s="622"/>
      <c r="X27" s="622"/>
    </row>
    <row r="28" ht="15.75" customHeight="1">
      <c r="A28" s="645"/>
      <c r="B28" s="646"/>
      <c r="C28" s="730"/>
      <c r="D28" s="730"/>
      <c r="E28" s="730"/>
      <c r="F28" s="730"/>
      <c r="G28" s="730"/>
      <c r="H28" s="730"/>
      <c r="I28" s="731"/>
      <c r="J28" s="622"/>
      <c r="K28" s="659"/>
      <c r="L28" s="732"/>
      <c r="M28" s="732"/>
      <c r="N28" s="732"/>
      <c r="O28" s="733" t="s">
        <v>646</v>
      </c>
      <c r="P28" s="733" t="s">
        <v>767</v>
      </c>
      <c r="Q28" s="732"/>
      <c r="R28" s="732"/>
      <c r="S28" s="622"/>
      <c r="T28" s="622"/>
      <c r="U28" s="622"/>
      <c r="V28" s="622"/>
      <c r="W28" s="622"/>
      <c r="X28" s="622"/>
    </row>
    <row r="29" ht="15.75" customHeight="1">
      <c r="A29" s="654"/>
      <c r="B29" s="655"/>
      <c r="C29" s="637"/>
      <c r="D29" s="637"/>
      <c r="E29" s="637"/>
      <c r="F29" s="637"/>
      <c r="G29" s="637"/>
      <c r="H29" s="637"/>
      <c r="I29" s="647"/>
      <c r="J29" s="622"/>
      <c r="K29" s="622"/>
      <c r="L29" s="734">
        <f>6+7</f>
        <v>13</v>
      </c>
      <c r="M29" s="734"/>
      <c r="N29" s="734"/>
      <c r="O29" s="624" t="s">
        <v>778</v>
      </c>
      <c r="P29" s="624" t="s">
        <v>656</v>
      </c>
      <c r="Q29" s="734"/>
      <c r="R29" s="734"/>
      <c r="S29" s="622"/>
      <c r="T29" s="622"/>
      <c r="U29" s="622"/>
      <c r="V29" s="622"/>
      <c r="W29" s="622"/>
      <c r="X29" s="622"/>
    </row>
    <row r="30" ht="15.75" customHeight="1">
      <c r="A30" s="659"/>
      <c r="B30" s="660"/>
      <c r="C30" s="637"/>
      <c r="D30" s="637"/>
      <c r="E30" s="637"/>
      <c r="F30" s="637"/>
      <c r="G30" s="637"/>
      <c r="H30" s="637"/>
      <c r="I30" s="647"/>
      <c r="J30" s="622"/>
      <c r="L30" s="735"/>
      <c r="M30" s="735"/>
      <c r="N30" s="735"/>
      <c r="O30" s="733" t="s">
        <v>771</v>
      </c>
      <c r="P30" s="733" t="s">
        <v>463</v>
      </c>
      <c r="Q30" s="735"/>
      <c r="R30" s="735"/>
      <c r="S30" s="622"/>
      <c r="T30" s="622"/>
      <c r="U30" s="622"/>
      <c r="V30" s="622"/>
      <c r="W30" s="622"/>
      <c r="X30" s="622"/>
    </row>
    <row r="31" ht="15.75" customHeight="1">
      <c r="A31" s="299"/>
      <c r="B31" s="736"/>
      <c r="C31" s="638"/>
      <c r="D31" s="637"/>
      <c r="E31" s="637"/>
      <c r="F31" s="637"/>
      <c r="G31" s="638"/>
      <c r="H31" s="638"/>
      <c r="I31" s="647"/>
      <c r="J31" s="622"/>
      <c r="L31" s="734"/>
      <c r="M31" s="734"/>
      <c r="N31" s="734"/>
      <c r="O31" s="624" t="s">
        <v>786</v>
      </c>
      <c r="P31" s="624" t="s">
        <v>484</v>
      </c>
      <c r="Q31" s="734"/>
      <c r="R31" s="734"/>
      <c r="S31" s="622"/>
      <c r="T31" s="622"/>
      <c r="U31" s="622"/>
      <c r="V31" s="622"/>
      <c r="W31" s="622"/>
      <c r="X31" s="622"/>
    </row>
    <row r="32" ht="15.75" customHeight="1">
      <c r="A32" s="676"/>
      <c r="B32" s="719"/>
      <c r="C32" s="737"/>
      <c r="D32" s="697"/>
      <c r="E32" s="697"/>
      <c r="F32" s="697"/>
      <c r="G32" s="737"/>
      <c r="H32" s="737"/>
      <c r="I32" s="698"/>
      <c r="J32" s="622"/>
      <c r="L32" s="735"/>
      <c r="M32" s="735"/>
      <c r="N32" s="735"/>
      <c r="O32" s="733" t="s">
        <v>787</v>
      </c>
      <c r="P32" s="733" t="s">
        <v>782</v>
      </c>
      <c r="Q32" s="735"/>
      <c r="R32" s="735"/>
      <c r="S32" s="622"/>
      <c r="T32" s="622"/>
      <c r="U32" s="622"/>
      <c r="V32" s="622"/>
      <c r="W32" s="622"/>
      <c r="X32" s="622"/>
    </row>
    <row r="33" ht="15.75" customHeight="1">
      <c r="J33" s="622"/>
      <c r="K33" s="676"/>
      <c r="N33" s="738"/>
      <c r="O33" s="624" t="s">
        <v>485</v>
      </c>
      <c r="P33" s="624" t="s">
        <v>770</v>
      </c>
      <c r="Q33" s="738"/>
      <c r="R33" s="738"/>
      <c r="S33" s="686"/>
      <c r="T33" s="686"/>
      <c r="U33" s="686"/>
      <c r="V33" s="686"/>
      <c r="W33" s="686"/>
      <c r="X33" s="686"/>
    </row>
    <row r="34" ht="15.75" customHeight="1">
      <c r="J34" s="629"/>
      <c r="K34" s="739"/>
      <c r="L34" s="732"/>
      <c r="M34" s="732"/>
      <c r="N34" s="732"/>
      <c r="O34" s="733" t="s">
        <v>653</v>
      </c>
      <c r="P34" s="733" t="s">
        <v>652</v>
      </c>
      <c r="Q34" s="732"/>
      <c r="R34" s="732"/>
      <c r="S34" s="629"/>
      <c r="T34" s="629"/>
      <c r="U34" s="629"/>
      <c r="V34" s="629"/>
      <c r="W34" s="629"/>
      <c r="X34" s="629"/>
    </row>
    <row r="35" ht="15.75" customHeight="1">
      <c r="J35" s="629"/>
      <c r="K35" s="622"/>
      <c r="N35" s="740"/>
      <c r="O35" s="740"/>
      <c r="P35" s="740"/>
      <c r="Q35" s="740"/>
      <c r="R35" s="740"/>
      <c r="S35" s="629"/>
      <c r="T35" s="629"/>
      <c r="U35" s="629"/>
      <c r="V35" s="629"/>
      <c r="W35" s="629"/>
      <c r="X35" s="629"/>
    </row>
    <row r="36" ht="15.75" customHeight="1">
      <c r="A36" s="741"/>
      <c r="B36" s="741"/>
      <c r="C36" s="740"/>
      <c r="D36" s="740"/>
      <c r="E36" s="740"/>
      <c r="F36" s="740"/>
      <c r="G36" s="740"/>
      <c r="H36" s="740"/>
      <c r="I36" s="740"/>
      <c r="J36" s="629"/>
      <c r="K36" s="676"/>
      <c r="L36" s="742"/>
      <c r="M36" s="742"/>
      <c r="N36" s="742"/>
      <c r="O36" s="742"/>
      <c r="P36" s="742"/>
      <c r="Q36" s="742"/>
      <c r="R36" s="742"/>
      <c r="S36" s="629"/>
      <c r="T36" s="629"/>
      <c r="U36" s="629"/>
      <c r="V36" s="629"/>
      <c r="W36" s="629"/>
      <c r="X36" s="629"/>
    </row>
    <row r="37" ht="15.75" customHeight="1">
      <c r="A37" s="743"/>
      <c r="B37" s="743"/>
      <c r="C37" s="740"/>
      <c r="D37" s="740"/>
      <c r="E37" s="740"/>
      <c r="F37" s="740"/>
      <c r="G37" s="740"/>
      <c r="H37" s="740"/>
      <c r="I37" s="740"/>
      <c r="J37" s="629"/>
      <c r="K37" s="676"/>
      <c r="L37" s="744"/>
      <c r="M37" s="744"/>
      <c r="N37" s="744"/>
      <c r="O37" s="744"/>
      <c r="P37" s="744"/>
      <c r="Q37" s="744"/>
      <c r="R37" s="744"/>
      <c r="S37" s="629"/>
      <c r="T37" s="629"/>
      <c r="U37" s="629"/>
      <c r="V37" s="629"/>
      <c r="W37" s="629"/>
      <c r="X37" s="629"/>
    </row>
    <row r="38" ht="15.75" customHeight="1">
      <c r="A38" s="745"/>
      <c r="B38" s="745"/>
      <c r="C38" s="740"/>
      <c r="D38" s="740" t="s">
        <v>788</v>
      </c>
      <c r="E38" s="740" t="s">
        <v>789</v>
      </c>
      <c r="F38" s="740" t="s">
        <v>379</v>
      </c>
      <c r="G38" s="740"/>
      <c r="H38" s="740"/>
      <c r="I38" s="740"/>
      <c r="J38" s="629"/>
      <c r="K38" s="629"/>
      <c r="L38" s="629"/>
      <c r="M38" s="629"/>
      <c r="N38" s="629"/>
      <c r="O38" s="629"/>
      <c r="P38" s="629"/>
      <c r="Q38" s="629"/>
      <c r="R38" s="676"/>
      <c r="S38" s="629"/>
      <c r="T38" s="629"/>
      <c r="U38" s="629"/>
      <c r="V38" s="629"/>
      <c r="W38" s="629"/>
      <c r="X38" s="629"/>
    </row>
    <row r="39" ht="15.75" customHeight="1">
      <c r="A39" s="745"/>
      <c r="B39" s="745"/>
      <c r="C39" s="740"/>
      <c r="D39" s="740" t="s">
        <v>790</v>
      </c>
      <c r="E39" s="740" t="s">
        <v>791</v>
      </c>
      <c r="F39" s="740"/>
      <c r="G39" s="740"/>
      <c r="H39" s="740"/>
      <c r="I39" s="740"/>
      <c r="J39" s="629"/>
      <c r="K39" s="629"/>
      <c r="L39" s="629"/>
      <c r="M39" s="629"/>
      <c r="N39" s="629"/>
      <c r="O39" s="629"/>
      <c r="P39" s="629"/>
      <c r="Q39" s="629"/>
      <c r="R39" s="676"/>
      <c r="S39" s="629"/>
      <c r="T39" s="629"/>
      <c r="U39" s="629"/>
      <c r="V39" s="629"/>
      <c r="W39" s="629"/>
      <c r="X39" s="629"/>
    </row>
    <row r="40" ht="15.75" customHeight="1">
      <c r="A40" s="745"/>
      <c r="B40" s="745"/>
      <c r="C40" s="740"/>
      <c r="D40" s="740"/>
      <c r="E40" s="740"/>
      <c r="F40" s="740"/>
      <c r="G40" s="740"/>
      <c r="H40" s="740"/>
      <c r="I40" s="740"/>
      <c r="J40" s="629"/>
      <c r="K40" s="629"/>
      <c r="L40" s="629"/>
      <c r="M40" s="629"/>
      <c r="N40" s="629"/>
      <c r="O40" s="629"/>
      <c r="P40" s="629"/>
      <c r="Q40" s="629"/>
      <c r="R40" s="676"/>
      <c r="S40" s="629"/>
      <c r="T40" s="629"/>
      <c r="U40" s="629"/>
      <c r="V40" s="629"/>
      <c r="W40" s="629"/>
      <c r="X40" s="629"/>
    </row>
    <row r="41" ht="15.75" customHeight="1">
      <c r="A41" s="676"/>
      <c r="B41" s="676"/>
      <c r="C41" s="676"/>
      <c r="D41" s="746"/>
      <c r="E41" s="747"/>
      <c r="F41" s="676"/>
      <c r="G41" s="629"/>
      <c r="H41" s="629"/>
      <c r="I41" s="629"/>
      <c r="J41" s="629"/>
      <c r="K41" s="629"/>
      <c r="L41" s="629"/>
      <c r="M41" s="629"/>
      <c r="N41" s="629"/>
      <c r="O41" s="629"/>
      <c r="P41" s="629"/>
      <c r="Q41" s="629"/>
      <c r="R41" s="629"/>
      <c r="S41" s="629"/>
      <c r="T41" s="629"/>
      <c r="U41" s="629"/>
      <c r="V41" s="629"/>
      <c r="W41" s="629"/>
      <c r="X41" s="629"/>
    </row>
    <row r="42" ht="15.75" customHeight="1">
      <c r="A42" s="676"/>
      <c r="B42" s="676"/>
      <c r="C42" s="676"/>
      <c r="D42" s="746"/>
      <c r="E42" s="747"/>
      <c r="F42" s="676"/>
      <c r="G42" s="629"/>
      <c r="H42" s="629"/>
      <c r="I42" s="629"/>
      <c r="J42" s="629"/>
    </row>
    <row r="43" ht="15.75" customHeight="1">
      <c r="A43" s="742" t="s">
        <v>792</v>
      </c>
      <c r="B43" s="742" t="s">
        <v>380</v>
      </c>
      <c r="C43" s="742" t="s">
        <v>793</v>
      </c>
      <c r="D43" s="748" t="s">
        <v>794</v>
      </c>
      <c r="E43" s="749" t="s">
        <v>383</v>
      </c>
      <c r="F43" s="742" t="s">
        <v>381</v>
      </c>
      <c r="G43" s="750" t="s">
        <v>795</v>
      </c>
      <c r="H43" s="629" t="s">
        <v>796</v>
      </c>
      <c r="I43" s="629"/>
      <c r="J43" s="629"/>
      <c r="S43" s="742"/>
    </row>
    <row r="44" ht="15.75" customHeight="1">
      <c r="A44" s="751"/>
      <c r="B44" s="752" t="s">
        <v>549</v>
      </c>
      <c r="C44" s="676" t="s">
        <v>122</v>
      </c>
      <c r="D44" s="753">
        <v>45740.0</v>
      </c>
      <c r="E44" s="754">
        <v>0.875</v>
      </c>
      <c r="F44" s="752" t="s">
        <v>399</v>
      </c>
      <c r="G44" s="750"/>
      <c r="H44" s="676" t="s">
        <v>151</v>
      </c>
      <c r="I44" s="629"/>
      <c r="J44" s="629"/>
      <c r="K44" s="629"/>
      <c r="L44" s="676"/>
      <c r="M44" s="676"/>
      <c r="N44" s="676"/>
      <c r="O44" s="676"/>
      <c r="P44" s="676"/>
      <c r="Q44" s="676"/>
      <c r="R44" s="629"/>
      <c r="S44" s="629"/>
      <c r="T44" s="629"/>
      <c r="U44" s="629"/>
      <c r="V44" s="629"/>
      <c r="W44" s="629"/>
      <c r="X44" s="629"/>
    </row>
    <row r="45" ht="15.75" customHeight="1">
      <c r="A45" s="751"/>
      <c r="B45" s="752" t="s">
        <v>549</v>
      </c>
      <c r="C45" s="676" t="s">
        <v>129</v>
      </c>
      <c r="D45" s="753">
        <v>45741.0</v>
      </c>
      <c r="E45" s="754">
        <v>0.875</v>
      </c>
      <c r="F45" s="752" t="s">
        <v>526</v>
      </c>
      <c r="G45" s="750"/>
      <c r="H45" s="676" t="s">
        <v>127</v>
      </c>
      <c r="I45" s="676"/>
      <c r="J45" s="676"/>
      <c r="K45" s="676"/>
      <c r="L45" s="676"/>
      <c r="M45" s="676"/>
      <c r="N45" s="676"/>
      <c r="O45" s="676"/>
      <c r="P45" s="676"/>
      <c r="Q45" s="676"/>
      <c r="R45" s="742"/>
      <c r="S45" s="742"/>
      <c r="T45" s="742"/>
      <c r="U45" s="742"/>
      <c r="V45" s="742"/>
      <c r="W45" s="742"/>
      <c r="X45" s="742"/>
    </row>
    <row r="46" ht="15.75" customHeight="1">
      <c r="A46" s="751"/>
      <c r="B46" s="752" t="s">
        <v>403</v>
      </c>
      <c r="C46" s="676" t="s">
        <v>129</v>
      </c>
      <c r="D46" s="753">
        <v>45741.0</v>
      </c>
      <c r="E46" s="754">
        <v>0.8333333333333334</v>
      </c>
      <c r="F46" s="752" t="s">
        <v>48</v>
      </c>
      <c r="G46" s="755"/>
      <c r="H46" s="676" t="s">
        <v>151</v>
      </c>
      <c r="I46" s="744"/>
      <c r="J46" s="744"/>
      <c r="K46" s="744"/>
      <c r="L46" s="744"/>
      <c r="M46" s="744"/>
      <c r="N46" s="744"/>
      <c r="O46" s="744"/>
      <c r="P46" s="744"/>
      <c r="Q46" s="676"/>
      <c r="R46" s="744"/>
      <c r="S46" s="756"/>
      <c r="T46" s="756"/>
      <c r="U46" s="756"/>
      <c r="V46" s="756"/>
      <c r="W46" s="756"/>
      <c r="X46" s="756"/>
    </row>
    <row r="47" ht="15.75" customHeight="1">
      <c r="A47" s="751"/>
      <c r="B47" s="752" t="s">
        <v>37</v>
      </c>
      <c r="C47" s="676" t="s">
        <v>134</v>
      </c>
      <c r="D47" s="753">
        <v>45742.0</v>
      </c>
      <c r="E47" s="754">
        <v>0.8333333333333334</v>
      </c>
      <c r="F47" s="752" t="s">
        <v>653</v>
      </c>
      <c r="G47" s="755"/>
      <c r="H47" s="676" t="s">
        <v>127</v>
      </c>
      <c r="I47" s="744"/>
      <c r="J47" s="744"/>
      <c r="K47" s="744"/>
      <c r="L47" s="744"/>
      <c r="M47" s="744"/>
      <c r="N47" s="744"/>
      <c r="O47" s="744"/>
      <c r="P47" s="744"/>
      <c r="Q47" s="744"/>
      <c r="R47" s="744"/>
      <c r="S47" s="756"/>
      <c r="T47" s="756"/>
      <c r="U47" s="756"/>
      <c r="V47" s="756"/>
      <c r="W47" s="756"/>
      <c r="X47" s="756"/>
    </row>
    <row r="48" ht="15.75" customHeight="1">
      <c r="A48" s="751"/>
      <c r="B48" s="752" t="s">
        <v>40</v>
      </c>
      <c r="C48" s="676" t="s">
        <v>134</v>
      </c>
      <c r="D48" s="753">
        <v>45742.0</v>
      </c>
      <c r="E48" s="754">
        <v>0.9166666666666666</v>
      </c>
      <c r="F48" s="752" t="s">
        <v>526</v>
      </c>
      <c r="G48" s="750"/>
      <c r="H48" s="676" t="s">
        <v>127</v>
      </c>
      <c r="I48" s="744"/>
      <c r="J48" s="744"/>
      <c r="K48" s="744"/>
      <c r="L48" s="744"/>
      <c r="M48" s="744"/>
      <c r="N48" s="744"/>
      <c r="O48" s="744"/>
      <c r="P48" s="744"/>
      <c r="Q48" s="676"/>
      <c r="R48" s="676"/>
      <c r="S48" s="756"/>
      <c r="T48" s="756"/>
      <c r="U48" s="756"/>
      <c r="V48" s="756"/>
      <c r="W48" s="756"/>
      <c r="X48" s="756"/>
    </row>
    <row r="49" ht="15.75" customHeight="1">
      <c r="A49" s="751"/>
      <c r="B49" s="752" t="s">
        <v>48</v>
      </c>
      <c r="C49" s="676" t="s">
        <v>141</v>
      </c>
      <c r="D49" s="753">
        <v>45743.0</v>
      </c>
      <c r="E49" s="754">
        <v>0.8125</v>
      </c>
      <c r="F49" s="752" t="s">
        <v>406</v>
      </c>
      <c r="G49" s="750"/>
      <c r="H49" s="676" t="s">
        <v>151</v>
      </c>
      <c r="I49" s="744"/>
      <c r="J49" s="744"/>
      <c r="K49" s="744"/>
      <c r="L49" s="744"/>
      <c r="M49" s="744"/>
      <c r="N49" s="744"/>
      <c r="O49" s="744"/>
      <c r="P49" s="744"/>
      <c r="Q49" s="744"/>
      <c r="R49" s="744"/>
      <c r="S49" s="756"/>
      <c r="T49" s="756"/>
      <c r="U49" s="756"/>
      <c r="V49" s="756"/>
      <c r="W49" s="756"/>
      <c r="X49" s="756"/>
    </row>
    <row r="50" ht="15.75" customHeight="1">
      <c r="A50" s="751"/>
      <c r="B50" s="752" t="s">
        <v>37</v>
      </c>
      <c r="C50" s="676" t="s">
        <v>145</v>
      </c>
      <c r="D50" s="753">
        <v>45744.0</v>
      </c>
      <c r="E50" s="757">
        <v>0.875</v>
      </c>
      <c r="F50" s="758" t="s">
        <v>526</v>
      </c>
      <c r="G50" s="759"/>
      <c r="H50" s="676" t="s">
        <v>151</v>
      </c>
      <c r="I50" s="744"/>
      <c r="J50" s="744"/>
      <c r="K50" s="744"/>
      <c r="L50" s="744"/>
      <c r="M50" s="744"/>
      <c r="N50" s="744"/>
      <c r="O50" s="744"/>
      <c r="P50" s="744"/>
      <c r="Q50" s="744"/>
      <c r="R50" s="676"/>
      <c r="S50" s="756"/>
      <c r="T50" s="756"/>
      <c r="U50" s="756"/>
      <c r="V50" s="756"/>
      <c r="W50" s="756"/>
      <c r="X50" s="756"/>
    </row>
    <row r="51" ht="15.75" customHeight="1">
      <c r="A51" s="751"/>
      <c r="B51" s="752" t="s">
        <v>452</v>
      </c>
      <c r="C51" s="676" t="s">
        <v>153</v>
      </c>
      <c r="D51" s="753">
        <v>45745.0</v>
      </c>
      <c r="E51" s="754">
        <v>0.7916666666666666</v>
      </c>
      <c r="F51" s="752" t="s">
        <v>399</v>
      </c>
      <c r="G51" s="755"/>
      <c r="H51" s="676" t="s">
        <v>127</v>
      </c>
      <c r="I51" s="744"/>
      <c r="J51" s="744"/>
      <c r="K51" s="744"/>
      <c r="L51" s="744"/>
      <c r="M51" s="744"/>
      <c r="N51" s="744"/>
      <c r="O51" s="744"/>
      <c r="P51" s="744"/>
      <c r="Q51" s="744"/>
      <c r="R51" s="744"/>
      <c r="S51" s="756"/>
      <c r="T51" s="756"/>
      <c r="U51" s="756"/>
      <c r="V51" s="756"/>
      <c r="W51" s="756"/>
      <c r="X51" s="756"/>
    </row>
    <row r="52" ht="15.75" customHeight="1">
      <c r="A52" s="751"/>
      <c r="B52" s="752" t="s">
        <v>444</v>
      </c>
      <c r="C52" s="676" t="s">
        <v>117</v>
      </c>
      <c r="D52" s="753">
        <v>45746.0</v>
      </c>
      <c r="E52" s="754">
        <v>0.8333333333333334</v>
      </c>
      <c r="F52" s="752" t="s">
        <v>403</v>
      </c>
      <c r="G52" s="750"/>
      <c r="H52" s="676" t="s">
        <v>151</v>
      </c>
      <c r="I52" s="744"/>
      <c r="J52" s="744"/>
      <c r="K52" s="744"/>
      <c r="L52" s="744"/>
      <c r="M52" s="744"/>
      <c r="N52" s="744"/>
      <c r="O52" s="676"/>
      <c r="P52" s="676"/>
      <c r="Q52" s="676"/>
      <c r="R52" s="744"/>
      <c r="S52" s="756"/>
      <c r="T52" s="756"/>
      <c r="U52" s="756"/>
      <c r="V52" s="756"/>
      <c r="W52" s="756"/>
      <c r="X52" s="756"/>
    </row>
    <row r="53" ht="15.75" customHeight="1">
      <c r="A53" s="751"/>
      <c r="B53" s="752" t="s">
        <v>444</v>
      </c>
      <c r="C53" s="676" t="s">
        <v>122</v>
      </c>
      <c r="D53" s="753">
        <v>45747.0</v>
      </c>
      <c r="E53" s="754">
        <v>0.8333333333333334</v>
      </c>
      <c r="F53" s="752" t="s">
        <v>414</v>
      </c>
      <c r="G53" s="750"/>
      <c r="H53" s="676" t="s">
        <v>151</v>
      </c>
      <c r="I53" s="676"/>
      <c r="J53" s="744"/>
      <c r="K53" s="676"/>
      <c r="L53" s="744"/>
      <c r="M53" s="744"/>
      <c r="N53" s="744"/>
      <c r="O53" s="676"/>
      <c r="P53" s="744"/>
      <c r="Q53" s="744"/>
      <c r="R53" s="676"/>
      <c r="S53" s="756"/>
      <c r="T53" s="756"/>
      <c r="U53" s="756"/>
      <c r="V53" s="756"/>
      <c r="W53" s="756"/>
      <c r="X53" s="756"/>
    </row>
    <row r="54" ht="15.75" customHeight="1">
      <c r="A54" s="751"/>
      <c r="B54" s="752" t="s">
        <v>403</v>
      </c>
      <c r="C54" s="676" t="s">
        <v>129</v>
      </c>
      <c r="D54" s="753">
        <v>45748.0</v>
      </c>
      <c r="E54" s="754">
        <v>0.8333333333333334</v>
      </c>
      <c r="F54" s="752" t="s">
        <v>406</v>
      </c>
      <c r="G54" s="755"/>
      <c r="H54" s="676" t="s">
        <v>127</v>
      </c>
      <c r="I54" s="676"/>
      <c r="J54" s="676"/>
      <c r="K54" s="676"/>
      <c r="L54" s="676"/>
      <c r="M54" s="676"/>
      <c r="N54" s="676"/>
      <c r="O54" s="676"/>
      <c r="P54" s="676"/>
      <c r="Q54" s="676"/>
      <c r="R54" s="676"/>
      <c r="S54" s="756"/>
      <c r="T54" s="756"/>
      <c r="U54" s="756"/>
      <c r="V54" s="756"/>
      <c r="W54" s="756"/>
      <c r="X54" s="756"/>
    </row>
    <row r="55" ht="15.75" customHeight="1">
      <c r="A55" s="751"/>
      <c r="B55" s="752" t="s">
        <v>37</v>
      </c>
      <c r="C55" s="676" t="s">
        <v>134</v>
      </c>
      <c r="D55" s="753">
        <v>45749.0</v>
      </c>
      <c r="E55" s="747">
        <v>0.875</v>
      </c>
      <c r="F55" s="752" t="s">
        <v>560</v>
      </c>
      <c r="G55" s="755"/>
      <c r="H55" s="676" t="s">
        <v>151</v>
      </c>
      <c r="I55" s="676"/>
      <c r="J55" s="676"/>
      <c r="K55" s="676"/>
      <c r="L55" s="676"/>
      <c r="M55" s="676"/>
      <c r="N55" s="676"/>
      <c r="O55" s="676"/>
      <c r="P55" s="629"/>
      <c r="Q55" s="756"/>
      <c r="R55" s="756"/>
      <c r="S55" s="756"/>
      <c r="T55" s="756"/>
      <c r="U55" s="756"/>
      <c r="V55" s="756"/>
      <c r="W55" s="756"/>
      <c r="X55" s="756"/>
    </row>
    <row r="56" ht="15.75" customHeight="1">
      <c r="A56" s="751"/>
      <c r="B56" s="752" t="s">
        <v>37</v>
      </c>
      <c r="C56" s="676" t="s">
        <v>141</v>
      </c>
      <c r="D56" s="753">
        <v>45750.0</v>
      </c>
      <c r="E56" s="754">
        <v>0.8333333333333334</v>
      </c>
      <c r="F56" s="752" t="s">
        <v>444</v>
      </c>
      <c r="G56" s="629"/>
      <c r="H56" s="676" t="s">
        <v>151</v>
      </c>
      <c r="I56" s="676"/>
      <c r="J56" s="676"/>
      <c r="K56" s="756"/>
      <c r="L56" s="676"/>
      <c r="M56" s="756"/>
      <c r="N56" s="676"/>
      <c r="O56" s="676"/>
      <c r="P56" s="629"/>
      <c r="Q56" s="676"/>
      <c r="R56" s="756"/>
      <c r="S56" s="756"/>
      <c r="T56" s="756"/>
      <c r="U56" s="756"/>
      <c r="V56" s="756"/>
      <c r="W56" s="756"/>
      <c r="X56" s="756"/>
    </row>
    <row r="57" ht="15.75" customHeight="1">
      <c r="A57" s="751"/>
      <c r="B57" s="752" t="s">
        <v>37</v>
      </c>
      <c r="C57" s="676" t="s">
        <v>145</v>
      </c>
      <c r="D57" s="753">
        <v>45751.0</v>
      </c>
      <c r="E57" s="754">
        <v>0.8333333333333334</v>
      </c>
      <c r="F57" s="752" t="s">
        <v>406</v>
      </c>
      <c r="G57" s="629"/>
      <c r="H57" s="676" t="s">
        <v>151</v>
      </c>
      <c r="I57" s="742"/>
      <c r="J57" s="742"/>
      <c r="K57" s="742"/>
      <c r="L57" s="742"/>
      <c r="M57" s="742"/>
      <c r="N57" s="742"/>
      <c r="O57" s="742"/>
      <c r="P57" s="629"/>
      <c r="Q57" s="629"/>
      <c r="R57" s="629"/>
      <c r="S57" s="629"/>
      <c r="T57" s="629"/>
      <c r="U57" s="629"/>
      <c r="V57" s="629"/>
      <c r="W57" s="629"/>
      <c r="X57" s="629"/>
    </row>
    <row r="58" ht="15.75" customHeight="1">
      <c r="A58" s="751"/>
      <c r="B58" s="752" t="s">
        <v>452</v>
      </c>
      <c r="C58" s="676" t="s">
        <v>153</v>
      </c>
      <c r="D58" s="753">
        <v>45752.0</v>
      </c>
      <c r="E58" s="754">
        <v>0.7916666666666666</v>
      </c>
      <c r="F58" s="752" t="s">
        <v>414</v>
      </c>
      <c r="G58" s="750"/>
      <c r="H58" s="676" t="s">
        <v>127</v>
      </c>
      <c r="I58" s="676"/>
      <c r="J58" s="676"/>
      <c r="K58" s="676"/>
      <c r="L58" s="676"/>
      <c r="M58" s="676"/>
      <c r="N58" s="676"/>
      <c r="O58" s="676"/>
      <c r="P58" s="629"/>
      <c r="Q58" s="629"/>
      <c r="R58" s="629"/>
      <c r="S58" s="629"/>
      <c r="T58" s="629"/>
      <c r="U58" s="629"/>
      <c r="V58" s="629"/>
      <c r="W58" s="629"/>
      <c r="X58" s="629"/>
    </row>
    <row r="59" ht="15.75" customHeight="1">
      <c r="A59" s="751"/>
      <c r="B59" s="752" t="s">
        <v>444</v>
      </c>
      <c r="C59" s="676" t="s">
        <v>117</v>
      </c>
      <c r="D59" s="753">
        <v>45753.0</v>
      </c>
      <c r="E59" s="754">
        <v>0.8333333333333334</v>
      </c>
      <c r="F59" s="752" t="s">
        <v>399</v>
      </c>
      <c r="G59" s="755"/>
      <c r="H59" s="676" t="s">
        <v>151</v>
      </c>
      <c r="I59" s="676"/>
      <c r="J59" s="676"/>
      <c r="K59" s="649" t="s">
        <v>37</v>
      </c>
      <c r="L59" s="649" t="s">
        <v>560</v>
      </c>
      <c r="M59" s="649" t="s">
        <v>496</v>
      </c>
      <c r="N59" s="649" t="s">
        <v>767</v>
      </c>
      <c r="O59" s="649" t="s">
        <v>770</v>
      </c>
      <c r="P59" s="649" t="s">
        <v>771</v>
      </c>
      <c r="Q59" s="649" t="s">
        <v>774</v>
      </c>
      <c r="R59" s="649" t="s">
        <v>777</v>
      </c>
      <c r="S59" s="649" t="s">
        <v>646</v>
      </c>
      <c r="T59" s="649" t="s">
        <v>778</v>
      </c>
      <c r="U59" s="649" t="s">
        <v>463</v>
      </c>
      <c r="V59" s="649" t="s">
        <v>485</v>
      </c>
      <c r="W59" s="703" t="s">
        <v>653</v>
      </c>
      <c r="X59" s="704" t="s">
        <v>423</v>
      </c>
    </row>
    <row r="60" ht="15.75" customHeight="1">
      <c r="A60" s="751"/>
      <c r="B60" s="752" t="s">
        <v>444</v>
      </c>
      <c r="C60" s="676" t="s">
        <v>122</v>
      </c>
      <c r="D60" s="753">
        <v>45754.0</v>
      </c>
      <c r="E60" s="754">
        <v>0.8333333333333334</v>
      </c>
      <c r="F60" s="752" t="s">
        <v>406</v>
      </c>
      <c r="G60" s="755"/>
      <c r="H60" s="676" t="s">
        <v>151</v>
      </c>
      <c r="I60" s="676"/>
      <c r="J60" s="649" t="s">
        <v>37</v>
      </c>
      <c r="K60" s="683" t="s">
        <v>764</v>
      </c>
      <c r="L60" s="683" t="s">
        <v>764</v>
      </c>
      <c r="M60" s="683" t="s">
        <v>764</v>
      </c>
      <c r="N60" s="683" t="s">
        <v>764</v>
      </c>
      <c r="O60" s="683" t="s">
        <v>764</v>
      </c>
      <c r="P60" s="683" t="s">
        <v>764</v>
      </c>
      <c r="Q60" s="683" t="s">
        <v>764</v>
      </c>
      <c r="R60" s="683" t="s">
        <v>764</v>
      </c>
      <c r="S60" s="683" t="s">
        <v>764</v>
      </c>
      <c r="T60" s="683" t="s">
        <v>764</v>
      </c>
      <c r="U60" s="683" t="s">
        <v>764</v>
      </c>
      <c r="V60" s="683" t="s">
        <v>764</v>
      </c>
      <c r="W60" s="683" t="s">
        <v>764</v>
      </c>
      <c r="X60" s="683" t="s">
        <v>764</v>
      </c>
    </row>
    <row r="61" ht="15.75" customHeight="1">
      <c r="A61" s="751"/>
      <c r="B61" s="752" t="s">
        <v>43</v>
      </c>
      <c r="C61" s="676" t="s">
        <v>122</v>
      </c>
      <c r="D61" s="753">
        <v>45754.0</v>
      </c>
      <c r="E61" s="754">
        <v>0.875</v>
      </c>
      <c r="F61" s="752" t="s">
        <v>526</v>
      </c>
      <c r="G61" s="755"/>
      <c r="H61" s="676" t="s">
        <v>151</v>
      </c>
      <c r="I61" s="676"/>
      <c r="J61" s="649" t="s">
        <v>560</v>
      </c>
      <c r="K61" s="103" t="s">
        <v>797</v>
      </c>
      <c r="L61" s="683" t="s">
        <v>764</v>
      </c>
      <c r="M61" s="683" t="s">
        <v>764</v>
      </c>
      <c r="N61" s="683" t="s">
        <v>764</v>
      </c>
      <c r="O61" s="683" t="s">
        <v>764</v>
      </c>
      <c r="P61" s="683" t="s">
        <v>764</v>
      </c>
      <c r="Q61" s="683" t="s">
        <v>764</v>
      </c>
      <c r="R61" s="683" t="s">
        <v>764</v>
      </c>
      <c r="S61" s="683" t="s">
        <v>764</v>
      </c>
      <c r="T61" s="683" t="s">
        <v>764</v>
      </c>
      <c r="U61" s="683" t="s">
        <v>764</v>
      </c>
      <c r="V61" s="683" t="s">
        <v>764</v>
      </c>
      <c r="W61" s="683" t="s">
        <v>764</v>
      </c>
      <c r="X61" s="683" t="s">
        <v>764</v>
      </c>
    </row>
    <row r="62" ht="15.75" customHeight="1">
      <c r="A62" s="751"/>
      <c r="B62" s="752" t="s">
        <v>399</v>
      </c>
      <c r="C62" s="676" t="s">
        <v>122</v>
      </c>
      <c r="D62" s="753">
        <v>45754.0</v>
      </c>
      <c r="E62" s="754">
        <v>0.7916666666666666</v>
      </c>
      <c r="F62" s="752" t="s">
        <v>48</v>
      </c>
      <c r="G62" s="755"/>
      <c r="H62" s="676" t="s">
        <v>151</v>
      </c>
      <c r="I62" s="676"/>
      <c r="J62" s="649" t="s">
        <v>496</v>
      </c>
      <c r="K62" s="191" t="s">
        <v>768</v>
      </c>
      <c r="L62" s="103" t="s">
        <v>797</v>
      </c>
      <c r="M62" s="683" t="s">
        <v>764</v>
      </c>
      <c r="N62" s="683" t="s">
        <v>764</v>
      </c>
      <c r="O62" s="683" t="s">
        <v>764</v>
      </c>
      <c r="P62" s="683" t="s">
        <v>764</v>
      </c>
      <c r="Q62" s="683" t="s">
        <v>764</v>
      </c>
      <c r="R62" s="683" t="s">
        <v>764</v>
      </c>
      <c r="S62" s="683" t="s">
        <v>764</v>
      </c>
      <c r="T62" s="683" t="s">
        <v>764</v>
      </c>
      <c r="U62" s="683" t="s">
        <v>764</v>
      </c>
      <c r="V62" s="683" t="s">
        <v>764</v>
      </c>
      <c r="W62" s="683" t="s">
        <v>764</v>
      </c>
      <c r="X62" s="683" t="s">
        <v>764</v>
      </c>
    </row>
    <row r="63" ht="15.75" customHeight="1">
      <c r="A63" s="751"/>
      <c r="B63" s="752" t="s">
        <v>37</v>
      </c>
      <c r="C63" s="676" t="s">
        <v>134</v>
      </c>
      <c r="D63" s="760">
        <v>45756.0</v>
      </c>
      <c r="E63" s="761">
        <v>0.875</v>
      </c>
      <c r="F63" s="752" t="s">
        <v>43</v>
      </c>
      <c r="G63" s="762"/>
      <c r="H63" s="676" t="s">
        <v>127</v>
      </c>
      <c r="I63" s="676"/>
      <c r="J63" s="649" t="s">
        <v>767</v>
      </c>
      <c r="K63" s="191" t="s">
        <v>768</v>
      </c>
      <c r="L63" s="191" t="s">
        <v>768</v>
      </c>
      <c r="M63" s="191" t="s">
        <v>768</v>
      </c>
      <c r="N63" s="683" t="s">
        <v>764</v>
      </c>
      <c r="O63" s="683" t="s">
        <v>764</v>
      </c>
      <c r="P63" s="683" t="s">
        <v>764</v>
      </c>
      <c r="Q63" s="683" t="s">
        <v>764</v>
      </c>
      <c r="R63" s="683" t="s">
        <v>764</v>
      </c>
      <c r="S63" s="683" t="s">
        <v>764</v>
      </c>
      <c r="T63" s="683" t="s">
        <v>764</v>
      </c>
      <c r="U63" s="683" t="s">
        <v>764</v>
      </c>
      <c r="V63" s="683" t="s">
        <v>764</v>
      </c>
      <c r="W63" s="683" t="s">
        <v>764</v>
      </c>
      <c r="X63" s="683" t="s">
        <v>764</v>
      </c>
    </row>
    <row r="64" ht="15.75" customHeight="1">
      <c r="A64" s="751"/>
      <c r="B64" s="752" t="s">
        <v>37</v>
      </c>
      <c r="C64" s="676" t="s">
        <v>141</v>
      </c>
      <c r="D64" s="753">
        <v>45757.0</v>
      </c>
      <c r="E64" s="761">
        <v>0.8333333333333334</v>
      </c>
      <c r="F64" s="752" t="s">
        <v>403</v>
      </c>
      <c r="G64" s="629"/>
      <c r="H64" s="676" t="s">
        <v>127</v>
      </c>
      <c r="I64" s="676"/>
      <c r="J64" s="649" t="s">
        <v>770</v>
      </c>
      <c r="K64" s="103" t="s">
        <v>797</v>
      </c>
      <c r="L64" s="191" t="s">
        <v>768</v>
      </c>
      <c r="M64" s="191" t="s">
        <v>768</v>
      </c>
      <c r="N64" s="191" t="s">
        <v>768</v>
      </c>
      <c r="O64" s="683" t="s">
        <v>764</v>
      </c>
      <c r="P64" s="683" t="s">
        <v>764</v>
      </c>
      <c r="Q64" s="683" t="s">
        <v>764</v>
      </c>
      <c r="R64" s="683" t="s">
        <v>764</v>
      </c>
      <c r="S64" s="683" t="s">
        <v>764</v>
      </c>
      <c r="T64" s="683" t="s">
        <v>764</v>
      </c>
      <c r="U64" s="683" t="s">
        <v>764</v>
      </c>
      <c r="V64" s="683" t="s">
        <v>764</v>
      </c>
      <c r="W64" s="683" t="s">
        <v>764</v>
      </c>
      <c r="X64" s="683" t="s">
        <v>764</v>
      </c>
    </row>
    <row r="65" ht="15.75" customHeight="1">
      <c r="A65" s="751"/>
      <c r="B65" s="752" t="s">
        <v>452</v>
      </c>
      <c r="C65" s="676" t="s">
        <v>153</v>
      </c>
      <c r="D65" s="753">
        <v>45759.0</v>
      </c>
      <c r="E65" s="754">
        <v>0.7916666666666666</v>
      </c>
      <c r="F65" s="752" t="s">
        <v>423</v>
      </c>
      <c r="G65" s="750"/>
      <c r="H65" s="676" t="s">
        <v>151</v>
      </c>
      <c r="I65" s="676"/>
      <c r="J65" s="649" t="s">
        <v>771</v>
      </c>
      <c r="K65" s="103" t="s">
        <v>797</v>
      </c>
      <c r="L65" s="103" t="s">
        <v>797</v>
      </c>
      <c r="M65" s="191" t="s">
        <v>768</v>
      </c>
      <c r="N65" s="191" t="s">
        <v>768</v>
      </c>
      <c r="O65" s="191" t="s">
        <v>768</v>
      </c>
      <c r="P65" s="683" t="s">
        <v>764</v>
      </c>
      <c r="Q65" s="683" t="s">
        <v>764</v>
      </c>
      <c r="R65" s="683" t="s">
        <v>764</v>
      </c>
      <c r="S65" s="683" t="s">
        <v>764</v>
      </c>
      <c r="T65" s="683" t="s">
        <v>764</v>
      </c>
      <c r="U65" s="683" t="s">
        <v>764</v>
      </c>
      <c r="V65" s="683" t="s">
        <v>764</v>
      </c>
      <c r="W65" s="683" t="s">
        <v>764</v>
      </c>
      <c r="X65" s="683" t="s">
        <v>764</v>
      </c>
    </row>
    <row r="66" ht="15.75" customHeight="1">
      <c r="A66" s="751"/>
      <c r="B66" s="752" t="s">
        <v>444</v>
      </c>
      <c r="C66" s="676" t="s">
        <v>117</v>
      </c>
      <c r="D66" s="753">
        <v>45760.0</v>
      </c>
      <c r="E66" s="754">
        <v>0.8333333333333334</v>
      </c>
      <c r="F66" s="752" t="s">
        <v>423</v>
      </c>
      <c r="G66" s="750"/>
      <c r="H66" s="676" t="s">
        <v>127</v>
      </c>
      <c r="I66" s="629"/>
      <c r="J66" s="649" t="s">
        <v>774</v>
      </c>
      <c r="K66" s="191" t="s">
        <v>768</v>
      </c>
      <c r="L66" s="191" t="s">
        <v>768</v>
      </c>
      <c r="M66" s="191" t="s">
        <v>768</v>
      </c>
      <c r="N66" s="191" t="s">
        <v>768</v>
      </c>
      <c r="O66" s="191" t="s">
        <v>768</v>
      </c>
      <c r="P66" s="191" t="s">
        <v>768</v>
      </c>
      <c r="Q66" s="683" t="s">
        <v>764</v>
      </c>
      <c r="R66" s="683" t="s">
        <v>764</v>
      </c>
      <c r="S66" s="683" t="s">
        <v>764</v>
      </c>
      <c r="T66" s="683" t="s">
        <v>764</v>
      </c>
      <c r="U66" s="683" t="s">
        <v>764</v>
      </c>
      <c r="V66" s="683" t="s">
        <v>764</v>
      </c>
      <c r="W66" s="683" t="s">
        <v>764</v>
      </c>
      <c r="X66" s="683" t="s">
        <v>764</v>
      </c>
    </row>
    <row r="67" ht="15.75" customHeight="1">
      <c r="A67" s="751"/>
      <c r="B67" s="752" t="s">
        <v>549</v>
      </c>
      <c r="C67" s="676" t="s">
        <v>122</v>
      </c>
      <c r="D67" s="753">
        <v>45761.0</v>
      </c>
      <c r="E67" s="754">
        <v>0.875</v>
      </c>
      <c r="F67" s="752" t="s">
        <v>43</v>
      </c>
      <c r="G67" s="750"/>
      <c r="H67" s="676" t="s">
        <v>151</v>
      </c>
      <c r="I67" s="763"/>
      <c r="J67" s="649" t="s">
        <v>652</v>
      </c>
      <c r="K67" s="103" t="s">
        <v>797</v>
      </c>
      <c r="L67" s="103" t="s">
        <v>797</v>
      </c>
      <c r="M67" s="103" t="s">
        <v>797</v>
      </c>
      <c r="N67" s="191" t="s">
        <v>768</v>
      </c>
      <c r="O67" s="191" t="s">
        <v>768</v>
      </c>
      <c r="P67" s="103" t="s">
        <v>797</v>
      </c>
      <c r="Q67" s="191" t="s">
        <v>768</v>
      </c>
      <c r="R67" s="683" t="s">
        <v>764</v>
      </c>
      <c r="S67" s="683" t="s">
        <v>764</v>
      </c>
      <c r="T67" s="683" t="s">
        <v>764</v>
      </c>
      <c r="U67" s="683" t="s">
        <v>764</v>
      </c>
      <c r="V67" s="683" t="s">
        <v>764</v>
      </c>
      <c r="W67" s="683" t="s">
        <v>764</v>
      </c>
      <c r="X67" s="683" t="s">
        <v>764</v>
      </c>
    </row>
    <row r="68" ht="15.75" customHeight="1">
      <c r="A68" s="751"/>
      <c r="B68" s="752" t="s">
        <v>444</v>
      </c>
      <c r="C68" s="676" t="s">
        <v>122</v>
      </c>
      <c r="D68" s="753">
        <v>45761.0</v>
      </c>
      <c r="E68" s="761">
        <v>0.8333333333333334</v>
      </c>
      <c r="F68" s="752" t="s">
        <v>48</v>
      </c>
      <c r="G68" s="755"/>
      <c r="H68" s="676" t="s">
        <v>127</v>
      </c>
      <c r="I68" s="742"/>
      <c r="J68" s="649" t="s">
        <v>646</v>
      </c>
      <c r="K68" s="103" t="s">
        <v>797</v>
      </c>
      <c r="L68" s="191" t="s">
        <v>768</v>
      </c>
      <c r="M68" s="191" t="s">
        <v>768</v>
      </c>
      <c r="N68" s="191" t="s">
        <v>768</v>
      </c>
      <c r="O68" s="103" t="s">
        <v>797</v>
      </c>
      <c r="P68" s="191" t="s">
        <v>768</v>
      </c>
      <c r="Q68" s="191" t="s">
        <v>768</v>
      </c>
      <c r="R68" s="191" t="s">
        <v>768</v>
      </c>
      <c r="S68" s="683" t="s">
        <v>764</v>
      </c>
      <c r="T68" s="683" t="s">
        <v>764</v>
      </c>
      <c r="U68" s="683" t="s">
        <v>764</v>
      </c>
      <c r="V68" s="683" t="s">
        <v>764</v>
      </c>
      <c r="W68" s="683" t="s">
        <v>764</v>
      </c>
      <c r="X68" s="683" t="s">
        <v>764</v>
      </c>
    </row>
    <row r="69" ht="15.75" customHeight="1">
      <c r="A69" s="751"/>
      <c r="B69" s="752" t="s">
        <v>399</v>
      </c>
      <c r="C69" s="676" t="s">
        <v>122</v>
      </c>
      <c r="D69" s="753">
        <v>45761.0</v>
      </c>
      <c r="E69" s="754">
        <v>0.8125</v>
      </c>
      <c r="F69" s="752" t="s">
        <v>414</v>
      </c>
      <c r="G69" s="750"/>
      <c r="H69" s="676" t="s">
        <v>127</v>
      </c>
      <c r="I69" s="676"/>
      <c r="J69" s="649" t="s">
        <v>778</v>
      </c>
      <c r="K69" s="191" t="s">
        <v>768</v>
      </c>
      <c r="L69" s="103" t="s">
        <v>797</v>
      </c>
      <c r="M69" s="191" t="s">
        <v>768</v>
      </c>
      <c r="N69" s="191" t="s">
        <v>768</v>
      </c>
      <c r="O69" s="103" t="s">
        <v>797</v>
      </c>
      <c r="P69" s="103" t="s">
        <v>797</v>
      </c>
      <c r="Q69" s="103" t="s">
        <v>797</v>
      </c>
      <c r="R69" s="103" t="s">
        <v>797</v>
      </c>
      <c r="S69" s="103" t="s">
        <v>797</v>
      </c>
      <c r="T69" s="683" t="s">
        <v>764</v>
      </c>
      <c r="U69" s="683" t="s">
        <v>764</v>
      </c>
      <c r="V69" s="683" t="s">
        <v>764</v>
      </c>
      <c r="W69" s="683" t="s">
        <v>764</v>
      </c>
      <c r="X69" s="683" t="s">
        <v>764</v>
      </c>
    </row>
    <row r="70" ht="15.75" customHeight="1">
      <c r="A70" s="751"/>
      <c r="B70" s="752" t="s">
        <v>549</v>
      </c>
      <c r="C70" s="676" t="s">
        <v>134</v>
      </c>
      <c r="D70" s="753">
        <v>45763.0</v>
      </c>
      <c r="E70" s="754">
        <v>0.9166666666666666</v>
      </c>
      <c r="F70" s="752" t="s">
        <v>40</v>
      </c>
      <c r="G70" s="750"/>
      <c r="H70" s="676" t="s">
        <v>127</v>
      </c>
      <c r="I70" s="676"/>
      <c r="J70" s="649" t="s">
        <v>463</v>
      </c>
      <c r="K70" s="103" t="s">
        <v>797</v>
      </c>
      <c r="L70" s="191" t="s">
        <v>768</v>
      </c>
      <c r="M70" s="191" t="s">
        <v>768</v>
      </c>
      <c r="N70" s="191" t="s">
        <v>768</v>
      </c>
      <c r="O70" s="103" t="s">
        <v>797</v>
      </c>
      <c r="P70" s="191" t="s">
        <v>768</v>
      </c>
      <c r="Q70" s="191" t="s">
        <v>768</v>
      </c>
      <c r="R70" s="191" t="s">
        <v>768</v>
      </c>
      <c r="S70" s="103" t="s">
        <v>797</v>
      </c>
      <c r="T70" s="103" t="s">
        <v>797</v>
      </c>
      <c r="U70" s="683" t="s">
        <v>764</v>
      </c>
      <c r="V70" s="683" t="s">
        <v>764</v>
      </c>
      <c r="W70" s="683" t="s">
        <v>764</v>
      </c>
      <c r="X70" s="683" t="s">
        <v>764</v>
      </c>
    </row>
    <row r="71" ht="15.75" customHeight="1">
      <c r="A71" s="751"/>
      <c r="B71" s="752" t="s">
        <v>37</v>
      </c>
      <c r="C71" s="676" t="s">
        <v>141</v>
      </c>
      <c r="D71" s="753">
        <v>45764.0</v>
      </c>
      <c r="E71" s="754">
        <v>0.8333333333333334</v>
      </c>
      <c r="F71" s="752" t="s">
        <v>48</v>
      </c>
      <c r="G71" s="750"/>
      <c r="H71" s="676" t="s">
        <v>151</v>
      </c>
      <c r="I71" s="676"/>
      <c r="J71" s="649" t="s">
        <v>485</v>
      </c>
      <c r="K71" s="103" t="s">
        <v>797</v>
      </c>
      <c r="L71" s="191" t="s">
        <v>768</v>
      </c>
      <c r="M71" s="191" t="s">
        <v>768</v>
      </c>
      <c r="N71" s="191" t="s">
        <v>768</v>
      </c>
      <c r="O71" s="103" t="s">
        <v>797</v>
      </c>
      <c r="P71" s="191" t="s">
        <v>768</v>
      </c>
      <c r="Q71" s="191" t="s">
        <v>768</v>
      </c>
      <c r="R71" s="191" t="s">
        <v>768</v>
      </c>
      <c r="S71" s="103" t="s">
        <v>797</v>
      </c>
      <c r="T71" s="103" t="s">
        <v>797</v>
      </c>
      <c r="U71" s="103" t="s">
        <v>797</v>
      </c>
      <c r="V71" s="683" t="s">
        <v>764</v>
      </c>
      <c r="W71" s="683" t="s">
        <v>764</v>
      </c>
      <c r="X71" s="683" t="s">
        <v>764</v>
      </c>
    </row>
    <row r="72" ht="15.75" customHeight="1">
      <c r="A72" s="751"/>
      <c r="B72" s="752" t="s">
        <v>526</v>
      </c>
      <c r="C72" s="676" t="s">
        <v>153</v>
      </c>
      <c r="D72" s="753">
        <v>45766.0</v>
      </c>
      <c r="E72" s="754">
        <v>0.875</v>
      </c>
      <c r="F72" s="752" t="s">
        <v>399</v>
      </c>
      <c r="G72" s="750"/>
      <c r="H72" s="676" t="s">
        <v>151</v>
      </c>
      <c r="I72" s="676"/>
      <c r="J72" s="703" t="s">
        <v>653</v>
      </c>
      <c r="K72" s="103" t="s">
        <v>797</v>
      </c>
      <c r="L72" s="191" t="s">
        <v>768</v>
      </c>
      <c r="M72" s="191" t="s">
        <v>768</v>
      </c>
      <c r="N72" s="191" t="s">
        <v>768</v>
      </c>
      <c r="O72" s="103" t="s">
        <v>797</v>
      </c>
      <c r="P72" s="191" t="s">
        <v>768</v>
      </c>
      <c r="Q72" s="103" t="s">
        <v>797</v>
      </c>
      <c r="R72" s="191" t="s">
        <v>768</v>
      </c>
      <c r="S72" s="191" t="s">
        <v>768</v>
      </c>
      <c r="T72" s="103" t="s">
        <v>797</v>
      </c>
      <c r="U72" s="103" t="s">
        <v>797</v>
      </c>
      <c r="V72" s="103" t="s">
        <v>797</v>
      </c>
      <c r="W72" s="683" t="s">
        <v>764</v>
      </c>
      <c r="X72" s="683" t="s">
        <v>764</v>
      </c>
    </row>
    <row r="73" ht="15.75" customHeight="1">
      <c r="A73" s="751"/>
      <c r="B73" s="752" t="s">
        <v>414</v>
      </c>
      <c r="C73" s="676" t="s">
        <v>153</v>
      </c>
      <c r="D73" s="753">
        <v>45766.0</v>
      </c>
      <c r="E73" s="754">
        <v>0.8125</v>
      </c>
      <c r="F73" s="752" t="s">
        <v>423</v>
      </c>
      <c r="G73" s="750"/>
      <c r="H73" s="676" t="s">
        <v>151</v>
      </c>
      <c r="I73" s="676"/>
      <c r="J73" s="704" t="s">
        <v>423</v>
      </c>
      <c r="K73" s="191" t="s">
        <v>768</v>
      </c>
      <c r="L73" s="191" t="s">
        <v>768</v>
      </c>
      <c r="M73" s="191" t="s">
        <v>768</v>
      </c>
      <c r="N73" s="191" t="s">
        <v>768</v>
      </c>
      <c r="O73" s="103" t="s">
        <v>797</v>
      </c>
      <c r="P73" s="191" t="s">
        <v>768</v>
      </c>
      <c r="Q73" s="103" t="s">
        <v>797</v>
      </c>
      <c r="R73" s="191" t="s">
        <v>768</v>
      </c>
      <c r="S73" s="103" t="s">
        <v>797</v>
      </c>
      <c r="T73" s="103" t="s">
        <v>797</v>
      </c>
      <c r="U73" s="191" t="s">
        <v>768</v>
      </c>
      <c r="V73" s="191" t="s">
        <v>768</v>
      </c>
      <c r="W73" s="103" t="s">
        <v>797</v>
      </c>
      <c r="X73" s="683" t="s">
        <v>764</v>
      </c>
    </row>
    <row r="74" ht="15.75" customHeight="1">
      <c r="A74" s="751"/>
      <c r="B74" s="752" t="s">
        <v>403</v>
      </c>
      <c r="C74" s="676" t="s">
        <v>117</v>
      </c>
      <c r="D74" s="753">
        <v>45767.0</v>
      </c>
      <c r="E74" s="754">
        <v>0.8333333333333334</v>
      </c>
      <c r="F74" s="752" t="s">
        <v>399</v>
      </c>
      <c r="G74" s="755"/>
      <c r="H74" s="676" t="s">
        <v>127</v>
      </c>
      <c r="I74" s="676"/>
      <c r="J74" s="676"/>
      <c r="K74" s="676"/>
      <c r="L74" s="744"/>
      <c r="M74" s="676"/>
      <c r="N74" s="744"/>
      <c r="O74" s="629"/>
      <c r="P74" s="676"/>
      <c r="Q74" s="744"/>
      <c r="R74" s="676"/>
      <c r="S74" s="676"/>
      <c r="T74" s="676"/>
      <c r="U74" s="676"/>
      <c r="V74" s="676"/>
      <c r="W74" s="676"/>
      <c r="X74" s="676"/>
    </row>
    <row r="75" ht="15.75" customHeight="1">
      <c r="A75" s="751"/>
      <c r="B75" s="752" t="s">
        <v>43</v>
      </c>
      <c r="C75" s="676" t="s">
        <v>122</v>
      </c>
      <c r="D75" s="753">
        <v>45768.0</v>
      </c>
      <c r="E75" s="754">
        <v>0.875</v>
      </c>
      <c r="F75" s="752" t="s">
        <v>399</v>
      </c>
      <c r="G75" s="750"/>
      <c r="H75" s="676" t="s">
        <v>127</v>
      </c>
      <c r="I75" s="744"/>
      <c r="J75" s="676"/>
      <c r="K75" s="744"/>
      <c r="L75" s="676"/>
      <c r="M75" s="744"/>
      <c r="N75" s="676"/>
      <c r="O75" s="629"/>
      <c r="P75" s="676"/>
      <c r="Q75" s="744"/>
      <c r="R75" s="744"/>
      <c r="S75" s="744"/>
      <c r="T75" s="744"/>
      <c r="U75" s="744"/>
      <c r="V75" s="744"/>
      <c r="W75" s="744"/>
      <c r="X75" s="744"/>
    </row>
    <row r="76" ht="15.75" customHeight="1">
      <c r="A76" s="751"/>
      <c r="B76" s="752" t="s">
        <v>406</v>
      </c>
      <c r="C76" s="676" t="s">
        <v>122</v>
      </c>
      <c r="D76" s="753">
        <v>45768.0</v>
      </c>
      <c r="E76" s="754">
        <v>0.8125</v>
      </c>
      <c r="F76" s="752" t="s">
        <v>414</v>
      </c>
      <c r="G76" s="750"/>
      <c r="H76" s="676" t="s">
        <v>127</v>
      </c>
      <c r="I76" s="676"/>
      <c r="J76" s="676"/>
      <c r="K76" s="676"/>
      <c r="L76" s="744"/>
      <c r="M76" s="744"/>
      <c r="N76" s="676"/>
      <c r="O76" s="629"/>
      <c r="P76" s="676"/>
      <c r="Q76" s="676"/>
      <c r="R76" s="676"/>
      <c r="S76" s="676"/>
      <c r="T76" s="676"/>
      <c r="U76" s="676"/>
      <c r="V76" s="676"/>
      <c r="W76" s="676"/>
      <c r="X76" s="676"/>
    </row>
    <row r="77" ht="15.75" customHeight="1">
      <c r="A77" s="751"/>
      <c r="B77" s="752" t="s">
        <v>403</v>
      </c>
      <c r="C77" s="676" t="s">
        <v>117</v>
      </c>
      <c r="D77" s="753">
        <v>45774.0</v>
      </c>
      <c r="E77" s="754">
        <v>0.8333333333333334</v>
      </c>
      <c r="F77" s="752" t="s">
        <v>423</v>
      </c>
      <c r="G77" s="755"/>
      <c r="H77" s="676" t="s">
        <v>151</v>
      </c>
      <c r="I77" s="676"/>
      <c r="J77" s="676"/>
      <c r="K77" s="676"/>
      <c r="L77" s="676"/>
      <c r="M77" s="744"/>
      <c r="N77" s="676"/>
      <c r="O77" s="629"/>
      <c r="P77" s="676"/>
      <c r="Q77" s="676"/>
      <c r="R77" s="676"/>
      <c r="S77" s="676"/>
      <c r="T77" s="676"/>
      <c r="U77" s="676"/>
      <c r="V77" s="676"/>
      <c r="W77" s="676"/>
      <c r="X77" s="676"/>
    </row>
    <row r="78" ht="15.75" customHeight="1">
      <c r="A78" s="751"/>
      <c r="B78" s="752" t="s">
        <v>48</v>
      </c>
      <c r="C78" s="676" t="s">
        <v>122</v>
      </c>
      <c r="D78" s="753">
        <v>45775.0</v>
      </c>
      <c r="E78" s="754">
        <v>0.8125</v>
      </c>
      <c r="F78" s="752" t="s">
        <v>414</v>
      </c>
      <c r="G78" s="750"/>
      <c r="H78" s="676" t="s">
        <v>151</v>
      </c>
      <c r="I78" s="676"/>
      <c r="J78" s="676"/>
      <c r="K78" s="744"/>
      <c r="L78" s="676"/>
      <c r="M78" s="676"/>
      <c r="N78" s="676"/>
      <c r="O78" s="629"/>
      <c r="P78" s="676"/>
      <c r="Q78" s="676"/>
      <c r="R78" s="676"/>
      <c r="S78" s="676"/>
      <c r="T78" s="676"/>
      <c r="U78" s="676"/>
      <c r="V78" s="676"/>
      <c r="W78" s="676"/>
      <c r="X78" s="676"/>
    </row>
    <row r="79" ht="15.75" customHeight="1">
      <c r="A79" s="751"/>
      <c r="B79" s="752" t="s">
        <v>399</v>
      </c>
      <c r="C79" s="676" t="s">
        <v>153</v>
      </c>
      <c r="D79" s="753">
        <v>45780.0</v>
      </c>
      <c r="E79" s="754">
        <v>0.7916666666666666</v>
      </c>
      <c r="F79" s="752" t="s">
        <v>423</v>
      </c>
      <c r="G79" s="750"/>
      <c r="H79" s="676" t="s">
        <v>151</v>
      </c>
      <c r="I79" s="676"/>
      <c r="J79" s="676"/>
      <c r="K79" s="676"/>
      <c r="L79" s="676"/>
      <c r="M79" s="676"/>
      <c r="N79" s="676"/>
      <c r="O79" s="629"/>
      <c r="P79" s="676"/>
      <c r="Q79" s="676"/>
      <c r="R79" s="744"/>
      <c r="S79" s="676"/>
      <c r="T79" s="676"/>
      <c r="U79" s="676"/>
      <c r="V79" s="676"/>
      <c r="W79" s="676"/>
      <c r="X79" s="676"/>
    </row>
    <row r="80" ht="15.75" customHeight="1">
      <c r="A80" s="751"/>
      <c r="B80" s="758" t="s">
        <v>399</v>
      </c>
      <c r="C80" s="764" t="s">
        <v>122</v>
      </c>
      <c r="D80" s="760">
        <v>45782.0</v>
      </c>
      <c r="E80" s="754">
        <v>0.8125</v>
      </c>
      <c r="F80" s="758" t="s">
        <v>406</v>
      </c>
      <c r="G80" s="762"/>
      <c r="H80" s="676" t="s">
        <v>127</v>
      </c>
      <c r="I80" s="629"/>
      <c r="J80" s="629"/>
      <c r="K80" s="629"/>
      <c r="L80" s="629"/>
      <c r="M80" s="629"/>
      <c r="N80" s="629"/>
      <c r="O80" s="629"/>
      <c r="P80" s="629"/>
      <c r="Q80" s="765"/>
      <c r="R80" s="629"/>
      <c r="S80" s="629"/>
      <c r="T80" s="629"/>
      <c r="U80" s="629"/>
      <c r="V80" s="629"/>
      <c r="W80" s="629"/>
      <c r="X80" s="629"/>
    </row>
    <row r="81" ht="15.75" customHeight="1">
      <c r="A81" s="751"/>
      <c r="B81" s="752"/>
      <c r="C81" s="676"/>
      <c r="D81" s="753"/>
      <c r="E81" s="740"/>
      <c r="F81" s="752"/>
      <c r="G81" s="755"/>
      <c r="H81" s="676"/>
      <c r="I81" s="629"/>
      <c r="J81" s="629"/>
      <c r="K81" s="629"/>
      <c r="L81" s="629"/>
      <c r="M81" s="629"/>
      <c r="N81" s="629"/>
      <c r="O81" s="629"/>
      <c r="P81" s="629"/>
      <c r="Q81" s="765"/>
      <c r="R81" s="629"/>
      <c r="S81" s="629"/>
      <c r="T81" s="629"/>
      <c r="U81" s="629"/>
      <c r="V81" s="629"/>
      <c r="W81" s="629"/>
      <c r="X81" s="629"/>
    </row>
    <row r="82" ht="15.75" customHeight="1">
      <c r="A82" s="751"/>
      <c r="B82" s="752"/>
      <c r="C82" s="676"/>
      <c r="D82" s="753"/>
      <c r="E82" s="740"/>
      <c r="F82" s="752"/>
      <c r="G82" s="750"/>
      <c r="H82" s="676"/>
      <c r="I82" s="629"/>
      <c r="J82" s="629"/>
      <c r="K82" s="629"/>
      <c r="L82" s="629"/>
      <c r="M82" s="629"/>
      <c r="N82" s="629"/>
      <c r="O82" s="629"/>
      <c r="P82" s="629"/>
      <c r="Q82" s="765"/>
      <c r="R82" s="629"/>
      <c r="S82" s="629"/>
      <c r="T82" s="629"/>
      <c r="U82" s="629"/>
      <c r="V82" s="629"/>
      <c r="W82" s="629"/>
      <c r="X82" s="629"/>
    </row>
    <row r="83" ht="15.75" customHeight="1">
      <c r="A83" s="751"/>
      <c r="B83" s="752"/>
      <c r="C83" s="676"/>
      <c r="D83" s="753"/>
      <c r="E83" s="740"/>
      <c r="F83" s="752"/>
      <c r="G83" s="750"/>
      <c r="H83" s="676"/>
      <c r="I83" s="629"/>
      <c r="J83" s="629"/>
      <c r="K83" s="629"/>
      <c r="L83" s="629"/>
      <c r="M83" s="629"/>
      <c r="N83" s="629"/>
      <c r="O83" s="629"/>
      <c r="P83" s="629"/>
      <c r="Q83" s="765"/>
      <c r="R83" s="629"/>
      <c r="S83" s="629"/>
      <c r="T83" s="629"/>
      <c r="U83" s="629"/>
      <c r="V83" s="629"/>
      <c r="W83" s="629"/>
      <c r="X83" s="629"/>
    </row>
    <row r="84" ht="15.75" customHeight="1">
      <c r="A84" s="751"/>
      <c r="B84" s="752"/>
      <c r="C84" s="676"/>
      <c r="D84" s="753"/>
      <c r="E84" s="740"/>
      <c r="F84" s="752"/>
      <c r="G84" s="755"/>
      <c r="H84" s="676"/>
      <c r="I84" s="629"/>
      <c r="J84" s="629"/>
      <c r="K84" s="629"/>
      <c r="L84" s="629"/>
      <c r="M84" s="629"/>
      <c r="N84" s="629"/>
      <c r="O84" s="629"/>
      <c r="P84" s="629"/>
      <c r="Q84" s="629"/>
      <c r="R84" s="629"/>
      <c r="S84" s="629"/>
      <c r="T84" s="629"/>
      <c r="U84" s="629"/>
      <c r="V84" s="629"/>
      <c r="W84" s="629"/>
      <c r="X84" s="629"/>
    </row>
    <row r="85" ht="15.75" customHeight="1">
      <c r="A85" s="751"/>
      <c r="B85" s="752"/>
      <c r="C85" s="676"/>
      <c r="D85" s="753"/>
      <c r="E85" s="740"/>
      <c r="F85" s="752"/>
      <c r="G85" s="755"/>
      <c r="H85" s="676"/>
      <c r="I85" s="629"/>
      <c r="J85" s="629"/>
      <c r="K85" s="629"/>
      <c r="L85" s="629"/>
      <c r="M85" s="629"/>
      <c r="N85" s="629"/>
      <c r="O85" s="629"/>
      <c r="P85" s="629"/>
      <c r="Q85" s="765"/>
      <c r="R85" s="629"/>
      <c r="S85" s="629"/>
      <c r="T85" s="629"/>
      <c r="U85" s="629"/>
      <c r="V85" s="629"/>
      <c r="W85" s="629"/>
      <c r="X85" s="629"/>
    </row>
    <row r="86" ht="15.75" customHeight="1">
      <c r="A86" s="751"/>
      <c r="B86" s="752"/>
      <c r="C86" s="676"/>
      <c r="D86" s="753"/>
      <c r="E86" s="740"/>
      <c r="F86" s="752"/>
      <c r="G86" s="750"/>
      <c r="H86" s="676"/>
      <c r="I86" s="629"/>
      <c r="J86" s="629"/>
      <c r="K86" s="629"/>
      <c r="L86" s="629"/>
      <c r="M86" s="629"/>
      <c r="N86" s="629"/>
      <c r="O86" s="629"/>
      <c r="P86" s="629"/>
      <c r="Q86" s="766"/>
      <c r="R86" s="767"/>
      <c r="S86" s="629"/>
      <c r="T86" s="629"/>
      <c r="U86" s="629"/>
      <c r="V86" s="629"/>
      <c r="W86" s="629"/>
      <c r="X86" s="629"/>
    </row>
    <row r="87" ht="15.75" customHeight="1">
      <c r="A87" s="751"/>
      <c r="B87" s="752"/>
      <c r="C87" s="676"/>
      <c r="D87" s="753"/>
      <c r="E87" s="740"/>
      <c r="F87" s="752"/>
      <c r="G87" s="750"/>
      <c r="H87" s="676"/>
      <c r="I87" s="629"/>
      <c r="J87" s="629"/>
      <c r="K87" s="629"/>
      <c r="L87" s="629"/>
      <c r="M87" s="629"/>
      <c r="N87" s="629"/>
      <c r="O87" s="629"/>
      <c r="P87" s="629"/>
      <c r="Q87" s="766"/>
      <c r="R87" s="767"/>
      <c r="S87" s="629"/>
      <c r="T87" s="629"/>
      <c r="U87" s="629"/>
      <c r="V87" s="629"/>
      <c r="W87" s="629"/>
      <c r="X87" s="629"/>
    </row>
    <row r="88" ht="15.75" customHeight="1">
      <c r="A88" s="751"/>
      <c r="B88" s="752"/>
      <c r="C88" s="676"/>
      <c r="D88" s="753"/>
      <c r="E88" s="740"/>
      <c r="F88" s="752"/>
      <c r="G88" s="750"/>
      <c r="H88" s="676"/>
      <c r="I88" s="629"/>
      <c r="J88" s="629"/>
      <c r="K88" s="629"/>
      <c r="L88" s="629"/>
      <c r="M88" s="629"/>
      <c r="N88" s="629"/>
      <c r="O88" s="629"/>
      <c r="P88" s="629"/>
      <c r="Q88" s="766"/>
      <c r="R88" s="767"/>
      <c r="S88" s="629"/>
      <c r="T88" s="629"/>
      <c r="U88" s="629"/>
      <c r="V88" s="629"/>
      <c r="W88" s="629"/>
      <c r="X88" s="629"/>
    </row>
    <row r="89" ht="15.75" customHeight="1">
      <c r="A89" s="751"/>
      <c r="B89" s="752"/>
      <c r="C89" s="676"/>
      <c r="D89" s="753"/>
      <c r="E89" s="740"/>
      <c r="F89" s="752"/>
      <c r="G89" s="755"/>
      <c r="H89" s="676"/>
      <c r="I89" s="629"/>
      <c r="J89" s="629"/>
      <c r="K89" s="629"/>
      <c r="L89" s="629"/>
      <c r="M89" s="629"/>
      <c r="N89" s="629"/>
      <c r="O89" s="629"/>
      <c r="P89" s="629"/>
      <c r="Q89" s="629"/>
      <c r="R89" s="629"/>
      <c r="S89" s="629"/>
      <c r="T89" s="629"/>
      <c r="U89" s="629"/>
      <c r="V89" s="629"/>
      <c r="W89" s="629"/>
      <c r="X89" s="629"/>
    </row>
    <row r="90" ht="15.75" customHeight="1">
      <c r="A90" s="751"/>
      <c r="B90" s="752"/>
      <c r="C90" s="676"/>
      <c r="D90" s="753"/>
      <c r="E90" s="740"/>
      <c r="F90" s="752"/>
      <c r="G90" s="750"/>
      <c r="H90" s="676"/>
      <c r="I90" s="629"/>
      <c r="J90" s="629"/>
      <c r="K90" s="629"/>
      <c r="L90" s="629"/>
      <c r="M90" s="629"/>
      <c r="N90" s="629"/>
      <c r="O90" s="629"/>
      <c r="P90" s="629"/>
      <c r="Q90" s="629"/>
      <c r="R90" s="629"/>
      <c r="S90" s="629"/>
      <c r="T90" s="629"/>
      <c r="U90" s="629"/>
      <c r="V90" s="629"/>
      <c r="W90" s="629"/>
      <c r="X90" s="629"/>
    </row>
    <row r="91" ht="15.75" customHeight="1">
      <c r="A91" s="751"/>
      <c r="B91" s="752"/>
      <c r="C91" s="676"/>
      <c r="D91" s="753"/>
      <c r="E91" s="740"/>
      <c r="F91" s="752"/>
      <c r="G91" s="755"/>
      <c r="H91" s="676"/>
      <c r="I91" s="629"/>
      <c r="J91" s="629"/>
      <c r="K91" s="629"/>
      <c r="L91" s="629"/>
      <c r="M91" s="629"/>
      <c r="N91" s="629"/>
      <c r="O91" s="629"/>
      <c r="P91" s="629"/>
      <c r="Q91" s="629"/>
      <c r="R91" s="629"/>
      <c r="S91" s="629"/>
      <c r="T91" s="629"/>
      <c r="U91" s="629"/>
      <c r="V91" s="629"/>
      <c r="W91" s="629"/>
      <c r="X91" s="629"/>
    </row>
    <row r="92" ht="15.75" customHeight="1">
      <c r="A92" s="751"/>
      <c r="B92" s="752"/>
      <c r="C92" s="676"/>
      <c r="D92" s="753"/>
      <c r="E92" s="740"/>
      <c r="F92" s="752"/>
      <c r="G92" s="750"/>
      <c r="H92" s="676"/>
      <c r="I92" s="629"/>
      <c r="J92" s="629"/>
      <c r="K92" s="629"/>
      <c r="L92" s="629"/>
      <c r="M92" s="629"/>
      <c r="N92" s="629"/>
      <c r="O92" s="629"/>
      <c r="P92" s="629"/>
      <c r="Q92" s="629"/>
      <c r="R92" s="629"/>
      <c r="S92" s="629"/>
      <c r="T92" s="629"/>
      <c r="U92" s="629"/>
      <c r="V92" s="629"/>
      <c r="W92" s="629"/>
      <c r="X92" s="629"/>
    </row>
    <row r="93" ht="15.75" customHeight="1">
      <c r="A93" s="751"/>
      <c r="B93" s="752"/>
      <c r="C93" s="676"/>
      <c r="D93" s="753"/>
      <c r="E93" s="740"/>
      <c r="F93" s="752"/>
      <c r="G93" s="750"/>
      <c r="H93" s="676"/>
      <c r="I93" s="629"/>
      <c r="J93" s="629"/>
      <c r="K93" s="629"/>
      <c r="L93" s="629"/>
      <c r="M93" s="629"/>
      <c r="N93" s="629"/>
      <c r="O93" s="629"/>
      <c r="P93" s="629"/>
      <c r="Q93" s="629"/>
      <c r="R93" s="629"/>
      <c r="S93" s="629"/>
      <c r="T93" s="629"/>
      <c r="U93" s="629"/>
      <c r="V93" s="629"/>
      <c r="W93" s="629"/>
      <c r="X93" s="629"/>
    </row>
    <row r="94" ht="15.75" customHeight="1">
      <c r="A94" s="751"/>
      <c r="B94" s="752"/>
      <c r="C94" s="676"/>
      <c r="D94" s="753"/>
      <c r="E94" s="740"/>
      <c r="F94" s="752"/>
      <c r="G94" s="750"/>
      <c r="H94" s="676"/>
      <c r="I94" s="629"/>
      <c r="J94" s="629"/>
      <c r="K94" s="629"/>
      <c r="L94" s="629"/>
      <c r="M94" s="629"/>
      <c r="N94" s="629"/>
      <c r="O94" s="629"/>
      <c r="P94" s="629"/>
      <c r="Q94" s="629"/>
      <c r="R94" s="629"/>
      <c r="S94" s="629"/>
      <c r="T94" s="629"/>
      <c r="U94" s="629"/>
      <c r="V94" s="629"/>
      <c r="W94" s="629"/>
      <c r="X94" s="629"/>
    </row>
    <row r="95" ht="15.75" customHeight="1">
      <c r="A95" s="751"/>
      <c r="B95" s="752"/>
      <c r="C95" s="676"/>
      <c r="D95" s="753"/>
      <c r="E95" s="740"/>
      <c r="F95" s="752"/>
      <c r="G95" s="750"/>
      <c r="H95" s="676"/>
      <c r="I95" s="629"/>
      <c r="J95" s="629"/>
      <c r="K95" s="629"/>
      <c r="L95" s="629"/>
      <c r="M95" s="629"/>
      <c r="N95" s="629"/>
      <c r="O95" s="629"/>
      <c r="P95" s="629"/>
      <c r="Q95" s="629"/>
      <c r="R95" s="629"/>
      <c r="S95" s="629"/>
      <c r="T95" s="629"/>
      <c r="U95" s="629"/>
      <c r="V95" s="629"/>
      <c r="W95" s="629"/>
      <c r="X95" s="629"/>
    </row>
    <row r="96" ht="15.75" customHeight="1">
      <c r="A96" s="751"/>
      <c r="B96" s="758"/>
      <c r="C96" s="764"/>
      <c r="D96" s="760"/>
      <c r="E96" s="768"/>
      <c r="F96" s="758"/>
      <c r="G96" s="762"/>
      <c r="H96" s="676"/>
      <c r="I96" s="629"/>
      <c r="J96" s="629"/>
      <c r="K96" s="629"/>
      <c r="L96" s="629"/>
      <c r="M96" s="629"/>
      <c r="N96" s="629"/>
      <c r="O96" s="629"/>
      <c r="P96" s="629"/>
      <c r="Q96" s="629"/>
      <c r="R96" s="629"/>
      <c r="S96" s="629"/>
      <c r="T96" s="629"/>
      <c r="U96" s="629"/>
      <c r="V96" s="629"/>
      <c r="W96" s="629"/>
      <c r="X96" s="629"/>
    </row>
    <row r="97" ht="15.75" customHeight="1">
      <c r="A97" s="751"/>
      <c r="B97" s="752"/>
      <c r="C97" s="676"/>
      <c r="D97" s="740"/>
      <c r="E97" s="740"/>
      <c r="F97" s="752"/>
      <c r="G97" s="750"/>
      <c r="H97" s="676"/>
      <c r="I97" s="629"/>
      <c r="J97" s="629"/>
      <c r="K97" s="629"/>
      <c r="L97" s="629"/>
      <c r="M97" s="629"/>
      <c r="N97" s="629"/>
      <c r="O97" s="629"/>
      <c r="P97" s="629"/>
      <c r="Q97" s="629"/>
      <c r="R97" s="629"/>
      <c r="S97" s="629"/>
      <c r="T97" s="629"/>
      <c r="U97" s="629"/>
      <c r="V97" s="629"/>
      <c r="W97" s="629"/>
      <c r="X97" s="629"/>
    </row>
    <row r="98" ht="15.75" customHeight="1">
      <c r="A98" s="751"/>
      <c r="B98" s="752"/>
      <c r="C98" s="676"/>
      <c r="D98" s="740"/>
      <c r="E98" s="740"/>
      <c r="F98" s="752"/>
      <c r="G98" s="755"/>
      <c r="H98" s="676"/>
      <c r="I98" s="629"/>
      <c r="J98" s="629"/>
      <c r="K98" s="629"/>
      <c r="L98" s="629"/>
      <c r="M98" s="629"/>
      <c r="N98" s="629"/>
      <c r="O98" s="629"/>
      <c r="P98" s="629"/>
      <c r="Q98" s="629"/>
      <c r="R98" s="629"/>
      <c r="S98" s="629"/>
      <c r="T98" s="629"/>
      <c r="U98" s="629"/>
      <c r="V98" s="629"/>
      <c r="W98" s="629"/>
      <c r="X98" s="629"/>
    </row>
    <row r="99" ht="15.75" customHeight="1">
      <c r="A99" s="751"/>
      <c r="B99" s="752"/>
      <c r="C99" s="676"/>
      <c r="D99" s="740"/>
      <c r="E99" s="740"/>
      <c r="F99" s="752"/>
      <c r="G99" s="750"/>
      <c r="H99" s="676"/>
      <c r="I99" s="629"/>
      <c r="J99" s="629"/>
      <c r="K99" s="629"/>
      <c r="L99" s="629"/>
      <c r="M99" s="629"/>
      <c r="N99" s="629"/>
      <c r="O99" s="629"/>
      <c r="P99" s="629"/>
      <c r="Q99" s="629"/>
      <c r="R99" s="629"/>
      <c r="S99" s="629"/>
      <c r="T99" s="629"/>
      <c r="U99" s="629"/>
      <c r="V99" s="629"/>
      <c r="W99" s="629"/>
      <c r="X99" s="629"/>
    </row>
    <row r="100" ht="15.75" customHeight="1">
      <c r="A100" s="751"/>
      <c r="B100" s="752"/>
      <c r="C100" s="676"/>
      <c r="D100" s="740"/>
      <c r="E100" s="740"/>
      <c r="F100" s="752"/>
      <c r="G100" s="750"/>
      <c r="H100" s="676"/>
      <c r="I100" s="629"/>
      <c r="J100" s="629"/>
      <c r="K100" s="629"/>
      <c r="L100" s="629"/>
      <c r="M100" s="629"/>
      <c r="N100" s="629"/>
      <c r="O100" s="629"/>
      <c r="P100" s="629"/>
      <c r="Q100" s="629"/>
      <c r="R100" s="629"/>
      <c r="S100" s="629"/>
      <c r="T100" s="629"/>
      <c r="U100" s="629"/>
      <c r="V100" s="629"/>
      <c r="W100" s="629"/>
      <c r="X100" s="629"/>
    </row>
    <row r="101" ht="15.75" customHeight="1">
      <c r="A101" s="751"/>
      <c r="B101" s="752"/>
      <c r="C101" s="676"/>
      <c r="D101" s="740"/>
      <c r="E101" s="740"/>
      <c r="F101" s="752"/>
      <c r="G101" s="750"/>
      <c r="H101" s="676"/>
      <c r="I101" s="629"/>
      <c r="J101" s="629"/>
      <c r="K101" s="629"/>
      <c r="L101" s="629"/>
      <c r="M101" s="629"/>
      <c r="N101" s="629"/>
      <c r="O101" s="629"/>
      <c r="P101" s="629"/>
      <c r="Q101" s="629"/>
      <c r="R101" s="629"/>
      <c r="S101" s="629"/>
      <c r="T101" s="629"/>
      <c r="U101" s="629"/>
      <c r="V101" s="629"/>
      <c r="W101" s="629"/>
      <c r="X101" s="629"/>
    </row>
    <row r="102" ht="15.75" customHeight="1">
      <c r="A102" s="751"/>
      <c r="B102" s="752"/>
      <c r="C102" s="676"/>
      <c r="D102" s="740"/>
      <c r="E102" s="740"/>
      <c r="F102" s="752"/>
      <c r="G102" s="755"/>
      <c r="H102" s="676"/>
      <c r="I102" s="629"/>
      <c r="J102" s="629"/>
      <c r="K102" s="629"/>
      <c r="L102" s="629"/>
      <c r="M102" s="629"/>
      <c r="N102" s="629"/>
      <c r="O102" s="629"/>
      <c r="P102" s="629"/>
      <c r="Q102" s="629"/>
      <c r="R102" s="629"/>
      <c r="S102" s="629"/>
      <c r="T102" s="629"/>
      <c r="U102" s="629"/>
      <c r="V102" s="629"/>
      <c r="W102" s="629"/>
      <c r="X102" s="629"/>
    </row>
    <row r="103" ht="15.75" customHeight="1">
      <c r="A103" s="751"/>
      <c r="B103" s="752"/>
      <c r="C103" s="676"/>
      <c r="D103" s="740"/>
      <c r="E103" s="740"/>
      <c r="F103" s="752"/>
      <c r="G103" s="755"/>
      <c r="H103" s="676"/>
      <c r="I103" s="629"/>
      <c r="J103" s="629"/>
      <c r="K103" s="629"/>
      <c r="L103" s="629"/>
      <c r="M103" s="629"/>
      <c r="N103" s="629"/>
      <c r="O103" s="629"/>
      <c r="P103" s="629"/>
      <c r="Q103" s="629"/>
      <c r="R103" s="629"/>
      <c r="S103" s="629"/>
      <c r="T103" s="629"/>
      <c r="U103" s="629"/>
      <c r="V103" s="629"/>
      <c r="W103" s="629"/>
      <c r="X103" s="629"/>
    </row>
    <row r="104" ht="15.75" customHeight="1">
      <c r="A104" s="751"/>
      <c r="B104" s="752"/>
      <c r="C104" s="676"/>
      <c r="D104" s="740"/>
      <c r="E104" s="740"/>
      <c r="F104" s="752"/>
      <c r="G104" s="750"/>
      <c r="H104" s="676"/>
      <c r="I104" s="629"/>
      <c r="J104" s="629"/>
      <c r="K104" s="629"/>
      <c r="L104" s="629"/>
      <c r="M104" s="629"/>
      <c r="N104" s="629"/>
      <c r="O104" s="629"/>
      <c r="P104" s="629"/>
      <c r="Q104" s="629"/>
      <c r="R104" s="629"/>
      <c r="S104" s="629"/>
      <c r="T104" s="629"/>
      <c r="U104" s="629"/>
      <c r="V104" s="629"/>
      <c r="W104" s="629"/>
      <c r="X104" s="629"/>
    </row>
    <row r="105" ht="15.75" customHeight="1">
      <c r="A105" s="751"/>
      <c r="B105" s="752"/>
      <c r="C105" s="676"/>
      <c r="D105" s="740"/>
      <c r="E105" s="740"/>
      <c r="F105" s="752"/>
      <c r="G105" s="750"/>
      <c r="H105" s="676"/>
      <c r="I105" s="629"/>
      <c r="J105" s="629"/>
      <c r="K105" s="629"/>
      <c r="L105" s="629"/>
      <c r="M105" s="629"/>
      <c r="N105" s="629"/>
      <c r="O105" s="629"/>
      <c r="P105" s="629"/>
      <c r="Q105" s="629"/>
      <c r="R105" s="629"/>
      <c r="S105" s="629"/>
      <c r="T105" s="629"/>
      <c r="U105" s="629"/>
      <c r="V105" s="629"/>
      <c r="W105" s="629"/>
      <c r="X105" s="629"/>
    </row>
    <row r="106" ht="15.75" customHeight="1">
      <c r="A106" s="751"/>
      <c r="B106" s="769"/>
      <c r="C106" s="770"/>
      <c r="D106" s="771"/>
      <c r="E106" s="771"/>
      <c r="F106" s="769"/>
      <c r="G106" s="772"/>
      <c r="H106" s="770"/>
      <c r="I106" s="773"/>
      <c r="J106" s="773"/>
      <c r="K106" s="773"/>
      <c r="L106" s="773"/>
      <c r="M106" s="773"/>
      <c r="N106" s="773"/>
      <c r="O106" s="773"/>
      <c r="P106" s="773"/>
      <c r="Q106" s="773"/>
      <c r="R106" s="773"/>
      <c r="S106" s="773"/>
      <c r="T106" s="629"/>
      <c r="U106" s="629"/>
      <c r="V106" s="629"/>
      <c r="W106" s="629"/>
      <c r="X106" s="629"/>
    </row>
    <row r="107" ht="15.75" customHeight="1">
      <c r="A107" s="751"/>
      <c r="B107" s="774"/>
      <c r="C107" s="676"/>
      <c r="D107" s="740"/>
      <c r="E107" s="740"/>
      <c r="F107" s="774"/>
      <c r="G107" s="755"/>
      <c r="H107" s="629"/>
      <c r="I107" s="629"/>
      <c r="J107" s="629"/>
      <c r="K107" s="629"/>
      <c r="L107" s="629"/>
      <c r="M107" s="629"/>
      <c r="N107" s="629"/>
      <c r="O107" s="629"/>
      <c r="P107" s="629"/>
      <c r="Q107" s="629"/>
      <c r="R107" s="629"/>
      <c r="S107" s="629"/>
      <c r="T107" s="629"/>
      <c r="U107" s="629"/>
      <c r="V107" s="629"/>
      <c r="W107" s="629"/>
      <c r="X107" s="629"/>
    </row>
    <row r="108" ht="15.75" customHeight="1">
      <c r="A108" s="751"/>
      <c r="B108" s="752"/>
      <c r="C108" s="676"/>
      <c r="D108" s="740"/>
      <c r="E108" s="740"/>
      <c r="F108" s="752"/>
      <c r="G108" s="755"/>
      <c r="H108" s="629"/>
      <c r="I108" s="629"/>
      <c r="J108" s="629"/>
      <c r="K108" s="629"/>
      <c r="L108" s="629"/>
      <c r="M108" s="629"/>
      <c r="N108" s="629"/>
      <c r="O108" s="629"/>
      <c r="P108" s="629"/>
      <c r="Q108" s="629"/>
      <c r="R108" s="629"/>
      <c r="S108" s="629"/>
      <c r="T108" s="629"/>
      <c r="U108" s="629"/>
      <c r="V108" s="629"/>
      <c r="W108" s="629"/>
      <c r="X108" s="629"/>
    </row>
    <row r="109" ht="15.75" customHeight="1">
      <c r="A109" s="751"/>
      <c r="B109" s="752"/>
      <c r="C109" s="676"/>
      <c r="D109" s="740"/>
      <c r="E109" s="740"/>
      <c r="F109" s="752"/>
      <c r="G109" s="750"/>
      <c r="H109" s="629"/>
      <c r="I109" s="629"/>
      <c r="J109" s="629"/>
      <c r="K109" s="629"/>
      <c r="L109" s="629"/>
      <c r="M109" s="629"/>
      <c r="N109" s="629"/>
      <c r="O109" s="629"/>
      <c r="P109" s="629"/>
      <c r="Q109" s="629"/>
      <c r="R109" s="629"/>
      <c r="S109" s="629"/>
      <c r="T109" s="629"/>
      <c r="U109" s="629"/>
      <c r="V109" s="629"/>
      <c r="W109" s="629"/>
      <c r="X109" s="629"/>
    </row>
    <row r="110" ht="15.75" customHeight="1">
      <c r="A110" s="751"/>
      <c r="B110" s="752"/>
      <c r="C110" s="676"/>
      <c r="D110" s="740"/>
      <c r="E110" s="740"/>
      <c r="F110" s="752"/>
      <c r="G110" s="750"/>
      <c r="H110" s="629"/>
      <c r="I110" s="629"/>
      <c r="J110" s="629"/>
      <c r="K110" s="629"/>
      <c r="L110" s="629"/>
      <c r="M110" s="629"/>
      <c r="N110" s="629"/>
      <c r="O110" s="629"/>
      <c r="P110" s="629"/>
      <c r="Q110" s="629"/>
      <c r="R110" s="629"/>
      <c r="S110" s="629"/>
      <c r="T110" s="629"/>
      <c r="U110" s="629"/>
      <c r="V110" s="629"/>
      <c r="W110" s="629"/>
      <c r="X110" s="629"/>
    </row>
    <row r="111" ht="15.75" customHeight="1">
      <c r="A111" s="751"/>
      <c r="B111" s="752"/>
      <c r="C111" s="676"/>
      <c r="D111" s="740"/>
      <c r="E111" s="740"/>
      <c r="F111" s="752"/>
      <c r="G111" s="750"/>
      <c r="H111" s="629"/>
      <c r="I111" s="629"/>
      <c r="J111" s="629"/>
      <c r="K111" s="629"/>
      <c r="L111" s="629"/>
      <c r="M111" s="629"/>
      <c r="N111" s="629"/>
      <c r="O111" s="629"/>
      <c r="P111" s="629"/>
      <c r="Q111" s="629"/>
      <c r="R111" s="629"/>
      <c r="S111" s="629"/>
      <c r="T111" s="629"/>
      <c r="U111" s="629"/>
      <c r="V111" s="629"/>
      <c r="W111" s="629"/>
      <c r="X111" s="629"/>
    </row>
    <row r="112" ht="15.75" customHeight="1">
      <c r="A112" s="751"/>
      <c r="B112" s="752"/>
      <c r="C112" s="676"/>
      <c r="D112" s="740"/>
      <c r="E112" s="740"/>
      <c r="F112" s="752"/>
      <c r="G112" s="750"/>
      <c r="H112" s="629"/>
      <c r="I112" s="629"/>
      <c r="J112" s="629"/>
      <c r="K112" s="629"/>
      <c r="L112" s="629"/>
      <c r="M112" s="629"/>
      <c r="N112" s="629"/>
      <c r="O112" s="629"/>
      <c r="P112" s="629"/>
      <c r="Q112" s="629"/>
      <c r="R112" s="629"/>
      <c r="S112" s="629"/>
      <c r="T112" s="629"/>
      <c r="U112" s="629"/>
      <c r="V112" s="629"/>
      <c r="W112" s="629"/>
      <c r="X112" s="629"/>
    </row>
    <row r="113" ht="15.75" customHeight="1">
      <c r="D113" s="775"/>
      <c r="E113" s="775"/>
      <c r="H113" s="629"/>
      <c r="I113" s="629"/>
      <c r="J113" s="629"/>
      <c r="K113" s="629"/>
      <c r="L113" s="629"/>
      <c r="M113" s="629"/>
      <c r="N113" s="629"/>
      <c r="O113" s="629"/>
      <c r="P113" s="629"/>
      <c r="Q113" s="629"/>
      <c r="R113" s="629"/>
      <c r="S113" s="629"/>
      <c r="T113" s="629"/>
      <c r="U113" s="629"/>
      <c r="V113" s="629"/>
      <c r="W113" s="629"/>
      <c r="X113" s="629"/>
    </row>
    <row r="114" ht="15.75" customHeight="1">
      <c r="D114" s="775"/>
      <c r="E114" s="775"/>
      <c r="H114" s="629"/>
      <c r="I114" s="629"/>
      <c r="J114" s="629"/>
      <c r="K114" s="629"/>
      <c r="L114" s="629"/>
      <c r="M114" s="629"/>
      <c r="N114" s="629"/>
      <c r="O114" s="629"/>
      <c r="P114" s="629"/>
      <c r="Q114" s="629"/>
      <c r="R114" s="629"/>
      <c r="S114" s="629"/>
      <c r="T114" s="629"/>
      <c r="U114" s="629"/>
      <c r="V114" s="629"/>
      <c r="W114" s="629"/>
      <c r="X114" s="629"/>
    </row>
    <row r="115" ht="15.75" customHeight="1">
      <c r="D115" s="775"/>
      <c r="E115" s="775"/>
      <c r="H115" s="629"/>
      <c r="I115" s="629"/>
      <c r="J115" s="629"/>
      <c r="K115" s="629"/>
      <c r="L115" s="629"/>
      <c r="M115" s="629"/>
      <c r="N115" s="629"/>
      <c r="O115" s="629"/>
      <c r="P115" s="629"/>
      <c r="Q115" s="629"/>
      <c r="R115" s="629"/>
      <c r="S115" s="629"/>
      <c r="T115" s="629"/>
      <c r="U115" s="629"/>
      <c r="V115" s="629"/>
      <c r="W115" s="629"/>
      <c r="X115" s="629"/>
    </row>
    <row r="116" ht="15.75" customHeight="1">
      <c r="A116" s="751"/>
      <c r="B116" s="752"/>
      <c r="C116" s="676"/>
      <c r="D116" s="740"/>
      <c r="E116" s="740"/>
      <c r="F116" s="752"/>
      <c r="G116" s="629"/>
      <c r="H116" s="629"/>
      <c r="I116" s="629"/>
      <c r="J116" s="629"/>
      <c r="K116" s="629"/>
      <c r="L116" s="629"/>
      <c r="M116" s="629"/>
      <c r="N116" s="629"/>
      <c r="O116" s="629"/>
      <c r="P116" s="629"/>
      <c r="Q116" s="629"/>
      <c r="R116" s="629"/>
      <c r="S116" s="629"/>
      <c r="T116" s="629"/>
      <c r="U116" s="629"/>
      <c r="V116" s="629"/>
      <c r="W116" s="629"/>
      <c r="X116" s="629"/>
    </row>
    <row r="117" ht="15.75" customHeight="1">
      <c r="A117" s="751"/>
      <c r="B117" s="752"/>
      <c r="C117" s="676"/>
      <c r="D117" s="740"/>
      <c r="E117" s="740"/>
      <c r="F117" s="752"/>
      <c r="G117" s="629"/>
      <c r="H117" s="629"/>
      <c r="I117" s="629"/>
      <c r="J117" s="629"/>
      <c r="K117" s="629"/>
      <c r="L117" s="629"/>
      <c r="M117" s="629"/>
      <c r="N117" s="629"/>
      <c r="O117" s="629"/>
      <c r="P117" s="629"/>
      <c r="Q117" s="629"/>
      <c r="R117" s="629"/>
      <c r="S117" s="629"/>
      <c r="T117" s="629"/>
      <c r="U117" s="629"/>
      <c r="V117" s="629"/>
      <c r="W117" s="629"/>
      <c r="X117" s="629"/>
    </row>
    <row r="118" ht="15.75" customHeight="1">
      <c r="A118" s="751"/>
      <c r="B118" s="752"/>
      <c r="C118" s="676"/>
      <c r="D118" s="740"/>
      <c r="E118" s="740"/>
      <c r="F118" s="752"/>
      <c r="G118" s="629"/>
      <c r="H118" s="629"/>
      <c r="I118" s="629"/>
      <c r="J118" s="629"/>
      <c r="K118" s="629"/>
      <c r="L118" s="629"/>
      <c r="M118" s="629"/>
      <c r="N118" s="629"/>
      <c r="O118" s="629"/>
      <c r="P118" s="629"/>
      <c r="Q118" s="629"/>
      <c r="R118" s="629"/>
      <c r="S118" s="629"/>
      <c r="T118" s="629"/>
      <c r="U118" s="629"/>
      <c r="V118" s="629"/>
      <c r="W118" s="629"/>
      <c r="X118" s="629"/>
    </row>
    <row r="119" ht="15.75" customHeight="1">
      <c r="A119" s="751"/>
      <c r="B119" s="752"/>
      <c r="C119" s="676"/>
      <c r="D119" s="740"/>
      <c r="E119" s="740"/>
      <c r="F119" s="752"/>
      <c r="G119" s="629"/>
      <c r="H119" s="629"/>
      <c r="I119" s="629"/>
      <c r="J119" s="629"/>
      <c r="K119" s="629"/>
      <c r="L119" s="629"/>
      <c r="M119" s="629"/>
      <c r="N119" s="629"/>
      <c r="O119" s="629"/>
      <c r="P119" s="629"/>
      <c r="Q119" s="629"/>
      <c r="R119" s="629"/>
      <c r="S119" s="629"/>
      <c r="T119" s="629"/>
      <c r="U119" s="629"/>
      <c r="V119" s="629"/>
      <c r="W119" s="629"/>
      <c r="X119" s="629"/>
    </row>
    <row r="120" ht="15.75" customHeight="1">
      <c r="A120" s="751"/>
      <c r="B120" s="752"/>
      <c r="C120" s="676"/>
      <c r="D120" s="740"/>
      <c r="E120" s="740"/>
      <c r="F120" s="752"/>
      <c r="G120" s="629"/>
      <c r="H120" s="629"/>
      <c r="I120" s="629"/>
      <c r="J120" s="629"/>
      <c r="K120" s="629"/>
      <c r="L120" s="629"/>
      <c r="M120" s="629"/>
      <c r="N120" s="629"/>
      <c r="O120" s="629"/>
      <c r="P120" s="629"/>
      <c r="Q120" s="629"/>
      <c r="R120" s="629"/>
      <c r="S120" s="629"/>
      <c r="T120" s="629"/>
      <c r="U120" s="629"/>
      <c r="V120" s="629"/>
      <c r="W120" s="629"/>
      <c r="X120" s="629"/>
    </row>
    <row r="121" ht="15.75" customHeight="1">
      <c r="A121" s="751"/>
      <c r="B121" s="752"/>
      <c r="C121" s="676"/>
      <c r="D121" s="740"/>
      <c r="E121" s="740"/>
      <c r="F121" s="752"/>
      <c r="G121" s="676"/>
      <c r="H121" s="629"/>
      <c r="I121" s="629"/>
      <c r="J121" s="629"/>
      <c r="K121" s="629"/>
      <c r="L121" s="629"/>
      <c r="M121" s="629"/>
      <c r="N121" s="629"/>
      <c r="O121" s="629"/>
      <c r="P121" s="629"/>
      <c r="Q121" s="629"/>
      <c r="R121" s="629"/>
      <c r="S121" s="629"/>
      <c r="T121" s="629"/>
      <c r="U121" s="629"/>
      <c r="V121" s="629"/>
      <c r="W121" s="629"/>
      <c r="X121" s="629"/>
    </row>
    <row r="122" ht="15.75" customHeight="1">
      <c r="A122" s="751"/>
      <c r="B122" s="752"/>
      <c r="C122" s="676"/>
      <c r="D122" s="740"/>
      <c r="E122" s="740"/>
      <c r="F122" s="752"/>
      <c r="G122" s="629"/>
      <c r="H122" s="629"/>
      <c r="I122" s="629"/>
      <c r="J122" s="629"/>
      <c r="K122" s="629"/>
      <c r="L122" s="629"/>
      <c r="M122" s="629"/>
      <c r="N122" s="629"/>
      <c r="O122" s="629"/>
      <c r="P122" s="629"/>
      <c r="Q122" s="629"/>
      <c r="R122" s="629"/>
      <c r="S122" s="629"/>
      <c r="T122" s="629"/>
      <c r="U122" s="629"/>
      <c r="V122" s="629"/>
      <c r="W122" s="629"/>
      <c r="X122" s="629"/>
    </row>
    <row r="123" ht="15.75" customHeight="1">
      <c r="A123" s="751"/>
      <c r="B123" s="752"/>
      <c r="C123" s="676"/>
      <c r="D123" s="740"/>
      <c r="E123" s="740"/>
      <c r="F123" s="752"/>
      <c r="G123" s="629"/>
      <c r="H123" s="629"/>
      <c r="I123" s="629"/>
      <c r="J123" s="629"/>
      <c r="K123" s="629"/>
      <c r="L123" s="629"/>
      <c r="M123" s="629"/>
      <c r="N123" s="629"/>
      <c r="O123" s="629"/>
      <c r="P123" s="629"/>
      <c r="Q123" s="629"/>
      <c r="R123" s="629"/>
      <c r="S123" s="629"/>
      <c r="T123" s="629"/>
      <c r="U123" s="629"/>
      <c r="V123" s="629"/>
      <c r="W123" s="629"/>
      <c r="X123" s="629"/>
    </row>
    <row r="124" ht="15.75" customHeight="1">
      <c r="A124" s="751"/>
      <c r="B124" s="752"/>
      <c r="C124" s="676"/>
      <c r="D124" s="740"/>
      <c r="E124" s="740"/>
      <c r="F124" s="752"/>
      <c r="G124" s="629"/>
      <c r="H124" s="629"/>
      <c r="I124" s="629"/>
      <c r="J124" s="629"/>
      <c r="K124" s="629"/>
      <c r="L124" s="629"/>
      <c r="M124" s="629"/>
      <c r="N124" s="629"/>
      <c r="O124" s="629"/>
      <c r="P124" s="629"/>
      <c r="Q124" s="629"/>
      <c r="R124" s="629"/>
      <c r="S124" s="629"/>
      <c r="T124" s="629"/>
      <c r="U124" s="629"/>
      <c r="V124" s="629"/>
      <c r="W124" s="629"/>
      <c r="X124" s="629"/>
    </row>
    <row r="125" ht="15.75" customHeight="1">
      <c r="A125" s="751"/>
      <c r="B125" s="752"/>
      <c r="C125" s="676"/>
      <c r="D125" s="740"/>
      <c r="E125" s="740"/>
      <c r="F125" s="752"/>
      <c r="G125" s="629"/>
      <c r="H125" s="629"/>
      <c r="I125" s="629"/>
      <c r="J125" s="629"/>
      <c r="K125" s="629"/>
      <c r="L125" s="629"/>
      <c r="M125" s="629"/>
      <c r="N125" s="629"/>
      <c r="O125" s="629"/>
      <c r="P125" s="629"/>
      <c r="Q125" s="629"/>
      <c r="R125" s="629"/>
      <c r="S125" s="629"/>
      <c r="T125" s="629"/>
      <c r="U125" s="629"/>
      <c r="V125" s="629"/>
      <c r="W125" s="629"/>
      <c r="X125" s="629"/>
    </row>
    <row r="126" ht="15.75" customHeight="1">
      <c r="A126" s="751"/>
      <c r="B126" s="752"/>
      <c r="C126" s="676"/>
      <c r="D126" s="740"/>
      <c r="E126" s="740"/>
      <c r="F126" s="752"/>
      <c r="G126" s="629"/>
      <c r="H126" s="629"/>
      <c r="I126" s="629"/>
      <c r="J126" s="629"/>
      <c r="K126" s="629"/>
      <c r="L126" s="629"/>
      <c r="M126" s="629"/>
      <c r="N126" s="629"/>
      <c r="O126" s="629"/>
      <c r="P126" s="629"/>
      <c r="Q126" s="629"/>
      <c r="R126" s="629"/>
      <c r="S126" s="629"/>
      <c r="T126" s="629"/>
      <c r="U126" s="629"/>
      <c r="V126" s="629"/>
      <c r="W126" s="629"/>
      <c r="X126" s="629"/>
    </row>
    <row r="127" ht="15.75" customHeight="1">
      <c r="A127" s="751"/>
      <c r="B127" s="752"/>
      <c r="C127" s="676"/>
      <c r="D127" s="740"/>
      <c r="E127" s="740"/>
      <c r="F127" s="752"/>
      <c r="G127" s="629"/>
      <c r="H127" s="629"/>
      <c r="I127" s="629"/>
      <c r="J127" s="629"/>
      <c r="K127" s="629"/>
      <c r="L127" s="629"/>
      <c r="M127" s="629"/>
      <c r="N127" s="629"/>
      <c r="O127" s="629"/>
      <c r="P127" s="629"/>
      <c r="Q127" s="629"/>
      <c r="R127" s="629"/>
      <c r="S127" s="629"/>
      <c r="T127" s="629"/>
      <c r="U127" s="629"/>
      <c r="V127" s="629"/>
      <c r="W127" s="629"/>
      <c r="X127" s="629"/>
    </row>
    <row r="128" ht="15.75" customHeight="1">
      <c r="A128" s="751"/>
      <c r="B128" s="752"/>
      <c r="C128" s="676"/>
      <c r="D128" s="740"/>
      <c r="E128" s="740"/>
      <c r="F128" s="752"/>
      <c r="G128" s="629"/>
      <c r="H128" s="629"/>
      <c r="I128" s="629"/>
      <c r="J128" s="629"/>
      <c r="K128" s="629"/>
      <c r="L128" s="629"/>
      <c r="M128" s="629"/>
      <c r="N128" s="629"/>
      <c r="O128" s="629"/>
      <c r="P128" s="629"/>
      <c r="Q128" s="629"/>
      <c r="R128" s="629"/>
      <c r="S128" s="629"/>
      <c r="T128" s="629"/>
      <c r="U128" s="629"/>
      <c r="V128" s="629"/>
      <c r="W128" s="629"/>
      <c r="X128" s="629"/>
    </row>
    <row r="129" ht="15.75" customHeight="1">
      <c r="A129" s="751"/>
      <c r="B129" s="752"/>
      <c r="C129" s="676"/>
      <c r="D129" s="740"/>
      <c r="E129" s="740"/>
      <c r="F129" s="752"/>
      <c r="G129" s="629"/>
      <c r="H129" s="629"/>
      <c r="I129" s="629"/>
      <c r="J129" s="629"/>
      <c r="K129" s="629"/>
      <c r="L129" s="629"/>
      <c r="M129" s="629"/>
      <c r="N129" s="629"/>
      <c r="O129" s="629"/>
      <c r="P129" s="629"/>
      <c r="Q129" s="629"/>
      <c r="R129" s="629"/>
      <c r="S129" s="629"/>
      <c r="T129" s="629"/>
      <c r="U129" s="629"/>
      <c r="V129" s="629"/>
      <c r="W129" s="629"/>
      <c r="X129" s="629"/>
    </row>
    <row r="130" ht="15.75" customHeight="1">
      <c r="A130" s="751"/>
      <c r="B130" s="752"/>
      <c r="C130" s="676"/>
      <c r="D130" s="740"/>
      <c r="E130" s="740"/>
      <c r="F130" s="752"/>
      <c r="G130" s="629"/>
      <c r="H130" s="629"/>
      <c r="I130" s="629"/>
      <c r="J130" s="629"/>
      <c r="K130" s="629"/>
      <c r="L130" s="629"/>
      <c r="M130" s="629"/>
      <c r="N130" s="629"/>
      <c r="O130" s="629"/>
      <c r="P130" s="629"/>
      <c r="Q130" s="629"/>
      <c r="R130" s="629"/>
      <c r="S130" s="629"/>
      <c r="T130" s="629"/>
      <c r="U130" s="629"/>
      <c r="V130" s="629"/>
      <c r="W130" s="629"/>
      <c r="X130" s="629"/>
    </row>
    <row r="131" ht="15.75" customHeight="1">
      <c r="A131" s="751"/>
      <c r="B131" s="752"/>
      <c r="C131" s="676"/>
      <c r="D131" s="740"/>
      <c r="E131" s="740"/>
      <c r="F131" s="752"/>
      <c r="G131" s="629"/>
      <c r="H131" s="629"/>
      <c r="I131" s="629"/>
      <c r="J131" s="629"/>
      <c r="K131" s="629"/>
      <c r="L131" s="629"/>
      <c r="M131" s="629"/>
      <c r="N131" s="629"/>
      <c r="O131" s="629"/>
      <c r="P131" s="629"/>
      <c r="Q131" s="629"/>
      <c r="R131" s="629"/>
      <c r="S131" s="629"/>
      <c r="T131" s="629"/>
      <c r="U131" s="629"/>
      <c r="V131" s="629"/>
      <c r="W131" s="629"/>
      <c r="X131" s="629"/>
    </row>
    <row r="132" ht="15.75" customHeight="1">
      <c r="A132" s="751"/>
      <c r="B132" s="752"/>
      <c r="C132" s="676"/>
      <c r="D132" s="740"/>
      <c r="E132" s="740"/>
      <c r="F132" s="752"/>
      <c r="G132" s="629"/>
      <c r="H132" s="629"/>
      <c r="I132" s="629"/>
      <c r="J132" s="629"/>
      <c r="K132" s="629"/>
      <c r="L132" s="629"/>
      <c r="M132" s="629"/>
      <c r="N132" s="629"/>
      <c r="O132" s="629"/>
      <c r="P132" s="629"/>
      <c r="Q132" s="629"/>
      <c r="R132" s="629"/>
      <c r="S132" s="629"/>
      <c r="T132" s="629"/>
      <c r="U132" s="629"/>
      <c r="V132" s="629"/>
      <c r="W132" s="629"/>
      <c r="X132" s="629"/>
    </row>
    <row r="133" ht="15.75" customHeight="1">
      <c r="A133" s="751"/>
      <c r="B133" s="752"/>
      <c r="C133" s="676"/>
      <c r="D133" s="740"/>
      <c r="E133" s="740"/>
      <c r="F133" s="752"/>
      <c r="G133" s="629"/>
      <c r="H133" s="629"/>
      <c r="I133" s="629"/>
      <c r="J133" s="629"/>
      <c r="K133" s="629"/>
      <c r="L133" s="629"/>
      <c r="M133" s="629"/>
      <c r="N133" s="629"/>
      <c r="O133" s="629"/>
      <c r="P133" s="629"/>
      <c r="Q133" s="629"/>
      <c r="R133" s="629"/>
      <c r="S133" s="629"/>
      <c r="T133" s="629"/>
      <c r="U133" s="629"/>
      <c r="V133" s="629"/>
      <c r="W133" s="629"/>
      <c r="X133" s="629"/>
    </row>
    <row r="134" ht="15.75" customHeight="1">
      <c r="A134" s="751"/>
      <c r="B134" s="752"/>
      <c r="C134" s="676"/>
      <c r="D134" s="740"/>
      <c r="E134" s="740"/>
      <c r="F134" s="752"/>
      <c r="G134" s="629"/>
      <c r="H134" s="629"/>
      <c r="I134" s="629"/>
      <c r="J134" s="629"/>
      <c r="K134" s="629"/>
      <c r="L134" s="629"/>
      <c r="M134" s="629"/>
      <c r="N134" s="629"/>
      <c r="O134" s="629"/>
      <c r="P134" s="629"/>
      <c r="Q134" s="629"/>
      <c r="R134" s="629"/>
      <c r="S134" s="629"/>
      <c r="T134" s="629"/>
      <c r="U134" s="629"/>
      <c r="V134" s="629"/>
      <c r="W134" s="629"/>
      <c r="X134" s="629"/>
    </row>
    <row r="135" ht="15.75" customHeight="1">
      <c r="A135" s="751"/>
      <c r="B135" s="752"/>
      <c r="C135" s="676"/>
      <c r="D135" s="740"/>
      <c r="E135" s="740"/>
      <c r="F135" s="752"/>
      <c r="G135" s="629"/>
      <c r="H135" s="629"/>
      <c r="I135" s="629"/>
      <c r="J135" s="629"/>
      <c r="K135" s="629"/>
      <c r="L135" s="629"/>
      <c r="M135" s="629"/>
      <c r="N135" s="629"/>
      <c r="O135" s="629"/>
      <c r="P135" s="629"/>
      <c r="Q135" s="629"/>
      <c r="R135" s="629"/>
      <c r="S135" s="629"/>
      <c r="T135" s="629"/>
      <c r="U135" s="629"/>
      <c r="V135" s="629"/>
      <c r="W135" s="629"/>
      <c r="X135" s="629"/>
    </row>
    <row r="136" ht="15.75" customHeight="1">
      <c r="A136" s="751"/>
      <c r="B136" s="752"/>
      <c r="C136" s="676"/>
      <c r="D136" s="740"/>
      <c r="E136" s="740"/>
      <c r="F136" s="752"/>
      <c r="G136" s="629"/>
      <c r="H136" s="629"/>
      <c r="I136" s="629"/>
      <c r="J136" s="629"/>
      <c r="K136" s="629"/>
      <c r="L136" s="629"/>
      <c r="M136" s="629"/>
      <c r="N136" s="629"/>
      <c r="O136" s="629"/>
      <c r="P136" s="629"/>
      <c r="Q136" s="629"/>
      <c r="R136" s="629"/>
      <c r="S136" s="629"/>
      <c r="T136" s="629"/>
      <c r="U136" s="629"/>
      <c r="V136" s="629"/>
      <c r="W136" s="629"/>
      <c r="X136" s="629"/>
    </row>
    <row r="137" ht="15.75" customHeight="1">
      <c r="A137" s="751"/>
      <c r="B137" s="752"/>
      <c r="C137" s="676"/>
      <c r="D137" s="740"/>
      <c r="E137" s="740"/>
      <c r="F137" s="752"/>
      <c r="G137" s="629"/>
      <c r="H137" s="629"/>
      <c r="I137" s="629"/>
      <c r="J137" s="629"/>
      <c r="K137" s="629"/>
      <c r="L137" s="629"/>
      <c r="M137" s="629"/>
      <c r="N137" s="629"/>
      <c r="O137" s="629"/>
      <c r="P137" s="629"/>
      <c r="Q137" s="629"/>
      <c r="R137" s="629"/>
      <c r="S137" s="629"/>
      <c r="T137" s="629"/>
      <c r="U137" s="629"/>
      <c r="V137" s="629"/>
      <c r="W137" s="629"/>
      <c r="X137" s="629"/>
    </row>
    <row r="138" ht="15.75" customHeight="1">
      <c r="A138" s="751"/>
      <c r="B138" s="752"/>
      <c r="C138" s="676"/>
      <c r="D138" s="740"/>
      <c r="E138" s="740"/>
      <c r="F138" s="752"/>
      <c r="G138" s="629"/>
      <c r="H138" s="629"/>
      <c r="I138" s="629"/>
      <c r="J138" s="629"/>
      <c r="K138" s="629"/>
      <c r="L138" s="629"/>
      <c r="M138" s="629"/>
      <c r="N138" s="629"/>
      <c r="O138" s="629"/>
      <c r="P138" s="629"/>
      <c r="Q138" s="629"/>
      <c r="R138" s="629"/>
      <c r="S138" s="629"/>
      <c r="T138" s="629"/>
      <c r="U138" s="629"/>
      <c r="V138" s="629"/>
      <c r="W138" s="629"/>
      <c r="X138" s="629"/>
    </row>
    <row r="139" ht="15.75" customHeight="1">
      <c r="A139" s="751"/>
      <c r="B139" s="752"/>
      <c r="C139" s="676"/>
      <c r="D139" s="740"/>
      <c r="E139" s="740"/>
      <c r="F139" s="752"/>
      <c r="G139" s="629"/>
      <c r="H139" s="629"/>
      <c r="I139" s="629"/>
      <c r="J139" s="629"/>
      <c r="K139" s="629"/>
      <c r="L139" s="629"/>
      <c r="M139" s="629"/>
      <c r="N139" s="629"/>
      <c r="O139" s="629"/>
      <c r="P139" s="629"/>
      <c r="Q139" s="629"/>
      <c r="R139" s="629"/>
      <c r="S139" s="629"/>
      <c r="T139" s="629"/>
      <c r="U139" s="629"/>
      <c r="V139" s="629"/>
      <c r="W139" s="629"/>
      <c r="X139" s="629"/>
    </row>
    <row r="140" ht="15.75" customHeight="1">
      <c r="A140" s="751"/>
      <c r="B140" s="752"/>
      <c r="C140" s="676"/>
      <c r="D140" s="740"/>
      <c r="E140" s="740"/>
      <c r="F140" s="752"/>
      <c r="G140" s="629"/>
      <c r="H140" s="629"/>
      <c r="I140" s="629"/>
      <c r="J140" s="629"/>
      <c r="K140" s="629"/>
      <c r="L140" s="629"/>
      <c r="M140" s="629"/>
      <c r="N140" s="629"/>
      <c r="O140" s="629"/>
      <c r="P140" s="629"/>
      <c r="Q140" s="629"/>
      <c r="R140" s="629"/>
      <c r="S140" s="629"/>
      <c r="T140" s="629"/>
      <c r="U140" s="629"/>
      <c r="V140" s="629"/>
      <c r="W140" s="629"/>
      <c r="X140" s="629"/>
    </row>
    <row r="141" ht="15.75" customHeight="1">
      <c r="A141" s="751"/>
      <c r="B141" s="752"/>
      <c r="C141" s="676"/>
      <c r="D141" s="740"/>
      <c r="E141" s="740"/>
      <c r="F141" s="752"/>
      <c r="G141" s="629"/>
      <c r="H141" s="629"/>
      <c r="I141" s="629"/>
      <c r="J141" s="629"/>
      <c r="K141" s="629"/>
      <c r="L141" s="629"/>
      <c r="M141" s="629"/>
      <c r="N141" s="629"/>
      <c r="O141" s="629"/>
      <c r="P141" s="629"/>
      <c r="Q141" s="629"/>
      <c r="R141" s="629"/>
      <c r="S141" s="629"/>
      <c r="T141" s="629"/>
      <c r="U141" s="629"/>
      <c r="V141" s="629"/>
      <c r="W141" s="629"/>
      <c r="X141" s="629"/>
    </row>
    <row r="142" ht="15.75" customHeight="1">
      <c r="A142" s="751"/>
      <c r="B142" s="752"/>
      <c r="C142" s="676"/>
      <c r="D142" s="740"/>
      <c r="E142" s="740"/>
      <c r="F142" s="752"/>
      <c r="G142" s="629"/>
      <c r="H142" s="629"/>
      <c r="I142" s="629"/>
      <c r="J142" s="629"/>
      <c r="K142" s="629"/>
      <c r="L142" s="629"/>
      <c r="M142" s="629"/>
      <c r="N142" s="629"/>
      <c r="O142" s="629"/>
      <c r="P142" s="629"/>
      <c r="Q142" s="629"/>
      <c r="R142" s="629"/>
      <c r="S142" s="629"/>
      <c r="T142" s="629"/>
      <c r="U142" s="629"/>
      <c r="V142" s="629"/>
      <c r="W142" s="629"/>
      <c r="X142" s="629"/>
    </row>
    <row r="143" ht="15.75" customHeight="1">
      <c r="A143" s="751"/>
      <c r="B143" s="752"/>
      <c r="C143" s="676"/>
      <c r="D143" s="740"/>
      <c r="E143" s="740"/>
      <c r="F143" s="752"/>
      <c r="G143" s="629"/>
      <c r="H143" s="629"/>
      <c r="I143" s="629"/>
      <c r="J143" s="629"/>
      <c r="K143" s="629"/>
      <c r="L143" s="629"/>
      <c r="M143" s="629"/>
      <c r="N143" s="629"/>
      <c r="O143" s="629"/>
      <c r="P143" s="629"/>
      <c r="Q143" s="629"/>
      <c r="R143" s="629"/>
      <c r="S143" s="629"/>
      <c r="T143" s="629"/>
      <c r="U143" s="629"/>
      <c r="V143" s="629"/>
      <c r="W143" s="629"/>
      <c r="X143" s="629"/>
    </row>
    <row r="144" ht="15.75" customHeight="1">
      <c r="A144" s="676"/>
      <c r="B144" s="676"/>
      <c r="C144" s="676"/>
      <c r="D144" s="740"/>
      <c r="E144" s="740"/>
      <c r="F144" s="676"/>
      <c r="G144" s="629"/>
      <c r="H144" s="629"/>
      <c r="I144" s="629"/>
      <c r="J144" s="629"/>
      <c r="K144" s="629"/>
      <c r="L144" s="629"/>
      <c r="M144" s="629"/>
      <c r="N144" s="629"/>
      <c r="O144" s="629"/>
      <c r="P144" s="629"/>
      <c r="Q144" s="629"/>
      <c r="R144" s="629"/>
      <c r="S144" s="629"/>
      <c r="T144" s="629"/>
      <c r="U144" s="629"/>
      <c r="V144" s="629"/>
      <c r="W144" s="629"/>
      <c r="X144" s="629"/>
    </row>
    <row r="145" ht="15.75" customHeight="1">
      <c r="A145" s="676"/>
      <c r="B145" s="676"/>
      <c r="C145" s="676"/>
      <c r="D145" s="676"/>
      <c r="E145" s="676"/>
      <c r="F145" s="676"/>
      <c r="G145" s="629"/>
      <c r="H145" s="629"/>
      <c r="I145" s="629"/>
      <c r="J145" s="629"/>
      <c r="K145" s="629"/>
      <c r="L145" s="629"/>
      <c r="M145" s="629"/>
      <c r="N145" s="629"/>
      <c r="O145" s="629"/>
      <c r="P145" s="629"/>
      <c r="Q145" s="629"/>
      <c r="R145" s="629"/>
      <c r="S145" s="629"/>
      <c r="T145" s="629"/>
      <c r="U145" s="629"/>
      <c r="V145" s="629"/>
      <c r="W145" s="629"/>
      <c r="X145" s="629"/>
    </row>
    <row r="146" ht="15.75" customHeight="1">
      <c r="A146" s="676"/>
      <c r="B146" s="676"/>
      <c r="C146" s="676"/>
      <c r="D146" s="676"/>
      <c r="E146" s="676"/>
      <c r="F146" s="676"/>
      <c r="G146" s="629"/>
      <c r="H146" s="629"/>
      <c r="I146" s="629"/>
      <c r="J146" s="629"/>
      <c r="K146" s="629"/>
      <c r="L146" s="629"/>
      <c r="M146" s="629"/>
      <c r="N146" s="629"/>
      <c r="O146" s="629"/>
      <c r="P146" s="629"/>
      <c r="Q146" s="629"/>
      <c r="R146" s="629"/>
      <c r="S146" s="629"/>
      <c r="T146" s="629"/>
      <c r="U146" s="629"/>
      <c r="V146" s="629"/>
      <c r="W146" s="629"/>
      <c r="X146" s="629"/>
    </row>
    <row r="147" ht="15.75" customHeight="1">
      <c r="A147" s="676"/>
      <c r="B147" s="676"/>
      <c r="C147" s="676"/>
      <c r="D147" s="676"/>
      <c r="E147" s="676"/>
      <c r="F147" s="676"/>
      <c r="G147" s="629"/>
      <c r="H147" s="629"/>
      <c r="I147" s="629"/>
      <c r="J147" s="629"/>
      <c r="K147" s="629"/>
      <c r="L147" s="629"/>
      <c r="M147" s="629"/>
      <c r="N147" s="629"/>
      <c r="O147" s="629"/>
      <c r="P147" s="629"/>
      <c r="Q147" s="629"/>
      <c r="R147" s="629"/>
      <c r="S147" s="629"/>
      <c r="T147" s="629"/>
      <c r="U147" s="629"/>
      <c r="V147" s="629"/>
      <c r="W147" s="629"/>
      <c r="X147" s="629"/>
    </row>
    <row r="148" ht="15.75" customHeight="1">
      <c r="A148" s="676"/>
      <c r="B148" s="676"/>
      <c r="C148" s="676"/>
      <c r="D148" s="676"/>
      <c r="E148" s="676"/>
      <c r="F148" s="676"/>
      <c r="G148" s="629"/>
      <c r="H148" s="629"/>
      <c r="I148" s="629"/>
      <c r="J148" s="629"/>
      <c r="K148" s="629"/>
      <c r="L148" s="629"/>
      <c r="M148" s="629"/>
      <c r="N148" s="629"/>
      <c r="O148" s="629"/>
      <c r="P148" s="629"/>
      <c r="Q148" s="629"/>
      <c r="R148" s="629"/>
      <c r="S148" s="629"/>
      <c r="T148" s="629"/>
      <c r="U148" s="629"/>
      <c r="V148" s="629"/>
      <c r="W148" s="629"/>
      <c r="X148" s="629"/>
    </row>
    <row r="149" ht="15.75" customHeight="1">
      <c r="A149" s="676"/>
      <c r="B149" s="676"/>
      <c r="C149" s="676"/>
      <c r="D149" s="676"/>
      <c r="E149" s="676"/>
      <c r="F149" s="676"/>
      <c r="G149" s="629"/>
      <c r="H149" s="629"/>
      <c r="I149" s="629"/>
      <c r="J149" s="629"/>
      <c r="K149" s="629"/>
      <c r="L149" s="629"/>
      <c r="M149" s="629"/>
      <c r="N149" s="629"/>
      <c r="O149" s="629"/>
      <c r="P149" s="629"/>
      <c r="Q149" s="629"/>
      <c r="R149" s="629"/>
      <c r="S149" s="629"/>
      <c r="T149" s="629"/>
      <c r="U149" s="629"/>
      <c r="V149" s="629"/>
      <c r="W149" s="629"/>
      <c r="X149" s="629"/>
    </row>
    <row r="150" ht="15.75" customHeight="1">
      <c r="A150" s="676"/>
      <c r="B150" s="676"/>
      <c r="C150" s="676"/>
      <c r="D150" s="676"/>
      <c r="E150" s="676"/>
      <c r="F150" s="676"/>
      <c r="G150" s="629"/>
      <c r="H150" s="629"/>
      <c r="I150" s="629"/>
      <c r="J150" s="629"/>
      <c r="K150" s="629"/>
      <c r="L150" s="629"/>
      <c r="M150" s="629"/>
      <c r="N150" s="629"/>
      <c r="O150" s="629"/>
      <c r="P150" s="629"/>
      <c r="Q150" s="629"/>
      <c r="R150" s="629"/>
      <c r="S150" s="629"/>
      <c r="T150" s="629"/>
      <c r="U150" s="629"/>
      <c r="V150" s="629"/>
      <c r="W150" s="629"/>
      <c r="X150" s="629"/>
    </row>
    <row r="151" ht="15.75" customHeight="1">
      <c r="A151" s="676"/>
      <c r="B151" s="676"/>
      <c r="C151" s="676"/>
      <c r="D151" s="676"/>
      <c r="E151" s="676"/>
      <c r="F151" s="676"/>
      <c r="G151" s="629"/>
      <c r="H151" s="629"/>
      <c r="I151" s="629"/>
      <c r="J151" s="629"/>
      <c r="K151" s="629"/>
      <c r="L151" s="629"/>
      <c r="M151" s="629"/>
      <c r="N151" s="629"/>
      <c r="O151" s="629"/>
      <c r="P151" s="629"/>
      <c r="Q151" s="629"/>
      <c r="R151" s="629"/>
      <c r="S151" s="629"/>
      <c r="T151" s="629"/>
      <c r="U151" s="629"/>
      <c r="V151" s="629"/>
      <c r="W151" s="629"/>
      <c r="X151" s="629"/>
    </row>
    <row r="152" ht="15.75" customHeight="1">
      <c r="A152" s="676"/>
      <c r="B152" s="676"/>
      <c r="C152" s="676"/>
      <c r="D152" s="676"/>
      <c r="E152" s="676"/>
      <c r="F152" s="676"/>
      <c r="G152" s="629"/>
      <c r="H152" s="629"/>
      <c r="I152" s="629"/>
      <c r="J152" s="629"/>
      <c r="K152" s="629"/>
      <c r="L152" s="629"/>
      <c r="M152" s="629"/>
      <c r="N152" s="629"/>
      <c r="O152" s="629"/>
      <c r="P152" s="629"/>
      <c r="Q152" s="629"/>
      <c r="R152" s="629"/>
      <c r="S152" s="629"/>
      <c r="T152" s="629"/>
      <c r="U152" s="629"/>
      <c r="V152" s="629"/>
      <c r="W152" s="629"/>
      <c r="X152" s="629"/>
    </row>
    <row r="153" ht="15.75" customHeight="1">
      <c r="A153" s="676"/>
      <c r="B153" s="676"/>
      <c r="C153" s="676"/>
      <c r="D153" s="676"/>
      <c r="E153" s="676"/>
      <c r="F153" s="676"/>
      <c r="G153" s="629"/>
      <c r="H153" s="629"/>
      <c r="I153" s="629"/>
      <c r="J153" s="629"/>
      <c r="K153" s="629"/>
      <c r="L153" s="629"/>
      <c r="M153" s="629"/>
      <c r="N153" s="629"/>
      <c r="O153" s="629"/>
      <c r="P153" s="629"/>
      <c r="Q153" s="629"/>
      <c r="R153" s="629"/>
      <c r="S153" s="629"/>
      <c r="T153" s="629"/>
      <c r="U153" s="629"/>
      <c r="V153" s="629"/>
      <c r="W153" s="629"/>
      <c r="X153" s="629"/>
    </row>
    <row r="154" ht="15.75" customHeight="1">
      <c r="A154" s="676"/>
      <c r="B154" s="676"/>
      <c r="C154" s="676"/>
      <c r="D154" s="676"/>
      <c r="E154" s="676"/>
      <c r="F154" s="676"/>
      <c r="G154" s="629"/>
      <c r="H154" s="629"/>
      <c r="I154" s="629"/>
      <c r="J154" s="629"/>
      <c r="K154" s="629"/>
      <c r="L154" s="629"/>
      <c r="M154" s="629"/>
      <c r="N154" s="629"/>
      <c r="O154" s="629"/>
      <c r="P154" s="629"/>
      <c r="Q154" s="629"/>
      <c r="R154" s="629"/>
      <c r="S154" s="629"/>
      <c r="T154" s="629"/>
      <c r="U154" s="629"/>
      <c r="V154" s="629"/>
      <c r="W154" s="629"/>
      <c r="X154" s="629"/>
    </row>
    <row r="155" ht="15.75" customHeight="1">
      <c r="A155" s="622"/>
      <c r="B155" s="622"/>
      <c r="C155" s="622"/>
      <c r="D155" s="622"/>
      <c r="E155" s="622"/>
      <c r="F155" s="622"/>
      <c r="G155" s="622"/>
      <c r="H155" s="622"/>
      <c r="I155" s="622"/>
      <c r="J155" s="622"/>
      <c r="K155" s="622"/>
      <c r="L155" s="622"/>
      <c r="M155" s="622"/>
      <c r="N155" s="622"/>
      <c r="O155" s="622"/>
      <c r="P155" s="622"/>
      <c r="Q155" s="622"/>
      <c r="R155" s="622"/>
      <c r="S155" s="622"/>
      <c r="T155" s="622"/>
      <c r="U155" s="622"/>
      <c r="V155" s="622"/>
      <c r="W155" s="622"/>
      <c r="X155" s="622"/>
    </row>
    <row r="156" ht="15.75" customHeight="1">
      <c r="A156" s="622"/>
      <c r="B156" s="622"/>
      <c r="C156" s="622"/>
      <c r="D156" s="622"/>
      <c r="E156" s="622"/>
      <c r="F156" s="622"/>
      <c r="G156" s="622"/>
      <c r="H156" s="622"/>
      <c r="I156" s="622"/>
      <c r="J156" s="622"/>
      <c r="K156" s="622"/>
      <c r="L156" s="622"/>
      <c r="M156" s="622"/>
      <c r="N156" s="622"/>
      <c r="O156" s="622"/>
      <c r="P156" s="622"/>
      <c r="Q156" s="622"/>
      <c r="R156" s="622"/>
      <c r="S156" s="622"/>
      <c r="T156" s="622"/>
      <c r="U156" s="622"/>
      <c r="V156" s="622"/>
      <c r="W156" s="622"/>
      <c r="X156" s="622"/>
    </row>
    <row r="157" ht="15.75" customHeight="1">
      <c r="A157" s="622"/>
      <c r="B157" s="622"/>
      <c r="C157" s="622"/>
      <c r="D157" s="622"/>
      <c r="E157" s="622"/>
      <c r="F157" s="622"/>
      <c r="G157" s="622"/>
      <c r="H157" s="622"/>
      <c r="I157" s="622"/>
      <c r="J157" s="622"/>
      <c r="K157" s="622"/>
      <c r="L157" s="622"/>
      <c r="M157" s="622"/>
      <c r="N157" s="622"/>
      <c r="O157" s="622"/>
      <c r="P157" s="622"/>
      <c r="Q157" s="622"/>
      <c r="R157" s="622"/>
      <c r="S157" s="622"/>
      <c r="T157" s="622"/>
      <c r="U157" s="622"/>
      <c r="V157" s="622"/>
      <c r="W157" s="622"/>
      <c r="X157" s="622"/>
    </row>
    <row r="158" ht="15.75" customHeight="1">
      <c r="A158" s="622"/>
      <c r="B158" s="622"/>
      <c r="C158" s="622"/>
      <c r="D158" s="622"/>
      <c r="E158" s="622"/>
      <c r="F158" s="622"/>
      <c r="G158" s="622"/>
      <c r="H158" s="622"/>
      <c r="I158" s="622"/>
      <c r="J158" s="622"/>
      <c r="K158" s="622"/>
      <c r="L158" s="622"/>
      <c r="M158" s="622"/>
      <c r="N158" s="622"/>
      <c r="O158" s="622"/>
      <c r="P158" s="622"/>
      <c r="Q158" s="622"/>
      <c r="R158" s="622"/>
      <c r="S158" s="622"/>
      <c r="T158" s="622"/>
      <c r="U158" s="622"/>
      <c r="V158" s="622"/>
      <c r="W158" s="622"/>
      <c r="X158" s="622"/>
    </row>
    <row r="159" ht="15.75" customHeight="1">
      <c r="A159" s="622"/>
      <c r="B159" s="622"/>
      <c r="C159" s="622"/>
      <c r="D159" s="622"/>
      <c r="E159" s="622"/>
      <c r="F159" s="622"/>
      <c r="G159" s="622"/>
      <c r="H159" s="622"/>
      <c r="I159" s="622"/>
      <c r="J159" s="622"/>
      <c r="K159" s="622"/>
      <c r="L159" s="622"/>
      <c r="M159" s="622"/>
      <c r="N159" s="622"/>
      <c r="O159" s="622"/>
      <c r="P159" s="622"/>
      <c r="Q159" s="622"/>
      <c r="R159" s="622"/>
      <c r="S159" s="622"/>
      <c r="T159" s="622"/>
      <c r="U159" s="622"/>
      <c r="V159" s="622"/>
      <c r="W159" s="622"/>
      <c r="X159" s="622"/>
    </row>
    <row r="160" ht="15.75" customHeight="1">
      <c r="A160" s="622"/>
      <c r="B160" s="622"/>
      <c r="C160" s="622"/>
      <c r="D160" s="622"/>
      <c r="E160" s="622"/>
      <c r="F160" s="622"/>
      <c r="G160" s="622"/>
      <c r="H160" s="622"/>
      <c r="I160" s="622"/>
      <c r="J160" s="622"/>
      <c r="K160" s="622"/>
      <c r="L160" s="622"/>
      <c r="M160" s="622"/>
      <c r="N160" s="622"/>
      <c r="O160" s="622"/>
      <c r="P160" s="622"/>
      <c r="Q160" s="622"/>
      <c r="R160" s="622"/>
      <c r="S160" s="622"/>
      <c r="T160" s="622"/>
      <c r="U160" s="622"/>
      <c r="V160" s="622"/>
      <c r="W160" s="622"/>
      <c r="X160" s="622"/>
    </row>
    <row r="161" ht="15.75" customHeight="1">
      <c r="A161" s="622"/>
      <c r="B161" s="622"/>
      <c r="C161" s="622"/>
      <c r="D161" s="622"/>
      <c r="E161" s="622"/>
      <c r="F161" s="622"/>
      <c r="G161" s="622"/>
      <c r="H161" s="622"/>
      <c r="I161" s="622"/>
      <c r="J161" s="622"/>
      <c r="K161" s="622"/>
      <c r="L161" s="622"/>
      <c r="M161" s="622"/>
      <c r="N161" s="622"/>
      <c r="O161" s="622"/>
      <c r="P161" s="622"/>
      <c r="Q161" s="622"/>
      <c r="R161" s="622"/>
      <c r="S161" s="622"/>
      <c r="T161" s="622"/>
      <c r="U161" s="622"/>
      <c r="V161" s="622"/>
      <c r="W161" s="622"/>
      <c r="X161" s="622"/>
    </row>
    <row r="162" ht="15.75" customHeight="1">
      <c r="A162" s="622"/>
      <c r="B162" s="622"/>
      <c r="C162" s="622"/>
      <c r="D162" s="622"/>
      <c r="E162" s="622"/>
      <c r="F162" s="622"/>
      <c r="G162" s="622"/>
      <c r="H162" s="622"/>
      <c r="I162" s="622"/>
      <c r="J162" s="622"/>
      <c r="K162" s="622"/>
      <c r="L162" s="622"/>
      <c r="M162" s="622"/>
      <c r="N162" s="622"/>
      <c r="O162" s="622"/>
      <c r="P162" s="622"/>
      <c r="Q162" s="622"/>
      <c r="R162" s="622"/>
      <c r="S162" s="622"/>
      <c r="T162" s="622"/>
      <c r="U162" s="622"/>
      <c r="V162" s="622"/>
      <c r="W162" s="622"/>
      <c r="X162" s="622"/>
    </row>
    <row r="163" ht="15.75" customHeight="1">
      <c r="A163" s="622"/>
      <c r="B163" s="622"/>
      <c r="C163" s="622"/>
      <c r="D163" s="622"/>
      <c r="E163" s="622"/>
      <c r="F163" s="622"/>
      <c r="G163" s="622"/>
      <c r="H163" s="622"/>
      <c r="I163" s="622"/>
      <c r="J163" s="622"/>
      <c r="K163" s="622"/>
      <c r="L163" s="622"/>
      <c r="M163" s="622"/>
      <c r="N163" s="622"/>
      <c r="O163" s="622"/>
      <c r="P163" s="622"/>
      <c r="Q163" s="622"/>
      <c r="R163" s="622"/>
      <c r="S163" s="622"/>
      <c r="T163" s="622"/>
      <c r="U163" s="622"/>
      <c r="V163" s="622"/>
      <c r="W163" s="622"/>
      <c r="X163" s="622"/>
    </row>
    <row r="164" ht="15.75" customHeight="1">
      <c r="A164" s="622"/>
      <c r="B164" s="622"/>
      <c r="C164" s="622"/>
      <c r="D164" s="622"/>
      <c r="E164" s="622"/>
      <c r="F164" s="622"/>
      <c r="G164" s="622"/>
      <c r="H164" s="622"/>
      <c r="I164" s="622"/>
      <c r="J164" s="622"/>
      <c r="K164" s="622"/>
      <c r="L164" s="622"/>
      <c r="M164" s="622"/>
      <c r="N164" s="622"/>
      <c r="O164" s="622"/>
      <c r="P164" s="622"/>
      <c r="Q164" s="622"/>
      <c r="R164" s="622"/>
      <c r="S164" s="622"/>
      <c r="T164" s="622"/>
      <c r="U164" s="622"/>
      <c r="V164" s="622"/>
      <c r="W164" s="622"/>
      <c r="X164" s="622"/>
    </row>
    <row r="165" ht="15.75" customHeight="1">
      <c r="A165" s="622"/>
      <c r="B165" s="622"/>
      <c r="C165" s="622"/>
      <c r="D165" s="622"/>
      <c r="E165" s="622"/>
      <c r="F165" s="622"/>
      <c r="G165" s="622"/>
      <c r="H165" s="622"/>
      <c r="I165" s="622"/>
      <c r="J165" s="622"/>
      <c r="K165" s="622"/>
      <c r="L165" s="622"/>
      <c r="M165" s="622"/>
      <c r="N165" s="622"/>
      <c r="O165" s="622"/>
      <c r="P165" s="622"/>
      <c r="Q165" s="622"/>
      <c r="R165" s="622"/>
      <c r="S165" s="622"/>
      <c r="T165" s="622"/>
      <c r="U165" s="622"/>
      <c r="V165" s="622"/>
      <c r="W165" s="622"/>
      <c r="X165" s="622"/>
    </row>
    <row r="166" ht="15.75" customHeight="1">
      <c r="A166" s="622"/>
      <c r="B166" s="622"/>
      <c r="C166" s="622"/>
      <c r="D166" s="622"/>
      <c r="E166" s="622"/>
      <c r="F166" s="622"/>
      <c r="G166" s="622"/>
      <c r="H166" s="622"/>
      <c r="I166" s="622"/>
      <c r="J166" s="622"/>
      <c r="K166" s="622"/>
      <c r="L166" s="622"/>
      <c r="M166" s="622"/>
      <c r="N166" s="622"/>
      <c r="O166" s="622"/>
      <c r="P166" s="622"/>
      <c r="Q166" s="622"/>
      <c r="R166" s="622"/>
      <c r="S166" s="622"/>
      <c r="T166" s="622"/>
      <c r="U166" s="622"/>
      <c r="V166" s="622"/>
      <c r="W166" s="622"/>
      <c r="X166" s="622"/>
    </row>
    <row r="167" ht="15.75" customHeight="1">
      <c r="A167" s="622"/>
      <c r="B167" s="622"/>
      <c r="C167" s="622"/>
      <c r="D167" s="622"/>
      <c r="E167" s="622"/>
      <c r="F167" s="622"/>
      <c r="G167" s="622"/>
      <c r="H167" s="622"/>
      <c r="I167" s="622"/>
      <c r="J167" s="622"/>
      <c r="K167" s="622"/>
      <c r="L167" s="622"/>
      <c r="M167" s="622"/>
      <c r="N167" s="622"/>
      <c r="O167" s="622"/>
      <c r="P167" s="622"/>
      <c r="Q167" s="622"/>
      <c r="R167" s="622"/>
      <c r="S167" s="622"/>
      <c r="T167" s="622"/>
      <c r="U167" s="622"/>
      <c r="V167" s="622"/>
      <c r="W167" s="622"/>
      <c r="X167" s="622"/>
    </row>
    <row r="168" ht="15.75" customHeight="1">
      <c r="A168" s="622"/>
      <c r="B168" s="622"/>
      <c r="C168" s="622"/>
      <c r="D168" s="622"/>
      <c r="E168" s="622"/>
      <c r="F168" s="622"/>
      <c r="G168" s="622"/>
      <c r="H168" s="622"/>
      <c r="I168" s="622"/>
      <c r="J168" s="622"/>
      <c r="K168" s="622"/>
      <c r="L168" s="622"/>
      <c r="M168" s="622"/>
      <c r="N168" s="622"/>
      <c r="O168" s="622"/>
      <c r="P168" s="622"/>
      <c r="Q168" s="622"/>
      <c r="R168" s="622"/>
      <c r="S168" s="622"/>
      <c r="T168" s="622"/>
      <c r="U168" s="622"/>
      <c r="V168" s="622"/>
      <c r="W168" s="622"/>
      <c r="X168" s="622"/>
    </row>
    <row r="169" ht="15.75" customHeight="1">
      <c r="A169" s="622"/>
      <c r="B169" s="622"/>
      <c r="C169" s="622"/>
      <c r="D169" s="622"/>
      <c r="E169" s="622"/>
      <c r="F169" s="622"/>
      <c r="G169" s="622"/>
      <c r="H169" s="622"/>
      <c r="I169" s="622"/>
      <c r="J169" s="622"/>
      <c r="K169" s="622"/>
      <c r="L169" s="622"/>
      <c r="M169" s="622"/>
      <c r="N169" s="622"/>
      <c r="O169" s="622"/>
      <c r="P169" s="622"/>
      <c r="Q169" s="622"/>
      <c r="R169" s="622"/>
      <c r="S169" s="622"/>
      <c r="T169" s="622"/>
      <c r="U169" s="622"/>
      <c r="V169" s="622"/>
      <c r="W169" s="622"/>
      <c r="X169" s="622"/>
    </row>
    <row r="170" ht="15.75" customHeight="1">
      <c r="A170" s="622"/>
      <c r="B170" s="622"/>
      <c r="C170" s="622"/>
      <c r="D170" s="622"/>
      <c r="E170" s="622"/>
      <c r="F170" s="622"/>
      <c r="G170" s="622"/>
      <c r="H170" s="622"/>
      <c r="I170" s="622"/>
      <c r="J170" s="622"/>
      <c r="K170" s="622"/>
      <c r="L170" s="622"/>
      <c r="M170" s="622"/>
      <c r="N170" s="622"/>
      <c r="O170" s="622"/>
      <c r="P170" s="622"/>
      <c r="Q170" s="622"/>
      <c r="R170" s="622"/>
      <c r="S170" s="622"/>
      <c r="T170" s="622"/>
      <c r="U170" s="622"/>
      <c r="V170" s="622"/>
      <c r="W170" s="622"/>
      <c r="X170" s="622"/>
    </row>
    <row r="171" ht="15.75" customHeight="1">
      <c r="A171" s="622"/>
      <c r="B171" s="622"/>
      <c r="C171" s="622"/>
      <c r="D171" s="622"/>
      <c r="E171" s="622"/>
      <c r="F171" s="622"/>
      <c r="G171" s="622"/>
      <c r="H171" s="622"/>
      <c r="I171" s="622"/>
      <c r="J171" s="622"/>
      <c r="K171" s="622"/>
      <c r="L171" s="622"/>
      <c r="M171" s="622"/>
      <c r="N171" s="622"/>
      <c r="O171" s="622"/>
      <c r="P171" s="622"/>
      <c r="Q171" s="622"/>
      <c r="R171" s="622"/>
      <c r="S171" s="622"/>
      <c r="T171" s="622"/>
      <c r="U171" s="622"/>
      <c r="V171" s="622"/>
      <c r="W171" s="622"/>
      <c r="X171" s="622"/>
    </row>
    <row r="172" ht="15.75" customHeight="1">
      <c r="A172" s="622"/>
      <c r="B172" s="622"/>
      <c r="C172" s="622"/>
      <c r="D172" s="622"/>
      <c r="E172" s="622"/>
      <c r="F172" s="622"/>
      <c r="G172" s="622"/>
      <c r="H172" s="622"/>
      <c r="I172" s="622"/>
      <c r="J172" s="622"/>
      <c r="K172" s="622"/>
      <c r="L172" s="622"/>
      <c r="M172" s="622"/>
      <c r="N172" s="622"/>
      <c r="O172" s="622"/>
      <c r="P172" s="622"/>
      <c r="Q172" s="622"/>
      <c r="R172" s="622"/>
      <c r="S172" s="622"/>
      <c r="T172" s="622"/>
      <c r="U172" s="622"/>
      <c r="V172" s="622"/>
      <c r="W172" s="622"/>
      <c r="X172" s="622"/>
    </row>
    <row r="173" ht="15.75" customHeight="1">
      <c r="A173" s="622"/>
      <c r="B173" s="622"/>
      <c r="C173" s="622"/>
      <c r="D173" s="622"/>
      <c r="E173" s="622"/>
      <c r="F173" s="622"/>
      <c r="G173" s="622"/>
      <c r="H173" s="622"/>
      <c r="I173" s="622"/>
      <c r="J173" s="622"/>
      <c r="K173" s="622"/>
      <c r="L173" s="622"/>
      <c r="M173" s="622"/>
      <c r="N173" s="622"/>
      <c r="O173" s="622"/>
      <c r="P173" s="622"/>
      <c r="Q173" s="622"/>
      <c r="R173" s="622"/>
      <c r="S173" s="622"/>
      <c r="T173" s="622"/>
      <c r="U173" s="622"/>
      <c r="V173" s="622"/>
      <c r="W173" s="622"/>
      <c r="X173" s="622"/>
    </row>
    <row r="174" ht="15.75" customHeight="1">
      <c r="A174" s="622"/>
      <c r="B174" s="622"/>
      <c r="C174" s="622"/>
      <c r="D174" s="622"/>
      <c r="E174" s="622"/>
      <c r="F174" s="622"/>
      <c r="G174" s="622"/>
      <c r="H174" s="622"/>
      <c r="I174" s="622"/>
      <c r="J174" s="622"/>
      <c r="K174" s="622"/>
      <c r="L174" s="622"/>
      <c r="M174" s="622"/>
      <c r="N174" s="622"/>
      <c r="O174" s="622"/>
      <c r="P174" s="622"/>
      <c r="Q174" s="622"/>
      <c r="R174" s="622"/>
      <c r="S174" s="622"/>
      <c r="T174" s="622"/>
      <c r="U174" s="622"/>
      <c r="V174" s="622"/>
      <c r="W174" s="622"/>
      <c r="X174" s="622"/>
    </row>
    <row r="175" ht="15.75" customHeight="1">
      <c r="A175" s="622"/>
      <c r="B175" s="622"/>
      <c r="C175" s="622"/>
      <c r="D175" s="622"/>
      <c r="E175" s="622"/>
      <c r="F175" s="622"/>
      <c r="G175" s="622"/>
      <c r="H175" s="622"/>
      <c r="I175" s="622"/>
      <c r="J175" s="622"/>
      <c r="K175" s="622"/>
      <c r="L175" s="622"/>
      <c r="M175" s="622"/>
      <c r="N175" s="622"/>
      <c r="O175" s="622"/>
      <c r="P175" s="622"/>
      <c r="Q175" s="622"/>
      <c r="R175" s="622"/>
      <c r="S175" s="622"/>
      <c r="T175" s="622"/>
      <c r="U175" s="622"/>
      <c r="V175" s="622"/>
      <c r="W175" s="622"/>
      <c r="X175" s="622"/>
    </row>
    <row r="176" ht="15.75" customHeight="1">
      <c r="A176" s="622"/>
      <c r="B176" s="622"/>
      <c r="C176" s="622"/>
      <c r="D176" s="622"/>
      <c r="E176" s="622"/>
      <c r="F176" s="622"/>
      <c r="G176" s="622"/>
      <c r="H176" s="622"/>
      <c r="I176" s="622"/>
      <c r="J176" s="622"/>
      <c r="K176" s="622"/>
      <c r="L176" s="622"/>
      <c r="M176" s="622"/>
      <c r="N176" s="622"/>
      <c r="O176" s="622"/>
      <c r="P176" s="622"/>
      <c r="Q176" s="622"/>
      <c r="R176" s="622"/>
      <c r="S176" s="622"/>
      <c r="T176" s="622"/>
      <c r="U176" s="622"/>
      <c r="V176" s="622"/>
      <c r="W176" s="622"/>
      <c r="X176" s="622"/>
    </row>
    <row r="177" ht="15.75" customHeight="1">
      <c r="A177" s="622"/>
      <c r="B177" s="622"/>
      <c r="C177" s="622"/>
      <c r="D177" s="622"/>
      <c r="E177" s="622"/>
      <c r="F177" s="622"/>
      <c r="G177" s="622"/>
      <c r="H177" s="622"/>
      <c r="I177" s="622"/>
      <c r="J177" s="622"/>
      <c r="K177" s="622"/>
      <c r="L177" s="622"/>
      <c r="M177" s="622"/>
      <c r="N177" s="622"/>
      <c r="O177" s="622"/>
      <c r="P177" s="622"/>
      <c r="Q177" s="622"/>
      <c r="R177" s="622"/>
      <c r="S177" s="622"/>
      <c r="T177" s="622"/>
      <c r="U177" s="622"/>
      <c r="V177" s="622"/>
      <c r="W177" s="622"/>
      <c r="X177" s="622"/>
    </row>
    <row r="178" ht="15.75" customHeight="1">
      <c r="A178" s="622"/>
      <c r="B178" s="622"/>
      <c r="C178" s="622"/>
      <c r="D178" s="622"/>
      <c r="E178" s="622"/>
      <c r="F178" s="622"/>
      <c r="G178" s="622"/>
      <c r="H178" s="622"/>
      <c r="I178" s="622"/>
      <c r="J178" s="622"/>
      <c r="K178" s="622"/>
      <c r="L178" s="622"/>
      <c r="M178" s="622"/>
      <c r="N178" s="622"/>
      <c r="O178" s="622"/>
      <c r="P178" s="622"/>
      <c r="Q178" s="622"/>
      <c r="R178" s="622"/>
      <c r="S178" s="622"/>
      <c r="T178" s="622"/>
      <c r="U178" s="622"/>
      <c r="V178" s="622"/>
      <c r="W178" s="622"/>
      <c r="X178" s="622"/>
    </row>
    <row r="179" ht="15.75" customHeight="1">
      <c r="A179" s="622"/>
      <c r="B179" s="622"/>
      <c r="C179" s="622"/>
      <c r="D179" s="622"/>
      <c r="E179" s="622"/>
      <c r="F179" s="622"/>
      <c r="G179" s="622"/>
      <c r="H179" s="622"/>
      <c r="I179" s="622"/>
      <c r="J179" s="622"/>
      <c r="K179" s="622"/>
      <c r="L179" s="622"/>
      <c r="M179" s="622"/>
      <c r="N179" s="622"/>
      <c r="O179" s="622"/>
      <c r="P179" s="622"/>
      <c r="Q179" s="622"/>
      <c r="R179" s="622"/>
      <c r="S179" s="622"/>
      <c r="T179" s="622"/>
      <c r="U179" s="622"/>
      <c r="V179" s="622"/>
      <c r="W179" s="622"/>
      <c r="X179" s="622"/>
    </row>
    <row r="180" ht="15.75" customHeight="1">
      <c r="A180" s="622"/>
      <c r="B180" s="622"/>
      <c r="C180" s="622"/>
      <c r="D180" s="622"/>
      <c r="E180" s="622"/>
      <c r="F180" s="622"/>
      <c r="G180" s="622"/>
      <c r="H180" s="622"/>
      <c r="I180" s="622"/>
      <c r="J180" s="622"/>
      <c r="K180" s="622"/>
      <c r="L180" s="622"/>
      <c r="M180" s="622"/>
      <c r="N180" s="622"/>
      <c r="O180" s="622"/>
      <c r="P180" s="622"/>
      <c r="Q180" s="622"/>
      <c r="R180" s="622"/>
      <c r="S180" s="622"/>
      <c r="T180" s="622"/>
      <c r="U180" s="622"/>
      <c r="V180" s="622"/>
      <c r="W180" s="622"/>
      <c r="X180" s="622"/>
    </row>
    <row r="181" ht="15.75" customHeight="1">
      <c r="A181" s="622"/>
      <c r="B181" s="622"/>
      <c r="C181" s="622"/>
      <c r="D181" s="622"/>
      <c r="E181" s="622"/>
      <c r="F181" s="622"/>
      <c r="G181" s="622"/>
      <c r="H181" s="622"/>
      <c r="I181" s="622"/>
      <c r="J181" s="622"/>
      <c r="K181" s="622"/>
      <c r="L181" s="622"/>
      <c r="M181" s="622"/>
      <c r="N181" s="622"/>
      <c r="O181" s="622"/>
      <c r="P181" s="622"/>
      <c r="Q181" s="622"/>
      <c r="R181" s="622"/>
      <c r="S181" s="622"/>
      <c r="T181" s="622"/>
      <c r="U181" s="622"/>
      <c r="V181" s="622"/>
      <c r="W181" s="622"/>
      <c r="X181" s="622"/>
    </row>
    <row r="182" ht="15.75" customHeight="1">
      <c r="A182" s="622"/>
      <c r="B182" s="622"/>
      <c r="C182" s="622"/>
      <c r="D182" s="622"/>
      <c r="E182" s="622"/>
      <c r="F182" s="622"/>
      <c r="G182" s="622"/>
      <c r="H182" s="622"/>
      <c r="I182" s="622"/>
      <c r="J182" s="622"/>
      <c r="K182" s="622"/>
      <c r="L182" s="622"/>
      <c r="M182" s="622"/>
      <c r="N182" s="622"/>
      <c r="O182" s="622"/>
      <c r="P182" s="622"/>
      <c r="Q182" s="622"/>
      <c r="R182" s="622"/>
      <c r="S182" s="622"/>
      <c r="T182" s="622"/>
      <c r="U182" s="622"/>
      <c r="V182" s="622"/>
      <c r="W182" s="622"/>
      <c r="X182" s="622"/>
    </row>
    <row r="183" ht="15.75" customHeight="1">
      <c r="A183" s="622"/>
      <c r="B183" s="622"/>
      <c r="C183" s="622"/>
      <c r="D183" s="622"/>
      <c r="E183" s="622"/>
      <c r="F183" s="622"/>
      <c r="G183" s="622"/>
      <c r="H183" s="622"/>
      <c r="I183" s="622"/>
      <c r="J183" s="622"/>
      <c r="K183" s="622"/>
      <c r="L183" s="622"/>
      <c r="M183" s="622"/>
      <c r="N183" s="622"/>
      <c r="O183" s="622"/>
      <c r="P183" s="622"/>
      <c r="Q183" s="622"/>
      <c r="R183" s="622"/>
      <c r="S183" s="622"/>
      <c r="T183" s="622"/>
      <c r="U183" s="622"/>
      <c r="V183" s="622"/>
      <c r="W183" s="622"/>
      <c r="X183" s="622"/>
    </row>
    <row r="184" ht="15.75" customHeight="1">
      <c r="A184" s="622"/>
      <c r="B184" s="622"/>
      <c r="C184" s="622"/>
      <c r="D184" s="622"/>
      <c r="E184" s="622"/>
      <c r="F184" s="622"/>
      <c r="G184" s="622"/>
      <c r="H184" s="622"/>
      <c r="I184" s="622"/>
      <c r="J184" s="622"/>
      <c r="K184" s="622"/>
      <c r="L184" s="622"/>
      <c r="M184" s="622"/>
      <c r="N184" s="622"/>
      <c r="O184" s="622"/>
      <c r="P184" s="622"/>
      <c r="Q184" s="622"/>
      <c r="R184" s="622"/>
      <c r="S184" s="622"/>
      <c r="T184" s="622"/>
      <c r="U184" s="622"/>
      <c r="V184" s="622"/>
      <c r="W184" s="622"/>
      <c r="X184" s="622"/>
    </row>
    <row r="185" ht="15.75" customHeight="1">
      <c r="A185" s="622"/>
      <c r="B185" s="622"/>
      <c r="C185" s="622"/>
      <c r="D185" s="622"/>
      <c r="E185" s="622"/>
      <c r="F185" s="622"/>
      <c r="G185" s="622"/>
      <c r="H185" s="622"/>
      <c r="I185" s="622"/>
      <c r="J185" s="622"/>
      <c r="K185" s="622"/>
      <c r="L185" s="622"/>
      <c r="M185" s="622"/>
      <c r="N185" s="622"/>
      <c r="O185" s="622"/>
      <c r="P185" s="622"/>
      <c r="Q185" s="622"/>
      <c r="R185" s="622"/>
      <c r="S185" s="622"/>
      <c r="T185" s="622"/>
      <c r="U185" s="622"/>
      <c r="V185" s="622"/>
      <c r="W185" s="622"/>
      <c r="X185" s="622"/>
    </row>
    <row r="186" ht="15.75" customHeight="1">
      <c r="A186" s="622"/>
      <c r="B186" s="622"/>
      <c r="C186" s="622"/>
      <c r="D186" s="622"/>
      <c r="E186" s="622"/>
      <c r="F186" s="622"/>
      <c r="G186" s="622"/>
      <c r="H186" s="622"/>
      <c r="I186" s="622"/>
      <c r="J186" s="622"/>
      <c r="K186" s="622"/>
      <c r="L186" s="622"/>
      <c r="M186" s="622"/>
      <c r="N186" s="622"/>
      <c r="O186" s="622"/>
      <c r="P186" s="622"/>
      <c r="Q186" s="622"/>
      <c r="R186" s="622"/>
      <c r="S186" s="622"/>
      <c r="T186" s="622"/>
      <c r="U186" s="622"/>
      <c r="V186" s="622"/>
      <c r="W186" s="622"/>
      <c r="X186" s="622"/>
    </row>
    <row r="187" ht="15.75" customHeight="1">
      <c r="A187" s="622"/>
      <c r="B187" s="622"/>
      <c r="C187" s="622"/>
      <c r="D187" s="622"/>
      <c r="E187" s="622"/>
      <c r="F187" s="622"/>
      <c r="G187" s="622"/>
      <c r="H187" s="622"/>
      <c r="I187" s="622"/>
      <c r="J187" s="622"/>
      <c r="K187" s="622"/>
      <c r="L187" s="622"/>
      <c r="M187" s="622"/>
      <c r="N187" s="622"/>
      <c r="O187" s="622"/>
      <c r="P187" s="622"/>
      <c r="Q187" s="622"/>
      <c r="R187" s="622"/>
      <c r="S187" s="622"/>
      <c r="T187" s="622"/>
      <c r="U187" s="622"/>
      <c r="V187" s="622"/>
      <c r="W187" s="622"/>
      <c r="X187" s="622"/>
    </row>
    <row r="188" ht="15.75" customHeight="1">
      <c r="A188" s="622"/>
      <c r="B188" s="622"/>
      <c r="C188" s="622"/>
      <c r="D188" s="622"/>
      <c r="E188" s="622"/>
      <c r="F188" s="622"/>
      <c r="G188" s="622"/>
      <c r="H188" s="622"/>
      <c r="I188" s="622"/>
      <c r="J188" s="622"/>
      <c r="K188" s="622"/>
      <c r="L188" s="622"/>
      <c r="M188" s="622"/>
      <c r="N188" s="622"/>
      <c r="O188" s="622"/>
      <c r="P188" s="622"/>
      <c r="Q188" s="622"/>
      <c r="R188" s="622"/>
      <c r="S188" s="622"/>
      <c r="T188" s="622"/>
      <c r="U188" s="622"/>
      <c r="V188" s="622"/>
      <c r="W188" s="622"/>
      <c r="X188" s="622"/>
    </row>
    <row r="189" ht="15.75" customHeight="1">
      <c r="A189" s="622"/>
      <c r="B189" s="622"/>
      <c r="C189" s="622"/>
      <c r="D189" s="622"/>
      <c r="E189" s="622"/>
      <c r="F189" s="622"/>
      <c r="G189" s="622"/>
      <c r="H189" s="622"/>
      <c r="I189" s="622"/>
      <c r="J189" s="622"/>
      <c r="K189" s="622"/>
      <c r="L189" s="622"/>
      <c r="M189" s="622"/>
      <c r="N189" s="622"/>
      <c r="O189" s="622"/>
      <c r="P189" s="622"/>
      <c r="Q189" s="622"/>
      <c r="R189" s="622"/>
      <c r="S189" s="622"/>
      <c r="T189" s="622"/>
      <c r="U189" s="622"/>
      <c r="V189" s="622"/>
      <c r="W189" s="622"/>
      <c r="X189" s="622"/>
    </row>
    <row r="190" ht="15.75" customHeight="1">
      <c r="A190" s="622"/>
      <c r="B190" s="622"/>
      <c r="C190" s="622"/>
      <c r="D190" s="622"/>
      <c r="E190" s="622"/>
      <c r="F190" s="622"/>
      <c r="G190" s="622"/>
      <c r="H190" s="622"/>
      <c r="I190" s="622"/>
      <c r="J190" s="622"/>
      <c r="K190" s="622"/>
      <c r="L190" s="622"/>
      <c r="M190" s="622"/>
      <c r="N190" s="622"/>
      <c r="O190" s="622"/>
      <c r="P190" s="622"/>
      <c r="Q190" s="622"/>
      <c r="R190" s="622"/>
      <c r="S190" s="622"/>
      <c r="T190" s="622"/>
      <c r="U190" s="622"/>
      <c r="V190" s="622"/>
      <c r="W190" s="622"/>
      <c r="X190" s="622"/>
    </row>
    <row r="191" ht="15.75" customHeight="1">
      <c r="A191" s="622"/>
      <c r="B191" s="622"/>
      <c r="C191" s="622"/>
      <c r="D191" s="622"/>
      <c r="E191" s="622"/>
      <c r="F191" s="622"/>
      <c r="G191" s="622"/>
      <c r="H191" s="622"/>
      <c r="I191" s="622"/>
      <c r="J191" s="622"/>
      <c r="K191" s="622"/>
      <c r="L191" s="622"/>
      <c r="M191" s="622"/>
      <c r="N191" s="622"/>
      <c r="O191" s="622"/>
      <c r="P191" s="622"/>
      <c r="Q191" s="622"/>
      <c r="R191" s="622"/>
      <c r="S191" s="622"/>
      <c r="T191" s="622"/>
      <c r="U191" s="622"/>
      <c r="V191" s="622"/>
      <c r="W191" s="622"/>
      <c r="X191" s="622"/>
    </row>
    <row r="192" ht="15.75" customHeight="1">
      <c r="A192" s="622"/>
      <c r="B192" s="622"/>
      <c r="C192" s="622"/>
      <c r="D192" s="622"/>
      <c r="E192" s="622"/>
      <c r="F192" s="622"/>
      <c r="G192" s="622"/>
      <c r="H192" s="622"/>
      <c r="I192" s="622"/>
      <c r="J192" s="622"/>
      <c r="K192" s="622"/>
      <c r="L192" s="622"/>
      <c r="M192" s="622"/>
      <c r="N192" s="622"/>
      <c r="O192" s="622"/>
      <c r="P192" s="622"/>
      <c r="Q192" s="622"/>
      <c r="R192" s="622"/>
      <c r="S192" s="622"/>
      <c r="T192" s="622"/>
      <c r="U192" s="622"/>
      <c r="V192" s="622"/>
      <c r="W192" s="622"/>
      <c r="X192" s="622"/>
    </row>
    <row r="193" ht="15.75" customHeight="1">
      <c r="A193" s="622"/>
      <c r="B193" s="622"/>
      <c r="C193" s="622"/>
      <c r="D193" s="622"/>
      <c r="E193" s="622"/>
      <c r="F193" s="622"/>
      <c r="G193" s="622"/>
      <c r="H193" s="622"/>
      <c r="I193" s="622"/>
      <c r="J193" s="622"/>
      <c r="K193" s="622"/>
      <c r="L193" s="622"/>
      <c r="M193" s="622"/>
      <c r="N193" s="622"/>
      <c r="O193" s="622"/>
      <c r="P193" s="622"/>
      <c r="Q193" s="622"/>
      <c r="R193" s="622"/>
      <c r="S193" s="622"/>
      <c r="T193" s="622"/>
      <c r="U193" s="622"/>
      <c r="V193" s="622"/>
      <c r="W193" s="622"/>
      <c r="X193" s="622"/>
    </row>
    <row r="194" ht="15.75" customHeight="1">
      <c r="A194" s="622"/>
      <c r="B194" s="622"/>
      <c r="C194" s="622"/>
      <c r="D194" s="622"/>
      <c r="E194" s="622"/>
      <c r="F194" s="622"/>
      <c r="G194" s="622"/>
      <c r="H194" s="622"/>
      <c r="I194" s="622"/>
      <c r="J194" s="622"/>
      <c r="K194" s="622"/>
      <c r="L194" s="622"/>
      <c r="M194" s="622"/>
      <c r="N194" s="622"/>
      <c r="O194" s="622"/>
      <c r="P194" s="622"/>
      <c r="Q194" s="622"/>
      <c r="R194" s="622"/>
      <c r="S194" s="622"/>
      <c r="T194" s="622"/>
      <c r="U194" s="622"/>
      <c r="V194" s="622"/>
      <c r="W194" s="622"/>
      <c r="X194" s="622"/>
    </row>
    <row r="195" ht="15.75" customHeight="1">
      <c r="A195" s="622"/>
      <c r="B195" s="622"/>
      <c r="C195" s="622"/>
      <c r="D195" s="622"/>
      <c r="E195" s="622"/>
      <c r="F195" s="622"/>
      <c r="G195" s="622"/>
      <c r="H195" s="622"/>
      <c r="I195" s="622"/>
      <c r="J195" s="622"/>
      <c r="K195" s="622"/>
      <c r="L195" s="622"/>
      <c r="M195" s="622"/>
      <c r="N195" s="622"/>
      <c r="O195" s="622"/>
      <c r="P195" s="622"/>
      <c r="Q195" s="622"/>
      <c r="R195" s="622"/>
      <c r="S195" s="622"/>
      <c r="T195" s="622"/>
      <c r="U195" s="622"/>
      <c r="V195" s="622"/>
      <c r="W195" s="622"/>
      <c r="X195" s="622"/>
    </row>
    <row r="196" ht="15.75" customHeight="1">
      <c r="A196" s="622"/>
      <c r="B196" s="622"/>
      <c r="C196" s="622"/>
      <c r="D196" s="622"/>
      <c r="E196" s="622"/>
      <c r="F196" s="622"/>
      <c r="G196" s="622"/>
      <c r="H196" s="622"/>
      <c r="I196" s="622"/>
      <c r="J196" s="622"/>
      <c r="K196" s="622"/>
      <c r="L196" s="622"/>
      <c r="M196" s="622"/>
      <c r="N196" s="622"/>
      <c r="O196" s="622"/>
      <c r="P196" s="622"/>
      <c r="Q196" s="622"/>
      <c r="R196" s="622"/>
      <c r="S196" s="622"/>
      <c r="T196" s="622"/>
      <c r="U196" s="622"/>
      <c r="V196" s="622"/>
      <c r="W196" s="622"/>
      <c r="X196" s="622"/>
    </row>
    <row r="197" ht="15.75" customHeight="1">
      <c r="A197" s="622"/>
      <c r="B197" s="622"/>
      <c r="C197" s="622"/>
      <c r="D197" s="622"/>
      <c r="E197" s="622"/>
      <c r="F197" s="622"/>
      <c r="G197" s="622"/>
      <c r="H197" s="622"/>
      <c r="I197" s="622"/>
      <c r="J197" s="622"/>
      <c r="K197" s="622"/>
      <c r="L197" s="622"/>
      <c r="M197" s="622"/>
      <c r="N197" s="622"/>
      <c r="O197" s="622"/>
      <c r="P197" s="622"/>
      <c r="Q197" s="622"/>
      <c r="R197" s="622"/>
      <c r="S197" s="622"/>
      <c r="T197" s="622"/>
      <c r="U197" s="622"/>
      <c r="V197" s="622"/>
      <c r="W197" s="622"/>
      <c r="X197" s="622"/>
    </row>
    <row r="198" ht="15.75" customHeight="1">
      <c r="A198" s="622"/>
      <c r="B198" s="622"/>
      <c r="C198" s="622"/>
      <c r="D198" s="622"/>
      <c r="E198" s="622"/>
      <c r="F198" s="622"/>
      <c r="G198" s="622"/>
      <c r="H198" s="622"/>
      <c r="I198" s="622"/>
      <c r="J198" s="622"/>
      <c r="K198" s="622"/>
      <c r="L198" s="622"/>
      <c r="M198" s="622"/>
      <c r="N198" s="622"/>
      <c r="O198" s="622"/>
      <c r="P198" s="622"/>
      <c r="Q198" s="622"/>
      <c r="R198" s="622"/>
      <c r="S198" s="622"/>
      <c r="T198" s="622"/>
      <c r="U198" s="622"/>
      <c r="V198" s="622"/>
      <c r="W198" s="622"/>
      <c r="X198" s="622"/>
    </row>
    <row r="199" ht="15.75" customHeight="1">
      <c r="A199" s="622"/>
      <c r="B199" s="622"/>
      <c r="C199" s="622"/>
      <c r="D199" s="622"/>
      <c r="E199" s="622"/>
      <c r="F199" s="622"/>
      <c r="G199" s="622"/>
      <c r="H199" s="622"/>
      <c r="I199" s="622"/>
      <c r="J199" s="622"/>
      <c r="K199" s="622"/>
      <c r="L199" s="622"/>
      <c r="M199" s="622"/>
      <c r="N199" s="622"/>
      <c r="O199" s="622"/>
      <c r="P199" s="622"/>
      <c r="Q199" s="622"/>
      <c r="R199" s="622"/>
      <c r="S199" s="622"/>
      <c r="T199" s="622"/>
      <c r="U199" s="622"/>
      <c r="V199" s="622"/>
      <c r="W199" s="622"/>
      <c r="X199" s="622"/>
    </row>
    <row r="200" ht="15.75" customHeight="1">
      <c r="A200" s="622"/>
      <c r="B200" s="622"/>
      <c r="C200" s="622"/>
      <c r="D200" s="622"/>
      <c r="E200" s="622"/>
      <c r="F200" s="622"/>
      <c r="G200" s="622"/>
      <c r="H200" s="622"/>
      <c r="I200" s="622"/>
      <c r="J200" s="622"/>
      <c r="K200" s="622"/>
      <c r="L200" s="622"/>
      <c r="M200" s="622"/>
      <c r="N200" s="622"/>
      <c r="O200" s="622"/>
      <c r="P200" s="622"/>
      <c r="Q200" s="622"/>
      <c r="R200" s="622"/>
      <c r="S200" s="622"/>
      <c r="T200" s="622"/>
      <c r="U200" s="622"/>
      <c r="V200" s="622"/>
      <c r="W200" s="622"/>
      <c r="X200" s="622"/>
    </row>
    <row r="201" ht="15.75" customHeight="1">
      <c r="A201" s="622"/>
      <c r="B201" s="622"/>
      <c r="C201" s="622"/>
      <c r="D201" s="622"/>
      <c r="E201" s="622"/>
      <c r="F201" s="622"/>
      <c r="G201" s="622"/>
      <c r="H201" s="622"/>
      <c r="I201" s="622"/>
      <c r="J201" s="622"/>
      <c r="K201" s="622"/>
      <c r="L201" s="622"/>
      <c r="M201" s="622"/>
      <c r="N201" s="622"/>
      <c r="O201" s="622"/>
      <c r="P201" s="622"/>
      <c r="Q201" s="622"/>
      <c r="R201" s="622"/>
      <c r="S201" s="622"/>
      <c r="T201" s="622"/>
      <c r="U201" s="622"/>
      <c r="V201" s="622"/>
      <c r="W201" s="622"/>
      <c r="X201" s="622"/>
    </row>
    <row r="202" ht="15.75" customHeight="1">
      <c r="A202" s="622"/>
      <c r="B202" s="622"/>
      <c r="C202" s="622"/>
      <c r="D202" s="622"/>
      <c r="E202" s="622"/>
      <c r="F202" s="622"/>
      <c r="G202" s="622"/>
      <c r="H202" s="622"/>
      <c r="I202" s="622"/>
      <c r="J202" s="622"/>
      <c r="K202" s="622"/>
      <c r="L202" s="622"/>
      <c r="M202" s="622"/>
      <c r="N202" s="622"/>
      <c r="O202" s="622"/>
      <c r="P202" s="622"/>
      <c r="Q202" s="622"/>
      <c r="R202" s="622"/>
      <c r="S202" s="622"/>
      <c r="T202" s="622"/>
      <c r="U202" s="622"/>
      <c r="V202" s="622"/>
      <c r="W202" s="622"/>
      <c r="X202" s="622"/>
    </row>
    <row r="203" ht="15.75" customHeight="1">
      <c r="A203" s="622"/>
      <c r="B203" s="622"/>
      <c r="C203" s="622"/>
      <c r="D203" s="622"/>
      <c r="E203" s="622"/>
      <c r="F203" s="622"/>
      <c r="G203" s="622"/>
      <c r="H203" s="622"/>
      <c r="I203" s="622"/>
      <c r="J203" s="622"/>
      <c r="K203" s="622"/>
      <c r="L203" s="622"/>
      <c r="M203" s="622"/>
      <c r="N203" s="622"/>
      <c r="O203" s="622"/>
      <c r="P203" s="622"/>
      <c r="Q203" s="622"/>
      <c r="R203" s="622"/>
      <c r="S203" s="622"/>
      <c r="T203" s="622"/>
      <c r="U203" s="622"/>
      <c r="V203" s="622"/>
      <c r="W203" s="622"/>
      <c r="X203" s="622"/>
    </row>
    <row r="204" ht="15.75" customHeight="1">
      <c r="A204" s="622"/>
      <c r="B204" s="622"/>
      <c r="C204" s="622"/>
      <c r="D204" s="622"/>
      <c r="E204" s="622"/>
      <c r="F204" s="622"/>
      <c r="G204" s="622"/>
      <c r="H204" s="622"/>
      <c r="I204" s="622"/>
      <c r="J204" s="622"/>
      <c r="K204" s="622"/>
      <c r="L204" s="622"/>
      <c r="M204" s="622"/>
      <c r="N204" s="622"/>
      <c r="O204" s="622"/>
      <c r="P204" s="622"/>
      <c r="Q204" s="622"/>
      <c r="R204" s="622"/>
      <c r="S204" s="622"/>
      <c r="T204" s="622"/>
      <c r="U204" s="622"/>
      <c r="V204" s="622"/>
      <c r="W204" s="622"/>
      <c r="X204" s="622"/>
    </row>
    <row r="205" ht="15.75" customHeight="1">
      <c r="A205" s="622"/>
      <c r="B205" s="622"/>
      <c r="C205" s="622"/>
      <c r="D205" s="622"/>
      <c r="E205" s="622"/>
      <c r="F205" s="622"/>
      <c r="G205" s="622"/>
      <c r="H205" s="622"/>
      <c r="I205" s="622"/>
      <c r="J205" s="622"/>
      <c r="K205" s="622"/>
      <c r="L205" s="622"/>
      <c r="M205" s="622"/>
      <c r="N205" s="622"/>
      <c r="O205" s="622"/>
      <c r="P205" s="622"/>
      <c r="Q205" s="622"/>
      <c r="R205" s="622"/>
      <c r="S205" s="622"/>
      <c r="T205" s="622"/>
      <c r="U205" s="622"/>
      <c r="V205" s="622"/>
      <c r="W205" s="622"/>
      <c r="X205" s="622"/>
    </row>
    <row r="206" ht="15.75" customHeight="1">
      <c r="A206" s="622"/>
      <c r="B206" s="622"/>
      <c r="C206" s="622"/>
      <c r="D206" s="622"/>
      <c r="E206" s="622"/>
      <c r="F206" s="622"/>
      <c r="G206" s="622"/>
      <c r="H206" s="622"/>
      <c r="I206" s="622"/>
      <c r="J206" s="622"/>
      <c r="K206" s="622"/>
      <c r="L206" s="622"/>
      <c r="M206" s="622"/>
      <c r="N206" s="622"/>
      <c r="O206" s="622"/>
      <c r="P206" s="622"/>
      <c r="Q206" s="622"/>
      <c r="R206" s="622"/>
      <c r="S206" s="622"/>
      <c r="T206" s="622"/>
      <c r="U206" s="622"/>
      <c r="V206" s="622"/>
      <c r="W206" s="622"/>
      <c r="X206" s="622"/>
    </row>
    <row r="207" ht="15.75" customHeight="1">
      <c r="A207" s="622"/>
      <c r="B207" s="622"/>
      <c r="C207" s="622"/>
      <c r="D207" s="622"/>
      <c r="E207" s="622"/>
      <c r="F207" s="622"/>
      <c r="G207" s="622"/>
      <c r="H207" s="622"/>
      <c r="I207" s="622"/>
      <c r="J207" s="622"/>
      <c r="K207" s="622"/>
      <c r="L207" s="622"/>
      <c r="M207" s="622"/>
      <c r="N207" s="622"/>
      <c r="O207" s="622"/>
      <c r="P207" s="622"/>
      <c r="Q207" s="622"/>
      <c r="R207" s="622"/>
      <c r="S207" s="622"/>
      <c r="T207" s="622"/>
      <c r="U207" s="622"/>
      <c r="V207" s="622"/>
      <c r="W207" s="622"/>
      <c r="X207" s="622"/>
    </row>
    <row r="208" ht="15.75" customHeight="1">
      <c r="A208" s="622"/>
      <c r="B208" s="622"/>
      <c r="C208" s="622"/>
      <c r="D208" s="622"/>
      <c r="E208" s="622"/>
      <c r="F208" s="622"/>
      <c r="G208" s="622"/>
      <c r="H208" s="622"/>
      <c r="I208" s="622"/>
      <c r="J208" s="622"/>
      <c r="K208" s="622"/>
      <c r="L208" s="622"/>
      <c r="M208" s="622"/>
      <c r="N208" s="622"/>
      <c r="O208" s="622"/>
      <c r="P208" s="622"/>
      <c r="Q208" s="622"/>
      <c r="R208" s="622"/>
      <c r="S208" s="622"/>
      <c r="T208" s="622"/>
      <c r="U208" s="622"/>
      <c r="V208" s="622"/>
      <c r="W208" s="622"/>
      <c r="X208" s="622"/>
    </row>
    <row r="209" ht="15.75" customHeight="1">
      <c r="A209" s="622"/>
      <c r="B209" s="622"/>
      <c r="C209" s="622"/>
      <c r="D209" s="622"/>
      <c r="E209" s="622"/>
      <c r="F209" s="622"/>
      <c r="G209" s="622"/>
      <c r="H209" s="622"/>
      <c r="I209" s="622"/>
      <c r="J209" s="622"/>
      <c r="K209" s="622"/>
      <c r="L209" s="622"/>
      <c r="M209" s="622"/>
      <c r="N209" s="622"/>
      <c r="O209" s="622"/>
      <c r="P209" s="622"/>
      <c r="Q209" s="622"/>
      <c r="R209" s="622"/>
      <c r="S209" s="622"/>
      <c r="T209" s="622"/>
      <c r="U209" s="622"/>
      <c r="V209" s="622"/>
      <c r="W209" s="622"/>
      <c r="X209" s="622"/>
    </row>
    <row r="210" ht="15.75" customHeight="1">
      <c r="A210" s="622"/>
      <c r="B210" s="622"/>
      <c r="C210" s="622"/>
      <c r="D210" s="622"/>
      <c r="E210" s="622"/>
      <c r="F210" s="622"/>
      <c r="G210" s="622"/>
      <c r="H210" s="622"/>
      <c r="I210" s="622"/>
      <c r="J210" s="622"/>
      <c r="K210" s="622"/>
      <c r="L210" s="622"/>
      <c r="M210" s="622"/>
      <c r="N210" s="622"/>
      <c r="O210" s="622"/>
      <c r="P210" s="622"/>
      <c r="Q210" s="622"/>
      <c r="R210" s="622"/>
      <c r="S210" s="622"/>
      <c r="T210" s="622"/>
      <c r="U210" s="622"/>
      <c r="V210" s="622"/>
      <c r="W210" s="622"/>
      <c r="X210" s="622"/>
    </row>
    <row r="211" ht="15.75" customHeight="1">
      <c r="A211" s="622"/>
      <c r="B211" s="622"/>
      <c r="C211" s="622"/>
      <c r="D211" s="622"/>
      <c r="E211" s="622"/>
      <c r="F211" s="622"/>
      <c r="G211" s="622"/>
      <c r="H211" s="622"/>
      <c r="I211" s="622"/>
      <c r="J211" s="622"/>
      <c r="K211" s="622"/>
      <c r="L211" s="622"/>
      <c r="M211" s="622"/>
      <c r="N211" s="622"/>
      <c r="O211" s="622"/>
      <c r="P211" s="622"/>
      <c r="Q211" s="622"/>
      <c r="R211" s="622"/>
      <c r="S211" s="622"/>
      <c r="T211" s="622"/>
      <c r="U211" s="622"/>
      <c r="V211" s="622"/>
      <c r="W211" s="622"/>
      <c r="X211" s="622"/>
    </row>
    <row r="212" ht="15.75" customHeight="1">
      <c r="A212" s="622"/>
      <c r="B212" s="622"/>
      <c r="C212" s="622"/>
      <c r="D212" s="622"/>
      <c r="E212" s="622"/>
      <c r="F212" s="622"/>
      <c r="G212" s="622"/>
      <c r="H212" s="622"/>
      <c r="I212" s="622"/>
      <c r="J212" s="622"/>
      <c r="K212" s="622"/>
      <c r="L212" s="622"/>
      <c r="M212" s="622"/>
      <c r="N212" s="622"/>
      <c r="O212" s="622"/>
      <c r="P212" s="622"/>
      <c r="Q212" s="622"/>
      <c r="R212" s="622"/>
      <c r="S212" s="622"/>
      <c r="T212" s="622"/>
      <c r="U212" s="622"/>
      <c r="V212" s="622"/>
      <c r="W212" s="622"/>
      <c r="X212" s="622"/>
    </row>
    <row r="213" ht="15.75" customHeight="1">
      <c r="A213" s="622"/>
      <c r="B213" s="622"/>
      <c r="C213" s="622"/>
      <c r="D213" s="622"/>
      <c r="E213" s="622"/>
      <c r="F213" s="622"/>
      <c r="G213" s="622"/>
      <c r="H213" s="622"/>
      <c r="I213" s="622"/>
      <c r="J213" s="622"/>
      <c r="K213" s="622"/>
      <c r="L213" s="622"/>
      <c r="M213" s="622"/>
      <c r="N213" s="622"/>
      <c r="O213" s="622"/>
      <c r="P213" s="622"/>
      <c r="Q213" s="622"/>
      <c r="R213" s="622"/>
      <c r="S213" s="622"/>
      <c r="T213" s="622"/>
      <c r="U213" s="622"/>
      <c r="V213" s="622"/>
      <c r="W213" s="622"/>
      <c r="X213" s="622"/>
    </row>
    <row r="214" ht="15.75" customHeight="1">
      <c r="A214" s="622"/>
      <c r="B214" s="622"/>
      <c r="C214" s="622"/>
      <c r="D214" s="622"/>
      <c r="E214" s="622"/>
      <c r="F214" s="622"/>
      <c r="G214" s="622"/>
      <c r="H214" s="622"/>
      <c r="I214" s="622"/>
      <c r="J214" s="622"/>
      <c r="K214" s="622"/>
      <c r="L214" s="622"/>
      <c r="M214" s="622"/>
      <c r="N214" s="622"/>
      <c r="O214" s="622"/>
      <c r="P214" s="622"/>
      <c r="Q214" s="622"/>
      <c r="R214" s="622"/>
      <c r="S214" s="622"/>
      <c r="T214" s="622"/>
      <c r="U214" s="622"/>
      <c r="V214" s="622"/>
      <c r="W214" s="622"/>
      <c r="X214" s="622"/>
    </row>
    <row r="215" ht="15.75" customHeight="1">
      <c r="A215" s="622"/>
      <c r="B215" s="622"/>
      <c r="C215" s="622"/>
      <c r="D215" s="622"/>
      <c r="E215" s="622"/>
      <c r="F215" s="622"/>
      <c r="G215" s="622"/>
      <c r="H215" s="622"/>
      <c r="I215" s="622"/>
      <c r="J215" s="622"/>
      <c r="K215" s="622"/>
      <c r="L215" s="622"/>
      <c r="M215" s="622"/>
      <c r="N215" s="622"/>
      <c r="O215" s="622"/>
      <c r="P215" s="622"/>
      <c r="Q215" s="622"/>
      <c r="R215" s="622"/>
      <c r="S215" s="622"/>
      <c r="T215" s="622"/>
      <c r="U215" s="622"/>
      <c r="V215" s="622"/>
      <c r="W215" s="622"/>
      <c r="X215" s="622"/>
    </row>
    <row r="216" ht="15.75" customHeight="1">
      <c r="A216" s="622"/>
      <c r="B216" s="622"/>
      <c r="C216" s="622"/>
      <c r="D216" s="622"/>
      <c r="E216" s="622"/>
      <c r="F216" s="622"/>
      <c r="G216" s="622"/>
      <c r="H216" s="622"/>
      <c r="I216" s="622"/>
      <c r="J216" s="622"/>
      <c r="K216" s="622"/>
      <c r="L216" s="622"/>
      <c r="M216" s="622"/>
      <c r="N216" s="622"/>
      <c r="O216" s="622"/>
      <c r="P216" s="622"/>
      <c r="Q216" s="622"/>
      <c r="R216" s="622"/>
      <c r="S216" s="622"/>
      <c r="T216" s="622"/>
      <c r="U216" s="622"/>
      <c r="V216" s="622"/>
      <c r="W216" s="622"/>
      <c r="X216" s="622"/>
    </row>
    <row r="217" ht="15.75" customHeight="1">
      <c r="A217" s="622"/>
      <c r="B217" s="622"/>
      <c r="C217" s="622"/>
      <c r="D217" s="622"/>
      <c r="E217" s="622"/>
      <c r="F217" s="622"/>
      <c r="G217" s="622"/>
      <c r="H217" s="622"/>
      <c r="I217" s="622"/>
      <c r="J217" s="622"/>
      <c r="K217" s="622"/>
      <c r="L217" s="622"/>
      <c r="M217" s="622"/>
      <c r="N217" s="622"/>
      <c r="O217" s="622"/>
      <c r="P217" s="622"/>
      <c r="Q217" s="622"/>
      <c r="R217" s="622"/>
      <c r="S217" s="622"/>
      <c r="T217" s="622"/>
      <c r="U217" s="622"/>
      <c r="V217" s="622"/>
      <c r="W217" s="622"/>
      <c r="X217" s="622"/>
    </row>
    <row r="218" ht="15.75" customHeight="1">
      <c r="A218" s="622"/>
      <c r="B218" s="622"/>
      <c r="C218" s="622"/>
      <c r="D218" s="622"/>
      <c r="E218" s="622"/>
      <c r="F218" s="622"/>
      <c r="G218" s="622"/>
      <c r="H218" s="622"/>
      <c r="I218" s="622"/>
      <c r="J218" s="622"/>
      <c r="K218" s="622"/>
      <c r="L218" s="622"/>
      <c r="M218" s="622"/>
      <c r="N218" s="622"/>
      <c r="O218" s="622"/>
      <c r="P218" s="622"/>
      <c r="Q218" s="622"/>
      <c r="R218" s="622"/>
      <c r="S218" s="622"/>
      <c r="T218" s="622"/>
      <c r="U218" s="622"/>
      <c r="V218" s="622"/>
      <c r="W218" s="622"/>
      <c r="X218" s="622"/>
    </row>
    <row r="219" ht="15.75" customHeight="1">
      <c r="A219" s="622"/>
      <c r="B219" s="622"/>
      <c r="C219" s="622"/>
      <c r="D219" s="622"/>
      <c r="E219" s="622"/>
      <c r="F219" s="622"/>
      <c r="G219" s="622"/>
      <c r="H219" s="622"/>
      <c r="I219" s="622"/>
      <c r="J219" s="622"/>
      <c r="K219" s="622"/>
      <c r="L219" s="622"/>
      <c r="M219" s="622"/>
      <c r="N219" s="622"/>
      <c r="O219" s="622"/>
      <c r="P219" s="622"/>
      <c r="Q219" s="622"/>
      <c r="R219" s="622"/>
      <c r="S219" s="622"/>
      <c r="T219" s="622"/>
      <c r="U219" s="622"/>
      <c r="V219" s="622"/>
      <c r="W219" s="622"/>
      <c r="X219" s="622"/>
    </row>
    <row r="220" ht="15.75" customHeight="1">
      <c r="A220" s="622"/>
      <c r="B220" s="622"/>
      <c r="C220" s="622"/>
      <c r="D220" s="622"/>
      <c r="E220" s="622"/>
      <c r="F220" s="622"/>
      <c r="G220" s="622"/>
      <c r="H220" s="622"/>
      <c r="I220" s="622"/>
      <c r="J220" s="622"/>
      <c r="K220" s="622"/>
      <c r="L220" s="622"/>
      <c r="M220" s="622"/>
      <c r="N220" s="622"/>
      <c r="O220" s="622"/>
      <c r="P220" s="622"/>
      <c r="Q220" s="622"/>
      <c r="R220" s="622"/>
      <c r="S220" s="622"/>
      <c r="T220" s="622"/>
      <c r="U220" s="622"/>
      <c r="V220" s="622"/>
      <c r="W220" s="622"/>
      <c r="X220" s="622"/>
    </row>
    <row r="221" ht="15.75" customHeight="1">
      <c r="A221" s="622"/>
      <c r="B221" s="622"/>
      <c r="C221" s="622"/>
      <c r="D221" s="622"/>
      <c r="E221" s="622"/>
      <c r="F221" s="622"/>
      <c r="G221" s="622"/>
      <c r="H221" s="622"/>
      <c r="I221" s="622"/>
      <c r="J221" s="622"/>
      <c r="K221" s="622"/>
      <c r="L221" s="622"/>
      <c r="M221" s="622"/>
      <c r="N221" s="622"/>
      <c r="O221" s="622"/>
      <c r="P221" s="622"/>
      <c r="Q221" s="622"/>
      <c r="R221" s="622"/>
      <c r="S221" s="622"/>
      <c r="T221" s="622"/>
      <c r="U221" s="622"/>
      <c r="V221" s="622"/>
      <c r="W221" s="622"/>
      <c r="X221" s="622"/>
    </row>
    <row r="222" ht="15.75" customHeight="1">
      <c r="A222" s="622"/>
      <c r="B222" s="622"/>
      <c r="C222" s="622"/>
      <c r="D222" s="622"/>
      <c r="E222" s="622"/>
      <c r="F222" s="622"/>
      <c r="G222" s="622"/>
      <c r="H222" s="622"/>
      <c r="I222" s="622"/>
      <c r="J222" s="622"/>
      <c r="K222" s="622"/>
      <c r="L222" s="622"/>
      <c r="M222" s="622"/>
      <c r="N222" s="622"/>
      <c r="O222" s="622"/>
      <c r="P222" s="622"/>
      <c r="Q222" s="622"/>
      <c r="R222" s="622"/>
      <c r="S222" s="622"/>
      <c r="T222" s="622"/>
      <c r="U222" s="622"/>
      <c r="V222" s="622"/>
      <c r="W222" s="622"/>
      <c r="X222" s="622"/>
    </row>
    <row r="223" ht="15.75" customHeight="1">
      <c r="A223" s="622"/>
      <c r="B223" s="622"/>
      <c r="C223" s="622"/>
      <c r="D223" s="622"/>
      <c r="E223" s="622"/>
      <c r="F223" s="622"/>
      <c r="G223" s="622"/>
      <c r="H223" s="622"/>
      <c r="I223" s="622"/>
      <c r="J223" s="622"/>
      <c r="K223" s="622"/>
      <c r="L223" s="622"/>
      <c r="M223" s="622"/>
      <c r="N223" s="622"/>
      <c r="O223" s="622"/>
      <c r="P223" s="622"/>
      <c r="Q223" s="622"/>
      <c r="R223" s="622"/>
      <c r="S223" s="622"/>
      <c r="T223" s="622"/>
      <c r="U223" s="622"/>
      <c r="V223" s="622"/>
      <c r="W223" s="622"/>
      <c r="X223" s="622"/>
    </row>
    <row r="224" ht="15.75" customHeight="1">
      <c r="A224" s="622"/>
      <c r="B224" s="622"/>
      <c r="C224" s="622"/>
      <c r="D224" s="622"/>
      <c r="E224" s="622"/>
      <c r="F224" s="622"/>
      <c r="G224" s="622"/>
      <c r="H224" s="622"/>
      <c r="I224" s="622"/>
      <c r="J224" s="622"/>
      <c r="K224" s="622"/>
      <c r="L224" s="622"/>
      <c r="M224" s="622"/>
      <c r="N224" s="622"/>
      <c r="O224" s="622"/>
      <c r="P224" s="622"/>
      <c r="Q224" s="622"/>
      <c r="R224" s="622"/>
      <c r="S224" s="622"/>
      <c r="T224" s="622"/>
      <c r="U224" s="622"/>
      <c r="V224" s="622"/>
      <c r="W224" s="622"/>
      <c r="X224" s="622"/>
    </row>
    <row r="225" ht="15.75" customHeight="1">
      <c r="A225" s="622"/>
      <c r="B225" s="622"/>
      <c r="C225" s="622"/>
      <c r="D225" s="622"/>
      <c r="E225" s="622"/>
      <c r="F225" s="622"/>
      <c r="G225" s="622"/>
      <c r="H225" s="622"/>
      <c r="I225" s="622"/>
      <c r="J225" s="622"/>
      <c r="K225" s="622"/>
      <c r="L225" s="622"/>
      <c r="M225" s="622"/>
      <c r="N225" s="622"/>
      <c r="O225" s="622"/>
      <c r="P225" s="622"/>
      <c r="Q225" s="622"/>
      <c r="R225" s="622"/>
      <c r="S225" s="622"/>
      <c r="T225" s="622"/>
      <c r="U225" s="622"/>
      <c r="V225" s="622"/>
      <c r="W225" s="622"/>
      <c r="X225" s="622"/>
    </row>
    <row r="226" ht="15.75" customHeight="1">
      <c r="A226" s="622"/>
      <c r="B226" s="622"/>
      <c r="C226" s="622"/>
      <c r="D226" s="622"/>
      <c r="E226" s="622"/>
      <c r="F226" s="622"/>
      <c r="G226" s="622"/>
      <c r="H226" s="622"/>
      <c r="I226" s="622"/>
      <c r="J226" s="622"/>
      <c r="K226" s="622"/>
      <c r="L226" s="622"/>
      <c r="M226" s="622"/>
      <c r="N226" s="622"/>
      <c r="O226" s="622"/>
      <c r="P226" s="622"/>
      <c r="Q226" s="622"/>
      <c r="R226" s="622"/>
      <c r="S226" s="622"/>
      <c r="T226" s="622"/>
      <c r="U226" s="622"/>
      <c r="V226" s="622"/>
      <c r="W226" s="622"/>
      <c r="X226" s="622"/>
    </row>
    <row r="227" ht="15.75" customHeight="1">
      <c r="A227" s="622"/>
      <c r="B227" s="622"/>
      <c r="C227" s="622"/>
      <c r="D227" s="622"/>
      <c r="E227" s="622"/>
      <c r="F227" s="622"/>
      <c r="G227" s="622"/>
      <c r="H227" s="622"/>
      <c r="I227" s="622"/>
      <c r="J227" s="622"/>
      <c r="K227" s="622"/>
      <c r="L227" s="622"/>
      <c r="M227" s="622"/>
      <c r="N227" s="622"/>
      <c r="O227" s="622"/>
      <c r="P227" s="622"/>
      <c r="Q227" s="622"/>
      <c r="R227" s="622"/>
      <c r="S227" s="622"/>
      <c r="T227" s="622"/>
      <c r="U227" s="622"/>
      <c r="V227" s="622"/>
      <c r="W227" s="622"/>
      <c r="X227" s="622"/>
    </row>
    <row r="228" ht="15.75" customHeight="1">
      <c r="A228" s="622"/>
      <c r="B228" s="622"/>
      <c r="C228" s="622"/>
      <c r="D228" s="622"/>
      <c r="E228" s="622"/>
      <c r="F228" s="622"/>
      <c r="G228" s="622"/>
      <c r="H228" s="622"/>
      <c r="I228" s="622"/>
      <c r="J228" s="622"/>
      <c r="K228" s="622"/>
      <c r="L228" s="622"/>
      <c r="M228" s="622"/>
      <c r="N228" s="622"/>
      <c r="O228" s="622"/>
      <c r="P228" s="622"/>
      <c r="Q228" s="622"/>
      <c r="R228" s="622"/>
      <c r="S228" s="622"/>
      <c r="T228" s="622"/>
      <c r="U228" s="622"/>
      <c r="V228" s="622"/>
      <c r="W228" s="622"/>
      <c r="X228" s="622"/>
    </row>
    <row r="229" ht="15.75" customHeight="1">
      <c r="A229" s="622"/>
      <c r="B229" s="622"/>
      <c r="C229" s="622"/>
      <c r="D229" s="622"/>
      <c r="E229" s="622"/>
      <c r="F229" s="622"/>
      <c r="G229" s="622"/>
      <c r="H229" s="622"/>
      <c r="I229" s="622"/>
      <c r="J229" s="622"/>
      <c r="K229" s="622"/>
      <c r="L229" s="622"/>
      <c r="M229" s="622"/>
      <c r="N229" s="622"/>
      <c r="O229" s="622"/>
      <c r="P229" s="622"/>
      <c r="Q229" s="622"/>
      <c r="R229" s="622"/>
      <c r="S229" s="622"/>
      <c r="T229" s="622"/>
      <c r="U229" s="622"/>
      <c r="V229" s="622"/>
      <c r="W229" s="622"/>
      <c r="X229" s="622"/>
    </row>
    <row r="230" ht="15.75" customHeight="1">
      <c r="A230" s="622"/>
      <c r="B230" s="622"/>
      <c r="C230" s="622"/>
      <c r="D230" s="622"/>
      <c r="E230" s="622"/>
      <c r="F230" s="622"/>
      <c r="G230" s="622"/>
      <c r="H230" s="622"/>
      <c r="I230" s="622"/>
      <c r="J230" s="622"/>
      <c r="K230" s="622"/>
      <c r="L230" s="622"/>
      <c r="M230" s="622"/>
      <c r="N230" s="622"/>
      <c r="O230" s="622"/>
      <c r="P230" s="622"/>
      <c r="Q230" s="622"/>
      <c r="R230" s="622"/>
      <c r="S230" s="622"/>
      <c r="T230" s="622"/>
      <c r="U230" s="622"/>
      <c r="V230" s="622"/>
      <c r="W230" s="622"/>
      <c r="X230" s="622"/>
    </row>
    <row r="231" ht="15.75" customHeight="1">
      <c r="A231" s="622"/>
      <c r="B231" s="622"/>
      <c r="C231" s="622"/>
      <c r="D231" s="622"/>
      <c r="E231" s="622"/>
      <c r="F231" s="622"/>
      <c r="G231" s="622"/>
      <c r="H231" s="622"/>
      <c r="I231" s="622"/>
      <c r="J231" s="622"/>
      <c r="K231" s="622"/>
      <c r="L231" s="622"/>
      <c r="M231" s="622"/>
      <c r="N231" s="622"/>
      <c r="O231" s="622"/>
      <c r="P231" s="622"/>
      <c r="Q231" s="622"/>
      <c r="R231" s="622"/>
      <c r="S231" s="622"/>
      <c r="T231" s="622"/>
      <c r="U231" s="622"/>
      <c r="V231" s="622"/>
      <c r="W231" s="622"/>
      <c r="X231" s="622"/>
    </row>
    <row r="232" ht="15.75" customHeight="1">
      <c r="A232" s="622"/>
      <c r="B232" s="622"/>
      <c r="C232" s="622"/>
      <c r="D232" s="622"/>
      <c r="E232" s="622"/>
      <c r="F232" s="622"/>
      <c r="G232" s="622"/>
      <c r="H232" s="622"/>
      <c r="I232" s="622"/>
      <c r="J232" s="622"/>
      <c r="K232" s="622"/>
      <c r="L232" s="622"/>
      <c r="M232" s="622"/>
      <c r="N232" s="622"/>
      <c r="O232" s="622"/>
      <c r="P232" s="622"/>
      <c r="Q232" s="622"/>
      <c r="R232" s="622"/>
      <c r="S232" s="622"/>
      <c r="T232" s="622"/>
      <c r="U232" s="622"/>
      <c r="V232" s="622"/>
      <c r="W232" s="622"/>
      <c r="X232" s="622"/>
    </row>
    <row r="233" ht="15.75" customHeight="1">
      <c r="A233" s="622"/>
      <c r="B233" s="622"/>
      <c r="C233" s="622"/>
      <c r="D233" s="622"/>
      <c r="E233" s="622"/>
      <c r="F233" s="622"/>
      <c r="G233" s="622"/>
      <c r="H233" s="622"/>
      <c r="I233" s="622"/>
      <c r="J233" s="622"/>
      <c r="K233" s="622"/>
      <c r="L233" s="622"/>
      <c r="M233" s="622"/>
      <c r="N233" s="622"/>
      <c r="O233" s="622"/>
      <c r="P233" s="622"/>
      <c r="Q233" s="622"/>
      <c r="R233" s="622"/>
      <c r="S233" s="622"/>
      <c r="T233" s="622"/>
      <c r="U233" s="622"/>
      <c r="V233" s="622"/>
      <c r="W233" s="622"/>
      <c r="X233" s="622"/>
    </row>
    <row r="234" ht="15.75" customHeight="1">
      <c r="A234" s="622"/>
      <c r="B234" s="622"/>
      <c r="C234" s="622"/>
      <c r="D234" s="622"/>
      <c r="E234" s="622"/>
      <c r="F234" s="622"/>
      <c r="G234" s="622"/>
      <c r="H234" s="622"/>
      <c r="I234" s="622"/>
      <c r="J234" s="622"/>
      <c r="K234" s="622"/>
      <c r="L234" s="622"/>
      <c r="M234" s="622"/>
      <c r="N234" s="622"/>
      <c r="O234" s="622"/>
      <c r="P234" s="622"/>
      <c r="Q234" s="622"/>
      <c r="R234" s="622"/>
      <c r="S234" s="622"/>
      <c r="T234" s="622"/>
      <c r="U234" s="622"/>
      <c r="V234" s="622"/>
      <c r="W234" s="622"/>
      <c r="X234" s="622"/>
    </row>
    <row r="235" ht="15.75" customHeight="1">
      <c r="A235" s="622"/>
      <c r="B235" s="622"/>
      <c r="C235" s="622"/>
      <c r="D235" s="622"/>
      <c r="E235" s="622"/>
      <c r="F235" s="622"/>
      <c r="G235" s="622"/>
      <c r="H235" s="622"/>
      <c r="I235" s="622"/>
      <c r="J235" s="622"/>
      <c r="K235" s="622"/>
      <c r="L235" s="622"/>
      <c r="M235" s="622"/>
      <c r="N235" s="622"/>
      <c r="O235" s="622"/>
      <c r="P235" s="622"/>
      <c r="Q235" s="622"/>
      <c r="R235" s="622"/>
      <c r="S235" s="622"/>
      <c r="T235" s="622"/>
      <c r="U235" s="622"/>
      <c r="V235" s="622"/>
      <c r="W235" s="622"/>
      <c r="X235" s="622"/>
    </row>
    <row r="236" ht="15.75" customHeight="1">
      <c r="A236" s="622"/>
      <c r="B236" s="622"/>
      <c r="C236" s="622"/>
      <c r="D236" s="622"/>
      <c r="E236" s="622"/>
      <c r="F236" s="622"/>
      <c r="G236" s="622"/>
      <c r="H236" s="622"/>
      <c r="I236" s="622"/>
      <c r="J236" s="622"/>
      <c r="K236" s="622"/>
      <c r="L236" s="622"/>
      <c r="M236" s="622"/>
      <c r="N236" s="622"/>
      <c r="O236" s="622"/>
      <c r="P236" s="622"/>
      <c r="Q236" s="622"/>
      <c r="R236" s="622"/>
      <c r="S236" s="622"/>
      <c r="T236" s="622"/>
      <c r="U236" s="622"/>
      <c r="V236" s="622"/>
      <c r="W236" s="622"/>
      <c r="X236" s="622"/>
    </row>
    <row r="237" ht="15.75" customHeight="1">
      <c r="A237" s="622"/>
      <c r="B237" s="622"/>
      <c r="C237" s="622"/>
      <c r="D237" s="622"/>
      <c r="E237" s="622"/>
      <c r="F237" s="622"/>
      <c r="G237" s="622"/>
      <c r="H237" s="622"/>
      <c r="I237" s="622"/>
      <c r="J237" s="622"/>
      <c r="K237" s="622"/>
      <c r="L237" s="622"/>
      <c r="M237" s="622"/>
      <c r="N237" s="622"/>
      <c r="O237" s="622"/>
      <c r="P237" s="622"/>
      <c r="Q237" s="622"/>
      <c r="R237" s="622"/>
      <c r="S237" s="622"/>
      <c r="T237" s="622"/>
      <c r="U237" s="622"/>
      <c r="V237" s="622"/>
      <c r="W237" s="622"/>
      <c r="X237" s="622"/>
    </row>
    <row r="238" ht="15.75" customHeight="1">
      <c r="A238" s="622"/>
      <c r="B238" s="622"/>
      <c r="C238" s="622"/>
      <c r="D238" s="622"/>
      <c r="E238" s="622"/>
      <c r="F238" s="622"/>
      <c r="G238" s="622"/>
      <c r="H238" s="622"/>
      <c r="I238" s="622"/>
      <c r="J238" s="622"/>
      <c r="K238" s="622"/>
      <c r="L238" s="622"/>
      <c r="M238" s="622"/>
      <c r="N238" s="622"/>
      <c r="O238" s="622"/>
      <c r="P238" s="622"/>
      <c r="Q238" s="622"/>
      <c r="R238" s="622"/>
      <c r="S238" s="622"/>
      <c r="T238" s="622"/>
      <c r="U238" s="622"/>
      <c r="V238" s="622"/>
      <c r="W238" s="622"/>
      <c r="X238" s="622"/>
    </row>
    <row r="239" ht="15.75" customHeight="1">
      <c r="A239" s="622"/>
      <c r="B239" s="622"/>
      <c r="C239" s="622"/>
      <c r="D239" s="622"/>
      <c r="E239" s="622"/>
      <c r="F239" s="622"/>
      <c r="G239" s="622"/>
      <c r="H239" s="622"/>
      <c r="I239" s="622"/>
      <c r="J239" s="622"/>
      <c r="K239" s="622"/>
      <c r="L239" s="622"/>
      <c r="M239" s="622"/>
      <c r="N239" s="622"/>
      <c r="O239" s="622"/>
      <c r="P239" s="622"/>
      <c r="Q239" s="622"/>
      <c r="R239" s="622"/>
      <c r="S239" s="622"/>
      <c r="T239" s="622"/>
      <c r="U239" s="622"/>
      <c r="V239" s="622"/>
      <c r="W239" s="622"/>
      <c r="X239" s="622"/>
    </row>
    <row r="240" ht="15.75" customHeight="1">
      <c r="A240" s="622"/>
      <c r="B240" s="622"/>
      <c r="C240" s="622"/>
      <c r="D240" s="622"/>
      <c r="E240" s="622"/>
      <c r="F240" s="622"/>
      <c r="G240" s="622"/>
      <c r="H240" s="622"/>
      <c r="I240" s="622"/>
      <c r="J240" s="622"/>
      <c r="K240" s="622"/>
      <c r="L240" s="622"/>
      <c r="M240" s="622"/>
      <c r="N240" s="622"/>
      <c r="O240" s="622"/>
      <c r="P240" s="622"/>
      <c r="Q240" s="622"/>
      <c r="R240" s="622"/>
      <c r="S240" s="622"/>
      <c r="T240" s="622"/>
      <c r="U240" s="622"/>
      <c r="V240" s="622"/>
      <c r="W240" s="622"/>
      <c r="X240" s="622"/>
    </row>
    <row r="241" ht="15.75" customHeight="1">
      <c r="A241" s="622"/>
      <c r="B241" s="622"/>
      <c r="C241" s="622"/>
      <c r="D241" s="622"/>
      <c r="E241" s="622"/>
      <c r="F241" s="622"/>
      <c r="G241" s="622"/>
      <c r="H241" s="622"/>
      <c r="I241" s="622"/>
      <c r="J241" s="622"/>
      <c r="K241" s="622"/>
      <c r="L241" s="622"/>
      <c r="M241" s="622"/>
      <c r="N241" s="622"/>
      <c r="O241" s="622"/>
      <c r="P241" s="622"/>
      <c r="Q241" s="622"/>
      <c r="R241" s="622"/>
      <c r="S241" s="622"/>
      <c r="T241" s="622"/>
      <c r="U241" s="622"/>
      <c r="V241" s="622"/>
      <c r="W241" s="622"/>
      <c r="X241" s="622"/>
    </row>
    <row r="242" ht="15.75" customHeight="1">
      <c r="A242" s="622"/>
      <c r="B242" s="622"/>
      <c r="C242" s="622"/>
      <c r="D242" s="622"/>
      <c r="E242" s="622"/>
      <c r="F242" s="622"/>
      <c r="G242" s="622"/>
      <c r="H242" s="622"/>
      <c r="I242" s="622"/>
      <c r="J242" s="622"/>
      <c r="K242" s="622"/>
      <c r="L242" s="622"/>
      <c r="M242" s="622"/>
      <c r="N242" s="622"/>
      <c r="O242" s="622"/>
      <c r="P242" s="622"/>
      <c r="Q242" s="622"/>
      <c r="R242" s="622"/>
      <c r="S242" s="622"/>
      <c r="T242" s="622"/>
      <c r="U242" s="622"/>
      <c r="V242" s="622"/>
      <c r="W242" s="622"/>
      <c r="X242" s="622"/>
    </row>
    <row r="243" ht="15.75" customHeight="1">
      <c r="A243" s="622"/>
      <c r="B243" s="622"/>
      <c r="C243" s="622"/>
      <c r="D243" s="622"/>
      <c r="E243" s="622"/>
      <c r="F243" s="622"/>
      <c r="G243" s="622"/>
      <c r="H243" s="622"/>
      <c r="I243" s="622"/>
      <c r="J243" s="622"/>
      <c r="K243" s="622"/>
      <c r="L243" s="622"/>
      <c r="M243" s="622"/>
      <c r="N243" s="622"/>
      <c r="O243" s="622"/>
      <c r="P243" s="622"/>
      <c r="Q243" s="622"/>
      <c r="R243" s="622"/>
      <c r="S243" s="622"/>
      <c r="T243" s="622"/>
      <c r="U243" s="622"/>
      <c r="V243" s="622"/>
      <c r="W243" s="622"/>
      <c r="X243" s="622"/>
    </row>
    <row r="244" ht="15.75" customHeight="1">
      <c r="A244" s="622"/>
      <c r="B244" s="622"/>
      <c r="C244" s="622"/>
      <c r="D244" s="622"/>
      <c r="E244" s="622"/>
      <c r="F244" s="622"/>
      <c r="G244" s="622"/>
      <c r="H244" s="622"/>
      <c r="I244" s="622"/>
      <c r="J244" s="622"/>
      <c r="K244" s="622"/>
      <c r="L244" s="622"/>
      <c r="M244" s="622"/>
      <c r="N244" s="622"/>
      <c r="O244" s="622"/>
      <c r="P244" s="622"/>
      <c r="Q244" s="622"/>
      <c r="R244" s="622"/>
      <c r="S244" s="622"/>
      <c r="T244" s="622"/>
      <c r="U244" s="622"/>
      <c r="V244" s="622"/>
      <c r="W244" s="622"/>
      <c r="X244" s="622"/>
    </row>
    <row r="245" ht="15.75" customHeight="1">
      <c r="A245" s="622"/>
      <c r="B245" s="622"/>
      <c r="C245" s="622"/>
      <c r="D245" s="622"/>
      <c r="E245" s="622"/>
      <c r="F245" s="622"/>
      <c r="G245" s="622"/>
      <c r="H245" s="622"/>
      <c r="I245" s="622"/>
      <c r="J245" s="622"/>
      <c r="K245" s="622"/>
      <c r="L245" s="622"/>
      <c r="M245" s="622"/>
      <c r="N245" s="622"/>
      <c r="O245" s="622"/>
      <c r="P245" s="622"/>
      <c r="Q245" s="622"/>
      <c r="R245" s="622"/>
      <c r="S245" s="622"/>
      <c r="T245" s="622"/>
      <c r="U245" s="622"/>
      <c r="V245" s="622"/>
      <c r="W245" s="622"/>
      <c r="X245" s="622"/>
    </row>
    <row r="246" ht="15.75" customHeight="1">
      <c r="A246" s="622"/>
      <c r="B246" s="622"/>
      <c r="C246" s="622"/>
      <c r="D246" s="622"/>
      <c r="E246" s="622"/>
      <c r="F246" s="622"/>
      <c r="G246" s="622"/>
      <c r="H246" s="622"/>
      <c r="I246" s="622"/>
      <c r="J246" s="622"/>
      <c r="K246" s="622"/>
      <c r="L246" s="622"/>
      <c r="M246" s="622"/>
      <c r="N246" s="622"/>
      <c r="O246" s="622"/>
      <c r="P246" s="622"/>
      <c r="Q246" s="622"/>
      <c r="R246" s="622"/>
      <c r="S246" s="622"/>
      <c r="T246" s="622"/>
      <c r="U246" s="622"/>
      <c r="V246" s="622"/>
      <c r="W246" s="622"/>
      <c r="X246" s="622"/>
    </row>
    <row r="247" ht="15.75" customHeight="1">
      <c r="A247" s="622"/>
      <c r="B247" s="622"/>
      <c r="C247" s="622"/>
      <c r="D247" s="622"/>
      <c r="E247" s="622"/>
      <c r="F247" s="622"/>
      <c r="G247" s="622"/>
      <c r="H247" s="622"/>
      <c r="I247" s="622"/>
      <c r="J247" s="622"/>
      <c r="K247" s="622"/>
      <c r="L247" s="622"/>
      <c r="M247" s="622"/>
      <c r="N247" s="622"/>
      <c r="O247" s="622"/>
      <c r="P247" s="622"/>
      <c r="Q247" s="622"/>
      <c r="R247" s="622"/>
      <c r="S247" s="622"/>
      <c r="T247" s="622"/>
      <c r="U247" s="622"/>
      <c r="V247" s="622"/>
      <c r="W247" s="622"/>
      <c r="X247" s="622"/>
    </row>
    <row r="248" ht="15.75" customHeight="1">
      <c r="A248" s="622"/>
      <c r="B248" s="622"/>
      <c r="C248" s="622"/>
      <c r="D248" s="622"/>
      <c r="E248" s="622"/>
      <c r="F248" s="622"/>
      <c r="G248" s="622"/>
      <c r="H248" s="622"/>
      <c r="I248" s="622"/>
      <c r="J248" s="622"/>
      <c r="K248" s="622"/>
      <c r="L248" s="622"/>
      <c r="M248" s="622"/>
      <c r="N248" s="622"/>
      <c r="O248" s="622"/>
      <c r="P248" s="622"/>
      <c r="Q248" s="622"/>
      <c r="R248" s="622"/>
      <c r="S248" s="622"/>
      <c r="T248" s="622"/>
      <c r="U248" s="622"/>
      <c r="V248" s="622"/>
      <c r="W248" s="622"/>
      <c r="X248" s="622"/>
    </row>
    <row r="249" ht="15.75" customHeight="1">
      <c r="A249" s="622"/>
      <c r="B249" s="622"/>
      <c r="C249" s="622"/>
      <c r="D249" s="622"/>
      <c r="E249" s="622"/>
      <c r="F249" s="622"/>
      <c r="G249" s="622"/>
      <c r="H249" s="622"/>
      <c r="I249" s="622"/>
      <c r="J249" s="622"/>
      <c r="K249" s="622"/>
      <c r="L249" s="622"/>
      <c r="M249" s="622"/>
      <c r="N249" s="622"/>
      <c r="O249" s="622"/>
      <c r="P249" s="622"/>
      <c r="Q249" s="622"/>
      <c r="R249" s="622"/>
      <c r="S249" s="622"/>
      <c r="T249" s="622"/>
      <c r="U249" s="622"/>
      <c r="V249" s="622"/>
      <c r="W249" s="622"/>
      <c r="X249" s="622"/>
    </row>
    <row r="250" ht="15.75" customHeight="1">
      <c r="A250" s="622"/>
      <c r="B250" s="622"/>
      <c r="C250" s="622"/>
      <c r="D250" s="622"/>
      <c r="E250" s="622"/>
      <c r="F250" s="622"/>
      <c r="G250" s="622"/>
      <c r="H250" s="622"/>
      <c r="I250" s="622"/>
      <c r="J250" s="622"/>
      <c r="K250" s="622"/>
      <c r="L250" s="622"/>
      <c r="M250" s="622"/>
      <c r="N250" s="622"/>
      <c r="O250" s="622"/>
      <c r="P250" s="622"/>
      <c r="Q250" s="622"/>
      <c r="R250" s="622"/>
      <c r="S250" s="622"/>
      <c r="T250" s="622"/>
      <c r="U250" s="622"/>
      <c r="V250" s="622"/>
      <c r="W250" s="622"/>
      <c r="X250" s="622"/>
    </row>
    <row r="251" ht="15.75" customHeight="1">
      <c r="A251" s="622"/>
      <c r="B251" s="622"/>
      <c r="C251" s="622"/>
      <c r="D251" s="622"/>
      <c r="E251" s="622"/>
      <c r="F251" s="622"/>
      <c r="G251" s="622"/>
      <c r="H251" s="622"/>
      <c r="I251" s="622"/>
      <c r="J251" s="622"/>
      <c r="K251" s="622"/>
      <c r="L251" s="622"/>
      <c r="M251" s="622"/>
      <c r="N251" s="622"/>
      <c r="O251" s="622"/>
      <c r="P251" s="622"/>
      <c r="Q251" s="622"/>
      <c r="R251" s="622"/>
      <c r="S251" s="622"/>
      <c r="T251" s="622"/>
      <c r="U251" s="622"/>
      <c r="V251" s="622"/>
      <c r="W251" s="622"/>
      <c r="X251" s="622"/>
    </row>
    <row r="252" ht="15.75" customHeight="1">
      <c r="A252" s="622"/>
      <c r="B252" s="622"/>
      <c r="C252" s="622"/>
      <c r="D252" s="622"/>
      <c r="E252" s="622"/>
      <c r="F252" s="622"/>
      <c r="G252" s="622"/>
      <c r="H252" s="622"/>
      <c r="I252" s="622"/>
      <c r="J252" s="622"/>
      <c r="K252" s="622"/>
      <c r="L252" s="622"/>
      <c r="M252" s="622"/>
      <c r="N252" s="622"/>
      <c r="O252" s="622"/>
      <c r="P252" s="622"/>
      <c r="Q252" s="622"/>
      <c r="R252" s="622"/>
      <c r="S252" s="622"/>
      <c r="T252" s="622"/>
      <c r="U252" s="622"/>
      <c r="V252" s="622"/>
      <c r="W252" s="622"/>
      <c r="X252" s="622"/>
    </row>
    <row r="253" ht="15.75" customHeight="1">
      <c r="A253" s="622"/>
      <c r="B253" s="622"/>
      <c r="C253" s="622"/>
      <c r="D253" s="622"/>
      <c r="E253" s="622"/>
      <c r="F253" s="622"/>
      <c r="G253" s="622"/>
      <c r="H253" s="622"/>
      <c r="I253" s="622"/>
      <c r="J253" s="622"/>
      <c r="K253" s="622"/>
      <c r="L253" s="622"/>
      <c r="M253" s="622"/>
      <c r="N253" s="622"/>
      <c r="O253" s="622"/>
      <c r="P253" s="622"/>
      <c r="Q253" s="622"/>
      <c r="R253" s="622"/>
      <c r="S253" s="622"/>
      <c r="T253" s="622"/>
      <c r="U253" s="622"/>
      <c r="V253" s="622"/>
      <c r="W253" s="622"/>
      <c r="X253" s="622"/>
    </row>
    <row r="254" ht="15.75" customHeight="1">
      <c r="A254" s="622"/>
      <c r="B254" s="622"/>
      <c r="C254" s="622"/>
      <c r="D254" s="622"/>
      <c r="E254" s="622"/>
      <c r="F254" s="622"/>
      <c r="G254" s="622"/>
      <c r="H254" s="622"/>
      <c r="I254" s="622"/>
      <c r="J254" s="622"/>
      <c r="K254" s="622"/>
      <c r="L254" s="622"/>
      <c r="M254" s="622"/>
      <c r="N254" s="622"/>
      <c r="O254" s="622"/>
      <c r="P254" s="622"/>
      <c r="Q254" s="622"/>
      <c r="R254" s="622"/>
      <c r="S254" s="622"/>
      <c r="T254" s="622"/>
      <c r="U254" s="622"/>
      <c r="V254" s="622"/>
      <c r="W254" s="622"/>
      <c r="X254" s="622"/>
    </row>
    <row r="255" ht="15.75" customHeight="1">
      <c r="A255" s="622"/>
      <c r="B255" s="622"/>
      <c r="C255" s="622"/>
      <c r="D255" s="622"/>
      <c r="E255" s="622"/>
      <c r="F255" s="622"/>
      <c r="G255" s="622"/>
      <c r="H255" s="622"/>
      <c r="I255" s="622"/>
      <c r="J255" s="622"/>
      <c r="K255" s="622"/>
      <c r="L255" s="622"/>
      <c r="M255" s="622"/>
      <c r="N255" s="622"/>
      <c r="O255" s="622"/>
      <c r="P255" s="622"/>
      <c r="Q255" s="622"/>
      <c r="R255" s="622"/>
      <c r="S255" s="622"/>
      <c r="T255" s="622"/>
      <c r="U255" s="622"/>
      <c r="V255" s="622"/>
      <c r="W255" s="622"/>
      <c r="X255" s="622"/>
    </row>
    <row r="256" ht="15.75" customHeight="1">
      <c r="A256" s="622"/>
      <c r="B256" s="622"/>
      <c r="C256" s="622"/>
      <c r="D256" s="622"/>
      <c r="E256" s="622"/>
      <c r="F256" s="622"/>
      <c r="G256" s="622"/>
      <c r="H256" s="622"/>
      <c r="I256" s="622"/>
      <c r="J256" s="622"/>
      <c r="K256" s="622"/>
      <c r="L256" s="622"/>
      <c r="M256" s="622"/>
      <c r="N256" s="622"/>
      <c r="O256" s="622"/>
      <c r="P256" s="622"/>
      <c r="Q256" s="622"/>
      <c r="R256" s="622"/>
      <c r="S256" s="622"/>
      <c r="T256" s="622"/>
      <c r="U256" s="622"/>
      <c r="V256" s="622"/>
      <c r="W256" s="622"/>
      <c r="X256" s="622"/>
    </row>
    <row r="257" ht="15.75" customHeight="1">
      <c r="A257" s="622"/>
      <c r="B257" s="622"/>
      <c r="C257" s="622"/>
      <c r="D257" s="622"/>
      <c r="E257" s="622"/>
      <c r="F257" s="622"/>
      <c r="G257" s="622"/>
      <c r="H257" s="622"/>
      <c r="I257" s="622"/>
      <c r="J257" s="622"/>
      <c r="K257" s="622"/>
      <c r="L257" s="622"/>
      <c r="M257" s="622"/>
      <c r="N257" s="622"/>
      <c r="O257" s="622"/>
      <c r="P257" s="622"/>
      <c r="Q257" s="622"/>
      <c r="R257" s="622"/>
      <c r="S257" s="622"/>
      <c r="T257" s="622"/>
      <c r="U257" s="622"/>
      <c r="V257" s="622"/>
      <c r="W257" s="622"/>
      <c r="X257" s="622"/>
    </row>
    <row r="258" ht="15.75" customHeight="1">
      <c r="A258" s="622"/>
      <c r="B258" s="622"/>
      <c r="C258" s="622"/>
      <c r="D258" s="622"/>
      <c r="E258" s="622"/>
      <c r="F258" s="622"/>
      <c r="G258" s="622"/>
      <c r="H258" s="622"/>
      <c r="I258" s="622"/>
      <c r="J258" s="622"/>
      <c r="K258" s="622"/>
      <c r="L258" s="622"/>
      <c r="M258" s="622"/>
      <c r="N258" s="622"/>
      <c r="O258" s="622"/>
      <c r="P258" s="622"/>
      <c r="Q258" s="622"/>
      <c r="R258" s="622"/>
      <c r="S258" s="622"/>
      <c r="T258" s="622"/>
      <c r="U258" s="622"/>
      <c r="V258" s="622"/>
      <c r="W258" s="622"/>
      <c r="X258" s="622"/>
    </row>
    <row r="259" ht="15.75" customHeight="1">
      <c r="A259" s="622"/>
      <c r="B259" s="622"/>
      <c r="C259" s="622"/>
      <c r="D259" s="622"/>
      <c r="E259" s="622"/>
      <c r="F259" s="622"/>
      <c r="G259" s="622"/>
      <c r="H259" s="622"/>
      <c r="I259" s="622"/>
      <c r="J259" s="622"/>
      <c r="K259" s="622"/>
      <c r="L259" s="622"/>
      <c r="M259" s="622"/>
      <c r="N259" s="622"/>
      <c r="O259" s="622"/>
      <c r="P259" s="622"/>
      <c r="Q259" s="622"/>
      <c r="R259" s="622"/>
      <c r="S259" s="622"/>
      <c r="T259" s="622"/>
      <c r="U259" s="622"/>
      <c r="V259" s="622"/>
      <c r="W259" s="622"/>
      <c r="X259" s="622"/>
    </row>
    <row r="260" ht="15.75" customHeight="1">
      <c r="A260" s="622"/>
      <c r="B260" s="622"/>
      <c r="C260" s="622"/>
      <c r="D260" s="622"/>
      <c r="E260" s="622"/>
      <c r="F260" s="622"/>
      <c r="G260" s="622"/>
      <c r="H260" s="622"/>
      <c r="I260" s="622"/>
      <c r="J260" s="622"/>
      <c r="K260" s="622"/>
      <c r="L260" s="622"/>
      <c r="M260" s="622"/>
      <c r="N260" s="622"/>
      <c r="O260" s="622"/>
      <c r="P260" s="622"/>
      <c r="Q260" s="622"/>
      <c r="R260" s="622"/>
      <c r="S260" s="622"/>
      <c r="T260" s="622"/>
      <c r="U260" s="622"/>
      <c r="V260" s="622"/>
      <c r="W260" s="622"/>
      <c r="X260" s="622"/>
    </row>
    <row r="261" ht="15.75" customHeight="1">
      <c r="A261" s="622"/>
      <c r="B261" s="622"/>
      <c r="C261" s="622"/>
      <c r="D261" s="622"/>
      <c r="E261" s="622"/>
      <c r="F261" s="622"/>
      <c r="G261" s="622"/>
      <c r="H261" s="622"/>
      <c r="I261" s="622"/>
      <c r="J261" s="622"/>
      <c r="K261" s="622"/>
      <c r="L261" s="622"/>
      <c r="M261" s="622"/>
      <c r="N261" s="622"/>
      <c r="O261" s="622"/>
      <c r="P261" s="622"/>
      <c r="Q261" s="622"/>
      <c r="R261" s="622"/>
      <c r="S261" s="622"/>
      <c r="T261" s="622"/>
      <c r="U261" s="622"/>
      <c r="V261" s="622"/>
      <c r="W261" s="622"/>
      <c r="X261" s="622"/>
    </row>
    <row r="262" ht="15.75" customHeight="1">
      <c r="A262" s="622"/>
      <c r="B262" s="622"/>
      <c r="C262" s="622"/>
      <c r="D262" s="622"/>
      <c r="E262" s="622"/>
      <c r="F262" s="622"/>
      <c r="G262" s="622"/>
      <c r="H262" s="622"/>
      <c r="I262" s="622"/>
      <c r="J262" s="622"/>
      <c r="K262" s="622"/>
      <c r="L262" s="622"/>
      <c r="M262" s="622"/>
      <c r="N262" s="622"/>
      <c r="O262" s="622"/>
      <c r="P262" s="622"/>
      <c r="Q262" s="622"/>
      <c r="R262" s="622"/>
      <c r="S262" s="622"/>
      <c r="T262" s="622"/>
      <c r="U262" s="622"/>
      <c r="V262" s="622"/>
      <c r="W262" s="622"/>
      <c r="X262" s="622"/>
    </row>
    <row r="263" ht="15.75" customHeight="1">
      <c r="A263" s="622"/>
      <c r="B263" s="622"/>
      <c r="C263" s="622"/>
      <c r="D263" s="622"/>
      <c r="E263" s="622"/>
      <c r="F263" s="622"/>
      <c r="G263" s="622"/>
      <c r="H263" s="622"/>
      <c r="I263" s="622"/>
      <c r="J263" s="622"/>
      <c r="K263" s="622"/>
      <c r="L263" s="622"/>
      <c r="M263" s="622"/>
      <c r="N263" s="622"/>
      <c r="O263" s="622"/>
      <c r="P263" s="622"/>
      <c r="Q263" s="622"/>
      <c r="R263" s="622"/>
      <c r="S263" s="622"/>
      <c r="T263" s="622"/>
      <c r="U263" s="622"/>
      <c r="V263" s="622"/>
      <c r="W263" s="622"/>
      <c r="X263" s="622"/>
    </row>
    <row r="264" ht="15.75" customHeight="1">
      <c r="A264" s="622"/>
      <c r="B264" s="622"/>
      <c r="C264" s="622"/>
      <c r="D264" s="622"/>
      <c r="E264" s="622"/>
      <c r="F264" s="622"/>
      <c r="G264" s="622"/>
      <c r="H264" s="622"/>
      <c r="I264" s="622"/>
      <c r="J264" s="622"/>
      <c r="K264" s="622"/>
      <c r="L264" s="622"/>
      <c r="M264" s="622"/>
      <c r="N264" s="622"/>
      <c r="O264" s="622"/>
      <c r="P264" s="622"/>
      <c r="Q264" s="622"/>
      <c r="R264" s="622"/>
      <c r="S264" s="622"/>
      <c r="T264" s="622"/>
      <c r="U264" s="622"/>
      <c r="V264" s="622"/>
      <c r="W264" s="622"/>
      <c r="X264" s="622"/>
    </row>
    <row r="265" ht="15.75" customHeight="1">
      <c r="A265" s="622"/>
      <c r="B265" s="622"/>
      <c r="C265" s="622"/>
      <c r="D265" s="622"/>
      <c r="E265" s="622"/>
      <c r="F265" s="622"/>
      <c r="G265" s="622"/>
      <c r="H265" s="622"/>
      <c r="I265" s="622"/>
      <c r="J265" s="622"/>
      <c r="K265" s="622"/>
      <c r="L265" s="622"/>
      <c r="M265" s="622"/>
      <c r="N265" s="622"/>
      <c r="O265" s="622"/>
      <c r="P265" s="622"/>
      <c r="Q265" s="622"/>
      <c r="R265" s="622"/>
      <c r="S265" s="622"/>
      <c r="T265" s="622"/>
      <c r="U265" s="622"/>
      <c r="V265" s="622"/>
      <c r="W265" s="622"/>
      <c r="X265" s="622"/>
    </row>
    <row r="266" ht="15.75" customHeight="1">
      <c r="A266" s="622"/>
      <c r="B266" s="622"/>
      <c r="C266" s="622"/>
      <c r="D266" s="622"/>
      <c r="E266" s="622"/>
      <c r="F266" s="622"/>
      <c r="G266" s="622"/>
      <c r="H266" s="622"/>
      <c r="I266" s="622"/>
      <c r="J266" s="622"/>
      <c r="K266" s="622"/>
      <c r="L266" s="622"/>
      <c r="M266" s="622"/>
      <c r="N266" s="622"/>
      <c r="O266" s="622"/>
      <c r="P266" s="622"/>
      <c r="Q266" s="622"/>
      <c r="R266" s="622"/>
      <c r="S266" s="622"/>
      <c r="T266" s="622"/>
      <c r="U266" s="622"/>
      <c r="V266" s="622"/>
      <c r="W266" s="622"/>
      <c r="X266" s="622"/>
    </row>
    <row r="267" ht="15.75" customHeight="1">
      <c r="A267" s="622"/>
      <c r="B267" s="622"/>
      <c r="C267" s="622"/>
      <c r="D267" s="622"/>
      <c r="E267" s="622"/>
      <c r="F267" s="622"/>
      <c r="G267" s="622"/>
      <c r="H267" s="622"/>
      <c r="I267" s="622"/>
      <c r="J267" s="622"/>
      <c r="K267" s="622"/>
      <c r="L267" s="622"/>
      <c r="M267" s="622"/>
      <c r="N267" s="622"/>
      <c r="O267" s="622"/>
      <c r="P267" s="622"/>
      <c r="Q267" s="622"/>
      <c r="R267" s="622"/>
      <c r="S267" s="622"/>
      <c r="T267" s="622"/>
      <c r="U267" s="622"/>
      <c r="V267" s="622"/>
      <c r="W267" s="622"/>
      <c r="X267" s="622"/>
    </row>
    <row r="268" ht="15.75" customHeight="1">
      <c r="A268" s="622"/>
      <c r="B268" s="622"/>
      <c r="C268" s="622"/>
      <c r="D268" s="622"/>
      <c r="E268" s="622"/>
      <c r="F268" s="622"/>
      <c r="G268" s="622"/>
      <c r="H268" s="622"/>
      <c r="I268" s="622"/>
      <c r="J268" s="622"/>
      <c r="K268" s="622"/>
      <c r="L268" s="622"/>
      <c r="M268" s="622"/>
      <c r="N268" s="622"/>
      <c r="O268" s="622"/>
      <c r="P268" s="622"/>
      <c r="Q268" s="622"/>
      <c r="R268" s="622"/>
      <c r="S268" s="622"/>
      <c r="T268" s="622"/>
      <c r="U268" s="622"/>
      <c r="V268" s="622"/>
      <c r="W268" s="622"/>
      <c r="X268" s="622"/>
    </row>
    <row r="269" ht="15.75" customHeight="1">
      <c r="A269" s="622"/>
      <c r="B269" s="622"/>
      <c r="C269" s="622"/>
      <c r="D269" s="622"/>
      <c r="E269" s="622"/>
      <c r="F269" s="622"/>
      <c r="G269" s="622"/>
      <c r="H269" s="622"/>
      <c r="I269" s="622"/>
      <c r="J269" s="622"/>
      <c r="K269" s="622"/>
      <c r="L269" s="622"/>
      <c r="M269" s="622"/>
      <c r="N269" s="622"/>
      <c r="O269" s="622"/>
      <c r="P269" s="622"/>
      <c r="Q269" s="622"/>
      <c r="R269" s="622"/>
      <c r="S269" s="622"/>
      <c r="T269" s="622"/>
      <c r="U269" s="622"/>
      <c r="V269" s="622"/>
      <c r="W269" s="622"/>
      <c r="X269" s="622"/>
    </row>
    <row r="270" ht="15.75" customHeight="1">
      <c r="A270" s="622"/>
      <c r="B270" s="622"/>
      <c r="C270" s="622"/>
      <c r="D270" s="622"/>
      <c r="E270" s="622"/>
      <c r="F270" s="622"/>
      <c r="G270" s="622"/>
      <c r="H270" s="622"/>
      <c r="I270" s="622"/>
      <c r="J270" s="622"/>
      <c r="K270" s="622"/>
      <c r="L270" s="622"/>
      <c r="M270" s="622"/>
      <c r="N270" s="622"/>
      <c r="O270" s="622"/>
      <c r="P270" s="622"/>
      <c r="Q270" s="622"/>
      <c r="R270" s="622"/>
      <c r="S270" s="622"/>
      <c r="T270" s="622"/>
      <c r="U270" s="622"/>
      <c r="V270" s="622"/>
      <c r="W270" s="622"/>
      <c r="X270" s="622"/>
    </row>
    <row r="271" ht="15.75" customHeight="1">
      <c r="A271" s="622"/>
      <c r="B271" s="622"/>
      <c r="C271" s="622"/>
      <c r="D271" s="622"/>
      <c r="E271" s="622"/>
      <c r="F271" s="622"/>
      <c r="G271" s="622"/>
      <c r="H271" s="622"/>
      <c r="I271" s="622"/>
      <c r="J271" s="622"/>
      <c r="K271" s="622"/>
      <c r="L271" s="622"/>
      <c r="M271" s="622"/>
      <c r="N271" s="622"/>
      <c r="O271" s="622"/>
      <c r="P271" s="622"/>
      <c r="Q271" s="622"/>
      <c r="R271" s="622"/>
      <c r="S271" s="622"/>
      <c r="T271" s="622"/>
      <c r="U271" s="622"/>
      <c r="V271" s="622"/>
      <c r="W271" s="622"/>
      <c r="X271" s="622"/>
    </row>
    <row r="272" ht="15.75" customHeight="1">
      <c r="A272" s="622"/>
      <c r="B272" s="622"/>
      <c r="C272" s="622"/>
      <c r="D272" s="622"/>
      <c r="E272" s="622"/>
      <c r="F272" s="622"/>
      <c r="G272" s="622"/>
      <c r="H272" s="622"/>
      <c r="I272" s="622"/>
      <c r="J272" s="622"/>
      <c r="K272" s="622"/>
      <c r="L272" s="622"/>
      <c r="M272" s="622"/>
      <c r="N272" s="622"/>
      <c r="O272" s="622"/>
      <c r="P272" s="622"/>
      <c r="Q272" s="622"/>
      <c r="R272" s="622"/>
      <c r="S272" s="622"/>
      <c r="T272" s="622"/>
      <c r="U272" s="622"/>
      <c r="V272" s="622"/>
      <c r="W272" s="622"/>
      <c r="X272" s="622"/>
    </row>
    <row r="273" ht="15.75" customHeight="1">
      <c r="A273" s="622"/>
      <c r="B273" s="622"/>
      <c r="C273" s="622"/>
      <c r="D273" s="622"/>
      <c r="E273" s="622"/>
      <c r="F273" s="622"/>
      <c r="G273" s="622"/>
      <c r="H273" s="622"/>
      <c r="I273" s="622"/>
      <c r="J273" s="622"/>
      <c r="K273" s="622"/>
      <c r="L273" s="622"/>
      <c r="M273" s="622"/>
      <c r="N273" s="622"/>
      <c r="O273" s="622"/>
      <c r="P273" s="622"/>
      <c r="Q273" s="622"/>
      <c r="R273" s="622"/>
      <c r="S273" s="622"/>
      <c r="T273" s="622"/>
      <c r="U273" s="622"/>
      <c r="V273" s="622"/>
      <c r="W273" s="622"/>
      <c r="X273" s="622"/>
    </row>
    <row r="274" ht="15.75" customHeight="1">
      <c r="A274" s="622"/>
      <c r="B274" s="622"/>
      <c r="C274" s="622"/>
      <c r="D274" s="622"/>
      <c r="E274" s="622"/>
      <c r="F274" s="622"/>
      <c r="G274" s="622"/>
      <c r="H274" s="622"/>
      <c r="I274" s="622"/>
      <c r="J274" s="622"/>
      <c r="K274" s="622"/>
      <c r="L274" s="622"/>
      <c r="M274" s="622"/>
      <c r="N274" s="622"/>
      <c r="O274" s="622"/>
      <c r="P274" s="622"/>
      <c r="Q274" s="622"/>
      <c r="R274" s="622"/>
      <c r="S274" s="622"/>
      <c r="T274" s="622"/>
      <c r="U274" s="622"/>
      <c r="V274" s="622"/>
      <c r="W274" s="622"/>
      <c r="X274" s="622"/>
    </row>
    <row r="275" ht="15.75" customHeight="1">
      <c r="A275" s="622"/>
      <c r="B275" s="622"/>
      <c r="C275" s="622"/>
      <c r="D275" s="622"/>
      <c r="E275" s="622"/>
      <c r="F275" s="622"/>
      <c r="G275" s="622"/>
      <c r="H275" s="622"/>
      <c r="I275" s="622"/>
      <c r="J275" s="622"/>
      <c r="K275" s="622"/>
      <c r="L275" s="622"/>
      <c r="M275" s="622"/>
      <c r="N275" s="622"/>
      <c r="O275" s="622"/>
      <c r="P275" s="622"/>
      <c r="Q275" s="622"/>
      <c r="R275" s="622"/>
      <c r="S275" s="622"/>
      <c r="T275" s="622"/>
      <c r="U275" s="622"/>
      <c r="V275" s="622"/>
      <c r="W275" s="622"/>
      <c r="X275" s="622"/>
    </row>
    <row r="276" ht="15.75" customHeight="1">
      <c r="A276" s="622"/>
      <c r="B276" s="622"/>
      <c r="C276" s="622"/>
      <c r="D276" s="622"/>
      <c r="E276" s="622"/>
      <c r="F276" s="622"/>
      <c r="G276" s="622"/>
      <c r="H276" s="622"/>
      <c r="I276" s="622"/>
      <c r="J276" s="622"/>
      <c r="K276" s="622"/>
      <c r="L276" s="622"/>
      <c r="M276" s="622"/>
      <c r="N276" s="622"/>
      <c r="O276" s="622"/>
      <c r="P276" s="622"/>
      <c r="Q276" s="622"/>
      <c r="R276" s="622"/>
      <c r="S276" s="622"/>
      <c r="T276" s="622"/>
      <c r="U276" s="622"/>
      <c r="V276" s="622"/>
      <c r="W276" s="622"/>
      <c r="X276" s="622"/>
    </row>
    <row r="277" ht="15.75" customHeight="1">
      <c r="A277" s="622"/>
      <c r="B277" s="622"/>
      <c r="C277" s="622"/>
      <c r="D277" s="622"/>
      <c r="E277" s="622"/>
      <c r="F277" s="622"/>
      <c r="G277" s="622"/>
      <c r="H277" s="622"/>
      <c r="I277" s="622"/>
      <c r="J277" s="622"/>
      <c r="K277" s="622"/>
      <c r="L277" s="622"/>
      <c r="M277" s="622"/>
      <c r="N277" s="622"/>
      <c r="O277" s="622"/>
      <c r="P277" s="622"/>
      <c r="Q277" s="622"/>
      <c r="R277" s="622"/>
      <c r="S277" s="622"/>
      <c r="T277" s="622"/>
      <c r="U277" s="622"/>
      <c r="V277" s="622"/>
      <c r="W277" s="622"/>
      <c r="X277" s="622"/>
    </row>
    <row r="278" ht="15.75" customHeight="1">
      <c r="A278" s="622"/>
      <c r="B278" s="622"/>
      <c r="C278" s="622"/>
      <c r="D278" s="622"/>
      <c r="E278" s="622"/>
      <c r="F278" s="622"/>
      <c r="G278" s="622"/>
      <c r="H278" s="622"/>
      <c r="I278" s="622"/>
      <c r="J278" s="622"/>
      <c r="K278" s="622"/>
      <c r="L278" s="622"/>
      <c r="M278" s="622"/>
      <c r="N278" s="622"/>
      <c r="O278" s="622"/>
      <c r="P278" s="622"/>
      <c r="Q278" s="622"/>
      <c r="R278" s="622"/>
      <c r="S278" s="622"/>
      <c r="T278" s="622"/>
      <c r="U278" s="622"/>
      <c r="V278" s="622"/>
      <c r="W278" s="622"/>
      <c r="X278" s="622"/>
    </row>
    <row r="279" ht="15.75" customHeight="1">
      <c r="A279" s="622"/>
      <c r="B279" s="622"/>
      <c r="C279" s="622"/>
      <c r="D279" s="622"/>
      <c r="E279" s="622"/>
      <c r="F279" s="622"/>
      <c r="G279" s="622"/>
      <c r="H279" s="622"/>
      <c r="I279" s="622"/>
      <c r="J279" s="622"/>
      <c r="K279" s="622"/>
      <c r="L279" s="622"/>
      <c r="M279" s="622"/>
      <c r="N279" s="622"/>
      <c r="O279" s="622"/>
      <c r="P279" s="622"/>
      <c r="Q279" s="622"/>
      <c r="R279" s="622"/>
      <c r="S279" s="622"/>
      <c r="T279" s="622"/>
      <c r="U279" s="622"/>
      <c r="V279" s="622"/>
      <c r="W279" s="622"/>
      <c r="X279" s="622"/>
    </row>
    <row r="280" ht="15.75" customHeight="1">
      <c r="A280" s="622"/>
      <c r="B280" s="622"/>
      <c r="C280" s="622"/>
      <c r="D280" s="622"/>
      <c r="E280" s="622"/>
      <c r="F280" s="622"/>
      <c r="G280" s="622"/>
      <c r="H280" s="622"/>
      <c r="I280" s="622"/>
      <c r="J280" s="622"/>
      <c r="K280" s="622"/>
      <c r="L280" s="622"/>
      <c r="M280" s="622"/>
      <c r="N280" s="622"/>
      <c r="O280" s="622"/>
      <c r="P280" s="622"/>
      <c r="Q280" s="622"/>
      <c r="R280" s="622"/>
      <c r="S280" s="622"/>
      <c r="T280" s="622"/>
      <c r="U280" s="622"/>
      <c r="V280" s="622"/>
      <c r="W280" s="622"/>
      <c r="X280" s="622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3:$H$106">
    <sortState ref="A43:H106">
      <sortCondition ref="D43:D106"/>
    </sortState>
  </autoFilter>
  <mergeCells count="3">
    <mergeCell ref="M5:P5"/>
    <mergeCell ref="K33:M33"/>
    <mergeCell ref="K35:M35"/>
  </mergeCells>
  <conditionalFormatting sqref="C5:I25 C27:I27 C29:I30 C32 G32:H32 K60 L6:M32 L34:M34 L60:L61 M60:M62 N6:N35 N60:N63 O6:P27 O35:P35 O60:O64 P60:P65 Q6:R35 Q60:Q66 R60:R67 S60:S68 T60:T69 U60:U70 V60:V71 W60:W72 X60:X73">
    <cfRule type="cellIs" dxfId="9" priority="1" operator="equal">
      <formula>"na"</formula>
    </cfRule>
  </conditionalFormatting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8.0"/>
    <col customWidth="1" min="3" max="3" width="16.75"/>
    <col customWidth="1" min="4" max="4" width="17.25"/>
    <col customWidth="1" min="5" max="5" width="19.38"/>
    <col customWidth="1" min="6" max="6" width="16.63"/>
    <col customWidth="1" min="7" max="7" width="17.5"/>
    <col customWidth="1" min="8" max="8" width="16.25"/>
    <col customWidth="1" min="9" max="9" width="16.38"/>
    <col customWidth="1" min="10" max="10" width="15.5"/>
    <col customWidth="1" min="11" max="12" width="15.63"/>
    <col customWidth="1" min="13" max="13" width="3.88"/>
    <col customWidth="1" hidden="1" min="14" max="16" width="12.63"/>
    <col customWidth="1" hidden="1" min="17" max="17" width="3.88"/>
  </cols>
  <sheetData>
    <row r="1" ht="15.75" customHeight="1">
      <c r="A1" s="1">
        <v>7.0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5.75" customHeight="1">
      <c r="A2" s="1"/>
      <c r="B2" s="776" t="s">
        <v>798</v>
      </c>
      <c r="C2" s="777"/>
      <c r="D2" s="777"/>
      <c r="E2" s="777"/>
      <c r="F2" s="777"/>
      <c r="G2" s="777"/>
      <c r="H2" s="777"/>
      <c r="I2" s="777"/>
      <c r="J2" s="777"/>
      <c r="K2" s="777"/>
      <c r="L2" s="5"/>
      <c r="M2" s="1"/>
      <c r="N2" s="778"/>
      <c r="O2" s="778"/>
      <c r="P2" s="778"/>
    </row>
    <row r="3" ht="15.75" customHeight="1">
      <c r="A3" s="1"/>
      <c r="B3" s="779"/>
      <c r="L3" s="5"/>
      <c r="M3" s="1"/>
      <c r="N3" s="778"/>
      <c r="O3" s="778"/>
      <c r="P3" s="778"/>
    </row>
    <row r="4" ht="15.75" customHeight="1">
      <c r="A4" s="1"/>
      <c r="B4" s="779"/>
      <c r="L4" s="5"/>
      <c r="M4" s="1"/>
      <c r="N4" s="6"/>
      <c r="O4" s="7"/>
      <c r="P4" s="7"/>
    </row>
    <row r="5" ht="1.5" customHeight="1">
      <c r="A5" s="1"/>
      <c r="B5" s="3"/>
      <c r="C5" s="4"/>
      <c r="D5" s="4"/>
      <c r="E5" s="4"/>
      <c r="F5" s="4"/>
      <c r="G5" s="4"/>
      <c r="H5" s="4"/>
      <c r="I5" s="4"/>
      <c r="J5" s="4"/>
      <c r="K5" s="4"/>
      <c r="L5" s="5"/>
      <c r="M5" s="1"/>
      <c r="N5" s="6"/>
      <c r="O5" s="7"/>
      <c r="P5" s="7"/>
    </row>
    <row r="6" ht="35.25" hidden="1" customHeight="1">
      <c r="A6" s="8"/>
      <c r="B6" s="9" t="s">
        <v>799</v>
      </c>
      <c r="C6" s="9"/>
      <c r="D6" s="780"/>
      <c r="E6" s="9"/>
      <c r="F6" s="9"/>
      <c r="G6" s="9"/>
      <c r="H6" s="9"/>
      <c r="I6" s="781"/>
      <c r="J6" s="9"/>
      <c r="K6" s="9"/>
      <c r="L6" s="211"/>
      <c r="M6" s="13"/>
      <c r="N6" s="6"/>
      <c r="O6" s="7"/>
      <c r="P6" s="7"/>
      <c r="Q6" s="629"/>
    </row>
    <row r="7" ht="52.5" customHeight="1">
      <c r="A7" s="13"/>
      <c r="B7" s="19" t="s">
        <v>21</v>
      </c>
      <c r="C7" s="20" t="s">
        <v>800</v>
      </c>
      <c r="D7" s="20" t="s">
        <v>801</v>
      </c>
      <c r="E7" s="20" t="s">
        <v>802</v>
      </c>
      <c r="F7" s="20" t="s">
        <v>803</v>
      </c>
      <c r="G7" s="782" t="s">
        <v>804</v>
      </c>
      <c r="H7" s="783" t="s">
        <v>805</v>
      </c>
      <c r="I7" s="782" t="s">
        <v>32</v>
      </c>
      <c r="J7" s="782" t="s">
        <v>806</v>
      </c>
      <c r="K7" s="784" t="s">
        <v>807</v>
      </c>
      <c r="L7" s="785" t="s">
        <v>808</v>
      </c>
      <c r="M7" s="13"/>
      <c r="N7" s="6"/>
      <c r="O7" s="7"/>
      <c r="P7" s="7"/>
      <c r="Q7" s="629"/>
    </row>
    <row r="8" ht="15.75" customHeight="1">
      <c r="A8" s="1"/>
      <c r="B8" s="25" t="s">
        <v>36</v>
      </c>
      <c r="C8" s="25" t="s">
        <v>83</v>
      </c>
      <c r="D8" s="25" t="s">
        <v>809</v>
      </c>
      <c r="E8" s="25" t="s">
        <v>92</v>
      </c>
      <c r="F8" s="25" t="s">
        <v>810</v>
      </c>
      <c r="G8" s="25" t="s">
        <v>69</v>
      </c>
      <c r="H8" s="25" t="s">
        <v>59</v>
      </c>
      <c r="I8" s="26" t="s">
        <v>811</v>
      </c>
      <c r="J8" s="26" t="s">
        <v>812</v>
      </c>
      <c r="K8" s="26" t="s">
        <v>41</v>
      </c>
      <c r="L8" s="786" t="s">
        <v>87</v>
      </c>
      <c r="M8" s="1"/>
      <c r="N8" s="6"/>
      <c r="O8" s="7"/>
      <c r="P8" s="7"/>
    </row>
    <row r="9" ht="23.25" customHeight="1">
      <c r="A9" s="27"/>
      <c r="B9" s="28" t="s">
        <v>813</v>
      </c>
      <c r="C9" s="29" t="s">
        <v>549</v>
      </c>
      <c r="D9" s="29" t="s">
        <v>52</v>
      </c>
      <c r="E9" s="29" t="s">
        <v>40</v>
      </c>
      <c r="F9" s="29" t="s">
        <v>43</v>
      </c>
      <c r="G9" s="29" t="s">
        <v>814</v>
      </c>
      <c r="H9" s="29" t="s">
        <v>45</v>
      </c>
      <c r="I9" s="29" t="s">
        <v>42</v>
      </c>
      <c r="J9" s="29"/>
      <c r="K9" s="29"/>
      <c r="L9" s="787" t="s">
        <v>815</v>
      </c>
      <c r="M9" s="27"/>
      <c r="N9" s="788"/>
      <c r="O9" s="789"/>
      <c r="P9" s="789"/>
      <c r="Q9" s="790"/>
    </row>
    <row r="10" ht="15.75" customHeight="1">
      <c r="A10" s="27"/>
      <c r="B10" s="31" t="s">
        <v>816</v>
      </c>
      <c r="C10" s="32"/>
      <c r="D10" s="32"/>
      <c r="E10" s="32"/>
      <c r="F10" s="32"/>
      <c r="G10" s="32"/>
      <c r="H10" s="32"/>
      <c r="I10" s="32"/>
      <c r="J10" s="32"/>
      <c r="K10" s="32"/>
      <c r="L10" s="791" t="s">
        <v>817</v>
      </c>
      <c r="M10" s="27"/>
      <c r="N10" s="788"/>
      <c r="O10" s="789"/>
      <c r="P10" s="789"/>
      <c r="Q10" s="790"/>
    </row>
    <row r="11" ht="15.75" customHeight="1">
      <c r="A11" s="27"/>
      <c r="B11" s="28" t="s">
        <v>818</v>
      </c>
      <c r="C11" s="34"/>
      <c r="D11" s="34"/>
      <c r="E11" s="34"/>
      <c r="F11" s="34"/>
      <c r="G11" s="34"/>
      <c r="H11" s="34"/>
      <c r="I11" s="34"/>
      <c r="J11" s="34"/>
      <c r="K11" s="34"/>
      <c r="L11" s="791" t="s">
        <v>819</v>
      </c>
      <c r="M11" s="27"/>
      <c r="N11" s="788"/>
      <c r="O11" s="789"/>
      <c r="P11" s="789"/>
      <c r="Q11" s="790"/>
    </row>
    <row r="12" ht="15.75" customHeight="1">
      <c r="A12" s="27"/>
      <c r="B12" s="31" t="s">
        <v>820</v>
      </c>
      <c r="C12" s="792"/>
      <c r="D12" s="793"/>
      <c r="E12" s="792"/>
      <c r="F12" s="793"/>
      <c r="G12" s="793"/>
      <c r="H12" s="793"/>
      <c r="I12" s="792"/>
      <c r="J12" s="792"/>
      <c r="K12" s="792"/>
      <c r="L12" s="794" t="s">
        <v>821</v>
      </c>
      <c r="M12" s="27"/>
      <c r="N12" s="788"/>
      <c r="O12" s="789"/>
      <c r="P12" s="789"/>
      <c r="Q12" s="790"/>
    </row>
    <row r="13" ht="15.75" customHeight="1">
      <c r="A13" s="1"/>
      <c r="B13" s="36"/>
      <c r="C13" s="37"/>
      <c r="D13" s="37"/>
      <c r="E13" s="37"/>
      <c r="F13" s="37"/>
      <c r="G13" s="37"/>
      <c r="H13" s="37"/>
      <c r="I13" s="37"/>
      <c r="J13" s="37"/>
      <c r="K13" s="37"/>
      <c r="L13" s="795"/>
      <c r="M13" s="1"/>
      <c r="N13" s="6"/>
      <c r="O13" s="7"/>
      <c r="P13" s="7"/>
    </row>
    <row r="14" ht="15.75" customHeight="1">
      <c r="A14" s="1"/>
      <c r="B14" s="796" t="s">
        <v>822</v>
      </c>
      <c r="C14" s="797" t="s">
        <v>823</v>
      </c>
      <c r="D14" s="797" t="s">
        <v>824</v>
      </c>
      <c r="E14" s="797" t="s">
        <v>825</v>
      </c>
      <c r="F14" s="798" t="s">
        <v>826</v>
      </c>
      <c r="G14" s="799"/>
      <c r="H14" s="799"/>
      <c r="I14" s="799"/>
      <c r="J14" s="799"/>
      <c r="K14" s="800" t="s">
        <v>827</v>
      </c>
      <c r="L14" s="801"/>
      <c r="M14" s="1"/>
      <c r="N14" s="802"/>
      <c r="O14" s="802"/>
      <c r="P14" s="802"/>
    </row>
    <row r="15" ht="15.75" customHeight="1">
      <c r="A15" s="1"/>
      <c r="B15" s="803"/>
      <c r="C15" s="804"/>
      <c r="D15" s="805"/>
      <c r="E15" s="806"/>
      <c r="F15" s="807"/>
      <c r="G15" s="806"/>
      <c r="H15" s="806"/>
      <c r="I15" s="808"/>
      <c r="J15" s="806"/>
      <c r="K15" s="809"/>
      <c r="L15" s="810"/>
      <c r="M15" s="1"/>
    </row>
    <row r="16" ht="15.75" customHeight="1">
      <c r="A16" s="1"/>
      <c r="B16" s="803"/>
      <c r="C16" s="811"/>
      <c r="D16" s="811"/>
      <c r="E16" s="806"/>
      <c r="F16" s="807"/>
      <c r="G16" s="806"/>
      <c r="H16" s="812"/>
      <c r="I16" s="812"/>
      <c r="J16" s="812"/>
      <c r="K16" s="813" t="s">
        <v>822</v>
      </c>
      <c r="L16" s="814"/>
      <c r="M16" s="1"/>
      <c r="N16" s="815"/>
      <c r="O16" s="816"/>
      <c r="P16" s="816"/>
    </row>
    <row r="17" ht="15.75" customHeight="1">
      <c r="A17" s="1"/>
      <c r="B17" s="803"/>
      <c r="C17" s="812"/>
      <c r="D17" s="812"/>
      <c r="E17" s="812"/>
      <c r="F17" s="807"/>
      <c r="G17" s="806"/>
      <c r="H17" s="806"/>
      <c r="I17" s="817"/>
      <c r="J17" s="806"/>
      <c r="K17" s="818" t="s">
        <v>809</v>
      </c>
      <c r="L17" s="819"/>
      <c r="M17" s="1"/>
      <c r="N17" s="820" t="s">
        <v>828</v>
      </c>
      <c r="O17" s="821"/>
      <c r="P17" s="815"/>
    </row>
    <row r="18" ht="15.75" customHeight="1">
      <c r="A18" s="1"/>
      <c r="B18" s="803"/>
      <c r="C18" s="804"/>
      <c r="D18" s="822"/>
      <c r="E18" s="806"/>
      <c r="F18" s="807"/>
      <c r="G18" s="806"/>
      <c r="H18" s="806"/>
      <c r="I18" s="823"/>
      <c r="J18" s="812"/>
      <c r="K18" s="818" t="s">
        <v>41</v>
      </c>
      <c r="L18" s="819"/>
      <c r="M18" s="1"/>
      <c r="N18" s="824"/>
      <c r="O18" s="825"/>
    </row>
    <row r="19" ht="15.75" customHeight="1">
      <c r="A19" s="1"/>
      <c r="B19" s="826" t="s">
        <v>549</v>
      </c>
      <c r="C19" s="826" t="s">
        <v>40</v>
      </c>
      <c r="D19" s="826" t="s">
        <v>52</v>
      </c>
      <c r="E19" s="29" t="s">
        <v>829</v>
      </c>
      <c r="F19" s="29" t="s">
        <v>80</v>
      </c>
      <c r="G19" s="826" t="s">
        <v>43</v>
      </c>
      <c r="H19" s="29" t="s">
        <v>39</v>
      </c>
      <c r="I19" s="29" t="s">
        <v>56</v>
      </c>
      <c r="J19" s="826" t="s">
        <v>814</v>
      </c>
      <c r="K19" s="827" t="s">
        <v>59</v>
      </c>
      <c r="L19" s="819"/>
      <c r="M19" s="1"/>
      <c r="N19" s="828"/>
      <c r="O19" s="829"/>
    </row>
    <row r="20" ht="15.75" customHeight="1">
      <c r="A20" s="1"/>
      <c r="B20" s="32" t="s">
        <v>406</v>
      </c>
      <c r="C20" s="830" t="s">
        <v>45</v>
      </c>
      <c r="D20" s="830" t="s">
        <v>42</v>
      </c>
      <c r="E20" s="32" t="s">
        <v>62</v>
      </c>
      <c r="F20" s="32" t="s">
        <v>830</v>
      </c>
      <c r="G20" s="32" t="s">
        <v>831</v>
      </c>
      <c r="H20" s="32" t="s">
        <v>65</v>
      </c>
      <c r="I20" s="32" t="s">
        <v>414</v>
      </c>
      <c r="J20" s="32" t="s">
        <v>70</v>
      </c>
      <c r="K20" s="827" t="s">
        <v>811</v>
      </c>
      <c r="L20" s="819"/>
      <c r="M20" s="1"/>
      <c r="N20" s="828"/>
      <c r="O20" s="829"/>
    </row>
    <row r="21" ht="15.75" customHeight="1">
      <c r="A21" s="1"/>
      <c r="B21" s="34" t="s">
        <v>832</v>
      </c>
      <c r="C21" s="34" t="s">
        <v>86</v>
      </c>
      <c r="D21" s="34" t="s">
        <v>60</v>
      </c>
      <c r="E21" s="34" t="s">
        <v>833</v>
      </c>
      <c r="F21" s="34" t="s">
        <v>834</v>
      </c>
      <c r="G21" s="34" t="s">
        <v>835</v>
      </c>
      <c r="H21" s="34" t="s">
        <v>74</v>
      </c>
      <c r="I21" s="34" t="s">
        <v>88</v>
      </c>
      <c r="J21" s="34" t="s">
        <v>836</v>
      </c>
      <c r="K21" s="827" t="s">
        <v>92</v>
      </c>
      <c r="L21" s="831"/>
      <c r="M21" s="1"/>
      <c r="N21" s="832"/>
      <c r="O21" s="825"/>
    </row>
    <row r="22" ht="15.75" customHeight="1">
      <c r="A22" s="1"/>
      <c r="B22" s="792" t="s">
        <v>71</v>
      </c>
      <c r="C22" s="793" t="s">
        <v>837</v>
      </c>
      <c r="D22" s="792" t="s">
        <v>838</v>
      </c>
      <c r="E22" s="793" t="s">
        <v>839</v>
      </c>
      <c r="F22" s="793" t="s">
        <v>840</v>
      </c>
      <c r="G22" s="793" t="s">
        <v>841</v>
      </c>
      <c r="H22" s="792"/>
      <c r="I22" s="792"/>
      <c r="J22" s="792"/>
      <c r="K22" s="827" t="s">
        <v>83</v>
      </c>
      <c r="L22" s="831"/>
      <c r="M22" s="1"/>
    </row>
    <row r="23" ht="15.75" customHeight="1">
      <c r="A23" s="1"/>
      <c r="B23" s="803"/>
      <c r="C23" s="833"/>
      <c r="D23" s="811"/>
      <c r="E23" s="806"/>
      <c r="F23" s="807"/>
      <c r="G23" s="806"/>
      <c r="H23" s="806"/>
      <c r="I23" s="817"/>
      <c r="J23" s="806"/>
      <c r="K23" s="827" t="s">
        <v>810</v>
      </c>
      <c r="L23" s="831"/>
      <c r="M23" s="1"/>
    </row>
    <row r="24" ht="15.75" customHeight="1">
      <c r="A24" s="1" t="s">
        <v>842</v>
      </c>
      <c r="B24" s="803"/>
      <c r="C24" s="811"/>
      <c r="D24" s="805"/>
      <c r="E24" s="806"/>
      <c r="F24" s="807"/>
      <c r="G24" s="806"/>
      <c r="H24" s="806"/>
      <c r="I24" s="823"/>
      <c r="J24" s="806"/>
      <c r="K24" s="834" t="s">
        <v>69</v>
      </c>
      <c r="L24" s="831"/>
      <c r="M24" s="1"/>
    </row>
    <row r="25" ht="15.75" customHeight="1">
      <c r="A25" s="1"/>
      <c r="B25" s="803"/>
      <c r="C25" s="835"/>
      <c r="D25" s="822"/>
      <c r="E25" s="806"/>
      <c r="F25" s="807"/>
      <c r="G25" s="806"/>
      <c r="H25" s="806"/>
      <c r="I25" s="812"/>
      <c r="J25" s="806"/>
      <c r="K25" s="834" t="s">
        <v>812</v>
      </c>
      <c r="L25" s="836"/>
      <c r="M25" s="1"/>
    </row>
    <row r="26" ht="15.75" customHeight="1">
      <c r="A26" s="1"/>
      <c r="B26" s="803"/>
      <c r="C26" s="835"/>
      <c r="D26" s="835"/>
      <c r="E26" s="806"/>
      <c r="F26" s="807"/>
      <c r="G26" s="806"/>
      <c r="H26" s="806"/>
      <c r="I26" s="812"/>
      <c r="J26" s="806"/>
      <c r="K26" s="837"/>
      <c r="L26" s="838"/>
      <c r="M26" s="1"/>
    </row>
    <row r="27" ht="15.75" customHeight="1">
      <c r="A27" s="1"/>
      <c r="B27" s="803"/>
      <c r="C27" s="811"/>
      <c r="D27" s="822"/>
      <c r="E27" s="806"/>
      <c r="F27" s="807"/>
      <c r="G27" s="806"/>
      <c r="H27" s="806"/>
      <c r="I27" s="823"/>
      <c r="J27" s="806"/>
      <c r="K27" s="839"/>
      <c r="L27" s="840"/>
      <c r="M27" s="1"/>
    </row>
    <row r="28" ht="15.75" customHeight="1">
      <c r="A28" s="1"/>
      <c r="B28" s="803"/>
      <c r="C28" s="833"/>
      <c r="D28" s="812"/>
      <c r="E28" s="806"/>
      <c r="F28" s="807"/>
      <c r="G28" s="806"/>
      <c r="H28" s="806"/>
      <c r="I28" s="812"/>
      <c r="J28" s="806"/>
      <c r="K28" s="839"/>
      <c r="L28" s="840"/>
      <c r="M28" s="1"/>
    </row>
    <row r="29" ht="15.75" customHeight="1">
      <c r="A29" s="1"/>
      <c r="B29" s="803"/>
      <c r="C29" s="812"/>
      <c r="D29" s="812"/>
      <c r="E29" s="806"/>
      <c r="F29" s="807"/>
      <c r="G29" s="806"/>
      <c r="H29" s="806"/>
      <c r="I29" s="817"/>
      <c r="J29" s="806"/>
      <c r="K29" s="839"/>
      <c r="L29" s="840"/>
      <c r="M29" s="1"/>
    </row>
    <row r="30" ht="15.75" customHeight="1">
      <c r="A30" s="1"/>
      <c r="B30" s="803"/>
      <c r="C30" s="811"/>
      <c r="D30" s="822"/>
      <c r="E30" s="806"/>
      <c r="F30" s="807"/>
      <c r="G30" s="806"/>
      <c r="H30" s="806"/>
      <c r="I30" s="808"/>
      <c r="J30" s="806"/>
      <c r="K30" s="839"/>
      <c r="L30" s="840"/>
      <c r="M30" s="1"/>
    </row>
    <row r="31" ht="15.75" customHeight="1">
      <c r="A31" s="1"/>
      <c r="B31" s="803"/>
      <c r="C31" s="835"/>
      <c r="D31" s="812"/>
      <c r="E31" s="806"/>
      <c r="F31" s="807"/>
      <c r="G31" s="806"/>
      <c r="H31" s="806"/>
      <c r="I31" s="817"/>
      <c r="J31" s="806"/>
      <c r="K31" s="839"/>
      <c r="L31" s="840"/>
      <c r="M31" s="1"/>
    </row>
    <row r="32" ht="15.75" customHeight="1">
      <c r="A32" s="1"/>
      <c r="B32" s="803"/>
      <c r="C32" s="811"/>
      <c r="D32" s="812"/>
      <c r="E32" s="806"/>
      <c r="F32" s="807"/>
      <c r="G32" s="806"/>
      <c r="H32" s="806"/>
      <c r="I32" s="804"/>
      <c r="J32" s="822"/>
      <c r="K32" s="806"/>
      <c r="L32" s="431"/>
      <c r="M32" s="1"/>
    </row>
    <row r="33" ht="15.75" customHeight="1">
      <c r="A33" s="1"/>
      <c r="B33" s="803"/>
      <c r="C33" s="835"/>
      <c r="D33" s="811"/>
      <c r="E33" s="806"/>
      <c r="F33" s="807"/>
      <c r="G33" s="806"/>
      <c r="H33" s="806"/>
      <c r="I33" s="806"/>
      <c r="J33" s="806"/>
      <c r="K33" s="839"/>
      <c r="L33" s="840"/>
      <c r="M33" s="1"/>
    </row>
    <row r="34" ht="15.75" customHeight="1">
      <c r="A34" s="1"/>
      <c r="B34" s="803"/>
      <c r="C34" s="835"/>
      <c r="D34" s="822"/>
      <c r="E34" s="806"/>
      <c r="F34" s="807"/>
      <c r="G34" s="806"/>
      <c r="H34" s="806"/>
      <c r="I34" s="812"/>
      <c r="J34" s="806"/>
      <c r="K34" s="839"/>
      <c r="L34" s="840"/>
      <c r="M34" s="1"/>
    </row>
    <row r="35" ht="15.75" customHeight="1">
      <c r="A35" s="1"/>
      <c r="B35" s="803"/>
      <c r="C35" s="811"/>
      <c r="D35" s="822"/>
      <c r="E35" s="806"/>
      <c r="F35" s="807"/>
      <c r="G35" s="806"/>
      <c r="H35" s="806"/>
      <c r="I35" s="808"/>
      <c r="J35" s="806"/>
      <c r="K35" s="839"/>
      <c r="L35" s="840"/>
      <c r="M35" s="1"/>
    </row>
    <row r="36" ht="15.75" customHeight="1">
      <c r="A36" s="1"/>
      <c r="B36" s="803"/>
      <c r="C36" s="804"/>
      <c r="D36" s="812"/>
      <c r="E36" s="806"/>
      <c r="F36" s="807"/>
      <c r="G36" s="806"/>
      <c r="H36" s="806"/>
      <c r="I36" s="817"/>
      <c r="J36" s="806"/>
      <c r="K36" s="839"/>
      <c r="L36" s="840"/>
      <c r="M36" s="1"/>
    </row>
    <row r="37" ht="15.75" customHeight="1">
      <c r="A37" s="1"/>
      <c r="B37" s="803"/>
      <c r="C37" s="811"/>
      <c r="D37" s="822"/>
      <c r="E37" s="806"/>
      <c r="F37" s="807"/>
      <c r="G37" s="806"/>
      <c r="H37" s="806"/>
      <c r="I37" s="841"/>
      <c r="J37" s="806"/>
      <c r="K37" s="839"/>
      <c r="L37" s="840"/>
      <c r="M37" s="1"/>
      <c r="N37" s="842"/>
    </row>
    <row r="38" ht="15.75" customHeight="1">
      <c r="A38" s="1"/>
      <c r="B38" s="803"/>
      <c r="C38" s="804"/>
      <c r="D38" s="822"/>
      <c r="E38" s="806"/>
      <c r="F38" s="807"/>
      <c r="G38" s="806"/>
      <c r="H38" s="806"/>
      <c r="I38" s="808"/>
      <c r="J38" s="812"/>
      <c r="K38" s="839"/>
      <c r="L38" s="840"/>
      <c r="M38" s="1"/>
    </row>
    <row r="39" ht="15.75" customHeight="1">
      <c r="A39" s="1"/>
      <c r="B39" s="803"/>
      <c r="C39" s="833"/>
      <c r="D39" s="804"/>
      <c r="E39" s="806"/>
      <c r="F39" s="807"/>
      <c r="G39" s="806"/>
      <c r="H39" s="812"/>
      <c r="I39" s="812"/>
      <c r="J39" s="806"/>
      <c r="K39" s="839"/>
      <c r="L39" s="840"/>
      <c r="M39" s="1"/>
    </row>
    <row r="40" ht="15.75" customHeight="1">
      <c r="A40" s="1"/>
      <c r="B40" s="803"/>
      <c r="C40" s="812"/>
      <c r="D40" s="812"/>
      <c r="E40" s="806"/>
      <c r="F40" s="807"/>
      <c r="G40" s="806"/>
      <c r="H40" s="806"/>
      <c r="I40" s="812"/>
      <c r="J40" s="806"/>
      <c r="K40" s="839"/>
      <c r="L40" s="840"/>
      <c r="M40" s="1"/>
    </row>
    <row r="41" ht="15.75" customHeight="1">
      <c r="A41" s="1"/>
      <c r="B41" s="803"/>
      <c r="C41" s="812"/>
      <c r="D41" s="812"/>
      <c r="E41" s="806"/>
      <c r="F41" s="807"/>
      <c r="G41" s="806"/>
      <c r="H41" s="812"/>
      <c r="I41" s="806"/>
      <c r="J41" s="806"/>
      <c r="K41" s="839"/>
      <c r="L41" s="840"/>
      <c r="M41" s="1"/>
    </row>
    <row r="42" ht="15.75" customHeight="1">
      <c r="A42" s="1"/>
      <c r="B42" s="803"/>
      <c r="C42" s="811"/>
      <c r="D42" s="835"/>
      <c r="E42" s="806"/>
      <c r="F42" s="807"/>
      <c r="G42" s="806"/>
      <c r="H42" s="806"/>
      <c r="I42" s="812"/>
      <c r="J42" s="806"/>
      <c r="K42" s="839"/>
      <c r="L42" s="840"/>
      <c r="M42" s="1"/>
    </row>
    <row r="43" ht="15.75" customHeight="1">
      <c r="A43" s="1"/>
      <c r="B43" s="803"/>
      <c r="C43" s="804"/>
      <c r="D43" s="805"/>
      <c r="E43" s="806"/>
      <c r="F43" s="807"/>
      <c r="G43" s="806"/>
      <c r="H43" s="806"/>
      <c r="I43" s="817"/>
      <c r="J43" s="806"/>
      <c r="K43" s="839"/>
      <c r="L43" s="840"/>
      <c r="M43" s="1"/>
    </row>
    <row r="44" ht="15.75" customHeight="1">
      <c r="A44" s="1"/>
      <c r="B44" s="803"/>
      <c r="C44" s="833"/>
      <c r="D44" s="835"/>
      <c r="E44" s="806"/>
      <c r="F44" s="807"/>
      <c r="G44" s="806"/>
      <c r="H44" s="806"/>
      <c r="I44" s="812"/>
      <c r="J44" s="806"/>
      <c r="K44" s="839"/>
      <c r="L44" s="840"/>
      <c r="M44" s="1"/>
    </row>
    <row r="45" ht="15.75" customHeight="1">
      <c r="A45" s="1"/>
      <c r="B45" s="803"/>
      <c r="C45" s="811"/>
      <c r="D45" s="822"/>
      <c r="E45" s="806"/>
      <c r="F45" s="807"/>
      <c r="G45" s="806"/>
      <c r="H45" s="806"/>
      <c r="I45" s="812"/>
      <c r="J45" s="806"/>
      <c r="K45" s="839"/>
      <c r="L45" s="840"/>
      <c r="M45" s="1"/>
    </row>
    <row r="46" ht="15.75" customHeight="1">
      <c r="A46" s="1"/>
      <c r="B46" s="803"/>
      <c r="C46" s="835"/>
      <c r="D46" s="835"/>
      <c r="E46" s="806"/>
      <c r="F46" s="843"/>
      <c r="G46" s="806"/>
      <c r="H46" s="806"/>
      <c r="I46" s="806"/>
      <c r="J46" s="806"/>
      <c r="K46" s="839"/>
      <c r="L46" s="840"/>
      <c r="M46" s="1"/>
    </row>
    <row r="47" ht="15.75" customHeight="1">
      <c r="A47" s="1"/>
      <c r="B47" s="803"/>
      <c r="C47" s="835"/>
      <c r="D47" s="822"/>
      <c r="E47" s="806"/>
      <c r="F47" s="807"/>
      <c r="G47" s="839"/>
      <c r="H47" s="812"/>
      <c r="I47" s="839"/>
      <c r="J47" s="839"/>
      <c r="K47" s="839"/>
      <c r="L47" s="840"/>
      <c r="M47" s="1"/>
    </row>
    <row r="48" ht="15.75" customHeight="1">
      <c r="A48" s="1"/>
      <c r="B48" s="803"/>
      <c r="C48" s="835"/>
      <c r="D48" s="805"/>
      <c r="E48" s="812"/>
      <c r="F48" s="807"/>
      <c r="G48" s="839"/>
      <c r="H48" s="806"/>
      <c r="I48" s="839"/>
      <c r="J48" s="839"/>
      <c r="K48" s="839"/>
      <c r="L48" s="840"/>
      <c r="M48" s="1"/>
    </row>
    <row r="49" ht="15.75" customHeight="1">
      <c r="A49" s="1"/>
      <c r="B49" s="803"/>
      <c r="C49" s="835"/>
      <c r="D49" s="812"/>
      <c r="E49" s="806"/>
      <c r="F49" s="807"/>
      <c r="G49" s="839"/>
      <c r="H49" s="806"/>
      <c r="I49" s="839"/>
      <c r="J49" s="839"/>
      <c r="K49" s="839"/>
      <c r="L49" s="840"/>
      <c r="M49" s="1"/>
    </row>
    <row r="50" ht="15.75" customHeight="1">
      <c r="A50" s="1"/>
      <c r="B50" s="803"/>
      <c r="C50" s="811"/>
      <c r="D50" s="811"/>
      <c r="E50" s="806"/>
      <c r="F50" s="807"/>
      <c r="G50" s="839"/>
      <c r="H50" s="806"/>
      <c r="I50" s="839"/>
      <c r="J50" s="839"/>
      <c r="K50" s="839"/>
      <c r="L50" s="840"/>
      <c r="M50" s="1"/>
    </row>
    <row r="51" ht="15.75" customHeight="1">
      <c r="A51" s="1"/>
      <c r="B51" s="803"/>
      <c r="C51" s="835"/>
      <c r="D51" s="811"/>
      <c r="E51" s="806"/>
      <c r="F51" s="807"/>
      <c r="G51" s="839"/>
      <c r="H51" s="806"/>
      <c r="I51" s="839"/>
      <c r="J51" s="839"/>
      <c r="K51" s="839"/>
      <c r="L51" s="840"/>
      <c r="M51" s="1"/>
    </row>
    <row r="52" ht="16.5" customHeight="1">
      <c r="A52" s="1"/>
      <c r="B52" s="803"/>
      <c r="C52" s="804"/>
      <c r="D52" s="805"/>
      <c r="E52" s="806"/>
      <c r="F52" s="807"/>
      <c r="G52" s="839"/>
      <c r="H52" s="806"/>
      <c r="I52" s="839"/>
      <c r="J52" s="839"/>
      <c r="K52" s="839"/>
      <c r="L52" s="840"/>
      <c r="M52" s="1"/>
      <c r="N52" s="1"/>
      <c r="O52" s="1"/>
      <c r="P52" s="1"/>
      <c r="Q52" s="1"/>
    </row>
    <row r="53" ht="15.75" customHeight="1">
      <c r="A53" s="1"/>
      <c r="B53" s="803"/>
      <c r="C53" s="811"/>
      <c r="D53" s="822"/>
      <c r="E53" s="806"/>
      <c r="F53" s="807"/>
      <c r="G53" s="839"/>
      <c r="H53" s="806"/>
      <c r="I53" s="839"/>
      <c r="J53" s="839"/>
      <c r="K53" s="839"/>
      <c r="L53" s="840"/>
      <c r="M53" s="1"/>
    </row>
    <row r="54" ht="15.75" customHeight="1">
      <c r="A54" s="1"/>
      <c r="B54" s="803"/>
      <c r="C54" s="811"/>
      <c r="D54" s="822"/>
      <c r="E54" s="806"/>
      <c r="F54" s="807"/>
      <c r="G54" s="839"/>
      <c r="H54" s="806"/>
      <c r="I54" s="839"/>
      <c r="J54" s="839"/>
      <c r="K54" s="839"/>
      <c r="L54" s="840"/>
      <c r="M54" s="1"/>
    </row>
    <row r="55" ht="16.5" customHeight="1">
      <c r="A55" s="1"/>
      <c r="B55" s="803"/>
      <c r="C55" s="835"/>
      <c r="D55" s="812"/>
      <c r="E55" s="806"/>
      <c r="F55" s="807"/>
      <c r="G55" s="839"/>
      <c r="H55" s="806"/>
      <c r="I55" s="839"/>
      <c r="J55" s="839"/>
      <c r="K55" s="839"/>
      <c r="L55" s="840"/>
      <c r="M55" s="1"/>
    </row>
    <row r="56" ht="15.75" customHeight="1">
      <c r="A56" s="1"/>
      <c r="B56" s="803"/>
      <c r="C56" s="811"/>
      <c r="D56" s="811"/>
      <c r="E56" s="806"/>
      <c r="F56" s="807"/>
      <c r="G56" s="844"/>
      <c r="L56" s="1"/>
      <c r="M56" s="1"/>
    </row>
    <row r="57" ht="15.75" customHeight="1">
      <c r="A57" s="1"/>
      <c r="B57" s="845"/>
      <c r="C57" s="846"/>
      <c r="D57" s="847"/>
      <c r="E57" s="848"/>
      <c r="F57" s="849"/>
      <c r="G57" s="844"/>
      <c r="L57" s="1"/>
      <c r="M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ht="15.75" customHeight="1">
      <c r="A59" s="1"/>
      <c r="B59" s="38"/>
      <c r="D59" s="39"/>
      <c r="E59" s="39"/>
      <c r="F59" s="40"/>
      <c r="G59" s="41"/>
      <c r="L59" s="1"/>
      <c r="M59" s="1"/>
    </row>
    <row r="60" ht="15.75" customHeight="1">
      <c r="A60" s="1"/>
      <c r="B60" s="38"/>
      <c r="D60" s="39"/>
      <c r="E60" s="39"/>
      <c r="F60" s="40"/>
      <c r="G60" s="41"/>
      <c r="L60" s="1"/>
      <c r="M60" s="1"/>
    </row>
    <row r="61" ht="15.75" customHeight="1">
      <c r="A61" s="1"/>
      <c r="B61" s="38"/>
      <c r="D61" s="39"/>
      <c r="E61" s="39"/>
      <c r="F61" s="40"/>
      <c r="G61" s="41"/>
      <c r="L61" s="1"/>
      <c r="M61" s="1"/>
    </row>
    <row r="62" ht="15.75" customHeight="1">
      <c r="A62" s="1"/>
      <c r="B62" s="38"/>
      <c r="D62" s="39"/>
      <c r="E62" s="39"/>
      <c r="F62" s="40"/>
      <c r="G62" s="41"/>
      <c r="L62" s="1"/>
      <c r="M62" s="1"/>
    </row>
    <row r="63" ht="15.75" customHeight="1">
      <c r="A63" s="1"/>
      <c r="B63" s="38"/>
      <c r="D63" s="39"/>
      <c r="E63" s="39"/>
      <c r="F63" s="40"/>
      <c r="G63" s="41"/>
      <c r="L63" s="1"/>
      <c r="M63" s="1"/>
    </row>
    <row r="64" ht="15.75" customHeight="1">
      <c r="A64" s="1"/>
      <c r="B64" s="38"/>
      <c r="D64" s="39"/>
      <c r="E64" s="39"/>
      <c r="F64" s="40"/>
      <c r="G64" s="41"/>
      <c r="L64" s="1"/>
      <c r="M64" s="1"/>
    </row>
    <row r="65" ht="15.75" customHeight="1">
      <c r="A65" s="1"/>
      <c r="B65" s="38"/>
      <c r="D65" s="39"/>
      <c r="E65" s="39"/>
      <c r="F65" s="40"/>
      <c r="G65" s="41"/>
      <c r="L65" s="1"/>
      <c r="M65" s="1"/>
    </row>
    <row r="66" ht="15.75" customHeight="1">
      <c r="A66" s="1"/>
      <c r="B66" s="38"/>
      <c r="D66" s="39"/>
      <c r="E66" s="39"/>
      <c r="F66" s="40"/>
      <c r="G66" s="41"/>
      <c r="L66" s="1"/>
      <c r="M66" s="1"/>
    </row>
    <row r="67" ht="15.75" customHeight="1">
      <c r="A67" s="1"/>
      <c r="B67" s="38"/>
      <c r="D67" s="39"/>
      <c r="E67" s="39"/>
      <c r="F67" s="40"/>
      <c r="G67" s="41"/>
      <c r="L67" s="1"/>
      <c r="M67" s="1"/>
    </row>
    <row r="68" ht="15.75" customHeight="1">
      <c r="A68" s="1"/>
      <c r="B68" s="38"/>
      <c r="D68" s="39"/>
      <c r="E68" s="39"/>
      <c r="F68" s="40"/>
      <c r="G68" s="39"/>
      <c r="L68" s="1"/>
      <c r="M68" s="1"/>
    </row>
    <row r="69" ht="15.75" customHeight="1">
      <c r="A69" s="1"/>
      <c r="B69" s="38"/>
      <c r="D69" s="39"/>
      <c r="E69" s="39"/>
      <c r="F69" s="40"/>
      <c r="G69" s="39"/>
      <c r="L69" s="1"/>
      <c r="M69" s="1"/>
    </row>
    <row r="70" ht="15.75" customHeight="1">
      <c r="A70" s="1"/>
      <c r="B70" s="38"/>
      <c r="D70" s="1"/>
      <c r="E70" s="1"/>
      <c r="F70" s="1"/>
      <c r="G70" s="1"/>
      <c r="L70" s="1"/>
      <c r="M70" s="1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2:K4"/>
    <mergeCell ref="B13:K13"/>
    <mergeCell ref="K14:K15"/>
    <mergeCell ref="N17:O18"/>
    <mergeCell ref="N19:O19"/>
    <mergeCell ref="N20:O20"/>
    <mergeCell ref="N21:O21"/>
    <mergeCell ref="G56:K56"/>
    <mergeCell ref="G57:K57"/>
    <mergeCell ref="B59:C59"/>
    <mergeCell ref="G59:K59"/>
    <mergeCell ref="B60:C60"/>
    <mergeCell ref="G60:K60"/>
    <mergeCell ref="G61:K61"/>
    <mergeCell ref="B68:C68"/>
    <mergeCell ref="B69:C69"/>
    <mergeCell ref="B70:C70"/>
    <mergeCell ref="B61:C61"/>
    <mergeCell ref="B62:C62"/>
    <mergeCell ref="B63:C63"/>
    <mergeCell ref="B64:C64"/>
    <mergeCell ref="B65:C65"/>
    <mergeCell ref="B66:C66"/>
    <mergeCell ref="B67:C67"/>
    <mergeCell ref="G69:K69"/>
    <mergeCell ref="G70:K70"/>
    <mergeCell ref="G62:K62"/>
    <mergeCell ref="G63:K63"/>
    <mergeCell ref="G64:K64"/>
    <mergeCell ref="G65:K65"/>
    <mergeCell ref="G66:K66"/>
    <mergeCell ref="G67:K67"/>
    <mergeCell ref="G68:K68"/>
  </mergeCells>
  <conditionalFormatting sqref="L27:L56">
    <cfRule type="notContainsBlanks" dxfId="0" priority="1">
      <formula>LEN(TRIM(L27))&gt;0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8.0"/>
    <col customWidth="1" min="3" max="3" width="16.75"/>
    <col customWidth="1" min="4" max="4" width="17.25"/>
    <col customWidth="1" min="5" max="5" width="19.38"/>
    <col customWidth="1" min="6" max="6" width="16.63"/>
    <col customWidth="1" min="7" max="7" width="17.5"/>
    <col customWidth="1" min="8" max="8" width="16.25"/>
    <col customWidth="1" min="9" max="9" width="16.38"/>
    <col customWidth="1" min="10" max="10" width="15.5"/>
    <col customWidth="1" min="11" max="12" width="15.63"/>
    <col customWidth="1" min="13" max="13" width="3.88"/>
    <col customWidth="1" hidden="1" min="14" max="16" width="12.63"/>
    <col customWidth="1" hidden="1" min="17" max="17" width="3.88"/>
  </cols>
  <sheetData>
    <row r="1" ht="15.75" customHeight="1">
      <c r="A1" s="1">
        <v>7.0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15.75" customHeight="1">
      <c r="A2" s="1"/>
      <c r="B2" s="776" t="s">
        <v>843</v>
      </c>
      <c r="C2" s="777"/>
      <c r="D2" s="777"/>
      <c r="E2" s="777"/>
      <c r="F2" s="777"/>
      <c r="G2" s="777"/>
      <c r="H2" s="777"/>
      <c r="I2" s="777"/>
      <c r="J2" s="777"/>
      <c r="K2" s="777"/>
      <c r="L2" s="821"/>
      <c r="M2" s="1"/>
      <c r="N2" s="778"/>
      <c r="O2" s="778"/>
      <c r="P2" s="778"/>
    </row>
    <row r="3" ht="15.75" customHeight="1">
      <c r="A3" s="1"/>
      <c r="B3" s="779"/>
      <c r="L3" s="829"/>
      <c r="M3" s="1"/>
      <c r="N3" s="778"/>
      <c r="O3" s="778"/>
      <c r="P3" s="778"/>
    </row>
    <row r="4" ht="15.75" customHeight="1">
      <c r="A4" s="1"/>
      <c r="B4" s="779"/>
      <c r="L4" s="829"/>
      <c r="M4" s="1"/>
      <c r="N4" s="6"/>
      <c r="O4" s="7"/>
      <c r="P4" s="7"/>
    </row>
    <row r="5" ht="1.5" customHeight="1">
      <c r="A5" s="1"/>
      <c r="B5" s="824"/>
      <c r="C5" s="37"/>
      <c r="D5" s="37"/>
      <c r="E5" s="37"/>
      <c r="F5" s="37"/>
      <c r="G5" s="37"/>
      <c r="H5" s="37"/>
      <c r="I5" s="37"/>
      <c r="J5" s="37"/>
      <c r="K5" s="37"/>
      <c r="L5" s="825"/>
      <c r="M5" s="1"/>
      <c r="N5" s="6"/>
      <c r="O5" s="7"/>
      <c r="P5" s="7"/>
    </row>
    <row r="6" ht="35.25" hidden="1" customHeight="1">
      <c r="A6" s="8"/>
      <c r="B6" s="9" t="s">
        <v>799</v>
      </c>
      <c r="C6" s="9"/>
      <c r="D6" s="780"/>
      <c r="E6" s="9"/>
      <c r="F6" s="9"/>
      <c r="G6" s="9"/>
      <c r="H6" s="9"/>
      <c r="I6" s="781"/>
      <c r="J6" s="9"/>
      <c r="K6" s="9"/>
      <c r="L6" s="9"/>
      <c r="M6" s="13"/>
      <c r="N6" s="6"/>
      <c r="O6" s="7"/>
      <c r="P6" s="7"/>
      <c r="Q6" s="629"/>
    </row>
    <row r="7" ht="52.5" customHeight="1">
      <c r="A7" s="13"/>
      <c r="B7" s="19" t="s">
        <v>21</v>
      </c>
      <c r="C7" s="20" t="s">
        <v>844</v>
      </c>
      <c r="D7" s="20" t="s">
        <v>845</v>
      </c>
      <c r="E7" s="20" t="s">
        <v>846</v>
      </c>
      <c r="F7" s="20" t="s">
        <v>847</v>
      </c>
      <c r="G7" s="782" t="s">
        <v>848</v>
      </c>
      <c r="H7" s="782" t="s">
        <v>28</v>
      </c>
      <c r="I7" s="782" t="s">
        <v>849</v>
      </c>
      <c r="J7" s="782" t="s">
        <v>850</v>
      </c>
      <c r="K7" s="782" t="s">
        <v>851</v>
      </c>
      <c r="L7" s="782" t="s">
        <v>808</v>
      </c>
      <c r="M7" s="13"/>
      <c r="N7" s="6"/>
      <c r="O7" s="7"/>
      <c r="P7" s="7"/>
      <c r="Q7" s="629"/>
    </row>
    <row r="8" ht="15.75" customHeight="1">
      <c r="A8" s="1"/>
      <c r="B8" s="850" t="s">
        <v>36</v>
      </c>
      <c r="C8" s="850" t="s">
        <v>809</v>
      </c>
      <c r="D8" s="851" t="s">
        <v>50</v>
      </c>
      <c r="E8" s="851" t="s">
        <v>852</v>
      </c>
      <c r="F8" s="851" t="s">
        <v>77</v>
      </c>
      <c r="G8" s="851" t="s">
        <v>65</v>
      </c>
      <c r="H8" s="851" t="s">
        <v>43</v>
      </c>
      <c r="I8" s="851" t="s">
        <v>58</v>
      </c>
      <c r="J8" s="850" t="s">
        <v>810</v>
      </c>
      <c r="K8" s="851" t="s">
        <v>55</v>
      </c>
      <c r="L8" s="851" t="s">
        <v>87</v>
      </c>
      <c r="M8" s="1"/>
      <c r="N8" s="6"/>
      <c r="O8" s="7"/>
      <c r="P8" s="7"/>
    </row>
    <row r="9" ht="15.75" customHeight="1">
      <c r="A9" s="27"/>
      <c r="B9" s="852" t="s">
        <v>813</v>
      </c>
      <c r="C9" s="853" t="s">
        <v>63</v>
      </c>
      <c r="D9" s="854" t="s">
        <v>853</v>
      </c>
      <c r="E9" s="854" t="s">
        <v>38</v>
      </c>
      <c r="F9" s="854" t="s">
        <v>41</v>
      </c>
      <c r="G9" s="854" t="s">
        <v>854</v>
      </c>
      <c r="H9" s="854" t="s">
        <v>812</v>
      </c>
      <c r="I9" s="854" t="s">
        <v>855</v>
      </c>
      <c r="J9" s="853" t="s">
        <v>856</v>
      </c>
      <c r="K9" s="854" t="s">
        <v>59</v>
      </c>
      <c r="L9" s="855" t="s">
        <v>857</v>
      </c>
      <c r="M9" s="27"/>
      <c r="N9" s="788"/>
      <c r="O9" s="789"/>
      <c r="P9" s="789"/>
      <c r="Q9" s="790"/>
    </row>
    <row r="10" ht="15.75" customHeight="1">
      <c r="A10" s="27"/>
      <c r="B10" s="856"/>
      <c r="C10" s="857" t="s">
        <v>858</v>
      </c>
      <c r="D10" s="857" t="s">
        <v>858</v>
      </c>
      <c r="E10" s="858" t="s">
        <v>859</v>
      </c>
      <c r="F10" s="858" t="s">
        <v>859</v>
      </c>
      <c r="G10" s="859" t="s">
        <v>858</v>
      </c>
      <c r="H10" s="857" t="s">
        <v>858</v>
      </c>
      <c r="I10" s="860" t="s">
        <v>858</v>
      </c>
      <c r="J10" s="857" t="s">
        <v>858</v>
      </c>
      <c r="K10" s="859" t="s">
        <v>858</v>
      </c>
      <c r="L10" s="861" t="s">
        <v>858</v>
      </c>
      <c r="M10" s="27"/>
      <c r="N10" s="788"/>
      <c r="O10" s="789"/>
      <c r="P10" s="789"/>
      <c r="Q10" s="790"/>
    </row>
    <row r="11" ht="15.75" customHeight="1">
      <c r="A11" s="27"/>
      <c r="B11" s="862" t="s">
        <v>816</v>
      </c>
      <c r="C11" s="863" t="s">
        <v>860</v>
      </c>
      <c r="D11" s="863" t="s">
        <v>40</v>
      </c>
      <c r="E11" s="863" t="s">
        <v>91</v>
      </c>
      <c r="F11" s="863" t="s">
        <v>861</v>
      </c>
      <c r="G11" s="863" t="s">
        <v>42</v>
      </c>
      <c r="H11" s="863" t="s">
        <v>862</v>
      </c>
      <c r="I11" s="863" t="s">
        <v>863</v>
      </c>
      <c r="J11" s="864" t="s">
        <v>864</v>
      </c>
      <c r="K11" s="863" t="s">
        <v>70</v>
      </c>
      <c r="L11" s="865" t="s">
        <v>49</v>
      </c>
      <c r="M11" s="27"/>
      <c r="N11" s="788"/>
      <c r="O11" s="789"/>
      <c r="P11" s="789"/>
      <c r="Q11" s="790"/>
    </row>
    <row r="12" ht="15.75" customHeight="1">
      <c r="A12" s="27"/>
      <c r="B12" s="866"/>
      <c r="C12" s="857" t="s">
        <v>858</v>
      </c>
      <c r="D12" s="867" t="s">
        <v>865</v>
      </c>
      <c r="E12" s="867" t="s">
        <v>865</v>
      </c>
      <c r="F12" s="868" t="s">
        <v>865</v>
      </c>
      <c r="G12" s="867" t="s">
        <v>865</v>
      </c>
      <c r="H12" s="869" t="s">
        <v>866</v>
      </c>
      <c r="I12" s="870" t="s">
        <v>867</v>
      </c>
      <c r="J12" s="868" t="s">
        <v>865</v>
      </c>
      <c r="K12" s="869" t="s">
        <v>866</v>
      </c>
      <c r="L12" s="871" t="s">
        <v>867</v>
      </c>
      <c r="M12" s="27"/>
      <c r="N12" s="788"/>
      <c r="O12" s="789"/>
      <c r="P12" s="789"/>
      <c r="Q12" s="790"/>
    </row>
    <row r="13" ht="15.75" customHeight="1">
      <c r="A13" s="27"/>
      <c r="B13" s="872" t="s">
        <v>818</v>
      </c>
      <c r="C13" s="873" t="s">
        <v>92</v>
      </c>
      <c r="D13" s="873" t="s">
        <v>868</v>
      </c>
      <c r="E13" s="873" t="s">
        <v>39</v>
      </c>
      <c r="F13" s="874" t="s">
        <v>869</v>
      </c>
      <c r="G13" s="874" t="s">
        <v>870</v>
      </c>
      <c r="H13" s="873" t="s">
        <v>88</v>
      </c>
      <c r="I13" s="874" t="s">
        <v>837</v>
      </c>
      <c r="J13" s="875" t="s">
        <v>62</v>
      </c>
      <c r="K13" s="876" t="s">
        <v>871</v>
      </c>
      <c r="L13" s="877" t="s">
        <v>819</v>
      </c>
      <c r="M13" s="27"/>
      <c r="N13" s="788"/>
      <c r="O13" s="789"/>
      <c r="P13" s="789"/>
      <c r="Q13" s="790"/>
    </row>
    <row r="14" ht="15.75" customHeight="1">
      <c r="A14" s="27"/>
      <c r="B14" s="856"/>
      <c r="C14" s="869" t="s">
        <v>866</v>
      </c>
      <c r="D14" s="804" t="s">
        <v>872</v>
      </c>
      <c r="E14" s="869" t="s">
        <v>866</v>
      </c>
      <c r="F14" s="804" t="s">
        <v>872</v>
      </c>
      <c r="G14" s="804" t="s">
        <v>872</v>
      </c>
      <c r="H14" s="869" t="s">
        <v>866</v>
      </c>
      <c r="I14" s="804" t="s">
        <v>872</v>
      </c>
      <c r="J14" s="869" t="s">
        <v>866</v>
      </c>
      <c r="K14" s="804" t="s">
        <v>872</v>
      </c>
      <c r="L14" s="878" t="s">
        <v>867</v>
      </c>
      <c r="M14" s="27"/>
      <c r="N14" s="788"/>
      <c r="O14" s="789"/>
      <c r="P14" s="789"/>
      <c r="Q14" s="790"/>
    </row>
    <row r="15" ht="15.75" customHeight="1">
      <c r="A15" s="27"/>
      <c r="B15" s="862" t="s">
        <v>820</v>
      </c>
      <c r="C15" s="863" t="s">
        <v>73</v>
      </c>
      <c r="D15" s="863" t="s">
        <v>873</v>
      </c>
      <c r="E15" s="863" t="s">
        <v>874</v>
      </c>
      <c r="F15" s="863" t="s">
        <v>875</v>
      </c>
      <c r="G15" s="863" t="s">
        <v>876</v>
      </c>
      <c r="H15" s="863" t="s">
        <v>877</v>
      </c>
      <c r="I15" s="863" t="s">
        <v>85</v>
      </c>
      <c r="J15" s="864" t="s">
        <v>71</v>
      </c>
      <c r="K15" s="863" t="s">
        <v>878</v>
      </c>
      <c r="L15" s="865" t="s">
        <v>821</v>
      </c>
      <c r="M15" s="27"/>
      <c r="N15" s="788"/>
      <c r="O15" s="789"/>
      <c r="P15" s="789"/>
      <c r="Q15" s="790"/>
    </row>
    <row r="16" ht="15.75" customHeight="1">
      <c r="A16" s="27"/>
      <c r="B16" s="866"/>
      <c r="C16" s="870" t="s">
        <v>867</v>
      </c>
      <c r="D16" s="804" t="s">
        <v>872</v>
      </c>
      <c r="E16" s="870" t="s">
        <v>867</v>
      </c>
      <c r="F16" s="804" t="s">
        <v>872</v>
      </c>
      <c r="G16" s="879" t="s">
        <v>879</v>
      </c>
      <c r="H16" s="879" t="s">
        <v>879</v>
      </c>
      <c r="I16" s="804" t="s">
        <v>872</v>
      </c>
      <c r="J16" s="879" t="s">
        <v>879</v>
      </c>
      <c r="K16" s="804" t="s">
        <v>872</v>
      </c>
      <c r="L16" s="804" t="s">
        <v>872</v>
      </c>
      <c r="M16" s="27"/>
      <c r="N16" s="788"/>
      <c r="O16" s="789"/>
      <c r="P16" s="789"/>
      <c r="Q16" s="790"/>
    </row>
    <row r="17" ht="15.75" customHeight="1">
      <c r="A17" s="1"/>
      <c r="B17" s="872" t="s">
        <v>880</v>
      </c>
      <c r="C17" s="873" t="s">
        <v>881</v>
      </c>
      <c r="D17" s="873" t="s">
        <v>882</v>
      </c>
      <c r="E17" s="880" t="s">
        <v>883</v>
      </c>
      <c r="F17" s="794"/>
      <c r="G17" s="794"/>
      <c r="H17" s="794"/>
      <c r="I17" s="794"/>
      <c r="J17" s="881"/>
      <c r="K17" s="794"/>
      <c r="L17" s="794"/>
      <c r="M17" s="1"/>
      <c r="N17" s="6"/>
      <c r="O17" s="7"/>
      <c r="P17" s="7"/>
    </row>
    <row r="18" ht="15.75" customHeight="1">
      <c r="A18" s="1"/>
      <c r="B18" s="856"/>
      <c r="C18" s="882" t="s">
        <v>879</v>
      </c>
      <c r="D18" s="804" t="s">
        <v>872</v>
      </c>
      <c r="E18" s="804" t="s">
        <v>872</v>
      </c>
      <c r="F18" s="794"/>
      <c r="G18" s="794"/>
      <c r="H18" s="794"/>
      <c r="I18" s="794"/>
      <c r="J18" s="881"/>
      <c r="K18" s="794"/>
      <c r="L18" s="794"/>
      <c r="M18" s="1"/>
      <c r="N18" s="6"/>
      <c r="O18" s="7"/>
      <c r="P18" s="7"/>
    </row>
    <row r="19" ht="15.75" customHeight="1">
      <c r="A19" s="1"/>
      <c r="B19" s="38"/>
      <c r="D19" s="39"/>
      <c r="E19" s="39"/>
      <c r="F19" s="40"/>
      <c r="G19" s="39"/>
      <c r="L19" s="1"/>
      <c r="M19" s="1"/>
    </row>
    <row r="20" ht="15.75" customHeight="1">
      <c r="A20" s="1"/>
      <c r="B20" s="38"/>
      <c r="D20" s="39"/>
      <c r="E20" s="39"/>
      <c r="F20" s="40"/>
      <c r="G20" s="39"/>
      <c r="L20" s="1"/>
      <c r="M20" s="1"/>
    </row>
    <row r="21" ht="15.75" customHeight="1">
      <c r="A21" s="1"/>
      <c r="B21" s="38"/>
      <c r="D21" s="1"/>
      <c r="E21" s="1"/>
      <c r="F21" s="1"/>
      <c r="G21" s="1"/>
      <c r="L21" s="1"/>
      <c r="M21" s="1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L5"/>
    <mergeCell ref="B19:C19"/>
    <mergeCell ref="G19:K19"/>
    <mergeCell ref="B20:C20"/>
    <mergeCell ref="G20:K20"/>
    <mergeCell ref="B21:C21"/>
    <mergeCell ref="G21:K2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3.0"/>
    <col customWidth="1" min="4" max="6" width="12.63"/>
    <col customWidth="1" min="10" max="10" width="17.5"/>
    <col customWidth="1" min="11" max="11" width="18.75"/>
    <col customWidth="1" min="17" max="17" width="25.13"/>
    <col customWidth="1" min="19" max="19" width="25.38"/>
    <col customWidth="1" min="23" max="23" width="14.75"/>
  </cols>
  <sheetData>
    <row r="1" ht="15.75" customHeight="1">
      <c r="A1" s="883"/>
      <c r="D1" s="884" t="s">
        <v>884</v>
      </c>
    </row>
    <row r="2" ht="15.75" customHeight="1">
      <c r="A2" s="885" t="s">
        <v>885</v>
      </c>
      <c r="B2" s="886" t="s">
        <v>886</v>
      </c>
      <c r="D2" s="884" t="s">
        <v>887</v>
      </c>
    </row>
    <row r="3" ht="15.75" customHeight="1">
      <c r="W3" s="842"/>
    </row>
    <row r="4" ht="15.75" customHeight="1">
      <c r="A4" s="887" t="s">
        <v>888</v>
      </c>
      <c r="C4" s="842"/>
      <c r="F4" s="887" t="s">
        <v>106</v>
      </c>
      <c r="L4" s="888" t="s">
        <v>108</v>
      </c>
      <c r="O4" s="842"/>
      <c r="U4" s="842"/>
      <c r="W4" s="842"/>
    </row>
    <row r="5" ht="15.75" customHeight="1">
      <c r="A5" s="889" t="s">
        <v>794</v>
      </c>
      <c r="B5" s="890"/>
      <c r="C5" s="891" t="s">
        <v>889</v>
      </c>
      <c r="D5" s="892"/>
      <c r="F5" s="893" t="s">
        <v>794</v>
      </c>
      <c r="G5" s="894"/>
      <c r="H5" s="894"/>
      <c r="I5" s="894"/>
      <c r="J5" s="895" t="s">
        <v>889</v>
      </c>
      <c r="L5" s="896" t="s">
        <v>890</v>
      </c>
      <c r="M5" s="897"/>
      <c r="O5" s="842"/>
      <c r="P5" s="842"/>
      <c r="Q5" s="842"/>
      <c r="R5" s="842"/>
      <c r="S5" s="842"/>
      <c r="U5" s="842"/>
      <c r="V5" s="842"/>
      <c r="W5" s="842"/>
      <c r="X5" s="842"/>
    </row>
    <row r="6" ht="15.75" customHeight="1">
      <c r="A6" s="898" t="str">
        <f>IFERROR(__xludf.DUMMYFUNCTION("FILTER(A90:D384, ARRAYFORMULA(ISNUMBER(SEARCH(B2, C90:C384))))
"),"Monday Aug 26")</f>
        <v>Monday Aug 26</v>
      </c>
      <c r="B6" s="899" t="str">
        <f>IFERROR(__xludf.DUMMYFUNCTION("""COMPUTED_VALUE"""),"Monday Aug 26")</f>
        <v>Monday Aug 26</v>
      </c>
      <c r="C6" s="898" t="str">
        <f>IFERROR(__xludf.DUMMYFUNCTION("""COMPUTED_VALUE"""),"Ducky vs Death 8 PM")</f>
        <v>Ducky vs Death 8 PM</v>
      </c>
      <c r="D6" s="900"/>
      <c r="F6" s="898" t="str">
        <f>IFERROR(__xludf.DUMMYFUNCTION("FILTER(A90:E384, ARRAYFORMULA(ISNUMBER(SEARCH(B2, E90:E384))))
"),"Monday Aug 26")</f>
        <v>Monday Aug 26</v>
      </c>
      <c r="G6" s="901"/>
      <c r="H6" s="901" t="str">
        <f>IFERROR(__xludf.DUMMYFUNCTION("""COMPUTED_VALUE"""),"Death vs Evil 8:45 PM")</f>
        <v>Death vs Evil 8:45 PM</v>
      </c>
      <c r="I6" s="901"/>
      <c r="J6" s="900" t="str">
        <f>IFERROR(__xludf.DUMMYFUNCTION("""COMPUTED_VALUE"""),"Death vs Ducky 8:30 PM")</f>
        <v>Death vs Ducky 8:30 PM</v>
      </c>
      <c r="L6" s="898" t="str">
        <f>IFERROR(__xludf.DUMMYFUNCTION("FILTER(F90:F384, ARRAYFORMULA(ISNUMBER(SEARCH(B2, F90:F384))))
"),"Spoon vs Death")</f>
        <v>Spoon vs Death</v>
      </c>
      <c r="M6" s="900"/>
      <c r="O6" s="842"/>
      <c r="P6" s="842"/>
      <c r="Q6" s="842"/>
      <c r="R6" s="842"/>
      <c r="S6" s="842"/>
      <c r="U6" s="842"/>
      <c r="V6" s="842"/>
      <c r="W6" s="842"/>
      <c r="X6" s="842"/>
    </row>
    <row r="7" ht="15.75" customHeight="1">
      <c r="A7" s="902" t="str">
        <f>IFERROR(__xludf.DUMMYFUNCTION("""COMPUTED_VALUE"""),"Monday Aug 26")</f>
        <v>Monday Aug 26</v>
      </c>
      <c r="B7" s="903"/>
      <c r="C7" s="898" t="str">
        <f>IFERROR(__xludf.DUMMYFUNCTION("""COMPUTED_VALUE"""),"Death vs Evil 8:45 PM")</f>
        <v>Death vs Evil 8:45 PM</v>
      </c>
      <c r="D7" s="900"/>
      <c r="F7" s="898" t="str">
        <f>IFERROR(__xludf.DUMMYFUNCTION("""COMPUTED_VALUE"""),"Monday Sept 2")</f>
        <v>Monday Sept 2</v>
      </c>
      <c r="G7" s="904" t="str">
        <f>IFERROR(__xludf.DUMMYFUNCTION("""COMPUTED_VALUE"""),"Monday Sept 2")</f>
        <v>Monday Sept 2</v>
      </c>
      <c r="H7" s="901" t="str">
        <f>IFERROR(__xludf.DUMMYFUNCTION("""COMPUTED_VALUE"""),"Ducky vs Spank 8pm ")</f>
        <v>Ducky vs Spank 8pm </v>
      </c>
      <c r="I7" s="901"/>
      <c r="J7" s="900" t="str">
        <f>IFERROR(__xludf.DUMMYFUNCTION("""COMPUTED_VALUE"""),"Death vs Avenger 8:00 PM")</f>
        <v>Death vs Avenger 8:00 PM</v>
      </c>
      <c r="L7" s="898" t="str">
        <f>IFERROR(__xludf.DUMMYFUNCTION("""COMPUTED_VALUE"""),"Death vs Avenger")</f>
        <v>Death vs Avenger</v>
      </c>
      <c r="M7" s="900"/>
      <c r="O7" s="842"/>
      <c r="P7" s="842"/>
      <c r="Q7" s="842"/>
      <c r="R7" s="842"/>
      <c r="S7" s="842"/>
      <c r="U7" s="905"/>
      <c r="V7" s="842"/>
      <c r="W7" s="842"/>
      <c r="X7" s="842"/>
    </row>
    <row r="8" ht="15.75" customHeight="1">
      <c r="A8" s="902" t="str">
        <f>IFERROR(__xludf.DUMMYFUNCTION("""COMPUTED_VALUE"""),"Saturday Aug 31")</f>
        <v>Saturday Aug 31</v>
      </c>
      <c r="B8" s="903"/>
      <c r="C8" s="898" t="str">
        <f>IFERROR(__xludf.DUMMYFUNCTION("""COMPUTED_VALUE"""),"Hells vs Death 9:30 PM")</f>
        <v>Hells vs Death 9:30 PM</v>
      </c>
      <c r="D8" s="900"/>
      <c r="F8" s="898" t="str">
        <f>IFERROR(__xludf.DUMMYFUNCTION("""COMPUTED_VALUE"""),"Monday Sept 2")</f>
        <v>Monday Sept 2</v>
      </c>
      <c r="G8" s="901"/>
      <c r="H8" s="901" t="str">
        <f>IFERROR(__xludf.DUMMYFUNCTION("""COMPUTED_VALUE"""),"Evil vs Avenger 9 PM")</f>
        <v>Evil vs Avenger 9 PM</v>
      </c>
      <c r="I8" s="901"/>
      <c r="J8" s="900" t="str">
        <f>IFERROR(__xludf.DUMMYFUNCTION("""COMPUTED_VALUE"""),"Death vs Evil 8:30 PM")</f>
        <v>Death vs Evil 8:30 PM</v>
      </c>
      <c r="L8" s="898" t="str">
        <f>IFERROR(__xludf.DUMMYFUNCTION("""COMPUTED_VALUE"""),"Death vs Chemical")</f>
        <v>Death vs Chemical</v>
      </c>
      <c r="M8" s="900"/>
      <c r="O8" s="842"/>
      <c r="P8" s="842"/>
      <c r="Q8" s="842"/>
      <c r="R8" s="842"/>
      <c r="S8" s="842"/>
      <c r="U8" s="905"/>
      <c r="V8" s="842"/>
      <c r="W8" s="842"/>
      <c r="X8" s="842"/>
    </row>
    <row r="9" ht="15.75" customHeight="1">
      <c r="A9" s="898" t="str">
        <f>IFERROR(__xludf.DUMMYFUNCTION("""COMPUTED_VALUE"""),"Monday Sept 9")</f>
        <v>Monday Sept 9</v>
      </c>
      <c r="B9" s="903"/>
      <c r="C9" s="898" t="str">
        <f>IFERROR(__xludf.DUMMYFUNCTION("""COMPUTED_VALUE"""),"Death vs Spoon 8:30 PM")</f>
        <v>Death vs Spoon 8:30 PM</v>
      </c>
      <c r="D9" s="900"/>
      <c r="F9" s="898" t="str">
        <f>IFERROR(__xludf.DUMMYFUNCTION("""COMPUTED_VALUE"""),"Monday Sept 9")</f>
        <v>Monday Sept 9</v>
      </c>
      <c r="G9" s="901"/>
      <c r="H9" s="901" t="str">
        <f>IFERROR(__xludf.DUMMYFUNCTION("""COMPUTED_VALUE"""),"Avenger vs Evil 9 PM")</f>
        <v>Avenger vs Evil 9 PM</v>
      </c>
      <c r="I9" s="901"/>
      <c r="J9" s="900" t="str">
        <f>IFERROR(__xludf.DUMMYFUNCTION("""COMPUTED_VALUE"""),"Death vs Spoon 10 PM")</f>
        <v>Death vs Spoon 10 PM</v>
      </c>
      <c r="L9" s="898" t="str">
        <f>IFERROR(__xludf.DUMMYFUNCTION("""COMPUTED_VALUE"""),"Death vs Hells")</f>
        <v>Death vs Hells</v>
      </c>
      <c r="M9" s="900"/>
      <c r="O9" s="842"/>
      <c r="P9" s="842"/>
      <c r="Q9" s="842"/>
      <c r="R9" s="842"/>
      <c r="S9" s="842"/>
      <c r="U9" s="842"/>
      <c r="V9" s="842"/>
      <c r="W9" s="842"/>
      <c r="X9" s="842"/>
    </row>
    <row r="10" ht="15.75" customHeight="1">
      <c r="A10" s="898" t="str">
        <f>IFERROR(__xludf.DUMMYFUNCTION("""COMPUTED_VALUE"""),"Wednesday Sept 11")</f>
        <v>Wednesday Sept 11</v>
      </c>
      <c r="B10" s="899" t="str">
        <f>IFERROR(__xludf.DUMMYFUNCTION("""COMPUTED_VALUE"""),"Wednesday Sept 11")</f>
        <v>Wednesday Sept 11</v>
      </c>
      <c r="C10" s="898" t="str">
        <f>IFERROR(__xludf.DUMMYFUNCTION("""COMPUTED_VALUE"""),"Death vs Poptart 8:00 PM")</f>
        <v>Death vs Poptart 8:00 PM</v>
      </c>
      <c r="D10" s="900"/>
      <c r="F10" s="898" t="str">
        <f>IFERROR(__xludf.DUMMYFUNCTION("""COMPUTED_VALUE"""),"Wednesday Sept 11")</f>
        <v>Wednesday Sept 11</v>
      </c>
      <c r="G10" s="901"/>
      <c r="H10" s="901" t="str">
        <f>IFERROR(__xludf.DUMMYFUNCTION("""COMPUTED_VALUE"""),"Spank vs Chemical 9:30 PM")</f>
        <v>Spank vs Chemical 9:30 PM</v>
      </c>
      <c r="I10" s="901"/>
      <c r="J10" s="900" t="str">
        <f>IFERROR(__xludf.DUMMYFUNCTION("""COMPUTED_VALUE"""),"Death vs Poptart 9:30 pm")</f>
        <v>Death vs Poptart 9:30 pm</v>
      </c>
      <c r="L10" s="898" t="str">
        <f>IFERROR(__xludf.DUMMYFUNCTION("""COMPUTED_VALUE"""),"Death vs Zim")</f>
        <v>Death vs Zim</v>
      </c>
      <c r="M10" s="900"/>
      <c r="O10" s="842"/>
      <c r="P10" s="842"/>
      <c r="Q10" s="842"/>
      <c r="R10" s="842"/>
      <c r="S10" s="842"/>
      <c r="U10" s="842"/>
      <c r="V10" s="842"/>
      <c r="W10" s="842"/>
      <c r="X10" s="842"/>
    </row>
    <row r="11" ht="15.75" customHeight="1">
      <c r="A11" s="898" t="str">
        <f>IFERROR(__xludf.DUMMYFUNCTION("""COMPUTED_VALUE"""),"Monday Sept 16")</f>
        <v>Monday Sept 16</v>
      </c>
      <c r="B11" s="899" t="str">
        <f>IFERROR(__xludf.DUMMYFUNCTION("""COMPUTED_VALUE"""),"Monday Sept 16")</f>
        <v>Monday Sept 16</v>
      </c>
      <c r="C11" s="898" t="str">
        <f>IFERROR(__xludf.DUMMYFUNCTION("""COMPUTED_VALUE"""),"Death vs Ducky 8 PM")</f>
        <v>Death vs Ducky 8 PM</v>
      </c>
      <c r="D11" s="900"/>
      <c r="F11" s="898" t="str">
        <f>IFERROR(__xludf.DUMMYFUNCTION("""COMPUTED_VALUE"""),"Wednesday Sept 11")</f>
        <v>Wednesday Sept 11</v>
      </c>
      <c r="G11" s="901"/>
      <c r="H11" s="901"/>
      <c r="I11" s="901"/>
      <c r="J11" s="900" t="str">
        <f>IFERROR(__xludf.DUMMYFUNCTION("""COMPUTED_VALUE"""),"Poptart vs Death 10:00 pm")</f>
        <v>Poptart vs Death 10:00 pm</v>
      </c>
      <c r="L11" s="898" t="str">
        <f>IFERROR(__xludf.DUMMYFUNCTION("""COMPUTED_VALUE"""),"Death vs Spank")</f>
        <v>Death vs Spank</v>
      </c>
      <c r="M11" s="900"/>
      <c r="O11" s="842"/>
      <c r="P11" s="842"/>
      <c r="Q11" s="842"/>
      <c r="R11" s="842"/>
      <c r="S11" s="842"/>
      <c r="U11" s="842"/>
      <c r="V11" s="842"/>
      <c r="W11" s="842"/>
      <c r="X11" s="842"/>
    </row>
    <row r="12" ht="15.75" customHeight="1">
      <c r="A12" s="898" t="str">
        <f>IFERROR(__xludf.DUMMYFUNCTION("""COMPUTED_VALUE"""),"Monday Sept 16")</f>
        <v>Monday Sept 16</v>
      </c>
      <c r="B12" s="903"/>
      <c r="C12" s="898" t="str">
        <f>IFERROR(__xludf.DUMMYFUNCTION("""COMPUTED_VALUE"""),"Avenger vs Death 9 PM")</f>
        <v>Avenger vs Death 9 PM</v>
      </c>
      <c r="D12" s="900"/>
      <c r="F12" s="898" t="str">
        <f>IFERROR(__xludf.DUMMYFUNCTION("""COMPUTED_VALUE"""),"Thursday Sept 19")</f>
        <v>Thursday Sept 19</v>
      </c>
      <c r="G12" s="901"/>
      <c r="H12" s="901" t="str">
        <f>IFERROR(__xludf.DUMMYFUNCTION("""COMPUTED_VALUE"""),"Chemical vs Death 8:30 PM")</f>
        <v>Chemical vs Death 8:30 PM</v>
      </c>
      <c r="I12" s="901"/>
      <c r="J12" s="900" t="str">
        <f>IFERROR(__xludf.DUMMYFUNCTION("""COMPUTED_VALUE"""),"Evil vs Death 9:00")</f>
        <v>Evil vs Death 9:00</v>
      </c>
      <c r="L12" s="898" t="str">
        <f>IFERROR(__xludf.DUMMYFUNCTION("""COMPUTED_VALUE"""),"Chemical vs Death")</f>
        <v>Chemical vs Death</v>
      </c>
      <c r="M12" s="900"/>
      <c r="O12" s="842"/>
      <c r="P12" s="842"/>
      <c r="Q12" s="842"/>
      <c r="R12" s="842"/>
      <c r="S12" s="842"/>
      <c r="U12" s="842"/>
      <c r="V12" s="842"/>
      <c r="W12" s="842"/>
      <c r="X12" s="842"/>
    </row>
    <row r="13" ht="15.75" customHeight="1">
      <c r="A13" s="898" t="str">
        <f>IFERROR(__xludf.DUMMYFUNCTION("""COMPUTED_VALUE"""),"Wednesday Sept 18")</f>
        <v>Wednesday Sept 18</v>
      </c>
      <c r="B13" s="899" t="str">
        <f>IFERROR(__xludf.DUMMYFUNCTION("""COMPUTED_VALUE"""),"Wednesday Sept 18")</f>
        <v>Wednesday Sept 18</v>
      </c>
      <c r="C13" s="898" t="str">
        <f>IFERROR(__xludf.DUMMYFUNCTION("""COMPUTED_VALUE"""),"Poptart vs Death 8 PM")</f>
        <v>Poptart vs Death 8 PM</v>
      </c>
      <c r="D13" s="900"/>
      <c r="F13" s="898"/>
      <c r="G13" s="901"/>
      <c r="H13" s="901"/>
      <c r="I13" s="901"/>
      <c r="J13" s="900"/>
      <c r="L13" s="898" t="str">
        <f>IFERROR(__xludf.DUMMYFUNCTION("""COMPUTED_VALUE"""),"Hells vs Death")</f>
        <v>Hells vs Death</v>
      </c>
      <c r="M13" s="900"/>
      <c r="O13" s="842"/>
      <c r="P13" s="842"/>
      <c r="Q13" s="842"/>
      <c r="R13" s="842"/>
      <c r="S13" s="842"/>
      <c r="T13" s="842"/>
      <c r="U13" s="842"/>
      <c r="V13" s="842"/>
      <c r="W13" s="842"/>
      <c r="X13" s="842"/>
    </row>
    <row r="14" ht="15.75" customHeight="1">
      <c r="A14" s="898" t="str">
        <f>IFERROR(__xludf.DUMMYFUNCTION("""COMPUTED_VALUE"""),"Wednesday Sept 18")</f>
        <v>Wednesday Sept 18</v>
      </c>
      <c r="B14" s="903"/>
      <c r="C14" s="898" t="str">
        <f>IFERROR(__xludf.DUMMYFUNCTION("""COMPUTED_VALUE"""),"Death vs Zim 7:30 PM")</f>
        <v>Death vs Zim 7:30 PM</v>
      </c>
      <c r="D14" s="900"/>
      <c r="F14" s="898"/>
      <c r="G14" s="901"/>
      <c r="H14" s="901"/>
      <c r="I14" s="901"/>
      <c r="J14" s="900"/>
      <c r="L14" s="898" t="str">
        <f>IFERROR(__xludf.DUMMYFUNCTION("""COMPUTED_VALUE"""),"Zim vs Death")</f>
        <v>Zim vs Death</v>
      </c>
      <c r="M14" s="900"/>
      <c r="O14" s="842"/>
      <c r="P14" s="842"/>
      <c r="Q14" s="842"/>
      <c r="R14" s="842"/>
      <c r="S14" s="842"/>
      <c r="T14" s="842"/>
      <c r="U14" s="842"/>
      <c r="V14" s="842"/>
      <c r="W14" s="842"/>
      <c r="X14" s="842"/>
    </row>
    <row r="15" ht="15.75" customHeight="1">
      <c r="A15" s="898" t="str">
        <f>IFERROR(__xludf.DUMMYFUNCTION("""COMPUTED_VALUE"""),"Wednesday Sept 18")</f>
        <v>Wednesday Sept 18</v>
      </c>
      <c r="B15" s="903"/>
      <c r="C15" s="898" t="str">
        <f>IFERROR(__xludf.DUMMYFUNCTION("""COMPUTED_VALUE"""),"Zim vs Death 8:00 PM")</f>
        <v>Zim vs Death 8:00 PM</v>
      </c>
      <c r="D15" s="900"/>
      <c r="F15" s="898"/>
      <c r="G15" s="901"/>
      <c r="H15" s="901"/>
      <c r="I15" s="901"/>
      <c r="J15" s="900"/>
      <c r="L15" s="898" t="str">
        <f>IFERROR(__xludf.DUMMYFUNCTION("""COMPUTED_VALUE"""),"Spank vs Death")</f>
        <v>Spank vs Death</v>
      </c>
      <c r="M15" s="900"/>
      <c r="P15" s="842"/>
      <c r="Q15" s="842"/>
      <c r="R15" s="842"/>
      <c r="S15" s="842"/>
      <c r="T15" s="842"/>
      <c r="U15" s="842"/>
      <c r="V15" s="842"/>
      <c r="W15" s="842"/>
      <c r="X15" s="842"/>
    </row>
    <row r="16" ht="15.75" customHeight="1">
      <c r="A16" s="898" t="str">
        <f>IFERROR(__xludf.DUMMYFUNCTION("""COMPUTED_VALUE"""),"Thursday Sept 19")</f>
        <v>Thursday Sept 19</v>
      </c>
      <c r="B16" s="903"/>
      <c r="C16" s="898" t="str">
        <f>IFERROR(__xludf.DUMMYFUNCTION("""COMPUTED_VALUE"""),"Death vs Chemical 8 PM")</f>
        <v>Death vs Chemical 8 PM</v>
      </c>
      <c r="D16" s="900"/>
      <c r="F16" s="898"/>
      <c r="G16" s="901"/>
      <c r="H16" s="901"/>
      <c r="I16" s="901"/>
      <c r="J16" s="900"/>
      <c r="L16" s="898"/>
      <c r="M16" s="900"/>
      <c r="R16" s="842"/>
      <c r="S16" s="842"/>
      <c r="T16" s="842"/>
      <c r="U16" s="842"/>
      <c r="V16" s="842"/>
      <c r="W16" s="842"/>
      <c r="X16" s="842"/>
    </row>
    <row r="17" ht="15.75" customHeight="1">
      <c r="A17" s="898" t="str">
        <f>IFERROR(__xludf.DUMMYFUNCTION("""COMPUTED_VALUE"""),"Thursday Sept 19")</f>
        <v>Thursday Sept 19</v>
      </c>
      <c r="B17" s="903"/>
      <c r="C17" s="898" t="str">
        <f>IFERROR(__xludf.DUMMYFUNCTION("""COMPUTED_VALUE"""),"Chemical vs Death 8:30 PM")</f>
        <v>Chemical vs Death 8:30 PM</v>
      </c>
      <c r="D17" s="900"/>
      <c r="F17" s="898"/>
      <c r="G17" s="901"/>
      <c r="H17" s="901"/>
      <c r="I17" s="901"/>
      <c r="J17" s="900"/>
      <c r="L17" s="898"/>
      <c r="M17" s="900"/>
      <c r="U17" s="842"/>
      <c r="V17" s="842"/>
      <c r="W17" s="842"/>
      <c r="X17" s="842"/>
    </row>
    <row r="18" ht="15.75" customHeight="1">
      <c r="A18" s="898" t="str">
        <f>IFERROR(__xludf.DUMMYFUNCTION("""COMPUTED_VALUE"""),"Thursday Sept 19")</f>
        <v>Thursday Sept 19</v>
      </c>
      <c r="B18" s="903"/>
      <c r="C18" s="898" t="str">
        <f>IFERROR(__xludf.DUMMYFUNCTION("""COMPUTED_VALUE"""),"Death vs Hells 9:30 PM")</f>
        <v>Death vs Hells 9:30 PM</v>
      </c>
      <c r="D18" s="900"/>
      <c r="F18" s="898"/>
      <c r="G18" s="901"/>
      <c r="H18" s="901"/>
      <c r="I18" s="901"/>
      <c r="J18" s="900"/>
      <c r="L18" s="898"/>
      <c r="M18" s="900"/>
      <c r="P18" s="842"/>
      <c r="Q18" s="842"/>
      <c r="U18" s="842"/>
      <c r="V18" s="842"/>
      <c r="W18" s="842"/>
      <c r="X18" s="842"/>
    </row>
    <row r="19" ht="15.75" customHeight="1">
      <c r="A19" s="898" t="str">
        <f>IFERROR(__xludf.DUMMYFUNCTION("""COMPUTED_VALUE"""),"Thursday Sept 19")</f>
        <v>Thursday Sept 19</v>
      </c>
      <c r="B19" s="903"/>
      <c r="C19" s="898" t="str">
        <f>IFERROR(__xludf.DUMMYFUNCTION("""COMPUTED_VALUE"""),"Death vs Spank 10 PM")</f>
        <v>Death vs Spank 10 PM</v>
      </c>
      <c r="D19" s="900"/>
      <c r="F19" s="898"/>
      <c r="G19" s="901"/>
      <c r="H19" s="901"/>
      <c r="I19" s="901"/>
      <c r="J19" s="900"/>
      <c r="L19" s="898"/>
      <c r="M19" s="900"/>
      <c r="U19" s="842"/>
      <c r="V19" s="842"/>
      <c r="W19" s="842"/>
      <c r="X19" s="842"/>
    </row>
    <row r="20" ht="15.75" customHeight="1">
      <c r="A20" s="898" t="str">
        <f>IFERROR(__xludf.DUMMYFUNCTION("""COMPUTED_VALUE"""),"Thursday Sept 19")</f>
        <v>Thursday Sept 19</v>
      </c>
      <c r="B20" s="903"/>
      <c r="C20" s="898" t="str">
        <f>IFERROR(__xludf.DUMMYFUNCTION("""COMPUTED_VALUE"""),"Spank vs Death 10:30 PM")</f>
        <v>Spank vs Death 10:30 PM</v>
      </c>
      <c r="D20" s="900"/>
      <c r="F20" s="898"/>
      <c r="G20" s="901"/>
      <c r="H20" s="901"/>
      <c r="I20" s="901"/>
      <c r="J20" s="900"/>
      <c r="L20" s="898"/>
      <c r="M20" s="900"/>
      <c r="O20" s="842"/>
      <c r="U20" s="842"/>
      <c r="V20" s="842"/>
      <c r="W20" s="842"/>
      <c r="X20" s="842"/>
    </row>
    <row r="21" ht="15.75" customHeight="1">
      <c r="A21" s="898" t="str">
        <f>IFERROR(__xludf.DUMMYFUNCTION("""COMPUTED_VALUE"""),"Monday Sept 23")</f>
        <v>Monday Sept 23</v>
      </c>
      <c r="B21" s="899" t="str">
        <f>IFERROR(__xludf.DUMMYFUNCTION("""COMPUTED_VALUE"""),"Monday Sept 23")</f>
        <v>Monday Sept 23</v>
      </c>
      <c r="C21" s="898" t="str">
        <f>IFERROR(__xludf.DUMMYFUNCTION("""COMPUTED_VALUE"""),"Evil vs Death 8:30 PM")</f>
        <v>Evil vs Death 8:30 PM</v>
      </c>
      <c r="D21" s="900"/>
      <c r="F21" s="898"/>
      <c r="G21" s="901"/>
      <c r="H21" s="901"/>
      <c r="I21" s="901"/>
      <c r="J21" s="900"/>
      <c r="L21" s="898"/>
      <c r="M21" s="900"/>
      <c r="O21" s="842"/>
      <c r="P21" s="842"/>
      <c r="Q21" s="842"/>
      <c r="R21" s="842"/>
      <c r="U21" s="842"/>
      <c r="V21" s="842"/>
      <c r="W21" s="842"/>
      <c r="X21" s="842"/>
    </row>
    <row r="22" ht="15.75" customHeight="1">
      <c r="A22" s="898"/>
      <c r="B22" s="903"/>
      <c r="C22" s="898"/>
      <c r="D22" s="900"/>
      <c r="F22" s="898"/>
      <c r="G22" s="901"/>
      <c r="H22" s="901"/>
      <c r="I22" s="901"/>
      <c r="J22" s="900"/>
      <c r="L22" s="898"/>
      <c r="M22" s="900"/>
      <c r="O22" s="842"/>
      <c r="P22" s="842"/>
      <c r="Q22" s="842"/>
      <c r="R22" s="842"/>
      <c r="U22" s="842"/>
      <c r="V22" s="842"/>
      <c r="W22" s="842"/>
      <c r="X22" s="842"/>
    </row>
    <row r="23" ht="15.75" customHeight="1">
      <c r="A23" s="898"/>
      <c r="B23" s="903"/>
      <c r="C23" s="898"/>
      <c r="D23" s="900"/>
      <c r="F23" s="898"/>
      <c r="G23" s="901"/>
      <c r="H23" s="901"/>
      <c r="I23" s="901"/>
      <c r="J23" s="900"/>
      <c r="L23" s="898"/>
      <c r="M23" s="900"/>
      <c r="O23" s="842"/>
      <c r="P23" s="842"/>
      <c r="Q23" s="842"/>
      <c r="R23" s="842"/>
      <c r="U23" s="842"/>
      <c r="V23" s="842"/>
      <c r="W23" s="842"/>
      <c r="X23" s="842"/>
    </row>
    <row r="24" ht="15.75" customHeight="1">
      <c r="A24" s="898"/>
      <c r="B24" s="903"/>
      <c r="C24" s="898"/>
      <c r="D24" s="900"/>
      <c r="F24" s="898"/>
      <c r="G24" s="901"/>
      <c r="H24" s="901"/>
      <c r="I24" s="901"/>
      <c r="J24" s="900"/>
      <c r="L24" s="898"/>
      <c r="M24" s="900"/>
      <c r="O24" s="842"/>
      <c r="P24" s="842"/>
      <c r="Q24" s="842"/>
      <c r="R24" s="842"/>
      <c r="S24" s="842"/>
      <c r="T24" s="842"/>
      <c r="U24" s="842"/>
      <c r="V24" s="842"/>
      <c r="W24" s="842"/>
      <c r="X24" s="842"/>
    </row>
    <row r="25" ht="15.75" customHeight="1">
      <c r="A25" s="898"/>
      <c r="B25" s="903"/>
      <c r="C25" s="898"/>
      <c r="D25" s="900"/>
      <c r="F25" s="898"/>
      <c r="G25" s="901"/>
      <c r="H25" s="901"/>
      <c r="I25" s="901"/>
      <c r="J25" s="900"/>
      <c r="L25" s="898"/>
      <c r="M25" s="900"/>
      <c r="O25" s="842"/>
      <c r="P25" s="842"/>
      <c r="Q25" s="842"/>
      <c r="R25" s="842"/>
      <c r="U25" s="842"/>
      <c r="V25" s="842"/>
      <c r="W25" s="842"/>
      <c r="X25" s="842"/>
    </row>
    <row r="26" ht="15.75" customHeight="1">
      <c r="A26" s="898"/>
      <c r="B26" s="903"/>
      <c r="C26" s="898"/>
      <c r="D26" s="900"/>
      <c r="F26" s="898"/>
      <c r="G26" s="901"/>
      <c r="H26" s="901"/>
      <c r="I26" s="901"/>
      <c r="J26" s="900"/>
      <c r="L26" s="898"/>
      <c r="M26" s="900"/>
      <c r="O26" s="842"/>
      <c r="P26" s="842"/>
      <c r="Q26" s="842"/>
      <c r="R26" s="842"/>
      <c r="U26" s="842"/>
      <c r="V26" s="842"/>
      <c r="W26" s="842"/>
      <c r="X26" s="842"/>
    </row>
    <row r="27" ht="15.75" customHeight="1">
      <c r="A27" s="898"/>
      <c r="B27" s="903"/>
      <c r="C27" s="898"/>
      <c r="D27" s="900"/>
      <c r="F27" s="898"/>
      <c r="G27" s="901"/>
      <c r="H27" s="901"/>
      <c r="I27" s="901"/>
      <c r="J27" s="900"/>
      <c r="L27" s="898"/>
      <c r="M27" s="900"/>
      <c r="O27" s="842"/>
      <c r="P27" s="842"/>
      <c r="Q27" s="842"/>
      <c r="R27" s="842"/>
      <c r="U27" s="842"/>
      <c r="V27" s="842"/>
      <c r="W27" s="842"/>
      <c r="X27" s="842"/>
    </row>
    <row r="28" ht="15.75" customHeight="1">
      <c r="A28" s="898"/>
      <c r="B28" s="903"/>
      <c r="C28" s="898"/>
      <c r="D28" s="900"/>
      <c r="F28" s="898"/>
      <c r="G28" s="901"/>
      <c r="H28" s="901"/>
      <c r="I28" s="901"/>
      <c r="J28" s="900"/>
      <c r="L28" s="898"/>
      <c r="M28" s="900"/>
      <c r="O28" s="842"/>
      <c r="P28" s="842"/>
      <c r="Q28" s="842"/>
      <c r="R28" s="842"/>
      <c r="U28" s="842"/>
      <c r="V28" s="842"/>
      <c r="W28" s="842"/>
      <c r="X28" s="842"/>
    </row>
    <row r="29" ht="15.75" customHeight="1">
      <c r="A29" s="898"/>
      <c r="B29" s="903"/>
      <c r="C29" s="898"/>
      <c r="D29" s="900"/>
      <c r="F29" s="898"/>
      <c r="G29" s="901"/>
      <c r="H29" s="901"/>
      <c r="I29" s="901"/>
      <c r="J29" s="900"/>
      <c r="L29" s="898"/>
      <c r="M29" s="900"/>
      <c r="O29" s="842"/>
      <c r="P29" s="842"/>
      <c r="Q29" s="842"/>
      <c r="R29" s="842"/>
      <c r="U29" s="842"/>
      <c r="V29" s="842"/>
      <c r="W29" s="842"/>
      <c r="X29" s="842"/>
    </row>
    <row r="30" ht="15.75" customHeight="1">
      <c r="A30" s="898"/>
      <c r="B30" s="903"/>
      <c r="C30" s="898"/>
      <c r="D30" s="900"/>
      <c r="F30" s="898"/>
      <c r="G30" s="901"/>
      <c r="H30" s="901"/>
      <c r="I30" s="901"/>
      <c r="J30" s="900"/>
      <c r="L30" s="898"/>
      <c r="M30" s="900"/>
      <c r="O30" s="842"/>
      <c r="P30" s="842"/>
      <c r="Q30" s="842"/>
      <c r="R30" s="842"/>
      <c r="U30" s="842"/>
      <c r="V30" s="842"/>
      <c r="W30" s="842"/>
      <c r="X30" s="842"/>
    </row>
    <row r="31" ht="15.75" customHeight="1">
      <c r="A31" s="898"/>
      <c r="B31" s="903"/>
      <c r="C31" s="898"/>
      <c r="D31" s="900"/>
      <c r="F31" s="898"/>
      <c r="G31" s="901"/>
      <c r="H31" s="901"/>
      <c r="I31" s="901"/>
      <c r="J31" s="900"/>
      <c r="L31" s="898"/>
      <c r="M31" s="900"/>
      <c r="O31" s="842"/>
      <c r="P31" s="842"/>
      <c r="Q31" s="842"/>
      <c r="R31" s="842"/>
      <c r="U31" s="842"/>
      <c r="V31" s="842"/>
      <c r="W31" s="842"/>
      <c r="X31" s="842"/>
    </row>
    <row r="32" ht="15.75" customHeight="1">
      <c r="A32" s="898"/>
      <c r="B32" s="903"/>
      <c r="C32" s="898"/>
      <c r="D32" s="900"/>
      <c r="F32" s="898"/>
      <c r="G32" s="901"/>
      <c r="H32" s="901"/>
      <c r="I32" s="901"/>
      <c r="J32" s="900"/>
      <c r="L32" s="898"/>
      <c r="M32" s="900"/>
      <c r="O32" s="842"/>
      <c r="P32" s="842"/>
      <c r="Q32" s="842"/>
      <c r="R32" s="842"/>
      <c r="U32" s="842"/>
      <c r="V32" s="842"/>
      <c r="W32" s="842"/>
      <c r="X32" s="842"/>
    </row>
    <row r="33" ht="15.75" customHeight="1">
      <c r="A33" s="898"/>
      <c r="B33" s="903"/>
      <c r="C33" s="898"/>
      <c r="D33" s="900"/>
      <c r="F33" s="898"/>
      <c r="G33" s="901"/>
      <c r="H33" s="901"/>
      <c r="I33" s="901"/>
      <c r="J33" s="900"/>
      <c r="L33" s="898"/>
      <c r="M33" s="900"/>
      <c r="O33" s="842"/>
      <c r="P33" s="842"/>
      <c r="Q33" s="842"/>
      <c r="R33" s="842"/>
      <c r="U33" s="842"/>
      <c r="V33" s="842"/>
      <c r="W33" s="842"/>
      <c r="X33" s="842"/>
    </row>
    <row r="34" ht="15.75" customHeight="1">
      <c r="A34" s="898"/>
      <c r="B34" s="903"/>
      <c r="C34" s="898"/>
      <c r="D34" s="900"/>
      <c r="F34" s="898"/>
      <c r="G34" s="901"/>
      <c r="H34" s="901"/>
      <c r="I34" s="901"/>
      <c r="J34" s="900"/>
      <c r="L34" s="898"/>
      <c r="M34" s="900"/>
      <c r="O34" s="842"/>
      <c r="P34" s="842"/>
      <c r="Q34" s="842"/>
      <c r="R34" s="842"/>
      <c r="U34" s="842"/>
      <c r="V34" s="842"/>
      <c r="W34" s="842"/>
      <c r="X34" s="842"/>
    </row>
    <row r="35" ht="15.75" customHeight="1">
      <c r="A35" s="898"/>
      <c r="B35" s="903"/>
      <c r="C35" s="898"/>
      <c r="D35" s="900"/>
      <c r="F35" s="898"/>
      <c r="G35" s="901"/>
      <c r="H35" s="901"/>
      <c r="I35" s="901"/>
      <c r="J35" s="900"/>
      <c r="L35" s="898"/>
      <c r="M35" s="900"/>
      <c r="O35" s="842"/>
      <c r="P35" s="842"/>
      <c r="Q35" s="842"/>
      <c r="R35" s="842"/>
      <c r="U35" s="842"/>
      <c r="V35" s="842"/>
      <c r="W35" s="842"/>
      <c r="X35" s="842"/>
    </row>
    <row r="36" ht="15.75" customHeight="1">
      <c r="A36" s="898"/>
      <c r="B36" s="903"/>
      <c r="C36" s="898"/>
      <c r="D36" s="900"/>
      <c r="F36" s="898"/>
      <c r="G36" s="901"/>
      <c r="H36" s="901"/>
      <c r="I36" s="901"/>
      <c r="J36" s="900"/>
      <c r="L36" s="898"/>
      <c r="M36" s="900"/>
      <c r="O36" s="842"/>
      <c r="U36" s="842"/>
      <c r="V36" s="842"/>
      <c r="W36" s="842"/>
      <c r="X36" s="842"/>
    </row>
    <row r="37" ht="15.75" customHeight="1">
      <c r="A37" s="898"/>
      <c r="B37" s="903"/>
      <c r="C37" s="898"/>
      <c r="D37" s="900"/>
      <c r="F37" s="898"/>
      <c r="G37" s="901"/>
      <c r="H37" s="901"/>
      <c r="I37" s="901"/>
      <c r="J37" s="900"/>
      <c r="L37" s="898"/>
      <c r="M37" s="900"/>
      <c r="O37" s="842"/>
    </row>
    <row r="38" ht="15.75" customHeight="1">
      <c r="A38" s="898"/>
      <c r="B38" s="903"/>
      <c r="C38" s="898"/>
      <c r="D38" s="900"/>
      <c r="F38" s="898"/>
      <c r="G38" s="901"/>
      <c r="H38" s="901"/>
      <c r="I38" s="901"/>
      <c r="J38" s="900"/>
      <c r="L38" s="898"/>
      <c r="M38" s="900"/>
      <c r="O38" s="842"/>
    </row>
    <row r="39" ht="15.75" customHeight="1">
      <c r="A39" s="898"/>
      <c r="B39" s="903"/>
      <c r="C39" s="898"/>
      <c r="D39" s="900"/>
      <c r="F39" s="898"/>
      <c r="G39" s="901"/>
      <c r="H39" s="901"/>
      <c r="I39" s="901"/>
      <c r="J39" s="900"/>
      <c r="L39" s="898"/>
      <c r="M39" s="900"/>
      <c r="O39" s="842"/>
    </row>
    <row r="40" ht="15.75" customHeight="1">
      <c r="A40" s="898"/>
      <c r="B40" s="903"/>
      <c r="C40" s="898"/>
      <c r="D40" s="900"/>
      <c r="F40" s="898"/>
      <c r="G40" s="901"/>
      <c r="H40" s="901"/>
      <c r="I40" s="901"/>
      <c r="J40" s="900"/>
      <c r="L40" s="898"/>
      <c r="M40" s="900"/>
      <c r="O40" s="842"/>
    </row>
    <row r="41" ht="15.75" customHeight="1">
      <c r="A41" s="898"/>
      <c r="B41" s="903"/>
      <c r="C41" s="898"/>
      <c r="D41" s="900"/>
      <c r="F41" s="898"/>
      <c r="G41" s="901"/>
      <c r="H41" s="901"/>
      <c r="I41" s="901"/>
      <c r="J41" s="900"/>
      <c r="L41" s="898"/>
      <c r="M41" s="900"/>
      <c r="O41" s="842"/>
    </row>
    <row r="42" ht="15.75" customHeight="1">
      <c r="A42" s="898"/>
      <c r="B42" s="903"/>
      <c r="C42" s="898"/>
      <c r="D42" s="900"/>
      <c r="F42" s="898"/>
      <c r="G42" s="901"/>
      <c r="H42" s="901"/>
      <c r="I42" s="901"/>
      <c r="J42" s="900"/>
      <c r="L42" s="898"/>
      <c r="M42" s="900"/>
      <c r="O42" s="842"/>
    </row>
    <row r="43" ht="15.75" customHeight="1">
      <c r="A43" s="898"/>
      <c r="B43" s="903"/>
      <c r="C43" s="898"/>
      <c r="D43" s="900"/>
      <c r="F43" s="898"/>
      <c r="G43" s="901"/>
      <c r="H43" s="901"/>
      <c r="I43" s="901"/>
      <c r="J43" s="900"/>
      <c r="L43" s="898"/>
      <c r="M43" s="900"/>
      <c r="O43" s="842"/>
    </row>
    <row r="44" ht="15.75" customHeight="1">
      <c r="A44" s="898"/>
      <c r="B44" s="903"/>
      <c r="C44" s="898"/>
      <c r="D44" s="900"/>
      <c r="F44" s="898"/>
      <c r="G44" s="901"/>
      <c r="H44" s="901"/>
      <c r="I44" s="901"/>
      <c r="J44" s="900"/>
      <c r="L44" s="898"/>
      <c r="M44" s="900"/>
      <c r="O44" s="842"/>
    </row>
    <row r="45" ht="15.75" customHeight="1">
      <c r="A45" s="898"/>
      <c r="B45" s="903"/>
      <c r="C45" s="898"/>
      <c r="D45" s="900"/>
      <c r="F45" s="898"/>
      <c r="G45" s="901"/>
      <c r="H45" s="901"/>
      <c r="I45" s="901"/>
      <c r="J45" s="900"/>
      <c r="L45" s="898"/>
      <c r="M45" s="900"/>
      <c r="O45" s="842"/>
    </row>
    <row r="46" ht="15.75" customHeight="1">
      <c r="A46" s="898"/>
      <c r="B46" s="903"/>
      <c r="C46" s="898"/>
      <c r="D46" s="900"/>
      <c r="F46" s="898"/>
      <c r="G46" s="901"/>
      <c r="H46" s="901"/>
      <c r="I46" s="901"/>
      <c r="J46" s="900"/>
      <c r="L46" s="898"/>
      <c r="M46" s="900"/>
      <c r="O46" s="842"/>
    </row>
    <row r="47" ht="15.75" customHeight="1">
      <c r="A47" s="898"/>
      <c r="B47" s="903"/>
      <c r="C47" s="898"/>
      <c r="D47" s="900"/>
      <c r="F47" s="898"/>
      <c r="G47" s="901"/>
      <c r="H47" s="901"/>
      <c r="I47" s="901"/>
      <c r="J47" s="900"/>
      <c r="L47" s="898"/>
      <c r="M47" s="900"/>
      <c r="O47" s="842"/>
    </row>
    <row r="48" ht="15.75" customHeight="1">
      <c r="A48" s="898"/>
      <c r="B48" s="903"/>
      <c r="C48" s="898"/>
      <c r="D48" s="900"/>
      <c r="F48" s="898"/>
      <c r="G48" s="901"/>
      <c r="H48" s="901"/>
      <c r="I48" s="901"/>
      <c r="J48" s="900"/>
      <c r="L48" s="898"/>
      <c r="M48" s="900"/>
      <c r="O48" s="842"/>
    </row>
    <row r="49" ht="15.75" customHeight="1">
      <c r="A49" s="898"/>
      <c r="B49" s="903"/>
      <c r="C49" s="898"/>
      <c r="D49" s="900"/>
      <c r="F49" s="898"/>
      <c r="G49" s="901"/>
      <c r="H49" s="901"/>
      <c r="I49" s="901"/>
      <c r="J49" s="900"/>
      <c r="L49" s="898"/>
      <c r="M49" s="900"/>
      <c r="O49" s="842"/>
    </row>
    <row r="50" ht="15.75" customHeight="1">
      <c r="A50" s="898"/>
      <c r="B50" s="903"/>
      <c r="C50" s="898"/>
      <c r="D50" s="900"/>
      <c r="F50" s="898"/>
      <c r="G50" s="901"/>
      <c r="H50" s="901"/>
      <c r="I50" s="901"/>
      <c r="J50" s="900"/>
      <c r="L50" s="898"/>
      <c r="M50" s="900"/>
      <c r="O50" s="842"/>
    </row>
    <row r="51" ht="15.75" customHeight="1">
      <c r="A51" s="898"/>
      <c r="B51" s="903"/>
      <c r="C51" s="898"/>
      <c r="D51" s="900"/>
      <c r="F51" s="898"/>
      <c r="G51" s="901"/>
      <c r="H51" s="901"/>
      <c r="I51" s="901"/>
      <c r="J51" s="900"/>
      <c r="L51" s="898"/>
      <c r="M51" s="900"/>
      <c r="O51" s="842"/>
    </row>
    <row r="52" ht="15.75" customHeight="1">
      <c r="A52" s="898"/>
      <c r="B52" s="903"/>
      <c r="C52" s="898"/>
      <c r="D52" s="900"/>
      <c r="F52" s="898"/>
      <c r="G52" s="901"/>
      <c r="H52" s="901"/>
      <c r="I52" s="901"/>
      <c r="J52" s="900"/>
      <c r="L52" s="898"/>
      <c r="M52" s="900"/>
      <c r="O52" s="842"/>
    </row>
    <row r="53" ht="15.75" customHeight="1">
      <c r="A53" s="898"/>
      <c r="B53" s="903"/>
      <c r="C53" s="898"/>
      <c r="D53" s="900"/>
      <c r="F53" s="898"/>
      <c r="G53" s="901"/>
      <c r="H53" s="901"/>
      <c r="I53" s="901"/>
      <c r="J53" s="900"/>
      <c r="L53" s="898"/>
      <c r="M53" s="900"/>
      <c r="O53" s="842"/>
    </row>
    <row r="54" ht="15.75" customHeight="1">
      <c r="A54" s="898"/>
      <c r="B54" s="903"/>
      <c r="C54" s="898"/>
      <c r="D54" s="900"/>
      <c r="F54" s="898"/>
      <c r="G54" s="901"/>
      <c r="H54" s="901"/>
      <c r="I54" s="901"/>
      <c r="J54" s="900"/>
      <c r="L54" s="898"/>
      <c r="M54" s="900"/>
      <c r="O54" s="842"/>
    </row>
    <row r="55" ht="15.75" customHeight="1">
      <c r="A55" s="898"/>
      <c r="B55" s="903"/>
      <c r="C55" s="898"/>
      <c r="D55" s="900"/>
      <c r="F55" s="898"/>
      <c r="G55" s="901"/>
      <c r="H55" s="901"/>
      <c r="I55" s="901"/>
      <c r="J55" s="900"/>
      <c r="L55" s="898"/>
      <c r="M55" s="900"/>
      <c r="O55" s="842"/>
    </row>
    <row r="56" ht="15.75" customHeight="1">
      <c r="A56" s="898"/>
      <c r="B56" s="903"/>
      <c r="C56" s="898"/>
      <c r="D56" s="900"/>
      <c r="F56" s="898"/>
      <c r="G56" s="901"/>
      <c r="H56" s="901"/>
      <c r="I56" s="901"/>
      <c r="J56" s="900"/>
      <c r="L56" s="898"/>
      <c r="M56" s="900"/>
      <c r="O56" s="842"/>
    </row>
    <row r="57" ht="15.75" customHeight="1">
      <c r="A57" s="898"/>
      <c r="B57" s="903"/>
      <c r="C57" s="898"/>
      <c r="D57" s="900"/>
      <c r="F57" s="898"/>
      <c r="G57" s="901"/>
      <c r="H57" s="901"/>
      <c r="I57" s="901"/>
      <c r="J57" s="900"/>
      <c r="L57" s="898"/>
      <c r="M57" s="900"/>
      <c r="O57" s="842"/>
    </row>
    <row r="58" ht="15.75" customHeight="1">
      <c r="A58" s="898"/>
      <c r="B58" s="903"/>
      <c r="C58" s="898"/>
      <c r="D58" s="900"/>
      <c r="F58" s="898"/>
      <c r="G58" s="901"/>
      <c r="H58" s="901"/>
      <c r="I58" s="901"/>
      <c r="J58" s="900"/>
      <c r="L58" s="898"/>
      <c r="M58" s="900"/>
    </row>
    <row r="59" ht="15.75" customHeight="1">
      <c r="A59" s="898"/>
      <c r="B59" s="903"/>
      <c r="C59" s="898"/>
      <c r="D59" s="900"/>
      <c r="F59" s="898"/>
      <c r="G59" s="901"/>
      <c r="H59" s="901"/>
      <c r="I59" s="901"/>
      <c r="J59" s="900"/>
      <c r="L59" s="898"/>
      <c r="M59" s="900"/>
    </row>
    <row r="60" ht="15.75" customHeight="1">
      <c r="A60" s="898"/>
      <c r="B60" s="903"/>
      <c r="C60" s="898"/>
      <c r="D60" s="900"/>
      <c r="F60" s="898"/>
      <c r="G60" s="901"/>
      <c r="H60" s="901"/>
      <c r="I60" s="901"/>
      <c r="J60" s="900"/>
      <c r="L60" s="898"/>
      <c r="M60" s="900"/>
    </row>
    <row r="61" ht="15.75" customHeight="1">
      <c r="A61" s="898"/>
      <c r="B61" s="903"/>
      <c r="C61" s="898"/>
      <c r="D61" s="900"/>
      <c r="F61" s="898"/>
      <c r="G61" s="901"/>
      <c r="H61" s="901"/>
      <c r="I61" s="901"/>
      <c r="J61" s="900"/>
      <c r="L61" s="898"/>
      <c r="M61" s="900"/>
    </row>
    <row r="62" ht="15.75" customHeight="1">
      <c r="A62" s="898"/>
      <c r="B62" s="903"/>
      <c r="C62" s="898"/>
      <c r="D62" s="900"/>
      <c r="F62" s="898"/>
      <c r="G62" s="901"/>
      <c r="H62" s="901"/>
      <c r="I62" s="901"/>
      <c r="J62" s="900"/>
      <c r="L62" s="898"/>
      <c r="M62" s="900"/>
    </row>
    <row r="63" ht="15.75" customHeight="1">
      <c r="A63" s="898"/>
      <c r="B63" s="903"/>
      <c r="C63" s="898"/>
      <c r="D63" s="900"/>
      <c r="F63" s="898"/>
      <c r="G63" s="901"/>
      <c r="H63" s="901"/>
      <c r="I63" s="901"/>
      <c r="J63" s="900"/>
      <c r="L63" s="898"/>
      <c r="M63" s="900"/>
    </row>
    <row r="64" ht="15.75" customHeight="1">
      <c r="A64" s="898"/>
      <c r="B64" s="903"/>
      <c r="C64" s="898"/>
      <c r="D64" s="900"/>
      <c r="F64" s="898"/>
      <c r="G64" s="901"/>
      <c r="H64" s="901"/>
      <c r="I64" s="901"/>
      <c r="J64" s="900"/>
      <c r="L64" s="898"/>
      <c r="M64" s="900"/>
    </row>
    <row r="65" ht="15.75" customHeight="1">
      <c r="A65" s="898"/>
      <c r="B65" s="903"/>
      <c r="C65" s="898"/>
      <c r="D65" s="900"/>
      <c r="F65" s="898"/>
      <c r="G65" s="901"/>
      <c r="H65" s="901"/>
      <c r="I65" s="901"/>
      <c r="J65" s="900"/>
      <c r="L65" s="898"/>
      <c r="M65" s="900"/>
    </row>
    <row r="66" ht="15.75" customHeight="1">
      <c r="A66" s="898"/>
      <c r="B66" s="903"/>
      <c r="C66" s="898"/>
      <c r="D66" s="900"/>
      <c r="F66" s="898"/>
      <c r="G66" s="901"/>
      <c r="H66" s="901"/>
      <c r="I66" s="901"/>
      <c r="J66" s="900"/>
      <c r="L66" s="898"/>
      <c r="M66" s="900"/>
    </row>
    <row r="67" ht="15.75" customHeight="1">
      <c r="A67" s="898"/>
      <c r="B67" s="903"/>
      <c r="C67" s="898"/>
      <c r="D67" s="900"/>
      <c r="F67" s="898"/>
      <c r="G67" s="901"/>
      <c r="H67" s="901"/>
      <c r="I67" s="901"/>
      <c r="J67" s="900"/>
      <c r="L67" s="898"/>
      <c r="M67" s="900"/>
    </row>
    <row r="68" ht="15.75" customHeight="1">
      <c r="A68" s="898"/>
      <c r="B68" s="903"/>
      <c r="C68" s="898"/>
      <c r="D68" s="900"/>
      <c r="F68" s="898"/>
      <c r="G68" s="901"/>
      <c r="H68" s="901"/>
      <c r="I68" s="901"/>
      <c r="J68" s="900"/>
      <c r="L68" s="898"/>
      <c r="M68" s="900"/>
    </row>
    <row r="69" ht="15.75" customHeight="1">
      <c r="A69" s="898"/>
      <c r="B69" s="903"/>
      <c r="C69" s="898"/>
      <c r="D69" s="900"/>
      <c r="F69" s="898"/>
      <c r="G69" s="901"/>
      <c r="H69" s="901"/>
      <c r="I69" s="901"/>
      <c r="J69" s="900"/>
      <c r="L69" s="898"/>
      <c r="M69" s="900"/>
    </row>
    <row r="70" ht="15.75" customHeight="1">
      <c r="A70" s="898"/>
      <c r="B70" s="903"/>
      <c r="C70" s="898"/>
      <c r="D70" s="900"/>
      <c r="F70" s="898"/>
      <c r="G70" s="901"/>
      <c r="H70" s="901"/>
      <c r="I70" s="901"/>
      <c r="J70" s="900"/>
      <c r="L70" s="898"/>
      <c r="M70" s="900"/>
    </row>
    <row r="71" ht="15.75" customHeight="1">
      <c r="A71" s="898"/>
      <c r="B71" s="903"/>
      <c r="C71" s="898"/>
      <c r="D71" s="900"/>
      <c r="F71" s="898"/>
      <c r="G71" s="901"/>
      <c r="H71" s="901"/>
      <c r="I71" s="901"/>
      <c r="J71" s="900"/>
      <c r="L71" s="898"/>
      <c r="M71" s="900"/>
    </row>
    <row r="72" ht="15.75" customHeight="1">
      <c r="A72" s="898"/>
      <c r="B72" s="903"/>
      <c r="C72" s="898"/>
      <c r="D72" s="900"/>
      <c r="F72" s="898"/>
      <c r="G72" s="901"/>
      <c r="H72" s="901"/>
      <c r="I72" s="901"/>
      <c r="J72" s="900"/>
      <c r="L72" s="898"/>
      <c r="M72" s="900"/>
    </row>
    <row r="73" ht="15.75" customHeight="1">
      <c r="A73" s="898"/>
      <c r="B73" s="903"/>
      <c r="C73" s="898"/>
      <c r="D73" s="900"/>
      <c r="F73" s="898"/>
      <c r="G73" s="901"/>
      <c r="H73" s="901"/>
      <c r="I73" s="901"/>
      <c r="J73" s="900"/>
      <c r="L73" s="898"/>
      <c r="M73" s="900"/>
    </row>
    <row r="74" ht="15.75" customHeight="1">
      <c r="A74" s="898"/>
      <c r="B74" s="903"/>
      <c r="C74" s="898"/>
      <c r="D74" s="900"/>
      <c r="F74" s="898"/>
      <c r="G74" s="901"/>
      <c r="H74" s="901"/>
      <c r="I74" s="901"/>
      <c r="J74" s="900"/>
      <c r="L74" s="898"/>
      <c r="M74" s="900"/>
    </row>
    <row r="75" ht="15.75" customHeight="1">
      <c r="A75" s="898"/>
      <c r="B75" s="903"/>
      <c r="C75" s="898"/>
      <c r="D75" s="900"/>
      <c r="F75" s="898"/>
      <c r="G75" s="901"/>
      <c r="H75" s="901"/>
      <c r="I75" s="901"/>
      <c r="J75" s="900"/>
      <c r="L75" s="898"/>
      <c r="M75" s="900"/>
    </row>
    <row r="76" ht="15.75" customHeight="1">
      <c r="A76" s="898"/>
      <c r="B76" s="903"/>
      <c r="C76" s="898"/>
      <c r="D76" s="900"/>
      <c r="F76" s="898"/>
      <c r="G76" s="901"/>
      <c r="H76" s="901"/>
      <c r="I76" s="901"/>
      <c r="J76" s="900"/>
      <c r="L76" s="898"/>
      <c r="M76" s="900"/>
    </row>
    <row r="77" ht="15.75" customHeight="1">
      <c r="A77" s="898"/>
      <c r="B77" s="903"/>
      <c r="C77" s="898"/>
      <c r="D77" s="900"/>
      <c r="F77" s="898"/>
      <c r="G77" s="901"/>
      <c r="H77" s="901"/>
      <c r="I77" s="901"/>
      <c r="J77" s="900"/>
      <c r="L77" s="898"/>
      <c r="M77" s="900"/>
    </row>
    <row r="78" ht="15.75" customHeight="1">
      <c r="A78" s="898"/>
      <c r="B78" s="903"/>
      <c r="C78" s="898"/>
      <c r="D78" s="900"/>
      <c r="F78" s="898"/>
      <c r="G78" s="901"/>
      <c r="H78" s="901"/>
      <c r="I78" s="901"/>
      <c r="J78" s="900"/>
      <c r="L78" s="898"/>
      <c r="M78" s="900"/>
    </row>
    <row r="79" ht="15.75" customHeight="1">
      <c r="A79" s="898"/>
      <c r="B79" s="903"/>
      <c r="C79" s="898"/>
      <c r="D79" s="900"/>
      <c r="F79" s="898"/>
      <c r="G79" s="901"/>
      <c r="H79" s="901"/>
      <c r="I79" s="901"/>
      <c r="J79" s="900"/>
      <c r="L79" s="898"/>
      <c r="M79" s="900"/>
    </row>
    <row r="80" ht="15.75" customHeight="1">
      <c r="A80" s="898"/>
      <c r="B80" s="903"/>
      <c r="C80" s="898"/>
      <c r="D80" s="900"/>
      <c r="F80" s="898"/>
      <c r="G80" s="901"/>
      <c r="H80" s="901"/>
      <c r="I80" s="901"/>
      <c r="J80" s="900"/>
      <c r="L80" s="898"/>
      <c r="M80" s="900"/>
    </row>
    <row r="81" ht="15.75" customHeight="1">
      <c r="A81" s="898"/>
      <c r="B81" s="903"/>
      <c r="C81" s="898"/>
      <c r="D81" s="900"/>
      <c r="F81" s="898"/>
      <c r="G81" s="901"/>
      <c r="H81" s="901"/>
      <c r="I81" s="901"/>
      <c r="J81" s="900"/>
      <c r="L81" s="898"/>
      <c r="M81" s="900"/>
    </row>
    <row r="82" ht="15.75" customHeight="1">
      <c r="A82" s="898"/>
      <c r="C82" s="898"/>
      <c r="D82" s="900"/>
      <c r="F82" s="898"/>
      <c r="G82" s="901"/>
      <c r="H82" s="901"/>
      <c r="I82" s="901"/>
      <c r="J82" s="900"/>
      <c r="L82" s="898"/>
      <c r="M82" s="900"/>
    </row>
    <row r="83" ht="15.75" customHeight="1">
      <c r="A83" s="898"/>
      <c r="C83" s="898"/>
      <c r="D83" s="900"/>
      <c r="F83" s="898"/>
      <c r="G83" s="901"/>
      <c r="H83" s="901"/>
      <c r="I83" s="901"/>
      <c r="J83" s="900"/>
      <c r="L83" s="898"/>
      <c r="M83" s="900"/>
    </row>
    <row r="84" ht="15.75" customHeight="1">
      <c r="A84" s="898"/>
      <c r="C84" s="898"/>
      <c r="D84" s="900"/>
      <c r="F84" s="898"/>
      <c r="G84" s="901"/>
      <c r="H84" s="901"/>
      <c r="I84" s="901"/>
      <c r="J84" s="900"/>
      <c r="L84" s="898"/>
      <c r="M84" s="900"/>
    </row>
    <row r="85" ht="15.75" customHeight="1">
      <c r="A85" s="898"/>
      <c r="C85" s="898"/>
      <c r="D85" s="900"/>
      <c r="F85" s="898"/>
      <c r="G85" s="901"/>
      <c r="H85" s="901"/>
      <c r="I85" s="901"/>
      <c r="J85" s="900"/>
      <c r="L85" s="898"/>
      <c r="M85" s="900"/>
    </row>
    <row r="86" ht="15.75" customHeight="1">
      <c r="A86" s="898"/>
      <c r="C86" s="898"/>
      <c r="D86" s="900"/>
      <c r="F86" s="898"/>
      <c r="G86" s="901"/>
      <c r="H86" s="901"/>
      <c r="I86" s="906"/>
      <c r="J86" s="907"/>
      <c r="L86" s="908"/>
      <c r="M86" s="907"/>
    </row>
    <row r="87" ht="15.75" customHeight="1">
      <c r="A87" s="909"/>
      <c r="B87" s="909"/>
      <c r="C87" s="910" t="s">
        <v>891</v>
      </c>
      <c r="D87" s="911"/>
      <c r="E87" s="909"/>
      <c r="F87" s="909"/>
      <c r="G87" s="909"/>
      <c r="H87" s="909"/>
    </row>
    <row r="88" ht="15.75" customHeight="1"/>
    <row r="89" ht="15.75" customHeight="1"/>
    <row r="90" ht="15.75" customHeight="1">
      <c r="A90" s="755" t="str">
        <f t="array" ref="A90:A384">IF(B90:B384="", LOOKUP(ROW(B90:B384), ROW(B90:B384) / (B90:B384 &lt;&gt; ""), B90:B384), B90:B384)</f>
        <v>Augest 25 - 31 </v>
      </c>
      <c r="B90" s="740" t="str">
        <f>IFERROR(__xludf.DUMMYFUNCTION("IMPORTRANGE(""https://docs.google.com/spreadsheets/d/1schmXjzORQ75nk63hR3QZGtUZsONwDsQNiis-5gm33I/edit?gid=147354809#gid=147354809"",""Schedule List/Standings!A3:E110"")"),"Augest 25 - 31 ")</f>
        <v>Augest 25 - 31 </v>
      </c>
      <c r="C90" s="842" t="str">
        <f>IFERROR(__xludf.DUMMYFUNCTION("""COMPUTED_VALUE"""),"Week 1")</f>
        <v>Week 1</v>
      </c>
      <c r="D90" s="842"/>
      <c r="E90" s="842" t="str">
        <f>IFERROR(__xludf.DUMMYFUNCTION("""COMPUTED_VALUE"""),"Reschedules")</f>
        <v>Reschedules</v>
      </c>
      <c r="F90" s="842" t="str">
        <f>IFERROR(__xludf.DUMMYFUNCTION("""COMPUTED_VALUE"""),"Free Scheduling")</f>
        <v>Free Scheduling</v>
      </c>
    </row>
    <row r="91" ht="15.75" customHeight="1">
      <c r="A91" s="842" t="s">
        <v>892</v>
      </c>
      <c r="B91" s="775" t="str">
        <f>IFERROR(__xludf.DUMMYFUNCTION("""COMPUTED_VALUE"""),"Sunday Aug 25")</f>
        <v>Sunday Aug 25</v>
      </c>
      <c r="C91" s="842" t="str">
        <f>IFERROR(__xludf.DUMMYFUNCTION("""COMPUTED_VALUE"""),"Spoon vs Avenger 10 PM")</f>
        <v>Spoon vs Avenger 10 PM</v>
      </c>
      <c r="D91" s="842"/>
      <c r="E91" s="842" t="str">
        <f>IFERROR(__xludf.DUMMYFUNCTION("""COMPUTED_VALUE"""),"Avenger vs Poptart 9:30 PM")</f>
        <v>Avenger vs Poptart 9:30 PM</v>
      </c>
      <c r="F91" s="842" t="str">
        <f>IFERROR(__xludf.DUMMYFUNCTION("""COMPUTED_VALUE"""),"Ducky vs Hells")</f>
        <v>Ducky vs Hells</v>
      </c>
    </row>
    <row r="92" ht="15.75" customHeight="1">
      <c r="A92" s="842" t="s">
        <v>892</v>
      </c>
      <c r="B92" s="842"/>
      <c r="C92" s="842"/>
      <c r="D92" s="842"/>
      <c r="E92" s="842" t="str">
        <f>IFERROR(__xludf.DUMMYFUNCTION("""COMPUTED_VALUE"""),"Poptart vs Avenger 10 PM")</f>
        <v>Poptart vs Avenger 10 PM</v>
      </c>
      <c r="F92" s="842" t="str">
        <f>IFERROR(__xludf.DUMMYFUNCTION("""COMPUTED_VALUE"""),"Spoon vs Death")</f>
        <v>Spoon vs Death</v>
      </c>
    </row>
    <row r="93" ht="15.75" customHeight="1">
      <c r="A93" s="842" t="s">
        <v>892</v>
      </c>
      <c r="B93" s="842"/>
      <c r="C93" s="842"/>
      <c r="D93" s="842"/>
      <c r="E93" s="842"/>
      <c r="F93" s="842" t="str">
        <f>IFERROR(__xludf.DUMMYFUNCTION("""COMPUTED_VALUE"""),"Death vs Avenger")</f>
        <v>Death vs Avenger</v>
      </c>
    </row>
    <row r="94" ht="15.75" customHeight="1">
      <c r="A94" s="842" t="s">
        <v>893</v>
      </c>
      <c r="B94" s="775" t="str">
        <f>IFERROR(__xludf.DUMMYFUNCTION("""COMPUTED_VALUE"""),"Monday Aug 26")</f>
        <v>Monday Aug 26</v>
      </c>
      <c r="C94" s="842" t="str">
        <f>IFERROR(__xludf.DUMMYFUNCTION("""COMPUTED_VALUE"""),"Ducky vs Death 8 PM")</f>
        <v>Ducky vs Death 8 PM</v>
      </c>
      <c r="D94" s="842"/>
      <c r="E94" s="842" t="str">
        <f>IFERROR(__xludf.DUMMYFUNCTION("""COMPUTED_VALUE"""),"Spank vs Avenger 8 PM")</f>
        <v>Spank vs Avenger 8 PM</v>
      </c>
      <c r="F94" s="842" t="str">
        <f>IFERROR(__xludf.DUMMYFUNCTION("""COMPUTED_VALUE"""),"Death vs Chemical")</f>
        <v>Death vs Chemical</v>
      </c>
    </row>
    <row r="95" ht="15.75" customHeight="1">
      <c r="A95" s="842" t="s">
        <v>893</v>
      </c>
      <c r="B95" s="842"/>
      <c r="C95" s="842" t="str">
        <f>IFERROR(__xludf.DUMMYFUNCTION("""COMPUTED_VALUE"""),"Death vs Evil 8:45 PM")</f>
        <v>Death vs Evil 8:45 PM</v>
      </c>
      <c r="D95" s="842"/>
      <c r="E95" s="842" t="str">
        <f>IFERROR(__xludf.DUMMYFUNCTION("""COMPUTED_VALUE"""),"Death vs Ducky 8:30 PM")</f>
        <v>Death vs Ducky 8:30 PM</v>
      </c>
      <c r="F95" s="842" t="str">
        <f>IFERROR(__xludf.DUMMYFUNCTION("""COMPUTED_VALUE"""),"Death vs Hells")</f>
        <v>Death vs Hells</v>
      </c>
    </row>
    <row r="96" ht="15.75" customHeight="1">
      <c r="A96" s="842" t="s">
        <v>893</v>
      </c>
      <c r="B96" s="842"/>
      <c r="C96" s="842"/>
      <c r="D96" s="842"/>
      <c r="E96" s="842"/>
      <c r="F96" s="842" t="str">
        <f>IFERROR(__xludf.DUMMYFUNCTION("""COMPUTED_VALUE"""),"Death vs Zim")</f>
        <v>Death vs Zim</v>
      </c>
    </row>
    <row r="97" ht="15.75" customHeight="1">
      <c r="A97" s="842" t="s">
        <v>894</v>
      </c>
      <c r="B97" s="775" t="str">
        <f>IFERROR(__xludf.DUMMYFUNCTION("""COMPUTED_VALUE"""),"Tuesday Aug 27")</f>
        <v>Tuesday Aug 27</v>
      </c>
      <c r="C97" s="842" t="str">
        <f>IFERROR(__xludf.DUMMYFUNCTION("""COMPUTED_VALUE"""),"NO GAMES")</f>
        <v>NO GAMES</v>
      </c>
      <c r="D97" s="842"/>
      <c r="E97" s="842"/>
      <c r="F97" s="842" t="str">
        <f>IFERROR(__xludf.DUMMYFUNCTION("""COMPUTED_VALUE"""),"Death vs Spank")</f>
        <v>Death vs Spank</v>
      </c>
    </row>
    <row r="98" ht="15.75" customHeight="1">
      <c r="A98" s="842" t="s">
        <v>894</v>
      </c>
      <c r="B98" s="842"/>
      <c r="C98" s="842"/>
      <c r="D98" s="842"/>
      <c r="E98" s="842"/>
      <c r="F98" s="842" t="str">
        <f>IFERROR(__xludf.DUMMYFUNCTION("""COMPUTED_VALUE"""),"Chemical vs Ducky")</f>
        <v>Chemical vs Ducky</v>
      </c>
    </row>
    <row r="99" ht="15.75" customHeight="1">
      <c r="A99" s="842" t="s">
        <v>895</v>
      </c>
      <c r="B99" s="775" t="str">
        <f>IFERROR(__xludf.DUMMYFUNCTION("""COMPUTED_VALUE"""),"Wednesday Aug 28")</f>
        <v>Wednesday Aug 28</v>
      </c>
      <c r="C99" s="842" t="str">
        <f>IFERROR(__xludf.DUMMYFUNCTION("""COMPUTED_VALUE"""),"NO GAMES")</f>
        <v>NO GAMES</v>
      </c>
      <c r="D99" s="842"/>
      <c r="E99" s="842"/>
      <c r="F99" s="842" t="str">
        <f>IFERROR(__xludf.DUMMYFUNCTION("""COMPUTED_VALUE"""),"Chemical vs Death")</f>
        <v>Chemical vs Death</v>
      </c>
    </row>
    <row r="100" ht="15.75" customHeight="1">
      <c r="A100" s="842" t="s">
        <v>895</v>
      </c>
      <c r="B100" s="842"/>
      <c r="C100" s="842"/>
      <c r="D100" s="842"/>
      <c r="E100" s="842"/>
      <c r="F100" s="842" t="str">
        <f>IFERROR(__xludf.DUMMYFUNCTION("""COMPUTED_VALUE"""),"Hells vs Ducky")</f>
        <v>Hells vs Ducky</v>
      </c>
    </row>
    <row r="101" ht="15.75" customHeight="1">
      <c r="A101" s="842" t="s">
        <v>895</v>
      </c>
      <c r="B101" s="842"/>
      <c r="C101" s="842"/>
      <c r="D101" s="842"/>
      <c r="E101" s="842"/>
      <c r="F101" s="842" t="str">
        <f>IFERROR(__xludf.DUMMYFUNCTION("""COMPUTED_VALUE"""),"Hells vs Death")</f>
        <v>Hells vs Death</v>
      </c>
    </row>
    <row r="102" ht="15.75" customHeight="1">
      <c r="A102" s="842" t="s">
        <v>896</v>
      </c>
      <c r="B102" s="775" t="str">
        <f>IFERROR(__xludf.DUMMYFUNCTION("""COMPUTED_VALUE"""),"Thursday Aug 29")</f>
        <v>Thursday Aug 29</v>
      </c>
      <c r="C102" s="842" t="str">
        <f>IFERROR(__xludf.DUMMYFUNCTION("""COMPUTED_VALUE"""),"Ducky vs Chemical 8:30 PM")</f>
        <v>Ducky vs Chemical 8:30 PM</v>
      </c>
      <c r="D102" s="842"/>
      <c r="E102" s="842"/>
      <c r="F102" s="842" t="str">
        <f>IFERROR(__xludf.DUMMYFUNCTION("""COMPUTED_VALUE"""),"Zim vs Spoon")</f>
        <v>Zim vs Spoon</v>
      </c>
    </row>
    <row r="103" ht="15.75" customHeight="1">
      <c r="A103" s="842" t="s">
        <v>896</v>
      </c>
      <c r="B103" s="842"/>
      <c r="C103" s="842"/>
      <c r="D103" s="842"/>
      <c r="E103" s="842" t="str">
        <f>IFERROR(__xludf.DUMMYFUNCTION("""COMPUTED_VALUE"""),"Zim vs Chemical 8:30 PM")</f>
        <v>Zim vs Chemical 8:30 PM</v>
      </c>
      <c r="F103" s="842" t="str">
        <f>IFERROR(__xludf.DUMMYFUNCTION("""COMPUTED_VALUE"""),"Zim vs Death")</f>
        <v>Zim vs Death</v>
      </c>
    </row>
    <row r="104" ht="15.75" customHeight="1">
      <c r="A104" s="842" t="s">
        <v>896</v>
      </c>
      <c r="B104" s="842"/>
      <c r="C104" s="842"/>
      <c r="D104" s="842"/>
      <c r="E104" s="842" t="str">
        <f>IFERROR(__xludf.DUMMYFUNCTION("""COMPUTED_VALUE"""),"Chemical vs Zim 9:00 PM")</f>
        <v>Chemical vs Zim 9:00 PM</v>
      </c>
      <c r="F104" s="912" t="str">
        <f>IFERROR(__xludf.DUMMYFUNCTION("""COMPUTED_VALUE"""),"Zim vs Chemical")</f>
        <v>Zim vs Chemical</v>
      </c>
    </row>
    <row r="105" ht="15.75" customHeight="1">
      <c r="A105" s="842" t="s">
        <v>897</v>
      </c>
      <c r="B105" s="775" t="str">
        <f>IFERROR(__xludf.DUMMYFUNCTION("""COMPUTED_VALUE"""),"Friday Aug 30")</f>
        <v>Friday Aug 30</v>
      </c>
      <c r="C105" s="842" t="str">
        <f>IFERROR(__xludf.DUMMYFUNCTION("""COMPUTED_VALUE"""),"Ducky vs Zim 8 PM")</f>
        <v>Ducky vs Zim 8 PM</v>
      </c>
      <c r="D105" s="842"/>
      <c r="E105" s="842" t="str">
        <f>IFERROR(__xludf.DUMMYFUNCTION("""COMPUTED_VALUE"""),"Evil vs Ducky 8:30 PM")</f>
        <v>Evil vs Ducky 8:30 PM</v>
      </c>
      <c r="F105" s="842" t="str">
        <f>IFERROR(__xludf.DUMMYFUNCTION("""COMPUTED_VALUE"""),"Zim vs Hells")</f>
        <v>Zim vs Hells</v>
      </c>
    </row>
    <row r="106" ht="15.75" customHeight="1">
      <c r="A106" s="842" t="s">
        <v>897</v>
      </c>
      <c r="B106" s="842"/>
      <c r="C106" s="842" t="str">
        <f>IFERROR(__xludf.DUMMYFUNCTION("""COMPUTED_VALUE"""),"Hells vs Zim 9 PM")</f>
        <v>Hells vs Zim 9 PM</v>
      </c>
      <c r="D106" s="842"/>
      <c r="E106" s="842"/>
      <c r="F106" s="842" t="str">
        <f>IFERROR(__xludf.DUMMYFUNCTION("""COMPUTED_VALUE"""),"Zim vs Spank")</f>
        <v>Zim vs Spank</v>
      </c>
    </row>
    <row r="107" ht="15.75" customHeight="1">
      <c r="A107" s="842" t="s">
        <v>897</v>
      </c>
      <c r="B107" s="842"/>
      <c r="C107" s="842"/>
      <c r="D107" s="842"/>
      <c r="E107" s="842"/>
      <c r="F107" s="842" t="str">
        <f>IFERROR(__xludf.DUMMYFUNCTION("""COMPUTED_VALUE"""),"Spank vs Ducky")</f>
        <v>Spank vs Ducky</v>
      </c>
    </row>
    <row r="108" ht="15.75" customHeight="1">
      <c r="A108" s="842" t="s">
        <v>898</v>
      </c>
      <c r="B108" s="775" t="str">
        <f>IFERROR(__xludf.DUMMYFUNCTION("""COMPUTED_VALUE"""),"Saturday Aug 31")</f>
        <v>Saturday Aug 31</v>
      </c>
      <c r="C108" s="842" t="str">
        <f>IFERROR(__xludf.DUMMYFUNCTION("""COMPUTED_VALUE"""),"Hells vs Chemical 10 PM")</f>
        <v>Hells vs Chemical 10 PM</v>
      </c>
      <c r="D108" s="842"/>
      <c r="E108" s="842" t="str">
        <f>IFERROR(__xludf.DUMMYFUNCTION("""COMPUTED_VALUE"""),"Ducky vs Chemical 8 PM")</f>
        <v>Ducky vs Chemical 8 PM</v>
      </c>
      <c r="F108" s="842" t="str">
        <f>IFERROR(__xludf.DUMMYFUNCTION("""COMPUTED_VALUE"""),"Spank vs Death")</f>
        <v>Spank vs Death</v>
      </c>
    </row>
    <row r="109" ht="15.75" customHeight="1">
      <c r="A109" s="842" t="s">
        <v>898</v>
      </c>
      <c r="B109" s="842"/>
      <c r="C109" s="842" t="str">
        <f>IFERROR(__xludf.DUMMYFUNCTION("""COMPUTED_VALUE"""),"Hells vs Death 9:30 PM")</f>
        <v>Hells vs Death 9:30 PM</v>
      </c>
      <c r="D109" s="842"/>
      <c r="E109" s="842" t="str">
        <f>IFERROR(__xludf.DUMMYFUNCTION("""COMPUTED_VALUE"""),"Chemical vs Ducky 8:30 PM")</f>
        <v>Chemical vs Ducky 8:30 PM</v>
      </c>
      <c r="F109" s="842" t="str">
        <f>IFERROR(__xludf.DUMMYFUNCTION("""COMPUTED_VALUE"""),"Spank vs Zim")</f>
        <v>Spank vs Zim</v>
      </c>
    </row>
    <row r="110" ht="15.75" customHeight="1">
      <c r="A110" s="842" t="s">
        <v>899</v>
      </c>
      <c r="B110" s="775" t="str">
        <f>IFERROR(__xludf.DUMMYFUNCTION("""COMPUTED_VALUE"""),"September 1-7")</f>
        <v>September 1-7</v>
      </c>
      <c r="C110" s="842" t="str">
        <f>IFERROR(__xludf.DUMMYFUNCTION("""COMPUTED_VALUE"""),"Week 2")</f>
        <v>Week 2</v>
      </c>
      <c r="D110" s="842"/>
      <c r="E110" s="842" t="str">
        <f>IFERROR(__xludf.DUMMYFUNCTION("""COMPUTED_VALUE"""),"Reschedules")</f>
        <v>Reschedules</v>
      </c>
      <c r="F110" s="842"/>
    </row>
    <row r="111" ht="15.75" customHeight="1">
      <c r="A111" s="842" t="s">
        <v>900</v>
      </c>
      <c r="B111" s="775" t="str">
        <f>IFERROR(__xludf.DUMMYFUNCTION("""COMPUTED_VALUE"""),"Sunday Sept 1")</f>
        <v>Sunday Sept 1</v>
      </c>
      <c r="C111" s="842" t="str">
        <f>IFERROR(__xludf.DUMMYFUNCTION("""COMPUTED_VALUE"""),"Avenger vs Zim 7 PM")</f>
        <v>Avenger vs Zim 7 PM</v>
      </c>
      <c r="D111" s="842"/>
      <c r="E111" s="842" t="str">
        <f>IFERROR(__xludf.DUMMYFUNCTION("""COMPUTED_VALUE"""),"Avenger vs Zim 7:30 PM")</f>
        <v>Avenger vs Zim 7:30 PM</v>
      </c>
      <c r="F111" s="842"/>
    </row>
    <row r="112" ht="15.75" customHeight="1">
      <c r="A112" s="842" t="s">
        <v>900</v>
      </c>
      <c r="B112" s="842"/>
      <c r="C112" s="842" t="str">
        <f>IFERROR(__xludf.DUMMYFUNCTION("""COMPUTED_VALUE"""),"Ducky vs Avenger 8 PM")</f>
        <v>Ducky vs Avenger 8 PM</v>
      </c>
      <c r="D112" s="842"/>
      <c r="E112" s="842"/>
      <c r="F112" s="842"/>
    </row>
    <row r="113" ht="15.75" customHeight="1">
      <c r="A113" s="842" t="s">
        <v>900</v>
      </c>
      <c r="B113" s="842"/>
      <c r="C113" s="842" t="str">
        <f>IFERROR(__xludf.DUMMYFUNCTION("""COMPUTED_VALUE"""),"Hells vs Avenger 10 PM")</f>
        <v>Hells vs Avenger 10 PM</v>
      </c>
      <c r="D113" s="842"/>
      <c r="E113" s="842"/>
      <c r="F113" s="842"/>
    </row>
    <row r="114" ht="15.75" customHeight="1">
      <c r="A114" s="842" t="s">
        <v>901</v>
      </c>
      <c r="B114" s="775" t="str">
        <f>IFERROR(__xludf.DUMMYFUNCTION("""COMPUTED_VALUE"""),"Monday Sept 2")</f>
        <v>Monday Sept 2</v>
      </c>
      <c r="C114" s="842" t="str">
        <f>IFERROR(__xludf.DUMMYFUNCTION("""COMPUTED_VALUE"""),"Ducky vs Spank 8pm ")</f>
        <v>Ducky vs Spank 8pm </v>
      </c>
      <c r="D114" s="842"/>
      <c r="E114" s="842" t="str">
        <f>IFERROR(__xludf.DUMMYFUNCTION("""COMPUTED_VALUE"""),"Death vs Avenger 8:00 PM")</f>
        <v>Death vs Avenger 8:00 PM</v>
      </c>
      <c r="F114" s="842"/>
    </row>
    <row r="115" ht="15.75" customHeight="1">
      <c r="A115" s="842" t="s">
        <v>901</v>
      </c>
      <c r="B115" s="842"/>
      <c r="C115" s="842" t="str">
        <f>IFERROR(__xludf.DUMMYFUNCTION("""COMPUTED_VALUE"""),"Evil vs Avenger 9 PM")</f>
        <v>Evil vs Avenger 9 PM</v>
      </c>
      <c r="D115" s="842"/>
      <c r="E115" s="842" t="str">
        <f>IFERROR(__xludf.DUMMYFUNCTION("""COMPUTED_VALUE"""),"Death vs Evil 8:30 PM")</f>
        <v>Death vs Evil 8:30 PM</v>
      </c>
      <c r="F115" s="842"/>
    </row>
    <row r="116" ht="15.75" customHeight="1">
      <c r="A116" s="842" t="s">
        <v>901</v>
      </c>
      <c r="B116" s="842"/>
      <c r="C116" s="842" t="str">
        <f>IFERROR(__xludf.DUMMYFUNCTION("""COMPUTED_VALUE"""),"Spank vs Avenger 9:45 PM")</f>
        <v>Spank vs Avenger 9:45 PM</v>
      </c>
      <c r="D116" s="842"/>
      <c r="E116" s="842"/>
      <c r="F116" s="842"/>
    </row>
    <row r="117" ht="15.75" customHeight="1">
      <c r="A117" s="842" t="s">
        <v>901</v>
      </c>
      <c r="B117" s="842"/>
      <c r="C117" s="842"/>
      <c r="D117" s="842"/>
      <c r="E117" s="842"/>
      <c r="F117" s="842"/>
    </row>
    <row r="118" ht="15.75" customHeight="1">
      <c r="A118" s="842" t="s">
        <v>902</v>
      </c>
      <c r="B118" s="775" t="str">
        <f>IFERROR(__xludf.DUMMYFUNCTION("""COMPUTED_VALUE"""),"Tuesday Sept 3")</f>
        <v>Tuesday Sept 3</v>
      </c>
      <c r="C118" s="842" t="str">
        <f>IFERROR(__xludf.DUMMYFUNCTION("""COMPUTED_VALUE"""),"NO GAMES")</f>
        <v>NO GAMES</v>
      </c>
      <c r="D118" s="842"/>
      <c r="E118" s="842" t="str">
        <f>IFERROR(__xludf.DUMMYFUNCTION("""COMPUTED_VALUE"""),"Chemical vs Spank 9:30 PM")</f>
        <v>Chemical vs Spank 9:30 PM</v>
      </c>
      <c r="F118" s="842"/>
    </row>
    <row r="119" ht="15.75" customHeight="1">
      <c r="A119" s="842" t="s">
        <v>902</v>
      </c>
      <c r="B119" s="842"/>
      <c r="C119" s="842"/>
      <c r="D119" s="842"/>
      <c r="E119" s="842" t="str">
        <f>IFERROR(__xludf.DUMMYFUNCTION("""COMPUTED_VALUE"""),"Spank vs Chemical 10 PM")</f>
        <v>Spank vs Chemical 10 PM</v>
      </c>
      <c r="F119" s="842"/>
    </row>
    <row r="120" ht="15.75" customHeight="1">
      <c r="A120" s="842" t="s">
        <v>903</v>
      </c>
      <c r="B120" s="775" t="str">
        <f>IFERROR(__xludf.DUMMYFUNCTION("""COMPUTED_VALUE"""),"Wednesday Sept 4")</f>
        <v>Wednesday Sept 4</v>
      </c>
      <c r="C120" s="842" t="str">
        <f>IFERROR(__xludf.DUMMYFUNCTION("""COMPUTED_VALUE"""),"NO GAMES")</f>
        <v>NO GAMES</v>
      </c>
      <c r="D120" s="842"/>
      <c r="E120" s="842"/>
      <c r="F120" s="842"/>
    </row>
    <row r="121" ht="15.75" customHeight="1">
      <c r="A121" s="842" t="s">
        <v>903</v>
      </c>
      <c r="B121" s="842"/>
      <c r="C121" s="842"/>
      <c r="D121" s="842"/>
      <c r="E121" s="842"/>
      <c r="F121" s="842"/>
    </row>
    <row r="122" ht="15.75" customHeight="1">
      <c r="A122" s="842" t="s">
        <v>904</v>
      </c>
      <c r="B122" s="775" t="str">
        <f>IFERROR(__xludf.DUMMYFUNCTION("""COMPUTED_VALUE"""),"Thursday Sept 5")</f>
        <v>Thursday Sept 5</v>
      </c>
      <c r="C122" s="842" t="str">
        <f>IFERROR(__xludf.DUMMYFUNCTION("""COMPUTED_VALUE"""),"Evil vs Chemical 8:30 PM")</f>
        <v>Evil vs Chemical 8:30 PM</v>
      </c>
      <c r="D122" s="842"/>
      <c r="E122" s="842"/>
      <c r="F122" s="842"/>
    </row>
    <row r="123" ht="15.75" customHeight="1">
      <c r="A123" s="842" t="s">
        <v>904</v>
      </c>
      <c r="B123" s="842"/>
      <c r="C123" s="842" t="str">
        <f>IFERROR(__xludf.DUMMYFUNCTION("""COMPUTED_VALUE"""),"Zim vs Evil 9 PM")</f>
        <v>Zim vs Evil 9 PM</v>
      </c>
      <c r="D123" s="842"/>
      <c r="E123" s="842"/>
      <c r="F123" s="842"/>
    </row>
    <row r="124" ht="15.75" customHeight="1">
      <c r="A124" s="842" t="s">
        <v>905</v>
      </c>
      <c r="B124" s="775" t="str">
        <f>IFERROR(__xludf.DUMMYFUNCTION("""COMPUTED_VALUE"""),"Friday Sept 6")</f>
        <v>Friday Sept 6</v>
      </c>
      <c r="C124" s="842" t="str">
        <f>IFERROR(__xludf.DUMMYFUNCTION("""COMPUTED_VALUE"""),"Ducky vs Spoon 8 PM")</f>
        <v>Ducky vs Spoon 8 PM</v>
      </c>
      <c r="D124" s="842"/>
      <c r="E124" s="842"/>
      <c r="F124" s="842"/>
    </row>
    <row r="125" ht="15.75" customHeight="1">
      <c r="A125" s="842" t="s">
        <v>905</v>
      </c>
      <c r="B125" s="842"/>
      <c r="C125" s="842" t="str">
        <f>IFERROR(__xludf.DUMMYFUNCTION("""COMPUTED_VALUE"""),"Zim vs Poptart 9 PM")</f>
        <v>Zim vs Poptart 9 PM</v>
      </c>
      <c r="D125" s="842"/>
      <c r="E125" s="842"/>
      <c r="F125" s="842" t="str">
        <f>IFERROR(__xludf.DUMMYFUNCTION("""COMPUTED_VALUE"""),"s")</f>
        <v>s</v>
      </c>
    </row>
    <row r="126" ht="15.75" customHeight="1">
      <c r="A126" s="842" t="s">
        <v>905</v>
      </c>
      <c r="B126" s="842"/>
      <c r="C126" s="842" t="str">
        <f>IFERROR(__xludf.DUMMYFUNCTION("""COMPUTED_VALUE"""),"Poptart vs Hells 9:45 PM")</f>
        <v>Poptart vs Hells 9:45 PM</v>
      </c>
      <c r="D126" s="842"/>
      <c r="E126" s="842"/>
      <c r="F126" s="842"/>
    </row>
    <row r="127" ht="15.75" customHeight="1">
      <c r="A127" s="842" t="s">
        <v>906</v>
      </c>
      <c r="B127" s="775" t="str">
        <f>IFERROR(__xludf.DUMMYFUNCTION("""COMPUTED_VALUE"""),"Saturday Sept 7")</f>
        <v>Saturday Sept 7</v>
      </c>
      <c r="C127" s="842" t="str">
        <f>IFERROR(__xludf.DUMMYFUNCTION("""COMPUTED_VALUE"""),"Ducky vs Poptart 7 PM")</f>
        <v>Ducky vs Poptart 7 PM</v>
      </c>
      <c r="D127" s="842"/>
      <c r="E127" s="842" t="str">
        <f>IFERROR(__xludf.DUMMYFUNCTION("""COMPUTED_VALUE"""),"Evil vs Chemical 8 PM")</f>
        <v>Evil vs Chemical 8 PM</v>
      </c>
      <c r="F127" s="842"/>
    </row>
    <row r="128" ht="15.75" customHeight="1">
      <c r="A128" s="842" t="s">
        <v>906</v>
      </c>
      <c r="B128" s="842"/>
      <c r="C128" s="842" t="str">
        <f>IFERROR(__xludf.DUMMYFUNCTION("""COMPUTED_VALUE"""),"Spoon vs Evil 10 PM")</f>
        <v>Spoon vs Evil 10 PM</v>
      </c>
      <c r="D128" s="842"/>
      <c r="E128" s="842" t="str">
        <f>IFERROR(__xludf.DUMMYFUNCTION("""COMPUTED_VALUE"""),"Zim vs Spoon 8:30 PM")</f>
        <v>Zim vs Spoon 8:30 PM</v>
      </c>
      <c r="F128" s="842"/>
    </row>
    <row r="129" ht="15.75" customHeight="1">
      <c r="A129" s="842" t="s">
        <v>906</v>
      </c>
      <c r="B129" s="842"/>
      <c r="C129" s="842"/>
      <c r="D129" s="842"/>
      <c r="E129" s="842" t="str">
        <f>IFERROR(__xludf.DUMMYFUNCTION("""COMPUTED_VALUE"""),"Ducky vs Poptart 8:30 PM")</f>
        <v>Ducky vs Poptart 8:30 PM</v>
      </c>
      <c r="F129" s="842"/>
    </row>
    <row r="130" ht="15.75" customHeight="1">
      <c r="A130" s="842" t="s">
        <v>906</v>
      </c>
      <c r="B130" s="842"/>
      <c r="C130" s="842"/>
      <c r="D130" s="842"/>
      <c r="E130" s="842" t="str">
        <f>IFERROR(__xludf.DUMMYFUNCTION("""COMPUTED_VALUE"""),"Chemical vs Hells 8:45 PM")</f>
        <v>Chemical vs Hells 8:45 PM</v>
      </c>
      <c r="F130" s="842"/>
    </row>
    <row r="131" ht="15.75" customHeight="1">
      <c r="A131" s="842" t="s">
        <v>906</v>
      </c>
      <c r="B131" s="842"/>
      <c r="C131" s="842"/>
      <c r="D131" s="842"/>
      <c r="E131" s="842" t="str">
        <f>IFERROR(__xludf.DUMMYFUNCTION("""COMPUTED_VALUE"""),"Spoon vs Zim 9 PM")</f>
        <v>Spoon vs Zim 9 PM</v>
      </c>
      <c r="F131" s="842"/>
    </row>
    <row r="132" ht="15.75" customHeight="1">
      <c r="A132" s="842" t="s">
        <v>906</v>
      </c>
      <c r="B132" s="842"/>
      <c r="C132" s="842" t="str">
        <f>IFERROR(__xludf.DUMMYFUNCTION("""COMPUTED_VALUE"""),"Chemical vs Hells 10 PM")</f>
        <v>Chemical vs Hells 10 PM</v>
      </c>
      <c r="D132" s="842"/>
      <c r="E132" s="842" t="str">
        <f>IFERROR(__xludf.DUMMYFUNCTION("""COMPUTED_VALUE"""),"Avenger vs Evil 9 PM")</f>
        <v>Avenger vs Evil 9 PM</v>
      </c>
      <c r="F132" s="842"/>
    </row>
    <row r="133" ht="15.75" customHeight="1">
      <c r="A133" s="842" t="s">
        <v>906</v>
      </c>
      <c r="B133" s="842"/>
      <c r="C133" s="842"/>
      <c r="D133" s="842"/>
      <c r="E133" s="842" t="str">
        <f>IFERROR(__xludf.DUMMYFUNCTION("""COMPUTED_VALUE"""),"Poptart vs Hells 9:15 PM")</f>
        <v>Poptart vs Hells 9:15 PM</v>
      </c>
      <c r="F133" s="842"/>
    </row>
    <row r="134" ht="15.75" customHeight="1">
      <c r="A134" s="842" t="s">
        <v>906</v>
      </c>
      <c r="B134" s="842"/>
      <c r="C134" s="842"/>
      <c r="D134" s="842"/>
      <c r="E134" s="842" t="str">
        <f>IFERROR(__xludf.DUMMYFUNCTION("""COMPUTED_VALUE"""),"Hells vs Poptart 9:45 PM")</f>
        <v>Hells vs Poptart 9:45 PM</v>
      </c>
      <c r="F134" s="842"/>
    </row>
    <row r="135" ht="15.75" customHeight="1">
      <c r="A135" s="842" t="s">
        <v>906</v>
      </c>
      <c r="B135" s="842"/>
      <c r="C135" s="842"/>
      <c r="D135" s="842"/>
      <c r="E135" s="842" t="str">
        <f>IFERROR(__xludf.DUMMYFUNCTION("""COMPUTED_VALUE"""),"Avenger vs Chemical 9:45 PM")</f>
        <v>Avenger vs Chemical 9:45 PM</v>
      </c>
      <c r="F135" s="842"/>
    </row>
    <row r="136" ht="15.75" customHeight="1">
      <c r="A136" s="842" t="s">
        <v>906</v>
      </c>
      <c r="B136" s="842"/>
      <c r="C136" s="842"/>
      <c r="D136" s="842"/>
      <c r="E136" s="842" t="str">
        <f>IFERROR(__xludf.DUMMYFUNCTION("""COMPUTED_VALUE"""),"Chemical vs Avenger 10:30 PM")</f>
        <v>Chemical vs Avenger 10:30 PM</v>
      </c>
      <c r="F136" s="842"/>
    </row>
    <row r="137" ht="15.75" customHeight="1">
      <c r="A137" s="842" t="s">
        <v>907</v>
      </c>
      <c r="B137" s="775" t="str">
        <f>IFERROR(__xludf.DUMMYFUNCTION("""COMPUTED_VALUE"""),"September 8-14")</f>
        <v>September 8-14</v>
      </c>
      <c r="C137" s="842" t="str">
        <f>IFERROR(__xludf.DUMMYFUNCTION("""COMPUTED_VALUE"""),"Week 3")</f>
        <v>Week 3</v>
      </c>
      <c r="D137" s="842"/>
      <c r="E137" s="842" t="str">
        <f>IFERROR(__xludf.DUMMYFUNCTION("""COMPUTED_VALUE"""),"Reschedules")</f>
        <v>Reschedules</v>
      </c>
      <c r="F137" s="842"/>
    </row>
    <row r="138" ht="15.75" customHeight="1">
      <c r="A138" s="842" t="s">
        <v>908</v>
      </c>
      <c r="B138" s="775" t="str">
        <f>IFERROR(__xludf.DUMMYFUNCTION("""COMPUTED_VALUE"""),"Sunday Sept 8")</f>
        <v>Sunday Sept 8</v>
      </c>
      <c r="C138" s="842" t="str">
        <f>IFERROR(__xludf.DUMMYFUNCTION("""COMPUTED_VALUE"""),"Avenger vs Spoon 10 PM")</f>
        <v>Avenger vs Spoon 10 PM</v>
      </c>
      <c r="D138" s="842"/>
      <c r="E138" s="842"/>
      <c r="F138" s="842"/>
    </row>
    <row r="139" ht="15.75" customHeight="1">
      <c r="A139" s="842" t="s">
        <v>908</v>
      </c>
      <c r="B139" s="842"/>
      <c r="C139" s="842" t="str">
        <f>IFERROR(__xludf.DUMMYFUNCTION("""COMPUTED_VALUE"""),"Ducky vs Hells 8:30 PM")</f>
        <v>Ducky vs Hells 8:30 PM</v>
      </c>
      <c r="D139" s="842"/>
      <c r="E139" s="842"/>
      <c r="F139" s="842"/>
    </row>
    <row r="140" ht="15.75" customHeight="1">
      <c r="A140" s="842" t="s">
        <v>909</v>
      </c>
      <c r="B140" s="775" t="str">
        <f>IFERROR(__xludf.DUMMYFUNCTION("""COMPUTED_VALUE"""),"Monday Sept 9")</f>
        <v>Monday Sept 9</v>
      </c>
      <c r="C140" s="842" t="str">
        <f>IFERROR(__xludf.DUMMYFUNCTION("""COMPUTED_VALUE"""),"Evil vs Ducky 8:30 PM")</f>
        <v>Evil vs Ducky 8:30 PM</v>
      </c>
      <c r="D140" s="842"/>
      <c r="E140" s="842" t="str">
        <f>IFERROR(__xludf.DUMMYFUNCTION("""COMPUTED_VALUE"""),"Ducky vs Spoon 8 PM")</f>
        <v>Ducky vs Spoon 8 PM</v>
      </c>
      <c r="F140" s="842"/>
    </row>
    <row r="141" ht="15.75" customHeight="1">
      <c r="A141" s="842" t="s">
        <v>909</v>
      </c>
      <c r="B141" s="842"/>
      <c r="C141" s="842" t="str">
        <f>IFERROR(__xludf.DUMMYFUNCTION("""COMPUTED_VALUE"""),"Death vs Spoon 8:30 PM")</f>
        <v>Death vs Spoon 8:30 PM</v>
      </c>
      <c r="D141" s="842"/>
      <c r="E141" s="842" t="str">
        <f>IFERROR(__xludf.DUMMYFUNCTION("""COMPUTED_VALUE"""),"Spoon vs Avenger 9 PM")</f>
        <v>Spoon vs Avenger 9 PM</v>
      </c>
      <c r="F141" s="842"/>
    </row>
    <row r="142" ht="15.75" customHeight="1">
      <c r="A142" s="842" t="s">
        <v>909</v>
      </c>
      <c r="B142" s="842"/>
      <c r="C142" s="842" t="str">
        <f>IFERROR(__xludf.DUMMYFUNCTION("""COMPUTED_VALUE"""),"Avenger vs Evil 9 PM")</f>
        <v>Avenger vs Evil 9 PM</v>
      </c>
      <c r="D142" s="842"/>
      <c r="E142" s="842" t="str">
        <f>IFERROR(__xludf.DUMMYFUNCTION("""COMPUTED_VALUE"""),"Death vs Spoon 10 PM")</f>
        <v>Death vs Spoon 10 PM</v>
      </c>
      <c r="F142" s="842"/>
    </row>
    <row r="143" ht="15.75" customHeight="1">
      <c r="A143" s="842" t="s">
        <v>909</v>
      </c>
      <c r="B143" s="842"/>
      <c r="C143" s="842" t="str">
        <f>IFERROR(__xludf.DUMMYFUNCTION("""COMPUTED_VALUE"""),"Avenger vs Spank 9:30 PM")</f>
        <v>Avenger vs Spank 9:30 PM</v>
      </c>
      <c r="D143" s="842"/>
      <c r="E143" s="842"/>
      <c r="F143" s="842"/>
    </row>
    <row r="144" ht="15.75" customHeight="1">
      <c r="A144" s="842" t="s">
        <v>909</v>
      </c>
      <c r="B144" s="842"/>
      <c r="C144" s="842"/>
      <c r="D144" s="842"/>
      <c r="E144" s="842"/>
      <c r="F144" s="842"/>
    </row>
    <row r="145" ht="15.75" customHeight="1">
      <c r="A145" s="842" t="s">
        <v>910</v>
      </c>
      <c r="B145" s="775" t="str">
        <f>IFERROR(__xludf.DUMMYFUNCTION("""COMPUTED_VALUE"""),"Tuesday Sept 10")</f>
        <v>Tuesday Sept 10</v>
      </c>
      <c r="C145" s="842" t="str">
        <f>IFERROR(__xludf.DUMMYFUNCTION("""COMPUTED_VALUE"""),"Spank vs Spoon 10 PM")</f>
        <v>Spank vs Spoon 10 PM</v>
      </c>
      <c r="D145" s="842"/>
      <c r="E145" s="842"/>
      <c r="F145" s="842"/>
    </row>
    <row r="146" ht="15.75" customHeight="1">
      <c r="A146" s="842" t="s">
        <v>910</v>
      </c>
      <c r="B146" s="842"/>
      <c r="C146" s="842"/>
      <c r="D146" s="842"/>
      <c r="E146" s="842"/>
      <c r="F146" s="842"/>
    </row>
    <row r="147" ht="15.75" customHeight="1">
      <c r="A147" s="842" t="s">
        <v>911</v>
      </c>
      <c r="B147" s="775" t="str">
        <f>IFERROR(__xludf.DUMMYFUNCTION("""COMPUTED_VALUE"""),"Wednesday Sept 11")</f>
        <v>Wednesday Sept 11</v>
      </c>
      <c r="C147" s="842" t="str">
        <f>IFERROR(__xludf.DUMMYFUNCTION("""COMPUTED_VALUE"""),"Death vs Poptart 8:00 PM")</f>
        <v>Death vs Poptart 8:00 PM</v>
      </c>
      <c r="D147" s="842"/>
      <c r="E147" s="842" t="str">
        <f>IFERROR(__xludf.DUMMYFUNCTION("""COMPUTED_VALUE"""),"Spoon vs Poptart 8:30pm")</f>
        <v>Spoon vs Poptart 8:30pm</v>
      </c>
      <c r="F147" s="842"/>
    </row>
    <row r="148" ht="15.75" customHeight="1">
      <c r="A148" s="842" t="s">
        <v>911</v>
      </c>
      <c r="B148" s="842"/>
      <c r="C148" s="842" t="str">
        <f>IFERROR(__xludf.DUMMYFUNCTION("""COMPUTED_VALUE"""),"Avenger vs Chemical 8:30 PM")</f>
        <v>Avenger vs Chemical 8:30 PM</v>
      </c>
      <c r="D148" s="842"/>
      <c r="E148" s="842" t="str">
        <f>IFERROR(__xludf.DUMMYFUNCTION("""COMPUTED_VALUE"""),"Poptart vs Spoon 9pm")</f>
        <v>Poptart vs Spoon 9pm</v>
      </c>
      <c r="F148" s="842"/>
    </row>
    <row r="149" ht="15.75" customHeight="1">
      <c r="A149" s="842" t="s">
        <v>911</v>
      </c>
      <c r="B149" s="842"/>
      <c r="C149" s="842" t="str">
        <f>IFERROR(__xludf.DUMMYFUNCTION("""COMPUTED_VALUE"""),"Spank vs Chemical 9:30 PM")</f>
        <v>Spank vs Chemical 9:30 PM</v>
      </c>
      <c r="D149" s="842"/>
      <c r="E149" s="842" t="str">
        <f>IFERROR(__xludf.DUMMYFUNCTION("""COMPUTED_VALUE"""),"Death vs Poptart 9:30 pm")</f>
        <v>Death vs Poptart 9:30 pm</v>
      </c>
      <c r="F149" s="842"/>
    </row>
    <row r="150" ht="15.75" customHeight="1">
      <c r="A150" s="842" t="s">
        <v>911</v>
      </c>
      <c r="B150" s="842"/>
      <c r="C150" s="842"/>
      <c r="D150" s="842"/>
      <c r="E150" s="842" t="str">
        <f>IFERROR(__xludf.DUMMYFUNCTION("""COMPUTED_VALUE"""),"Poptart vs Death 10:00 pm")</f>
        <v>Poptart vs Death 10:00 pm</v>
      </c>
      <c r="F150" s="842"/>
    </row>
    <row r="151" ht="15.75" customHeight="1">
      <c r="A151" s="842" t="s">
        <v>912</v>
      </c>
      <c r="B151" s="775" t="str">
        <f>IFERROR(__xludf.DUMMYFUNCTION("""COMPUTED_VALUE"""),"Thursday Sept 12")</f>
        <v>Thursday Sept 12</v>
      </c>
      <c r="C151" s="842" t="str">
        <f>IFERROR(__xludf.DUMMYFUNCTION("""COMPUTED_VALUE"""),"Poptart vs Evil 8:30 PM")</f>
        <v>Poptart vs Evil 8:30 PM</v>
      </c>
      <c r="D151" s="842"/>
      <c r="E151" s="842"/>
      <c r="F151" s="842"/>
    </row>
    <row r="152" ht="15.75" customHeight="1">
      <c r="A152" s="842" t="s">
        <v>912</v>
      </c>
      <c r="B152" s="842"/>
      <c r="C152" s="842" t="str">
        <f>IFERROR(__xludf.DUMMYFUNCTION("""COMPUTED_VALUE"""),"Spoon vs Chemical 8:30 PM")</f>
        <v>Spoon vs Chemical 8:30 PM</v>
      </c>
      <c r="D152" s="842"/>
      <c r="E152" s="842"/>
      <c r="F152" s="842"/>
    </row>
    <row r="153" ht="15.75" customHeight="1">
      <c r="A153" s="842" t="s">
        <v>912</v>
      </c>
      <c r="B153" s="842"/>
      <c r="C153" s="842" t="str">
        <f>IFERROR(__xludf.DUMMYFUNCTION("""COMPUTED_VALUE"""),"Chemical vs Poptart 9 PM")</f>
        <v>Chemical vs Poptart 9 PM</v>
      </c>
      <c r="D153" s="842"/>
      <c r="E153" s="842"/>
      <c r="F153" s="842"/>
    </row>
    <row r="154" ht="15.75" customHeight="1">
      <c r="A154" s="842" t="s">
        <v>912</v>
      </c>
      <c r="B154" s="842"/>
      <c r="C154" s="842"/>
      <c r="D154" s="842"/>
      <c r="E154" s="842"/>
      <c r="F154" s="842"/>
    </row>
    <row r="155" ht="15.75" customHeight="1">
      <c r="A155" s="842" t="s">
        <v>913</v>
      </c>
      <c r="B155" s="775" t="str">
        <f>IFERROR(__xludf.DUMMYFUNCTION("""COMPUTED_VALUE"""),"Friday Sept 13")</f>
        <v>Friday Sept 13</v>
      </c>
      <c r="C155" s="842" t="str">
        <f>IFERROR(__xludf.DUMMYFUNCTION("""COMPUTED_VALUE"""),"Zim vs Ducky 8 PM")</f>
        <v>Zim vs Ducky 8 PM</v>
      </c>
      <c r="D155" s="842"/>
      <c r="E155" s="842" t="str">
        <f>IFERROR(__xludf.DUMMYFUNCTION("""COMPUTED_VALUE"""),"Ducky vs Zim 8:30 PM")</f>
        <v>Ducky vs Zim 8:30 PM</v>
      </c>
      <c r="F155" s="842"/>
    </row>
    <row r="156" ht="15.75" customHeight="1">
      <c r="A156" s="842" t="s">
        <v>913</v>
      </c>
      <c r="B156" s="842"/>
      <c r="C156" s="842" t="str">
        <f>IFERROR(__xludf.DUMMYFUNCTION("""COMPUTED_VALUE"""),"Spoon vs poptart 8 PM")</f>
        <v>Spoon vs poptart 8 PM</v>
      </c>
      <c r="D156" s="842"/>
      <c r="E156" s="842"/>
      <c r="F156" s="842"/>
    </row>
    <row r="157" ht="15.75" customHeight="1">
      <c r="A157" s="842" t="s">
        <v>913</v>
      </c>
      <c r="B157" s="842"/>
      <c r="C157" s="842" t="str">
        <f>IFERROR(__xludf.DUMMYFUNCTION("""COMPUTED_VALUE"""),"Spoon vs Hells 9 PM")</f>
        <v>Spoon vs Hells 9 PM</v>
      </c>
      <c r="D157" s="842"/>
      <c r="E157" s="842" t="str">
        <f>IFERROR(__xludf.DUMMYFUNCTION("""COMPUTED_VALUE"""),"Hells vs Spoon 10 PM")</f>
        <v>Hells vs Spoon 10 PM</v>
      </c>
      <c r="F157" s="842"/>
    </row>
    <row r="158" ht="15.75" customHeight="1">
      <c r="A158" s="842" t="s">
        <v>913</v>
      </c>
      <c r="B158" s="842"/>
      <c r="C158" s="842"/>
      <c r="D158" s="842"/>
      <c r="E158" s="842"/>
      <c r="F158" s="842"/>
    </row>
    <row r="159" ht="15.75" customHeight="1">
      <c r="A159" s="842" t="s">
        <v>914</v>
      </c>
      <c r="B159" s="775" t="str">
        <f>IFERROR(__xludf.DUMMYFUNCTION("""COMPUTED_VALUE"""),"Saturday Sept 14")</f>
        <v>Saturday Sept 14</v>
      </c>
      <c r="C159" s="842" t="str">
        <f>IFERROR(__xludf.DUMMYFUNCTION("""COMPUTED_VALUE"""),"Chemical vs Avenger 10 PM")</f>
        <v>Chemical vs Avenger 10 PM</v>
      </c>
      <c r="D159" s="842"/>
      <c r="E159" s="842" t="str">
        <f>IFERROR(__xludf.DUMMYFUNCTION("""COMPUTED_VALUE"""),"Ducky vs Evil 8:30 PM")</f>
        <v>Ducky vs Evil 8:30 PM</v>
      </c>
      <c r="F159" s="842"/>
    </row>
    <row r="160" ht="15.75" customHeight="1">
      <c r="A160" s="842" t="s">
        <v>914</v>
      </c>
      <c r="B160" s="842"/>
      <c r="C160" s="842"/>
      <c r="D160" s="842"/>
      <c r="E160" s="842" t="str">
        <f>IFERROR(__xludf.DUMMYFUNCTION("""COMPUTED_VALUE"""),"Poptart vs Zim 8:30 PM")</f>
        <v>Poptart vs Zim 8:30 PM</v>
      </c>
      <c r="F160" s="842"/>
    </row>
    <row r="161" ht="15.75" customHeight="1">
      <c r="A161" s="842" t="s">
        <v>914</v>
      </c>
      <c r="B161" s="842"/>
      <c r="C161" s="842"/>
      <c r="D161" s="842"/>
      <c r="E161" s="842" t="str">
        <f>IFERROR(__xludf.DUMMYFUNCTION("""COMPUTED_VALUE"""),"Zim vs Poptart 9 PM")</f>
        <v>Zim vs Poptart 9 PM</v>
      </c>
      <c r="F161" s="842"/>
    </row>
    <row r="162" ht="15.75" customHeight="1">
      <c r="A162" s="842" t="s">
        <v>914</v>
      </c>
      <c r="B162" s="842"/>
      <c r="C162" s="842"/>
      <c r="D162" s="842"/>
      <c r="E162" s="842" t="str">
        <f>IFERROR(__xludf.DUMMYFUNCTION("""COMPUTED_VALUE"""),"Evil vs Poptart 9:30 PM")</f>
        <v>Evil vs Poptart 9:30 PM</v>
      </c>
      <c r="F162" s="842"/>
    </row>
    <row r="163" ht="15.75" customHeight="1">
      <c r="A163" s="842" t="s">
        <v>915</v>
      </c>
      <c r="B163" s="775" t="str">
        <f>IFERROR(__xludf.DUMMYFUNCTION("""COMPUTED_VALUE"""),"September 15-21")</f>
        <v>September 15-21</v>
      </c>
      <c r="C163" s="842" t="str">
        <f>IFERROR(__xludf.DUMMYFUNCTION("""COMPUTED_VALUE"""),"Week 4")</f>
        <v>Week 4</v>
      </c>
      <c r="D163" s="842"/>
      <c r="E163" s="842" t="str">
        <f>IFERROR(__xludf.DUMMYFUNCTION("""COMPUTED_VALUE"""),"Reschedules")</f>
        <v>Reschedules</v>
      </c>
      <c r="F163" s="842"/>
    </row>
    <row r="164" ht="15.75" customHeight="1">
      <c r="A164" s="842" t="s">
        <v>916</v>
      </c>
      <c r="B164" s="775" t="str">
        <f>IFERROR(__xludf.DUMMYFUNCTION("""COMPUTED_VALUE"""),"Sunday Sept 15")</f>
        <v>Sunday Sept 15</v>
      </c>
      <c r="C164" s="842" t="str">
        <f>IFERROR(__xludf.DUMMYFUNCTION("""COMPUTED_VALUE"""),"Zim vs Avenger 7 PM")</f>
        <v>Zim vs Avenger 7 PM</v>
      </c>
      <c r="D164" s="842"/>
      <c r="E164" s="842"/>
      <c r="F164" s="842"/>
    </row>
    <row r="165" ht="15.75" customHeight="1">
      <c r="A165" s="842" t="s">
        <v>916</v>
      </c>
      <c r="B165" s="842"/>
      <c r="C165" s="842" t="str">
        <f>IFERROR(__xludf.DUMMYFUNCTION("""COMPUTED_VALUE"""),"Zim vs Avenger 7:30 PM")</f>
        <v>Zim vs Avenger 7:30 PM</v>
      </c>
      <c r="D165" s="842"/>
      <c r="E165" s="842"/>
      <c r="F165" s="842"/>
    </row>
    <row r="166" ht="15.75" customHeight="1">
      <c r="A166" s="842" t="s">
        <v>916</v>
      </c>
      <c r="B166" s="842"/>
      <c r="C166" s="842" t="str">
        <f>IFERROR(__xludf.DUMMYFUNCTION("""COMPUTED_VALUE"""),"Avenger vs Ducky 8 PM")</f>
        <v>Avenger vs Ducky 8 PM</v>
      </c>
      <c r="D166" s="842"/>
      <c r="E166" s="842"/>
      <c r="F166" s="842"/>
    </row>
    <row r="167" ht="15.75" customHeight="1">
      <c r="A167" s="842" t="s">
        <v>916</v>
      </c>
      <c r="B167" s="842"/>
      <c r="C167" s="842" t="str">
        <f>IFERROR(__xludf.DUMMYFUNCTION("""COMPUTED_VALUE"""),"Hells vs Ducky 8:30 PM")</f>
        <v>Hells vs Ducky 8:30 PM</v>
      </c>
      <c r="D167" s="842"/>
      <c r="E167" s="842"/>
      <c r="F167" s="842"/>
    </row>
    <row r="168" ht="15.75" customHeight="1">
      <c r="A168" s="842" t="s">
        <v>916</v>
      </c>
      <c r="B168" s="842"/>
      <c r="C168" s="842" t="str">
        <f>IFERROR(__xludf.DUMMYFUNCTION("""COMPUTED_VALUE"""),"Hells vs Spoon 10 PM")</f>
        <v>Hells vs Spoon 10 PM</v>
      </c>
      <c r="D168" s="842"/>
      <c r="E168" s="842"/>
      <c r="F168" s="842"/>
    </row>
    <row r="169" ht="15.75" customHeight="1">
      <c r="A169" s="842" t="s">
        <v>917</v>
      </c>
      <c r="B169" s="775" t="str">
        <f>IFERROR(__xludf.DUMMYFUNCTION("""COMPUTED_VALUE"""),"Monday Sept 16")</f>
        <v>Monday Sept 16</v>
      </c>
      <c r="C169" s="842" t="str">
        <f>IFERROR(__xludf.DUMMYFUNCTION("""COMPUTED_VALUE"""),"Death vs Ducky 8 PM")</f>
        <v>Death vs Ducky 8 PM</v>
      </c>
      <c r="D169" s="842"/>
      <c r="E169" s="842" t="str">
        <f>IFERROR(__xludf.DUMMYFUNCTION("""COMPUTED_VALUE"""),"Ducky vs Spank 8 PM")</f>
        <v>Ducky vs Spank 8 PM</v>
      </c>
      <c r="F169" s="842"/>
    </row>
    <row r="170" ht="15.75" customHeight="1">
      <c r="A170" s="842" t="s">
        <v>917</v>
      </c>
      <c r="B170" s="842"/>
      <c r="C170" s="842" t="str">
        <f>IFERROR(__xludf.DUMMYFUNCTION("""COMPUTED_VALUE"""),"Evil vs Spoon 8:30 PM")</f>
        <v>Evil vs Spoon 8:30 PM</v>
      </c>
      <c r="D170" s="842"/>
      <c r="E170" s="842" t="str">
        <f>IFERROR(__xludf.DUMMYFUNCTION("""COMPUTED_VALUE"""),"Spank vs Ducky 8:30 PM")</f>
        <v>Spank vs Ducky 8:30 PM</v>
      </c>
      <c r="F170" s="842"/>
    </row>
    <row r="171" ht="15.75" customHeight="1">
      <c r="A171" s="842" t="s">
        <v>917</v>
      </c>
      <c r="B171" s="842"/>
      <c r="C171" s="842" t="str">
        <f>IFERROR(__xludf.DUMMYFUNCTION("""COMPUTED_VALUE"""),"Avenger vs Death 9 PM")</f>
        <v>Avenger vs Death 9 PM</v>
      </c>
      <c r="D171" s="842"/>
      <c r="E171" s="842"/>
      <c r="F171" s="842"/>
    </row>
    <row r="172" ht="15.75" customHeight="1">
      <c r="A172" s="842" t="s">
        <v>917</v>
      </c>
      <c r="B172" s="842"/>
      <c r="C172" s="842" t="str">
        <f>IFERROR(__xludf.DUMMYFUNCTION("""COMPUTED_VALUE"""),"evil vs spank 9:30 PM")</f>
        <v>evil vs spank 9:30 PM</v>
      </c>
      <c r="D172" s="842"/>
      <c r="E172" s="842"/>
      <c r="F172" s="842"/>
    </row>
    <row r="173" ht="15.75" customHeight="1">
      <c r="A173" s="842" t="s">
        <v>918</v>
      </c>
      <c r="B173" s="775" t="str">
        <f>IFERROR(__xludf.DUMMYFUNCTION("""COMPUTED_VALUE"""),"Tuesday Sept 17")</f>
        <v>Tuesday Sept 17</v>
      </c>
      <c r="C173" s="842" t="str">
        <f>IFERROR(__xludf.DUMMYFUNCTION("""COMPUTED_VALUE"""),"Poptart vs Spank 9:30")</f>
        <v>Poptart vs Spank 9:30</v>
      </c>
      <c r="D173" s="842"/>
      <c r="E173" s="842"/>
      <c r="F173" s="842"/>
    </row>
    <row r="174" ht="15.75" customHeight="1">
      <c r="A174" s="842" t="s">
        <v>918</v>
      </c>
      <c r="B174" s="842"/>
      <c r="C174" s="842"/>
      <c r="D174" s="842"/>
      <c r="E174" s="842"/>
      <c r="F174" s="842"/>
    </row>
    <row r="175" ht="15.75" customHeight="1">
      <c r="A175" s="842" t="s">
        <v>918</v>
      </c>
      <c r="B175" s="842"/>
      <c r="C175" s="842"/>
      <c r="D175" s="842"/>
      <c r="E175" s="842" t="str">
        <f>IFERROR(__xludf.DUMMYFUNCTION("""COMPUTED_VALUE"""),"Spank vs Spoon 10 PM")</f>
        <v>Spank vs Spoon 10 PM</v>
      </c>
      <c r="F175" s="842"/>
    </row>
    <row r="176" ht="15.75" customHeight="1">
      <c r="A176" s="842" t="s">
        <v>919</v>
      </c>
      <c r="B176" s="775" t="str">
        <f>IFERROR(__xludf.DUMMYFUNCTION("""COMPUTED_VALUE"""),"Wednesday Sept 18")</f>
        <v>Wednesday Sept 18</v>
      </c>
      <c r="C176" s="842" t="str">
        <f>IFERROR(__xludf.DUMMYFUNCTION("""COMPUTED_VALUE"""),"Poptart vs Death 8 PM")</f>
        <v>Poptart vs Death 8 PM</v>
      </c>
      <c r="D176" s="842"/>
      <c r="E176" s="842"/>
      <c r="F176" s="842"/>
    </row>
    <row r="177" ht="15.75" customHeight="1">
      <c r="A177" s="842" t="s">
        <v>919</v>
      </c>
      <c r="B177" s="842"/>
      <c r="C177" s="842" t="str">
        <f>IFERROR(__xludf.DUMMYFUNCTION("""COMPUTED_VALUE"""),"Poptart vs Avenger 9 PM")</f>
        <v>Poptart vs Avenger 9 PM</v>
      </c>
      <c r="D177" s="842"/>
      <c r="E177" s="842"/>
      <c r="F177" s="842"/>
    </row>
    <row r="178" ht="15.75" customHeight="1">
      <c r="A178" s="842" t="s">
        <v>919</v>
      </c>
      <c r="B178" s="842"/>
      <c r="C178" s="842" t="str">
        <f>IFERROR(__xludf.DUMMYFUNCTION("""COMPUTED_VALUE"""),"Death vs Zim 7:30 PM")</f>
        <v>Death vs Zim 7:30 PM</v>
      </c>
      <c r="D178" s="842"/>
      <c r="E178" s="842"/>
      <c r="F178" s="842"/>
    </row>
    <row r="179" ht="15.75" customHeight="1">
      <c r="A179" s="842" t="s">
        <v>919</v>
      </c>
      <c r="B179" s="842"/>
      <c r="C179" s="842" t="str">
        <f>IFERROR(__xludf.DUMMYFUNCTION("""COMPUTED_VALUE"""),"Zim vs Death 8:00 PM")</f>
        <v>Zim vs Death 8:00 PM</v>
      </c>
      <c r="D179" s="842"/>
      <c r="E179" s="842"/>
      <c r="F179" s="842"/>
    </row>
    <row r="180" ht="15.75" customHeight="1">
      <c r="A180" s="842" t="s">
        <v>920</v>
      </c>
      <c r="B180" s="775" t="str">
        <f>IFERROR(__xludf.DUMMYFUNCTION("""COMPUTED_VALUE"""),"Thursday Sept 19")</f>
        <v>Thursday Sept 19</v>
      </c>
      <c r="C180" s="842" t="str">
        <f>IFERROR(__xludf.DUMMYFUNCTION("""COMPUTED_VALUE"""),"Evil vs Zim 8:30 PM")</f>
        <v>Evil vs Zim 8:30 PM</v>
      </c>
      <c r="D180" s="842"/>
      <c r="E180" s="842"/>
      <c r="F180" s="842"/>
    </row>
    <row r="181" ht="15.75" customHeight="1">
      <c r="A181" s="842" t="s">
        <v>920</v>
      </c>
      <c r="B181" s="842"/>
      <c r="C181" s="842" t="str">
        <f>IFERROR(__xludf.DUMMYFUNCTION("""COMPUTED_VALUE"""),"Chemical vs Spoon 8:30 PM")</f>
        <v>Chemical vs Spoon 8:30 PM</v>
      </c>
      <c r="D181" s="842"/>
      <c r="E181" s="842"/>
      <c r="F181" s="842"/>
    </row>
    <row r="182" ht="15.75" customHeight="1">
      <c r="A182" s="842" t="s">
        <v>920</v>
      </c>
      <c r="B182" s="842"/>
      <c r="C182" s="842" t="str">
        <f>IFERROR(__xludf.DUMMYFUNCTION("""COMPUTED_VALUE"""),"Poptart vs Chemical 9 PM")</f>
        <v>Poptart vs Chemical 9 PM</v>
      </c>
      <c r="D182" s="842"/>
      <c r="E182" s="842" t="str">
        <f>IFERROR(__xludf.DUMMYFUNCTION("""COMPUTED_VALUE"""),"Chemical vs Poptart 9:30 PM")</f>
        <v>Chemical vs Poptart 9:30 PM</v>
      </c>
      <c r="F182" s="842"/>
    </row>
    <row r="183" ht="15.75" customHeight="1">
      <c r="A183" s="842" t="s">
        <v>920</v>
      </c>
      <c r="B183" s="842"/>
      <c r="C183" s="842" t="str">
        <f>IFERROR(__xludf.DUMMYFUNCTION("""COMPUTED_VALUE"""),"Death vs Chemical 8 PM")</f>
        <v>Death vs Chemical 8 PM</v>
      </c>
      <c r="D183" s="842"/>
      <c r="E183" s="842"/>
      <c r="F183" s="842"/>
    </row>
    <row r="184" ht="15.75" customHeight="1">
      <c r="A184" s="842" t="s">
        <v>920</v>
      </c>
      <c r="B184" s="842"/>
      <c r="C184" s="842" t="str">
        <f>IFERROR(__xludf.DUMMYFUNCTION("""COMPUTED_VALUE"""),"Chemical vs Death 8:30 PM")</f>
        <v>Chemical vs Death 8:30 PM</v>
      </c>
      <c r="D184" s="842"/>
      <c r="E184" s="842" t="str">
        <f>IFERROR(__xludf.DUMMYFUNCTION("""COMPUTED_VALUE"""),"Evil vs Death 9:00")</f>
        <v>Evil vs Death 9:00</v>
      </c>
      <c r="F184" s="842"/>
    </row>
    <row r="185" ht="15.75" customHeight="1">
      <c r="A185" s="842" t="s">
        <v>920</v>
      </c>
      <c r="B185" s="842"/>
      <c r="C185" s="842" t="str">
        <f>IFERROR(__xludf.DUMMYFUNCTION("""COMPUTED_VALUE"""),"Death vs Hells 9:30 PM")</f>
        <v>Death vs Hells 9:30 PM</v>
      </c>
      <c r="D185" s="842"/>
      <c r="E185" s="842"/>
      <c r="F185" s="842"/>
    </row>
    <row r="186" ht="15.75" customHeight="1">
      <c r="A186" s="842" t="s">
        <v>920</v>
      </c>
      <c r="B186" s="842"/>
      <c r="C186" s="842" t="str">
        <f>IFERROR(__xludf.DUMMYFUNCTION("""COMPUTED_VALUE"""),"Death vs Spank 10 PM")</f>
        <v>Death vs Spank 10 PM</v>
      </c>
      <c r="D186" s="842"/>
      <c r="E186" s="842"/>
      <c r="F186" s="842"/>
    </row>
    <row r="187" ht="15.75" customHeight="1">
      <c r="A187" s="842" t="s">
        <v>920</v>
      </c>
      <c r="B187" s="842"/>
      <c r="C187" s="842" t="str">
        <f>IFERROR(__xludf.DUMMYFUNCTION("""COMPUTED_VALUE"""),"Spank vs Death 10:30 PM")</f>
        <v>Spank vs Death 10:30 PM</v>
      </c>
      <c r="D187" s="842"/>
      <c r="E187" s="842"/>
      <c r="F187" s="842"/>
    </row>
    <row r="188" ht="15.75" customHeight="1">
      <c r="A188" s="842" t="s">
        <v>921</v>
      </c>
      <c r="B188" s="775" t="str">
        <f>IFERROR(__xludf.DUMMYFUNCTION("""COMPUTED_VALUE"""),"Friday Sept 20")</f>
        <v>Friday Sept 20</v>
      </c>
      <c r="C188" s="842" t="str">
        <f>IFERROR(__xludf.DUMMYFUNCTION("""COMPUTED_VALUE"""),"Spoon vs Zim 8 PM")</f>
        <v>Spoon vs Zim 8 PM</v>
      </c>
      <c r="D188" s="842"/>
      <c r="E188" s="842" t="str">
        <f>IFERROR(__xludf.DUMMYFUNCTION("""COMPUTED_VALUE"""),"Evil vs Zim 9 PM")</f>
        <v>Evil vs Zim 9 PM</v>
      </c>
      <c r="F188" s="842"/>
    </row>
    <row r="189" ht="15.75" customHeight="1">
      <c r="A189" s="842" t="s">
        <v>921</v>
      </c>
      <c r="B189" s="842"/>
      <c r="C189" s="842" t="str">
        <f>IFERROR(__xludf.DUMMYFUNCTION("""COMPUTED_VALUE"""),"Zim vs Spank 8 PM")</f>
        <v>Zim vs Spank 8 PM</v>
      </c>
      <c r="D189" s="842"/>
      <c r="E189" s="842"/>
      <c r="F189" s="842"/>
    </row>
    <row r="190" ht="15.75" customHeight="1">
      <c r="A190" s="842" t="s">
        <v>921</v>
      </c>
      <c r="B190" s="842"/>
      <c r="C190" s="842" t="str">
        <f>IFERROR(__xludf.DUMMYFUNCTION("""COMPUTED_VALUE"""),"Spank vs Zim 8:30 PM")</f>
        <v>Spank vs Zim 8:30 PM</v>
      </c>
      <c r="D190" s="842"/>
      <c r="E190" s="842"/>
      <c r="F190" s="842"/>
    </row>
    <row r="191" ht="15.75" customHeight="1">
      <c r="A191" s="842" t="s">
        <v>922</v>
      </c>
      <c r="B191" s="775" t="str">
        <f>IFERROR(__xludf.DUMMYFUNCTION("""COMPUTED_VALUE"""),"Saturday Sept 21")</f>
        <v>Saturday Sept 21</v>
      </c>
      <c r="C191" s="842" t="str">
        <f>IFERROR(__xludf.DUMMYFUNCTION("""COMPUTED_VALUE"""),"Hells vs Evil 10 PM")</f>
        <v>Hells vs Evil 10 PM</v>
      </c>
      <c r="D191" s="842"/>
      <c r="E191" s="842" t="str">
        <f>IFERROR(__xludf.DUMMYFUNCTION("""COMPUTED_VALUE"""),"Spank vs Hells 9 PM")</f>
        <v>Spank vs Hells 9 PM</v>
      </c>
      <c r="F191" s="842"/>
    </row>
    <row r="192" ht="15.75" customHeight="1">
      <c r="A192" s="842" t="s">
        <v>923</v>
      </c>
      <c r="B192" s="775" t="str">
        <f>IFERROR(__xludf.DUMMYFUNCTION("""COMPUTED_VALUE"""),"September 22-28")</f>
        <v>September 22-28</v>
      </c>
      <c r="C192" s="842" t="str">
        <f>IFERROR(__xludf.DUMMYFUNCTION("""COMPUTED_VALUE"""),"Week 5")</f>
        <v>Week 5</v>
      </c>
      <c r="D192" s="842"/>
      <c r="E192" s="842" t="str">
        <f>IFERROR(__xludf.DUMMYFUNCTION("""COMPUTED_VALUE"""),"Reschedules")</f>
        <v>Reschedules</v>
      </c>
      <c r="F192" s="842"/>
    </row>
    <row r="193" ht="15.75" customHeight="1">
      <c r="A193" s="842" t="s">
        <v>924</v>
      </c>
      <c r="B193" s="775" t="str">
        <f>IFERROR(__xludf.DUMMYFUNCTION("""COMPUTED_VALUE"""),"Sunday Sept 22")</f>
        <v>Sunday Sept 22</v>
      </c>
      <c r="C193" s="842" t="str">
        <f>IFERROR(__xludf.DUMMYFUNCTION("""COMPUTED_VALUE"""),"Avenger vs Hells 10 PM")</f>
        <v>Avenger vs Hells 10 PM</v>
      </c>
      <c r="D193" s="842"/>
      <c r="E193" s="842" t="str">
        <f>IFERROR(__xludf.DUMMYFUNCTION("""COMPUTED_VALUE"""),"Avenger vs Hells 9 PM")</f>
        <v>Avenger vs Hells 9 PM</v>
      </c>
      <c r="F193" s="842"/>
    </row>
    <row r="194" ht="15.75" customHeight="1">
      <c r="A194" s="842" t="s">
        <v>924</v>
      </c>
      <c r="B194" s="842"/>
      <c r="C194" s="842"/>
      <c r="D194" s="842"/>
      <c r="E194" s="842" t="str">
        <f>IFERROR(__xludf.DUMMYFUNCTION("""COMPUTED_VALUE"""),"Hells vs Avenger 9:30 PM")</f>
        <v>Hells vs Avenger 9:30 PM</v>
      </c>
      <c r="F194" s="842"/>
    </row>
    <row r="195" ht="15.75" customHeight="1">
      <c r="A195" s="842" t="s">
        <v>924</v>
      </c>
      <c r="B195" s="842"/>
      <c r="C195" s="842"/>
      <c r="D195" s="842"/>
      <c r="E195" s="842" t="str">
        <f>IFERROR(__xludf.DUMMYFUNCTION("""COMPUTED_VALUE"""),"Hells vs Spank 10 PM")</f>
        <v>Hells vs Spank 10 PM</v>
      </c>
      <c r="F195" s="842"/>
    </row>
    <row r="196" ht="15.75" customHeight="1">
      <c r="A196" s="842" t="s">
        <v>925</v>
      </c>
      <c r="B196" s="775" t="str">
        <f>IFERROR(__xludf.DUMMYFUNCTION("""COMPUTED_VALUE"""),"Monday Sept 23")</f>
        <v>Monday Sept 23</v>
      </c>
      <c r="C196" s="842" t="str">
        <f>IFERROR(__xludf.DUMMYFUNCTION("""COMPUTED_VALUE"""),"Evil vs Death 8:30 PM")</f>
        <v>Evil vs Death 8:30 PM</v>
      </c>
      <c r="D196" s="842"/>
      <c r="E196" s="842" t="str">
        <f>IFERROR(__xludf.DUMMYFUNCTION("""COMPUTED_VALUE"""),"Spoon vs Chemical 9:30 PM")</f>
        <v>Spoon vs Chemical 9:30 PM</v>
      </c>
      <c r="F196" s="842"/>
    </row>
    <row r="197" ht="15.75" customHeight="1">
      <c r="A197" s="842" t="s">
        <v>925</v>
      </c>
      <c r="B197" s="842"/>
      <c r="C197" s="842" t="str">
        <f>IFERROR(__xludf.DUMMYFUNCTION("""COMPUTED_VALUE"""),"Spoon vs Ducky 8:30 PM")</f>
        <v>Spoon vs Ducky 8:30 PM</v>
      </c>
      <c r="D197" s="842"/>
      <c r="E197" s="842" t="str">
        <f>IFERROR(__xludf.DUMMYFUNCTION("""COMPUTED_VALUE"""),"Chemical vs Spoon 10 PM")</f>
        <v>Chemical vs Spoon 10 PM</v>
      </c>
      <c r="F197" s="842"/>
    </row>
    <row r="198" ht="15.75" customHeight="1">
      <c r="A198" s="842" t="s">
        <v>925</v>
      </c>
    </row>
    <row r="199" ht="15.75" customHeight="1">
      <c r="A199" s="842" t="s">
        <v>925</v>
      </c>
    </row>
    <row r="200" ht="15.75" customHeight="1">
      <c r="A200" s="842" t="s">
        <v>925</v>
      </c>
    </row>
    <row r="201" ht="15.75" customHeight="1">
      <c r="A201" s="842" t="s">
        <v>925</v>
      </c>
    </row>
    <row r="202" ht="15.75" customHeight="1">
      <c r="A202" s="842" t="s">
        <v>925</v>
      </c>
    </row>
    <row r="203" ht="15.75" customHeight="1">
      <c r="A203" s="842" t="s">
        <v>925</v>
      </c>
    </row>
    <row r="204" ht="15.75" customHeight="1">
      <c r="A204" s="842" t="s">
        <v>925</v>
      </c>
    </row>
    <row r="205" ht="15.75" customHeight="1">
      <c r="A205" s="842" t="s">
        <v>925</v>
      </c>
    </row>
    <row r="206" ht="15.75" customHeight="1">
      <c r="A206" s="842" t="s">
        <v>925</v>
      </c>
    </row>
    <row r="207" ht="15.75" customHeight="1">
      <c r="A207" s="842" t="s">
        <v>925</v>
      </c>
    </row>
    <row r="208" ht="15.75" customHeight="1">
      <c r="A208" s="842" t="s">
        <v>925</v>
      </c>
    </row>
    <row r="209" ht="15.75" customHeight="1">
      <c r="A209" s="842" t="s">
        <v>925</v>
      </c>
    </row>
    <row r="210" ht="15.75" customHeight="1">
      <c r="A210" s="842" t="s">
        <v>925</v>
      </c>
    </row>
    <row r="211" ht="15.75" customHeight="1">
      <c r="A211" s="842" t="s">
        <v>925</v>
      </c>
    </row>
    <row r="212" ht="15.75" customHeight="1">
      <c r="A212" s="842" t="s">
        <v>925</v>
      </c>
    </row>
    <row r="213" ht="15.75" customHeight="1">
      <c r="A213" s="842" t="s">
        <v>925</v>
      </c>
    </row>
    <row r="214" ht="15.75" customHeight="1">
      <c r="A214" s="842" t="s">
        <v>925</v>
      </c>
    </row>
    <row r="215" ht="15.75" customHeight="1">
      <c r="A215" s="842" t="s">
        <v>925</v>
      </c>
    </row>
    <row r="216" ht="15.75" customHeight="1">
      <c r="A216" s="842" t="s">
        <v>925</v>
      </c>
    </row>
    <row r="217" ht="15.75" customHeight="1">
      <c r="A217" s="842" t="s">
        <v>925</v>
      </c>
    </row>
    <row r="218" ht="15.75" customHeight="1">
      <c r="A218" s="842" t="s">
        <v>925</v>
      </c>
    </row>
    <row r="219" ht="15.75" customHeight="1">
      <c r="A219" s="842" t="s">
        <v>925</v>
      </c>
    </row>
    <row r="220" ht="15.75" customHeight="1">
      <c r="A220" s="842" t="s">
        <v>925</v>
      </c>
    </row>
    <row r="221" ht="15.75" customHeight="1">
      <c r="A221" s="842" t="s">
        <v>925</v>
      </c>
    </row>
    <row r="222" ht="15.75" customHeight="1">
      <c r="A222" s="842" t="s">
        <v>925</v>
      </c>
    </row>
    <row r="223" ht="15.75" customHeight="1">
      <c r="A223" s="842" t="s">
        <v>925</v>
      </c>
    </row>
    <row r="224" ht="15.75" customHeight="1">
      <c r="A224" s="842" t="s">
        <v>925</v>
      </c>
    </row>
    <row r="225" ht="15.75" customHeight="1">
      <c r="A225" s="842" t="s">
        <v>925</v>
      </c>
    </row>
    <row r="226" ht="15.75" customHeight="1">
      <c r="A226" s="842" t="s">
        <v>925</v>
      </c>
    </row>
    <row r="227" ht="15.75" customHeight="1">
      <c r="A227" s="842" t="s">
        <v>925</v>
      </c>
    </row>
    <row r="228" ht="15.75" customHeight="1">
      <c r="A228" s="842" t="s">
        <v>925</v>
      </c>
    </row>
    <row r="229" ht="15.75" customHeight="1">
      <c r="A229" s="842" t="s">
        <v>925</v>
      </c>
    </row>
    <row r="230" ht="15.75" customHeight="1">
      <c r="A230" s="842" t="s">
        <v>925</v>
      </c>
    </row>
    <row r="231" ht="15.75" customHeight="1">
      <c r="A231" s="842" t="s">
        <v>925</v>
      </c>
    </row>
    <row r="232" ht="15.75" customHeight="1">
      <c r="A232" s="842" t="s">
        <v>925</v>
      </c>
    </row>
    <row r="233" ht="15.75" customHeight="1">
      <c r="A233" s="842" t="s">
        <v>925</v>
      </c>
    </row>
    <row r="234" ht="15.75" customHeight="1">
      <c r="A234" s="842" t="s">
        <v>925</v>
      </c>
    </row>
    <row r="235" ht="15.75" customHeight="1">
      <c r="A235" s="842" t="s">
        <v>925</v>
      </c>
    </row>
    <row r="236" ht="15.75" customHeight="1">
      <c r="A236" s="842" t="s">
        <v>925</v>
      </c>
    </row>
    <row r="237" ht="15.75" customHeight="1">
      <c r="A237" s="842" t="s">
        <v>925</v>
      </c>
    </row>
    <row r="238" ht="15.75" customHeight="1">
      <c r="A238" s="842" t="s">
        <v>925</v>
      </c>
    </row>
    <row r="239" ht="15.75" customHeight="1">
      <c r="A239" s="842" t="s">
        <v>925</v>
      </c>
    </row>
    <row r="240" ht="15.75" customHeight="1">
      <c r="A240" s="842" t="s">
        <v>925</v>
      </c>
    </row>
    <row r="241" ht="15.75" customHeight="1">
      <c r="A241" s="842" t="s">
        <v>925</v>
      </c>
    </row>
    <row r="242" ht="15.75" customHeight="1">
      <c r="A242" s="842" t="s">
        <v>925</v>
      </c>
    </row>
    <row r="243" ht="15.75" customHeight="1">
      <c r="A243" s="842" t="s">
        <v>925</v>
      </c>
    </row>
    <row r="244" ht="15.75" customHeight="1">
      <c r="A244" s="842" t="s">
        <v>925</v>
      </c>
    </row>
    <row r="245" ht="15.75" customHeight="1">
      <c r="A245" s="842" t="s">
        <v>925</v>
      </c>
    </row>
    <row r="246" ht="15.75" customHeight="1">
      <c r="A246" s="842" t="s">
        <v>925</v>
      </c>
    </row>
    <row r="247" ht="15.75" customHeight="1">
      <c r="A247" s="842" t="s">
        <v>925</v>
      </c>
    </row>
    <row r="248" ht="15.75" customHeight="1">
      <c r="A248" s="842" t="s">
        <v>925</v>
      </c>
    </row>
    <row r="249" ht="15.75" customHeight="1">
      <c r="A249" s="842" t="s">
        <v>925</v>
      </c>
    </row>
    <row r="250" ht="15.75" customHeight="1">
      <c r="A250" s="842" t="s">
        <v>925</v>
      </c>
    </row>
    <row r="251" ht="15.75" customHeight="1">
      <c r="A251" s="842" t="s">
        <v>925</v>
      </c>
    </row>
    <row r="252" ht="15.75" customHeight="1">
      <c r="A252" s="842" t="s">
        <v>925</v>
      </c>
    </row>
    <row r="253" ht="15.75" customHeight="1">
      <c r="A253" s="842" t="s">
        <v>925</v>
      </c>
    </row>
    <row r="254" ht="15.75" customHeight="1">
      <c r="A254" s="842" t="s">
        <v>925</v>
      </c>
    </row>
    <row r="255" ht="15.75" customHeight="1">
      <c r="A255" s="842" t="s">
        <v>925</v>
      </c>
    </row>
    <row r="256" ht="15.75" customHeight="1">
      <c r="A256" s="842" t="s">
        <v>925</v>
      </c>
    </row>
    <row r="257" ht="15.75" customHeight="1">
      <c r="A257" s="842" t="s">
        <v>925</v>
      </c>
    </row>
    <row r="258" ht="15.75" customHeight="1">
      <c r="A258" s="842" t="s">
        <v>925</v>
      </c>
    </row>
    <row r="259" ht="15.75" customHeight="1">
      <c r="A259" s="842" t="s">
        <v>925</v>
      </c>
    </row>
    <row r="260" ht="15.75" customHeight="1">
      <c r="A260" s="842" t="s">
        <v>925</v>
      </c>
    </row>
    <row r="261" ht="15.75" customHeight="1">
      <c r="A261" s="842" t="s">
        <v>925</v>
      </c>
    </row>
    <row r="262" ht="15.75" customHeight="1">
      <c r="A262" s="842" t="s">
        <v>925</v>
      </c>
    </row>
    <row r="263" ht="15.75" customHeight="1">
      <c r="A263" s="842" t="s">
        <v>925</v>
      </c>
    </row>
    <row r="264" ht="15.75" customHeight="1">
      <c r="A264" s="842" t="s">
        <v>925</v>
      </c>
    </row>
    <row r="265" ht="15.75" customHeight="1">
      <c r="A265" s="842" t="s">
        <v>925</v>
      </c>
    </row>
    <row r="266" ht="15.75" customHeight="1">
      <c r="A266" s="842" t="s">
        <v>925</v>
      </c>
    </row>
    <row r="267" ht="15.75" customHeight="1">
      <c r="A267" s="842" t="s">
        <v>925</v>
      </c>
    </row>
    <row r="268" ht="15.75" customHeight="1">
      <c r="A268" s="842" t="s">
        <v>925</v>
      </c>
    </row>
    <row r="269" ht="15.75" customHeight="1">
      <c r="A269" s="842" t="s">
        <v>925</v>
      </c>
    </row>
    <row r="270" ht="15.75" customHeight="1">
      <c r="A270" s="842" t="s">
        <v>925</v>
      </c>
    </row>
    <row r="271" ht="15.75" customHeight="1">
      <c r="A271" s="842" t="s">
        <v>925</v>
      </c>
    </row>
    <row r="272" ht="15.75" customHeight="1">
      <c r="A272" s="842" t="s">
        <v>925</v>
      </c>
    </row>
    <row r="273" ht="15.75" customHeight="1">
      <c r="A273" s="842" t="s">
        <v>925</v>
      </c>
    </row>
    <row r="274" ht="15.75" customHeight="1">
      <c r="A274" s="842" t="s">
        <v>925</v>
      </c>
    </row>
    <row r="275" ht="15.75" customHeight="1">
      <c r="A275" s="842" t="s">
        <v>925</v>
      </c>
    </row>
    <row r="276" ht="15.75" customHeight="1">
      <c r="A276" s="842" t="s">
        <v>925</v>
      </c>
    </row>
    <row r="277" ht="15.75" customHeight="1">
      <c r="A277" s="842" t="s">
        <v>925</v>
      </c>
    </row>
    <row r="278" ht="15.75" customHeight="1">
      <c r="A278" s="842" t="s">
        <v>925</v>
      </c>
    </row>
    <row r="279" ht="15.75" customHeight="1">
      <c r="A279" s="842" t="s">
        <v>925</v>
      </c>
    </row>
    <row r="280" ht="15.75" customHeight="1">
      <c r="A280" s="842" t="s">
        <v>925</v>
      </c>
    </row>
    <row r="281" ht="15.75" customHeight="1">
      <c r="A281" s="842" t="s">
        <v>925</v>
      </c>
    </row>
    <row r="282" ht="15.75" customHeight="1">
      <c r="A282" s="842" t="s">
        <v>925</v>
      </c>
    </row>
    <row r="283" ht="15.75" customHeight="1">
      <c r="A283" s="842" t="s">
        <v>925</v>
      </c>
    </row>
    <row r="284" ht="15.75" customHeight="1">
      <c r="A284" s="842" t="s">
        <v>925</v>
      </c>
    </row>
    <row r="285" ht="15.75" customHeight="1">
      <c r="A285" s="842" t="s">
        <v>925</v>
      </c>
    </row>
    <row r="286" ht="15.75" customHeight="1">
      <c r="A286" s="842" t="s">
        <v>925</v>
      </c>
    </row>
    <row r="287" ht="15.75" customHeight="1">
      <c r="A287" s="842" t="s">
        <v>925</v>
      </c>
    </row>
    <row r="288" ht="15.75" customHeight="1">
      <c r="A288" s="842" t="s">
        <v>925</v>
      </c>
    </row>
    <row r="289" ht="15.75" customHeight="1">
      <c r="A289" s="842" t="s">
        <v>925</v>
      </c>
    </row>
    <row r="290" ht="15.75" customHeight="1">
      <c r="A290" s="842" t="s">
        <v>925</v>
      </c>
    </row>
    <row r="291" ht="15.75" customHeight="1">
      <c r="A291" s="842" t="s">
        <v>925</v>
      </c>
    </row>
    <row r="292" ht="15.75" customHeight="1">
      <c r="A292" s="842" t="s">
        <v>925</v>
      </c>
    </row>
    <row r="293" ht="15.75" customHeight="1">
      <c r="A293" s="842" t="s">
        <v>925</v>
      </c>
    </row>
    <row r="294" ht="15.75" customHeight="1">
      <c r="A294" s="842" t="s">
        <v>925</v>
      </c>
    </row>
    <row r="295" ht="15.75" customHeight="1">
      <c r="A295" s="842" t="s">
        <v>925</v>
      </c>
    </row>
    <row r="296" ht="15.75" customHeight="1">
      <c r="A296" s="842" t="s">
        <v>925</v>
      </c>
    </row>
    <row r="297" ht="15.75" customHeight="1">
      <c r="A297" s="842" t="s">
        <v>925</v>
      </c>
    </row>
    <row r="298" ht="15.75" customHeight="1">
      <c r="A298" s="842" t="s">
        <v>925</v>
      </c>
    </row>
    <row r="299" ht="15.75" customHeight="1">
      <c r="A299" s="842" t="s">
        <v>925</v>
      </c>
    </row>
    <row r="300" ht="15.75" customHeight="1">
      <c r="A300" s="842" t="s">
        <v>925</v>
      </c>
    </row>
    <row r="301" ht="15.75" customHeight="1">
      <c r="A301" s="842" t="s">
        <v>925</v>
      </c>
    </row>
    <row r="302" ht="15.75" customHeight="1">
      <c r="A302" s="842" t="s">
        <v>925</v>
      </c>
    </row>
    <row r="303" ht="15.75" customHeight="1">
      <c r="A303" s="842" t="s">
        <v>925</v>
      </c>
    </row>
    <row r="304" ht="15.75" customHeight="1">
      <c r="A304" s="842" t="s">
        <v>925</v>
      </c>
    </row>
    <row r="305" ht="15.75" customHeight="1">
      <c r="A305" s="842" t="s">
        <v>925</v>
      </c>
    </row>
    <row r="306" ht="15.75" customHeight="1">
      <c r="A306" s="842" t="s">
        <v>925</v>
      </c>
    </row>
    <row r="307" ht="15.75" customHeight="1">
      <c r="A307" s="842" t="s">
        <v>925</v>
      </c>
    </row>
    <row r="308" ht="15.75" customHeight="1">
      <c r="A308" s="842" t="s">
        <v>925</v>
      </c>
    </row>
    <row r="309" ht="15.75" customHeight="1">
      <c r="A309" s="842" t="s">
        <v>925</v>
      </c>
    </row>
    <row r="310" ht="15.75" customHeight="1">
      <c r="A310" s="842" t="s">
        <v>925</v>
      </c>
    </row>
    <row r="311" ht="15.75" customHeight="1">
      <c r="A311" s="842" t="s">
        <v>925</v>
      </c>
    </row>
    <row r="312" ht="15.75" customHeight="1">
      <c r="A312" s="842" t="s">
        <v>925</v>
      </c>
    </row>
    <row r="313" ht="15.75" customHeight="1">
      <c r="A313" s="842" t="s">
        <v>925</v>
      </c>
    </row>
    <row r="314" ht="15.75" customHeight="1">
      <c r="A314" s="842" t="s">
        <v>925</v>
      </c>
    </row>
    <row r="315" ht="15.75" customHeight="1">
      <c r="A315" s="842" t="s">
        <v>925</v>
      </c>
    </row>
    <row r="316" ht="15.75" customHeight="1">
      <c r="A316" s="842" t="s">
        <v>925</v>
      </c>
    </row>
    <row r="317" ht="15.75" customHeight="1">
      <c r="A317" s="842" t="s">
        <v>925</v>
      </c>
    </row>
    <row r="318" ht="15.75" customHeight="1">
      <c r="A318" s="842" t="s">
        <v>925</v>
      </c>
    </row>
    <row r="319" ht="15.75" customHeight="1">
      <c r="A319" s="842" t="s">
        <v>925</v>
      </c>
    </row>
    <row r="320" ht="15.75" customHeight="1">
      <c r="A320" s="842" t="s">
        <v>925</v>
      </c>
    </row>
    <row r="321" ht="15.75" customHeight="1">
      <c r="A321" s="842" t="s">
        <v>925</v>
      </c>
    </row>
    <row r="322" ht="15.75" customHeight="1">
      <c r="A322" s="842" t="s">
        <v>925</v>
      </c>
    </row>
    <row r="323" ht="15.75" customHeight="1">
      <c r="A323" s="842" t="s">
        <v>925</v>
      </c>
    </row>
    <row r="324" ht="15.75" customHeight="1">
      <c r="A324" s="842" t="s">
        <v>925</v>
      </c>
    </row>
    <row r="325" ht="15.75" customHeight="1">
      <c r="A325" s="842" t="s">
        <v>925</v>
      </c>
    </row>
    <row r="326" ht="15.75" customHeight="1">
      <c r="A326" s="842" t="s">
        <v>925</v>
      </c>
    </row>
    <row r="327" ht="15.75" customHeight="1">
      <c r="A327" s="842" t="s">
        <v>925</v>
      </c>
    </row>
    <row r="328" ht="15.75" customHeight="1">
      <c r="A328" s="842" t="s">
        <v>925</v>
      </c>
    </row>
    <row r="329" ht="15.75" customHeight="1">
      <c r="A329" s="842" t="s">
        <v>925</v>
      </c>
    </row>
    <row r="330" ht="15.75" customHeight="1">
      <c r="A330" s="842" t="s">
        <v>925</v>
      </c>
    </row>
    <row r="331" ht="15.75" customHeight="1">
      <c r="A331" s="842" t="s">
        <v>925</v>
      </c>
    </row>
    <row r="332" ht="15.75" customHeight="1">
      <c r="A332" s="842" t="s">
        <v>925</v>
      </c>
    </row>
    <row r="333" ht="15.75" customHeight="1">
      <c r="A333" s="842" t="s">
        <v>925</v>
      </c>
    </row>
    <row r="334" ht="15.75" customHeight="1">
      <c r="A334" s="842" t="s">
        <v>925</v>
      </c>
    </row>
    <row r="335" ht="15.75" customHeight="1">
      <c r="A335" s="842" t="s">
        <v>925</v>
      </c>
    </row>
    <row r="336" ht="15.75" customHeight="1">
      <c r="A336" s="842" t="s">
        <v>925</v>
      </c>
    </row>
    <row r="337" ht="15.75" customHeight="1">
      <c r="A337" s="842" t="s">
        <v>925</v>
      </c>
    </row>
    <row r="338" ht="15.75" customHeight="1">
      <c r="A338" s="842" t="s">
        <v>925</v>
      </c>
    </row>
    <row r="339" ht="15.75" customHeight="1">
      <c r="A339" s="842" t="s">
        <v>925</v>
      </c>
    </row>
    <row r="340" ht="15.75" customHeight="1">
      <c r="A340" s="842" t="s">
        <v>925</v>
      </c>
    </row>
    <row r="341" ht="15.75" customHeight="1">
      <c r="A341" s="842" t="s">
        <v>925</v>
      </c>
    </row>
    <row r="342" ht="15.75" customHeight="1">
      <c r="A342" s="842" t="s">
        <v>925</v>
      </c>
    </row>
    <row r="343" ht="15.75" customHeight="1">
      <c r="A343" s="842" t="s">
        <v>925</v>
      </c>
    </row>
    <row r="344" ht="15.75" customHeight="1">
      <c r="A344" s="842" t="s">
        <v>925</v>
      </c>
    </row>
    <row r="345" ht="15.75" customHeight="1">
      <c r="A345" s="842" t="s">
        <v>925</v>
      </c>
    </row>
    <row r="346" ht="15.75" customHeight="1">
      <c r="A346" s="842" t="s">
        <v>925</v>
      </c>
    </row>
    <row r="347" ht="15.75" customHeight="1">
      <c r="A347" s="842" t="s">
        <v>925</v>
      </c>
    </row>
    <row r="348" ht="15.75" customHeight="1">
      <c r="A348" s="842" t="s">
        <v>925</v>
      </c>
    </row>
    <row r="349" ht="15.75" customHeight="1">
      <c r="A349" s="842" t="s">
        <v>925</v>
      </c>
    </row>
    <row r="350" ht="15.75" customHeight="1">
      <c r="A350" s="842" t="s">
        <v>925</v>
      </c>
    </row>
    <row r="351" ht="15.75" customHeight="1">
      <c r="A351" s="842" t="s">
        <v>925</v>
      </c>
    </row>
    <row r="352" ht="15.75" customHeight="1">
      <c r="A352" s="842" t="s">
        <v>925</v>
      </c>
    </row>
    <row r="353" ht="15.75" customHeight="1">
      <c r="A353" s="842" t="s">
        <v>925</v>
      </c>
    </row>
    <row r="354" ht="15.75" customHeight="1">
      <c r="A354" s="842" t="s">
        <v>925</v>
      </c>
    </row>
    <row r="355" ht="15.75" customHeight="1">
      <c r="A355" s="842" t="s">
        <v>925</v>
      </c>
    </row>
    <row r="356" ht="15.75" customHeight="1">
      <c r="A356" s="842" t="s">
        <v>925</v>
      </c>
    </row>
    <row r="357" ht="15.75" customHeight="1">
      <c r="A357" s="842" t="s">
        <v>925</v>
      </c>
    </row>
    <row r="358" ht="15.75" customHeight="1">
      <c r="A358" s="842" t="s">
        <v>925</v>
      </c>
    </row>
    <row r="359" ht="15.75" customHeight="1">
      <c r="A359" s="842" t="s">
        <v>925</v>
      </c>
    </row>
    <row r="360" ht="15.75" customHeight="1">
      <c r="A360" s="842" t="s">
        <v>925</v>
      </c>
    </row>
    <row r="361" ht="15.75" customHeight="1">
      <c r="A361" s="842" t="s">
        <v>925</v>
      </c>
    </row>
    <row r="362" ht="15.75" customHeight="1">
      <c r="A362" s="842" t="s">
        <v>925</v>
      </c>
    </row>
    <row r="363" ht="15.75" customHeight="1">
      <c r="A363" s="842" t="s">
        <v>925</v>
      </c>
    </row>
    <row r="364" ht="15.75" customHeight="1">
      <c r="A364" s="842" t="s">
        <v>925</v>
      </c>
    </row>
    <row r="365" ht="15.75" customHeight="1">
      <c r="A365" s="842" t="s">
        <v>925</v>
      </c>
    </row>
    <row r="366" ht="15.75" customHeight="1">
      <c r="A366" s="842" t="s">
        <v>925</v>
      </c>
    </row>
    <row r="367" ht="15.75" customHeight="1">
      <c r="A367" s="842" t="s">
        <v>925</v>
      </c>
    </row>
    <row r="368" ht="15.75" customHeight="1">
      <c r="A368" s="842" t="s">
        <v>925</v>
      </c>
    </row>
    <row r="369" ht="15.75" customHeight="1">
      <c r="A369" s="842" t="s">
        <v>925</v>
      </c>
    </row>
    <row r="370" ht="15.75" customHeight="1">
      <c r="A370" s="842" t="s">
        <v>925</v>
      </c>
    </row>
    <row r="371" ht="15.75" customHeight="1">
      <c r="A371" s="842" t="s">
        <v>925</v>
      </c>
    </row>
    <row r="372" ht="15.75" customHeight="1">
      <c r="A372" s="842" t="s">
        <v>925</v>
      </c>
    </row>
    <row r="373" ht="15.75" customHeight="1">
      <c r="A373" s="842" t="s">
        <v>925</v>
      </c>
    </row>
    <row r="374" ht="15.75" customHeight="1">
      <c r="A374" s="842" t="s">
        <v>925</v>
      </c>
    </row>
    <row r="375" ht="15.75" customHeight="1">
      <c r="A375" s="842" t="s">
        <v>925</v>
      </c>
    </row>
    <row r="376" ht="15.75" customHeight="1">
      <c r="A376" s="842" t="s">
        <v>925</v>
      </c>
    </row>
    <row r="377" ht="15.75" customHeight="1">
      <c r="A377" s="842" t="s">
        <v>925</v>
      </c>
    </row>
    <row r="378" ht="15.75" customHeight="1">
      <c r="A378" s="842" t="s">
        <v>925</v>
      </c>
    </row>
    <row r="379" ht="15.75" customHeight="1">
      <c r="A379" s="842" t="s">
        <v>925</v>
      </c>
    </row>
    <row r="380" ht="15.75" customHeight="1">
      <c r="A380" s="842" t="s">
        <v>925</v>
      </c>
    </row>
    <row r="381" ht="15.75" customHeight="1">
      <c r="A381" s="842" t="s">
        <v>925</v>
      </c>
    </row>
    <row r="382" ht="15.75" customHeight="1">
      <c r="A382" s="842" t="s">
        <v>925</v>
      </c>
    </row>
    <row r="383" ht="15.75" customHeight="1">
      <c r="A383" s="842" t="s">
        <v>925</v>
      </c>
    </row>
    <row r="384" ht="15.75" customHeight="1">
      <c r="A384" s="842" t="s">
        <v>925</v>
      </c>
    </row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6:C86">
    <cfRule type="expression" dxfId="10" priority="1">
      <formula>ARRAYFORMULA(SUMPRODUCT(--(TRIM(REGEXREPLACE(C6, "\d+(:\d+)?\s*(AM|PM)?", "")) = TRIM(REGEXREPLACE($J$6:$J$86, "\d+(:\d+)?\s*(AM|PM)?", "")))) &gt; 0)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18.0"/>
    <col customWidth="1" min="3" max="3" width="16.75"/>
    <col customWidth="1" min="4" max="4" width="17.25"/>
    <col customWidth="1" min="5" max="5" width="19.38"/>
    <col customWidth="1" min="6" max="6" width="16.63"/>
    <col customWidth="1" min="7" max="7" width="17.5"/>
    <col customWidth="1" min="8" max="8" width="16.25"/>
    <col customWidth="1" min="9" max="9" width="16.38"/>
    <col customWidth="1" min="10" max="10" width="15.5"/>
    <col customWidth="1" min="11" max="12" width="15.63"/>
    <col customWidth="1" min="13" max="14" width="17.38"/>
    <col customWidth="1" min="15" max="15" width="3.88"/>
    <col customWidth="1" hidden="1" min="16" max="18" width="12.63"/>
    <col customWidth="1" hidden="1" min="19" max="19" width="3.88"/>
  </cols>
  <sheetData>
    <row r="1" ht="15.75" customHeight="1">
      <c r="A1" s="1">
        <v>7.0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5.75" customHeight="1">
      <c r="A2" s="1"/>
      <c r="B2" s="913" t="s">
        <v>926</v>
      </c>
      <c r="C2" s="777"/>
      <c r="D2" s="777"/>
      <c r="E2" s="777"/>
      <c r="F2" s="777"/>
      <c r="G2" s="777"/>
      <c r="H2" s="777"/>
      <c r="I2" s="777"/>
      <c r="J2" s="777"/>
      <c r="K2" s="777"/>
      <c r="L2" s="777"/>
      <c r="M2" s="777"/>
      <c r="N2" s="821"/>
      <c r="O2" s="1"/>
      <c r="P2" s="778"/>
      <c r="Q2" s="778"/>
      <c r="R2" s="778"/>
    </row>
    <row r="3" ht="15.75" customHeight="1">
      <c r="A3" s="1"/>
      <c r="B3" s="779"/>
      <c r="N3" s="829"/>
      <c r="O3" s="1"/>
      <c r="P3" s="778"/>
      <c r="Q3" s="778"/>
      <c r="R3" s="778"/>
    </row>
    <row r="4" ht="15.75" customHeight="1">
      <c r="A4" s="1"/>
      <c r="B4" s="779"/>
      <c r="N4" s="829"/>
      <c r="O4" s="1"/>
      <c r="P4" s="6"/>
      <c r="Q4" s="7"/>
      <c r="R4" s="7"/>
    </row>
    <row r="5" ht="1.5" customHeight="1">
      <c r="A5" s="1"/>
      <c r="B5" s="824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825"/>
      <c r="O5" s="1"/>
      <c r="P5" s="6"/>
      <c r="Q5" s="7"/>
      <c r="R5" s="7"/>
    </row>
    <row r="6" ht="35.25" hidden="1" customHeight="1">
      <c r="A6" s="8"/>
      <c r="B6" s="9" t="s">
        <v>799</v>
      </c>
      <c r="C6" s="9"/>
      <c r="D6" s="780"/>
      <c r="E6" s="9"/>
      <c r="F6" s="9"/>
      <c r="G6" s="9"/>
      <c r="H6" s="9"/>
      <c r="I6" s="781"/>
      <c r="J6" s="9"/>
      <c r="K6" s="9"/>
      <c r="L6" s="9"/>
      <c r="M6" s="9"/>
      <c r="N6" s="9"/>
      <c r="O6" s="13"/>
      <c r="P6" s="6"/>
      <c r="Q6" s="7"/>
      <c r="R6" s="7"/>
      <c r="S6" s="629"/>
    </row>
    <row r="7" ht="52.5" customHeight="1">
      <c r="A7" s="13"/>
      <c r="B7" s="19" t="s">
        <v>21</v>
      </c>
      <c r="C7" s="20" t="s">
        <v>927</v>
      </c>
      <c r="D7" s="20" t="s">
        <v>928</v>
      </c>
      <c r="E7" s="20" t="s">
        <v>929</v>
      </c>
      <c r="F7" s="20" t="s">
        <v>930</v>
      </c>
      <c r="G7" s="782" t="s">
        <v>931</v>
      </c>
      <c r="H7" s="782" t="s">
        <v>932</v>
      </c>
      <c r="I7" s="782" t="s">
        <v>933</v>
      </c>
      <c r="J7" s="782" t="s">
        <v>934</v>
      </c>
      <c r="K7" s="782" t="s">
        <v>935</v>
      </c>
      <c r="L7" s="782" t="s">
        <v>936</v>
      </c>
      <c r="M7" s="20" t="s">
        <v>937</v>
      </c>
      <c r="N7" s="20" t="s">
        <v>938</v>
      </c>
      <c r="O7" s="13"/>
      <c r="P7" s="6"/>
      <c r="Q7" s="7"/>
      <c r="R7" s="7"/>
      <c r="S7" s="629"/>
    </row>
    <row r="8" ht="15.75" customHeight="1">
      <c r="A8" s="1"/>
      <c r="B8" s="914" t="s">
        <v>36</v>
      </c>
      <c r="C8" s="914" t="s">
        <v>939</v>
      </c>
      <c r="D8" s="915" t="s">
        <v>940</v>
      </c>
      <c r="E8" s="916" t="s">
        <v>83</v>
      </c>
      <c r="F8" s="916" t="s">
        <v>809</v>
      </c>
      <c r="G8" s="916" t="s">
        <v>65</v>
      </c>
      <c r="H8" s="916" t="s">
        <v>852</v>
      </c>
      <c r="I8" s="916" t="s">
        <v>864</v>
      </c>
      <c r="J8" s="914" t="s">
        <v>40</v>
      </c>
      <c r="K8" s="916" t="s">
        <v>69</v>
      </c>
      <c r="L8" s="916" t="s">
        <v>56</v>
      </c>
      <c r="M8" s="917" t="s">
        <v>58</v>
      </c>
      <c r="N8" s="916" t="s">
        <v>941</v>
      </c>
      <c r="O8" s="1"/>
      <c r="P8" s="6"/>
      <c r="Q8" s="7"/>
      <c r="R8" s="7"/>
    </row>
    <row r="9" ht="15.75" customHeight="1">
      <c r="A9" s="1"/>
      <c r="B9" s="918"/>
      <c r="C9" s="919" t="s">
        <v>942</v>
      </c>
      <c r="D9" s="920"/>
      <c r="E9" s="921" t="s">
        <v>943</v>
      </c>
      <c r="F9" s="922" t="s">
        <v>944</v>
      </c>
      <c r="G9" s="921" t="s">
        <v>945</v>
      </c>
      <c r="H9" s="923" t="s">
        <v>867</v>
      </c>
      <c r="I9" s="924" t="s">
        <v>946</v>
      </c>
      <c r="J9" s="925" t="s">
        <v>947</v>
      </c>
      <c r="K9" s="926" t="s">
        <v>948</v>
      </c>
      <c r="L9" s="924" t="s">
        <v>865</v>
      </c>
      <c r="M9" s="927" t="s">
        <v>946</v>
      </c>
      <c r="N9" s="928" t="s">
        <v>949</v>
      </c>
      <c r="O9" s="1"/>
      <c r="P9" s="6"/>
      <c r="Q9" s="7"/>
      <c r="R9" s="7"/>
    </row>
    <row r="10" ht="15.75" customHeight="1">
      <c r="A10" s="27"/>
      <c r="B10" s="929" t="s">
        <v>813</v>
      </c>
      <c r="C10" s="930" t="s">
        <v>41</v>
      </c>
      <c r="D10" s="931" t="s">
        <v>950</v>
      </c>
      <c r="E10" s="931" t="s">
        <v>38</v>
      </c>
      <c r="F10" s="931" t="s">
        <v>53</v>
      </c>
      <c r="G10" s="931" t="s">
        <v>811</v>
      </c>
      <c r="H10" s="931" t="s">
        <v>52</v>
      </c>
      <c r="I10" s="931" t="s">
        <v>87</v>
      </c>
      <c r="J10" s="930" t="s">
        <v>812</v>
      </c>
      <c r="K10" s="931" t="s">
        <v>951</v>
      </c>
      <c r="L10" s="931" t="s">
        <v>42</v>
      </c>
      <c r="M10" s="930" t="s">
        <v>952</v>
      </c>
      <c r="N10" s="931" t="s">
        <v>953</v>
      </c>
      <c r="O10" s="27"/>
      <c r="P10" s="788"/>
      <c r="Q10" s="789"/>
      <c r="R10" s="789"/>
      <c r="S10" s="790"/>
    </row>
    <row r="11" ht="15.75" customHeight="1">
      <c r="A11" s="27"/>
      <c r="B11" s="929"/>
      <c r="C11" s="932" t="s">
        <v>865</v>
      </c>
      <c r="D11" s="933" t="s">
        <v>948</v>
      </c>
      <c r="E11" s="933" t="s">
        <v>948</v>
      </c>
      <c r="F11" s="934" t="s">
        <v>858</v>
      </c>
      <c r="G11" s="934" t="s">
        <v>858</v>
      </c>
      <c r="H11" s="933" t="s">
        <v>859</v>
      </c>
      <c r="I11" s="933" t="s">
        <v>954</v>
      </c>
      <c r="J11" s="935" t="s">
        <v>949</v>
      </c>
      <c r="K11" s="933" t="s">
        <v>859</v>
      </c>
      <c r="L11" s="934" t="s">
        <v>955</v>
      </c>
      <c r="M11" s="936" t="s">
        <v>956</v>
      </c>
      <c r="N11" s="937" t="s">
        <v>942</v>
      </c>
      <c r="O11" s="27"/>
      <c r="P11" s="788"/>
      <c r="Q11" s="789"/>
      <c r="R11" s="789"/>
      <c r="S11" s="790"/>
    </row>
    <row r="12" ht="15.75" customHeight="1">
      <c r="A12" s="27"/>
      <c r="B12" s="938" t="s">
        <v>816</v>
      </c>
      <c r="C12" s="939" t="s">
        <v>957</v>
      </c>
      <c r="D12" s="939" t="s">
        <v>55</v>
      </c>
      <c r="E12" s="939" t="s">
        <v>958</v>
      </c>
      <c r="F12" s="939" t="s">
        <v>819</v>
      </c>
      <c r="G12" s="939" t="s">
        <v>43</v>
      </c>
      <c r="H12" s="939" t="s">
        <v>862</v>
      </c>
      <c r="I12" s="939" t="s">
        <v>810</v>
      </c>
      <c r="J12" s="940" t="s">
        <v>92</v>
      </c>
      <c r="K12" s="939" t="s">
        <v>959</v>
      </c>
      <c r="L12" s="939" t="s">
        <v>960</v>
      </c>
      <c r="M12" s="940" t="s">
        <v>77</v>
      </c>
      <c r="N12" s="939" t="s">
        <v>961</v>
      </c>
      <c r="O12" s="27"/>
      <c r="P12" s="788"/>
      <c r="Q12" s="789"/>
      <c r="R12" s="789"/>
      <c r="S12" s="790"/>
    </row>
    <row r="13" ht="15.75" customHeight="1">
      <c r="A13" s="27"/>
      <c r="B13" s="938"/>
      <c r="C13" s="939" t="s">
        <v>956</v>
      </c>
      <c r="D13" s="941" t="s">
        <v>954</v>
      </c>
      <c r="E13" s="939" t="s">
        <v>946</v>
      </c>
      <c r="F13" s="942" t="s">
        <v>867</v>
      </c>
      <c r="G13" s="943" t="s">
        <v>947</v>
      </c>
      <c r="H13" s="942" t="s">
        <v>962</v>
      </c>
      <c r="I13" s="944" t="s">
        <v>858</v>
      </c>
      <c r="J13" s="945" t="s">
        <v>866</v>
      </c>
      <c r="K13" s="663" t="s">
        <v>955</v>
      </c>
      <c r="L13" s="946" t="s">
        <v>943</v>
      </c>
      <c r="M13" s="947" t="s">
        <v>962</v>
      </c>
      <c r="N13" s="943" t="s">
        <v>963</v>
      </c>
      <c r="O13" s="27"/>
      <c r="P13" s="788"/>
      <c r="Q13" s="789"/>
      <c r="R13" s="789"/>
      <c r="S13" s="790"/>
    </row>
    <row r="14" ht="15.75" customHeight="1">
      <c r="A14" s="27"/>
      <c r="B14" s="948" t="s">
        <v>818</v>
      </c>
      <c r="C14" s="949" t="s">
        <v>88</v>
      </c>
      <c r="D14" s="949" t="s">
        <v>964</v>
      </c>
      <c r="E14" s="949" t="s">
        <v>62</v>
      </c>
      <c r="F14" s="950" t="s">
        <v>965</v>
      </c>
      <c r="G14" s="950" t="s">
        <v>966</v>
      </c>
      <c r="H14" s="949" t="s">
        <v>863</v>
      </c>
      <c r="I14" s="950" t="s">
        <v>70</v>
      </c>
      <c r="J14" s="951" t="s">
        <v>967</v>
      </c>
      <c r="K14" s="952" t="s">
        <v>50</v>
      </c>
      <c r="L14" s="953" t="s">
        <v>968</v>
      </c>
      <c r="M14" s="949" t="s">
        <v>969</v>
      </c>
      <c r="N14" s="953" t="s">
        <v>970</v>
      </c>
      <c r="O14" s="27"/>
      <c r="P14" s="788"/>
      <c r="Q14" s="789"/>
      <c r="R14" s="789"/>
      <c r="S14" s="790"/>
    </row>
    <row r="15" ht="15.75" customHeight="1">
      <c r="A15" s="27"/>
      <c r="B15" s="929"/>
      <c r="C15" s="946" t="s">
        <v>945</v>
      </c>
      <c r="D15" s="946" t="s">
        <v>879</v>
      </c>
      <c r="E15" s="943" t="s">
        <v>866</v>
      </c>
      <c r="F15" s="954" t="s">
        <v>962</v>
      </c>
      <c r="G15" s="955" t="s">
        <v>879</v>
      </c>
      <c r="H15" s="956" t="s">
        <v>944</v>
      </c>
      <c r="I15" s="957" t="s">
        <v>963</v>
      </c>
      <c r="J15" s="958" t="s">
        <v>971</v>
      </c>
      <c r="K15" s="959" t="s">
        <v>971</v>
      </c>
      <c r="L15" s="960" t="s">
        <v>972</v>
      </c>
      <c r="M15" s="961" t="s">
        <v>972</v>
      </c>
      <c r="N15" s="962" t="s">
        <v>879</v>
      </c>
      <c r="O15" s="27"/>
      <c r="P15" s="788"/>
      <c r="Q15" s="789"/>
      <c r="R15" s="789"/>
      <c r="S15" s="790"/>
    </row>
    <row r="16" ht="15.75" customHeight="1">
      <c r="A16" s="27"/>
      <c r="B16" s="938" t="s">
        <v>820</v>
      </c>
      <c r="C16" s="939" t="s">
        <v>973</v>
      </c>
      <c r="D16" s="939" t="s">
        <v>71</v>
      </c>
      <c r="E16" s="939" t="s">
        <v>974</v>
      </c>
      <c r="F16" s="963"/>
      <c r="G16" s="939"/>
      <c r="H16" s="939"/>
      <c r="I16" s="939"/>
      <c r="J16" s="927"/>
      <c r="K16" s="939"/>
      <c r="L16" s="939"/>
      <c r="M16" s="964"/>
      <c r="N16" s="939"/>
      <c r="O16" s="27"/>
      <c r="P16" s="788"/>
      <c r="Q16" s="789"/>
      <c r="R16" s="789"/>
      <c r="S16" s="790"/>
    </row>
    <row r="17" ht="15.75" customHeight="1">
      <c r="A17" s="27"/>
      <c r="B17" s="965"/>
      <c r="C17" s="966"/>
      <c r="D17" s="967" t="s">
        <v>972</v>
      </c>
      <c r="E17" s="966"/>
      <c r="F17" s="968"/>
      <c r="G17" s="966"/>
      <c r="H17" s="966"/>
      <c r="I17" s="966"/>
      <c r="J17" s="969"/>
      <c r="K17" s="966"/>
      <c r="L17" s="966"/>
      <c r="M17" s="969"/>
      <c r="N17" s="966"/>
      <c r="O17" s="27"/>
      <c r="P17" s="788"/>
      <c r="Q17" s="789"/>
      <c r="R17" s="789"/>
      <c r="S17" s="790"/>
    </row>
    <row r="18" ht="15.75" customHeight="1">
      <c r="A18" s="1"/>
      <c r="B18" s="970" t="s">
        <v>975</v>
      </c>
      <c r="C18" s="777"/>
      <c r="D18" s="777"/>
      <c r="E18" s="777"/>
      <c r="F18" s="777"/>
      <c r="G18" s="777"/>
      <c r="H18" s="777"/>
      <c r="I18" s="777"/>
      <c r="J18" s="777"/>
      <c r="K18" s="971"/>
      <c r="L18" s="972" t="s">
        <v>827</v>
      </c>
      <c r="M18" s="973" t="s">
        <v>379</v>
      </c>
      <c r="N18" s="974"/>
      <c r="O18" s="1"/>
      <c r="P18" s="6"/>
      <c r="Q18" s="7"/>
      <c r="R18" s="7"/>
    </row>
    <row r="19" ht="15.75" customHeight="1">
      <c r="A19" s="1"/>
      <c r="B19" s="824"/>
      <c r="C19" s="37"/>
      <c r="D19" s="37"/>
      <c r="E19" s="37"/>
      <c r="F19" s="37"/>
      <c r="G19" s="37"/>
      <c r="H19" s="37"/>
      <c r="I19" s="37"/>
      <c r="J19" s="37"/>
      <c r="K19" s="825"/>
      <c r="L19" s="825"/>
      <c r="N19" s="974"/>
      <c r="O19" s="1"/>
      <c r="P19" s="802"/>
      <c r="Q19" s="802"/>
      <c r="R19" s="802"/>
    </row>
    <row r="20" ht="15.75" customHeight="1">
      <c r="A20" s="1"/>
      <c r="B20" s="975" t="s">
        <v>822</v>
      </c>
      <c r="C20" s="976" t="s">
        <v>823</v>
      </c>
      <c r="D20" s="976" t="s">
        <v>824</v>
      </c>
      <c r="E20" s="976" t="s">
        <v>976</v>
      </c>
      <c r="F20" s="976" t="s">
        <v>825</v>
      </c>
      <c r="G20" s="976" t="s">
        <v>977</v>
      </c>
      <c r="H20" s="976"/>
      <c r="I20" s="976"/>
      <c r="J20" s="976"/>
      <c r="K20" s="977"/>
      <c r="L20" s="978" t="s">
        <v>822</v>
      </c>
      <c r="N20" s="974">
        <v>1.0</v>
      </c>
      <c r="O20" s="1"/>
    </row>
    <row r="21" ht="15.75" customHeight="1">
      <c r="A21" s="1"/>
      <c r="B21" s="676" t="s">
        <v>950</v>
      </c>
      <c r="C21" s="979" t="s">
        <v>859</v>
      </c>
      <c r="D21" s="979" t="s">
        <v>859</v>
      </c>
      <c r="E21" s="933" t="s">
        <v>948</v>
      </c>
      <c r="F21" s="980" t="s">
        <v>978</v>
      </c>
      <c r="G21" s="981"/>
      <c r="H21" s="839"/>
      <c r="I21" s="839"/>
      <c r="J21" s="839"/>
      <c r="K21" s="982"/>
      <c r="L21" s="676" t="s">
        <v>941</v>
      </c>
      <c r="M21" s="983" t="s">
        <v>979</v>
      </c>
      <c r="N21" s="211"/>
      <c r="O21" s="1"/>
      <c r="P21" s="815"/>
      <c r="Q21" s="816"/>
      <c r="R21" s="816"/>
    </row>
    <row r="22" ht="15.75" customHeight="1">
      <c r="A22" s="1"/>
      <c r="B22" s="676" t="s">
        <v>38</v>
      </c>
      <c r="C22" s="979" t="s">
        <v>859</v>
      </c>
      <c r="D22" s="979" t="s">
        <v>859</v>
      </c>
      <c r="E22" s="933" t="s">
        <v>948</v>
      </c>
      <c r="F22" s="980" t="s">
        <v>980</v>
      </c>
      <c r="G22" s="981"/>
      <c r="H22" s="839"/>
      <c r="I22" s="839"/>
      <c r="J22" s="839"/>
      <c r="K22" s="982"/>
      <c r="L22" s="676" t="s">
        <v>56</v>
      </c>
      <c r="M22" s="939" t="s">
        <v>940</v>
      </c>
      <c r="N22" s="794"/>
      <c r="O22" s="1"/>
      <c r="P22" s="820" t="s">
        <v>828</v>
      </c>
      <c r="Q22" s="821"/>
      <c r="R22" s="815"/>
    </row>
    <row r="23" ht="15.75" customHeight="1">
      <c r="A23" s="1"/>
      <c r="B23" s="676" t="s">
        <v>70</v>
      </c>
      <c r="C23" s="984" t="s">
        <v>867</v>
      </c>
      <c r="D23" s="984" t="s">
        <v>867</v>
      </c>
      <c r="E23" s="957" t="s">
        <v>963</v>
      </c>
      <c r="F23" s="980" t="s">
        <v>981</v>
      </c>
      <c r="G23" s="981"/>
      <c r="H23" s="839"/>
      <c r="I23" s="839"/>
      <c r="J23" s="839"/>
      <c r="K23" s="982"/>
      <c r="L23" s="676" t="s">
        <v>58</v>
      </c>
      <c r="M23" s="939"/>
      <c r="N23" s="794"/>
      <c r="O23" s="1"/>
      <c r="P23" s="824"/>
      <c r="Q23" s="825"/>
    </row>
    <row r="24" ht="15.75" customHeight="1">
      <c r="A24" s="1"/>
      <c r="B24" s="676" t="s">
        <v>88</v>
      </c>
      <c r="C24" s="985" t="s">
        <v>866</v>
      </c>
      <c r="D24" s="985" t="s">
        <v>866</v>
      </c>
      <c r="E24" s="946" t="s">
        <v>945</v>
      </c>
      <c r="F24" s="980" t="s">
        <v>981</v>
      </c>
      <c r="G24" s="981"/>
      <c r="H24" s="839"/>
      <c r="I24" s="839"/>
      <c r="J24" s="839"/>
      <c r="K24" s="982"/>
      <c r="L24" s="676" t="s">
        <v>65</v>
      </c>
      <c r="M24" s="939"/>
      <c r="N24" s="794"/>
      <c r="O24" s="1"/>
      <c r="P24" s="828"/>
      <c r="Q24" s="829"/>
    </row>
    <row r="25" ht="15.75" customHeight="1">
      <c r="A25" s="1"/>
      <c r="B25" s="676" t="s">
        <v>43</v>
      </c>
      <c r="C25" s="751" t="s">
        <v>865</v>
      </c>
      <c r="D25" s="676"/>
      <c r="E25" s="943" t="s">
        <v>947</v>
      </c>
      <c r="F25" s="980" t="s">
        <v>980</v>
      </c>
      <c r="G25" s="981"/>
      <c r="H25" s="839"/>
      <c r="I25" s="839"/>
      <c r="J25" s="839"/>
      <c r="K25" s="982"/>
      <c r="L25" s="622" t="s">
        <v>40</v>
      </c>
      <c r="M25" s="939"/>
      <c r="N25" s="794"/>
      <c r="O25" s="1"/>
      <c r="P25" s="828"/>
      <c r="Q25" s="829"/>
    </row>
    <row r="26" ht="15.75" customHeight="1">
      <c r="A26" s="1"/>
      <c r="B26" s="676" t="s">
        <v>959</v>
      </c>
      <c r="C26" s="986" t="s">
        <v>867</v>
      </c>
      <c r="D26" s="676"/>
      <c r="E26" s="663" t="s">
        <v>955</v>
      </c>
      <c r="F26" s="980" t="s">
        <v>978</v>
      </c>
      <c r="G26" s="987"/>
      <c r="H26" s="839"/>
      <c r="I26" s="839"/>
      <c r="J26" s="839"/>
      <c r="K26" s="982"/>
      <c r="L26" s="676" t="s">
        <v>982</v>
      </c>
      <c r="M26" s="939"/>
      <c r="N26" s="794"/>
      <c r="O26" s="1"/>
      <c r="P26" s="832"/>
      <c r="Q26" s="825"/>
    </row>
    <row r="27" ht="15.75" customHeight="1">
      <c r="A27" s="1"/>
      <c r="B27" s="622" t="s">
        <v>862</v>
      </c>
      <c r="C27" s="985" t="s">
        <v>866</v>
      </c>
      <c r="D27" s="985" t="s">
        <v>963</v>
      </c>
      <c r="E27" s="942" t="s">
        <v>962</v>
      </c>
      <c r="F27" s="980" t="s">
        <v>978</v>
      </c>
      <c r="G27" s="981"/>
      <c r="H27" s="839"/>
      <c r="I27" s="839"/>
      <c r="J27" s="839"/>
      <c r="K27" s="982"/>
      <c r="L27" s="676" t="s">
        <v>83</v>
      </c>
      <c r="M27" s="973"/>
      <c r="N27" s="974"/>
      <c r="O27" s="1"/>
    </row>
    <row r="28" ht="15.75" customHeight="1">
      <c r="A28" s="1"/>
      <c r="B28" s="676" t="s">
        <v>966</v>
      </c>
      <c r="C28" s="988" t="s">
        <v>879</v>
      </c>
      <c r="D28" s="988" t="s">
        <v>943</v>
      </c>
      <c r="E28" s="955" t="s">
        <v>879</v>
      </c>
      <c r="F28" s="980" t="s">
        <v>978</v>
      </c>
      <c r="G28" s="989"/>
      <c r="H28" s="839"/>
      <c r="I28" s="839"/>
      <c r="J28" s="839"/>
      <c r="K28" s="982"/>
      <c r="L28" s="622" t="s">
        <v>69</v>
      </c>
      <c r="M28" s="973"/>
      <c r="N28" s="974"/>
      <c r="O28" s="1"/>
    </row>
    <row r="29" ht="15.75" customHeight="1">
      <c r="A29" s="1"/>
      <c r="B29" s="676" t="s">
        <v>968</v>
      </c>
      <c r="C29" s="986" t="s">
        <v>867</v>
      </c>
      <c r="D29" s="676"/>
      <c r="E29" s="960" t="s">
        <v>972</v>
      </c>
      <c r="F29" s="990" t="s">
        <v>978</v>
      </c>
      <c r="G29" s="981"/>
      <c r="H29" s="839"/>
      <c r="I29" s="839"/>
      <c r="J29" s="839"/>
      <c r="K29" s="982"/>
      <c r="L29" s="622" t="s">
        <v>940</v>
      </c>
      <c r="M29" s="973"/>
      <c r="N29" s="974"/>
      <c r="O29" s="1"/>
    </row>
    <row r="30" ht="15.75" customHeight="1">
      <c r="A30" s="1"/>
      <c r="B30" s="676" t="s">
        <v>53</v>
      </c>
      <c r="C30" s="991" t="s">
        <v>865</v>
      </c>
      <c r="D30" s="992" t="s">
        <v>858</v>
      </c>
      <c r="E30" s="934" t="s">
        <v>858</v>
      </c>
      <c r="F30" s="990" t="s">
        <v>978</v>
      </c>
      <c r="G30" s="981"/>
      <c r="H30" s="839"/>
      <c r="I30" s="839"/>
      <c r="J30" s="839"/>
      <c r="K30" s="982"/>
      <c r="L30" s="622" t="s">
        <v>852</v>
      </c>
      <c r="M30" s="973"/>
      <c r="N30" s="974"/>
      <c r="O30" s="1"/>
    </row>
    <row r="31" ht="15.75" customHeight="1">
      <c r="A31" s="1"/>
      <c r="B31" s="676" t="s">
        <v>973</v>
      </c>
      <c r="C31" s="988" t="s">
        <v>879</v>
      </c>
      <c r="D31" s="676"/>
      <c r="F31" s="980" t="s">
        <v>980</v>
      </c>
      <c r="G31" s="981"/>
      <c r="H31" s="839"/>
      <c r="I31" s="839"/>
      <c r="J31" s="839"/>
      <c r="K31" s="982"/>
      <c r="L31" s="622" t="s">
        <v>809</v>
      </c>
      <c r="M31" s="973"/>
      <c r="N31" s="974"/>
      <c r="O31" s="1"/>
    </row>
    <row r="32" ht="15.75" customHeight="1">
      <c r="A32" s="1"/>
      <c r="B32" s="676" t="s">
        <v>62</v>
      </c>
      <c r="C32" s="985" t="s">
        <v>866</v>
      </c>
      <c r="D32" s="985" t="s">
        <v>866</v>
      </c>
      <c r="E32" s="943" t="s">
        <v>866</v>
      </c>
      <c r="F32" s="980" t="s">
        <v>980</v>
      </c>
      <c r="G32" s="981"/>
      <c r="H32" s="839"/>
      <c r="I32" s="839"/>
      <c r="J32" s="839"/>
      <c r="K32" s="982"/>
      <c r="L32" s="622" t="s">
        <v>864</v>
      </c>
      <c r="M32" s="973"/>
      <c r="N32" s="974"/>
      <c r="O32" s="1"/>
    </row>
    <row r="33" ht="15.75" customHeight="1">
      <c r="A33" s="1"/>
      <c r="B33" s="622" t="s">
        <v>810</v>
      </c>
      <c r="C33" s="751" t="s">
        <v>865</v>
      </c>
      <c r="D33" s="676"/>
      <c r="E33" s="944" t="s">
        <v>858</v>
      </c>
      <c r="F33" s="990" t="s">
        <v>980</v>
      </c>
      <c r="G33" s="981"/>
      <c r="H33" s="839"/>
      <c r="I33" s="839"/>
      <c r="J33" s="839"/>
      <c r="K33" s="982"/>
      <c r="L33" s="993"/>
      <c r="M33" s="973"/>
      <c r="N33" s="974"/>
      <c r="O33" s="1"/>
    </row>
    <row r="34" ht="15.75" customHeight="1">
      <c r="A34" s="1"/>
      <c r="B34" s="676" t="s">
        <v>969</v>
      </c>
      <c r="C34" s="988" t="s">
        <v>879</v>
      </c>
      <c r="D34" s="676"/>
      <c r="E34" s="961" t="s">
        <v>972</v>
      </c>
      <c r="F34" s="980" t="s">
        <v>983</v>
      </c>
      <c r="G34" s="987"/>
      <c r="H34" s="839"/>
      <c r="I34" s="839"/>
      <c r="J34" s="839"/>
      <c r="K34" s="982"/>
      <c r="L34" s="993"/>
      <c r="M34" s="973"/>
      <c r="N34" s="974"/>
      <c r="O34" s="1"/>
    </row>
    <row r="35" ht="15.75" customHeight="1">
      <c r="A35" s="1"/>
      <c r="B35" s="622" t="s">
        <v>953</v>
      </c>
      <c r="C35" s="991" t="s">
        <v>865</v>
      </c>
      <c r="D35" s="676"/>
      <c r="E35" s="937" t="s">
        <v>942</v>
      </c>
      <c r="F35" s="980" t="s">
        <v>983</v>
      </c>
      <c r="G35" s="981"/>
      <c r="H35" s="839"/>
      <c r="I35" s="839"/>
      <c r="J35" s="839"/>
      <c r="K35" s="982"/>
      <c r="L35" s="993"/>
      <c r="M35" s="973"/>
      <c r="N35" s="974"/>
      <c r="O35" s="1"/>
    </row>
    <row r="36" ht="15.75" customHeight="1">
      <c r="A36" s="1"/>
      <c r="B36" s="676" t="s">
        <v>77</v>
      </c>
      <c r="C36" s="994" t="s">
        <v>866</v>
      </c>
      <c r="D36" s="676"/>
      <c r="E36" s="947" t="s">
        <v>962</v>
      </c>
      <c r="F36" s="980" t="s">
        <v>980</v>
      </c>
      <c r="G36" s="981"/>
      <c r="H36" s="839"/>
      <c r="I36" s="839"/>
      <c r="J36" s="839"/>
      <c r="K36" s="982"/>
      <c r="L36" s="993"/>
      <c r="M36" s="973"/>
      <c r="N36" s="974"/>
      <c r="O36" s="1"/>
    </row>
    <row r="37" ht="15.75" customHeight="1">
      <c r="A37" s="1"/>
      <c r="B37" s="622" t="s">
        <v>55</v>
      </c>
      <c r="C37" s="992" t="s">
        <v>858</v>
      </c>
      <c r="D37" s="676"/>
      <c r="E37" s="941" t="s">
        <v>954</v>
      </c>
      <c r="F37" s="980" t="s">
        <v>978</v>
      </c>
      <c r="G37" s="981"/>
      <c r="H37" s="839"/>
      <c r="I37" s="839"/>
      <c r="J37" s="839"/>
      <c r="K37" s="982"/>
      <c r="L37" s="993"/>
      <c r="M37" s="973"/>
      <c r="N37" s="974"/>
      <c r="O37" s="1"/>
    </row>
    <row r="38" ht="15.75" customHeight="1">
      <c r="A38" s="1"/>
      <c r="B38" s="676" t="s">
        <v>863</v>
      </c>
      <c r="C38" s="986" t="s">
        <v>867</v>
      </c>
      <c r="D38" s="676"/>
      <c r="E38" s="956" t="s">
        <v>944</v>
      </c>
      <c r="F38" s="980" t="s">
        <v>978</v>
      </c>
      <c r="G38" s="981"/>
      <c r="H38" s="839"/>
      <c r="I38" s="839"/>
      <c r="J38" s="839"/>
      <c r="K38" s="982"/>
      <c r="L38" s="993"/>
      <c r="M38" s="973"/>
      <c r="N38" s="974"/>
      <c r="O38" s="1"/>
    </row>
    <row r="39" ht="15.75" customHeight="1">
      <c r="A39" s="1"/>
      <c r="B39" s="676" t="s">
        <v>960</v>
      </c>
      <c r="C39" s="994" t="s">
        <v>866</v>
      </c>
      <c r="D39" s="988" t="s">
        <v>945</v>
      </c>
      <c r="E39" s="946" t="s">
        <v>943</v>
      </c>
      <c r="F39" s="980" t="s">
        <v>980</v>
      </c>
      <c r="G39" s="981"/>
      <c r="H39" s="839"/>
      <c r="I39" s="839"/>
      <c r="J39" s="839"/>
      <c r="K39" s="982"/>
      <c r="L39" s="993"/>
      <c r="M39" s="973"/>
      <c r="N39" s="974"/>
      <c r="O39" s="1"/>
    </row>
    <row r="40" ht="15.75" customHeight="1">
      <c r="A40" s="1"/>
      <c r="B40" s="676" t="s">
        <v>970</v>
      </c>
      <c r="C40" s="995" t="s">
        <v>872</v>
      </c>
      <c r="D40" s="676"/>
      <c r="E40" s="962" t="s">
        <v>879</v>
      </c>
      <c r="F40" s="980" t="s">
        <v>983</v>
      </c>
      <c r="G40" s="987"/>
      <c r="H40" s="839"/>
      <c r="I40" s="839"/>
      <c r="J40" s="839"/>
      <c r="K40" s="982"/>
      <c r="L40" s="993"/>
      <c r="M40" s="973"/>
      <c r="N40" s="974"/>
      <c r="O40" s="1"/>
    </row>
    <row r="41" ht="15.75" customHeight="1">
      <c r="A41" s="1"/>
      <c r="B41" s="622" t="s">
        <v>967</v>
      </c>
      <c r="C41" s="995" t="s">
        <v>872</v>
      </c>
      <c r="D41" s="676"/>
      <c r="E41" s="958" t="s">
        <v>971</v>
      </c>
      <c r="F41" s="980" t="s">
        <v>983</v>
      </c>
      <c r="G41" s="981"/>
      <c r="H41" s="839"/>
      <c r="I41" s="839"/>
      <c r="J41" s="839"/>
      <c r="K41" s="982"/>
      <c r="L41" s="993"/>
      <c r="M41" s="973"/>
      <c r="N41" s="974"/>
      <c r="O41" s="1"/>
    </row>
    <row r="42" ht="15.75" customHeight="1">
      <c r="A42" s="1"/>
      <c r="B42" s="676" t="s">
        <v>52</v>
      </c>
      <c r="C42" s="992" t="s">
        <v>858</v>
      </c>
      <c r="D42" s="992" t="s">
        <v>949</v>
      </c>
      <c r="E42" s="933" t="s">
        <v>859</v>
      </c>
      <c r="F42" s="980" t="s">
        <v>980</v>
      </c>
      <c r="G42" s="981"/>
      <c r="H42" s="839"/>
      <c r="I42" s="839"/>
      <c r="J42" s="839"/>
      <c r="K42" s="982"/>
      <c r="L42" s="993"/>
      <c r="M42" s="973"/>
      <c r="N42" s="974"/>
      <c r="O42" s="1"/>
      <c r="P42" s="842"/>
    </row>
    <row r="43" ht="15.75" customHeight="1">
      <c r="A43" s="1"/>
      <c r="B43" s="676" t="s">
        <v>961</v>
      </c>
      <c r="C43" s="985" t="s">
        <v>866</v>
      </c>
      <c r="D43" s="985" t="s">
        <v>947</v>
      </c>
      <c r="E43" s="943" t="s">
        <v>963</v>
      </c>
      <c r="F43" s="980" t="s">
        <v>983</v>
      </c>
      <c r="G43" s="987"/>
      <c r="H43" s="839"/>
      <c r="I43" s="839"/>
      <c r="J43" s="839"/>
      <c r="K43" s="982"/>
      <c r="L43" s="993"/>
      <c r="M43" s="973"/>
      <c r="N43" s="974"/>
      <c r="O43" s="1"/>
    </row>
    <row r="44" ht="15.75" customHeight="1">
      <c r="A44" s="1"/>
      <c r="B44" s="676" t="s">
        <v>92</v>
      </c>
      <c r="C44" s="985" t="s">
        <v>866</v>
      </c>
      <c r="D44" s="986" t="s">
        <v>962</v>
      </c>
      <c r="E44" s="945" t="s">
        <v>866</v>
      </c>
      <c r="F44" s="980" t="s">
        <v>980</v>
      </c>
      <c r="G44" s="981"/>
      <c r="H44" s="839"/>
      <c r="I44" s="839"/>
      <c r="J44" s="839"/>
      <c r="K44" s="982"/>
      <c r="L44" s="993"/>
      <c r="M44" s="973"/>
      <c r="N44" s="974"/>
      <c r="O44" s="1"/>
    </row>
    <row r="45" ht="15.75" customHeight="1">
      <c r="A45" s="1"/>
      <c r="B45" s="676" t="s">
        <v>41</v>
      </c>
      <c r="C45" s="979" t="s">
        <v>859</v>
      </c>
      <c r="D45" s="979" t="s">
        <v>859</v>
      </c>
      <c r="E45" s="932" t="s">
        <v>865</v>
      </c>
      <c r="F45" s="980" t="s">
        <v>983</v>
      </c>
      <c r="G45" s="981"/>
      <c r="H45" s="839"/>
      <c r="I45" s="839"/>
      <c r="J45" s="839"/>
      <c r="K45" s="982"/>
      <c r="L45" s="993"/>
      <c r="M45" s="973"/>
      <c r="N45" s="974"/>
      <c r="O45" s="1"/>
    </row>
    <row r="46" ht="15.75" customHeight="1">
      <c r="A46" s="1"/>
      <c r="B46" s="676" t="s">
        <v>964</v>
      </c>
      <c r="C46" s="985" t="s">
        <v>866</v>
      </c>
      <c r="D46" s="985" t="s">
        <v>963</v>
      </c>
      <c r="E46" s="946" t="s">
        <v>879</v>
      </c>
      <c r="F46" s="980" t="s">
        <v>978</v>
      </c>
      <c r="G46" s="981"/>
      <c r="H46" s="839"/>
      <c r="I46" s="839"/>
      <c r="J46" s="839"/>
      <c r="K46" s="982"/>
      <c r="L46" s="993"/>
      <c r="M46" s="973"/>
      <c r="N46" s="974"/>
      <c r="O46" s="1"/>
    </row>
    <row r="47" ht="15.75" customHeight="1">
      <c r="A47" s="1"/>
      <c r="B47" s="622" t="s">
        <v>957</v>
      </c>
      <c r="C47" s="751" t="s">
        <v>865</v>
      </c>
      <c r="D47" s="751" t="s">
        <v>956</v>
      </c>
      <c r="E47" s="939" t="s">
        <v>956</v>
      </c>
      <c r="F47" s="980" t="s">
        <v>978</v>
      </c>
      <c r="G47" s="987"/>
      <c r="H47" s="839"/>
      <c r="I47" s="839"/>
      <c r="J47" s="839"/>
      <c r="K47" s="982"/>
      <c r="L47" s="993"/>
      <c r="M47" s="973"/>
      <c r="N47" s="974"/>
      <c r="O47" s="1"/>
    </row>
    <row r="48" ht="15.75" customHeight="1">
      <c r="A48" s="1"/>
      <c r="B48" s="676" t="s">
        <v>974</v>
      </c>
      <c r="C48" s="988" t="s">
        <v>879</v>
      </c>
      <c r="D48" s="959" t="s">
        <v>972</v>
      </c>
      <c r="F48" s="980" t="s">
        <v>984</v>
      </c>
      <c r="G48" s="981"/>
      <c r="H48" s="839"/>
      <c r="I48" s="839"/>
      <c r="J48" s="839"/>
      <c r="K48" s="982"/>
      <c r="L48" s="993"/>
      <c r="M48" s="973"/>
      <c r="N48" s="974"/>
      <c r="O48" s="1"/>
    </row>
    <row r="49" ht="15.75" customHeight="1">
      <c r="A49" s="1"/>
      <c r="B49" s="676" t="s">
        <v>951</v>
      </c>
      <c r="C49" s="996" t="s">
        <v>858</v>
      </c>
      <c r="D49" s="676"/>
      <c r="E49" s="933" t="s">
        <v>859</v>
      </c>
      <c r="F49" s="980" t="s">
        <v>978</v>
      </c>
      <c r="G49" s="981"/>
      <c r="H49" s="839"/>
      <c r="I49" s="839"/>
      <c r="J49" s="839"/>
      <c r="K49" s="982"/>
      <c r="L49" s="993"/>
      <c r="M49" s="973"/>
      <c r="N49" s="974"/>
      <c r="O49" s="1"/>
    </row>
    <row r="50" ht="15.75" customHeight="1">
      <c r="A50" s="1"/>
      <c r="B50" s="676" t="s">
        <v>965</v>
      </c>
      <c r="C50" s="985" t="s">
        <v>866</v>
      </c>
      <c r="D50" s="676"/>
      <c r="E50" s="954" t="s">
        <v>962</v>
      </c>
      <c r="F50" s="980" t="s">
        <v>981</v>
      </c>
      <c r="G50" s="987"/>
      <c r="H50" s="839"/>
      <c r="I50" s="839"/>
      <c r="J50" s="839"/>
      <c r="K50" s="982"/>
      <c r="L50" s="993"/>
      <c r="M50" s="973"/>
      <c r="N50" s="974"/>
      <c r="O50" s="1"/>
    </row>
    <row r="51" ht="15.75" customHeight="1">
      <c r="A51" s="1"/>
      <c r="B51" s="622" t="s">
        <v>812</v>
      </c>
      <c r="C51" s="992" t="s">
        <v>858</v>
      </c>
      <c r="D51" s="676"/>
      <c r="E51" s="935" t="s">
        <v>949</v>
      </c>
      <c r="F51" s="980" t="s">
        <v>980</v>
      </c>
      <c r="G51" s="981"/>
      <c r="H51" s="839"/>
      <c r="I51" s="839"/>
      <c r="J51" s="839"/>
      <c r="K51" s="982"/>
      <c r="L51" s="993"/>
      <c r="M51" s="973"/>
      <c r="N51" s="974"/>
      <c r="O51" s="1"/>
    </row>
    <row r="52" ht="15.75" customHeight="1">
      <c r="A52" s="1"/>
      <c r="B52" s="676" t="s">
        <v>42</v>
      </c>
      <c r="C52" s="992" t="s">
        <v>858</v>
      </c>
      <c r="D52" s="992" t="s">
        <v>949</v>
      </c>
      <c r="E52" s="934" t="s">
        <v>955</v>
      </c>
      <c r="F52" s="980" t="s">
        <v>978</v>
      </c>
      <c r="G52" s="981"/>
      <c r="H52" s="839"/>
      <c r="I52" s="839"/>
      <c r="J52" s="839"/>
      <c r="K52" s="982"/>
      <c r="L52" s="993"/>
      <c r="M52" s="973"/>
      <c r="N52" s="974"/>
      <c r="O52" s="1"/>
    </row>
    <row r="53" ht="15.75" customHeight="1">
      <c r="A53" s="1"/>
      <c r="B53" s="676" t="s">
        <v>952</v>
      </c>
      <c r="C53" s="991" t="s">
        <v>865</v>
      </c>
      <c r="D53" s="995"/>
      <c r="E53" s="936" t="s">
        <v>956</v>
      </c>
      <c r="F53" s="980" t="s">
        <v>978</v>
      </c>
      <c r="G53" s="981"/>
      <c r="H53" s="839"/>
      <c r="I53" s="839"/>
      <c r="J53" s="839"/>
      <c r="K53" s="982"/>
      <c r="L53" s="993"/>
      <c r="M53" s="973"/>
      <c r="N53" s="974"/>
      <c r="O53" s="1"/>
    </row>
    <row r="54" ht="15.75" customHeight="1">
      <c r="A54" s="1"/>
      <c r="B54" s="676" t="s">
        <v>811</v>
      </c>
      <c r="C54" s="992" t="s">
        <v>858</v>
      </c>
      <c r="D54" s="676"/>
      <c r="E54" s="934" t="s">
        <v>858</v>
      </c>
      <c r="F54" s="990" t="s">
        <v>978</v>
      </c>
      <c r="G54" s="981"/>
      <c r="H54" s="839"/>
      <c r="I54" s="839"/>
      <c r="J54" s="839"/>
      <c r="K54" s="982"/>
      <c r="L54" s="993"/>
      <c r="M54" s="973"/>
      <c r="N54" s="974"/>
      <c r="O54" s="1"/>
    </row>
    <row r="55" ht="15.75" customHeight="1">
      <c r="A55" s="1"/>
      <c r="B55" s="676" t="s">
        <v>87</v>
      </c>
      <c r="C55" s="992" t="s">
        <v>858</v>
      </c>
      <c r="D55" s="992" t="s">
        <v>955</v>
      </c>
      <c r="E55" s="933" t="s">
        <v>954</v>
      </c>
      <c r="F55" s="980" t="s">
        <v>978</v>
      </c>
      <c r="G55" s="981"/>
      <c r="H55" s="839"/>
      <c r="I55" s="839"/>
      <c r="J55" s="839"/>
      <c r="K55" s="982"/>
      <c r="L55" s="993"/>
      <c r="M55" s="973"/>
      <c r="N55" s="974"/>
      <c r="O55" s="1"/>
    </row>
    <row r="56" ht="15.75" customHeight="1">
      <c r="A56" s="1"/>
      <c r="B56" s="676" t="s">
        <v>50</v>
      </c>
      <c r="C56" s="986" t="s">
        <v>867</v>
      </c>
      <c r="D56" s="676"/>
      <c r="E56" s="959" t="s">
        <v>971</v>
      </c>
      <c r="F56" s="980" t="s">
        <v>978</v>
      </c>
      <c r="G56" s="981"/>
      <c r="H56" s="839"/>
      <c r="I56" s="839"/>
      <c r="J56" s="839"/>
      <c r="K56" s="982"/>
      <c r="L56" s="993"/>
      <c r="M56" s="973"/>
      <c r="N56" s="974"/>
      <c r="O56" s="1"/>
    </row>
    <row r="57" ht="16.5" customHeight="1">
      <c r="A57" s="1"/>
      <c r="B57" s="676" t="s">
        <v>819</v>
      </c>
      <c r="C57" s="751" t="s">
        <v>865</v>
      </c>
      <c r="D57" s="751" t="s">
        <v>956</v>
      </c>
      <c r="E57" s="942" t="s">
        <v>867</v>
      </c>
      <c r="F57" s="980" t="s">
        <v>980</v>
      </c>
      <c r="G57" s="981"/>
      <c r="H57" s="839"/>
      <c r="I57" s="839"/>
      <c r="J57" s="839"/>
      <c r="K57" s="982"/>
      <c r="L57" s="993"/>
      <c r="M57" s="973"/>
      <c r="N57" s="974"/>
      <c r="O57" s="1"/>
      <c r="P57" s="1"/>
      <c r="Q57" s="1"/>
      <c r="R57" s="1"/>
      <c r="S57" s="1"/>
    </row>
    <row r="58" ht="15.75" customHeight="1">
      <c r="A58" s="1"/>
      <c r="B58" s="676" t="s">
        <v>958</v>
      </c>
      <c r="C58" s="992" t="s">
        <v>858</v>
      </c>
      <c r="D58" s="992" t="s">
        <v>858</v>
      </c>
      <c r="E58" s="939" t="s">
        <v>946</v>
      </c>
      <c r="F58" s="980" t="s">
        <v>978</v>
      </c>
      <c r="G58" s="981"/>
      <c r="H58" s="839"/>
      <c r="I58" s="839"/>
      <c r="J58" s="839"/>
      <c r="K58" s="982"/>
      <c r="L58" s="993"/>
      <c r="M58" s="973"/>
      <c r="N58" s="974"/>
      <c r="O58" s="1"/>
    </row>
    <row r="59" ht="15.75" customHeight="1">
      <c r="A59" s="1"/>
      <c r="B59" s="676" t="s">
        <v>71</v>
      </c>
      <c r="C59" s="985" t="s">
        <v>866</v>
      </c>
      <c r="D59" s="997" t="s">
        <v>972</v>
      </c>
      <c r="E59" s="967" t="s">
        <v>972</v>
      </c>
      <c r="F59" s="980" t="s">
        <v>980</v>
      </c>
      <c r="G59" s="981"/>
      <c r="H59" s="839"/>
      <c r="I59" s="839"/>
      <c r="J59" s="839"/>
      <c r="K59" s="982"/>
      <c r="L59" s="993"/>
      <c r="M59" s="973"/>
      <c r="N59" s="974"/>
      <c r="O59" s="1"/>
    </row>
    <row r="60" ht="16.5" customHeight="1">
      <c r="A60" s="1"/>
      <c r="B60" s="998"/>
      <c r="C60" s="998"/>
      <c r="D60" s="998"/>
      <c r="E60" s="998"/>
      <c r="F60" s="987"/>
      <c r="G60" s="839"/>
      <c r="H60" s="839"/>
      <c r="I60" s="839"/>
      <c r="J60" s="839"/>
      <c r="K60" s="982"/>
      <c r="L60" s="993"/>
      <c r="M60" s="973"/>
      <c r="N60" s="974"/>
      <c r="O60" s="1"/>
    </row>
    <row r="61" ht="15.75" customHeight="1">
      <c r="A61" s="1"/>
      <c r="B61" s="980"/>
      <c r="C61" s="980"/>
      <c r="D61" s="980"/>
      <c r="E61" s="980"/>
      <c r="F61" s="987"/>
      <c r="G61" s="839"/>
      <c r="H61" s="839"/>
      <c r="I61" s="839"/>
      <c r="J61" s="839"/>
      <c r="K61" s="982"/>
      <c r="L61" s="993"/>
      <c r="M61" s="973"/>
      <c r="N61" s="974"/>
      <c r="O61" s="1"/>
    </row>
    <row r="62" ht="15.75" customHeight="1">
      <c r="A62" s="1"/>
      <c r="B62" s="999"/>
      <c r="C62" s="1000"/>
      <c r="D62" s="41"/>
      <c r="E62" s="41"/>
      <c r="F62" s="1001"/>
      <c r="G62" s="41"/>
      <c r="K62" s="829"/>
      <c r="L62" s="1002"/>
      <c r="M62" s="1"/>
      <c r="N62" s="1"/>
      <c r="O62" s="1"/>
    </row>
    <row r="63" ht="15.75" customHeight="1">
      <c r="A63" s="1"/>
      <c r="B63" s="1003"/>
      <c r="D63" s="1004"/>
      <c r="E63" s="1004"/>
      <c r="F63" s="1005"/>
      <c r="G63" s="1004"/>
      <c r="K63" s="829"/>
      <c r="O63" s="1"/>
    </row>
    <row r="64" ht="15.75" customHeight="1">
      <c r="A64" s="1"/>
      <c r="B64" s="1006"/>
      <c r="D64" s="1007"/>
      <c r="E64" s="1007"/>
      <c r="F64" s="1008"/>
      <c r="G64" s="1004"/>
      <c r="K64" s="829"/>
      <c r="O64" s="1"/>
    </row>
    <row r="65" ht="15.75" customHeight="1">
      <c r="A65" s="1"/>
      <c r="B65" s="1006"/>
      <c r="D65" s="1007"/>
      <c r="E65" s="1007"/>
      <c r="F65" s="1008"/>
      <c r="G65" s="1004"/>
      <c r="K65" s="829"/>
      <c r="O65" s="1"/>
    </row>
    <row r="66" ht="15.75" customHeight="1">
      <c r="A66" s="1"/>
      <c r="B66" s="1006"/>
      <c r="D66" s="1007"/>
      <c r="E66" s="1007"/>
      <c r="F66" s="1008"/>
      <c r="G66" s="1004"/>
      <c r="K66" s="829"/>
      <c r="O66" s="1"/>
    </row>
    <row r="67" ht="15.75" customHeight="1">
      <c r="A67" s="1"/>
      <c r="B67" s="1006"/>
      <c r="D67" s="1007"/>
      <c r="E67" s="1007"/>
      <c r="F67" s="1008"/>
      <c r="G67" s="1004"/>
      <c r="K67" s="829"/>
      <c r="O67" s="1"/>
    </row>
    <row r="68" ht="15.75" customHeight="1">
      <c r="A68" s="1"/>
      <c r="B68" s="1006"/>
      <c r="D68" s="1007"/>
      <c r="E68" s="1007"/>
      <c r="F68" s="1008"/>
      <c r="G68" s="1004"/>
      <c r="K68" s="829"/>
      <c r="O68" s="1"/>
    </row>
    <row r="69" ht="15.75" customHeight="1">
      <c r="A69" s="1"/>
      <c r="B69" s="1006"/>
      <c r="D69" s="1007"/>
      <c r="E69" s="1007"/>
      <c r="F69" s="1008"/>
      <c r="G69" s="1004"/>
      <c r="K69" s="829"/>
      <c r="O69" s="1"/>
    </row>
    <row r="70" ht="15.75" customHeight="1">
      <c r="A70" s="1"/>
      <c r="B70" s="1006"/>
      <c r="D70" s="1007"/>
      <c r="E70" s="1007"/>
      <c r="F70" s="1008"/>
      <c r="G70" s="1004"/>
      <c r="K70" s="829"/>
      <c r="O70" s="1"/>
    </row>
    <row r="71" ht="15.75" customHeight="1">
      <c r="A71" s="1"/>
      <c r="B71" s="1006"/>
      <c r="D71" s="1007"/>
      <c r="E71" s="1007"/>
      <c r="F71" s="1008"/>
      <c r="G71" s="1004"/>
      <c r="K71" s="829"/>
      <c r="O71" s="1"/>
    </row>
    <row r="72" ht="15.75" customHeight="1">
      <c r="A72" s="1"/>
      <c r="B72" s="1006"/>
      <c r="D72" s="1007"/>
      <c r="E72" s="1007"/>
      <c r="F72" s="1008"/>
      <c r="G72" s="1004"/>
      <c r="K72" s="829"/>
      <c r="O72" s="1"/>
    </row>
    <row r="73" ht="15.75" customHeight="1">
      <c r="A73" s="1"/>
      <c r="B73" s="1006"/>
      <c r="D73" s="1007"/>
      <c r="E73" s="1007"/>
      <c r="F73" s="1008"/>
      <c r="G73" s="1007"/>
      <c r="O73" s="1"/>
    </row>
    <row r="74" ht="15.75" customHeight="1">
      <c r="A74" s="1"/>
      <c r="B74" s="1006"/>
      <c r="D74" s="1007"/>
      <c r="E74" s="1007"/>
      <c r="F74" s="1008"/>
      <c r="G74" s="1007"/>
      <c r="O74" s="1"/>
    </row>
    <row r="75" ht="15.75" customHeight="1">
      <c r="A75" s="1"/>
      <c r="B75" s="1006"/>
      <c r="O75" s="1"/>
    </row>
    <row r="76" ht="15.75" customHeight="1">
      <c r="A76" s="1"/>
      <c r="B76" s="1006"/>
      <c r="O76" s="1"/>
    </row>
    <row r="77" ht="15.75" customHeight="1">
      <c r="A77" s="1"/>
      <c r="B77" s="1006"/>
      <c r="O77" s="1"/>
    </row>
    <row r="78" ht="15.75" customHeight="1">
      <c r="A78" s="1"/>
      <c r="B78" s="1006"/>
      <c r="O78" s="1"/>
    </row>
    <row r="79" ht="15.75" customHeight="1">
      <c r="A79" s="1"/>
      <c r="B79" s="1006"/>
      <c r="O79" s="1"/>
    </row>
    <row r="80" ht="15.75" customHeight="1">
      <c r="A80" s="1"/>
      <c r="B80" s="1006"/>
      <c r="O80" s="1"/>
    </row>
    <row r="81" ht="15.75" customHeight="1">
      <c r="A81" s="1"/>
      <c r="B81" s="1006"/>
      <c r="O81" s="1"/>
    </row>
    <row r="82" ht="15.75" customHeight="1">
      <c r="A82" s="1"/>
      <c r="B82" s="1006"/>
      <c r="O82" s="1"/>
    </row>
    <row r="83" ht="15.75" customHeight="1">
      <c r="A83" s="1"/>
      <c r="B83" s="1006"/>
      <c r="O83" s="1"/>
    </row>
    <row r="84" ht="15.75" customHeight="1">
      <c r="A84" s="1"/>
      <c r="B84" s="1006"/>
      <c r="O84" s="1"/>
    </row>
    <row r="85" ht="15.75" customHeight="1">
      <c r="A85" s="1"/>
      <c r="B85" s="1006"/>
      <c r="O85" s="1"/>
    </row>
    <row r="86" ht="15.75" customHeight="1">
      <c r="A86" s="1"/>
      <c r="B86" s="1006"/>
      <c r="O86" s="1"/>
    </row>
    <row r="87" ht="15.75" customHeight="1">
      <c r="A87" s="1"/>
      <c r="B87" s="1006"/>
      <c r="O87" s="1"/>
    </row>
    <row r="88" ht="15.75" customHeight="1">
      <c r="A88" s="1"/>
      <c r="B88" s="1006"/>
      <c r="O88" s="1"/>
    </row>
    <row r="89" ht="15.75" customHeight="1">
      <c r="A89" s="1"/>
      <c r="B89" s="1006"/>
      <c r="O89" s="1"/>
    </row>
    <row r="90" ht="15.75" customHeight="1">
      <c r="A90" s="1"/>
      <c r="B90" s="1006"/>
      <c r="O90" s="1"/>
    </row>
    <row r="91" ht="15.75" customHeight="1">
      <c r="A91" s="1"/>
      <c r="B91" s="1006"/>
      <c r="O91" s="1"/>
    </row>
    <row r="92" ht="15.75" customHeight="1">
      <c r="A92" s="1"/>
      <c r="B92" s="1006"/>
      <c r="O92" s="1"/>
    </row>
    <row r="93" ht="15.75" customHeight="1">
      <c r="A93" s="1"/>
      <c r="O93" s="1"/>
    </row>
    <row r="94" ht="15.75" customHeight="1">
      <c r="A94" s="1"/>
      <c r="O94" s="1"/>
    </row>
    <row r="95" ht="15.75" customHeight="1">
      <c r="A95" s="1"/>
      <c r="O95" s="1"/>
    </row>
    <row r="96" ht="15.75" customHeight="1">
      <c r="A96" s="1"/>
      <c r="O96" s="1"/>
    </row>
    <row r="97" ht="15.75" customHeight="1">
      <c r="A97" s="1"/>
      <c r="O97" s="1"/>
    </row>
    <row r="98" ht="15.75" customHeight="1">
      <c r="A98" s="1"/>
      <c r="O98" s="1"/>
    </row>
    <row r="99" ht="15.75" customHeight="1">
      <c r="A99" s="1"/>
      <c r="O99" s="1"/>
    </row>
    <row r="100" ht="15.75" customHeight="1">
      <c r="A100" s="1"/>
      <c r="O100" s="1"/>
    </row>
    <row r="101" ht="15.75" customHeight="1">
      <c r="A101" s="1"/>
      <c r="O101" s="1"/>
    </row>
    <row r="102" ht="15.75" customHeight="1">
      <c r="A102" s="1"/>
      <c r="O102" s="1"/>
    </row>
    <row r="103" ht="15.75" customHeight="1">
      <c r="A103" s="1"/>
      <c r="O103" s="1"/>
    </row>
    <row r="104" ht="15.75" customHeight="1">
      <c r="A104" s="1"/>
      <c r="O104" s="1"/>
    </row>
    <row r="105" ht="15.75" customHeight="1">
      <c r="A105" s="1"/>
      <c r="O105" s="1"/>
    </row>
    <row r="106" ht="15.75" customHeight="1">
      <c r="A106" s="1"/>
      <c r="O106" s="1"/>
    </row>
    <row r="107" ht="15.75" customHeight="1">
      <c r="A107" s="1"/>
      <c r="O107" s="1"/>
    </row>
    <row r="108" ht="15.75" customHeight="1">
      <c r="A108" s="1"/>
      <c r="O108" s="1"/>
    </row>
    <row r="109" ht="15.75" customHeight="1">
      <c r="A109" s="1"/>
      <c r="O109" s="1"/>
    </row>
    <row r="110" ht="15.75" customHeight="1">
      <c r="A110" s="1"/>
      <c r="O110" s="1"/>
    </row>
    <row r="111" ht="15.75" customHeight="1">
      <c r="A111" s="1"/>
      <c r="O111" s="1"/>
    </row>
    <row r="112" ht="15.75" customHeight="1">
      <c r="A112" s="1"/>
      <c r="O112" s="1"/>
    </row>
    <row r="113" ht="15.75" customHeight="1">
      <c r="A113" s="1"/>
      <c r="O113" s="1"/>
    </row>
    <row r="114" ht="15.75" customHeight="1">
      <c r="A114" s="1"/>
      <c r="O114" s="1"/>
    </row>
    <row r="115" ht="15.75" customHeight="1">
      <c r="A115" s="1"/>
      <c r="O115" s="1"/>
    </row>
    <row r="116" ht="15.75" customHeight="1">
      <c r="A116" s="1"/>
      <c r="O116" s="1"/>
    </row>
    <row r="117" ht="15.75" customHeight="1">
      <c r="A117" s="1"/>
      <c r="O117" s="1"/>
    </row>
    <row r="118" ht="15.75" customHeight="1">
      <c r="A118" s="1"/>
      <c r="O118" s="1"/>
    </row>
    <row r="119" ht="15.75" customHeight="1">
      <c r="A119" s="1"/>
      <c r="O119" s="1"/>
    </row>
    <row r="120" ht="15.75" customHeight="1">
      <c r="A120" s="1"/>
      <c r="O120" s="1"/>
    </row>
    <row r="121" ht="15.75" customHeight="1">
      <c r="A121" s="1"/>
      <c r="O121" s="1"/>
    </row>
    <row r="122" ht="15.75" customHeight="1">
      <c r="A122" s="1"/>
      <c r="O122" s="1"/>
    </row>
    <row r="123" ht="15.75" customHeight="1">
      <c r="A123" s="1"/>
      <c r="O123" s="1"/>
    </row>
    <row r="124" ht="15.75" customHeight="1">
      <c r="A124" s="1"/>
      <c r="O124" s="1"/>
    </row>
    <row r="125" ht="15.75" customHeight="1">
      <c r="A125" s="1"/>
      <c r="O125" s="1"/>
    </row>
    <row r="126" ht="15.75" customHeight="1">
      <c r="A126" s="1"/>
      <c r="O126" s="1"/>
    </row>
    <row r="127" ht="15.75" customHeight="1">
      <c r="A127" s="1"/>
      <c r="O127" s="1"/>
    </row>
    <row r="128" ht="15.75" customHeight="1">
      <c r="A128" s="1"/>
      <c r="O128" s="1"/>
    </row>
    <row r="129" ht="15.75" customHeight="1">
      <c r="A129" s="1"/>
      <c r="O129" s="1"/>
    </row>
    <row r="130" ht="15.75" customHeight="1">
      <c r="A130" s="1"/>
      <c r="O130" s="1"/>
    </row>
    <row r="131" ht="15.75" customHeight="1">
      <c r="A131" s="1"/>
      <c r="O131" s="1"/>
    </row>
    <row r="132" ht="15.75" customHeight="1">
      <c r="A132" s="1"/>
      <c r="O132" s="1"/>
    </row>
    <row r="133" ht="15.75" customHeight="1">
      <c r="A133" s="1"/>
      <c r="O133" s="1"/>
    </row>
    <row r="134" ht="15.75" customHeight="1">
      <c r="A134" s="1"/>
      <c r="O134" s="1"/>
    </row>
    <row r="135" ht="15.75" customHeight="1">
      <c r="A135" s="1"/>
      <c r="O135" s="1"/>
    </row>
    <row r="136" ht="15.75" customHeight="1">
      <c r="A136" s="1"/>
      <c r="O136" s="1"/>
    </row>
    <row r="137" ht="15.75" customHeight="1">
      <c r="A137" s="1"/>
      <c r="O137" s="1"/>
    </row>
    <row r="138" ht="15.75" customHeight="1">
      <c r="A138" s="1"/>
      <c r="O138" s="1"/>
    </row>
    <row r="139" ht="15.75" customHeight="1">
      <c r="A139" s="1"/>
      <c r="O139" s="1"/>
    </row>
    <row r="140" ht="15.75" customHeight="1">
      <c r="A140" s="1"/>
      <c r="O140" s="1"/>
    </row>
    <row r="141" ht="15.75" customHeight="1">
      <c r="A141" s="1"/>
      <c r="O141" s="1"/>
    </row>
    <row r="142" ht="15.75" customHeight="1">
      <c r="A142" s="1"/>
      <c r="O142" s="1"/>
    </row>
    <row r="143" ht="15.75" customHeight="1">
      <c r="A143" s="1"/>
      <c r="O143" s="1"/>
    </row>
    <row r="144" ht="15.75" customHeight="1">
      <c r="A144" s="1"/>
      <c r="O144" s="1"/>
    </row>
    <row r="145" ht="15.75" customHeight="1">
      <c r="A145" s="1"/>
      <c r="O145" s="1"/>
    </row>
    <row r="146" ht="15.75" customHeight="1">
      <c r="A146" s="1"/>
      <c r="O146" s="1"/>
    </row>
    <row r="147" ht="15.75" customHeight="1">
      <c r="A147" s="1"/>
      <c r="O147" s="1"/>
    </row>
    <row r="148" ht="15.75" customHeight="1">
      <c r="A148" s="1"/>
      <c r="O148" s="1"/>
    </row>
    <row r="149" ht="15.75" customHeight="1">
      <c r="A149" s="1"/>
      <c r="O149" s="1"/>
    </row>
    <row r="150" ht="15.75" customHeight="1">
      <c r="A150" s="1"/>
      <c r="O150" s="1"/>
    </row>
    <row r="151" ht="15.75" customHeight="1">
      <c r="A151" s="1"/>
      <c r="O151" s="1"/>
    </row>
    <row r="152" ht="15.75" customHeight="1">
      <c r="A152" s="1"/>
      <c r="O152" s="1"/>
    </row>
    <row r="153" ht="15.75" customHeight="1">
      <c r="A153" s="1"/>
      <c r="O153" s="1"/>
    </row>
    <row r="154" ht="15.75" customHeight="1">
      <c r="A154" s="1"/>
      <c r="O154" s="1"/>
    </row>
    <row r="155" ht="15.75" customHeight="1">
      <c r="A155" s="1"/>
      <c r="O155" s="1"/>
    </row>
    <row r="156" ht="15.75" customHeight="1">
      <c r="A156" s="1"/>
      <c r="O156" s="1"/>
    </row>
    <row r="157" ht="15.75" customHeight="1">
      <c r="A157" s="1"/>
      <c r="O157" s="1"/>
    </row>
    <row r="158" ht="15.75" customHeight="1">
      <c r="A158" s="1"/>
      <c r="O158" s="1"/>
    </row>
    <row r="159" ht="15.75" customHeight="1">
      <c r="A159" s="1"/>
      <c r="O159" s="1"/>
    </row>
    <row r="160" ht="15.75" customHeight="1">
      <c r="A160" s="1"/>
      <c r="O160" s="1"/>
    </row>
    <row r="161" ht="15.75" customHeight="1">
      <c r="A161" s="1"/>
      <c r="O161" s="1"/>
    </row>
    <row r="162" ht="15.75" customHeight="1">
      <c r="A162" s="1"/>
      <c r="O162" s="1"/>
    </row>
    <row r="163" ht="15.75" customHeight="1">
      <c r="A163" s="1"/>
      <c r="O163" s="1"/>
    </row>
    <row r="164" ht="15.75" customHeight="1">
      <c r="A164" s="1"/>
      <c r="O164" s="1"/>
    </row>
    <row r="165" ht="15.75" customHeight="1">
      <c r="A165" s="1"/>
      <c r="O165" s="1"/>
    </row>
    <row r="166" ht="15.75" customHeight="1">
      <c r="A166" s="1"/>
      <c r="O166" s="1"/>
    </row>
    <row r="167" ht="15.75" customHeight="1">
      <c r="A167" s="1"/>
      <c r="O167" s="1"/>
    </row>
    <row r="168" ht="15.75" customHeight="1">
      <c r="A168" s="1"/>
      <c r="O168" s="1"/>
    </row>
    <row r="169" ht="15.75" customHeight="1">
      <c r="A169" s="1"/>
      <c r="O169" s="1"/>
    </row>
    <row r="170" ht="15.75" customHeight="1">
      <c r="A170" s="1"/>
      <c r="O170" s="1"/>
    </row>
    <row r="171" ht="15.75" customHeight="1">
      <c r="A171" s="1"/>
      <c r="O171" s="1"/>
    </row>
    <row r="172" ht="15.75" customHeight="1">
      <c r="A172" s="1"/>
      <c r="O172" s="1"/>
    </row>
    <row r="173" ht="15.75" customHeight="1">
      <c r="A173" s="1"/>
      <c r="O173" s="1"/>
    </row>
    <row r="174" ht="15.75" customHeight="1">
      <c r="A174" s="1"/>
      <c r="O174" s="1"/>
    </row>
    <row r="175" ht="15.75" customHeight="1">
      <c r="A175" s="1"/>
      <c r="O175" s="1"/>
    </row>
    <row r="176" ht="15.75" customHeight="1">
      <c r="A176" s="1"/>
      <c r="O176" s="1"/>
    </row>
    <row r="177" ht="15.75" customHeight="1">
      <c r="A177" s="1"/>
      <c r="O177" s="1"/>
    </row>
    <row r="178" ht="15.75" customHeight="1">
      <c r="A178" s="1"/>
      <c r="O178" s="1"/>
    </row>
    <row r="179" ht="15.75" customHeight="1">
      <c r="A179" s="1"/>
      <c r="O179" s="1"/>
    </row>
    <row r="180" ht="15.75" customHeight="1">
      <c r="A180" s="1"/>
      <c r="O180" s="1"/>
    </row>
    <row r="181" ht="15.75" customHeight="1">
      <c r="A181" s="1"/>
      <c r="O181" s="1"/>
    </row>
    <row r="182" ht="15.75" customHeight="1">
      <c r="A182" s="1"/>
      <c r="O182" s="1"/>
    </row>
    <row r="183" ht="15.75" customHeight="1">
      <c r="A183" s="1"/>
      <c r="O183" s="1"/>
    </row>
    <row r="184" ht="15.75" customHeight="1">
      <c r="A184" s="1"/>
      <c r="O184" s="1"/>
    </row>
    <row r="185" ht="15.75" customHeight="1">
      <c r="A185" s="1"/>
      <c r="O185" s="1"/>
    </row>
    <row r="186" ht="15.75" customHeight="1">
      <c r="A186" s="1"/>
      <c r="O186" s="1"/>
    </row>
    <row r="187" ht="15.75" customHeight="1">
      <c r="A187" s="1"/>
      <c r="O187" s="1"/>
    </row>
    <row r="188" ht="15.75" customHeight="1">
      <c r="A188" s="1"/>
      <c r="O188" s="1"/>
    </row>
    <row r="189" ht="15.75" customHeight="1">
      <c r="A189" s="1"/>
      <c r="O189" s="1"/>
    </row>
    <row r="190" ht="15.75" customHeight="1">
      <c r="A190" s="1"/>
      <c r="O190" s="1"/>
    </row>
    <row r="191" ht="15.75" customHeight="1">
      <c r="A191" s="1"/>
      <c r="O191" s="1"/>
    </row>
    <row r="192" ht="15.75" customHeight="1">
      <c r="A192" s="1"/>
      <c r="O192" s="1"/>
    </row>
    <row r="193" ht="15.75" customHeight="1">
      <c r="A193" s="1"/>
      <c r="O193" s="1"/>
    </row>
    <row r="194" ht="15.75" customHeight="1">
      <c r="A194" s="1"/>
      <c r="O194" s="1"/>
    </row>
    <row r="195" ht="15.75" customHeight="1">
      <c r="A195" s="1"/>
      <c r="O195" s="1"/>
    </row>
    <row r="196" ht="15.75" customHeight="1">
      <c r="A196" s="1"/>
      <c r="O196" s="1"/>
    </row>
    <row r="197" ht="15.75" customHeight="1">
      <c r="A197" s="1"/>
      <c r="O197" s="1"/>
    </row>
    <row r="198" ht="15.75" customHeight="1">
      <c r="A198" s="1"/>
      <c r="O198" s="1"/>
    </row>
    <row r="199" ht="15.75" customHeight="1">
      <c r="A199" s="1"/>
      <c r="O199" s="1"/>
    </row>
    <row r="200" ht="15.75" customHeight="1">
      <c r="A200" s="1"/>
      <c r="O200" s="1"/>
    </row>
    <row r="201" ht="15.75" customHeight="1">
      <c r="A201" s="1"/>
      <c r="O201" s="1"/>
    </row>
    <row r="202" ht="15.75" customHeight="1">
      <c r="A202" s="1"/>
      <c r="O202" s="1"/>
    </row>
    <row r="203" ht="15.75" customHeight="1">
      <c r="A203" s="1"/>
      <c r="O203" s="1"/>
    </row>
    <row r="204" ht="15.75" customHeight="1">
      <c r="A204" s="1"/>
      <c r="O204" s="1"/>
    </row>
    <row r="205" ht="15.75" customHeight="1">
      <c r="A205" s="1"/>
      <c r="O205" s="1"/>
    </row>
    <row r="206" ht="15.75" customHeight="1">
      <c r="A206" s="1"/>
      <c r="O206" s="1"/>
    </row>
    <row r="207" ht="15.75" customHeight="1">
      <c r="A207" s="1"/>
      <c r="O207" s="1"/>
    </row>
    <row r="208" ht="15.75" customHeight="1">
      <c r="A208" s="1"/>
      <c r="O208" s="1"/>
    </row>
    <row r="209" ht="15.75" customHeight="1">
      <c r="A209" s="1"/>
      <c r="O209" s="1"/>
    </row>
    <row r="210" ht="15.75" customHeight="1">
      <c r="A210" s="1"/>
      <c r="O210" s="1"/>
    </row>
    <row r="211" ht="15.75" customHeight="1">
      <c r="A211" s="1"/>
      <c r="O211" s="1"/>
    </row>
    <row r="212" ht="15.75" customHeight="1">
      <c r="A212" s="1"/>
      <c r="O212" s="1"/>
    </row>
    <row r="213" ht="15.75" customHeight="1">
      <c r="A213" s="1"/>
      <c r="O213" s="1"/>
    </row>
    <row r="214" ht="15.75" customHeight="1">
      <c r="A214" s="1"/>
      <c r="O214" s="1"/>
    </row>
    <row r="215" ht="15.75" customHeight="1">
      <c r="A215" s="1"/>
      <c r="O215" s="1"/>
    </row>
    <row r="216" ht="15.75" customHeight="1">
      <c r="A216" s="1"/>
      <c r="O216" s="1"/>
    </row>
    <row r="217" ht="15.75" customHeight="1">
      <c r="A217" s="1"/>
      <c r="O217" s="1"/>
    </row>
    <row r="218" ht="15.75" customHeight="1">
      <c r="A218" s="1"/>
      <c r="O218" s="1"/>
    </row>
    <row r="219" ht="15.75" customHeight="1">
      <c r="A219" s="1"/>
      <c r="O219" s="1"/>
    </row>
    <row r="220" ht="15.75" customHeight="1">
      <c r="A220" s="1"/>
      <c r="O220" s="1"/>
    </row>
    <row r="221" ht="15.75" customHeight="1">
      <c r="A221" s="1"/>
      <c r="O221" s="1"/>
    </row>
    <row r="222" ht="15.75" customHeight="1">
      <c r="A222" s="1"/>
      <c r="O222" s="1"/>
    </row>
    <row r="223" ht="15.75" customHeight="1">
      <c r="A223" s="1"/>
      <c r="O223" s="1"/>
    </row>
    <row r="224" ht="15.75" customHeight="1">
      <c r="A224" s="1"/>
      <c r="O224" s="1"/>
    </row>
    <row r="225" ht="15.75" customHeight="1">
      <c r="A225" s="1"/>
      <c r="O225" s="1"/>
    </row>
    <row r="226" ht="15.75" customHeight="1">
      <c r="A226" s="1"/>
      <c r="O226" s="1"/>
    </row>
    <row r="227" ht="15.75" customHeight="1">
      <c r="A227" s="1"/>
      <c r="O227" s="1"/>
    </row>
    <row r="228" ht="15.75" customHeight="1">
      <c r="A228" s="1"/>
      <c r="O228" s="1"/>
    </row>
    <row r="229" ht="15.75" customHeight="1">
      <c r="A229" s="1"/>
      <c r="O229" s="1"/>
    </row>
    <row r="230" ht="15.75" customHeight="1">
      <c r="A230" s="1"/>
      <c r="O230" s="1"/>
    </row>
    <row r="231" ht="15.75" customHeight="1">
      <c r="A231" s="1"/>
      <c r="O231" s="1"/>
    </row>
    <row r="232" ht="15.75" customHeight="1">
      <c r="A232" s="1"/>
      <c r="O232" s="1"/>
    </row>
    <row r="233" ht="15.75" customHeight="1">
      <c r="A233" s="1"/>
      <c r="O233" s="1"/>
    </row>
    <row r="234" ht="15.75" customHeight="1">
      <c r="A234" s="1"/>
      <c r="O234" s="1"/>
    </row>
    <row r="235" ht="15.75" customHeight="1">
      <c r="A235" s="1"/>
      <c r="O235" s="1"/>
    </row>
    <row r="236" ht="15.75" customHeight="1">
      <c r="A236" s="1"/>
      <c r="O236" s="1"/>
    </row>
    <row r="237" ht="15.75" customHeight="1">
      <c r="A237" s="1"/>
      <c r="O237" s="1"/>
    </row>
    <row r="238" ht="15.75" customHeight="1">
      <c r="A238" s="1"/>
      <c r="O238" s="1"/>
    </row>
    <row r="239" ht="15.75" customHeight="1">
      <c r="A239" s="1"/>
      <c r="O239" s="1"/>
    </row>
    <row r="240" ht="15.75" customHeight="1">
      <c r="A240" s="1"/>
      <c r="O240" s="1"/>
    </row>
    <row r="241" ht="15.75" customHeight="1">
      <c r="A241" s="1"/>
      <c r="O241" s="1"/>
    </row>
    <row r="242" ht="15.75" customHeight="1">
      <c r="A242" s="1"/>
      <c r="O242" s="1"/>
    </row>
    <row r="243" ht="15.75" customHeight="1">
      <c r="A243" s="1"/>
      <c r="O243" s="1"/>
    </row>
    <row r="244" ht="15.75" customHeight="1">
      <c r="A244" s="1"/>
      <c r="O244" s="1"/>
    </row>
    <row r="245" ht="15.75" customHeight="1">
      <c r="A245" s="1"/>
      <c r="O245" s="1"/>
    </row>
    <row r="246" ht="15.75" customHeight="1">
      <c r="A246" s="1"/>
      <c r="O246" s="1"/>
    </row>
    <row r="247" ht="15.75" customHeight="1">
      <c r="A247" s="1"/>
      <c r="O247" s="1"/>
    </row>
    <row r="248" ht="15.75" customHeight="1">
      <c r="A248" s="1"/>
      <c r="O248" s="1"/>
    </row>
    <row r="249" ht="15.75" customHeight="1">
      <c r="A249" s="1"/>
      <c r="O249" s="1"/>
    </row>
    <row r="250" ht="15.75" customHeight="1">
      <c r="A250" s="1"/>
      <c r="O250" s="1"/>
    </row>
    <row r="251" ht="15.75" customHeight="1">
      <c r="A251" s="1"/>
      <c r="O251" s="1"/>
    </row>
    <row r="252" ht="15.75" customHeight="1">
      <c r="A252" s="1"/>
      <c r="O252" s="1"/>
    </row>
    <row r="253" ht="15.75" customHeight="1">
      <c r="A253" s="1"/>
      <c r="O253" s="1"/>
    </row>
    <row r="254" ht="15.75" customHeight="1">
      <c r="A254" s="1"/>
      <c r="O254" s="1"/>
    </row>
    <row r="255" ht="15.75" customHeight="1">
      <c r="A255" s="1"/>
      <c r="O255" s="1"/>
    </row>
    <row r="256" ht="15.75" customHeight="1">
      <c r="A256" s="1"/>
      <c r="O256" s="1"/>
    </row>
    <row r="257" ht="15.75" customHeight="1">
      <c r="A257" s="1"/>
      <c r="O257" s="1"/>
    </row>
    <row r="258" ht="15.75" customHeight="1">
      <c r="A258" s="1"/>
      <c r="O258" s="1"/>
    </row>
    <row r="259" ht="15.75" customHeight="1">
      <c r="A259" s="1"/>
      <c r="O259" s="1"/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7">
    <mergeCell ref="B76:C76"/>
    <mergeCell ref="B77:C77"/>
    <mergeCell ref="B78:C78"/>
    <mergeCell ref="B79:C79"/>
    <mergeCell ref="B80:C80"/>
    <mergeCell ref="B81:C81"/>
    <mergeCell ref="B82:C82"/>
    <mergeCell ref="B90:C90"/>
    <mergeCell ref="B91:C91"/>
    <mergeCell ref="B92:C92"/>
    <mergeCell ref="B83:C83"/>
    <mergeCell ref="B84:C84"/>
    <mergeCell ref="B85:C85"/>
    <mergeCell ref="B86:C86"/>
    <mergeCell ref="B87:C87"/>
    <mergeCell ref="B88:C88"/>
    <mergeCell ref="B89:C89"/>
    <mergeCell ref="B2:N5"/>
    <mergeCell ref="B18:J19"/>
    <mergeCell ref="K18:K19"/>
    <mergeCell ref="L18:L19"/>
    <mergeCell ref="M18:M20"/>
    <mergeCell ref="P22:Q23"/>
    <mergeCell ref="P24:Q24"/>
    <mergeCell ref="G64:K64"/>
    <mergeCell ref="G65:K65"/>
    <mergeCell ref="P25:Q25"/>
    <mergeCell ref="P26:Q26"/>
    <mergeCell ref="G62:K62"/>
    <mergeCell ref="B63:C63"/>
    <mergeCell ref="G63:K63"/>
    <mergeCell ref="B64:C64"/>
    <mergeCell ref="B65:C65"/>
    <mergeCell ref="B66:C66"/>
    <mergeCell ref="G66:K66"/>
    <mergeCell ref="B67:C67"/>
    <mergeCell ref="G67:K67"/>
    <mergeCell ref="B68:C68"/>
    <mergeCell ref="G68:K68"/>
    <mergeCell ref="G69:K69"/>
    <mergeCell ref="B69:C69"/>
    <mergeCell ref="B70:C70"/>
    <mergeCell ref="B71:C71"/>
    <mergeCell ref="B72:C72"/>
    <mergeCell ref="B73:C73"/>
    <mergeCell ref="B74:C74"/>
    <mergeCell ref="B75:C75"/>
    <mergeCell ref="G77:K77"/>
    <mergeCell ref="G78:K78"/>
    <mergeCell ref="G79:K79"/>
    <mergeCell ref="G70:K70"/>
    <mergeCell ref="G71:K71"/>
    <mergeCell ref="G72:K72"/>
    <mergeCell ref="G73:K73"/>
    <mergeCell ref="G74:K74"/>
    <mergeCell ref="G75:K75"/>
    <mergeCell ref="G76:K76"/>
  </mergeCells>
  <conditionalFormatting sqref="L33:L61">
    <cfRule type="notContainsBlanks" dxfId="0" priority="1">
      <formula>LEN(TRIM(L33))&gt;0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009" t="s">
        <v>985</v>
      </c>
    </row>
    <row r="2" ht="15.75" customHeight="1"/>
    <row r="3" ht="15.75" customHeight="1">
      <c r="A3" s="1010" t="str">
        <f>IFERROR(__xludf.DUMMYFUNCTION("IMPORTRANGE(A1, ""S4:T51"")"),"#REF!")</f>
        <v>#REF!</v>
      </c>
      <c r="B3" s="842"/>
    </row>
    <row r="4" ht="15.75" customHeight="1">
      <c r="A4" s="1011"/>
      <c r="B4" s="842"/>
    </row>
    <row r="5" ht="15.75" customHeight="1">
      <c r="A5" s="1011"/>
      <c r="B5" s="842"/>
    </row>
    <row r="6" ht="15.75" customHeight="1">
      <c r="A6" s="1011"/>
      <c r="B6" s="842"/>
    </row>
    <row r="7" ht="15.75" customHeight="1">
      <c r="A7" s="1011"/>
      <c r="B7" s="842"/>
    </row>
    <row r="8" ht="15.75" customHeight="1">
      <c r="A8" s="1011"/>
      <c r="B8" s="842"/>
    </row>
    <row r="9" ht="15.75" customHeight="1">
      <c r="A9" s="1011"/>
      <c r="B9" s="842"/>
    </row>
    <row r="10" ht="15.75" customHeight="1">
      <c r="A10" s="1011"/>
      <c r="B10" s="842"/>
    </row>
    <row r="11" ht="15.75" customHeight="1">
      <c r="A11" s="1011"/>
      <c r="B11" s="842"/>
    </row>
    <row r="12" ht="15.75" customHeight="1">
      <c r="A12" s="1011"/>
      <c r="B12" s="842"/>
    </row>
    <row r="13" ht="15.75" customHeight="1">
      <c r="A13" s="1011"/>
      <c r="B13" s="842"/>
    </row>
    <row r="14" ht="15.75" customHeight="1">
      <c r="A14" s="1011"/>
      <c r="B14" s="842"/>
    </row>
    <row r="15" ht="15.75" customHeight="1">
      <c r="A15" s="1011"/>
      <c r="B15" s="842"/>
    </row>
    <row r="16" ht="15.75" customHeight="1">
      <c r="A16" s="1011"/>
      <c r="B16" s="842"/>
    </row>
    <row r="17" ht="15.75" customHeight="1">
      <c r="A17" s="1011"/>
      <c r="B17" s="842"/>
    </row>
    <row r="18" ht="15.75" customHeight="1">
      <c r="A18" s="1011"/>
      <c r="B18" s="842"/>
    </row>
    <row r="19" ht="15.75" customHeight="1">
      <c r="A19" s="1011"/>
      <c r="B19" s="842"/>
    </row>
    <row r="20" ht="15.75" customHeight="1">
      <c r="A20" s="1011"/>
      <c r="B20" s="842"/>
    </row>
    <row r="21" ht="15.75" customHeight="1">
      <c r="A21" s="1011"/>
      <c r="B21" s="842"/>
    </row>
    <row r="22" ht="15.75" customHeight="1">
      <c r="A22" s="1011"/>
      <c r="B22" s="842"/>
    </row>
    <row r="23" ht="15.75" customHeight="1">
      <c r="A23" s="1011"/>
      <c r="B23" s="842"/>
    </row>
    <row r="24" ht="15.75" customHeight="1">
      <c r="A24" s="1011"/>
      <c r="B24" s="842"/>
    </row>
    <row r="25" ht="15.75" customHeight="1">
      <c r="A25" s="1011"/>
      <c r="B25" s="842"/>
    </row>
    <row r="26" ht="15.75" customHeight="1">
      <c r="A26" s="1011"/>
      <c r="B26" s="842"/>
    </row>
    <row r="27" ht="15.75" customHeight="1">
      <c r="A27" s="1011"/>
      <c r="B27" s="842"/>
    </row>
    <row r="28" ht="15.75" customHeight="1">
      <c r="A28" s="1011"/>
      <c r="B28" s="842"/>
    </row>
    <row r="29" ht="15.75" customHeight="1">
      <c r="A29" s="1011"/>
      <c r="B29" s="842"/>
    </row>
    <row r="30" ht="15.75" customHeight="1">
      <c r="A30" s="1011"/>
      <c r="B30" s="842"/>
    </row>
    <row r="31" ht="15.75" customHeight="1">
      <c r="A31" s="1011"/>
      <c r="B31" s="842"/>
    </row>
    <row r="32" ht="15.75" customHeight="1">
      <c r="A32" s="1011"/>
      <c r="B32" s="842"/>
    </row>
    <row r="33" ht="15.75" customHeight="1">
      <c r="A33" s="1011"/>
      <c r="B33" s="842"/>
    </row>
    <row r="34" ht="15.75" customHeight="1">
      <c r="A34" s="1011"/>
      <c r="B34" s="842"/>
    </row>
    <row r="35" ht="15.75" customHeight="1">
      <c r="A35" s="1011"/>
      <c r="B35" s="842"/>
    </row>
    <row r="36" ht="15.75" customHeight="1">
      <c r="A36" s="1011"/>
      <c r="B36" s="842"/>
    </row>
    <row r="37" ht="15.75" customHeight="1">
      <c r="A37" s="1011"/>
      <c r="B37" s="842"/>
    </row>
    <row r="38" ht="15.75" customHeight="1">
      <c r="A38" s="1011"/>
      <c r="B38" s="842"/>
    </row>
    <row r="39" ht="15.75" customHeight="1">
      <c r="A39" s="1011"/>
      <c r="B39" s="842"/>
    </row>
    <row r="40" ht="15.75" customHeight="1">
      <c r="A40" s="842"/>
      <c r="B40" s="1011"/>
    </row>
    <row r="41" ht="15.75" customHeight="1">
      <c r="A41" s="842"/>
      <c r="B41" s="1011"/>
    </row>
    <row r="42" ht="15.75" customHeight="1">
      <c r="A42" s="842"/>
      <c r="B42" s="1011"/>
    </row>
    <row r="43" ht="15.75" customHeight="1">
      <c r="A43" s="842"/>
      <c r="B43" s="1011"/>
    </row>
    <row r="44" ht="15.75" customHeight="1">
      <c r="A44" s="842"/>
      <c r="B44" s="1011"/>
    </row>
    <row r="45" ht="15.75" customHeight="1">
      <c r="A45" s="842"/>
      <c r="B45" s="1011"/>
    </row>
    <row r="46" ht="15.75" customHeight="1">
      <c r="A46" s="842"/>
      <c r="B46" s="1011"/>
    </row>
    <row r="47" ht="15.75" customHeight="1">
      <c r="A47" s="842"/>
      <c r="B47" s="1011"/>
    </row>
    <row r="48" ht="15.75" customHeight="1">
      <c r="A48" s="842"/>
      <c r="B48" s="1011"/>
    </row>
    <row r="49" ht="15.75" customHeight="1">
      <c r="A49" s="842"/>
      <c r="B49" s="1011"/>
    </row>
    <row r="50" ht="15.75" customHeight="1">
      <c r="A50" s="842"/>
      <c r="B50" s="1011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location="gid=1265428282" ref="A1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38"/>
    <col customWidth="1" min="2" max="2" width="14.75"/>
    <col customWidth="1" min="3" max="3" width="14.88"/>
    <col customWidth="1" min="4" max="5" width="12.63"/>
    <col customWidth="1" min="6" max="6" width="21.75"/>
    <col customWidth="1" min="7" max="7" width="4.88"/>
    <col customWidth="1" min="8" max="8" width="12.5"/>
    <col customWidth="1" min="9" max="9" width="6.75"/>
    <col customWidth="1" min="10" max="10" width="17.0"/>
    <col customWidth="1" min="11" max="11" width="16.63"/>
    <col customWidth="1" min="12" max="12" width="10.75"/>
  </cols>
  <sheetData>
    <row r="1" ht="15.75" customHeight="1">
      <c r="A1" s="433" t="s">
        <v>379</v>
      </c>
      <c r="B1" s="434" t="s">
        <v>380</v>
      </c>
      <c r="C1" s="435" t="s">
        <v>381</v>
      </c>
      <c r="D1" s="436" t="s">
        <v>382</v>
      </c>
      <c r="E1" s="436" t="s">
        <v>383</v>
      </c>
      <c r="F1" s="443" t="s">
        <v>384</v>
      </c>
      <c r="G1" s="433"/>
      <c r="H1" s="1012" t="s">
        <v>385</v>
      </c>
      <c r="I1" s="1012"/>
      <c r="J1" s="1013" t="s">
        <v>386</v>
      </c>
      <c r="K1" s="1013" t="s">
        <v>387</v>
      </c>
      <c r="L1" s="440"/>
    </row>
    <row r="2" ht="15.75" customHeight="1">
      <c r="A2" s="433"/>
      <c r="B2" s="54"/>
      <c r="C2" s="449"/>
      <c r="D2" s="450"/>
      <c r="E2" s="451"/>
      <c r="F2" s="1014"/>
      <c r="G2" s="433"/>
      <c r="H2" s="1015"/>
      <c r="I2" s="1015"/>
      <c r="J2" s="454"/>
      <c r="K2" s="455"/>
      <c r="L2" s="456"/>
    </row>
    <row r="3" ht="15.75" customHeight="1">
      <c r="A3" s="460" t="s">
        <v>395</v>
      </c>
      <c r="B3" s="474" t="s">
        <v>414</v>
      </c>
      <c r="C3" s="475" t="s">
        <v>986</v>
      </c>
      <c r="D3" s="463" t="s">
        <v>415</v>
      </c>
      <c r="E3" s="464" t="s">
        <v>987</v>
      </c>
      <c r="F3" s="1016" t="s">
        <v>988</v>
      </c>
      <c r="G3" s="460"/>
      <c r="H3" s="1017" t="s">
        <v>989</v>
      </c>
      <c r="I3" s="466"/>
      <c r="J3" s="468"/>
      <c r="K3" s="468" t="s">
        <v>990</v>
      </c>
      <c r="L3" s="469"/>
    </row>
    <row r="4" ht="15.75" customHeight="1">
      <c r="B4" s="474" t="s">
        <v>986</v>
      </c>
      <c r="C4" s="475" t="s">
        <v>414</v>
      </c>
      <c r="D4" s="463" t="s">
        <v>396</v>
      </c>
      <c r="E4" s="464" t="s">
        <v>642</v>
      </c>
      <c r="F4" s="1016" t="s">
        <v>991</v>
      </c>
      <c r="H4" s="1018" t="s">
        <v>989</v>
      </c>
      <c r="I4" s="476"/>
      <c r="J4" s="468"/>
      <c r="K4" s="468" t="s">
        <v>992</v>
      </c>
      <c r="L4" s="469"/>
    </row>
    <row r="5" ht="15.75" customHeight="1">
      <c r="B5" s="474" t="s">
        <v>993</v>
      </c>
      <c r="C5" s="478" t="s">
        <v>65</v>
      </c>
      <c r="D5" s="463" t="s">
        <v>407</v>
      </c>
      <c r="E5" s="464" t="s">
        <v>611</v>
      </c>
      <c r="F5" s="1016" t="s">
        <v>994</v>
      </c>
      <c r="H5" s="1019" t="s">
        <v>995</v>
      </c>
      <c r="I5" s="1019" t="s">
        <v>996</v>
      </c>
      <c r="J5" s="481"/>
      <c r="K5" s="482" t="s">
        <v>997</v>
      </c>
      <c r="L5" s="483"/>
    </row>
    <row r="6" ht="15.75" customHeight="1">
      <c r="B6" s="536" t="s">
        <v>65</v>
      </c>
      <c r="C6" s="525" t="s">
        <v>993</v>
      </c>
      <c r="D6" s="463" t="s">
        <v>415</v>
      </c>
      <c r="E6" s="464" t="s">
        <v>435</v>
      </c>
      <c r="F6" s="1016" t="s">
        <v>998</v>
      </c>
      <c r="H6" s="1019" t="s">
        <v>995</v>
      </c>
      <c r="I6" s="1019" t="s">
        <v>996</v>
      </c>
      <c r="J6" s="482" t="s">
        <v>997</v>
      </c>
      <c r="K6" s="482"/>
      <c r="L6" s="483"/>
    </row>
    <row r="7" ht="15.75" customHeight="1">
      <c r="B7" s="474" t="s">
        <v>414</v>
      </c>
      <c r="C7" s="475" t="s">
        <v>999</v>
      </c>
      <c r="D7" s="463" t="s">
        <v>415</v>
      </c>
      <c r="E7" s="464" t="s">
        <v>1000</v>
      </c>
      <c r="F7" s="1016" t="s">
        <v>1001</v>
      </c>
      <c r="H7" s="1019" t="s">
        <v>1002</v>
      </c>
      <c r="I7" s="479"/>
      <c r="J7" s="489"/>
      <c r="K7" s="482"/>
      <c r="L7" s="490"/>
    </row>
    <row r="8" ht="15.75" customHeight="1">
      <c r="B8" s="536" t="s">
        <v>55</v>
      </c>
      <c r="C8" s="525" t="s">
        <v>43</v>
      </c>
      <c r="D8" s="463" t="s">
        <v>501</v>
      </c>
      <c r="E8" s="464" t="s">
        <v>603</v>
      </c>
      <c r="F8" s="1016" t="s">
        <v>1003</v>
      </c>
      <c r="H8" s="479"/>
      <c r="I8" s="479"/>
      <c r="J8" s="481"/>
      <c r="K8" s="482"/>
      <c r="L8" s="483"/>
    </row>
    <row r="9" ht="15.75" customHeight="1">
      <c r="B9" s="504" t="s">
        <v>43</v>
      </c>
      <c r="C9" s="505" t="s">
        <v>55</v>
      </c>
      <c r="D9" s="493" t="s">
        <v>407</v>
      </c>
      <c r="E9" s="487" t="s">
        <v>563</v>
      </c>
      <c r="F9" s="1020" t="s">
        <v>1004</v>
      </c>
      <c r="H9" s="1019" t="s">
        <v>1005</v>
      </c>
      <c r="I9" s="1021" t="s">
        <v>1006</v>
      </c>
      <c r="J9" s="481"/>
      <c r="K9" s="482" t="s">
        <v>1007</v>
      </c>
      <c r="L9" s="483"/>
    </row>
    <row r="10" ht="15.75" customHeight="1">
      <c r="B10" s="474" t="s">
        <v>413</v>
      </c>
      <c r="C10" s="496" t="s">
        <v>993</v>
      </c>
      <c r="D10" s="463" t="s">
        <v>407</v>
      </c>
      <c r="E10" s="464" t="s">
        <v>1008</v>
      </c>
      <c r="F10" s="1016" t="s">
        <v>1009</v>
      </c>
      <c r="H10" s="1019" t="s">
        <v>1010</v>
      </c>
      <c r="I10" s="479"/>
      <c r="J10" s="489"/>
      <c r="K10" s="482"/>
      <c r="L10" s="490"/>
    </row>
    <row r="11" ht="15.75" customHeight="1">
      <c r="B11" s="491" t="s">
        <v>993</v>
      </c>
      <c r="C11" s="492" t="s">
        <v>43</v>
      </c>
      <c r="D11" s="463" t="s">
        <v>400</v>
      </c>
      <c r="E11" s="464" t="s">
        <v>1011</v>
      </c>
      <c r="F11" s="1022" t="s">
        <v>1012</v>
      </c>
      <c r="H11" s="1019" t="s">
        <v>1013</v>
      </c>
      <c r="I11" s="1019" t="s">
        <v>1014</v>
      </c>
      <c r="J11" s="481"/>
      <c r="K11" s="482"/>
      <c r="L11" s="483"/>
    </row>
    <row r="12" ht="15.75" customHeight="1">
      <c r="B12" s="474" t="s">
        <v>43</v>
      </c>
      <c r="C12" s="475" t="s">
        <v>993</v>
      </c>
      <c r="D12" s="463" t="s">
        <v>449</v>
      </c>
      <c r="E12" s="464" t="s">
        <v>1015</v>
      </c>
      <c r="F12" s="1016" t="s">
        <v>1016</v>
      </c>
      <c r="H12" s="1019" t="s">
        <v>1013</v>
      </c>
      <c r="I12" s="479"/>
      <c r="J12" s="481"/>
      <c r="K12" s="482"/>
      <c r="L12" s="483"/>
    </row>
    <row r="13" ht="15.75" customHeight="1">
      <c r="B13" s="524" t="s">
        <v>1017</v>
      </c>
      <c r="C13" s="565" t="s">
        <v>43</v>
      </c>
      <c r="D13" s="463" t="s">
        <v>410</v>
      </c>
      <c r="E13" s="464" t="s">
        <v>1018</v>
      </c>
      <c r="F13" s="1016" t="s">
        <v>1019</v>
      </c>
      <c r="H13" s="1019" t="s">
        <v>1020</v>
      </c>
      <c r="I13" s="479"/>
      <c r="J13" s="481" t="s">
        <v>1021</v>
      </c>
      <c r="K13" s="482"/>
      <c r="L13" s="483"/>
    </row>
    <row r="14" ht="15.75" customHeight="1">
      <c r="A14" s="460"/>
      <c r="B14" s="580" t="s">
        <v>1017</v>
      </c>
      <c r="C14" s="525" t="s">
        <v>65</v>
      </c>
      <c r="D14" s="463" t="s">
        <v>434</v>
      </c>
      <c r="E14" s="464" t="s">
        <v>1022</v>
      </c>
      <c r="F14" s="1016" t="s">
        <v>1023</v>
      </c>
      <c r="H14" s="479"/>
      <c r="I14" s="479"/>
      <c r="J14" s="481" t="s">
        <v>1021</v>
      </c>
      <c r="K14" s="482"/>
      <c r="L14" s="483"/>
    </row>
    <row r="15" ht="15.75" customHeight="1">
      <c r="A15" s="433" t="s">
        <v>426</v>
      </c>
      <c r="B15" s="498"/>
      <c r="C15" s="499"/>
      <c r="D15" s="500"/>
      <c r="E15" s="501"/>
      <c r="F15" s="1023"/>
      <c r="G15" s="1"/>
      <c r="H15" s="1015"/>
      <c r="I15" s="1015"/>
      <c r="J15" s="454"/>
      <c r="K15" s="455"/>
      <c r="L15" s="456"/>
    </row>
    <row r="16" ht="15.75" customHeight="1">
      <c r="B16" s="474" t="s">
        <v>414</v>
      </c>
      <c r="C16" s="478" t="s">
        <v>1024</v>
      </c>
      <c r="D16" s="463" t="s">
        <v>400</v>
      </c>
      <c r="E16" s="464" t="s">
        <v>1025</v>
      </c>
      <c r="F16" s="1016" t="s">
        <v>1026</v>
      </c>
      <c r="G16" s="433"/>
      <c r="H16" s="1024" t="s">
        <v>1027</v>
      </c>
      <c r="I16" s="1025"/>
      <c r="J16" s="489"/>
      <c r="K16" s="482"/>
      <c r="L16" s="490"/>
    </row>
    <row r="17" ht="15.75" customHeight="1">
      <c r="B17" s="474" t="s">
        <v>993</v>
      </c>
      <c r="C17" s="475" t="s">
        <v>414</v>
      </c>
      <c r="D17" s="463" t="s">
        <v>415</v>
      </c>
      <c r="E17" s="464" t="s">
        <v>1028</v>
      </c>
      <c r="F17" s="1016" t="s">
        <v>1029</v>
      </c>
      <c r="H17" s="1024" t="s">
        <v>1030</v>
      </c>
      <c r="I17" s="1024" t="s">
        <v>1031</v>
      </c>
      <c r="J17" s="489" t="s">
        <v>1032</v>
      </c>
      <c r="K17" s="482"/>
      <c r="L17" s="490"/>
    </row>
    <row r="18" ht="15.75" customHeight="1">
      <c r="B18" s="524" t="s">
        <v>65</v>
      </c>
      <c r="C18" s="525" t="s">
        <v>414</v>
      </c>
      <c r="D18" s="463" t="s">
        <v>449</v>
      </c>
      <c r="E18" s="464" t="s">
        <v>1033</v>
      </c>
      <c r="F18" s="488" t="s">
        <v>1034</v>
      </c>
      <c r="H18" s="1024" t="s">
        <v>1035</v>
      </c>
      <c r="I18" s="1024" t="s">
        <v>1036</v>
      </c>
      <c r="J18" s="482" t="s">
        <v>997</v>
      </c>
      <c r="K18" s="482"/>
      <c r="L18" s="483"/>
    </row>
    <row r="19" ht="15.75" customHeight="1">
      <c r="B19" s="524" t="s">
        <v>65</v>
      </c>
      <c r="C19" s="525" t="s">
        <v>413</v>
      </c>
      <c r="D19" s="512" t="s">
        <v>410</v>
      </c>
      <c r="E19" s="464" t="s">
        <v>1037</v>
      </c>
      <c r="F19" s="488" t="s">
        <v>1038</v>
      </c>
      <c r="H19" s="1024" t="s">
        <v>1039</v>
      </c>
      <c r="I19" s="1025"/>
      <c r="J19" s="482" t="s">
        <v>997</v>
      </c>
      <c r="K19" s="482"/>
      <c r="L19" s="483"/>
    </row>
    <row r="20" ht="15.75" customHeight="1">
      <c r="B20" s="524" t="s">
        <v>413</v>
      </c>
      <c r="C20" s="525" t="s">
        <v>414</v>
      </c>
      <c r="D20" s="463" t="s">
        <v>410</v>
      </c>
      <c r="E20" s="464" t="s">
        <v>1040</v>
      </c>
      <c r="F20" s="488" t="s">
        <v>1041</v>
      </c>
      <c r="H20" s="1024" t="s">
        <v>1042</v>
      </c>
      <c r="I20" s="1024" t="s">
        <v>1043</v>
      </c>
      <c r="J20" s="489" t="s">
        <v>1044</v>
      </c>
      <c r="K20" s="482"/>
      <c r="L20" s="490"/>
    </row>
    <row r="21" ht="15.75" customHeight="1">
      <c r="B21" s="1026" t="s">
        <v>43</v>
      </c>
      <c r="C21" s="531" t="s">
        <v>999</v>
      </c>
      <c r="D21" s="513" t="s">
        <v>396</v>
      </c>
      <c r="E21" s="464" t="s">
        <v>1045</v>
      </c>
      <c r="F21" s="488" t="s">
        <v>1046</v>
      </c>
      <c r="H21" s="1024" t="s">
        <v>1047</v>
      </c>
      <c r="I21" s="1025"/>
      <c r="J21" s="481"/>
      <c r="K21" s="482"/>
      <c r="L21" s="483"/>
    </row>
    <row r="22" ht="15.75" customHeight="1">
      <c r="B22" s="1027" t="s">
        <v>999</v>
      </c>
      <c r="C22" s="525" t="s">
        <v>43</v>
      </c>
      <c r="D22" s="463" t="s">
        <v>501</v>
      </c>
      <c r="E22" s="464" t="s">
        <v>1048</v>
      </c>
      <c r="F22" s="488" t="s">
        <v>1049</v>
      </c>
      <c r="H22" s="1024" t="s">
        <v>1050</v>
      </c>
      <c r="I22" s="1025"/>
      <c r="J22" s="481"/>
      <c r="K22" s="482"/>
      <c r="L22" s="483"/>
    </row>
    <row r="23" ht="15.75" customHeight="1">
      <c r="B23" s="580" t="s">
        <v>55</v>
      </c>
      <c r="C23" s="1028" t="s">
        <v>413</v>
      </c>
      <c r="D23" s="463" t="s">
        <v>418</v>
      </c>
      <c r="E23" s="464" t="s">
        <v>1051</v>
      </c>
      <c r="F23" s="488" t="s">
        <v>1052</v>
      </c>
      <c r="H23" s="1024" t="s">
        <v>1053</v>
      </c>
      <c r="I23" s="1025"/>
      <c r="J23" s="481"/>
      <c r="K23" s="482"/>
      <c r="L23" s="483"/>
    </row>
    <row r="24" ht="15.75" customHeight="1">
      <c r="B24" s="580" t="s">
        <v>413</v>
      </c>
      <c r="C24" s="247" t="s">
        <v>43</v>
      </c>
      <c r="D24" s="513" t="s">
        <v>449</v>
      </c>
      <c r="E24" s="464" t="s">
        <v>1054</v>
      </c>
      <c r="F24" s="488" t="s">
        <v>1055</v>
      </c>
      <c r="H24" s="1025"/>
      <c r="I24" s="1025"/>
      <c r="J24" s="481"/>
      <c r="K24" s="482"/>
      <c r="L24" s="483"/>
    </row>
    <row r="25" ht="15.75" customHeight="1">
      <c r="B25" s="507" t="s">
        <v>993</v>
      </c>
      <c r="C25" s="1029" t="s">
        <v>986</v>
      </c>
      <c r="D25" s="463" t="s">
        <v>407</v>
      </c>
      <c r="E25" s="464" t="s">
        <v>1056</v>
      </c>
      <c r="F25" s="1030" t="s">
        <v>1057</v>
      </c>
      <c r="H25" s="1024" t="s">
        <v>1058</v>
      </c>
      <c r="I25" s="1025"/>
      <c r="J25" s="481" t="s">
        <v>1032</v>
      </c>
      <c r="K25" s="482"/>
      <c r="L25" s="483"/>
    </row>
    <row r="26" ht="15.75" customHeight="1">
      <c r="B26" s="507" t="s">
        <v>43</v>
      </c>
      <c r="C26" s="496" t="s">
        <v>1017</v>
      </c>
      <c r="D26" s="513" t="s">
        <v>396</v>
      </c>
      <c r="E26" s="464" t="s">
        <v>1059</v>
      </c>
      <c r="F26" s="488" t="s">
        <v>1060</v>
      </c>
      <c r="H26" s="1024" t="s">
        <v>1061</v>
      </c>
      <c r="I26" s="1025"/>
      <c r="J26" s="481"/>
      <c r="K26" s="482"/>
      <c r="L26" s="483"/>
    </row>
    <row r="27" ht="15.75" customHeight="1">
      <c r="B27" s="536" t="s">
        <v>1024</v>
      </c>
      <c r="C27" s="247" t="s">
        <v>1062</v>
      </c>
      <c r="D27" s="463" t="s">
        <v>501</v>
      </c>
      <c r="E27" s="464" t="s">
        <v>1063</v>
      </c>
      <c r="F27" s="488" t="s">
        <v>1064</v>
      </c>
      <c r="H27" s="1031"/>
      <c r="I27" s="1031"/>
      <c r="J27" s="481"/>
      <c r="K27" s="482"/>
      <c r="L27" s="483"/>
    </row>
    <row r="28" ht="15.75" customHeight="1">
      <c r="B28" s="556" t="s">
        <v>1062</v>
      </c>
      <c r="C28" s="478" t="s">
        <v>1024</v>
      </c>
      <c r="D28" s="513" t="s">
        <v>407</v>
      </c>
      <c r="E28" s="464" t="s">
        <v>1065</v>
      </c>
      <c r="F28" s="488" t="s">
        <v>1066</v>
      </c>
      <c r="H28" s="1031"/>
      <c r="I28" s="1031"/>
      <c r="J28" s="481"/>
      <c r="K28" s="482"/>
      <c r="L28" s="483"/>
    </row>
    <row r="29" ht="15.75" customHeight="1">
      <c r="B29" s="491" t="s">
        <v>414</v>
      </c>
      <c r="C29" s="1032" t="s">
        <v>413</v>
      </c>
      <c r="D29" s="463" t="s">
        <v>418</v>
      </c>
      <c r="E29" s="464" t="s">
        <v>1067</v>
      </c>
      <c r="F29" s="488" t="s">
        <v>1068</v>
      </c>
      <c r="H29" s="1024" t="s">
        <v>1069</v>
      </c>
      <c r="I29" s="1025"/>
      <c r="J29" s="481" t="s">
        <v>873</v>
      </c>
      <c r="K29" s="482"/>
      <c r="L29" s="483"/>
    </row>
    <row r="30" ht="15.75" customHeight="1">
      <c r="B30" s="536" t="s">
        <v>986</v>
      </c>
      <c r="C30" s="1033" t="s">
        <v>1017</v>
      </c>
      <c r="D30" s="463" t="s">
        <v>437</v>
      </c>
      <c r="E30" s="464" t="s">
        <v>1070</v>
      </c>
      <c r="F30" s="488" t="s">
        <v>1071</v>
      </c>
      <c r="H30" s="1025"/>
      <c r="I30" s="1025"/>
      <c r="J30" s="481"/>
      <c r="K30" s="482"/>
      <c r="L30" s="483"/>
    </row>
    <row r="31" ht="15.75" customHeight="1">
      <c r="A31" s="433"/>
      <c r="B31" s="507" t="s">
        <v>1017</v>
      </c>
      <c r="C31" s="478" t="s">
        <v>986</v>
      </c>
      <c r="D31" s="463" t="s">
        <v>396</v>
      </c>
      <c r="E31" s="464" t="s">
        <v>566</v>
      </c>
      <c r="F31" s="488" t="s">
        <v>1072</v>
      </c>
      <c r="G31" s="433"/>
      <c r="H31" s="1031"/>
      <c r="I31" s="1031"/>
      <c r="J31" s="481" t="s">
        <v>1073</v>
      </c>
      <c r="K31" s="482" t="s">
        <v>836</v>
      </c>
      <c r="L31" s="483"/>
    </row>
    <row r="32" ht="15.75" customHeight="1">
      <c r="A32" s="433"/>
      <c r="B32" s="474" t="s">
        <v>1062</v>
      </c>
      <c r="C32" s="475" t="s">
        <v>413</v>
      </c>
      <c r="D32" s="463" t="s">
        <v>407</v>
      </c>
      <c r="E32" s="464" t="s">
        <v>1074</v>
      </c>
      <c r="F32" s="488" t="s">
        <v>1075</v>
      </c>
      <c r="G32" s="433"/>
      <c r="H32" s="1031"/>
      <c r="I32" s="1031"/>
      <c r="J32" s="481"/>
      <c r="K32" s="482"/>
      <c r="L32" s="483"/>
    </row>
    <row r="33" ht="15.75" customHeight="1">
      <c r="A33" s="433"/>
      <c r="B33" s="474" t="s">
        <v>414</v>
      </c>
      <c r="C33" s="475" t="s">
        <v>43</v>
      </c>
      <c r="D33" s="463" t="s">
        <v>415</v>
      </c>
      <c r="E33" s="464" t="s">
        <v>1076</v>
      </c>
      <c r="F33" s="488" t="s">
        <v>1077</v>
      </c>
      <c r="G33" s="433"/>
      <c r="H33" s="1034" t="s">
        <v>1078</v>
      </c>
      <c r="I33" s="1031"/>
      <c r="J33" s="481"/>
      <c r="K33" s="482"/>
      <c r="L33" s="483"/>
    </row>
    <row r="34" ht="15.75" customHeight="1">
      <c r="A34" s="433"/>
      <c r="B34" s="524" t="s">
        <v>43</v>
      </c>
      <c r="C34" s="538" t="s">
        <v>414</v>
      </c>
      <c r="D34" s="1035">
        <v>45327.0</v>
      </c>
      <c r="E34" s="464" t="s">
        <v>1079</v>
      </c>
      <c r="F34" s="1036" t="s">
        <v>1080</v>
      </c>
      <c r="G34" s="433"/>
      <c r="H34" s="1034" t="s">
        <v>1081</v>
      </c>
      <c r="I34" s="1031"/>
      <c r="J34" s="481" t="s">
        <v>1082</v>
      </c>
      <c r="K34" s="482"/>
      <c r="L34" s="483"/>
    </row>
    <row r="35" ht="15.75" customHeight="1">
      <c r="A35" s="1037"/>
      <c r="B35" s="521"/>
      <c r="C35" s="449"/>
      <c r="D35" s="450"/>
      <c r="E35" s="451"/>
      <c r="F35" s="1014"/>
      <c r="G35" s="522"/>
      <c r="H35" s="1015"/>
      <c r="I35" s="1015"/>
      <c r="J35" s="454"/>
      <c r="K35" s="455"/>
      <c r="L35" s="456"/>
    </row>
    <row r="36" ht="15.75" customHeight="1">
      <c r="A36" s="433" t="s">
        <v>206</v>
      </c>
      <c r="B36" s="474" t="s">
        <v>993</v>
      </c>
      <c r="C36" s="475" t="s">
        <v>1062</v>
      </c>
      <c r="D36" s="463" t="s">
        <v>407</v>
      </c>
      <c r="E36" s="464" t="s">
        <v>1083</v>
      </c>
      <c r="F36" s="488" t="s">
        <v>1084</v>
      </c>
      <c r="G36" s="433"/>
      <c r="H36" s="1024" t="s">
        <v>1085</v>
      </c>
      <c r="I36" s="1025"/>
      <c r="J36" s="481" t="s">
        <v>1086</v>
      </c>
      <c r="K36" s="482"/>
      <c r="L36" s="483"/>
    </row>
    <row r="37" ht="15.75" customHeight="1">
      <c r="B37" s="536" t="s">
        <v>65</v>
      </c>
      <c r="C37" s="525" t="s">
        <v>1062</v>
      </c>
      <c r="D37" s="463" t="s">
        <v>410</v>
      </c>
      <c r="E37" s="464" t="s">
        <v>1087</v>
      </c>
      <c r="F37" s="488" t="s">
        <v>1088</v>
      </c>
      <c r="G37" s="433"/>
      <c r="H37" s="1031"/>
      <c r="I37" s="1031"/>
      <c r="J37" s="482" t="s">
        <v>997</v>
      </c>
      <c r="K37" s="482" t="s">
        <v>1089</v>
      </c>
      <c r="L37" s="483"/>
    </row>
    <row r="38" ht="15.75" customHeight="1">
      <c r="B38" s="507" t="s">
        <v>1062</v>
      </c>
      <c r="C38" s="475" t="s">
        <v>65</v>
      </c>
      <c r="D38" s="463" t="s">
        <v>415</v>
      </c>
      <c r="E38" s="464" t="s">
        <v>588</v>
      </c>
      <c r="F38" s="488" t="s">
        <v>1090</v>
      </c>
      <c r="G38" s="433"/>
      <c r="H38" s="1031"/>
      <c r="I38" s="1031"/>
      <c r="J38" s="481"/>
      <c r="K38" s="482" t="s">
        <v>997</v>
      </c>
      <c r="L38" s="483"/>
    </row>
    <row r="39" ht="15.75" customHeight="1">
      <c r="B39" s="526" t="s">
        <v>414</v>
      </c>
      <c r="C39" s="527" t="s">
        <v>999</v>
      </c>
      <c r="D39" s="528" t="s">
        <v>415</v>
      </c>
      <c r="E39" s="529" t="s">
        <v>1091</v>
      </c>
      <c r="F39" s="1038" t="s">
        <v>1092</v>
      </c>
      <c r="G39" s="433"/>
      <c r="H39" s="1025"/>
      <c r="I39" s="1025"/>
      <c r="J39" s="481"/>
      <c r="K39" s="482"/>
      <c r="L39" s="483"/>
    </row>
    <row r="40" ht="15.75" customHeight="1">
      <c r="B40" s="504" t="s">
        <v>1062</v>
      </c>
      <c r="C40" s="531" t="s">
        <v>414</v>
      </c>
      <c r="D40" s="518" t="s">
        <v>400</v>
      </c>
      <c r="E40" s="519" t="s">
        <v>1093</v>
      </c>
      <c r="F40" s="1039" t="s">
        <v>1094</v>
      </c>
      <c r="G40" s="433"/>
      <c r="H40" s="1025"/>
      <c r="I40" s="1025"/>
      <c r="J40" s="481"/>
      <c r="K40" s="482"/>
      <c r="L40" s="490"/>
    </row>
    <row r="41" ht="15.75" customHeight="1">
      <c r="B41" s="509" t="s">
        <v>1062</v>
      </c>
      <c r="C41" s="478" t="s">
        <v>986</v>
      </c>
      <c r="D41" s="532" t="s">
        <v>400</v>
      </c>
      <c r="E41" s="533" t="s">
        <v>1095</v>
      </c>
      <c r="F41" s="1040" t="s">
        <v>1096</v>
      </c>
      <c r="G41" s="433"/>
      <c r="H41" s="1025"/>
      <c r="I41" s="1025"/>
      <c r="J41" s="481"/>
      <c r="K41" s="482" t="s">
        <v>1097</v>
      </c>
      <c r="L41" s="490"/>
    </row>
    <row r="42" ht="15.75" customHeight="1">
      <c r="B42" s="536" t="s">
        <v>1098</v>
      </c>
      <c r="C42" s="1041" t="s">
        <v>1099</v>
      </c>
      <c r="D42" s="463"/>
      <c r="E42" s="464"/>
      <c r="F42" s="1016" t="s">
        <v>1100</v>
      </c>
      <c r="G42" s="433"/>
      <c r="H42" s="1025"/>
      <c r="I42" s="1025"/>
      <c r="J42" s="489"/>
      <c r="K42" s="482"/>
      <c r="L42" s="490"/>
    </row>
    <row r="43" ht="15.75" customHeight="1">
      <c r="B43" s="474" t="s">
        <v>65</v>
      </c>
      <c r="C43" s="496" t="s">
        <v>1101</v>
      </c>
      <c r="D43" s="463" t="s">
        <v>396</v>
      </c>
      <c r="E43" s="464" t="s">
        <v>480</v>
      </c>
      <c r="F43" s="1016" t="s">
        <v>1102</v>
      </c>
      <c r="G43" s="433"/>
      <c r="H43" s="1025"/>
      <c r="I43" s="1025"/>
      <c r="J43" s="489"/>
      <c r="K43" s="482"/>
      <c r="L43" s="490"/>
    </row>
    <row r="44" ht="15.75" customHeight="1">
      <c r="B44" s="536" t="s">
        <v>1101</v>
      </c>
      <c r="C44" s="1041" t="s">
        <v>65</v>
      </c>
      <c r="D44" s="463" t="s">
        <v>434</v>
      </c>
      <c r="E44" s="464" t="s">
        <v>1103</v>
      </c>
      <c r="F44" s="1016" t="s">
        <v>1104</v>
      </c>
      <c r="G44" s="433"/>
      <c r="H44" s="1025"/>
      <c r="I44" s="1025"/>
      <c r="J44" s="489"/>
      <c r="K44" s="482"/>
      <c r="L44" s="490"/>
    </row>
    <row r="45" ht="15.75" customHeight="1">
      <c r="B45" s="507" t="s">
        <v>1017</v>
      </c>
      <c r="C45" s="478" t="s">
        <v>1062</v>
      </c>
      <c r="D45" s="535">
        <v>45415.0</v>
      </c>
      <c r="E45" s="464" t="s">
        <v>1105</v>
      </c>
      <c r="F45" s="1016" t="s">
        <v>1106</v>
      </c>
      <c r="G45" s="433"/>
      <c r="H45" s="1025"/>
      <c r="I45" s="1025"/>
      <c r="J45" s="489"/>
      <c r="K45" s="482"/>
      <c r="L45" s="490"/>
    </row>
    <row r="46" ht="15.75" customHeight="1">
      <c r="B46" s="474" t="s">
        <v>1062</v>
      </c>
      <c r="C46" s="496" t="s">
        <v>1017</v>
      </c>
      <c r="D46" s="463" t="s">
        <v>415</v>
      </c>
      <c r="E46" s="464" t="s">
        <v>1107</v>
      </c>
      <c r="F46" s="1016" t="s">
        <v>1108</v>
      </c>
      <c r="G46" s="433"/>
      <c r="H46" s="1025"/>
      <c r="I46" s="1025"/>
      <c r="J46" s="489"/>
      <c r="K46" s="482" t="s">
        <v>1021</v>
      </c>
      <c r="L46" s="490"/>
    </row>
    <row r="47" ht="15.75" customHeight="1">
      <c r="B47" s="474" t="s">
        <v>993</v>
      </c>
      <c r="C47" s="496" t="s">
        <v>413</v>
      </c>
      <c r="D47" s="463" t="s">
        <v>415</v>
      </c>
      <c r="E47" s="464" t="s">
        <v>494</v>
      </c>
      <c r="F47" s="1016" t="s">
        <v>1109</v>
      </c>
      <c r="G47" s="433"/>
      <c r="H47" s="1025"/>
      <c r="I47" s="1025"/>
      <c r="J47" s="481"/>
      <c r="K47" s="482"/>
      <c r="L47" s="483"/>
    </row>
    <row r="48" ht="15.75" customHeight="1">
      <c r="B48" s="524" t="s">
        <v>986</v>
      </c>
      <c r="C48" s="538" t="s">
        <v>1024</v>
      </c>
      <c r="D48" s="463" t="s">
        <v>449</v>
      </c>
      <c r="E48" s="464" t="s">
        <v>1110</v>
      </c>
      <c r="F48" s="1016" t="s">
        <v>1111</v>
      </c>
      <c r="G48" s="433"/>
      <c r="H48" s="1025"/>
      <c r="I48" s="1025"/>
      <c r="J48" s="482" t="s">
        <v>990</v>
      </c>
      <c r="K48" s="482"/>
      <c r="L48" s="483"/>
    </row>
    <row r="49" ht="15.75" customHeight="1">
      <c r="A49" s="54"/>
      <c r="B49" s="536" t="s">
        <v>1024</v>
      </c>
      <c r="C49" s="1041" t="s">
        <v>986</v>
      </c>
      <c r="D49" s="463" t="s">
        <v>449</v>
      </c>
      <c r="E49" s="464" t="s">
        <v>1112</v>
      </c>
      <c r="F49" s="1016" t="s">
        <v>1113</v>
      </c>
      <c r="G49" s="1"/>
      <c r="H49" s="1031"/>
      <c r="I49" s="1031"/>
      <c r="J49" s="481" t="s">
        <v>1007</v>
      </c>
      <c r="K49" s="482" t="s">
        <v>990</v>
      </c>
      <c r="L49" s="483"/>
    </row>
    <row r="50" ht="15.75" customHeight="1">
      <c r="A50" s="54"/>
      <c r="B50" s="507" t="s">
        <v>413</v>
      </c>
      <c r="C50" s="478" t="s">
        <v>986</v>
      </c>
      <c r="D50" s="463" t="s">
        <v>407</v>
      </c>
      <c r="E50" s="464" t="s">
        <v>1114</v>
      </c>
      <c r="F50" s="1016" t="s">
        <v>1115</v>
      </c>
      <c r="G50" s="1"/>
      <c r="H50" s="1031"/>
      <c r="I50" s="1031"/>
      <c r="J50" s="481"/>
      <c r="K50" s="482" t="s">
        <v>990</v>
      </c>
      <c r="L50" s="483"/>
    </row>
    <row r="51" ht="15.75" customHeight="1">
      <c r="A51" s="1037"/>
      <c r="B51" s="521"/>
      <c r="C51" s="449"/>
      <c r="D51" s="450"/>
      <c r="E51" s="451"/>
      <c r="F51" s="1014"/>
      <c r="G51" s="522"/>
      <c r="H51" s="1015"/>
      <c r="I51" s="1015"/>
      <c r="J51" s="454"/>
      <c r="K51" s="455"/>
      <c r="L51" s="456"/>
    </row>
    <row r="52" ht="15.75" customHeight="1">
      <c r="A52" s="552" t="s">
        <v>249</v>
      </c>
      <c r="B52" s="536" t="s">
        <v>1024</v>
      </c>
      <c r="C52" s="525" t="s">
        <v>414</v>
      </c>
      <c r="D52" s="553" t="s">
        <v>449</v>
      </c>
      <c r="E52" s="554" t="s">
        <v>1116</v>
      </c>
      <c r="F52" s="1042" t="s">
        <v>1117</v>
      </c>
      <c r="G52" s="555"/>
      <c r="H52" s="1031"/>
      <c r="I52" s="1031"/>
      <c r="J52" s="481"/>
      <c r="K52" s="482"/>
      <c r="L52" s="483"/>
    </row>
    <row r="53" ht="15.75" customHeight="1">
      <c r="B53" s="536" t="s">
        <v>414</v>
      </c>
      <c r="C53" s="525" t="s">
        <v>993</v>
      </c>
      <c r="D53" s="553" t="s">
        <v>1118</v>
      </c>
      <c r="E53" s="554"/>
      <c r="F53" s="1043"/>
      <c r="H53" s="1031"/>
      <c r="I53" s="1031"/>
      <c r="J53" s="481"/>
      <c r="K53" s="482"/>
      <c r="L53" s="483"/>
    </row>
    <row r="54" ht="15.75" customHeight="1">
      <c r="B54" s="474" t="s">
        <v>993</v>
      </c>
      <c r="C54" s="475" t="s">
        <v>999</v>
      </c>
      <c r="D54" s="553" t="s">
        <v>396</v>
      </c>
      <c r="E54" s="554" t="s">
        <v>1119</v>
      </c>
      <c r="F54" s="1042" t="s">
        <v>1120</v>
      </c>
      <c r="H54" s="1031"/>
      <c r="I54" s="1031"/>
      <c r="J54" s="481" t="s">
        <v>1032</v>
      </c>
      <c r="K54" s="482"/>
      <c r="L54" s="483"/>
    </row>
    <row r="55" ht="15.75" customHeight="1">
      <c r="B55" s="536" t="s">
        <v>999</v>
      </c>
      <c r="C55" s="525" t="s">
        <v>993</v>
      </c>
      <c r="D55" s="553" t="s">
        <v>410</v>
      </c>
      <c r="E55" s="554" t="s">
        <v>1121</v>
      </c>
      <c r="F55" s="1042" t="s">
        <v>1122</v>
      </c>
      <c r="H55" s="1031"/>
      <c r="I55" s="1031"/>
      <c r="J55" s="481"/>
      <c r="K55" s="482"/>
      <c r="L55" s="483"/>
    </row>
    <row r="56" ht="15.75" customHeight="1">
      <c r="B56" s="474" t="s">
        <v>414</v>
      </c>
      <c r="C56" s="475" t="s">
        <v>886</v>
      </c>
      <c r="D56" s="553" t="s">
        <v>400</v>
      </c>
      <c r="E56" s="554" t="s">
        <v>502</v>
      </c>
      <c r="F56" s="1042" t="s">
        <v>1123</v>
      </c>
      <c r="H56" s="1031"/>
      <c r="I56" s="1031"/>
      <c r="J56" s="489" t="s">
        <v>1124</v>
      </c>
      <c r="K56" s="482"/>
      <c r="L56" s="490"/>
    </row>
    <row r="57" ht="15.75" customHeight="1">
      <c r="B57" s="474" t="s">
        <v>413</v>
      </c>
      <c r="C57" s="475" t="s">
        <v>999</v>
      </c>
      <c r="D57" s="553" t="s">
        <v>396</v>
      </c>
      <c r="E57" s="554" t="s">
        <v>1125</v>
      </c>
      <c r="F57" s="1042" t="s">
        <v>1126</v>
      </c>
      <c r="H57" s="1025"/>
      <c r="I57" s="1025"/>
      <c r="J57" s="489" t="s">
        <v>1044</v>
      </c>
      <c r="K57" s="482"/>
      <c r="L57" s="490"/>
    </row>
    <row r="58" ht="15.75" customHeight="1">
      <c r="B58" s="1044" t="s">
        <v>413</v>
      </c>
      <c r="C58" s="1045" t="s">
        <v>1062</v>
      </c>
      <c r="D58" s="558" t="s">
        <v>410</v>
      </c>
      <c r="E58" s="554" t="s">
        <v>1127</v>
      </c>
      <c r="F58" s="1042" t="s">
        <v>1128</v>
      </c>
      <c r="G58" s="555"/>
      <c r="H58" s="1025"/>
      <c r="I58" s="1025"/>
      <c r="J58" s="489" t="s">
        <v>1044</v>
      </c>
      <c r="K58" s="482"/>
      <c r="L58" s="490"/>
    </row>
    <row r="59" ht="15.75" customHeight="1">
      <c r="B59" s="491" t="s">
        <v>986</v>
      </c>
      <c r="C59" s="559" t="s">
        <v>999</v>
      </c>
      <c r="D59" s="560" t="s">
        <v>449</v>
      </c>
      <c r="E59" s="554" t="s">
        <v>1129</v>
      </c>
      <c r="F59" s="1042" t="s">
        <v>1130</v>
      </c>
      <c r="G59" s="555"/>
      <c r="H59" s="1025"/>
      <c r="I59" s="1025"/>
      <c r="J59" s="489"/>
      <c r="K59" s="482"/>
      <c r="L59" s="490"/>
    </row>
    <row r="60" ht="15.75" customHeight="1">
      <c r="B60" s="474" t="s">
        <v>999</v>
      </c>
      <c r="C60" s="478" t="s">
        <v>1062</v>
      </c>
      <c r="D60" s="553" t="s">
        <v>400</v>
      </c>
      <c r="E60" s="554" t="s">
        <v>1131</v>
      </c>
      <c r="F60" s="1042" t="s">
        <v>1132</v>
      </c>
      <c r="G60" s="555"/>
      <c r="H60" s="1025"/>
      <c r="I60" s="1025"/>
      <c r="J60" s="489"/>
      <c r="K60" s="482"/>
      <c r="L60" s="490"/>
    </row>
    <row r="61" ht="15.75" customHeight="1">
      <c r="B61" s="536" t="s">
        <v>65</v>
      </c>
      <c r="C61" s="538" t="s">
        <v>1024</v>
      </c>
      <c r="D61" s="553" t="s">
        <v>501</v>
      </c>
      <c r="E61" s="554" t="s">
        <v>669</v>
      </c>
      <c r="F61" s="1042" t="s">
        <v>1133</v>
      </c>
      <c r="G61" s="555"/>
      <c r="H61" s="1025"/>
      <c r="I61" s="1025"/>
      <c r="J61" s="489" t="s">
        <v>1134</v>
      </c>
      <c r="K61" s="482"/>
      <c r="L61" s="490"/>
    </row>
    <row r="62" ht="15.75" customHeight="1">
      <c r="B62" s="474" t="s">
        <v>1024</v>
      </c>
      <c r="C62" s="478" t="s">
        <v>886</v>
      </c>
      <c r="D62" s="553" t="s">
        <v>434</v>
      </c>
      <c r="E62" s="554" t="s">
        <v>1135</v>
      </c>
      <c r="F62" s="1042" t="s">
        <v>1136</v>
      </c>
      <c r="G62" s="555"/>
      <c r="H62" s="1025"/>
      <c r="I62" s="1025"/>
      <c r="J62" s="489"/>
      <c r="K62" s="482" t="s">
        <v>1134</v>
      </c>
      <c r="L62" s="490"/>
    </row>
    <row r="63" ht="15.75" customHeight="1">
      <c r="B63" s="474" t="s">
        <v>65</v>
      </c>
      <c r="C63" s="478" t="s">
        <v>43</v>
      </c>
      <c r="D63" s="553" t="s">
        <v>396</v>
      </c>
      <c r="E63" s="554" t="s">
        <v>1137</v>
      </c>
      <c r="F63" s="1042" t="s">
        <v>1138</v>
      </c>
      <c r="G63" s="555"/>
      <c r="H63" s="1025"/>
      <c r="I63" s="1025"/>
      <c r="J63" s="489"/>
      <c r="K63" s="482" t="s">
        <v>1139</v>
      </c>
      <c r="L63" s="490"/>
    </row>
    <row r="64" ht="15.75" customHeight="1">
      <c r="B64" s="474" t="s">
        <v>43</v>
      </c>
      <c r="C64" s="478" t="s">
        <v>65</v>
      </c>
      <c r="D64" s="553" t="s">
        <v>434</v>
      </c>
      <c r="E64" s="554" t="s">
        <v>1140</v>
      </c>
      <c r="F64" s="1042" t="s">
        <v>1141</v>
      </c>
      <c r="G64" s="555"/>
      <c r="H64" s="1025"/>
      <c r="I64" s="1025"/>
      <c r="J64" s="489"/>
      <c r="K64" s="482" t="s">
        <v>1139</v>
      </c>
      <c r="L64" s="490"/>
    </row>
    <row r="65" ht="15.75" customHeight="1">
      <c r="B65" s="474" t="s">
        <v>413</v>
      </c>
      <c r="C65" s="478" t="s">
        <v>65</v>
      </c>
      <c r="D65" s="553" t="s">
        <v>396</v>
      </c>
      <c r="E65" s="554" t="s">
        <v>1142</v>
      </c>
      <c r="F65" s="1042" t="s">
        <v>1143</v>
      </c>
      <c r="G65" s="555"/>
      <c r="H65" s="1025"/>
      <c r="I65" s="1025"/>
      <c r="J65" s="489"/>
      <c r="K65" s="482"/>
      <c r="L65" s="490"/>
    </row>
    <row r="66" ht="15.75" customHeight="1">
      <c r="B66" s="474" t="s">
        <v>1017</v>
      </c>
      <c r="C66" s="478" t="s">
        <v>65</v>
      </c>
      <c r="D66" s="553" t="s">
        <v>396</v>
      </c>
      <c r="E66" s="554" t="s">
        <v>1144</v>
      </c>
      <c r="F66" s="1042" t="s">
        <v>1145</v>
      </c>
      <c r="G66" s="555"/>
      <c r="H66" s="1025"/>
      <c r="I66" s="1025"/>
      <c r="J66" s="489" t="s">
        <v>1146</v>
      </c>
      <c r="K66" s="482"/>
      <c r="L66" s="490"/>
    </row>
    <row r="67" ht="15.75" customHeight="1">
      <c r="B67" s="474" t="s">
        <v>886</v>
      </c>
      <c r="C67" s="478" t="s">
        <v>999</v>
      </c>
      <c r="D67" s="553" t="s">
        <v>415</v>
      </c>
      <c r="E67" s="554" t="s">
        <v>1147</v>
      </c>
      <c r="F67" s="1042" t="s">
        <v>1148</v>
      </c>
      <c r="G67" s="555"/>
      <c r="H67" s="1025"/>
      <c r="I67" s="1025"/>
      <c r="J67" s="489"/>
      <c r="K67" s="482" t="s">
        <v>1149</v>
      </c>
      <c r="L67" s="490"/>
    </row>
    <row r="68" ht="15.75" customHeight="1">
      <c r="B68" s="474" t="s">
        <v>999</v>
      </c>
      <c r="C68" s="478" t="s">
        <v>886</v>
      </c>
      <c r="D68" s="553" t="s">
        <v>434</v>
      </c>
      <c r="E68" s="554" t="s">
        <v>1150</v>
      </c>
      <c r="F68" s="1042" t="s">
        <v>1151</v>
      </c>
      <c r="G68" s="555"/>
      <c r="H68" s="1025"/>
      <c r="I68" s="1025"/>
      <c r="J68" s="489" t="s">
        <v>1149</v>
      </c>
      <c r="K68" s="482"/>
      <c r="L68" s="490"/>
    </row>
    <row r="69" ht="15.75" customHeight="1">
      <c r="B69" s="536" t="s">
        <v>1152</v>
      </c>
      <c r="C69" s="538" t="s">
        <v>1024</v>
      </c>
      <c r="D69" s="553" t="s">
        <v>1153</v>
      </c>
      <c r="E69" s="554" t="s">
        <v>1154</v>
      </c>
      <c r="F69" s="1042" t="s">
        <v>1155</v>
      </c>
      <c r="G69" s="555"/>
      <c r="H69" s="1025" t="s">
        <v>1156</v>
      </c>
      <c r="I69" s="1025"/>
      <c r="J69" s="489"/>
      <c r="K69" s="482" t="s">
        <v>1007</v>
      </c>
      <c r="L69" s="490"/>
    </row>
    <row r="70" ht="15.75" customHeight="1">
      <c r="B70" s="536" t="s">
        <v>1157</v>
      </c>
      <c r="C70" s="538" t="s">
        <v>1024</v>
      </c>
      <c r="D70" s="553" t="s">
        <v>1158</v>
      </c>
      <c r="E70" s="554" t="s">
        <v>1159</v>
      </c>
      <c r="F70" s="1042" t="s">
        <v>1160</v>
      </c>
      <c r="G70" s="555"/>
      <c r="H70" s="1025" t="s">
        <v>1156</v>
      </c>
      <c r="I70" s="1025"/>
      <c r="J70" s="489"/>
      <c r="K70" s="482"/>
      <c r="L70" s="490"/>
    </row>
    <row r="71" ht="15.75" customHeight="1">
      <c r="B71" s="536" t="s">
        <v>999</v>
      </c>
      <c r="C71" s="538" t="s">
        <v>1017</v>
      </c>
      <c r="D71" s="553" t="s">
        <v>501</v>
      </c>
      <c r="E71" s="554" t="s">
        <v>1161</v>
      </c>
      <c r="F71" s="1042" t="s">
        <v>1162</v>
      </c>
      <c r="G71" s="555"/>
      <c r="H71" s="1025"/>
      <c r="I71" s="1025"/>
      <c r="J71" s="489" t="s">
        <v>1163</v>
      </c>
      <c r="K71" s="482"/>
      <c r="L71" s="490"/>
    </row>
    <row r="72" ht="15.75" customHeight="1">
      <c r="B72" s="536" t="s">
        <v>413</v>
      </c>
      <c r="C72" s="538" t="s">
        <v>1024</v>
      </c>
      <c r="D72" s="553" t="s">
        <v>410</v>
      </c>
      <c r="E72" s="554" t="s">
        <v>1164</v>
      </c>
      <c r="F72" s="1042" t="s">
        <v>1165</v>
      </c>
      <c r="G72" s="555"/>
      <c r="H72" s="1025"/>
      <c r="I72" s="1025"/>
      <c r="J72" s="489"/>
      <c r="K72" s="482" t="s">
        <v>1166</v>
      </c>
      <c r="L72" s="490"/>
    </row>
    <row r="73" ht="15.75" customHeight="1">
      <c r="B73" s="536" t="s">
        <v>1024</v>
      </c>
      <c r="C73" s="538" t="s">
        <v>999</v>
      </c>
      <c r="D73" s="553" t="s">
        <v>449</v>
      </c>
      <c r="E73" s="554" t="s">
        <v>1167</v>
      </c>
      <c r="F73" s="1042" t="s">
        <v>1168</v>
      </c>
      <c r="G73" s="555"/>
      <c r="H73" s="1025"/>
      <c r="I73" s="1025"/>
      <c r="J73" s="489"/>
      <c r="K73" s="482"/>
      <c r="L73" s="490"/>
    </row>
    <row r="74" ht="15.75" customHeight="1">
      <c r="A74" s="1037"/>
      <c r="B74" s="521"/>
      <c r="C74" s="449"/>
      <c r="D74" s="450"/>
      <c r="E74" s="451"/>
      <c r="F74" s="1014"/>
      <c r="G74" s="522"/>
      <c r="H74" s="1015"/>
      <c r="I74" s="1015"/>
      <c r="J74" s="454"/>
      <c r="K74" s="455"/>
      <c r="L74" s="456"/>
    </row>
    <row r="75" ht="15.75" customHeight="1">
      <c r="A75" s="433" t="s">
        <v>295</v>
      </c>
      <c r="B75" s="536" t="s">
        <v>414</v>
      </c>
      <c r="C75" s="538" t="s">
        <v>1017</v>
      </c>
      <c r="D75" s="553" t="s">
        <v>437</v>
      </c>
      <c r="E75" s="554" t="s">
        <v>1169</v>
      </c>
      <c r="F75" s="1042" t="s">
        <v>1170</v>
      </c>
      <c r="G75" s="555"/>
      <c r="H75" s="1025"/>
      <c r="I75" s="1025"/>
      <c r="J75" s="489" t="s">
        <v>1171</v>
      </c>
      <c r="K75" s="482"/>
      <c r="L75" s="490" t="str">
        <f>AVERAGE(K3:K14,K16:K39,K36:K50,K52:K57,K92:K101,K131:K150)/60</f>
        <v>#DIV/0!</v>
      </c>
    </row>
    <row r="76" ht="15.75" customHeight="1">
      <c r="B76" s="536" t="s">
        <v>1017</v>
      </c>
      <c r="C76" s="538" t="s">
        <v>414</v>
      </c>
      <c r="D76" s="553" t="s">
        <v>396</v>
      </c>
      <c r="E76" s="554" t="s">
        <v>1172</v>
      </c>
      <c r="F76" s="1042" t="s">
        <v>1173</v>
      </c>
      <c r="G76" s="555"/>
      <c r="H76" s="1025"/>
      <c r="I76" s="1025"/>
      <c r="J76" s="489"/>
      <c r="K76" s="482" t="s">
        <v>1171</v>
      </c>
      <c r="L76" s="490">
        <f>MIN(K3:K14,K16:K39,K36:K50,K52:K57,K92:K101,K131:K150)/60</f>
        <v>0</v>
      </c>
    </row>
    <row r="77" ht="15.75" customHeight="1">
      <c r="B77" s="536" t="s">
        <v>1017</v>
      </c>
      <c r="C77" s="538" t="s">
        <v>999</v>
      </c>
      <c r="D77" s="553" t="s">
        <v>396</v>
      </c>
      <c r="E77" s="554" t="s">
        <v>1174</v>
      </c>
      <c r="F77" s="1042" t="s">
        <v>1175</v>
      </c>
      <c r="G77" s="555"/>
      <c r="H77" s="1025"/>
      <c r="I77" s="1025"/>
      <c r="J77" s="489"/>
      <c r="K77" s="482" t="s">
        <v>1139</v>
      </c>
      <c r="L77" s="490">
        <f>MAX(K3:K14,K16:K39,K36:K50,K52:K57,K92:K101,K131:K150)/60</f>
        <v>0</v>
      </c>
    </row>
    <row r="78" ht="15.75" customHeight="1">
      <c r="B78" s="536" t="s">
        <v>999</v>
      </c>
      <c r="C78" s="565" t="s">
        <v>413</v>
      </c>
      <c r="D78" s="558" t="s">
        <v>415</v>
      </c>
      <c r="E78" s="554" t="s">
        <v>1176</v>
      </c>
      <c r="F78" s="1042" t="s">
        <v>1177</v>
      </c>
      <c r="G78" s="433"/>
      <c r="H78" s="1025"/>
      <c r="I78" s="1025"/>
      <c r="J78" s="489"/>
      <c r="K78" s="563" t="s">
        <v>1044</v>
      </c>
      <c r="L78" s="490"/>
    </row>
    <row r="79" ht="15.75" customHeight="1">
      <c r="B79" s="536" t="s">
        <v>1178</v>
      </c>
      <c r="C79" s="508" t="s">
        <v>43</v>
      </c>
      <c r="D79" s="558" t="s">
        <v>1179</v>
      </c>
      <c r="E79" s="554" t="s">
        <v>514</v>
      </c>
      <c r="F79" s="1042" t="s">
        <v>1180</v>
      </c>
      <c r="G79" s="433"/>
      <c r="H79" s="1025"/>
      <c r="I79" s="1025"/>
      <c r="J79" s="489"/>
      <c r="K79" s="563"/>
      <c r="L79" s="490"/>
    </row>
    <row r="80" ht="15.75" customHeight="1">
      <c r="B80" s="536" t="s">
        <v>1181</v>
      </c>
      <c r="C80" s="583" t="s">
        <v>43</v>
      </c>
      <c r="D80" s="558" t="s">
        <v>1182</v>
      </c>
      <c r="E80" s="554" t="s">
        <v>1183</v>
      </c>
      <c r="F80" s="1042" t="s">
        <v>1184</v>
      </c>
      <c r="G80" s="433"/>
      <c r="H80" s="1025"/>
      <c r="I80" s="1025"/>
      <c r="J80" s="489"/>
      <c r="K80" s="563"/>
      <c r="L80" s="490"/>
    </row>
    <row r="81" ht="15.75" customHeight="1">
      <c r="B81" s="474" t="s">
        <v>43</v>
      </c>
      <c r="C81" s="508" t="s">
        <v>1062</v>
      </c>
      <c r="D81" s="558" t="s">
        <v>400</v>
      </c>
      <c r="E81" s="554" t="s">
        <v>1185</v>
      </c>
      <c r="F81" s="1042" t="s">
        <v>1186</v>
      </c>
      <c r="G81" s="433"/>
      <c r="H81" s="1025"/>
      <c r="I81" s="1025"/>
      <c r="J81" s="489"/>
      <c r="K81" s="563"/>
      <c r="L81" s="490"/>
    </row>
    <row r="82" ht="15.75" customHeight="1">
      <c r="B82" s="474"/>
      <c r="C82" s="508"/>
      <c r="D82" s="558"/>
      <c r="E82" s="554"/>
      <c r="F82" s="1043"/>
      <c r="G82" s="433"/>
      <c r="H82" s="1025"/>
      <c r="I82" s="1025"/>
      <c r="J82" s="489"/>
      <c r="K82" s="563"/>
      <c r="L82" s="490"/>
    </row>
    <row r="83" ht="15.75" customHeight="1">
      <c r="B83" s="474"/>
      <c r="C83" s="508"/>
      <c r="D83" s="558"/>
      <c r="E83" s="554"/>
      <c r="F83" s="1043"/>
      <c r="G83" s="433"/>
      <c r="H83" s="1025"/>
      <c r="I83" s="1025"/>
      <c r="J83" s="489"/>
      <c r="K83" s="563"/>
      <c r="L83" s="490"/>
    </row>
    <row r="84" ht="15.75" customHeight="1">
      <c r="B84" s="474"/>
      <c r="C84" s="508"/>
      <c r="D84" s="558"/>
      <c r="E84" s="554"/>
      <c r="F84" s="1043"/>
      <c r="G84" s="433"/>
      <c r="H84" s="1025"/>
      <c r="I84" s="1025"/>
      <c r="J84" s="489"/>
      <c r="K84" s="563"/>
      <c r="L84" s="490"/>
    </row>
    <row r="85" ht="15.75" customHeight="1">
      <c r="B85" s="474"/>
      <c r="C85" s="508"/>
      <c r="D85" s="558"/>
      <c r="E85" s="554"/>
      <c r="F85" s="1043"/>
      <c r="G85" s="433"/>
      <c r="H85" s="1025"/>
      <c r="I85" s="1025"/>
      <c r="J85" s="489"/>
      <c r="K85" s="563"/>
      <c r="L85" s="490"/>
    </row>
    <row r="86" ht="15.75" customHeight="1">
      <c r="B86" s="474"/>
      <c r="C86" s="508"/>
      <c r="D86" s="558"/>
      <c r="E86" s="554"/>
      <c r="F86" s="1043"/>
      <c r="G86" s="433"/>
      <c r="H86" s="1025"/>
      <c r="I86" s="1025"/>
      <c r="J86" s="489"/>
      <c r="K86" s="563"/>
      <c r="L86" s="490"/>
    </row>
    <row r="87" ht="15.75" customHeight="1">
      <c r="A87" s="433"/>
      <c r="B87" s="474"/>
      <c r="C87" s="508"/>
      <c r="D87" s="558"/>
      <c r="E87" s="554"/>
      <c r="F87" s="1043"/>
      <c r="G87" s="433"/>
      <c r="H87" s="1025"/>
      <c r="I87" s="1025"/>
      <c r="J87" s="489"/>
      <c r="K87" s="563"/>
      <c r="L87" s="490"/>
    </row>
    <row r="88" ht="15.75" customHeight="1">
      <c r="A88" s="433"/>
      <c r="B88" s="474"/>
      <c r="C88" s="508"/>
      <c r="D88" s="567"/>
      <c r="E88" s="554"/>
      <c r="F88" s="1043"/>
      <c r="G88" s="433"/>
      <c r="H88" s="1025"/>
      <c r="I88" s="1025"/>
      <c r="J88" s="489"/>
      <c r="K88" s="563"/>
      <c r="L88" s="490"/>
    </row>
    <row r="89" ht="15.75" customHeight="1">
      <c r="A89" s="54"/>
      <c r="B89" s="571"/>
      <c r="C89" s="572"/>
      <c r="D89" s="573"/>
      <c r="E89" s="574"/>
      <c r="F89" s="1046"/>
      <c r="G89" s="1"/>
      <c r="H89" s="1047"/>
      <c r="I89" s="1047"/>
      <c r="J89" s="577"/>
      <c r="K89" s="578"/>
      <c r="L89" s="566"/>
    </row>
    <row r="90" ht="15.75" customHeight="1">
      <c r="A90" s="433" t="s">
        <v>573</v>
      </c>
      <c r="B90" s="474"/>
      <c r="C90" s="475"/>
      <c r="D90" s="553"/>
      <c r="E90" s="554"/>
      <c r="F90" s="1043"/>
      <c r="G90" s="433"/>
      <c r="H90" s="1025"/>
      <c r="I90" s="1025"/>
      <c r="J90" s="481"/>
      <c r="K90" s="482"/>
      <c r="L90" s="483"/>
    </row>
    <row r="91" ht="15.75" customHeight="1">
      <c r="B91" s="536"/>
      <c r="C91" s="525"/>
      <c r="D91" s="553"/>
      <c r="E91" s="554"/>
      <c r="F91" s="1043"/>
      <c r="H91" s="1025"/>
      <c r="I91" s="1025"/>
      <c r="J91" s="481"/>
      <c r="K91" s="482"/>
      <c r="L91" s="483"/>
    </row>
    <row r="92" ht="15.75" customHeight="1">
      <c r="B92" s="474"/>
      <c r="C92" s="475"/>
      <c r="D92" s="553"/>
      <c r="E92" s="554"/>
      <c r="F92" s="1043"/>
      <c r="H92" s="1025"/>
      <c r="I92" s="1025"/>
      <c r="J92" s="481"/>
      <c r="K92" s="482"/>
      <c r="L92" s="483"/>
    </row>
    <row r="93" ht="15.75" customHeight="1">
      <c r="B93" s="536"/>
      <c r="C93" s="525"/>
      <c r="D93" s="553"/>
      <c r="E93" s="554"/>
      <c r="F93" s="1043"/>
      <c r="H93" s="1025"/>
      <c r="I93" s="1025"/>
      <c r="J93" s="489"/>
      <c r="K93" s="482"/>
      <c r="L93" s="490"/>
    </row>
    <row r="94" ht="15.75" customHeight="1">
      <c r="B94" s="474"/>
      <c r="C94" s="475"/>
      <c r="D94" s="553"/>
      <c r="E94" s="554"/>
      <c r="F94" s="1043"/>
      <c r="H94" s="1025"/>
      <c r="I94" s="1025"/>
      <c r="J94" s="489"/>
      <c r="K94" s="482"/>
      <c r="L94" s="490"/>
    </row>
    <row r="95" ht="15.75" customHeight="1">
      <c r="B95" s="536"/>
      <c r="C95" s="525"/>
      <c r="D95" s="553"/>
      <c r="E95" s="554"/>
      <c r="F95" s="1043"/>
      <c r="H95" s="1025"/>
      <c r="I95" s="1025"/>
      <c r="J95" s="489"/>
      <c r="K95" s="482"/>
      <c r="L95" s="490"/>
    </row>
    <row r="96" ht="15.75" customHeight="1">
      <c r="B96" s="474"/>
      <c r="C96" s="475"/>
      <c r="D96" s="553"/>
      <c r="E96" s="554"/>
      <c r="F96" s="1043"/>
      <c r="H96" s="1025"/>
      <c r="I96" s="1025"/>
      <c r="J96" s="489"/>
      <c r="K96" s="482"/>
      <c r="L96" s="490"/>
    </row>
    <row r="97" ht="15.75" customHeight="1">
      <c r="B97" s="536"/>
      <c r="C97" s="525"/>
      <c r="D97" s="553"/>
      <c r="E97" s="554"/>
      <c r="F97" s="1043"/>
      <c r="H97" s="1025"/>
      <c r="I97" s="1025"/>
      <c r="J97" s="489"/>
      <c r="K97" s="482"/>
      <c r="L97" s="490"/>
    </row>
    <row r="98" ht="15.75" customHeight="1">
      <c r="B98" s="536"/>
      <c r="C98" s="525"/>
      <c r="D98" s="553"/>
      <c r="E98" s="554"/>
      <c r="F98" s="1043"/>
      <c r="H98" s="1025"/>
      <c r="I98" s="1025"/>
      <c r="J98" s="489"/>
      <c r="K98" s="482"/>
      <c r="L98" s="1048"/>
    </row>
    <row r="99" ht="15.75" customHeight="1">
      <c r="B99" s="474"/>
      <c r="C99" s="475"/>
      <c r="D99" s="553"/>
      <c r="E99" s="554"/>
      <c r="F99" s="1043"/>
      <c r="H99" s="1025"/>
      <c r="I99" s="1025"/>
      <c r="J99" s="489"/>
      <c r="K99" s="482"/>
      <c r="L99" s="1049"/>
    </row>
    <row r="100" ht="15.75" customHeight="1">
      <c r="B100" s="580"/>
      <c r="C100" s="570"/>
      <c r="D100" s="569"/>
      <c r="E100" s="554"/>
      <c r="F100" s="1043"/>
      <c r="H100" s="1025"/>
      <c r="I100" s="1025"/>
      <c r="J100" s="489"/>
      <c r="K100" s="482"/>
      <c r="L100" s="1049"/>
    </row>
    <row r="101" ht="15.75" customHeight="1">
      <c r="B101" s="509"/>
      <c r="C101" s="568"/>
      <c r="D101" s="569"/>
      <c r="E101" s="554"/>
      <c r="F101" s="1043"/>
      <c r="H101" s="1025"/>
      <c r="I101" s="1025"/>
      <c r="J101" s="489"/>
      <c r="K101" s="482"/>
      <c r="L101" s="1049"/>
    </row>
    <row r="102" ht="15.75" customHeight="1">
      <c r="A102" s="433"/>
      <c r="B102" s="580"/>
      <c r="C102" s="570"/>
      <c r="D102" s="569"/>
      <c r="E102" s="554"/>
      <c r="F102" s="1043"/>
      <c r="G102" s="433"/>
      <c r="H102" s="1025"/>
      <c r="I102" s="1025"/>
      <c r="J102" s="489"/>
      <c r="K102" s="482"/>
      <c r="L102" s="1049"/>
    </row>
    <row r="103" ht="15.75" customHeight="1">
      <c r="A103" s="433"/>
      <c r="B103" s="509"/>
      <c r="C103" s="568"/>
      <c r="D103" s="569"/>
      <c r="E103" s="554"/>
      <c r="F103" s="1043"/>
      <c r="G103" s="433"/>
      <c r="H103" s="1025"/>
      <c r="I103" s="1025"/>
      <c r="J103" s="489"/>
      <c r="K103" s="482"/>
      <c r="L103" s="1049"/>
    </row>
    <row r="104" ht="15.75" customHeight="1">
      <c r="A104" s="433"/>
      <c r="B104" s="509"/>
      <c r="C104" s="568"/>
      <c r="D104" s="569"/>
      <c r="E104" s="554"/>
      <c r="F104" s="1043"/>
      <c r="G104" s="433"/>
      <c r="H104" s="1025"/>
      <c r="I104" s="1025"/>
      <c r="J104" s="489"/>
      <c r="K104" s="482"/>
      <c r="L104" s="1049"/>
    </row>
    <row r="105" ht="15.75" customHeight="1">
      <c r="A105" s="433"/>
      <c r="B105" s="580"/>
      <c r="C105" s="570"/>
      <c r="D105" s="569"/>
      <c r="E105" s="554"/>
      <c r="F105" s="1043"/>
      <c r="G105" s="433"/>
      <c r="H105" s="1025"/>
      <c r="I105" s="1025"/>
      <c r="J105" s="489"/>
      <c r="K105" s="482"/>
      <c r="L105" s="1049"/>
    </row>
    <row r="106" ht="15.75" customHeight="1">
      <c r="A106" s="433"/>
      <c r="B106" s="509"/>
      <c r="C106" s="568"/>
      <c r="D106" s="569"/>
      <c r="E106" s="554"/>
      <c r="F106" s="1043"/>
      <c r="G106" s="433"/>
      <c r="H106" s="1025"/>
      <c r="I106" s="1025"/>
      <c r="J106" s="489"/>
      <c r="K106" s="482"/>
      <c r="L106" s="1049"/>
    </row>
    <row r="107" ht="15.75" customHeight="1">
      <c r="A107" s="433"/>
      <c r="B107" s="509"/>
      <c r="C107" s="568"/>
      <c r="D107" s="569"/>
      <c r="E107" s="554"/>
      <c r="F107" s="1043"/>
      <c r="G107" s="433"/>
      <c r="H107" s="1025"/>
      <c r="I107" s="1025"/>
      <c r="J107" s="489"/>
      <c r="K107" s="482"/>
      <c r="L107" s="1049"/>
    </row>
    <row r="108" ht="15.75" customHeight="1">
      <c r="A108" s="433"/>
      <c r="B108" s="580"/>
      <c r="C108" s="570"/>
      <c r="D108" s="569"/>
      <c r="E108" s="554"/>
      <c r="F108" s="1043"/>
      <c r="G108" s="433"/>
      <c r="H108" s="1025"/>
      <c r="I108" s="1025"/>
      <c r="J108" s="489"/>
      <c r="K108" s="482"/>
      <c r="L108" s="1049"/>
    </row>
    <row r="109" ht="15.75" customHeight="1">
      <c r="A109" s="433"/>
      <c r="B109" s="509"/>
      <c r="C109" s="568"/>
      <c r="D109" s="569"/>
      <c r="E109" s="554"/>
      <c r="F109" s="1043"/>
      <c r="G109" s="433"/>
      <c r="H109" s="1025"/>
      <c r="I109" s="1025"/>
      <c r="J109" s="489"/>
      <c r="K109" s="482"/>
      <c r="L109" s="1049"/>
    </row>
    <row r="110" ht="15.75" customHeight="1">
      <c r="A110" s="433"/>
      <c r="B110" s="580"/>
      <c r="C110" s="570"/>
      <c r="D110" s="569"/>
      <c r="E110" s="554"/>
      <c r="F110" s="1043"/>
      <c r="G110" s="433"/>
      <c r="H110" s="1025"/>
      <c r="I110" s="1025"/>
      <c r="J110" s="489"/>
      <c r="K110" s="482"/>
      <c r="L110" s="1049"/>
    </row>
    <row r="111" ht="15.75" customHeight="1">
      <c r="A111" s="433"/>
      <c r="B111" s="580"/>
      <c r="C111" s="570"/>
      <c r="D111" s="569"/>
      <c r="E111" s="554"/>
      <c r="F111" s="1043"/>
      <c r="G111" s="433"/>
      <c r="H111" s="1025"/>
      <c r="I111" s="1025"/>
      <c r="J111" s="489"/>
      <c r="K111" s="482"/>
      <c r="L111" s="1049"/>
    </row>
    <row r="112" ht="15.75" customHeight="1">
      <c r="A112" s="433"/>
      <c r="B112" s="509"/>
      <c r="C112" s="568"/>
      <c r="D112" s="569"/>
      <c r="E112" s="554"/>
      <c r="F112" s="1043"/>
      <c r="G112" s="433"/>
      <c r="H112" s="1025"/>
      <c r="I112" s="1025"/>
      <c r="J112" s="489"/>
      <c r="K112" s="482"/>
      <c r="L112" s="1049"/>
    </row>
    <row r="113" ht="15.75" customHeight="1">
      <c r="A113" s="433"/>
      <c r="B113" s="509"/>
      <c r="C113" s="568"/>
      <c r="D113" s="569"/>
      <c r="E113" s="554"/>
      <c r="F113" s="1043"/>
      <c r="G113" s="433"/>
      <c r="H113" s="1025"/>
      <c r="I113" s="1025"/>
      <c r="J113" s="489"/>
      <c r="K113" s="482"/>
      <c r="L113" s="1049"/>
    </row>
    <row r="114" ht="15.75" customHeight="1">
      <c r="A114" s="433"/>
      <c r="B114" s="509"/>
      <c r="C114" s="568"/>
      <c r="D114" s="569"/>
      <c r="E114" s="554"/>
      <c r="F114" s="1043"/>
      <c r="G114" s="433"/>
      <c r="H114" s="1025"/>
      <c r="I114" s="1025"/>
      <c r="J114" s="489"/>
      <c r="K114" s="482"/>
      <c r="L114" s="1049"/>
    </row>
    <row r="115" ht="15.75" customHeight="1">
      <c r="A115" s="433"/>
      <c r="B115" s="580"/>
      <c r="C115" s="570"/>
      <c r="D115" s="569"/>
      <c r="E115" s="554"/>
      <c r="F115" s="1043"/>
      <c r="G115" s="433"/>
      <c r="H115" s="1025"/>
      <c r="I115" s="1025"/>
      <c r="J115" s="489"/>
      <c r="K115" s="482"/>
      <c r="L115" s="1049"/>
    </row>
    <row r="116" ht="15.75" customHeight="1">
      <c r="A116" s="433"/>
      <c r="B116" s="509"/>
      <c r="C116" s="568"/>
      <c r="D116" s="569"/>
      <c r="E116" s="554"/>
      <c r="F116" s="1043"/>
      <c r="G116" s="433"/>
      <c r="H116" s="1025"/>
      <c r="I116" s="1025"/>
      <c r="J116" s="489"/>
      <c r="K116" s="482"/>
      <c r="L116" s="1049"/>
    </row>
    <row r="117" ht="15.75" customHeight="1">
      <c r="A117" s="433"/>
      <c r="B117" s="580"/>
      <c r="C117" s="570"/>
      <c r="D117" s="569"/>
      <c r="E117" s="554"/>
      <c r="F117" s="1043"/>
      <c r="G117" s="433"/>
      <c r="H117" s="1025"/>
      <c r="I117" s="1025"/>
      <c r="J117" s="489"/>
      <c r="K117" s="482"/>
      <c r="L117" s="1049"/>
    </row>
    <row r="118" ht="16.5" customHeight="1">
      <c r="A118" s="433"/>
      <c r="B118" s="509"/>
      <c r="C118" s="568"/>
      <c r="D118" s="569"/>
      <c r="E118" s="554"/>
      <c r="F118" s="1043"/>
      <c r="G118" s="433"/>
      <c r="H118" s="1025"/>
      <c r="I118" s="1025"/>
      <c r="J118" s="489"/>
      <c r="K118" s="482"/>
      <c r="L118" s="1049"/>
    </row>
    <row r="119" ht="16.5" customHeight="1">
      <c r="A119" s="433"/>
      <c r="B119" s="580"/>
      <c r="C119" s="570"/>
      <c r="D119" s="569"/>
      <c r="E119" s="554"/>
      <c r="F119" s="1043"/>
      <c r="G119" s="433"/>
      <c r="H119" s="1025"/>
      <c r="I119" s="1025"/>
      <c r="J119" s="489"/>
      <c r="K119" s="482"/>
      <c r="L119" s="1049"/>
    </row>
    <row r="120" ht="16.5" customHeight="1">
      <c r="A120" s="433"/>
      <c r="B120" s="580"/>
      <c r="C120" s="570"/>
      <c r="D120" s="569"/>
      <c r="E120" s="554"/>
      <c r="F120" s="1043"/>
      <c r="G120" s="433"/>
      <c r="H120" s="1025"/>
      <c r="I120" s="1025"/>
      <c r="J120" s="489"/>
      <c r="K120" s="482"/>
      <c r="L120" s="1049"/>
    </row>
    <row r="121" ht="16.5" customHeight="1">
      <c r="A121" s="433"/>
      <c r="B121" s="509"/>
      <c r="C121" s="568"/>
      <c r="D121" s="569"/>
      <c r="E121" s="554"/>
      <c r="F121" s="1043"/>
      <c r="G121" s="433"/>
      <c r="H121" s="1025"/>
      <c r="I121" s="1025"/>
      <c r="J121" s="489"/>
      <c r="K121" s="482"/>
      <c r="L121" s="1049"/>
    </row>
    <row r="122" ht="16.5" customHeight="1">
      <c r="A122" s="433"/>
      <c r="B122" s="509"/>
      <c r="C122" s="568"/>
      <c r="D122" s="569"/>
      <c r="E122" s="554"/>
      <c r="F122" s="1043"/>
      <c r="G122" s="433"/>
      <c r="H122" s="1025"/>
      <c r="I122" s="1025"/>
      <c r="J122" s="489"/>
      <c r="K122" s="482"/>
      <c r="L122" s="1049"/>
    </row>
    <row r="123" ht="16.5" customHeight="1">
      <c r="A123" s="433"/>
      <c r="B123" s="509"/>
      <c r="C123" s="568"/>
      <c r="D123" s="569"/>
      <c r="E123" s="554"/>
      <c r="F123" s="1043"/>
      <c r="G123" s="433"/>
      <c r="H123" s="1025"/>
      <c r="I123" s="1025"/>
      <c r="J123" s="489"/>
      <c r="K123" s="482"/>
      <c r="L123" s="1049"/>
    </row>
    <row r="124" ht="16.5" customHeight="1">
      <c r="A124" s="433"/>
      <c r="B124" s="509"/>
      <c r="C124" s="568"/>
      <c r="D124" s="569"/>
      <c r="E124" s="554"/>
      <c r="F124" s="1043"/>
      <c r="G124" s="433"/>
      <c r="H124" s="1025"/>
      <c r="I124" s="1025"/>
      <c r="J124" s="489"/>
      <c r="K124" s="482"/>
      <c r="L124" s="1049"/>
    </row>
    <row r="125" ht="16.5" customHeight="1">
      <c r="A125" s="433"/>
      <c r="B125" s="509"/>
      <c r="C125" s="568"/>
      <c r="D125" s="569"/>
      <c r="E125" s="554"/>
      <c r="F125" s="1043"/>
      <c r="G125" s="433"/>
      <c r="H125" s="1025"/>
      <c r="I125" s="1025"/>
      <c r="J125" s="489"/>
      <c r="K125" s="482"/>
      <c r="L125" s="1049"/>
    </row>
    <row r="126" ht="16.5" customHeight="1">
      <c r="A126" s="433"/>
      <c r="B126" s="509"/>
      <c r="C126" s="568"/>
      <c r="D126" s="569"/>
      <c r="E126" s="554"/>
      <c r="F126" s="1043"/>
      <c r="G126" s="433"/>
      <c r="H126" s="1025"/>
      <c r="I126" s="1025"/>
      <c r="J126" s="489"/>
      <c r="K126" s="482"/>
      <c r="L126" s="1049"/>
    </row>
    <row r="127" ht="16.5" customHeight="1">
      <c r="A127" s="433"/>
      <c r="B127" s="509"/>
      <c r="C127" s="568"/>
      <c r="D127" s="569"/>
      <c r="E127" s="554"/>
      <c r="F127" s="1043"/>
      <c r="G127" s="433"/>
      <c r="H127" s="1025"/>
      <c r="I127" s="1025"/>
      <c r="J127" s="489"/>
      <c r="K127" s="482"/>
      <c r="L127" s="1049"/>
    </row>
    <row r="128" ht="16.5" customHeight="1">
      <c r="A128" s="433"/>
      <c r="B128" s="509"/>
      <c r="C128" s="568"/>
      <c r="D128" s="569"/>
      <c r="E128" s="554"/>
      <c r="F128" s="1043"/>
      <c r="G128" s="433"/>
      <c r="H128" s="1025"/>
      <c r="I128" s="1025"/>
      <c r="J128" s="489"/>
      <c r="K128" s="482"/>
      <c r="L128" s="1049"/>
    </row>
    <row r="129" ht="16.5" customHeight="1">
      <c r="A129" s="433"/>
      <c r="B129" s="524"/>
      <c r="C129" s="570"/>
      <c r="D129" s="569"/>
      <c r="E129" s="554"/>
      <c r="F129" s="1043"/>
      <c r="G129" s="433"/>
      <c r="H129" s="1025"/>
      <c r="I129" s="1025"/>
      <c r="J129" s="489"/>
      <c r="K129" s="482"/>
      <c r="L129" s="1049"/>
    </row>
    <row r="130" ht="15.75" customHeight="1">
      <c r="A130" s="54"/>
      <c r="B130" s="1050"/>
      <c r="C130" s="572"/>
      <c r="D130" s="573"/>
      <c r="E130" s="574"/>
      <c r="F130" s="1046"/>
      <c r="G130" s="1"/>
      <c r="H130" s="1047"/>
      <c r="I130" s="1047"/>
      <c r="J130" s="577"/>
      <c r="K130" s="578"/>
      <c r="L130" s="566"/>
    </row>
    <row r="131" ht="15.75" customHeight="1">
      <c r="A131" s="555" t="s">
        <v>1187</v>
      </c>
      <c r="B131" s="1051"/>
      <c r="C131" s="1052"/>
      <c r="D131" s="542"/>
      <c r="E131" s="1053"/>
      <c r="F131" s="1054"/>
      <c r="G131" s="433"/>
      <c r="H131" s="1055"/>
      <c r="I131" s="1055"/>
      <c r="J131" s="547"/>
      <c r="K131" s="482"/>
      <c r="L131" s="483"/>
    </row>
    <row r="132" ht="15.75" customHeight="1">
      <c r="B132" s="541"/>
      <c r="C132" s="1056"/>
      <c r="D132" s="542"/>
      <c r="E132" s="1053"/>
      <c r="F132" s="1054"/>
      <c r="H132" s="1047"/>
      <c r="I132" s="1047"/>
      <c r="J132" s="577"/>
      <c r="K132" s="482"/>
      <c r="L132" s="490"/>
    </row>
    <row r="133" ht="15.75" customHeight="1">
      <c r="B133" s="1051"/>
      <c r="C133" s="1052"/>
      <c r="D133" s="542"/>
      <c r="E133" s="1053"/>
      <c r="F133" s="1054"/>
      <c r="H133" s="1047"/>
      <c r="I133" s="1047"/>
      <c r="J133" s="577"/>
      <c r="K133" s="482"/>
      <c r="L133" s="490"/>
    </row>
    <row r="134" ht="15.75" customHeight="1">
      <c r="B134" s="1057"/>
      <c r="C134" s="1058"/>
      <c r="D134" s="542"/>
      <c r="E134" s="1053"/>
      <c r="F134" s="1054"/>
      <c r="H134" s="1047"/>
      <c r="I134" s="1047"/>
      <c r="J134" s="577"/>
      <c r="K134" s="482"/>
      <c r="L134" s="490"/>
    </row>
    <row r="135" ht="15.75" customHeight="1">
      <c r="B135" s="587"/>
      <c r="C135" s="1059"/>
      <c r="D135" s="1060"/>
      <c r="E135" s="1053"/>
      <c r="F135" s="1054"/>
      <c r="H135" s="1047"/>
      <c r="I135" s="1047"/>
      <c r="J135" s="577"/>
      <c r="K135" s="482"/>
      <c r="L135" s="490"/>
    </row>
    <row r="136" ht="15.75" customHeight="1">
      <c r="B136" s="54"/>
      <c r="C136" s="1059"/>
      <c r="D136" s="1060"/>
      <c r="E136" s="1053"/>
      <c r="F136" s="1054"/>
      <c r="H136" s="1047"/>
      <c r="I136" s="1047"/>
      <c r="J136" s="577"/>
      <c r="K136" s="482"/>
      <c r="L136" s="490"/>
    </row>
    <row r="137" ht="15.75" customHeight="1">
      <c r="B137" s="1059"/>
      <c r="C137" s="54"/>
      <c r="D137" s="542"/>
      <c r="E137" s="1053"/>
      <c r="F137" s="1054"/>
      <c r="H137" s="1047"/>
      <c r="I137" s="1047"/>
      <c r="J137" s="577"/>
      <c r="K137" s="482"/>
      <c r="L137" s="490"/>
    </row>
    <row r="138" ht="15.75" customHeight="1">
      <c r="B138" s="541"/>
      <c r="C138" s="1056"/>
      <c r="D138" s="542"/>
      <c r="E138" s="1053"/>
      <c r="F138" s="1054"/>
      <c r="H138" s="1047"/>
      <c r="I138" s="1047"/>
      <c r="J138" s="577"/>
      <c r="K138" s="482"/>
      <c r="L138" s="490"/>
    </row>
    <row r="139" ht="15.75" customHeight="1">
      <c r="B139" s="1051"/>
      <c r="C139" s="1052"/>
      <c r="D139" s="542"/>
      <c r="E139" s="1053"/>
      <c r="F139" s="1054"/>
      <c r="H139" s="1047"/>
      <c r="I139" s="1047"/>
      <c r="J139" s="577"/>
      <c r="K139" s="482"/>
      <c r="L139" s="490"/>
    </row>
    <row r="140" ht="15.75" customHeight="1">
      <c r="B140" s="541"/>
      <c r="C140" s="1056"/>
      <c r="D140" s="542"/>
      <c r="E140" s="1053"/>
      <c r="F140" s="1054"/>
      <c r="H140" s="1047"/>
      <c r="I140" s="1047"/>
      <c r="J140" s="577"/>
      <c r="K140" s="482"/>
      <c r="L140" s="490"/>
    </row>
    <row r="141" ht="15.75" customHeight="1">
      <c r="B141" s="1051"/>
      <c r="C141" s="1052"/>
      <c r="D141" s="542"/>
      <c r="E141" s="1053"/>
      <c r="F141" s="1054"/>
      <c r="H141" s="1047"/>
      <c r="I141" s="1047"/>
      <c r="J141" s="577"/>
      <c r="K141" s="482"/>
      <c r="L141" s="490"/>
    </row>
    <row r="142" ht="15.75" customHeight="1">
      <c r="B142" s="1051"/>
      <c r="C142" s="1052"/>
      <c r="D142" s="542"/>
      <c r="E142" s="1053"/>
      <c r="F142" s="1054"/>
      <c r="H142" s="1047"/>
      <c r="I142" s="1047"/>
      <c r="J142" s="577"/>
      <c r="K142" s="482"/>
      <c r="L142" s="490"/>
    </row>
    <row r="143" ht="15.75" customHeight="1">
      <c r="B143" s="541"/>
      <c r="C143" s="1056"/>
      <c r="D143" s="542"/>
      <c r="E143" s="1053"/>
      <c r="F143" s="1054"/>
      <c r="H143" s="1047"/>
      <c r="I143" s="1047"/>
      <c r="J143" s="577"/>
      <c r="K143" s="482"/>
      <c r="L143" s="490"/>
    </row>
    <row r="144" ht="15.75" customHeight="1">
      <c r="B144" s="541"/>
      <c r="C144" s="1056"/>
      <c r="D144" s="542"/>
      <c r="E144" s="1053"/>
      <c r="F144" s="1054"/>
      <c r="H144" s="1047"/>
      <c r="I144" s="1047"/>
      <c r="J144" s="577"/>
      <c r="K144" s="482"/>
      <c r="L144" s="490"/>
    </row>
    <row r="145" ht="15.75" customHeight="1">
      <c r="B145" s="541"/>
      <c r="C145" s="1052"/>
      <c r="D145" s="542"/>
      <c r="E145" s="1053"/>
      <c r="F145" s="1054"/>
      <c r="H145" s="1047"/>
      <c r="I145" s="1047"/>
      <c r="J145" s="577"/>
      <c r="K145" s="482"/>
      <c r="L145" s="490"/>
    </row>
    <row r="146" ht="15.75" customHeight="1">
      <c r="A146" s="555"/>
      <c r="B146" s="541"/>
      <c r="C146" s="1052"/>
      <c r="D146" s="1061"/>
      <c r="E146" s="1062"/>
      <c r="F146" s="1047"/>
      <c r="G146" s="433"/>
      <c r="H146" s="1047"/>
      <c r="I146" s="1047"/>
      <c r="J146" s="577"/>
      <c r="K146" s="482"/>
      <c r="L146" s="490"/>
    </row>
    <row r="147" ht="15.75" customHeight="1">
      <c r="A147" s="555"/>
      <c r="B147" s="541"/>
      <c r="C147" s="1052"/>
      <c r="D147" s="1061"/>
      <c r="E147" s="1062"/>
      <c r="F147" s="1047"/>
      <c r="G147" s="433"/>
      <c r="H147" s="1047"/>
      <c r="I147" s="1047"/>
      <c r="J147" s="577"/>
      <c r="K147" s="482"/>
      <c r="L147" s="490"/>
    </row>
    <row r="148" ht="15.75" customHeight="1">
      <c r="A148" s="555"/>
      <c r="B148" s="541"/>
      <c r="C148" s="1052"/>
      <c r="D148" s="1061"/>
      <c r="E148" s="1062"/>
      <c r="F148" s="1047"/>
      <c r="G148" s="433"/>
      <c r="H148" s="1047"/>
      <c r="I148" s="1047"/>
      <c r="J148" s="577"/>
      <c r="K148" s="482"/>
      <c r="L148" s="490"/>
    </row>
    <row r="149" ht="15.75" customHeight="1">
      <c r="A149" s="555"/>
      <c r="B149" s="616"/>
      <c r="C149" s="1058"/>
      <c r="D149" s="1061"/>
      <c r="E149" s="1062"/>
      <c r="F149" s="1047"/>
      <c r="G149" s="433"/>
      <c r="H149" s="1047"/>
      <c r="I149" s="1047"/>
      <c r="J149" s="577"/>
      <c r="K149" s="482"/>
      <c r="L149" s="490"/>
    </row>
    <row r="150" ht="15.75" customHeight="1">
      <c r="A150" s="54"/>
      <c r="B150" s="1050"/>
      <c r="C150" s="572"/>
      <c r="D150" s="573"/>
      <c r="E150" s="574"/>
      <c r="F150" s="1046"/>
      <c r="G150" s="1"/>
      <c r="H150" s="1047"/>
      <c r="I150" s="1047"/>
      <c r="J150" s="577"/>
      <c r="K150" s="482"/>
      <c r="L150" s="490"/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C2:D2"/>
    <mergeCell ref="A3:A13"/>
    <mergeCell ref="G3:G14"/>
    <mergeCell ref="A15:A30"/>
    <mergeCell ref="C15:D15"/>
    <mergeCell ref="G16:G30"/>
    <mergeCell ref="A36:A48"/>
    <mergeCell ref="G52:G57"/>
    <mergeCell ref="G90:G101"/>
    <mergeCell ref="G131:G145"/>
    <mergeCell ref="C35:D35"/>
    <mergeCell ref="C51:D51"/>
    <mergeCell ref="A52:A73"/>
    <mergeCell ref="C74:D74"/>
    <mergeCell ref="A75:A86"/>
    <mergeCell ref="A90:A101"/>
    <mergeCell ref="A131:A145"/>
  </mergeCells>
  <conditionalFormatting sqref="F1:F17 F35 F42:F150">
    <cfRule type="cellIs" dxfId="6" priority="1" operator="equal">
      <formula>"Sandbox"</formula>
    </cfRule>
  </conditionalFormatting>
  <conditionalFormatting sqref="F1:F17 F35 F42:F150">
    <cfRule type="cellIs" dxfId="7" priority="2" operator="equal">
      <formula>"Foundry"</formula>
    </cfRule>
  </conditionalFormatting>
  <hyperlinks>
    <hyperlink r:id="rId1" ref="F3"/>
    <hyperlink r:id="rId2" ref="H3"/>
    <hyperlink r:id="rId3" ref="F4"/>
    <hyperlink r:id="rId4" ref="H4"/>
    <hyperlink r:id="rId5" ref="F5"/>
    <hyperlink r:id="rId6" ref="H5"/>
    <hyperlink r:id="rId7" ref="I5"/>
    <hyperlink r:id="rId8" ref="F6"/>
    <hyperlink r:id="rId9" ref="H6"/>
    <hyperlink r:id="rId10" ref="I6"/>
    <hyperlink r:id="rId11" ref="F7"/>
    <hyperlink r:id="rId12" ref="H7"/>
    <hyperlink r:id="rId13" ref="F8"/>
    <hyperlink r:id="rId14" ref="H9"/>
    <hyperlink r:id="rId15" ref="I9"/>
    <hyperlink r:id="rId16" ref="F10"/>
    <hyperlink r:id="rId17" ref="H10"/>
    <hyperlink r:id="rId18" ref="H11"/>
    <hyperlink r:id="rId19" ref="I11"/>
    <hyperlink r:id="rId20" ref="F12"/>
    <hyperlink r:id="rId21" ref="H12"/>
    <hyperlink r:id="rId22" ref="F13"/>
    <hyperlink r:id="rId23" ref="H13"/>
    <hyperlink r:id="rId24" ref="F14"/>
    <hyperlink r:id="rId25" ref="F16"/>
    <hyperlink r:id="rId26" ref="H16"/>
    <hyperlink r:id="rId27" ref="F17"/>
    <hyperlink r:id="rId28" ref="H17"/>
    <hyperlink r:id="rId29" ref="I17"/>
    <hyperlink r:id="rId30" ref="F18"/>
    <hyperlink r:id="rId31" ref="H18"/>
    <hyperlink r:id="rId32" ref="I18"/>
    <hyperlink r:id="rId33" ref="F19"/>
    <hyperlink r:id="rId34" ref="H19"/>
    <hyperlink r:id="rId35" ref="F20"/>
    <hyperlink r:id="rId36" ref="H20"/>
    <hyperlink r:id="rId37" ref="I20"/>
    <hyperlink r:id="rId38" ref="F21"/>
    <hyperlink r:id="rId39" ref="H21"/>
    <hyperlink r:id="rId40" ref="F22"/>
    <hyperlink r:id="rId41" ref="H22"/>
    <hyperlink r:id="rId42" ref="F23"/>
    <hyperlink r:id="rId43" ref="H23"/>
    <hyperlink r:id="rId44" ref="F24"/>
    <hyperlink r:id="rId45" ref="H25"/>
    <hyperlink r:id="rId46" ref="F26"/>
    <hyperlink r:id="rId47" ref="H26"/>
    <hyperlink r:id="rId48" ref="F27"/>
    <hyperlink r:id="rId49" ref="F28"/>
    <hyperlink r:id="rId50" ref="F29"/>
    <hyperlink r:id="rId51" ref="H29"/>
    <hyperlink r:id="rId52" ref="F30"/>
    <hyperlink r:id="rId53" ref="F31"/>
    <hyperlink r:id="rId54" ref="F32"/>
    <hyperlink r:id="rId55" ref="F33"/>
    <hyperlink r:id="rId56" ref="H33"/>
    <hyperlink r:id="rId57" ref="H34"/>
    <hyperlink r:id="rId58" ref="F36"/>
    <hyperlink r:id="rId59" ref="H36"/>
    <hyperlink r:id="rId60" ref="F37"/>
    <hyperlink r:id="rId61" ref="F38"/>
    <hyperlink r:id="rId62" ref="F39"/>
    <hyperlink r:id="rId63" ref="F40"/>
    <hyperlink r:id="rId64" ref="F41"/>
    <hyperlink r:id="rId65" ref="F42"/>
    <hyperlink r:id="rId66" ref="F43"/>
    <hyperlink r:id="rId67" ref="F44"/>
    <hyperlink r:id="rId68" ref="F45"/>
    <hyperlink r:id="rId69" ref="F46"/>
    <hyperlink r:id="rId70" ref="F47"/>
    <hyperlink r:id="rId71" ref="F48"/>
    <hyperlink r:id="rId72" ref="F49"/>
    <hyperlink r:id="rId73" ref="F50"/>
    <hyperlink r:id="rId74" ref="F52"/>
    <hyperlink r:id="rId75" ref="F54"/>
    <hyperlink r:id="rId76" ref="F55"/>
    <hyperlink r:id="rId77" ref="F56"/>
    <hyperlink r:id="rId78" ref="F57"/>
    <hyperlink r:id="rId79" ref="F58"/>
    <hyperlink r:id="rId80" ref="F59"/>
    <hyperlink r:id="rId81" ref="F60"/>
    <hyperlink r:id="rId82" ref="F61"/>
    <hyperlink r:id="rId83" ref="F62"/>
    <hyperlink r:id="rId84" ref="F63"/>
    <hyperlink r:id="rId85" ref="F64"/>
    <hyperlink r:id="rId86" ref="F65"/>
    <hyperlink r:id="rId87" ref="F66"/>
    <hyperlink r:id="rId88" ref="F67"/>
    <hyperlink r:id="rId89" ref="F68"/>
    <hyperlink r:id="rId90" ref="F69"/>
    <hyperlink r:id="rId91" ref="F70"/>
    <hyperlink r:id="rId92" ref="F71"/>
    <hyperlink r:id="rId93" ref="F72"/>
    <hyperlink r:id="rId94" ref="F73"/>
    <hyperlink r:id="rId95" ref="F75"/>
    <hyperlink r:id="rId96" ref="F76"/>
    <hyperlink r:id="rId97" ref="F77"/>
    <hyperlink r:id="rId98" ref="F78"/>
    <hyperlink r:id="rId99" ref="F79"/>
    <hyperlink r:id="rId100" ref="F80"/>
    <hyperlink r:id="rId101" ref="F81"/>
  </hyperlinks>
  <drawing r:id="rId102"/>
</worksheet>
</file>