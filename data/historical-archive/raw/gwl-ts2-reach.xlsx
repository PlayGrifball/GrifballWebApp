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ddto" sheetId="1" r:id="rId4"/>
    <sheet state="hidden" name="MassFormulaTesting" sheetId="2" r:id="rId5"/>
    <sheet state="hidden" name="PlayerGradeStats" sheetId="3" r:id="rId6"/>
    <sheet state="hidden" name="HEXASbaseINFO" sheetId="4" r:id="rId7"/>
    <sheet state="visible" name="Bracket Quick Check" sheetId="5" r:id="rId8"/>
    <sheet state="visible" name="Draft Sheet" sheetId="6" r:id="rId9"/>
    <sheet state="visible" name="Leaderboards" sheetId="7" r:id="rId10"/>
    <sheet state="visible" name="HR_MatchH" sheetId="8" r:id="rId11"/>
    <sheet state="visible" name="Team Report Cards" sheetId="9" r:id="rId12"/>
    <sheet state="hidden" name="TeamInfo" sheetId="10" r:id="rId13"/>
    <sheet state="hidden" name="Special Stats" sheetId="11" r:id="rId14"/>
    <sheet state="hidden" name="Player Efficiency" sheetId="12" r:id="rId15"/>
    <sheet state="visible" name="PlayerGrades" sheetId="13" r:id="rId16"/>
    <sheet state="visible" name="PG Stats" sheetId="14" r:id="rId17"/>
    <sheet state="visible" name="Halo Reach Stats" sheetId="15" r:id="rId18"/>
    <sheet state="visible" name="TotalTournamentAverages" sheetId="16" r:id="rId19"/>
    <sheet state="hidden" name="Round 1" sheetId="17" r:id="rId20"/>
    <sheet state="hidden" name="Round 2" sheetId="18" r:id="rId21"/>
    <sheet state="hidden" name="RoundAverages" sheetId="19" r:id="rId22"/>
    <sheet state="hidden" name="Round 3" sheetId="20" r:id="rId23"/>
    <sheet state="hidden" name="Semifinals" sheetId="21" r:id="rId24"/>
    <sheet state="hidden" name="Finals" sheetId="22" r:id="rId25"/>
  </sheets>
  <definedNames>
    <definedName hidden="1" localSheetId="10" name="_xlnm._FilterDatabase">'Special Stats'!$A$3:$Z$47</definedName>
    <definedName hidden="1" localSheetId="5" name="Z_A604874B_F869_4656_88D6_85DF395DD469_.wvu.FilterData">'Draft Sheet'!$B$14:$L$43</definedName>
    <definedName hidden="1" localSheetId="5" name="Z_93E5271B_C728_4BA8_8983_06C1E4B55178_.wvu.FilterData">'Draft Sheet'!$B$14:$L$43</definedName>
    <definedName hidden="1" localSheetId="5" name="Z_6787E9D4_3159_4D55_AC38_C6BABF8B2DC9_.wvu.FilterData">'Draft Sheet'!$B$15:$L$43</definedName>
    <definedName hidden="1" localSheetId="5" name="Z_A3138447_5E66_408F_B98C_971D9EF84EC3_.wvu.FilterData">'Draft Sheet'!$B$14:$C$43</definedName>
  </definedNames>
  <calcPr/>
  <customWorkbookViews>
    <customWorkbookView activeSheetId="0" maximized="1" windowHeight="0" windowWidth="0" guid="{93E5271B-C728-4BA8-8983-06C1E4B55178}" name="Filter 4"/>
    <customWorkbookView activeSheetId="0" maximized="1" windowHeight="0" windowWidth="0" guid="{A3138447-5E66-408F-B98C-971D9EF84EC3}" name="Filter 2"/>
    <customWorkbookView activeSheetId="0" maximized="1" windowHeight="0" windowWidth="0" guid="{6787E9D4-3159-4D55-AC38-C6BABF8B2DC9}" name="Filter 3"/>
    <customWorkbookView activeSheetId="0" maximized="1" windowHeight="0" windowWidth="0" guid="{A604874B-F869-4656-88D6-85DF395DD469}" name="Filter 1"/>
  </customWorkbookViews>
  <pivotCaches>
    <pivotCache cacheId="0" r:id="rId26"/>
    <pivotCache cacheId="1" r:id="rId27"/>
  </pivotCaches>
</workbook>
</file>

<file path=xl/sharedStrings.xml><?xml version="1.0" encoding="utf-8"?>
<sst xmlns="http://schemas.openxmlformats.org/spreadsheetml/2006/main" count="1818" uniqueCount="458">
  <si>
    <t>Add</t>
  </si>
  <si>
    <t>To Halo 4 Stats</t>
  </si>
  <si>
    <t>Team name per player</t>
  </si>
  <si>
    <t>location per player</t>
  </si>
  <si>
    <t>system per player</t>
  </si>
  <si>
    <t>To Rounds</t>
  </si>
  <si>
    <t>Host location used for games</t>
  </si>
  <si>
    <t>color code team MvP</t>
  </si>
  <si>
    <t>in general</t>
  </si>
  <si>
    <t>Player grades</t>
  </si>
  <si>
    <t>match averages</t>
  </si>
  <si>
    <t>top stat players</t>
  </si>
  <si>
    <t>hexas stats</t>
  </si>
  <si>
    <t>color code match history for rounds</t>
  </si>
  <si>
    <t>top 10 players per stat/time average</t>
  </si>
  <si>
    <t>combined team stats</t>
  </si>
  <si>
    <t>https://challonge.com/Halo4FallSeriesEventTwo</t>
  </si>
  <si>
    <t>Team MVP =</t>
  </si>
  <si>
    <t>NOT ADJUSTED FOR THE TOURNAMENT</t>
  </si>
  <si>
    <t>Weighting</t>
  </si>
  <si>
    <t>Goals</t>
  </si>
  <si>
    <t>Kills</t>
  </si>
  <si>
    <t>Assists</t>
  </si>
  <si>
    <t>Deaths</t>
  </si>
  <si>
    <t>Spread</t>
  </si>
  <si>
    <t>Streak</t>
  </si>
  <si>
    <t>Betrayals</t>
  </si>
  <si>
    <t>TimeAlive</t>
  </si>
  <si>
    <t>GameTime</t>
  </si>
  <si>
    <t>AverageLife</t>
  </si>
  <si>
    <t>BombStops</t>
  </si>
  <si>
    <t>KillingSprees</t>
  </si>
  <si>
    <t>KillingFrenzies</t>
  </si>
  <si>
    <t>DoubleKills</t>
  </si>
  <si>
    <t>TripleKills</t>
  </si>
  <si>
    <t>Overkills</t>
  </si>
  <si>
    <t>Killtaculars</t>
  </si>
  <si>
    <t>Killtrocities</t>
  </si>
  <si>
    <t>Killamanjaros</t>
  </si>
  <si>
    <t>Killtastrophe</t>
  </si>
  <si>
    <t>Bulltrues</t>
  </si>
  <si>
    <t>Avengers</t>
  </si>
  <si>
    <t>BallClears</t>
  </si>
  <si>
    <t>CarrierKillAssists</t>
  </si>
  <si>
    <t>Catches</t>
  </si>
  <si>
    <t>FastBreaks</t>
  </si>
  <si>
    <t>FirstStrikes</t>
  </si>
  <si>
    <t>FirstTouches</t>
  </si>
  <si>
    <t>GoalDefences</t>
  </si>
  <si>
    <t>GoalKeepers</t>
  </si>
  <si>
    <t>HammerKills</t>
  </si>
  <si>
    <t>Interceptions</t>
  </si>
  <si>
    <t>LongBombs</t>
  </si>
  <si>
    <t>NiceCatches</t>
  </si>
  <si>
    <t>Rejections</t>
  </si>
  <si>
    <t>SwordKills</t>
  </si>
  <si>
    <t>36 total stats</t>
  </si>
  <si>
    <t>Weighting of 98</t>
  </si>
  <si>
    <t>Bot</t>
  </si>
  <si>
    <t>God LEVEL player</t>
  </si>
  <si>
    <t>Top/Lowest per stat: Raw Value</t>
  </si>
  <si>
    <t>Lowest</t>
  </si>
  <si>
    <t>Player</t>
  </si>
  <si>
    <t>GPM</t>
  </si>
  <si>
    <t>KDPM</t>
  </si>
  <si>
    <t>STPM</t>
  </si>
  <si>
    <t>SPM</t>
  </si>
  <si>
    <t>DPM</t>
  </si>
  <si>
    <t>TPM</t>
  </si>
  <si>
    <t>Defense</t>
  </si>
  <si>
    <t>PlayMaking</t>
  </si>
  <si>
    <t>ACE B S1lentND1</t>
  </si>
  <si>
    <t>ADhillyy</t>
  </si>
  <si>
    <t>Almighty Tycoon</t>
  </si>
  <si>
    <t>AwareMosquito</t>
  </si>
  <si>
    <t>Dabb</t>
  </si>
  <si>
    <t>Dat Twinkie</t>
  </si>
  <si>
    <t>Dhlyn</t>
  </si>
  <si>
    <t>e Jolts</t>
  </si>
  <si>
    <t>Fanciest Pants</t>
  </si>
  <si>
    <t>Finesse God24</t>
  </si>
  <si>
    <t>Galvann</t>
  </si>
  <si>
    <t>Genesiology</t>
  </si>
  <si>
    <t>GodSnipezX</t>
  </si>
  <si>
    <t>Hells Angel cx</t>
  </si>
  <si>
    <t>HumanKite187</t>
  </si>
  <si>
    <t>Impuritive</t>
  </si>
  <si>
    <t>InfiniteRainge</t>
  </si>
  <si>
    <t>Into Sublime</t>
  </si>
  <si>
    <t>Itzreelz</t>
  </si>
  <si>
    <t>ixjaga</t>
  </si>
  <si>
    <t>Judasey</t>
  </si>
  <si>
    <t>Kgod Online</t>
  </si>
  <si>
    <t>L1ght5aber</t>
  </si>
  <si>
    <t>Lane Uppy</t>
  </si>
  <si>
    <t>Laser Wins</t>
  </si>
  <si>
    <t>Luner Panda</t>
  </si>
  <si>
    <t>Mavbrid</t>
  </si>
  <si>
    <t>MealyKitten0</t>
  </si>
  <si>
    <t>Mhurcy</t>
  </si>
  <si>
    <t>MoldyVolts</t>
  </si>
  <si>
    <t>noketone</t>
  </si>
  <si>
    <t>NOPLEX</t>
  </si>
  <si>
    <t>oDhmon</t>
  </si>
  <si>
    <t>Rage More Nerd</t>
  </si>
  <si>
    <t>Sabasauros rex</t>
  </si>
  <si>
    <t>Scullen cx</t>
  </si>
  <si>
    <t>siIIy kids</t>
  </si>
  <si>
    <t>Solace VIII</t>
  </si>
  <si>
    <t>SOULBENDERs</t>
  </si>
  <si>
    <t>TommyWstSide</t>
  </si>
  <si>
    <t>unbes</t>
  </si>
  <si>
    <t>Vile</t>
  </si>
  <si>
    <t>Yaeqin</t>
  </si>
  <si>
    <t>Yejis Aegyo</t>
  </si>
  <si>
    <t>yLuxe</t>
  </si>
  <si>
    <t>Zelynthia</t>
  </si>
  <si>
    <t>GamesPlayed</t>
  </si>
  <si>
    <t>RunningRiots</t>
  </si>
  <si>
    <t>SUM of Killtaculars</t>
  </si>
  <si>
    <t>SUM of Killtrocities</t>
  </si>
  <si>
    <t>SUM of Killamanjaros</t>
  </si>
  <si>
    <t>SUM of Killtastrophe</t>
  </si>
  <si>
    <t>SUM of Killpocalypses</t>
  </si>
  <si>
    <t>k-d whores</t>
  </si>
  <si>
    <t>w key warrior</t>
  </si>
  <si>
    <t>Spree King</t>
  </si>
  <si>
    <t>Sugar Daddies</t>
  </si>
  <si>
    <t>Helping Hands</t>
  </si>
  <si>
    <t>Running Wild</t>
  </si>
  <si>
    <t>Overrated</t>
  </si>
  <si>
    <t>6-S HEXAS</t>
  </si>
  <si>
    <t>Round 1</t>
  </si>
  <si>
    <t>Round 2</t>
  </si>
  <si>
    <t>Round 3</t>
  </si>
  <si>
    <t>Semi Finals</t>
  </si>
  <si>
    <t>Finals</t>
  </si>
  <si>
    <t>0-5</t>
  </si>
  <si>
    <t>5-0</t>
  </si>
  <si>
    <t>Ace B S1lentND1</t>
  </si>
  <si>
    <t>Sabsauros rex</t>
  </si>
  <si>
    <t>0-0</t>
  </si>
  <si>
    <t>Losers 1</t>
  </si>
  <si>
    <t>Losers 2</t>
  </si>
  <si>
    <t>Losers 3</t>
  </si>
  <si>
    <t>Losers 4</t>
  </si>
  <si>
    <t>Losers 5</t>
  </si>
  <si>
    <t>Grifball World League Halo Reach Tournament Draft Sheet - Presented By DJ BluePDX</t>
  </si>
  <si>
    <t>Seed</t>
  </si>
  <si>
    <t>Team Name</t>
  </si>
  <si>
    <t>1*</t>
  </si>
  <si>
    <t>Baked Potatoes</t>
  </si>
  <si>
    <t>2*</t>
  </si>
  <si>
    <t>[REDACTED]</t>
  </si>
  <si>
    <t>Team Name:</t>
  </si>
  <si>
    <t>Mount Grifmore</t>
  </si>
  <si>
    <t>Beer</t>
  </si>
  <si>
    <t>bbaD Company</t>
  </si>
  <si>
    <t>Reverse Sweepers</t>
  </si>
  <si>
    <t>Washed Squad</t>
  </si>
  <si>
    <t>Hammers &amp; Roses</t>
  </si>
  <si>
    <t>Like Clockwork</t>
  </si>
  <si>
    <t>Massive Betrayal</t>
  </si>
  <si>
    <t>Out Perform Us</t>
  </si>
  <si>
    <t>Costco Glizzy Combo</t>
  </si>
  <si>
    <t>3*</t>
  </si>
  <si>
    <t>Captain:</t>
  </si>
  <si>
    <t>4*</t>
  </si>
  <si>
    <t>Duo/1st Round:</t>
  </si>
  <si>
    <t>Godsnipezx</t>
  </si>
  <si>
    <t>2nd Round:</t>
  </si>
  <si>
    <t>KGod Online</t>
  </si>
  <si>
    <t>Siiiy Kids</t>
  </si>
  <si>
    <t>Myst the Cold</t>
  </si>
  <si>
    <t>3rd Round:</t>
  </si>
  <si>
    <t>Mzzkc14</t>
  </si>
  <si>
    <t>Draft Pool</t>
  </si>
  <si>
    <t>Captains</t>
  </si>
  <si>
    <t>Gamertag</t>
  </si>
  <si>
    <t>Discord</t>
  </si>
  <si>
    <t>Region</t>
  </si>
  <si>
    <t>Position</t>
  </si>
  <si>
    <t>Experience</t>
  </si>
  <si>
    <t>Past Gamertags</t>
  </si>
  <si>
    <t>ADhillyy#7874</t>
  </si>
  <si>
    <t>Canada</t>
  </si>
  <si>
    <t>Hybrid</t>
  </si>
  <si>
    <t>ive never played</t>
  </si>
  <si>
    <t>N/A</t>
  </si>
  <si>
    <t>Almighty_Tycoon
#9599</t>
  </si>
  <si>
    <t>US West</t>
  </si>
  <si>
    <t>Runner</t>
  </si>
  <si>
    <t>Long time</t>
  </si>
  <si>
    <t>xBossTycoon</t>
  </si>
  <si>
    <t>*1st round bye</t>
  </si>
  <si>
    <t>Matt419#4573</t>
  </si>
  <si>
    <t>West Europe</t>
  </si>
  <si>
    <t>Tank/Hybrid</t>
  </si>
  <si>
    <t>On and off for 10+ years</t>
  </si>
  <si>
    <t>MealyKitten0/Yaeqin</t>
  </si>
  <si>
    <t>Dhlyn#8495</t>
  </si>
  <si>
    <t>US South Central</t>
  </si>
  <si>
    <t>10years</t>
  </si>
  <si>
    <t>KidzToDaY</t>
  </si>
  <si>
    <t>Dat Twinkie/SOULBENDERs</t>
  </si>
  <si>
    <t>Free Sub Pool</t>
  </si>
  <si>
    <t>ejolts</t>
  </si>
  <si>
    <t>US East</t>
  </si>
  <si>
    <t>Runner/Hybrid</t>
  </si>
  <si>
    <t>I’ve played 2 tournaments so however long that is.</t>
  </si>
  <si>
    <t>Into Sublime/Solace VIII</t>
  </si>
  <si>
    <t>Fancy#7690</t>
  </si>
  <si>
    <t xml:space="preserve">Tank </t>
  </si>
  <si>
    <t>15 years</t>
  </si>
  <si>
    <t>Impuritive/Itzreelz</t>
  </si>
  <si>
    <t>ObeyTheRuler23#7243</t>
  </si>
  <si>
    <t>Idk</t>
  </si>
  <si>
    <t>Sabasauros rex/Godsnipezx</t>
  </si>
  <si>
    <t>Imperator Romeo</t>
  </si>
  <si>
    <t>Humankite187</t>
  </si>
  <si>
    <t>JWilk#6720</t>
  </si>
  <si>
    <t>Halo 3</t>
  </si>
  <si>
    <t>Hells Angel cx/Genesiology</t>
  </si>
  <si>
    <t>SquirrelBurrito</t>
  </si>
  <si>
    <t>HI I'm Don Cheadle#5660</t>
  </si>
  <si>
    <t>1 year</t>
  </si>
  <si>
    <t>Judasey/yLuxe</t>
  </si>
  <si>
    <t>WithYourGirl</t>
  </si>
  <si>
    <t>InfiniteRain</t>
  </si>
  <si>
    <t>Longer than your parents marriage</t>
  </si>
  <si>
    <t>InfiniteRainX, InfiniteRain365, T Rain Da King</t>
  </si>
  <si>
    <t>Yejis Aegyo/Vile</t>
  </si>
  <si>
    <t>ixjaga#1984</t>
  </si>
  <si>
    <t>10 years</t>
  </si>
  <si>
    <t>Galvann/Rage More Nerd</t>
  </si>
  <si>
    <t>Kgod#4673</t>
  </si>
  <si>
    <t>15 Years</t>
  </si>
  <si>
    <t>Regresser, Oh My Godless, Godlxss</t>
  </si>
  <si>
    <t>Ace B S1lentND1/oDhmon</t>
  </si>
  <si>
    <t>Saber#1562</t>
  </si>
  <si>
    <t>11 years, with two long breaks. I'm super washed</t>
  </si>
  <si>
    <t>ParagonSaber</t>
  </si>
  <si>
    <t>downyinfusions#4362</t>
  </si>
  <si>
    <t>1 day</t>
  </si>
  <si>
    <t>Luner Panda#0001</t>
  </si>
  <si>
    <t xml:space="preserve">9 or 10+ years I can’t remember </t>
  </si>
  <si>
    <t>GrifballisToxic, Lemme Score it</t>
  </si>
  <si>
    <t>https://challonge.com/haloreachgrifball</t>
  </si>
  <si>
    <t>Mavasours Rex#1212</t>
  </si>
  <si>
    <t>Since the beginning of time</t>
  </si>
  <si>
    <t>https://www.twitch.tv/djbluepdx</t>
  </si>
  <si>
    <t>Mhurcy#0714</t>
  </si>
  <si>
    <t>7 years</t>
  </si>
  <si>
    <t>MoldyVolts#1495</t>
  </si>
  <si>
    <t>US North Central</t>
  </si>
  <si>
    <t>12 years</t>
  </si>
  <si>
    <t>#0266</t>
  </si>
  <si>
    <t>Tank</t>
  </si>
  <si>
    <t xml:space="preserve">7+years </t>
  </si>
  <si>
    <t>ZF BlackRose, Grifball Angel 14k, QueenoftheSeaX</t>
  </si>
  <si>
    <t>Mzzkc#0014</t>
  </si>
  <si>
    <t>Played from 2008-2012</t>
  </si>
  <si>
    <t>noket#9805</t>
  </si>
  <si>
    <t>On and off for years (~2010-current)</t>
  </si>
  <si>
    <t>xxjimbojamxx</t>
  </si>
  <si>
    <t>NOPLEX#5644</t>
  </si>
  <si>
    <t>Too long</t>
  </si>
  <si>
    <t>No</t>
  </si>
  <si>
    <t>Scullen#2152</t>
  </si>
  <si>
    <t>2 years</t>
  </si>
  <si>
    <t>Scullen75</t>
  </si>
  <si>
    <t>siiiy kids</t>
  </si>
  <si>
    <t>silly kids#6271</t>
  </si>
  <si>
    <t>AZTECK MARTION, I Lantic I, dsvnz</t>
  </si>
  <si>
    <t>SquirrelBurrito#1878</t>
  </si>
  <si>
    <t>too long (since Halo 3)</t>
  </si>
  <si>
    <t>n/a</t>
  </si>
  <si>
    <t xml:space="preserve">TommyWstSide </t>
  </si>
  <si>
    <t>Tommy#0006</t>
  </si>
  <si>
    <t>In agla for like 2-3 years</t>
  </si>
  <si>
    <t>lagtrlcity</t>
  </si>
  <si>
    <t>WithYouGirl#3266</t>
  </si>
  <si>
    <t>Birth</t>
  </si>
  <si>
    <t>None</t>
  </si>
  <si>
    <t>Zelynthia#8893</t>
  </si>
  <si>
    <t>Top Achievements</t>
  </si>
  <si>
    <t>Highest Multikill:</t>
  </si>
  <si>
    <r>
      <rPr>
        <rFont val="Arial"/>
        <b/>
        <color theme="1"/>
        <sz val="12.0"/>
      </rPr>
      <t xml:space="preserve">Vile - </t>
    </r>
    <r>
      <rPr>
        <rFont val="Arial"/>
        <b val="0"/>
        <color theme="1"/>
        <sz val="12.0"/>
      </rPr>
      <t>Killimanjaro (7MultiKill)</t>
    </r>
  </si>
  <si>
    <t>Longest Spree:</t>
  </si>
  <si>
    <r>
      <rPr>
        <rFont val="Arial"/>
        <b/>
        <color theme="1"/>
        <sz val="12.0"/>
      </rPr>
      <t xml:space="preserve">yLuxe, Vile - </t>
    </r>
    <r>
      <rPr>
        <rFont val="Arial"/>
        <color theme="1"/>
        <sz val="12.0"/>
      </rPr>
      <t>Running Riot (15 Spree)</t>
    </r>
  </si>
  <si>
    <t>Seconds</t>
  </si>
  <si>
    <t>Compass</t>
  </si>
  <si>
    <t>K-D Whores</t>
  </si>
  <si>
    <r>
      <rPr>
        <rFont val="Arial"/>
        <color theme="1"/>
      </rPr>
      <t xml:space="preserve">(Kills+Assists-Deaths) </t>
    </r>
    <r>
      <rPr>
        <rFont val="Arial"/>
        <b/>
        <color theme="1"/>
      </rPr>
      <t>per minute</t>
    </r>
  </si>
  <si>
    <t>Spree king</t>
  </si>
  <si>
    <r>
      <rPr>
        <rFont val="Arial"/>
        <color theme="1"/>
      </rPr>
      <t xml:space="preserve">sprees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</si>
  <si>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Assists </t>
    </r>
    <r>
      <rPr>
        <rFont val="Arial"/>
        <b/>
        <color theme="1"/>
      </rPr>
      <t>per minute</t>
    </r>
  </si>
  <si>
    <t>(TripleKills+Overkills+Killtaculars+Killtrocities+Killamanjaros+Killtastrophe)/Kills</t>
  </si>
  <si>
    <t>W Key Warrior</t>
  </si>
  <si>
    <r>
      <rPr>
        <rFont val="Arial"/>
        <color theme="1"/>
      </rPr>
      <t xml:space="preserve">(Kills+Assists+Deaths) </t>
    </r>
    <r>
      <rPr>
        <rFont val="Arial"/>
        <b/>
        <color theme="1"/>
      </rPr>
      <t>per minutes</t>
    </r>
  </si>
  <si>
    <r>
      <rPr>
        <rFont val="Arial"/>
        <color theme="1"/>
      </rPr>
      <t xml:space="preserve">(KillingSprees+KillingFrenzies)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</si>
  <si>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(DoubleKills+TripleKills+Overkills+Killtaculars+Killtrocities+Killamanjaros+Killtastrophe) </t>
    </r>
    <r>
      <rPr>
        <rFont val="Arial"/>
        <b/>
        <color theme="1"/>
      </rPr>
      <t>per minute</t>
    </r>
  </si>
  <si>
    <t>Average Life</t>
  </si>
  <si>
    <r>
      <rPr>
        <rFont val="Arial"/>
        <color theme="1"/>
      </rPr>
      <t xml:space="preserve">Average Life </t>
    </r>
    <r>
      <rPr>
        <rFont val="Arial"/>
        <b/>
        <color theme="1"/>
      </rPr>
      <t>in seconds</t>
    </r>
  </si>
  <si>
    <r>
      <rPr>
        <rFont val="Arial"/>
        <color theme="1"/>
      </rPr>
      <t xml:space="preserve">(Goals/GamesPlayed/5)+(Kills-Deaths+BombStops+DoubleKills+TripleKills+Overkills) </t>
    </r>
    <r>
      <rPr>
        <rFont val="Arial"/>
        <b/>
        <color theme="1"/>
      </rPr>
      <t>per minute</t>
    </r>
  </si>
  <si>
    <t>Team</t>
  </si>
  <si>
    <t>GamesHosted</t>
  </si>
  <si>
    <t>Wins</t>
  </si>
  <si>
    <t>Loses</t>
  </si>
  <si>
    <t>Rampages</t>
  </si>
  <si>
    <t>SwordSprees</t>
  </si>
  <si>
    <t>Killpocalypses</t>
  </si>
  <si>
    <t>Killionaire</t>
  </si>
  <si>
    <t>Exterms</t>
  </si>
  <si>
    <t>Assassinations</t>
  </si>
  <si>
    <t>HammerSprees</t>
  </si>
  <si>
    <t>TimeStamp</t>
  </si>
  <si>
    <t>Sun Nov  6 23:17:48 2022</t>
  </si>
  <si>
    <t>Sun Nov  6 23:18:29 2022</t>
  </si>
  <si>
    <t>Sun Nov  6 23:18:45 2022</t>
  </si>
  <si>
    <t>Sun Nov  6 23:19:03 2022</t>
  </si>
  <si>
    <t>Sun Nov  6 23:19:53 2022</t>
  </si>
  <si>
    <t>Sun Nov  6 23:20:51 2022</t>
  </si>
  <si>
    <t>Sun Nov  6 23:21:11 2022</t>
  </si>
  <si>
    <t>Sun Nov  6 23:21:41 2022</t>
  </si>
  <si>
    <t>Sun Nov  6 23:21:59 2022</t>
  </si>
  <si>
    <t>Sun Nov  6 23:22:20 2022</t>
  </si>
  <si>
    <t>Sun Nov  6 23:22:37 2022</t>
  </si>
  <si>
    <t>Sun Nov  6 23:36:06 2022</t>
  </si>
  <si>
    <t>Sun Nov  6 23:43:46 2022</t>
  </si>
  <si>
    <t>Mon Nov  7 00:58:09 2022</t>
  </si>
  <si>
    <t>Mon Nov  7 02:09:44 2022</t>
  </si>
  <si>
    <t>Mon Nov  7 03:18:18 2022</t>
  </si>
  <si>
    <t>Player Name</t>
  </si>
  <si>
    <t>Efficiency</t>
  </si>
  <si>
    <t>Grade</t>
  </si>
  <si>
    <t>GradeMath</t>
  </si>
  <si>
    <t>Location</t>
  </si>
  <si>
    <t>K/D</t>
  </si>
  <si>
    <t>AvgLife</t>
  </si>
  <si>
    <t>KillSprees</t>
  </si>
  <si>
    <t>KillFrenzies</t>
  </si>
  <si>
    <t>RunRiots</t>
  </si>
  <si>
    <t>2xKills</t>
  </si>
  <si>
    <t>3xKills</t>
  </si>
  <si>
    <t>4xkills</t>
  </si>
  <si>
    <t>5xKills</t>
  </si>
  <si>
    <t>6xKills</t>
  </si>
  <si>
    <t>7xKills</t>
  </si>
  <si>
    <t>8xKills</t>
  </si>
  <si>
    <t>9xKills</t>
  </si>
  <si>
    <t>10xKills</t>
  </si>
  <si>
    <t>Seed 1</t>
  </si>
  <si>
    <t>Average Efficiency</t>
  </si>
  <si>
    <t>Totals-&gt;</t>
  </si>
  <si>
    <t>Seed 2</t>
  </si>
  <si>
    <t>Seed 3</t>
  </si>
  <si>
    <t>Seed 4</t>
  </si>
  <si>
    <t>Seed 5</t>
  </si>
  <si>
    <t>Seed 6</t>
  </si>
  <si>
    <t>Seed 7</t>
  </si>
  <si>
    <t>Seed 8</t>
  </si>
  <si>
    <t>Seed 9</t>
  </si>
  <si>
    <t>Seed 10</t>
  </si>
  <si>
    <t>Seed 11</t>
  </si>
  <si>
    <t>Seed 12</t>
  </si>
  <si>
    <t>A</t>
  </si>
  <si>
    <t>S</t>
  </si>
  <si>
    <t>B</t>
  </si>
  <si>
    <t>E</t>
  </si>
  <si>
    <t>Seed #</t>
  </si>
  <si>
    <t>Place Finished</t>
  </si>
  <si>
    <t>US EAST</t>
  </si>
  <si>
    <t>US SOUTH CENTRAL</t>
  </si>
  <si>
    <t>US NORTH CENTRAL</t>
  </si>
  <si>
    <t>US WEST</t>
  </si>
  <si>
    <t>Myst The Cold</t>
  </si>
  <si>
    <t>Please ask ASpence in Discord what you would like added</t>
  </si>
  <si>
    <t>Players</t>
  </si>
  <si>
    <t>Kills Per Minute</t>
  </si>
  <si>
    <t>Icey Tanker</t>
  </si>
  <si>
    <t>Sauted Smurf</t>
  </si>
  <si>
    <t>eTazedd</t>
  </si>
  <si>
    <t>Regresser</t>
  </si>
  <si>
    <t>DCleak</t>
  </si>
  <si>
    <t>BLOODEN NICK</t>
  </si>
  <si>
    <t>iNF3ktioN</t>
  </si>
  <si>
    <t>MysticalNovice</t>
  </si>
  <si>
    <t>BeaM1n1</t>
  </si>
  <si>
    <t>Havoc Puppies</t>
  </si>
  <si>
    <t>cxrnchip</t>
  </si>
  <si>
    <t>Wrecking Nerds</t>
  </si>
  <si>
    <t>Doerstopper</t>
  </si>
  <si>
    <t>MF JOE187</t>
  </si>
  <si>
    <t>ManCanonPls</t>
  </si>
  <si>
    <t>Frnzh</t>
  </si>
  <si>
    <t>Priest XYZ</t>
  </si>
  <si>
    <t>Mr Epic Beast</t>
  </si>
  <si>
    <t>LilSkelR1926</t>
  </si>
  <si>
    <t>TheNobleTV</t>
  </si>
  <si>
    <t>CaptainSev004</t>
  </si>
  <si>
    <t>AtoneMilitant</t>
  </si>
  <si>
    <t>MuNgO PuNgO</t>
  </si>
  <si>
    <t>TheAlphaTurtle</t>
  </si>
  <si>
    <t>Rudly</t>
  </si>
  <si>
    <t>RECEPTOR 17</t>
  </si>
  <si>
    <t>TrueFlyingCow</t>
  </si>
  <si>
    <t>The Scet</t>
  </si>
  <si>
    <t>Efficiency (Top Player Standard)</t>
  </si>
  <si>
    <t>Efficiency (Perfect Player Standard)</t>
  </si>
  <si>
    <t>Goals PM</t>
  </si>
  <si>
    <t>KD PM</t>
  </si>
  <si>
    <t>Bulltrue PM</t>
  </si>
  <si>
    <t>Sprees PM</t>
  </si>
  <si>
    <t>Doubles PM</t>
  </si>
  <si>
    <t>Triples PM</t>
  </si>
  <si>
    <t>HS PM</t>
  </si>
  <si>
    <t>Grade AVG</t>
  </si>
  <si>
    <t>gAVGmath</t>
  </si>
  <si>
    <t>Value</t>
  </si>
  <si>
    <t>A(TOP)</t>
  </si>
  <si>
    <t>A(Q3/Q1)</t>
  </si>
  <si>
    <t>A(BOT)</t>
  </si>
  <si>
    <t>C</t>
  </si>
  <si>
    <t>B(TOP)</t>
  </si>
  <si>
    <t>D</t>
  </si>
  <si>
    <t>B(MED-A/C)</t>
  </si>
  <si>
    <t>B(BOT)</t>
  </si>
  <si>
    <t>F</t>
  </si>
  <si>
    <t>C(TOP)</t>
  </si>
  <si>
    <t>C(Q2)</t>
  </si>
  <si>
    <t>C(BOTTOM)</t>
  </si>
  <si>
    <t>D(TOP)</t>
  </si>
  <si>
    <t>a TOP</t>
  </si>
  <si>
    <t>D(MED-C/E)</t>
  </si>
  <si>
    <t>D(BOT)</t>
  </si>
  <si>
    <t>a BOT</t>
  </si>
  <si>
    <t>E (TOP)</t>
  </si>
  <si>
    <t>E(Q3/Q1)</t>
  </si>
  <si>
    <t>B BOT C TOP</t>
  </si>
  <si>
    <t>E (BOT)</t>
  </si>
  <si>
    <t>C BOT</t>
  </si>
  <si>
    <t>FIX THIS</t>
  </si>
  <si>
    <t>D BOT</t>
  </si>
  <si>
    <t>E BOT/F TOP</t>
  </si>
  <si>
    <t>BTPM</t>
  </si>
  <si>
    <t>HSPM</t>
  </si>
  <si>
    <t>WinPercent</t>
  </si>
  <si>
    <t xml:space="preserve"> </t>
  </si>
  <si>
    <t>OVERALL</t>
  </si>
  <si>
    <t>Avg Player</t>
  </si>
  <si>
    <t>Semifinals</t>
  </si>
  <si>
    <t>Airassinations</t>
  </si>
  <si>
    <t>Ballsasinations</t>
  </si>
  <si>
    <t>Losers Bracket: Round 1</t>
  </si>
  <si>
    <t>BallKills</t>
  </si>
  <si>
    <t>MeleeKills</t>
  </si>
  <si>
    <t>Losers Bracket: Round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</si>
</sst>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m-d"/>
    <numFmt numFmtId="166" formatCode="0.0000"/>
  </numFmts>
  <fonts count="57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u/>
      <color rgb="FF0000FF"/>
    </font>
    <font>
      <color theme="1"/>
      <name val="Arial"/>
    </font>
    <font>
      <b/>
      <color theme="1"/>
      <name val="Arial"/>
      <scheme val="minor"/>
    </font>
    <font>
      <sz val="11.0"/>
      <color rgb="FF1155CC"/>
      <name val="Inconsolata"/>
    </font>
    <font>
      <b/>
      <sz val="12.0"/>
      <color rgb="FFFFFF00"/>
      <name val="Arial"/>
      <scheme val="minor"/>
    </font>
    <font>
      <b/>
      <color theme="1"/>
      <name val="Arial"/>
    </font>
    <font>
      <color rgb="FFFFD700"/>
      <name val="Arial"/>
      <scheme val="minor"/>
    </font>
    <font>
      <sz val="11.0"/>
      <color rgb="FF7E3794"/>
      <name val="Arial"/>
      <scheme val="minor"/>
    </font>
    <font>
      <sz val="11.0"/>
      <color rgb="FF000000"/>
      <name val="Inconsolata"/>
    </font>
    <font>
      <color rgb="FFFFFF00"/>
      <name val="Arial"/>
      <scheme val="minor"/>
    </font>
    <font>
      <sz val="12.0"/>
      <color theme="1"/>
      <name val="Arial"/>
    </font>
    <font>
      <strike/>
      <sz val="12.0"/>
      <color theme="1"/>
      <name val="Arial"/>
    </font>
    <font>
      <b/>
      <sz val="15.0"/>
      <color theme="1"/>
      <name val="Arial"/>
    </font>
    <font>
      <sz val="15.0"/>
      <color rgb="FFFF0000"/>
      <name val="Arial"/>
      <scheme val="minor"/>
    </font>
    <font>
      <sz val="36.0"/>
      <color theme="1"/>
      <name val="EB Garamond"/>
    </font>
    <font/>
    <font>
      <b/>
      <sz val="24.0"/>
      <color theme="1"/>
      <name val="Calibri"/>
    </font>
    <font>
      <color theme="1"/>
      <name val="Calibri"/>
    </font>
    <font>
      <color theme="1"/>
      <name val="Lora"/>
    </font>
    <font>
      <b/>
      <color theme="1"/>
      <name val="Georgia"/>
    </font>
    <font>
      <sz val="10.0"/>
      <color theme="1"/>
      <name val="Lora"/>
    </font>
    <font>
      <b/>
      <sz val="11.0"/>
      <color theme="1"/>
      <name val="Merriweather"/>
    </font>
    <font>
      <b/>
      <sz val="10.0"/>
      <color theme="1"/>
      <name val="Merriweather"/>
    </font>
    <font>
      <b/>
      <color theme="1"/>
      <name val="Comfortaa"/>
    </font>
    <font>
      <sz val="10.0"/>
      <color theme="1"/>
      <name val="Calibri"/>
    </font>
    <font>
      <sz val="8.0"/>
      <color theme="1"/>
      <name val="Calibri"/>
    </font>
    <font>
      <b/>
      <u/>
      <color rgb="FFFF0000"/>
    </font>
    <font>
      <u/>
      <color rgb="FF0000FF"/>
    </font>
    <font>
      <sz val="9.0"/>
      <color theme="1"/>
      <name val="Calibri"/>
    </font>
    <font>
      <b/>
      <sz val="20.0"/>
      <color rgb="FFFF0000"/>
      <name val="Arial"/>
      <scheme val="minor"/>
    </font>
    <font>
      <b/>
      <sz val="12.0"/>
      <color theme="1"/>
      <name val="Arial"/>
    </font>
    <font>
      <b/>
      <sz val="12.0"/>
      <color theme="1"/>
      <name val="Whitney"/>
    </font>
    <font>
      <sz val="12.0"/>
      <color theme="1"/>
      <name val="Whitney"/>
    </font>
    <font>
      <sz val="12.0"/>
      <color rgb="FF000000"/>
      <name val="Arial"/>
    </font>
    <font>
      <color rgb="FF000000"/>
      <name val="Roboto"/>
    </font>
    <font>
      <b/>
      <sz val="11.0"/>
      <color rgb="FF000000"/>
      <name val="Inconsolata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Roboto"/>
    </font>
    <font>
      <color rgb="FF000000"/>
      <name val="Arial"/>
    </font>
    <font>
      <b/>
      <color rgb="FF000000"/>
      <name val="Roboto"/>
    </font>
    <font>
      <b/>
      <color rgb="FF000000"/>
      <name val="Arial"/>
    </font>
    <font>
      <b/>
      <color theme="1"/>
      <name val="Roboto"/>
    </font>
    <font>
      <color theme="1"/>
      <name val="Roboto"/>
    </font>
    <font>
      <b/>
      <color rgb="FF000000"/>
      <name val="Arial"/>
      <scheme val="minor"/>
    </font>
    <font>
      <color rgb="FF000000"/>
      <name val="Arial"/>
      <scheme val="minor"/>
    </font>
    <font>
      <sz val="11.0"/>
      <color theme="1"/>
      <name val="Inconsolata"/>
    </font>
    <font>
      <b/>
      <sz val="10.0"/>
      <color theme="1"/>
      <name val="Arial"/>
    </font>
    <font>
      <b/>
      <sz val="10.0"/>
      <color rgb="FF000000"/>
      <name val="Arial"/>
    </font>
    <font>
      <i/>
      <color theme="1"/>
      <name val="Arial"/>
      <scheme val="minor"/>
    </font>
    <font>
      <i/>
      <color rgb="FF000000"/>
      <name val="Arial"/>
    </font>
    <font>
      <b/>
      <color rgb="FFFF0000"/>
      <name val="Arial"/>
    </font>
    <font>
      <b/>
      <sz val="14.0"/>
      <color rgb="FFFF0000"/>
      <name val="Arial"/>
      <scheme val="minor"/>
    </font>
    <font>
      <b/>
      <sz val="14.0"/>
      <color theme="1"/>
      <name val="Arial"/>
      <scheme val="minor"/>
    </font>
  </fonts>
  <fills count="3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theme="8"/>
        <bgColor theme="8"/>
      </patternFill>
    </fill>
    <fill>
      <patternFill patternType="solid">
        <fgColor rgb="FFFAA81A"/>
        <bgColor rgb="FFFAA81A"/>
      </patternFill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FFD700"/>
        <bgColor rgb="FFFFD700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A61C00"/>
        <bgColor rgb="FFA61C00"/>
      </patternFill>
    </fill>
    <fill>
      <patternFill patternType="solid">
        <fgColor rgb="FFBDBDBD"/>
        <bgColor rgb="FFBDBDBD"/>
      </patternFill>
    </fill>
  </fills>
  <borders count="57">
    <border/>
    <border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0" fontId="4" numFmtId="2" xfId="0" applyAlignment="1" applyFont="1" applyNumberFormat="1">
      <alignment vertical="bottom"/>
    </xf>
    <xf borderId="0" fillId="4" fontId="4" numFmtId="2" xfId="0" applyAlignment="1" applyFont="1" applyNumberFormat="1">
      <alignment vertical="bottom"/>
    </xf>
    <xf borderId="0" fillId="0" fontId="1" numFmtId="10" xfId="0" applyAlignment="1" applyFont="1" applyNumberFormat="1">
      <alignment readingOrder="0"/>
    </xf>
    <xf borderId="0" fillId="0" fontId="5" numFmtId="10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1" numFmtId="10" xfId="0" applyAlignment="1" applyFont="1" applyNumberFormat="1">
      <alignment horizontal="center" readingOrder="0"/>
    </xf>
    <xf borderId="0" fillId="5" fontId="6" numFmtId="0" xfId="0" applyFill="1" applyFont="1"/>
    <xf borderId="0" fillId="0" fontId="1" numFmtId="0" xfId="0" applyAlignment="1" applyFont="1">
      <alignment horizontal="center" readingOrder="0"/>
    </xf>
    <xf borderId="0" fillId="6" fontId="1" numFmtId="0" xfId="0" applyFill="1" applyFont="1"/>
    <xf borderId="0" fillId="6" fontId="1" numFmtId="10" xfId="0" applyAlignment="1" applyFont="1" applyNumberFormat="1">
      <alignment readingOrder="0"/>
    </xf>
    <xf borderId="0" fillId="6" fontId="1" numFmtId="10" xfId="0" applyAlignment="1" applyFont="1" applyNumberFormat="1">
      <alignment horizontal="center"/>
    </xf>
    <xf borderId="0" fillId="7" fontId="1" numFmtId="10" xfId="0" applyAlignment="1" applyFill="1" applyFont="1" applyNumberFormat="1">
      <alignment horizontal="center"/>
    </xf>
    <xf borderId="0" fillId="6" fontId="7" numFmtId="0" xfId="0" applyAlignment="1" applyFont="1">
      <alignment horizontal="right" readingOrder="0"/>
    </xf>
    <xf borderId="0" fillId="8" fontId="1" numFmtId="10" xfId="0" applyAlignment="1" applyFill="1" applyFont="1" applyNumberFormat="1">
      <alignment horizontal="center"/>
    </xf>
    <xf borderId="0" fillId="9" fontId="1" numFmtId="10" xfId="0" applyAlignment="1" applyFill="1" applyFont="1" applyNumberFormat="1">
      <alignment horizontal="center"/>
    </xf>
    <xf borderId="1" fillId="10" fontId="8" numFmtId="0" xfId="0" applyAlignment="1" applyBorder="1" applyFill="1" applyFont="1">
      <alignment horizontal="center" vertical="bottom"/>
    </xf>
    <xf borderId="2" fillId="11" fontId="1" numFmtId="4" xfId="0" applyAlignment="1" applyBorder="1" applyFill="1" applyFont="1" applyNumberFormat="1">
      <alignment readingOrder="0"/>
    </xf>
    <xf borderId="3" fillId="11" fontId="1" numFmtId="4" xfId="0" applyAlignment="1" applyBorder="1" applyFont="1" applyNumberFormat="1">
      <alignment readingOrder="0"/>
    </xf>
    <xf borderId="4" fillId="11" fontId="1" numFmtId="4" xfId="0" applyAlignment="1" applyBorder="1" applyFont="1" applyNumberFormat="1">
      <alignment readingOrder="0"/>
    </xf>
    <xf borderId="0" fillId="11" fontId="1" numFmtId="4" xfId="0" applyFont="1" applyNumberFormat="1"/>
    <xf borderId="0" fillId="4" fontId="1" numFmtId="4" xfId="0" applyFont="1" applyNumberFormat="1"/>
    <xf borderId="0" fillId="10" fontId="8" numFmtId="0" xfId="0" applyAlignment="1" applyFont="1">
      <alignment horizontal="center" vertical="bottom"/>
    </xf>
    <xf borderId="0" fillId="6" fontId="1" numFmtId="0" xfId="0" applyAlignment="1" applyFont="1">
      <alignment readingOrder="0"/>
    </xf>
    <xf borderId="0" fillId="4" fontId="9" numFmtId="0" xfId="0" applyAlignment="1" applyFont="1">
      <alignment readingOrder="0"/>
    </xf>
    <xf borderId="0" fillId="0" fontId="10" numFmtId="10" xfId="0" applyFont="1" applyNumberFormat="1"/>
    <xf borderId="2" fillId="12" fontId="1" numFmtId="0" xfId="0" applyAlignment="1" applyBorder="1" applyFill="1" applyFont="1">
      <alignment readingOrder="0"/>
    </xf>
    <xf borderId="3" fillId="12" fontId="1" numFmtId="49" xfId="0" applyAlignment="1" applyBorder="1" applyFont="1" applyNumberFormat="1">
      <alignment readingOrder="0"/>
    </xf>
    <xf borderId="3" fillId="0" fontId="1" numFmtId="10" xfId="0" applyAlignment="1" applyBorder="1" applyFont="1" applyNumberFormat="1">
      <alignment horizontal="center"/>
    </xf>
    <xf borderId="3" fillId="0" fontId="1" numFmtId="10" xfId="0" applyAlignment="1" applyBorder="1" applyFont="1" applyNumberFormat="1">
      <alignment horizontal="center" readingOrder="0"/>
    </xf>
    <xf borderId="4" fillId="0" fontId="1" numFmtId="10" xfId="0" applyAlignment="1" applyBorder="1" applyFont="1" applyNumberFormat="1">
      <alignment horizontal="center" readingOrder="0"/>
    </xf>
    <xf borderId="0" fillId="4" fontId="9" numFmtId="10" xfId="0" applyFont="1" applyNumberFormat="1"/>
    <xf borderId="0" fillId="13" fontId="1" numFmtId="10" xfId="0" applyFill="1" applyFont="1" applyNumberFormat="1"/>
    <xf borderId="5" fillId="0" fontId="1" numFmtId="164" xfId="0" applyBorder="1" applyFont="1" applyNumberFormat="1"/>
    <xf borderId="6" fillId="5" fontId="1" numFmtId="10" xfId="0" applyAlignment="1" applyBorder="1" applyFont="1" applyNumberFormat="1">
      <alignment readingOrder="0"/>
    </xf>
    <xf borderId="6" fillId="0" fontId="1" numFmtId="10" xfId="0" applyAlignment="1" applyBorder="1" applyFont="1" applyNumberFormat="1">
      <alignment horizontal="center"/>
    </xf>
    <xf borderId="7" fillId="0" fontId="1" numFmtId="10" xfId="0" applyAlignment="1" applyBorder="1" applyFont="1" applyNumberFormat="1">
      <alignment horizontal="center"/>
    </xf>
    <xf borderId="8" fillId="0" fontId="1" numFmtId="164" xfId="0" applyBorder="1" applyFont="1" applyNumberFormat="1"/>
    <xf borderId="9" fillId="5" fontId="1" numFmtId="10" xfId="0" applyAlignment="1" applyBorder="1" applyFont="1" applyNumberFormat="1">
      <alignment readingOrder="0"/>
    </xf>
    <xf borderId="9" fillId="0" fontId="1" numFmtId="10" xfId="0" applyAlignment="1" applyBorder="1" applyFont="1" applyNumberFormat="1">
      <alignment horizontal="center"/>
    </xf>
    <xf borderId="10" fillId="4" fontId="11" numFmtId="0" xfId="0" applyBorder="1" applyFont="1"/>
    <xf borderId="11" fillId="14" fontId="1" numFmtId="0" xfId="0" applyBorder="1" applyFill="1" applyFont="1"/>
    <xf borderId="12" fillId="0" fontId="1" numFmtId="0" xfId="0" applyBorder="1" applyFont="1"/>
    <xf borderId="13" fillId="0" fontId="1" numFmtId="164" xfId="0" applyBorder="1" applyFont="1" applyNumberFormat="1"/>
    <xf borderId="0" fillId="4" fontId="12" numFmtId="0" xfId="0" applyFont="1"/>
    <xf borderId="12" fillId="4" fontId="11" numFmtId="0" xfId="0" applyBorder="1" applyFont="1"/>
    <xf borderId="13" fillId="14" fontId="1" numFmtId="0" xfId="0" applyBorder="1" applyFont="1"/>
    <xf borderId="0" fillId="4" fontId="12" numFmtId="0" xfId="0" applyAlignment="1" applyFont="1">
      <alignment readingOrder="0"/>
    </xf>
    <xf borderId="12" fillId="4" fontId="1" numFmtId="0" xfId="0" applyBorder="1" applyFont="1"/>
    <xf borderId="0" fillId="5" fontId="1" numFmtId="0" xfId="0" applyAlignment="1" applyFont="1">
      <alignment readingOrder="0"/>
    </xf>
    <xf borderId="0" fillId="15" fontId="1" numFmtId="0" xfId="0" applyAlignment="1" applyFill="1" applyFont="1">
      <alignment readingOrder="0"/>
    </xf>
    <xf borderId="14" fillId="0" fontId="1" numFmtId="164" xfId="0" applyBorder="1" applyFont="1" applyNumberFormat="1"/>
    <xf borderId="15" fillId="0" fontId="1" numFmtId="10" xfId="0" applyAlignment="1" applyBorder="1" applyFont="1" applyNumberFormat="1">
      <alignment horizontal="center"/>
    </xf>
    <xf borderId="12" fillId="0" fontId="1" numFmtId="164" xfId="0" applyBorder="1" applyFont="1" applyNumberFormat="1"/>
    <xf borderId="1" fillId="0" fontId="1" numFmtId="10" xfId="0" applyAlignment="1" applyBorder="1" applyFont="1" applyNumberFormat="1">
      <alignment horizontal="center"/>
    </xf>
    <xf borderId="0" fillId="5" fontId="1" numFmtId="10" xfId="0" applyAlignment="1" applyFont="1" applyNumberFormat="1">
      <alignment readingOrder="0"/>
    </xf>
    <xf borderId="13" fillId="0" fontId="1" numFmtId="10" xfId="0" applyAlignment="1" applyBorder="1" applyFont="1" applyNumberFormat="1">
      <alignment horizontal="center"/>
    </xf>
    <xf borderId="0" fillId="4" fontId="1" numFmtId="10" xfId="0" applyAlignment="1" applyFont="1" applyNumberFormat="1">
      <alignment readingOrder="0"/>
    </xf>
    <xf borderId="0" fillId="4" fontId="1" numFmtId="10" xfId="0" applyAlignment="1" applyFont="1" applyNumberFormat="1">
      <alignment horizontal="center"/>
    </xf>
    <xf borderId="0" fillId="5" fontId="11" numFmtId="0" xfId="0" applyFont="1"/>
    <xf borderId="13" fillId="0" fontId="1" numFmtId="0" xfId="0" applyBorder="1" applyFont="1"/>
    <xf borderId="16" fillId="0" fontId="1" numFmtId="0" xfId="0" applyBorder="1" applyFont="1"/>
    <xf borderId="17" fillId="0" fontId="1" numFmtId="0" xfId="0" applyBorder="1" applyFont="1"/>
    <xf borderId="0" fillId="0" fontId="1" numFmtId="0" xfId="0" applyFont="1"/>
    <xf borderId="0" fillId="0" fontId="1" numFmtId="164" xfId="0" applyFont="1" applyNumberFormat="1"/>
    <xf borderId="0" fillId="0" fontId="1" numFmtId="1" xfId="0" applyFont="1" applyNumberFormat="1"/>
    <xf borderId="0" fillId="16" fontId="5" numFmtId="0" xfId="0" applyAlignment="1" applyFill="1" applyFont="1">
      <alignment horizontal="center" readingOrder="0"/>
    </xf>
    <xf borderId="0" fillId="17" fontId="5" numFmtId="0" xfId="0" applyAlignment="1" applyFill="1" applyFont="1">
      <alignment horizontal="center" readingOrder="0"/>
    </xf>
    <xf borderId="0" fillId="18" fontId="5" numFmtId="0" xfId="0" applyAlignment="1" applyFill="1" applyFont="1">
      <alignment horizontal="center" readingOrder="0"/>
    </xf>
    <xf borderId="0" fillId="11" fontId="5" numFmtId="0" xfId="0" applyAlignment="1" applyFont="1">
      <alignment horizontal="center" readingOrder="0"/>
    </xf>
    <xf borderId="0" fillId="19" fontId="5" numFmtId="0" xfId="0" applyAlignment="1" applyFill="1" applyFont="1">
      <alignment horizontal="center" readingOrder="0"/>
    </xf>
    <xf borderId="0" fillId="20" fontId="13" numFmtId="0" xfId="0" applyAlignment="1" applyFill="1" applyFont="1">
      <alignment horizontal="center" readingOrder="0" vertical="bottom"/>
    </xf>
    <xf borderId="18" fillId="20" fontId="14" numFmtId="0" xfId="0" applyAlignment="1" applyBorder="1" applyFont="1">
      <alignment horizontal="center" readingOrder="0" vertical="bottom"/>
    </xf>
    <xf borderId="11" fillId="20" fontId="13" numFmtId="0" xfId="0" applyAlignment="1" applyBorder="1" applyFont="1">
      <alignment horizontal="center" readingOrder="0" vertical="bottom"/>
    </xf>
    <xf borderId="11" fillId="20" fontId="14" numFmtId="0" xfId="0" applyAlignment="1" applyBorder="1" applyFont="1">
      <alignment horizontal="center" readingOrder="0" vertical="bottom"/>
    </xf>
    <xf borderId="0" fillId="21" fontId="5" numFmtId="0" xfId="0" applyAlignment="1" applyFill="1" applyFont="1">
      <alignment horizontal="center" readingOrder="0"/>
    </xf>
    <xf borderId="0" fillId="21" fontId="5" numFmtId="165" xfId="0" applyAlignment="1" applyFont="1" applyNumberFormat="1">
      <alignment horizontal="center" readingOrder="0"/>
    </xf>
    <xf borderId="18" fillId="20" fontId="13" numFmtId="0" xfId="0" applyAlignment="1" applyBorder="1" applyFont="1">
      <alignment horizontal="center" readingOrder="0" vertical="bottom"/>
    </xf>
    <xf borderId="0" fillId="6" fontId="13" numFmtId="0" xfId="0" applyAlignment="1" applyFont="1">
      <alignment horizontal="center" readingOrder="0" vertical="bottom"/>
    </xf>
    <xf borderId="11" fillId="6" fontId="13" numFmtId="0" xfId="0" applyAlignment="1" applyBorder="1" applyFont="1">
      <alignment horizontal="center" readingOrder="0" vertical="bottom"/>
    </xf>
    <xf borderId="3" fillId="6" fontId="1" numFmtId="0" xfId="0" applyBorder="1" applyFont="1"/>
    <xf borderId="11" fillId="20" fontId="15" numFmtId="0" xfId="0" applyAlignment="1" applyBorder="1" applyFont="1">
      <alignment horizontal="center" readingOrder="0" vertical="bottom"/>
    </xf>
    <xf borderId="0" fillId="4" fontId="13" numFmtId="0" xfId="0" applyAlignment="1" applyFont="1">
      <alignment horizontal="center" readingOrder="0" vertical="bottom"/>
    </xf>
    <xf borderId="11" fillId="4" fontId="13" numFmtId="0" xfId="0" applyAlignment="1" applyBorder="1" applyFont="1">
      <alignment horizontal="center" readingOrder="0" vertical="bottom"/>
    </xf>
    <xf borderId="0" fillId="4" fontId="16" numFmtId="0" xfId="0" applyAlignment="1" applyFont="1">
      <alignment readingOrder="0"/>
    </xf>
    <xf borderId="0" fillId="20" fontId="13" numFmtId="0" xfId="0" applyAlignment="1" applyFont="1">
      <alignment horizontal="center" readingOrder="0" shrinkToFit="0" vertical="bottom" wrapText="1"/>
    </xf>
    <xf borderId="11" fillId="20" fontId="14" numFmtId="0" xfId="0" applyAlignment="1" applyBorder="1" applyFont="1">
      <alignment horizontal="center" readingOrder="0" shrinkToFit="0" vertical="bottom" wrapText="1"/>
    </xf>
    <xf borderId="0" fillId="6" fontId="1" numFmtId="0" xfId="0" applyFont="1"/>
    <xf borderId="19" fillId="12" fontId="17" numFmtId="0" xfId="0" applyAlignment="1" applyBorder="1" applyFont="1">
      <alignment horizontal="center" readingOrder="0" textRotation="0" vertical="center"/>
    </xf>
    <xf borderId="20" fillId="0" fontId="18" numFmtId="0" xfId="0" applyBorder="1" applyFont="1"/>
    <xf borderId="21" fillId="0" fontId="18" numFmtId="0" xfId="0" applyBorder="1" applyFont="1"/>
    <xf borderId="22" fillId="16" fontId="19" numFmtId="0" xfId="0" applyAlignment="1" applyBorder="1" applyFont="1">
      <alignment horizontal="center" vertical="bottom"/>
    </xf>
    <xf borderId="20" fillId="16" fontId="19" numFmtId="0" xfId="0" applyAlignment="1" applyBorder="1" applyFont="1">
      <alignment horizontal="center" vertical="bottom"/>
    </xf>
    <xf borderId="23" fillId="0" fontId="18" numFmtId="0" xfId="0" applyBorder="1" applyFont="1"/>
    <xf borderId="24" fillId="0" fontId="18" numFmtId="0" xfId="0" applyBorder="1" applyFont="1"/>
    <xf borderId="25" fillId="0" fontId="18" numFmtId="0" xfId="0" applyBorder="1" applyFont="1"/>
    <xf borderId="26" fillId="0" fontId="18" numFmtId="0" xfId="0" applyBorder="1" applyFont="1"/>
    <xf borderId="27" fillId="0" fontId="18" numFmtId="0" xfId="0" applyBorder="1" applyFont="1"/>
    <xf borderId="28" fillId="0" fontId="20" numFmtId="0" xfId="0" applyAlignment="1" applyBorder="1" applyFont="1">
      <alignment horizontal="center" readingOrder="0" vertical="bottom"/>
    </xf>
    <xf borderId="0" fillId="0" fontId="21" numFmtId="0" xfId="0" applyAlignment="1" applyFont="1">
      <alignment horizontal="center" readingOrder="0" vertical="bottom"/>
    </xf>
    <xf borderId="29" fillId="0" fontId="18" numFmtId="0" xfId="0" applyBorder="1" applyFont="1"/>
    <xf borderId="28" fillId="16" fontId="20" numFmtId="0" xfId="0" applyAlignment="1" applyBorder="1" applyFont="1">
      <alignment horizontal="center" readingOrder="0" vertical="bottom"/>
    </xf>
    <xf borderId="0" fillId="16" fontId="21" numFmtId="0" xfId="0" applyAlignment="1" applyFont="1">
      <alignment horizontal="center" readingOrder="0" vertical="bottom"/>
    </xf>
    <xf borderId="30" fillId="0" fontId="22" numFmtId="0" xfId="0" applyAlignment="1" applyBorder="1" applyFont="1">
      <alignment horizontal="center" readingOrder="0"/>
    </xf>
    <xf borderId="31" fillId="0" fontId="23" numFmtId="0" xfId="0" applyAlignment="1" applyBorder="1" applyFont="1">
      <alignment horizontal="center" readingOrder="0"/>
    </xf>
    <xf borderId="31" fillId="0" fontId="21" numFmtId="0" xfId="0" applyAlignment="1" applyBorder="1" applyFont="1">
      <alignment horizontal="center" readingOrder="0"/>
    </xf>
    <xf borderId="31" fillId="13" fontId="21" numFmtId="0" xfId="0" applyAlignment="1" applyBorder="1" applyFont="1">
      <alignment horizontal="center" readingOrder="0"/>
    </xf>
    <xf borderId="31" fillId="22" fontId="21" numFmtId="0" xfId="0" applyAlignment="1" applyBorder="1" applyFill="1" applyFont="1">
      <alignment horizontal="center" readingOrder="0"/>
    </xf>
    <xf borderId="31" fillId="23" fontId="21" numFmtId="0" xfId="0" applyAlignment="1" applyBorder="1" applyFill="1" applyFont="1">
      <alignment horizontal="center" readingOrder="0"/>
    </xf>
    <xf borderId="32" fillId="16" fontId="24" numFmtId="0" xfId="0" applyAlignment="1" applyBorder="1" applyFont="1">
      <alignment horizontal="center" readingOrder="0" vertical="bottom"/>
    </xf>
    <xf borderId="32" fillId="16" fontId="24" numFmtId="0" xfId="0" applyAlignment="1" applyBorder="1" applyFont="1">
      <alignment horizontal="center" vertical="bottom"/>
    </xf>
    <xf borderId="33" fillId="16" fontId="24" numFmtId="0" xfId="0" applyAlignment="1" applyBorder="1" applyFont="1">
      <alignment horizontal="center" readingOrder="0" vertical="bottom"/>
    </xf>
    <xf borderId="33" fillId="13" fontId="24" numFmtId="0" xfId="0" applyAlignment="1" applyBorder="1" applyFont="1">
      <alignment horizontal="center" readingOrder="0" vertical="bottom"/>
    </xf>
    <xf borderId="33" fillId="22" fontId="24" numFmtId="0" xfId="0" applyAlignment="1" applyBorder="1" applyFont="1">
      <alignment horizontal="center" readingOrder="0" vertical="bottom"/>
    </xf>
    <xf borderId="33" fillId="23" fontId="24" numFmtId="0" xfId="0" applyAlignment="1" applyBorder="1" applyFont="1">
      <alignment horizontal="center" readingOrder="0" vertical="bottom"/>
    </xf>
    <xf borderId="33" fillId="16" fontId="24" numFmtId="0" xfId="0" applyAlignment="1" applyBorder="1" applyFont="1">
      <alignment horizontal="center" vertical="bottom"/>
    </xf>
    <xf borderId="30" fillId="5" fontId="24" numFmtId="0" xfId="0" applyAlignment="1" applyBorder="1" applyFont="1">
      <alignment horizontal="center" readingOrder="0" vertical="bottom"/>
    </xf>
    <xf borderId="30" fillId="5" fontId="24" numFmtId="0" xfId="0" applyAlignment="1" applyBorder="1" applyFont="1">
      <alignment horizontal="center" vertical="bottom"/>
    </xf>
    <xf borderId="33" fillId="5" fontId="24" numFmtId="0" xfId="0" applyAlignment="1" applyBorder="1" applyFont="1">
      <alignment horizontal="center" readingOrder="0" vertical="bottom"/>
    </xf>
    <xf borderId="33" fillId="23" fontId="24" numFmtId="0" xfId="0" applyAlignment="1" applyBorder="1" applyFont="1">
      <alignment horizontal="center" vertical="bottom"/>
    </xf>
    <xf borderId="33" fillId="5" fontId="24" numFmtId="0" xfId="0" applyAlignment="1" applyBorder="1" applyFont="1">
      <alignment horizontal="center" vertical="bottom"/>
    </xf>
    <xf borderId="30" fillId="16" fontId="24" numFmtId="0" xfId="0" applyAlignment="1" applyBorder="1" applyFont="1">
      <alignment horizontal="center" readingOrder="0" vertical="bottom"/>
    </xf>
    <xf borderId="33" fillId="16" fontId="25" numFmtId="0" xfId="0" applyAlignment="1" applyBorder="1" applyFont="1">
      <alignment horizontal="center" readingOrder="0" vertical="bottom"/>
    </xf>
    <xf borderId="33" fillId="13" fontId="25" numFmtId="0" xfId="0" applyAlignment="1" applyBorder="1" applyFont="1">
      <alignment horizontal="center" readingOrder="0" vertical="bottom"/>
    </xf>
    <xf borderId="33" fillId="22" fontId="25" numFmtId="0" xfId="0" applyAlignment="1" applyBorder="1" applyFont="1">
      <alignment horizontal="center" readingOrder="0" vertical="bottom"/>
    </xf>
    <xf borderId="33" fillId="23" fontId="25" numFmtId="0" xfId="0" applyAlignment="1" applyBorder="1" applyFont="1">
      <alignment horizontal="center" readingOrder="0" vertical="bottom"/>
    </xf>
    <xf borderId="28" fillId="16" fontId="20" numFmtId="0" xfId="0" applyAlignment="1" applyBorder="1" applyFont="1">
      <alignment horizontal="center" vertical="bottom"/>
    </xf>
    <xf borderId="31" fillId="5" fontId="24" numFmtId="0" xfId="0" applyAlignment="1" applyBorder="1" applyFont="1">
      <alignment horizontal="center" readingOrder="0" vertical="bottom"/>
    </xf>
    <xf borderId="34" fillId="5" fontId="25" numFmtId="0" xfId="0" applyAlignment="1" applyBorder="1" applyFont="1">
      <alignment horizontal="center" readingOrder="0" vertical="bottom"/>
    </xf>
    <xf borderId="34" fillId="13" fontId="25" numFmtId="0" xfId="0" applyAlignment="1" applyBorder="1" applyFont="1">
      <alignment horizontal="center" readingOrder="0" vertical="bottom"/>
    </xf>
    <xf borderId="34" fillId="22" fontId="25" numFmtId="0" xfId="0" applyAlignment="1" applyBorder="1" applyFont="1">
      <alignment horizontal="center" readingOrder="0" vertical="bottom"/>
    </xf>
    <xf borderId="34" fillId="23" fontId="25" numFmtId="0" xfId="0" applyAlignment="1" applyBorder="1" applyFont="1">
      <alignment horizontal="center" readingOrder="0" vertical="bottom"/>
    </xf>
    <xf borderId="19" fillId="16" fontId="19" numFmtId="0" xfId="0" applyAlignment="1" applyBorder="1" applyFont="1">
      <alignment horizontal="center"/>
    </xf>
    <xf borderId="23" fillId="0" fontId="26" numFmtId="0" xfId="0" applyAlignment="1" applyBorder="1" applyFont="1">
      <alignment horizontal="center" readingOrder="0"/>
    </xf>
    <xf borderId="0" fillId="5" fontId="26" numFmtId="0" xfId="0" applyAlignment="1" applyFont="1">
      <alignment horizontal="center" readingOrder="0"/>
    </xf>
    <xf borderId="23" fillId="0" fontId="20" numFmtId="0" xfId="0" applyAlignment="1" applyBorder="1" applyFont="1">
      <alignment horizontal="center" readingOrder="0" vertical="bottom"/>
    </xf>
    <xf borderId="23" fillId="0" fontId="23" numFmtId="0" xfId="0" applyAlignment="1" applyBorder="1" applyFont="1">
      <alignment horizontal="center" readingOrder="0"/>
    </xf>
    <xf borderId="23" fillId="13" fontId="20" numFmtId="0" xfId="0" applyAlignment="1" applyBorder="1" applyFont="1">
      <alignment horizontal="center" readingOrder="0" vertical="bottom"/>
    </xf>
    <xf borderId="0" fillId="13" fontId="20" numFmtId="0" xfId="0" applyAlignment="1" applyFont="1">
      <alignment horizontal="center" readingOrder="0"/>
    </xf>
    <xf borderId="0" fillId="13" fontId="27" numFmtId="0" xfId="0" applyAlignment="1" applyFont="1">
      <alignment horizontal="center" readingOrder="0"/>
    </xf>
    <xf borderId="0" fillId="13" fontId="20" numFmtId="0" xfId="0" applyAlignment="1" applyFont="1">
      <alignment horizontal="center" readingOrder="0" vertical="center"/>
    </xf>
    <xf borderId="0" fillId="16" fontId="20" numFmtId="0" xfId="0" applyAlignment="1" applyFont="1">
      <alignment horizontal="center" readingOrder="0"/>
    </xf>
    <xf borderId="23" fillId="13" fontId="20" numFmtId="0" xfId="0" applyAlignment="1" applyBorder="1" applyFont="1">
      <alignment horizontal="center" readingOrder="0"/>
    </xf>
    <xf borderId="0" fillId="0" fontId="20" numFmtId="0" xfId="0" applyAlignment="1" applyFont="1">
      <alignment horizontal="center"/>
    </xf>
    <xf borderId="29" fillId="24" fontId="20" numFmtId="0" xfId="0" applyAlignment="1" applyBorder="1" applyFill="1" applyFont="1">
      <alignment horizontal="center" vertical="bottom"/>
    </xf>
    <xf borderId="0" fillId="16" fontId="20" numFmtId="0" xfId="0" applyAlignment="1" applyFont="1">
      <alignment horizontal="center"/>
    </xf>
    <xf borderId="19" fillId="16" fontId="19" numFmtId="0" xfId="0" applyAlignment="1" applyBorder="1" applyFont="1">
      <alignment horizontal="center" readingOrder="0" vertical="bottom"/>
    </xf>
    <xf borderId="23" fillId="13" fontId="20" numFmtId="0" xfId="0" applyAlignment="1" applyBorder="1" applyFont="1">
      <alignment horizontal="center" vertical="bottom"/>
    </xf>
    <xf borderId="0" fillId="13" fontId="20" numFmtId="0" xfId="0" applyAlignment="1" applyFont="1">
      <alignment horizontal="center" vertical="bottom"/>
    </xf>
    <xf borderId="0" fillId="13" fontId="28" numFmtId="0" xfId="0" applyAlignment="1" applyFont="1">
      <alignment horizontal="center" vertical="bottom"/>
    </xf>
    <xf borderId="0" fillId="13" fontId="20" numFmtId="0" xfId="0" applyAlignment="1" applyFont="1">
      <alignment horizontal="center"/>
    </xf>
    <xf borderId="0" fillId="0" fontId="20" numFmtId="0" xfId="0" applyAlignment="1" applyFont="1">
      <alignment horizontal="center"/>
    </xf>
    <xf borderId="35" fillId="0" fontId="26" numFmtId="0" xfId="0" applyAlignment="1" applyBorder="1" applyFont="1">
      <alignment horizontal="center" readingOrder="0"/>
    </xf>
    <xf borderId="36" fillId="0" fontId="18" numFmtId="0" xfId="0" applyBorder="1" applyFont="1"/>
    <xf borderId="0" fillId="16" fontId="20" numFmtId="0" xfId="0" applyAlignment="1" applyFont="1">
      <alignment horizontal="center"/>
    </xf>
    <xf borderId="37" fillId="16" fontId="20" numFmtId="0" xfId="0" applyAlignment="1" applyBorder="1" applyFont="1">
      <alignment horizontal="center" readingOrder="0"/>
    </xf>
    <xf borderId="33" fillId="0" fontId="18" numFmtId="0" xfId="0" applyBorder="1" applyFont="1"/>
    <xf borderId="37" fillId="0" fontId="20" numFmtId="0" xfId="0" applyAlignment="1" applyBorder="1" applyFont="1">
      <alignment horizontal="center" readingOrder="0"/>
    </xf>
    <xf borderId="23" fillId="25" fontId="20" numFmtId="0" xfId="0" applyAlignment="1" applyBorder="1" applyFill="1" applyFont="1">
      <alignment horizontal="center" readingOrder="0"/>
    </xf>
    <xf borderId="0" fillId="25" fontId="20" numFmtId="0" xfId="0" applyAlignment="1" applyFont="1">
      <alignment horizontal="center" readingOrder="0"/>
    </xf>
    <xf borderId="0" fillId="25" fontId="27" numFmtId="0" xfId="0" applyAlignment="1" applyFont="1">
      <alignment horizontal="center" readingOrder="0"/>
    </xf>
    <xf borderId="38" fillId="16" fontId="20" numFmtId="0" xfId="0" applyAlignment="1" applyBorder="1" applyFont="1">
      <alignment horizontal="center" readingOrder="0"/>
    </xf>
    <xf borderId="34" fillId="0" fontId="18" numFmtId="0" xfId="0" applyBorder="1" applyFont="1"/>
    <xf borderId="26" fillId="0" fontId="20" numFmtId="0" xfId="0" applyAlignment="1" applyBorder="1" applyFont="1">
      <alignment horizontal="center"/>
    </xf>
    <xf borderId="0" fillId="6" fontId="29" numFmtId="0" xfId="0" applyAlignment="1" applyFont="1">
      <alignment readingOrder="0"/>
    </xf>
    <xf borderId="0" fillId="6" fontId="30" numFmtId="0" xfId="0" applyAlignment="1" applyFont="1">
      <alignment readingOrder="0"/>
    </xf>
    <xf borderId="0" fillId="13" fontId="31" numFmtId="0" xfId="0" applyAlignment="1" applyFont="1">
      <alignment horizontal="center" readingOrder="0"/>
    </xf>
    <xf borderId="0" fillId="13" fontId="20" numFmtId="0" xfId="0" applyAlignment="1" applyFont="1">
      <alignment horizontal="center" shrinkToFit="0" wrapText="0"/>
    </xf>
    <xf borderId="0" fillId="25" fontId="20" numFmtId="0" xfId="0" applyAlignment="1" applyFont="1">
      <alignment horizontal="center" readingOrder="0" vertical="center"/>
    </xf>
    <xf borderId="29" fillId="13" fontId="20" numFmtId="0" xfId="0" applyAlignment="1" applyBorder="1" applyFont="1">
      <alignment horizontal="center" vertical="bottom"/>
    </xf>
    <xf borderId="26" fillId="13" fontId="20" numFmtId="0" xfId="0" applyAlignment="1" applyBorder="1" applyFont="1">
      <alignment horizontal="center" vertical="bottom"/>
    </xf>
    <xf borderId="26" fillId="13" fontId="20" numFmtId="0" xfId="0" applyAlignment="1" applyBorder="1" applyFont="1">
      <alignment horizontal="center"/>
    </xf>
    <xf borderId="0" fillId="4" fontId="32" numFmtId="0" xfId="0" applyAlignment="1" applyFont="1">
      <alignment horizontal="center" readingOrder="0"/>
    </xf>
    <xf borderId="0" fillId="26" fontId="13" numFmtId="0" xfId="0" applyAlignment="1" applyFill="1" applyFont="1">
      <alignment horizontal="left" readingOrder="0"/>
    </xf>
    <xf borderId="0" fillId="26" fontId="33" numFmtId="0" xfId="0" applyAlignment="1" applyFont="1">
      <alignment horizontal="center" readingOrder="0"/>
    </xf>
    <xf borderId="15" fillId="26" fontId="33" numFmtId="0" xfId="0" applyAlignment="1" applyBorder="1" applyFont="1">
      <alignment horizontal="center" readingOrder="0"/>
    </xf>
    <xf borderId="0" fillId="4" fontId="11" numFmtId="0" xfId="0" applyAlignment="1" applyFont="1">
      <alignment readingOrder="0"/>
    </xf>
    <xf borderId="0" fillId="26" fontId="13" numFmtId="0" xfId="0" applyAlignment="1" applyFont="1">
      <alignment horizontal="right" readingOrder="0"/>
    </xf>
    <xf borderId="0" fillId="26" fontId="34" numFmtId="0" xfId="0" applyAlignment="1" applyFont="1">
      <alignment horizontal="center" readingOrder="0"/>
    </xf>
    <xf borderId="0" fillId="4" fontId="33" numFmtId="0" xfId="0" applyAlignment="1" applyFont="1">
      <alignment horizontal="center" readingOrder="0"/>
    </xf>
    <xf borderId="0" fillId="26" fontId="13" numFmtId="0" xfId="0" applyAlignment="1" applyFont="1">
      <alignment horizontal="center" readingOrder="0"/>
    </xf>
    <xf borderId="0" fillId="26" fontId="13" numFmtId="2" xfId="0" applyAlignment="1" applyFont="1" applyNumberFormat="1">
      <alignment horizontal="center" readingOrder="0"/>
    </xf>
    <xf borderId="0" fillId="26" fontId="33" numFmtId="0" xfId="0" applyAlignment="1" applyFont="1">
      <alignment horizontal="center" readingOrder="0" vertical="center"/>
    </xf>
    <xf borderId="0" fillId="4" fontId="35" numFmtId="0" xfId="0" applyAlignment="1" applyFont="1">
      <alignment horizontal="center" readingOrder="0"/>
    </xf>
    <xf borderId="0" fillId="26" fontId="36" numFmtId="0" xfId="0" applyAlignment="1" applyFont="1">
      <alignment horizontal="center" readingOrder="0"/>
    </xf>
    <xf borderId="0" fillId="26" fontId="36" numFmtId="2" xfId="0" applyAlignment="1" applyFont="1" applyNumberFormat="1">
      <alignment horizontal="center" readingOrder="0"/>
    </xf>
    <xf borderId="0" fillId="4" fontId="1" numFmtId="0" xfId="0" applyAlignment="1" applyFont="1">
      <alignment horizontal="center"/>
    </xf>
    <xf borderId="0" fillId="4" fontId="34" numFmtId="0" xfId="0" applyAlignment="1" applyFont="1">
      <alignment horizontal="center" readingOrder="0"/>
    </xf>
    <xf borderId="0" fillId="26" fontId="36" numFmtId="0" xfId="0" applyAlignment="1" applyFont="1">
      <alignment horizontal="center" readingOrder="0" shrinkToFit="0" wrapText="1"/>
    </xf>
    <xf borderId="0" fillId="26" fontId="36" numFmtId="2" xfId="0" applyAlignment="1" applyFont="1" applyNumberFormat="1">
      <alignment horizontal="center" readingOrder="0" shrinkToFit="0" wrapText="1"/>
    </xf>
    <xf borderId="0" fillId="4" fontId="35" numFmtId="0" xfId="0" applyAlignment="1" applyFont="1">
      <alignment horizontal="center" readingOrder="0" shrinkToFit="0" wrapText="1"/>
    </xf>
    <xf borderId="0" fillId="26" fontId="13" numFmtId="0" xfId="0" applyAlignment="1" applyFont="1">
      <alignment horizontal="right" readingOrder="0" vertical="center"/>
    </xf>
    <xf borderId="0" fillId="26" fontId="36" numFmtId="0" xfId="0" applyAlignment="1" applyFont="1">
      <alignment horizontal="center" readingOrder="0" vertical="center"/>
    </xf>
    <xf borderId="1" fillId="26" fontId="36" numFmtId="2" xfId="0" applyAlignment="1" applyBorder="1" applyFont="1" applyNumberFormat="1">
      <alignment horizontal="center" readingOrder="0" vertical="center"/>
    </xf>
    <xf borderId="0" fillId="26" fontId="13" numFmtId="0" xfId="0" applyAlignment="1" applyFont="1">
      <alignment horizontal="center" readingOrder="0" vertical="center"/>
    </xf>
    <xf borderId="0" fillId="26" fontId="13" numFmtId="0" xfId="0" applyAlignment="1" applyFont="1">
      <alignment horizontal="center" readingOrder="0" shrinkToFit="0" wrapText="1"/>
    </xf>
    <xf borderId="0" fillId="4" fontId="1" numFmtId="0" xfId="0" applyAlignment="1" applyFont="1">
      <alignment horizontal="right"/>
    </xf>
    <xf borderId="0" fillId="6" fontId="1" numFmtId="0" xfId="0" applyAlignment="1" applyFont="1">
      <alignment horizontal="right"/>
    </xf>
    <xf borderId="0" fillId="4" fontId="33" numFmtId="0" xfId="0" applyAlignment="1" applyFont="1">
      <alignment horizontal="center" readingOrder="0" shrinkToFit="0" wrapText="1"/>
    </xf>
    <xf borderId="0" fillId="26" fontId="34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26" fontId="33" numFmtId="0" xfId="0" applyAlignment="1" applyFont="1">
      <alignment horizontal="center" readingOrder="0" shrinkToFit="0" wrapText="1"/>
    </xf>
    <xf borderId="0" fillId="26" fontId="35" numFmtId="0" xfId="0" applyAlignment="1" applyFont="1">
      <alignment horizontal="center" readingOrder="0"/>
    </xf>
    <xf borderId="0" fillId="26" fontId="35" numFmtId="0" xfId="0" applyAlignment="1" applyFont="1">
      <alignment horizontal="right" readingOrder="0"/>
    </xf>
    <xf borderId="0" fillId="26" fontId="33" numFmtId="0" xfId="0" applyAlignment="1" applyFont="1">
      <alignment horizontal="center" readingOrder="0" shrinkToFit="0" vertical="bottom" wrapText="1"/>
    </xf>
    <xf borderId="0" fillId="4" fontId="1" numFmtId="0" xfId="0" applyAlignment="1" applyFont="1">
      <alignment horizontal="left"/>
    </xf>
    <xf borderId="0" fillId="4" fontId="37" numFmtId="0" xfId="0" applyAlignment="1" applyFont="1">
      <alignment readingOrder="0"/>
    </xf>
    <xf borderId="39" fillId="21" fontId="5" numFmtId="0" xfId="0" applyAlignment="1" applyBorder="1" applyFont="1">
      <alignment horizontal="center"/>
    </xf>
    <xf borderId="40" fillId="21" fontId="5" numFmtId="0" xfId="0" applyAlignment="1" applyBorder="1" applyFont="1">
      <alignment horizontal="center"/>
    </xf>
    <xf borderId="15" fillId="4" fontId="5" numFmtId="0" xfId="0" applyAlignment="1" applyBorder="1" applyFont="1">
      <alignment horizontal="center"/>
    </xf>
    <xf borderId="39" fillId="18" fontId="38" numFmtId="0" xfId="0" applyAlignment="1" applyBorder="1" applyFont="1">
      <alignment horizontal="center"/>
    </xf>
    <xf borderId="41" fillId="18" fontId="38" numFmtId="0" xfId="0" applyAlignment="1" applyBorder="1" applyFont="1">
      <alignment horizontal="center"/>
    </xf>
    <xf borderId="40" fillId="0" fontId="18" numFmtId="0" xfId="0" applyBorder="1" applyFont="1"/>
    <xf borderId="39" fillId="11" fontId="38" numFmtId="0" xfId="0" applyAlignment="1" applyBorder="1" applyFont="1">
      <alignment horizontal="center"/>
    </xf>
    <xf borderId="40" fillId="11" fontId="5" numFmtId="0" xfId="0" applyAlignment="1" applyBorder="1" applyFont="1">
      <alignment horizontal="center"/>
    </xf>
    <xf borderId="39" fillId="27" fontId="5" numFmtId="0" xfId="0" applyAlignment="1" applyBorder="1" applyFill="1" applyFont="1">
      <alignment horizontal="center"/>
    </xf>
    <xf borderId="41" fillId="27" fontId="5" numFmtId="0" xfId="0" applyAlignment="1" applyBorder="1" applyFont="1">
      <alignment horizontal="center"/>
    </xf>
    <xf borderId="23" fillId="21" fontId="1" numFmtId="0" xfId="0" applyAlignment="1" applyBorder="1" applyFont="1">
      <alignment horizontal="right"/>
    </xf>
    <xf borderId="24" fillId="21" fontId="1" numFmtId="1" xfId="0" applyAlignment="1" applyBorder="1" applyFont="1" applyNumberFormat="1">
      <alignment horizontal="center"/>
    </xf>
    <xf borderId="23" fillId="18" fontId="1" numFmtId="0" xfId="0" applyAlignment="1" applyBorder="1" applyFont="1">
      <alignment horizontal="right"/>
    </xf>
    <xf borderId="0" fillId="18" fontId="1" numFmtId="164" xfId="0" applyAlignment="1" applyFont="1" applyNumberFormat="1">
      <alignment horizontal="center"/>
    </xf>
    <xf borderId="23" fillId="11" fontId="1" numFmtId="0" xfId="0" applyAlignment="1" applyBorder="1" applyFont="1">
      <alignment horizontal="right"/>
    </xf>
    <xf borderId="24" fillId="11" fontId="1" numFmtId="164" xfId="0" applyAlignment="1" applyBorder="1" applyFont="1" applyNumberFormat="1">
      <alignment horizontal="center"/>
    </xf>
    <xf borderId="23" fillId="27" fontId="1" numFmtId="0" xfId="0" applyAlignment="1" applyBorder="1" applyFont="1">
      <alignment horizontal="right"/>
    </xf>
    <xf borderId="0" fillId="27" fontId="37" numFmtId="164" xfId="0" applyAlignment="1" applyFont="1" applyNumberFormat="1">
      <alignment horizontal="center" readingOrder="0"/>
    </xf>
    <xf borderId="23" fillId="27" fontId="1" numFmtId="164" xfId="0" applyAlignment="1" applyBorder="1" applyFont="1" applyNumberFormat="1">
      <alignment horizontal="right"/>
    </xf>
    <xf borderId="0" fillId="4" fontId="1" numFmtId="164" xfId="0" applyAlignment="1" applyFont="1" applyNumberFormat="1">
      <alignment horizontal="center"/>
    </xf>
    <xf borderId="23" fillId="27" fontId="37" numFmtId="0" xfId="0" applyAlignment="1" applyBorder="1" applyFont="1">
      <alignment horizontal="right" readingOrder="0"/>
    </xf>
    <xf borderId="29" fillId="21" fontId="1" numFmtId="0" xfId="0" applyAlignment="1" applyBorder="1" applyFont="1">
      <alignment horizontal="right"/>
    </xf>
    <xf borderId="27" fillId="21" fontId="1" numFmtId="1" xfId="0" applyAlignment="1" applyBorder="1" applyFont="1" applyNumberFormat="1">
      <alignment horizontal="center"/>
    </xf>
    <xf borderId="1" fillId="4" fontId="1" numFmtId="0" xfId="0" applyAlignment="1" applyBorder="1" applyFont="1">
      <alignment horizontal="left"/>
    </xf>
    <xf borderId="29" fillId="18" fontId="1" numFmtId="0" xfId="0" applyAlignment="1" applyBorder="1" applyFont="1">
      <alignment horizontal="right"/>
    </xf>
    <xf borderId="26" fillId="18" fontId="1" numFmtId="164" xfId="0" applyAlignment="1" applyBorder="1" applyFont="1" applyNumberFormat="1">
      <alignment horizontal="center"/>
    </xf>
    <xf borderId="29" fillId="11" fontId="1" numFmtId="0" xfId="0" applyAlignment="1" applyBorder="1" applyFont="1">
      <alignment horizontal="right"/>
    </xf>
    <xf borderId="27" fillId="11" fontId="1" numFmtId="164" xfId="0" applyAlignment="1" applyBorder="1" applyFont="1" applyNumberFormat="1">
      <alignment horizontal="center"/>
    </xf>
    <xf borderId="1" fillId="4" fontId="1" numFmtId="0" xfId="0" applyAlignment="1" applyBorder="1" applyFont="1">
      <alignment horizontal="center"/>
    </xf>
    <xf borderId="29" fillId="27" fontId="1" numFmtId="0" xfId="0" applyAlignment="1" applyBorder="1" applyFont="1">
      <alignment horizontal="right"/>
    </xf>
    <xf borderId="26" fillId="27" fontId="37" numFmtId="164" xfId="0" applyAlignment="1" applyBorder="1" applyFont="1" applyNumberFormat="1">
      <alignment horizontal="center" readingOrder="0"/>
    </xf>
    <xf borderId="39" fillId="20" fontId="38" numFmtId="0" xfId="0" applyAlignment="1" applyBorder="1" applyFont="1">
      <alignment horizontal="center"/>
    </xf>
    <xf borderId="40" fillId="20" fontId="5" numFmtId="0" xfId="0" applyAlignment="1" applyBorder="1" applyFont="1">
      <alignment horizontal="center"/>
    </xf>
    <xf borderId="39" fillId="28" fontId="5" numFmtId="0" xfId="0" applyAlignment="1" applyBorder="1" applyFill="1" applyFont="1">
      <alignment horizontal="center"/>
    </xf>
    <xf borderId="41" fillId="28" fontId="5" numFmtId="0" xfId="0" applyAlignment="1" applyBorder="1" applyFont="1">
      <alignment horizontal="center"/>
    </xf>
    <xf borderId="39" fillId="16" fontId="38" numFmtId="0" xfId="0" applyAlignment="1" applyBorder="1" applyFont="1">
      <alignment horizontal="center"/>
    </xf>
    <xf borderId="40" fillId="16" fontId="5" numFmtId="0" xfId="0" applyAlignment="1" applyBorder="1" applyFont="1">
      <alignment horizontal="center"/>
    </xf>
    <xf borderId="39" fillId="29" fontId="5" numFmtId="0" xfId="0" applyAlignment="1" applyBorder="1" applyFill="1" applyFont="1">
      <alignment horizontal="center"/>
    </xf>
    <xf borderId="41" fillId="29" fontId="5" numFmtId="0" xfId="0" applyAlignment="1" applyBorder="1" applyFont="1">
      <alignment horizontal="center"/>
    </xf>
    <xf borderId="23" fillId="20" fontId="1" numFmtId="0" xfId="0" applyAlignment="1" applyBorder="1" applyFont="1">
      <alignment horizontal="right"/>
    </xf>
    <xf borderId="24" fillId="20" fontId="1" numFmtId="164" xfId="0" applyAlignment="1" applyBorder="1" applyFont="1" applyNumberFormat="1">
      <alignment horizontal="center"/>
    </xf>
    <xf borderId="23" fillId="28" fontId="1" numFmtId="0" xfId="0" applyAlignment="1" applyBorder="1" applyFont="1">
      <alignment horizontal="right"/>
    </xf>
    <xf borderId="0" fillId="28" fontId="1" numFmtId="164" xfId="0" applyAlignment="1" applyFont="1" applyNumberFormat="1">
      <alignment horizontal="center"/>
    </xf>
    <xf borderId="23" fillId="16" fontId="1" numFmtId="0" xfId="0" applyAlignment="1" applyBorder="1" applyFont="1">
      <alignment horizontal="right"/>
    </xf>
    <xf borderId="24" fillId="16" fontId="1" numFmtId="164" xfId="0" applyAlignment="1" applyBorder="1" applyFont="1" applyNumberFormat="1">
      <alignment horizontal="center"/>
    </xf>
    <xf borderId="23" fillId="29" fontId="1" numFmtId="0" xfId="0" applyAlignment="1" applyBorder="1" applyFont="1">
      <alignment horizontal="right"/>
    </xf>
    <xf borderId="0" fillId="29" fontId="1" numFmtId="164" xfId="0" applyAlignment="1" applyFont="1" applyNumberFormat="1">
      <alignment horizontal="center"/>
    </xf>
    <xf borderId="29" fillId="20" fontId="1" numFmtId="0" xfId="0" applyAlignment="1" applyBorder="1" applyFont="1">
      <alignment horizontal="right"/>
    </xf>
    <xf borderId="27" fillId="20" fontId="1" numFmtId="164" xfId="0" applyAlignment="1" applyBorder="1" applyFont="1" applyNumberFormat="1">
      <alignment horizontal="center"/>
    </xf>
    <xf borderId="29" fillId="28" fontId="1" numFmtId="0" xfId="0" applyAlignment="1" applyBorder="1" applyFont="1">
      <alignment horizontal="right"/>
    </xf>
    <xf borderId="26" fillId="28" fontId="1" numFmtId="164" xfId="0" applyAlignment="1" applyBorder="1" applyFont="1" applyNumberFormat="1">
      <alignment horizontal="center"/>
    </xf>
    <xf borderId="29" fillId="16" fontId="1" numFmtId="0" xfId="0" applyAlignment="1" applyBorder="1" applyFont="1">
      <alignment horizontal="right"/>
    </xf>
    <xf borderId="27" fillId="16" fontId="1" numFmtId="164" xfId="0" applyAlignment="1" applyBorder="1" applyFont="1" applyNumberFormat="1">
      <alignment horizontal="center"/>
    </xf>
    <xf borderId="29" fillId="29" fontId="1" numFmtId="0" xfId="0" applyAlignment="1" applyBorder="1" applyFont="1">
      <alignment horizontal="right"/>
    </xf>
    <xf borderId="26" fillId="29" fontId="1" numFmtId="164" xfId="0" applyAlignment="1" applyBorder="1" applyFont="1" applyNumberFormat="1">
      <alignment horizontal="center"/>
    </xf>
    <xf borderId="39" fillId="12" fontId="39" numFmtId="0" xfId="0" applyAlignment="1" applyBorder="1" applyFont="1">
      <alignment horizontal="center"/>
    </xf>
    <xf borderId="41" fillId="12" fontId="39" numFmtId="0" xfId="0" applyAlignment="1" applyBorder="1" applyFont="1">
      <alignment horizontal="center"/>
    </xf>
    <xf borderId="23" fillId="12" fontId="40" numFmtId="0" xfId="0" applyAlignment="1" applyBorder="1" applyFont="1">
      <alignment horizontal="right" vertical="center"/>
    </xf>
    <xf borderId="0" fillId="12" fontId="40" numFmtId="164" xfId="0" applyAlignment="1" applyFont="1" applyNumberFormat="1">
      <alignment horizontal="center" vertical="center"/>
    </xf>
    <xf borderId="0" fillId="16" fontId="1" numFmtId="0" xfId="0" applyAlignment="1" applyFont="1">
      <alignment horizontal="center" readingOrder="0" vertical="center"/>
    </xf>
    <xf borderId="0" fillId="16" fontId="1" numFmtId="0" xfId="0" applyAlignment="1" applyFont="1">
      <alignment horizontal="center" readingOrder="0"/>
    </xf>
    <xf borderId="23" fillId="12" fontId="41" numFmtId="0" xfId="0" applyAlignment="1" applyBorder="1" applyFont="1">
      <alignment horizontal="right" readingOrder="0" vertical="center"/>
    </xf>
    <xf borderId="0" fillId="12" fontId="41" numFmtId="164" xfId="0" applyAlignment="1" applyFont="1" applyNumberFormat="1">
      <alignment horizontal="center" readingOrder="0" vertical="center"/>
    </xf>
    <xf borderId="0" fillId="16" fontId="1" numFmtId="0" xfId="0" applyAlignment="1" applyFont="1">
      <alignment horizontal="center" readingOrder="0" shrinkToFit="0" vertical="center" wrapText="1"/>
    </xf>
    <xf borderId="0" fillId="4" fontId="11" numFmtId="0" xfId="0" applyFont="1"/>
    <xf borderId="0" fillId="16" fontId="1" numFmtId="0" xfId="0" applyAlignment="1" applyFont="1">
      <alignment horizontal="center" readingOrder="0" shrinkToFit="0" wrapText="1"/>
    </xf>
    <xf borderId="29" fillId="12" fontId="40" numFmtId="0" xfId="0" applyAlignment="1" applyBorder="1" applyFont="1">
      <alignment horizontal="right" vertical="center"/>
    </xf>
    <xf borderId="26" fillId="12" fontId="40" numFmtId="164" xfId="0" applyAlignment="1" applyBorder="1" applyFont="1" applyNumberFormat="1">
      <alignment horizontal="center" vertical="center"/>
    </xf>
    <xf borderId="0" fillId="14" fontId="8" numFmtId="0" xfId="0" applyAlignment="1" applyFont="1">
      <alignment readingOrder="0" vertical="bottom"/>
    </xf>
    <xf borderId="10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6" fillId="0" fontId="1" numFmtId="0" xfId="0" applyAlignment="1" applyBorder="1" applyFont="1">
      <alignment readingOrder="0"/>
    </xf>
    <xf borderId="42" fillId="0" fontId="1" numFmtId="0" xfId="0" applyAlignment="1" applyBorder="1" applyFont="1">
      <alignment readingOrder="0"/>
    </xf>
    <xf borderId="42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32" fillId="0" fontId="42" numFmtId="0" xfId="0" applyAlignment="1" applyBorder="1" applyFont="1">
      <alignment readingOrder="0" vertical="bottom"/>
    </xf>
    <xf borderId="15" fillId="0" fontId="42" numFmtId="0" xfId="0" applyAlignment="1" applyBorder="1" applyFont="1">
      <alignment horizontal="right" readingOrder="0" vertical="bottom"/>
    </xf>
    <xf borderId="0" fillId="0" fontId="42" numFmtId="0" xfId="0" applyAlignment="1" applyFont="1">
      <alignment readingOrder="0" vertical="bottom"/>
    </xf>
    <xf borderId="0" fillId="0" fontId="42" numFmtId="0" xfId="0" applyAlignment="1" applyFont="1">
      <alignment horizontal="right" readingOrder="0" vertical="bottom"/>
    </xf>
    <xf borderId="37" fillId="0" fontId="42" numFmtId="0" xfId="0" applyAlignment="1" applyBorder="1" applyFont="1">
      <alignment readingOrder="0" vertical="bottom"/>
    </xf>
    <xf borderId="38" fillId="0" fontId="42" numFmtId="0" xfId="0" applyAlignment="1" applyBorder="1" applyFont="1">
      <alignment readingOrder="0" vertical="bottom"/>
    </xf>
    <xf borderId="1" fillId="0" fontId="42" numFmtId="0" xfId="0" applyAlignment="1" applyBorder="1" applyFont="1">
      <alignment horizontal="right" readingOrder="0" vertical="bottom"/>
    </xf>
    <xf borderId="7" fillId="0" fontId="42" numFmtId="0" xfId="0" applyAlignment="1" applyBorder="1" applyFont="1">
      <alignment horizontal="right" readingOrder="0" vertical="bottom"/>
    </xf>
    <xf borderId="42" fillId="0" fontId="42" numFmtId="0" xfId="0" applyAlignment="1" applyBorder="1" applyFont="1">
      <alignment horizontal="right" readingOrder="0" vertical="bottom"/>
    </xf>
    <xf borderId="0" fillId="10" fontId="5" numFmtId="0" xfId="0" applyAlignment="1" applyFont="1">
      <alignment horizontal="center" readingOrder="0"/>
    </xf>
    <xf borderId="26" fillId="10" fontId="5" numFmtId="10" xfId="0" applyAlignment="1" applyBorder="1" applyFont="1" applyNumberFormat="1">
      <alignment horizontal="center" readingOrder="0"/>
    </xf>
    <xf borderId="0" fillId="10" fontId="5" numFmtId="2" xfId="0" applyAlignment="1" applyFont="1" applyNumberFormat="1">
      <alignment horizontal="center" readingOrder="0"/>
    </xf>
    <xf borderId="0" fillId="10" fontId="5" numFmtId="0" xfId="0" applyAlignment="1" applyFont="1">
      <alignment readingOrder="0"/>
    </xf>
    <xf borderId="0" fillId="10" fontId="8" numFmtId="0" xfId="0" applyAlignment="1" applyFont="1">
      <alignment horizontal="center" readingOrder="0" vertical="bottom"/>
    </xf>
    <xf borderId="0" fillId="10" fontId="8" numFmtId="0" xfId="0" applyAlignment="1" applyFont="1">
      <alignment horizontal="center" vertical="bottom"/>
    </xf>
    <xf borderId="10" fillId="0" fontId="8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readingOrder="0" vertical="bottom"/>
    </xf>
    <xf borderId="0" fillId="0" fontId="4" numFmtId="10" xfId="0" applyAlignment="1" applyFont="1" applyNumberFormat="1">
      <alignment horizontal="center" vertical="bottom"/>
    </xf>
    <xf borderId="0" fillId="5" fontId="37" numFmtId="0" xfId="0" applyAlignment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0" fillId="0" fontId="1" numFmtId="2" xfId="0" applyAlignment="1" applyFont="1" applyNumberFormat="1">
      <alignment horizontal="center" readingOrder="0"/>
    </xf>
    <xf borderId="12" fillId="0" fontId="8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12" fillId="0" fontId="4" numFmtId="0" xfId="0" applyAlignment="1" applyBorder="1" applyFont="1">
      <alignment horizontal="center" readingOrder="0" vertical="bottom"/>
    </xf>
    <xf borderId="16" fillId="0" fontId="8" numFmtId="0" xfId="0" applyAlignment="1" applyBorder="1" applyFont="1">
      <alignment vertical="bottom"/>
    </xf>
    <xf borderId="42" fillId="10" fontId="8" numFmtId="0" xfId="0" applyAlignment="1" applyBorder="1" applyFont="1">
      <alignment horizontal="left" readingOrder="0" vertical="bottom"/>
    </xf>
    <xf borderId="43" fillId="10" fontId="8" numFmtId="10" xfId="0" applyAlignment="1" applyBorder="1" applyFont="1" applyNumberFormat="1">
      <alignment horizontal="center" vertical="bottom"/>
    </xf>
    <xf borderId="1" fillId="10" fontId="37" numFmtId="0" xfId="0" applyAlignment="1" applyBorder="1" applyFont="1">
      <alignment horizontal="center" readingOrder="0"/>
    </xf>
    <xf borderId="31" fillId="10" fontId="43" numFmtId="0" xfId="0" applyAlignment="1" applyBorder="1" applyFont="1">
      <alignment horizontal="center" readingOrder="0"/>
    </xf>
    <xf borderId="44" fillId="10" fontId="5" numFmtId="0" xfId="0" applyAlignment="1" applyBorder="1" applyFont="1">
      <alignment horizontal="center" readingOrder="0"/>
    </xf>
    <xf borderId="42" fillId="10" fontId="1" numFmtId="0" xfId="0" applyAlignment="1" applyBorder="1" applyFont="1">
      <alignment horizontal="center" readingOrder="0"/>
    </xf>
    <xf borderId="42" fillId="10" fontId="1" numFmtId="2" xfId="0" applyAlignment="1" applyBorder="1" applyFont="1" applyNumberFormat="1">
      <alignment horizontal="center" readingOrder="0"/>
    </xf>
    <xf borderId="0" fillId="5" fontId="44" numFmtId="0" xfId="0" applyAlignment="1" applyFont="1">
      <alignment horizontal="center" readingOrder="0"/>
    </xf>
    <xf borderId="9" fillId="10" fontId="37" numFmtId="0" xfId="0" applyAlignment="1" applyBorder="1" applyFont="1">
      <alignment horizontal="center" readingOrder="0"/>
    </xf>
    <xf borderId="45" fillId="10" fontId="43" numFmtId="0" xfId="0" applyAlignment="1" applyBorder="1" applyFont="1">
      <alignment horizontal="center" readingOrder="0"/>
    </xf>
    <xf borderId="46" fillId="10" fontId="1" numFmtId="0" xfId="0" applyAlignment="1" applyBorder="1" applyFont="1">
      <alignment horizontal="center" readingOrder="0"/>
    </xf>
    <xf borderId="46" fillId="10" fontId="1" numFmtId="2" xfId="0" applyAlignment="1" applyBorder="1" applyFont="1" applyNumberFormat="1">
      <alignment horizontal="center" readingOrder="0"/>
    </xf>
    <xf borderId="7" fillId="0" fontId="5" numFmtId="0" xfId="0" applyAlignment="1" applyBorder="1" applyFont="1">
      <alignment readingOrder="0"/>
    </xf>
    <xf borderId="12" fillId="0" fontId="5" numFmtId="0" xfId="0" applyAlignment="1" applyBorder="1" applyFont="1">
      <alignment horizontal="center" readingOrder="0"/>
    </xf>
    <xf borderId="16" fillId="0" fontId="5" numFmtId="0" xfId="0" applyAlignment="1" applyBorder="1" applyFont="1">
      <alignment horizontal="center" readingOrder="0"/>
    </xf>
    <xf borderId="43" fillId="10" fontId="5" numFmtId="10" xfId="0" applyAlignment="1" applyBorder="1" applyFont="1" applyNumberFormat="1">
      <alignment horizontal="center" readingOrder="0"/>
    </xf>
    <xf borderId="10" fillId="0" fontId="5" numFmtId="0" xfId="0" applyAlignment="1" applyBorder="1" applyFont="1">
      <alignment horizontal="center" readingOrder="0"/>
    </xf>
    <xf borderId="0" fillId="30" fontId="37" numFmtId="0" xfId="0" applyAlignment="1" applyFill="1" applyFont="1">
      <alignment horizontal="center" readingOrder="0"/>
    </xf>
    <xf borderId="0" fillId="30" fontId="1" numFmtId="0" xfId="0" applyAlignment="1" applyFont="1">
      <alignment horizontal="center" readingOrder="0"/>
    </xf>
    <xf borderId="0" fillId="30" fontId="1" numFmtId="2" xfId="0" applyAlignment="1" applyFont="1" applyNumberFormat="1">
      <alignment horizontal="center" readingOrder="0"/>
    </xf>
    <xf borderId="0" fillId="31" fontId="37" numFmtId="0" xfId="0" applyAlignment="1" applyFill="1" applyFont="1">
      <alignment horizontal="center" readingOrder="0"/>
    </xf>
    <xf borderId="16" fillId="0" fontId="5" numFmtId="0" xfId="0" applyBorder="1" applyFont="1"/>
    <xf borderId="43" fillId="10" fontId="5" numFmtId="10" xfId="0" applyAlignment="1" applyBorder="1" applyFont="1" applyNumberFormat="1">
      <alignment horizontal="center"/>
    </xf>
    <xf borderId="9" fillId="10" fontId="1" numFmtId="0" xfId="0" applyAlignment="1" applyBorder="1" applyFont="1">
      <alignment horizontal="center"/>
    </xf>
    <xf borderId="45" fillId="10" fontId="45" numFmtId="0" xfId="0" applyAlignment="1" applyBorder="1" applyFont="1">
      <alignment horizontal="center"/>
    </xf>
    <xf borderId="35" fillId="10" fontId="5" numFmtId="0" xfId="0" applyAlignment="1" applyBorder="1" applyFont="1">
      <alignment horizontal="center" readingOrder="0"/>
    </xf>
    <xf borderId="46" fillId="10" fontId="1" numFmtId="0" xfId="0" applyAlignment="1" applyBorder="1" applyFont="1">
      <alignment horizontal="center"/>
    </xf>
    <xf borderId="0" fillId="10" fontId="5" numFmtId="10" xfId="0" applyAlignment="1" applyFont="1" applyNumberFormat="1">
      <alignment horizontal="center"/>
    </xf>
    <xf borderId="0" fillId="17" fontId="46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31" fontId="46" numFmtId="0" xfId="0" applyAlignment="1" applyFont="1">
      <alignment horizontal="center"/>
    </xf>
    <xf borderId="0" fillId="18" fontId="46" numFmtId="0" xfId="0" applyAlignment="1" applyFont="1">
      <alignment horizontal="center"/>
    </xf>
    <xf borderId="0" fillId="32" fontId="5" numFmtId="0" xfId="0" applyAlignment="1" applyFill="1" applyFont="1">
      <alignment horizontal="center"/>
    </xf>
    <xf borderId="0" fillId="33" fontId="46" numFmtId="0" xfId="0" applyAlignment="1" applyFill="1" applyFont="1">
      <alignment horizontal="center"/>
    </xf>
    <xf borderId="0" fillId="0" fontId="5" numFmtId="0" xfId="0" applyFont="1"/>
    <xf borderId="0" fillId="10" fontId="8" numFmtId="0" xfId="0" applyAlignment="1" applyFont="1">
      <alignment horizontal="left" readingOrder="0" vertical="bottom"/>
    </xf>
    <xf borderId="0" fillId="10" fontId="46" numFmtId="0" xfId="0" applyAlignment="1" applyFont="1">
      <alignment horizontal="center"/>
    </xf>
    <xf borderId="10" fillId="0" fontId="5" numFmtId="0" xfId="0" applyAlignment="1" applyBorder="1" applyFont="1">
      <alignment readingOrder="0"/>
    </xf>
    <xf borderId="7" fillId="0" fontId="1" numFmtId="0" xfId="0" applyBorder="1" applyFont="1"/>
    <xf borderId="12" fillId="0" fontId="5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16" fillId="0" fontId="5" numFmtId="0" xfId="0" applyAlignment="1" applyBorder="1" applyFont="1">
      <alignment readingOrder="0"/>
    </xf>
    <xf borderId="42" fillId="0" fontId="1" numFmtId="0" xfId="0" applyAlignment="1" applyBorder="1" applyFont="1">
      <alignment horizontal="center" readingOrder="0"/>
    </xf>
    <xf borderId="42" fillId="0" fontId="1" numFmtId="0" xfId="0" applyAlignment="1" applyBorder="1" applyFont="1">
      <alignment horizontal="center"/>
    </xf>
    <xf borderId="42" fillId="0" fontId="1" numFmtId="0" xfId="0" applyBorder="1" applyFont="1"/>
    <xf borderId="0" fillId="0" fontId="5" numFmtId="0" xfId="0" applyAlignment="1" applyFont="1">
      <alignment readingOrder="0"/>
    </xf>
    <xf borderId="42" fillId="0" fontId="5" numFmtId="0" xfId="0" applyAlignment="1" applyBorder="1" applyFont="1">
      <alignment readingOrder="0"/>
    </xf>
    <xf borderId="0" fillId="17" fontId="1" numFmtId="0" xfId="0" applyAlignment="1" applyFont="1">
      <alignment readingOrder="0"/>
    </xf>
    <xf borderId="0" fillId="17" fontId="1" numFmtId="164" xfId="0" applyAlignment="1" applyFont="1" applyNumberFormat="1">
      <alignment horizontal="center" readingOrder="0"/>
    </xf>
    <xf borderId="0" fillId="20" fontId="1" numFmtId="0" xfId="0" applyAlignment="1" applyFont="1">
      <alignment readingOrder="0"/>
    </xf>
    <xf borderId="0" fillId="2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39" fillId="0" fontId="5" numFmtId="0" xfId="0" applyAlignment="1" applyBorder="1" applyFont="1">
      <alignment horizontal="center" readingOrder="0"/>
    </xf>
    <xf borderId="40" fillId="0" fontId="5" numFmtId="0" xfId="0" applyAlignment="1" applyBorder="1" applyFont="1">
      <alignment horizontal="left" readingOrder="0" shrinkToFit="0" vertical="center" wrapText="0"/>
    </xf>
    <xf borderId="41" fillId="0" fontId="5" numFmtId="0" xfId="0" applyAlignment="1" applyBorder="1" applyFont="1">
      <alignment horizontal="left" readingOrder="0"/>
    </xf>
    <xf borderId="41" fillId="10" fontId="5" numFmtId="0" xfId="0" applyAlignment="1" applyBorder="1" applyFont="1">
      <alignment horizontal="center" readingOrder="0"/>
    </xf>
    <xf borderId="40" fillId="10" fontId="5" numFmtId="0" xfId="0" applyAlignment="1" applyBorder="1" applyFont="1">
      <alignment horizontal="center" readingOrder="0"/>
    </xf>
    <xf borderId="24" fillId="34" fontId="5" numFmtId="10" xfId="0" applyAlignment="1" applyBorder="1" applyFill="1" applyFont="1" applyNumberFormat="1">
      <alignment horizontal="center"/>
    </xf>
    <xf borderId="0" fillId="34" fontId="5" numFmtId="10" xfId="0" applyAlignment="1" applyFont="1" applyNumberFormat="1">
      <alignment horizontal="center"/>
    </xf>
    <xf borderId="0" fillId="34" fontId="1" numFmtId="10" xfId="0" applyAlignment="1" applyFont="1" applyNumberFormat="1">
      <alignment horizontal="center"/>
    </xf>
    <xf borderId="24" fillId="0" fontId="5" numFmtId="10" xfId="0" applyAlignment="1" applyBorder="1" applyFont="1" applyNumberFormat="1">
      <alignment horizontal="center"/>
    </xf>
    <xf borderId="0" fillId="0" fontId="5" numFmtId="10" xfId="0" applyAlignment="1" applyFont="1" applyNumberFormat="1">
      <alignment horizontal="center"/>
    </xf>
    <xf borderId="47" fillId="0" fontId="47" numFmtId="0" xfId="0" applyAlignment="1" applyBorder="1" applyFont="1">
      <alignment readingOrder="0"/>
    </xf>
    <xf borderId="48" fillId="0" fontId="5" numFmtId="164" xfId="0" applyAlignment="1" applyBorder="1" applyFont="1" applyNumberFormat="1">
      <alignment readingOrder="0"/>
    </xf>
    <xf borderId="48" fillId="0" fontId="5" numFmtId="164" xfId="0" applyAlignment="1" applyBorder="1" applyFont="1" applyNumberFormat="1">
      <alignment horizontal="center" readingOrder="0"/>
    </xf>
    <xf borderId="48" fillId="0" fontId="5" numFmtId="0" xfId="0" applyAlignment="1" applyBorder="1" applyFont="1">
      <alignment readingOrder="0"/>
    </xf>
    <xf borderId="29" fillId="0" fontId="5" numFmtId="164" xfId="0" applyAlignment="1" applyBorder="1" applyFont="1" applyNumberFormat="1">
      <alignment horizontal="center" readingOrder="0"/>
    </xf>
    <xf borderId="26" fillId="0" fontId="5" numFmtId="0" xfId="0" applyAlignment="1" applyBorder="1" applyFont="1">
      <alignment readingOrder="0"/>
    </xf>
    <xf borderId="0" fillId="0" fontId="1" numFmtId="0" xfId="0" applyAlignment="1" applyFont="1">
      <alignment horizontal="right"/>
    </xf>
    <xf borderId="15" fillId="0" fontId="8" numFmtId="166" xfId="0" applyAlignment="1" applyBorder="1" applyFont="1" applyNumberFormat="1">
      <alignment vertical="bottom"/>
    </xf>
    <xf borderId="15" fillId="0" fontId="8" numFmtId="0" xfId="0" applyAlignment="1" applyBorder="1" applyFont="1">
      <alignment vertical="bottom"/>
    </xf>
    <xf borderId="0" fillId="14" fontId="48" numFmtId="0" xfId="0" applyFont="1"/>
    <xf borderId="0" fillId="5" fontId="11" numFmtId="164" xfId="0" applyAlignment="1" applyFont="1" applyNumberFormat="1">
      <alignment horizontal="center" readingOrder="0"/>
    </xf>
    <xf borderId="0" fillId="5" fontId="11" numFmtId="164" xfId="0" applyAlignment="1" applyFont="1" applyNumberFormat="1">
      <alignment horizontal="center"/>
    </xf>
    <xf borderId="0" fillId="0" fontId="49" numFmtId="164" xfId="0" applyAlignment="1" applyFont="1" applyNumberFormat="1">
      <alignment horizontal="center"/>
    </xf>
    <xf borderId="0" fillId="0" fontId="50" numFmtId="0" xfId="0" applyAlignment="1" applyFont="1">
      <alignment horizontal="center"/>
    </xf>
    <xf borderId="18" fillId="5" fontId="51" numFmtId="0" xfId="0" applyAlignment="1" applyBorder="1" applyFont="1">
      <alignment horizontal="center"/>
    </xf>
    <xf borderId="49" fillId="10" fontId="5" numFmtId="0" xfId="0" applyAlignment="1" applyBorder="1" applyFont="1">
      <alignment horizontal="center" readingOrder="0"/>
    </xf>
    <xf borderId="50" fillId="10" fontId="5" numFmtId="0" xfId="0" applyAlignment="1" applyBorder="1" applyFont="1">
      <alignment horizontal="center" readingOrder="0"/>
    </xf>
    <xf borderId="39" fillId="31" fontId="5" numFmtId="0" xfId="0" applyAlignment="1" applyBorder="1" applyFont="1">
      <alignment horizontal="right" readingOrder="0"/>
    </xf>
    <xf borderId="41" fillId="31" fontId="5" numFmtId="166" xfId="0" applyAlignment="1" applyBorder="1" applyFont="1" applyNumberFormat="1">
      <alignment horizontal="center"/>
    </xf>
    <xf borderId="51" fillId="5" fontId="51" numFmtId="0" xfId="0" applyAlignment="1" applyBorder="1" applyFont="1">
      <alignment horizontal="center"/>
    </xf>
    <xf borderId="52" fillId="31" fontId="5" numFmtId="0" xfId="0" applyAlignment="1" applyBorder="1" applyFont="1">
      <alignment horizontal="center" readingOrder="0"/>
    </xf>
    <xf borderId="53" fillId="31" fontId="5" numFmtId="0" xfId="0" applyAlignment="1" applyBorder="1" applyFont="1">
      <alignment horizontal="center" readingOrder="0"/>
    </xf>
    <xf borderId="19" fillId="17" fontId="52" numFmtId="0" xfId="0" applyAlignment="1" applyBorder="1" applyFont="1">
      <alignment horizontal="left" readingOrder="0"/>
    </xf>
    <xf borderId="54" fillId="17" fontId="11" numFmtId="166" xfId="0" applyBorder="1" applyFont="1" applyNumberFormat="1"/>
    <xf borderId="52" fillId="17" fontId="5" numFmtId="0" xfId="0" applyAlignment="1" applyBorder="1" applyFont="1">
      <alignment horizontal="center" readingOrder="0"/>
    </xf>
    <xf borderId="53" fillId="17" fontId="5" numFmtId="0" xfId="0" applyAlignment="1" applyBorder="1" applyFont="1">
      <alignment horizontal="center" readingOrder="0"/>
    </xf>
    <xf borderId="23" fillId="17" fontId="5" numFmtId="0" xfId="0" applyAlignment="1" applyBorder="1" applyFont="1">
      <alignment horizontal="right" readingOrder="0"/>
    </xf>
    <xf borderId="33" fillId="17" fontId="38" numFmtId="166" xfId="0" applyAlignment="1" applyBorder="1" applyFont="1" applyNumberFormat="1">
      <alignment horizontal="left"/>
    </xf>
    <xf borderId="52" fillId="18" fontId="5" numFmtId="0" xfId="0" applyAlignment="1" applyBorder="1" applyFont="1">
      <alignment horizontal="center" readingOrder="0"/>
    </xf>
    <xf borderId="53" fillId="18" fontId="5" numFmtId="0" xfId="0" applyAlignment="1" applyBorder="1" applyFont="1">
      <alignment horizontal="center" readingOrder="0"/>
    </xf>
    <xf borderId="29" fillId="17" fontId="52" numFmtId="0" xfId="0" applyAlignment="1" applyBorder="1" applyFont="1">
      <alignment horizontal="left" readingOrder="0"/>
    </xf>
    <xf borderId="55" fillId="17" fontId="11" numFmtId="166" xfId="0" applyBorder="1" applyFont="1" applyNumberFormat="1"/>
    <xf borderId="52" fillId="32" fontId="5" numFmtId="0" xfId="0" applyAlignment="1" applyBorder="1" applyFont="1">
      <alignment horizontal="center" readingOrder="0"/>
    </xf>
    <xf borderId="53" fillId="32" fontId="5" numFmtId="0" xfId="0" applyAlignment="1" applyBorder="1" applyFont="1">
      <alignment horizontal="center" readingOrder="0"/>
    </xf>
    <xf borderId="37" fillId="18" fontId="52" numFmtId="0" xfId="0" applyAlignment="1" applyBorder="1" applyFont="1">
      <alignment horizontal="left" readingOrder="0"/>
    </xf>
    <xf borderId="33" fillId="18" fontId="52" numFmtId="166" xfId="0" applyBorder="1" applyFont="1" applyNumberFormat="1"/>
    <xf borderId="52" fillId="35" fontId="5" numFmtId="0" xfId="0" applyAlignment="1" applyBorder="1" applyFill="1" applyFont="1">
      <alignment horizontal="center" readingOrder="0"/>
    </xf>
    <xf borderId="53" fillId="35" fontId="5" numFmtId="0" xfId="0" applyAlignment="1" applyBorder="1" applyFont="1">
      <alignment horizontal="center" readingOrder="0"/>
    </xf>
    <xf borderId="37" fillId="18" fontId="5" numFmtId="0" xfId="0" applyAlignment="1" applyBorder="1" applyFont="1">
      <alignment horizontal="center" readingOrder="0"/>
    </xf>
    <xf borderId="33" fillId="18" fontId="1" numFmtId="166" xfId="0" applyAlignment="1" applyBorder="1" applyFont="1" applyNumberFormat="1">
      <alignment horizontal="center"/>
    </xf>
    <xf borderId="52" fillId="33" fontId="5" numFmtId="0" xfId="0" applyAlignment="1" applyBorder="1" applyFont="1">
      <alignment horizontal="center" readingOrder="0"/>
    </xf>
    <xf borderId="53" fillId="33" fontId="5" numFmtId="0" xfId="0" applyAlignment="1" applyBorder="1" applyFont="1">
      <alignment horizontal="center" readingOrder="0"/>
    </xf>
    <xf borderId="56" fillId="36" fontId="5" numFmtId="0" xfId="0" applyAlignment="1" applyBorder="1" applyFill="1" applyFont="1">
      <alignment horizontal="center" readingOrder="0"/>
    </xf>
    <xf borderId="16" fillId="36" fontId="5" numFmtId="0" xfId="0" applyAlignment="1" applyBorder="1" applyFont="1">
      <alignment horizontal="center" readingOrder="0"/>
    </xf>
    <xf borderId="19" fillId="32" fontId="52" numFmtId="0" xfId="0" applyAlignment="1" applyBorder="1" applyFont="1">
      <alignment horizontal="left" readingOrder="0"/>
    </xf>
    <xf borderId="54" fillId="32" fontId="11" numFmtId="166" xfId="0" applyBorder="1" applyFont="1" applyNumberFormat="1"/>
    <xf borderId="23" fillId="32" fontId="5" numFmtId="0" xfId="0" applyAlignment="1" applyBorder="1" applyFont="1">
      <alignment horizontal="right" readingOrder="0"/>
    </xf>
    <xf borderId="33" fillId="32" fontId="38" numFmtId="166" xfId="0" applyAlignment="1" applyBorder="1" applyFont="1" applyNumberFormat="1">
      <alignment horizontal="left"/>
    </xf>
    <xf borderId="29" fillId="32" fontId="52" numFmtId="0" xfId="0" applyAlignment="1" applyBorder="1" applyFont="1">
      <alignment horizontal="left" readingOrder="0"/>
    </xf>
    <xf borderId="55" fillId="32" fontId="11" numFmtId="166" xfId="0" applyBorder="1" applyFont="1" applyNumberFormat="1"/>
    <xf borderId="41" fillId="31" fontId="5" numFmtId="2" xfId="0" applyAlignment="1" applyBorder="1" applyFont="1" applyNumberFormat="1">
      <alignment horizontal="center" readingOrder="0"/>
    </xf>
    <xf borderId="37" fillId="35" fontId="53" numFmtId="0" xfId="0" applyAlignment="1" applyBorder="1" applyFont="1">
      <alignment horizontal="left" readingOrder="0"/>
    </xf>
    <xf borderId="33" fillId="35" fontId="52" numFmtId="166" xfId="0" applyBorder="1" applyFont="1" applyNumberFormat="1"/>
    <xf borderId="54" fillId="17" fontId="11" numFmtId="2" xfId="0" applyBorder="1" applyFont="1" applyNumberFormat="1"/>
    <xf borderId="37" fillId="35" fontId="5" numFmtId="0" xfId="0" applyAlignment="1" applyBorder="1" applyFont="1">
      <alignment horizontal="center" readingOrder="0"/>
    </xf>
    <xf borderId="33" fillId="35" fontId="1" numFmtId="166" xfId="0" applyAlignment="1" applyBorder="1" applyFont="1" applyNumberFormat="1">
      <alignment horizontal="center"/>
    </xf>
    <xf borderId="33" fillId="17" fontId="38" numFmtId="2" xfId="0" applyAlignment="1" applyBorder="1" applyFont="1" applyNumberFormat="1">
      <alignment horizontal="left" readingOrder="0"/>
    </xf>
    <xf borderId="37" fillId="35" fontId="52" numFmtId="0" xfId="0" applyAlignment="1" applyBorder="1" applyFont="1">
      <alignment horizontal="left" readingOrder="0"/>
    </xf>
    <xf borderId="55" fillId="17" fontId="11" numFmtId="2" xfId="0" applyBorder="1" applyFont="1" applyNumberFormat="1"/>
    <xf borderId="19" fillId="33" fontId="53" numFmtId="11" xfId="0" applyAlignment="1" applyBorder="1" applyFont="1" applyNumberFormat="1">
      <alignment horizontal="left" readingOrder="0"/>
    </xf>
    <xf borderId="54" fillId="33" fontId="11" numFmtId="166" xfId="0" applyBorder="1" applyFont="1" applyNumberFormat="1"/>
    <xf borderId="33" fillId="18" fontId="5" numFmtId="2" xfId="0" applyAlignment="1" applyBorder="1" applyFont="1" applyNumberFormat="1">
      <alignment horizontal="center" readingOrder="0"/>
    </xf>
    <xf borderId="23" fillId="33" fontId="5" numFmtId="0" xfId="0" applyAlignment="1" applyBorder="1" applyFont="1">
      <alignment horizontal="right" readingOrder="0"/>
    </xf>
    <xf borderId="33" fillId="33" fontId="38" numFmtId="166" xfId="0" applyAlignment="1" applyBorder="1" applyFont="1" applyNumberFormat="1">
      <alignment horizontal="left"/>
    </xf>
    <xf borderId="33" fillId="18" fontId="52" numFmtId="2" xfId="0" applyBorder="1" applyFont="1" applyNumberFormat="1"/>
    <xf borderId="29" fillId="33" fontId="52" numFmtId="0" xfId="0" applyAlignment="1" applyBorder="1" applyFont="1">
      <alignment horizontal="left" readingOrder="0"/>
    </xf>
    <xf borderId="55" fillId="33" fontId="11" numFmtId="166" xfId="0" applyBorder="1" applyFont="1" applyNumberFormat="1"/>
    <xf borderId="33" fillId="32" fontId="38" numFmtId="2" xfId="0" applyAlignment="1" applyBorder="1" applyFont="1" applyNumberFormat="1">
      <alignment horizontal="left" readingOrder="0"/>
    </xf>
    <xf borderId="39" fillId="36" fontId="5" numFmtId="0" xfId="0" applyAlignment="1" applyBorder="1" applyFont="1">
      <alignment horizontal="right" readingOrder="0"/>
    </xf>
    <xf borderId="41" fillId="36" fontId="5" numFmtId="166" xfId="0" applyAlignment="1" applyBorder="1" applyFont="1" applyNumberFormat="1">
      <alignment horizontal="center"/>
    </xf>
    <xf borderId="55" fillId="32" fontId="11" numFmtId="2" xfId="0" applyBorder="1" applyFont="1" applyNumberFormat="1"/>
    <xf borderId="0" fillId="6" fontId="1" numFmtId="166" xfId="0" applyFont="1" applyNumberFormat="1"/>
    <xf borderId="0" fillId="6" fontId="1" numFmtId="0" xfId="0" applyAlignment="1" applyFont="1">
      <alignment horizontal="center" readingOrder="0"/>
    </xf>
    <xf borderId="33" fillId="35" fontId="5" numFmtId="2" xfId="0" applyAlignment="1" applyBorder="1" applyFont="1" applyNumberFormat="1">
      <alignment horizontal="center" readingOrder="0"/>
    </xf>
    <xf borderId="33" fillId="35" fontId="52" numFmtId="2" xfId="0" applyBorder="1" applyFont="1" applyNumberFormat="1"/>
    <xf borderId="33" fillId="33" fontId="38" numFmtId="2" xfId="0" applyAlignment="1" applyBorder="1" applyFont="1" applyNumberFormat="1">
      <alignment horizontal="left" readingOrder="0"/>
    </xf>
    <xf borderId="55" fillId="33" fontId="11" numFmtId="2" xfId="0" applyBorder="1" applyFont="1" applyNumberFormat="1"/>
    <xf borderId="41" fillId="36" fontId="5" numFmtId="2" xfId="0" applyAlignment="1" applyBorder="1" applyFont="1" applyNumberFormat="1">
      <alignment horizontal="center" readingOrder="0"/>
    </xf>
    <xf borderId="19" fillId="14" fontId="5" numFmtId="0" xfId="0" applyAlignment="1" applyBorder="1" applyFont="1">
      <alignment readingOrder="0"/>
    </xf>
    <xf borderId="21" fillId="14" fontId="5" numFmtId="0" xfId="0" applyAlignment="1" applyBorder="1" applyFont="1">
      <alignment readingOrder="0"/>
    </xf>
    <xf borderId="23" fillId="14" fontId="5" numFmtId="0" xfId="0" applyAlignment="1" applyBorder="1" applyFont="1">
      <alignment readingOrder="0"/>
    </xf>
    <xf borderId="24" fillId="14" fontId="5" numFmtId="0" xfId="0" applyAlignment="1" applyBorder="1" applyFont="1">
      <alignment readingOrder="0"/>
    </xf>
    <xf borderId="29" fillId="14" fontId="5" numFmtId="0" xfId="0" applyAlignment="1" applyBorder="1" applyFont="1">
      <alignment readingOrder="0"/>
    </xf>
    <xf borderId="27" fillId="14" fontId="5" numFmtId="0" xfId="0" applyAlignment="1" applyBorder="1" applyFont="1">
      <alignment readingOrder="0"/>
    </xf>
    <xf borderId="56" fillId="5" fontId="51" numFmtId="0" xfId="0" applyAlignment="1" applyBorder="1" applyFont="1">
      <alignment horizontal="center"/>
    </xf>
    <xf borderId="0" fillId="0" fontId="1" numFmtId="166" xfId="0" applyFont="1" applyNumberFormat="1"/>
    <xf borderId="0" fillId="28" fontId="47" numFmtId="164" xfId="0" applyAlignment="1" applyFont="1" applyNumberFormat="1">
      <alignment horizontal="center"/>
    </xf>
    <xf borderId="0" fillId="5" fontId="47" numFmtId="164" xfId="0" applyAlignment="1" applyFont="1" applyNumberFormat="1">
      <alignment horizontal="center"/>
    </xf>
    <xf borderId="0" fillId="28" fontId="1" numFmtId="164" xfId="0" applyFont="1" applyNumberFormat="1"/>
    <xf borderId="0" fillId="5" fontId="1" numFmtId="164" xfId="0" applyFont="1" applyNumberFormat="1"/>
    <xf borderId="0" fillId="37" fontId="4" numFmtId="0" xfId="0" applyAlignment="1" applyFill="1" applyFont="1">
      <alignment readingOrder="0" vertical="bottom"/>
    </xf>
    <xf borderId="0" fillId="37" fontId="4" numFmtId="0" xfId="0" applyAlignment="1" applyFont="1">
      <alignment vertical="bottom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17" fontId="4" numFmtId="0" xfId="0" applyAlignment="1" applyFont="1">
      <alignment readingOrder="0" vertical="bottom"/>
    </xf>
    <xf borderId="0" fillId="17" fontId="4" numFmtId="0" xfId="0" applyAlignment="1" applyFont="1">
      <alignment readingOrder="0" vertical="bottom"/>
    </xf>
    <xf borderId="0" fillId="17" fontId="4" numFmtId="2" xfId="0" applyAlignment="1" applyFont="1" applyNumberFormat="1">
      <alignment readingOrder="0" vertical="bottom"/>
    </xf>
    <xf borderId="0" fillId="17" fontId="4" numFmtId="0" xfId="0" applyAlignment="1" applyFont="1">
      <alignment vertical="bottom"/>
    </xf>
    <xf borderId="0" fillId="17" fontId="4" numFmtId="0" xfId="0" applyAlignment="1" applyFont="1">
      <alignment readingOrder="0" vertical="bottom"/>
    </xf>
    <xf borderId="0" fillId="17" fontId="4" numFmtId="0" xfId="0" applyAlignment="1" applyFont="1">
      <alignment horizontal="right" readingOrder="0" vertical="bottom"/>
    </xf>
    <xf borderId="0" fillId="17" fontId="4" numFmtId="2" xfId="0" applyAlignment="1" applyFont="1" applyNumberFormat="1">
      <alignment horizontal="right" readingOrder="0" vertical="bottom"/>
    </xf>
    <xf borderId="0" fillId="17" fontId="1" numFmtId="0" xfId="0" applyFont="1"/>
    <xf borderId="0" fillId="6" fontId="54" numFmtId="164" xfId="0" applyAlignment="1" applyFont="1" applyNumberFormat="1">
      <alignment horizontal="center" readingOrder="0" vertical="center"/>
    </xf>
    <xf borderId="0" fillId="17" fontId="38" numFmtId="164" xfId="0" applyAlignment="1" applyFont="1" applyNumberFormat="1">
      <alignment horizontal="center" vertical="center"/>
    </xf>
    <xf borderId="0" fillId="17" fontId="5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0" fillId="10" fontId="4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6" fontId="4" numFmtId="164" xfId="0" applyAlignment="1" applyFont="1" applyNumberFormat="1">
      <alignment vertical="center"/>
    </xf>
    <xf borderId="0" fillId="6" fontId="1" numFmtId="164" xfId="0" applyAlignment="1" applyFont="1" applyNumberFormat="1">
      <alignment vertical="center"/>
    </xf>
    <xf borderId="0" fillId="6" fontId="1" numFmtId="164" xfId="0" applyAlignment="1" applyFont="1" applyNumberFormat="1">
      <alignment readingOrder="0" vertical="center"/>
    </xf>
    <xf borderId="0" fillId="1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0" fillId="4" fontId="1" numFmtId="164" xfId="0" applyAlignment="1" applyFont="1" applyNumberFormat="1">
      <alignment vertical="center"/>
    </xf>
    <xf borderId="0" fillId="0" fontId="5" numFmtId="164" xfId="0" applyAlignment="1" applyFont="1" applyNumberFormat="1">
      <alignment horizontal="center" readingOrder="0" vertical="center"/>
    </xf>
    <xf borderId="0" fillId="17" fontId="11" numFmtId="164" xfId="0" applyAlignment="1" applyFont="1" applyNumberFormat="1">
      <alignment vertical="center"/>
    </xf>
    <xf borderId="0" fillId="17" fontId="1" numFmtId="164" xfId="0" applyAlignment="1" applyFont="1" applyNumberFormat="1">
      <alignment vertical="center"/>
    </xf>
    <xf borderId="0" fillId="19" fontId="1" numFmtId="0" xfId="0" applyAlignment="1" applyFont="1">
      <alignment horizontal="center" readingOrder="0"/>
    </xf>
    <xf borderId="0" fillId="19" fontId="1" numFmtId="0" xfId="0" applyAlignment="1" applyFont="1">
      <alignment readingOrder="0"/>
    </xf>
    <xf borderId="0" fillId="19" fontId="1" numFmtId="0" xfId="0" applyAlignment="1" applyFont="1">
      <alignment readingOrder="0"/>
    </xf>
    <xf borderId="0" fillId="19" fontId="1" numFmtId="0" xfId="0" applyFont="1"/>
    <xf borderId="0" fillId="17" fontId="1" numFmtId="0" xfId="0" applyAlignment="1" applyFont="1">
      <alignment horizontal="center" readingOrder="0"/>
    </xf>
    <xf borderId="0" fillId="17" fontId="1" numFmtId="0" xfId="0" applyAlignment="1" applyFont="1">
      <alignment readingOrder="0"/>
    </xf>
    <xf borderId="42" fillId="19" fontId="1" numFmtId="0" xfId="0" applyAlignment="1" applyBorder="1" applyFont="1">
      <alignment readingOrder="0"/>
    </xf>
    <xf borderId="7" fillId="17" fontId="1" numFmtId="0" xfId="0" applyAlignment="1" applyBorder="1" applyFont="1">
      <alignment readingOrder="0"/>
    </xf>
    <xf borderId="0" fillId="19" fontId="42" numFmtId="0" xfId="0" applyAlignment="1" applyFont="1">
      <alignment readingOrder="0" vertical="bottom"/>
    </xf>
    <xf borderId="0" fillId="19" fontId="42" numFmtId="0" xfId="0" applyAlignment="1" applyFont="1">
      <alignment horizontal="right" readingOrder="0" vertical="bottom"/>
    </xf>
    <xf borderId="0" fillId="17" fontId="42" numFmtId="0" xfId="0" applyAlignment="1" applyFont="1">
      <alignment readingOrder="0" vertical="bottom"/>
    </xf>
    <xf borderId="0" fillId="17" fontId="4" numFmtId="0" xfId="0" applyAlignment="1" applyFont="1">
      <alignment vertical="bottom"/>
    </xf>
    <xf borderId="0" fillId="17" fontId="42" numFmtId="0" xfId="0" applyAlignment="1" applyFont="1">
      <alignment horizontal="right" readingOrder="0" vertical="bottom"/>
    </xf>
    <xf borderId="0" fillId="17" fontId="4" numFmtId="0" xfId="0" applyAlignment="1" applyFont="1">
      <alignment vertical="bottom"/>
    </xf>
    <xf borderId="0" fillId="6" fontId="55" numFmtId="0" xfId="0" applyAlignment="1" applyFont="1">
      <alignment horizontal="left" readingOrder="0"/>
    </xf>
    <xf borderId="0" fillId="6" fontId="55" numFmtId="0" xfId="0" applyAlignment="1" applyFont="1">
      <alignment horizontal="center" readingOrder="0"/>
    </xf>
    <xf borderId="0" fillId="6" fontId="56" numFmtId="0" xfId="0" applyAlignment="1" applyFont="1">
      <alignment horizontal="left" readingOrder="0"/>
    </xf>
    <xf borderId="0" fillId="4" fontId="56" numFmtId="0" xfId="0" applyAlignment="1" applyFont="1">
      <alignment horizontal="left" readingOrder="0"/>
    </xf>
    <xf borderId="0" fillId="17" fontId="4" numFmtId="0" xfId="0" applyAlignment="1" applyFont="1">
      <alignment horizontal="center" vertical="bottom"/>
    </xf>
    <xf borderId="0" fillId="19" fontId="4" numFmtId="0" xfId="0" applyAlignment="1" applyFont="1">
      <alignment vertical="bottom"/>
    </xf>
    <xf borderId="0" fillId="19" fontId="4" numFmtId="0" xfId="0" applyAlignment="1" applyFont="1">
      <alignment horizontal="center" vertical="bottom"/>
    </xf>
    <xf borderId="10" fillId="17" fontId="4" numFmtId="0" xfId="0" applyAlignment="1" applyBorder="1" applyFont="1">
      <alignment vertical="bottom"/>
    </xf>
    <xf borderId="7" fillId="17" fontId="4" numFmtId="0" xfId="0" applyAlignment="1" applyBorder="1" applyFont="1">
      <alignment horizontal="center" vertical="bottom"/>
    </xf>
    <xf borderId="7" fillId="17" fontId="1" numFmtId="0" xfId="0" applyAlignment="1" applyBorder="1" applyFont="1">
      <alignment readingOrder="0"/>
    </xf>
    <xf borderId="7" fillId="17" fontId="4" numFmtId="0" xfId="0" applyAlignment="1" applyBorder="1" applyFont="1">
      <alignment vertical="bottom"/>
    </xf>
    <xf borderId="11" fillId="17" fontId="4" numFmtId="0" xfId="0" applyAlignment="1" applyBorder="1" applyFont="1">
      <alignment vertical="bottom"/>
    </xf>
    <xf borderId="12" fillId="17" fontId="4" numFmtId="0" xfId="0" applyAlignment="1" applyBorder="1" applyFont="1">
      <alignment vertical="bottom"/>
    </xf>
    <xf borderId="13" fillId="17" fontId="4" numFmtId="0" xfId="0" applyAlignment="1" applyBorder="1" applyFont="1">
      <alignment vertical="bottom"/>
    </xf>
    <xf borderId="12" fillId="19" fontId="4" numFmtId="0" xfId="0" applyAlignment="1" applyBorder="1" applyFont="1">
      <alignment vertical="bottom"/>
    </xf>
    <xf borderId="13" fillId="19" fontId="1" numFmtId="0" xfId="0" applyBorder="1" applyFont="1"/>
    <xf borderId="16" fillId="19" fontId="4" numFmtId="0" xfId="0" applyAlignment="1" applyBorder="1" applyFont="1">
      <alignment vertical="bottom"/>
    </xf>
    <xf borderId="42" fillId="19" fontId="4" numFmtId="0" xfId="0" applyAlignment="1" applyBorder="1" applyFont="1">
      <alignment horizontal="center" vertical="bottom"/>
    </xf>
    <xf borderId="42" fillId="19" fontId="1" numFmtId="0" xfId="0" applyAlignment="1" applyBorder="1" applyFont="1">
      <alignment readingOrder="0"/>
    </xf>
    <xf borderId="17" fillId="19" fontId="1" numFmtId="0" xfId="0" applyBorder="1" applyFont="1"/>
    <xf borderId="10" fillId="19" fontId="4" numFmtId="0" xfId="0" applyAlignment="1" applyBorder="1" applyFont="1">
      <alignment vertical="bottom"/>
    </xf>
    <xf borderId="7" fillId="19" fontId="4" numFmtId="0" xfId="0" applyAlignment="1" applyBorder="1" applyFont="1">
      <alignment horizontal="center" vertical="bottom"/>
    </xf>
    <xf borderId="7" fillId="19" fontId="1" numFmtId="0" xfId="0" applyAlignment="1" applyBorder="1" applyFont="1">
      <alignment readingOrder="0"/>
    </xf>
    <xf borderId="7" fillId="19" fontId="1" numFmtId="0" xfId="0" applyAlignment="1" applyBorder="1" applyFont="1">
      <alignment readingOrder="0"/>
    </xf>
    <xf borderId="11" fillId="19" fontId="1" numFmtId="0" xfId="0" applyBorder="1" applyFont="1"/>
    <xf borderId="16" fillId="17" fontId="4" numFmtId="0" xfId="0" applyAlignment="1" applyBorder="1" applyFont="1">
      <alignment vertical="bottom"/>
    </xf>
    <xf borderId="42" fillId="17" fontId="4" numFmtId="0" xfId="0" applyAlignment="1" applyBorder="1" applyFont="1">
      <alignment horizontal="center" vertical="bottom"/>
    </xf>
    <xf borderId="42" fillId="17" fontId="1" numFmtId="0" xfId="0" applyAlignment="1" applyBorder="1" applyFont="1">
      <alignment readingOrder="0"/>
    </xf>
    <xf borderId="42" fillId="17" fontId="4" numFmtId="0" xfId="0" applyAlignment="1" applyBorder="1" applyFont="1">
      <alignment vertical="bottom"/>
    </xf>
    <xf borderId="42" fillId="17" fontId="1" numFmtId="0" xfId="0" applyAlignment="1" applyBorder="1" applyFont="1">
      <alignment readingOrder="0"/>
    </xf>
    <xf borderId="17" fillId="17" fontId="4" numFmtId="0" xfId="0" applyAlignment="1" applyBorder="1" applyFont="1">
      <alignment vertical="bottom"/>
    </xf>
    <xf borderId="10" fillId="17" fontId="1" numFmtId="0" xfId="0" applyAlignment="1" applyBorder="1" applyFont="1">
      <alignment horizontal="center" readingOrder="0"/>
    </xf>
    <xf borderId="7" fillId="17" fontId="1" numFmtId="0" xfId="0" applyAlignment="1" applyBorder="1" applyFont="1">
      <alignment horizontal="center" readingOrder="0"/>
    </xf>
    <xf borderId="10" fillId="21" fontId="1" numFmtId="0" xfId="0" applyAlignment="1" applyBorder="1" applyFont="1">
      <alignment readingOrder="0"/>
    </xf>
    <xf borderId="7" fillId="21" fontId="1" numFmtId="0" xfId="0" applyAlignment="1" applyBorder="1" applyFont="1">
      <alignment readingOrder="0"/>
    </xf>
    <xf borderId="7" fillId="21" fontId="1" numFmtId="0" xfId="0" applyAlignment="1" applyBorder="1" applyFont="1">
      <alignment readingOrder="0"/>
    </xf>
    <xf borderId="11" fillId="21" fontId="1" numFmtId="0" xfId="0" applyAlignment="1" applyBorder="1" applyFont="1">
      <alignment readingOrder="0"/>
    </xf>
    <xf borderId="0" fillId="21" fontId="1" numFmtId="0" xfId="0" applyAlignment="1" applyFont="1">
      <alignment readingOrder="0"/>
    </xf>
    <xf borderId="12" fillId="17" fontId="1" numFmtId="0" xfId="0" applyAlignment="1" applyBorder="1" applyFont="1">
      <alignment horizontal="center" readingOrder="0"/>
    </xf>
    <xf borderId="12" fillId="21" fontId="1" numFmtId="0" xfId="0" applyAlignment="1" applyBorder="1" applyFont="1">
      <alignment readingOrder="0"/>
    </xf>
    <xf borderId="0" fillId="21" fontId="1" numFmtId="0" xfId="0" applyAlignment="1" applyFont="1">
      <alignment readingOrder="0"/>
    </xf>
    <xf borderId="13" fillId="21" fontId="1" numFmtId="0" xfId="0" applyAlignment="1" applyBorder="1" applyFont="1">
      <alignment readingOrder="0"/>
    </xf>
    <xf borderId="12" fillId="19" fontId="1" numFmtId="0" xfId="0" applyAlignment="1" applyBorder="1" applyFont="1">
      <alignment horizontal="center" readingOrder="0"/>
    </xf>
    <xf borderId="12" fillId="29" fontId="1" numFmtId="0" xfId="0" applyAlignment="1" applyBorder="1" applyFont="1">
      <alignment readingOrder="0"/>
    </xf>
    <xf borderId="0" fillId="29" fontId="1" numFmtId="0" xfId="0" applyAlignment="1" applyFont="1">
      <alignment readingOrder="0"/>
    </xf>
    <xf borderId="0" fillId="29" fontId="1" numFmtId="0" xfId="0" applyAlignment="1" applyFont="1">
      <alignment readingOrder="0"/>
    </xf>
    <xf borderId="13" fillId="29" fontId="1" numFmtId="0" xfId="0" applyAlignment="1" applyBorder="1" applyFont="1">
      <alignment readingOrder="0"/>
    </xf>
    <xf borderId="16" fillId="19" fontId="1" numFmtId="0" xfId="0" applyAlignment="1" applyBorder="1" applyFont="1">
      <alignment horizontal="center" readingOrder="0"/>
    </xf>
    <xf borderId="42" fillId="19" fontId="1" numFmtId="0" xfId="0" applyAlignment="1" applyBorder="1" applyFont="1">
      <alignment horizontal="center" readingOrder="0"/>
    </xf>
    <xf borderId="42" fillId="29" fontId="1" numFmtId="0" xfId="0" applyAlignment="1" applyBorder="1" applyFont="1">
      <alignment readingOrder="0"/>
    </xf>
    <xf borderId="42" fillId="29" fontId="1" numFmtId="0" xfId="0" applyAlignment="1" applyBorder="1" applyFont="1">
      <alignment readingOrder="0"/>
    </xf>
    <xf borderId="17" fillId="29" fontId="1" numFmtId="0" xfId="0" applyAlignment="1" applyBorder="1" applyFont="1">
      <alignment readingOrder="0"/>
    </xf>
    <xf borderId="10" fillId="19" fontId="1" numFmtId="0" xfId="0" applyAlignment="1" applyBorder="1" applyFont="1">
      <alignment horizontal="center" readingOrder="0"/>
    </xf>
    <xf borderId="7" fillId="19" fontId="1" numFmtId="0" xfId="0" applyAlignment="1" applyBorder="1" applyFont="1">
      <alignment horizontal="center" readingOrder="0"/>
    </xf>
    <xf borderId="16" fillId="17" fontId="1" numFmtId="0" xfId="0" applyAlignment="1" applyBorder="1" applyFont="1">
      <alignment horizontal="center" readingOrder="0"/>
    </xf>
    <xf borderId="42" fillId="17" fontId="1" numFmtId="0" xfId="0" applyAlignment="1" applyBorder="1" applyFont="1">
      <alignment horizontal="center" readingOrder="0"/>
    </xf>
    <xf borderId="42" fillId="17" fontId="4" numFmtId="0" xfId="0" applyAlignment="1" applyBorder="1" applyFont="1">
      <alignment vertical="bottom"/>
    </xf>
    <xf borderId="11" fillId="17" fontId="1" numFmtId="0" xfId="0" applyBorder="1" applyFont="1"/>
    <xf borderId="13" fillId="17" fontId="1" numFmtId="0" xfId="0" applyBorder="1" applyFont="1"/>
    <xf borderId="17" fillId="17" fontId="1" numFmtId="0" xfId="0" applyBorder="1" applyFont="1"/>
    <xf borderId="0" fillId="0" fontId="5" numFmtId="164" xfId="0" applyAlignment="1" applyFont="1" applyNumberFormat="1">
      <alignment horizontal="center" readingOrder="0"/>
    </xf>
    <xf borderId="0" fillId="4" fontId="1" numFmtId="164" xfId="0" applyFont="1" applyNumberFormat="1"/>
    <xf borderId="0" fillId="10" fontId="4" numFmtId="164" xfId="0" applyAlignment="1" applyFont="1" applyNumberFormat="1">
      <alignment horizontal="center" vertical="bottom"/>
    </xf>
    <xf borderId="0" fillId="5" fontId="11" numFmtId="164" xfId="0" applyFont="1" applyNumberFormat="1"/>
    <xf borderId="10" fillId="29" fontId="1" numFmtId="0" xfId="0" applyAlignment="1" applyBorder="1" applyFont="1">
      <alignment readingOrder="0"/>
    </xf>
    <xf borderId="7" fillId="29" fontId="1" numFmtId="0" xfId="0" applyAlignment="1" applyBorder="1" applyFont="1">
      <alignment readingOrder="0"/>
    </xf>
    <xf borderId="7" fillId="29" fontId="1" numFmtId="0" xfId="0" applyAlignment="1" applyBorder="1" applyFont="1">
      <alignment readingOrder="0"/>
    </xf>
    <xf borderId="11" fillId="29" fontId="1" numFmtId="0" xfId="0" applyAlignment="1" applyBorder="1" applyFont="1">
      <alignment readingOrder="0"/>
    </xf>
    <xf borderId="15" fillId="29" fontId="1" numFmtId="0" xfId="0" applyAlignment="1" applyBorder="1" applyFont="1">
      <alignment readingOrder="0"/>
    </xf>
    <xf borderId="36" fillId="29" fontId="1" numFmtId="0" xfId="0" applyAlignment="1" applyBorder="1" applyFont="1">
      <alignment readingOrder="0"/>
    </xf>
    <xf borderId="33" fillId="29" fontId="1" numFmtId="0" xfId="0" applyAlignment="1" applyBorder="1" applyFont="1">
      <alignment readingOrder="0"/>
    </xf>
    <xf borderId="33" fillId="21" fontId="1" numFmtId="0" xfId="0" applyAlignment="1" applyBorder="1" applyFont="1">
      <alignment readingOrder="0"/>
    </xf>
    <xf borderId="16" fillId="21" fontId="1" numFmtId="0" xfId="0" applyAlignment="1" applyBorder="1" applyFont="1">
      <alignment readingOrder="0"/>
    </xf>
    <xf borderId="42" fillId="21" fontId="1" numFmtId="0" xfId="0" applyAlignment="1" applyBorder="1" applyFont="1">
      <alignment readingOrder="0"/>
    </xf>
    <xf borderId="42" fillId="21" fontId="1" numFmtId="0" xfId="0" applyAlignment="1" applyBorder="1" applyFont="1">
      <alignment readingOrder="0"/>
    </xf>
    <xf borderId="17" fillId="21" fontId="1" numFmtId="0" xfId="0" applyAlignment="1" applyBorder="1" applyFont="1">
      <alignment readingOrder="0"/>
    </xf>
    <xf borderId="11" fillId="19" fontId="1" numFmtId="0" xfId="0" applyAlignment="1" applyBorder="1" applyFont="1">
      <alignment readingOrder="0"/>
    </xf>
    <xf borderId="13" fillId="19" fontId="1" numFmtId="0" xfId="0" applyAlignment="1" applyBorder="1" applyFont="1">
      <alignment readingOrder="0"/>
    </xf>
    <xf borderId="13" fillId="17" fontId="1" numFmtId="0" xfId="0" applyAlignment="1" applyBorder="1" applyFont="1">
      <alignment readingOrder="0"/>
    </xf>
    <xf borderId="17" fillId="17" fontId="1" numFmtId="0" xfId="0" applyAlignment="1" applyBorder="1" applyFont="1">
      <alignment readingOrder="0"/>
    </xf>
    <xf borderId="2" fillId="6" fontId="55" numFmtId="0" xfId="0" applyAlignment="1" applyBorder="1" applyFont="1">
      <alignment horizontal="left" readingOrder="0"/>
    </xf>
    <xf borderId="3" fillId="6" fontId="55" numFmtId="0" xfId="0" applyAlignment="1" applyBorder="1" applyFont="1">
      <alignment horizontal="left" readingOrder="0"/>
    </xf>
    <xf borderId="3" fillId="6" fontId="56" numFmtId="0" xfId="0" applyAlignment="1" applyBorder="1" applyFont="1">
      <alignment horizontal="left" readingOrder="0"/>
    </xf>
    <xf borderId="4" fillId="6" fontId="56" numFmtId="0" xfId="0" applyAlignment="1" applyBorder="1" applyFont="1">
      <alignment horizontal="left" readingOrder="0"/>
    </xf>
    <xf borderId="11" fillId="17" fontId="1" numFmtId="0" xfId="0" applyAlignment="1" applyBorder="1" applyFont="1">
      <alignment readingOrder="0"/>
    </xf>
    <xf borderId="13" fillId="17" fontId="1" numFmtId="0" xfId="0" applyAlignment="1" applyBorder="1" applyFont="1">
      <alignment readingOrder="0"/>
    </xf>
    <xf borderId="13" fillId="19" fontId="1" numFmtId="0" xfId="0" applyAlignment="1" applyBorder="1" applyFont="1">
      <alignment readingOrder="0"/>
    </xf>
    <xf borderId="16" fillId="29" fontId="1" numFmtId="0" xfId="0" applyAlignment="1" applyBorder="1" applyFont="1">
      <alignment readingOrder="0"/>
    </xf>
    <xf borderId="17" fillId="19" fontId="1" numFmtId="0" xfId="0" applyAlignment="1" applyBorder="1" applyFont="1">
      <alignment readingOrder="0"/>
    </xf>
    <xf borderId="33" fillId="17" fontId="1" numFmtId="0" xfId="0" applyAlignment="1" applyBorder="1" applyFont="1">
      <alignment readingOrder="0"/>
    </xf>
    <xf borderId="33" fillId="29" fontId="1" numFmtId="0" xfId="0" applyAlignment="1" applyBorder="1" applyFont="1">
      <alignment readingOrder="0"/>
    </xf>
    <xf borderId="1" fillId="29" fontId="1" numFmtId="0" xfId="0" applyAlignment="1" applyBorder="1" applyFont="1">
      <alignment readingOrder="0"/>
    </xf>
    <xf borderId="34" fillId="29" fontId="1" numFmtId="0" xfId="0" applyAlignment="1" applyBorder="1" applyFont="1">
      <alignment readingOrder="0"/>
    </xf>
    <xf borderId="7" fillId="29" fontId="42" numFmtId="0" xfId="0" applyAlignment="1" applyBorder="1" applyFont="1">
      <alignment horizontal="right" readingOrder="0" vertical="bottom"/>
    </xf>
    <xf borderId="11" fillId="29" fontId="1" numFmtId="0" xfId="0" applyBorder="1" applyFont="1"/>
    <xf borderId="0" fillId="29" fontId="42" numFmtId="0" xfId="0" applyAlignment="1" applyFont="1">
      <alignment horizontal="right" readingOrder="0" vertical="bottom"/>
    </xf>
    <xf borderId="13" fillId="29" fontId="1" numFmtId="0" xfId="0" applyBorder="1" applyFont="1"/>
    <xf borderId="12" fillId="21" fontId="1" numFmtId="0" xfId="0" applyAlignment="1" applyBorder="1" applyFont="1">
      <alignment horizontal="center" readingOrder="0"/>
    </xf>
    <xf borderId="0" fillId="21" fontId="1" numFmtId="0" xfId="0" applyAlignment="1" applyFont="1">
      <alignment horizontal="center" readingOrder="0"/>
    </xf>
    <xf borderId="0" fillId="21" fontId="42" numFmtId="0" xfId="0" applyAlignment="1" applyFont="1">
      <alignment horizontal="right" readingOrder="0" vertical="bottom"/>
    </xf>
    <xf borderId="13" fillId="21" fontId="1" numFmtId="0" xfId="0" applyBorder="1" applyFont="1"/>
    <xf borderId="16" fillId="21" fontId="1" numFmtId="0" xfId="0" applyAlignment="1" applyBorder="1" applyFont="1">
      <alignment horizontal="center" readingOrder="0"/>
    </xf>
    <xf borderId="42" fillId="21" fontId="1" numFmtId="0" xfId="0" applyAlignment="1" applyBorder="1" applyFont="1">
      <alignment horizontal="center" readingOrder="0"/>
    </xf>
    <xf borderId="42" fillId="21" fontId="42" numFmtId="0" xfId="0" applyAlignment="1" applyBorder="1" applyFont="1">
      <alignment horizontal="right" readingOrder="0" vertical="bottom"/>
    </xf>
    <xf borderId="17" fillId="21" fontId="1" numFmtId="0" xfId="0" applyBorder="1" applyFont="1"/>
    <xf borderId="7" fillId="21" fontId="42" numFmtId="0" xfId="0" applyAlignment="1" applyBorder="1" applyFont="1">
      <alignment horizontal="right" readingOrder="0" vertical="bottom"/>
    </xf>
    <xf borderId="11" fillId="21" fontId="1" numFmtId="0" xfId="0" applyBorder="1" applyFont="1"/>
    <xf borderId="12" fillId="29" fontId="1" numFmtId="0" xfId="0" applyAlignment="1" applyBorder="1" applyFont="1">
      <alignment horizontal="center" readingOrder="0"/>
    </xf>
    <xf borderId="0" fillId="29" fontId="1" numFmtId="0" xfId="0" applyAlignment="1" applyFont="1">
      <alignment horizontal="center" readingOrder="0"/>
    </xf>
    <xf borderId="16" fillId="29" fontId="1" numFmtId="0" xfId="0" applyAlignment="1" applyBorder="1" applyFont="1">
      <alignment horizontal="center" readingOrder="0"/>
    </xf>
    <xf borderId="42" fillId="29" fontId="1" numFmtId="0" xfId="0" applyAlignment="1" applyBorder="1" applyFont="1">
      <alignment horizontal="center" readingOrder="0"/>
    </xf>
    <xf borderId="42" fillId="29" fontId="42" numFmtId="0" xfId="0" applyAlignment="1" applyBorder="1" applyFont="1">
      <alignment horizontal="right" readingOrder="0" vertical="bottom"/>
    </xf>
    <xf borderId="17" fillId="29" fontId="1" numFmtId="0" xfId="0" applyBorder="1" applyFont="1"/>
    <xf borderId="10" fillId="29" fontId="1" numFmtId="0" xfId="0" applyAlignment="1" applyBorder="1" applyFont="1">
      <alignment horizontal="center" readingOrder="0"/>
    </xf>
    <xf borderId="7" fillId="29" fontId="1" numFmtId="0" xfId="0" applyAlignment="1" applyBorder="1" applyFont="1">
      <alignment horizontal="center" readingOrder="0"/>
    </xf>
  </cellXfs>
  <cellStyles count="1">
    <cellStyle xfId="0" name="Normal" builtinId="0"/>
  </cellStyles>
  <dxfs count="18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CA6D8C"/>
          <bgColor rgb="FFCA6D8C"/>
        </patternFill>
      </fill>
      <border/>
    </dxf>
    <dxf>
      <font/>
      <fill>
        <patternFill patternType="solid">
          <fgColor rgb="FFD7CFE9"/>
          <bgColor rgb="FFD7CFE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A61C00"/>
          <bgColor rgb="FFA61C00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4">
    <tableStyle count="3" pivot="0" name="Halo Reach Stats-style">
      <tableStyleElement dxfId="16" type="headerRow"/>
      <tableStyleElement dxfId="17" type="firstRowStripe"/>
      <tableStyleElement dxfId="16" type="secondRowStripe"/>
    </tableStyle>
    <tableStyle count="2" pivot="0" name="Halo Reach Stats-style 2">
      <tableStyleElement dxfId="17" type="firstRowStripe"/>
      <tableStyleElement dxfId="16" type="secondRowStripe"/>
    </tableStyle>
    <tableStyle count="2" pivot="0" name="Halo Reach Stats-style 3">
      <tableStyleElement dxfId="17" type="firstRowStripe"/>
      <tableStyleElement dxfId="16" type="secondRowStripe"/>
    </tableStyle>
    <tableStyle count="3" pivot="0" name="TotalTournamentAverages-style">
      <tableStyleElement dxfId="17" type="headerRow"/>
      <tableStyleElement dxfId="16" type="firstRowStripe"/>
      <tableStyleElement dxfId="1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pivotCacheDefinition" Target="pivotCache/pivotCacheDefinition1.xml"/><Relationship Id="rId25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K47" sheet="Halo Reach Stats"/>
  </cacheSource>
  <cacheFields>
    <cacheField name="Player" numFmtId="0">
      <sharedItems>
        <s v="ACE B S1lentND1"/>
        <s v="ADhillyy"/>
        <s v="Almighty Tycoon"/>
        <s v="AwareMosquito"/>
        <s v="Dabb"/>
        <s v="Dat Twinkie"/>
        <s v="Dhlyn"/>
        <s v="e Jolts"/>
        <s v="Fanciest Pants"/>
        <s v="Finesse God24"/>
        <s v="Galvann"/>
        <s v="Genesiology"/>
        <s v="GodSnipezX"/>
        <s v="Hells Angel cx"/>
        <s v="HumanKite187"/>
        <s v="Impuritive"/>
        <s v="InfiniteRainge"/>
        <s v="Into Sublime"/>
        <s v="Itzreelz"/>
        <s v="ixjaga"/>
        <s v="Judasey"/>
        <s v="Kgod Online"/>
        <s v="L1ght5aber"/>
        <s v="Lane Uppy"/>
        <s v="Laser Wins"/>
        <s v="Luner Panda"/>
        <s v="Mavbrid"/>
        <s v="MealyKitten0"/>
        <s v="Mhurcy"/>
        <s v="MoldyVolts"/>
        <s v="noketone"/>
        <s v="NOPLEX"/>
        <s v="oDhmon"/>
        <s v="Rage More Nerd"/>
        <s v="Sabasauros rex"/>
        <s v="Scullen cx"/>
        <s v="siIIy kids"/>
        <s v="Solace VIII"/>
        <s v="SOULBENDERs"/>
        <s v="TommyWstSide"/>
        <s v="unbes"/>
        <s v="Vile"/>
        <s v="Yaeqin"/>
        <s v="Yejis Aegyo"/>
        <s v="yLuxe"/>
        <s v="Zelynthia"/>
      </sharedItems>
    </cacheField>
    <cacheField name="Team" numFmtId="0">
      <sharedItems containsSemiMixedTypes="0" containsString="0" containsNumber="1" containsInteger="1">
        <n v="0.0"/>
        <n v="1.0"/>
      </sharedItems>
    </cacheField>
    <cacheField name="GamesPlayed" numFmtId="0">
      <sharedItems containsSemiMixedTypes="0" containsString="0" containsNumber="1" containsInteger="1">
        <n v="3.0"/>
        <n v="2.0"/>
        <n v="4.0"/>
        <n v="1.0"/>
      </sharedItems>
    </cacheField>
    <cacheField name="GamesHosted" numFmtId="0">
      <sharedItems containsSemiMixedTypes="0" containsString="0" containsNumber="1" containsInteger="1">
        <n v="0.0"/>
      </sharedItems>
    </cacheField>
    <cacheField name="Wins" numFmtId="0">
      <sharedItems containsSemiMixedTypes="0" containsString="0" containsNumber="1" containsInteger="1">
        <n v="1.0"/>
        <n v="0.0"/>
        <n v="2.0"/>
        <n v="3.0"/>
        <n v="4.0"/>
      </sharedItems>
    </cacheField>
    <cacheField name="Loses" numFmtId="0">
      <sharedItems containsSemiMixedTypes="0" containsString="0" containsNumber="1" containsInteger="1">
        <n v="2.0"/>
        <n v="1.0"/>
        <n v="3.0"/>
        <n v="0.0"/>
      </sharedItems>
    </cacheField>
    <cacheField name="WinPercent" numFmtId="2">
      <sharedItems containsSemiMixedTypes="0" containsString="0" containsNumber="1">
        <n v="33.33"/>
        <n v="50.0"/>
        <n v="0.0"/>
        <n v="25.0"/>
        <n v="66.66666666666666"/>
        <n v="75.0"/>
        <n v="100.0"/>
        <n v="66.67"/>
      </sharedItems>
    </cacheField>
    <cacheField name="Goals" numFmtId="0">
      <sharedItems containsSemiMixedTypes="0" containsString="0" containsNumber="1" containsInteger="1">
        <n v="3.0"/>
        <n v="0.0"/>
        <n v="6.0"/>
        <n v="1.0"/>
        <n v="9.0"/>
        <n v="8.0"/>
        <n v="4.0"/>
        <n v="2.0"/>
        <n v="10.0"/>
        <n v="14.0"/>
      </sharedItems>
    </cacheField>
    <cacheField name="Kills" numFmtId="0">
      <sharedItems containsSemiMixedTypes="0" containsString="0" containsNumber="1" containsInteger="1">
        <n v="251.0"/>
        <n v="49.0"/>
        <n v="86.0"/>
        <n v="298.0"/>
        <n v="169.0"/>
        <n v="125.0"/>
        <n v="84.0"/>
        <n v="250.0"/>
        <n v="199.0"/>
        <n v="203.0"/>
        <n v="76.0"/>
        <n v="419.0"/>
        <n v="496.0"/>
        <n v="308.0"/>
        <n v="67.0"/>
        <n v="149.0"/>
        <n v="43.0"/>
        <n v="28.0"/>
        <n v="185.0"/>
        <n v="302.0"/>
        <n v="247.0"/>
        <n v="39.0"/>
        <n v="342.0"/>
        <n v="36.0"/>
        <n v="31.0"/>
        <n v="362.0"/>
        <n v="81.0"/>
        <n v="88.0"/>
        <n v="182.0"/>
        <n v="386.0"/>
        <n v="53.0"/>
        <n v="188.0"/>
        <n v="335.0"/>
        <n v="289.0"/>
        <n v="248.0"/>
        <n v="320.0"/>
        <n v="69.0"/>
        <n v="60.0"/>
        <n v="93.0"/>
        <n v="279.0"/>
        <n v="312.0"/>
        <n v="99.0"/>
        <n v="381.0"/>
        <n v="166.0"/>
        <n v="178.0"/>
      </sharedItems>
    </cacheField>
    <cacheField name="Deaths" numFmtId="0">
      <sharedItems containsSemiMixedTypes="0" containsString="0" containsNumber="1" containsInteger="1">
        <n v="178.0"/>
        <n v="70.0"/>
        <n v="114.0"/>
        <n v="408.0"/>
        <n v="134.0"/>
        <n v="152.0"/>
        <n v="111.0"/>
        <n v="424.0"/>
        <n v="246.0"/>
        <n v="213.0"/>
        <n v="61.0"/>
        <n v="282.0"/>
        <n v="514.0"/>
        <n v="310.0"/>
        <n v="68.0"/>
        <n v="148.0"/>
        <n v="41.0"/>
        <n v="51.0"/>
        <n v="172.0"/>
        <n v="346.0"/>
        <n v="196.0"/>
        <n v="73.0"/>
        <n v="353.0"/>
        <n v="50.0"/>
        <n v="394.0"/>
        <n v="112.0"/>
        <n v="106.0"/>
        <n v="211.0"/>
        <n v="487.0"/>
        <n v="84.0"/>
        <n v="244.0"/>
        <n v="252.0"/>
        <n v="256.0"/>
        <n v="209.0"/>
        <n v="402.0"/>
        <n v="78.0"/>
        <n v="67.0"/>
        <n v="98.0"/>
        <n v="293.0"/>
        <n v="193.0"/>
        <n v="228.0"/>
        <n v="130.0"/>
        <n v="389.0"/>
        <n v="97.0"/>
        <n v="237.0"/>
      </sharedItems>
    </cacheField>
    <cacheField name="Spread" numFmtId="0">
      <sharedItems containsSemiMixedTypes="0" containsString="0" containsNumber="1" containsInteger="1">
        <n v="73.0"/>
        <n v="-21.0"/>
        <n v="-28.0"/>
        <n v="-110.0"/>
        <n v="35.0"/>
        <n v="-27.0"/>
        <n v="-174.0"/>
        <n v="-47.0"/>
        <n v="-10.0"/>
        <n v="15.0"/>
        <n v="137.0"/>
        <n v="-18.0"/>
        <n v="-2.0"/>
        <n v="-1.0"/>
        <n v="1.0"/>
        <n v="2.0"/>
        <n v="-23.0"/>
        <n v="13.0"/>
        <n v="-44.0"/>
        <n v="51.0"/>
        <n v="-34.0"/>
        <n v="-11.0"/>
        <n v="-5.0"/>
        <n v="-19.0"/>
        <n v="-32.0"/>
        <n v="-31.0"/>
        <n v="-29.0"/>
        <n v="-101.0"/>
        <n v="-56.0"/>
        <n v="83.0"/>
        <n v="33.0"/>
        <n v="39.0"/>
        <n v="-82.0"/>
        <n v="-9.0"/>
        <n v="-7.0"/>
        <n v="-14.0"/>
        <n v="55.0"/>
        <n v="84.0"/>
        <n v="-8.0"/>
        <n v="69.0"/>
        <n v="-59.0"/>
      </sharedItems>
    </cacheField>
    <cacheField name="Assists" numFmtId="0">
      <sharedItems containsSemiMixedTypes="0" containsString="0" containsNumber="1" containsInteger="1">
        <n v="15.0"/>
        <n v="2.0"/>
        <n v="11.0"/>
        <n v="8.0"/>
        <n v="10.0"/>
        <n v="4.0"/>
        <n v="7.0"/>
        <n v="14.0"/>
        <n v="36.0"/>
        <n v="30.0"/>
        <n v="19.0"/>
        <n v="6.0"/>
        <n v="5.0"/>
        <n v="1.0"/>
        <n v="17.0"/>
        <n v="16.0"/>
        <n v="23.0"/>
        <n v="32.0"/>
        <n v="22.0"/>
        <n v="18.0"/>
        <n v="29.0"/>
      </sharedItems>
    </cacheField>
    <cacheField name="Streak" numFmtId="0">
      <sharedItems containsSemiMixedTypes="0" containsString="0" containsNumber="1" containsInteger="1">
        <n v="12.0"/>
        <n v="4.0"/>
        <n v="5.0"/>
        <n v="11.0"/>
        <n v="6.0"/>
        <n v="8.0"/>
        <n v="7.0"/>
        <n v="10.0"/>
        <n v="3.0"/>
        <n v="9.0"/>
        <n v="17.0"/>
        <n v="16.0"/>
      </sharedItems>
    </cacheField>
    <cacheField name="Betrayals" numFmtId="0">
      <sharedItems containsSemiMixedTypes="0" containsString="0" containsNumber="1" containsInteger="1">
        <n v="1.0"/>
        <n v="0.0"/>
        <n v="2.0"/>
        <n v="3.0"/>
        <n v="14.0"/>
        <n v="5.0"/>
        <n v="15.0"/>
        <n v="4.0"/>
        <n v="7.0"/>
        <n v="10.0"/>
        <n v="6.0"/>
        <n v="8.0"/>
        <n v="13.0"/>
      </sharedItems>
    </cacheField>
    <cacheField name="TimeAlive" numFmtId="0">
      <sharedItems containsSemiMixedTypes="0" containsString="0" containsNumber="1" containsInteger="1">
        <n v="4084.0"/>
        <n v="800.0"/>
        <n v="1513.0"/>
        <n v="4597.0"/>
        <n v="2964.0"/>
        <n v="1682.0"/>
        <n v="1335.0"/>
        <n v="5430.0"/>
        <n v="2614.0"/>
        <n v="2274.0"/>
        <n v="686.0"/>
        <n v="5008.0"/>
        <n v="5009.0"/>
        <n v="4927.0"/>
        <n v="1137.0"/>
        <n v="2461.0"/>
        <n v="618.0"/>
        <n v="854.0"/>
        <n v="2389.0"/>
        <n v="5012.0"/>
        <n v="2699.0"/>
        <n v="525.0"/>
        <n v="4351.0"/>
        <n v="615.0"/>
        <n v="591.0"/>
        <n v="4650.0"/>
        <n v="1323.0"/>
        <n v="1347.0"/>
        <n v="2272.0"/>
        <n v="5086.0"/>
        <n v="1088.0"/>
        <n v="2631.0"/>
        <n v="4848.0"/>
        <n v="3656.0"/>
        <n v="5923.0"/>
        <n v="4653.0"/>
        <n v="780.0"/>
        <n v="810.0"/>
        <n v="1050.0"/>
        <n v="3738.0"/>
        <n v="2712.0"/>
        <n v="5198.0"/>
        <n v="1360.0"/>
        <n v="4886.0"/>
        <n v="2987.0"/>
        <n v="2587.0"/>
      </sharedItems>
    </cacheField>
    <cacheField name="GameTime" numFmtId="0">
      <sharedItems containsSemiMixedTypes="0" containsString="0" containsNumber="1" containsInteger="1">
        <n v="4835.0"/>
        <n v="1144.0"/>
        <n v="2002.0"/>
        <n v="6119.0"/>
        <n v="3581.0"/>
        <n v="2275.0"/>
        <n v="1794.0"/>
        <n v="7051.0"/>
        <n v="3160.0"/>
        <n v="933.0"/>
        <n v="6176.0"/>
        <n v="6903.0"/>
        <n v="1416.0"/>
        <n v="822.0"/>
        <n v="6333.0"/>
        <n v="3598.0"/>
        <n v="5698.0"/>
        <n v="5904.0"/>
        <n v="4724.0"/>
        <n v="6163.0"/>
      </sharedItems>
    </cacheField>
    <cacheField name="AverageLife" numFmtId="0">
      <sharedItems containsSemiMixedTypes="0" containsString="0" containsNumber="1" containsInteger="1">
        <n v="22.0"/>
        <n v="11.0"/>
        <n v="13.0"/>
        <n v="12.0"/>
        <n v="10.0"/>
        <n v="17.0"/>
        <n v="9.0"/>
        <n v="15.0"/>
        <n v="16.0"/>
        <n v="14.0"/>
        <n v="7.0"/>
        <n v="19.0"/>
        <n v="28.0"/>
        <n v="30.0"/>
      </sharedItems>
    </cacheField>
    <cacheField name="KillingSprees" numFmtId="0">
      <sharedItems containsSemiMixedTypes="0" containsString="0" containsNumber="1" containsInteger="1">
        <n v="9.0"/>
        <n v="0.0"/>
        <n v="1.0"/>
        <n v="8.0"/>
        <n v="5.0"/>
        <n v="2.0"/>
        <n v="14.0"/>
        <n v="4.0"/>
        <n v="3.0"/>
        <n v="10.0"/>
        <n v="11.0"/>
        <n v="6.0"/>
      </sharedItems>
    </cacheField>
    <cacheField name="KillingFrenzies" numFmtId="0">
      <sharedItems containsSemiMixedTypes="0" containsString="0" containsNumber="1" containsInteger="1">
        <n v="1.0"/>
        <n v="0.0"/>
        <n v="2.0"/>
        <n v="3.0"/>
      </sharedItems>
    </cacheField>
    <cacheField name="RunningRiots" numFmtId="0">
      <sharedItems containsSemiMixedTypes="0" containsString="0" containsNumber="1" containsInteger="1">
        <n v="0.0"/>
        <n v="1.0"/>
      </sharedItems>
    </cacheField>
    <cacheField name="Rampages" numFmtId="0">
      <sharedItems containsSemiMixedTypes="0" containsString="0" containsNumber="1" containsInteger="1">
        <n v="0.0"/>
      </sharedItems>
    </cacheField>
    <cacheField name="SwordSprees" numFmtId="0">
      <sharedItems containsSemiMixedTypes="0" containsString="0" containsNumber="1" containsInteger="1">
        <n v="0.0"/>
      </sharedItems>
    </cacheField>
    <cacheField name="DoubleKills" numFmtId="0">
      <sharedItems containsSemiMixedTypes="0" containsString="0" containsNumber="1" containsInteger="1">
        <n v="41.0"/>
        <n v="7.0"/>
        <n v="10.0"/>
        <n v="27.0"/>
        <n v="23.0"/>
        <n v="17.0"/>
        <n v="15.0"/>
        <n v="28.0"/>
        <n v="33.0"/>
        <n v="12.0"/>
        <n v="73.0"/>
        <n v="76.0"/>
        <n v="39.0"/>
        <n v="11.0"/>
        <n v="19.0"/>
        <n v="4.0"/>
        <n v="42.0"/>
        <n v="48.0"/>
        <n v="5.0"/>
        <n v="50.0"/>
        <n v="49.0"/>
        <n v="16.0"/>
        <n v="65.0"/>
        <n v="25.0"/>
        <n v="54.0"/>
        <n v="40.0"/>
        <n v="9.0"/>
        <n v="14.0"/>
        <n v="45.0"/>
        <n v="13.0"/>
        <n v="68.0"/>
        <n v="26.0"/>
      </sharedItems>
    </cacheField>
    <cacheField name="TripleKills" numFmtId="0">
      <sharedItems containsSemiMixedTypes="0" containsString="0" containsNumber="1" containsInteger="1">
        <n v="7.0"/>
        <n v="1.0"/>
        <n v="3.0"/>
        <n v="4.0"/>
        <n v="2.0"/>
        <n v="6.0"/>
        <n v="12.0"/>
        <n v="13.0"/>
        <n v="5.0"/>
        <n v="0.0"/>
        <n v="9.0"/>
        <n v="10.0"/>
        <n v="15.0"/>
        <n v="14.0"/>
        <n v="11.0"/>
      </sharedItems>
    </cacheField>
    <cacheField name="Overkills" numFmtId="0">
      <sharedItems containsSemiMixedTypes="0" containsString="0" containsNumber="1" containsInteger="1">
        <n v="1.0"/>
        <n v="0.0"/>
        <n v="2.0"/>
        <n v="4.0"/>
        <n v="3.0"/>
        <n v="5.0"/>
      </sharedItems>
    </cacheField>
    <cacheField name="Killtaculars" numFmtId="0">
      <sharedItems containsSemiMixedTypes="0" containsString="0" containsNumber="1" containsInteger="1">
        <n v="1.0"/>
        <n v="0.0"/>
        <n v="2.0"/>
        <n v="3.0"/>
      </sharedItems>
    </cacheField>
    <cacheField name="Killtrocities" numFmtId="0">
      <sharedItems containsSemiMixedTypes="0" containsString="0" containsNumber="1" containsInteger="1">
        <n v="0.0"/>
        <n v="1.0"/>
      </sharedItems>
    </cacheField>
    <cacheField name="Killamanjaros" numFmtId="0">
      <sharedItems containsSemiMixedTypes="0" containsString="0" containsNumber="1" containsInteger="1">
        <n v="0.0"/>
        <n v="1.0"/>
      </sharedItems>
    </cacheField>
    <cacheField name="Killtastrophe" numFmtId="0">
      <sharedItems containsSemiMixedTypes="0" containsString="0" containsNumber="1" containsInteger="1">
        <n v="0.0"/>
      </sharedItems>
    </cacheField>
    <cacheField name="Killpocalypses" numFmtId="0">
      <sharedItems containsSemiMixedTypes="0" containsString="0" containsNumber="1" containsInteger="1">
        <n v="0.0"/>
      </sharedItems>
    </cacheField>
    <cacheField name="Killionaire" numFmtId="0">
      <sharedItems containsSemiMixedTypes="0" containsString="0" containsNumber="1" containsInteger="1">
        <n v="0.0"/>
      </sharedItems>
    </cacheField>
    <cacheField name="Exterms" numFmtId="0">
      <sharedItems containsSemiMixedTypes="0" containsString="0" containsNumber="1" containsInteger="1">
        <n v="0.0"/>
      </sharedItems>
    </cacheField>
    <cacheField name="Bulltrues" numFmtId="0">
      <sharedItems containsSemiMixedTypes="0" containsString="0" containsNumber="1" containsInteger="1">
        <n v="10.0"/>
        <n v="1.0"/>
        <n v="3.0"/>
        <n v="7.0"/>
        <n v="2.0"/>
        <n v="13.0"/>
        <n v="9.0"/>
        <n v="4.0"/>
        <n v="25.0"/>
        <n v="38.0"/>
        <n v="0.0"/>
        <n v="8.0"/>
        <n v="12.0"/>
        <n v="20.0"/>
        <n v="11.0"/>
        <n v="5.0"/>
        <n v="23.0"/>
        <n v="22.0"/>
        <n v="18.0"/>
        <n v="16.0"/>
      </sharedItems>
    </cacheField>
    <cacheField name="Assassinations" numFmtId="0">
      <sharedItems containsSemiMixedTypes="0" containsString="0" containsNumber="1" containsInteger="1">
        <n v="0.0"/>
        <n v="1.0"/>
      </sharedItems>
    </cacheField>
    <cacheField name="HammerSprees" numFmtId="0">
      <sharedItems containsSemiMixedTypes="0" containsString="0" containsNumber="1" containsInteger="1">
        <n v="5.0"/>
        <n v="0.0"/>
        <n v="1.0"/>
        <n v="2.0"/>
        <n v="3.0"/>
        <n v="13.0"/>
        <n v="7.0"/>
        <n v="9.0"/>
        <n v="8.0"/>
        <n v="4.0"/>
      </sharedItems>
    </cacheField>
    <cacheField name="TimeStamp" numFmtId="0">
      <sharedItems>
        <s v="Sun Nov  6 23:36:06 2022"/>
        <s v="Sun Nov  6 23:21:59 2022"/>
        <s v="Sun Nov  6 23:20:51 2022"/>
        <s v="Mon Nov  7 00:58:09 2022"/>
        <s v="Sun Nov  6 23:43:46 2022"/>
        <s v="Sun Nov  6 23:22:20 2022"/>
        <s v="Mon Nov  7 03:18:18 2022"/>
        <s v="Mon Nov  7 02:09:44 2022"/>
        <s v="Sun Nov  6 23:21:41 2022"/>
      </sharedItems>
    </cacheField>
    <cacheField name=" " numFmtId="0">
      <sharedItems containsString="0" containsBlank="1">
        <m/>
      </sharedItems>
    </cacheField>
    <cacheField name="GPM" formula="Goals/(GameTime/60)" databaseField="0"/>
    <cacheField name="KDPM" formula="Spread/(GameTime/60)" databaseField="0"/>
    <cacheField name="STPM" formula="KillingSprees/(GameTime/60)" databaseField="0"/>
    <cacheField name="SPM" formula="KillingFrenzies/(GameTime/60)" databaseField="0"/>
    <cacheField name="DPM" formula="TripleKills/(GameTime/60)" databaseField="0"/>
    <cacheField name="TPM" formula="Overkills/(GameTime/60)" databaseField="0"/>
    <cacheField name="Defense" formula="(KillingSprees+#REF!+#REF!+#REF!+#REF!)/(GameTime/60)" databaseField="0"/>
    <cacheField name="PlayMaking" formula="(#REF!+#REF!+#REF!+#REF!)/(GameTime/60)" databaseField="0"/>
    <cacheField name="k-d whores" formula="(Kills+Assists-Deaths)/(GameTime/60)" databaseField="0"/>
    <cacheField name="w key warrior" formula="(Kills+Assists+Deaths)/(GameTime/60)" databaseField="0"/>
    <cacheField name="Spree King" formula="KillingSprees/(GameTime/60)" databaseField="0"/>
    <cacheField name="Sugar Daddies" formula="(KillingFrenzies+RunningRiots)/(GameTime/60)" databaseField="0"/>
    <cacheField name="Helping Hands" formula="Assists/(GameTime/60)" databaseField="0"/>
    <cacheField name="Running Wild" formula="(DoubleKills+TripleKills+Overkills+Killtaculars+Killtrocities+Killamanjaros+Killtastrophe+Killpocalypses)/(GameTime/60)" databaseField="0"/>
    <cacheField name="Overrated" formula="(Overkills+Killtaculars+Killtrocities+Killamanjaros+Killtastrophe+Killpocalypses)/Kills" databaseField="0"/>
    <cacheField name="6-S HEXAS" formula="(Goals/GamesPlayed/5)+(Kills-Deaths+KillingSprees+DoubleKills+TripleKills+Overkills+Killtaculars)/(GameTime/60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I177" sheet="HR_MatchH"/>
  </cacheSource>
  <cacheFields>
    <cacheField name="Player" numFmtId="0">
      <sharedItems containsBlank="1">
        <s v="oDhmon"/>
        <s v="ACE B S1lentND1"/>
        <s v="TommyWstSide"/>
        <s v="e Jolts"/>
        <s v="Dabb"/>
        <s v="Fanciest Pants"/>
        <s v="NOPLEX"/>
        <s v="Dat Twinkie"/>
        <s v="yLuxe"/>
        <s v="unbes"/>
        <s v="Zelynthia"/>
        <s v="Judasey"/>
        <s v="Hells Angel cx"/>
        <s v="Luner Panda"/>
        <s v="Scullen cx"/>
        <s v="Genesiology"/>
        <s v="Impuritive"/>
        <s v="Itzreelz"/>
        <s v="Finesse God24"/>
        <s v="Mhurcy"/>
        <s v="Rage More Nerd"/>
        <s v="Almighty Tycoon"/>
        <s v="AwareMosquito"/>
        <s v="Yaeqin"/>
        <s v="Dhlyn"/>
        <s v="Mavbrid"/>
        <s v="MealyKitten0"/>
        <s v="Sabasauros rex"/>
        <s v="MoldyVolts"/>
        <s v="GodSnipezX"/>
        <s v="L1ght5aber"/>
        <s v="Vile"/>
        <s v="ixjaga"/>
        <s v="Yejis Aegyo"/>
        <s v="Galvann"/>
        <s v="Into Sublime"/>
        <s v="Solace VIII"/>
        <s v="siIIy kids"/>
        <s v="ADhillyy"/>
        <s v="InfiniteRainge"/>
        <s v="Laser Wins"/>
        <s v="Lane Uppy"/>
        <s v="Kgod Online"/>
        <s v="HumanKite187"/>
        <s v="noketone"/>
        <s v="SOULBENDERs"/>
        <m/>
      </sharedItems>
    </cacheField>
    <cacheField name="Team" numFmtId="0">
      <sharedItems containsString="0" containsBlank="1" containsNumber="1" containsInteger="1">
        <n v="0.0"/>
        <n v="1.0"/>
        <m/>
      </sharedItems>
    </cacheField>
    <cacheField name="GamesPlayed" numFmtId="0">
      <sharedItems containsString="0" containsBlank="1" containsNumber="1" containsInteger="1">
        <n v="1.0"/>
        <m/>
      </sharedItems>
    </cacheField>
    <cacheField name="GamesHosted" numFmtId="0">
      <sharedItems containsString="0" containsBlank="1" containsNumber="1" containsInteger="1">
        <n v="0.0"/>
        <m/>
      </sharedItems>
    </cacheField>
    <cacheField name="Wins" numFmtId="0">
      <sharedItems containsString="0" containsBlank="1" containsNumber="1" containsInteger="1">
        <n v="1.0"/>
        <n v="0.0"/>
        <m/>
      </sharedItems>
    </cacheField>
    <cacheField name="Loses" numFmtId="0">
      <sharedItems containsString="0" containsBlank="1" containsNumber="1" containsInteger="1">
        <n v="0.0"/>
        <n v="1.0"/>
        <m/>
      </sharedItems>
    </cacheField>
    <cacheField name="Goals" numFmtId="0">
      <sharedItems containsString="0" containsBlank="1" containsNumber="1" containsInteger="1">
        <n v="2.0"/>
        <n v="1.0"/>
        <n v="0.0"/>
        <n v="3.0"/>
        <n v="4.0"/>
        <n v="5.0"/>
        <m/>
      </sharedItems>
    </cacheField>
    <cacheField name="Kills" numFmtId="0">
      <sharedItems containsString="0" containsBlank="1" containsNumber="1" containsInteger="1">
        <n v="58.0"/>
        <n v="44.0"/>
        <n v="63.0"/>
        <n v="35.0"/>
        <n v="38.0"/>
        <n v="65.0"/>
        <n v="92.0"/>
        <n v="83.0"/>
        <n v="110.0"/>
        <n v="74.0"/>
        <n v="94.0"/>
        <n v="77.0"/>
        <n v="52.0"/>
        <n v="64.0"/>
        <n v="76.0"/>
        <n v="51.0"/>
        <n v="56.0"/>
        <n v="72.0"/>
        <n v="47.0"/>
        <n v="70.0"/>
        <n v="60.0"/>
        <n v="59.0"/>
        <n v="37.0"/>
        <n v="39.0"/>
        <n v="29.0"/>
        <n v="42.0"/>
        <n v="71.0"/>
        <n v="111.0"/>
        <n v="174.0"/>
        <n v="146.0"/>
        <n v="130.0"/>
        <n v="105.0"/>
        <n v="84.0"/>
        <n v="154.0"/>
        <n v="46.0"/>
        <n v="55.0"/>
        <n v="18.0"/>
        <n v="43.0"/>
        <n v="40.0"/>
        <n v="53.0"/>
        <n v="26.0"/>
        <n v="45.0"/>
        <n v="67.0"/>
        <n v="31.0"/>
        <n v="36.0"/>
        <n v="14.0"/>
        <n v="23.0"/>
        <n v="24.0"/>
        <n v="13.0"/>
        <n v="17.0"/>
        <n v="10.0"/>
        <n v="9.0"/>
        <n v="78.0"/>
        <n v="81.0"/>
        <n v="79.0"/>
        <n v="91.0"/>
        <n v="93.0"/>
        <n v="80.0"/>
        <n v="66.0"/>
        <n v="132.0"/>
        <n v="155.0"/>
        <n v="165.0"/>
        <n v="149.0"/>
        <n v="181.0"/>
        <n v="163.0"/>
        <n v="54.0"/>
        <n v="69.0"/>
        <n v="62.0"/>
        <n v="82.0"/>
        <n v="48.0"/>
        <n v="75.0"/>
        <n v="50.0"/>
        <n v="41.0"/>
        <n v="136.0"/>
        <n v="184.0"/>
        <n v="161.0"/>
        <n v="183.0"/>
        <n v="134.0"/>
        <n v="73.0"/>
        <n v="34.0"/>
        <m/>
      </sharedItems>
    </cacheField>
    <cacheField name="Assists" numFmtId="0">
      <sharedItems containsString="0" containsBlank="1" containsNumber="1" containsInteger="1">
        <n v="7.0"/>
        <n v="3.0"/>
        <n v="2.0"/>
        <n v="8.0"/>
        <n v="6.0"/>
        <n v="0.0"/>
        <n v="4.0"/>
        <n v="5.0"/>
        <n v="1.0"/>
        <n v="12.0"/>
        <n v="9.0"/>
        <n v="13.0"/>
        <n v="17.0"/>
        <n v="10.0"/>
        <n v="14.0"/>
        <n v="11.0"/>
        <m/>
      </sharedItems>
    </cacheField>
    <cacheField name="Deaths" numFmtId="0">
      <sharedItems containsString="0" containsBlank="1" containsNumber="1" containsInteger="1">
        <n v="36.0"/>
        <n v="50.0"/>
        <n v="46.0"/>
        <n v="30.0"/>
        <n v="63.0"/>
        <n v="62.0"/>
        <n v="57.0"/>
        <n v="44.0"/>
        <n v="90.0"/>
        <n v="105.0"/>
        <n v="84.0"/>
        <n v="82.0"/>
        <n v="102.0"/>
        <n v="111.0"/>
        <n v="67.0"/>
        <n v="65.0"/>
        <n v="78.0"/>
        <n v="76.0"/>
        <n v="55.0"/>
        <n v="66.0"/>
        <n v="58.0"/>
        <n v="81.0"/>
        <n v="16.0"/>
        <n v="41.0"/>
        <n v="61.0"/>
        <n v="52.0"/>
        <n v="60.0"/>
        <n v="139.0"/>
        <n v="146.0"/>
        <n v="144.0"/>
        <n v="94.0"/>
        <n v="141.0"/>
        <n v="142.0"/>
        <n v="56.0"/>
        <n v="53.0"/>
        <n v="49.0"/>
        <n v="47.0"/>
        <n v="26.0"/>
        <n v="40.0"/>
        <n v="32.0"/>
        <n v="51.0"/>
        <n v="34.0"/>
        <n v="73.0"/>
        <n v="7.0"/>
        <n v="19.0"/>
        <n v="18.0"/>
        <n v="23.0"/>
        <n v="21.0"/>
        <n v="91.0"/>
        <n v="89.0"/>
        <n v="68.0"/>
        <n v="98.0"/>
        <n v="95.0"/>
        <n v="64.0"/>
        <n v="72.0"/>
        <n v="87.0"/>
        <n v="154.0"/>
        <n v="177.0"/>
        <n v="192.0"/>
        <n v="135.0"/>
        <n v="189.0"/>
        <n v="194.0"/>
        <n v="80.0"/>
        <n v="42.0"/>
        <n v="93.0"/>
        <n v="92.0"/>
        <n v="75.0"/>
        <n v="27.0"/>
        <n v="123.0"/>
        <n v="149.0"/>
        <n v="115.0"/>
        <n v="180.0"/>
        <n v="215.0"/>
        <n v="185.0"/>
        <n v="159.0"/>
        <n v="59.0"/>
        <n v="48.0"/>
        <m/>
      </sharedItems>
    </cacheField>
    <cacheField name="Spread" numFmtId="0">
      <sharedItems containsString="0" containsBlank="1" containsNumber="1" containsInteger="1">
        <n v="22.0"/>
        <n v="8.0"/>
        <n v="13.0"/>
        <n v="-11.0"/>
        <n v="-19.0"/>
        <n v="-27.0"/>
        <n v="-13.0"/>
        <n v="21.0"/>
        <n v="2.0"/>
        <n v="-22.0"/>
        <n v="26.0"/>
        <n v="-8.0"/>
        <n v="-46.0"/>
        <n v="10.0"/>
        <n v="16.0"/>
        <n v="-1.0"/>
        <n v="-2.0"/>
        <n v="-25.0"/>
        <n v="1.0"/>
        <n v="6.0"/>
        <n v="31.0"/>
        <n v="19.0"/>
        <n v="18.0"/>
        <n v="-5.0"/>
        <n v="-32.0"/>
        <n v="-23.0"/>
        <n v="-18.0"/>
        <n v="-28.0"/>
        <n v="28.0"/>
        <n v="36.0"/>
        <n v="-36.0"/>
        <n v="-58.0"/>
        <n v="0.0"/>
        <n v="5.0"/>
        <n v="4.0"/>
        <n v="-17.0"/>
        <n v="-15.0"/>
        <n v="15.0"/>
        <n v="-12.0"/>
        <n v="-6.0"/>
        <n v="-4.0"/>
        <n v="-9.0"/>
        <n v="-21.0"/>
        <n v="14.0"/>
        <n v="-3.0"/>
        <n v="33.0"/>
        <n v="-34.0"/>
        <n v="7.0"/>
        <n v="-10.0"/>
        <n v="-31.0"/>
        <n v="-14.0"/>
        <n v="42.0"/>
        <n v="-43.0"/>
        <n v="46.0"/>
        <n v="47.0"/>
        <n v="-84.0"/>
        <n v="25.0"/>
        <n v="11.0"/>
        <n v="-41.0"/>
        <n v="69.0"/>
        <n v="-51.0"/>
        <n v="27.0"/>
        <n v="-7.0"/>
        <m/>
      </sharedItems>
    </cacheField>
    <cacheField name="Streak" numFmtId="0">
      <sharedItems containsString="0" containsBlank="1" containsNumber="1" containsInteger="1">
        <n v="6.0"/>
        <n v="5.0"/>
        <n v="4.0"/>
        <n v="3.0"/>
        <n v="11.0"/>
        <n v="7.0"/>
        <n v="16.0"/>
        <n v="10.0"/>
        <n v="2.0"/>
        <n v="8.0"/>
        <n v="9.0"/>
        <n v="17.0"/>
        <n v="12.0"/>
        <m/>
      </sharedItems>
    </cacheField>
    <cacheField name="Betrayals" numFmtId="0">
      <sharedItems containsString="0" containsBlank="1" containsNumber="1" containsInteger="1">
        <n v="0.0"/>
        <n v="2.0"/>
        <n v="1.0"/>
        <n v="3.0"/>
        <n v="4.0"/>
        <n v="5.0"/>
        <n v="7.0"/>
        <m/>
      </sharedItems>
    </cacheField>
    <cacheField name="TimeAlive" numFmtId="0">
      <sharedItems containsString="0" containsBlank="1" containsNumber="1" containsInteger="1">
        <n v="682.0"/>
        <n v="685.0"/>
        <n v="644.0"/>
        <n v="653.0"/>
        <n v="708.0"/>
        <n v="602.0"/>
        <n v="611.0"/>
        <n v="626.0"/>
        <n v="1303.0"/>
        <n v="1173.0"/>
        <n v="1132.0"/>
        <n v="1196.0"/>
        <n v="1203.0"/>
        <n v="1141.0"/>
        <n v="1112.0"/>
        <n v="1246.0"/>
        <n v="878.0"/>
        <n v="798.0"/>
        <n v="754.0"/>
        <n v="757.0"/>
        <n v="828.0"/>
        <n v="792.0"/>
        <n v="820.0"/>
        <n v="751.0"/>
        <n v="747.0"/>
        <n v="669.0"/>
        <n v="670.0"/>
        <n v="666.0"/>
        <n v="617.0"/>
        <n v="642.0"/>
        <n v="620.0"/>
        <n v="1925.0"/>
        <n v="1681.0"/>
        <n v="1653.0"/>
        <n v="1656.0"/>
        <n v="1813.0"/>
        <n v="1669.0"/>
        <n v="1665.0"/>
        <n v="1659.0"/>
        <n v="727.0"/>
        <n v="694.0"/>
        <n v="681.0"/>
        <n v="718.0"/>
        <n v="711.0"/>
        <n v="693.0"/>
        <n v="714.0"/>
        <n v="686.0"/>
        <n v="657.0"/>
        <n v="600.0"/>
        <n v="581.0"/>
        <n v="598.0"/>
        <n v="604.0"/>
        <n v="675.0"/>
        <n v="633.0"/>
        <n v="606.0"/>
        <n v="592.0"/>
        <n v="635.0"/>
        <n v="618.0"/>
        <n v="591.0"/>
        <n v="615.0"/>
        <n v="525.0"/>
        <n v="238.0"/>
        <n v="202.0"/>
        <n v="214.0"/>
        <n v="208.0"/>
        <n v="210.0"/>
        <n v="199.0"/>
        <n v="197.0"/>
        <n v="1153.0"/>
        <n v="1060.0"/>
        <n v="1069.0"/>
        <n v="1137.0"/>
        <n v="1088.0"/>
        <n v="1050.0"/>
        <n v="1056.0"/>
        <n v="932.0"/>
        <n v="948.0"/>
        <n v="900.0"/>
        <n v="915.0"/>
        <n v="871.0"/>
        <n v="982.0"/>
        <n v="2622.0"/>
        <n v="2599.0"/>
        <n v="2536.0"/>
        <n v="2486.0"/>
        <n v="2663.0"/>
        <n v="2766.0"/>
        <n v="2508.0"/>
        <n v="2492.0"/>
        <n v="1054.0"/>
        <n v="1034.0"/>
        <n v="958.0"/>
        <n v="981.0"/>
        <n v="1103.0"/>
        <n v="951.0"/>
        <n v="952.0"/>
        <n v="1000.0"/>
        <n v="810.0"/>
        <n v="707.0"/>
        <n v="740.0"/>
        <n v="744.0"/>
        <n v="691.0"/>
        <n v="763.0"/>
        <n v="646.0"/>
        <n v="2064.0"/>
        <n v="1991.0"/>
        <n v="2093.0"/>
        <n v="1884.0"/>
        <n v="2206.0"/>
        <n v="1791.0"/>
        <n v="1878.0"/>
        <n v="1955.0"/>
        <n v="699.0"/>
        <n v="632.0"/>
        <n v="655.0"/>
        <n v="603.0"/>
        <n v="651.0"/>
        <n v="643.0"/>
        <m/>
      </sharedItems>
    </cacheField>
    <cacheField name="GameTime" numFmtId="0">
      <sharedItems containsString="0" containsBlank="1" containsNumber="1" containsInteger="1">
        <n v="859.0"/>
        <n v="1522.0"/>
        <n v="1069.0"/>
        <n v="861.0"/>
        <n v="2216.0"/>
        <n v="933.0"/>
        <n v="815.0"/>
        <n v="822.0"/>
        <n v="329.0"/>
        <n v="1416.0"/>
        <n v="1205.0"/>
        <n v="2991.0"/>
        <n v="3161.0"/>
        <n v="1306.0"/>
        <n v="956.0"/>
        <n v="2526.0"/>
        <n v="886.0"/>
        <m/>
      </sharedItems>
    </cacheField>
    <cacheField name="AverageLife" numFmtId="0">
      <sharedItems containsString="0" containsBlank="1" containsNumber="1" containsInteger="1">
        <n v="18.0"/>
        <n v="19.0"/>
        <n v="12.0"/>
        <n v="14.0"/>
        <n v="23.0"/>
        <n v="9.0"/>
        <n v="10.0"/>
        <n v="29.0"/>
        <n v="13.0"/>
        <n v="11.0"/>
        <n v="24.0"/>
        <n v="15.0"/>
        <n v="46.0"/>
        <n v="16.0"/>
        <n v="33.0"/>
        <n v="21.0"/>
        <n v="25.0"/>
        <n v="20.0"/>
        <n v="7.0"/>
        <n v="34.0"/>
        <n v="8.0"/>
        <n v="27.0"/>
        <n v="26.0"/>
        <n v="30.0"/>
        <n v="17.0"/>
        <m/>
      </sharedItems>
    </cacheField>
    <cacheField name="KillingSprees" numFmtId="0">
      <sharedItems containsString="0" containsBlank="1" containsNumber="1" containsInteger="1">
        <n v="3.0"/>
        <n v="1.0"/>
        <n v="0.0"/>
        <n v="2.0"/>
        <n v="5.0"/>
        <n v="4.0"/>
        <n v="6.0"/>
        <n v="7.0"/>
        <m/>
      </sharedItems>
    </cacheField>
    <cacheField name="KillingFrenzies" numFmtId="0">
      <sharedItems containsString="0" containsBlank="1" containsNumber="1" containsInteger="1">
        <n v="0.0"/>
        <n v="1.0"/>
        <n v="2.0"/>
        <m/>
      </sharedItems>
    </cacheField>
    <cacheField name="RunningRiots" numFmtId="0">
      <sharedItems containsString="0" containsBlank="1" containsNumber="1" containsInteger="1">
        <n v="0.0"/>
        <n v="1.0"/>
        <m/>
      </sharedItems>
    </cacheField>
    <cacheField name="Rampages" numFmtId="0">
      <sharedItems containsString="0" containsBlank="1" containsNumber="1" containsInteger="1">
        <n v="0.0"/>
        <m/>
      </sharedItems>
    </cacheField>
    <cacheField name="SwordSprees" numFmtId="0">
      <sharedItems containsString="0" containsBlank="1" containsNumber="1" containsInteger="1">
        <n v="0.0"/>
        <m/>
      </sharedItems>
    </cacheField>
    <cacheField name="DoubleKills" numFmtId="0">
      <sharedItems containsString="0" containsBlank="1" containsNumber="1" containsInteger="1">
        <n v="13.0"/>
        <n v="8.0"/>
        <n v="11.0"/>
        <n v="5.0"/>
        <n v="6.0"/>
        <n v="3.0"/>
        <n v="9.0"/>
        <n v="16.0"/>
        <n v="24.0"/>
        <n v="10.0"/>
        <n v="14.0"/>
        <n v="7.0"/>
        <n v="4.0"/>
        <n v="1.0"/>
        <n v="29.0"/>
        <n v="23.0"/>
        <n v="22.0"/>
        <n v="28.0"/>
        <n v="12.0"/>
        <n v="2.0"/>
        <n v="0.0"/>
        <n v="17.0"/>
        <n v="19.0"/>
        <n v="30.0"/>
        <n v="27.0"/>
        <n v="18.0"/>
        <n v="15.0"/>
        <n v="33.0"/>
        <n v="25.0"/>
        <n v="20.0"/>
        <m/>
      </sharedItems>
    </cacheField>
    <cacheField name="TripleKills" numFmtId="0">
      <sharedItems containsString="0" containsBlank="1" containsNumber="1" containsInteger="1">
        <n v="5.0"/>
        <n v="2.0"/>
        <n v="1.0"/>
        <n v="0.0"/>
        <n v="4.0"/>
        <n v="8.0"/>
        <n v="3.0"/>
        <n v="9.0"/>
        <n v="6.0"/>
        <m/>
      </sharedItems>
    </cacheField>
    <cacheField name="Overkills" numFmtId="0">
      <sharedItems containsString="0" containsBlank="1" containsNumber="1" containsInteger="1">
        <n v="1.0"/>
        <n v="0.0"/>
        <n v="2.0"/>
        <n v="3.0"/>
        <m/>
      </sharedItems>
    </cacheField>
    <cacheField name="Killtaculars" numFmtId="0">
      <sharedItems containsString="0" containsBlank="1" containsNumber="1" containsInteger="1">
        <n v="0.0"/>
        <n v="1.0"/>
        <m/>
      </sharedItems>
    </cacheField>
    <cacheField name="Killtrocities" numFmtId="0">
      <sharedItems containsString="0" containsBlank="1" containsNumber="1" containsInteger="1">
        <n v="0.0"/>
        <n v="1.0"/>
        <m/>
      </sharedItems>
    </cacheField>
    <cacheField name="Killamanjaros" numFmtId="0">
      <sharedItems containsString="0" containsBlank="1" containsNumber="1" containsInteger="1">
        <n v="0.0"/>
        <n v="1.0"/>
        <m/>
      </sharedItems>
    </cacheField>
    <cacheField name="Killtastrophe" numFmtId="0">
      <sharedItems containsString="0" containsBlank="1" containsNumber="1" containsInteger="1">
        <n v="0.0"/>
        <m/>
      </sharedItems>
    </cacheField>
    <cacheField name="Killpocalypses" numFmtId="0">
      <sharedItems containsString="0" containsBlank="1" containsNumber="1" containsInteger="1">
        <n v="0.0"/>
        <m/>
      </sharedItems>
    </cacheField>
    <cacheField name="Killionaire" numFmtId="0">
      <sharedItems containsString="0" containsBlank="1" containsNumber="1" containsInteger="1">
        <n v="0.0"/>
        <m/>
      </sharedItems>
    </cacheField>
    <cacheField name="Exterms" numFmtId="0">
      <sharedItems containsString="0" containsBlank="1" containsNumber="1" containsInteger="1">
        <n v="0.0"/>
        <m/>
      </sharedItems>
    </cacheField>
    <cacheField name="Bulltrues" numFmtId="0">
      <sharedItems containsString="0" containsBlank="1" containsNumber="1" containsInteger="1">
        <n v="4.0"/>
        <n v="1.0"/>
        <n v="3.0"/>
        <n v="0.0"/>
        <n v="2.0"/>
        <n v="7.0"/>
        <n v="9.0"/>
        <n v="15.0"/>
        <n v="5.0"/>
        <n v="14.0"/>
        <n v="8.0"/>
        <n v="6.0"/>
        <n v="18.0"/>
        <n v="21.0"/>
        <n v="12.0"/>
        <n v="10.0"/>
        <m/>
      </sharedItems>
    </cacheField>
    <cacheField name="Assassinations" numFmtId="0">
      <sharedItems containsString="0" containsBlank="1" containsNumber="1" containsInteger="1">
        <n v="0.0"/>
        <n v="1.0"/>
        <m/>
      </sharedItems>
    </cacheField>
    <cacheField name="HammerSprees" numFmtId="0">
      <sharedItems containsString="0" containsBlank="1" containsNumber="1" containsInteger="1">
        <n v="3.0"/>
        <n v="1.0"/>
        <n v="0.0"/>
        <n v="5.0"/>
        <n v="2.0"/>
        <n v="4.0"/>
        <n v="7.0"/>
        <m/>
      </sharedItems>
    </cacheField>
    <cacheField name="TimeStamp" numFmtId="0">
      <sharedItems containsBlank="1">
        <s v="Sun Nov  6 23:17:48 2022"/>
        <s v="Sun Nov  6 23:18:29 2022"/>
        <s v="Sun Nov  6 23:18:45 2022"/>
        <s v="Sun Nov  6 23:19:03 2022"/>
        <s v="Sun Nov  6 23:19:53 2022"/>
        <s v="Sun Nov  6 23:20:51 2022"/>
        <s v="Sun Nov  6 23:21:11 2022"/>
        <s v="Sun Nov  6 23:21:41 2022"/>
        <s v="Sun Nov  6 23:21:59 2022"/>
        <s v="Sun Nov  6 23:22:20 2022"/>
        <s v="Sun Nov  6 23:22:37 2022"/>
        <s v="Sun Nov  6 23:36:06 2022"/>
        <s v="Sun Nov  6 23:43:46 2022"/>
        <s v="Mon Nov  7 00:58:09 2022"/>
        <s v="Mon Nov  7 02:09:44 2022"/>
        <s v="Mon Nov  7 03:18:18 2022"/>
        <m/>
      </sharedItems>
    </cacheField>
    <cacheField name="GPM" formula="Goals/(GameTime/60)" databaseField="0"/>
    <cacheField name="KDPM" formula="Spread/(GameTime/60)" databaseField="0"/>
    <cacheField name="BTPM" formula="Bulltrues/(GameTime/60)" databaseField="0"/>
    <cacheField name="SPM" formula="KillingSprees/(GameTime/60)" databaseField="0"/>
    <cacheField name="DPM" formula="DoubleKills/(GameTime/60)" databaseField="0"/>
    <cacheField name="TPM" formula="TripleKills/(GameTime/60)" databaseField="0"/>
    <cacheField name="HSPM" formula="HammerSprees/(GameTime/60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layerGradeStats" cacheId="0" dataCaption="" rowGrandTotals="0" compact="0" compactData="0">
  <location ref="A1:Q47" firstHeaderRow="0" firstDataRow="2" firstDataCol="0"/>
  <pivotFields>
    <pivotField name="Play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eam" compact="0" outline="0" multipleItemSelectionAllowed="1" showAll="0">
      <items>
        <item x="0"/>
        <item x="1"/>
        <item t="default"/>
      </items>
    </pivotField>
    <pivotField name="GamesPlayed" compact="0" outline="0" multipleItemSelectionAllowed="1" showAll="0">
      <items>
        <item x="0"/>
        <item x="1"/>
        <item x="2"/>
        <item x="3"/>
        <item t="default"/>
      </items>
    </pivotField>
    <pivotField name="GamesHosted" compact="0" outline="0" multipleItemSelectionAllowed="1" showAll="0">
      <items>
        <item x="0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ses" compact="0" outline="0" multipleItemSelectionAllowed="1" showAll="0">
      <items>
        <item x="0"/>
        <item x="1"/>
        <item x="2"/>
        <item x="3"/>
        <item t="default"/>
      </items>
    </pivotField>
    <pivotField name="WinPercen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pre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verageLif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llingFrenzies" dataField="1" compact="0" outline="0" multipleItemSelectionAllowed="1" showAll="0">
      <items>
        <item x="0"/>
        <item x="1"/>
        <item x="2"/>
        <item x="3"/>
        <item t="default"/>
      </items>
    </pivotField>
    <pivotField name="RunningRiots" compact="0" outline="0" multipleItemSelectionAllowed="1" showAll="0">
      <items>
        <item x="0"/>
        <item x="1"/>
        <item t="default"/>
      </items>
    </pivotField>
    <pivotField name="Rampages" compact="0" outline="0" multipleItemSelectionAllowed="1" showAll="0">
      <items>
        <item x="0"/>
        <item t="default"/>
      </items>
    </pivotField>
    <pivotField name="SwordSprees" compact="0" outline="0" multipleItemSelectionAllowed="1" showAll="0">
      <items>
        <item x="0"/>
        <item t="default"/>
      </items>
    </pivotField>
    <pivotField name="Double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verkill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lltaculars" compact="0" outline="0" multipleItemSelectionAllowed="1" showAll="0">
      <items>
        <item x="0"/>
        <item x="1"/>
        <item x="2"/>
        <item x="3"/>
        <item t="default"/>
      </items>
    </pivotField>
    <pivotField name="Killtrocities" compact="0" outline="0" multipleItemSelectionAllowed="1" showAll="0">
      <items>
        <item x="0"/>
        <item x="1"/>
        <item t="default"/>
      </items>
    </pivotField>
    <pivotField name="Killamanjaros" compact="0" outline="0" multipleItemSelectionAllowed="1" showAll="0">
      <items>
        <item x="0"/>
        <item x="1"/>
        <item t="default"/>
      </items>
    </pivotField>
    <pivotField name="Killtastrophe" compact="0" outline="0" multipleItemSelectionAllowed="1" showAll="0">
      <items>
        <item x="0"/>
        <item t="default"/>
      </items>
    </pivotField>
    <pivotField name="Killpocalypses" compact="0" outline="0" multipleItemSelectionAllowed="1" showAll="0">
      <items>
        <item x="0"/>
        <item t="default"/>
      </items>
    </pivotField>
    <pivotField name="Killionaire" compact="0" outline="0" multipleItemSelectionAllowed="1" showAll="0">
      <items>
        <item x="0"/>
        <item t="default"/>
      </items>
    </pivotField>
    <pivotField name="Exterms" compact="0" outline="0" multipleItemSelectionAllowed="1" showAll="0">
      <items>
        <item x="0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ssassinations" compact="0" outline="0" multipleItemSelectionAllowed="1" showAll="0">
      <items>
        <item x="0"/>
        <item x="1"/>
        <item t="default"/>
      </items>
    </pivotField>
    <pivotField name="HammerSpre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Time" fld="15" baseField="0"/>
    <dataField name="Goals" fld="7" baseField="0"/>
    <dataField name="Spread" fld="10" baseField="0"/>
    <dataField name="BombStops" fld="17" baseField="0"/>
    <dataField name="KillingSprees" fld="18" baseField="0"/>
    <dataField name="DoubleKills" fld="23" baseField="0"/>
    <dataField name="TripleKills" fld="24" baseField="0"/>
    <dataField name="KillingSprees" fld="18" baseField="0"/>
    <dataField name="SUM of GPM" fld="37" baseField="0"/>
    <dataField name="SUM of KDPM" fld="38" baseField="0"/>
    <dataField name="SUM of STPM" fld="39" baseField="0"/>
    <dataField name="SUM of SPM" fld="40" baseField="0"/>
    <dataField name="SUM of DPM" fld="41" baseField="0"/>
    <dataField name="SUM of TPM" fld="42" baseField="0"/>
    <dataField name="SUM of Defense" fld="43" baseField="0"/>
    <dataField name="SUM of PlayMaking" fld="44" baseField="0"/>
  </dataFields>
</pivotTableDefinition>
</file>

<file path=xl/pivotTables/pivotTable2.xml><?xml version="1.0" encoding="utf-8"?>
<pivotTableDefinition xmlns="http://schemas.openxmlformats.org/spreadsheetml/2006/main" name="HEXASbaseINFO" cacheId="0" dataCaption="" rowGrandTotals="0" compact="0" compactData="0">
  <location ref="A1:Z47" firstHeaderRow="0" firstDataRow="2" firstDataCol="0"/>
  <pivotFields>
    <pivotField name="Play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eam" compact="0" outline="0" multipleItemSelectionAllowed="1" showAll="0">
      <items>
        <item x="0"/>
        <item x="1"/>
        <item t="default"/>
      </items>
    </pivotField>
    <pivotField name="GamesPlayed" dataField="1" compact="0" outline="0" multipleItemSelectionAllowed="1" showAll="0">
      <items>
        <item x="0"/>
        <item x="1"/>
        <item x="2"/>
        <item x="3"/>
        <item t="default"/>
      </items>
    </pivotField>
    <pivotField name="GamesHosted" compact="0" outline="0" multipleItemSelectionAllowed="1" showAll="0">
      <items>
        <item x="0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ses" compact="0" outline="0" multipleItemSelectionAllowed="1" showAll="0">
      <items>
        <item x="0"/>
        <item x="1"/>
        <item x="2"/>
        <item x="3"/>
        <item t="default"/>
      </items>
    </pivotField>
    <pivotField name="WinPercen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o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pr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Assi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verageLif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llingFrenzies" dataField="1" compact="0" outline="0" multipleItemSelectionAllowed="1" showAll="0">
      <items>
        <item x="0"/>
        <item x="1"/>
        <item x="2"/>
        <item x="3"/>
        <item t="default"/>
      </items>
    </pivotField>
    <pivotField name="RunningRiots" dataField="1" compact="0" outline="0" multipleItemSelectionAllowed="1" showAll="0">
      <items>
        <item x="0"/>
        <item x="1"/>
        <item t="default"/>
      </items>
    </pivotField>
    <pivotField name="Rampages" compact="0" outline="0" multipleItemSelectionAllowed="1" showAll="0">
      <items>
        <item x="0"/>
        <item t="default"/>
      </items>
    </pivotField>
    <pivotField name="SwordSprees" compact="0" outline="0" multipleItemSelectionAllowed="1" showAll="0">
      <items>
        <item x="0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verkill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lltaculars" dataField="1" compact="0" outline="0" multipleItemSelectionAllowed="1" showAll="0">
      <items>
        <item x="0"/>
        <item x="1"/>
        <item x="2"/>
        <item x="3"/>
        <item t="default"/>
      </items>
    </pivotField>
    <pivotField name="Killtrocities" dataField="1" compact="0" outline="0" multipleItemSelectionAllowed="1" showAll="0">
      <items>
        <item x="0"/>
        <item x="1"/>
        <item t="default"/>
      </items>
    </pivotField>
    <pivotField name="Killamanjaros" dataField="1" compact="0" outline="0" multipleItemSelectionAllowed="1" showAll="0">
      <items>
        <item x="0"/>
        <item x="1"/>
        <item t="default"/>
      </items>
    </pivotField>
    <pivotField name="Killtastrophe" dataField="1" compact="0" outline="0" multipleItemSelectionAllowed="1" showAll="0">
      <items>
        <item x="0"/>
        <item t="default"/>
      </items>
    </pivotField>
    <pivotField name="Killpocalypses" dataField="1" compact="0" outline="0" multipleItemSelectionAllowed="1" showAll="0">
      <items>
        <item x="0"/>
        <item t="default"/>
      </items>
    </pivotField>
    <pivotField name="Killionaire" compact="0" outline="0" multipleItemSelectionAllowed="1" showAll="0">
      <items>
        <item x="0"/>
        <item t="default"/>
      </items>
    </pivotField>
    <pivotField name="Exterms" compact="0" outline="0" multipleItemSelectionAllowed="1" showAll="0">
      <items>
        <item x="0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ssassinations" compact="0" outline="0" multipleItemSelectionAllowed="1" showAll="0">
      <items>
        <item x="0"/>
        <item x="1"/>
        <item t="default"/>
      </items>
    </pivotField>
    <pivotField name="HammerSpre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" compact="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sPlayed" fld="2" baseField="0"/>
    <dataField name="GameTime" fld="15" baseField="0"/>
    <dataField name="Kills" fld="8" baseField="0"/>
    <dataField name="Assists" fld="11" baseField="0"/>
    <dataField name="Deaths" fld="9" baseField="0"/>
    <dataField name="KillingSprees" fld="17" baseField="0"/>
    <dataField name="KillingFrenzies" fld="18" baseField="0"/>
    <dataField name="RunningRiots" fld="19" baseField="0"/>
    <dataField name="DoubleKills" fld="22" baseField="0"/>
    <dataField name="TripleKills" fld="23" baseField="0"/>
    <dataField name="Overkills" fld="24" baseField="0"/>
    <dataField name="SUM of Killtaculars" fld="25" baseField="0"/>
    <dataField name="SUM of Killtrocities" fld="26" baseField="0"/>
    <dataField name="SUM of Killamanjaros" fld="27" baseField="0"/>
    <dataField name="SUM of Killtastrophe" fld="28" baseField="0"/>
    <dataField name="SUM of Killpocalypses" fld="29" baseField="0"/>
    <dataField name="AverageLife" fld="16" baseField="0"/>
    <dataField name="SUM of k-d whores" fld="45" baseField="0"/>
    <dataField name="SUM of w key warrior" fld="46" baseField="0"/>
    <dataField name="SUM of Spree King" fld="47" baseField="0"/>
    <dataField name="SUM of Sugar Daddies" fld="48" baseField="0"/>
    <dataField name="SUM of Helping Hands" fld="49" baseField="0"/>
    <dataField name="SUM of Running Wild" fld="50" baseField="0"/>
    <dataField name="SUM of Overrated" fld="51" baseField="0"/>
    <dataField name="SUM of 6-S HEXAS" fld="52" baseField="0"/>
  </dataFields>
</pivotTableDefinition>
</file>

<file path=xl/pivotTables/pivotTable3.xml><?xml version="1.0" encoding="utf-8"?>
<pivotTableDefinition xmlns="http://schemas.openxmlformats.org/spreadsheetml/2006/main" name="PG Stats" cacheId="1" dataCaption="" rowGrandTotals="0" compact="0" compactData="0">
  <location ref="A1:Q48" firstHeaderRow="0" firstDataRow="2" firstDataCol="0"/>
  <pivotFields>
    <pivotField name="Player" axis="axisRow" compact="0" outline="0" multipleItemSelectionAllowed="1" showAll="0" sortType="ascending">
      <items>
        <item x="46"/>
        <item x="1"/>
        <item x="38"/>
        <item x="21"/>
        <item x="22"/>
        <item x="4"/>
        <item x="7"/>
        <item x="24"/>
        <item x="3"/>
        <item x="5"/>
        <item x="18"/>
        <item x="34"/>
        <item x="15"/>
        <item x="29"/>
        <item x="12"/>
        <item x="43"/>
        <item x="16"/>
        <item x="39"/>
        <item x="35"/>
        <item x="17"/>
        <item x="32"/>
        <item x="11"/>
        <item x="42"/>
        <item x="30"/>
        <item x="41"/>
        <item x="40"/>
        <item x="13"/>
        <item x="25"/>
        <item x="26"/>
        <item x="19"/>
        <item x="28"/>
        <item x="44"/>
        <item x="6"/>
        <item x="0"/>
        <item x="20"/>
        <item x="27"/>
        <item x="14"/>
        <item x="37"/>
        <item x="36"/>
        <item x="45"/>
        <item x="2"/>
        <item x="9"/>
        <item x="31"/>
        <item x="23"/>
        <item x="33"/>
        <item x="8"/>
        <item x="10"/>
        <item t="default"/>
      </items>
    </pivotField>
    <pivotField name="Team" compact="0" outline="0" multipleItemSelectionAllowed="1" showAll="0">
      <items>
        <item x="0"/>
        <item x="1"/>
        <item x="2"/>
        <item t="default"/>
      </items>
    </pivotField>
    <pivotField name="GamesPlayed" compact="0" outline="0" multipleItemSelectionAllowed="1" showAll="0">
      <items>
        <item x="0"/>
        <item x="1"/>
        <item t="default"/>
      </items>
    </pivotField>
    <pivotField name="GamesHosted" compact="0" outline="0" multipleItemSelectionAllowed="1" showAll="0">
      <items>
        <item x="0"/>
        <item x="1"/>
        <item t="default"/>
      </items>
    </pivotField>
    <pivotField name="Wins" compact="0" outline="0" multipleItemSelectionAllowed="1" showAll="0">
      <items>
        <item x="0"/>
        <item x="1"/>
        <item x="2"/>
        <item t="default"/>
      </items>
    </pivotField>
    <pivotField name="Loses" compact="0" outline="0" multipleItemSelectionAllowed="1" showAll="0">
      <items>
        <item x="0"/>
        <item x="1"/>
        <item x="2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Spr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verageLif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illingFrenzies" compact="0" outline="0" multipleItemSelectionAllowed="1" showAll="0">
      <items>
        <item x="0"/>
        <item x="1"/>
        <item x="2"/>
        <item x="3"/>
        <item t="default"/>
      </items>
    </pivotField>
    <pivotField name="RunningRiots" compact="0" outline="0" multipleItemSelectionAllowed="1" showAll="0">
      <items>
        <item x="0"/>
        <item x="1"/>
        <item x="2"/>
        <item t="default"/>
      </items>
    </pivotField>
    <pivotField name="Rampages" compact="0" outline="0" multipleItemSelectionAllowed="1" showAll="0">
      <items>
        <item x="0"/>
        <item x="1"/>
        <item t="default"/>
      </items>
    </pivotField>
    <pivotField name="SwordSprees" compact="0" outline="0" multipleItemSelectionAllowed="1" showAll="0">
      <items>
        <item x="0"/>
        <item x="1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kill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illtaculars" compact="0" outline="0" multipleItemSelectionAllowed="1" showAll="0">
      <items>
        <item x="0"/>
        <item x="1"/>
        <item x="2"/>
        <item t="default"/>
      </items>
    </pivotField>
    <pivotField name="Killtrocities" compact="0" outline="0" multipleItemSelectionAllowed="1" showAll="0">
      <items>
        <item x="0"/>
        <item x="1"/>
        <item x="2"/>
        <item t="default"/>
      </items>
    </pivotField>
    <pivotField name="Killamanjaros" compact="0" outline="0" multipleItemSelectionAllowed="1" showAll="0">
      <items>
        <item x="0"/>
        <item x="1"/>
        <item x="2"/>
        <item t="default"/>
      </items>
    </pivotField>
    <pivotField name="Killtastrophe" compact="0" outline="0" multipleItemSelectionAllowed="1" showAll="0">
      <items>
        <item x="0"/>
        <item x="1"/>
        <item t="default"/>
      </items>
    </pivotField>
    <pivotField name="Killpocalypses" compact="0" outline="0" multipleItemSelectionAllowed="1" showAll="0">
      <items>
        <item x="0"/>
        <item x="1"/>
        <item t="default"/>
      </items>
    </pivotField>
    <pivotField name="Killionaire" compact="0" outline="0" multipleItemSelectionAllowed="1" showAll="0">
      <items>
        <item x="0"/>
        <item x="1"/>
        <item t="default"/>
      </items>
    </pivotField>
    <pivotField name="Exterms" compact="0" outline="0" multipleItemSelectionAllowed="1" showAll="0">
      <items>
        <item x="0"/>
        <item x="1"/>
        <item t="default"/>
      </items>
    </pivotField>
    <pivotField name="Bulltru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ssassinations" compact="0" outline="0" multipleItemSelectionAllowed="1" showAll="0">
      <items>
        <item x="0"/>
        <item x="1"/>
        <item x="2"/>
        <item t="default"/>
      </items>
    </pivotField>
    <pivotField name="Hammer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Time" fld="14" baseField="0"/>
    <dataField name="Goals" fld="6" baseField="0"/>
    <dataField name="Kills" fld="7" baseField="0"/>
    <dataField name="Spread" fld="9" baseField="0"/>
    <dataField name="Bulltrues" fld="31" baseField="0"/>
    <dataField name="KillingSprees" fld="16" baseField="0"/>
    <dataField name="DoubleKills" fld="21" baseField="0"/>
    <dataField name="TripleKills" fld="22" baseField="0"/>
    <dataField name="HammerSprees" fld="33" baseField="0"/>
    <dataField name="SUM of GPM" fld="35" baseField="0"/>
    <dataField name="SUM of KDPM" fld="36" baseField="0"/>
    <dataField name="SUM of BTPM" fld="37" baseField="0"/>
    <dataField name="SUM of SPM" fld="38" baseField="0"/>
    <dataField name="SUM of DPM" fld="39" baseField="0"/>
    <dataField name="SUM of TPM" fld="40" baseField="0"/>
    <dataField name="SUM of HSPM" fld="41" baseField="0"/>
  </dataFields>
</pivotTableDefinition>
</file>

<file path=xl/tables/table1.xml><?xml version="1.0" encoding="utf-8"?>
<table xmlns="http://schemas.openxmlformats.org/spreadsheetml/2006/main" headerRowCount="0" ref="A2:AK44" displayName="Table_1" name="Table_1" id="1"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Halo Reach St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45:AK46" displayName="Table_2" name="Table_2" id="2"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Halo Reach Stat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47:AK47" displayName="Table_3" name="Table_3" id="3"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Halo Reach Stat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5:AX51" displayName="Table_4" name="Table_4" id="4">
  <tableColumns count="5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</tableColumns>
  <tableStyleInfo name="TotalTournamentAverag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llonge.com/Halo4FallSeriesEventTw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hallonge.com/haloreachgrifball" TargetMode="External"/><Relationship Id="rId2" Type="http://schemas.openxmlformats.org/officeDocument/2006/relationships/hyperlink" Target="https://www.twitch.tv/djbluepdx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2" t="s">
        <v>2</v>
      </c>
    </row>
    <row r="3">
      <c r="B3" s="2" t="s">
        <v>3</v>
      </c>
    </row>
    <row r="4">
      <c r="B4" s="3" t="s">
        <v>4</v>
      </c>
    </row>
    <row r="6">
      <c r="A6" s="1" t="s">
        <v>5</v>
      </c>
      <c r="B6" s="3" t="s">
        <v>6</v>
      </c>
    </row>
    <row r="7">
      <c r="B7" s="4" t="s">
        <v>7</v>
      </c>
    </row>
    <row r="9">
      <c r="A9" s="1" t="s">
        <v>8</v>
      </c>
      <c r="B9" s="2" t="s">
        <v>9</v>
      </c>
    </row>
    <row r="10">
      <c r="B10" s="2" t="s">
        <v>10</v>
      </c>
    </row>
    <row r="11">
      <c r="B11" s="1" t="s">
        <v>11</v>
      </c>
    </row>
    <row r="12">
      <c r="B12" s="2" t="s">
        <v>12</v>
      </c>
    </row>
    <row r="13">
      <c r="B13" s="4" t="s">
        <v>13</v>
      </c>
    </row>
    <row r="14">
      <c r="B14" s="1" t="s">
        <v>14</v>
      </c>
    </row>
    <row r="15">
      <c r="B15" s="2" t="s">
        <v>15</v>
      </c>
    </row>
    <row r="17">
      <c r="A17" s="5" t="s">
        <v>16</v>
      </c>
    </row>
    <row r="20">
      <c r="A20" s="1" t="s">
        <v>17</v>
      </c>
      <c r="B20" s="6"/>
    </row>
  </sheetData>
  <hyperlinks>
    <hyperlink r:id="rId1" ref="A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75"/>
    <col customWidth="1" min="3" max="3" width="8.63"/>
    <col customWidth="1" min="4" max="4" width="8.5"/>
    <col customWidth="1" min="5" max="5" width="14.63"/>
    <col customWidth="1" min="6" max="6" width="8.5"/>
    <col customWidth="1" min="7" max="8" width="6.63"/>
    <col customWidth="1" min="9" max="9" width="8.5"/>
    <col customWidth="1" min="10" max="10" width="8.88"/>
    <col customWidth="1" min="11" max="11" width="9.5"/>
    <col customWidth="1" min="12" max="12" width="10.5"/>
    <col customWidth="1" min="13" max="13" width="10.38"/>
    <col customWidth="1" min="14" max="14" width="11.63"/>
    <col customWidth="1" min="15" max="15" width="12.88"/>
    <col customWidth="1" min="16" max="16" width="10.5"/>
    <col customWidth="1" min="17" max="17" width="10.38"/>
    <col customWidth="1" min="18" max="18" width="11.63"/>
    <col customWidth="1" min="19" max="19" width="12.88"/>
    <col customWidth="1" min="20" max="20" width="10.13"/>
    <col customWidth="1" min="21" max="21" width="11.88"/>
    <col customWidth="1" min="22" max="22" width="11.13"/>
    <col customWidth="1" min="23" max="23" width="10.0"/>
    <col customWidth="1" min="24" max="24" width="10.13"/>
    <col customWidth="1" min="25" max="25" width="11.88"/>
    <col customWidth="1" min="26" max="26" width="15.0"/>
    <col customWidth="1" min="27" max="27" width="8.25"/>
    <col customWidth="1" min="28" max="28" width="10.0"/>
    <col customWidth="1" min="29" max="29" width="10.13"/>
    <col customWidth="1" min="30" max="30" width="15.0"/>
    <col customWidth="1" min="31" max="31" width="12.13"/>
    <col customWidth="1" min="32" max="32" width="11.25"/>
    <col customWidth="1" min="33" max="33" width="11.13"/>
    <col customWidth="1" min="34" max="34" width="11.5"/>
    <col customWidth="1" min="35" max="35" width="12.13"/>
    <col customWidth="1" min="36" max="36" width="11.25"/>
    <col customWidth="1" min="37" max="37" width="11.13"/>
    <col customWidth="1" min="38" max="38" width="11.5"/>
    <col customWidth="1" min="39" max="39" width="10.75"/>
    <col customWidth="1" min="40" max="40" width="11.0"/>
    <col customWidth="1" min="41" max="41" width="9.38"/>
    <col customWidth="1" min="42" max="42" width="9.63"/>
    <col customWidth="1" min="43" max="43" width="13.63"/>
  </cols>
  <sheetData>
    <row r="1">
      <c r="E1" s="1" t="s">
        <v>18</v>
      </c>
      <c r="AQ1" s="7"/>
    </row>
    <row r="2">
      <c r="AM2" s="8"/>
      <c r="AN2" s="8"/>
      <c r="AO2" s="8"/>
      <c r="AP2" s="8"/>
      <c r="AQ2" s="9"/>
    </row>
    <row r="3">
      <c r="AQ3" s="7"/>
    </row>
    <row r="4">
      <c r="B4" s="10"/>
      <c r="C4" s="11">
        <v>0.03</v>
      </c>
      <c r="D4" s="11">
        <v>0.05</v>
      </c>
      <c r="E4" s="11">
        <v>0.02</v>
      </c>
      <c r="F4" s="11">
        <v>0.05</v>
      </c>
      <c r="G4" s="11">
        <v>0.05</v>
      </c>
      <c r="H4" s="11">
        <v>0.04</v>
      </c>
      <c r="I4" s="11">
        <v>0.05</v>
      </c>
      <c r="J4" s="12">
        <v>0.0</v>
      </c>
      <c r="K4" s="11">
        <v>0.0</v>
      </c>
      <c r="L4" s="11">
        <v>0.05</v>
      </c>
      <c r="M4" s="11">
        <v>0.05</v>
      </c>
      <c r="N4" s="11">
        <v>0.05</v>
      </c>
      <c r="O4" s="12">
        <v>6.0</v>
      </c>
      <c r="P4" s="11">
        <v>0.05</v>
      </c>
      <c r="Q4" s="11">
        <v>0.05</v>
      </c>
      <c r="R4" s="11">
        <v>0.06</v>
      </c>
      <c r="S4" s="11">
        <v>0.07</v>
      </c>
      <c r="T4" s="11">
        <v>0.08</v>
      </c>
      <c r="U4" s="11">
        <v>0.09</v>
      </c>
      <c r="V4" s="11">
        <v>0.1</v>
      </c>
      <c r="W4" s="11">
        <v>0.04</v>
      </c>
      <c r="X4" s="11">
        <v>0.03</v>
      </c>
      <c r="Y4" s="11">
        <v>0.06</v>
      </c>
      <c r="Z4" s="11">
        <v>0.02</v>
      </c>
      <c r="AA4" s="11">
        <v>0.04</v>
      </c>
      <c r="AB4" s="11">
        <v>0.015</v>
      </c>
      <c r="AC4" s="11">
        <v>0.015</v>
      </c>
      <c r="AD4" s="11">
        <v>0.015</v>
      </c>
      <c r="AE4" s="11">
        <v>0.05</v>
      </c>
      <c r="AF4" s="11">
        <v>0.05</v>
      </c>
      <c r="AG4" s="11">
        <v>0.01</v>
      </c>
      <c r="AH4" s="11">
        <v>0.05</v>
      </c>
      <c r="AI4" s="11">
        <v>0.05</v>
      </c>
      <c r="AJ4" s="11">
        <v>0.05</v>
      </c>
      <c r="AK4" s="11">
        <v>0.06</v>
      </c>
      <c r="AL4" s="11">
        <v>0.02</v>
      </c>
      <c r="AQ4" s="7"/>
    </row>
    <row r="5">
      <c r="B5" s="10"/>
      <c r="C5" s="13"/>
      <c r="D5" s="13"/>
      <c r="E5" s="13"/>
      <c r="F5" s="14"/>
      <c r="G5" s="13"/>
      <c r="H5" s="13"/>
      <c r="I5" s="13"/>
      <c r="J5" s="13"/>
      <c r="K5" s="13"/>
      <c r="L5" s="13"/>
      <c r="M5" s="15">
        <f>98-(((TotalTournamentAverages!J6/MassFormulaTesting!$B$28)*0.68)+0.3)</f>
        <v>97.63955556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Q5" s="7"/>
    </row>
    <row r="6">
      <c r="B6" s="10"/>
      <c r="C6" s="14">
        <v>0.1</v>
      </c>
      <c r="D6" s="14">
        <v>0.04</v>
      </c>
      <c r="E6" s="14">
        <v>0.03</v>
      </c>
      <c r="F6" s="14">
        <v>0.02</v>
      </c>
      <c r="G6" s="14">
        <v>0.06</v>
      </c>
      <c r="H6" s="14">
        <v>0.03</v>
      </c>
      <c r="I6" s="16">
        <v>5.0</v>
      </c>
      <c r="J6" s="14">
        <v>0.0</v>
      </c>
      <c r="K6" s="14">
        <v>0.0</v>
      </c>
      <c r="L6" s="14">
        <v>0.01</v>
      </c>
      <c r="M6" s="14">
        <v>0.08</v>
      </c>
      <c r="N6" s="14">
        <v>0.06</v>
      </c>
      <c r="O6" s="14">
        <v>0.03</v>
      </c>
      <c r="P6" s="14">
        <v>0.07</v>
      </c>
      <c r="Q6" s="14">
        <v>0.08</v>
      </c>
      <c r="R6" s="14">
        <v>0.05</v>
      </c>
      <c r="S6" s="14">
        <v>0.03</v>
      </c>
      <c r="T6" s="14">
        <v>0.02</v>
      </c>
      <c r="U6" s="14">
        <v>0.02</v>
      </c>
      <c r="V6" s="14">
        <v>0.02</v>
      </c>
      <c r="W6" s="14">
        <v>0.04</v>
      </c>
      <c r="X6" s="14">
        <v>0.02</v>
      </c>
      <c r="Y6" s="14">
        <v>0.02</v>
      </c>
      <c r="Z6" s="14">
        <v>0.04</v>
      </c>
      <c r="AA6" s="14">
        <v>0.05</v>
      </c>
      <c r="AB6" s="14">
        <v>0.02</v>
      </c>
      <c r="AC6" s="14">
        <v>0.01</v>
      </c>
      <c r="AD6" s="14">
        <v>0.01</v>
      </c>
      <c r="AE6" s="14">
        <v>0.05</v>
      </c>
      <c r="AF6" s="14">
        <v>0.05</v>
      </c>
      <c r="AG6" s="14">
        <v>0.01</v>
      </c>
      <c r="AH6" s="14">
        <v>0.05</v>
      </c>
      <c r="AI6" s="14">
        <v>0.04</v>
      </c>
      <c r="AJ6" s="14">
        <v>0.02</v>
      </c>
      <c r="AK6" s="14">
        <v>0.03</v>
      </c>
      <c r="AL6" s="14">
        <v>0.01</v>
      </c>
      <c r="AQ6" s="7"/>
    </row>
    <row r="7">
      <c r="A7" s="17"/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7"/>
      <c r="AN7" s="17"/>
      <c r="AO7" s="17"/>
      <c r="AP7" s="17"/>
      <c r="AQ7" s="7"/>
    </row>
    <row r="8">
      <c r="A8" s="17"/>
      <c r="B8" s="18"/>
      <c r="C8" s="19"/>
      <c r="D8" s="20"/>
      <c r="E8" s="20"/>
      <c r="F8" s="20"/>
      <c r="G8" s="20"/>
      <c r="H8" s="20"/>
      <c r="I8" s="20"/>
      <c r="J8" s="19"/>
      <c r="K8" s="21" t="s">
        <v>19</v>
      </c>
      <c r="L8" s="19"/>
      <c r="M8" s="19"/>
      <c r="N8" s="22"/>
      <c r="O8" s="22"/>
      <c r="P8" s="22"/>
      <c r="Q8" s="22"/>
      <c r="R8" s="22"/>
      <c r="S8" s="22"/>
      <c r="T8" s="22"/>
      <c r="U8" s="22"/>
      <c r="V8" s="22"/>
      <c r="W8" s="19"/>
      <c r="X8" s="19"/>
      <c r="Y8" s="19"/>
      <c r="Z8" s="19"/>
      <c r="AA8" s="19"/>
      <c r="AB8" s="23"/>
      <c r="AC8" s="19"/>
      <c r="AD8" s="19"/>
      <c r="AE8" s="23"/>
      <c r="AF8" s="23"/>
      <c r="AG8" s="19"/>
      <c r="AH8" s="23"/>
      <c r="AI8" s="23"/>
      <c r="AJ8" s="23"/>
      <c r="AK8" s="23"/>
      <c r="AL8" s="19"/>
      <c r="AM8" s="17"/>
      <c r="AN8" s="17"/>
      <c r="AO8" s="17"/>
      <c r="AP8" s="17"/>
      <c r="AQ8" s="7"/>
    </row>
    <row r="9">
      <c r="A9" s="17"/>
      <c r="B9" s="21" t="s">
        <v>19</v>
      </c>
      <c r="C9" s="24" t="s">
        <v>20</v>
      </c>
      <c r="D9" s="24" t="s">
        <v>21</v>
      </c>
      <c r="E9" s="24" t="s">
        <v>22</v>
      </c>
      <c r="F9" s="24" t="s">
        <v>23</v>
      </c>
      <c r="G9" s="24" t="s">
        <v>24</v>
      </c>
      <c r="H9" s="24" t="s">
        <v>25</v>
      </c>
      <c r="I9" s="24" t="s">
        <v>26</v>
      </c>
      <c r="J9" s="24" t="s">
        <v>27</v>
      </c>
      <c r="K9" s="24" t="s">
        <v>28</v>
      </c>
      <c r="L9" s="24" t="s">
        <v>29</v>
      </c>
      <c r="M9" s="24" t="s">
        <v>30</v>
      </c>
      <c r="N9" s="24" t="s">
        <v>31</v>
      </c>
      <c r="O9" s="24" t="s">
        <v>32</v>
      </c>
      <c r="P9" s="24" t="s">
        <v>33</v>
      </c>
      <c r="Q9" s="24" t="s">
        <v>34</v>
      </c>
      <c r="R9" s="24" t="s">
        <v>35</v>
      </c>
      <c r="S9" s="24" t="s">
        <v>36</v>
      </c>
      <c r="T9" s="24" t="s">
        <v>37</v>
      </c>
      <c r="U9" s="24" t="s">
        <v>38</v>
      </c>
      <c r="V9" s="24" t="s">
        <v>39</v>
      </c>
      <c r="W9" s="24" t="s">
        <v>40</v>
      </c>
      <c r="X9" s="24" t="s">
        <v>41</v>
      </c>
      <c r="Y9" s="24" t="s">
        <v>42</v>
      </c>
      <c r="Z9" s="24" t="s">
        <v>43</v>
      </c>
      <c r="AA9" s="24" t="s">
        <v>44</v>
      </c>
      <c r="AB9" s="24" t="s">
        <v>45</v>
      </c>
      <c r="AC9" s="24" t="s">
        <v>46</v>
      </c>
      <c r="AD9" s="24" t="s">
        <v>47</v>
      </c>
      <c r="AE9" s="24" t="s">
        <v>48</v>
      </c>
      <c r="AF9" s="24" t="s">
        <v>49</v>
      </c>
      <c r="AG9" s="24" t="s">
        <v>50</v>
      </c>
      <c r="AH9" s="24" t="s">
        <v>51</v>
      </c>
      <c r="AI9" s="24" t="s">
        <v>52</v>
      </c>
      <c r="AJ9" s="24" t="s">
        <v>53</v>
      </c>
      <c r="AK9" s="24" t="s">
        <v>54</v>
      </c>
      <c r="AL9" s="24" t="s">
        <v>55</v>
      </c>
      <c r="AM9" s="7"/>
      <c r="AN9" s="7"/>
      <c r="AO9" s="7"/>
      <c r="AP9" s="7"/>
      <c r="AQ9" s="7"/>
    </row>
    <row r="10">
      <c r="A10" s="25" t="s">
        <v>56</v>
      </c>
      <c r="B10" s="26">
        <f>SUM(C10:AL10)</f>
        <v>127</v>
      </c>
      <c r="C10" s="26">
        <v>10.0</v>
      </c>
      <c r="D10" s="26">
        <v>4.0</v>
      </c>
      <c r="E10" s="26">
        <v>3.0</v>
      </c>
      <c r="F10" s="26">
        <v>2.0</v>
      </c>
      <c r="G10" s="26">
        <v>3.0</v>
      </c>
      <c r="H10" s="26">
        <v>6.0</v>
      </c>
      <c r="I10" s="26">
        <v>5.0</v>
      </c>
      <c r="J10" s="26">
        <v>0.0</v>
      </c>
      <c r="K10" s="26">
        <v>0.0</v>
      </c>
      <c r="L10" s="26">
        <v>1.0</v>
      </c>
      <c r="M10" s="26">
        <v>8.0</v>
      </c>
      <c r="N10" s="26">
        <v>6.0</v>
      </c>
      <c r="O10" s="26">
        <v>3.0</v>
      </c>
      <c r="P10" s="26">
        <v>7.0</v>
      </c>
      <c r="Q10" s="26">
        <v>8.0</v>
      </c>
      <c r="R10" s="26">
        <v>5.0</v>
      </c>
      <c r="S10" s="26">
        <v>3.0</v>
      </c>
      <c r="T10" s="26">
        <v>2.0</v>
      </c>
      <c r="U10" s="26">
        <v>2.0</v>
      </c>
      <c r="V10" s="26">
        <v>2.0</v>
      </c>
      <c r="W10" s="26">
        <v>4.0</v>
      </c>
      <c r="X10" s="26">
        <v>2.0</v>
      </c>
      <c r="Y10" s="26">
        <v>2.0</v>
      </c>
      <c r="Z10" s="26">
        <v>4.0</v>
      </c>
      <c r="AA10" s="26">
        <v>5.0</v>
      </c>
      <c r="AB10" s="26">
        <v>2.0</v>
      </c>
      <c r="AC10" s="26">
        <v>1.0</v>
      </c>
      <c r="AD10" s="26">
        <v>1.0</v>
      </c>
      <c r="AE10" s="26">
        <v>5.0</v>
      </c>
      <c r="AF10" s="26">
        <v>5.0</v>
      </c>
      <c r="AG10" s="26">
        <v>1.0</v>
      </c>
      <c r="AH10" s="26">
        <v>5.0</v>
      </c>
      <c r="AI10" s="26">
        <v>4.0</v>
      </c>
      <c r="AJ10" s="26">
        <v>2.0</v>
      </c>
      <c r="AK10" s="26">
        <v>3.0</v>
      </c>
      <c r="AL10" s="27">
        <v>1.0</v>
      </c>
      <c r="AM10" s="28"/>
      <c r="AN10" s="28"/>
      <c r="AO10" s="28"/>
      <c r="AP10" s="28"/>
      <c r="AQ10" s="29"/>
    </row>
    <row r="11">
      <c r="A11" s="17"/>
      <c r="B11" s="1" t="s">
        <v>57</v>
      </c>
      <c r="C11" s="17"/>
      <c r="D11" s="7"/>
      <c r="E11" s="9"/>
      <c r="F11" s="9"/>
      <c r="G11" s="30" t="s">
        <v>20</v>
      </c>
      <c r="H11" s="30" t="s">
        <v>21</v>
      </c>
      <c r="I11" s="30" t="s">
        <v>22</v>
      </c>
      <c r="J11" s="30" t="s">
        <v>23</v>
      </c>
      <c r="K11" s="30" t="s">
        <v>24</v>
      </c>
      <c r="L11" s="30" t="s">
        <v>25</v>
      </c>
      <c r="M11" s="30" t="s">
        <v>26</v>
      </c>
      <c r="N11" s="30" t="s">
        <v>27</v>
      </c>
      <c r="O11" s="30" t="s">
        <v>28</v>
      </c>
      <c r="P11" s="30" t="s">
        <v>29</v>
      </c>
      <c r="Q11" s="30" t="s">
        <v>30</v>
      </c>
      <c r="R11" s="30" t="s">
        <v>31</v>
      </c>
      <c r="S11" s="30" t="s">
        <v>32</v>
      </c>
      <c r="T11" s="30" t="s">
        <v>33</v>
      </c>
      <c r="U11" s="30" t="s">
        <v>34</v>
      </c>
      <c r="V11" s="30" t="s">
        <v>35</v>
      </c>
      <c r="W11" s="30" t="s">
        <v>36</v>
      </c>
      <c r="X11" s="30" t="s">
        <v>37</v>
      </c>
      <c r="Y11" s="30" t="s">
        <v>38</v>
      </c>
      <c r="Z11" s="30" t="s">
        <v>39</v>
      </c>
      <c r="AA11" s="30" t="s">
        <v>40</v>
      </c>
      <c r="AB11" s="30" t="s">
        <v>41</v>
      </c>
      <c r="AC11" s="30" t="s">
        <v>42</v>
      </c>
      <c r="AD11" s="30" t="s">
        <v>43</v>
      </c>
      <c r="AE11" s="30" t="s">
        <v>44</v>
      </c>
      <c r="AF11" s="30" t="s">
        <v>45</v>
      </c>
      <c r="AG11" s="30" t="s">
        <v>46</v>
      </c>
      <c r="AH11" s="30" t="s">
        <v>47</v>
      </c>
      <c r="AI11" s="30" t="s">
        <v>48</v>
      </c>
      <c r="AJ11" s="30" t="s">
        <v>49</v>
      </c>
      <c r="AK11" s="30" t="s">
        <v>50</v>
      </c>
      <c r="AL11" s="30" t="s">
        <v>51</v>
      </c>
      <c r="AM11" s="30" t="s">
        <v>52</v>
      </c>
      <c r="AN11" s="30" t="s">
        <v>53</v>
      </c>
      <c r="AO11" s="30" t="s">
        <v>54</v>
      </c>
      <c r="AP11" s="30" t="s">
        <v>55</v>
      </c>
      <c r="AQ11" s="7"/>
    </row>
    <row r="12">
      <c r="A12" s="17"/>
      <c r="B12" s="31"/>
      <c r="C12" s="32" t="s">
        <v>58</v>
      </c>
      <c r="D12" s="33">
        <f>(MAX(F13:F57)-MIN(F13:F57))</f>
        <v>0</v>
      </c>
      <c r="E12" s="34" t="s">
        <v>59</v>
      </c>
      <c r="F12" s="35">
        <f>((((G12*C$10)+(H12*D$10)+(I12*E$10)+(J12*F$10)+(K12*G$10)+(L12*H$10)+(M12*I$10)+(N12*J$10)+(O12*K$10)+(P12*L$10)+(Q12*M$10)+(R12*N$10)+(S12*O$10)+(T12*P$10)+(U12*Q$10)+(V12*R$10)+(W12*S$10)+(X12*T$10)+(Y12*U$10)+(Z12*V$10)+(AA12*W$10)+(AB12*X$10)+(AC12*Y$10)+(AD12*Z$10)+(AE12*AA$10)+(AF12*AB$10)+(AG12*AC$10)+(AH12*AD$10)+(AI12*AE$10)+(AJ12*AF$10)+(AK12*AG$10)+(AL12*AH$10)+(AM12*AI$10)+(AN12*AJ$10)+(AO12*AK$10)+(AP12*AL$10))))</f>
        <v>124.2657143</v>
      </c>
      <c r="G12" s="36">
        <f>((3.4/MassFormulaTesting!$B$16)*0.68)+0.3</f>
        <v>0.9605714286</v>
      </c>
      <c r="H12" s="37">
        <v>0.98</v>
      </c>
      <c r="I12" s="37">
        <v>0.98</v>
      </c>
      <c r="J12" s="37">
        <v>0.98</v>
      </c>
      <c r="K12" s="37">
        <v>0.98</v>
      </c>
      <c r="L12" s="37">
        <v>0.98</v>
      </c>
      <c r="M12" s="37">
        <v>0.98</v>
      </c>
      <c r="N12" s="37">
        <v>0.98</v>
      </c>
      <c r="O12" s="37">
        <v>0.98</v>
      </c>
      <c r="P12" s="37">
        <v>0.98</v>
      </c>
      <c r="Q12" s="37">
        <v>0.98</v>
      </c>
      <c r="R12" s="37">
        <v>0.98</v>
      </c>
      <c r="S12" s="37">
        <v>0.98</v>
      </c>
      <c r="T12" s="37">
        <v>0.98</v>
      </c>
      <c r="U12" s="37">
        <v>0.98</v>
      </c>
      <c r="V12" s="37">
        <v>0.98</v>
      </c>
      <c r="W12" s="37">
        <v>0.98</v>
      </c>
      <c r="X12" s="37">
        <v>0.98</v>
      </c>
      <c r="Y12" s="37">
        <v>0.98</v>
      </c>
      <c r="Z12" s="37">
        <v>0.98</v>
      </c>
      <c r="AA12" s="37">
        <v>0.98</v>
      </c>
      <c r="AB12" s="37">
        <v>0.98</v>
      </c>
      <c r="AC12" s="37">
        <v>0.98</v>
      </c>
      <c r="AD12" s="37">
        <v>0.98</v>
      </c>
      <c r="AE12" s="37">
        <v>0.98</v>
      </c>
      <c r="AF12" s="37">
        <v>0.98</v>
      </c>
      <c r="AG12" s="37">
        <v>0.98</v>
      </c>
      <c r="AH12" s="37">
        <v>0.98</v>
      </c>
      <c r="AI12" s="37">
        <v>0.98</v>
      </c>
      <c r="AJ12" s="37">
        <v>0.98</v>
      </c>
      <c r="AK12" s="37">
        <v>0.98</v>
      </c>
      <c r="AL12" s="37">
        <v>0.98</v>
      </c>
      <c r="AM12" s="37">
        <v>0.98</v>
      </c>
      <c r="AN12" s="37">
        <v>0.98</v>
      </c>
      <c r="AO12" s="37">
        <v>0.98</v>
      </c>
      <c r="AP12" s="38">
        <v>0.98</v>
      </c>
      <c r="AQ12" s="7"/>
    </row>
    <row r="13">
      <c r="A13" s="7"/>
      <c r="B13" s="7"/>
      <c r="C13" s="39">
        <f>MIN(F13:F57)</f>
        <v>0.3</v>
      </c>
      <c r="D13" s="40" t="str">
        <f t="shared" ref="D13:D56" si="1">(((F13-$C$13)/$D$12)*0.68)+0.3</f>
        <v>#DIV/0!</v>
      </c>
      <c r="E13" s="41" t="str">
        <f>TotalTournamentAverages!A5</f>
        <v/>
      </c>
      <c r="F13" s="42">
        <f>(IFERROR(((G13*C$10)+(H13*D$10)+(I13*E$10)+(J13*F$10)+(K13*G$10)+(L13*H$10)+(M13*I$10)+(N13*J$10)+(O13*K$10)+(P13*L$10)+(Q13*M$10)+(R13*N$10)+(S13*O$10)+(T13*P$10)+(U13*Q$10)+(V13*R$10)+(W13*S$10)+(X13*T$10)+(Y13*U$10)+(Z13*V$10)+(AA13*W$10)+(AB13*X$10)+(AC13*Y$10)+(AD13*Z$10)+(AE13*AA$10)+(AF13*AB$10)+(AG13*AC$10)+(AH13*AD$10)+(AI13*AE$10)+(AJ13*AF$10)+(AK13*AG$10)+(AL13*AH$10)+(AM13*AI$10)+(AN13*AJ$10)+(AO13*AK$10)+(AP13*AL$10))/F$12,"")*0.68)+0.3</f>
        <v>0.3</v>
      </c>
      <c r="G13" s="43">
        <f>((TotalTournamentAverages!D5/MassFormulaTesting!$B$16)*0.68)+0.3</f>
        <v>0.3</v>
      </c>
      <c r="H13" s="43">
        <f>((TotalTournamentAverages!E5/MassFormulaTesting!$B$18)*0.68)+0.3</f>
        <v>0.3</v>
      </c>
      <c r="I13" s="43">
        <f>((TotalTournamentAverages!F5/MassFormulaTesting!$B$20)*0.68)+0.3</f>
        <v>0.3</v>
      </c>
      <c r="J13" s="43">
        <f>(IFERROR(MassFormulaTesting!$C$22/TotalTournamentAverages!G5,"")*0.68)+0.3</f>
        <v>0.3</v>
      </c>
      <c r="K13" s="44">
        <f>(((TotalTournamentAverages!H5+118)/(MassFormulaTesting!$B$24+118))*0.68)+0.3</f>
        <v>0.8270279146</v>
      </c>
      <c r="L13" s="43">
        <f>((TotalTournamentAverages!I5/MassFormulaTesting!$B$26)*0.68)+0.3</f>
        <v>0.3</v>
      </c>
      <c r="M13" s="43">
        <f>((0.98-(TotalTournamentAverages!J5/MassFormulaTesting!$B$28)*0.68))</f>
        <v>0.98</v>
      </c>
      <c r="N13" s="43">
        <f>((TotalTournamentAverages!K5/MassFormulaTesting!$B$30)*0.68)+0.3</f>
        <v>0.3</v>
      </c>
      <c r="O13" s="43">
        <f>((TotalTournamentAverages!L5/MassFormulaTesting!$B$32)*0.68)+0.3</f>
        <v>0.3</v>
      </c>
      <c r="P13" s="43">
        <f>((TotalTournamentAverages!M5/MassFormulaTesting!$B$34)*0.68)+0.3</f>
        <v>0.3</v>
      </c>
      <c r="Q13" s="43">
        <f>((TotalTournamentAverages!N5/MassFormulaTesting!$B$36)*0.68)+0.3</f>
        <v>0.3</v>
      </c>
      <c r="R13" s="43">
        <f>((TotalTournamentAverages!O5/MassFormulaTesting!$B$38)*0.68)+0.3</f>
        <v>0.3</v>
      </c>
      <c r="S13" s="43">
        <f>(IFERROR(TotalTournamentAverages!P5/MassFormulaTesting!$B$40,"")*0.68)+0.3</f>
        <v>0.3</v>
      </c>
      <c r="T13" s="43">
        <f>((TotalTournamentAverages!T5/MassFormulaTesting!$B$48)*0.68)+0.3</f>
        <v>0.3</v>
      </c>
      <c r="U13" s="43">
        <f>((TotalTournamentAverages!U5/MassFormulaTesting!$B$50)*0.68)+0.3</f>
        <v>0.3</v>
      </c>
      <c r="V13" s="43">
        <f>((TotalTournamentAverages!V5/MassFormulaTesting!$B$52)*0.68)+0.3</f>
        <v>0.3</v>
      </c>
      <c r="W13" s="43">
        <f>(IFERROR(TotalTournamentAverages!W5/MassFormulaTesting!$B$54,"")*0.68)+0.3</f>
        <v>0.3</v>
      </c>
      <c r="X13" s="43">
        <f>(IFERROR(TotalTournamentAverages!X5/MassFormulaTesting!$B$56,"")*0.68)+0.3</f>
        <v>0.3</v>
      </c>
      <c r="Y13" s="43">
        <f>(IFERROR(TotalTournamentAverages!Y5/MassFormulaTesting!$B$58,"")*0.68)+0.3</f>
        <v>0.3</v>
      </c>
      <c r="Z13" s="43">
        <f>(IFERROR(TotalTournamentAverages!Z5/MassFormulaTesting!$B$60,"")*0.68)+0.3</f>
        <v>0.3</v>
      </c>
      <c r="AA13" s="43">
        <f>((TotalTournamentAverages!AD5/MassFormulaTesting!$B$68)*0.68)+0.3</f>
        <v>0.3</v>
      </c>
      <c r="AB13" s="43" t="str">
        <f>((TotalTournamentAverages!AG5/MassFormulaTesting!$B$74)*0.68)+0.3</f>
        <v>#DIV/0!</v>
      </c>
      <c r="AC13" s="43" t="str">
        <f>((TotalTournamentAverages!AH5/MassFormulaTesting!$B$76)*0.68)+0.3</f>
        <v>#DIV/0!</v>
      </c>
      <c r="AD13" s="43" t="str">
        <f>((TotalTournamentAverages!AK5/MassFormulaTesting!$B$82)*0.68)+0.3</f>
        <v>#DIV/0!</v>
      </c>
      <c r="AE13" s="43" t="str">
        <f>((TotalTournamentAverages!AL5/MassFormulaTesting!$B$84)*0.68)+0.3</f>
        <v>#DIV/0!</v>
      </c>
      <c r="AF13" s="43" t="str">
        <f>((TotalTournamentAverages!AM5/MassFormulaTesting!$B$86)*0.68)+0.3</f>
        <v>#DIV/0!</v>
      </c>
      <c r="AG13" s="43" t="str">
        <f>((TotalTournamentAverages!AN5/MassFormulaTesting!$B$88)*0.68)+0.3</f>
        <v>#DIV/0!</v>
      </c>
      <c r="AH13" s="43" t="str">
        <f>((TotalTournamentAverages!AO5/MassFormulaTesting!$B$90)*0.68)+0.3</f>
        <v>#DIV/0!</v>
      </c>
      <c r="AI13" s="43" t="str">
        <f>((TotalTournamentAverages!AP5/MassFormulaTesting!$B$92)*0.68)+0.3</f>
        <v>#DIV/0!</v>
      </c>
      <c r="AJ13" s="43" t="str">
        <f>((TotalTournamentAverages!AQ5/MassFormulaTesting!$B$94)*0.68)+0.3</f>
        <v>#DIV/0!</v>
      </c>
      <c r="AK13" s="43" t="str">
        <f>((TotalTournamentAverages!AR5/MassFormulaTesting!$B$96)*0.68)+0.3</f>
        <v>#DIV/0!</v>
      </c>
      <c r="AL13" s="43" t="str">
        <f>((TotalTournamentAverages!AS5/MassFormulaTesting!$B$98)*0.68)+0.3</f>
        <v>#DIV/0!</v>
      </c>
      <c r="AM13" s="43" t="str">
        <f>((TotalTournamentAverages!AT5/MassFormulaTesting!$B$100)*0.68)+0.3</f>
        <v>#DIV/0!</v>
      </c>
      <c r="AN13" s="43" t="str">
        <f>((TotalTournamentAverages!AV5/MassFormulaTesting!$B$104)*0.68)+0.3</f>
        <v>#DIV/0!</v>
      </c>
      <c r="AO13" s="43" t="str">
        <f>((TotalTournamentAverages!AW5/MassFormulaTesting!$B$106)*0.68)+0.3</f>
        <v>#DIV/0!</v>
      </c>
      <c r="AP13" s="43" t="str">
        <f>((TotalTournamentAverages!AX5/MassFormulaTesting!$B$108)*0.68)+0.3</f>
        <v>#DIV/0!</v>
      </c>
      <c r="AQ13" s="7"/>
    </row>
    <row r="14">
      <c r="A14" s="16" t="s">
        <v>60</v>
      </c>
      <c r="C14" s="7"/>
      <c r="D14" s="40" t="str">
        <f t="shared" si="1"/>
        <v>#DIV/0!</v>
      </c>
      <c r="E14" s="45" t="str">
        <f>TotalTournamentAverages!A6</f>
        <v>ACE B S1lentND1</v>
      </c>
      <c r="F14" s="46">
        <f t="shared" ref="F14:F56" si="2">((IFERROR((G14*C$10)+(H14*D$10)+(I14*E$10)+(J14*F$10)+(K14*G$10)+(L14*H$10)+(M14*I$10)+(N14*J$10)+(O14*K$10)+(P14*L$10)+(Q14*M$10)+(R14*N$10)+(S14*O$10)+(T14*P$10)+(U14*Q$10)+(V14*R$10)+(W14*S$10)+(X14*T$10)+(Y14*U$10)+(Z14*V$10)+(AA14*W$10)+(AB14*X$10)+(AC14*Y$10)+(AD14*Z$10)+(AE14*AA$10)+(AF14*AB$10)+(AG14*AC$10)+(AH14*AD$10)+(AI14*AE$10)+(AJ14*AF$10)+(AK14*AG$10)+(AL14*AH$10)+(AM14*AI$10)+(AN14*AJ$10)+(AO14*AK$10)+(AP14*AL$10),"")/F$12)*0.68)+0.3</f>
        <v>0.3</v>
      </c>
      <c r="G14" s="47">
        <f>((TotalTournamentAverages!D6/MassFormulaTesting!$B$16)*0.68)+0.3</f>
        <v>0.4942857143</v>
      </c>
      <c r="H14" s="47">
        <f>((TotalTournamentAverages!E6/MassFormulaTesting!$B$18)*0.68)+0.3</f>
        <v>0.7479790026</v>
      </c>
      <c r="I14" s="47">
        <f>((TotalTournamentAverages!F6/MassFormulaTesting!$B$20)*0.68)+0.3</f>
        <v>0.64</v>
      </c>
      <c r="J14" s="47">
        <f>(IFERROR(MassFormulaTesting!$C$22/TotalTournamentAverages!G6,"")*0.68)+0.3</f>
        <v>0.5865168539</v>
      </c>
      <c r="K14" s="13">
        <f>(((TotalTournamentAverages!H6+118)/(MassFormulaTesting!$B$24+118))*0.68)+0.3</f>
        <v>0.9357088123</v>
      </c>
      <c r="L14" s="47">
        <f>((TotalTournamentAverages!I6/MassFormulaTesting!$B$26)*0.68)+0.3</f>
        <v>0.74</v>
      </c>
      <c r="M14" s="47">
        <f>((0.98-(TotalTournamentAverages!J6/MassFormulaTesting!$B$28)*0.68))</f>
        <v>0.9195555556</v>
      </c>
      <c r="N14" s="47">
        <f>((TotalTournamentAverages!K6/MassFormulaTesting!$B$30)*0.68)+0.3</f>
        <v>0.8342670258</v>
      </c>
      <c r="O14" s="47">
        <f>((TotalTournamentAverages!L6/MassFormulaTesting!$B$32)*0.68)+0.3</f>
        <v>0.8191536397</v>
      </c>
      <c r="P14" s="47">
        <f>((TotalTournamentAverages!M6/MassFormulaTesting!$B$34)*0.68)+0.3</f>
        <v>0.718989899</v>
      </c>
      <c r="Q14" s="47">
        <f>((TotalTournamentAverages!N6/MassFormulaTesting!$B$36)*0.68)+0.3</f>
        <v>0.8563636364</v>
      </c>
      <c r="R14" s="47">
        <f>((TotalTournamentAverages!O6/MassFormulaTesting!$B$38)*0.68)+0.3</f>
        <v>0.5266666667</v>
      </c>
      <c r="S14" s="47">
        <f>(IFERROR(TotalTournamentAverages!P6/MassFormulaTesting!$B$40,"")*0.68)+0.3</f>
        <v>0.3</v>
      </c>
      <c r="T14" s="47">
        <f>((TotalTournamentAverages!T6/MassFormulaTesting!$B$48)*0.68)+0.3</f>
        <v>0.5644444444</v>
      </c>
      <c r="U14" s="47">
        <f>((TotalTournamentAverages!U6/MassFormulaTesting!$B$50)*0.68)+0.3</f>
        <v>0.47</v>
      </c>
      <c r="V14" s="47">
        <f>((TotalTournamentAverages!V6/MassFormulaTesting!$B$52)*0.68)+0.3</f>
        <v>0.5266666667</v>
      </c>
      <c r="W14" s="47">
        <f>(IFERROR(TotalTournamentAverages!W6/MassFormulaTesting!$B$54,"")*0.68)+0.3</f>
        <v>0.3</v>
      </c>
      <c r="X14" s="47">
        <f>(IFERROR(TotalTournamentAverages!X6/MassFormulaTesting!$B$56,"")*0.68)+0.3</f>
        <v>0.3</v>
      </c>
      <c r="Y14" s="47">
        <f>(IFERROR(TotalTournamentAverages!Y6/MassFormulaTesting!$B$58,"")*0.68)+0.3</f>
        <v>0.3</v>
      </c>
      <c r="Z14" s="43">
        <f>(IFERROR(TotalTournamentAverages!Z6/MassFormulaTesting!$B$60,"")*0.68)+0.3</f>
        <v>0.3</v>
      </c>
      <c r="AA14" s="43">
        <f>((TotalTournamentAverages!AD6/MassFormulaTesting!$B$68)*0.68)+0.3</f>
        <v>0.3</v>
      </c>
      <c r="AB14" s="43" t="str">
        <f>((TotalTournamentAverages!AG6/MassFormulaTesting!$B$74)*0.68)+0.3</f>
        <v>#DIV/0!</v>
      </c>
      <c r="AC14" s="43" t="str">
        <f>((TotalTournamentAverages!AH6/MassFormulaTesting!$B$76)*0.68)+0.3</f>
        <v>#DIV/0!</v>
      </c>
      <c r="AD14" s="43" t="str">
        <f>((TotalTournamentAverages!AK6/MassFormulaTesting!$B$82)*0.68)+0.3</f>
        <v>#DIV/0!</v>
      </c>
      <c r="AE14" s="43" t="str">
        <f>((TotalTournamentAverages!AL6/MassFormulaTesting!$B$84)*0.68)+0.3</f>
        <v>#DIV/0!</v>
      </c>
      <c r="AF14" s="43" t="str">
        <f>((TotalTournamentAverages!AM6/MassFormulaTesting!$B$86)*0.68)+0.3</f>
        <v>#DIV/0!</v>
      </c>
      <c r="AG14" s="43" t="str">
        <f>((TotalTournamentAverages!AN6/MassFormulaTesting!$B$88)*0.68)+0.3</f>
        <v>#DIV/0!</v>
      </c>
      <c r="AH14" s="43" t="str">
        <f>((TotalTournamentAverages!AO6/MassFormulaTesting!$B$90)*0.68)+0.3</f>
        <v>#DIV/0!</v>
      </c>
      <c r="AI14" s="43" t="str">
        <f>((TotalTournamentAverages!AP6/MassFormulaTesting!$B$92)*0.68)+0.3</f>
        <v>#DIV/0!</v>
      </c>
      <c r="AJ14" s="43" t="str">
        <f>((TotalTournamentAverages!AQ6/MassFormulaTesting!$B$94)*0.68)+0.3</f>
        <v>#DIV/0!</v>
      </c>
      <c r="AK14" s="43" t="str">
        <f>((TotalTournamentAverages!AR6/MassFormulaTesting!$B$96)*0.68)+0.3</f>
        <v>#DIV/0!</v>
      </c>
      <c r="AL14" s="43" t="str">
        <f>((TotalTournamentAverages!AS6/MassFormulaTesting!$B$98)*0.68)+0.3</f>
        <v>#DIV/0!</v>
      </c>
      <c r="AM14" s="43" t="str">
        <f>((TotalTournamentAverages!AT6/MassFormulaTesting!$B$100)*0.68)+0.3</f>
        <v>#DIV/0!</v>
      </c>
      <c r="AN14" s="43" t="str">
        <f>((TotalTournamentAverages!AV6/MassFormulaTesting!$B$104)*0.68)+0.3</f>
        <v>#DIV/0!</v>
      </c>
      <c r="AO14" s="43" t="str">
        <f>((TotalTournamentAverages!AW6/MassFormulaTesting!$B$106)*0.68)+0.3</f>
        <v>#DIV/0!</v>
      </c>
      <c r="AP14" s="43" t="str">
        <f>((TotalTournamentAverages!AX6/MassFormulaTesting!$B$108)*0.68)+0.3</f>
        <v>#DIV/0!</v>
      </c>
      <c r="AQ14" s="7"/>
    </row>
    <row r="15">
      <c r="A15" s="48" t="str">
        <f>IFERROR(__xludf.DUMMYFUNCTION("Query(TotalTournamentAverages!A:AV,""Select A,D where A&lt;&gt;'' Order by D Desc Limit 1"")"),"OVERALL")</f>
        <v>OVERALL</v>
      </c>
      <c r="B15" s="49" t="str">
        <f>IFERROR(__xludf.DUMMYFUNCTION("""COMPUTED_VALUE"""),"avg Goals")</f>
        <v>avg Goals</v>
      </c>
      <c r="C15" s="7"/>
      <c r="D15" s="40" t="str">
        <f t="shared" si="1"/>
        <v>#DIV/0!</v>
      </c>
      <c r="E15" s="45" t="str">
        <f>TotalTournamentAverages!A7</f>
        <v>ADhillyy</v>
      </c>
      <c r="F15" s="46">
        <f t="shared" si="2"/>
        <v>0.3</v>
      </c>
      <c r="G15" s="47">
        <f>((TotalTournamentAverages!D7/MassFormulaTesting!$B$16)*0.68)+0.3</f>
        <v>0.3</v>
      </c>
      <c r="H15" s="47">
        <f>((TotalTournamentAverages!E7/MassFormulaTesting!$B$18)*0.68)+0.3</f>
        <v>0.4311811024</v>
      </c>
      <c r="I15" s="47">
        <f>((TotalTournamentAverages!F7/MassFormulaTesting!$B$20)*0.68)+0.3</f>
        <v>0.368</v>
      </c>
      <c r="J15" s="47">
        <f>(IFERROR(MassFormulaTesting!$C$22/TotalTournamentAverages!G7,"")*0.68)+0.3</f>
        <v>0.7857142857</v>
      </c>
      <c r="K15" s="13">
        <f>(((TotalTournamentAverages!H7+118)/(MassFormulaTesting!$B$24+118))*0.68)+0.3</f>
        <v>0.7801313629</v>
      </c>
      <c r="L15" s="47">
        <f>((TotalTournamentAverages!I7/MassFormulaTesting!$B$26)*0.68)+0.3</f>
        <v>0.48</v>
      </c>
      <c r="M15" s="47">
        <f>((0.98-(TotalTournamentAverages!J7/MassFormulaTesting!$B$28)*0.68))</f>
        <v>0.98</v>
      </c>
      <c r="N15" s="47">
        <f>((TotalTournamentAverages!K7/MassFormulaTesting!$B$30)*0.68)+0.3</f>
        <v>0.4569834552</v>
      </c>
      <c r="O15" s="47">
        <f>((TotalTournamentAverages!L7/MassFormulaTesting!$B$32)*0.68)+0.3</f>
        <v>0.4842539081</v>
      </c>
      <c r="P15" s="47">
        <f>((TotalTournamentAverages!M7/MassFormulaTesting!$B$34)*0.68)+0.3</f>
        <v>0.5163636364</v>
      </c>
      <c r="Q15" s="47">
        <f>((TotalTournamentAverages!N7/MassFormulaTesting!$B$36)*0.68)+0.3</f>
        <v>0.3</v>
      </c>
      <c r="R15" s="47">
        <f>((TotalTournamentAverages!O7/MassFormulaTesting!$B$38)*0.68)+0.3</f>
        <v>0.3</v>
      </c>
      <c r="S15" s="47">
        <f>(IFERROR(TotalTournamentAverages!P7/MassFormulaTesting!$B$40,"")*0.68)+0.3</f>
        <v>0.3</v>
      </c>
      <c r="T15" s="47">
        <f>((TotalTournamentAverages!T7/MassFormulaTesting!$B$48)*0.68)+0.3</f>
        <v>0.3566666667</v>
      </c>
      <c r="U15" s="47">
        <f>((TotalTournamentAverages!U7/MassFormulaTesting!$B$50)*0.68)+0.3</f>
        <v>0.3</v>
      </c>
      <c r="V15" s="47">
        <f>((TotalTournamentAverages!V7/MassFormulaTesting!$B$52)*0.68)+0.3</f>
        <v>0.3</v>
      </c>
      <c r="W15" s="47">
        <f>(IFERROR(TotalTournamentAverages!W7/MassFormulaTesting!$B$54,"")*0.68)+0.3</f>
        <v>0.3</v>
      </c>
      <c r="X15" s="47">
        <f>(IFERROR(TotalTournamentAverages!X7/MassFormulaTesting!$B$56,"")*0.68)+0.3</f>
        <v>0.3</v>
      </c>
      <c r="Y15" s="47">
        <f>(IFERROR(TotalTournamentAverages!Y7/MassFormulaTesting!$B$58,"")*0.68)+0.3</f>
        <v>0.3</v>
      </c>
      <c r="Z15" s="43">
        <f>(IFERROR(TotalTournamentAverages!Z7/MassFormulaTesting!$B$60,"")*0.68)+0.3</f>
        <v>0.3</v>
      </c>
      <c r="AA15" s="43">
        <f>((TotalTournamentAverages!AD7/MassFormulaTesting!$B$68)*0.68)+0.3</f>
        <v>0.3</v>
      </c>
      <c r="AB15" s="43" t="str">
        <f>((TotalTournamentAverages!AG7/MassFormulaTesting!$B$74)*0.68)+0.3</f>
        <v>#DIV/0!</v>
      </c>
      <c r="AC15" s="43" t="str">
        <f>((TotalTournamentAverages!AH7/MassFormulaTesting!$B$76)*0.68)+0.3</f>
        <v>#DIV/0!</v>
      </c>
      <c r="AD15" s="43" t="str">
        <f>((TotalTournamentAverages!AK7/MassFormulaTesting!$B$82)*0.68)+0.3</f>
        <v>#DIV/0!</v>
      </c>
      <c r="AE15" s="43" t="str">
        <f>((TotalTournamentAverages!AL7/MassFormulaTesting!$B$84)*0.68)+0.3</f>
        <v>#DIV/0!</v>
      </c>
      <c r="AF15" s="43" t="str">
        <f>((TotalTournamentAverages!AM7/MassFormulaTesting!$B$86)*0.68)+0.3</f>
        <v>#DIV/0!</v>
      </c>
      <c r="AG15" s="43" t="str">
        <f>((TotalTournamentAverages!AN7/MassFormulaTesting!$B$88)*0.68)+0.3</f>
        <v>#DIV/0!</v>
      </c>
      <c r="AH15" s="43" t="str">
        <f>((TotalTournamentAverages!AO7/MassFormulaTesting!$B$90)*0.68)+0.3</f>
        <v>#DIV/0!</v>
      </c>
      <c r="AI15" s="43" t="str">
        <f>((TotalTournamentAverages!AP7/MassFormulaTesting!$B$92)*0.68)+0.3</f>
        <v>#DIV/0!</v>
      </c>
      <c r="AJ15" s="43" t="str">
        <f>((TotalTournamentAverages!AQ7/MassFormulaTesting!$B$94)*0.68)+0.3</f>
        <v>#DIV/0!</v>
      </c>
      <c r="AK15" s="43" t="str">
        <f>((TotalTournamentAverages!AR7/MassFormulaTesting!$B$96)*0.68)+0.3</f>
        <v>#DIV/0!</v>
      </c>
      <c r="AL15" s="43" t="str">
        <f>((TotalTournamentAverages!AS7/MassFormulaTesting!$B$98)*0.68)+0.3</f>
        <v>#DIV/0!</v>
      </c>
      <c r="AM15" s="43" t="str">
        <f>((TotalTournamentAverages!AT7/MassFormulaTesting!$B$100)*0.68)+0.3</f>
        <v>#DIV/0!</v>
      </c>
      <c r="AN15" s="43" t="str">
        <f>((TotalTournamentAverages!AV7/MassFormulaTesting!$B$104)*0.68)+0.3</f>
        <v>#DIV/0!</v>
      </c>
      <c r="AO15" s="43" t="str">
        <f>((TotalTournamentAverages!AW7/MassFormulaTesting!$B$106)*0.68)+0.3</f>
        <v>#DIV/0!</v>
      </c>
      <c r="AP15" s="43" t="str">
        <f>((TotalTournamentAverages!AX7/MassFormulaTesting!$B$108)*0.68)+0.3</f>
        <v>#DIV/0!</v>
      </c>
      <c r="AQ15" s="7"/>
    </row>
    <row r="16">
      <c r="A16" s="50" t="str">
        <f>IFERROR(__xludf.DUMMYFUNCTION("""COMPUTED_VALUE"""),"yLuxe")</f>
        <v>yLuxe</v>
      </c>
      <c r="B16" s="51">
        <f>IFERROR(__xludf.DUMMYFUNCTION("""COMPUTED_VALUE"""),3.5)</f>
        <v>3.5</v>
      </c>
      <c r="C16" s="52"/>
      <c r="D16" s="40" t="str">
        <f t="shared" si="1"/>
        <v>#DIV/0!</v>
      </c>
      <c r="E16" s="45" t="str">
        <f>TotalTournamentAverages!A8</f>
        <v>Almighty Tycoon</v>
      </c>
      <c r="F16" s="46">
        <f t="shared" si="2"/>
        <v>0.3</v>
      </c>
      <c r="G16" s="47">
        <f>((TotalTournamentAverages!D8/MassFormulaTesting!$B$16)*0.68)+0.3</f>
        <v>0.3</v>
      </c>
      <c r="H16" s="47">
        <f>((TotalTournamentAverages!E8/MassFormulaTesting!$B$18)*0.68)+0.3</f>
        <v>0.5302362205</v>
      </c>
      <c r="I16" s="47">
        <f>((TotalTournamentAverages!F8/MassFormulaTesting!$B$20)*0.68)+0.3</f>
        <v>0.674</v>
      </c>
      <c r="J16" s="47">
        <f>(IFERROR(MassFormulaTesting!$C$22/TotalTournamentAverages!G8,"")*0.68)+0.3</f>
        <v>0.598245614</v>
      </c>
      <c r="K16" s="13">
        <f>(((TotalTournamentAverages!H8+118)/(MassFormulaTesting!$B$24+118))*0.68)+0.3</f>
        <v>0.764499179</v>
      </c>
      <c r="L16" s="47">
        <f>((TotalTournamentAverages!I8/MassFormulaTesting!$B$26)*0.68)+0.3</f>
        <v>0.51</v>
      </c>
      <c r="M16" s="47">
        <f>((0.98-(TotalTournamentAverages!J8/MassFormulaTesting!$B$28)*0.68))</f>
        <v>0.7986666667</v>
      </c>
      <c r="N16" s="47">
        <f>((TotalTournamentAverages!K8/MassFormulaTesting!$B$30)*0.68)+0.3</f>
        <v>0.5968949596</v>
      </c>
      <c r="O16" s="47">
        <f>((TotalTournamentAverages!L8/MassFormulaTesting!$B$32)*0.68)+0.3</f>
        <v>0.6224443392</v>
      </c>
      <c r="P16" s="47">
        <f>((TotalTournamentAverages!M8/MassFormulaTesting!$B$34)*0.68)+0.3</f>
        <v>0.5678787879</v>
      </c>
      <c r="Q16" s="47">
        <f>((TotalTournamentAverages!N8/MassFormulaTesting!$B$36)*0.68)+0.3</f>
        <v>0.3</v>
      </c>
      <c r="R16" s="47">
        <f>((TotalTournamentAverages!O8/MassFormulaTesting!$B$38)*0.68)+0.3</f>
        <v>0.3</v>
      </c>
      <c r="S16" s="47">
        <f>(IFERROR(TotalTournamentAverages!P8/MassFormulaTesting!$B$40,"")*0.68)+0.3</f>
        <v>0.3</v>
      </c>
      <c r="T16" s="47">
        <f>((TotalTournamentAverages!T8/MassFormulaTesting!$B$48)*0.68)+0.3</f>
        <v>0.3566666667</v>
      </c>
      <c r="U16" s="47">
        <f>((TotalTournamentAverages!U8/MassFormulaTesting!$B$50)*0.68)+0.3</f>
        <v>0.3</v>
      </c>
      <c r="V16" s="47">
        <f>((TotalTournamentAverages!V8/MassFormulaTesting!$B$52)*0.68)+0.3</f>
        <v>0.3</v>
      </c>
      <c r="W16" s="47">
        <f>(IFERROR(TotalTournamentAverages!W8/MassFormulaTesting!$B$54,"")*0.68)+0.3</f>
        <v>0.3</v>
      </c>
      <c r="X16" s="47">
        <f>(IFERROR(TotalTournamentAverages!X8/MassFormulaTesting!$B$56,"")*0.68)+0.3</f>
        <v>0.3</v>
      </c>
      <c r="Y16" s="47">
        <f>(IFERROR(TotalTournamentAverages!Y8/MassFormulaTesting!$B$58,"")*0.68)+0.3</f>
        <v>0.3</v>
      </c>
      <c r="Z16" s="43">
        <f>(IFERROR(TotalTournamentAverages!Z8/MassFormulaTesting!$B$60,"")*0.68)+0.3</f>
        <v>0.3</v>
      </c>
      <c r="AA16" s="43">
        <f>((TotalTournamentAverages!AD8/MassFormulaTesting!$B$68)*0.68)+0.3</f>
        <v>0.3</v>
      </c>
      <c r="AB16" s="43" t="str">
        <f>((TotalTournamentAverages!AG8/MassFormulaTesting!$B$74)*0.68)+0.3</f>
        <v>#DIV/0!</v>
      </c>
      <c r="AC16" s="43" t="str">
        <f>((TotalTournamentAverages!AH8/MassFormulaTesting!$B$76)*0.68)+0.3</f>
        <v>#DIV/0!</v>
      </c>
      <c r="AD16" s="43" t="str">
        <f>((TotalTournamentAverages!AK8/MassFormulaTesting!$B$82)*0.68)+0.3</f>
        <v>#DIV/0!</v>
      </c>
      <c r="AE16" s="43" t="str">
        <f>((TotalTournamentAverages!AL8/MassFormulaTesting!$B$84)*0.68)+0.3</f>
        <v>#DIV/0!</v>
      </c>
      <c r="AF16" s="43" t="str">
        <f>((TotalTournamentAverages!AM8/MassFormulaTesting!$B$86)*0.68)+0.3</f>
        <v>#DIV/0!</v>
      </c>
      <c r="AG16" s="43" t="str">
        <f>((TotalTournamentAverages!AN8/MassFormulaTesting!$B$88)*0.68)+0.3</f>
        <v>#DIV/0!</v>
      </c>
      <c r="AH16" s="43" t="str">
        <f>((TotalTournamentAverages!AO8/MassFormulaTesting!$B$90)*0.68)+0.3</f>
        <v>#DIV/0!</v>
      </c>
      <c r="AI16" s="43" t="str">
        <f>((TotalTournamentAverages!AP8/MassFormulaTesting!$B$92)*0.68)+0.3</f>
        <v>#DIV/0!</v>
      </c>
      <c r="AJ16" s="43" t="str">
        <f>((TotalTournamentAverages!AQ8/MassFormulaTesting!$B$94)*0.68)+0.3</f>
        <v>#DIV/0!</v>
      </c>
      <c r="AK16" s="43" t="str">
        <f>((TotalTournamentAverages!AR8/MassFormulaTesting!$B$96)*0.68)+0.3</f>
        <v>#DIV/0!</v>
      </c>
      <c r="AL16" s="43" t="str">
        <f>((TotalTournamentAverages!AS8/MassFormulaTesting!$B$98)*0.68)+0.3</f>
        <v>#DIV/0!</v>
      </c>
      <c r="AM16" s="43" t="str">
        <f>((TotalTournamentAverages!AT8/MassFormulaTesting!$B$100)*0.68)+0.3</f>
        <v>#DIV/0!</v>
      </c>
      <c r="AN16" s="43" t="str">
        <f>((TotalTournamentAverages!AV8/MassFormulaTesting!$B$104)*0.68)+0.3</f>
        <v>#DIV/0!</v>
      </c>
      <c r="AO16" s="43" t="str">
        <f>((TotalTournamentAverages!AW8/MassFormulaTesting!$B$106)*0.68)+0.3</f>
        <v>#DIV/0!</v>
      </c>
      <c r="AP16" s="43" t="str">
        <f>((TotalTournamentAverages!AX8/MassFormulaTesting!$B$108)*0.68)+0.3</f>
        <v>#DIV/0!</v>
      </c>
      <c r="AQ16" s="7"/>
    </row>
    <row r="17">
      <c r="A17" s="53" t="str">
        <f>IFERROR(__xludf.DUMMYFUNCTION("Query(TotalTournamentAverages!A:AV,""Select A,E where A&lt;&gt;'' Order by E Desc Limit 1"")"),"OVERALL")</f>
        <v>OVERALL</v>
      </c>
      <c r="B17" s="54" t="str">
        <f>IFERROR(__xludf.DUMMYFUNCTION("""COMPUTED_VALUE"""),"avg Kills")</f>
        <v>avg Kills</v>
      </c>
      <c r="C17" s="52"/>
      <c r="D17" s="40" t="str">
        <f t="shared" si="1"/>
        <v>#DIV/0!</v>
      </c>
      <c r="E17" s="45" t="str">
        <f>TotalTournamentAverages!A9</f>
        <v>AwareMosquito</v>
      </c>
      <c r="F17" s="46">
        <f t="shared" si="2"/>
        <v>0.3</v>
      </c>
      <c r="G17" s="47">
        <f>((TotalTournamentAverages!D9/MassFormulaTesting!$B$16)*0.68)+0.3</f>
        <v>0.3</v>
      </c>
      <c r="H17" s="47">
        <f>((TotalTournamentAverages!E9/MassFormulaTesting!$B$18)*0.68)+0.3</f>
        <v>0.6988976378</v>
      </c>
      <c r="I17" s="47">
        <f>((TotalTournamentAverages!F9/MassFormulaTesting!$B$20)*0.68)+0.3</f>
        <v>0.436</v>
      </c>
      <c r="J17" s="47">
        <f>(IFERROR(MassFormulaTesting!$C$22/TotalTournamentAverages!G9,"")*0.68)+0.3</f>
        <v>0.4666666667</v>
      </c>
      <c r="K17" s="13">
        <f>(((TotalTournamentAverages!H9+118)/(MassFormulaTesting!$B$24+118))*0.68)+0.3</f>
        <v>0.7042036125</v>
      </c>
      <c r="L17" s="47">
        <f>((TotalTournamentAverages!I9/MassFormulaTesting!$B$26)*0.68)+0.3</f>
        <v>0.525</v>
      </c>
      <c r="M17" s="47">
        <f>((0.98-(TotalTournamentAverages!J9/MassFormulaTesting!$B$28)*0.68))</f>
        <v>0.8893333333</v>
      </c>
      <c r="N17" s="47">
        <f>((TotalTournamentAverages!K9/MassFormulaTesting!$B$30)*0.68)+0.3</f>
        <v>0.7510330896</v>
      </c>
      <c r="O17" s="47">
        <f>((TotalTournamentAverages!L9/MassFormulaTesting!$B$32)*0.68)+0.3</f>
        <v>0.7927664614</v>
      </c>
      <c r="P17" s="47">
        <f>((TotalTournamentAverages!M9/MassFormulaTesting!$B$34)*0.68)+0.3</f>
        <v>0.5112121212</v>
      </c>
      <c r="Q17" s="47">
        <f>((TotalTournamentAverages!N9/MassFormulaTesting!$B$36)*0.68)+0.3</f>
        <v>0.3463636364</v>
      </c>
      <c r="R17" s="47">
        <f>((TotalTournamentAverages!O9/MassFormulaTesting!$B$38)*0.68)+0.3</f>
        <v>0.3</v>
      </c>
      <c r="S17" s="47">
        <f>(IFERROR(TotalTournamentAverages!P9/MassFormulaTesting!$B$40,"")*0.68)+0.3</f>
        <v>0.3</v>
      </c>
      <c r="T17" s="47">
        <f>((TotalTournamentAverages!T9/MassFormulaTesting!$B$48)*0.68)+0.3</f>
        <v>0.385</v>
      </c>
      <c r="U17" s="47">
        <f>((TotalTournamentAverages!U9/MassFormulaTesting!$B$50)*0.68)+0.3</f>
        <v>0.3</v>
      </c>
      <c r="V17" s="47">
        <f>((TotalTournamentAverages!V9/MassFormulaTesting!$B$52)*0.68)+0.3</f>
        <v>0.3</v>
      </c>
      <c r="W17" s="47">
        <f>(IFERROR(TotalTournamentAverages!W9/MassFormulaTesting!$B$54,"")*0.68)+0.3</f>
        <v>0.3</v>
      </c>
      <c r="X17" s="47">
        <f>(IFERROR(TotalTournamentAverages!X9/MassFormulaTesting!$B$56,"")*0.68)+0.3</f>
        <v>0.3</v>
      </c>
      <c r="Y17" s="47">
        <f>(IFERROR(TotalTournamentAverages!Y9/MassFormulaTesting!$B$58,"")*0.68)+0.3</f>
        <v>0.3</v>
      </c>
      <c r="Z17" s="43">
        <f>(IFERROR(TotalTournamentAverages!Z9/MassFormulaTesting!$B$60,"")*0.68)+0.3</f>
        <v>0.3</v>
      </c>
      <c r="AA17" s="43">
        <f>((TotalTournamentAverages!AD9/MassFormulaTesting!$B$68)*0.68)+0.3</f>
        <v>0.98</v>
      </c>
      <c r="AB17" s="43" t="str">
        <f>((TotalTournamentAverages!AG9/MassFormulaTesting!$B$74)*0.68)+0.3</f>
        <v>#DIV/0!</v>
      </c>
      <c r="AC17" s="43" t="str">
        <f>((TotalTournamentAverages!AH9/MassFormulaTesting!$B$76)*0.68)+0.3</f>
        <v>#DIV/0!</v>
      </c>
      <c r="AD17" s="43" t="str">
        <f>((TotalTournamentAverages!AK9/MassFormulaTesting!$B$82)*0.68)+0.3</f>
        <v>#DIV/0!</v>
      </c>
      <c r="AE17" s="43" t="str">
        <f>((TotalTournamentAverages!AL9/MassFormulaTesting!$B$84)*0.68)+0.3</f>
        <v>#DIV/0!</v>
      </c>
      <c r="AF17" s="43" t="str">
        <f>((TotalTournamentAverages!AM9/MassFormulaTesting!$B$86)*0.68)+0.3</f>
        <v>#DIV/0!</v>
      </c>
      <c r="AG17" s="43" t="str">
        <f>((TotalTournamentAverages!AN9/MassFormulaTesting!$B$88)*0.68)+0.3</f>
        <v>#DIV/0!</v>
      </c>
      <c r="AH17" s="43" t="str">
        <f>((TotalTournamentAverages!AO9/MassFormulaTesting!$B$90)*0.68)+0.3</f>
        <v>#DIV/0!</v>
      </c>
      <c r="AI17" s="43" t="str">
        <f>((TotalTournamentAverages!AP9/MassFormulaTesting!$B$92)*0.68)+0.3</f>
        <v>#DIV/0!</v>
      </c>
      <c r="AJ17" s="43" t="str">
        <f>((TotalTournamentAverages!AQ9/MassFormulaTesting!$B$94)*0.68)+0.3</f>
        <v>#DIV/0!</v>
      </c>
      <c r="AK17" s="43" t="str">
        <f>((TotalTournamentAverages!AR9/MassFormulaTesting!$B$96)*0.68)+0.3</f>
        <v>#DIV/0!</v>
      </c>
      <c r="AL17" s="43" t="str">
        <f>((TotalTournamentAverages!AS9/MassFormulaTesting!$B$98)*0.68)+0.3</f>
        <v>#DIV/0!</v>
      </c>
      <c r="AM17" s="43" t="str">
        <f>((TotalTournamentAverages!AT9/MassFormulaTesting!$B$100)*0.68)+0.3</f>
        <v>#DIV/0!</v>
      </c>
      <c r="AN17" s="43" t="str">
        <f>((TotalTournamentAverages!AV9/MassFormulaTesting!$B$104)*0.68)+0.3</f>
        <v>#DIV/0!</v>
      </c>
      <c r="AO17" s="43" t="str">
        <f>((TotalTournamentAverages!AW9/MassFormulaTesting!$B$106)*0.68)+0.3</f>
        <v>#DIV/0!</v>
      </c>
      <c r="AP17" s="43" t="str">
        <f>((TotalTournamentAverages!AX9/MassFormulaTesting!$B$108)*0.68)+0.3</f>
        <v>#DIV/0!</v>
      </c>
      <c r="AQ17" s="7"/>
    </row>
    <row r="18">
      <c r="A18" s="50" t="str">
        <f>IFERROR(__xludf.DUMMYFUNCTION("""COMPUTED_VALUE"""),"Yejis Aegyo")</f>
        <v>Yejis Aegyo</v>
      </c>
      <c r="B18" s="51">
        <f>IFERROR(__xludf.DUMMYFUNCTION("""COMPUTED_VALUE"""),127.0)</f>
        <v>127</v>
      </c>
      <c r="C18" s="55"/>
      <c r="D18" s="40" t="str">
        <f t="shared" si="1"/>
        <v>#DIV/0!</v>
      </c>
      <c r="E18" s="45" t="str">
        <f>TotalTournamentAverages!A10</f>
        <v>Dabb</v>
      </c>
      <c r="F18" s="46">
        <f t="shared" si="2"/>
        <v>0.3</v>
      </c>
      <c r="G18" s="47">
        <f>((TotalTournamentAverages!D10/MassFormulaTesting!$B$16)*0.68)+0.3</f>
        <v>0.6885714286</v>
      </c>
      <c r="H18" s="47">
        <f>((TotalTournamentAverages!E10/MassFormulaTesting!$B$18)*0.68)+0.3</f>
        <v>0.6016272966</v>
      </c>
      <c r="I18" s="47">
        <f>((TotalTournamentAverages!F10/MassFormulaTesting!$B$20)*0.68)+0.3</f>
        <v>0.5266666667</v>
      </c>
      <c r="J18" s="47">
        <f>(IFERROR(MassFormulaTesting!$C$22/TotalTournamentAverages!G10,"")*0.68)+0.3</f>
        <v>0.6805970149</v>
      </c>
      <c r="K18" s="13">
        <f>(((TotalTournamentAverages!H10+118)/(MassFormulaTesting!$B$24+118))*0.68)+0.3</f>
        <v>0.8791351943</v>
      </c>
      <c r="L18" s="47">
        <f>((TotalTournamentAverages!I10/MassFormulaTesting!$B$26)*0.68)+0.3</f>
        <v>0.88</v>
      </c>
      <c r="M18" s="47">
        <f>((0.98-(TotalTournamentAverages!J10/MassFormulaTesting!$B$28)*0.68))</f>
        <v>0.8591111111</v>
      </c>
      <c r="N18" s="47">
        <f>((TotalTournamentAverages!K10/MassFormulaTesting!$B$30)*0.68)+0.3</f>
        <v>0.6877491343</v>
      </c>
      <c r="O18" s="47">
        <f>((TotalTournamentAverages!L10/MassFormulaTesting!$B$32)*0.68)+0.3</f>
        <v>0.684506553</v>
      </c>
      <c r="P18" s="47">
        <f>((TotalTournamentAverages!M10/MassFormulaTesting!$B$34)*0.68)+0.3</f>
        <v>0.7602020202</v>
      </c>
      <c r="Q18" s="47">
        <f>((TotalTournamentAverages!N10/MassFormulaTesting!$B$36)*0.68)+0.3</f>
        <v>0.7945454545</v>
      </c>
      <c r="R18" s="47">
        <f>((TotalTournamentAverages!O10/MassFormulaTesting!$B$38)*0.68)+0.3</f>
        <v>0.7533333333</v>
      </c>
      <c r="S18" s="47">
        <f>(IFERROR(TotalTournamentAverages!P10/MassFormulaTesting!$B$40,"")*0.68)+0.3</f>
        <v>0.3</v>
      </c>
      <c r="T18" s="47">
        <f>((TotalTournamentAverages!T10/MassFormulaTesting!$B$48)*0.68)+0.3</f>
        <v>0.4511111111</v>
      </c>
      <c r="U18" s="47">
        <f>((TotalTournamentAverages!U10/MassFormulaTesting!$B$50)*0.68)+0.3</f>
        <v>0.3</v>
      </c>
      <c r="V18" s="47">
        <f>((TotalTournamentAverages!V10/MassFormulaTesting!$B$52)*0.68)+0.3</f>
        <v>0.3</v>
      </c>
      <c r="W18" s="47">
        <f>(IFERROR(TotalTournamentAverages!W10/MassFormulaTesting!$B$54,"")*0.68)+0.3</f>
        <v>0.3</v>
      </c>
      <c r="X18" s="47">
        <f>(IFERROR(TotalTournamentAverages!X10/MassFormulaTesting!$B$56,"")*0.68)+0.3</f>
        <v>0.3</v>
      </c>
      <c r="Y18" s="47">
        <f>(IFERROR(TotalTournamentAverages!Y10/MassFormulaTesting!$B$58,"")*0.68)+0.3</f>
        <v>0.3</v>
      </c>
      <c r="Z18" s="43">
        <f>(IFERROR(TotalTournamentAverages!Z10/MassFormulaTesting!$B$60,"")*0.68)+0.3</f>
        <v>0.3</v>
      </c>
      <c r="AA18" s="43">
        <f>((TotalTournamentAverages!AD10/MassFormulaTesting!$B$68)*0.68)+0.3</f>
        <v>0.3</v>
      </c>
      <c r="AB18" s="43" t="str">
        <f>((TotalTournamentAverages!AG10/MassFormulaTesting!$B$74)*0.68)+0.3</f>
        <v>#DIV/0!</v>
      </c>
      <c r="AC18" s="43" t="str">
        <f>((TotalTournamentAverages!AH10/MassFormulaTesting!$B$76)*0.68)+0.3</f>
        <v>#DIV/0!</v>
      </c>
      <c r="AD18" s="43" t="str">
        <f>((TotalTournamentAverages!AK10/MassFormulaTesting!$B$82)*0.68)+0.3</f>
        <v>#DIV/0!</v>
      </c>
      <c r="AE18" s="43" t="str">
        <f>((TotalTournamentAverages!AL10/MassFormulaTesting!$B$84)*0.68)+0.3</f>
        <v>#DIV/0!</v>
      </c>
      <c r="AF18" s="43" t="str">
        <f>((TotalTournamentAverages!AM10/MassFormulaTesting!$B$86)*0.68)+0.3</f>
        <v>#DIV/0!</v>
      </c>
      <c r="AG18" s="43" t="str">
        <f>((TotalTournamentAverages!AN10/MassFormulaTesting!$B$88)*0.68)+0.3</f>
        <v>#DIV/0!</v>
      </c>
      <c r="AH18" s="43" t="str">
        <f>((TotalTournamentAverages!AO10/MassFormulaTesting!$B$90)*0.68)+0.3</f>
        <v>#DIV/0!</v>
      </c>
      <c r="AI18" s="43" t="str">
        <f>((TotalTournamentAverages!AP10/MassFormulaTesting!$B$92)*0.68)+0.3</f>
        <v>#DIV/0!</v>
      </c>
      <c r="AJ18" s="43" t="str">
        <f>((TotalTournamentAverages!AQ10/MassFormulaTesting!$B$94)*0.68)+0.3</f>
        <v>#DIV/0!</v>
      </c>
      <c r="AK18" s="43" t="str">
        <f>((TotalTournamentAverages!AR10/MassFormulaTesting!$B$96)*0.68)+0.3</f>
        <v>#DIV/0!</v>
      </c>
      <c r="AL18" s="43" t="str">
        <f>((TotalTournamentAverages!AS10/MassFormulaTesting!$B$98)*0.68)+0.3</f>
        <v>#DIV/0!</v>
      </c>
      <c r="AM18" s="43" t="str">
        <f>((TotalTournamentAverages!AT10/MassFormulaTesting!$B$100)*0.68)+0.3</f>
        <v>#DIV/0!</v>
      </c>
      <c r="AN18" s="43" t="str">
        <f>((TotalTournamentAverages!AV10/MassFormulaTesting!$B$104)*0.68)+0.3</f>
        <v>#DIV/0!</v>
      </c>
      <c r="AO18" s="43" t="str">
        <f>((TotalTournamentAverages!AW10/MassFormulaTesting!$B$106)*0.68)+0.3</f>
        <v>#DIV/0!</v>
      </c>
      <c r="AP18" s="43" t="str">
        <f>((TotalTournamentAverages!AX10/MassFormulaTesting!$B$108)*0.68)+0.3</f>
        <v>#DIV/0!</v>
      </c>
      <c r="AQ18" s="7"/>
    </row>
    <row r="19">
      <c r="A19" s="56" t="str">
        <f>IFERROR(__xludf.DUMMYFUNCTION("Query(TotalTournamentAverages!A:AV,""Select A,F where A&lt;&gt;'' Order by F Desc Limit 1"")"),"OVERALL")</f>
        <v>OVERALL</v>
      </c>
      <c r="B19" s="54" t="str">
        <f>IFERROR(__xludf.DUMMYFUNCTION("""COMPUTED_VALUE"""),"avg Assists")</f>
        <v>avg Assists</v>
      </c>
      <c r="C19" s="52"/>
      <c r="D19" s="40" t="str">
        <f t="shared" si="1"/>
        <v>#DIV/0!</v>
      </c>
      <c r="E19" s="45" t="str">
        <f>TotalTournamentAverages!A11</f>
        <v>Dat Twinkie</v>
      </c>
      <c r="F19" s="46">
        <f t="shared" si="2"/>
        <v>0.3</v>
      </c>
      <c r="G19" s="47">
        <f>((TotalTournamentAverages!D11/MassFormulaTesting!$B$16)*0.68)+0.3</f>
        <v>0.3</v>
      </c>
      <c r="H19" s="47">
        <f>((TotalTournamentAverages!E11/MassFormulaTesting!$B$18)*0.68)+0.3</f>
        <v>0.6346456693</v>
      </c>
      <c r="I19" s="47">
        <f>((TotalTournamentAverages!F11/MassFormulaTesting!$B$20)*0.68)+0.3</f>
        <v>0.436</v>
      </c>
      <c r="J19" s="47">
        <f>(IFERROR(MassFormulaTesting!$C$22/TotalTournamentAverages!G11,"")*0.68)+0.3</f>
        <v>0.5236842105</v>
      </c>
      <c r="K19" s="13">
        <f>(((TotalTournamentAverages!H11+118)/(MassFormulaTesting!$B$24+118))*0.68)+0.3</f>
        <v>0.7667323481</v>
      </c>
      <c r="L19" s="47">
        <f>((TotalTournamentAverages!I11/MassFormulaTesting!$B$26)*0.68)+0.3</f>
        <v>0.63</v>
      </c>
      <c r="M19" s="47">
        <f>((0.98-(TotalTournamentAverages!J11/MassFormulaTesting!$B$28)*0.68))</f>
        <v>0.708</v>
      </c>
      <c r="N19" s="47">
        <f>((TotalTournamentAverages!K11/MassFormulaTesting!$B$30)*0.68)+0.3</f>
        <v>0.6300577145</v>
      </c>
      <c r="O19" s="47">
        <f>((TotalTournamentAverages!L11/MassFormulaTesting!$B$32)*0.68)+0.3</f>
        <v>0.6664140218</v>
      </c>
      <c r="P19" s="47">
        <f>((TotalTournamentAverages!M11/MassFormulaTesting!$B$34)*0.68)+0.3</f>
        <v>0.5163636364</v>
      </c>
      <c r="Q19" s="47">
        <f>((TotalTournamentAverages!N11/MassFormulaTesting!$B$36)*0.68)+0.3</f>
        <v>0.7636363636</v>
      </c>
      <c r="R19" s="47">
        <f>((TotalTournamentAverages!O11/MassFormulaTesting!$B$38)*0.68)+0.3</f>
        <v>0.3</v>
      </c>
      <c r="S19" s="47">
        <f>(IFERROR(TotalTournamentAverages!P11/MassFormulaTesting!$B$40,"")*0.68)+0.3</f>
        <v>0.3</v>
      </c>
      <c r="T19" s="47">
        <f>((TotalTournamentAverages!T11/MassFormulaTesting!$B$48)*0.68)+0.3</f>
        <v>0.5266666667</v>
      </c>
      <c r="U19" s="47">
        <f>((TotalTournamentAverages!U11/MassFormulaTesting!$B$50)*0.68)+0.3</f>
        <v>0.3</v>
      </c>
      <c r="V19" s="47">
        <f>((TotalTournamentAverages!V11/MassFormulaTesting!$B$52)*0.68)+0.3</f>
        <v>0.3</v>
      </c>
      <c r="W19" s="47">
        <f>(IFERROR(TotalTournamentAverages!W11/MassFormulaTesting!$B$54,"")*0.68)+0.3</f>
        <v>0.3</v>
      </c>
      <c r="X19" s="47">
        <f>(IFERROR(TotalTournamentAverages!X11/MassFormulaTesting!$B$56,"")*0.68)+0.3</f>
        <v>0.3</v>
      </c>
      <c r="Y19" s="47">
        <f>(IFERROR(TotalTournamentAverages!Y11/MassFormulaTesting!$B$58,"")*0.68)+0.3</f>
        <v>0.3</v>
      </c>
      <c r="Z19" s="43">
        <f>(IFERROR(TotalTournamentAverages!Z11/MassFormulaTesting!$B$60,"")*0.68)+0.3</f>
        <v>0.3</v>
      </c>
      <c r="AA19" s="43">
        <f>((TotalTournamentAverages!AD11/MassFormulaTesting!$B$68)*0.68)+0.3</f>
        <v>0.3</v>
      </c>
      <c r="AB19" s="43" t="str">
        <f>((TotalTournamentAverages!AG11/MassFormulaTesting!$B$74)*0.68)+0.3</f>
        <v>#DIV/0!</v>
      </c>
      <c r="AC19" s="43" t="str">
        <f>((TotalTournamentAverages!AH11/MassFormulaTesting!$B$76)*0.68)+0.3</f>
        <v>#DIV/0!</v>
      </c>
      <c r="AD19" s="43" t="str">
        <f>((TotalTournamentAverages!AK11/MassFormulaTesting!$B$82)*0.68)+0.3</f>
        <v>#DIV/0!</v>
      </c>
      <c r="AE19" s="43" t="str">
        <f>((TotalTournamentAverages!AL11/MassFormulaTesting!$B$84)*0.68)+0.3</f>
        <v>#DIV/0!</v>
      </c>
      <c r="AF19" s="43" t="str">
        <f>((TotalTournamentAverages!AM11/MassFormulaTesting!$B$86)*0.68)+0.3</f>
        <v>#DIV/0!</v>
      </c>
      <c r="AG19" s="43" t="str">
        <f>((TotalTournamentAverages!AN11/MassFormulaTesting!$B$88)*0.68)+0.3</f>
        <v>#DIV/0!</v>
      </c>
      <c r="AH19" s="43" t="str">
        <f>((TotalTournamentAverages!AO11/MassFormulaTesting!$B$90)*0.68)+0.3</f>
        <v>#DIV/0!</v>
      </c>
      <c r="AI19" s="43" t="str">
        <f>((TotalTournamentAverages!AP11/MassFormulaTesting!$B$92)*0.68)+0.3</f>
        <v>#DIV/0!</v>
      </c>
      <c r="AJ19" s="43" t="str">
        <f>((TotalTournamentAverages!AQ11/MassFormulaTesting!$B$94)*0.68)+0.3</f>
        <v>#DIV/0!</v>
      </c>
      <c r="AK19" s="43" t="str">
        <f>((TotalTournamentAverages!AR11/MassFormulaTesting!$B$96)*0.68)+0.3</f>
        <v>#DIV/0!</v>
      </c>
      <c r="AL19" s="43" t="str">
        <f>((TotalTournamentAverages!AS11/MassFormulaTesting!$B$98)*0.68)+0.3</f>
        <v>#DIV/0!</v>
      </c>
      <c r="AM19" s="43" t="str">
        <f>((TotalTournamentAverages!AT11/MassFormulaTesting!$B$100)*0.68)+0.3</f>
        <v>#DIV/0!</v>
      </c>
      <c r="AN19" s="43" t="str">
        <f>((TotalTournamentAverages!AV11/MassFormulaTesting!$B$104)*0.68)+0.3</f>
        <v>#DIV/0!</v>
      </c>
      <c r="AO19" s="43" t="str">
        <f>((TotalTournamentAverages!AW11/MassFormulaTesting!$B$106)*0.68)+0.3</f>
        <v>#DIV/0!</v>
      </c>
      <c r="AP19" s="43" t="str">
        <f>((TotalTournamentAverages!AX11/MassFormulaTesting!$B$108)*0.68)+0.3</f>
        <v>#DIV/0!</v>
      </c>
      <c r="AQ19" s="7"/>
    </row>
    <row r="20">
      <c r="A20" s="50" t="str">
        <f>IFERROR(__xludf.DUMMYFUNCTION("""COMPUTED_VALUE"""),"L1ght5aber")</f>
        <v>L1ght5aber</v>
      </c>
      <c r="B20" s="51">
        <f>IFERROR(__xludf.DUMMYFUNCTION("""COMPUTED_VALUE"""),10.0)</f>
        <v>10</v>
      </c>
      <c r="C20" s="52"/>
      <c r="D20" s="40" t="str">
        <f t="shared" si="1"/>
        <v>#DIV/0!</v>
      </c>
      <c r="E20" s="45" t="str">
        <f>TotalTournamentAverages!A12</f>
        <v>Dhlyn</v>
      </c>
      <c r="F20" s="46">
        <f t="shared" si="2"/>
        <v>0.3</v>
      </c>
      <c r="G20" s="47">
        <f>((TotalTournamentAverages!D12/MassFormulaTesting!$B$16)*0.68)+0.3</f>
        <v>0.3</v>
      </c>
      <c r="H20" s="47">
        <f>((TotalTournamentAverages!E12/MassFormulaTesting!$B$18)*0.68)+0.3</f>
        <v>0.5248818898</v>
      </c>
      <c r="I20" s="47">
        <f>((TotalTournamentAverages!F12/MassFormulaTesting!$B$20)*0.68)+0.3</f>
        <v>0.538</v>
      </c>
      <c r="J20" s="47">
        <f>(IFERROR(MassFormulaTesting!$C$22/TotalTournamentAverages!G12,"")*0.68)+0.3</f>
        <v>0.6063063063</v>
      </c>
      <c r="K20" s="13">
        <f>(((TotalTournamentAverages!H12+118)/(MassFormulaTesting!$B$24+118))*0.68)+0.3</f>
        <v>0.7667323481</v>
      </c>
      <c r="L20" s="47">
        <f>((TotalTournamentAverages!I12/MassFormulaTesting!$B$26)*0.68)+0.3</f>
        <v>0.51</v>
      </c>
      <c r="M20" s="47">
        <f>((0.98-(TotalTournamentAverages!J12/MassFormulaTesting!$B$28)*0.68))</f>
        <v>0.8893333333</v>
      </c>
      <c r="N20" s="47">
        <f>((TotalTournamentAverages!K12/MassFormulaTesting!$B$30)*0.68)+0.3</f>
        <v>0.5619661408</v>
      </c>
      <c r="O20" s="47">
        <f>((TotalTournamentAverages!L12/MassFormulaTesting!$B$32)*0.68)+0.3</f>
        <v>0.5889436286</v>
      </c>
      <c r="P20" s="47">
        <f>((TotalTournamentAverages!M12/MassFormulaTesting!$B$34)*0.68)+0.3</f>
        <v>0.5472727273</v>
      </c>
      <c r="Q20" s="47">
        <f>((TotalTournamentAverages!N12/MassFormulaTesting!$B$36)*0.68)+0.3</f>
        <v>0.3</v>
      </c>
      <c r="R20" s="47">
        <f>((TotalTournamentAverages!O12/MassFormulaTesting!$B$38)*0.68)+0.3</f>
        <v>0.3</v>
      </c>
      <c r="S20" s="47">
        <f>(IFERROR(TotalTournamentAverages!P12/MassFormulaTesting!$B$40,"")*0.68)+0.3</f>
        <v>0.3</v>
      </c>
      <c r="T20" s="47">
        <f>((TotalTournamentAverages!T12/MassFormulaTesting!$B$48)*0.68)+0.3</f>
        <v>0.4133333333</v>
      </c>
      <c r="U20" s="47">
        <f>((TotalTournamentAverages!U12/MassFormulaTesting!$B$50)*0.68)+0.3</f>
        <v>0.81</v>
      </c>
      <c r="V20" s="47">
        <f>((TotalTournamentAverages!V12/MassFormulaTesting!$B$52)*0.68)+0.3</f>
        <v>0.3</v>
      </c>
      <c r="W20" s="47">
        <f>(IFERROR(TotalTournamentAverages!W12/MassFormulaTesting!$B$54,"")*0.68)+0.3</f>
        <v>0.3</v>
      </c>
      <c r="X20" s="47">
        <f>(IFERROR(TotalTournamentAverages!X12/MassFormulaTesting!$B$56,"")*0.68)+0.3</f>
        <v>0.3</v>
      </c>
      <c r="Y20" s="47">
        <f>(IFERROR(TotalTournamentAverages!Y12/MassFormulaTesting!$B$58,"")*0.68)+0.3</f>
        <v>0.3</v>
      </c>
      <c r="Z20" s="43">
        <f>(IFERROR(TotalTournamentAverages!Z12/MassFormulaTesting!$B$60,"")*0.68)+0.3</f>
        <v>0.3</v>
      </c>
      <c r="AA20" s="43">
        <f>((TotalTournamentAverages!AD12/MassFormulaTesting!$B$68)*0.68)+0.3</f>
        <v>0.3</v>
      </c>
      <c r="AB20" s="43" t="str">
        <f>((TotalTournamentAverages!AG12/MassFormulaTesting!$B$74)*0.68)+0.3</f>
        <v>#DIV/0!</v>
      </c>
      <c r="AC20" s="43" t="str">
        <f>((TotalTournamentAverages!AH12/MassFormulaTesting!$B$76)*0.68)+0.3</f>
        <v>#DIV/0!</v>
      </c>
      <c r="AD20" s="43" t="str">
        <f>((TotalTournamentAverages!AK12/MassFormulaTesting!$B$82)*0.68)+0.3</f>
        <v>#DIV/0!</v>
      </c>
      <c r="AE20" s="43" t="str">
        <f>((TotalTournamentAverages!AL12/MassFormulaTesting!$B$84)*0.68)+0.3</f>
        <v>#DIV/0!</v>
      </c>
      <c r="AF20" s="43" t="str">
        <f>((TotalTournamentAverages!AM12/MassFormulaTesting!$B$86)*0.68)+0.3</f>
        <v>#DIV/0!</v>
      </c>
      <c r="AG20" s="43" t="str">
        <f>((TotalTournamentAverages!AN12/MassFormulaTesting!$B$88)*0.68)+0.3</f>
        <v>#DIV/0!</v>
      </c>
      <c r="AH20" s="43" t="str">
        <f>((TotalTournamentAverages!AO12/MassFormulaTesting!$B$90)*0.68)+0.3</f>
        <v>#DIV/0!</v>
      </c>
      <c r="AI20" s="43" t="str">
        <f>((TotalTournamentAverages!AP12/MassFormulaTesting!$B$92)*0.68)+0.3</f>
        <v>#DIV/0!</v>
      </c>
      <c r="AJ20" s="43" t="str">
        <f>((TotalTournamentAverages!AQ12/MassFormulaTesting!$B$94)*0.68)+0.3</f>
        <v>#DIV/0!</v>
      </c>
      <c r="AK20" s="43" t="str">
        <f>((TotalTournamentAverages!AR12/MassFormulaTesting!$B$96)*0.68)+0.3</f>
        <v>#DIV/0!</v>
      </c>
      <c r="AL20" s="43" t="str">
        <f>((TotalTournamentAverages!AS12/MassFormulaTesting!$B$98)*0.68)+0.3</f>
        <v>#DIV/0!</v>
      </c>
      <c r="AM20" s="43" t="str">
        <f>((TotalTournamentAverages!AT12/MassFormulaTesting!$B$100)*0.68)+0.3</f>
        <v>#DIV/0!</v>
      </c>
      <c r="AN20" s="43" t="str">
        <f>((TotalTournamentAverages!AV12/MassFormulaTesting!$B$104)*0.68)+0.3</f>
        <v>#DIV/0!</v>
      </c>
      <c r="AO20" s="43" t="str">
        <f>((TotalTournamentAverages!AW12/MassFormulaTesting!$B$106)*0.68)+0.3</f>
        <v>#DIV/0!</v>
      </c>
      <c r="AP20" s="43" t="str">
        <f>((TotalTournamentAverages!AX12/MassFormulaTesting!$B$108)*0.68)+0.3</f>
        <v>#DIV/0!</v>
      </c>
      <c r="AQ20" s="7"/>
    </row>
    <row r="21">
      <c r="A21" s="56" t="str">
        <f>IFERROR(__xludf.DUMMYFUNCTION("Query(TotalTournamentAverages!A:AV,""Select A,G where A&lt;&gt;'' Order by G Desc Limit 1"")"),"OVERALL")</f>
        <v>OVERALL</v>
      </c>
      <c r="B21" s="54" t="str">
        <f>IFERROR(__xludf.DUMMYFUNCTION("""COMPUTED_VALUE"""),"avg Deaths")</f>
        <v>avg Deaths</v>
      </c>
      <c r="C21" s="1" t="s">
        <v>61</v>
      </c>
      <c r="D21" s="40" t="str">
        <f t="shared" si="1"/>
        <v>#DIV/0!</v>
      </c>
      <c r="E21" s="45" t="str">
        <f>TotalTournamentAverages!A13</f>
        <v>Fanciest Pants</v>
      </c>
      <c r="F21" s="46">
        <f t="shared" si="2"/>
        <v>0.3</v>
      </c>
      <c r="G21" s="47">
        <f>((TotalTournamentAverages!D13/MassFormulaTesting!$B$16)*0.68)+0.3</f>
        <v>0.3</v>
      </c>
      <c r="H21" s="47">
        <f>((TotalTournamentAverages!E13/MassFormulaTesting!$B$18)*0.68)+0.3</f>
        <v>0.6551706037</v>
      </c>
      <c r="I21" s="47">
        <f>((TotalTournamentAverages!F13/MassFormulaTesting!$B$20)*0.68)+0.3</f>
        <v>0.6173333333</v>
      </c>
      <c r="J21" s="47">
        <f>(IFERROR(MassFormulaTesting!$C$22/TotalTournamentAverages!G13,"")*0.68)+0.3</f>
        <v>0.5073170732</v>
      </c>
      <c r="K21" s="13">
        <f>(((TotalTournamentAverages!H13+118)/(MassFormulaTesting!$B$24+118))*0.68)+0.3</f>
        <v>0.7570552819</v>
      </c>
      <c r="L21" s="47">
        <f>((TotalTournamentAverages!I13/MassFormulaTesting!$B$26)*0.68)+0.3</f>
        <v>0.52</v>
      </c>
      <c r="M21" s="47">
        <f>((0.98-(TotalTournamentAverages!J13/MassFormulaTesting!$B$28)*0.68))</f>
        <v>0.7986666667</v>
      </c>
      <c r="N21" s="47">
        <f>((TotalTournamentAverages!K13/MassFormulaTesting!$B$30)*0.68)+0.3</f>
        <v>0.6419622932</v>
      </c>
      <c r="O21" s="47">
        <f>((TotalTournamentAverages!L13/MassFormulaTesting!$B$32)*0.68)+0.3</f>
        <v>0.684506553</v>
      </c>
      <c r="P21" s="47">
        <f>((TotalTournamentAverages!M13/MassFormulaTesting!$B$34)*0.68)+0.3</f>
        <v>0.5060606061</v>
      </c>
      <c r="Q21" s="47">
        <f>((TotalTournamentAverages!N13/MassFormulaTesting!$B$36)*0.68)+0.3</f>
        <v>0.3</v>
      </c>
      <c r="R21" s="47">
        <f>((TotalTournamentAverages!O13/MassFormulaTesting!$B$38)*0.68)+0.3</f>
        <v>0.3</v>
      </c>
      <c r="S21" s="47">
        <f>(IFERROR(TotalTournamentAverages!P13/MassFormulaTesting!$B$40,"")*0.68)+0.3</f>
        <v>0.3</v>
      </c>
      <c r="T21" s="47">
        <f>((TotalTournamentAverages!T13/MassFormulaTesting!$B$48)*0.68)+0.3</f>
        <v>0.3755555556</v>
      </c>
      <c r="U21" s="47">
        <f>((TotalTournamentAverages!U13/MassFormulaTesting!$B$50)*0.68)+0.3</f>
        <v>0.3</v>
      </c>
      <c r="V21" s="47">
        <f>((TotalTournamentAverages!V13/MassFormulaTesting!$B$52)*0.68)+0.3</f>
        <v>0.3</v>
      </c>
      <c r="W21" s="47">
        <f>(IFERROR(TotalTournamentAverages!W13/MassFormulaTesting!$B$54,"")*0.68)+0.3</f>
        <v>0.3</v>
      </c>
      <c r="X21" s="47">
        <f>(IFERROR(TotalTournamentAverages!X13/MassFormulaTesting!$B$56,"")*0.68)+0.3</f>
        <v>0.3</v>
      </c>
      <c r="Y21" s="47">
        <f>(IFERROR(TotalTournamentAverages!Y13/MassFormulaTesting!$B$58,"")*0.68)+0.3</f>
        <v>0.3</v>
      </c>
      <c r="Z21" s="43">
        <f>(IFERROR(TotalTournamentAverages!Z13/MassFormulaTesting!$B$60,"")*0.68)+0.3</f>
        <v>0.3</v>
      </c>
      <c r="AA21" s="43">
        <f>((TotalTournamentAverages!AD13/MassFormulaTesting!$B$68)*0.68)+0.3</f>
        <v>0.3</v>
      </c>
      <c r="AB21" s="43" t="str">
        <f>((TotalTournamentAverages!AG13/MassFormulaTesting!$B$74)*0.68)+0.3</f>
        <v>#DIV/0!</v>
      </c>
      <c r="AC21" s="43" t="str">
        <f>((TotalTournamentAverages!AH13/MassFormulaTesting!$B$76)*0.68)+0.3</f>
        <v>#DIV/0!</v>
      </c>
      <c r="AD21" s="43" t="str">
        <f>((TotalTournamentAverages!AK13/MassFormulaTesting!$B$82)*0.68)+0.3</f>
        <v>#DIV/0!</v>
      </c>
      <c r="AE21" s="43" t="str">
        <f>((TotalTournamentAverages!AL13/MassFormulaTesting!$B$84)*0.68)+0.3</f>
        <v>#DIV/0!</v>
      </c>
      <c r="AF21" s="43" t="str">
        <f>((TotalTournamentAverages!AM13/MassFormulaTesting!$B$86)*0.68)+0.3</f>
        <v>#DIV/0!</v>
      </c>
      <c r="AG21" s="43" t="str">
        <f>((TotalTournamentAverages!AN13/MassFormulaTesting!$B$88)*0.68)+0.3</f>
        <v>#DIV/0!</v>
      </c>
      <c r="AH21" s="43" t="str">
        <f>((TotalTournamentAverages!AO13/MassFormulaTesting!$B$90)*0.68)+0.3</f>
        <v>#DIV/0!</v>
      </c>
      <c r="AI21" s="43" t="str">
        <f>((TotalTournamentAverages!AP13/MassFormulaTesting!$B$92)*0.68)+0.3</f>
        <v>#DIV/0!</v>
      </c>
      <c r="AJ21" s="43" t="str">
        <f>((TotalTournamentAverages!AQ13/MassFormulaTesting!$B$94)*0.68)+0.3</f>
        <v>#DIV/0!</v>
      </c>
      <c r="AK21" s="43" t="str">
        <f>((TotalTournamentAverages!AR13/MassFormulaTesting!$B$96)*0.68)+0.3</f>
        <v>#DIV/0!</v>
      </c>
      <c r="AL21" s="43" t="str">
        <f>((TotalTournamentAverages!AS13/MassFormulaTesting!$B$98)*0.68)+0.3</f>
        <v>#DIV/0!</v>
      </c>
      <c r="AM21" s="43" t="str">
        <f>((TotalTournamentAverages!AT13/MassFormulaTesting!$B$100)*0.68)+0.3</f>
        <v>#DIV/0!</v>
      </c>
      <c r="AN21" s="43" t="str">
        <f>((TotalTournamentAverages!AV13/MassFormulaTesting!$B$104)*0.68)+0.3</f>
        <v>#DIV/0!</v>
      </c>
      <c r="AO21" s="43" t="str">
        <f>((TotalTournamentAverages!AW13/MassFormulaTesting!$B$106)*0.68)+0.3</f>
        <v>#DIV/0!</v>
      </c>
      <c r="AP21" s="43" t="str">
        <f>((TotalTournamentAverages!AX13/MassFormulaTesting!$B$108)*0.68)+0.3</f>
        <v>#DIV/0!</v>
      </c>
      <c r="AQ21" s="7"/>
    </row>
    <row r="22">
      <c r="A22" s="50" t="str">
        <f>IFERROR(__xludf.DUMMYFUNCTION("""COMPUTED_VALUE"""),"Yejis Aegyo")</f>
        <v>Yejis Aegyo</v>
      </c>
      <c r="B22" s="51">
        <f>IFERROR(__xludf.DUMMYFUNCTION("""COMPUTED_VALUE"""),129.66666666666666)</f>
        <v>129.6666667</v>
      </c>
      <c r="C22" s="57">
        <v>25.0</v>
      </c>
      <c r="D22" s="40" t="str">
        <f t="shared" si="1"/>
        <v>#DIV/0!</v>
      </c>
      <c r="E22" s="45" t="str">
        <f>TotalTournamentAverages!A14</f>
        <v>Finesse God24</v>
      </c>
      <c r="F22" s="46">
        <f t="shared" si="2"/>
        <v>0.3</v>
      </c>
      <c r="G22" s="47">
        <f>((TotalTournamentAverages!D14/MassFormulaTesting!$B$16)*0.68)+0.3</f>
        <v>0.3647619048</v>
      </c>
      <c r="H22" s="47">
        <f>((TotalTournamentAverages!E14/MassFormulaTesting!$B$18)*0.68)+0.3</f>
        <v>0.6623097113</v>
      </c>
      <c r="I22" s="47">
        <f>((TotalTournamentAverages!F14/MassFormulaTesting!$B$20)*0.68)+0.3</f>
        <v>0.6173333333</v>
      </c>
      <c r="J22" s="47">
        <f>(IFERROR(MassFormulaTesting!$C$22/TotalTournamentAverages!G14,"")*0.68)+0.3</f>
        <v>0.5394366197</v>
      </c>
      <c r="K22" s="13">
        <f>(((TotalTournamentAverages!H14+118)/(MassFormulaTesting!$B$24+118))*0.68)+0.3</f>
        <v>0.8121401204</v>
      </c>
      <c r="L22" s="47">
        <f>((TotalTournamentAverages!I14/MassFormulaTesting!$B$26)*0.68)+0.3</f>
        <v>0.56</v>
      </c>
      <c r="M22" s="47">
        <f>((0.98-(TotalTournamentAverages!J14/MassFormulaTesting!$B$28)*0.68))</f>
        <v>0.98</v>
      </c>
      <c r="N22" s="47">
        <f>((TotalTournamentAverages!K14/MassFormulaTesting!$B$30)*0.68)+0.3</f>
        <v>0.5974836476</v>
      </c>
      <c r="O22" s="47">
        <f>((TotalTournamentAverages!L14/MassFormulaTesting!$B$32)*0.68)+0.3</f>
        <v>0.6393020685</v>
      </c>
      <c r="P22" s="47">
        <f>((TotalTournamentAverages!M14/MassFormulaTesting!$B$34)*0.68)+0.3</f>
        <v>0.5060606061</v>
      </c>
      <c r="Q22" s="47">
        <f>((TotalTournamentAverages!N14/MassFormulaTesting!$B$36)*0.68)+0.3</f>
        <v>0.4236363636</v>
      </c>
      <c r="R22" s="47">
        <f>((TotalTournamentAverages!O14/MassFormulaTesting!$B$38)*0.68)+0.3</f>
        <v>0.3</v>
      </c>
      <c r="S22" s="47">
        <f>(IFERROR(TotalTournamentAverages!P14/MassFormulaTesting!$B$40,"")*0.68)+0.3</f>
        <v>0.3</v>
      </c>
      <c r="T22" s="47">
        <f>((TotalTournamentAverages!T14/MassFormulaTesting!$B$48)*0.68)+0.3</f>
        <v>0.5266666667</v>
      </c>
      <c r="U22" s="47">
        <f>((TotalTournamentAverages!U14/MassFormulaTesting!$B$50)*0.68)+0.3</f>
        <v>0.3</v>
      </c>
      <c r="V22" s="47">
        <f>((TotalTournamentAverages!V14/MassFormulaTesting!$B$52)*0.68)+0.3</f>
        <v>0.3</v>
      </c>
      <c r="W22" s="47">
        <f>(IFERROR(TotalTournamentAverages!W14/MassFormulaTesting!$B$54,"")*0.68)+0.3</f>
        <v>0.3</v>
      </c>
      <c r="X22" s="47">
        <f>(IFERROR(TotalTournamentAverages!X14/MassFormulaTesting!$B$56,"")*0.68)+0.3</f>
        <v>0.3</v>
      </c>
      <c r="Y22" s="47">
        <f>(IFERROR(TotalTournamentAverages!Y14/MassFormulaTesting!$B$58,"")*0.68)+0.3</f>
        <v>0.3</v>
      </c>
      <c r="Z22" s="43">
        <f>(IFERROR(TotalTournamentAverages!Z14/MassFormulaTesting!$B$60,"")*0.68)+0.3</f>
        <v>0.3</v>
      </c>
      <c r="AA22" s="43">
        <f>((TotalTournamentAverages!AD14/MassFormulaTesting!$B$68)*0.68)+0.3</f>
        <v>0.3</v>
      </c>
      <c r="AB22" s="43" t="str">
        <f>((TotalTournamentAverages!AG14/MassFormulaTesting!$B$74)*0.68)+0.3</f>
        <v>#DIV/0!</v>
      </c>
      <c r="AC22" s="43" t="str">
        <f>((TotalTournamentAverages!AH14/MassFormulaTesting!$B$76)*0.68)+0.3</f>
        <v>#DIV/0!</v>
      </c>
      <c r="AD22" s="43" t="str">
        <f>((TotalTournamentAverages!AK14/MassFormulaTesting!$B$82)*0.68)+0.3</f>
        <v>#DIV/0!</v>
      </c>
      <c r="AE22" s="43" t="str">
        <f>((TotalTournamentAverages!AL14/MassFormulaTesting!$B$84)*0.68)+0.3</f>
        <v>#DIV/0!</v>
      </c>
      <c r="AF22" s="43" t="str">
        <f>((TotalTournamentAverages!AM14/MassFormulaTesting!$B$86)*0.68)+0.3</f>
        <v>#DIV/0!</v>
      </c>
      <c r="AG22" s="43" t="str">
        <f>((TotalTournamentAverages!AN14/MassFormulaTesting!$B$88)*0.68)+0.3</f>
        <v>#DIV/0!</v>
      </c>
      <c r="AH22" s="43" t="str">
        <f>((TotalTournamentAverages!AO14/MassFormulaTesting!$B$90)*0.68)+0.3</f>
        <v>#DIV/0!</v>
      </c>
      <c r="AI22" s="43" t="str">
        <f>((TotalTournamentAverages!AP14/MassFormulaTesting!$B$92)*0.68)+0.3</f>
        <v>#DIV/0!</v>
      </c>
      <c r="AJ22" s="43" t="str">
        <f>((TotalTournamentAverages!AQ14/MassFormulaTesting!$B$94)*0.68)+0.3</f>
        <v>#DIV/0!</v>
      </c>
      <c r="AK22" s="43" t="str">
        <f>((TotalTournamentAverages!AR14/MassFormulaTesting!$B$96)*0.68)+0.3</f>
        <v>#DIV/0!</v>
      </c>
      <c r="AL22" s="43" t="str">
        <f>((TotalTournamentAverages!AS14/MassFormulaTesting!$B$98)*0.68)+0.3</f>
        <v>#DIV/0!</v>
      </c>
      <c r="AM22" s="43" t="str">
        <f>((TotalTournamentAverages!AT14/MassFormulaTesting!$B$100)*0.68)+0.3</f>
        <v>#DIV/0!</v>
      </c>
      <c r="AN22" s="43" t="str">
        <f>((TotalTournamentAverages!AV14/MassFormulaTesting!$B$104)*0.68)+0.3</f>
        <v>#DIV/0!</v>
      </c>
      <c r="AO22" s="43" t="str">
        <f>((TotalTournamentAverages!AW14/MassFormulaTesting!$B$106)*0.68)+0.3</f>
        <v>#DIV/0!</v>
      </c>
      <c r="AP22" s="43" t="str">
        <f>((TotalTournamentAverages!AX14/MassFormulaTesting!$B$108)*0.68)+0.3</f>
        <v>#DIV/0!</v>
      </c>
      <c r="AQ22" s="7"/>
    </row>
    <row r="23">
      <c r="A23" s="56" t="str">
        <f>IFERROR(__xludf.DUMMYFUNCTION("Query(TotalTournamentAverages!A:AV,""Select A,H where A&lt;&gt;'' Order by H Desc Limit 1"")"),"OVERALL")</f>
        <v>OVERALL</v>
      </c>
      <c r="B23" s="54" t="str">
        <f>IFERROR(__xludf.DUMMYFUNCTION("""COMPUTED_VALUE"""),"avg Spread")</f>
        <v>avg Spread</v>
      </c>
      <c r="C23" s="1" t="s">
        <v>61</v>
      </c>
      <c r="D23" s="40" t="str">
        <f t="shared" si="1"/>
        <v>#DIV/0!</v>
      </c>
      <c r="E23" s="45" t="str">
        <f>TotalTournamentAverages!A15</f>
        <v>Galvann</v>
      </c>
      <c r="F23" s="46">
        <f t="shared" si="2"/>
        <v>0.3</v>
      </c>
      <c r="G23" s="47">
        <f>((TotalTournamentAverages!D15/MassFormulaTesting!$B$16)*0.68)+0.3</f>
        <v>0.3</v>
      </c>
      <c r="H23" s="47">
        <f>((TotalTournamentAverages!E15/MassFormulaTesting!$B$18)*0.68)+0.3</f>
        <v>0.7069291339</v>
      </c>
      <c r="I23" s="47">
        <f>((TotalTournamentAverages!F15/MassFormulaTesting!$B$20)*0.68)+0.3</f>
        <v>0.844</v>
      </c>
      <c r="J23" s="47">
        <f>(IFERROR(MassFormulaTesting!$C$22/TotalTournamentAverages!G15,"")*0.68)+0.3</f>
        <v>0.5786885246</v>
      </c>
      <c r="K23" s="13">
        <f>(((TotalTournamentAverages!H15+118)/(MassFormulaTesting!$B$24+118))*0.68)+0.3</f>
        <v>0.8940229885</v>
      </c>
      <c r="L23" s="47">
        <f>((TotalTournamentAverages!I15/MassFormulaTesting!$B$26)*0.68)+0.3</f>
        <v>0.6</v>
      </c>
      <c r="M23" s="47">
        <f>((0.98-(TotalTournamentAverages!J15/MassFormulaTesting!$B$28)*0.68))</f>
        <v>0.6173333333</v>
      </c>
      <c r="N23" s="47">
        <f>((TotalTournamentAverages!K15/MassFormulaTesting!$B$30)*0.68)+0.3</f>
        <v>0.5692266256</v>
      </c>
      <c r="O23" s="47">
        <f>((TotalTournamentAverages!L15/MassFormulaTesting!$B$32)*0.68)+0.3</f>
        <v>0.6005400284</v>
      </c>
      <c r="P23" s="47">
        <f>((TotalTournamentAverages!M15/MassFormulaTesting!$B$34)*0.68)+0.3</f>
        <v>0.5266666667</v>
      </c>
      <c r="Q23" s="47">
        <f>((TotalTournamentAverages!N15/MassFormulaTesting!$B$36)*0.68)+0.3</f>
        <v>0.4854545455</v>
      </c>
      <c r="R23" s="47">
        <f>((TotalTournamentAverages!O15/MassFormulaTesting!$B$38)*0.68)+0.3</f>
        <v>0.3</v>
      </c>
      <c r="S23" s="47">
        <f>(IFERROR(TotalTournamentAverages!P15/MassFormulaTesting!$B$40,"")*0.68)+0.3</f>
        <v>0.3</v>
      </c>
      <c r="T23" s="47">
        <f>((TotalTournamentAverages!T15/MassFormulaTesting!$B$48)*0.68)+0.3</f>
        <v>0.98</v>
      </c>
      <c r="U23" s="47">
        <f>((TotalTournamentAverages!U15/MassFormulaTesting!$B$50)*0.68)+0.3</f>
        <v>0.81</v>
      </c>
      <c r="V23" s="47">
        <f>((TotalTournamentAverages!V15/MassFormulaTesting!$B$52)*0.68)+0.3</f>
        <v>0.3</v>
      </c>
      <c r="W23" s="47">
        <f>(IFERROR(TotalTournamentAverages!W15/MassFormulaTesting!$B$54,"")*0.68)+0.3</f>
        <v>0.3</v>
      </c>
      <c r="X23" s="47">
        <f>(IFERROR(TotalTournamentAverages!X15/MassFormulaTesting!$B$56,"")*0.68)+0.3</f>
        <v>0.3</v>
      </c>
      <c r="Y23" s="47">
        <f>(IFERROR(TotalTournamentAverages!Y15/MassFormulaTesting!$B$58,"")*0.68)+0.3</f>
        <v>0.3</v>
      </c>
      <c r="Z23" s="43">
        <f>(IFERROR(TotalTournamentAverages!Z15/MassFormulaTesting!$B$60,"")*0.68)+0.3</f>
        <v>0.3</v>
      </c>
      <c r="AA23" s="43">
        <f>((TotalTournamentAverages!AD15/MassFormulaTesting!$B$68)*0.68)+0.3</f>
        <v>0.3</v>
      </c>
      <c r="AB23" s="43" t="str">
        <f>((TotalTournamentAverages!AG15/MassFormulaTesting!$B$74)*0.68)+0.3</f>
        <v>#DIV/0!</v>
      </c>
      <c r="AC23" s="43" t="str">
        <f>((TotalTournamentAverages!AH15/MassFormulaTesting!$B$76)*0.68)+0.3</f>
        <v>#DIV/0!</v>
      </c>
      <c r="AD23" s="43" t="str">
        <f>((TotalTournamentAverages!AK15/MassFormulaTesting!$B$82)*0.68)+0.3</f>
        <v>#DIV/0!</v>
      </c>
      <c r="AE23" s="43" t="str">
        <f>((TotalTournamentAverages!AL15/MassFormulaTesting!$B$84)*0.68)+0.3</f>
        <v>#DIV/0!</v>
      </c>
      <c r="AF23" s="43" t="str">
        <f>((TotalTournamentAverages!AM15/MassFormulaTesting!$B$86)*0.68)+0.3</f>
        <v>#DIV/0!</v>
      </c>
      <c r="AG23" s="43" t="str">
        <f>((TotalTournamentAverages!AN15/MassFormulaTesting!$B$88)*0.68)+0.3</f>
        <v>#DIV/0!</v>
      </c>
      <c r="AH23" s="43" t="str">
        <f>((TotalTournamentAverages!AO15/MassFormulaTesting!$B$90)*0.68)+0.3</f>
        <v>#DIV/0!</v>
      </c>
      <c r="AI23" s="43" t="str">
        <f>((TotalTournamentAverages!AP15/MassFormulaTesting!$B$92)*0.68)+0.3</f>
        <v>#DIV/0!</v>
      </c>
      <c r="AJ23" s="43" t="str">
        <f>((TotalTournamentAverages!AQ15/MassFormulaTesting!$B$94)*0.68)+0.3</f>
        <v>#DIV/0!</v>
      </c>
      <c r="AK23" s="43" t="str">
        <f>((TotalTournamentAverages!AR15/MassFormulaTesting!$B$96)*0.68)+0.3</f>
        <v>#DIV/0!</v>
      </c>
      <c r="AL23" s="43" t="str">
        <f>((TotalTournamentAverages!AS15/MassFormulaTesting!$B$98)*0.68)+0.3</f>
        <v>#DIV/0!</v>
      </c>
      <c r="AM23" s="43" t="str">
        <f>((TotalTournamentAverages!AT15/MassFormulaTesting!$B$100)*0.68)+0.3</f>
        <v>#DIV/0!</v>
      </c>
      <c r="AN23" s="43" t="str">
        <f>((TotalTournamentAverages!AV15/MassFormulaTesting!$B$104)*0.68)+0.3</f>
        <v>#DIV/0!</v>
      </c>
      <c r="AO23" s="43" t="str">
        <f>((TotalTournamentAverages!AW15/MassFormulaTesting!$B$106)*0.68)+0.3</f>
        <v>#DIV/0!</v>
      </c>
      <c r="AP23" s="43" t="str">
        <f>((TotalTournamentAverages!AX15/MassFormulaTesting!$B$108)*0.68)+0.3</f>
        <v>#DIV/0!</v>
      </c>
      <c r="AQ23" s="7"/>
    </row>
    <row r="24">
      <c r="A24" s="50" t="str">
        <f>IFERROR(__xludf.DUMMYFUNCTION("""COMPUTED_VALUE"""),"Genesiology")</f>
        <v>Genesiology</v>
      </c>
      <c r="B24" s="51">
        <f>IFERROR(__xludf.DUMMYFUNCTION("""COMPUTED_VALUE"""),34.25)</f>
        <v>34.25</v>
      </c>
      <c r="C24" s="1">
        <v>-118.0</v>
      </c>
      <c r="D24" s="40" t="str">
        <f t="shared" si="1"/>
        <v>#DIV/0!</v>
      </c>
      <c r="E24" s="45" t="str">
        <f>TotalTournamentAverages!A16</f>
        <v>Genesiology</v>
      </c>
      <c r="F24" s="46">
        <f t="shared" si="2"/>
        <v>0.3</v>
      </c>
      <c r="G24" s="47">
        <f>((TotalTournamentAverages!D16/MassFormulaTesting!$B$16)*0.68)+0.3</f>
        <v>0.3485714286</v>
      </c>
      <c r="H24" s="47">
        <f>((TotalTournamentAverages!E16/MassFormulaTesting!$B$18)*0.68)+0.3</f>
        <v>0.8608661417</v>
      </c>
      <c r="I24" s="47">
        <f>((TotalTournamentAverages!F16/MassFormulaTesting!$B$20)*0.68)+0.3</f>
        <v>0.912</v>
      </c>
      <c r="J24" s="47">
        <f>(IFERROR(MassFormulaTesting!$C$22/TotalTournamentAverages!G16,"")*0.68)+0.3</f>
        <v>0.5411347518</v>
      </c>
      <c r="K24" s="13">
        <f>(((TotalTournamentAverages!H16+118)/(MassFormulaTesting!$B$24+118))*0.68)+0.3</f>
        <v>0.98</v>
      </c>
      <c r="L24" s="47">
        <f>((TotalTournamentAverages!I16/MassFormulaTesting!$B$26)*0.68)+0.3</f>
        <v>0.675</v>
      </c>
      <c r="M24" s="47">
        <f>((0.98-(TotalTournamentAverages!J16/MassFormulaTesting!$B$28)*0.68))</f>
        <v>0.3453333333</v>
      </c>
      <c r="N24" s="47">
        <f>((TotalTournamentAverages!K16/MassFormulaTesting!$B$30)*0.68)+0.3</f>
        <v>0.7913582147</v>
      </c>
      <c r="O24" s="47">
        <f>((TotalTournamentAverages!L16/MassFormulaTesting!$B$32)*0.68)+0.3</f>
        <v>0.797356703</v>
      </c>
      <c r="P24" s="47">
        <f>((TotalTournamentAverages!M16/MassFormulaTesting!$B$34)*0.68)+0.3</f>
        <v>0.6554545455</v>
      </c>
      <c r="Q24" s="47">
        <f>((TotalTournamentAverages!N16/MassFormulaTesting!$B$36)*0.68)+0.3</f>
        <v>0.9490909091</v>
      </c>
      <c r="R24" s="47">
        <f>((TotalTournamentAverages!O16/MassFormulaTesting!$B$38)*0.68)+0.3</f>
        <v>0.3</v>
      </c>
      <c r="S24" s="47">
        <f>(IFERROR(TotalTournamentAverages!P16/MassFormulaTesting!$B$40,"")*0.68)+0.3</f>
        <v>0.3</v>
      </c>
      <c r="T24" s="47">
        <f>((TotalTournamentAverages!T16/MassFormulaTesting!$B$48)*0.68)+0.3</f>
        <v>0.64</v>
      </c>
      <c r="U24" s="47">
        <f>((TotalTournamentAverages!U16/MassFormulaTesting!$B$50)*0.68)+0.3</f>
        <v>0.81</v>
      </c>
      <c r="V24" s="47">
        <f>((TotalTournamentAverages!V16/MassFormulaTesting!$B$52)*0.68)+0.3</f>
        <v>0.64</v>
      </c>
      <c r="W24" s="47">
        <f>(IFERROR(TotalTournamentAverages!W16/MassFormulaTesting!$B$54,"")*0.68)+0.3</f>
        <v>0.81</v>
      </c>
      <c r="X24" s="47">
        <f>(IFERROR(TotalTournamentAverages!X16/MassFormulaTesting!$B$56,"")*0.68)+0.3</f>
        <v>0.3</v>
      </c>
      <c r="Y24" s="47">
        <f>(IFERROR(TotalTournamentAverages!Y16/MassFormulaTesting!$B$58,"")*0.68)+0.3</f>
        <v>0.3</v>
      </c>
      <c r="Z24" s="43">
        <f>(IFERROR(TotalTournamentAverages!Z16/MassFormulaTesting!$B$60,"")*0.68)+0.3</f>
        <v>0.3</v>
      </c>
      <c r="AA24" s="43">
        <f>((TotalTournamentAverages!AD16/MassFormulaTesting!$B$68)*0.68)+0.3</f>
        <v>0.3</v>
      </c>
      <c r="AB24" s="43" t="str">
        <f>((TotalTournamentAverages!AG16/MassFormulaTesting!$B$74)*0.68)+0.3</f>
        <v>#DIV/0!</v>
      </c>
      <c r="AC24" s="43" t="str">
        <f>((TotalTournamentAverages!AH16/MassFormulaTesting!$B$76)*0.68)+0.3</f>
        <v>#DIV/0!</v>
      </c>
      <c r="AD24" s="43" t="str">
        <f>((TotalTournamentAverages!AK16/MassFormulaTesting!$B$82)*0.68)+0.3</f>
        <v>#DIV/0!</v>
      </c>
      <c r="AE24" s="43" t="str">
        <f>((TotalTournamentAverages!AL16/MassFormulaTesting!$B$84)*0.68)+0.3</f>
        <v>#DIV/0!</v>
      </c>
      <c r="AF24" s="43" t="str">
        <f>((TotalTournamentAverages!AM16/MassFormulaTesting!$B$86)*0.68)+0.3</f>
        <v>#DIV/0!</v>
      </c>
      <c r="AG24" s="43" t="str">
        <f>((TotalTournamentAverages!AN16/MassFormulaTesting!$B$88)*0.68)+0.3</f>
        <v>#DIV/0!</v>
      </c>
      <c r="AH24" s="43" t="str">
        <f>((TotalTournamentAverages!AO16/MassFormulaTesting!$B$90)*0.68)+0.3</f>
        <v>#DIV/0!</v>
      </c>
      <c r="AI24" s="43" t="str">
        <f>((TotalTournamentAverages!AP16/MassFormulaTesting!$B$92)*0.68)+0.3</f>
        <v>#DIV/0!</v>
      </c>
      <c r="AJ24" s="43" t="str">
        <f>((TotalTournamentAverages!AQ16/MassFormulaTesting!$B$94)*0.68)+0.3</f>
        <v>#DIV/0!</v>
      </c>
      <c r="AK24" s="43" t="str">
        <f>((TotalTournamentAverages!AR16/MassFormulaTesting!$B$96)*0.68)+0.3</f>
        <v>#DIV/0!</v>
      </c>
      <c r="AL24" s="43" t="str">
        <f>((TotalTournamentAverages!AS16/MassFormulaTesting!$B$98)*0.68)+0.3</f>
        <v>#DIV/0!</v>
      </c>
      <c r="AM24" s="43" t="str">
        <f>((TotalTournamentAverages!AT16/MassFormulaTesting!$B$100)*0.68)+0.3</f>
        <v>#DIV/0!</v>
      </c>
      <c r="AN24" s="43" t="str">
        <f>((TotalTournamentAverages!AV16/MassFormulaTesting!$B$104)*0.68)+0.3</f>
        <v>#DIV/0!</v>
      </c>
      <c r="AO24" s="43" t="str">
        <f>((TotalTournamentAverages!AW16/MassFormulaTesting!$B$106)*0.68)+0.3</f>
        <v>#DIV/0!</v>
      </c>
      <c r="AP24" s="43" t="str">
        <f>((TotalTournamentAverages!AX16/MassFormulaTesting!$B$108)*0.68)+0.3</f>
        <v>#DIV/0!</v>
      </c>
      <c r="AQ24" s="7"/>
    </row>
    <row r="25">
      <c r="A25" s="56" t="str">
        <f>IFERROR(__xludf.DUMMYFUNCTION("Query(TotalTournamentAverages!A:AV,""Select A,I where A&lt;&gt;'' Order by I Desc Limit 1"")"),"OVERALL")</f>
        <v>OVERALL</v>
      </c>
      <c r="B25" s="54" t="str">
        <f>IFERROR(__xludf.DUMMYFUNCTION("""COMPUTED_VALUE"""),"avg Streak")</f>
        <v>avg Streak</v>
      </c>
      <c r="C25" s="52"/>
      <c r="D25" s="40" t="str">
        <f t="shared" si="1"/>
        <v>#DIV/0!</v>
      </c>
      <c r="E25" s="45" t="str">
        <f>TotalTournamentAverages!A17</f>
        <v>GodSnipezX</v>
      </c>
      <c r="F25" s="46">
        <f t="shared" si="2"/>
        <v>0.3</v>
      </c>
      <c r="G25" s="47">
        <f>((TotalTournamentAverages!D17/MassFormulaTesting!$B$16)*0.68)+0.3</f>
        <v>0.3485714286</v>
      </c>
      <c r="H25" s="47">
        <f>((TotalTournamentAverages!E17/MassFormulaTesting!$B$18)*0.68)+0.3</f>
        <v>0.9639370079</v>
      </c>
      <c r="I25" s="47">
        <f>((TotalTournamentAverages!F17/MassFormulaTesting!$B$20)*0.68)+0.3</f>
        <v>0.81</v>
      </c>
      <c r="J25" s="47">
        <f>(IFERROR(MassFormulaTesting!$C$22/TotalTournamentAverages!G17,"")*0.68)+0.3</f>
        <v>0.4322957198</v>
      </c>
      <c r="K25" s="13">
        <f>(((TotalTournamentAverages!H17+118)/(MassFormulaTesting!$B$24+118))*0.68)+0.3</f>
        <v>0.8069293924</v>
      </c>
      <c r="L25" s="47">
        <f>((TotalTournamentAverages!I17/MassFormulaTesting!$B$26)*0.68)+0.3</f>
        <v>0.66</v>
      </c>
      <c r="M25" s="47">
        <f>((0.98-(TotalTournamentAverages!J17/MassFormulaTesting!$B$28)*0.68))</f>
        <v>0.7533333333</v>
      </c>
      <c r="N25" s="47">
        <f>((TotalTournamentAverages!K17/MassFormulaTesting!$B$30)*0.68)+0.3</f>
        <v>0.7914563294</v>
      </c>
      <c r="O25" s="47">
        <f>((TotalTournamentAverages!L17/MassFormulaTesting!$B$32)*0.68)+0.3</f>
        <v>0.8559024159</v>
      </c>
      <c r="P25" s="47">
        <f>((TotalTournamentAverages!M17/MassFormulaTesting!$B$34)*0.68)+0.3</f>
        <v>0.5009090909</v>
      </c>
      <c r="Q25" s="47">
        <f>((TotalTournamentAverages!N17/MassFormulaTesting!$B$36)*0.68)+0.3</f>
        <v>0.6709090909</v>
      </c>
      <c r="R25" s="47">
        <f>((TotalTournamentAverages!O17/MassFormulaTesting!$B$38)*0.68)+0.3</f>
        <v>0.3</v>
      </c>
      <c r="S25" s="47">
        <f>(IFERROR(TotalTournamentAverages!P17/MassFormulaTesting!$B$40,"")*0.68)+0.3</f>
        <v>0.3</v>
      </c>
      <c r="T25" s="47">
        <f>((TotalTournamentAverages!T17/MassFormulaTesting!$B$48)*0.68)+0.3</f>
        <v>0.6683333333</v>
      </c>
      <c r="U25" s="47">
        <f>((TotalTournamentAverages!U17/MassFormulaTesting!$B$50)*0.68)+0.3</f>
        <v>0.555</v>
      </c>
      <c r="V25" s="47">
        <f>((TotalTournamentAverages!V17/MassFormulaTesting!$B$52)*0.68)+0.3</f>
        <v>0.3</v>
      </c>
      <c r="W25" s="47">
        <f>(IFERROR(TotalTournamentAverages!W17/MassFormulaTesting!$B$54,"")*0.68)+0.3</f>
        <v>0.3</v>
      </c>
      <c r="X25" s="47">
        <f>(IFERROR(TotalTournamentAverages!X17/MassFormulaTesting!$B$56,"")*0.68)+0.3</f>
        <v>0.3</v>
      </c>
      <c r="Y25" s="47">
        <f>(IFERROR(TotalTournamentAverages!Y17/MassFormulaTesting!$B$58,"")*0.68)+0.3</f>
        <v>0.3</v>
      </c>
      <c r="Z25" s="43">
        <f>(IFERROR(TotalTournamentAverages!Z17/MassFormulaTesting!$B$60,"")*0.68)+0.3</f>
        <v>0.3</v>
      </c>
      <c r="AA25" s="43">
        <f>((TotalTournamentAverages!AD17/MassFormulaTesting!$B$68)*0.68)+0.3</f>
        <v>0.3</v>
      </c>
      <c r="AB25" s="43" t="str">
        <f>((TotalTournamentAverages!AG17/MassFormulaTesting!$B$74)*0.68)+0.3</f>
        <v>#DIV/0!</v>
      </c>
      <c r="AC25" s="43" t="str">
        <f>((TotalTournamentAverages!AH17/MassFormulaTesting!$B$76)*0.68)+0.3</f>
        <v>#DIV/0!</v>
      </c>
      <c r="AD25" s="43" t="str">
        <f>((TotalTournamentAverages!AK17/MassFormulaTesting!$B$82)*0.68)+0.3</f>
        <v>#DIV/0!</v>
      </c>
      <c r="AE25" s="43" t="str">
        <f>((TotalTournamentAverages!AL17/MassFormulaTesting!$B$84)*0.68)+0.3</f>
        <v>#DIV/0!</v>
      </c>
      <c r="AF25" s="43" t="str">
        <f>((TotalTournamentAverages!AM17/MassFormulaTesting!$B$86)*0.68)+0.3</f>
        <v>#DIV/0!</v>
      </c>
      <c r="AG25" s="43" t="str">
        <f>((TotalTournamentAverages!AN17/MassFormulaTesting!$B$88)*0.68)+0.3</f>
        <v>#DIV/0!</v>
      </c>
      <c r="AH25" s="43" t="str">
        <f>((TotalTournamentAverages!AO17/MassFormulaTesting!$B$90)*0.68)+0.3</f>
        <v>#DIV/0!</v>
      </c>
      <c r="AI25" s="43" t="str">
        <f>((TotalTournamentAverages!AP17/MassFormulaTesting!$B$92)*0.68)+0.3</f>
        <v>#DIV/0!</v>
      </c>
      <c r="AJ25" s="43" t="str">
        <f>((TotalTournamentAverages!AQ17/MassFormulaTesting!$B$94)*0.68)+0.3</f>
        <v>#DIV/0!</v>
      </c>
      <c r="AK25" s="43" t="str">
        <f>((TotalTournamentAverages!AR17/MassFormulaTesting!$B$96)*0.68)+0.3</f>
        <v>#DIV/0!</v>
      </c>
      <c r="AL25" s="43" t="str">
        <f>((TotalTournamentAverages!AS17/MassFormulaTesting!$B$98)*0.68)+0.3</f>
        <v>#DIV/0!</v>
      </c>
      <c r="AM25" s="43" t="str">
        <f>((TotalTournamentAverages!AT17/MassFormulaTesting!$B$100)*0.68)+0.3</f>
        <v>#DIV/0!</v>
      </c>
      <c r="AN25" s="43" t="str">
        <f>((TotalTournamentAverages!AV17/MassFormulaTesting!$B$104)*0.68)+0.3</f>
        <v>#DIV/0!</v>
      </c>
      <c r="AO25" s="43" t="str">
        <f>((TotalTournamentAverages!AW17/MassFormulaTesting!$B$106)*0.68)+0.3</f>
        <v>#DIV/0!</v>
      </c>
      <c r="AP25" s="43" t="str">
        <f>((TotalTournamentAverages!AX17/MassFormulaTesting!$B$108)*0.68)+0.3</f>
        <v>#DIV/0!</v>
      </c>
      <c r="AQ25" s="7"/>
    </row>
    <row r="26">
      <c r="A26" s="50" t="str">
        <f>IFERROR(__xludf.DUMMYFUNCTION("""COMPUTED_VALUE"""),"Vile")</f>
        <v>Vile</v>
      </c>
      <c r="B26" s="51">
        <f>IFERROR(__xludf.DUMMYFUNCTION("""COMPUTED_VALUE"""),11.333333333333334)</f>
        <v>11.33333333</v>
      </c>
      <c r="C26" s="52"/>
      <c r="D26" s="40" t="str">
        <f t="shared" si="1"/>
        <v>#DIV/0!</v>
      </c>
      <c r="E26" s="45" t="str">
        <f>TotalTournamentAverages!A18</f>
        <v>Hells Angel cx</v>
      </c>
      <c r="F26" s="46">
        <f t="shared" si="2"/>
        <v>0.3</v>
      </c>
      <c r="G26" s="47">
        <f>((TotalTournamentAverages!D18/MassFormulaTesting!$B$16)*0.68)+0.3</f>
        <v>0.7371428571</v>
      </c>
      <c r="H26" s="47">
        <f>((TotalTournamentAverages!E18/MassFormulaTesting!$B$18)*0.68)+0.3</f>
        <v>0.7122834646</v>
      </c>
      <c r="I26" s="47">
        <f>((TotalTournamentAverages!F18/MassFormulaTesting!$B$20)*0.68)+0.3</f>
        <v>0.623</v>
      </c>
      <c r="J26" s="47">
        <f>(IFERROR(MassFormulaTesting!$C$22/TotalTournamentAverages!G18,"")*0.68)+0.3</f>
        <v>0.5193548387</v>
      </c>
      <c r="K26" s="13">
        <f>(((TotalTournamentAverages!H18+118)/(MassFormulaTesting!$B$24+118))*0.68)+0.3</f>
        <v>0.8247947455</v>
      </c>
      <c r="L26" s="47">
        <f>((TotalTournamentAverages!I18/MassFormulaTesting!$B$26)*0.68)+0.3</f>
        <v>0.645</v>
      </c>
      <c r="M26" s="47">
        <f>((0.98-(TotalTournamentAverages!J18/MassFormulaTesting!$B$28)*0.68))</f>
        <v>0.3</v>
      </c>
      <c r="N26" s="47">
        <f>((TotalTournamentAverages!K18/MassFormulaTesting!$B$30)*0.68)+0.3</f>
        <v>0.7834109273</v>
      </c>
      <c r="O26" s="47">
        <f>((TotalTournamentAverages!L18/MassFormulaTesting!$B$32)*0.68)+0.3</f>
        <v>0.797356703</v>
      </c>
      <c r="P26" s="47">
        <f>((TotalTournamentAverages!M18/MassFormulaTesting!$B$34)*0.68)+0.3</f>
        <v>0.6090909091</v>
      </c>
      <c r="Q26" s="47">
        <f>((TotalTournamentAverages!N18/MassFormulaTesting!$B$36)*0.68)+0.3</f>
        <v>0.3927272727</v>
      </c>
      <c r="R26" s="47">
        <f>((TotalTournamentAverages!O18/MassFormulaTesting!$B$38)*0.68)+0.3</f>
        <v>0.47</v>
      </c>
      <c r="S26" s="47">
        <f>(IFERROR(TotalTournamentAverages!P18/MassFormulaTesting!$B$40,"")*0.68)+0.3</f>
        <v>0.3</v>
      </c>
      <c r="T26" s="47">
        <f>((TotalTournamentAverages!T18/MassFormulaTesting!$B$48)*0.68)+0.3</f>
        <v>0.4416666667</v>
      </c>
      <c r="U26" s="47">
        <f>((TotalTournamentAverages!U18/MassFormulaTesting!$B$50)*0.68)+0.3</f>
        <v>0.3</v>
      </c>
      <c r="V26" s="47">
        <f>((TotalTournamentAverages!V18/MassFormulaTesting!$B$52)*0.68)+0.3</f>
        <v>0.3</v>
      </c>
      <c r="W26" s="47">
        <f>(IFERROR(TotalTournamentAverages!W18/MassFormulaTesting!$B$54,"")*0.68)+0.3</f>
        <v>0.3</v>
      </c>
      <c r="X26" s="47">
        <f>(IFERROR(TotalTournamentAverages!X18/MassFormulaTesting!$B$56,"")*0.68)+0.3</f>
        <v>0.3</v>
      </c>
      <c r="Y26" s="47">
        <f>(IFERROR(TotalTournamentAverages!Y18/MassFormulaTesting!$B$58,"")*0.68)+0.3</f>
        <v>0.3</v>
      </c>
      <c r="Z26" s="43">
        <f>(IFERROR(TotalTournamentAverages!Z18/MassFormulaTesting!$B$60,"")*0.68)+0.3</f>
        <v>0.3</v>
      </c>
      <c r="AA26" s="43">
        <f>((TotalTournamentAverages!AD18/MassFormulaTesting!$B$68)*0.68)+0.3</f>
        <v>0.3</v>
      </c>
      <c r="AB26" s="43" t="str">
        <f>((TotalTournamentAverages!AG18/MassFormulaTesting!$B$74)*0.68)+0.3</f>
        <v>#DIV/0!</v>
      </c>
      <c r="AC26" s="43" t="str">
        <f>((TotalTournamentAverages!AH18/MassFormulaTesting!$B$76)*0.68)+0.3</f>
        <v>#DIV/0!</v>
      </c>
      <c r="AD26" s="43" t="str">
        <f>((TotalTournamentAverages!AK18/MassFormulaTesting!$B$82)*0.68)+0.3</f>
        <v>#DIV/0!</v>
      </c>
      <c r="AE26" s="43" t="str">
        <f>((TotalTournamentAverages!AL18/MassFormulaTesting!$B$84)*0.68)+0.3</f>
        <v>#DIV/0!</v>
      </c>
      <c r="AF26" s="43" t="str">
        <f>((TotalTournamentAverages!AM18/MassFormulaTesting!$B$86)*0.68)+0.3</f>
        <v>#DIV/0!</v>
      </c>
      <c r="AG26" s="43" t="str">
        <f>((TotalTournamentAverages!AN18/MassFormulaTesting!$B$88)*0.68)+0.3</f>
        <v>#DIV/0!</v>
      </c>
      <c r="AH26" s="43" t="str">
        <f>((TotalTournamentAverages!AO18/MassFormulaTesting!$B$90)*0.68)+0.3</f>
        <v>#DIV/0!</v>
      </c>
      <c r="AI26" s="43" t="str">
        <f>((TotalTournamentAverages!AP18/MassFormulaTesting!$B$92)*0.68)+0.3</f>
        <v>#DIV/0!</v>
      </c>
      <c r="AJ26" s="43" t="str">
        <f>((TotalTournamentAverages!AQ18/MassFormulaTesting!$B$94)*0.68)+0.3</f>
        <v>#DIV/0!</v>
      </c>
      <c r="AK26" s="43" t="str">
        <f>((TotalTournamentAverages!AR18/MassFormulaTesting!$B$96)*0.68)+0.3</f>
        <v>#DIV/0!</v>
      </c>
      <c r="AL26" s="43" t="str">
        <f>((TotalTournamentAverages!AS18/MassFormulaTesting!$B$98)*0.68)+0.3</f>
        <v>#DIV/0!</v>
      </c>
      <c r="AM26" s="43" t="str">
        <f>((TotalTournamentAverages!AT18/MassFormulaTesting!$B$100)*0.68)+0.3</f>
        <v>#DIV/0!</v>
      </c>
      <c r="AN26" s="43" t="str">
        <f>((TotalTournamentAverages!AV18/MassFormulaTesting!$B$104)*0.68)+0.3</f>
        <v>#DIV/0!</v>
      </c>
      <c r="AO26" s="43" t="str">
        <f>((TotalTournamentAverages!AW18/MassFormulaTesting!$B$106)*0.68)+0.3</f>
        <v>#DIV/0!</v>
      </c>
      <c r="AP26" s="43" t="str">
        <f>((TotalTournamentAverages!AX18/MassFormulaTesting!$B$108)*0.68)+0.3</f>
        <v>#DIV/0!</v>
      </c>
      <c r="AQ26" s="7"/>
    </row>
    <row r="27">
      <c r="A27" s="56" t="str">
        <f>IFERROR(__xludf.DUMMYFUNCTION("Query(TotalTournamentAverages!A:AV,""Select A,J where A&lt;&gt;'' Order by J Desc Limit 1"")"),"OVERALL")</f>
        <v>OVERALL</v>
      </c>
      <c r="B27" s="54" t="str">
        <f>IFERROR(__xludf.DUMMYFUNCTION("""COMPUTED_VALUE"""),"avg Betrayals")</f>
        <v>avg Betrayals</v>
      </c>
      <c r="C27" s="1" t="s">
        <v>61</v>
      </c>
      <c r="D27" s="40" t="str">
        <f t="shared" si="1"/>
        <v>#DIV/0!</v>
      </c>
      <c r="E27" s="45" t="str">
        <f>TotalTournamentAverages!A19</f>
        <v>HumanKite187</v>
      </c>
      <c r="F27" s="46">
        <f t="shared" si="2"/>
        <v>0.3</v>
      </c>
      <c r="G27" s="47">
        <f>((TotalTournamentAverages!D19/MassFormulaTesting!$B$16)*0.68)+0.3</f>
        <v>0.4942857143</v>
      </c>
      <c r="H27" s="47">
        <f>((TotalTournamentAverages!E19/MassFormulaTesting!$B$18)*0.68)+0.3</f>
        <v>0.6587401575</v>
      </c>
      <c r="I27" s="47">
        <f>((TotalTournamentAverages!F19/MassFormulaTesting!$B$20)*0.68)+0.3</f>
        <v>0.708</v>
      </c>
      <c r="J27" s="47">
        <f>(IFERROR(MassFormulaTesting!$C$22/TotalTournamentAverages!G19,"")*0.68)+0.3</f>
        <v>0.55</v>
      </c>
      <c r="K27" s="13">
        <f>(((TotalTournamentAverages!H19+118)/(MassFormulaTesting!$B$24+118))*0.68)+0.3</f>
        <v>0.8225615764</v>
      </c>
      <c r="L27" s="47">
        <f>((TotalTournamentAverages!I19/MassFormulaTesting!$B$26)*0.68)+0.3</f>
        <v>0.72</v>
      </c>
      <c r="M27" s="47">
        <f>((0.98-(TotalTournamentAverages!J19/MassFormulaTesting!$B$28)*0.68))</f>
        <v>0.98</v>
      </c>
      <c r="N27" s="47">
        <f>((TotalTournamentAverages!K19/MassFormulaTesting!$B$30)*0.68)+0.3</f>
        <v>0.7462254713</v>
      </c>
      <c r="O27" s="47">
        <f>((TotalTournamentAverages!L19/MassFormulaTesting!$B$32)*0.68)+0.3</f>
        <v>0.7561250592</v>
      </c>
      <c r="P27" s="47">
        <f>((TotalTournamentAverages!M19/MassFormulaTesting!$B$34)*0.68)+0.3</f>
        <v>0.6296969697</v>
      </c>
      <c r="Q27" s="47">
        <f>((TotalTournamentAverages!N19/MassFormulaTesting!$B$36)*0.68)+0.3</f>
        <v>0.6709090909</v>
      </c>
      <c r="R27" s="47">
        <f>((TotalTournamentAverages!O19/MassFormulaTesting!$B$38)*0.68)+0.3</f>
        <v>0.3</v>
      </c>
      <c r="S27" s="47">
        <f>(IFERROR(TotalTournamentAverages!P19/MassFormulaTesting!$B$40,"")*0.68)+0.3</f>
        <v>0.3</v>
      </c>
      <c r="T27" s="47">
        <f>((TotalTournamentAverages!T19/MassFormulaTesting!$B$48)*0.68)+0.3</f>
        <v>0.5266666667</v>
      </c>
      <c r="U27" s="47">
        <f>((TotalTournamentAverages!U19/MassFormulaTesting!$B$50)*0.68)+0.3</f>
        <v>0.3</v>
      </c>
      <c r="V27" s="47">
        <f>((TotalTournamentAverages!V19/MassFormulaTesting!$B$52)*0.68)+0.3</f>
        <v>0.3</v>
      </c>
      <c r="W27" s="47">
        <f>(IFERROR(TotalTournamentAverages!W19/MassFormulaTesting!$B$54,"")*0.68)+0.3</f>
        <v>0.3</v>
      </c>
      <c r="X27" s="47">
        <f>(IFERROR(TotalTournamentAverages!X19/MassFormulaTesting!$B$56,"")*0.68)+0.3</f>
        <v>0.3</v>
      </c>
      <c r="Y27" s="47">
        <f>(IFERROR(TotalTournamentAverages!Y19/MassFormulaTesting!$B$58,"")*0.68)+0.3</f>
        <v>0.3</v>
      </c>
      <c r="Z27" s="43">
        <f>(IFERROR(TotalTournamentAverages!Z19/MassFormulaTesting!$B$60,"")*0.68)+0.3</f>
        <v>0.3</v>
      </c>
      <c r="AA27" s="43">
        <f>((TotalTournamentAverages!AD19/MassFormulaTesting!$B$68)*0.68)+0.3</f>
        <v>0.3</v>
      </c>
      <c r="AB27" s="43" t="str">
        <f>((TotalTournamentAverages!AG19/MassFormulaTesting!$B$74)*0.68)+0.3</f>
        <v>#DIV/0!</v>
      </c>
      <c r="AC27" s="43" t="str">
        <f>((TotalTournamentAverages!AH19/MassFormulaTesting!$B$76)*0.68)+0.3</f>
        <v>#DIV/0!</v>
      </c>
      <c r="AD27" s="43" t="str">
        <f>((TotalTournamentAverages!AK19/MassFormulaTesting!$B$82)*0.68)+0.3</f>
        <v>#DIV/0!</v>
      </c>
      <c r="AE27" s="43" t="str">
        <f>((TotalTournamentAverages!AL19/MassFormulaTesting!$B$84)*0.68)+0.3</f>
        <v>#DIV/0!</v>
      </c>
      <c r="AF27" s="43" t="str">
        <f>((TotalTournamentAverages!AM19/MassFormulaTesting!$B$86)*0.68)+0.3</f>
        <v>#DIV/0!</v>
      </c>
      <c r="AG27" s="43" t="str">
        <f>((TotalTournamentAverages!AN19/MassFormulaTesting!$B$88)*0.68)+0.3</f>
        <v>#DIV/0!</v>
      </c>
      <c r="AH27" s="43" t="str">
        <f>((TotalTournamentAverages!AO19/MassFormulaTesting!$B$90)*0.68)+0.3</f>
        <v>#DIV/0!</v>
      </c>
      <c r="AI27" s="43" t="str">
        <f>((TotalTournamentAverages!AP19/MassFormulaTesting!$B$92)*0.68)+0.3</f>
        <v>#DIV/0!</v>
      </c>
      <c r="AJ27" s="43" t="str">
        <f>((TotalTournamentAverages!AQ19/MassFormulaTesting!$B$94)*0.68)+0.3</f>
        <v>#DIV/0!</v>
      </c>
      <c r="AK27" s="43" t="str">
        <f>((TotalTournamentAverages!AR19/MassFormulaTesting!$B$96)*0.68)+0.3</f>
        <v>#DIV/0!</v>
      </c>
      <c r="AL27" s="43" t="str">
        <f>((TotalTournamentAverages!AS19/MassFormulaTesting!$B$98)*0.68)+0.3</f>
        <v>#DIV/0!</v>
      </c>
      <c r="AM27" s="43" t="str">
        <f>((TotalTournamentAverages!AT19/MassFormulaTesting!$B$100)*0.68)+0.3</f>
        <v>#DIV/0!</v>
      </c>
      <c r="AN27" s="43" t="str">
        <f>((TotalTournamentAverages!AV19/MassFormulaTesting!$B$104)*0.68)+0.3</f>
        <v>#DIV/0!</v>
      </c>
      <c r="AO27" s="43" t="str">
        <f>((TotalTournamentAverages!AW19/MassFormulaTesting!$B$106)*0.68)+0.3</f>
        <v>#DIV/0!</v>
      </c>
      <c r="AP27" s="43" t="str">
        <f>((TotalTournamentAverages!AX19/MassFormulaTesting!$B$108)*0.68)+0.3</f>
        <v>#DIV/0!</v>
      </c>
      <c r="AQ27" s="7"/>
    </row>
    <row r="28" ht="17.25" customHeight="1">
      <c r="A28" s="50" t="str">
        <f>IFERROR(__xludf.DUMMYFUNCTION("""COMPUTED_VALUE"""),"Hells Angel cx")</f>
        <v>Hells Angel cx</v>
      </c>
      <c r="B28" s="51">
        <f>IFERROR(__xludf.DUMMYFUNCTION("""COMPUTED_VALUE"""),3.75)</f>
        <v>3.75</v>
      </c>
      <c r="C28" s="58">
        <v>0.0</v>
      </c>
      <c r="D28" s="40" t="str">
        <f t="shared" si="1"/>
        <v>#DIV/0!</v>
      </c>
      <c r="E28" s="45" t="str">
        <f>TotalTournamentAverages!A20</f>
        <v>Impuritive</v>
      </c>
      <c r="F28" s="46">
        <f t="shared" si="2"/>
        <v>0.3</v>
      </c>
      <c r="G28" s="47">
        <f>((TotalTournamentAverages!D20/MassFormulaTesting!$B$16)*0.68)+0.3</f>
        <v>0.8180952381</v>
      </c>
      <c r="H28" s="47">
        <f>((TotalTournamentAverages!E20/MassFormulaTesting!$B$18)*0.68)+0.3</f>
        <v>0.5659317585</v>
      </c>
      <c r="I28" s="47">
        <f>((TotalTournamentAverages!F20/MassFormulaTesting!$B$20)*0.68)+0.3</f>
        <v>0.4133333333</v>
      </c>
      <c r="J28" s="47">
        <f>(IFERROR(MassFormulaTesting!$C$22/TotalTournamentAverages!G20,"")*0.68)+0.3</f>
        <v>0.6445945946</v>
      </c>
      <c r="K28" s="13">
        <f>(((TotalTournamentAverages!H20+118)/(MassFormulaTesting!$B$24+118))*0.68)+0.3</f>
        <v>0.828516694</v>
      </c>
      <c r="L28" s="47">
        <f>((TotalTournamentAverages!I20/MassFormulaTesting!$B$26)*0.68)+0.3</f>
        <v>0.6</v>
      </c>
      <c r="M28" s="47">
        <f>((0.98-(TotalTournamentAverages!J20/MassFormulaTesting!$B$28)*0.68))</f>
        <v>0.7382222222</v>
      </c>
      <c r="N28" s="47">
        <f>((TotalTournamentAverages!K20/MassFormulaTesting!$B$30)*0.68)+0.3</f>
        <v>0.6219469027</v>
      </c>
      <c r="O28" s="47">
        <f>((TotalTournamentAverages!L20/MassFormulaTesting!$B$32)*0.68)+0.3</f>
        <v>0.6393020685</v>
      </c>
      <c r="P28" s="47">
        <f>((TotalTournamentAverages!M20/MassFormulaTesting!$B$34)*0.68)+0.3</f>
        <v>0.6503030303</v>
      </c>
      <c r="Q28" s="47">
        <f>((TotalTournamentAverages!N20/MassFormulaTesting!$B$36)*0.68)+0.3</f>
        <v>0.6090909091</v>
      </c>
      <c r="R28" s="47">
        <f>((TotalTournamentAverages!O20/MassFormulaTesting!$B$38)*0.68)+0.3</f>
        <v>0.3</v>
      </c>
      <c r="S28" s="47">
        <f>(IFERROR(TotalTournamentAverages!P20/MassFormulaTesting!$B$40,"")*0.68)+0.3</f>
        <v>0.3</v>
      </c>
      <c r="T28" s="47">
        <f>((TotalTournamentAverages!T20/MassFormulaTesting!$B$48)*0.68)+0.3</f>
        <v>0.4511111111</v>
      </c>
      <c r="U28" s="47">
        <f>((TotalTournamentAverages!U20/MassFormulaTesting!$B$50)*0.68)+0.3</f>
        <v>0.3</v>
      </c>
      <c r="V28" s="47">
        <f>((TotalTournamentAverages!V20/MassFormulaTesting!$B$52)*0.68)+0.3</f>
        <v>0.3</v>
      </c>
      <c r="W28" s="47">
        <f>(IFERROR(TotalTournamentAverages!W20/MassFormulaTesting!$B$54,"")*0.68)+0.3</f>
        <v>0.3</v>
      </c>
      <c r="X28" s="47">
        <f>(IFERROR(TotalTournamentAverages!X20/MassFormulaTesting!$B$56,"")*0.68)+0.3</f>
        <v>0.3</v>
      </c>
      <c r="Y28" s="47">
        <f>(IFERROR(TotalTournamentAverages!Y20/MassFormulaTesting!$B$58,"")*0.68)+0.3</f>
        <v>0.3</v>
      </c>
      <c r="Z28" s="43">
        <f>(IFERROR(TotalTournamentAverages!Z20/MassFormulaTesting!$B$60,"")*0.68)+0.3</f>
        <v>0.3</v>
      </c>
      <c r="AA28" s="43">
        <f>((TotalTournamentAverages!AD20/MassFormulaTesting!$B$68)*0.68)+0.3</f>
        <v>0.3</v>
      </c>
      <c r="AB28" s="43" t="str">
        <f>((TotalTournamentAverages!AG20/MassFormulaTesting!$B$74)*0.68)+0.3</f>
        <v>#DIV/0!</v>
      </c>
      <c r="AC28" s="43" t="str">
        <f>((TotalTournamentAverages!AH20/MassFormulaTesting!$B$76)*0.68)+0.3</f>
        <v>#DIV/0!</v>
      </c>
      <c r="AD28" s="43" t="str">
        <f>((TotalTournamentAverages!AK20/MassFormulaTesting!$B$82)*0.68)+0.3</f>
        <v>#DIV/0!</v>
      </c>
      <c r="AE28" s="43" t="str">
        <f>((TotalTournamentAverages!AL20/MassFormulaTesting!$B$84)*0.68)+0.3</f>
        <v>#DIV/0!</v>
      </c>
      <c r="AF28" s="43" t="str">
        <f>((TotalTournamentAverages!AM20/MassFormulaTesting!$B$86)*0.68)+0.3</f>
        <v>#DIV/0!</v>
      </c>
      <c r="AG28" s="43" t="str">
        <f>((TotalTournamentAverages!AN20/MassFormulaTesting!$B$88)*0.68)+0.3</f>
        <v>#DIV/0!</v>
      </c>
      <c r="AH28" s="43" t="str">
        <f>((TotalTournamentAverages!AO20/MassFormulaTesting!$B$90)*0.68)+0.3</f>
        <v>#DIV/0!</v>
      </c>
      <c r="AI28" s="43" t="str">
        <f>((TotalTournamentAverages!AP20/MassFormulaTesting!$B$92)*0.68)+0.3</f>
        <v>#DIV/0!</v>
      </c>
      <c r="AJ28" s="43" t="str">
        <f>((TotalTournamentAverages!AQ20/MassFormulaTesting!$B$94)*0.68)+0.3</f>
        <v>#DIV/0!</v>
      </c>
      <c r="AK28" s="43" t="str">
        <f>((TotalTournamentAverages!AR20/MassFormulaTesting!$B$96)*0.68)+0.3</f>
        <v>#DIV/0!</v>
      </c>
      <c r="AL28" s="43" t="str">
        <f>((TotalTournamentAverages!AS20/MassFormulaTesting!$B$98)*0.68)+0.3</f>
        <v>#DIV/0!</v>
      </c>
      <c r="AM28" s="43" t="str">
        <f>((TotalTournamentAverages!AT20/MassFormulaTesting!$B$100)*0.68)+0.3</f>
        <v>#DIV/0!</v>
      </c>
      <c r="AN28" s="43" t="str">
        <f>((TotalTournamentAverages!AV20/MassFormulaTesting!$B$104)*0.68)+0.3</f>
        <v>#DIV/0!</v>
      </c>
      <c r="AO28" s="43" t="str">
        <f>((TotalTournamentAverages!AW20/MassFormulaTesting!$B$106)*0.68)+0.3</f>
        <v>#DIV/0!</v>
      </c>
      <c r="AP28" s="43" t="str">
        <f>((TotalTournamentAverages!AX20/MassFormulaTesting!$B$108)*0.68)+0.3</f>
        <v>#DIV/0!</v>
      </c>
      <c r="AQ28" s="7"/>
    </row>
    <row r="29">
      <c r="A29" s="56" t="str">
        <f>IFERROR(__xludf.DUMMYFUNCTION("Query(TotalTournamentAverages!A:AV,""Select A,K where A&lt;&gt;'' Order by K Desc Limit 1"")"),"OVERALL")</f>
        <v>OVERALL</v>
      </c>
      <c r="B29" s="54" t="str">
        <f>IFERROR(__xludf.DUMMYFUNCTION("""COMPUTED_VALUE"""),"avg TimeAlive")</f>
        <v>avg TimeAlive</v>
      </c>
      <c r="C29" s="52"/>
      <c r="D29" s="40" t="str">
        <f t="shared" si="1"/>
        <v>#DIV/0!</v>
      </c>
      <c r="E29" s="45" t="str">
        <f>TotalTournamentAverages!A21</f>
        <v>InfiniteRainge</v>
      </c>
      <c r="F29" s="46">
        <f t="shared" si="2"/>
        <v>0.3</v>
      </c>
      <c r="G29" s="47">
        <f>((TotalTournamentAverages!D21/MassFormulaTesting!$B$16)*0.68)+0.3</f>
        <v>0.4942857143</v>
      </c>
      <c r="H29" s="47">
        <f>((TotalTournamentAverages!E21/MassFormulaTesting!$B$18)*0.68)+0.3</f>
        <v>0.5302362205</v>
      </c>
      <c r="I29" s="47">
        <f>((TotalTournamentAverages!F21/MassFormulaTesting!$B$20)*0.68)+0.3</f>
        <v>0.572</v>
      </c>
      <c r="J29" s="47">
        <f>(IFERROR(MassFormulaTesting!$C$22/TotalTournamentAverages!G21,"")*0.68)+0.3</f>
        <v>0.7146341463</v>
      </c>
      <c r="K29" s="13">
        <f>(((TotalTournamentAverages!H21+118)/(MassFormulaTesting!$B$24+118))*0.68)+0.3</f>
        <v>0.8359605911</v>
      </c>
      <c r="L29" s="47">
        <f>((TotalTournamentAverages!I21/MassFormulaTesting!$B$26)*0.68)+0.3</f>
        <v>0.66</v>
      </c>
      <c r="M29" s="47">
        <f>((0.98-(TotalTournamentAverages!J21/MassFormulaTesting!$B$28)*0.68))</f>
        <v>0.6173333333</v>
      </c>
      <c r="N29" s="47">
        <f>((TotalTournamentAverages!K21/MassFormulaTesting!$B$30)*0.68)+0.3</f>
        <v>0.5425394382</v>
      </c>
      <c r="O29" s="47">
        <f>((TotalTournamentAverages!L21/MassFormulaTesting!$B$32)*0.68)+0.3</f>
        <v>0.5647844623</v>
      </c>
      <c r="P29" s="47">
        <f>((TotalTournamentAverages!M21/MassFormulaTesting!$B$34)*0.68)+0.3</f>
        <v>0.6090909091</v>
      </c>
      <c r="Q29" s="47">
        <f>((TotalTournamentAverages!N21/MassFormulaTesting!$B$36)*0.68)+0.3</f>
        <v>0.6709090909</v>
      </c>
      <c r="R29" s="47">
        <f>((TotalTournamentAverages!O21/MassFormulaTesting!$B$38)*0.68)+0.3</f>
        <v>0.3</v>
      </c>
      <c r="S29" s="47">
        <f>(IFERROR(TotalTournamentAverages!P21/MassFormulaTesting!$B$40,"")*0.68)+0.3</f>
        <v>0.3</v>
      </c>
      <c r="T29" s="47">
        <f>((TotalTournamentAverages!T21/MassFormulaTesting!$B$48)*0.68)+0.3</f>
        <v>0.4133333333</v>
      </c>
      <c r="U29" s="47">
        <f>((TotalTournamentAverages!U21/MassFormulaTesting!$B$50)*0.68)+0.3</f>
        <v>0.3</v>
      </c>
      <c r="V29" s="47">
        <f>((TotalTournamentAverages!V21/MassFormulaTesting!$B$52)*0.68)+0.3</f>
        <v>0.3</v>
      </c>
      <c r="W29" s="47">
        <f>(IFERROR(TotalTournamentAverages!W21/MassFormulaTesting!$B$54,"")*0.68)+0.3</f>
        <v>0.3</v>
      </c>
      <c r="X29" s="47">
        <f>(IFERROR(TotalTournamentAverages!X21/MassFormulaTesting!$B$56,"")*0.68)+0.3</f>
        <v>0.3</v>
      </c>
      <c r="Y29" s="47">
        <f>(IFERROR(TotalTournamentAverages!Y21/MassFormulaTesting!$B$58,"")*0.68)+0.3</f>
        <v>0.3</v>
      </c>
      <c r="Z29" s="43">
        <f>(IFERROR(TotalTournamentAverages!Z21/MassFormulaTesting!$B$60,"")*0.68)+0.3</f>
        <v>0.3</v>
      </c>
      <c r="AA29" s="43">
        <f>((TotalTournamentAverages!AD21/MassFormulaTesting!$B$68)*0.68)+0.3</f>
        <v>0.3</v>
      </c>
      <c r="AB29" s="43" t="str">
        <f>((TotalTournamentAverages!AG21/MassFormulaTesting!$B$74)*0.68)+0.3</f>
        <v>#DIV/0!</v>
      </c>
      <c r="AC29" s="43" t="str">
        <f>((TotalTournamentAverages!AH21/MassFormulaTesting!$B$76)*0.68)+0.3</f>
        <v>#DIV/0!</v>
      </c>
      <c r="AD29" s="43" t="str">
        <f>((TotalTournamentAverages!AK21/MassFormulaTesting!$B$82)*0.68)+0.3</f>
        <v>#DIV/0!</v>
      </c>
      <c r="AE29" s="43" t="str">
        <f>((TotalTournamentAverages!AL21/MassFormulaTesting!$B$84)*0.68)+0.3</f>
        <v>#DIV/0!</v>
      </c>
      <c r="AF29" s="43" t="str">
        <f>((TotalTournamentAverages!AM21/MassFormulaTesting!$B$86)*0.68)+0.3</f>
        <v>#DIV/0!</v>
      </c>
      <c r="AG29" s="43" t="str">
        <f>((TotalTournamentAverages!AN21/MassFormulaTesting!$B$88)*0.68)+0.3</f>
        <v>#DIV/0!</v>
      </c>
      <c r="AH29" s="43" t="str">
        <f>((TotalTournamentAverages!AO21/MassFormulaTesting!$B$90)*0.68)+0.3</f>
        <v>#DIV/0!</v>
      </c>
      <c r="AI29" s="43" t="str">
        <f>((TotalTournamentAverages!AP21/MassFormulaTesting!$B$92)*0.68)+0.3</f>
        <v>#DIV/0!</v>
      </c>
      <c r="AJ29" s="43" t="str">
        <f>((TotalTournamentAverages!AQ21/MassFormulaTesting!$B$94)*0.68)+0.3</f>
        <v>#DIV/0!</v>
      </c>
      <c r="AK29" s="43" t="str">
        <f>((TotalTournamentAverages!AR21/MassFormulaTesting!$B$96)*0.68)+0.3</f>
        <v>#DIV/0!</v>
      </c>
      <c r="AL29" s="43" t="str">
        <f>((TotalTournamentAverages!AS21/MassFormulaTesting!$B$98)*0.68)+0.3</f>
        <v>#DIV/0!</v>
      </c>
      <c r="AM29" s="43" t="str">
        <f>((TotalTournamentAverages!AT21/MassFormulaTesting!$B$100)*0.68)+0.3</f>
        <v>#DIV/0!</v>
      </c>
      <c r="AN29" s="43" t="str">
        <f>((TotalTournamentAverages!AV21/MassFormulaTesting!$B$104)*0.68)+0.3</f>
        <v>#DIV/0!</v>
      </c>
      <c r="AO29" s="43" t="str">
        <f>((TotalTournamentAverages!AW21/MassFormulaTesting!$B$106)*0.68)+0.3</f>
        <v>#DIV/0!</v>
      </c>
      <c r="AP29" s="43" t="str">
        <f>((TotalTournamentAverages!AX21/MassFormulaTesting!$B$108)*0.68)+0.3</f>
        <v>#DIV/0!</v>
      </c>
      <c r="AQ29" s="7"/>
    </row>
    <row r="30">
      <c r="A30" s="50" t="str">
        <f>IFERROR(__xludf.DUMMYFUNCTION("""COMPUTED_VALUE"""),"Vile")</f>
        <v>Vile</v>
      </c>
      <c r="B30" s="51">
        <f>IFERROR(__xludf.DUMMYFUNCTION("""COMPUTED_VALUE"""),1732.6666666666667)</f>
        <v>1732.666667</v>
      </c>
      <c r="C30" s="52"/>
      <c r="D30" s="40" t="str">
        <f t="shared" si="1"/>
        <v>#DIV/0!</v>
      </c>
      <c r="E30" s="45" t="str">
        <f>TotalTournamentAverages!A22</f>
        <v>Into Sublime</v>
      </c>
      <c r="F30" s="46">
        <f t="shared" si="2"/>
        <v>0.3</v>
      </c>
      <c r="G30" s="47">
        <f>((TotalTournamentAverages!D22/MassFormulaTesting!$B$16)*0.68)+0.3</f>
        <v>0.6885714286</v>
      </c>
      <c r="H30" s="47">
        <f>((TotalTournamentAverages!E22/MassFormulaTesting!$B$18)*0.68)+0.3</f>
        <v>0.3749606299</v>
      </c>
      <c r="I30" s="47">
        <f>((TotalTournamentAverages!F22/MassFormulaTesting!$B$20)*0.68)+0.3</f>
        <v>0.334</v>
      </c>
      <c r="J30" s="47">
        <f>(IFERROR(MassFormulaTesting!$C$22/TotalTournamentAverages!G22,"")*0.68)+0.3</f>
        <v>0.9666666667</v>
      </c>
      <c r="K30" s="13">
        <f>(((TotalTournamentAverages!H22+118)/(MassFormulaTesting!$B$24+118))*0.68)+0.3</f>
        <v>0.7756650246</v>
      </c>
      <c r="L30" s="47">
        <f>((TotalTournamentAverages!I22/MassFormulaTesting!$B$26)*0.68)+0.3</f>
        <v>0.45</v>
      </c>
      <c r="M30" s="47">
        <f>((0.98-(TotalTournamentAverages!J22/MassFormulaTesting!$B$28)*0.68))</f>
        <v>0.8893333333</v>
      </c>
      <c r="N30" s="47">
        <f>((TotalTournamentAverages!K22/MassFormulaTesting!$B$30)*0.68)+0.3</f>
        <v>0.4675798384</v>
      </c>
      <c r="O30" s="47">
        <f>((TotalTournamentAverages!L22/MassFormulaTesting!$B$32)*0.68)+0.3</f>
        <v>0.4842539081</v>
      </c>
      <c r="P30" s="47">
        <f>((TotalTournamentAverages!M22/MassFormulaTesting!$B$34)*0.68)+0.3</f>
        <v>0.6090909091</v>
      </c>
      <c r="Q30" s="47">
        <f>((TotalTournamentAverages!N22/MassFormulaTesting!$B$36)*0.68)+0.3</f>
        <v>0.3</v>
      </c>
      <c r="R30" s="47">
        <f>((TotalTournamentAverages!O22/MassFormulaTesting!$B$38)*0.68)+0.3</f>
        <v>0.3</v>
      </c>
      <c r="S30" s="47">
        <f>(IFERROR(TotalTournamentAverages!P22/MassFormulaTesting!$B$40,"")*0.68)+0.3</f>
        <v>0.3</v>
      </c>
      <c r="T30" s="47">
        <f>((TotalTournamentAverages!T22/MassFormulaTesting!$B$48)*0.68)+0.3</f>
        <v>0.3</v>
      </c>
      <c r="U30" s="47">
        <f>((TotalTournamentAverages!U22/MassFormulaTesting!$B$50)*0.68)+0.3</f>
        <v>0.3</v>
      </c>
      <c r="V30" s="47">
        <f>((TotalTournamentAverages!V22/MassFormulaTesting!$B$52)*0.68)+0.3</f>
        <v>0.3</v>
      </c>
      <c r="W30" s="47">
        <f>(IFERROR(TotalTournamentAverages!W22/MassFormulaTesting!$B$54,"")*0.68)+0.3</f>
        <v>0.3</v>
      </c>
      <c r="X30" s="47">
        <f>(IFERROR(TotalTournamentAverages!X22/MassFormulaTesting!$B$56,"")*0.68)+0.3</f>
        <v>0.3</v>
      </c>
      <c r="Y30" s="47">
        <f>(IFERROR(TotalTournamentAverages!Y22/MassFormulaTesting!$B$58,"")*0.68)+0.3</f>
        <v>0.3</v>
      </c>
      <c r="Z30" s="43">
        <f>(IFERROR(TotalTournamentAverages!Z22/MassFormulaTesting!$B$60,"")*0.68)+0.3</f>
        <v>0.3</v>
      </c>
      <c r="AA30" s="43">
        <f>((TotalTournamentAverages!AD22/MassFormulaTesting!$B$68)*0.68)+0.3</f>
        <v>0.3</v>
      </c>
      <c r="AB30" s="43" t="str">
        <f>((TotalTournamentAverages!AG22/MassFormulaTesting!$B$74)*0.68)+0.3</f>
        <v>#DIV/0!</v>
      </c>
      <c r="AC30" s="43" t="str">
        <f>((TotalTournamentAverages!AH22/MassFormulaTesting!$B$76)*0.68)+0.3</f>
        <v>#DIV/0!</v>
      </c>
      <c r="AD30" s="43" t="str">
        <f>((TotalTournamentAverages!AK22/MassFormulaTesting!$B$82)*0.68)+0.3</f>
        <v>#DIV/0!</v>
      </c>
      <c r="AE30" s="43" t="str">
        <f>((TotalTournamentAverages!AL22/MassFormulaTesting!$B$84)*0.68)+0.3</f>
        <v>#DIV/0!</v>
      </c>
      <c r="AF30" s="43" t="str">
        <f>((TotalTournamentAverages!AM22/MassFormulaTesting!$B$86)*0.68)+0.3</f>
        <v>#DIV/0!</v>
      </c>
      <c r="AG30" s="43" t="str">
        <f>((TotalTournamentAverages!AN22/MassFormulaTesting!$B$88)*0.68)+0.3</f>
        <v>#DIV/0!</v>
      </c>
      <c r="AH30" s="43" t="str">
        <f>((TotalTournamentAverages!AO22/MassFormulaTesting!$B$90)*0.68)+0.3</f>
        <v>#DIV/0!</v>
      </c>
      <c r="AI30" s="43" t="str">
        <f>((TotalTournamentAverages!AP22/MassFormulaTesting!$B$92)*0.68)+0.3</f>
        <v>#DIV/0!</v>
      </c>
      <c r="AJ30" s="43" t="str">
        <f>((TotalTournamentAverages!AQ22/MassFormulaTesting!$B$94)*0.68)+0.3</f>
        <v>#DIV/0!</v>
      </c>
      <c r="AK30" s="43" t="str">
        <f>((TotalTournamentAverages!AR22/MassFormulaTesting!$B$96)*0.68)+0.3</f>
        <v>#DIV/0!</v>
      </c>
      <c r="AL30" s="43" t="str">
        <f>((TotalTournamentAverages!AS22/MassFormulaTesting!$B$98)*0.68)+0.3</f>
        <v>#DIV/0!</v>
      </c>
      <c r="AM30" s="43" t="str">
        <f>((TotalTournamentAverages!AT22/MassFormulaTesting!$B$100)*0.68)+0.3</f>
        <v>#DIV/0!</v>
      </c>
      <c r="AN30" s="43" t="str">
        <f>((TotalTournamentAverages!AV22/MassFormulaTesting!$B$104)*0.68)+0.3</f>
        <v>#DIV/0!</v>
      </c>
      <c r="AO30" s="43" t="str">
        <f>((TotalTournamentAverages!AW22/MassFormulaTesting!$B$106)*0.68)+0.3</f>
        <v>#DIV/0!</v>
      </c>
      <c r="AP30" s="43" t="str">
        <f>((TotalTournamentAverages!AX22/MassFormulaTesting!$B$108)*0.68)+0.3</f>
        <v>#DIV/0!</v>
      </c>
      <c r="AQ30" s="7"/>
    </row>
    <row r="31">
      <c r="A31" s="56" t="str">
        <f>IFERROR(__xludf.DUMMYFUNCTION("Query(TotalTournamentAverages!A:AV,""Select A,L where A&lt;&gt;'' Order by L Desc Limit 1"")"),"OVERALL")</f>
        <v>OVERALL</v>
      </c>
      <c r="B31" s="54" t="str">
        <f>IFERROR(__xludf.DUMMYFUNCTION("""COMPUTED_VALUE"""),"avg GameTime")</f>
        <v>avg GameTime</v>
      </c>
      <c r="C31" s="52"/>
      <c r="D31" s="40" t="str">
        <f t="shared" si="1"/>
        <v>#DIV/0!</v>
      </c>
      <c r="E31" s="45" t="str">
        <f>TotalTournamentAverages!A23</f>
        <v>Itzreelz</v>
      </c>
      <c r="F31" s="46">
        <f t="shared" si="2"/>
        <v>0.3</v>
      </c>
      <c r="G31" s="47">
        <f>((TotalTournamentAverages!D23/MassFormulaTesting!$B$16)*0.68)+0.3</f>
        <v>0.4942857143</v>
      </c>
      <c r="H31" s="47">
        <f>((TotalTournamentAverages!E23/MassFormulaTesting!$B$18)*0.68)+0.3</f>
        <v>0.630183727</v>
      </c>
      <c r="I31" s="47">
        <f>((TotalTournamentAverages!F23/MassFormulaTesting!$B$20)*0.68)+0.3</f>
        <v>0.6853333333</v>
      </c>
      <c r="J31" s="47">
        <f>(IFERROR(MassFormulaTesting!$C$22/TotalTournamentAverages!G23,"")*0.68)+0.3</f>
        <v>0.5965116279</v>
      </c>
      <c r="K31" s="13">
        <f>(((TotalTournamentAverages!H23+118)/(MassFormulaTesting!$B$24+118))*0.68)+0.3</f>
        <v>0.8463820471</v>
      </c>
      <c r="L31" s="47">
        <f>((TotalTournamentAverages!I23/MassFormulaTesting!$B$26)*0.68)+0.3</f>
        <v>0.56</v>
      </c>
      <c r="M31" s="47">
        <f>((0.98-(TotalTournamentAverages!J23/MassFormulaTesting!$B$28)*0.68))</f>
        <v>0.7382222222</v>
      </c>
      <c r="N31" s="47">
        <f>((TotalTournamentAverages!K23/MassFormulaTesting!$B$30)*0.68)+0.3</f>
        <v>0.6125278953</v>
      </c>
      <c r="O31" s="47">
        <f>((TotalTournamentAverages!L23/MassFormulaTesting!$B$32)*0.68)+0.3</f>
        <v>0.6393020685</v>
      </c>
      <c r="P31" s="47">
        <f>((TotalTournamentAverages!M23/MassFormulaTesting!$B$34)*0.68)+0.3</f>
        <v>0.5747474747</v>
      </c>
      <c r="Q31" s="47">
        <f>((TotalTournamentAverages!N23/MassFormulaTesting!$B$36)*0.68)+0.3</f>
        <v>0.4236363636</v>
      </c>
      <c r="R31" s="47">
        <f>((TotalTournamentAverages!O23/MassFormulaTesting!$B$38)*0.68)+0.3</f>
        <v>0.3</v>
      </c>
      <c r="S31" s="47">
        <f>(IFERROR(TotalTournamentAverages!P23/MassFormulaTesting!$B$40,"")*0.68)+0.3</f>
        <v>0.3</v>
      </c>
      <c r="T31" s="47">
        <f>((TotalTournamentAverages!T23/MassFormulaTesting!$B$48)*0.68)+0.3</f>
        <v>0.64</v>
      </c>
      <c r="U31" s="47">
        <f>((TotalTournamentAverages!U23/MassFormulaTesting!$B$50)*0.68)+0.3</f>
        <v>0.64</v>
      </c>
      <c r="V31" s="47">
        <f>((TotalTournamentAverages!V23/MassFormulaTesting!$B$52)*0.68)+0.3</f>
        <v>0.5266666667</v>
      </c>
      <c r="W31" s="47">
        <f>(IFERROR(TotalTournamentAverages!W23/MassFormulaTesting!$B$54,"")*0.68)+0.3</f>
        <v>0.3</v>
      </c>
      <c r="X31" s="47">
        <f>(IFERROR(TotalTournamentAverages!X23/MassFormulaTesting!$B$56,"")*0.68)+0.3</f>
        <v>0.3</v>
      </c>
      <c r="Y31" s="47">
        <f>(IFERROR(TotalTournamentAverages!Y23/MassFormulaTesting!$B$58,"")*0.68)+0.3</f>
        <v>0.3</v>
      </c>
      <c r="Z31" s="43">
        <f>(IFERROR(TotalTournamentAverages!Z23/MassFormulaTesting!$B$60,"")*0.68)+0.3</f>
        <v>0.3</v>
      </c>
      <c r="AA31" s="43">
        <f>((TotalTournamentAverages!AD23/MassFormulaTesting!$B$68)*0.68)+0.3</f>
        <v>0.3</v>
      </c>
      <c r="AB31" s="43" t="str">
        <f>((TotalTournamentAverages!AG23/MassFormulaTesting!$B$74)*0.68)+0.3</f>
        <v>#DIV/0!</v>
      </c>
      <c r="AC31" s="43" t="str">
        <f>((TotalTournamentAverages!AH23/MassFormulaTesting!$B$76)*0.68)+0.3</f>
        <v>#DIV/0!</v>
      </c>
      <c r="AD31" s="43" t="str">
        <f>((TotalTournamentAverages!AK23/MassFormulaTesting!$B$82)*0.68)+0.3</f>
        <v>#DIV/0!</v>
      </c>
      <c r="AE31" s="43" t="str">
        <f>((TotalTournamentAverages!AL23/MassFormulaTesting!$B$84)*0.68)+0.3</f>
        <v>#DIV/0!</v>
      </c>
      <c r="AF31" s="43" t="str">
        <f>((TotalTournamentAverages!AM23/MassFormulaTesting!$B$86)*0.68)+0.3</f>
        <v>#DIV/0!</v>
      </c>
      <c r="AG31" s="43" t="str">
        <f>((TotalTournamentAverages!AN23/MassFormulaTesting!$B$88)*0.68)+0.3</f>
        <v>#DIV/0!</v>
      </c>
      <c r="AH31" s="43" t="str">
        <f>((TotalTournamentAverages!AO23/MassFormulaTesting!$B$90)*0.68)+0.3</f>
        <v>#DIV/0!</v>
      </c>
      <c r="AI31" s="43" t="str">
        <f>((TotalTournamentAverages!AP23/MassFormulaTesting!$B$92)*0.68)+0.3</f>
        <v>#DIV/0!</v>
      </c>
      <c r="AJ31" s="43" t="str">
        <f>((TotalTournamentAverages!AQ23/MassFormulaTesting!$B$94)*0.68)+0.3</f>
        <v>#DIV/0!</v>
      </c>
      <c r="AK31" s="43" t="str">
        <f>((TotalTournamentAverages!AR23/MassFormulaTesting!$B$96)*0.68)+0.3</f>
        <v>#DIV/0!</v>
      </c>
      <c r="AL31" s="43" t="str">
        <f>((TotalTournamentAverages!AS23/MassFormulaTesting!$B$98)*0.68)+0.3</f>
        <v>#DIV/0!</v>
      </c>
      <c r="AM31" s="43" t="str">
        <f>((TotalTournamentAverages!AT23/MassFormulaTesting!$B$100)*0.68)+0.3</f>
        <v>#DIV/0!</v>
      </c>
      <c r="AN31" s="43" t="str">
        <f>((TotalTournamentAverages!AV23/MassFormulaTesting!$B$104)*0.68)+0.3</f>
        <v>#DIV/0!</v>
      </c>
      <c r="AO31" s="43" t="str">
        <f>((TotalTournamentAverages!AW23/MassFormulaTesting!$B$106)*0.68)+0.3</f>
        <v>#DIV/0!</v>
      </c>
      <c r="AP31" s="43" t="str">
        <f>((TotalTournamentAverages!AX23/MassFormulaTesting!$B$108)*0.68)+0.3</f>
        <v>#DIV/0!</v>
      </c>
      <c r="AQ31" s="7"/>
    </row>
    <row r="32">
      <c r="A32" s="50" t="str">
        <f>IFERROR(__xludf.DUMMYFUNCTION("""COMPUTED_VALUE"""),"Yejis Aegyo")</f>
        <v>Yejis Aegyo</v>
      </c>
      <c r="B32" s="51">
        <f>IFERROR(__xludf.DUMMYFUNCTION("""COMPUTED_VALUE"""),2111.0)</f>
        <v>2111</v>
      </c>
      <c r="C32" s="52"/>
      <c r="D32" s="40" t="str">
        <f t="shared" si="1"/>
        <v>#DIV/0!</v>
      </c>
      <c r="E32" s="45" t="str">
        <f>TotalTournamentAverages!A24</f>
        <v>Judasey</v>
      </c>
      <c r="F32" s="46">
        <f t="shared" si="2"/>
        <v>0.3</v>
      </c>
      <c r="G32" s="47">
        <f>((TotalTournamentAverages!D24/MassFormulaTesting!$B$16)*0.68)+0.3</f>
        <v>0.4942857143</v>
      </c>
      <c r="H32" s="47">
        <f>((TotalTournamentAverages!E24/MassFormulaTesting!$B$18)*0.68)+0.3</f>
        <v>0.6306299213</v>
      </c>
      <c r="I32" s="47">
        <f>((TotalTournamentAverages!F24/MassFormulaTesting!$B$20)*0.68)+0.3</f>
        <v>0.691</v>
      </c>
      <c r="J32" s="47">
        <f>(IFERROR(MassFormulaTesting!$C$22/TotalTournamentAverages!G24,"")*0.68)+0.3</f>
        <v>0.6469387755</v>
      </c>
      <c r="K32" s="13">
        <f>(((TotalTournamentAverages!H24+118)/(MassFormulaTesting!$B$24+118))*0.68)+0.3</f>
        <v>0.8839737274</v>
      </c>
      <c r="L32" s="47">
        <f>((TotalTournamentAverages!I24/MassFormulaTesting!$B$26)*0.68)+0.3</f>
        <v>0.57</v>
      </c>
      <c r="M32" s="47">
        <f>((0.98-(TotalTournamentAverages!J24/MassFormulaTesting!$B$28)*0.68))</f>
        <v>0.5266666667</v>
      </c>
      <c r="N32" s="47">
        <f>((TotalTournamentAverages!K24/MassFormulaTesting!$B$30)*0.68)+0.3</f>
        <v>0.5648114659</v>
      </c>
      <c r="O32" s="47">
        <f>((TotalTournamentAverages!L24/MassFormulaTesting!$B$32)*0.68)+0.3</f>
        <v>0.5897489342</v>
      </c>
      <c r="P32" s="47">
        <f>((TotalTournamentAverages!M24/MassFormulaTesting!$B$34)*0.68)+0.3</f>
        <v>0.5678787879</v>
      </c>
      <c r="Q32" s="47">
        <f>((TotalTournamentAverages!N24/MassFormulaTesting!$B$36)*0.68)+0.3</f>
        <v>0.4390909091</v>
      </c>
      <c r="R32" s="47">
        <f>((TotalTournamentAverages!O24/MassFormulaTesting!$B$38)*0.68)+0.3</f>
        <v>0.3</v>
      </c>
      <c r="S32" s="47">
        <f>(IFERROR(TotalTournamentAverages!P24/MassFormulaTesting!$B$40,"")*0.68)+0.3</f>
        <v>0.3</v>
      </c>
      <c r="T32" s="47">
        <f>((TotalTournamentAverages!T24/MassFormulaTesting!$B$48)*0.68)+0.3</f>
        <v>0.725</v>
      </c>
      <c r="U32" s="47">
        <f>((TotalTournamentAverages!U24/MassFormulaTesting!$B$50)*0.68)+0.3</f>
        <v>0.6825</v>
      </c>
      <c r="V32" s="47">
        <f>((TotalTournamentAverages!V24/MassFormulaTesting!$B$52)*0.68)+0.3</f>
        <v>0.47</v>
      </c>
      <c r="W32" s="47">
        <f>(IFERROR(TotalTournamentAverages!W24/MassFormulaTesting!$B$54,"")*0.68)+0.3</f>
        <v>0.3</v>
      </c>
      <c r="X32" s="47">
        <f>(IFERROR(TotalTournamentAverages!X24/MassFormulaTesting!$B$56,"")*0.68)+0.3</f>
        <v>0.3</v>
      </c>
      <c r="Y32" s="47">
        <f>(IFERROR(TotalTournamentAverages!Y24/MassFormulaTesting!$B$58,"")*0.68)+0.3</f>
        <v>0.3</v>
      </c>
      <c r="Z32" s="43">
        <f>(IFERROR(TotalTournamentAverages!Z24/MassFormulaTesting!$B$60,"")*0.68)+0.3</f>
        <v>0.3</v>
      </c>
      <c r="AA32" s="43">
        <f>((TotalTournamentAverages!AD24/MassFormulaTesting!$B$68)*0.68)+0.3</f>
        <v>0.3</v>
      </c>
      <c r="AB32" s="43" t="str">
        <f>((TotalTournamentAverages!AG24/MassFormulaTesting!$B$74)*0.68)+0.3</f>
        <v>#DIV/0!</v>
      </c>
      <c r="AC32" s="43" t="str">
        <f>((TotalTournamentAverages!AH24/MassFormulaTesting!$B$76)*0.68)+0.3</f>
        <v>#DIV/0!</v>
      </c>
      <c r="AD32" s="43" t="str">
        <f>((TotalTournamentAverages!AK24/MassFormulaTesting!$B$82)*0.68)+0.3</f>
        <v>#DIV/0!</v>
      </c>
      <c r="AE32" s="43" t="str">
        <f>((TotalTournamentAverages!AL24/MassFormulaTesting!$B$84)*0.68)+0.3</f>
        <v>#DIV/0!</v>
      </c>
      <c r="AF32" s="43" t="str">
        <f>((TotalTournamentAverages!AM24/MassFormulaTesting!$B$86)*0.68)+0.3</f>
        <v>#DIV/0!</v>
      </c>
      <c r="AG32" s="43" t="str">
        <f>((TotalTournamentAverages!AN24/MassFormulaTesting!$B$88)*0.68)+0.3</f>
        <v>#DIV/0!</v>
      </c>
      <c r="AH32" s="43" t="str">
        <f>((TotalTournamentAverages!AO24/MassFormulaTesting!$B$90)*0.68)+0.3</f>
        <v>#DIV/0!</v>
      </c>
      <c r="AI32" s="43" t="str">
        <f>((TotalTournamentAverages!AP24/MassFormulaTesting!$B$92)*0.68)+0.3</f>
        <v>#DIV/0!</v>
      </c>
      <c r="AJ32" s="43" t="str">
        <f>((TotalTournamentAverages!AQ24/MassFormulaTesting!$B$94)*0.68)+0.3</f>
        <v>#DIV/0!</v>
      </c>
      <c r="AK32" s="43" t="str">
        <f>((TotalTournamentAverages!AR24/MassFormulaTesting!$B$96)*0.68)+0.3</f>
        <v>#DIV/0!</v>
      </c>
      <c r="AL32" s="43" t="str">
        <f>((TotalTournamentAverages!AS24/MassFormulaTesting!$B$98)*0.68)+0.3</f>
        <v>#DIV/0!</v>
      </c>
      <c r="AM32" s="43" t="str">
        <f>((TotalTournamentAverages!AT24/MassFormulaTesting!$B$100)*0.68)+0.3</f>
        <v>#DIV/0!</v>
      </c>
      <c r="AN32" s="43" t="str">
        <f>((TotalTournamentAverages!AV24/MassFormulaTesting!$B$104)*0.68)+0.3</f>
        <v>#DIV/0!</v>
      </c>
      <c r="AO32" s="43" t="str">
        <f>((TotalTournamentAverages!AW24/MassFormulaTesting!$B$106)*0.68)+0.3</f>
        <v>#DIV/0!</v>
      </c>
      <c r="AP32" s="43" t="str">
        <f>((TotalTournamentAverages!AX24/MassFormulaTesting!$B$108)*0.68)+0.3</f>
        <v>#DIV/0!</v>
      </c>
      <c r="AQ32" s="7"/>
    </row>
    <row r="33">
      <c r="A33" s="56" t="str">
        <f>IFERROR(__xludf.DUMMYFUNCTION("Query(TotalTournamentAverages!A:AV,""Select A,M where A&lt;&gt;'' Order by M Desc Limit 1"")"),"OVERALL")</f>
        <v>OVERALL</v>
      </c>
      <c r="B33" s="54" t="str">
        <f>IFERROR(__xludf.DUMMYFUNCTION("""COMPUTED_VALUE"""),"avg AverageLife")</f>
        <v>avg AverageLife</v>
      </c>
      <c r="C33" s="52"/>
      <c r="D33" s="40" t="str">
        <f t="shared" si="1"/>
        <v>#DIV/0!</v>
      </c>
      <c r="E33" s="45" t="str">
        <f>TotalTournamentAverages!A25</f>
        <v>Kgod Online</v>
      </c>
      <c r="F33" s="46">
        <f t="shared" si="2"/>
        <v>0.3</v>
      </c>
      <c r="G33" s="47">
        <f>((TotalTournamentAverages!D25/MassFormulaTesting!$B$16)*0.68)+0.3</f>
        <v>0.3</v>
      </c>
      <c r="H33" s="47">
        <f>((TotalTournamentAverages!E25/MassFormulaTesting!$B$18)*0.68)+0.3</f>
        <v>0.5088188976</v>
      </c>
      <c r="I33" s="47">
        <f>((TotalTournamentAverages!F25/MassFormulaTesting!$B$20)*0.68)+0.3</f>
        <v>0.436</v>
      </c>
      <c r="J33" s="47">
        <f>(IFERROR(MassFormulaTesting!$C$22/TotalTournamentAverages!G25,"")*0.68)+0.3</f>
        <v>0.5328767123</v>
      </c>
      <c r="K33" s="13">
        <f>(((TotalTournamentAverages!H25+118)/(MassFormulaTesting!$B$24+118))*0.68)+0.3</f>
        <v>0.6751724138</v>
      </c>
      <c r="L33" s="47">
        <f>((TotalTournamentAverages!I25/MassFormulaTesting!$B$26)*0.68)+0.3</f>
        <v>0.48</v>
      </c>
      <c r="M33" s="47">
        <f>((0.98-(TotalTournamentAverages!J25/MassFormulaTesting!$B$28)*0.68))</f>
        <v>0.6173333333</v>
      </c>
      <c r="N33" s="47">
        <f>((TotalTournamentAverages!K25/MassFormulaTesting!$B$30)*0.68)+0.3</f>
        <v>0.5060407849</v>
      </c>
      <c r="O33" s="47">
        <f>((TotalTournamentAverages!L25/MassFormulaTesting!$B$32)*0.68)+0.3</f>
        <v>0.5647844623</v>
      </c>
      <c r="P33" s="47">
        <f>((TotalTournamentAverages!M25/MassFormulaTesting!$B$34)*0.68)+0.3</f>
        <v>0.4442424242</v>
      </c>
      <c r="Q33" s="47">
        <f>((TotalTournamentAverages!N25/MassFormulaTesting!$B$36)*0.68)+0.3</f>
        <v>0.3</v>
      </c>
      <c r="R33" s="47">
        <f>((TotalTournamentAverages!O25/MassFormulaTesting!$B$38)*0.68)+0.3</f>
        <v>0.3</v>
      </c>
      <c r="S33" s="47">
        <f>(IFERROR(TotalTournamentAverages!P25/MassFormulaTesting!$B$40,"")*0.68)+0.3</f>
        <v>0.3</v>
      </c>
      <c r="T33" s="47">
        <f>((TotalTournamentAverages!T25/MassFormulaTesting!$B$48)*0.68)+0.3</f>
        <v>0.3</v>
      </c>
      <c r="U33" s="47">
        <f>((TotalTournamentAverages!U25/MassFormulaTesting!$B$50)*0.68)+0.3</f>
        <v>0.3</v>
      </c>
      <c r="V33" s="47">
        <f>((TotalTournamentAverages!V25/MassFormulaTesting!$B$52)*0.68)+0.3</f>
        <v>0.3</v>
      </c>
      <c r="W33" s="47">
        <f>(IFERROR(TotalTournamentAverages!W25/MassFormulaTesting!$B$54,"")*0.68)+0.3</f>
        <v>0.3</v>
      </c>
      <c r="X33" s="47">
        <f>(IFERROR(TotalTournamentAverages!X25/MassFormulaTesting!$B$56,"")*0.68)+0.3</f>
        <v>0.3</v>
      </c>
      <c r="Y33" s="47">
        <f>(IFERROR(TotalTournamentAverages!Y25/MassFormulaTesting!$B$58,"")*0.68)+0.3</f>
        <v>0.3</v>
      </c>
      <c r="Z33" s="43">
        <f>(IFERROR(TotalTournamentAverages!Z25/MassFormulaTesting!$B$60,"")*0.68)+0.3</f>
        <v>0.3</v>
      </c>
      <c r="AA33" s="43">
        <f>((TotalTournamentAverages!AD25/MassFormulaTesting!$B$68)*0.68)+0.3</f>
        <v>0.3</v>
      </c>
      <c r="AB33" s="43" t="str">
        <f>((TotalTournamentAverages!AG25/MassFormulaTesting!$B$74)*0.68)+0.3</f>
        <v>#DIV/0!</v>
      </c>
      <c r="AC33" s="43" t="str">
        <f>((TotalTournamentAverages!AH25/MassFormulaTesting!$B$76)*0.68)+0.3</f>
        <v>#DIV/0!</v>
      </c>
      <c r="AD33" s="43" t="str">
        <f>((TotalTournamentAverages!AK25/MassFormulaTesting!$B$82)*0.68)+0.3</f>
        <v>#DIV/0!</v>
      </c>
      <c r="AE33" s="43" t="str">
        <f>((TotalTournamentAverages!AL25/MassFormulaTesting!$B$84)*0.68)+0.3</f>
        <v>#DIV/0!</v>
      </c>
      <c r="AF33" s="43" t="str">
        <f>((TotalTournamentAverages!AM25/MassFormulaTesting!$B$86)*0.68)+0.3</f>
        <v>#DIV/0!</v>
      </c>
      <c r="AG33" s="43" t="str">
        <f>((TotalTournamentAverages!AN25/MassFormulaTesting!$B$88)*0.68)+0.3</f>
        <v>#DIV/0!</v>
      </c>
      <c r="AH33" s="43" t="str">
        <f>((TotalTournamentAverages!AO25/MassFormulaTesting!$B$90)*0.68)+0.3</f>
        <v>#DIV/0!</v>
      </c>
      <c r="AI33" s="43" t="str">
        <f>((TotalTournamentAverages!AP25/MassFormulaTesting!$B$92)*0.68)+0.3</f>
        <v>#DIV/0!</v>
      </c>
      <c r="AJ33" s="43" t="str">
        <f>((TotalTournamentAverages!AQ25/MassFormulaTesting!$B$94)*0.68)+0.3</f>
        <v>#DIV/0!</v>
      </c>
      <c r="AK33" s="43" t="str">
        <f>((TotalTournamentAverages!AR25/MassFormulaTesting!$B$96)*0.68)+0.3</f>
        <v>#DIV/0!</v>
      </c>
      <c r="AL33" s="43" t="str">
        <f>((TotalTournamentAverages!AS25/MassFormulaTesting!$B$98)*0.68)+0.3</f>
        <v>#DIV/0!</v>
      </c>
      <c r="AM33" s="43" t="str">
        <f>((TotalTournamentAverages!AT25/MassFormulaTesting!$B$100)*0.68)+0.3</f>
        <v>#DIV/0!</v>
      </c>
      <c r="AN33" s="43" t="str">
        <f>((TotalTournamentAverages!AV25/MassFormulaTesting!$B$104)*0.68)+0.3</f>
        <v>#DIV/0!</v>
      </c>
      <c r="AO33" s="43" t="str">
        <f>((TotalTournamentAverages!AW25/MassFormulaTesting!$B$106)*0.68)+0.3</f>
        <v>#DIV/0!</v>
      </c>
      <c r="AP33" s="43" t="str">
        <f>((TotalTournamentAverages!AX25/MassFormulaTesting!$B$108)*0.68)+0.3</f>
        <v>#DIV/0!</v>
      </c>
      <c r="AQ33" s="7"/>
    </row>
    <row r="34">
      <c r="A34" s="50" t="str">
        <f>IFERROR(__xludf.DUMMYFUNCTION("""COMPUTED_VALUE"""),"yLuxe")</f>
        <v>yLuxe</v>
      </c>
      <c r="B34" s="51">
        <f>IFERROR(__xludf.DUMMYFUNCTION("""COMPUTED_VALUE"""),33.0)</f>
        <v>33</v>
      </c>
      <c r="C34" s="52"/>
      <c r="D34" s="40" t="str">
        <f t="shared" si="1"/>
        <v>#DIV/0!</v>
      </c>
      <c r="E34" s="45" t="str">
        <f>TotalTournamentAverages!A26</f>
        <v>L1ght5aber</v>
      </c>
      <c r="F34" s="46">
        <f t="shared" si="2"/>
        <v>0.3</v>
      </c>
      <c r="G34" s="47">
        <f>((TotalTournamentAverages!D26/MassFormulaTesting!$B$16)*0.68)+0.3</f>
        <v>0.3</v>
      </c>
      <c r="H34" s="47">
        <f>((TotalTournamentAverages!E26/MassFormulaTesting!$B$18)*0.68)+0.3</f>
        <v>0.9103937008</v>
      </c>
      <c r="I34" s="47">
        <f>((TotalTournamentAverages!F26/MassFormulaTesting!$B$20)*0.68)+0.3</f>
        <v>0.98</v>
      </c>
      <c r="J34" s="47">
        <f>(IFERROR(MassFormulaTesting!$C$22/TotalTournamentAverages!G26,"")*0.68)+0.3</f>
        <v>0.4444759207</v>
      </c>
      <c r="K34" s="13">
        <f>(((TotalTournamentAverages!H26+118)/(MassFormulaTesting!$B$24+118))*0.68)+0.3</f>
        <v>0.810651341</v>
      </c>
      <c r="L34" s="47">
        <f>((TotalTournamentAverages!I26/MassFormulaTesting!$B$26)*0.68)+0.3</f>
        <v>0.6</v>
      </c>
      <c r="M34" s="47">
        <f>((0.98-(TotalTournamentAverages!J26/MassFormulaTesting!$B$28)*0.68))</f>
        <v>0.6173333333</v>
      </c>
      <c r="N34" s="47">
        <f>((TotalTournamentAverages!K26/MassFormulaTesting!$B$30)*0.68)+0.3</f>
        <v>0.8691958446</v>
      </c>
      <c r="O34" s="47">
        <f>((TotalTournamentAverages!L26/MassFormulaTesting!$B$32)*0.68)+0.3</f>
        <v>0.9118174641</v>
      </c>
      <c r="P34" s="47">
        <f>((TotalTournamentAverages!M26/MassFormulaTesting!$B$34)*0.68)+0.3</f>
        <v>0.5541414141</v>
      </c>
      <c r="Q34" s="47">
        <f>((TotalTournamentAverages!N26/MassFormulaTesting!$B$36)*0.68)+0.3</f>
        <v>0.4236363636</v>
      </c>
      <c r="R34" s="47">
        <f>((TotalTournamentAverages!O26/MassFormulaTesting!$B$38)*0.68)+0.3</f>
        <v>0.3</v>
      </c>
      <c r="S34" s="47">
        <f>(IFERROR(TotalTournamentAverages!P26/MassFormulaTesting!$B$40,"")*0.68)+0.3</f>
        <v>0.3</v>
      </c>
      <c r="T34" s="47">
        <f>((TotalTournamentAverages!T26/MassFormulaTesting!$B$48)*0.68)+0.3</f>
        <v>0.5266666667</v>
      </c>
      <c r="U34" s="47">
        <f>((TotalTournamentAverages!U26/MassFormulaTesting!$B$50)*0.68)+0.3</f>
        <v>0.3</v>
      </c>
      <c r="V34" s="47">
        <f>((TotalTournamentAverages!V26/MassFormulaTesting!$B$52)*0.68)+0.3</f>
        <v>0.3</v>
      </c>
      <c r="W34" s="47">
        <f>(IFERROR(TotalTournamentAverages!W26/MassFormulaTesting!$B$54,"")*0.68)+0.3</f>
        <v>0.3</v>
      </c>
      <c r="X34" s="47">
        <f>(IFERROR(TotalTournamentAverages!X26/MassFormulaTesting!$B$56,"")*0.68)+0.3</f>
        <v>0.3</v>
      </c>
      <c r="Y34" s="47">
        <f>(IFERROR(TotalTournamentAverages!Y26/MassFormulaTesting!$B$58,"")*0.68)+0.3</f>
        <v>0.3</v>
      </c>
      <c r="Z34" s="43">
        <f>(IFERROR(TotalTournamentAverages!Z26/MassFormulaTesting!$B$60,"")*0.68)+0.3</f>
        <v>0.3</v>
      </c>
      <c r="AA34" s="43">
        <f>((TotalTournamentAverages!AD26/MassFormulaTesting!$B$68)*0.68)+0.3</f>
        <v>0.3</v>
      </c>
      <c r="AB34" s="43" t="str">
        <f>((TotalTournamentAverages!AG26/MassFormulaTesting!$B$74)*0.68)+0.3</f>
        <v>#DIV/0!</v>
      </c>
      <c r="AC34" s="43" t="str">
        <f>((TotalTournamentAverages!AH26/MassFormulaTesting!$B$76)*0.68)+0.3</f>
        <v>#DIV/0!</v>
      </c>
      <c r="AD34" s="43" t="str">
        <f>((TotalTournamentAverages!AK26/MassFormulaTesting!$B$82)*0.68)+0.3</f>
        <v>#DIV/0!</v>
      </c>
      <c r="AE34" s="43" t="str">
        <f>((TotalTournamentAverages!AL26/MassFormulaTesting!$B$84)*0.68)+0.3</f>
        <v>#DIV/0!</v>
      </c>
      <c r="AF34" s="43" t="str">
        <f>((TotalTournamentAverages!AM26/MassFormulaTesting!$B$86)*0.68)+0.3</f>
        <v>#DIV/0!</v>
      </c>
      <c r="AG34" s="43" t="str">
        <f>((TotalTournamentAverages!AN26/MassFormulaTesting!$B$88)*0.68)+0.3</f>
        <v>#DIV/0!</v>
      </c>
      <c r="AH34" s="43" t="str">
        <f>((TotalTournamentAverages!AO26/MassFormulaTesting!$B$90)*0.68)+0.3</f>
        <v>#DIV/0!</v>
      </c>
      <c r="AI34" s="43" t="str">
        <f>((TotalTournamentAverages!AP26/MassFormulaTesting!$B$92)*0.68)+0.3</f>
        <v>#DIV/0!</v>
      </c>
      <c r="AJ34" s="43" t="str">
        <f>((TotalTournamentAverages!AQ26/MassFormulaTesting!$B$94)*0.68)+0.3</f>
        <v>#DIV/0!</v>
      </c>
      <c r="AK34" s="43" t="str">
        <f>((TotalTournamentAverages!AR26/MassFormulaTesting!$B$96)*0.68)+0.3</f>
        <v>#DIV/0!</v>
      </c>
      <c r="AL34" s="43" t="str">
        <f>((TotalTournamentAverages!AS26/MassFormulaTesting!$B$98)*0.68)+0.3</f>
        <v>#DIV/0!</v>
      </c>
      <c r="AM34" s="43" t="str">
        <f>((TotalTournamentAverages!AT26/MassFormulaTesting!$B$100)*0.68)+0.3</f>
        <v>#DIV/0!</v>
      </c>
      <c r="AN34" s="43" t="str">
        <f>((TotalTournamentAverages!AV26/MassFormulaTesting!$B$104)*0.68)+0.3</f>
        <v>#DIV/0!</v>
      </c>
      <c r="AO34" s="43" t="str">
        <f>((TotalTournamentAverages!AW26/MassFormulaTesting!$B$106)*0.68)+0.3</f>
        <v>#DIV/0!</v>
      </c>
      <c r="AP34" s="43" t="str">
        <f>((TotalTournamentAverages!AX26/MassFormulaTesting!$B$108)*0.68)+0.3</f>
        <v>#DIV/0!</v>
      </c>
      <c r="AQ34" s="7"/>
    </row>
    <row r="35">
      <c r="A35" s="56" t="str">
        <f>IFERROR(__xludf.DUMMYFUNCTION("Query(TotalTournamentAverages!A:AV,""Select A,N where A&lt;&gt;'' Order by N Desc Limit 1"")"),"OVERALL")</f>
        <v>OVERALL</v>
      </c>
      <c r="B35" s="54" t="str">
        <f>IFERROR(__xludf.DUMMYFUNCTION("""COMPUTED_VALUE"""),"avg KillingSprees")</f>
        <v>avg KillingSprees</v>
      </c>
      <c r="C35" s="52"/>
      <c r="D35" s="40" t="str">
        <f t="shared" si="1"/>
        <v>#DIV/0!</v>
      </c>
      <c r="E35" s="45" t="str">
        <f>TotalTournamentAverages!A27</f>
        <v>Lane Uppy</v>
      </c>
      <c r="F35" s="46">
        <f t="shared" si="2"/>
        <v>0.3</v>
      </c>
      <c r="G35" s="47">
        <f>((TotalTournamentAverages!D27/MassFormulaTesting!$B$16)*0.68)+0.3</f>
        <v>0.3</v>
      </c>
      <c r="H35" s="47">
        <f>((TotalTournamentAverages!E27/MassFormulaTesting!$B$18)*0.68)+0.3</f>
        <v>0.4927559055</v>
      </c>
      <c r="I35" s="47">
        <f>((TotalTournamentAverages!F27/MassFormulaTesting!$B$20)*0.68)+0.3</f>
        <v>0.368</v>
      </c>
      <c r="J35" s="47">
        <f>(IFERROR(MassFormulaTesting!$C$22/TotalTournamentAverages!G27,"")*0.68)+0.3</f>
        <v>0.7146341463</v>
      </c>
      <c r="K35" s="13">
        <f>(((TotalTournamentAverages!H27+118)/(MassFormulaTesting!$B$24+118))*0.68)+0.3</f>
        <v>0.8046962233</v>
      </c>
      <c r="L35" s="47">
        <f>((TotalTournamentAverages!I27/MassFormulaTesting!$B$26)*0.68)+0.3</f>
        <v>0.48</v>
      </c>
      <c r="M35" s="47">
        <f>((0.98-(TotalTournamentAverages!J27/MassFormulaTesting!$B$28)*0.68))</f>
        <v>0.98</v>
      </c>
      <c r="N35" s="47">
        <f>((TotalTournamentAverages!K27/MassFormulaTesting!$B$30)*0.68)+0.3</f>
        <v>0.5413620623</v>
      </c>
      <c r="O35" s="47">
        <f>((TotalTournamentAverages!L27/MassFormulaTesting!$B$32)*0.68)+0.3</f>
        <v>0.5647844623</v>
      </c>
      <c r="P35" s="47">
        <f>((TotalTournamentAverages!M27/MassFormulaTesting!$B$34)*0.68)+0.3</f>
        <v>0.6090909091</v>
      </c>
      <c r="Q35" s="47">
        <f>((TotalTournamentAverages!N27/MassFormulaTesting!$B$36)*0.68)+0.3</f>
        <v>0.3</v>
      </c>
      <c r="R35" s="47">
        <f>((TotalTournamentAverages!O27/MassFormulaTesting!$B$38)*0.68)+0.3</f>
        <v>0.3</v>
      </c>
      <c r="S35" s="47">
        <f>(IFERROR(TotalTournamentAverages!P27/MassFormulaTesting!$B$40,"")*0.68)+0.3</f>
        <v>0.3</v>
      </c>
      <c r="T35" s="47">
        <f>((TotalTournamentAverages!T27/MassFormulaTesting!$B$48)*0.68)+0.3</f>
        <v>0.3</v>
      </c>
      <c r="U35" s="47">
        <f>((TotalTournamentAverages!U27/MassFormulaTesting!$B$50)*0.68)+0.3</f>
        <v>0.3</v>
      </c>
      <c r="V35" s="47">
        <f>((TotalTournamentAverages!V27/MassFormulaTesting!$B$52)*0.68)+0.3</f>
        <v>0.3</v>
      </c>
      <c r="W35" s="47">
        <f>(IFERROR(TotalTournamentAverages!W27/MassFormulaTesting!$B$54,"")*0.68)+0.3</f>
        <v>0.3</v>
      </c>
      <c r="X35" s="47">
        <f>(IFERROR(TotalTournamentAverages!X27/MassFormulaTesting!$B$56,"")*0.68)+0.3</f>
        <v>0.3</v>
      </c>
      <c r="Y35" s="47">
        <f>(IFERROR(TotalTournamentAverages!Y27/MassFormulaTesting!$B$58,"")*0.68)+0.3</f>
        <v>0.3</v>
      </c>
      <c r="Z35" s="43">
        <f>(IFERROR(TotalTournamentAverages!Z27/MassFormulaTesting!$B$60,"")*0.68)+0.3</f>
        <v>0.3</v>
      </c>
      <c r="AA35" s="43">
        <f>((TotalTournamentAverages!AD27/MassFormulaTesting!$B$68)*0.68)+0.3</f>
        <v>0.3</v>
      </c>
      <c r="AB35" s="43" t="str">
        <f>((TotalTournamentAverages!AG27/MassFormulaTesting!$B$74)*0.68)+0.3</f>
        <v>#DIV/0!</v>
      </c>
      <c r="AC35" s="43" t="str">
        <f>((TotalTournamentAverages!AH27/MassFormulaTesting!$B$76)*0.68)+0.3</f>
        <v>#DIV/0!</v>
      </c>
      <c r="AD35" s="43" t="str">
        <f>((TotalTournamentAverages!AK27/MassFormulaTesting!$B$82)*0.68)+0.3</f>
        <v>#DIV/0!</v>
      </c>
      <c r="AE35" s="43" t="str">
        <f>((TotalTournamentAverages!AL27/MassFormulaTesting!$B$84)*0.68)+0.3</f>
        <v>#DIV/0!</v>
      </c>
      <c r="AF35" s="43" t="str">
        <f>((TotalTournamentAverages!AM27/MassFormulaTesting!$B$86)*0.68)+0.3</f>
        <v>#DIV/0!</v>
      </c>
      <c r="AG35" s="43" t="str">
        <f>((TotalTournamentAverages!AN27/MassFormulaTesting!$B$88)*0.68)+0.3</f>
        <v>#DIV/0!</v>
      </c>
      <c r="AH35" s="43" t="str">
        <f>((TotalTournamentAverages!AO27/MassFormulaTesting!$B$90)*0.68)+0.3</f>
        <v>#DIV/0!</v>
      </c>
      <c r="AI35" s="43" t="str">
        <f>((TotalTournamentAverages!AP27/MassFormulaTesting!$B$92)*0.68)+0.3</f>
        <v>#DIV/0!</v>
      </c>
      <c r="AJ35" s="43" t="str">
        <f>((TotalTournamentAverages!AQ27/MassFormulaTesting!$B$94)*0.68)+0.3</f>
        <v>#DIV/0!</v>
      </c>
      <c r="AK35" s="43" t="str">
        <f>((TotalTournamentAverages!AR27/MassFormulaTesting!$B$96)*0.68)+0.3</f>
        <v>#DIV/0!</v>
      </c>
      <c r="AL35" s="43" t="str">
        <f>((TotalTournamentAverages!AS27/MassFormulaTesting!$B$98)*0.68)+0.3</f>
        <v>#DIV/0!</v>
      </c>
      <c r="AM35" s="43" t="str">
        <f>((TotalTournamentAverages!AT27/MassFormulaTesting!$B$100)*0.68)+0.3</f>
        <v>#DIV/0!</v>
      </c>
      <c r="AN35" s="43" t="str">
        <f>((TotalTournamentAverages!AV27/MassFormulaTesting!$B$104)*0.68)+0.3</f>
        <v>#DIV/0!</v>
      </c>
      <c r="AO35" s="43" t="str">
        <f>((TotalTournamentAverages!AW27/MassFormulaTesting!$B$106)*0.68)+0.3</f>
        <v>#DIV/0!</v>
      </c>
      <c r="AP35" s="43" t="str">
        <f>((TotalTournamentAverages!AX27/MassFormulaTesting!$B$108)*0.68)+0.3</f>
        <v>#DIV/0!</v>
      </c>
      <c r="AQ35" s="7"/>
    </row>
    <row r="36">
      <c r="A36" s="50" t="str">
        <f>IFERROR(__xludf.DUMMYFUNCTION("""COMPUTED_VALUE"""),"Vile")</f>
        <v>Vile</v>
      </c>
      <c r="B36" s="51">
        <f>IFERROR(__xludf.DUMMYFUNCTION("""COMPUTED_VALUE"""),3.6666666666666665)</f>
        <v>3.666666667</v>
      </c>
      <c r="C36" s="52"/>
      <c r="D36" s="40" t="str">
        <f t="shared" si="1"/>
        <v>#DIV/0!</v>
      </c>
      <c r="E36" s="45" t="str">
        <f>TotalTournamentAverages!A28</f>
        <v>Laser Wins</v>
      </c>
      <c r="F36" s="46">
        <f t="shared" si="2"/>
        <v>0.3</v>
      </c>
      <c r="G36" s="47">
        <f>((TotalTournamentAverages!D28/MassFormulaTesting!$B$16)*0.68)+0.3</f>
        <v>0.3</v>
      </c>
      <c r="H36" s="47">
        <f>((TotalTournamentAverages!E28/MassFormulaTesting!$B$18)*0.68)+0.3</f>
        <v>0.465984252</v>
      </c>
      <c r="I36" s="47">
        <f>((TotalTournamentAverages!F28/MassFormulaTesting!$B$20)*0.68)+0.3</f>
        <v>0.368</v>
      </c>
      <c r="J36" s="47">
        <f>(IFERROR(MassFormulaTesting!$C$22/TotalTournamentAverages!G28,"")*0.68)+0.3</f>
        <v>0.64</v>
      </c>
      <c r="K36" s="13">
        <f>(((TotalTournamentAverages!H28+118)/(MassFormulaTesting!$B$24+118))*0.68)+0.3</f>
        <v>0.7421674877</v>
      </c>
      <c r="L36" s="47">
        <f>((TotalTournamentAverages!I28/MassFormulaTesting!$B$26)*0.68)+0.3</f>
        <v>0.54</v>
      </c>
      <c r="M36" s="47">
        <f>((0.98-(TotalTournamentAverages!J28/MassFormulaTesting!$B$28)*0.68))</f>
        <v>0.7986666667</v>
      </c>
      <c r="N36" s="47">
        <f>((TotalTournamentAverages!K28/MassFormulaTesting!$B$30)*0.68)+0.3</f>
        <v>0.531943055</v>
      </c>
      <c r="O36" s="47">
        <f>((TotalTournamentAverages!L28/MassFormulaTesting!$B$32)*0.68)+0.3</f>
        <v>0.5647844623</v>
      </c>
      <c r="P36" s="47">
        <f>((TotalTournamentAverages!M28/MassFormulaTesting!$B$34)*0.68)+0.3</f>
        <v>0.5266666667</v>
      </c>
      <c r="Q36" s="47">
        <f>((TotalTournamentAverages!N28/MassFormulaTesting!$B$36)*0.68)+0.3</f>
        <v>0.3</v>
      </c>
      <c r="R36" s="47">
        <f>((TotalTournamentAverages!O28/MassFormulaTesting!$B$38)*0.68)+0.3</f>
        <v>0.3</v>
      </c>
      <c r="S36" s="47">
        <f>(IFERROR(TotalTournamentAverages!P28/MassFormulaTesting!$B$40,"")*0.68)+0.3</f>
        <v>0.3</v>
      </c>
      <c r="T36" s="47">
        <f>((TotalTournamentAverages!T28/MassFormulaTesting!$B$48)*0.68)+0.3</f>
        <v>0.3</v>
      </c>
      <c r="U36" s="47">
        <f>((TotalTournamentAverages!U28/MassFormulaTesting!$B$50)*0.68)+0.3</f>
        <v>0.3</v>
      </c>
      <c r="V36" s="47">
        <f>((TotalTournamentAverages!V28/MassFormulaTesting!$B$52)*0.68)+0.3</f>
        <v>0.3</v>
      </c>
      <c r="W36" s="47">
        <f>(IFERROR(TotalTournamentAverages!W28/MassFormulaTesting!$B$54,"")*0.68)+0.3</f>
        <v>0.3</v>
      </c>
      <c r="X36" s="47">
        <f>(IFERROR(TotalTournamentAverages!X28/MassFormulaTesting!$B$56,"")*0.68)+0.3</f>
        <v>0.3</v>
      </c>
      <c r="Y36" s="47">
        <f>(IFERROR(TotalTournamentAverages!Y28/MassFormulaTesting!$B$58,"")*0.68)+0.3</f>
        <v>0.3</v>
      </c>
      <c r="Z36" s="43">
        <f>(IFERROR(TotalTournamentAverages!Z28/MassFormulaTesting!$B$60,"")*0.68)+0.3</f>
        <v>0.3</v>
      </c>
      <c r="AA36" s="43">
        <f>((TotalTournamentAverages!AD28/MassFormulaTesting!$B$68)*0.68)+0.3</f>
        <v>0.3</v>
      </c>
      <c r="AB36" s="43" t="str">
        <f>((TotalTournamentAverages!AG28/MassFormulaTesting!$B$74)*0.68)+0.3</f>
        <v>#DIV/0!</v>
      </c>
      <c r="AC36" s="43" t="str">
        <f>((TotalTournamentAverages!AH28/MassFormulaTesting!$B$76)*0.68)+0.3</f>
        <v>#DIV/0!</v>
      </c>
      <c r="AD36" s="43" t="str">
        <f>((TotalTournamentAverages!AK28/MassFormulaTesting!$B$82)*0.68)+0.3</f>
        <v>#DIV/0!</v>
      </c>
      <c r="AE36" s="43" t="str">
        <f>((TotalTournamentAverages!AL28/MassFormulaTesting!$B$84)*0.68)+0.3</f>
        <v>#DIV/0!</v>
      </c>
      <c r="AF36" s="43" t="str">
        <f>((TotalTournamentAverages!AM28/MassFormulaTesting!$B$86)*0.68)+0.3</f>
        <v>#DIV/0!</v>
      </c>
      <c r="AG36" s="43" t="str">
        <f>((TotalTournamentAverages!AN28/MassFormulaTesting!$B$88)*0.68)+0.3</f>
        <v>#DIV/0!</v>
      </c>
      <c r="AH36" s="43" t="str">
        <f>((TotalTournamentAverages!AO28/MassFormulaTesting!$B$90)*0.68)+0.3</f>
        <v>#DIV/0!</v>
      </c>
      <c r="AI36" s="43" t="str">
        <f>((TotalTournamentAverages!AP28/MassFormulaTesting!$B$92)*0.68)+0.3</f>
        <v>#DIV/0!</v>
      </c>
      <c r="AJ36" s="43" t="str">
        <f>((TotalTournamentAverages!AQ28/MassFormulaTesting!$B$94)*0.68)+0.3</f>
        <v>#DIV/0!</v>
      </c>
      <c r="AK36" s="43" t="str">
        <f>((TotalTournamentAverages!AR28/MassFormulaTesting!$B$96)*0.68)+0.3</f>
        <v>#DIV/0!</v>
      </c>
      <c r="AL36" s="43" t="str">
        <f>((TotalTournamentAverages!AS28/MassFormulaTesting!$B$98)*0.68)+0.3</f>
        <v>#DIV/0!</v>
      </c>
      <c r="AM36" s="43" t="str">
        <f>((TotalTournamentAverages!AT28/MassFormulaTesting!$B$100)*0.68)+0.3</f>
        <v>#DIV/0!</v>
      </c>
      <c r="AN36" s="43" t="str">
        <f>((TotalTournamentAverages!AV28/MassFormulaTesting!$B$104)*0.68)+0.3</f>
        <v>#DIV/0!</v>
      </c>
      <c r="AO36" s="43" t="str">
        <f>((TotalTournamentAverages!AW28/MassFormulaTesting!$B$106)*0.68)+0.3</f>
        <v>#DIV/0!</v>
      </c>
      <c r="AP36" s="43" t="str">
        <f>((TotalTournamentAverages!AX28/MassFormulaTesting!$B$108)*0.68)+0.3</f>
        <v>#DIV/0!</v>
      </c>
      <c r="AQ36" s="7"/>
    </row>
    <row r="37">
      <c r="A37" s="56" t="str">
        <f>IFERROR(__xludf.DUMMYFUNCTION("Query(TotalTournamentAverages!A:AV,""Select A,O where A&lt;&gt;'' Order by O Desc Limit 1"")"),"OVERALL")</f>
        <v>OVERALL</v>
      </c>
      <c r="B37" s="54" t="str">
        <f>IFERROR(__xludf.DUMMYFUNCTION("""COMPUTED_VALUE"""),"avg KillingFrenzies")</f>
        <v>avg KillingFrenzies</v>
      </c>
      <c r="C37" s="52"/>
      <c r="D37" s="40" t="str">
        <f t="shared" si="1"/>
        <v>#DIV/0!</v>
      </c>
      <c r="E37" s="45" t="str">
        <f>TotalTournamentAverages!A29</f>
        <v>Luner Panda</v>
      </c>
      <c r="F37" s="46">
        <f t="shared" si="2"/>
        <v>0.3</v>
      </c>
      <c r="G37" s="47">
        <f>((TotalTournamentAverages!D29/MassFormulaTesting!$B$16)*0.68)+0.3</f>
        <v>0.4457142857</v>
      </c>
      <c r="H37" s="47">
        <f>((TotalTournamentAverages!E29/MassFormulaTesting!$B$18)*0.68)+0.3</f>
        <v>0.7845669291</v>
      </c>
      <c r="I37" s="47">
        <f>((TotalTournamentAverages!F29/MassFormulaTesting!$B$20)*0.68)+0.3</f>
        <v>0.47</v>
      </c>
      <c r="J37" s="47">
        <f>(IFERROR(MassFormulaTesting!$C$22/TotalTournamentAverages!G29,"")*0.68)+0.3</f>
        <v>0.4725888325</v>
      </c>
      <c r="K37" s="13">
        <f>(((TotalTournamentAverages!H29+118)/(MassFormulaTesting!$B$24+118))*0.68)+0.3</f>
        <v>0.7912972085</v>
      </c>
      <c r="L37" s="47">
        <f>((TotalTournamentAverages!I29/MassFormulaTesting!$B$26)*0.68)+0.3</f>
        <v>0.6</v>
      </c>
      <c r="M37" s="47">
        <f>((0.98-(TotalTournamentAverages!J29/MassFormulaTesting!$B$28)*0.68))</f>
        <v>0.7986666667</v>
      </c>
      <c r="N37" s="47">
        <f>((TotalTournamentAverages!K29/MassFormulaTesting!$B$30)*0.68)+0.3</f>
        <v>0.7562331666</v>
      </c>
      <c r="O37" s="47">
        <f>((TotalTournamentAverages!L29/MassFormulaTesting!$B$32)*0.68)+0.3</f>
        <v>0.797356703</v>
      </c>
      <c r="P37" s="47">
        <f>((TotalTournamentAverages!M29/MassFormulaTesting!$B$34)*0.68)+0.3</f>
        <v>0.573030303</v>
      </c>
      <c r="Q37" s="47">
        <f>((TotalTournamentAverages!N29/MassFormulaTesting!$B$36)*0.68)+0.3</f>
        <v>0.3927272727</v>
      </c>
      <c r="R37" s="47">
        <f>((TotalTournamentAverages!O29/MassFormulaTesting!$B$38)*0.68)+0.3</f>
        <v>0.3</v>
      </c>
      <c r="S37" s="47">
        <f>(IFERROR(TotalTournamentAverages!P29/MassFormulaTesting!$B$40,"")*0.68)+0.3</f>
        <v>0.3</v>
      </c>
      <c r="T37" s="47">
        <f>((TotalTournamentAverages!T29/MassFormulaTesting!$B$48)*0.68)+0.3</f>
        <v>0.555</v>
      </c>
      <c r="U37" s="47">
        <f>((TotalTournamentAverages!U29/MassFormulaTesting!$B$50)*0.68)+0.3</f>
        <v>0.3</v>
      </c>
      <c r="V37" s="47">
        <f>((TotalTournamentAverages!V29/MassFormulaTesting!$B$52)*0.68)+0.3</f>
        <v>0.3</v>
      </c>
      <c r="W37" s="47">
        <f>(IFERROR(TotalTournamentAverages!W29/MassFormulaTesting!$B$54,"")*0.68)+0.3</f>
        <v>0.3</v>
      </c>
      <c r="X37" s="47">
        <f>(IFERROR(TotalTournamentAverages!X29/MassFormulaTesting!$B$56,"")*0.68)+0.3</f>
        <v>0.3</v>
      </c>
      <c r="Y37" s="47">
        <f>(IFERROR(TotalTournamentAverages!Y29/MassFormulaTesting!$B$58,"")*0.68)+0.3</f>
        <v>0.3</v>
      </c>
      <c r="Z37" s="43">
        <f>(IFERROR(TotalTournamentAverages!Z29/MassFormulaTesting!$B$60,"")*0.68)+0.3</f>
        <v>0.3</v>
      </c>
      <c r="AA37" s="43">
        <f>((TotalTournamentAverages!AD29/MassFormulaTesting!$B$68)*0.68)+0.3</f>
        <v>0.3</v>
      </c>
      <c r="AB37" s="43" t="str">
        <f>((TotalTournamentAverages!AG29/MassFormulaTesting!$B$74)*0.68)+0.3</f>
        <v>#DIV/0!</v>
      </c>
      <c r="AC37" s="43" t="str">
        <f>((TotalTournamentAverages!AH29/MassFormulaTesting!$B$76)*0.68)+0.3</f>
        <v>#DIV/0!</v>
      </c>
      <c r="AD37" s="43" t="str">
        <f>((TotalTournamentAverages!AK29/MassFormulaTesting!$B$82)*0.68)+0.3</f>
        <v>#DIV/0!</v>
      </c>
      <c r="AE37" s="43" t="str">
        <f>((TotalTournamentAverages!AL29/MassFormulaTesting!$B$84)*0.68)+0.3</f>
        <v>#DIV/0!</v>
      </c>
      <c r="AF37" s="43" t="str">
        <f>((TotalTournamentAverages!AM29/MassFormulaTesting!$B$86)*0.68)+0.3</f>
        <v>#DIV/0!</v>
      </c>
      <c r="AG37" s="43" t="str">
        <f>((TotalTournamentAverages!AN29/MassFormulaTesting!$B$88)*0.68)+0.3</f>
        <v>#DIV/0!</v>
      </c>
      <c r="AH37" s="43" t="str">
        <f>((TotalTournamentAverages!AO29/MassFormulaTesting!$B$90)*0.68)+0.3</f>
        <v>#DIV/0!</v>
      </c>
      <c r="AI37" s="43" t="str">
        <f>((TotalTournamentAverages!AP29/MassFormulaTesting!$B$92)*0.68)+0.3</f>
        <v>#DIV/0!</v>
      </c>
      <c r="AJ37" s="43" t="str">
        <f>((TotalTournamentAverages!AQ29/MassFormulaTesting!$B$94)*0.68)+0.3</f>
        <v>#DIV/0!</v>
      </c>
      <c r="AK37" s="43" t="str">
        <f>((TotalTournamentAverages!AR29/MassFormulaTesting!$B$96)*0.68)+0.3</f>
        <v>#DIV/0!</v>
      </c>
      <c r="AL37" s="43" t="str">
        <f>((TotalTournamentAverages!AS29/MassFormulaTesting!$B$98)*0.68)+0.3</f>
        <v>#DIV/0!</v>
      </c>
      <c r="AM37" s="43" t="str">
        <f>((TotalTournamentAverages!AT29/MassFormulaTesting!$B$100)*0.68)+0.3</f>
        <v>#DIV/0!</v>
      </c>
      <c r="AN37" s="43" t="str">
        <f>((TotalTournamentAverages!AV29/MassFormulaTesting!$B$104)*0.68)+0.3</f>
        <v>#DIV/0!</v>
      </c>
      <c r="AO37" s="43" t="str">
        <f>((TotalTournamentAverages!AW29/MassFormulaTesting!$B$106)*0.68)+0.3</f>
        <v>#DIV/0!</v>
      </c>
      <c r="AP37" s="43" t="str">
        <f>((TotalTournamentAverages!AX29/MassFormulaTesting!$B$108)*0.68)+0.3</f>
        <v>#DIV/0!</v>
      </c>
      <c r="AQ37" s="7"/>
    </row>
    <row r="38">
      <c r="A38" s="50" t="str">
        <f>IFERROR(__xludf.DUMMYFUNCTION("""COMPUTED_VALUE"""),"Vile")</f>
        <v>Vile</v>
      </c>
      <c r="B38" s="51">
        <f>IFERROR(__xludf.DUMMYFUNCTION("""COMPUTED_VALUE"""),1.0)</f>
        <v>1</v>
      </c>
      <c r="C38" s="52"/>
      <c r="D38" s="40" t="str">
        <f t="shared" si="1"/>
        <v>#DIV/0!</v>
      </c>
      <c r="E38" s="45" t="str">
        <f>TotalTournamentAverages!A30</f>
        <v>Mavbrid</v>
      </c>
      <c r="F38" s="46">
        <f t="shared" si="2"/>
        <v>0.3</v>
      </c>
      <c r="G38" s="47">
        <f>((TotalTournamentAverages!D30/MassFormulaTesting!$B$16)*0.68)+0.3</f>
        <v>0.3</v>
      </c>
      <c r="H38" s="47">
        <f>((TotalTournamentAverages!E30/MassFormulaTesting!$B$18)*0.68)+0.3</f>
        <v>0.5168503937</v>
      </c>
      <c r="I38" s="47">
        <f>((TotalTournamentAverages!F30/MassFormulaTesting!$B$20)*0.68)+0.3</f>
        <v>0.47</v>
      </c>
      <c r="J38" s="47">
        <f>(IFERROR(MassFormulaTesting!$C$22/TotalTournamentAverages!G30,"")*0.68)+0.3</f>
        <v>0.6035714286</v>
      </c>
      <c r="K38" s="13">
        <f>(((TotalTournamentAverages!H30+118)/(MassFormulaTesting!$B$24+118))*0.68)+0.3</f>
        <v>0.7577996716</v>
      </c>
      <c r="L38" s="47">
        <f>((TotalTournamentAverages!I30/MassFormulaTesting!$B$26)*0.68)+0.3</f>
        <v>0.51</v>
      </c>
      <c r="M38" s="47">
        <f>((0.98-(TotalTournamentAverages!J30/MassFormulaTesting!$B$28)*0.68))</f>
        <v>0.7986666667</v>
      </c>
      <c r="N38" s="47">
        <f>((TotalTournamentAverages!K30/MassFormulaTesting!$B$30)*0.68)+0.3</f>
        <v>0.559611389</v>
      </c>
      <c r="O38" s="47">
        <f>((TotalTournamentAverages!L30/MassFormulaTesting!$B$32)*0.68)+0.3</f>
        <v>0.5889436286</v>
      </c>
      <c r="P38" s="47">
        <f>((TotalTournamentAverages!M30/MassFormulaTesting!$B$34)*0.68)+0.3</f>
        <v>0.536969697</v>
      </c>
      <c r="Q38" s="47">
        <f>((TotalTournamentAverages!N30/MassFormulaTesting!$B$36)*0.68)+0.3</f>
        <v>0.3</v>
      </c>
      <c r="R38" s="47">
        <f>((TotalTournamentAverages!O30/MassFormulaTesting!$B$38)*0.68)+0.3</f>
        <v>0.3</v>
      </c>
      <c r="S38" s="47">
        <f>(IFERROR(TotalTournamentAverages!P30/MassFormulaTesting!$B$40,"")*0.68)+0.3</f>
        <v>0.3</v>
      </c>
      <c r="T38" s="47">
        <f>((TotalTournamentAverages!T30/MassFormulaTesting!$B$48)*0.68)+0.3</f>
        <v>0.3</v>
      </c>
      <c r="U38" s="47">
        <f>((TotalTournamentAverages!U30/MassFormulaTesting!$B$50)*0.68)+0.3</f>
        <v>0.3</v>
      </c>
      <c r="V38" s="47">
        <f>((TotalTournamentAverages!V30/MassFormulaTesting!$B$52)*0.68)+0.3</f>
        <v>0.3</v>
      </c>
      <c r="W38" s="47">
        <f>(IFERROR(TotalTournamentAverages!W30/MassFormulaTesting!$B$54,"")*0.68)+0.3</f>
        <v>0.3</v>
      </c>
      <c r="X38" s="47">
        <f>(IFERROR(TotalTournamentAverages!X30/MassFormulaTesting!$B$56,"")*0.68)+0.3</f>
        <v>0.3</v>
      </c>
      <c r="Y38" s="47">
        <f>(IFERROR(TotalTournamentAverages!Y30/MassFormulaTesting!$B$58,"")*0.68)+0.3</f>
        <v>0.3</v>
      </c>
      <c r="Z38" s="43">
        <f>(IFERROR(TotalTournamentAverages!Z30/MassFormulaTesting!$B$60,"")*0.68)+0.3</f>
        <v>0.3</v>
      </c>
      <c r="AA38" s="43">
        <f>((TotalTournamentAverages!AD30/MassFormulaTesting!$B$68)*0.68)+0.3</f>
        <v>0.3</v>
      </c>
      <c r="AB38" s="43" t="str">
        <f>((TotalTournamentAverages!AG30/MassFormulaTesting!$B$74)*0.68)+0.3</f>
        <v>#DIV/0!</v>
      </c>
      <c r="AC38" s="43" t="str">
        <f>((TotalTournamentAverages!AH30/MassFormulaTesting!$B$76)*0.68)+0.3</f>
        <v>#DIV/0!</v>
      </c>
      <c r="AD38" s="43" t="str">
        <f>((TotalTournamentAverages!AK30/MassFormulaTesting!$B$82)*0.68)+0.3</f>
        <v>#DIV/0!</v>
      </c>
      <c r="AE38" s="43" t="str">
        <f>((TotalTournamentAverages!AL30/MassFormulaTesting!$B$84)*0.68)+0.3</f>
        <v>#DIV/0!</v>
      </c>
      <c r="AF38" s="43" t="str">
        <f>((TotalTournamentAverages!AM30/MassFormulaTesting!$B$86)*0.68)+0.3</f>
        <v>#DIV/0!</v>
      </c>
      <c r="AG38" s="43" t="str">
        <f>((TotalTournamentAverages!AN30/MassFormulaTesting!$B$88)*0.68)+0.3</f>
        <v>#DIV/0!</v>
      </c>
      <c r="AH38" s="43" t="str">
        <f>((TotalTournamentAverages!AO30/MassFormulaTesting!$B$90)*0.68)+0.3</f>
        <v>#DIV/0!</v>
      </c>
      <c r="AI38" s="43" t="str">
        <f>((TotalTournamentAverages!AP30/MassFormulaTesting!$B$92)*0.68)+0.3</f>
        <v>#DIV/0!</v>
      </c>
      <c r="AJ38" s="43" t="str">
        <f>((TotalTournamentAverages!AQ30/MassFormulaTesting!$B$94)*0.68)+0.3</f>
        <v>#DIV/0!</v>
      </c>
      <c r="AK38" s="43" t="str">
        <f>((TotalTournamentAverages!AR30/MassFormulaTesting!$B$96)*0.68)+0.3</f>
        <v>#DIV/0!</v>
      </c>
      <c r="AL38" s="43" t="str">
        <f>((TotalTournamentAverages!AS30/MassFormulaTesting!$B$98)*0.68)+0.3</f>
        <v>#DIV/0!</v>
      </c>
      <c r="AM38" s="43" t="str">
        <f>((TotalTournamentAverages!AT30/MassFormulaTesting!$B$100)*0.68)+0.3</f>
        <v>#DIV/0!</v>
      </c>
      <c r="AN38" s="43" t="str">
        <f>((TotalTournamentAverages!AV30/MassFormulaTesting!$B$104)*0.68)+0.3</f>
        <v>#DIV/0!</v>
      </c>
      <c r="AO38" s="43" t="str">
        <f>((TotalTournamentAverages!AW30/MassFormulaTesting!$B$106)*0.68)+0.3</f>
        <v>#DIV/0!</v>
      </c>
      <c r="AP38" s="43" t="str">
        <f>((TotalTournamentAverages!AX30/MassFormulaTesting!$B$108)*0.68)+0.3</f>
        <v>#DIV/0!</v>
      </c>
      <c r="AQ38" s="7"/>
    </row>
    <row r="39">
      <c r="A39" s="56" t="str">
        <f>IFERROR(__xludf.DUMMYFUNCTION("Query(TotalTournamentAverages!A:AV,""Select A,P where A&lt;&gt;'' Order by P Desc Limit 1"")"),"OVERALL")</f>
        <v>OVERALL</v>
      </c>
      <c r="B39" s="54" t="str">
        <f>IFERROR(__xludf.DUMMYFUNCTION("""COMPUTED_VALUE"""),"avg RunningRiots")</f>
        <v>avg RunningRiots</v>
      </c>
      <c r="C39" s="52"/>
      <c r="D39" s="40" t="str">
        <f t="shared" si="1"/>
        <v>#DIV/0!</v>
      </c>
      <c r="E39" s="45" t="str">
        <f>TotalTournamentAverages!A31</f>
        <v>MealyKitten0</v>
      </c>
      <c r="F39" s="46">
        <f t="shared" si="2"/>
        <v>0.3</v>
      </c>
      <c r="G39" s="47">
        <f>((TotalTournamentAverages!D31/MassFormulaTesting!$B$16)*0.68)+0.3</f>
        <v>0.6885714286</v>
      </c>
      <c r="H39" s="47">
        <f>((TotalTournamentAverages!E31/MassFormulaTesting!$B$18)*0.68)+0.3</f>
        <v>0.5355905512</v>
      </c>
      <c r="I39" s="47">
        <f>((TotalTournamentAverages!F31/MassFormulaTesting!$B$20)*0.68)+0.3</f>
        <v>0.504</v>
      </c>
      <c r="J39" s="47">
        <f>(IFERROR(MassFormulaTesting!$C$22/TotalTournamentAverages!G31,"")*0.68)+0.3</f>
        <v>0.620754717</v>
      </c>
      <c r="K39" s="13">
        <f>(((TotalTournamentAverages!H31+118)/(MassFormulaTesting!$B$24+118))*0.68)+0.3</f>
        <v>0.7868308703</v>
      </c>
      <c r="L39" s="47">
        <f>((TotalTournamentAverages!I31/MassFormulaTesting!$B$26)*0.68)+0.3</f>
        <v>0.54</v>
      </c>
      <c r="M39" s="47">
        <f>((0.98-(TotalTournamentAverages!J31/MassFormulaTesting!$B$28)*0.68))</f>
        <v>0.7986666667</v>
      </c>
      <c r="N39" s="47">
        <f>((TotalTournamentAverages!K31/MassFormulaTesting!$B$30)*0.68)+0.3</f>
        <v>0.5643208927</v>
      </c>
      <c r="O39" s="47">
        <f>((TotalTournamentAverages!L31/MassFormulaTesting!$B$32)*0.68)+0.3</f>
        <v>0.5889436286</v>
      </c>
      <c r="P39" s="47">
        <f>((TotalTournamentAverages!M31/MassFormulaTesting!$B$34)*0.68)+0.3</f>
        <v>0.5575757576</v>
      </c>
      <c r="Q39" s="47">
        <f>((TotalTournamentAverages!N31/MassFormulaTesting!$B$36)*0.68)+0.3</f>
        <v>0.3927272727</v>
      </c>
      <c r="R39" s="47">
        <f>((TotalTournamentAverages!O31/MassFormulaTesting!$B$38)*0.68)+0.3</f>
        <v>0.3</v>
      </c>
      <c r="S39" s="47">
        <f>(IFERROR(TotalTournamentAverages!P31/MassFormulaTesting!$B$40,"")*0.68)+0.3</f>
        <v>0.3</v>
      </c>
      <c r="T39" s="47">
        <f>((TotalTournamentAverages!T31/MassFormulaTesting!$B$48)*0.68)+0.3</f>
        <v>0.4133333333</v>
      </c>
      <c r="U39" s="47">
        <f>((TotalTournamentAverages!U31/MassFormulaTesting!$B$50)*0.68)+0.3</f>
        <v>0.3</v>
      </c>
      <c r="V39" s="47">
        <f>((TotalTournamentAverages!V31/MassFormulaTesting!$B$52)*0.68)+0.3</f>
        <v>0.3</v>
      </c>
      <c r="W39" s="47">
        <f>(IFERROR(TotalTournamentAverages!W31/MassFormulaTesting!$B$54,"")*0.68)+0.3</f>
        <v>0.3</v>
      </c>
      <c r="X39" s="47">
        <f>(IFERROR(TotalTournamentAverages!X31/MassFormulaTesting!$B$56,"")*0.68)+0.3</f>
        <v>0.3</v>
      </c>
      <c r="Y39" s="47">
        <f>(IFERROR(TotalTournamentAverages!Y31/MassFormulaTesting!$B$58,"")*0.68)+0.3</f>
        <v>0.3</v>
      </c>
      <c r="Z39" s="43">
        <f>(IFERROR(TotalTournamentAverages!Z31/MassFormulaTesting!$B$60,"")*0.68)+0.3</f>
        <v>0.3</v>
      </c>
      <c r="AA39" s="43">
        <f>((TotalTournamentAverages!AD31/MassFormulaTesting!$B$68)*0.68)+0.3</f>
        <v>0.3</v>
      </c>
      <c r="AB39" s="43" t="str">
        <f>((TotalTournamentAverages!AG31/MassFormulaTesting!$B$74)*0.68)+0.3</f>
        <v>#DIV/0!</v>
      </c>
      <c r="AC39" s="43" t="str">
        <f>((TotalTournamentAverages!AH31/MassFormulaTesting!$B$76)*0.68)+0.3</f>
        <v>#DIV/0!</v>
      </c>
      <c r="AD39" s="43" t="str">
        <f>((TotalTournamentAverages!AK31/MassFormulaTesting!$B$82)*0.68)+0.3</f>
        <v>#DIV/0!</v>
      </c>
      <c r="AE39" s="43" t="str">
        <f>((TotalTournamentAverages!AL31/MassFormulaTesting!$B$84)*0.68)+0.3</f>
        <v>#DIV/0!</v>
      </c>
      <c r="AF39" s="43" t="str">
        <f>((TotalTournamentAverages!AM31/MassFormulaTesting!$B$86)*0.68)+0.3</f>
        <v>#DIV/0!</v>
      </c>
      <c r="AG39" s="43" t="str">
        <f>((TotalTournamentAverages!AN31/MassFormulaTesting!$B$88)*0.68)+0.3</f>
        <v>#DIV/0!</v>
      </c>
      <c r="AH39" s="43" t="str">
        <f>((TotalTournamentAverages!AO31/MassFormulaTesting!$B$90)*0.68)+0.3</f>
        <v>#DIV/0!</v>
      </c>
      <c r="AI39" s="43" t="str">
        <f>((TotalTournamentAverages!AP31/MassFormulaTesting!$B$92)*0.68)+0.3</f>
        <v>#DIV/0!</v>
      </c>
      <c r="AJ39" s="43" t="str">
        <f>((TotalTournamentAverages!AQ31/MassFormulaTesting!$B$94)*0.68)+0.3</f>
        <v>#DIV/0!</v>
      </c>
      <c r="AK39" s="43" t="str">
        <f>((TotalTournamentAverages!AR31/MassFormulaTesting!$B$96)*0.68)+0.3</f>
        <v>#DIV/0!</v>
      </c>
      <c r="AL39" s="43" t="str">
        <f>((TotalTournamentAverages!AS31/MassFormulaTesting!$B$98)*0.68)+0.3</f>
        <v>#DIV/0!</v>
      </c>
      <c r="AM39" s="43" t="str">
        <f>((TotalTournamentAverages!AT31/MassFormulaTesting!$B$100)*0.68)+0.3</f>
        <v>#DIV/0!</v>
      </c>
      <c r="AN39" s="43" t="str">
        <f>((TotalTournamentAverages!AV31/MassFormulaTesting!$B$104)*0.68)+0.3</f>
        <v>#DIV/0!</v>
      </c>
      <c r="AO39" s="43" t="str">
        <f>((TotalTournamentAverages!AW31/MassFormulaTesting!$B$106)*0.68)+0.3</f>
        <v>#DIV/0!</v>
      </c>
      <c r="AP39" s="43" t="str">
        <f>((TotalTournamentAverages!AX31/MassFormulaTesting!$B$108)*0.68)+0.3</f>
        <v>#DIV/0!</v>
      </c>
      <c r="AQ39" s="7"/>
    </row>
    <row r="40">
      <c r="A40" s="50" t="str">
        <f>IFERROR(__xludf.DUMMYFUNCTION("""COMPUTED_VALUE"""),"Vile")</f>
        <v>Vile</v>
      </c>
      <c r="B40" s="51">
        <f>IFERROR(__xludf.DUMMYFUNCTION("""COMPUTED_VALUE"""),0.3333333333333333)</f>
        <v>0.3333333333</v>
      </c>
      <c r="C40" s="52"/>
      <c r="D40" s="40" t="str">
        <f t="shared" si="1"/>
        <v>#DIV/0!</v>
      </c>
      <c r="E40" s="45" t="str">
        <f>TotalTournamentAverages!A32</f>
        <v>Mhurcy</v>
      </c>
      <c r="F40" s="46">
        <f t="shared" si="2"/>
        <v>0.3</v>
      </c>
      <c r="G40" s="47">
        <f>((TotalTournamentAverages!D32/MassFormulaTesting!$B$16)*0.68)+0.3</f>
        <v>0.3</v>
      </c>
      <c r="H40" s="47">
        <f>((TotalTournamentAverages!E32/MassFormulaTesting!$B$18)*0.68)+0.3</f>
        <v>0.6248293963</v>
      </c>
      <c r="I40" s="47">
        <f>((TotalTournamentAverages!F32/MassFormulaTesting!$B$20)*0.68)+0.3</f>
        <v>0.5266666667</v>
      </c>
      <c r="J40" s="47">
        <f>(IFERROR(MassFormulaTesting!$C$22/TotalTournamentAverages!G32,"")*0.68)+0.3</f>
        <v>0.5417061611</v>
      </c>
      <c r="K40" s="13">
        <f>(((TotalTournamentAverages!H32+118)/(MassFormulaTesting!$B$24+118))*0.68)+0.3</f>
        <v>0.7838533114</v>
      </c>
      <c r="L40" s="47">
        <f>((TotalTournamentAverages!I32/MassFormulaTesting!$B$26)*0.68)+0.3</f>
        <v>0.56</v>
      </c>
      <c r="M40" s="47">
        <f>((0.98-(TotalTournamentAverages!J32/MassFormulaTesting!$B$28)*0.68))</f>
        <v>0.6173333333</v>
      </c>
      <c r="N40" s="47">
        <f>((TotalTournamentAverages!K32/MassFormulaTesting!$B$30)*0.68)+0.3</f>
        <v>0.5972220085</v>
      </c>
      <c r="O40" s="47">
        <f>((TotalTournamentAverages!L32/MassFormulaTesting!$B$32)*0.68)+0.3</f>
        <v>0.6393020685</v>
      </c>
      <c r="P40" s="47">
        <f>((TotalTournamentAverages!M32/MassFormulaTesting!$B$34)*0.68)+0.3</f>
        <v>0.5060606061</v>
      </c>
      <c r="Q40" s="47">
        <f>((TotalTournamentAverages!N32/MassFormulaTesting!$B$36)*0.68)+0.3</f>
        <v>0.4854545455</v>
      </c>
      <c r="R40" s="47">
        <f>((TotalTournamentAverages!O32/MassFormulaTesting!$B$38)*0.68)+0.3</f>
        <v>0.3</v>
      </c>
      <c r="S40" s="47">
        <f>(IFERROR(TotalTournamentAverages!P32/MassFormulaTesting!$B$40,"")*0.68)+0.3</f>
        <v>0.3</v>
      </c>
      <c r="T40" s="47">
        <f>((TotalTournamentAverages!T32/MassFormulaTesting!$B$48)*0.68)+0.3</f>
        <v>0.4888888889</v>
      </c>
      <c r="U40" s="47">
        <f>((TotalTournamentAverages!U32/MassFormulaTesting!$B$50)*0.68)+0.3</f>
        <v>0.47</v>
      </c>
      <c r="V40" s="47">
        <f>((TotalTournamentAverages!V32/MassFormulaTesting!$B$52)*0.68)+0.3</f>
        <v>0.5266666667</v>
      </c>
      <c r="W40" s="47">
        <f>(IFERROR(TotalTournamentAverages!W32/MassFormulaTesting!$B$54,"")*0.68)+0.3</f>
        <v>0.3</v>
      </c>
      <c r="X40" s="47">
        <f>(IFERROR(TotalTournamentAverages!X32/MassFormulaTesting!$B$56,"")*0.68)+0.3</f>
        <v>0.3</v>
      </c>
      <c r="Y40" s="47">
        <f>(IFERROR(TotalTournamentAverages!Y32/MassFormulaTesting!$B$58,"")*0.68)+0.3</f>
        <v>0.3</v>
      </c>
      <c r="Z40" s="43">
        <f>(IFERROR(TotalTournamentAverages!Z32/MassFormulaTesting!$B$60,"")*0.68)+0.3</f>
        <v>0.3</v>
      </c>
      <c r="AA40" s="43">
        <f>((TotalTournamentAverages!AD32/MassFormulaTesting!$B$68)*0.68)+0.3</f>
        <v>0.3</v>
      </c>
      <c r="AB40" s="43" t="str">
        <f>((TotalTournamentAverages!AG32/MassFormulaTesting!$B$74)*0.68)+0.3</f>
        <v>#DIV/0!</v>
      </c>
      <c r="AC40" s="43" t="str">
        <f>((TotalTournamentAverages!AH32/MassFormulaTesting!$B$76)*0.68)+0.3</f>
        <v>#DIV/0!</v>
      </c>
      <c r="AD40" s="43" t="str">
        <f>((TotalTournamentAverages!AK32/MassFormulaTesting!$B$82)*0.68)+0.3</f>
        <v>#DIV/0!</v>
      </c>
      <c r="AE40" s="43" t="str">
        <f>((TotalTournamentAverages!AL32/MassFormulaTesting!$B$84)*0.68)+0.3</f>
        <v>#DIV/0!</v>
      </c>
      <c r="AF40" s="43" t="str">
        <f>((TotalTournamentAverages!AM32/MassFormulaTesting!$B$86)*0.68)+0.3</f>
        <v>#DIV/0!</v>
      </c>
      <c r="AG40" s="43" t="str">
        <f>((TotalTournamentAverages!AN32/MassFormulaTesting!$B$88)*0.68)+0.3</f>
        <v>#DIV/0!</v>
      </c>
      <c r="AH40" s="43" t="str">
        <f>((TotalTournamentAverages!AO32/MassFormulaTesting!$B$90)*0.68)+0.3</f>
        <v>#DIV/0!</v>
      </c>
      <c r="AI40" s="43" t="str">
        <f>((TotalTournamentAverages!AP32/MassFormulaTesting!$B$92)*0.68)+0.3</f>
        <v>#DIV/0!</v>
      </c>
      <c r="AJ40" s="43" t="str">
        <f>((TotalTournamentAverages!AQ32/MassFormulaTesting!$B$94)*0.68)+0.3</f>
        <v>#DIV/0!</v>
      </c>
      <c r="AK40" s="43" t="str">
        <f>((TotalTournamentAverages!AR32/MassFormulaTesting!$B$96)*0.68)+0.3</f>
        <v>#DIV/0!</v>
      </c>
      <c r="AL40" s="43" t="str">
        <f>((TotalTournamentAverages!AS32/MassFormulaTesting!$B$98)*0.68)+0.3</f>
        <v>#DIV/0!</v>
      </c>
      <c r="AM40" s="43" t="str">
        <f>((TotalTournamentAverages!AT32/MassFormulaTesting!$B$100)*0.68)+0.3</f>
        <v>#DIV/0!</v>
      </c>
      <c r="AN40" s="43" t="str">
        <f>((TotalTournamentAverages!AV32/MassFormulaTesting!$B$104)*0.68)+0.3</f>
        <v>#DIV/0!</v>
      </c>
      <c r="AO40" s="43" t="str">
        <f>((TotalTournamentAverages!AW32/MassFormulaTesting!$B$106)*0.68)+0.3</f>
        <v>#DIV/0!</v>
      </c>
      <c r="AP40" s="43" t="str">
        <f>((TotalTournamentAverages!AX32/MassFormulaTesting!$B$108)*0.68)+0.3</f>
        <v>#DIV/0!</v>
      </c>
      <c r="AQ40" s="7"/>
    </row>
    <row r="41">
      <c r="A41" s="56" t="str">
        <f>IFERROR(__xludf.DUMMYFUNCTION("Query(TotalTournamentAverages!A:AV,""Select A,Q where A&lt;&gt;'' Order by Q Desc Limit 1"")"),"OVERALL")</f>
        <v>OVERALL</v>
      </c>
      <c r="B41" s="54" t="str">
        <f>IFERROR(__xludf.DUMMYFUNCTION("""COMPUTED_VALUE"""),"avg Rampages")</f>
        <v>avg Rampages</v>
      </c>
      <c r="C41" s="52"/>
      <c r="D41" s="40" t="str">
        <f t="shared" si="1"/>
        <v>#DIV/0!</v>
      </c>
      <c r="E41" s="45" t="str">
        <f>TotalTournamentAverages!A33</f>
        <v>MoldyVolts</v>
      </c>
      <c r="F41" s="46">
        <f t="shared" si="2"/>
        <v>0.3</v>
      </c>
      <c r="G41" s="47">
        <f>((TotalTournamentAverages!D33/MassFormulaTesting!$B$16)*0.68)+0.3</f>
        <v>0.3971428571</v>
      </c>
      <c r="H41" s="47">
        <f>((TotalTournamentAverages!E33/MassFormulaTesting!$B$18)*0.68)+0.3</f>
        <v>0.8166929134</v>
      </c>
      <c r="I41" s="47">
        <f>((TotalTournamentAverages!F33/MassFormulaTesting!$B$20)*0.68)+0.3</f>
        <v>0.844</v>
      </c>
      <c r="J41" s="47">
        <f>(IFERROR(MassFormulaTesting!$C$22/TotalTournamentAverages!G33,"")*0.68)+0.3</f>
        <v>0.4396303901</v>
      </c>
      <c r="K41" s="13">
        <f>(((TotalTournamentAverages!H33+118)/(MassFormulaTesting!$B$24+118))*0.68)+0.3</f>
        <v>0.7142528736</v>
      </c>
      <c r="L41" s="47">
        <f>((TotalTournamentAverages!I33/MassFormulaTesting!$B$26)*0.68)+0.3</f>
        <v>0.645</v>
      </c>
      <c r="M41" s="47">
        <f>((0.98-(TotalTournamentAverages!J33/MassFormulaTesting!$B$28)*0.68))</f>
        <v>0.6173333333</v>
      </c>
      <c r="N41" s="47">
        <f>((TotalTournamentAverages!K33/MassFormulaTesting!$B$30)*0.68)+0.3</f>
        <v>0.7990111581</v>
      </c>
      <c r="O41" s="47">
        <f>((TotalTournamentAverages!L33/MassFormulaTesting!$B$32)*0.68)+0.3</f>
        <v>0.8559024159</v>
      </c>
      <c r="P41" s="47">
        <f>((TotalTournamentAverages!M33/MassFormulaTesting!$B$34)*0.68)+0.3</f>
        <v>0.5112121212</v>
      </c>
      <c r="Q41" s="47">
        <f>((TotalTournamentAverages!N33/MassFormulaTesting!$B$36)*0.68)+0.3</f>
        <v>0.7172727273</v>
      </c>
      <c r="R41" s="47">
        <f>((TotalTournamentAverages!O33/MassFormulaTesting!$B$38)*0.68)+0.3</f>
        <v>0.3</v>
      </c>
      <c r="S41" s="47">
        <f>(IFERROR(TotalTournamentAverages!P33/MassFormulaTesting!$B$40,"")*0.68)+0.3</f>
        <v>0.3</v>
      </c>
      <c r="T41" s="47">
        <f>((TotalTournamentAverages!T33/MassFormulaTesting!$B$48)*0.68)+0.3</f>
        <v>0.6966666667</v>
      </c>
      <c r="U41" s="47">
        <f>((TotalTournamentAverages!U33/MassFormulaTesting!$B$50)*0.68)+0.3</f>
        <v>0.9375</v>
      </c>
      <c r="V41" s="47">
        <f>((TotalTournamentAverages!V33/MassFormulaTesting!$B$52)*0.68)+0.3</f>
        <v>0.3</v>
      </c>
      <c r="W41" s="47">
        <f>(IFERROR(TotalTournamentAverages!W33/MassFormulaTesting!$B$54,"")*0.68)+0.3</f>
        <v>0.3</v>
      </c>
      <c r="X41" s="47">
        <f>(IFERROR(TotalTournamentAverages!X33/MassFormulaTesting!$B$56,"")*0.68)+0.3</f>
        <v>0.3</v>
      </c>
      <c r="Y41" s="47">
        <f>(IFERROR(TotalTournamentAverages!Y33/MassFormulaTesting!$B$58,"")*0.68)+0.3</f>
        <v>0.3</v>
      </c>
      <c r="Z41" s="43">
        <f>(IFERROR(TotalTournamentAverages!Z33/MassFormulaTesting!$B$60,"")*0.68)+0.3</f>
        <v>0.3</v>
      </c>
      <c r="AA41" s="43">
        <f>((TotalTournamentAverages!AD33/MassFormulaTesting!$B$68)*0.68)+0.3</f>
        <v>0.3</v>
      </c>
      <c r="AB41" s="43" t="str">
        <f>((TotalTournamentAverages!AG33/MassFormulaTesting!$B$74)*0.68)+0.3</f>
        <v>#DIV/0!</v>
      </c>
      <c r="AC41" s="43" t="str">
        <f>((TotalTournamentAverages!AH33/MassFormulaTesting!$B$76)*0.68)+0.3</f>
        <v>#DIV/0!</v>
      </c>
      <c r="AD41" s="43" t="str">
        <f>((TotalTournamentAverages!AK33/MassFormulaTesting!$B$82)*0.68)+0.3</f>
        <v>#DIV/0!</v>
      </c>
      <c r="AE41" s="43" t="str">
        <f>((TotalTournamentAverages!AL33/MassFormulaTesting!$B$84)*0.68)+0.3</f>
        <v>#DIV/0!</v>
      </c>
      <c r="AF41" s="43" t="str">
        <f>((TotalTournamentAverages!AM33/MassFormulaTesting!$B$86)*0.68)+0.3</f>
        <v>#DIV/0!</v>
      </c>
      <c r="AG41" s="43" t="str">
        <f>((TotalTournamentAverages!AN33/MassFormulaTesting!$B$88)*0.68)+0.3</f>
        <v>#DIV/0!</v>
      </c>
      <c r="AH41" s="43" t="str">
        <f>((TotalTournamentAverages!AO33/MassFormulaTesting!$B$90)*0.68)+0.3</f>
        <v>#DIV/0!</v>
      </c>
      <c r="AI41" s="43" t="str">
        <f>((TotalTournamentAverages!AP33/MassFormulaTesting!$B$92)*0.68)+0.3</f>
        <v>#DIV/0!</v>
      </c>
      <c r="AJ41" s="43" t="str">
        <f>((TotalTournamentAverages!AQ33/MassFormulaTesting!$B$94)*0.68)+0.3</f>
        <v>#DIV/0!</v>
      </c>
      <c r="AK41" s="43" t="str">
        <f>((TotalTournamentAverages!AR33/MassFormulaTesting!$B$96)*0.68)+0.3</f>
        <v>#DIV/0!</v>
      </c>
      <c r="AL41" s="43" t="str">
        <f>((TotalTournamentAverages!AS33/MassFormulaTesting!$B$98)*0.68)+0.3</f>
        <v>#DIV/0!</v>
      </c>
      <c r="AM41" s="43" t="str">
        <f>((TotalTournamentAverages!AT33/MassFormulaTesting!$B$100)*0.68)+0.3</f>
        <v>#DIV/0!</v>
      </c>
      <c r="AN41" s="43" t="str">
        <f>((TotalTournamentAverages!AV33/MassFormulaTesting!$B$104)*0.68)+0.3</f>
        <v>#DIV/0!</v>
      </c>
      <c r="AO41" s="43" t="str">
        <f>((TotalTournamentAverages!AW33/MassFormulaTesting!$B$106)*0.68)+0.3</f>
        <v>#DIV/0!</v>
      </c>
      <c r="AP41" s="43" t="str">
        <f>((TotalTournamentAverages!AX33/MassFormulaTesting!$B$108)*0.68)+0.3</f>
        <v>#DIV/0!</v>
      </c>
      <c r="AQ41" s="7"/>
    </row>
    <row r="42">
      <c r="A42" s="50" t="str">
        <f>IFERROR(__xludf.DUMMYFUNCTION("""COMPUTED_VALUE"""),"Avg Player")</f>
        <v>Avg Player</v>
      </c>
      <c r="B42" s="51">
        <f>IFERROR(__xludf.DUMMYFUNCTION("""COMPUTED_VALUE"""),0.0)</f>
        <v>0</v>
      </c>
      <c r="C42" s="52"/>
      <c r="D42" s="40" t="str">
        <f t="shared" si="1"/>
        <v>#DIV/0!</v>
      </c>
      <c r="E42" s="45" t="str">
        <f>TotalTournamentAverages!A34</f>
        <v>NOPLEX</v>
      </c>
      <c r="F42" s="46">
        <f t="shared" si="2"/>
        <v>0.3</v>
      </c>
      <c r="G42" s="47">
        <f>((TotalTournamentAverages!D34/MassFormulaTesting!$B$16)*0.68)+0.3</f>
        <v>0.3</v>
      </c>
      <c r="H42" s="47">
        <f>((TotalTournamentAverages!E34/MassFormulaTesting!$B$18)*0.68)+0.3</f>
        <v>0.6355380577</v>
      </c>
      <c r="I42" s="47">
        <f>((TotalTournamentAverages!F34/MassFormulaTesting!$B$20)*0.68)+0.3</f>
        <v>0.6626666667</v>
      </c>
      <c r="J42" s="47">
        <f>(IFERROR(MassFormulaTesting!$C$22/TotalTournamentAverages!G34,"")*0.68)+0.3</f>
        <v>0.5090163934</v>
      </c>
      <c r="K42" s="13">
        <f>(((TotalTournamentAverages!H34+118)/(MassFormulaTesting!$B$24+118))*0.68)+0.3</f>
        <v>0.7436562671</v>
      </c>
      <c r="L42" s="47">
        <f>((TotalTournamentAverages!I34/MassFormulaTesting!$B$26)*0.68)+0.3</f>
        <v>0.54</v>
      </c>
      <c r="M42" s="47">
        <f>((0.98-(TotalTournamentAverages!J34/MassFormulaTesting!$B$28)*0.68))</f>
        <v>0.7382222222</v>
      </c>
      <c r="N42" s="47">
        <f>((TotalTournamentAverages!K34/MassFormulaTesting!$B$30)*0.68)+0.3</f>
        <v>0.6441862255</v>
      </c>
      <c r="O42" s="47">
        <f>((TotalTournamentAverages!L34/MassFormulaTesting!$B$32)*0.68)+0.3</f>
        <v>0.684506553</v>
      </c>
      <c r="P42" s="47">
        <f>((TotalTournamentAverages!M34/MassFormulaTesting!$B$34)*0.68)+0.3</f>
        <v>0.5129292929</v>
      </c>
      <c r="Q42" s="47">
        <f>((TotalTournamentAverages!N34/MassFormulaTesting!$B$36)*0.68)+0.3</f>
        <v>0.4236363636</v>
      </c>
      <c r="R42" s="47">
        <f>((TotalTournamentAverages!O34/MassFormulaTesting!$B$38)*0.68)+0.3</f>
        <v>0.3</v>
      </c>
      <c r="S42" s="47">
        <f>(IFERROR(TotalTournamentAverages!P34/MassFormulaTesting!$B$40,"")*0.68)+0.3</f>
        <v>0.3</v>
      </c>
      <c r="T42" s="47">
        <f>((TotalTournamentAverages!T34/MassFormulaTesting!$B$48)*0.68)+0.3</f>
        <v>0.5266666667</v>
      </c>
      <c r="U42" s="47">
        <f>((TotalTournamentAverages!U34/MassFormulaTesting!$B$50)*0.68)+0.3</f>
        <v>0.47</v>
      </c>
      <c r="V42" s="47">
        <f>((TotalTournamentAverages!V34/MassFormulaTesting!$B$52)*0.68)+0.3</f>
        <v>0.5266666667</v>
      </c>
      <c r="W42" s="47">
        <f>(IFERROR(TotalTournamentAverages!W34/MassFormulaTesting!$B$54,"")*0.68)+0.3</f>
        <v>0.3</v>
      </c>
      <c r="X42" s="47">
        <f>(IFERROR(TotalTournamentAverages!X34/MassFormulaTesting!$B$56,"")*0.68)+0.3</f>
        <v>0.3</v>
      </c>
      <c r="Y42" s="47">
        <f>(IFERROR(TotalTournamentAverages!Y34/MassFormulaTesting!$B$58,"")*0.68)+0.3</f>
        <v>0.3</v>
      </c>
      <c r="Z42" s="43">
        <f>(IFERROR(TotalTournamentAverages!Z34/MassFormulaTesting!$B$60,"")*0.68)+0.3</f>
        <v>0.3</v>
      </c>
      <c r="AA42" s="43">
        <f>((TotalTournamentAverages!AD34/MassFormulaTesting!$B$68)*0.68)+0.3</f>
        <v>0.3</v>
      </c>
      <c r="AB42" s="43" t="str">
        <f>((TotalTournamentAverages!AG34/MassFormulaTesting!$B$74)*0.68)+0.3</f>
        <v>#DIV/0!</v>
      </c>
      <c r="AC42" s="43" t="str">
        <f>((TotalTournamentAverages!AH34/MassFormulaTesting!$B$76)*0.68)+0.3</f>
        <v>#DIV/0!</v>
      </c>
      <c r="AD42" s="43" t="str">
        <f>((TotalTournamentAverages!AK34/MassFormulaTesting!$B$82)*0.68)+0.3</f>
        <v>#DIV/0!</v>
      </c>
      <c r="AE42" s="43" t="str">
        <f>((TotalTournamentAverages!AL34/MassFormulaTesting!$B$84)*0.68)+0.3</f>
        <v>#DIV/0!</v>
      </c>
      <c r="AF42" s="43" t="str">
        <f>((TotalTournamentAverages!AM34/MassFormulaTesting!$B$86)*0.68)+0.3</f>
        <v>#DIV/0!</v>
      </c>
      <c r="AG42" s="43" t="str">
        <f>((TotalTournamentAverages!AN34/MassFormulaTesting!$B$88)*0.68)+0.3</f>
        <v>#DIV/0!</v>
      </c>
      <c r="AH42" s="43" t="str">
        <f>((TotalTournamentAverages!AO34/MassFormulaTesting!$B$90)*0.68)+0.3</f>
        <v>#DIV/0!</v>
      </c>
      <c r="AI42" s="43" t="str">
        <f>((TotalTournamentAverages!AP34/MassFormulaTesting!$B$92)*0.68)+0.3</f>
        <v>#DIV/0!</v>
      </c>
      <c r="AJ42" s="43" t="str">
        <f>((TotalTournamentAverages!AQ34/MassFormulaTesting!$B$94)*0.68)+0.3</f>
        <v>#DIV/0!</v>
      </c>
      <c r="AK42" s="43" t="str">
        <f>((TotalTournamentAverages!AR34/MassFormulaTesting!$B$96)*0.68)+0.3</f>
        <v>#DIV/0!</v>
      </c>
      <c r="AL42" s="43" t="str">
        <f>((TotalTournamentAverages!AS34/MassFormulaTesting!$B$98)*0.68)+0.3</f>
        <v>#DIV/0!</v>
      </c>
      <c r="AM42" s="43" t="str">
        <f>((TotalTournamentAverages!AT34/MassFormulaTesting!$B$100)*0.68)+0.3</f>
        <v>#DIV/0!</v>
      </c>
      <c r="AN42" s="43" t="str">
        <f>((TotalTournamentAverages!AV34/MassFormulaTesting!$B$104)*0.68)+0.3</f>
        <v>#DIV/0!</v>
      </c>
      <c r="AO42" s="43" t="str">
        <f>((TotalTournamentAverages!AW34/MassFormulaTesting!$B$106)*0.68)+0.3</f>
        <v>#DIV/0!</v>
      </c>
      <c r="AP42" s="43" t="str">
        <f>((TotalTournamentAverages!AX34/MassFormulaTesting!$B$108)*0.68)+0.3</f>
        <v>#DIV/0!</v>
      </c>
      <c r="AQ42" s="7"/>
    </row>
    <row r="43">
      <c r="A43" s="56" t="str">
        <f>IFERROR(__xludf.DUMMYFUNCTION("Query(TotalTournamentAverages!A:AV,""Select A,R where A&lt;&gt;'' Order by R Desc Limit 1"")"),"OVERALL")</f>
        <v>OVERALL</v>
      </c>
      <c r="B43" s="54" t="str">
        <f>IFERROR(__xludf.DUMMYFUNCTION("""COMPUTED_VALUE"""),"avg SwordSprees")</f>
        <v>avg SwordSprees</v>
      </c>
      <c r="C43" s="52"/>
      <c r="D43" s="40" t="str">
        <f t="shared" si="1"/>
        <v>#DIV/0!</v>
      </c>
      <c r="E43" s="45" t="str">
        <f>TotalTournamentAverages!A35</f>
        <v>Rage More Nerd</v>
      </c>
      <c r="F43" s="46">
        <f t="shared" si="2"/>
        <v>0.3</v>
      </c>
      <c r="G43" s="47">
        <f>((TotalTournamentAverages!D35/MassFormulaTesting!$B$16)*0.68)+0.3</f>
        <v>0.3</v>
      </c>
      <c r="H43" s="47">
        <f>((TotalTournamentAverages!E35/MassFormulaTesting!$B$18)*0.68)+0.3</f>
        <v>0.6868503937</v>
      </c>
      <c r="I43" s="47">
        <f>((TotalTournamentAverages!F35/MassFormulaTesting!$B$20)*0.68)+0.3</f>
        <v>0.555</v>
      </c>
      <c r="J43" s="47">
        <f>(IFERROR(MassFormulaTesting!$C$22/TotalTournamentAverages!G35,"")*0.68)+0.3</f>
        <v>0.565625</v>
      </c>
      <c r="K43" s="13">
        <f>(((TotalTournamentAverages!H35+118)/(MassFormulaTesting!$B$24+118))*0.68)+0.3</f>
        <v>0.8638752053</v>
      </c>
      <c r="L43" s="47">
        <f>((TotalTournamentAverages!I35/MassFormulaTesting!$B$26)*0.68)+0.3</f>
        <v>0.705</v>
      </c>
      <c r="M43" s="47">
        <f>((0.98-(TotalTournamentAverages!J35/MassFormulaTesting!$B$28)*0.68))</f>
        <v>0.8893333333</v>
      </c>
      <c r="N43" s="47">
        <f>((TotalTournamentAverages!K35/MassFormulaTesting!$B$30)*0.68)+0.3</f>
        <v>0.6587071951</v>
      </c>
      <c r="O43" s="47">
        <f>((TotalTournamentAverages!L35/MassFormulaTesting!$B$32)*0.68)+0.3</f>
        <v>0.6804263382</v>
      </c>
      <c r="P43" s="47">
        <f>((TotalTournamentAverages!M35/MassFormulaTesting!$B$34)*0.68)+0.3</f>
        <v>0.5884848485</v>
      </c>
      <c r="Q43" s="47">
        <f>((TotalTournamentAverages!N35/MassFormulaTesting!$B$36)*0.68)+0.3</f>
        <v>0.4854545455</v>
      </c>
      <c r="R43" s="47">
        <f>((TotalTournamentAverages!O35/MassFormulaTesting!$B$38)*0.68)+0.3</f>
        <v>0.3</v>
      </c>
      <c r="S43" s="47">
        <f>(IFERROR(TotalTournamentAverages!P35/MassFormulaTesting!$B$40,"")*0.68)+0.3</f>
        <v>0.3</v>
      </c>
      <c r="T43" s="47">
        <f>((TotalTournamentAverages!T35/MassFormulaTesting!$B$48)*0.68)+0.3</f>
        <v>0.6116666667</v>
      </c>
      <c r="U43" s="47">
        <f>((TotalTournamentAverages!U35/MassFormulaTesting!$B$50)*0.68)+0.3</f>
        <v>0.3</v>
      </c>
      <c r="V43" s="47">
        <f>((TotalTournamentAverages!V35/MassFormulaTesting!$B$52)*0.68)+0.3</f>
        <v>0.3</v>
      </c>
      <c r="W43" s="47">
        <f>(IFERROR(TotalTournamentAverages!W35/MassFormulaTesting!$B$54,"")*0.68)+0.3</f>
        <v>0.3</v>
      </c>
      <c r="X43" s="47">
        <f>(IFERROR(TotalTournamentAverages!X35/MassFormulaTesting!$B$56,"")*0.68)+0.3</f>
        <v>0.3</v>
      </c>
      <c r="Y43" s="47">
        <f>(IFERROR(TotalTournamentAverages!Y35/MassFormulaTesting!$B$58,"")*0.68)+0.3</f>
        <v>0.3</v>
      </c>
      <c r="Z43" s="43">
        <f>(IFERROR(TotalTournamentAverages!Z35/MassFormulaTesting!$B$60,"")*0.68)+0.3</f>
        <v>0.3</v>
      </c>
      <c r="AA43" s="43">
        <f>((TotalTournamentAverages!AD35/MassFormulaTesting!$B$68)*0.68)+0.3</f>
        <v>0.3</v>
      </c>
      <c r="AB43" s="43" t="str">
        <f>((TotalTournamentAverages!AG35/MassFormulaTesting!$B$74)*0.68)+0.3</f>
        <v>#DIV/0!</v>
      </c>
      <c r="AC43" s="43" t="str">
        <f>((TotalTournamentAverages!AH35/MassFormulaTesting!$B$76)*0.68)+0.3</f>
        <v>#DIV/0!</v>
      </c>
      <c r="AD43" s="43" t="str">
        <f>((TotalTournamentAverages!AK35/MassFormulaTesting!$B$82)*0.68)+0.3</f>
        <v>#DIV/0!</v>
      </c>
      <c r="AE43" s="43" t="str">
        <f>((TotalTournamentAverages!AL35/MassFormulaTesting!$B$84)*0.68)+0.3</f>
        <v>#DIV/0!</v>
      </c>
      <c r="AF43" s="43" t="str">
        <f>((TotalTournamentAverages!AM35/MassFormulaTesting!$B$86)*0.68)+0.3</f>
        <v>#DIV/0!</v>
      </c>
      <c r="AG43" s="43" t="str">
        <f>((TotalTournamentAverages!AN35/MassFormulaTesting!$B$88)*0.68)+0.3</f>
        <v>#DIV/0!</v>
      </c>
      <c r="AH43" s="43" t="str">
        <f>((TotalTournamentAverages!AO35/MassFormulaTesting!$B$90)*0.68)+0.3</f>
        <v>#DIV/0!</v>
      </c>
      <c r="AI43" s="43" t="str">
        <f>((TotalTournamentAverages!AP35/MassFormulaTesting!$B$92)*0.68)+0.3</f>
        <v>#DIV/0!</v>
      </c>
      <c r="AJ43" s="43" t="str">
        <f>((TotalTournamentAverages!AQ35/MassFormulaTesting!$B$94)*0.68)+0.3</f>
        <v>#DIV/0!</v>
      </c>
      <c r="AK43" s="43" t="str">
        <f>((TotalTournamentAverages!AR35/MassFormulaTesting!$B$96)*0.68)+0.3</f>
        <v>#DIV/0!</v>
      </c>
      <c r="AL43" s="43" t="str">
        <f>((TotalTournamentAverages!AS35/MassFormulaTesting!$B$98)*0.68)+0.3</f>
        <v>#DIV/0!</v>
      </c>
      <c r="AM43" s="43" t="str">
        <f>((TotalTournamentAverages!AT35/MassFormulaTesting!$B$100)*0.68)+0.3</f>
        <v>#DIV/0!</v>
      </c>
      <c r="AN43" s="43" t="str">
        <f>((TotalTournamentAverages!AV35/MassFormulaTesting!$B$104)*0.68)+0.3</f>
        <v>#DIV/0!</v>
      </c>
      <c r="AO43" s="43" t="str">
        <f>((TotalTournamentAverages!AW35/MassFormulaTesting!$B$106)*0.68)+0.3</f>
        <v>#DIV/0!</v>
      </c>
      <c r="AP43" s="43" t="str">
        <f>((TotalTournamentAverages!AX35/MassFormulaTesting!$B$108)*0.68)+0.3</f>
        <v>#DIV/0!</v>
      </c>
      <c r="AQ43" s="7"/>
    </row>
    <row r="44">
      <c r="A44" s="50" t="str">
        <f>IFERROR(__xludf.DUMMYFUNCTION("""COMPUTED_VALUE"""),"Avg Player")</f>
        <v>Avg Player</v>
      </c>
      <c r="B44" s="51">
        <f>IFERROR(__xludf.DUMMYFUNCTION("""COMPUTED_VALUE"""),0.0)</f>
        <v>0</v>
      </c>
      <c r="C44" s="52"/>
      <c r="D44" s="40" t="str">
        <f t="shared" si="1"/>
        <v>#DIV/0!</v>
      </c>
      <c r="E44" s="45" t="str">
        <f>TotalTournamentAverages!A36</f>
        <v>SOULBENDERs</v>
      </c>
      <c r="F44" s="46">
        <f t="shared" si="2"/>
        <v>0.3</v>
      </c>
      <c r="G44" s="47">
        <f>((TotalTournamentAverages!D36/MassFormulaTesting!$B$16)*0.68)+0.3</f>
        <v>0.3</v>
      </c>
      <c r="H44" s="47">
        <f>((TotalTournamentAverages!E36/MassFormulaTesting!$B$18)*0.68)+0.3</f>
        <v>0.7979527559</v>
      </c>
      <c r="I44" s="47">
        <f>((TotalTournamentAverages!F36/MassFormulaTesting!$B$20)*0.68)+0.3</f>
        <v>0.64</v>
      </c>
      <c r="J44" s="47">
        <f>(IFERROR(MassFormulaTesting!$C$22/TotalTournamentAverages!G36,"")*0.68)+0.3</f>
        <v>0.4734693878</v>
      </c>
      <c r="K44" s="13">
        <f>(((TotalTournamentAverages!H36+118)/(MassFormulaTesting!$B$24+118))*0.68)+0.3</f>
        <v>0.8046962233</v>
      </c>
      <c r="L44" s="47">
        <f>((TotalTournamentAverages!I36/MassFormulaTesting!$B$26)*0.68)+0.3</f>
        <v>0.54</v>
      </c>
      <c r="M44" s="47">
        <f>((0.98-(TotalTournamentAverages!J36/MassFormulaTesting!$B$28)*0.68))</f>
        <v>0.6173333333</v>
      </c>
      <c r="N44" s="47">
        <f>((TotalTournamentAverages!K36/MassFormulaTesting!$B$30)*0.68)+0.3</f>
        <v>0.7120815698</v>
      </c>
      <c r="O44" s="47">
        <f>((TotalTournamentAverages!L36/MassFormulaTesting!$B$32)*0.68)+0.3</f>
        <v>0.7561250592</v>
      </c>
      <c r="P44" s="47">
        <f>((TotalTournamentAverages!M36/MassFormulaTesting!$B$34)*0.68)+0.3</f>
        <v>0.5060606061</v>
      </c>
      <c r="Q44" s="47">
        <f>((TotalTournamentAverages!N36/MassFormulaTesting!$B$36)*0.68)+0.3</f>
        <v>0.3</v>
      </c>
      <c r="R44" s="47">
        <f>((TotalTournamentAverages!O36/MassFormulaTesting!$B$38)*0.68)+0.3</f>
        <v>0.3</v>
      </c>
      <c r="S44" s="47">
        <f>(IFERROR(TotalTournamentAverages!P36/MassFormulaTesting!$B$40,"")*0.68)+0.3</f>
        <v>0.3</v>
      </c>
      <c r="T44" s="47">
        <f>((TotalTournamentAverages!T36/MassFormulaTesting!$B$48)*0.68)+0.3</f>
        <v>0.5266666667</v>
      </c>
      <c r="U44" s="47">
        <f>((TotalTournamentAverages!U36/MassFormulaTesting!$B$50)*0.68)+0.3</f>
        <v>0.3</v>
      </c>
      <c r="V44" s="47">
        <f>((TotalTournamentAverages!V36/MassFormulaTesting!$B$52)*0.68)+0.3</f>
        <v>0.3</v>
      </c>
      <c r="W44" s="47">
        <f>(IFERROR(TotalTournamentAverages!W36/MassFormulaTesting!$B$54,"")*0.68)+0.3</f>
        <v>0.3</v>
      </c>
      <c r="X44" s="47">
        <f>(IFERROR(TotalTournamentAverages!X36/MassFormulaTesting!$B$56,"")*0.68)+0.3</f>
        <v>0.3</v>
      </c>
      <c r="Y44" s="47">
        <f>(IFERROR(TotalTournamentAverages!Y36/MassFormulaTesting!$B$58,"")*0.68)+0.3</f>
        <v>0.3</v>
      </c>
      <c r="Z44" s="43">
        <f>(IFERROR(TotalTournamentAverages!Z36/MassFormulaTesting!$B$60,"")*0.68)+0.3</f>
        <v>0.3</v>
      </c>
      <c r="AA44" s="43">
        <f>((TotalTournamentAverages!AD36/MassFormulaTesting!$B$68)*0.68)+0.3</f>
        <v>0.3</v>
      </c>
      <c r="AB44" s="43" t="str">
        <f>((TotalTournamentAverages!AG36/MassFormulaTesting!$B$74)*0.68)+0.3</f>
        <v>#DIV/0!</v>
      </c>
      <c r="AC44" s="43" t="str">
        <f>((TotalTournamentAverages!AH36/MassFormulaTesting!$B$76)*0.68)+0.3</f>
        <v>#DIV/0!</v>
      </c>
      <c r="AD44" s="43" t="str">
        <f>((TotalTournamentAverages!AK36/MassFormulaTesting!$B$82)*0.68)+0.3</f>
        <v>#DIV/0!</v>
      </c>
      <c r="AE44" s="43" t="str">
        <f>((TotalTournamentAverages!AL36/MassFormulaTesting!$B$84)*0.68)+0.3</f>
        <v>#DIV/0!</v>
      </c>
      <c r="AF44" s="43" t="str">
        <f>((TotalTournamentAverages!AM36/MassFormulaTesting!$B$86)*0.68)+0.3</f>
        <v>#DIV/0!</v>
      </c>
      <c r="AG44" s="43" t="str">
        <f>((TotalTournamentAverages!AN36/MassFormulaTesting!$B$88)*0.68)+0.3</f>
        <v>#DIV/0!</v>
      </c>
      <c r="AH44" s="43" t="str">
        <f>((TotalTournamentAverages!AO36/MassFormulaTesting!$B$90)*0.68)+0.3</f>
        <v>#DIV/0!</v>
      </c>
      <c r="AI44" s="43" t="str">
        <f>((TotalTournamentAverages!AP36/MassFormulaTesting!$B$92)*0.68)+0.3</f>
        <v>#DIV/0!</v>
      </c>
      <c r="AJ44" s="43" t="str">
        <f>((TotalTournamentAverages!AQ36/MassFormulaTesting!$B$94)*0.68)+0.3</f>
        <v>#DIV/0!</v>
      </c>
      <c r="AK44" s="43" t="str">
        <f>((TotalTournamentAverages!AR36/MassFormulaTesting!$B$96)*0.68)+0.3</f>
        <v>#DIV/0!</v>
      </c>
      <c r="AL44" s="43" t="str">
        <f>((TotalTournamentAverages!AS36/MassFormulaTesting!$B$98)*0.68)+0.3</f>
        <v>#DIV/0!</v>
      </c>
      <c r="AM44" s="43" t="str">
        <f>((TotalTournamentAverages!AT36/MassFormulaTesting!$B$100)*0.68)+0.3</f>
        <v>#DIV/0!</v>
      </c>
      <c r="AN44" s="43" t="str">
        <f>((TotalTournamentAverages!AV36/MassFormulaTesting!$B$104)*0.68)+0.3</f>
        <v>#DIV/0!</v>
      </c>
      <c r="AO44" s="43" t="str">
        <f>((TotalTournamentAverages!AW36/MassFormulaTesting!$B$106)*0.68)+0.3</f>
        <v>#DIV/0!</v>
      </c>
      <c r="AP44" s="43" t="str">
        <f>((TotalTournamentAverages!AX36/MassFormulaTesting!$B$108)*0.68)+0.3</f>
        <v>#DIV/0!</v>
      </c>
      <c r="AQ44" s="7"/>
    </row>
    <row r="45">
      <c r="A45" s="56" t="str">
        <f>IFERROR(__xludf.DUMMYFUNCTION("Query(TotalTournamentAverages!A:AV,""Select A,S where A&lt;&gt;'' Order by S Desc Limit 1"")"),"OVERALL")</f>
        <v>OVERALL</v>
      </c>
      <c r="B45" s="54" t="str">
        <f>IFERROR(__xludf.DUMMYFUNCTION("""COMPUTED_VALUE"""),"avg DoubleKills")</f>
        <v>avg DoubleKills</v>
      </c>
      <c r="C45" s="52"/>
      <c r="D45" s="40" t="str">
        <f t="shared" si="1"/>
        <v>#DIV/0!</v>
      </c>
      <c r="E45" s="45" t="str">
        <f>TotalTournamentAverages!A37</f>
        <v>Sabasauros rex</v>
      </c>
      <c r="F45" s="46">
        <f t="shared" si="2"/>
        <v>0.3</v>
      </c>
      <c r="G45" s="47">
        <f>((TotalTournamentAverages!D37/MassFormulaTesting!$B$16)*0.68)+0.3</f>
        <v>0.7857142857</v>
      </c>
      <c r="H45" s="47">
        <f>((TotalTournamentAverages!E37/MassFormulaTesting!$B$18)*0.68)+0.3</f>
        <v>0.6319685039</v>
      </c>
      <c r="I45" s="47">
        <f>((TotalTournamentAverages!F37/MassFormulaTesting!$B$20)*0.68)+0.3</f>
        <v>0.47</v>
      </c>
      <c r="J45" s="47">
        <f>(IFERROR(MassFormulaTesting!$C$22/TotalTournamentAverages!G37,"")*0.68)+0.3</f>
        <v>0.6253588517</v>
      </c>
      <c r="K45" s="13">
        <f>(((TotalTournamentAverages!H37+118)/(MassFormulaTesting!$B$24+118))*0.68)+0.3</f>
        <v>0.8705747126</v>
      </c>
      <c r="L45" s="47">
        <f>((TotalTournamentAverages!I37/MassFormulaTesting!$B$26)*0.68)+0.3</f>
        <v>0.69</v>
      </c>
      <c r="M45" s="47">
        <f>((0.98-(TotalTournamentAverages!J37/MassFormulaTesting!$B$28)*0.68))</f>
        <v>0.7533333333</v>
      </c>
      <c r="N45" s="47">
        <f>((TotalTournamentAverages!K37/MassFormulaTesting!$B$30)*0.68)+0.3</f>
        <v>0.8811331281</v>
      </c>
      <c r="O45" s="47">
        <f>((TotalTournamentAverages!L37/MassFormulaTesting!$B$32)*0.68)+0.3</f>
        <v>0.8559024159</v>
      </c>
      <c r="P45" s="47">
        <f>((TotalTournamentAverages!M37/MassFormulaTesting!$B$34)*0.68)+0.3</f>
        <v>0.876969697</v>
      </c>
      <c r="Q45" s="47">
        <f>((TotalTournamentAverages!N37/MassFormulaTesting!$B$36)*0.68)+0.3</f>
        <v>0.6709090909</v>
      </c>
      <c r="R45" s="47">
        <f>((TotalTournamentAverages!O37/MassFormulaTesting!$B$38)*0.68)+0.3</f>
        <v>0.3</v>
      </c>
      <c r="S45" s="47">
        <f>(IFERROR(TotalTournamentAverages!P37/MassFormulaTesting!$B$40,"")*0.68)+0.3</f>
        <v>0.3</v>
      </c>
      <c r="T45" s="47">
        <f>((TotalTournamentAverages!T37/MassFormulaTesting!$B$48)*0.68)+0.3</f>
        <v>0.4133333333</v>
      </c>
      <c r="U45" s="47">
        <f>((TotalTournamentAverages!U37/MassFormulaTesting!$B$50)*0.68)+0.3</f>
        <v>0.555</v>
      </c>
      <c r="V45" s="47">
        <f>((TotalTournamentAverages!V37/MassFormulaTesting!$B$52)*0.68)+0.3</f>
        <v>0.47</v>
      </c>
      <c r="W45" s="47">
        <f>(IFERROR(TotalTournamentAverages!W37/MassFormulaTesting!$B$54,"")*0.68)+0.3</f>
        <v>0.3</v>
      </c>
      <c r="X45" s="47">
        <f>(IFERROR(TotalTournamentAverages!X37/MassFormulaTesting!$B$56,"")*0.68)+0.3</f>
        <v>0.3</v>
      </c>
      <c r="Y45" s="47">
        <f>(IFERROR(TotalTournamentAverages!Y37/MassFormulaTesting!$B$58,"")*0.68)+0.3</f>
        <v>0.3</v>
      </c>
      <c r="Z45" s="43">
        <f>(IFERROR(TotalTournamentAverages!Z37/MassFormulaTesting!$B$60,"")*0.68)+0.3</f>
        <v>0.3</v>
      </c>
      <c r="AA45" s="43">
        <f>((TotalTournamentAverages!AD37/MassFormulaTesting!$B$68)*0.68)+0.3</f>
        <v>0.3</v>
      </c>
      <c r="AB45" s="43" t="str">
        <f>((TotalTournamentAverages!AG37/MassFormulaTesting!$B$74)*0.68)+0.3</f>
        <v>#DIV/0!</v>
      </c>
      <c r="AC45" s="43" t="str">
        <f>((TotalTournamentAverages!AH37/MassFormulaTesting!$B$76)*0.68)+0.3</f>
        <v>#DIV/0!</v>
      </c>
      <c r="AD45" s="43" t="str">
        <f>((TotalTournamentAverages!AK37/MassFormulaTesting!$B$82)*0.68)+0.3</f>
        <v>#DIV/0!</v>
      </c>
      <c r="AE45" s="43" t="str">
        <f>((TotalTournamentAverages!AL37/MassFormulaTesting!$B$84)*0.68)+0.3</f>
        <v>#DIV/0!</v>
      </c>
      <c r="AF45" s="43" t="str">
        <f>((TotalTournamentAverages!AM37/MassFormulaTesting!$B$86)*0.68)+0.3</f>
        <v>#DIV/0!</v>
      </c>
      <c r="AG45" s="43" t="str">
        <f>((TotalTournamentAverages!AN37/MassFormulaTesting!$B$88)*0.68)+0.3</f>
        <v>#DIV/0!</v>
      </c>
      <c r="AH45" s="43" t="str">
        <f>((TotalTournamentAverages!AO37/MassFormulaTesting!$B$90)*0.68)+0.3</f>
        <v>#DIV/0!</v>
      </c>
      <c r="AI45" s="43" t="str">
        <f>((TotalTournamentAverages!AP37/MassFormulaTesting!$B$92)*0.68)+0.3</f>
        <v>#DIV/0!</v>
      </c>
      <c r="AJ45" s="43" t="str">
        <f>((TotalTournamentAverages!AQ37/MassFormulaTesting!$B$94)*0.68)+0.3</f>
        <v>#DIV/0!</v>
      </c>
      <c r="AK45" s="43" t="str">
        <f>((TotalTournamentAverages!AR37/MassFormulaTesting!$B$96)*0.68)+0.3</f>
        <v>#DIV/0!</v>
      </c>
      <c r="AL45" s="43" t="str">
        <f>((TotalTournamentAverages!AS37/MassFormulaTesting!$B$98)*0.68)+0.3</f>
        <v>#DIV/0!</v>
      </c>
      <c r="AM45" s="43" t="str">
        <f>((TotalTournamentAverages!AT37/MassFormulaTesting!$B$100)*0.68)+0.3</f>
        <v>#DIV/0!</v>
      </c>
      <c r="AN45" s="43" t="str">
        <f>((TotalTournamentAverages!AV37/MassFormulaTesting!$B$104)*0.68)+0.3</f>
        <v>#DIV/0!</v>
      </c>
      <c r="AO45" s="43" t="str">
        <f>((TotalTournamentAverages!AW37/MassFormulaTesting!$B$106)*0.68)+0.3</f>
        <v>#DIV/0!</v>
      </c>
      <c r="AP45" s="43" t="str">
        <f>((TotalTournamentAverages!AX37/MassFormulaTesting!$B$108)*0.68)+0.3</f>
        <v>#DIV/0!</v>
      </c>
      <c r="AQ45" s="7"/>
    </row>
    <row r="46">
      <c r="A46" s="50" t="str">
        <f>IFERROR(__xludf.DUMMYFUNCTION("""COMPUTED_VALUE"""),"Yejis Aegyo")</f>
        <v>Yejis Aegyo</v>
      </c>
      <c r="B46" s="51">
        <f>IFERROR(__xludf.DUMMYFUNCTION("""COMPUTED_VALUE"""),22.666666666666668)</f>
        <v>22.66666667</v>
      </c>
      <c r="C46" s="52"/>
      <c r="D46" s="40" t="str">
        <f t="shared" si="1"/>
        <v>#DIV/0!</v>
      </c>
      <c r="E46" s="45" t="str">
        <f>TotalTournamentAverages!A38</f>
        <v>Scullen cx</v>
      </c>
      <c r="F46" s="46">
        <f t="shared" si="2"/>
        <v>0.3</v>
      </c>
      <c r="G46" s="47">
        <f>((TotalTournamentAverages!D38/MassFormulaTesting!$B$16)*0.68)+0.3</f>
        <v>0.4457142857</v>
      </c>
      <c r="H46" s="47">
        <f>((TotalTournamentAverages!E38/MassFormulaTesting!$B$18)*0.68)+0.3</f>
        <v>0.7283464567</v>
      </c>
      <c r="I46" s="47">
        <f>((TotalTournamentAverages!F38/MassFormulaTesting!$B$20)*0.68)+0.3</f>
        <v>0.674</v>
      </c>
      <c r="J46" s="47">
        <f>(IFERROR(MassFormulaTesting!$C$22/TotalTournamentAverages!G38,"")*0.68)+0.3</f>
        <v>0.4691542289</v>
      </c>
      <c r="K46" s="13">
        <f>(((TotalTournamentAverages!H38+118)/(MassFormulaTesting!$B$24+118))*0.68)+0.3</f>
        <v>0.7354679803</v>
      </c>
      <c r="L46" s="47">
        <f>((TotalTournamentAverages!I38/MassFormulaTesting!$B$26)*0.68)+0.3</f>
        <v>0.54</v>
      </c>
      <c r="M46" s="47">
        <f>((0.98-(TotalTournamentAverages!J38/MassFormulaTesting!$B$28)*0.68))</f>
        <v>0.3906666667</v>
      </c>
      <c r="N46" s="47">
        <f>((TotalTournamentAverages!K38/MassFormulaTesting!$B$30)*0.68)+0.3</f>
        <v>0.7565275106</v>
      </c>
      <c r="O46" s="47">
        <f>((TotalTournamentAverages!L38/MassFormulaTesting!$B$32)*0.68)+0.3</f>
        <v>0.797356703</v>
      </c>
      <c r="P46" s="47">
        <f>((TotalTournamentAverages!M38/MassFormulaTesting!$B$34)*0.68)+0.3</f>
        <v>0.5266666667</v>
      </c>
      <c r="Q46" s="47">
        <f>((TotalTournamentAverages!N38/MassFormulaTesting!$B$36)*0.68)+0.3</f>
        <v>0.3463636364</v>
      </c>
      <c r="R46" s="47">
        <f>((TotalTournamentAverages!O38/MassFormulaTesting!$B$38)*0.68)+0.3</f>
        <v>0.3</v>
      </c>
      <c r="S46" s="47">
        <f>(IFERROR(TotalTournamentAverages!P38/MassFormulaTesting!$B$40,"")*0.68)+0.3</f>
        <v>0.3</v>
      </c>
      <c r="T46" s="47">
        <f>((TotalTournamentAverages!T38/MassFormulaTesting!$B$48)*0.68)+0.3</f>
        <v>0.4983333333</v>
      </c>
      <c r="U46" s="47">
        <f>((TotalTournamentAverages!U38/MassFormulaTesting!$B$50)*0.68)+0.3</f>
        <v>0.4275</v>
      </c>
      <c r="V46" s="47">
        <f>((TotalTournamentAverages!V38/MassFormulaTesting!$B$52)*0.68)+0.3</f>
        <v>0.3</v>
      </c>
      <c r="W46" s="47">
        <f>(IFERROR(TotalTournamentAverages!W38/MassFormulaTesting!$B$54,"")*0.68)+0.3</f>
        <v>0.3</v>
      </c>
      <c r="X46" s="47">
        <f>(IFERROR(TotalTournamentAverages!X38/MassFormulaTesting!$B$56,"")*0.68)+0.3</f>
        <v>0.3</v>
      </c>
      <c r="Y46" s="47">
        <f>(IFERROR(TotalTournamentAverages!Y38/MassFormulaTesting!$B$58,"")*0.68)+0.3</f>
        <v>0.3</v>
      </c>
      <c r="Z46" s="43">
        <f>(IFERROR(TotalTournamentAverages!Z38/MassFormulaTesting!$B$60,"")*0.68)+0.3</f>
        <v>0.3</v>
      </c>
      <c r="AA46" s="43">
        <f>((TotalTournamentAverages!AD38/MassFormulaTesting!$B$68)*0.68)+0.3</f>
        <v>0.3</v>
      </c>
      <c r="AB46" s="43" t="str">
        <f>((TotalTournamentAverages!AG38/MassFormulaTesting!$B$74)*0.68)+0.3</f>
        <v>#DIV/0!</v>
      </c>
      <c r="AC46" s="43" t="str">
        <f>((TotalTournamentAverages!AH38/MassFormulaTesting!$B$76)*0.68)+0.3</f>
        <v>#DIV/0!</v>
      </c>
      <c r="AD46" s="43" t="str">
        <f>((TotalTournamentAverages!AK38/MassFormulaTesting!$B$82)*0.68)+0.3</f>
        <v>#DIV/0!</v>
      </c>
      <c r="AE46" s="43" t="str">
        <f>((TotalTournamentAverages!AL38/MassFormulaTesting!$B$84)*0.68)+0.3</f>
        <v>#DIV/0!</v>
      </c>
      <c r="AF46" s="43" t="str">
        <f>((TotalTournamentAverages!AM38/MassFormulaTesting!$B$86)*0.68)+0.3</f>
        <v>#DIV/0!</v>
      </c>
      <c r="AG46" s="43" t="str">
        <f>((TotalTournamentAverages!AN38/MassFormulaTesting!$B$88)*0.68)+0.3</f>
        <v>#DIV/0!</v>
      </c>
      <c r="AH46" s="43" t="str">
        <f>((TotalTournamentAverages!AO38/MassFormulaTesting!$B$90)*0.68)+0.3</f>
        <v>#DIV/0!</v>
      </c>
      <c r="AI46" s="43" t="str">
        <f>((TotalTournamentAverages!AP38/MassFormulaTesting!$B$92)*0.68)+0.3</f>
        <v>#DIV/0!</v>
      </c>
      <c r="AJ46" s="43" t="str">
        <f>((TotalTournamentAverages!AQ38/MassFormulaTesting!$B$94)*0.68)+0.3</f>
        <v>#DIV/0!</v>
      </c>
      <c r="AK46" s="43" t="str">
        <f>((TotalTournamentAverages!AR38/MassFormulaTesting!$B$96)*0.68)+0.3</f>
        <v>#DIV/0!</v>
      </c>
      <c r="AL46" s="43" t="str">
        <f>((TotalTournamentAverages!AS38/MassFormulaTesting!$B$98)*0.68)+0.3</f>
        <v>#DIV/0!</v>
      </c>
      <c r="AM46" s="43" t="str">
        <f>((TotalTournamentAverages!AT38/MassFormulaTesting!$B$100)*0.68)+0.3</f>
        <v>#DIV/0!</v>
      </c>
      <c r="AN46" s="43" t="str">
        <f>((TotalTournamentAverages!AV38/MassFormulaTesting!$B$104)*0.68)+0.3</f>
        <v>#DIV/0!</v>
      </c>
      <c r="AO46" s="43" t="str">
        <f>((TotalTournamentAverages!AW38/MassFormulaTesting!$B$106)*0.68)+0.3</f>
        <v>#DIV/0!</v>
      </c>
      <c r="AP46" s="43" t="str">
        <f>((TotalTournamentAverages!AX38/MassFormulaTesting!$B$108)*0.68)+0.3</f>
        <v>#DIV/0!</v>
      </c>
      <c r="AQ46" s="7"/>
    </row>
    <row r="47">
      <c r="A47" s="56" t="str">
        <f>IFERROR(__xludf.DUMMYFUNCTION("Query(TotalTournamentAverages!A:AV,""Select A,T where A&lt;&gt;'' Order by T Desc Limit 1"")"),"OVERALL")</f>
        <v>OVERALL</v>
      </c>
      <c r="B47" s="54" t="str">
        <f>IFERROR(__xludf.DUMMYFUNCTION("""COMPUTED_VALUE"""),"avg TripleKills")</f>
        <v>avg TripleKills</v>
      </c>
      <c r="C47" s="52"/>
      <c r="D47" s="40" t="str">
        <f t="shared" si="1"/>
        <v>#DIV/0!</v>
      </c>
      <c r="E47" s="45" t="str">
        <f>TotalTournamentAverages!A39</f>
        <v>Solace VIII</v>
      </c>
      <c r="F47" s="46">
        <f t="shared" si="2"/>
        <v>0.3</v>
      </c>
      <c r="G47" s="47">
        <f>((TotalTournamentAverages!D39/MassFormulaTesting!$B$16)*0.68)+0.3</f>
        <v>0.3971428571</v>
      </c>
      <c r="H47" s="47">
        <f>((TotalTournamentAverages!E39/MassFormulaTesting!$B$18)*0.68)+0.3</f>
        <v>0.4606299213</v>
      </c>
      <c r="I47" s="47">
        <f>((TotalTournamentAverages!F39/MassFormulaTesting!$B$20)*0.68)+0.3</f>
        <v>0.436</v>
      </c>
      <c r="J47" s="47">
        <f>(IFERROR(MassFormulaTesting!$C$22/TotalTournamentAverages!G39,"")*0.68)+0.3</f>
        <v>0.8074626866</v>
      </c>
      <c r="K47" s="13">
        <f>(((TotalTournamentAverages!H39+118)/(MassFormulaTesting!$B$24+118))*0.68)+0.3</f>
        <v>0.8113957307</v>
      </c>
      <c r="L47" s="47">
        <f>((TotalTournamentAverages!I39/MassFormulaTesting!$B$26)*0.68)+0.3</f>
        <v>0.54</v>
      </c>
      <c r="M47" s="47">
        <f>((0.98-(TotalTournamentAverages!J39/MassFormulaTesting!$B$28)*0.68))</f>
        <v>0.98</v>
      </c>
      <c r="N47" s="47">
        <f>((TotalTournamentAverages!K39/MassFormulaTesting!$B$30)*0.68)+0.3</f>
        <v>0.4589457484</v>
      </c>
      <c r="O47" s="47">
        <f>((TotalTournamentAverages!L39/MassFormulaTesting!$B$32)*0.68)+0.3</f>
        <v>0.4842539081</v>
      </c>
      <c r="P47" s="47">
        <f>((TotalTournamentAverages!M39/MassFormulaTesting!$B$34)*0.68)+0.3</f>
        <v>0.536969697</v>
      </c>
      <c r="Q47" s="47">
        <f>((TotalTournamentAverages!N39/MassFormulaTesting!$B$36)*0.68)+0.3</f>
        <v>0.3</v>
      </c>
      <c r="R47" s="47">
        <f>((TotalTournamentAverages!O39/MassFormulaTesting!$B$38)*0.68)+0.3</f>
        <v>0.3</v>
      </c>
      <c r="S47" s="47">
        <f>(IFERROR(TotalTournamentAverages!P39/MassFormulaTesting!$B$40,"")*0.68)+0.3</f>
        <v>0.3</v>
      </c>
      <c r="T47" s="47">
        <f>((TotalTournamentAverages!T39/MassFormulaTesting!$B$48)*0.68)+0.3</f>
        <v>0.47</v>
      </c>
      <c r="U47" s="47">
        <f>((TotalTournamentAverages!U39/MassFormulaTesting!$B$50)*0.68)+0.3</f>
        <v>0.3</v>
      </c>
      <c r="V47" s="47">
        <f>((TotalTournamentAverages!V39/MassFormulaTesting!$B$52)*0.68)+0.3</f>
        <v>0.3</v>
      </c>
      <c r="W47" s="47">
        <f>(IFERROR(TotalTournamentAverages!W39/MassFormulaTesting!$B$54,"")*0.68)+0.3</f>
        <v>0.3</v>
      </c>
      <c r="X47" s="47">
        <f>(IFERROR(TotalTournamentAverages!X39/MassFormulaTesting!$B$56,"")*0.68)+0.3</f>
        <v>0.3</v>
      </c>
      <c r="Y47" s="47">
        <f>(IFERROR(TotalTournamentAverages!Y39/MassFormulaTesting!$B$58,"")*0.68)+0.3</f>
        <v>0.3</v>
      </c>
      <c r="Z47" s="43">
        <f>(IFERROR(TotalTournamentAverages!Z39/MassFormulaTesting!$B$60,"")*0.68)+0.3</f>
        <v>0.3</v>
      </c>
      <c r="AA47" s="43">
        <f>((TotalTournamentAverages!AD39/MassFormulaTesting!$B$68)*0.68)+0.3</f>
        <v>0.3</v>
      </c>
      <c r="AB47" s="43" t="str">
        <f>((TotalTournamentAverages!AG39/MassFormulaTesting!$B$74)*0.68)+0.3</f>
        <v>#DIV/0!</v>
      </c>
      <c r="AC47" s="43" t="str">
        <f>((TotalTournamentAverages!AH39/MassFormulaTesting!$B$76)*0.68)+0.3</f>
        <v>#DIV/0!</v>
      </c>
      <c r="AD47" s="43" t="str">
        <f>((TotalTournamentAverages!AK39/MassFormulaTesting!$B$82)*0.68)+0.3</f>
        <v>#DIV/0!</v>
      </c>
      <c r="AE47" s="43" t="str">
        <f>((TotalTournamentAverages!AL39/MassFormulaTesting!$B$84)*0.68)+0.3</f>
        <v>#DIV/0!</v>
      </c>
      <c r="AF47" s="43" t="str">
        <f>((TotalTournamentAverages!AM39/MassFormulaTesting!$B$86)*0.68)+0.3</f>
        <v>#DIV/0!</v>
      </c>
      <c r="AG47" s="43" t="str">
        <f>((TotalTournamentAverages!AN39/MassFormulaTesting!$B$88)*0.68)+0.3</f>
        <v>#DIV/0!</v>
      </c>
      <c r="AH47" s="43" t="str">
        <f>((TotalTournamentAverages!AO39/MassFormulaTesting!$B$90)*0.68)+0.3</f>
        <v>#DIV/0!</v>
      </c>
      <c r="AI47" s="43" t="str">
        <f>((TotalTournamentAverages!AP39/MassFormulaTesting!$B$92)*0.68)+0.3</f>
        <v>#DIV/0!</v>
      </c>
      <c r="AJ47" s="43" t="str">
        <f>((TotalTournamentAverages!AQ39/MassFormulaTesting!$B$94)*0.68)+0.3</f>
        <v>#DIV/0!</v>
      </c>
      <c r="AK47" s="43" t="str">
        <f>((TotalTournamentAverages!AR39/MassFormulaTesting!$B$96)*0.68)+0.3</f>
        <v>#DIV/0!</v>
      </c>
      <c r="AL47" s="43" t="str">
        <f>((TotalTournamentAverages!AS39/MassFormulaTesting!$B$98)*0.68)+0.3</f>
        <v>#DIV/0!</v>
      </c>
      <c r="AM47" s="43" t="str">
        <f>((TotalTournamentAverages!AT39/MassFormulaTesting!$B$100)*0.68)+0.3</f>
        <v>#DIV/0!</v>
      </c>
      <c r="AN47" s="43" t="str">
        <f>((TotalTournamentAverages!AV39/MassFormulaTesting!$B$104)*0.68)+0.3</f>
        <v>#DIV/0!</v>
      </c>
      <c r="AO47" s="43" t="str">
        <f>((TotalTournamentAverages!AW39/MassFormulaTesting!$B$106)*0.68)+0.3</f>
        <v>#DIV/0!</v>
      </c>
      <c r="AP47" s="43" t="str">
        <f>((TotalTournamentAverages!AX39/MassFormulaTesting!$B$108)*0.68)+0.3</f>
        <v>#DIV/0!</v>
      </c>
      <c r="AQ47" s="7"/>
    </row>
    <row r="48">
      <c r="A48" s="50" t="str">
        <f>IFERROR(__xludf.DUMMYFUNCTION("""COMPUTED_VALUE"""),"Galvann")</f>
        <v>Galvann</v>
      </c>
      <c r="B48" s="51">
        <f>IFERROR(__xludf.DUMMYFUNCTION("""COMPUTED_VALUE"""),6.0)</f>
        <v>6</v>
      </c>
      <c r="C48" s="52"/>
      <c r="D48" s="40" t="str">
        <f t="shared" si="1"/>
        <v>#DIV/0!</v>
      </c>
      <c r="E48" s="45" t="str">
        <f>TotalTournamentAverages!A40</f>
        <v>TommyWstSide</v>
      </c>
      <c r="F48" s="46">
        <f t="shared" si="2"/>
        <v>0.3</v>
      </c>
      <c r="G48" s="47">
        <f>((TotalTournamentAverages!D40/MassFormulaTesting!$B$16)*0.68)+0.3</f>
        <v>0.3647619048</v>
      </c>
      <c r="H48" s="47">
        <f>((TotalTournamentAverages!E40/MassFormulaTesting!$B$18)*0.68)+0.3</f>
        <v>0.7979527559</v>
      </c>
      <c r="I48" s="47">
        <f>((TotalTournamentAverages!F40/MassFormulaTesting!$B$20)*0.68)+0.3</f>
        <v>0.708</v>
      </c>
      <c r="J48" s="47">
        <f>(IFERROR(MassFormulaTesting!$C$22/TotalTournamentAverages!G40,"")*0.68)+0.3</f>
        <v>0.4740614334</v>
      </c>
      <c r="K48" s="13">
        <f>(((TotalTournamentAverages!H40+118)/(MassFormulaTesting!$B$24+118))*0.68)+0.3</f>
        <v>0.8061850027</v>
      </c>
      <c r="L48" s="47">
        <f>((TotalTournamentAverages!I40/MassFormulaTesting!$B$26)*0.68)+0.3</f>
        <v>0.54</v>
      </c>
      <c r="M48" s="47">
        <f>((0.98-(TotalTournamentAverages!J40/MassFormulaTesting!$B$28)*0.68))</f>
        <v>0.98</v>
      </c>
      <c r="N48" s="47">
        <f>((TotalTournamentAverages!K40/MassFormulaTesting!$B$30)*0.68)+0.3</f>
        <v>0.7890034629</v>
      </c>
      <c r="O48" s="47">
        <f>((TotalTournamentAverages!L40/MassFormulaTesting!$B$32)*0.68)+0.3</f>
        <v>0.8191536397</v>
      </c>
      <c r="P48" s="47">
        <f>((TotalTournamentAverages!M40/MassFormulaTesting!$B$34)*0.68)+0.3</f>
        <v>0.5472727273</v>
      </c>
      <c r="Q48" s="47">
        <f>((TotalTournamentAverages!N40/MassFormulaTesting!$B$36)*0.68)+0.3</f>
        <v>0.4236363636</v>
      </c>
      <c r="R48" s="47">
        <f>((TotalTournamentAverages!O40/MassFormulaTesting!$B$38)*0.68)+0.3</f>
        <v>0.3</v>
      </c>
      <c r="S48" s="47">
        <f>(IFERROR(TotalTournamentAverages!P40/MassFormulaTesting!$B$40,"")*0.68)+0.3</f>
        <v>0.3</v>
      </c>
      <c r="T48" s="47">
        <f>((TotalTournamentAverages!T40/MassFormulaTesting!$B$48)*0.68)+0.3</f>
        <v>0.4888888889</v>
      </c>
      <c r="U48" s="47">
        <f>((TotalTournamentAverages!U40/MassFormulaTesting!$B$50)*0.68)+0.3</f>
        <v>0.47</v>
      </c>
      <c r="V48" s="47">
        <f>((TotalTournamentAverages!V40/MassFormulaTesting!$B$52)*0.68)+0.3</f>
        <v>0.3</v>
      </c>
      <c r="W48" s="47">
        <f>(IFERROR(TotalTournamentAverages!W40/MassFormulaTesting!$B$54,"")*0.68)+0.3</f>
        <v>0.3</v>
      </c>
      <c r="X48" s="47">
        <f>(IFERROR(TotalTournamentAverages!X40/MassFormulaTesting!$B$56,"")*0.68)+0.3</f>
        <v>0.3</v>
      </c>
      <c r="Y48" s="47">
        <f>(IFERROR(TotalTournamentAverages!Y40/MassFormulaTesting!$B$58,"")*0.68)+0.3</f>
        <v>0.3</v>
      </c>
      <c r="Z48" s="43">
        <f>(IFERROR(TotalTournamentAverages!Z40/MassFormulaTesting!$B$60,"")*0.68)+0.3</f>
        <v>0.3</v>
      </c>
      <c r="AA48" s="43">
        <f>((TotalTournamentAverages!AD40/MassFormulaTesting!$B$68)*0.68)+0.3</f>
        <v>0.3</v>
      </c>
      <c r="AB48" s="43" t="str">
        <f>((TotalTournamentAverages!AG40/MassFormulaTesting!$B$74)*0.68)+0.3</f>
        <v>#DIV/0!</v>
      </c>
      <c r="AC48" s="43" t="str">
        <f>((TotalTournamentAverages!AH40/MassFormulaTesting!$B$76)*0.68)+0.3</f>
        <v>#DIV/0!</v>
      </c>
      <c r="AD48" s="43" t="str">
        <f>((TotalTournamentAverages!AK40/MassFormulaTesting!$B$82)*0.68)+0.3</f>
        <v>#DIV/0!</v>
      </c>
      <c r="AE48" s="43" t="str">
        <f>((TotalTournamentAverages!AL40/MassFormulaTesting!$B$84)*0.68)+0.3</f>
        <v>#DIV/0!</v>
      </c>
      <c r="AF48" s="43" t="str">
        <f>((TotalTournamentAverages!AM40/MassFormulaTesting!$B$86)*0.68)+0.3</f>
        <v>#DIV/0!</v>
      </c>
      <c r="AG48" s="43" t="str">
        <f>((TotalTournamentAverages!AN40/MassFormulaTesting!$B$88)*0.68)+0.3</f>
        <v>#DIV/0!</v>
      </c>
      <c r="AH48" s="43" t="str">
        <f>((TotalTournamentAverages!AO40/MassFormulaTesting!$B$90)*0.68)+0.3</f>
        <v>#DIV/0!</v>
      </c>
      <c r="AI48" s="43" t="str">
        <f>((TotalTournamentAverages!AP40/MassFormulaTesting!$B$92)*0.68)+0.3</f>
        <v>#DIV/0!</v>
      </c>
      <c r="AJ48" s="43" t="str">
        <f>((TotalTournamentAverages!AQ40/MassFormulaTesting!$B$94)*0.68)+0.3</f>
        <v>#DIV/0!</v>
      </c>
      <c r="AK48" s="43" t="str">
        <f>((TotalTournamentAverages!AR40/MassFormulaTesting!$B$96)*0.68)+0.3</f>
        <v>#DIV/0!</v>
      </c>
      <c r="AL48" s="43" t="str">
        <f>((TotalTournamentAverages!AS40/MassFormulaTesting!$B$98)*0.68)+0.3</f>
        <v>#DIV/0!</v>
      </c>
      <c r="AM48" s="43" t="str">
        <f>((TotalTournamentAverages!AT40/MassFormulaTesting!$B$100)*0.68)+0.3</f>
        <v>#DIV/0!</v>
      </c>
      <c r="AN48" s="43" t="str">
        <f>((TotalTournamentAverages!AV40/MassFormulaTesting!$B$104)*0.68)+0.3</f>
        <v>#DIV/0!</v>
      </c>
      <c r="AO48" s="43" t="str">
        <f>((TotalTournamentAverages!AW40/MassFormulaTesting!$B$106)*0.68)+0.3</f>
        <v>#DIV/0!</v>
      </c>
      <c r="AP48" s="43" t="str">
        <f>((TotalTournamentAverages!AX40/MassFormulaTesting!$B$108)*0.68)+0.3</f>
        <v>#DIV/0!</v>
      </c>
      <c r="AQ48" s="7"/>
    </row>
    <row r="49">
      <c r="A49" s="56" t="str">
        <f>IFERROR(__xludf.DUMMYFUNCTION("Query(TotalTournamentAverages!A:AV,""Select A,U where A&lt;&gt;'' Order by U Desc Limit 1"")"),"OVERALL")</f>
        <v>OVERALL</v>
      </c>
      <c r="B49" s="54" t="str">
        <f>IFERROR(__xludf.DUMMYFUNCTION("""COMPUTED_VALUE"""),"avg Overkills")</f>
        <v>avg Overkills</v>
      </c>
      <c r="C49" s="52"/>
      <c r="D49" s="40" t="str">
        <f t="shared" si="1"/>
        <v>#DIV/0!</v>
      </c>
      <c r="E49" s="45" t="str">
        <f>TotalTournamentAverages!A41</f>
        <v>Vile</v>
      </c>
      <c r="F49" s="46">
        <f t="shared" si="2"/>
        <v>0.3</v>
      </c>
      <c r="G49" s="47">
        <f>((TotalTournamentAverages!D41/MassFormulaTesting!$B$16)*0.68)+0.3</f>
        <v>0.8180952381</v>
      </c>
      <c r="H49" s="47">
        <f>((TotalTournamentAverages!E41/MassFormulaTesting!$B$18)*0.68)+0.3</f>
        <v>0.8568503937</v>
      </c>
      <c r="I49" s="47">
        <f>((TotalTournamentAverages!F41/MassFormulaTesting!$B$20)*0.68)+0.3</f>
        <v>0.8213333333</v>
      </c>
      <c r="J49" s="47">
        <f>(IFERROR(MassFormulaTesting!$C$22/TotalTournamentAverages!G41,"")*0.68)+0.3</f>
        <v>0.5236842105</v>
      </c>
      <c r="K49" s="13">
        <f>(((TotalTournamentAverages!H41+118)/(MassFormulaTesting!$B$24+118))*0.68)+0.3</f>
        <v>0.9520853859</v>
      </c>
      <c r="L49" s="47">
        <f>((TotalTournamentAverages!I41/MassFormulaTesting!$B$26)*0.68)+0.3</f>
        <v>0.98</v>
      </c>
      <c r="M49" s="47">
        <f>((0.98-(TotalTournamentAverages!J41/MassFormulaTesting!$B$28)*0.68))</f>
        <v>0.3755555556</v>
      </c>
      <c r="N49" s="47">
        <f>((TotalTournamentAverages!K41/MassFormulaTesting!$B$30)*0.68)+0.3</f>
        <v>0.98</v>
      </c>
      <c r="O49" s="47">
        <f>((TotalTournamentAverages!L41/MassFormulaTesting!$B$32)*0.68)+0.3</f>
        <v>0.9617464077</v>
      </c>
      <c r="P49" s="47">
        <f>((TotalTournamentAverages!M41/MassFormulaTesting!$B$34)*0.68)+0.3</f>
        <v>0.7464646465</v>
      </c>
      <c r="Q49" s="47">
        <f>((TotalTournamentAverages!N41/MassFormulaTesting!$B$36)*0.68)+0.3</f>
        <v>0.98</v>
      </c>
      <c r="R49" s="47">
        <f>((TotalTournamentAverages!O41/MassFormulaTesting!$B$38)*0.68)+0.3</f>
        <v>0.98</v>
      </c>
      <c r="S49" s="47">
        <f>(IFERROR(TotalTournamentAverages!P41/MassFormulaTesting!$B$40,"")*0.68)+0.3</f>
        <v>0.98</v>
      </c>
      <c r="T49" s="47">
        <f>((TotalTournamentAverages!T41/MassFormulaTesting!$B$48)*0.68)+0.3</f>
        <v>0.64</v>
      </c>
      <c r="U49" s="47">
        <f>((TotalTournamentAverages!U41/MassFormulaTesting!$B$50)*0.68)+0.3</f>
        <v>0.98</v>
      </c>
      <c r="V49" s="47">
        <f>((TotalTournamentAverages!V41/MassFormulaTesting!$B$52)*0.68)+0.3</f>
        <v>0.98</v>
      </c>
      <c r="W49" s="47">
        <f>(IFERROR(TotalTournamentAverages!W41/MassFormulaTesting!$B$54,"")*0.68)+0.3</f>
        <v>0.98</v>
      </c>
      <c r="X49" s="47">
        <f>(IFERROR(TotalTournamentAverages!X41/MassFormulaTesting!$B$56,"")*0.68)+0.3</f>
        <v>0.98</v>
      </c>
      <c r="Y49" s="47">
        <f>(IFERROR(TotalTournamentAverages!Y41/MassFormulaTesting!$B$58,"")*0.68)+0.3</f>
        <v>0.3</v>
      </c>
      <c r="Z49" s="43">
        <f>(IFERROR(TotalTournamentAverages!Z41/MassFormulaTesting!$B$60,"")*0.68)+0.3</f>
        <v>0.3</v>
      </c>
      <c r="AA49" s="43">
        <f>((TotalTournamentAverages!AD41/MassFormulaTesting!$B$68)*0.68)+0.3</f>
        <v>0.3</v>
      </c>
      <c r="AB49" s="43" t="str">
        <f>((TotalTournamentAverages!AG41/MassFormulaTesting!$B$74)*0.68)+0.3</f>
        <v>#DIV/0!</v>
      </c>
      <c r="AC49" s="43" t="str">
        <f>((TotalTournamentAverages!AH41/MassFormulaTesting!$B$76)*0.68)+0.3</f>
        <v>#DIV/0!</v>
      </c>
      <c r="AD49" s="43" t="str">
        <f>((TotalTournamentAverages!AK41/MassFormulaTesting!$B$82)*0.68)+0.3</f>
        <v>#DIV/0!</v>
      </c>
      <c r="AE49" s="43" t="str">
        <f>((TotalTournamentAverages!AL41/MassFormulaTesting!$B$84)*0.68)+0.3</f>
        <v>#DIV/0!</v>
      </c>
      <c r="AF49" s="43" t="str">
        <f>((TotalTournamentAverages!AM41/MassFormulaTesting!$B$86)*0.68)+0.3</f>
        <v>#DIV/0!</v>
      </c>
      <c r="AG49" s="43" t="str">
        <f>((TotalTournamentAverages!AN41/MassFormulaTesting!$B$88)*0.68)+0.3</f>
        <v>#DIV/0!</v>
      </c>
      <c r="AH49" s="43" t="str">
        <f>((TotalTournamentAverages!AO41/MassFormulaTesting!$B$90)*0.68)+0.3</f>
        <v>#DIV/0!</v>
      </c>
      <c r="AI49" s="43" t="str">
        <f>((TotalTournamentAverages!AP41/MassFormulaTesting!$B$92)*0.68)+0.3</f>
        <v>#DIV/0!</v>
      </c>
      <c r="AJ49" s="43" t="str">
        <f>((TotalTournamentAverages!AQ41/MassFormulaTesting!$B$94)*0.68)+0.3</f>
        <v>#DIV/0!</v>
      </c>
      <c r="AK49" s="43" t="str">
        <f>((TotalTournamentAverages!AR41/MassFormulaTesting!$B$96)*0.68)+0.3</f>
        <v>#DIV/0!</v>
      </c>
      <c r="AL49" s="43" t="str">
        <f>((TotalTournamentAverages!AS41/MassFormulaTesting!$B$98)*0.68)+0.3</f>
        <v>#DIV/0!</v>
      </c>
      <c r="AM49" s="43" t="str">
        <f>((TotalTournamentAverages!AT41/MassFormulaTesting!$B$100)*0.68)+0.3</f>
        <v>#DIV/0!</v>
      </c>
      <c r="AN49" s="43" t="str">
        <f>((TotalTournamentAverages!AV41/MassFormulaTesting!$B$104)*0.68)+0.3</f>
        <v>#DIV/0!</v>
      </c>
      <c r="AO49" s="43" t="str">
        <f>((TotalTournamentAverages!AW41/MassFormulaTesting!$B$106)*0.68)+0.3</f>
        <v>#DIV/0!</v>
      </c>
      <c r="AP49" s="43" t="str">
        <f>((TotalTournamentAverages!AX41/MassFormulaTesting!$B$108)*0.68)+0.3</f>
        <v>#DIV/0!</v>
      </c>
      <c r="AQ49" s="7"/>
    </row>
    <row r="50">
      <c r="A50" s="50" t="str">
        <f>IFERROR(__xludf.DUMMYFUNCTION("""COMPUTED_VALUE"""),"Vile")</f>
        <v>Vile</v>
      </c>
      <c r="B50" s="51">
        <f>IFERROR(__xludf.DUMMYFUNCTION("""COMPUTED_VALUE"""),1.3333333333333333)</f>
        <v>1.333333333</v>
      </c>
      <c r="C50" s="52"/>
      <c r="D50" s="40" t="str">
        <f t="shared" si="1"/>
        <v>#DIV/0!</v>
      </c>
      <c r="E50" s="45" t="str">
        <f>TotalTournamentAverages!A42</f>
        <v>Yaeqin</v>
      </c>
      <c r="F50" s="46">
        <f t="shared" si="2"/>
        <v>0.3</v>
      </c>
      <c r="G50" s="47">
        <f>((TotalTournamentAverages!D42/MassFormulaTesting!$B$16)*0.68)+0.3</f>
        <v>0.3971428571</v>
      </c>
      <c r="H50" s="47">
        <f>((TotalTournamentAverages!E42/MassFormulaTesting!$B$18)*0.68)+0.3</f>
        <v>0.5650393701</v>
      </c>
      <c r="I50" s="47">
        <f>((TotalTournamentAverages!F42/MassFormulaTesting!$B$20)*0.68)+0.3</f>
        <v>0.436</v>
      </c>
      <c r="J50" s="47">
        <f>(IFERROR(MassFormulaTesting!$C$22/TotalTournamentAverages!G42,"")*0.68)+0.3</f>
        <v>0.6333333333</v>
      </c>
      <c r="K50" s="13">
        <f>(((TotalTournamentAverages!H42+118)/(MassFormulaTesting!$B$24+118))*0.68)+0.3</f>
        <v>0.8203284072</v>
      </c>
      <c r="L50" s="47">
        <f>((TotalTournamentAverages!I42/MassFormulaTesting!$B$26)*0.68)+0.3</f>
        <v>0.54</v>
      </c>
      <c r="M50" s="47">
        <f>((0.98-(TotalTournamentAverages!J42/MassFormulaTesting!$B$28)*0.68))</f>
        <v>0.8893333333</v>
      </c>
      <c r="N50" s="47">
        <f>((TotalTournamentAverages!K42/MassFormulaTesting!$B$30)*0.68)+0.3</f>
        <v>0.5668718738</v>
      </c>
      <c r="O50" s="47">
        <f>((TotalTournamentAverages!L42/MassFormulaTesting!$B$32)*0.68)+0.3</f>
        <v>0.5889436286</v>
      </c>
      <c r="P50" s="47">
        <f>((TotalTournamentAverages!M42/MassFormulaTesting!$B$34)*0.68)+0.3</f>
        <v>0.5678787879</v>
      </c>
      <c r="Q50" s="47">
        <f>((TotalTournamentAverages!N42/MassFormulaTesting!$B$36)*0.68)+0.3</f>
        <v>0.3</v>
      </c>
      <c r="R50" s="47">
        <f>((TotalTournamentAverages!O42/MassFormulaTesting!$B$38)*0.68)+0.3</f>
        <v>0.3</v>
      </c>
      <c r="S50" s="47">
        <f>(IFERROR(TotalTournamentAverages!P42/MassFormulaTesting!$B$40,"")*0.68)+0.3</f>
        <v>0.3</v>
      </c>
      <c r="T50" s="47">
        <f>((TotalTournamentAverages!T42/MassFormulaTesting!$B$48)*0.68)+0.3</f>
        <v>0.4133333333</v>
      </c>
      <c r="U50" s="47">
        <f>((TotalTournamentAverages!U42/MassFormulaTesting!$B$50)*0.68)+0.3</f>
        <v>0.3</v>
      </c>
      <c r="V50" s="47">
        <f>((TotalTournamentAverages!V42/MassFormulaTesting!$B$52)*0.68)+0.3</f>
        <v>0.3</v>
      </c>
      <c r="W50" s="47">
        <f>(IFERROR(TotalTournamentAverages!W42/MassFormulaTesting!$B$54,"")*0.68)+0.3</f>
        <v>0.3</v>
      </c>
      <c r="X50" s="47">
        <f>(IFERROR(TotalTournamentAverages!X42/MassFormulaTesting!$B$56,"")*0.68)+0.3</f>
        <v>0.3</v>
      </c>
      <c r="Y50" s="47">
        <f>(IFERROR(TotalTournamentAverages!Y42/MassFormulaTesting!$B$58,"")*0.68)+0.3</f>
        <v>0.3</v>
      </c>
      <c r="Z50" s="43">
        <f>(IFERROR(TotalTournamentAverages!Z42/MassFormulaTesting!$B$60,"")*0.68)+0.3</f>
        <v>0.3</v>
      </c>
      <c r="AA50" s="43">
        <f>((TotalTournamentAverages!AD42/MassFormulaTesting!$B$68)*0.68)+0.3</f>
        <v>0.3</v>
      </c>
      <c r="AB50" s="43" t="str">
        <f>((TotalTournamentAverages!AG42/MassFormulaTesting!$B$74)*0.68)+0.3</f>
        <v>#DIV/0!</v>
      </c>
      <c r="AC50" s="43" t="str">
        <f>((TotalTournamentAverages!AH42/MassFormulaTesting!$B$76)*0.68)+0.3</f>
        <v>#DIV/0!</v>
      </c>
      <c r="AD50" s="43" t="str">
        <f>((TotalTournamentAverages!AK42/MassFormulaTesting!$B$82)*0.68)+0.3</f>
        <v>#DIV/0!</v>
      </c>
      <c r="AE50" s="43" t="str">
        <f>((TotalTournamentAverages!AL42/MassFormulaTesting!$B$84)*0.68)+0.3</f>
        <v>#DIV/0!</v>
      </c>
      <c r="AF50" s="43" t="str">
        <f>((TotalTournamentAverages!AM42/MassFormulaTesting!$B$86)*0.68)+0.3</f>
        <v>#DIV/0!</v>
      </c>
      <c r="AG50" s="43" t="str">
        <f>((TotalTournamentAverages!AN42/MassFormulaTesting!$B$88)*0.68)+0.3</f>
        <v>#DIV/0!</v>
      </c>
      <c r="AH50" s="43" t="str">
        <f>((TotalTournamentAverages!AO42/MassFormulaTesting!$B$90)*0.68)+0.3</f>
        <v>#DIV/0!</v>
      </c>
      <c r="AI50" s="43" t="str">
        <f>((TotalTournamentAverages!AP42/MassFormulaTesting!$B$92)*0.68)+0.3</f>
        <v>#DIV/0!</v>
      </c>
      <c r="AJ50" s="43" t="str">
        <f>((TotalTournamentAverages!AQ42/MassFormulaTesting!$B$94)*0.68)+0.3</f>
        <v>#DIV/0!</v>
      </c>
      <c r="AK50" s="43" t="str">
        <f>((TotalTournamentAverages!AR42/MassFormulaTesting!$B$96)*0.68)+0.3</f>
        <v>#DIV/0!</v>
      </c>
      <c r="AL50" s="43" t="str">
        <f>((TotalTournamentAverages!AS42/MassFormulaTesting!$B$98)*0.68)+0.3</f>
        <v>#DIV/0!</v>
      </c>
      <c r="AM50" s="43" t="str">
        <f>((TotalTournamentAverages!AT42/MassFormulaTesting!$B$100)*0.68)+0.3</f>
        <v>#DIV/0!</v>
      </c>
      <c r="AN50" s="43" t="str">
        <f>((TotalTournamentAverages!AV42/MassFormulaTesting!$B$104)*0.68)+0.3</f>
        <v>#DIV/0!</v>
      </c>
      <c r="AO50" s="43" t="str">
        <f>((TotalTournamentAverages!AW42/MassFormulaTesting!$B$106)*0.68)+0.3</f>
        <v>#DIV/0!</v>
      </c>
      <c r="AP50" s="43" t="str">
        <f>((TotalTournamentAverages!AX42/MassFormulaTesting!$B$108)*0.68)+0.3</f>
        <v>#DIV/0!</v>
      </c>
      <c r="AQ50" s="7"/>
    </row>
    <row r="51">
      <c r="A51" s="56" t="str">
        <f>IFERROR(__xludf.DUMMYFUNCTION("Query(TotalTournamentAverages!A:AV,""Select A,V where A&lt;&gt;'' Order by V Desc Limit 1"")"),"OVERALL")</f>
        <v>OVERALL</v>
      </c>
      <c r="B51" s="54" t="str">
        <f>IFERROR(__xludf.DUMMYFUNCTION("""COMPUTED_VALUE"""),"avg Killtaculars")</f>
        <v>avg Killtaculars</v>
      </c>
      <c r="C51" s="52"/>
      <c r="D51" s="40" t="str">
        <f t="shared" si="1"/>
        <v>#DIV/0!</v>
      </c>
      <c r="E51" s="45" t="str">
        <f>TotalTournamentAverages!A43</f>
        <v>Yejis Aegyo</v>
      </c>
      <c r="F51" s="46">
        <f t="shared" si="2"/>
        <v>0.3</v>
      </c>
      <c r="G51" s="47">
        <f>((TotalTournamentAverages!D43/MassFormulaTesting!$B$16)*0.68)+0.3</f>
        <v>0.3</v>
      </c>
      <c r="H51" s="47">
        <f>((TotalTournamentAverages!E43/MassFormulaTesting!$B$18)*0.68)+0.3</f>
        <v>0.98</v>
      </c>
      <c r="I51" s="47">
        <f>((TotalTournamentAverages!F43/MassFormulaTesting!$B$20)*0.68)+0.3</f>
        <v>0.9573333333</v>
      </c>
      <c r="J51" s="47">
        <f>(IFERROR(MassFormulaTesting!$C$22/TotalTournamentAverages!G43,"")*0.68)+0.3</f>
        <v>0.4311053985</v>
      </c>
      <c r="K51" s="13">
        <f>(((TotalTournamentAverages!H43+118)/(MassFormulaTesting!$B$24+118))*0.68)+0.3</f>
        <v>0.8151176793</v>
      </c>
      <c r="L51" s="47">
        <f>((TotalTournamentAverages!I43/MassFormulaTesting!$B$26)*0.68)+0.3</f>
        <v>0.6</v>
      </c>
      <c r="M51" s="47">
        <f>((0.98-(TotalTournamentAverages!J43/MassFormulaTesting!$B$28)*0.68))</f>
        <v>0.5568888889</v>
      </c>
      <c r="N51" s="47">
        <f>((TotalTournamentAverages!K43/MassFormulaTesting!$B$30)*0.68)+0.3</f>
        <v>0.9391843017</v>
      </c>
      <c r="O51" s="47">
        <f>((TotalTournamentAverages!L43/MassFormulaTesting!$B$32)*0.68)+0.3</f>
        <v>0.98</v>
      </c>
      <c r="P51" s="47">
        <f>((TotalTournamentAverages!M43/MassFormulaTesting!$B$34)*0.68)+0.3</f>
        <v>0.5404040404</v>
      </c>
      <c r="Q51" s="47">
        <f>((TotalTournamentAverages!N43/MassFormulaTesting!$B$36)*0.68)+0.3</f>
        <v>0.6709090909</v>
      </c>
      <c r="R51" s="47">
        <f>((TotalTournamentAverages!O43/MassFormulaTesting!$B$38)*0.68)+0.3</f>
        <v>0.3</v>
      </c>
      <c r="S51" s="47">
        <f>(IFERROR(TotalTournamentAverages!P43/MassFormulaTesting!$B$40,"")*0.68)+0.3</f>
        <v>0.3</v>
      </c>
      <c r="T51" s="47">
        <f>((TotalTournamentAverages!T43/MassFormulaTesting!$B$48)*0.68)+0.3</f>
        <v>0.7155555556</v>
      </c>
      <c r="U51" s="47">
        <f>((TotalTournamentAverages!U43/MassFormulaTesting!$B$50)*0.68)+0.3</f>
        <v>0.98</v>
      </c>
      <c r="V51" s="47">
        <f>((TotalTournamentAverages!V43/MassFormulaTesting!$B$52)*0.68)+0.3</f>
        <v>0.3</v>
      </c>
      <c r="W51" s="47">
        <f>(IFERROR(TotalTournamentAverages!W43/MassFormulaTesting!$B$54,"")*0.68)+0.3</f>
        <v>0.3</v>
      </c>
      <c r="X51" s="47">
        <f>(IFERROR(TotalTournamentAverages!X43/MassFormulaTesting!$B$56,"")*0.68)+0.3</f>
        <v>0.3</v>
      </c>
      <c r="Y51" s="47">
        <f>(IFERROR(TotalTournamentAverages!Y43/MassFormulaTesting!$B$58,"")*0.68)+0.3</f>
        <v>0.3</v>
      </c>
      <c r="Z51" s="43">
        <f>(IFERROR(TotalTournamentAverages!Z43/MassFormulaTesting!$B$60,"")*0.68)+0.3</f>
        <v>0.3</v>
      </c>
      <c r="AA51" s="43">
        <f>((TotalTournamentAverages!AD43/MassFormulaTesting!$B$68)*0.68)+0.3</f>
        <v>0.3</v>
      </c>
      <c r="AB51" s="43" t="str">
        <f>((TotalTournamentAverages!AG43/MassFormulaTesting!$B$74)*0.68)+0.3</f>
        <v>#DIV/0!</v>
      </c>
      <c r="AC51" s="43" t="str">
        <f>((TotalTournamentAverages!AH43/MassFormulaTesting!$B$76)*0.68)+0.3</f>
        <v>#DIV/0!</v>
      </c>
      <c r="AD51" s="43" t="str">
        <f>((TotalTournamentAverages!AK43/MassFormulaTesting!$B$82)*0.68)+0.3</f>
        <v>#DIV/0!</v>
      </c>
      <c r="AE51" s="43" t="str">
        <f>((TotalTournamentAverages!AL43/MassFormulaTesting!$B$84)*0.68)+0.3</f>
        <v>#DIV/0!</v>
      </c>
      <c r="AF51" s="43" t="str">
        <f>((TotalTournamentAverages!AM43/MassFormulaTesting!$B$86)*0.68)+0.3</f>
        <v>#DIV/0!</v>
      </c>
      <c r="AG51" s="43" t="str">
        <f>((TotalTournamentAverages!AN43/MassFormulaTesting!$B$88)*0.68)+0.3</f>
        <v>#DIV/0!</v>
      </c>
      <c r="AH51" s="43" t="str">
        <f>((TotalTournamentAverages!AO43/MassFormulaTesting!$B$90)*0.68)+0.3</f>
        <v>#DIV/0!</v>
      </c>
      <c r="AI51" s="43" t="str">
        <f>((TotalTournamentAverages!AP43/MassFormulaTesting!$B$92)*0.68)+0.3</f>
        <v>#DIV/0!</v>
      </c>
      <c r="AJ51" s="43" t="str">
        <f>((TotalTournamentAverages!AQ43/MassFormulaTesting!$B$94)*0.68)+0.3</f>
        <v>#DIV/0!</v>
      </c>
      <c r="AK51" s="43" t="str">
        <f>((TotalTournamentAverages!AR43/MassFormulaTesting!$B$96)*0.68)+0.3</f>
        <v>#DIV/0!</v>
      </c>
      <c r="AL51" s="43" t="str">
        <f>((TotalTournamentAverages!AS43/MassFormulaTesting!$B$98)*0.68)+0.3</f>
        <v>#DIV/0!</v>
      </c>
      <c r="AM51" s="43" t="str">
        <f>((TotalTournamentAverages!AT43/MassFormulaTesting!$B$100)*0.68)+0.3</f>
        <v>#DIV/0!</v>
      </c>
      <c r="AN51" s="43" t="str">
        <f>((TotalTournamentAverages!AV43/MassFormulaTesting!$B$104)*0.68)+0.3</f>
        <v>#DIV/0!</v>
      </c>
      <c r="AO51" s="43" t="str">
        <f>((TotalTournamentAverages!AW43/MassFormulaTesting!$B$106)*0.68)+0.3</f>
        <v>#DIV/0!</v>
      </c>
      <c r="AP51" s="43" t="str">
        <f>((TotalTournamentAverages!AX43/MassFormulaTesting!$B$108)*0.68)+0.3</f>
        <v>#DIV/0!</v>
      </c>
      <c r="AQ51" s="7"/>
    </row>
    <row r="52">
      <c r="A52" s="50" t="str">
        <f>IFERROR(__xludf.DUMMYFUNCTION("""COMPUTED_VALUE"""),"Vile")</f>
        <v>Vile</v>
      </c>
      <c r="B52" s="51">
        <f>IFERROR(__xludf.DUMMYFUNCTION("""COMPUTED_VALUE"""),1.0)</f>
        <v>1</v>
      </c>
      <c r="C52" s="52"/>
      <c r="D52" s="40" t="str">
        <f t="shared" si="1"/>
        <v>#DIV/0!</v>
      </c>
      <c r="E52" s="45" t="str">
        <f>TotalTournamentAverages!A44</f>
        <v>Zelynthia</v>
      </c>
      <c r="F52" s="46">
        <f t="shared" si="2"/>
        <v>0.3</v>
      </c>
      <c r="G52" s="47">
        <f>((TotalTournamentAverages!D44/MassFormulaTesting!$B$16)*0.68)+0.3</f>
        <v>0.3485714286</v>
      </c>
      <c r="H52" s="47">
        <f>((TotalTournamentAverages!E44/MassFormulaTesting!$B$18)*0.68)+0.3</f>
        <v>0.5382677165</v>
      </c>
      <c r="I52" s="47">
        <f>((TotalTournamentAverages!F44/MassFormulaTesting!$B$20)*0.68)+0.3</f>
        <v>0.555</v>
      </c>
      <c r="J52" s="47">
        <f>(IFERROR(MassFormulaTesting!$C$22/TotalTournamentAverages!G44,"")*0.68)+0.3</f>
        <v>0.5869198312</v>
      </c>
      <c r="K52" s="13">
        <f>(((TotalTournamentAverages!H44+118)/(MassFormulaTesting!$B$24+118))*0.68)+0.3</f>
        <v>0.7611494253</v>
      </c>
      <c r="L52" s="47">
        <f>((TotalTournamentAverages!I44/MassFormulaTesting!$B$26)*0.68)+0.3</f>
        <v>0.51</v>
      </c>
      <c r="M52" s="47">
        <f>((0.98-(TotalTournamentAverages!J44/MassFormulaTesting!$B$28)*0.68))</f>
        <v>0.7533333333</v>
      </c>
      <c r="N52" s="47">
        <f>((TotalTournamentAverages!K44/MassFormulaTesting!$B$30)*0.68)+0.3</f>
        <v>0.5538226241</v>
      </c>
      <c r="O52" s="47">
        <f>((TotalTournamentAverages!L44/MassFormulaTesting!$B$32)*0.68)+0.3</f>
        <v>0.5897489342</v>
      </c>
      <c r="P52" s="47">
        <f>((TotalTournamentAverages!M44/MassFormulaTesting!$B$34)*0.68)+0.3</f>
        <v>0.5163636364</v>
      </c>
      <c r="Q52" s="47">
        <f>((TotalTournamentAverages!N44/MassFormulaTesting!$B$36)*0.68)+0.3</f>
        <v>0.3463636364</v>
      </c>
      <c r="R52" s="47">
        <f>((TotalTournamentAverages!O44/MassFormulaTesting!$B$38)*0.68)+0.3</f>
        <v>0.3</v>
      </c>
      <c r="S52" s="47">
        <f>(IFERROR(TotalTournamentAverages!P44/MassFormulaTesting!$B$40,"")*0.68)+0.3</f>
        <v>0.3</v>
      </c>
      <c r="T52" s="47">
        <f>((TotalTournamentAverages!T44/MassFormulaTesting!$B$48)*0.68)+0.3</f>
        <v>0.3283333333</v>
      </c>
      <c r="U52" s="47">
        <f>((TotalTournamentAverages!U44/MassFormulaTesting!$B$50)*0.68)+0.3</f>
        <v>0.3</v>
      </c>
      <c r="V52" s="47">
        <f>((TotalTournamentAverages!V44/MassFormulaTesting!$B$52)*0.68)+0.3</f>
        <v>0.3</v>
      </c>
      <c r="W52" s="47">
        <f>(IFERROR(TotalTournamentAverages!W44/MassFormulaTesting!$B$54,"")*0.68)+0.3</f>
        <v>0.3</v>
      </c>
      <c r="X52" s="47">
        <f>(IFERROR(TotalTournamentAverages!X44/MassFormulaTesting!$B$56,"")*0.68)+0.3</f>
        <v>0.3</v>
      </c>
      <c r="Y52" s="47">
        <f>(IFERROR(TotalTournamentAverages!Y44/MassFormulaTesting!$B$58,"")*0.68)+0.3</f>
        <v>0.3</v>
      </c>
      <c r="Z52" s="43">
        <f>(IFERROR(TotalTournamentAverages!Z44/MassFormulaTesting!$B$60,"")*0.68)+0.3</f>
        <v>0.3</v>
      </c>
      <c r="AA52" s="43">
        <f>((TotalTournamentAverages!AD44/MassFormulaTesting!$B$68)*0.68)+0.3</f>
        <v>0.3</v>
      </c>
      <c r="AB52" s="43" t="str">
        <f>((TotalTournamentAverages!AG44/MassFormulaTesting!$B$74)*0.68)+0.3</f>
        <v>#DIV/0!</v>
      </c>
      <c r="AC52" s="43" t="str">
        <f>((TotalTournamentAverages!AH44/MassFormulaTesting!$B$76)*0.68)+0.3</f>
        <v>#DIV/0!</v>
      </c>
      <c r="AD52" s="43" t="str">
        <f>((TotalTournamentAverages!AK44/MassFormulaTesting!$B$82)*0.68)+0.3</f>
        <v>#DIV/0!</v>
      </c>
      <c r="AE52" s="43" t="str">
        <f>((TotalTournamentAverages!AL44/MassFormulaTesting!$B$84)*0.68)+0.3</f>
        <v>#DIV/0!</v>
      </c>
      <c r="AF52" s="43" t="str">
        <f>((TotalTournamentAverages!AM44/MassFormulaTesting!$B$86)*0.68)+0.3</f>
        <v>#DIV/0!</v>
      </c>
      <c r="AG52" s="43" t="str">
        <f>((TotalTournamentAverages!AN44/MassFormulaTesting!$B$88)*0.68)+0.3</f>
        <v>#DIV/0!</v>
      </c>
      <c r="AH52" s="43" t="str">
        <f>((TotalTournamentAverages!AO44/MassFormulaTesting!$B$90)*0.68)+0.3</f>
        <v>#DIV/0!</v>
      </c>
      <c r="AI52" s="43" t="str">
        <f>((TotalTournamentAverages!AP44/MassFormulaTesting!$B$92)*0.68)+0.3</f>
        <v>#DIV/0!</v>
      </c>
      <c r="AJ52" s="43" t="str">
        <f>((TotalTournamentAverages!AQ44/MassFormulaTesting!$B$94)*0.68)+0.3</f>
        <v>#DIV/0!</v>
      </c>
      <c r="AK52" s="43" t="str">
        <f>((TotalTournamentAverages!AR44/MassFormulaTesting!$B$96)*0.68)+0.3</f>
        <v>#DIV/0!</v>
      </c>
      <c r="AL52" s="43" t="str">
        <f>((TotalTournamentAverages!AS44/MassFormulaTesting!$B$98)*0.68)+0.3</f>
        <v>#DIV/0!</v>
      </c>
      <c r="AM52" s="43" t="str">
        <f>((TotalTournamentAverages!AT44/MassFormulaTesting!$B$100)*0.68)+0.3</f>
        <v>#DIV/0!</v>
      </c>
      <c r="AN52" s="43" t="str">
        <f>((TotalTournamentAverages!AV44/MassFormulaTesting!$B$104)*0.68)+0.3</f>
        <v>#DIV/0!</v>
      </c>
      <c r="AO52" s="43" t="str">
        <f>((TotalTournamentAverages!AW44/MassFormulaTesting!$B$106)*0.68)+0.3</f>
        <v>#DIV/0!</v>
      </c>
      <c r="AP52" s="43" t="str">
        <f>((TotalTournamentAverages!AX44/MassFormulaTesting!$B$108)*0.68)+0.3</f>
        <v>#DIV/0!</v>
      </c>
      <c r="AQ52" s="7"/>
    </row>
    <row r="53">
      <c r="A53" s="56" t="str">
        <f>IFERROR(__xludf.DUMMYFUNCTION("Query(TotalTournamentAverages!A:AV,""Select A,W where A&lt;&gt;'' Order by W Desc Limit 1"")"),"OVERALL")</f>
        <v>OVERALL</v>
      </c>
      <c r="B53" s="54" t="str">
        <f>IFERROR(__xludf.DUMMYFUNCTION("""COMPUTED_VALUE"""),"avg Killtrocities")</f>
        <v>avg Killtrocities</v>
      </c>
      <c r="C53" s="52"/>
      <c r="D53" s="40" t="str">
        <f t="shared" si="1"/>
        <v>#DIV/0!</v>
      </c>
      <c r="E53" s="45" t="str">
        <f>TotalTournamentAverages!A45</f>
        <v>e Jolts</v>
      </c>
      <c r="F53" s="46">
        <f t="shared" si="2"/>
        <v>0.3</v>
      </c>
      <c r="G53" s="47">
        <f>((TotalTournamentAverages!D45/MassFormulaTesting!$B$16)*0.68)+0.3</f>
        <v>0.3</v>
      </c>
      <c r="H53" s="47">
        <f>((TotalTournamentAverages!E45/MassFormulaTesting!$B$18)*0.68)+0.3</f>
        <v>0.6346456693</v>
      </c>
      <c r="I53" s="47">
        <f>((TotalTournamentAverages!F45/MassFormulaTesting!$B$20)*0.68)+0.3</f>
        <v>0.555</v>
      </c>
      <c r="J53" s="47">
        <f>(IFERROR(MassFormulaTesting!$C$22/TotalTournamentAverages!G45,"")*0.68)+0.3</f>
        <v>0.4603773585</v>
      </c>
      <c r="K53" s="13">
        <f>(((TotalTournamentAverages!H45+118)/(MassFormulaTesting!$B$24+118))*0.68)+0.3</f>
        <v>0.6327422003</v>
      </c>
      <c r="L53" s="47">
        <f>((TotalTournamentAverages!I45/MassFormulaTesting!$B$26)*0.68)+0.3</f>
        <v>0.495</v>
      </c>
      <c r="M53" s="47">
        <f>((0.98-(TotalTournamentAverages!J45/MassFormulaTesting!$B$28)*0.68))</f>
        <v>0.844</v>
      </c>
      <c r="N53" s="47">
        <f>((TotalTournamentAverages!K45/MassFormulaTesting!$B$30)*0.68)+0.3</f>
        <v>0.832762601</v>
      </c>
      <c r="O53" s="47">
        <f>((TotalTournamentAverages!L45/MassFormulaTesting!$B$32)*0.68)+0.3</f>
        <v>0.8678209379</v>
      </c>
      <c r="P53" s="47">
        <f>((TotalTournamentAverages!M45/MassFormulaTesting!$B$34)*0.68)+0.3</f>
        <v>0.5575757576</v>
      </c>
      <c r="Q53" s="47">
        <f>((TotalTournamentAverages!N45/MassFormulaTesting!$B$36)*0.68)+0.3</f>
        <v>0.3463636364</v>
      </c>
      <c r="R53" s="47">
        <f>((TotalTournamentAverages!O45/MassFormulaTesting!$B$38)*0.68)+0.3</f>
        <v>0.3</v>
      </c>
      <c r="S53" s="47">
        <f>(IFERROR(TotalTournamentAverages!P45/MassFormulaTesting!$B$40,"")*0.68)+0.3</f>
        <v>0.3</v>
      </c>
      <c r="T53" s="47">
        <f>((TotalTournamentAverages!T45/MassFormulaTesting!$B$48)*0.68)+0.3</f>
        <v>0.385</v>
      </c>
      <c r="U53" s="47">
        <f>((TotalTournamentAverages!U45/MassFormulaTesting!$B$50)*0.68)+0.3</f>
        <v>0.4275</v>
      </c>
      <c r="V53" s="47">
        <f>((TotalTournamentAverages!V45/MassFormulaTesting!$B$52)*0.68)+0.3</f>
        <v>0.3</v>
      </c>
      <c r="W53" s="47">
        <f>(IFERROR(TotalTournamentAverages!W45/MassFormulaTesting!$B$54,"")*0.68)+0.3</f>
        <v>0.3</v>
      </c>
      <c r="X53" s="47">
        <f>(IFERROR(TotalTournamentAverages!X45/MassFormulaTesting!$B$56,"")*0.68)+0.3</f>
        <v>0.3</v>
      </c>
      <c r="Y53" s="47">
        <f>(IFERROR(TotalTournamentAverages!Y45/MassFormulaTesting!$B$58,"")*0.68)+0.3</f>
        <v>0.3</v>
      </c>
      <c r="Z53" s="43">
        <f>(IFERROR(TotalTournamentAverages!Z45/MassFormulaTesting!$B$60,"")*0.68)+0.3</f>
        <v>0.3</v>
      </c>
      <c r="AA53" s="43">
        <f>((TotalTournamentAverages!AD45/MassFormulaTesting!$B$68)*0.68)+0.3</f>
        <v>0.3</v>
      </c>
      <c r="AB53" s="43" t="str">
        <f>((TotalTournamentAverages!AG45/MassFormulaTesting!$B$74)*0.68)+0.3</f>
        <v>#DIV/0!</v>
      </c>
      <c r="AC53" s="43" t="str">
        <f>((TotalTournamentAverages!AH45/MassFormulaTesting!$B$76)*0.68)+0.3</f>
        <v>#DIV/0!</v>
      </c>
      <c r="AD53" s="43" t="str">
        <f>((TotalTournamentAverages!AK45/MassFormulaTesting!$B$82)*0.68)+0.3</f>
        <v>#DIV/0!</v>
      </c>
      <c r="AE53" s="43" t="str">
        <f>((TotalTournamentAverages!AL45/MassFormulaTesting!$B$84)*0.68)+0.3</f>
        <v>#DIV/0!</v>
      </c>
      <c r="AF53" s="43" t="str">
        <f>((TotalTournamentAverages!AM45/MassFormulaTesting!$B$86)*0.68)+0.3</f>
        <v>#DIV/0!</v>
      </c>
      <c r="AG53" s="43" t="str">
        <f>((TotalTournamentAverages!AN45/MassFormulaTesting!$B$88)*0.68)+0.3</f>
        <v>#DIV/0!</v>
      </c>
      <c r="AH53" s="43" t="str">
        <f>((TotalTournamentAverages!AO45/MassFormulaTesting!$B$90)*0.68)+0.3</f>
        <v>#DIV/0!</v>
      </c>
      <c r="AI53" s="43" t="str">
        <f>((TotalTournamentAverages!AP45/MassFormulaTesting!$B$92)*0.68)+0.3</f>
        <v>#DIV/0!</v>
      </c>
      <c r="AJ53" s="43" t="str">
        <f>((TotalTournamentAverages!AQ45/MassFormulaTesting!$B$94)*0.68)+0.3</f>
        <v>#DIV/0!</v>
      </c>
      <c r="AK53" s="43" t="str">
        <f>((TotalTournamentAverages!AR45/MassFormulaTesting!$B$96)*0.68)+0.3</f>
        <v>#DIV/0!</v>
      </c>
      <c r="AL53" s="43" t="str">
        <f>((TotalTournamentAverages!AS45/MassFormulaTesting!$B$98)*0.68)+0.3</f>
        <v>#DIV/0!</v>
      </c>
      <c r="AM53" s="43" t="str">
        <f>((TotalTournamentAverages!AT45/MassFormulaTesting!$B$100)*0.68)+0.3</f>
        <v>#DIV/0!</v>
      </c>
      <c r="AN53" s="43" t="str">
        <f>((TotalTournamentAverages!AV45/MassFormulaTesting!$B$104)*0.68)+0.3</f>
        <v>#DIV/0!</v>
      </c>
      <c r="AO53" s="43" t="str">
        <f>((TotalTournamentAverages!AW45/MassFormulaTesting!$B$106)*0.68)+0.3</f>
        <v>#DIV/0!</v>
      </c>
      <c r="AP53" s="43" t="str">
        <f>((TotalTournamentAverages!AX45/MassFormulaTesting!$B$108)*0.68)+0.3</f>
        <v>#DIV/0!</v>
      </c>
      <c r="AQ53" s="7"/>
    </row>
    <row r="54">
      <c r="A54" s="50" t="str">
        <f>IFERROR(__xludf.DUMMYFUNCTION("""COMPUTED_VALUE"""),"Vile")</f>
        <v>Vile</v>
      </c>
      <c r="B54" s="51">
        <f>IFERROR(__xludf.DUMMYFUNCTION("""COMPUTED_VALUE"""),0.3333333333333333)</f>
        <v>0.3333333333</v>
      </c>
      <c r="C54" s="52"/>
      <c r="D54" s="40" t="str">
        <f t="shared" si="1"/>
        <v>#DIV/0!</v>
      </c>
      <c r="E54" s="45" t="str">
        <f>TotalTournamentAverages!A46</f>
        <v>ixjaga</v>
      </c>
      <c r="F54" s="46">
        <f t="shared" si="2"/>
        <v>0.3</v>
      </c>
      <c r="G54" s="47">
        <f>((TotalTournamentAverages!D46/MassFormulaTesting!$B$16)*0.68)+0.3</f>
        <v>0.3647619048</v>
      </c>
      <c r="H54" s="47">
        <f>((TotalTournamentAverages!E46/MassFormulaTesting!$B$18)*0.68)+0.3</f>
        <v>0.8390026247</v>
      </c>
      <c r="I54" s="47">
        <f>((TotalTournamentAverages!F46/MassFormulaTesting!$B$20)*0.68)+0.3</f>
        <v>0.6626666667</v>
      </c>
      <c r="J54" s="47">
        <f>(IFERROR(MassFormulaTesting!$C$22/TotalTournamentAverages!G46,"")*0.68)+0.3</f>
        <v>0.4473988439</v>
      </c>
      <c r="K54" s="13">
        <f>(((TotalTournamentAverages!H46+118)/(MassFormulaTesting!$B$24+118))*0.68)+0.3</f>
        <v>0.7615216201</v>
      </c>
      <c r="L54" s="47">
        <f>((TotalTournamentAverages!I46/MassFormulaTesting!$B$26)*0.68)+0.3</f>
        <v>0.6</v>
      </c>
      <c r="M54" s="47">
        <f>((0.98-(TotalTournamentAverages!J46/MassFormulaTesting!$B$28)*0.68))</f>
        <v>0.5568888889</v>
      </c>
      <c r="N54" s="47">
        <f>((TotalTournamentAverages!K46/MassFormulaTesting!$B$30)*0.68)+0.3</f>
        <v>0.9556675644</v>
      </c>
      <c r="O54" s="47">
        <f>((TotalTournamentAverages!L46/MassFormulaTesting!$B$32)*0.68)+0.3</f>
        <v>0.98</v>
      </c>
      <c r="P54" s="47">
        <f>((TotalTournamentAverages!M46/MassFormulaTesting!$B$34)*0.68)+0.3</f>
        <v>0.5816161616</v>
      </c>
      <c r="Q54" s="47">
        <f>((TotalTournamentAverages!N46/MassFormulaTesting!$B$36)*0.68)+0.3</f>
        <v>0.5472727273</v>
      </c>
      <c r="R54" s="47">
        <f>((TotalTournamentAverages!O46/MassFormulaTesting!$B$38)*0.68)+0.3</f>
        <v>0.3</v>
      </c>
      <c r="S54" s="47">
        <f>(IFERROR(TotalTournamentAverages!P46/MassFormulaTesting!$B$40,"")*0.68)+0.3</f>
        <v>0.3</v>
      </c>
      <c r="T54" s="47">
        <f>((TotalTournamentAverages!T46/MassFormulaTesting!$B$48)*0.68)+0.3</f>
        <v>0.6777777778</v>
      </c>
      <c r="U54" s="47">
        <f>((TotalTournamentAverages!U46/MassFormulaTesting!$B$50)*0.68)+0.3</f>
        <v>0.3</v>
      </c>
      <c r="V54" s="47">
        <f>((TotalTournamentAverages!V46/MassFormulaTesting!$B$52)*0.68)+0.3</f>
        <v>0.3</v>
      </c>
      <c r="W54" s="47">
        <f>(IFERROR(TotalTournamentAverages!W46/MassFormulaTesting!$B$54,"")*0.68)+0.3</f>
        <v>0.3</v>
      </c>
      <c r="X54" s="47">
        <f>(IFERROR(TotalTournamentAverages!X46/MassFormulaTesting!$B$56,"")*0.68)+0.3</f>
        <v>0.3</v>
      </c>
      <c r="Y54" s="47">
        <f>(IFERROR(TotalTournamentAverages!Y46/MassFormulaTesting!$B$58,"")*0.68)+0.3</f>
        <v>0.3</v>
      </c>
      <c r="Z54" s="43">
        <f>(IFERROR(TotalTournamentAverages!Z46/MassFormulaTesting!$B$60,"")*0.68)+0.3</f>
        <v>0.3</v>
      </c>
      <c r="AA54" s="43">
        <f>((TotalTournamentAverages!AD46/MassFormulaTesting!$B$68)*0.68)+0.3</f>
        <v>0.3</v>
      </c>
      <c r="AB54" s="43" t="str">
        <f>((TotalTournamentAverages!AG46/MassFormulaTesting!$B$74)*0.68)+0.3</f>
        <v>#DIV/0!</v>
      </c>
      <c r="AC54" s="43" t="str">
        <f>((TotalTournamentAverages!AH46/MassFormulaTesting!$B$76)*0.68)+0.3</f>
        <v>#DIV/0!</v>
      </c>
      <c r="AD54" s="43" t="str">
        <f>((TotalTournamentAverages!AK46/MassFormulaTesting!$B$82)*0.68)+0.3</f>
        <v>#DIV/0!</v>
      </c>
      <c r="AE54" s="43" t="str">
        <f>((TotalTournamentAverages!AL46/MassFormulaTesting!$B$84)*0.68)+0.3</f>
        <v>#DIV/0!</v>
      </c>
      <c r="AF54" s="43" t="str">
        <f>((TotalTournamentAverages!AM46/MassFormulaTesting!$B$86)*0.68)+0.3</f>
        <v>#DIV/0!</v>
      </c>
      <c r="AG54" s="43" t="str">
        <f>((TotalTournamentAverages!AN46/MassFormulaTesting!$B$88)*0.68)+0.3</f>
        <v>#DIV/0!</v>
      </c>
      <c r="AH54" s="43" t="str">
        <f>((TotalTournamentAverages!AO46/MassFormulaTesting!$B$90)*0.68)+0.3</f>
        <v>#DIV/0!</v>
      </c>
      <c r="AI54" s="43" t="str">
        <f>((TotalTournamentAverages!AP46/MassFormulaTesting!$B$92)*0.68)+0.3</f>
        <v>#DIV/0!</v>
      </c>
      <c r="AJ54" s="43" t="str">
        <f>((TotalTournamentAverages!AQ46/MassFormulaTesting!$B$94)*0.68)+0.3</f>
        <v>#DIV/0!</v>
      </c>
      <c r="AK54" s="43" t="str">
        <f>((TotalTournamentAverages!AR46/MassFormulaTesting!$B$96)*0.68)+0.3</f>
        <v>#DIV/0!</v>
      </c>
      <c r="AL54" s="43" t="str">
        <f>((TotalTournamentAverages!AS46/MassFormulaTesting!$B$98)*0.68)+0.3</f>
        <v>#DIV/0!</v>
      </c>
      <c r="AM54" s="43" t="str">
        <f>((TotalTournamentAverages!AT46/MassFormulaTesting!$B$100)*0.68)+0.3</f>
        <v>#DIV/0!</v>
      </c>
      <c r="AN54" s="43" t="str">
        <f>((TotalTournamentAverages!AV46/MassFormulaTesting!$B$104)*0.68)+0.3</f>
        <v>#DIV/0!</v>
      </c>
      <c r="AO54" s="43" t="str">
        <f>((TotalTournamentAverages!AW46/MassFormulaTesting!$B$106)*0.68)+0.3</f>
        <v>#DIV/0!</v>
      </c>
      <c r="AP54" s="43" t="str">
        <f>((TotalTournamentAverages!AX46/MassFormulaTesting!$B$108)*0.68)+0.3</f>
        <v>#DIV/0!</v>
      </c>
      <c r="AQ54" s="7"/>
    </row>
    <row r="55">
      <c r="A55" s="56" t="str">
        <f>IFERROR(__xludf.DUMMYFUNCTION("Query(TotalTournamentAverages!A:AV,""Select A,X where A&lt;&gt;'' Order by X Desc Limit 1"")"),"OVERALL")</f>
        <v>OVERALL</v>
      </c>
      <c r="B55" s="54" t="str">
        <f>IFERROR(__xludf.DUMMYFUNCTION("""COMPUTED_VALUE"""),"avg Killamanjaros")</f>
        <v>avg Killamanjaros</v>
      </c>
      <c r="C55" s="52"/>
      <c r="D55" s="40" t="str">
        <f t="shared" si="1"/>
        <v>#DIV/0!</v>
      </c>
      <c r="E55" s="59" t="str">
        <f>TotalTournamentAverages!A47</f>
        <v>noketone</v>
      </c>
      <c r="F55" s="46">
        <f t="shared" si="2"/>
        <v>0.3</v>
      </c>
      <c r="G55" s="60">
        <f>((TotalTournamentAverages!D47/MassFormulaTesting!$B$16)*0.68)+0.3</f>
        <v>0.3</v>
      </c>
      <c r="H55" s="60">
        <f>((TotalTournamentAverages!E47/MassFormulaTesting!$B$18)*0.68)+0.3</f>
        <v>0.5837795276</v>
      </c>
      <c r="I55" s="60">
        <f>((TotalTournamentAverages!F47/MassFormulaTesting!$B$20)*0.68)+0.3</f>
        <v>0.708</v>
      </c>
      <c r="J55" s="47">
        <f>(IFERROR(MassFormulaTesting!$C$22/TotalTournamentAverages!G47,"")*0.68)+0.3</f>
        <v>0.5023809524</v>
      </c>
      <c r="K55" s="13">
        <f>(((TotalTournamentAverages!H47+118)/(MassFormulaTesting!$B$24+118))*0.68)+0.3</f>
        <v>0.6885714286</v>
      </c>
      <c r="L55" s="60">
        <f>((TotalTournamentAverages!I47/MassFormulaTesting!$B$26)*0.68)+0.3</f>
        <v>0.54</v>
      </c>
      <c r="M55" s="60">
        <f>((0.98-(TotalTournamentAverages!J47/MassFormulaTesting!$B$28)*0.68))</f>
        <v>0.7986666667</v>
      </c>
      <c r="N55" s="60">
        <f>((TotalTournamentAverages!K47/MassFormulaTesting!$B$30)*0.68)+0.3</f>
        <v>0.7269949981</v>
      </c>
      <c r="O55" s="60">
        <f>((TotalTournamentAverages!L47/MassFormulaTesting!$B$32)*0.68)+0.3</f>
        <v>0.7561250592</v>
      </c>
      <c r="P55" s="60">
        <f>((TotalTournamentAverages!M47/MassFormulaTesting!$B$34)*0.68)+0.3</f>
        <v>0.5472727273</v>
      </c>
      <c r="Q55" s="60">
        <f>((TotalTournamentAverages!N47/MassFormulaTesting!$B$36)*0.68)+0.3</f>
        <v>0.3</v>
      </c>
      <c r="R55" s="60">
        <f>((TotalTournamentAverages!O47/MassFormulaTesting!$B$38)*0.68)+0.3</f>
        <v>0.3</v>
      </c>
      <c r="S55" s="47">
        <f>(IFERROR(TotalTournamentAverages!P47/MassFormulaTesting!$B$40,"")*0.68)+0.3</f>
        <v>0.3</v>
      </c>
      <c r="T55" s="60">
        <f>((TotalTournamentAverages!T47/MassFormulaTesting!$B$48)*0.68)+0.3</f>
        <v>0.4133333333</v>
      </c>
      <c r="U55" s="60">
        <f>((TotalTournamentAverages!U47/MassFormulaTesting!$B$50)*0.68)+0.3</f>
        <v>0.3</v>
      </c>
      <c r="V55" s="60">
        <f>((TotalTournamentAverages!V47/MassFormulaTesting!$B$52)*0.68)+0.3</f>
        <v>0.3</v>
      </c>
      <c r="W55" s="47">
        <f>(IFERROR(TotalTournamentAverages!W47/MassFormulaTesting!$B$54,"")*0.68)+0.3</f>
        <v>0.3</v>
      </c>
      <c r="X55" s="47">
        <f>(IFERROR(TotalTournamentAverages!X47/MassFormulaTesting!$B$56,"")*0.68)+0.3</f>
        <v>0.3</v>
      </c>
      <c r="Y55" s="47">
        <f>(IFERROR(TotalTournamentAverages!Y47/MassFormulaTesting!$B$58,"")*0.68)+0.3</f>
        <v>0.3</v>
      </c>
      <c r="Z55" s="43">
        <f>(IFERROR(TotalTournamentAverages!Z47/MassFormulaTesting!$B$60,"")*0.68)+0.3</f>
        <v>0.3</v>
      </c>
      <c r="AA55" s="43">
        <f>((TotalTournamentAverages!AD47/MassFormulaTesting!$B$68)*0.68)+0.3</f>
        <v>0.3</v>
      </c>
      <c r="AB55" s="43" t="str">
        <f>((TotalTournamentAverages!AG47/MassFormulaTesting!$B$74)*0.68)+0.3</f>
        <v>#DIV/0!</v>
      </c>
      <c r="AC55" s="43" t="str">
        <f>((TotalTournamentAverages!AH47/MassFormulaTesting!$B$76)*0.68)+0.3</f>
        <v>#DIV/0!</v>
      </c>
      <c r="AD55" s="43" t="str">
        <f>((TotalTournamentAverages!AK47/MassFormulaTesting!$B$82)*0.68)+0.3</f>
        <v>#DIV/0!</v>
      </c>
      <c r="AE55" s="43" t="str">
        <f>((TotalTournamentAverages!AL47/MassFormulaTesting!$B$84)*0.68)+0.3</f>
        <v>#DIV/0!</v>
      </c>
      <c r="AF55" s="43" t="str">
        <f>((TotalTournamentAverages!AM47/MassFormulaTesting!$B$86)*0.68)+0.3</f>
        <v>#DIV/0!</v>
      </c>
      <c r="AG55" s="43" t="str">
        <f>((TotalTournamentAverages!AN47/MassFormulaTesting!$B$88)*0.68)+0.3</f>
        <v>#DIV/0!</v>
      </c>
      <c r="AH55" s="43" t="str">
        <f>((TotalTournamentAverages!AO47/MassFormulaTesting!$B$90)*0.68)+0.3</f>
        <v>#DIV/0!</v>
      </c>
      <c r="AI55" s="43" t="str">
        <f>((TotalTournamentAverages!AP47/MassFormulaTesting!$B$92)*0.68)+0.3</f>
        <v>#DIV/0!</v>
      </c>
      <c r="AJ55" s="43" t="str">
        <f>((TotalTournamentAverages!AQ47/MassFormulaTesting!$B$94)*0.68)+0.3</f>
        <v>#DIV/0!</v>
      </c>
      <c r="AK55" s="43" t="str">
        <f>((TotalTournamentAverages!AR47/MassFormulaTesting!$B$96)*0.68)+0.3</f>
        <v>#DIV/0!</v>
      </c>
      <c r="AL55" s="43" t="str">
        <f>((TotalTournamentAverages!AS47/MassFormulaTesting!$B$98)*0.68)+0.3</f>
        <v>#DIV/0!</v>
      </c>
      <c r="AM55" s="43" t="str">
        <f>((TotalTournamentAverages!AT47/MassFormulaTesting!$B$100)*0.68)+0.3</f>
        <v>#DIV/0!</v>
      </c>
      <c r="AN55" s="43" t="str">
        <f>((TotalTournamentAverages!AV47/MassFormulaTesting!$B$104)*0.68)+0.3</f>
        <v>#DIV/0!</v>
      </c>
      <c r="AO55" s="43" t="str">
        <f>((TotalTournamentAverages!AW47/MassFormulaTesting!$B$106)*0.68)+0.3</f>
        <v>#DIV/0!</v>
      </c>
      <c r="AP55" s="43" t="str">
        <f>((TotalTournamentAverages!AX47/MassFormulaTesting!$B$108)*0.68)+0.3</f>
        <v>#DIV/0!</v>
      </c>
      <c r="AQ55" s="7"/>
    </row>
    <row r="56">
      <c r="A56" s="50" t="str">
        <f>IFERROR(__xludf.DUMMYFUNCTION("""COMPUTED_VALUE"""),"Vile")</f>
        <v>Vile</v>
      </c>
      <c r="B56" s="51">
        <f>IFERROR(__xludf.DUMMYFUNCTION("""COMPUTED_VALUE"""),0.3333333333333333)</f>
        <v>0.3333333333</v>
      </c>
      <c r="C56" s="52"/>
      <c r="D56" s="40" t="str">
        <f t="shared" si="1"/>
        <v>#DIV/0!</v>
      </c>
      <c r="E56" s="61" t="str">
        <f>TotalTournamentAverages!A48</f>
        <v>oDhmon</v>
      </c>
      <c r="F56" s="46">
        <f t="shared" si="2"/>
        <v>0.3</v>
      </c>
      <c r="G56" s="13">
        <f>((TotalTournamentAverages!D48/MassFormulaTesting!$B$16)*0.68)+0.3</f>
        <v>0.4942857143</v>
      </c>
      <c r="H56" s="13">
        <f>((TotalTournamentAverages!E48/MassFormulaTesting!$B$18)*0.68)+0.3</f>
        <v>0.7484251969</v>
      </c>
      <c r="I56" s="13">
        <f>((TotalTournamentAverages!F48/MassFormulaTesting!$B$20)*0.68)+0.3</f>
        <v>0.674</v>
      </c>
      <c r="J56" s="47">
        <f>(IFERROR(MassFormulaTesting!$C$22/TotalTournamentAverages!G48,"")*0.68)+0.3</f>
        <v>0.5698412698</v>
      </c>
      <c r="K56" s="62">
        <f>(((TotalTournamentAverages!H48+118)/(MassFormulaTesting!$B$24+118))*0.68)+0.3</f>
        <v>0.9197044335</v>
      </c>
      <c r="L56" s="13">
        <f>((TotalTournamentAverages!I48/MassFormulaTesting!$B$26)*0.68)+0.3</f>
        <v>0.675</v>
      </c>
      <c r="M56" s="13">
        <f>((0.98-(TotalTournamentAverages!J48/MassFormulaTesting!$B$28)*0.68))</f>
        <v>0.8893333333</v>
      </c>
      <c r="N56" s="13">
        <f>((TotalTournamentAverages!K48/MassFormulaTesting!$B$30)*0.68)+0.3</f>
        <v>0.7756598692</v>
      </c>
      <c r="O56" s="13">
        <f>((TotalTournamentAverages!L48/MassFormulaTesting!$B$32)*0.68)+0.3</f>
        <v>0.7754523922</v>
      </c>
      <c r="P56" s="13">
        <f>((TotalTournamentAverages!M48/MassFormulaTesting!$B$34)*0.68)+0.3</f>
        <v>0.6966666667</v>
      </c>
      <c r="Q56" s="13">
        <f>((TotalTournamentAverages!N48/MassFormulaTesting!$B$36)*0.68)+0.3</f>
        <v>0.7636363636</v>
      </c>
      <c r="R56" s="13">
        <f>((TotalTournamentAverages!O48/MassFormulaTesting!$B$38)*0.68)+0.3</f>
        <v>0.3</v>
      </c>
      <c r="S56" s="47">
        <f>(IFERROR(TotalTournamentAverages!P48/MassFormulaTesting!$B$40,"")*0.68)+0.3</f>
        <v>0.3</v>
      </c>
      <c r="T56" s="13">
        <f>((TotalTournamentAverages!T48/MassFormulaTesting!$B$48)*0.68)+0.3</f>
        <v>0.6683333333</v>
      </c>
      <c r="U56" s="13">
        <f>((TotalTournamentAverages!U48/MassFormulaTesting!$B$50)*0.68)+0.3</f>
        <v>0.555</v>
      </c>
      <c r="V56" s="13">
        <f>((TotalTournamentAverages!V48/MassFormulaTesting!$B$52)*0.68)+0.3</f>
        <v>0.3</v>
      </c>
      <c r="W56" s="47">
        <f>(IFERROR(TotalTournamentAverages!W48/MassFormulaTesting!$B$54,"")*0.68)+0.3</f>
        <v>0.3</v>
      </c>
      <c r="X56" s="47">
        <f>(IFERROR(TotalTournamentAverages!X48/MassFormulaTesting!$B$56,"")*0.68)+0.3</f>
        <v>0.3</v>
      </c>
      <c r="Y56" s="47">
        <f>(IFERROR(TotalTournamentAverages!Y48/MassFormulaTesting!$B$58,"")*0.68)+0.3</f>
        <v>0.3</v>
      </c>
      <c r="Z56" s="43">
        <f>(IFERROR(TotalTournamentAverages!Z48/MassFormulaTesting!$B$60,"")*0.68)+0.3</f>
        <v>0.3</v>
      </c>
      <c r="AA56" s="43">
        <f>((TotalTournamentAverages!AD48/MassFormulaTesting!$B$68)*0.68)+0.3</f>
        <v>0.3</v>
      </c>
      <c r="AB56" s="43" t="str">
        <f>((TotalTournamentAverages!AG48/MassFormulaTesting!$B$74)*0.68)+0.3</f>
        <v>#DIV/0!</v>
      </c>
      <c r="AC56" s="43" t="str">
        <f>((TotalTournamentAverages!AH48/MassFormulaTesting!$B$76)*0.68)+0.3</f>
        <v>#DIV/0!</v>
      </c>
      <c r="AD56" s="43" t="str">
        <f>((TotalTournamentAverages!AK48/MassFormulaTesting!$B$82)*0.68)+0.3</f>
        <v>#DIV/0!</v>
      </c>
      <c r="AE56" s="43" t="str">
        <f>((TotalTournamentAverages!AL48/MassFormulaTesting!$B$84)*0.68)+0.3</f>
        <v>#DIV/0!</v>
      </c>
      <c r="AF56" s="43" t="str">
        <f>((TotalTournamentAverages!AM48/MassFormulaTesting!$B$86)*0.68)+0.3</f>
        <v>#DIV/0!</v>
      </c>
      <c r="AG56" s="43" t="str">
        <f>((TotalTournamentAverages!AN48/MassFormulaTesting!$B$88)*0.68)+0.3</f>
        <v>#DIV/0!</v>
      </c>
      <c r="AH56" s="43" t="str">
        <f>((TotalTournamentAverages!AO48/MassFormulaTesting!$B$90)*0.68)+0.3</f>
        <v>#DIV/0!</v>
      </c>
      <c r="AI56" s="43" t="str">
        <f>((TotalTournamentAverages!AP48/MassFormulaTesting!$B$92)*0.68)+0.3</f>
        <v>#DIV/0!</v>
      </c>
      <c r="AJ56" s="43" t="str">
        <f>((TotalTournamentAverages!AQ48/MassFormulaTesting!$B$94)*0.68)+0.3</f>
        <v>#DIV/0!</v>
      </c>
      <c r="AK56" s="43" t="str">
        <f>((TotalTournamentAverages!AR48/MassFormulaTesting!$B$96)*0.68)+0.3</f>
        <v>#DIV/0!</v>
      </c>
      <c r="AL56" s="43" t="str">
        <f>((TotalTournamentAverages!AS48/MassFormulaTesting!$B$98)*0.68)+0.3</f>
        <v>#DIV/0!</v>
      </c>
      <c r="AM56" s="43" t="str">
        <f>((TotalTournamentAverages!AT48/MassFormulaTesting!$B$100)*0.68)+0.3</f>
        <v>#DIV/0!</v>
      </c>
      <c r="AN56" s="43" t="str">
        <f>((TotalTournamentAverages!AV48/MassFormulaTesting!$B$104)*0.68)+0.3</f>
        <v>#DIV/0!</v>
      </c>
      <c r="AO56" s="43" t="str">
        <f>((TotalTournamentAverages!AW48/MassFormulaTesting!$B$106)*0.68)+0.3</f>
        <v>#DIV/0!</v>
      </c>
      <c r="AP56" s="43" t="str">
        <f>((TotalTournamentAverages!AX48/MassFormulaTesting!$B$108)*0.68)+0.3</f>
        <v>#DIV/0!</v>
      </c>
      <c r="AQ56" s="7"/>
    </row>
    <row r="57">
      <c r="A57" s="56" t="str">
        <f>IFERROR(__xludf.DUMMYFUNCTION("Query(TotalTournamentAverages!A:AV,""Select A,Y where A&lt;&gt;'' Order by Y Desc Limit 1"")"),"OVERALL")</f>
        <v>OVERALL</v>
      </c>
      <c r="B57" s="54" t="str">
        <f>IFERROR(__xludf.DUMMYFUNCTION("""COMPUTED_VALUE"""),"avg Killtastrophe")</f>
        <v>avg Killtastrophe</v>
      </c>
      <c r="C57" s="52"/>
      <c r="D57" s="40"/>
      <c r="E57" s="50"/>
      <c r="F57" s="63"/>
      <c r="G57" s="13"/>
      <c r="H57" s="13"/>
      <c r="I57" s="13"/>
      <c r="J57" s="47"/>
      <c r="K57" s="13"/>
      <c r="L57" s="13"/>
      <c r="M57" s="13"/>
      <c r="N57" s="13"/>
      <c r="O57" s="13"/>
      <c r="P57" s="13"/>
      <c r="Q57" s="13"/>
      <c r="R57" s="13"/>
      <c r="S57" s="47"/>
      <c r="T57" s="13"/>
      <c r="U57" s="13"/>
      <c r="V57" s="13"/>
      <c r="W57" s="47"/>
      <c r="X57" s="47"/>
      <c r="Y57" s="47"/>
      <c r="Z57" s="47"/>
      <c r="AA57" s="13"/>
      <c r="AB57" s="13"/>
      <c r="AC57" s="13"/>
      <c r="AD57" s="13"/>
      <c r="AE57" s="13"/>
      <c r="AF57" s="43"/>
      <c r="AG57" s="13"/>
      <c r="AH57" s="13"/>
      <c r="AI57" s="13"/>
      <c r="AJ57" s="13"/>
      <c r="AK57" s="13"/>
      <c r="AL57" s="13"/>
      <c r="AM57" s="13"/>
      <c r="AN57" s="13"/>
      <c r="AO57" s="43"/>
      <c r="AP57" s="64"/>
      <c r="AQ57" s="7"/>
    </row>
    <row r="58">
      <c r="A58" s="50" t="str">
        <f>IFERROR(__xludf.DUMMYFUNCTION("""COMPUTED_VALUE"""),"Avg Player")</f>
        <v>Avg Player</v>
      </c>
      <c r="B58" s="51">
        <f>IFERROR(__xludf.DUMMYFUNCTION("""COMPUTED_VALUE"""),0.0)</f>
        <v>0</v>
      </c>
      <c r="C58" s="52"/>
      <c r="D58" s="7"/>
      <c r="E58" s="7"/>
      <c r="F58" s="65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7"/>
    </row>
    <row r="59">
      <c r="A59" s="56" t="str">
        <f>IFERROR(__xludf.DUMMYFUNCTION("Query(TotalTournamentAverages!A:AV,""Select A,Z where A&lt;&gt;'' Order by Z Desc Limit 1"")"),"OVERALL")</f>
        <v>OVERALL</v>
      </c>
      <c r="B59" s="54" t="str">
        <f>IFERROR(__xludf.DUMMYFUNCTION("""COMPUTED_VALUE"""),"avg Killpocalypses")</f>
        <v>avg Killpocalypses</v>
      </c>
      <c r="C59" s="52"/>
      <c r="F59" s="10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7"/>
    </row>
    <row r="60">
      <c r="A60" s="50" t="str">
        <f>IFERROR(__xludf.DUMMYFUNCTION("""COMPUTED_VALUE"""),"Avg Player")</f>
        <v>Avg Player</v>
      </c>
      <c r="B60" s="51">
        <f>IFERROR(__xludf.DUMMYFUNCTION("""COMPUTED_VALUE"""),0.0)</f>
        <v>0</v>
      </c>
      <c r="C60" s="52"/>
      <c r="F60" s="10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7"/>
    </row>
    <row r="61">
      <c r="A61" s="56" t="str">
        <f>IFERROR(__xludf.DUMMYFUNCTION("Query(TotalTournamentAverages!A:AV,""Select A,AA where A&lt;&gt;'' Order by AA Desc Limit 1"")"),"OVERALL")</f>
        <v>OVERALL</v>
      </c>
      <c r="B61" s="54" t="str">
        <f>IFERROR(__xludf.DUMMYFUNCTION("""COMPUTED_VALUE"""),"avg Killionaire")</f>
        <v>avg Killionaire</v>
      </c>
      <c r="C61" s="52"/>
      <c r="F61" s="10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7"/>
    </row>
    <row r="62">
      <c r="A62" s="50" t="str">
        <f>IFERROR(__xludf.DUMMYFUNCTION("""COMPUTED_VALUE"""),"Avg Player")</f>
        <v>Avg Player</v>
      </c>
      <c r="B62" s="51">
        <f>IFERROR(__xludf.DUMMYFUNCTION("""COMPUTED_VALUE"""),0.0)</f>
        <v>0</v>
      </c>
      <c r="C62" s="52"/>
      <c r="AQ62" s="7"/>
    </row>
    <row r="63">
      <c r="A63" s="56" t="str">
        <f>IFERROR(__xludf.DUMMYFUNCTION("Query(TotalTournamentAverages!A:AV,""Select A,AB where A&lt;&gt;'' Order by AB Desc Limit 1"")"),"OVERALL")</f>
        <v>OVERALL</v>
      </c>
      <c r="B63" s="54" t="str">
        <f>IFERROR(__xludf.DUMMYFUNCTION("""COMPUTED_VALUE"""),"avg Exterms")</f>
        <v>avg Exterms</v>
      </c>
      <c r="C63" s="52"/>
      <c r="E63" s="67"/>
      <c r="AQ63" s="7"/>
    </row>
    <row r="64">
      <c r="A64" s="50" t="str">
        <f>IFERROR(__xludf.DUMMYFUNCTION("""COMPUTED_VALUE"""),"Avg Player")</f>
        <v>Avg Player</v>
      </c>
      <c r="B64" s="51">
        <f>IFERROR(__xludf.DUMMYFUNCTION("""COMPUTED_VALUE"""),0.0)</f>
        <v>0</v>
      </c>
      <c r="C64" s="52"/>
      <c r="AQ64" s="7"/>
    </row>
    <row r="65">
      <c r="A65" s="56" t="str">
        <f>IFERROR(__xludf.DUMMYFUNCTION("Query(TotalTournamentAverages!A:AV,""Select A,AC where A&lt;&gt;'' Order by AC Desc Limit 1"")"),"OVERALL")</f>
        <v>OVERALL</v>
      </c>
      <c r="B65" s="54" t="str">
        <f>IFERROR(__xludf.DUMMYFUNCTION("""COMPUTED_VALUE"""),"avg Bulltrues")</f>
        <v>avg Bulltrues</v>
      </c>
      <c r="C65" s="52"/>
      <c r="AQ65" s="7"/>
    </row>
    <row r="66">
      <c r="A66" s="50" t="str">
        <f>IFERROR(__xludf.DUMMYFUNCTION("""COMPUTED_VALUE"""),"GodSnipezX")</f>
        <v>GodSnipezX</v>
      </c>
      <c r="B66" s="51">
        <f>IFERROR(__xludf.DUMMYFUNCTION("""COMPUTED_VALUE"""),9.5)</f>
        <v>9.5</v>
      </c>
      <c r="C66" s="52"/>
      <c r="AQ66" s="7"/>
    </row>
    <row r="67">
      <c r="A67" s="56" t="str">
        <f>IFERROR(__xludf.DUMMYFUNCTION("Query(TotalTournamentAverages!A:AV,""Select A,AD where A&lt;&gt;'' Order by AD Desc Limit 1"")"),"OVERALL")</f>
        <v>OVERALL</v>
      </c>
      <c r="B67" s="54" t="str">
        <f>IFERROR(__xludf.DUMMYFUNCTION("""COMPUTED_VALUE"""),"avg Assassinations")</f>
        <v>avg Assassinations</v>
      </c>
      <c r="C67" s="52"/>
      <c r="AQ67" s="7"/>
    </row>
    <row r="68">
      <c r="A68" s="50" t="str">
        <f>IFERROR(__xludf.DUMMYFUNCTION("""COMPUTED_VALUE"""),"AwareMosquito")</f>
        <v>AwareMosquito</v>
      </c>
      <c r="B68" s="51">
        <f>IFERROR(__xludf.DUMMYFUNCTION("""COMPUTED_VALUE"""),0.25)</f>
        <v>0.25</v>
      </c>
      <c r="C68" s="52"/>
      <c r="AQ68" s="7"/>
    </row>
    <row r="69">
      <c r="A69" s="56" t="str">
        <f>IFERROR(__xludf.DUMMYFUNCTION("Query(TotalTournamentAverages!A:AV,""Select A,AE where A&lt;&gt;'' Order by AE Desc Limit 1"")"),"OVERALL")</f>
        <v>OVERALL</v>
      </c>
      <c r="B69" s="54" t="str">
        <f>IFERROR(__xludf.DUMMYFUNCTION("""COMPUTED_VALUE"""),"avg HammerSprees")</f>
        <v>avg HammerSprees</v>
      </c>
      <c r="C69" s="52"/>
      <c r="AQ69" s="7"/>
    </row>
    <row r="70">
      <c r="A70" s="50" t="str">
        <f>IFERROR(__xludf.DUMMYFUNCTION("""COMPUTED_VALUE"""),"Genesiology")</f>
        <v>Genesiology</v>
      </c>
      <c r="B70" s="51">
        <f>IFERROR(__xludf.DUMMYFUNCTION("""COMPUTED_VALUE"""),3.25)</f>
        <v>3.25</v>
      </c>
      <c r="C70" s="52"/>
      <c r="E70" s="67"/>
      <c r="AQ70" s="7"/>
    </row>
    <row r="71">
      <c r="A71" s="56" t="str">
        <f>IFERROR(__xludf.DUMMYFUNCTION("Query(TotalTournamentAverages!A:AV,""Select A,AF where A&lt;&gt;'' Order by AF Desc Limit 1"")"),"OVERALL")</f>
        <v>OVERALL</v>
      </c>
      <c r="B71" s="54" t="str">
        <f>IFERROR(__xludf.DUMMYFUNCTION("""COMPUTED_VALUE"""),"")</f>
        <v/>
      </c>
      <c r="C71" s="52"/>
      <c r="AQ71" s="7"/>
    </row>
    <row r="72">
      <c r="A72" s="50" t="str">
        <f>IFERROR(__xludf.DUMMYFUNCTION("""COMPUTED_VALUE"""),"Avg Player")</f>
        <v>Avg Player</v>
      </c>
      <c r="B72" s="68"/>
      <c r="C72" s="52"/>
      <c r="AQ72" s="7"/>
    </row>
    <row r="73">
      <c r="A73" s="56" t="str">
        <f>IFERROR(__xludf.DUMMYFUNCTION("Query(TotalTournamentAverages!A:AV,""Select A,AG where A&lt;&gt;'' Order by AG Desc Limit 1"")"),"OVERALL")</f>
        <v>OVERALL</v>
      </c>
      <c r="B73" s="54" t="str">
        <f>IFERROR(__xludf.DUMMYFUNCTION("""COMPUTED_VALUE"""),"")</f>
        <v/>
      </c>
      <c r="C73" s="52"/>
      <c r="AQ73" s="7"/>
    </row>
    <row r="74">
      <c r="A74" s="50" t="str">
        <f>IFERROR(__xludf.DUMMYFUNCTION("""COMPUTED_VALUE"""),"Avg Player")</f>
        <v>Avg Player</v>
      </c>
      <c r="B74" s="68"/>
      <c r="C74" s="52"/>
      <c r="AQ74" s="7"/>
    </row>
    <row r="75">
      <c r="A75" s="56" t="str">
        <f>IFERROR(__xludf.DUMMYFUNCTION("Query(TotalTournamentAverages!A:AV,""Select A,AH where A&lt;&gt;'' Order by AH Desc Limit 1"")"),"OVERALL")</f>
        <v>OVERALL</v>
      </c>
      <c r="B75" s="54" t="str">
        <f>IFERROR(__xludf.DUMMYFUNCTION("""COMPUTED_VALUE"""),"")</f>
        <v/>
      </c>
      <c r="C75" s="52"/>
      <c r="AQ75" s="7"/>
    </row>
    <row r="76">
      <c r="A76" s="50" t="str">
        <f>IFERROR(__xludf.DUMMYFUNCTION("""COMPUTED_VALUE"""),"Avg Player")</f>
        <v>Avg Player</v>
      </c>
      <c r="B76" s="68"/>
      <c r="C76" s="52"/>
      <c r="AQ76" s="7"/>
    </row>
    <row r="77">
      <c r="A77" s="56" t="str">
        <f>IFERROR(__xludf.DUMMYFUNCTION("Query(TotalTournamentAverages!A:AV,""Select A,AI where A&lt;&gt;'' Order by AI Desc Limit 1"")"),"OVERALL")</f>
        <v>OVERALL</v>
      </c>
      <c r="B77" s="54" t="str">
        <f>IFERROR(__xludf.DUMMYFUNCTION("""COMPUTED_VALUE"""),"")</f>
        <v/>
      </c>
      <c r="C77" s="52"/>
      <c r="AQ77" s="7"/>
    </row>
    <row r="78">
      <c r="A78" s="50" t="str">
        <f>IFERROR(__xludf.DUMMYFUNCTION("""COMPUTED_VALUE"""),"Avg Player")</f>
        <v>Avg Player</v>
      </c>
      <c r="B78" s="68"/>
      <c r="C78" s="52"/>
      <c r="AQ78" s="7"/>
    </row>
    <row r="79">
      <c r="A79" s="56" t="str">
        <f>IFERROR(__xludf.DUMMYFUNCTION("Query(TotalTournamentAverages!A:AV,""Select A,AJ where A&lt;&gt;'' Order by AJ Desc Limit 1"")"),"OVERALL")</f>
        <v>OVERALL</v>
      </c>
      <c r="B79" s="54" t="str">
        <f>IFERROR(__xludf.DUMMYFUNCTION("""COMPUTED_VALUE"""),"")</f>
        <v/>
      </c>
      <c r="C79" s="52"/>
      <c r="AQ79" s="7"/>
    </row>
    <row r="80">
      <c r="A80" s="50" t="str">
        <f>IFERROR(__xludf.DUMMYFUNCTION("""COMPUTED_VALUE"""),"Avg Player")</f>
        <v>Avg Player</v>
      </c>
      <c r="B80" s="68"/>
      <c r="C80" s="52"/>
      <c r="AQ80" s="7"/>
    </row>
    <row r="81">
      <c r="A81" s="56" t="str">
        <f>IFERROR(__xludf.DUMMYFUNCTION("Query(TotalTournamentAverages!A:AV,""Select A,AK where A&lt;&gt;'' Order by AK Desc Limit 1"")"),"OVERALL")</f>
        <v>OVERALL</v>
      </c>
      <c r="B81" s="54" t="str">
        <f>IFERROR(__xludf.DUMMYFUNCTION("""COMPUTED_VALUE"""),"")</f>
        <v/>
      </c>
      <c r="C81" s="52"/>
      <c r="AQ81" s="7"/>
    </row>
    <row r="82">
      <c r="A82" s="50" t="str">
        <f>IFERROR(__xludf.DUMMYFUNCTION("""COMPUTED_VALUE"""),"Avg Player")</f>
        <v>Avg Player</v>
      </c>
      <c r="B82" s="68"/>
      <c r="C82" s="52"/>
      <c r="AQ82" s="7"/>
    </row>
    <row r="83">
      <c r="A83" s="56" t="str">
        <f>IFERROR(__xludf.DUMMYFUNCTION("Query(TotalTournamentAverages!A:AV,""Select A,AL where A&lt;&gt;'' Order by AL Desc Limit 1"")"),"OVERALL")</f>
        <v>OVERALL</v>
      </c>
      <c r="B83" s="54" t="str">
        <f>IFERROR(__xludf.DUMMYFUNCTION("""COMPUTED_VALUE"""),"")</f>
        <v/>
      </c>
      <c r="C83" s="52"/>
      <c r="AQ83" s="7"/>
    </row>
    <row r="84">
      <c r="A84" s="50" t="str">
        <f>IFERROR(__xludf.DUMMYFUNCTION("""COMPUTED_VALUE"""),"Avg Player")</f>
        <v>Avg Player</v>
      </c>
      <c r="B84" s="68"/>
      <c r="C84" s="52"/>
      <c r="AQ84" s="7"/>
    </row>
    <row r="85">
      <c r="A85" s="56" t="str">
        <f>IFERROR(__xludf.DUMMYFUNCTION("Query(TotalTournamentAverages!A:AV,""Select A,AM where A&lt;&gt;'' Order by AM Desc Limit 1"")"),"OVERALL")</f>
        <v>OVERALL</v>
      </c>
      <c r="B85" s="54" t="str">
        <f>IFERROR(__xludf.DUMMYFUNCTION("""COMPUTED_VALUE"""),"")</f>
        <v/>
      </c>
      <c r="C85" s="52"/>
      <c r="AQ85" s="7"/>
    </row>
    <row r="86">
      <c r="A86" s="50" t="str">
        <f>IFERROR(__xludf.DUMMYFUNCTION("""COMPUTED_VALUE"""),"Avg Player")</f>
        <v>Avg Player</v>
      </c>
      <c r="B86" s="68"/>
      <c r="C86" s="52"/>
      <c r="AQ86" s="7"/>
    </row>
    <row r="87">
      <c r="A87" s="56" t="str">
        <f>IFERROR(__xludf.DUMMYFUNCTION("Query(TotalTournamentAverages!A:AV,""Select A,AN where A&lt;&gt;'' Order by AN Desc Limit 1"")"),"OVERALL")</f>
        <v>OVERALL</v>
      </c>
      <c r="B87" s="54" t="str">
        <f>IFERROR(__xludf.DUMMYFUNCTION("""COMPUTED_VALUE"""),"")</f>
        <v/>
      </c>
      <c r="C87" s="52"/>
      <c r="AQ87" s="7"/>
    </row>
    <row r="88">
      <c r="A88" s="50" t="str">
        <f>IFERROR(__xludf.DUMMYFUNCTION("""COMPUTED_VALUE"""),"Avg Player")</f>
        <v>Avg Player</v>
      </c>
      <c r="B88" s="68"/>
      <c r="C88" s="52"/>
      <c r="AQ88" s="7"/>
    </row>
    <row r="89">
      <c r="A89" s="56" t="str">
        <f>IFERROR(__xludf.DUMMYFUNCTION("Query(TotalTournamentAverages!A:AV,""Select A,AO where A&lt;&gt;'' Order by AO Desc Limit 1"")"),"OVERALL")</f>
        <v>OVERALL</v>
      </c>
      <c r="B89" s="54" t="str">
        <f>IFERROR(__xludf.DUMMYFUNCTION("""COMPUTED_VALUE"""),"")</f>
        <v/>
      </c>
      <c r="C89" s="52"/>
      <c r="AQ89" s="7"/>
    </row>
    <row r="90">
      <c r="A90" s="50" t="str">
        <f>IFERROR(__xludf.DUMMYFUNCTION("""COMPUTED_VALUE"""),"Avg Player")</f>
        <v>Avg Player</v>
      </c>
      <c r="B90" s="68"/>
      <c r="C90" s="52"/>
      <c r="AQ90" s="7"/>
    </row>
    <row r="91">
      <c r="A91" s="56" t="str">
        <f>IFERROR(__xludf.DUMMYFUNCTION("Query(TotalTournamentAverages!A:AV,""Select A,AP where A&lt;&gt;'' Order by AP Desc Limit 1"")"),"OVERALL")</f>
        <v>OVERALL</v>
      </c>
      <c r="B91" s="54" t="str">
        <f>IFERROR(__xludf.DUMMYFUNCTION("""COMPUTED_VALUE"""),"")</f>
        <v/>
      </c>
      <c r="C91" s="52"/>
      <c r="AQ91" s="7"/>
    </row>
    <row r="92">
      <c r="A92" s="50" t="str">
        <f>IFERROR(__xludf.DUMMYFUNCTION("""COMPUTED_VALUE"""),"Avg Player")</f>
        <v>Avg Player</v>
      </c>
      <c r="B92" s="68"/>
      <c r="C92" s="52"/>
      <c r="AQ92" s="7"/>
    </row>
    <row r="93">
      <c r="A93" s="56" t="str">
        <f>IFERROR(__xludf.DUMMYFUNCTION("Query(TotalTournamentAverages!A:AV,""Select A,AQ where A&lt;&gt;'' Order by AQ Desc Limit 1"")"),"OVERALL")</f>
        <v>OVERALL</v>
      </c>
      <c r="B93" s="54" t="str">
        <f>IFERROR(__xludf.DUMMYFUNCTION("""COMPUTED_VALUE"""),"")</f>
        <v/>
      </c>
      <c r="C93" s="52"/>
      <c r="AQ93" s="7"/>
    </row>
    <row r="94">
      <c r="A94" s="50" t="str">
        <f>IFERROR(__xludf.DUMMYFUNCTION("""COMPUTED_VALUE"""),"Avg Player")</f>
        <v>Avg Player</v>
      </c>
      <c r="B94" s="68"/>
      <c r="C94" s="52"/>
      <c r="AQ94" s="7"/>
    </row>
    <row r="95">
      <c r="A95" s="56" t="str">
        <f>IFERROR(__xludf.DUMMYFUNCTION("Query(TotalTournamentAverages!A:AV,""Select A,AR where A&lt;&gt;'' Order by AR Desc Limit 1"")"),"OVERALL")</f>
        <v>OVERALL</v>
      </c>
      <c r="B95" s="54" t="str">
        <f>IFERROR(__xludf.DUMMYFUNCTION("""COMPUTED_VALUE"""),"")</f>
        <v/>
      </c>
      <c r="C95" s="52"/>
      <c r="AQ95" s="7"/>
    </row>
    <row r="96">
      <c r="A96" s="50" t="str">
        <f>IFERROR(__xludf.DUMMYFUNCTION("""COMPUTED_VALUE"""),"Avg Player")</f>
        <v>Avg Player</v>
      </c>
      <c r="B96" s="68"/>
      <c r="C96" s="52"/>
      <c r="AQ96" s="7"/>
    </row>
    <row r="97">
      <c r="A97" s="56" t="str">
        <f>IFERROR(__xludf.DUMMYFUNCTION("Query(TotalTournamentAverages!A:AV,""Select A,AS where A&lt;&gt;'' Order by AS Desc Limit 1"")"),"OVERALL")</f>
        <v>OVERALL</v>
      </c>
      <c r="B97" s="54" t="str">
        <f>IFERROR(__xludf.DUMMYFUNCTION("""COMPUTED_VALUE"""),"")</f>
        <v/>
      </c>
      <c r="C97" s="52"/>
      <c r="AQ97" s="7"/>
    </row>
    <row r="98">
      <c r="A98" s="50" t="str">
        <f>IFERROR(__xludf.DUMMYFUNCTION("""COMPUTED_VALUE"""),"Avg Player")</f>
        <v>Avg Player</v>
      </c>
      <c r="B98" s="68"/>
      <c r="C98" s="52"/>
      <c r="AQ98" s="7"/>
    </row>
    <row r="99">
      <c r="A99" s="56" t="str">
        <f>IFERROR(__xludf.DUMMYFUNCTION("Query(TotalTournamentAverages!A:AV,""Select A,AT where A&lt;&gt;'' Order by AT Desc Limit 1"")"),"OVERALL")</f>
        <v>OVERALL</v>
      </c>
      <c r="B99" s="54" t="str">
        <f>IFERROR(__xludf.DUMMYFUNCTION("""COMPUTED_VALUE"""),"")</f>
        <v/>
      </c>
      <c r="C99" s="52"/>
      <c r="AQ99" s="7"/>
    </row>
    <row r="100">
      <c r="A100" s="50" t="str">
        <f>IFERROR(__xludf.DUMMYFUNCTION("""COMPUTED_VALUE"""),"Avg Player")</f>
        <v>Avg Player</v>
      </c>
      <c r="B100" s="68"/>
      <c r="C100" s="52"/>
      <c r="AQ100" s="7"/>
    </row>
    <row r="101">
      <c r="A101" s="56" t="str">
        <f>IFERROR(__xludf.DUMMYFUNCTION("Query(TotalTournamentAverages!A:AV,""Select A,AU where A&lt;&gt;'' Order by AU Desc Limit 1"")"),"OVERALL")</f>
        <v>OVERALL</v>
      </c>
      <c r="B101" s="54" t="str">
        <f>IFERROR(__xludf.DUMMYFUNCTION("""COMPUTED_VALUE"""),"")</f>
        <v/>
      </c>
      <c r="C101" s="52"/>
      <c r="AQ101" s="7"/>
    </row>
    <row r="102">
      <c r="A102" s="50" t="str">
        <f>IFERROR(__xludf.DUMMYFUNCTION("""COMPUTED_VALUE"""),"Avg Player")</f>
        <v>Avg Player</v>
      </c>
      <c r="B102" s="68"/>
      <c r="C102" s="52"/>
      <c r="AQ102" s="7"/>
    </row>
    <row r="103">
      <c r="A103" s="56" t="str">
        <f>IFERROR(__xludf.DUMMYFUNCTION("Query(TotalTournamentAverages!A:AV,""Select A,AV where A&lt;&gt;'' Order by AV Desc Limit 1"")"),"OVERALL")</f>
        <v>OVERALL</v>
      </c>
      <c r="B103" s="54" t="str">
        <f>IFERROR(__xludf.DUMMYFUNCTION("""COMPUTED_VALUE"""),"")</f>
        <v/>
      </c>
      <c r="C103" s="52"/>
      <c r="AQ103" s="7"/>
    </row>
    <row r="104">
      <c r="A104" s="69" t="str">
        <f>IFERROR(__xludf.DUMMYFUNCTION("""COMPUTED_VALUE"""),"Avg Player")</f>
        <v>Avg Player</v>
      </c>
      <c r="B104" s="70"/>
      <c r="C104" s="52"/>
      <c r="AQ104" s="7"/>
    </row>
    <row r="105">
      <c r="A105" s="56" t="str">
        <f>IFERROR(__xludf.DUMMYFUNCTION("Query(TotalTournamentAverages!A:AX,""Select A,AW where A&lt;&gt;'' Order by AW Desc Limit 1"")"),"OVERALL")</f>
        <v>OVERALL</v>
      </c>
      <c r="B105" s="54" t="str">
        <f>IFERROR(__xludf.DUMMYFUNCTION("""COMPUTED_VALUE"""),"")</f>
        <v/>
      </c>
      <c r="C105" s="7"/>
      <c r="AQ105" s="7"/>
    </row>
    <row r="106">
      <c r="A106" s="69" t="str">
        <f>IFERROR(__xludf.DUMMYFUNCTION("""COMPUTED_VALUE"""),"Avg Player")</f>
        <v>Avg Player</v>
      </c>
      <c r="B106" s="70"/>
      <c r="AQ106" s="7"/>
    </row>
    <row r="107">
      <c r="A107" s="56" t="str">
        <f>IFERROR(__xludf.DUMMYFUNCTION("Query(TotalTournamentAverages!A:AX,""Select A,AX where A&lt;&gt;'' Order by AX Desc Limit 1"")"),"OVERALL")</f>
        <v>OVERALL</v>
      </c>
      <c r="B107" s="54" t="str">
        <f>IFERROR(__xludf.DUMMYFUNCTION("""COMPUTED_VALUE"""),"")</f>
        <v/>
      </c>
      <c r="AQ107" s="7"/>
    </row>
    <row r="108">
      <c r="A108" s="69" t="str">
        <f>IFERROR(__xludf.DUMMYFUNCTION("""COMPUTED_VALUE"""),"Avg Player")</f>
        <v>Avg Player</v>
      </c>
      <c r="B108" s="70"/>
      <c r="AQ108" s="7"/>
    </row>
    <row r="109">
      <c r="AQ109" s="7"/>
    </row>
    <row r="110">
      <c r="AQ110" s="7"/>
    </row>
  </sheetData>
  <mergeCells count="1">
    <mergeCell ref="A14:B14"/>
  </mergeCells>
  <conditionalFormatting sqref="B4:B9 C4:AL8 G12:AP61">
    <cfRule type="cellIs" dxfId="0" priority="1" operator="greaterThanOrEqual">
      <formula>"90%"</formula>
    </cfRule>
  </conditionalFormatting>
  <conditionalFormatting sqref="B4:B9 C4:AL8 G12:AP61">
    <cfRule type="cellIs" dxfId="1" priority="2" operator="greaterThan">
      <formula>"80%"</formula>
    </cfRule>
  </conditionalFormatting>
  <conditionalFormatting sqref="B4:B9 C4:AL8 G12:AP61">
    <cfRule type="cellIs" dxfId="2" priority="3" operator="greaterThan">
      <formula>"70%"</formula>
    </cfRule>
  </conditionalFormatting>
  <conditionalFormatting sqref="B4:B9 C4:AL8 G12:AP61">
    <cfRule type="cellIs" dxfId="3" priority="4" operator="greaterThan">
      <formula>"60%"</formula>
    </cfRule>
  </conditionalFormatting>
  <conditionalFormatting sqref="B4:B9 C4:AL8 G12:AP61">
    <cfRule type="cellIs" dxfId="4" priority="5" operator="greaterThan">
      <formula>"50%"</formula>
    </cfRule>
  </conditionalFormatting>
  <conditionalFormatting sqref="B4:B9 C4:AL8 G12:AP61">
    <cfRule type="cellIs" dxfId="5" priority="6" operator="greaterThan">
      <formula>"40%"</formula>
    </cfRule>
  </conditionalFormatting>
  <conditionalFormatting sqref="B4:B9 C4:AL8 G12:AP61">
    <cfRule type="cellIs" dxfId="6" priority="7" operator="greaterThanOrEqual">
      <formula>"30%"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2" max="2" width="9.13"/>
    <col customWidth="1" min="3" max="3" width="5.38"/>
    <col customWidth="1" min="4" max="4" width="6.38"/>
    <col customWidth="1" min="5" max="5" width="9.63"/>
    <col customWidth="1" min="6" max="6" width="10.75"/>
    <col customWidth="1" min="7" max="7" width="9.38"/>
    <col customWidth="1" min="8" max="8" width="8.13"/>
    <col customWidth="1" min="9" max="9" width="10.75"/>
    <col customWidth="1" min="10" max="10" width="5.13"/>
    <col customWidth="1" min="11" max="11" width="5.88"/>
    <col customWidth="1" min="12" max="12" width="5.63"/>
    <col customWidth="1" min="13" max="15" width="5.13"/>
    <col customWidth="1" min="16" max="16" width="7.25"/>
    <col customWidth="1" min="17" max="17" width="9.63"/>
    <col customWidth="1" min="18" max="18" width="13.63"/>
    <col customWidth="1" min="19" max="19" width="11.5"/>
    <col customWidth="1" min="20" max="20" width="10.5"/>
    <col customWidth="1" min="21" max="21" width="8.75"/>
    <col customWidth="1" min="22" max="22" width="7.13"/>
    <col customWidth="1" min="23" max="23" width="9.88"/>
    <col customWidth="1" min="24" max="24" width="10.5"/>
    <col customWidth="1" min="25" max="26" width="9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>
      <c r="J48" s="72"/>
      <c r="K48" s="72"/>
      <c r="L48" s="72"/>
      <c r="M48" s="72"/>
      <c r="N48" s="72"/>
      <c r="O48" s="72"/>
      <c r="P48" s="72"/>
      <c r="Q48" s="72"/>
    </row>
    <row r="49">
      <c r="J49" s="72"/>
      <c r="K49" s="72"/>
      <c r="L49" s="72"/>
      <c r="M49" s="72"/>
      <c r="N49" s="72"/>
      <c r="O49" s="72"/>
      <c r="P49" s="72"/>
      <c r="Q49" s="72"/>
    </row>
    <row r="50">
      <c r="J50" s="72"/>
      <c r="K50" s="72"/>
      <c r="L50" s="72"/>
      <c r="M50" s="72"/>
      <c r="N50" s="72"/>
      <c r="O50" s="72"/>
      <c r="P50" s="72"/>
      <c r="Q50" s="72"/>
    </row>
    <row r="51">
      <c r="J51" s="72"/>
      <c r="K51" s="72"/>
      <c r="L51" s="72"/>
      <c r="M51" s="72"/>
      <c r="N51" s="72"/>
      <c r="O51" s="72"/>
      <c r="P51" s="72"/>
      <c r="Q51" s="72"/>
    </row>
    <row r="52">
      <c r="J52" s="72"/>
      <c r="K52" s="72"/>
      <c r="L52" s="72"/>
      <c r="M52" s="72"/>
      <c r="N52" s="72"/>
      <c r="O52" s="72"/>
      <c r="P52" s="72"/>
      <c r="Q52" s="72"/>
    </row>
    <row r="53">
      <c r="J53" s="72"/>
      <c r="K53" s="72"/>
      <c r="L53" s="72"/>
      <c r="M53" s="72"/>
      <c r="N53" s="72"/>
      <c r="O53" s="72"/>
      <c r="P53" s="72"/>
      <c r="Q53" s="72"/>
    </row>
    <row r="54">
      <c r="J54" s="72"/>
      <c r="K54" s="72"/>
      <c r="L54" s="72"/>
      <c r="M54" s="72"/>
      <c r="N54" s="72"/>
      <c r="O54" s="72"/>
      <c r="P54" s="72"/>
      <c r="Q54" s="72"/>
    </row>
    <row r="55">
      <c r="J55" s="72"/>
      <c r="K55" s="72"/>
      <c r="L55" s="72"/>
      <c r="M55" s="72"/>
      <c r="N55" s="72"/>
      <c r="O55" s="72"/>
      <c r="P55" s="72"/>
      <c r="Q55" s="72"/>
    </row>
    <row r="56">
      <c r="J56" s="72"/>
      <c r="K56" s="72"/>
      <c r="L56" s="72"/>
      <c r="M56" s="72"/>
      <c r="N56" s="72"/>
      <c r="O56" s="72"/>
      <c r="P56" s="72"/>
      <c r="Q56" s="72"/>
    </row>
    <row r="57">
      <c r="J57" s="72"/>
      <c r="K57" s="72"/>
      <c r="L57" s="72"/>
      <c r="M57" s="72"/>
      <c r="N57" s="72"/>
      <c r="O57" s="72"/>
      <c r="P57" s="72"/>
      <c r="Q57" s="72"/>
    </row>
    <row r="58">
      <c r="J58" s="72"/>
      <c r="K58" s="72"/>
      <c r="L58" s="72"/>
      <c r="M58" s="72"/>
      <c r="N58" s="72"/>
      <c r="O58" s="72"/>
      <c r="P58" s="72"/>
      <c r="Q58" s="72"/>
    </row>
    <row r="59">
      <c r="J59" s="72"/>
      <c r="K59" s="72"/>
      <c r="L59" s="72"/>
      <c r="M59" s="72"/>
      <c r="N59" s="72"/>
      <c r="O59" s="72"/>
      <c r="P59" s="72"/>
      <c r="Q59" s="72"/>
    </row>
    <row r="60">
      <c r="J60" s="72"/>
      <c r="K60" s="72"/>
      <c r="L60" s="72"/>
      <c r="M60" s="72"/>
      <c r="N60" s="72"/>
      <c r="O60" s="72"/>
      <c r="P60" s="72"/>
      <c r="Q60" s="72"/>
    </row>
    <row r="61">
      <c r="J61" s="72"/>
      <c r="K61" s="72"/>
      <c r="L61" s="72"/>
      <c r="M61" s="72"/>
      <c r="N61" s="72"/>
      <c r="O61" s="72"/>
      <c r="P61" s="72"/>
      <c r="Q61" s="72"/>
    </row>
    <row r="62">
      <c r="J62" s="72"/>
      <c r="K62" s="72"/>
      <c r="L62" s="72"/>
      <c r="M62" s="72"/>
      <c r="N62" s="72"/>
      <c r="O62" s="72"/>
      <c r="P62" s="72"/>
      <c r="Q62" s="72"/>
    </row>
    <row r="63">
      <c r="J63" s="72"/>
      <c r="K63" s="72"/>
      <c r="L63" s="72"/>
      <c r="M63" s="72"/>
      <c r="N63" s="72"/>
      <c r="O63" s="72"/>
      <c r="P63" s="72"/>
      <c r="Q63" s="72"/>
    </row>
    <row r="64">
      <c r="J64" s="72"/>
      <c r="K64" s="72"/>
      <c r="L64" s="72"/>
      <c r="M64" s="72"/>
      <c r="N64" s="72"/>
      <c r="O64" s="72"/>
      <c r="P64" s="72"/>
      <c r="Q64" s="72"/>
    </row>
    <row r="65">
      <c r="J65" s="72"/>
      <c r="K65" s="72"/>
      <c r="L65" s="72"/>
      <c r="M65" s="72"/>
      <c r="N65" s="72"/>
      <c r="O65" s="72"/>
      <c r="P65" s="72"/>
      <c r="Q65" s="72"/>
    </row>
    <row r="66">
      <c r="J66" s="72"/>
      <c r="K66" s="72"/>
      <c r="L66" s="72"/>
      <c r="M66" s="72"/>
      <c r="N66" s="72"/>
      <c r="O66" s="72"/>
      <c r="P66" s="72"/>
      <c r="Q66" s="72"/>
    </row>
    <row r="67">
      <c r="J67" s="72"/>
      <c r="K67" s="72"/>
      <c r="L67" s="72"/>
      <c r="M67" s="72"/>
      <c r="N67" s="72"/>
      <c r="O67" s="72"/>
      <c r="P67" s="72"/>
      <c r="Q67" s="72"/>
    </row>
    <row r="68">
      <c r="J68" s="72"/>
      <c r="K68" s="72"/>
      <c r="L68" s="72"/>
      <c r="M68" s="72"/>
      <c r="N68" s="72"/>
      <c r="O68" s="72"/>
      <c r="P68" s="72"/>
      <c r="Q68" s="72"/>
    </row>
    <row r="69">
      <c r="J69" s="72"/>
      <c r="K69" s="72"/>
      <c r="L69" s="72"/>
      <c r="M69" s="72"/>
      <c r="N69" s="72"/>
      <c r="O69" s="72"/>
      <c r="P69" s="72"/>
      <c r="Q69" s="72"/>
    </row>
    <row r="70">
      <c r="J70" s="72"/>
      <c r="K70" s="72"/>
      <c r="L70" s="72"/>
      <c r="M70" s="72"/>
      <c r="N70" s="72"/>
      <c r="O70" s="72"/>
      <c r="P70" s="72"/>
      <c r="Q70" s="72"/>
    </row>
    <row r="71">
      <c r="J71" s="72"/>
      <c r="K71" s="72"/>
      <c r="L71" s="72"/>
      <c r="M71" s="72"/>
      <c r="N71" s="72"/>
      <c r="O71" s="72"/>
      <c r="P71" s="72"/>
      <c r="Q71" s="72"/>
    </row>
    <row r="72">
      <c r="J72" s="72"/>
      <c r="K72" s="72"/>
      <c r="L72" s="72"/>
      <c r="M72" s="72"/>
      <c r="N72" s="72"/>
      <c r="O72" s="72"/>
      <c r="P72" s="72"/>
      <c r="Q72" s="72"/>
    </row>
    <row r="73">
      <c r="J73" s="72"/>
      <c r="K73" s="72"/>
      <c r="L73" s="72"/>
      <c r="M73" s="72"/>
      <c r="N73" s="72"/>
      <c r="O73" s="72"/>
      <c r="P73" s="72"/>
      <c r="Q73" s="72"/>
    </row>
    <row r="74">
      <c r="J74" s="72"/>
      <c r="K74" s="72"/>
      <c r="L74" s="72"/>
      <c r="M74" s="72"/>
      <c r="N74" s="72"/>
      <c r="O74" s="72"/>
      <c r="P74" s="72"/>
      <c r="Q74" s="72"/>
    </row>
    <row r="75">
      <c r="J75" s="72"/>
      <c r="K75" s="72"/>
      <c r="L75" s="72"/>
      <c r="M75" s="72"/>
      <c r="N75" s="72"/>
      <c r="O75" s="72"/>
      <c r="P75" s="72"/>
      <c r="Q75" s="72"/>
    </row>
    <row r="76">
      <c r="J76" s="72"/>
      <c r="K76" s="72"/>
      <c r="L76" s="72"/>
      <c r="M76" s="72"/>
      <c r="N76" s="72"/>
      <c r="O76" s="72"/>
      <c r="P76" s="72"/>
      <c r="Q76" s="72"/>
    </row>
    <row r="77">
      <c r="J77" s="72"/>
      <c r="K77" s="72"/>
      <c r="L77" s="72"/>
      <c r="M77" s="72"/>
      <c r="N77" s="72"/>
      <c r="O77" s="72"/>
      <c r="P77" s="72"/>
      <c r="Q77" s="72"/>
    </row>
    <row r="78">
      <c r="J78" s="72"/>
      <c r="K78" s="72"/>
      <c r="L78" s="72"/>
      <c r="M78" s="72"/>
      <c r="N78" s="72"/>
      <c r="O78" s="72"/>
      <c r="P78" s="72"/>
      <c r="Q78" s="72"/>
    </row>
    <row r="79">
      <c r="J79" s="72"/>
      <c r="K79" s="72"/>
      <c r="L79" s="72"/>
      <c r="M79" s="72"/>
      <c r="N79" s="72"/>
      <c r="O79" s="72"/>
      <c r="P79" s="72"/>
      <c r="Q79" s="72"/>
    </row>
    <row r="80">
      <c r="J80" s="72"/>
      <c r="K80" s="72"/>
      <c r="L80" s="72"/>
      <c r="M80" s="72"/>
      <c r="N80" s="72"/>
      <c r="O80" s="72"/>
      <c r="P80" s="72"/>
      <c r="Q80" s="72"/>
    </row>
    <row r="81">
      <c r="J81" s="72"/>
      <c r="K81" s="72"/>
      <c r="L81" s="72"/>
      <c r="M81" s="72"/>
      <c r="N81" s="72"/>
      <c r="O81" s="72"/>
      <c r="P81" s="72"/>
      <c r="Q81" s="72"/>
    </row>
    <row r="82">
      <c r="J82" s="72"/>
      <c r="K82" s="72"/>
      <c r="L82" s="72"/>
      <c r="M82" s="72"/>
      <c r="N82" s="72"/>
      <c r="O82" s="72"/>
      <c r="P82" s="72"/>
      <c r="Q82" s="72"/>
    </row>
    <row r="83">
      <c r="J83" s="72"/>
      <c r="K83" s="72"/>
      <c r="L83" s="72"/>
      <c r="M83" s="72"/>
      <c r="N83" s="72"/>
      <c r="O83" s="72"/>
      <c r="P83" s="72"/>
      <c r="Q83" s="72"/>
    </row>
    <row r="84">
      <c r="J84" s="72"/>
      <c r="K84" s="72"/>
      <c r="L84" s="72"/>
      <c r="M84" s="72"/>
      <c r="N84" s="72"/>
      <c r="O84" s="72"/>
      <c r="P84" s="72"/>
      <c r="Q84" s="72"/>
    </row>
    <row r="85">
      <c r="J85" s="72"/>
      <c r="K85" s="72"/>
      <c r="L85" s="72"/>
      <c r="M85" s="72"/>
      <c r="N85" s="72"/>
      <c r="O85" s="72"/>
      <c r="P85" s="72"/>
      <c r="Q85" s="72"/>
    </row>
    <row r="86">
      <c r="J86" s="72"/>
      <c r="K86" s="72"/>
      <c r="L86" s="72"/>
      <c r="M86" s="72"/>
      <c r="N86" s="72"/>
      <c r="O86" s="72"/>
      <c r="P86" s="72"/>
      <c r="Q86" s="72"/>
    </row>
    <row r="87">
      <c r="J87" s="72"/>
      <c r="K87" s="72"/>
      <c r="L87" s="72"/>
      <c r="M87" s="72"/>
      <c r="N87" s="72"/>
      <c r="O87" s="72"/>
      <c r="P87" s="72"/>
      <c r="Q87" s="72"/>
    </row>
    <row r="88">
      <c r="J88" s="72"/>
      <c r="K88" s="72"/>
      <c r="L88" s="72"/>
      <c r="M88" s="72"/>
      <c r="N88" s="72"/>
      <c r="O88" s="72"/>
      <c r="P88" s="72"/>
      <c r="Q88" s="72"/>
    </row>
    <row r="89">
      <c r="J89" s="72"/>
      <c r="K89" s="72"/>
      <c r="L89" s="72"/>
      <c r="M89" s="72"/>
      <c r="N89" s="72"/>
      <c r="O89" s="72"/>
      <c r="P89" s="72"/>
      <c r="Q89" s="72"/>
    </row>
    <row r="90">
      <c r="J90" s="72"/>
      <c r="K90" s="72"/>
      <c r="L90" s="72"/>
      <c r="M90" s="72"/>
      <c r="N90" s="72"/>
      <c r="O90" s="72"/>
      <c r="P90" s="72"/>
      <c r="Q90" s="72"/>
    </row>
    <row r="91">
      <c r="J91" s="72"/>
      <c r="K91" s="72"/>
      <c r="L91" s="72"/>
      <c r="M91" s="72"/>
      <c r="N91" s="72"/>
      <c r="O91" s="72"/>
      <c r="P91" s="72"/>
      <c r="Q91" s="72"/>
    </row>
    <row r="92">
      <c r="J92" s="72"/>
      <c r="K92" s="72"/>
      <c r="L92" s="72"/>
      <c r="M92" s="72"/>
      <c r="N92" s="72"/>
      <c r="O92" s="72"/>
      <c r="P92" s="72"/>
      <c r="Q92" s="72"/>
    </row>
    <row r="93">
      <c r="J93" s="72"/>
      <c r="K93" s="72"/>
      <c r="L93" s="72"/>
      <c r="M93" s="72"/>
      <c r="N93" s="72"/>
      <c r="O93" s="72"/>
      <c r="P93" s="72"/>
      <c r="Q93" s="72"/>
    </row>
    <row r="94">
      <c r="J94" s="72"/>
      <c r="K94" s="72"/>
      <c r="L94" s="72"/>
      <c r="M94" s="72"/>
      <c r="N94" s="72"/>
      <c r="O94" s="72"/>
      <c r="P94" s="72"/>
      <c r="Q94" s="72"/>
    </row>
    <row r="95">
      <c r="J95" s="72"/>
      <c r="K95" s="72"/>
      <c r="L95" s="72"/>
      <c r="M95" s="72"/>
      <c r="N95" s="72"/>
      <c r="O95" s="72"/>
      <c r="P95" s="72"/>
      <c r="Q95" s="72"/>
    </row>
    <row r="96">
      <c r="J96" s="72"/>
      <c r="K96" s="72"/>
      <c r="L96" s="72"/>
      <c r="M96" s="72"/>
      <c r="N96" s="72"/>
      <c r="O96" s="72"/>
      <c r="P96" s="72"/>
      <c r="Q96" s="72"/>
    </row>
    <row r="97">
      <c r="J97" s="72"/>
      <c r="K97" s="72"/>
      <c r="L97" s="72"/>
      <c r="M97" s="72"/>
      <c r="N97" s="72"/>
      <c r="O97" s="72"/>
      <c r="P97" s="72"/>
      <c r="Q97" s="72"/>
    </row>
    <row r="98">
      <c r="J98" s="72"/>
      <c r="K98" s="72"/>
      <c r="L98" s="72"/>
      <c r="M98" s="72"/>
      <c r="N98" s="72"/>
      <c r="O98" s="72"/>
      <c r="P98" s="72"/>
      <c r="Q98" s="72"/>
    </row>
    <row r="99">
      <c r="J99" s="72"/>
      <c r="K99" s="72"/>
      <c r="L99" s="72"/>
      <c r="M99" s="72"/>
      <c r="N99" s="72"/>
      <c r="O99" s="72"/>
      <c r="P99" s="72"/>
      <c r="Q99" s="72"/>
    </row>
    <row r="100">
      <c r="J100" s="72"/>
      <c r="K100" s="72"/>
      <c r="L100" s="72"/>
      <c r="M100" s="72"/>
      <c r="N100" s="72"/>
      <c r="O100" s="72"/>
      <c r="P100" s="72"/>
      <c r="Q100" s="72"/>
    </row>
    <row r="101">
      <c r="J101" s="72"/>
      <c r="K101" s="72"/>
      <c r="L101" s="72"/>
      <c r="M101" s="72"/>
      <c r="N101" s="72"/>
      <c r="O101" s="72"/>
      <c r="P101" s="72"/>
      <c r="Q101" s="72"/>
    </row>
    <row r="102">
      <c r="J102" s="72"/>
      <c r="K102" s="72"/>
      <c r="L102" s="72"/>
      <c r="M102" s="72"/>
      <c r="N102" s="72"/>
      <c r="O102" s="72"/>
      <c r="P102" s="72"/>
      <c r="Q102" s="72"/>
    </row>
    <row r="103">
      <c r="J103" s="72"/>
      <c r="K103" s="72"/>
      <c r="L103" s="72"/>
      <c r="M103" s="72"/>
      <c r="N103" s="72"/>
      <c r="O103" s="72"/>
      <c r="P103" s="72"/>
      <c r="Q103" s="72"/>
    </row>
    <row r="104">
      <c r="J104" s="72"/>
      <c r="K104" s="72"/>
      <c r="L104" s="72"/>
      <c r="M104" s="72"/>
      <c r="N104" s="72"/>
      <c r="O104" s="72"/>
      <c r="P104" s="72"/>
      <c r="Q104" s="72"/>
    </row>
    <row r="105">
      <c r="J105" s="72"/>
      <c r="K105" s="72"/>
      <c r="L105" s="72"/>
      <c r="M105" s="72"/>
      <c r="N105" s="72"/>
      <c r="O105" s="72"/>
      <c r="P105" s="72"/>
      <c r="Q105" s="72"/>
    </row>
    <row r="106">
      <c r="J106" s="72"/>
      <c r="K106" s="72"/>
      <c r="L106" s="72"/>
      <c r="M106" s="72"/>
      <c r="N106" s="72"/>
      <c r="O106" s="72"/>
      <c r="P106" s="72"/>
      <c r="Q106" s="72"/>
    </row>
    <row r="107">
      <c r="J107" s="72"/>
      <c r="K107" s="72"/>
      <c r="L107" s="72"/>
      <c r="M107" s="72"/>
      <c r="N107" s="72"/>
      <c r="O107" s="72"/>
      <c r="P107" s="72"/>
      <c r="Q107" s="72"/>
    </row>
    <row r="108">
      <c r="J108" s="72"/>
      <c r="K108" s="72"/>
      <c r="L108" s="72"/>
      <c r="M108" s="72"/>
      <c r="N108" s="72"/>
      <c r="O108" s="72"/>
      <c r="P108" s="72"/>
      <c r="Q108" s="72"/>
    </row>
    <row r="109">
      <c r="J109" s="72"/>
      <c r="K109" s="72"/>
      <c r="L109" s="72"/>
      <c r="M109" s="72"/>
      <c r="N109" s="72"/>
      <c r="O109" s="72"/>
      <c r="P109" s="72"/>
      <c r="Q109" s="72"/>
    </row>
    <row r="110">
      <c r="J110" s="72"/>
      <c r="K110" s="72"/>
      <c r="L110" s="72"/>
      <c r="M110" s="72"/>
      <c r="N110" s="72"/>
      <c r="O110" s="72"/>
      <c r="P110" s="72"/>
      <c r="Q110" s="72"/>
    </row>
    <row r="111">
      <c r="J111" s="72"/>
      <c r="K111" s="72"/>
      <c r="L111" s="72"/>
      <c r="M111" s="72"/>
      <c r="N111" s="72"/>
      <c r="O111" s="72"/>
      <c r="P111" s="72"/>
      <c r="Q111" s="72"/>
    </row>
    <row r="112">
      <c r="J112" s="72"/>
      <c r="K112" s="72"/>
      <c r="L112" s="72"/>
      <c r="M112" s="72"/>
      <c r="N112" s="72"/>
      <c r="O112" s="72"/>
      <c r="P112" s="72"/>
      <c r="Q112" s="72"/>
    </row>
    <row r="113">
      <c r="J113" s="72"/>
      <c r="K113" s="72"/>
      <c r="L113" s="72"/>
      <c r="M113" s="72"/>
      <c r="N113" s="72"/>
      <c r="O113" s="72"/>
      <c r="P113" s="72"/>
      <c r="Q113" s="72"/>
    </row>
    <row r="114">
      <c r="J114" s="72"/>
      <c r="K114" s="72"/>
      <c r="L114" s="72"/>
      <c r="M114" s="72"/>
      <c r="N114" s="72"/>
      <c r="O114" s="72"/>
      <c r="P114" s="72"/>
      <c r="Q114" s="72"/>
    </row>
    <row r="115">
      <c r="J115" s="72"/>
      <c r="K115" s="72"/>
      <c r="L115" s="72"/>
      <c r="M115" s="72"/>
      <c r="N115" s="72"/>
      <c r="O115" s="72"/>
      <c r="P115" s="72"/>
      <c r="Q115" s="72"/>
    </row>
    <row r="116">
      <c r="J116" s="72"/>
      <c r="K116" s="72"/>
      <c r="L116" s="72"/>
      <c r="M116" s="72"/>
      <c r="N116" s="72"/>
      <c r="O116" s="72"/>
      <c r="P116" s="72"/>
      <c r="Q116" s="72"/>
    </row>
    <row r="117">
      <c r="J117" s="72"/>
      <c r="K117" s="72"/>
      <c r="L117" s="72"/>
      <c r="M117" s="72"/>
      <c r="N117" s="72"/>
      <c r="O117" s="72"/>
      <c r="P117" s="72"/>
      <c r="Q117" s="72"/>
    </row>
    <row r="118">
      <c r="J118" s="72"/>
      <c r="K118" s="72"/>
      <c r="L118" s="72"/>
      <c r="M118" s="72"/>
      <c r="N118" s="72"/>
      <c r="O118" s="72"/>
      <c r="P118" s="72"/>
      <c r="Q118" s="72"/>
    </row>
    <row r="119">
      <c r="J119" s="72"/>
      <c r="K119" s="72"/>
      <c r="L119" s="72"/>
      <c r="M119" s="72"/>
      <c r="N119" s="72"/>
      <c r="O119" s="72"/>
      <c r="P119" s="72"/>
      <c r="Q119" s="72"/>
    </row>
    <row r="120">
      <c r="J120" s="72"/>
      <c r="K120" s="72"/>
      <c r="L120" s="72"/>
      <c r="M120" s="72"/>
      <c r="N120" s="72"/>
      <c r="O120" s="72"/>
      <c r="P120" s="72"/>
      <c r="Q120" s="72"/>
    </row>
    <row r="121">
      <c r="J121" s="72"/>
      <c r="K121" s="72"/>
      <c r="L121" s="72"/>
      <c r="M121" s="72"/>
      <c r="N121" s="72"/>
      <c r="O121" s="72"/>
      <c r="P121" s="72"/>
      <c r="Q121" s="72"/>
    </row>
    <row r="122">
      <c r="J122" s="72"/>
      <c r="K122" s="72"/>
      <c r="L122" s="72"/>
      <c r="M122" s="72"/>
      <c r="N122" s="72"/>
      <c r="O122" s="72"/>
      <c r="P122" s="72"/>
      <c r="Q122" s="72"/>
    </row>
    <row r="123">
      <c r="J123" s="72"/>
      <c r="K123" s="72"/>
      <c r="L123" s="72"/>
      <c r="M123" s="72"/>
      <c r="N123" s="72"/>
      <c r="O123" s="72"/>
      <c r="P123" s="72"/>
      <c r="Q123" s="72"/>
    </row>
    <row r="124">
      <c r="J124" s="72"/>
      <c r="K124" s="72"/>
      <c r="L124" s="72"/>
      <c r="M124" s="72"/>
      <c r="N124" s="72"/>
      <c r="O124" s="72"/>
      <c r="P124" s="72"/>
      <c r="Q124" s="72"/>
    </row>
    <row r="125">
      <c r="J125" s="72"/>
      <c r="K125" s="72"/>
      <c r="L125" s="72"/>
      <c r="M125" s="72"/>
      <c r="N125" s="72"/>
      <c r="O125" s="72"/>
      <c r="P125" s="72"/>
      <c r="Q125" s="72"/>
    </row>
    <row r="126">
      <c r="J126" s="72"/>
      <c r="K126" s="72"/>
      <c r="L126" s="72"/>
      <c r="M126" s="72"/>
      <c r="N126" s="72"/>
      <c r="O126" s="72"/>
      <c r="P126" s="72"/>
      <c r="Q126" s="72"/>
    </row>
    <row r="127">
      <c r="J127" s="72"/>
      <c r="K127" s="72"/>
      <c r="L127" s="72"/>
      <c r="M127" s="72"/>
      <c r="N127" s="72"/>
      <c r="O127" s="72"/>
      <c r="P127" s="72"/>
      <c r="Q127" s="72"/>
    </row>
    <row r="128">
      <c r="J128" s="72"/>
      <c r="K128" s="72"/>
      <c r="L128" s="72"/>
      <c r="M128" s="72"/>
      <c r="N128" s="72"/>
      <c r="O128" s="72"/>
      <c r="P128" s="72"/>
      <c r="Q128" s="72"/>
    </row>
    <row r="129">
      <c r="J129" s="72"/>
      <c r="K129" s="72"/>
      <c r="L129" s="72"/>
      <c r="M129" s="72"/>
      <c r="N129" s="72"/>
      <c r="O129" s="72"/>
      <c r="P129" s="72"/>
      <c r="Q129" s="72"/>
    </row>
    <row r="130">
      <c r="J130" s="72"/>
      <c r="K130" s="72"/>
      <c r="L130" s="72"/>
      <c r="M130" s="72"/>
      <c r="N130" s="72"/>
      <c r="O130" s="72"/>
      <c r="P130" s="72"/>
      <c r="Q130" s="72"/>
    </row>
    <row r="131">
      <c r="J131" s="72"/>
      <c r="K131" s="72"/>
      <c r="L131" s="72"/>
      <c r="M131" s="72"/>
      <c r="N131" s="72"/>
      <c r="O131" s="72"/>
      <c r="P131" s="72"/>
      <c r="Q131" s="72"/>
    </row>
    <row r="132">
      <c r="J132" s="72"/>
      <c r="K132" s="72"/>
      <c r="L132" s="72"/>
      <c r="M132" s="72"/>
      <c r="N132" s="72"/>
      <c r="O132" s="72"/>
      <c r="P132" s="72"/>
      <c r="Q132" s="72"/>
    </row>
    <row r="133">
      <c r="J133" s="72"/>
      <c r="K133" s="72"/>
      <c r="L133" s="72"/>
      <c r="M133" s="72"/>
      <c r="N133" s="72"/>
      <c r="O133" s="72"/>
      <c r="P133" s="72"/>
      <c r="Q133" s="72"/>
    </row>
    <row r="134">
      <c r="J134" s="72"/>
      <c r="K134" s="72"/>
      <c r="L134" s="72"/>
      <c r="M134" s="72"/>
      <c r="N134" s="72"/>
      <c r="O134" s="72"/>
      <c r="P134" s="72"/>
      <c r="Q134" s="72"/>
    </row>
    <row r="135">
      <c r="J135" s="72"/>
      <c r="K135" s="72"/>
      <c r="L135" s="72"/>
      <c r="M135" s="72"/>
      <c r="N135" s="72"/>
      <c r="O135" s="72"/>
      <c r="P135" s="72"/>
      <c r="Q135" s="72"/>
    </row>
    <row r="136">
      <c r="J136" s="72"/>
      <c r="K136" s="72"/>
      <c r="L136" s="72"/>
      <c r="M136" s="72"/>
      <c r="N136" s="72"/>
      <c r="O136" s="72"/>
      <c r="P136" s="72"/>
      <c r="Q136" s="72"/>
    </row>
    <row r="137">
      <c r="J137" s="72"/>
      <c r="K137" s="72"/>
      <c r="L137" s="72"/>
      <c r="M137" s="72"/>
      <c r="N137" s="72"/>
      <c r="O137" s="72"/>
      <c r="P137" s="72"/>
      <c r="Q137" s="72"/>
    </row>
    <row r="138">
      <c r="J138" s="72"/>
      <c r="K138" s="72"/>
      <c r="L138" s="72"/>
      <c r="M138" s="72"/>
      <c r="N138" s="72"/>
      <c r="O138" s="72"/>
      <c r="P138" s="72"/>
      <c r="Q138" s="72"/>
    </row>
    <row r="139">
      <c r="J139" s="72"/>
      <c r="K139" s="72"/>
      <c r="L139" s="72"/>
      <c r="M139" s="72"/>
      <c r="N139" s="72"/>
      <c r="O139" s="72"/>
      <c r="P139" s="72"/>
      <c r="Q139" s="72"/>
    </row>
    <row r="140">
      <c r="J140" s="72"/>
      <c r="K140" s="72"/>
      <c r="L140" s="72"/>
      <c r="M140" s="72"/>
      <c r="N140" s="72"/>
      <c r="O140" s="72"/>
      <c r="P140" s="72"/>
      <c r="Q140" s="72"/>
    </row>
    <row r="141">
      <c r="J141" s="72"/>
      <c r="K141" s="72"/>
      <c r="L141" s="72"/>
      <c r="M141" s="72"/>
      <c r="N141" s="72"/>
      <c r="O141" s="72"/>
      <c r="P141" s="72"/>
      <c r="Q141" s="72"/>
    </row>
    <row r="142">
      <c r="J142" s="72"/>
      <c r="K142" s="72"/>
      <c r="L142" s="72"/>
      <c r="M142" s="72"/>
      <c r="N142" s="72"/>
      <c r="O142" s="72"/>
      <c r="P142" s="72"/>
      <c r="Q142" s="72"/>
    </row>
    <row r="143">
      <c r="J143" s="72"/>
      <c r="K143" s="72"/>
      <c r="L143" s="72"/>
      <c r="M143" s="72"/>
      <c r="N143" s="72"/>
      <c r="O143" s="72"/>
      <c r="P143" s="72"/>
      <c r="Q143" s="72"/>
    </row>
    <row r="144">
      <c r="J144" s="72"/>
      <c r="K144" s="72"/>
      <c r="L144" s="72"/>
      <c r="M144" s="72"/>
      <c r="N144" s="72"/>
      <c r="O144" s="72"/>
      <c r="P144" s="72"/>
      <c r="Q144" s="72"/>
    </row>
    <row r="145">
      <c r="J145" s="72"/>
      <c r="K145" s="72"/>
      <c r="L145" s="72"/>
      <c r="M145" s="72"/>
      <c r="N145" s="72"/>
      <c r="O145" s="72"/>
      <c r="P145" s="72"/>
      <c r="Q145" s="72"/>
    </row>
    <row r="146">
      <c r="J146" s="72"/>
      <c r="K146" s="72"/>
      <c r="L146" s="72"/>
      <c r="M146" s="72"/>
      <c r="N146" s="72"/>
      <c r="O146" s="72"/>
      <c r="P146" s="72"/>
      <c r="Q146" s="72"/>
    </row>
    <row r="147">
      <c r="J147" s="72"/>
      <c r="K147" s="72"/>
      <c r="L147" s="72"/>
      <c r="M147" s="72"/>
      <c r="N147" s="72"/>
      <c r="O147" s="72"/>
      <c r="P147" s="72"/>
      <c r="Q147" s="72"/>
    </row>
    <row r="148">
      <c r="J148" s="72"/>
      <c r="K148" s="72"/>
      <c r="L148" s="72"/>
      <c r="M148" s="72"/>
      <c r="N148" s="72"/>
      <c r="O148" s="72"/>
      <c r="P148" s="72"/>
      <c r="Q148" s="72"/>
    </row>
    <row r="149">
      <c r="J149" s="72"/>
      <c r="K149" s="72"/>
      <c r="L149" s="72"/>
      <c r="M149" s="72"/>
      <c r="N149" s="72"/>
      <c r="O149" s="72"/>
      <c r="P149" s="72"/>
      <c r="Q149" s="72"/>
    </row>
    <row r="150">
      <c r="J150" s="72"/>
      <c r="K150" s="72"/>
      <c r="L150" s="72"/>
      <c r="M150" s="72"/>
      <c r="N150" s="72"/>
      <c r="O150" s="72"/>
      <c r="P150" s="72"/>
      <c r="Q150" s="72"/>
    </row>
    <row r="151">
      <c r="J151" s="72"/>
      <c r="K151" s="72"/>
      <c r="L151" s="72"/>
      <c r="M151" s="72"/>
      <c r="N151" s="72"/>
      <c r="O151" s="72"/>
      <c r="P151" s="72"/>
      <c r="Q151" s="72"/>
    </row>
    <row r="152">
      <c r="J152" s="72"/>
      <c r="K152" s="72"/>
      <c r="L152" s="72"/>
      <c r="M152" s="72"/>
      <c r="N152" s="72"/>
      <c r="O152" s="72"/>
      <c r="P152" s="72"/>
      <c r="Q152" s="72"/>
    </row>
    <row r="153">
      <c r="J153" s="72"/>
      <c r="K153" s="72"/>
      <c r="L153" s="72"/>
      <c r="M153" s="72"/>
      <c r="N153" s="72"/>
      <c r="O153" s="72"/>
      <c r="P153" s="72"/>
      <c r="Q153" s="72"/>
    </row>
    <row r="154">
      <c r="J154" s="72"/>
      <c r="K154" s="72"/>
      <c r="L154" s="72"/>
      <c r="M154" s="72"/>
      <c r="N154" s="72"/>
      <c r="O154" s="72"/>
      <c r="P154" s="72"/>
      <c r="Q154" s="72"/>
    </row>
    <row r="155">
      <c r="J155" s="72"/>
      <c r="K155" s="72"/>
      <c r="L155" s="72"/>
      <c r="M155" s="72"/>
      <c r="N155" s="72"/>
      <c r="O155" s="72"/>
      <c r="P155" s="72"/>
      <c r="Q155" s="72"/>
    </row>
    <row r="156">
      <c r="J156" s="72"/>
      <c r="K156" s="72"/>
      <c r="L156" s="72"/>
      <c r="M156" s="72"/>
      <c r="N156" s="72"/>
      <c r="O156" s="72"/>
      <c r="P156" s="72"/>
      <c r="Q156" s="72"/>
    </row>
    <row r="157">
      <c r="J157" s="72"/>
      <c r="K157" s="72"/>
      <c r="L157" s="72"/>
      <c r="M157" s="72"/>
      <c r="N157" s="72"/>
      <c r="O157" s="72"/>
      <c r="P157" s="72"/>
      <c r="Q157" s="72"/>
    </row>
    <row r="158">
      <c r="J158" s="72"/>
      <c r="K158" s="72"/>
      <c r="L158" s="72"/>
      <c r="M158" s="72"/>
      <c r="N158" s="72"/>
      <c r="O158" s="72"/>
      <c r="P158" s="72"/>
      <c r="Q158" s="72"/>
    </row>
    <row r="159">
      <c r="J159" s="72"/>
      <c r="K159" s="72"/>
      <c r="L159" s="72"/>
      <c r="M159" s="72"/>
      <c r="N159" s="72"/>
      <c r="O159" s="72"/>
      <c r="P159" s="72"/>
      <c r="Q159" s="72"/>
    </row>
    <row r="160">
      <c r="J160" s="72"/>
      <c r="K160" s="72"/>
      <c r="L160" s="72"/>
      <c r="M160" s="72"/>
      <c r="N160" s="72"/>
      <c r="O160" s="72"/>
      <c r="P160" s="72"/>
      <c r="Q160" s="72"/>
    </row>
    <row r="161">
      <c r="J161" s="72"/>
      <c r="K161" s="72"/>
      <c r="L161" s="72"/>
      <c r="M161" s="72"/>
      <c r="N161" s="72"/>
      <c r="O161" s="72"/>
      <c r="P161" s="72"/>
      <c r="Q161" s="72"/>
    </row>
    <row r="162">
      <c r="J162" s="72"/>
      <c r="K162" s="72"/>
      <c r="L162" s="72"/>
      <c r="M162" s="72"/>
      <c r="N162" s="72"/>
      <c r="O162" s="72"/>
      <c r="P162" s="72"/>
      <c r="Q162" s="72"/>
    </row>
    <row r="163">
      <c r="J163" s="72"/>
      <c r="K163" s="72"/>
      <c r="L163" s="72"/>
      <c r="M163" s="72"/>
      <c r="N163" s="72"/>
      <c r="O163" s="72"/>
      <c r="P163" s="72"/>
      <c r="Q163" s="72"/>
    </row>
    <row r="164">
      <c r="J164" s="72"/>
      <c r="K164" s="72"/>
      <c r="L164" s="72"/>
      <c r="M164" s="72"/>
      <c r="N164" s="72"/>
      <c r="O164" s="72"/>
      <c r="P164" s="72"/>
      <c r="Q164" s="72"/>
    </row>
    <row r="165">
      <c r="J165" s="72"/>
      <c r="K165" s="72"/>
      <c r="L165" s="72"/>
      <c r="M165" s="72"/>
      <c r="N165" s="72"/>
      <c r="O165" s="72"/>
      <c r="P165" s="72"/>
      <c r="Q165" s="72"/>
    </row>
    <row r="166">
      <c r="J166" s="72"/>
      <c r="K166" s="72"/>
      <c r="L166" s="72"/>
      <c r="M166" s="72"/>
      <c r="N166" s="72"/>
      <c r="O166" s="72"/>
      <c r="P166" s="72"/>
      <c r="Q166" s="72"/>
    </row>
    <row r="167">
      <c r="J167" s="72"/>
      <c r="K167" s="72"/>
      <c r="L167" s="72"/>
      <c r="M167" s="72"/>
      <c r="N167" s="72"/>
      <c r="O167" s="72"/>
      <c r="P167" s="72"/>
      <c r="Q167" s="72"/>
    </row>
    <row r="168">
      <c r="J168" s="72"/>
      <c r="K168" s="72"/>
      <c r="L168" s="72"/>
      <c r="M168" s="72"/>
      <c r="N168" s="72"/>
      <c r="O168" s="72"/>
      <c r="P168" s="72"/>
      <c r="Q168" s="72"/>
    </row>
    <row r="169">
      <c r="J169" s="72"/>
      <c r="K169" s="72"/>
      <c r="L169" s="72"/>
      <c r="M169" s="72"/>
      <c r="N169" s="72"/>
      <c r="O169" s="72"/>
      <c r="P169" s="72"/>
      <c r="Q169" s="72"/>
    </row>
    <row r="170">
      <c r="J170" s="72"/>
      <c r="K170" s="72"/>
      <c r="L170" s="72"/>
      <c r="M170" s="72"/>
      <c r="N170" s="72"/>
      <c r="O170" s="72"/>
      <c r="P170" s="72"/>
      <c r="Q170" s="72"/>
    </row>
    <row r="171">
      <c r="J171" s="72"/>
      <c r="K171" s="72"/>
      <c r="L171" s="72"/>
      <c r="M171" s="72"/>
      <c r="N171" s="72"/>
      <c r="O171" s="72"/>
      <c r="P171" s="72"/>
      <c r="Q171" s="72"/>
    </row>
    <row r="172">
      <c r="J172" s="72"/>
      <c r="K172" s="72"/>
      <c r="L172" s="72"/>
      <c r="M172" s="72"/>
      <c r="N172" s="72"/>
      <c r="O172" s="72"/>
      <c r="P172" s="72"/>
      <c r="Q172" s="72"/>
    </row>
    <row r="173">
      <c r="J173" s="72"/>
      <c r="K173" s="72"/>
      <c r="L173" s="72"/>
      <c r="M173" s="72"/>
      <c r="N173" s="72"/>
      <c r="O173" s="72"/>
      <c r="P173" s="72"/>
      <c r="Q173" s="72"/>
    </row>
    <row r="174">
      <c r="J174" s="72"/>
      <c r="K174" s="72"/>
      <c r="L174" s="72"/>
      <c r="M174" s="72"/>
      <c r="N174" s="72"/>
      <c r="O174" s="72"/>
      <c r="P174" s="72"/>
      <c r="Q174" s="72"/>
    </row>
    <row r="175">
      <c r="J175" s="72"/>
      <c r="K175" s="72"/>
      <c r="L175" s="72"/>
      <c r="M175" s="72"/>
      <c r="N175" s="72"/>
      <c r="O175" s="72"/>
      <c r="P175" s="72"/>
      <c r="Q175" s="72"/>
    </row>
    <row r="176">
      <c r="J176" s="72"/>
      <c r="K176" s="72"/>
      <c r="L176" s="72"/>
      <c r="M176" s="72"/>
      <c r="N176" s="72"/>
      <c r="O176" s="72"/>
      <c r="P176" s="72"/>
      <c r="Q176" s="72"/>
    </row>
    <row r="177">
      <c r="J177" s="72"/>
      <c r="K177" s="72"/>
      <c r="L177" s="72"/>
      <c r="M177" s="72"/>
      <c r="N177" s="72"/>
      <c r="O177" s="72"/>
      <c r="P177" s="72"/>
      <c r="Q177" s="72"/>
    </row>
    <row r="178">
      <c r="J178" s="72"/>
      <c r="K178" s="72"/>
      <c r="L178" s="72"/>
      <c r="M178" s="72"/>
      <c r="N178" s="72"/>
      <c r="O178" s="72"/>
      <c r="P178" s="72"/>
      <c r="Q178" s="72"/>
    </row>
    <row r="179">
      <c r="J179" s="72"/>
      <c r="K179" s="72"/>
      <c r="L179" s="72"/>
      <c r="M179" s="72"/>
      <c r="N179" s="72"/>
      <c r="O179" s="72"/>
      <c r="P179" s="72"/>
      <c r="Q179" s="72"/>
    </row>
    <row r="180">
      <c r="J180" s="72"/>
      <c r="K180" s="72"/>
      <c r="L180" s="72"/>
      <c r="M180" s="72"/>
      <c r="N180" s="72"/>
      <c r="O180" s="72"/>
      <c r="P180" s="72"/>
      <c r="Q180" s="72"/>
    </row>
    <row r="181">
      <c r="J181" s="72"/>
      <c r="K181" s="72"/>
      <c r="L181" s="72"/>
      <c r="M181" s="72"/>
      <c r="N181" s="72"/>
      <c r="O181" s="72"/>
      <c r="P181" s="72"/>
      <c r="Q181" s="72"/>
    </row>
    <row r="182">
      <c r="J182" s="72"/>
      <c r="K182" s="72"/>
      <c r="L182" s="72"/>
      <c r="M182" s="72"/>
      <c r="N182" s="72"/>
      <c r="O182" s="72"/>
      <c r="P182" s="72"/>
      <c r="Q182" s="72"/>
    </row>
    <row r="183">
      <c r="J183" s="72"/>
      <c r="K183" s="72"/>
      <c r="L183" s="72"/>
      <c r="M183" s="72"/>
      <c r="N183" s="72"/>
      <c r="O183" s="72"/>
      <c r="P183" s="72"/>
      <c r="Q183" s="72"/>
    </row>
    <row r="184">
      <c r="J184" s="72"/>
      <c r="K184" s="72"/>
      <c r="L184" s="72"/>
      <c r="M184" s="72"/>
      <c r="N184" s="72"/>
      <c r="O184" s="72"/>
      <c r="P184" s="72"/>
      <c r="Q184" s="72"/>
    </row>
    <row r="185">
      <c r="J185" s="72"/>
      <c r="K185" s="72"/>
      <c r="L185" s="72"/>
      <c r="M185" s="72"/>
      <c r="N185" s="72"/>
      <c r="O185" s="72"/>
      <c r="P185" s="72"/>
      <c r="Q185" s="72"/>
    </row>
    <row r="186">
      <c r="J186" s="72"/>
      <c r="K186" s="72"/>
      <c r="L186" s="72"/>
      <c r="M186" s="72"/>
      <c r="N186" s="72"/>
      <c r="O186" s="72"/>
      <c r="P186" s="72"/>
      <c r="Q186" s="72"/>
    </row>
    <row r="187">
      <c r="J187" s="72"/>
      <c r="K187" s="72"/>
      <c r="L187" s="72"/>
      <c r="M187" s="72"/>
      <c r="N187" s="72"/>
      <c r="O187" s="72"/>
      <c r="P187" s="72"/>
      <c r="Q187" s="72"/>
    </row>
    <row r="188">
      <c r="J188" s="72"/>
      <c r="K188" s="72"/>
      <c r="L188" s="72"/>
      <c r="M188" s="72"/>
      <c r="N188" s="72"/>
      <c r="O188" s="72"/>
      <c r="P188" s="72"/>
      <c r="Q188" s="72"/>
    </row>
    <row r="189">
      <c r="J189" s="72"/>
      <c r="K189" s="72"/>
      <c r="L189" s="72"/>
      <c r="M189" s="72"/>
      <c r="N189" s="72"/>
      <c r="O189" s="72"/>
      <c r="P189" s="72"/>
      <c r="Q189" s="72"/>
    </row>
    <row r="190">
      <c r="J190" s="72"/>
      <c r="K190" s="72"/>
      <c r="L190" s="72"/>
      <c r="M190" s="72"/>
      <c r="N190" s="72"/>
      <c r="O190" s="72"/>
      <c r="P190" s="72"/>
      <c r="Q190" s="72"/>
    </row>
    <row r="191">
      <c r="J191" s="72"/>
      <c r="K191" s="72"/>
      <c r="L191" s="72"/>
      <c r="M191" s="72"/>
      <c r="N191" s="72"/>
      <c r="O191" s="72"/>
      <c r="P191" s="72"/>
      <c r="Q191" s="72"/>
    </row>
    <row r="192">
      <c r="J192" s="72"/>
      <c r="K192" s="72"/>
      <c r="L192" s="72"/>
      <c r="M192" s="72"/>
      <c r="N192" s="72"/>
      <c r="O192" s="72"/>
      <c r="P192" s="72"/>
      <c r="Q192" s="72"/>
    </row>
    <row r="193">
      <c r="J193" s="72"/>
      <c r="K193" s="72"/>
      <c r="L193" s="72"/>
      <c r="M193" s="72"/>
      <c r="N193" s="72"/>
      <c r="O193" s="72"/>
      <c r="P193" s="72"/>
      <c r="Q193" s="72"/>
    </row>
    <row r="194">
      <c r="J194" s="72"/>
      <c r="K194" s="72"/>
      <c r="L194" s="72"/>
      <c r="M194" s="72"/>
      <c r="N194" s="72"/>
      <c r="O194" s="72"/>
      <c r="P194" s="72"/>
      <c r="Q194" s="72"/>
    </row>
    <row r="195">
      <c r="J195" s="72"/>
      <c r="K195" s="72"/>
      <c r="L195" s="72"/>
      <c r="M195" s="72"/>
      <c r="N195" s="72"/>
      <c r="O195" s="72"/>
      <c r="P195" s="72"/>
      <c r="Q195" s="72"/>
    </row>
    <row r="196">
      <c r="J196" s="72"/>
      <c r="K196" s="72"/>
      <c r="L196" s="72"/>
      <c r="M196" s="72"/>
      <c r="N196" s="72"/>
      <c r="O196" s="72"/>
      <c r="P196" s="72"/>
      <c r="Q196" s="72"/>
    </row>
    <row r="197">
      <c r="J197" s="72"/>
      <c r="K197" s="72"/>
      <c r="L197" s="72"/>
      <c r="M197" s="72"/>
      <c r="N197" s="72"/>
      <c r="O197" s="72"/>
      <c r="P197" s="72"/>
      <c r="Q197" s="72"/>
    </row>
    <row r="198">
      <c r="J198" s="72"/>
      <c r="K198" s="72"/>
      <c r="L198" s="72"/>
      <c r="M198" s="72"/>
      <c r="N198" s="72"/>
      <c r="O198" s="72"/>
      <c r="P198" s="72"/>
      <c r="Q198" s="72"/>
    </row>
    <row r="199">
      <c r="J199" s="72"/>
      <c r="K199" s="72"/>
      <c r="L199" s="72"/>
      <c r="M199" s="72"/>
      <c r="N199" s="72"/>
      <c r="O199" s="72"/>
      <c r="P199" s="72"/>
      <c r="Q199" s="72"/>
    </row>
    <row r="200">
      <c r="J200" s="72"/>
      <c r="K200" s="72"/>
      <c r="L200" s="72"/>
      <c r="M200" s="72"/>
      <c r="N200" s="72"/>
      <c r="O200" s="72"/>
      <c r="P200" s="72"/>
      <c r="Q200" s="72"/>
    </row>
    <row r="201">
      <c r="J201" s="72"/>
      <c r="K201" s="72"/>
      <c r="L201" s="72"/>
      <c r="M201" s="72"/>
      <c r="N201" s="72"/>
      <c r="O201" s="72"/>
      <c r="P201" s="72"/>
      <c r="Q201" s="72"/>
    </row>
    <row r="202">
      <c r="J202" s="72"/>
      <c r="K202" s="72"/>
      <c r="L202" s="72"/>
      <c r="M202" s="72"/>
      <c r="N202" s="72"/>
      <c r="O202" s="72"/>
      <c r="P202" s="72"/>
      <c r="Q202" s="72"/>
    </row>
    <row r="203">
      <c r="J203" s="72"/>
      <c r="K203" s="72"/>
      <c r="L203" s="72"/>
      <c r="M203" s="72"/>
      <c r="N203" s="72"/>
      <c r="O203" s="72"/>
      <c r="P203" s="72"/>
      <c r="Q203" s="72"/>
    </row>
    <row r="204">
      <c r="J204" s="72"/>
      <c r="K204" s="72"/>
      <c r="L204" s="72"/>
      <c r="M204" s="72"/>
      <c r="N204" s="72"/>
      <c r="O204" s="72"/>
      <c r="P204" s="72"/>
      <c r="Q204" s="72"/>
    </row>
    <row r="205">
      <c r="J205" s="72"/>
      <c r="K205" s="72"/>
      <c r="L205" s="72"/>
      <c r="M205" s="72"/>
      <c r="N205" s="72"/>
      <c r="O205" s="72"/>
      <c r="P205" s="72"/>
      <c r="Q205" s="72"/>
    </row>
    <row r="206">
      <c r="J206" s="72"/>
      <c r="K206" s="72"/>
      <c r="L206" s="72"/>
      <c r="M206" s="72"/>
      <c r="N206" s="72"/>
      <c r="O206" s="72"/>
      <c r="P206" s="72"/>
      <c r="Q206" s="72"/>
    </row>
    <row r="207">
      <c r="J207" s="72"/>
      <c r="K207" s="72"/>
      <c r="L207" s="72"/>
      <c r="M207" s="72"/>
      <c r="N207" s="72"/>
      <c r="O207" s="72"/>
      <c r="P207" s="72"/>
      <c r="Q207" s="72"/>
    </row>
    <row r="208">
      <c r="J208" s="72"/>
      <c r="K208" s="72"/>
      <c r="L208" s="72"/>
      <c r="M208" s="72"/>
      <c r="N208" s="72"/>
      <c r="O208" s="72"/>
      <c r="P208" s="72"/>
      <c r="Q208" s="72"/>
    </row>
    <row r="209">
      <c r="J209" s="72"/>
      <c r="K209" s="72"/>
      <c r="L209" s="72"/>
      <c r="M209" s="72"/>
      <c r="N209" s="72"/>
      <c r="O209" s="72"/>
      <c r="P209" s="72"/>
      <c r="Q209" s="72"/>
    </row>
    <row r="210">
      <c r="J210" s="72"/>
      <c r="K210" s="72"/>
      <c r="L210" s="72"/>
      <c r="M210" s="72"/>
      <c r="N210" s="72"/>
      <c r="O210" s="72"/>
      <c r="P210" s="72"/>
      <c r="Q210" s="72"/>
    </row>
    <row r="211">
      <c r="J211" s="72"/>
      <c r="K211" s="72"/>
      <c r="L211" s="72"/>
      <c r="M211" s="72"/>
      <c r="N211" s="72"/>
      <c r="O211" s="72"/>
      <c r="P211" s="72"/>
      <c r="Q211" s="72"/>
    </row>
    <row r="212">
      <c r="J212" s="72"/>
      <c r="K212" s="72"/>
      <c r="L212" s="72"/>
      <c r="M212" s="72"/>
      <c r="N212" s="72"/>
      <c r="O212" s="72"/>
      <c r="P212" s="72"/>
      <c r="Q212" s="72"/>
    </row>
    <row r="213">
      <c r="J213" s="72"/>
      <c r="K213" s="72"/>
      <c r="L213" s="72"/>
      <c r="M213" s="72"/>
      <c r="N213" s="72"/>
      <c r="O213" s="72"/>
      <c r="P213" s="72"/>
      <c r="Q213" s="72"/>
    </row>
    <row r="214">
      <c r="J214" s="72"/>
      <c r="K214" s="72"/>
      <c r="L214" s="72"/>
      <c r="M214" s="72"/>
      <c r="N214" s="72"/>
      <c r="O214" s="72"/>
      <c r="P214" s="72"/>
      <c r="Q214" s="72"/>
    </row>
    <row r="215">
      <c r="J215" s="72"/>
      <c r="K215" s="72"/>
      <c r="L215" s="72"/>
      <c r="M215" s="72"/>
      <c r="N215" s="72"/>
      <c r="O215" s="72"/>
      <c r="P215" s="72"/>
      <c r="Q215" s="72"/>
    </row>
    <row r="216">
      <c r="J216" s="72"/>
      <c r="K216" s="72"/>
      <c r="L216" s="72"/>
      <c r="M216" s="72"/>
      <c r="N216" s="72"/>
      <c r="O216" s="72"/>
      <c r="P216" s="72"/>
      <c r="Q216" s="72"/>
    </row>
    <row r="217">
      <c r="J217" s="72"/>
      <c r="K217" s="72"/>
      <c r="L217" s="72"/>
      <c r="M217" s="72"/>
      <c r="N217" s="72"/>
      <c r="O217" s="72"/>
      <c r="P217" s="72"/>
      <c r="Q217" s="72"/>
    </row>
    <row r="218">
      <c r="J218" s="72"/>
      <c r="K218" s="72"/>
      <c r="L218" s="72"/>
      <c r="M218" s="72"/>
      <c r="N218" s="72"/>
      <c r="O218" s="72"/>
      <c r="P218" s="72"/>
      <c r="Q218" s="72"/>
    </row>
    <row r="219">
      <c r="J219" s="72"/>
      <c r="K219" s="72"/>
      <c r="L219" s="72"/>
      <c r="M219" s="72"/>
      <c r="N219" s="72"/>
      <c r="O219" s="72"/>
      <c r="P219" s="72"/>
      <c r="Q219" s="72"/>
    </row>
    <row r="220">
      <c r="J220" s="72"/>
      <c r="K220" s="72"/>
      <c r="L220" s="72"/>
      <c r="M220" s="72"/>
      <c r="N220" s="72"/>
      <c r="O220" s="72"/>
      <c r="P220" s="72"/>
      <c r="Q220" s="72"/>
    </row>
    <row r="221">
      <c r="J221" s="72"/>
      <c r="K221" s="72"/>
      <c r="L221" s="72"/>
      <c r="M221" s="72"/>
      <c r="N221" s="72"/>
      <c r="O221" s="72"/>
      <c r="P221" s="72"/>
      <c r="Q221" s="72"/>
    </row>
    <row r="222">
      <c r="J222" s="72"/>
      <c r="K222" s="72"/>
      <c r="L222" s="72"/>
      <c r="M222" s="72"/>
      <c r="N222" s="72"/>
      <c r="O222" s="72"/>
      <c r="P222" s="72"/>
      <c r="Q222" s="72"/>
    </row>
    <row r="223">
      <c r="J223" s="72"/>
      <c r="K223" s="72"/>
      <c r="L223" s="72"/>
      <c r="M223" s="72"/>
      <c r="N223" s="72"/>
      <c r="O223" s="72"/>
      <c r="P223" s="72"/>
      <c r="Q223" s="72"/>
    </row>
    <row r="224">
      <c r="J224" s="72"/>
      <c r="K224" s="72"/>
      <c r="L224" s="72"/>
      <c r="M224" s="72"/>
      <c r="N224" s="72"/>
      <c r="O224" s="72"/>
      <c r="P224" s="72"/>
      <c r="Q224" s="72"/>
    </row>
    <row r="225">
      <c r="J225" s="72"/>
      <c r="K225" s="72"/>
      <c r="L225" s="72"/>
      <c r="M225" s="72"/>
      <c r="N225" s="72"/>
      <c r="O225" s="72"/>
      <c r="P225" s="72"/>
      <c r="Q225" s="72"/>
    </row>
    <row r="226">
      <c r="J226" s="72"/>
      <c r="K226" s="72"/>
      <c r="L226" s="72"/>
      <c r="M226" s="72"/>
      <c r="N226" s="72"/>
      <c r="O226" s="72"/>
      <c r="P226" s="72"/>
      <c r="Q226" s="72"/>
    </row>
    <row r="227">
      <c r="J227" s="72"/>
      <c r="K227" s="72"/>
      <c r="L227" s="72"/>
      <c r="M227" s="72"/>
      <c r="N227" s="72"/>
      <c r="O227" s="72"/>
      <c r="P227" s="72"/>
      <c r="Q227" s="72"/>
    </row>
    <row r="228">
      <c r="J228" s="72"/>
      <c r="K228" s="72"/>
      <c r="L228" s="72"/>
      <c r="M228" s="72"/>
      <c r="N228" s="72"/>
      <c r="O228" s="72"/>
      <c r="P228" s="72"/>
      <c r="Q228" s="72"/>
    </row>
    <row r="229">
      <c r="J229" s="72"/>
      <c r="K229" s="72"/>
      <c r="L229" s="72"/>
      <c r="M229" s="72"/>
      <c r="N229" s="72"/>
      <c r="O229" s="72"/>
      <c r="P229" s="72"/>
      <c r="Q229" s="72"/>
    </row>
    <row r="230">
      <c r="J230" s="72"/>
      <c r="K230" s="72"/>
      <c r="L230" s="72"/>
      <c r="M230" s="72"/>
      <c r="N230" s="72"/>
      <c r="O230" s="72"/>
      <c r="P230" s="72"/>
      <c r="Q230" s="72"/>
    </row>
    <row r="231">
      <c r="J231" s="72"/>
      <c r="K231" s="72"/>
      <c r="L231" s="72"/>
      <c r="M231" s="72"/>
      <c r="N231" s="72"/>
      <c r="O231" s="72"/>
      <c r="P231" s="72"/>
      <c r="Q231" s="72"/>
    </row>
    <row r="232">
      <c r="J232" s="72"/>
      <c r="K232" s="72"/>
      <c r="L232" s="72"/>
      <c r="M232" s="72"/>
      <c r="N232" s="72"/>
      <c r="O232" s="72"/>
      <c r="P232" s="72"/>
      <c r="Q232" s="72"/>
    </row>
    <row r="233">
      <c r="J233" s="72"/>
      <c r="K233" s="72"/>
      <c r="L233" s="72"/>
      <c r="M233" s="72"/>
      <c r="N233" s="72"/>
      <c r="O233" s="72"/>
      <c r="P233" s="72"/>
      <c r="Q233" s="72"/>
    </row>
    <row r="234">
      <c r="J234" s="72"/>
      <c r="K234" s="72"/>
      <c r="L234" s="72"/>
      <c r="M234" s="72"/>
      <c r="N234" s="72"/>
      <c r="O234" s="72"/>
      <c r="P234" s="72"/>
      <c r="Q234" s="72"/>
    </row>
    <row r="235">
      <c r="J235" s="72"/>
      <c r="K235" s="72"/>
      <c r="L235" s="72"/>
      <c r="M235" s="72"/>
      <c r="N235" s="72"/>
      <c r="O235" s="72"/>
      <c r="P235" s="72"/>
      <c r="Q235" s="72"/>
    </row>
    <row r="236">
      <c r="J236" s="72"/>
      <c r="K236" s="72"/>
      <c r="L236" s="72"/>
      <c r="M236" s="72"/>
      <c r="N236" s="72"/>
      <c r="O236" s="72"/>
      <c r="P236" s="72"/>
      <c r="Q236" s="72"/>
    </row>
    <row r="237">
      <c r="J237" s="72"/>
      <c r="K237" s="72"/>
      <c r="L237" s="72"/>
      <c r="M237" s="72"/>
      <c r="N237" s="72"/>
      <c r="O237" s="72"/>
      <c r="P237" s="72"/>
      <c r="Q237" s="72"/>
    </row>
    <row r="238">
      <c r="J238" s="72"/>
      <c r="K238" s="72"/>
      <c r="L238" s="72"/>
      <c r="M238" s="72"/>
      <c r="N238" s="72"/>
      <c r="O238" s="72"/>
      <c r="P238" s="72"/>
      <c r="Q238" s="72"/>
    </row>
    <row r="239">
      <c r="J239" s="72"/>
      <c r="K239" s="72"/>
      <c r="L239" s="72"/>
      <c r="M239" s="72"/>
      <c r="N239" s="72"/>
      <c r="O239" s="72"/>
      <c r="P239" s="72"/>
      <c r="Q239" s="72"/>
    </row>
    <row r="240">
      <c r="J240" s="72"/>
      <c r="K240" s="72"/>
      <c r="L240" s="72"/>
      <c r="M240" s="72"/>
      <c r="N240" s="72"/>
      <c r="O240" s="72"/>
      <c r="P240" s="72"/>
      <c r="Q240" s="72"/>
    </row>
    <row r="241">
      <c r="J241" s="72"/>
      <c r="K241" s="72"/>
      <c r="L241" s="72"/>
      <c r="M241" s="72"/>
      <c r="N241" s="72"/>
      <c r="O241" s="72"/>
      <c r="P241" s="72"/>
      <c r="Q241" s="72"/>
    </row>
    <row r="242">
      <c r="J242" s="72"/>
      <c r="K242" s="72"/>
      <c r="L242" s="72"/>
      <c r="M242" s="72"/>
      <c r="N242" s="72"/>
      <c r="O242" s="72"/>
      <c r="P242" s="72"/>
      <c r="Q242" s="72"/>
    </row>
    <row r="243">
      <c r="J243" s="72"/>
      <c r="K243" s="72"/>
      <c r="L243" s="72"/>
      <c r="M243" s="72"/>
      <c r="N243" s="72"/>
      <c r="O243" s="72"/>
      <c r="P243" s="72"/>
      <c r="Q243" s="72"/>
    </row>
    <row r="244">
      <c r="J244" s="72"/>
      <c r="K244" s="72"/>
      <c r="L244" s="72"/>
      <c r="M244" s="72"/>
      <c r="N244" s="72"/>
      <c r="O244" s="72"/>
      <c r="P244" s="72"/>
      <c r="Q244" s="72"/>
    </row>
    <row r="245">
      <c r="J245" s="72"/>
      <c r="K245" s="72"/>
      <c r="L245" s="72"/>
      <c r="M245" s="72"/>
      <c r="N245" s="72"/>
      <c r="O245" s="72"/>
      <c r="P245" s="72"/>
      <c r="Q245" s="72"/>
    </row>
    <row r="246">
      <c r="J246" s="72"/>
      <c r="K246" s="72"/>
      <c r="L246" s="72"/>
      <c r="M246" s="72"/>
      <c r="N246" s="72"/>
      <c r="O246" s="72"/>
      <c r="P246" s="72"/>
      <c r="Q246" s="72"/>
    </row>
    <row r="247">
      <c r="J247" s="72"/>
      <c r="K247" s="72"/>
      <c r="L247" s="72"/>
      <c r="M247" s="72"/>
      <c r="N247" s="72"/>
      <c r="O247" s="72"/>
      <c r="P247" s="72"/>
      <c r="Q247" s="72"/>
    </row>
    <row r="248">
      <c r="J248" s="72"/>
      <c r="K248" s="72"/>
      <c r="L248" s="72"/>
      <c r="M248" s="72"/>
      <c r="N248" s="72"/>
      <c r="O248" s="72"/>
      <c r="P248" s="72"/>
      <c r="Q248" s="72"/>
    </row>
    <row r="249">
      <c r="J249" s="72"/>
      <c r="K249" s="72"/>
      <c r="L249" s="72"/>
      <c r="M249" s="72"/>
      <c r="N249" s="72"/>
      <c r="O249" s="72"/>
      <c r="P249" s="72"/>
      <c r="Q249" s="72"/>
    </row>
    <row r="250">
      <c r="J250" s="72"/>
      <c r="K250" s="72"/>
      <c r="L250" s="72"/>
      <c r="M250" s="72"/>
      <c r="N250" s="72"/>
      <c r="O250" s="72"/>
      <c r="P250" s="72"/>
      <c r="Q250" s="72"/>
    </row>
    <row r="251">
      <c r="J251" s="72"/>
      <c r="K251" s="72"/>
      <c r="L251" s="72"/>
      <c r="M251" s="72"/>
      <c r="N251" s="72"/>
      <c r="O251" s="72"/>
      <c r="P251" s="72"/>
      <c r="Q251" s="72"/>
    </row>
    <row r="252">
      <c r="J252" s="72"/>
      <c r="K252" s="72"/>
      <c r="L252" s="72"/>
      <c r="M252" s="72"/>
      <c r="N252" s="72"/>
      <c r="O252" s="72"/>
      <c r="P252" s="72"/>
      <c r="Q252" s="72"/>
    </row>
    <row r="253">
      <c r="J253" s="72"/>
      <c r="K253" s="72"/>
      <c r="L253" s="72"/>
      <c r="M253" s="72"/>
      <c r="N253" s="72"/>
      <c r="O253" s="72"/>
      <c r="P253" s="72"/>
      <c r="Q253" s="72"/>
    </row>
    <row r="254">
      <c r="J254" s="72"/>
      <c r="K254" s="72"/>
      <c r="L254" s="72"/>
      <c r="M254" s="72"/>
      <c r="N254" s="72"/>
      <c r="O254" s="72"/>
      <c r="P254" s="72"/>
      <c r="Q254" s="72"/>
    </row>
    <row r="255">
      <c r="J255" s="72"/>
      <c r="K255" s="72"/>
      <c r="L255" s="72"/>
      <c r="M255" s="72"/>
      <c r="N255" s="72"/>
      <c r="O255" s="72"/>
      <c r="P255" s="72"/>
      <c r="Q255" s="72"/>
    </row>
    <row r="256">
      <c r="J256" s="72"/>
      <c r="K256" s="72"/>
      <c r="L256" s="72"/>
      <c r="M256" s="72"/>
      <c r="N256" s="72"/>
      <c r="O256" s="72"/>
      <c r="P256" s="72"/>
      <c r="Q256" s="72"/>
    </row>
    <row r="257">
      <c r="J257" s="72"/>
      <c r="K257" s="72"/>
      <c r="L257" s="72"/>
      <c r="M257" s="72"/>
      <c r="N257" s="72"/>
      <c r="O257" s="72"/>
      <c r="P257" s="72"/>
      <c r="Q257" s="72"/>
    </row>
    <row r="258">
      <c r="J258" s="72"/>
      <c r="K258" s="72"/>
      <c r="L258" s="72"/>
      <c r="M258" s="72"/>
      <c r="N258" s="72"/>
      <c r="O258" s="72"/>
      <c r="P258" s="72"/>
      <c r="Q258" s="72"/>
    </row>
    <row r="259">
      <c r="J259" s="72"/>
      <c r="K259" s="72"/>
      <c r="L259" s="72"/>
      <c r="M259" s="72"/>
      <c r="N259" s="72"/>
      <c r="O259" s="72"/>
      <c r="P259" s="72"/>
      <c r="Q259" s="72"/>
    </row>
    <row r="260">
      <c r="J260" s="72"/>
      <c r="K260" s="72"/>
      <c r="L260" s="72"/>
      <c r="M260" s="72"/>
      <c r="N260" s="72"/>
      <c r="O260" s="72"/>
      <c r="P260" s="72"/>
      <c r="Q260" s="72"/>
    </row>
    <row r="261">
      <c r="J261" s="72"/>
      <c r="K261" s="72"/>
      <c r="L261" s="72"/>
      <c r="M261" s="72"/>
      <c r="N261" s="72"/>
      <c r="O261" s="72"/>
      <c r="P261" s="72"/>
      <c r="Q261" s="72"/>
    </row>
    <row r="262">
      <c r="J262" s="72"/>
      <c r="K262" s="72"/>
      <c r="L262" s="72"/>
      <c r="M262" s="72"/>
      <c r="N262" s="72"/>
      <c r="O262" s="72"/>
      <c r="P262" s="72"/>
      <c r="Q262" s="72"/>
    </row>
    <row r="263">
      <c r="J263" s="72"/>
      <c r="K263" s="72"/>
      <c r="L263" s="72"/>
      <c r="M263" s="72"/>
      <c r="N263" s="72"/>
      <c r="O263" s="72"/>
      <c r="P263" s="72"/>
      <c r="Q263" s="72"/>
    </row>
    <row r="264">
      <c r="J264" s="72"/>
      <c r="K264" s="72"/>
      <c r="L264" s="72"/>
      <c r="M264" s="72"/>
      <c r="N264" s="72"/>
      <c r="O264" s="72"/>
      <c r="P264" s="72"/>
      <c r="Q264" s="72"/>
    </row>
    <row r="265">
      <c r="J265" s="72"/>
      <c r="K265" s="72"/>
      <c r="L265" s="72"/>
      <c r="M265" s="72"/>
      <c r="N265" s="72"/>
      <c r="O265" s="72"/>
      <c r="P265" s="72"/>
      <c r="Q265" s="72"/>
    </row>
    <row r="266">
      <c r="J266" s="72"/>
      <c r="K266" s="72"/>
      <c r="L266" s="72"/>
      <c r="M266" s="72"/>
      <c r="N266" s="72"/>
      <c r="O266" s="72"/>
      <c r="P266" s="72"/>
      <c r="Q266" s="72"/>
    </row>
    <row r="267">
      <c r="J267" s="72"/>
      <c r="K267" s="72"/>
      <c r="L267" s="72"/>
      <c r="M267" s="72"/>
      <c r="N267" s="72"/>
      <c r="O267" s="72"/>
      <c r="P267" s="72"/>
      <c r="Q267" s="72"/>
    </row>
    <row r="268">
      <c r="J268" s="72"/>
      <c r="K268" s="72"/>
      <c r="L268" s="72"/>
      <c r="M268" s="72"/>
      <c r="N268" s="72"/>
      <c r="O268" s="72"/>
      <c r="P268" s="72"/>
      <c r="Q268" s="72"/>
    </row>
    <row r="269">
      <c r="J269" s="72"/>
      <c r="K269" s="72"/>
      <c r="L269" s="72"/>
      <c r="M269" s="72"/>
      <c r="N269" s="72"/>
      <c r="O269" s="72"/>
      <c r="P269" s="72"/>
      <c r="Q269" s="72"/>
    </row>
    <row r="270">
      <c r="J270" s="72"/>
      <c r="K270" s="72"/>
      <c r="L270" s="72"/>
      <c r="M270" s="72"/>
      <c r="N270" s="72"/>
      <c r="O270" s="72"/>
      <c r="P270" s="72"/>
      <c r="Q270" s="72"/>
    </row>
    <row r="271">
      <c r="J271" s="72"/>
      <c r="K271" s="72"/>
      <c r="L271" s="72"/>
      <c r="M271" s="72"/>
      <c r="N271" s="72"/>
      <c r="O271" s="72"/>
      <c r="P271" s="72"/>
      <c r="Q271" s="72"/>
    </row>
    <row r="272">
      <c r="J272" s="72"/>
      <c r="K272" s="72"/>
      <c r="L272" s="72"/>
      <c r="M272" s="72"/>
      <c r="N272" s="72"/>
      <c r="O272" s="72"/>
      <c r="P272" s="72"/>
      <c r="Q272" s="72"/>
    </row>
    <row r="273">
      <c r="J273" s="72"/>
      <c r="K273" s="72"/>
      <c r="L273" s="72"/>
      <c r="M273" s="72"/>
      <c r="N273" s="72"/>
      <c r="O273" s="72"/>
      <c r="P273" s="72"/>
      <c r="Q273" s="72"/>
    </row>
    <row r="274">
      <c r="J274" s="72"/>
      <c r="K274" s="72"/>
      <c r="L274" s="72"/>
      <c r="M274" s="72"/>
      <c r="N274" s="72"/>
      <c r="O274" s="72"/>
      <c r="P274" s="72"/>
      <c r="Q274" s="72"/>
    </row>
    <row r="275">
      <c r="J275" s="72"/>
      <c r="K275" s="72"/>
      <c r="L275" s="72"/>
      <c r="M275" s="72"/>
      <c r="N275" s="72"/>
      <c r="O275" s="72"/>
      <c r="P275" s="72"/>
      <c r="Q275" s="72"/>
    </row>
    <row r="276">
      <c r="J276" s="72"/>
      <c r="K276" s="72"/>
      <c r="L276" s="72"/>
      <c r="M276" s="72"/>
      <c r="N276" s="72"/>
      <c r="O276" s="72"/>
      <c r="P276" s="72"/>
      <c r="Q276" s="72"/>
    </row>
    <row r="277">
      <c r="J277" s="72"/>
      <c r="K277" s="72"/>
      <c r="L277" s="72"/>
      <c r="M277" s="72"/>
      <c r="N277" s="72"/>
      <c r="O277" s="72"/>
      <c r="P277" s="72"/>
      <c r="Q277" s="72"/>
    </row>
    <row r="278">
      <c r="J278" s="72"/>
      <c r="K278" s="72"/>
      <c r="L278" s="72"/>
      <c r="M278" s="72"/>
      <c r="N278" s="72"/>
      <c r="O278" s="72"/>
      <c r="P278" s="72"/>
      <c r="Q278" s="72"/>
    </row>
    <row r="279">
      <c r="J279" s="72"/>
      <c r="K279" s="72"/>
      <c r="L279" s="72"/>
      <c r="M279" s="72"/>
      <c r="N279" s="72"/>
      <c r="O279" s="72"/>
      <c r="P279" s="72"/>
      <c r="Q279" s="72"/>
    </row>
    <row r="280">
      <c r="J280" s="72"/>
      <c r="K280" s="72"/>
      <c r="L280" s="72"/>
      <c r="M280" s="72"/>
      <c r="N280" s="72"/>
      <c r="O280" s="72"/>
      <c r="P280" s="72"/>
      <c r="Q280" s="72"/>
    </row>
    <row r="281">
      <c r="J281" s="72"/>
      <c r="K281" s="72"/>
      <c r="L281" s="72"/>
      <c r="M281" s="72"/>
      <c r="N281" s="72"/>
      <c r="O281" s="72"/>
      <c r="P281" s="72"/>
      <c r="Q281" s="72"/>
    </row>
    <row r="282">
      <c r="J282" s="72"/>
      <c r="K282" s="72"/>
      <c r="L282" s="72"/>
      <c r="M282" s="72"/>
      <c r="N282" s="72"/>
      <c r="O282" s="72"/>
      <c r="P282" s="72"/>
      <c r="Q282" s="72"/>
    </row>
    <row r="283">
      <c r="J283" s="72"/>
      <c r="K283" s="72"/>
      <c r="L283" s="72"/>
      <c r="M283" s="72"/>
      <c r="N283" s="72"/>
      <c r="O283" s="72"/>
      <c r="P283" s="72"/>
      <c r="Q283" s="72"/>
    </row>
    <row r="284">
      <c r="J284" s="72"/>
      <c r="K284" s="72"/>
      <c r="L284" s="72"/>
      <c r="M284" s="72"/>
      <c r="N284" s="72"/>
      <c r="O284" s="72"/>
      <c r="P284" s="72"/>
      <c r="Q284" s="72"/>
    </row>
    <row r="285">
      <c r="J285" s="72"/>
      <c r="K285" s="72"/>
      <c r="L285" s="72"/>
      <c r="M285" s="72"/>
      <c r="N285" s="72"/>
      <c r="O285" s="72"/>
      <c r="P285" s="72"/>
      <c r="Q285" s="72"/>
    </row>
    <row r="286">
      <c r="J286" s="72"/>
      <c r="K286" s="72"/>
      <c r="L286" s="72"/>
      <c r="M286" s="72"/>
      <c r="N286" s="72"/>
      <c r="O286" s="72"/>
      <c r="P286" s="72"/>
      <c r="Q286" s="72"/>
    </row>
    <row r="287">
      <c r="J287" s="72"/>
      <c r="K287" s="72"/>
      <c r="L287" s="72"/>
      <c r="M287" s="72"/>
      <c r="N287" s="72"/>
      <c r="O287" s="72"/>
      <c r="P287" s="72"/>
      <c r="Q287" s="72"/>
    </row>
    <row r="288">
      <c r="J288" s="72"/>
      <c r="K288" s="72"/>
      <c r="L288" s="72"/>
      <c r="M288" s="72"/>
      <c r="N288" s="72"/>
      <c r="O288" s="72"/>
      <c r="P288" s="72"/>
      <c r="Q288" s="72"/>
    </row>
    <row r="289">
      <c r="J289" s="72"/>
      <c r="K289" s="72"/>
      <c r="L289" s="72"/>
      <c r="M289" s="72"/>
      <c r="N289" s="72"/>
      <c r="O289" s="72"/>
      <c r="P289" s="72"/>
      <c r="Q289" s="72"/>
    </row>
    <row r="290">
      <c r="J290" s="72"/>
      <c r="K290" s="72"/>
      <c r="L290" s="72"/>
      <c r="M290" s="72"/>
      <c r="N290" s="72"/>
      <c r="O290" s="72"/>
      <c r="P290" s="72"/>
      <c r="Q290" s="72"/>
    </row>
    <row r="291">
      <c r="J291" s="72"/>
      <c r="K291" s="72"/>
      <c r="L291" s="72"/>
      <c r="M291" s="72"/>
      <c r="N291" s="72"/>
      <c r="O291" s="72"/>
      <c r="P291" s="72"/>
      <c r="Q291" s="72"/>
    </row>
    <row r="292">
      <c r="J292" s="72"/>
      <c r="K292" s="72"/>
      <c r="L292" s="72"/>
      <c r="M292" s="72"/>
      <c r="N292" s="72"/>
      <c r="O292" s="72"/>
      <c r="P292" s="72"/>
      <c r="Q292" s="72"/>
    </row>
    <row r="293">
      <c r="J293" s="72"/>
      <c r="K293" s="72"/>
      <c r="L293" s="72"/>
      <c r="M293" s="72"/>
      <c r="N293" s="72"/>
      <c r="O293" s="72"/>
      <c r="P293" s="72"/>
      <c r="Q293" s="72"/>
    </row>
    <row r="294">
      <c r="J294" s="72"/>
      <c r="K294" s="72"/>
      <c r="L294" s="72"/>
      <c r="M294" s="72"/>
      <c r="N294" s="72"/>
      <c r="O294" s="72"/>
      <c r="P294" s="72"/>
      <c r="Q294" s="72"/>
    </row>
    <row r="295">
      <c r="J295" s="72"/>
      <c r="K295" s="72"/>
      <c r="L295" s="72"/>
      <c r="M295" s="72"/>
      <c r="N295" s="72"/>
      <c r="O295" s="72"/>
      <c r="P295" s="72"/>
      <c r="Q295" s="72"/>
    </row>
    <row r="296">
      <c r="J296" s="72"/>
      <c r="K296" s="72"/>
      <c r="L296" s="72"/>
      <c r="M296" s="72"/>
      <c r="N296" s="72"/>
      <c r="O296" s="72"/>
      <c r="P296" s="72"/>
      <c r="Q296" s="72"/>
    </row>
    <row r="297">
      <c r="J297" s="72"/>
      <c r="K297" s="72"/>
      <c r="L297" s="72"/>
      <c r="M297" s="72"/>
      <c r="N297" s="72"/>
      <c r="O297" s="72"/>
      <c r="P297" s="72"/>
      <c r="Q297" s="72"/>
    </row>
    <row r="298">
      <c r="J298" s="72"/>
      <c r="K298" s="72"/>
      <c r="L298" s="72"/>
      <c r="M298" s="72"/>
      <c r="N298" s="72"/>
      <c r="O298" s="72"/>
      <c r="P298" s="72"/>
      <c r="Q298" s="72"/>
    </row>
    <row r="299">
      <c r="J299" s="72"/>
      <c r="K299" s="72"/>
      <c r="L299" s="72"/>
      <c r="M299" s="72"/>
      <c r="N299" s="72"/>
      <c r="O299" s="72"/>
      <c r="P299" s="72"/>
      <c r="Q299" s="72"/>
    </row>
    <row r="300">
      <c r="J300" s="72"/>
      <c r="K300" s="72"/>
      <c r="L300" s="72"/>
      <c r="M300" s="72"/>
      <c r="N300" s="72"/>
      <c r="O300" s="72"/>
      <c r="P300" s="72"/>
      <c r="Q300" s="72"/>
    </row>
    <row r="301">
      <c r="J301" s="72"/>
      <c r="K301" s="72"/>
      <c r="L301" s="72"/>
      <c r="M301" s="72"/>
      <c r="N301" s="72"/>
      <c r="O301" s="72"/>
      <c r="P301" s="72"/>
      <c r="Q301" s="72"/>
    </row>
    <row r="302">
      <c r="J302" s="72"/>
      <c r="K302" s="72"/>
      <c r="L302" s="72"/>
      <c r="M302" s="72"/>
      <c r="N302" s="72"/>
      <c r="O302" s="72"/>
      <c r="P302" s="72"/>
      <c r="Q302" s="72"/>
    </row>
    <row r="303">
      <c r="J303" s="72"/>
      <c r="K303" s="72"/>
      <c r="L303" s="72"/>
      <c r="M303" s="72"/>
      <c r="N303" s="72"/>
      <c r="O303" s="72"/>
      <c r="P303" s="72"/>
      <c r="Q303" s="72"/>
    </row>
    <row r="304">
      <c r="J304" s="72"/>
      <c r="K304" s="72"/>
      <c r="L304" s="72"/>
      <c r="M304" s="72"/>
      <c r="N304" s="72"/>
      <c r="O304" s="72"/>
      <c r="P304" s="72"/>
      <c r="Q304" s="72"/>
    </row>
    <row r="305">
      <c r="J305" s="72"/>
      <c r="K305" s="72"/>
      <c r="L305" s="72"/>
      <c r="M305" s="72"/>
      <c r="N305" s="72"/>
      <c r="O305" s="72"/>
      <c r="P305" s="72"/>
      <c r="Q305" s="72"/>
    </row>
    <row r="306">
      <c r="J306" s="72"/>
      <c r="K306" s="72"/>
      <c r="L306" s="72"/>
      <c r="M306" s="72"/>
      <c r="N306" s="72"/>
      <c r="O306" s="72"/>
      <c r="P306" s="72"/>
      <c r="Q306" s="72"/>
    </row>
    <row r="307">
      <c r="J307" s="72"/>
      <c r="K307" s="72"/>
      <c r="L307" s="72"/>
      <c r="M307" s="72"/>
      <c r="N307" s="72"/>
      <c r="O307" s="72"/>
      <c r="P307" s="72"/>
      <c r="Q307" s="72"/>
    </row>
    <row r="308">
      <c r="J308" s="72"/>
      <c r="K308" s="72"/>
      <c r="L308" s="72"/>
      <c r="M308" s="72"/>
      <c r="N308" s="72"/>
      <c r="O308" s="72"/>
      <c r="P308" s="72"/>
      <c r="Q308" s="72"/>
    </row>
    <row r="309">
      <c r="J309" s="72"/>
      <c r="K309" s="72"/>
      <c r="L309" s="72"/>
      <c r="M309" s="72"/>
      <c r="N309" s="72"/>
      <c r="O309" s="72"/>
      <c r="P309" s="72"/>
      <c r="Q309" s="72"/>
    </row>
    <row r="310">
      <c r="J310" s="72"/>
      <c r="K310" s="72"/>
      <c r="L310" s="72"/>
      <c r="M310" s="72"/>
      <c r="N310" s="72"/>
      <c r="O310" s="72"/>
      <c r="P310" s="72"/>
      <c r="Q310" s="72"/>
    </row>
    <row r="311">
      <c r="J311" s="72"/>
      <c r="K311" s="72"/>
      <c r="L311" s="72"/>
      <c r="M311" s="72"/>
      <c r="N311" s="72"/>
      <c r="O311" s="72"/>
      <c r="P311" s="72"/>
      <c r="Q311" s="72"/>
    </row>
    <row r="312">
      <c r="J312" s="72"/>
      <c r="K312" s="72"/>
      <c r="L312" s="72"/>
      <c r="M312" s="72"/>
      <c r="N312" s="72"/>
      <c r="O312" s="72"/>
      <c r="P312" s="72"/>
      <c r="Q312" s="72"/>
    </row>
    <row r="313">
      <c r="J313" s="72"/>
      <c r="K313" s="72"/>
      <c r="L313" s="72"/>
      <c r="M313" s="72"/>
      <c r="N313" s="72"/>
      <c r="O313" s="72"/>
      <c r="P313" s="72"/>
      <c r="Q313" s="72"/>
    </row>
    <row r="314">
      <c r="J314" s="72"/>
      <c r="K314" s="72"/>
      <c r="L314" s="72"/>
      <c r="M314" s="72"/>
      <c r="N314" s="72"/>
      <c r="O314" s="72"/>
      <c r="P314" s="72"/>
      <c r="Q314" s="72"/>
    </row>
    <row r="315">
      <c r="J315" s="72"/>
      <c r="K315" s="72"/>
      <c r="L315" s="72"/>
      <c r="M315" s="72"/>
      <c r="N315" s="72"/>
      <c r="O315" s="72"/>
      <c r="P315" s="72"/>
      <c r="Q315" s="72"/>
    </row>
    <row r="316">
      <c r="J316" s="72"/>
      <c r="K316" s="72"/>
      <c r="L316" s="72"/>
      <c r="M316" s="72"/>
      <c r="N316" s="72"/>
      <c r="O316" s="72"/>
      <c r="P316" s="72"/>
      <c r="Q316" s="72"/>
    </row>
    <row r="317">
      <c r="J317" s="72"/>
      <c r="K317" s="72"/>
      <c r="L317" s="72"/>
      <c r="M317" s="72"/>
      <c r="N317" s="72"/>
      <c r="O317" s="72"/>
      <c r="P317" s="72"/>
      <c r="Q317" s="72"/>
    </row>
    <row r="318">
      <c r="J318" s="72"/>
      <c r="K318" s="72"/>
      <c r="L318" s="72"/>
      <c r="M318" s="72"/>
      <c r="N318" s="72"/>
      <c r="O318" s="72"/>
      <c r="P318" s="72"/>
      <c r="Q318" s="72"/>
    </row>
    <row r="319">
      <c r="J319" s="72"/>
      <c r="K319" s="72"/>
      <c r="L319" s="72"/>
      <c r="M319" s="72"/>
      <c r="N319" s="72"/>
      <c r="O319" s="72"/>
      <c r="P319" s="72"/>
      <c r="Q319" s="72"/>
    </row>
    <row r="320">
      <c r="J320" s="72"/>
      <c r="K320" s="72"/>
      <c r="L320" s="72"/>
      <c r="M320" s="72"/>
      <c r="N320" s="72"/>
      <c r="O320" s="72"/>
      <c r="P320" s="72"/>
      <c r="Q320" s="72"/>
    </row>
    <row r="321">
      <c r="J321" s="72"/>
      <c r="K321" s="72"/>
      <c r="L321" s="72"/>
      <c r="M321" s="72"/>
      <c r="N321" s="72"/>
      <c r="O321" s="72"/>
      <c r="P321" s="72"/>
      <c r="Q321" s="72"/>
    </row>
    <row r="322">
      <c r="J322" s="72"/>
      <c r="K322" s="72"/>
      <c r="L322" s="72"/>
      <c r="M322" s="72"/>
      <c r="N322" s="72"/>
      <c r="O322" s="72"/>
      <c r="P322" s="72"/>
      <c r="Q322" s="72"/>
    </row>
    <row r="323">
      <c r="J323" s="72"/>
      <c r="K323" s="72"/>
      <c r="L323" s="72"/>
      <c r="M323" s="72"/>
      <c r="N323" s="72"/>
      <c r="O323" s="72"/>
      <c r="P323" s="72"/>
      <c r="Q323" s="72"/>
    </row>
    <row r="324">
      <c r="J324" s="72"/>
      <c r="K324" s="72"/>
      <c r="L324" s="72"/>
      <c r="M324" s="72"/>
      <c r="N324" s="72"/>
      <c r="O324" s="72"/>
      <c r="P324" s="72"/>
      <c r="Q324" s="72"/>
    </row>
    <row r="325">
      <c r="J325" s="72"/>
      <c r="K325" s="72"/>
      <c r="L325" s="72"/>
      <c r="M325" s="72"/>
      <c r="N325" s="72"/>
      <c r="O325" s="72"/>
      <c r="P325" s="72"/>
      <c r="Q325" s="72"/>
    </row>
    <row r="326">
      <c r="J326" s="72"/>
      <c r="K326" s="72"/>
      <c r="L326" s="72"/>
      <c r="M326" s="72"/>
      <c r="N326" s="72"/>
      <c r="O326" s="72"/>
      <c r="P326" s="72"/>
      <c r="Q326" s="72"/>
    </row>
    <row r="327">
      <c r="J327" s="72"/>
      <c r="K327" s="72"/>
      <c r="L327" s="72"/>
      <c r="M327" s="72"/>
      <c r="N327" s="72"/>
      <c r="O327" s="72"/>
      <c r="P327" s="72"/>
      <c r="Q327" s="72"/>
    </row>
    <row r="328">
      <c r="J328" s="72"/>
      <c r="K328" s="72"/>
      <c r="L328" s="72"/>
      <c r="M328" s="72"/>
      <c r="N328" s="72"/>
      <c r="O328" s="72"/>
      <c r="P328" s="72"/>
      <c r="Q328" s="72"/>
    </row>
    <row r="329">
      <c r="J329" s="72"/>
      <c r="K329" s="72"/>
      <c r="L329" s="72"/>
      <c r="M329" s="72"/>
      <c r="N329" s="72"/>
      <c r="O329" s="72"/>
      <c r="P329" s="72"/>
      <c r="Q329" s="72"/>
    </row>
    <row r="330">
      <c r="J330" s="72"/>
      <c r="K330" s="72"/>
      <c r="L330" s="72"/>
      <c r="M330" s="72"/>
      <c r="N330" s="72"/>
      <c r="O330" s="72"/>
      <c r="P330" s="72"/>
      <c r="Q330" s="72"/>
    </row>
    <row r="331">
      <c r="J331" s="72"/>
      <c r="K331" s="72"/>
      <c r="L331" s="72"/>
      <c r="M331" s="72"/>
      <c r="N331" s="72"/>
      <c r="O331" s="72"/>
      <c r="P331" s="72"/>
      <c r="Q331" s="72"/>
    </row>
    <row r="332">
      <c r="J332" s="72"/>
      <c r="K332" s="72"/>
      <c r="L332" s="72"/>
      <c r="M332" s="72"/>
      <c r="N332" s="72"/>
      <c r="O332" s="72"/>
      <c r="P332" s="72"/>
      <c r="Q332" s="72"/>
    </row>
    <row r="333">
      <c r="J333" s="72"/>
      <c r="K333" s="72"/>
      <c r="L333" s="72"/>
      <c r="M333" s="72"/>
      <c r="N333" s="72"/>
      <c r="O333" s="72"/>
      <c r="P333" s="72"/>
      <c r="Q333" s="72"/>
    </row>
    <row r="334">
      <c r="J334" s="72"/>
      <c r="K334" s="72"/>
      <c r="L334" s="72"/>
      <c r="M334" s="72"/>
      <c r="N334" s="72"/>
      <c r="O334" s="72"/>
      <c r="P334" s="72"/>
      <c r="Q334" s="72"/>
    </row>
    <row r="335">
      <c r="J335" s="72"/>
      <c r="K335" s="72"/>
      <c r="L335" s="72"/>
      <c r="M335" s="72"/>
      <c r="N335" s="72"/>
      <c r="O335" s="72"/>
      <c r="P335" s="72"/>
      <c r="Q335" s="72"/>
    </row>
    <row r="336">
      <c r="J336" s="72"/>
      <c r="K336" s="72"/>
      <c r="L336" s="72"/>
      <c r="M336" s="72"/>
      <c r="N336" s="72"/>
      <c r="O336" s="72"/>
      <c r="P336" s="72"/>
      <c r="Q336" s="72"/>
    </row>
    <row r="337">
      <c r="J337" s="72"/>
      <c r="K337" s="72"/>
      <c r="L337" s="72"/>
      <c r="M337" s="72"/>
      <c r="N337" s="72"/>
      <c r="O337" s="72"/>
      <c r="P337" s="72"/>
      <c r="Q337" s="72"/>
    </row>
    <row r="338">
      <c r="J338" s="72"/>
      <c r="K338" s="72"/>
      <c r="L338" s="72"/>
      <c r="M338" s="72"/>
      <c r="N338" s="72"/>
      <c r="O338" s="72"/>
      <c r="P338" s="72"/>
      <c r="Q338" s="72"/>
    </row>
    <row r="339">
      <c r="J339" s="72"/>
      <c r="K339" s="72"/>
      <c r="L339" s="72"/>
      <c r="M339" s="72"/>
      <c r="N339" s="72"/>
      <c r="O339" s="72"/>
      <c r="P339" s="72"/>
      <c r="Q339" s="72"/>
    </row>
    <row r="340">
      <c r="J340" s="72"/>
      <c r="K340" s="72"/>
      <c r="L340" s="72"/>
      <c r="M340" s="72"/>
      <c r="N340" s="72"/>
      <c r="O340" s="72"/>
      <c r="P340" s="72"/>
      <c r="Q340" s="72"/>
    </row>
    <row r="341">
      <c r="J341" s="72"/>
      <c r="K341" s="72"/>
      <c r="L341" s="72"/>
      <c r="M341" s="72"/>
      <c r="N341" s="72"/>
      <c r="O341" s="72"/>
      <c r="P341" s="72"/>
      <c r="Q341" s="72"/>
    </row>
    <row r="342">
      <c r="J342" s="72"/>
      <c r="K342" s="72"/>
      <c r="L342" s="72"/>
      <c r="M342" s="72"/>
      <c r="N342" s="72"/>
      <c r="O342" s="72"/>
      <c r="P342" s="72"/>
      <c r="Q342" s="72"/>
    </row>
    <row r="343">
      <c r="J343" s="72"/>
      <c r="K343" s="72"/>
      <c r="L343" s="72"/>
      <c r="M343" s="72"/>
      <c r="N343" s="72"/>
      <c r="O343" s="72"/>
      <c r="P343" s="72"/>
      <c r="Q343" s="72"/>
    </row>
    <row r="344">
      <c r="J344" s="72"/>
      <c r="K344" s="72"/>
      <c r="L344" s="72"/>
      <c r="M344" s="72"/>
      <c r="N344" s="72"/>
      <c r="O344" s="72"/>
      <c r="P344" s="72"/>
      <c r="Q344" s="72"/>
    </row>
    <row r="345">
      <c r="J345" s="72"/>
      <c r="K345" s="72"/>
      <c r="L345" s="72"/>
      <c r="M345" s="72"/>
      <c r="N345" s="72"/>
      <c r="O345" s="72"/>
      <c r="P345" s="72"/>
      <c r="Q345" s="72"/>
    </row>
    <row r="346">
      <c r="J346" s="72"/>
      <c r="K346" s="72"/>
      <c r="L346" s="72"/>
      <c r="M346" s="72"/>
      <c r="N346" s="72"/>
      <c r="O346" s="72"/>
      <c r="P346" s="72"/>
      <c r="Q346" s="72"/>
    </row>
    <row r="347">
      <c r="J347" s="72"/>
      <c r="K347" s="72"/>
      <c r="L347" s="72"/>
      <c r="M347" s="72"/>
      <c r="N347" s="72"/>
      <c r="O347" s="72"/>
      <c r="P347" s="72"/>
      <c r="Q347" s="72"/>
    </row>
    <row r="348">
      <c r="J348" s="72"/>
      <c r="K348" s="72"/>
      <c r="L348" s="72"/>
      <c r="M348" s="72"/>
      <c r="N348" s="72"/>
      <c r="O348" s="72"/>
      <c r="P348" s="72"/>
      <c r="Q348" s="72"/>
    </row>
    <row r="349">
      <c r="J349" s="72"/>
      <c r="K349" s="72"/>
      <c r="L349" s="72"/>
      <c r="M349" s="72"/>
      <c r="N349" s="72"/>
      <c r="O349" s="72"/>
      <c r="P349" s="72"/>
      <c r="Q349" s="72"/>
    </row>
    <row r="350">
      <c r="J350" s="72"/>
      <c r="K350" s="72"/>
      <c r="L350" s="72"/>
      <c r="M350" s="72"/>
      <c r="N350" s="72"/>
      <c r="O350" s="72"/>
      <c r="P350" s="72"/>
      <c r="Q350" s="72"/>
    </row>
    <row r="351">
      <c r="J351" s="72"/>
      <c r="K351" s="72"/>
      <c r="L351" s="72"/>
      <c r="M351" s="72"/>
      <c r="N351" s="72"/>
      <c r="O351" s="72"/>
      <c r="P351" s="72"/>
      <c r="Q351" s="72"/>
    </row>
    <row r="352">
      <c r="J352" s="72"/>
      <c r="K352" s="72"/>
      <c r="L352" s="72"/>
      <c r="M352" s="72"/>
      <c r="N352" s="72"/>
      <c r="O352" s="72"/>
      <c r="P352" s="72"/>
      <c r="Q352" s="72"/>
    </row>
    <row r="353">
      <c r="J353" s="72"/>
      <c r="K353" s="72"/>
      <c r="L353" s="72"/>
      <c r="M353" s="72"/>
      <c r="N353" s="72"/>
      <c r="O353" s="72"/>
      <c r="P353" s="72"/>
      <c r="Q353" s="72"/>
    </row>
    <row r="354">
      <c r="J354" s="72"/>
      <c r="K354" s="72"/>
      <c r="L354" s="72"/>
      <c r="M354" s="72"/>
      <c r="N354" s="72"/>
      <c r="O354" s="72"/>
      <c r="P354" s="72"/>
      <c r="Q354" s="72"/>
    </row>
    <row r="355">
      <c r="J355" s="72"/>
      <c r="K355" s="72"/>
      <c r="L355" s="72"/>
      <c r="M355" s="72"/>
      <c r="N355" s="72"/>
      <c r="O355" s="72"/>
      <c r="P355" s="72"/>
      <c r="Q355" s="72"/>
    </row>
    <row r="356">
      <c r="J356" s="72"/>
      <c r="K356" s="72"/>
      <c r="L356" s="72"/>
      <c r="M356" s="72"/>
      <c r="N356" s="72"/>
      <c r="O356" s="72"/>
      <c r="P356" s="72"/>
      <c r="Q356" s="72"/>
    </row>
    <row r="357">
      <c r="J357" s="72"/>
      <c r="K357" s="72"/>
      <c r="L357" s="72"/>
      <c r="M357" s="72"/>
      <c r="N357" s="72"/>
      <c r="O357" s="72"/>
      <c r="P357" s="72"/>
      <c r="Q357" s="72"/>
    </row>
    <row r="358">
      <c r="J358" s="72"/>
      <c r="K358" s="72"/>
      <c r="L358" s="72"/>
      <c r="M358" s="72"/>
      <c r="N358" s="72"/>
      <c r="O358" s="72"/>
      <c r="P358" s="72"/>
      <c r="Q358" s="72"/>
    </row>
    <row r="359">
      <c r="J359" s="72"/>
      <c r="K359" s="72"/>
      <c r="L359" s="72"/>
      <c r="M359" s="72"/>
      <c r="N359" s="72"/>
      <c r="O359" s="72"/>
      <c r="P359" s="72"/>
      <c r="Q359" s="72"/>
    </row>
    <row r="360">
      <c r="J360" s="72"/>
      <c r="K360" s="72"/>
      <c r="L360" s="72"/>
      <c r="M360" s="72"/>
      <c r="N360" s="72"/>
      <c r="O360" s="72"/>
      <c r="P360" s="72"/>
      <c r="Q360" s="72"/>
    </row>
    <row r="361">
      <c r="J361" s="72"/>
      <c r="K361" s="72"/>
      <c r="L361" s="72"/>
      <c r="M361" s="72"/>
      <c r="N361" s="72"/>
      <c r="O361" s="72"/>
      <c r="P361" s="72"/>
      <c r="Q361" s="72"/>
    </row>
    <row r="362">
      <c r="J362" s="72"/>
      <c r="K362" s="72"/>
      <c r="L362" s="72"/>
      <c r="M362" s="72"/>
      <c r="N362" s="72"/>
      <c r="O362" s="72"/>
      <c r="P362" s="72"/>
      <c r="Q362" s="72"/>
    </row>
    <row r="363">
      <c r="J363" s="72"/>
      <c r="K363" s="72"/>
      <c r="L363" s="72"/>
      <c r="M363" s="72"/>
      <c r="N363" s="72"/>
      <c r="O363" s="72"/>
      <c r="P363" s="72"/>
      <c r="Q363" s="72"/>
    </row>
    <row r="364">
      <c r="J364" s="72"/>
      <c r="K364" s="72"/>
      <c r="L364" s="72"/>
      <c r="M364" s="72"/>
      <c r="N364" s="72"/>
      <c r="O364" s="72"/>
      <c r="P364" s="72"/>
      <c r="Q364" s="72"/>
    </row>
    <row r="365">
      <c r="J365" s="72"/>
      <c r="K365" s="72"/>
      <c r="L365" s="72"/>
      <c r="M365" s="72"/>
      <c r="N365" s="72"/>
      <c r="O365" s="72"/>
      <c r="P365" s="72"/>
      <c r="Q365" s="72"/>
    </row>
    <row r="366">
      <c r="J366" s="72"/>
      <c r="K366" s="72"/>
      <c r="L366" s="72"/>
      <c r="M366" s="72"/>
      <c r="N366" s="72"/>
      <c r="O366" s="72"/>
      <c r="P366" s="72"/>
      <c r="Q366" s="72"/>
    </row>
    <row r="367">
      <c r="J367" s="72"/>
      <c r="K367" s="72"/>
      <c r="L367" s="72"/>
      <c r="M367" s="72"/>
      <c r="N367" s="72"/>
      <c r="O367" s="72"/>
      <c r="P367" s="72"/>
      <c r="Q367" s="72"/>
    </row>
    <row r="368">
      <c r="J368" s="72"/>
      <c r="K368" s="72"/>
      <c r="L368" s="72"/>
      <c r="M368" s="72"/>
      <c r="N368" s="72"/>
      <c r="O368" s="72"/>
      <c r="P368" s="72"/>
      <c r="Q368" s="72"/>
    </row>
    <row r="369">
      <c r="J369" s="72"/>
      <c r="K369" s="72"/>
      <c r="L369" s="72"/>
      <c r="M369" s="72"/>
      <c r="N369" s="72"/>
      <c r="O369" s="72"/>
      <c r="P369" s="72"/>
      <c r="Q369" s="72"/>
    </row>
    <row r="370">
      <c r="J370" s="72"/>
      <c r="K370" s="72"/>
      <c r="L370" s="72"/>
      <c r="M370" s="72"/>
      <c r="N370" s="72"/>
      <c r="O370" s="72"/>
      <c r="P370" s="72"/>
      <c r="Q370" s="72"/>
    </row>
    <row r="371">
      <c r="J371" s="72"/>
      <c r="K371" s="72"/>
      <c r="L371" s="72"/>
      <c r="M371" s="72"/>
      <c r="N371" s="72"/>
      <c r="O371" s="72"/>
      <c r="P371" s="72"/>
      <c r="Q371" s="72"/>
    </row>
    <row r="372">
      <c r="J372" s="72"/>
      <c r="K372" s="72"/>
      <c r="L372" s="72"/>
      <c r="M372" s="72"/>
      <c r="N372" s="72"/>
      <c r="O372" s="72"/>
      <c r="P372" s="72"/>
      <c r="Q372" s="72"/>
    </row>
    <row r="373">
      <c r="J373" s="72"/>
      <c r="K373" s="72"/>
      <c r="L373" s="72"/>
      <c r="M373" s="72"/>
      <c r="N373" s="72"/>
      <c r="O373" s="72"/>
      <c r="P373" s="72"/>
      <c r="Q373" s="72"/>
    </row>
    <row r="374">
      <c r="J374" s="72"/>
      <c r="K374" s="72"/>
      <c r="L374" s="72"/>
      <c r="M374" s="72"/>
      <c r="N374" s="72"/>
      <c r="O374" s="72"/>
      <c r="P374" s="72"/>
      <c r="Q374" s="72"/>
    </row>
    <row r="375">
      <c r="J375" s="72"/>
      <c r="K375" s="72"/>
      <c r="L375" s="72"/>
      <c r="M375" s="72"/>
      <c r="N375" s="72"/>
      <c r="O375" s="72"/>
      <c r="P375" s="72"/>
      <c r="Q375" s="72"/>
    </row>
    <row r="376">
      <c r="J376" s="72"/>
      <c r="K376" s="72"/>
      <c r="L376" s="72"/>
      <c r="M376" s="72"/>
      <c r="N376" s="72"/>
      <c r="O376" s="72"/>
      <c r="P376" s="72"/>
      <c r="Q376" s="72"/>
    </row>
    <row r="377">
      <c r="J377" s="72"/>
      <c r="K377" s="72"/>
      <c r="L377" s="72"/>
      <c r="M377" s="72"/>
      <c r="N377" s="72"/>
      <c r="O377" s="72"/>
      <c r="P377" s="72"/>
      <c r="Q377" s="72"/>
    </row>
    <row r="378">
      <c r="J378" s="72"/>
      <c r="K378" s="72"/>
      <c r="L378" s="72"/>
      <c r="M378" s="72"/>
      <c r="N378" s="72"/>
      <c r="O378" s="72"/>
      <c r="P378" s="72"/>
      <c r="Q378" s="72"/>
    </row>
    <row r="379">
      <c r="J379" s="72"/>
      <c r="K379" s="72"/>
      <c r="L379" s="72"/>
      <c r="M379" s="72"/>
      <c r="N379" s="72"/>
      <c r="O379" s="72"/>
      <c r="P379" s="72"/>
      <c r="Q379" s="72"/>
    </row>
    <row r="380">
      <c r="J380" s="72"/>
      <c r="K380" s="72"/>
      <c r="L380" s="72"/>
      <c r="M380" s="72"/>
      <c r="N380" s="72"/>
      <c r="O380" s="72"/>
      <c r="P380" s="72"/>
      <c r="Q380" s="72"/>
    </row>
    <row r="381">
      <c r="J381" s="72"/>
      <c r="K381" s="72"/>
      <c r="L381" s="72"/>
      <c r="M381" s="72"/>
      <c r="N381" s="72"/>
      <c r="O381" s="72"/>
      <c r="P381" s="72"/>
      <c r="Q381" s="72"/>
    </row>
    <row r="382">
      <c r="J382" s="72"/>
      <c r="K382" s="72"/>
      <c r="L382" s="72"/>
      <c r="M382" s="72"/>
      <c r="N382" s="72"/>
      <c r="O382" s="72"/>
      <c r="P382" s="72"/>
      <c r="Q382" s="72"/>
    </row>
    <row r="383">
      <c r="J383" s="72"/>
      <c r="K383" s="72"/>
      <c r="L383" s="72"/>
      <c r="M383" s="72"/>
      <c r="N383" s="72"/>
      <c r="O383" s="72"/>
      <c r="P383" s="72"/>
      <c r="Q383" s="72"/>
    </row>
    <row r="384">
      <c r="J384" s="72"/>
      <c r="K384" s="72"/>
      <c r="L384" s="72"/>
      <c r="M384" s="72"/>
      <c r="N384" s="72"/>
      <c r="O384" s="72"/>
      <c r="P384" s="72"/>
      <c r="Q384" s="72"/>
    </row>
    <row r="385">
      <c r="J385" s="72"/>
      <c r="K385" s="72"/>
      <c r="L385" s="72"/>
      <c r="M385" s="72"/>
      <c r="N385" s="72"/>
      <c r="O385" s="72"/>
      <c r="P385" s="72"/>
      <c r="Q385" s="72"/>
    </row>
    <row r="386">
      <c r="J386" s="72"/>
      <c r="K386" s="72"/>
      <c r="L386" s="72"/>
      <c r="M386" s="72"/>
      <c r="N386" s="72"/>
      <c r="O386" s="72"/>
      <c r="P386" s="72"/>
      <c r="Q386" s="72"/>
    </row>
    <row r="387">
      <c r="J387" s="72"/>
      <c r="K387" s="72"/>
      <c r="L387" s="72"/>
      <c r="M387" s="72"/>
      <c r="N387" s="72"/>
      <c r="O387" s="72"/>
      <c r="P387" s="72"/>
      <c r="Q387" s="72"/>
    </row>
    <row r="388">
      <c r="J388" s="72"/>
      <c r="K388" s="72"/>
      <c r="L388" s="72"/>
      <c r="M388" s="72"/>
      <c r="N388" s="72"/>
      <c r="O388" s="72"/>
      <c r="P388" s="72"/>
      <c r="Q388" s="72"/>
    </row>
    <row r="389">
      <c r="J389" s="72"/>
      <c r="K389" s="72"/>
      <c r="L389" s="72"/>
      <c r="M389" s="72"/>
      <c r="N389" s="72"/>
      <c r="O389" s="72"/>
      <c r="P389" s="72"/>
      <c r="Q389" s="72"/>
    </row>
    <row r="390">
      <c r="J390" s="72"/>
      <c r="K390" s="72"/>
      <c r="L390" s="72"/>
      <c r="M390" s="72"/>
      <c r="N390" s="72"/>
      <c r="O390" s="72"/>
      <c r="P390" s="72"/>
      <c r="Q390" s="72"/>
    </row>
    <row r="391">
      <c r="J391" s="72"/>
      <c r="K391" s="72"/>
      <c r="L391" s="72"/>
      <c r="M391" s="72"/>
      <c r="N391" s="72"/>
      <c r="O391" s="72"/>
      <c r="P391" s="72"/>
      <c r="Q391" s="72"/>
    </row>
    <row r="392">
      <c r="J392" s="72"/>
      <c r="K392" s="72"/>
      <c r="L392" s="72"/>
      <c r="M392" s="72"/>
      <c r="N392" s="72"/>
      <c r="O392" s="72"/>
      <c r="P392" s="72"/>
      <c r="Q392" s="72"/>
    </row>
    <row r="393">
      <c r="J393" s="72"/>
      <c r="K393" s="72"/>
      <c r="L393" s="72"/>
      <c r="M393" s="72"/>
      <c r="N393" s="72"/>
      <c r="O393" s="72"/>
      <c r="P393" s="72"/>
      <c r="Q393" s="72"/>
    </row>
    <row r="394">
      <c r="J394" s="72"/>
      <c r="K394" s="72"/>
      <c r="L394" s="72"/>
      <c r="M394" s="72"/>
      <c r="N394" s="72"/>
      <c r="O394" s="72"/>
      <c r="P394" s="72"/>
      <c r="Q394" s="72"/>
    </row>
    <row r="395">
      <c r="J395" s="72"/>
      <c r="K395" s="72"/>
      <c r="L395" s="72"/>
      <c r="M395" s="72"/>
      <c r="N395" s="72"/>
      <c r="O395" s="72"/>
      <c r="P395" s="72"/>
      <c r="Q395" s="72"/>
    </row>
    <row r="396">
      <c r="J396" s="72"/>
      <c r="K396" s="72"/>
      <c r="L396" s="72"/>
      <c r="M396" s="72"/>
      <c r="N396" s="72"/>
      <c r="O396" s="72"/>
      <c r="P396" s="72"/>
      <c r="Q396" s="72"/>
    </row>
    <row r="397">
      <c r="J397" s="72"/>
      <c r="K397" s="72"/>
      <c r="L397" s="72"/>
      <c r="M397" s="72"/>
      <c r="N397" s="72"/>
      <c r="O397" s="72"/>
      <c r="P397" s="72"/>
      <c r="Q397" s="72"/>
    </row>
    <row r="398">
      <c r="J398" s="72"/>
      <c r="K398" s="72"/>
      <c r="L398" s="72"/>
      <c r="M398" s="72"/>
      <c r="N398" s="72"/>
      <c r="O398" s="72"/>
      <c r="P398" s="72"/>
      <c r="Q398" s="72"/>
    </row>
    <row r="399">
      <c r="J399" s="72"/>
      <c r="K399" s="72"/>
      <c r="L399" s="72"/>
      <c r="M399" s="72"/>
      <c r="N399" s="72"/>
      <c r="O399" s="72"/>
      <c r="P399" s="72"/>
      <c r="Q399" s="72"/>
    </row>
    <row r="400">
      <c r="J400" s="72"/>
      <c r="K400" s="72"/>
      <c r="L400" s="72"/>
      <c r="M400" s="72"/>
      <c r="N400" s="72"/>
      <c r="O400" s="72"/>
      <c r="P400" s="72"/>
      <c r="Q400" s="72"/>
    </row>
    <row r="401">
      <c r="J401" s="72"/>
      <c r="K401" s="72"/>
      <c r="L401" s="72"/>
      <c r="M401" s="72"/>
      <c r="N401" s="72"/>
      <c r="O401" s="72"/>
      <c r="P401" s="72"/>
      <c r="Q401" s="72"/>
    </row>
    <row r="402">
      <c r="J402" s="72"/>
      <c r="K402" s="72"/>
      <c r="L402" s="72"/>
      <c r="M402" s="72"/>
      <c r="N402" s="72"/>
      <c r="O402" s="72"/>
      <c r="P402" s="72"/>
      <c r="Q402" s="72"/>
    </row>
    <row r="403">
      <c r="J403" s="72"/>
      <c r="K403" s="72"/>
      <c r="L403" s="72"/>
      <c r="M403" s="72"/>
      <c r="N403" s="72"/>
      <c r="O403" s="72"/>
      <c r="P403" s="72"/>
      <c r="Q403" s="72"/>
    </row>
    <row r="404">
      <c r="J404" s="72"/>
      <c r="K404" s="72"/>
      <c r="L404" s="72"/>
      <c r="M404" s="72"/>
      <c r="N404" s="72"/>
      <c r="O404" s="72"/>
      <c r="P404" s="72"/>
      <c r="Q404" s="72"/>
    </row>
    <row r="405">
      <c r="J405" s="72"/>
      <c r="K405" s="72"/>
      <c r="L405" s="72"/>
      <c r="M405" s="72"/>
      <c r="N405" s="72"/>
      <c r="O405" s="72"/>
      <c r="P405" s="72"/>
      <c r="Q405" s="72"/>
    </row>
    <row r="406">
      <c r="J406" s="72"/>
      <c r="K406" s="72"/>
      <c r="L406" s="72"/>
      <c r="M406" s="72"/>
      <c r="N406" s="72"/>
      <c r="O406" s="72"/>
      <c r="P406" s="72"/>
      <c r="Q406" s="72"/>
    </row>
    <row r="407">
      <c r="J407" s="72"/>
      <c r="K407" s="72"/>
      <c r="L407" s="72"/>
      <c r="M407" s="72"/>
      <c r="N407" s="72"/>
      <c r="O407" s="72"/>
      <c r="P407" s="72"/>
      <c r="Q407" s="72"/>
    </row>
    <row r="408">
      <c r="J408" s="72"/>
      <c r="K408" s="72"/>
      <c r="L408" s="72"/>
      <c r="M408" s="72"/>
      <c r="N408" s="72"/>
      <c r="O408" s="72"/>
      <c r="P408" s="72"/>
      <c r="Q408" s="72"/>
    </row>
    <row r="409">
      <c r="J409" s="72"/>
      <c r="K409" s="72"/>
      <c r="L409" s="72"/>
      <c r="M409" s="72"/>
      <c r="N409" s="72"/>
      <c r="O409" s="72"/>
      <c r="P409" s="72"/>
      <c r="Q409" s="72"/>
    </row>
    <row r="410">
      <c r="J410" s="72"/>
      <c r="K410" s="72"/>
      <c r="L410" s="72"/>
      <c r="M410" s="72"/>
      <c r="N410" s="72"/>
      <c r="O410" s="72"/>
      <c r="P410" s="72"/>
      <c r="Q410" s="72"/>
    </row>
    <row r="411">
      <c r="J411" s="72"/>
      <c r="K411" s="72"/>
      <c r="L411" s="72"/>
      <c r="M411" s="72"/>
      <c r="N411" s="72"/>
      <c r="O411" s="72"/>
      <c r="P411" s="72"/>
      <c r="Q411" s="72"/>
    </row>
    <row r="412">
      <c r="J412" s="72"/>
      <c r="K412" s="72"/>
      <c r="L412" s="72"/>
      <c r="M412" s="72"/>
      <c r="N412" s="72"/>
      <c r="O412" s="72"/>
      <c r="P412" s="72"/>
      <c r="Q412" s="72"/>
    </row>
    <row r="413">
      <c r="J413" s="72"/>
      <c r="K413" s="72"/>
      <c r="L413" s="72"/>
      <c r="M413" s="72"/>
      <c r="N413" s="72"/>
      <c r="O413" s="72"/>
      <c r="P413" s="72"/>
      <c r="Q413" s="72"/>
    </row>
    <row r="414">
      <c r="J414" s="72"/>
      <c r="K414" s="72"/>
      <c r="L414" s="72"/>
      <c r="M414" s="72"/>
      <c r="N414" s="72"/>
      <c r="O414" s="72"/>
      <c r="P414" s="72"/>
      <c r="Q414" s="72"/>
    </row>
    <row r="415">
      <c r="J415" s="72"/>
      <c r="K415" s="72"/>
      <c r="L415" s="72"/>
      <c r="M415" s="72"/>
      <c r="N415" s="72"/>
      <c r="O415" s="72"/>
      <c r="P415" s="72"/>
      <c r="Q415" s="72"/>
    </row>
    <row r="416">
      <c r="J416" s="72"/>
      <c r="K416" s="72"/>
      <c r="L416" s="72"/>
      <c r="M416" s="72"/>
      <c r="N416" s="72"/>
      <c r="O416" s="72"/>
      <c r="P416" s="72"/>
      <c r="Q416" s="72"/>
    </row>
    <row r="417">
      <c r="J417" s="72"/>
      <c r="K417" s="72"/>
      <c r="L417" s="72"/>
      <c r="M417" s="72"/>
      <c r="N417" s="72"/>
      <c r="O417" s="72"/>
      <c r="P417" s="72"/>
      <c r="Q417" s="72"/>
    </row>
    <row r="418">
      <c r="J418" s="72"/>
      <c r="K418" s="72"/>
      <c r="L418" s="72"/>
      <c r="M418" s="72"/>
      <c r="N418" s="72"/>
      <c r="O418" s="72"/>
      <c r="P418" s="72"/>
      <c r="Q418" s="72"/>
    </row>
    <row r="419">
      <c r="J419" s="72"/>
      <c r="K419" s="72"/>
      <c r="L419" s="72"/>
      <c r="M419" s="72"/>
      <c r="N419" s="72"/>
      <c r="O419" s="72"/>
      <c r="P419" s="72"/>
      <c r="Q419" s="72"/>
    </row>
    <row r="420">
      <c r="J420" s="72"/>
      <c r="K420" s="72"/>
      <c r="L420" s="72"/>
      <c r="M420" s="72"/>
      <c r="N420" s="72"/>
      <c r="O420" s="72"/>
      <c r="P420" s="72"/>
      <c r="Q420" s="72"/>
    </row>
    <row r="421">
      <c r="J421" s="72"/>
      <c r="K421" s="72"/>
      <c r="L421" s="72"/>
      <c r="M421" s="72"/>
      <c r="N421" s="72"/>
      <c r="O421" s="72"/>
      <c r="P421" s="72"/>
      <c r="Q421" s="72"/>
    </row>
    <row r="422">
      <c r="J422" s="72"/>
      <c r="K422" s="72"/>
      <c r="L422" s="72"/>
      <c r="M422" s="72"/>
      <c r="N422" s="72"/>
      <c r="O422" s="72"/>
      <c r="P422" s="72"/>
      <c r="Q422" s="72"/>
    </row>
    <row r="423">
      <c r="J423" s="72"/>
      <c r="K423" s="72"/>
      <c r="L423" s="72"/>
      <c r="M423" s="72"/>
      <c r="N423" s="72"/>
      <c r="O423" s="72"/>
      <c r="P423" s="72"/>
      <c r="Q423" s="72"/>
    </row>
    <row r="424">
      <c r="J424" s="72"/>
      <c r="K424" s="72"/>
      <c r="L424" s="72"/>
      <c r="M424" s="72"/>
      <c r="N424" s="72"/>
      <c r="O424" s="72"/>
      <c r="P424" s="72"/>
      <c r="Q424" s="72"/>
    </row>
    <row r="425">
      <c r="J425" s="72"/>
      <c r="K425" s="72"/>
      <c r="L425" s="72"/>
      <c r="M425" s="72"/>
      <c r="N425" s="72"/>
      <c r="O425" s="72"/>
      <c r="P425" s="72"/>
      <c r="Q425" s="72"/>
    </row>
    <row r="426">
      <c r="J426" s="72"/>
      <c r="K426" s="72"/>
      <c r="L426" s="72"/>
      <c r="M426" s="72"/>
      <c r="N426" s="72"/>
      <c r="O426" s="72"/>
      <c r="P426" s="72"/>
      <c r="Q426" s="72"/>
    </row>
    <row r="427">
      <c r="J427" s="72"/>
      <c r="K427" s="72"/>
      <c r="L427" s="72"/>
      <c r="M427" s="72"/>
      <c r="N427" s="72"/>
      <c r="O427" s="72"/>
      <c r="P427" s="72"/>
      <c r="Q427" s="72"/>
    </row>
    <row r="428">
      <c r="J428" s="72"/>
      <c r="K428" s="72"/>
      <c r="L428" s="72"/>
      <c r="M428" s="72"/>
      <c r="N428" s="72"/>
      <c r="O428" s="72"/>
      <c r="P428" s="72"/>
      <c r="Q428" s="72"/>
    </row>
    <row r="429">
      <c r="J429" s="72"/>
      <c r="K429" s="72"/>
      <c r="L429" s="72"/>
      <c r="M429" s="72"/>
      <c r="N429" s="72"/>
      <c r="O429" s="72"/>
      <c r="P429" s="72"/>
      <c r="Q429" s="72"/>
    </row>
    <row r="430">
      <c r="J430" s="72"/>
      <c r="K430" s="72"/>
      <c r="L430" s="72"/>
      <c r="M430" s="72"/>
      <c r="N430" s="72"/>
      <c r="O430" s="72"/>
      <c r="P430" s="72"/>
      <c r="Q430" s="72"/>
    </row>
    <row r="431">
      <c r="J431" s="72"/>
      <c r="K431" s="72"/>
      <c r="L431" s="72"/>
      <c r="M431" s="72"/>
      <c r="N431" s="72"/>
      <c r="O431" s="72"/>
      <c r="P431" s="72"/>
      <c r="Q431" s="72"/>
    </row>
    <row r="432">
      <c r="J432" s="72"/>
      <c r="K432" s="72"/>
      <c r="L432" s="72"/>
      <c r="M432" s="72"/>
      <c r="N432" s="72"/>
      <c r="O432" s="72"/>
      <c r="P432" s="72"/>
      <c r="Q432" s="72"/>
    </row>
    <row r="433">
      <c r="J433" s="72"/>
      <c r="K433" s="72"/>
      <c r="L433" s="72"/>
      <c r="M433" s="72"/>
      <c r="N433" s="72"/>
      <c r="O433" s="72"/>
      <c r="P433" s="72"/>
      <c r="Q433" s="72"/>
    </row>
    <row r="434">
      <c r="J434" s="72"/>
      <c r="K434" s="72"/>
      <c r="L434" s="72"/>
      <c r="M434" s="72"/>
      <c r="N434" s="72"/>
      <c r="O434" s="72"/>
      <c r="P434" s="72"/>
      <c r="Q434" s="72"/>
    </row>
    <row r="435">
      <c r="J435" s="72"/>
      <c r="K435" s="72"/>
      <c r="L435" s="72"/>
      <c r="M435" s="72"/>
      <c r="N435" s="72"/>
      <c r="O435" s="72"/>
      <c r="P435" s="72"/>
      <c r="Q435" s="72"/>
    </row>
    <row r="436">
      <c r="J436" s="72"/>
      <c r="K436" s="72"/>
      <c r="L436" s="72"/>
      <c r="M436" s="72"/>
      <c r="N436" s="72"/>
      <c r="O436" s="72"/>
      <c r="P436" s="72"/>
      <c r="Q436" s="72"/>
    </row>
    <row r="437">
      <c r="J437" s="72"/>
      <c r="K437" s="72"/>
      <c r="L437" s="72"/>
      <c r="M437" s="72"/>
      <c r="N437" s="72"/>
      <c r="O437" s="72"/>
      <c r="P437" s="72"/>
      <c r="Q437" s="72"/>
    </row>
    <row r="438">
      <c r="J438" s="72"/>
      <c r="K438" s="72"/>
      <c r="L438" s="72"/>
      <c r="M438" s="72"/>
      <c r="N438" s="72"/>
      <c r="O438" s="72"/>
      <c r="P438" s="72"/>
      <c r="Q438" s="72"/>
    </row>
    <row r="439">
      <c r="J439" s="72"/>
      <c r="K439" s="72"/>
      <c r="L439" s="72"/>
      <c r="M439" s="72"/>
      <c r="N439" s="72"/>
      <c r="O439" s="72"/>
      <c r="P439" s="72"/>
      <c r="Q439" s="72"/>
    </row>
    <row r="440">
      <c r="J440" s="72"/>
      <c r="K440" s="72"/>
      <c r="L440" s="72"/>
      <c r="M440" s="72"/>
      <c r="N440" s="72"/>
      <c r="O440" s="72"/>
      <c r="P440" s="72"/>
      <c r="Q440" s="72"/>
    </row>
    <row r="441">
      <c r="J441" s="72"/>
      <c r="K441" s="72"/>
      <c r="L441" s="72"/>
      <c r="M441" s="72"/>
      <c r="N441" s="72"/>
      <c r="O441" s="72"/>
      <c r="P441" s="72"/>
      <c r="Q441" s="72"/>
    </row>
    <row r="442">
      <c r="J442" s="72"/>
      <c r="K442" s="72"/>
      <c r="L442" s="72"/>
      <c r="M442" s="72"/>
      <c r="N442" s="72"/>
      <c r="O442" s="72"/>
      <c r="P442" s="72"/>
      <c r="Q442" s="72"/>
    </row>
    <row r="443">
      <c r="J443" s="72"/>
      <c r="K443" s="72"/>
      <c r="L443" s="72"/>
      <c r="M443" s="72"/>
      <c r="N443" s="72"/>
      <c r="O443" s="72"/>
      <c r="P443" s="72"/>
      <c r="Q443" s="72"/>
    </row>
    <row r="444">
      <c r="J444" s="72"/>
      <c r="K444" s="72"/>
      <c r="L444" s="72"/>
      <c r="M444" s="72"/>
      <c r="N444" s="72"/>
      <c r="O444" s="72"/>
      <c r="P444" s="72"/>
      <c r="Q444" s="72"/>
    </row>
    <row r="445">
      <c r="J445" s="72"/>
      <c r="K445" s="72"/>
      <c r="L445" s="72"/>
      <c r="M445" s="72"/>
      <c r="N445" s="72"/>
      <c r="O445" s="72"/>
      <c r="P445" s="72"/>
      <c r="Q445" s="72"/>
    </row>
    <row r="446">
      <c r="J446" s="72"/>
      <c r="K446" s="72"/>
      <c r="L446" s="72"/>
      <c r="M446" s="72"/>
      <c r="N446" s="72"/>
      <c r="O446" s="72"/>
      <c r="P446" s="72"/>
      <c r="Q446" s="72"/>
    </row>
    <row r="447">
      <c r="J447" s="72"/>
      <c r="K447" s="72"/>
      <c r="L447" s="72"/>
      <c r="M447" s="72"/>
      <c r="N447" s="72"/>
      <c r="O447" s="72"/>
      <c r="P447" s="72"/>
      <c r="Q447" s="72"/>
    </row>
    <row r="448">
      <c r="J448" s="72"/>
      <c r="K448" s="72"/>
      <c r="L448" s="72"/>
      <c r="M448" s="72"/>
      <c r="N448" s="72"/>
      <c r="O448" s="72"/>
      <c r="P448" s="72"/>
      <c r="Q448" s="72"/>
    </row>
    <row r="449">
      <c r="J449" s="72"/>
      <c r="K449" s="72"/>
      <c r="L449" s="72"/>
      <c r="M449" s="72"/>
      <c r="N449" s="72"/>
      <c r="O449" s="72"/>
      <c r="P449" s="72"/>
      <c r="Q449" s="72"/>
    </row>
    <row r="450">
      <c r="J450" s="72"/>
      <c r="K450" s="72"/>
      <c r="L450" s="72"/>
      <c r="M450" s="72"/>
      <c r="N450" s="72"/>
      <c r="O450" s="72"/>
      <c r="P450" s="72"/>
      <c r="Q450" s="72"/>
    </row>
    <row r="451">
      <c r="J451" s="72"/>
      <c r="K451" s="72"/>
      <c r="L451" s="72"/>
      <c r="M451" s="72"/>
      <c r="N451" s="72"/>
      <c r="O451" s="72"/>
      <c r="P451" s="72"/>
      <c r="Q451" s="72"/>
    </row>
    <row r="452">
      <c r="J452" s="72"/>
      <c r="K452" s="72"/>
      <c r="L452" s="72"/>
      <c r="M452" s="72"/>
      <c r="N452" s="72"/>
      <c r="O452" s="72"/>
      <c r="P452" s="72"/>
      <c r="Q452" s="72"/>
    </row>
    <row r="453">
      <c r="J453" s="72"/>
      <c r="K453" s="72"/>
      <c r="L453" s="72"/>
      <c r="M453" s="72"/>
      <c r="N453" s="72"/>
      <c r="O453" s="72"/>
      <c r="P453" s="72"/>
      <c r="Q453" s="72"/>
    </row>
    <row r="454">
      <c r="J454" s="72"/>
      <c r="K454" s="72"/>
      <c r="L454" s="72"/>
      <c r="M454" s="72"/>
      <c r="N454" s="72"/>
      <c r="O454" s="72"/>
      <c r="P454" s="72"/>
      <c r="Q454" s="72"/>
    </row>
    <row r="455">
      <c r="J455" s="72"/>
      <c r="K455" s="72"/>
      <c r="L455" s="72"/>
      <c r="M455" s="72"/>
      <c r="N455" s="72"/>
      <c r="O455" s="72"/>
      <c r="P455" s="72"/>
      <c r="Q455" s="72"/>
    </row>
    <row r="456">
      <c r="J456" s="72"/>
      <c r="K456" s="72"/>
      <c r="L456" s="72"/>
      <c r="M456" s="72"/>
      <c r="N456" s="72"/>
      <c r="O456" s="72"/>
      <c r="P456" s="72"/>
      <c r="Q456" s="72"/>
    </row>
    <row r="457">
      <c r="J457" s="72"/>
      <c r="K457" s="72"/>
      <c r="L457" s="72"/>
      <c r="M457" s="72"/>
      <c r="N457" s="72"/>
      <c r="O457" s="72"/>
      <c r="P457" s="72"/>
      <c r="Q457" s="72"/>
    </row>
    <row r="458">
      <c r="J458" s="72"/>
      <c r="K458" s="72"/>
      <c r="L458" s="72"/>
      <c r="M458" s="72"/>
      <c r="N458" s="72"/>
      <c r="O458" s="72"/>
      <c r="P458" s="72"/>
      <c r="Q458" s="72"/>
    </row>
    <row r="459">
      <c r="J459" s="72"/>
      <c r="K459" s="72"/>
      <c r="L459" s="72"/>
      <c r="M459" s="72"/>
      <c r="N459" s="72"/>
      <c r="O459" s="72"/>
      <c r="P459" s="72"/>
      <c r="Q459" s="72"/>
    </row>
    <row r="460">
      <c r="J460" s="72"/>
      <c r="K460" s="72"/>
      <c r="L460" s="72"/>
      <c r="M460" s="72"/>
      <c r="N460" s="72"/>
      <c r="O460" s="72"/>
      <c r="P460" s="72"/>
      <c r="Q460" s="72"/>
    </row>
    <row r="461">
      <c r="J461" s="72"/>
      <c r="K461" s="72"/>
      <c r="L461" s="72"/>
      <c r="M461" s="72"/>
      <c r="N461" s="72"/>
      <c r="O461" s="72"/>
      <c r="P461" s="72"/>
      <c r="Q461" s="72"/>
    </row>
    <row r="462">
      <c r="J462" s="72"/>
      <c r="K462" s="72"/>
      <c r="L462" s="72"/>
      <c r="M462" s="72"/>
      <c r="N462" s="72"/>
      <c r="O462" s="72"/>
      <c r="P462" s="72"/>
      <c r="Q462" s="72"/>
    </row>
    <row r="463">
      <c r="J463" s="72"/>
      <c r="K463" s="72"/>
      <c r="L463" s="72"/>
      <c r="M463" s="72"/>
      <c r="N463" s="72"/>
      <c r="O463" s="72"/>
      <c r="P463" s="72"/>
      <c r="Q463" s="72"/>
    </row>
    <row r="464">
      <c r="J464" s="72"/>
      <c r="K464" s="72"/>
      <c r="L464" s="72"/>
      <c r="M464" s="72"/>
      <c r="N464" s="72"/>
      <c r="O464" s="72"/>
      <c r="P464" s="72"/>
      <c r="Q464" s="72"/>
    </row>
    <row r="465">
      <c r="J465" s="72"/>
      <c r="K465" s="72"/>
      <c r="L465" s="72"/>
      <c r="M465" s="72"/>
      <c r="N465" s="72"/>
      <c r="O465" s="72"/>
      <c r="P465" s="72"/>
      <c r="Q465" s="72"/>
    </row>
    <row r="466">
      <c r="J466" s="72"/>
      <c r="K466" s="72"/>
      <c r="L466" s="72"/>
      <c r="M466" s="72"/>
      <c r="N466" s="72"/>
      <c r="O466" s="72"/>
      <c r="P466" s="72"/>
      <c r="Q466" s="72"/>
    </row>
    <row r="467">
      <c r="J467" s="72"/>
      <c r="K467" s="72"/>
      <c r="L467" s="72"/>
      <c r="M467" s="72"/>
      <c r="N467" s="72"/>
      <c r="O467" s="72"/>
      <c r="P467" s="72"/>
      <c r="Q467" s="72"/>
    </row>
    <row r="468">
      <c r="J468" s="72"/>
      <c r="K468" s="72"/>
      <c r="L468" s="72"/>
      <c r="M468" s="72"/>
      <c r="N468" s="72"/>
      <c r="O468" s="72"/>
      <c r="P468" s="72"/>
      <c r="Q468" s="72"/>
    </row>
    <row r="469">
      <c r="J469" s="72"/>
      <c r="K469" s="72"/>
      <c r="L469" s="72"/>
      <c r="M469" s="72"/>
      <c r="N469" s="72"/>
      <c r="O469" s="72"/>
      <c r="P469" s="72"/>
      <c r="Q469" s="72"/>
    </row>
    <row r="470">
      <c r="J470" s="72"/>
      <c r="K470" s="72"/>
      <c r="L470" s="72"/>
      <c r="M470" s="72"/>
      <c r="N470" s="72"/>
      <c r="O470" s="72"/>
      <c r="P470" s="72"/>
      <c r="Q470" s="72"/>
    </row>
    <row r="471">
      <c r="J471" s="72"/>
      <c r="K471" s="72"/>
      <c r="L471" s="72"/>
      <c r="M471" s="72"/>
      <c r="N471" s="72"/>
      <c r="O471" s="72"/>
      <c r="P471" s="72"/>
      <c r="Q471" s="72"/>
    </row>
    <row r="472">
      <c r="J472" s="72"/>
      <c r="K472" s="72"/>
      <c r="L472" s="72"/>
      <c r="M472" s="72"/>
      <c r="N472" s="72"/>
      <c r="O472" s="72"/>
      <c r="P472" s="72"/>
      <c r="Q472" s="72"/>
    </row>
    <row r="473">
      <c r="J473" s="72"/>
      <c r="K473" s="72"/>
      <c r="L473" s="72"/>
      <c r="M473" s="72"/>
      <c r="N473" s="72"/>
      <c r="O473" s="72"/>
      <c r="P473" s="72"/>
      <c r="Q473" s="72"/>
    </row>
    <row r="474">
      <c r="J474" s="72"/>
      <c r="K474" s="72"/>
      <c r="L474" s="72"/>
      <c r="M474" s="72"/>
      <c r="N474" s="72"/>
      <c r="O474" s="72"/>
      <c r="P474" s="72"/>
      <c r="Q474" s="72"/>
    </row>
    <row r="475">
      <c r="J475" s="72"/>
      <c r="K475" s="72"/>
      <c r="L475" s="72"/>
      <c r="M475" s="72"/>
      <c r="N475" s="72"/>
      <c r="O475" s="72"/>
      <c r="P475" s="72"/>
      <c r="Q475" s="72"/>
    </row>
    <row r="476">
      <c r="J476" s="72"/>
      <c r="K476" s="72"/>
      <c r="L476" s="72"/>
      <c r="M476" s="72"/>
      <c r="N476" s="72"/>
      <c r="O476" s="72"/>
      <c r="P476" s="72"/>
      <c r="Q476" s="72"/>
    </row>
    <row r="477">
      <c r="J477" s="72"/>
      <c r="K477" s="72"/>
      <c r="L477" s="72"/>
      <c r="M477" s="72"/>
      <c r="N477" s="72"/>
      <c r="O477" s="72"/>
      <c r="P477" s="72"/>
      <c r="Q477" s="72"/>
    </row>
    <row r="478">
      <c r="J478" s="72"/>
      <c r="K478" s="72"/>
      <c r="L478" s="72"/>
      <c r="M478" s="72"/>
      <c r="N478" s="72"/>
      <c r="O478" s="72"/>
      <c r="P478" s="72"/>
      <c r="Q478" s="72"/>
    </row>
    <row r="479">
      <c r="J479" s="72"/>
      <c r="K479" s="72"/>
      <c r="L479" s="72"/>
      <c r="M479" s="72"/>
      <c r="N479" s="72"/>
      <c r="O479" s="72"/>
      <c r="P479" s="72"/>
      <c r="Q479" s="72"/>
    </row>
    <row r="480">
      <c r="J480" s="72"/>
      <c r="K480" s="72"/>
      <c r="L480" s="72"/>
      <c r="M480" s="72"/>
      <c r="N480" s="72"/>
      <c r="O480" s="72"/>
      <c r="P480" s="72"/>
      <c r="Q480" s="72"/>
    </row>
    <row r="481">
      <c r="J481" s="72"/>
      <c r="K481" s="72"/>
      <c r="L481" s="72"/>
      <c r="M481" s="72"/>
      <c r="N481" s="72"/>
      <c r="O481" s="72"/>
      <c r="P481" s="72"/>
      <c r="Q481" s="72"/>
    </row>
    <row r="482">
      <c r="J482" s="72"/>
      <c r="K482" s="72"/>
      <c r="L482" s="72"/>
      <c r="M482" s="72"/>
      <c r="N482" s="72"/>
      <c r="O482" s="72"/>
      <c r="P482" s="72"/>
      <c r="Q482" s="72"/>
    </row>
    <row r="483">
      <c r="J483" s="72"/>
      <c r="K483" s="72"/>
      <c r="L483" s="72"/>
      <c r="M483" s="72"/>
      <c r="N483" s="72"/>
      <c r="O483" s="72"/>
      <c r="P483" s="72"/>
      <c r="Q483" s="72"/>
    </row>
    <row r="484">
      <c r="J484" s="72"/>
      <c r="K484" s="72"/>
      <c r="L484" s="72"/>
      <c r="M484" s="72"/>
      <c r="N484" s="72"/>
      <c r="O484" s="72"/>
      <c r="P484" s="72"/>
      <c r="Q484" s="72"/>
    </row>
    <row r="485">
      <c r="J485" s="72"/>
      <c r="K485" s="72"/>
      <c r="L485" s="72"/>
      <c r="M485" s="72"/>
      <c r="N485" s="72"/>
      <c r="O485" s="72"/>
      <c r="P485" s="72"/>
      <c r="Q485" s="72"/>
    </row>
    <row r="486">
      <c r="J486" s="72"/>
      <c r="K486" s="72"/>
      <c r="L486" s="72"/>
      <c r="M486" s="72"/>
      <c r="N486" s="72"/>
      <c r="O486" s="72"/>
      <c r="P486" s="72"/>
      <c r="Q486" s="72"/>
    </row>
    <row r="487">
      <c r="J487" s="72"/>
      <c r="K487" s="72"/>
      <c r="L487" s="72"/>
      <c r="M487" s="72"/>
      <c r="N487" s="72"/>
      <c r="O487" s="72"/>
      <c r="P487" s="72"/>
      <c r="Q487" s="72"/>
    </row>
    <row r="488">
      <c r="J488" s="72"/>
      <c r="K488" s="72"/>
      <c r="L488" s="72"/>
      <c r="M488" s="72"/>
      <c r="N488" s="72"/>
      <c r="O488" s="72"/>
      <c r="P488" s="72"/>
      <c r="Q488" s="72"/>
    </row>
    <row r="489">
      <c r="J489" s="72"/>
      <c r="K489" s="72"/>
      <c r="L489" s="72"/>
      <c r="M489" s="72"/>
      <c r="N489" s="72"/>
      <c r="O489" s="72"/>
      <c r="P489" s="72"/>
      <c r="Q489" s="72"/>
    </row>
    <row r="490">
      <c r="J490" s="72"/>
      <c r="K490" s="72"/>
      <c r="L490" s="72"/>
      <c r="M490" s="72"/>
      <c r="N490" s="72"/>
      <c r="O490" s="72"/>
      <c r="P490" s="72"/>
      <c r="Q490" s="72"/>
    </row>
    <row r="491">
      <c r="J491" s="72"/>
      <c r="K491" s="72"/>
      <c r="L491" s="72"/>
      <c r="M491" s="72"/>
      <c r="N491" s="72"/>
      <c r="O491" s="72"/>
      <c r="P491" s="72"/>
      <c r="Q491" s="72"/>
    </row>
    <row r="492">
      <c r="J492" s="72"/>
      <c r="K492" s="72"/>
      <c r="L492" s="72"/>
      <c r="M492" s="72"/>
      <c r="N492" s="72"/>
      <c r="O492" s="72"/>
      <c r="P492" s="72"/>
      <c r="Q492" s="72"/>
    </row>
    <row r="493">
      <c r="J493" s="72"/>
      <c r="K493" s="72"/>
      <c r="L493" s="72"/>
      <c r="M493" s="72"/>
      <c r="N493" s="72"/>
      <c r="O493" s="72"/>
      <c r="P493" s="72"/>
      <c r="Q493" s="72"/>
    </row>
    <row r="494">
      <c r="J494" s="72"/>
      <c r="K494" s="72"/>
      <c r="L494" s="72"/>
      <c r="M494" s="72"/>
      <c r="N494" s="72"/>
      <c r="O494" s="72"/>
      <c r="P494" s="72"/>
      <c r="Q494" s="72"/>
    </row>
    <row r="495">
      <c r="J495" s="72"/>
      <c r="K495" s="72"/>
      <c r="L495" s="72"/>
      <c r="M495" s="72"/>
      <c r="N495" s="72"/>
      <c r="O495" s="72"/>
      <c r="P495" s="72"/>
      <c r="Q495" s="72"/>
    </row>
    <row r="496">
      <c r="J496" s="72"/>
      <c r="K496" s="72"/>
      <c r="L496" s="72"/>
      <c r="M496" s="72"/>
      <c r="N496" s="72"/>
      <c r="O496" s="72"/>
      <c r="P496" s="72"/>
      <c r="Q496" s="72"/>
    </row>
    <row r="497">
      <c r="J497" s="72"/>
      <c r="K497" s="72"/>
      <c r="L497" s="72"/>
      <c r="M497" s="72"/>
      <c r="N497" s="72"/>
      <c r="O497" s="72"/>
      <c r="P497" s="72"/>
      <c r="Q497" s="72"/>
    </row>
    <row r="498">
      <c r="J498" s="72"/>
      <c r="K498" s="72"/>
      <c r="L498" s="72"/>
      <c r="M498" s="72"/>
      <c r="N498" s="72"/>
      <c r="O498" s="72"/>
      <c r="P498" s="72"/>
      <c r="Q498" s="72"/>
    </row>
    <row r="499">
      <c r="J499" s="72"/>
      <c r="K499" s="72"/>
      <c r="L499" s="72"/>
      <c r="M499" s="72"/>
      <c r="N499" s="72"/>
      <c r="O499" s="72"/>
      <c r="P499" s="72"/>
      <c r="Q499" s="72"/>
    </row>
    <row r="500">
      <c r="J500" s="72"/>
      <c r="K500" s="72"/>
      <c r="L500" s="72"/>
      <c r="M500" s="72"/>
      <c r="N500" s="72"/>
      <c r="O500" s="72"/>
      <c r="P500" s="72"/>
      <c r="Q500" s="72"/>
    </row>
    <row r="501">
      <c r="J501" s="72"/>
      <c r="K501" s="72"/>
      <c r="L501" s="72"/>
      <c r="M501" s="72"/>
      <c r="N501" s="72"/>
      <c r="O501" s="72"/>
      <c r="P501" s="72"/>
      <c r="Q501" s="72"/>
    </row>
    <row r="502">
      <c r="J502" s="72"/>
      <c r="K502" s="72"/>
      <c r="L502" s="72"/>
      <c r="M502" s="72"/>
      <c r="N502" s="72"/>
      <c r="O502" s="72"/>
      <c r="P502" s="72"/>
      <c r="Q502" s="72"/>
    </row>
    <row r="503">
      <c r="J503" s="72"/>
      <c r="K503" s="72"/>
      <c r="L503" s="72"/>
      <c r="M503" s="72"/>
      <c r="N503" s="72"/>
      <c r="O503" s="72"/>
      <c r="P503" s="72"/>
      <c r="Q503" s="72"/>
    </row>
    <row r="504">
      <c r="J504" s="72"/>
      <c r="K504" s="72"/>
      <c r="L504" s="72"/>
      <c r="M504" s="72"/>
      <c r="N504" s="72"/>
      <c r="O504" s="72"/>
      <c r="P504" s="72"/>
      <c r="Q504" s="72"/>
    </row>
    <row r="505">
      <c r="J505" s="72"/>
      <c r="K505" s="72"/>
      <c r="L505" s="72"/>
      <c r="M505" s="72"/>
      <c r="N505" s="72"/>
      <c r="O505" s="72"/>
      <c r="P505" s="72"/>
      <c r="Q505" s="72"/>
    </row>
    <row r="506">
      <c r="J506" s="72"/>
      <c r="K506" s="72"/>
      <c r="L506" s="72"/>
      <c r="M506" s="72"/>
      <c r="N506" s="72"/>
      <c r="O506" s="72"/>
      <c r="P506" s="72"/>
      <c r="Q506" s="72"/>
    </row>
    <row r="507">
      <c r="J507" s="72"/>
      <c r="K507" s="72"/>
      <c r="L507" s="72"/>
      <c r="M507" s="72"/>
      <c r="N507" s="72"/>
      <c r="O507" s="72"/>
      <c r="P507" s="72"/>
      <c r="Q507" s="72"/>
    </row>
    <row r="508">
      <c r="J508" s="72"/>
      <c r="K508" s="72"/>
      <c r="L508" s="72"/>
      <c r="M508" s="72"/>
      <c r="N508" s="72"/>
      <c r="O508" s="72"/>
      <c r="P508" s="72"/>
      <c r="Q508" s="72"/>
    </row>
    <row r="509">
      <c r="J509" s="72"/>
      <c r="K509" s="72"/>
      <c r="L509" s="72"/>
      <c r="M509" s="72"/>
      <c r="N509" s="72"/>
      <c r="O509" s="72"/>
      <c r="P509" s="72"/>
      <c r="Q509" s="72"/>
    </row>
    <row r="510">
      <c r="J510" s="72"/>
      <c r="K510" s="72"/>
      <c r="L510" s="72"/>
      <c r="M510" s="72"/>
      <c r="N510" s="72"/>
      <c r="O510" s="72"/>
      <c r="P510" s="72"/>
      <c r="Q510" s="72"/>
    </row>
    <row r="511">
      <c r="J511" s="72"/>
      <c r="K511" s="72"/>
      <c r="L511" s="72"/>
      <c r="M511" s="72"/>
      <c r="N511" s="72"/>
      <c r="O511" s="72"/>
      <c r="P511" s="72"/>
      <c r="Q511" s="72"/>
    </row>
    <row r="512">
      <c r="J512" s="72"/>
      <c r="K512" s="72"/>
      <c r="L512" s="72"/>
      <c r="M512" s="72"/>
      <c r="N512" s="72"/>
      <c r="O512" s="72"/>
      <c r="P512" s="72"/>
      <c r="Q512" s="72"/>
    </row>
    <row r="513">
      <c r="J513" s="72"/>
      <c r="K513" s="72"/>
      <c r="L513" s="72"/>
      <c r="M513" s="72"/>
      <c r="N513" s="72"/>
      <c r="O513" s="72"/>
      <c r="P513" s="72"/>
      <c r="Q513" s="72"/>
    </row>
    <row r="514">
      <c r="J514" s="72"/>
      <c r="K514" s="72"/>
      <c r="L514" s="72"/>
      <c r="M514" s="72"/>
      <c r="N514" s="72"/>
      <c r="O514" s="72"/>
      <c r="P514" s="72"/>
      <c r="Q514" s="72"/>
    </row>
    <row r="515">
      <c r="J515" s="72"/>
      <c r="K515" s="72"/>
      <c r="L515" s="72"/>
      <c r="M515" s="72"/>
      <c r="N515" s="72"/>
      <c r="O515" s="72"/>
      <c r="P515" s="72"/>
      <c r="Q515" s="72"/>
    </row>
    <row r="516">
      <c r="J516" s="72"/>
      <c r="K516" s="72"/>
      <c r="L516" s="72"/>
      <c r="M516" s="72"/>
      <c r="N516" s="72"/>
      <c r="O516" s="72"/>
      <c r="P516" s="72"/>
      <c r="Q516" s="72"/>
    </row>
    <row r="517">
      <c r="J517" s="72"/>
      <c r="K517" s="72"/>
      <c r="L517" s="72"/>
      <c r="M517" s="72"/>
      <c r="N517" s="72"/>
      <c r="O517" s="72"/>
      <c r="P517" s="72"/>
      <c r="Q517" s="72"/>
    </row>
    <row r="518">
      <c r="J518" s="72"/>
      <c r="K518" s="72"/>
      <c r="L518" s="72"/>
      <c r="M518" s="72"/>
      <c r="N518" s="72"/>
      <c r="O518" s="72"/>
      <c r="P518" s="72"/>
      <c r="Q518" s="72"/>
    </row>
    <row r="519">
      <c r="J519" s="72"/>
      <c r="K519" s="72"/>
      <c r="L519" s="72"/>
      <c r="M519" s="72"/>
      <c r="N519" s="72"/>
      <c r="O519" s="72"/>
      <c r="P519" s="72"/>
      <c r="Q519" s="72"/>
    </row>
    <row r="520">
      <c r="J520" s="72"/>
      <c r="K520" s="72"/>
      <c r="L520" s="72"/>
      <c r="M520" s="72"/>
      <c r="N520" s="72"/>
      <c r="O520" s="72"/>
      <c r="P520" s="72"/>
      <c r="Q520" s="72"/>
    </row>
    <row r="521">
      <c r="J521" s="72"/>
      <c r="K521" s="72"/>
      <c r="L521" s="72"/>
      <c r="M521" s="72"/>
      <c r="N521" s="72"/>
      <c r="O521" s="72"/>
      <c r="P521" s="72"/>
      <c r="Q521" s="72"/>
    </row>
    <row r="522">
      <c r="J522" s="72"/>
      <c r="K522" s="72"/>
      <c r="L522" s="72"/>
      <c r="M522" s="72"/>
      <c r="N522" s="72"/>
      <c r="O522" s="72"/>
      <c r="P522" s="72"/>
      <c r="Q522" s="72"/>
    </row>
    <row r="523">
      <c r="J523" s="72"/>
      <c r="K523" s="72"/>
      <c r="L523" s="72"/>
      <c r="M523" s="72"/>
      <c r="N523" s="72"/>
      <c r="O523" s="72"/>
      <c r="P523" s="72"/>
      <c r="Q523" s="72"/>
    </row>
    <row r="524">
      <c r="J524" s="72"/>
      <c r="K524" s="72"/>
      <c r="L524" s="72"/>
      <c r="M524" s="72"/>
      <c r="N524" s="72"/>
      <c r="O524" s="72"/>
      <c r="P524" s="72"/>
      <c r="Q524" s="72"/>
    </row>
    <row r="525">
      <c r="J525" s="72"/>
      <c r="K525" s="72"/>
      <c r="L525" s="72"/>
      <c r="M525" s="72"/>
      <c r="N525" s="72"/>
      <c r="O525" s="72"/>
      <c r="P525" s="72"/>
      <c r="Q525" s="72"/>
    </row>
    <row r="526">
      <c r="J526" s="72"/>
      <c r="K526" s="72"/>
      <c r="L526" s="72"/>
      <c r="M526" s="72"/>
      <c r="N526" s="72"/>
      <c r="O526" s="72"/>
      <c r="P526" s="72"/>
      <c r="Q526" s="72"/>
    </row>
    <row r="527">
      <c r="J527" s="72"/>
      <c r="K527" s="72"/>
      <c r="L527" s="72"/>
      <c r="M527" s="72"/>
      <c r="N527" s="72"/>
      <c r="O527" s="72"/>
      <c r="P527" s="72"/>
      <c r="Q527" s="72"/>
    </row>
    <row r="528">
      <c r="J528" s="72"/>
      <c r="K528" s="72"/>
      <c r="L528" s="72"/>
      <c r="M528" s="72"/>
      <c r="N528" s="72"/>
      <c r="O528" s="72"/>
      <c r="P528" s="72"/>
      <c r="Q528" s="72"/>
    </row>
    <row r="529">
      <c r="J529" s="72"/>
      <c r="K529" s="72"/>
      <c r="L529" s="72"/>
      <c r="M529" s="72"/>
      <c r="N529" s="72"/>
      <c r="O529" s="72"/>
      <c r="P529" s="72"/>
      <c r="Q529" s="72"/>
    </row>
    <row r="530">
      <c r="J530" s="72"/>
      <c r="K530" s="72"/>
      <c r="L530" s="72"/>
      <c r="M530" s="72"/>
      <c r="N530" s="72"/>
      <c r="O530" s="72"/>
      <c r="P530" s="72"/>
      <c r="Q530" s="72"/>
    </row>
    <row r="531">
      <c r="J531" s="72"/>
      <c r="K531" s="72"/>
      <c r="L531" s="72"/>
      <c r="M531" s="72"/>
      <c r="N531" s="72"/>
      <c r="O531" s="72"/>
      <c r="P531" s="72"/>
      <c r="Q531" s="72"/>
    </row>
    <row r="532">
      <c r="J532" s="72"/>
      <c r="K532" s="72"/>
      <c r="L532" s="72"/>
      <c r="M532" s="72"/>
      <c r="N532" s="72"/>
      <c r="O532" s="72"/>
      <c r="P532" s="72"/>
      <c r="Q532" s="72"/>
    </row>
    <row r="533">
      <c r="J533" s="72"/>
      <c r="K533" s="72"/>
      <c r="L533" s="72"/>
      <c r="M533" s="72"/>
      <c r="N533" s="72"/>
      <c r="O533" s="72"/>
      <c r="P533" s="72"/>
      <c r="Q533" s="72"/>
    </row>
    <row r="534">
      <c r="J534" s="72"/>
      <c r="K534" s="72"/>
      <c r="L534" s="72"/>
      <c r="M534" s="72"/>
      <c r="N534" s="72"/>
      <c r="O534" s="72"/>
      <c r="P534" s="72"/>
      <c r="Q534" s="72"/>
    </row>
    <row r="535">
      <c r="J535" s="72"/>
      <c r="K535" s="72"/>
      <c r="L535" s="72"/>
      <c r="M535" s="72"/>
      <c r="N535" s="72"/>
      <c r="O535" s="72"/>
      <c r="P535" s="72"/>
      <c r="Q535" s="72"/>
    </row>
    <row r="536">
      <c r="J536" s="72"/>
      <c r="K536" s="72"/>
      <c r="L536" s="72"/>
      <c r="M536" s="72"/>
      <c r="N536" s="72"/>
      <c r="O536" s="72"/>
      <c r="P536" s="72"/>
      <c r="Q536" s="72"/>
    </row>
    <row r="537">
      <c r="J537" s="72"/>
      <c r="K537" s="72"/>
      <c r="L537" s="72"/>
      <c r="M537" s="72"/>
      <c r="N537" s="72"/>
      <c r="O537" s="72"/>
      <c r="P537" s="72"/>
      <c r="Q537" s="72"/>
    </row>
    <row r="538">
      <c r="J538" s="72"/>
      <c r="K538" s="72"/>
      <c r="L538" s="72"/>
      <c r="M538" s="72"/>
      <c r="N538" s="72"/>
      <c r="O538" s="72"/>
      <c r="P538" s="72"/>
      <c r="Q538" s="72"/>
    </row>
    <row r="539">
      <c r="J539" s="72"/>
      <c r="K539" s="72"/>
      <c r="L539" s="72"/>
      <c r="M539" s="72"/>
      <c r="N539" s="72"/>
      <c r="O539" s="72"/>
      <c r="P539" s="72"/>
      <c r="Q539" s="72"/>
    </row>
    <row r="540">
      <c r="J540" s="72"/>
      <c r="K540" s="72"/>
      <c r="L540" s="72"/>
      <c r="M540" s="72"/>
      <c r="N540" s="72"/>
      <c r="O540" s="72"/>
      <c r="P540" s="72"/>
      <c r="Q540" s="72"/>
    </row>
    <row r="541">
      <c r="J541" s="72"/>
      <c r="K541" s="72"/>
      <c r="L541" s="72"/>
      <c r="M541" s="72"/>
      <c r="N541" s="72"/>
      <c r="O541" s="72"/>
      <c r="P541" s="72"/>
      <c r="Q541" s="72"/>
    </row>
    <row r="542">
      <c r="J542" s="72"/>
      <c r="K542" s="72"/>
      <c r="L542" s="72"/>
      <c r="M542" s="72"/>
      <c r="N542" s="72"/>
      <c r="O542" s="72"/>
      <c r="P542" s="72"/>
      <c r="Q542" s="72"/>
    </row>
    <row r="543">
      <c r="J543" s="72"/>
      <c r="K543" s="72"/>
      <c r="L543" s="72"/>
      <c r="M543" s="72"/>
      <c r="N543" s="72"/>
      <c r="O543" s="72"/>
      <c r="P543" s="72"/>
      <c r="Q543" s="72"/>
    </row>
    <row r="544">
      <c r="J544" s="72"/>
      <c r="K544" s="72"/>
      <c r="L544" s="72"/>
      <c r="M544" s="72"/>
      <c r="N544" s="72"/>
      <c r="O544" s="72"/>
      <c r="P544" s="72"/>
      <c r="Q544" s="72"/>
    </row>
    <row r="545">
      <c r="J545" s="72"/>
      <c r="K545" s="72"/>
      <c r="L545" s="72"/>
      <c r="M545" s="72"/>
      <c r="N545" s="72"/>
      <c r="O545" s="72"/>
      <c r="P545" s="72"/>
      <c r="Q545" s="72"/>
    </row>
    <row r="546">
      <c r="J546" s="72"/>
      <c r="K546" s="72"/>
      <c r="L546" s="72"/>
      <c r="M546" s="72"/>
      <c r="N546" s="72"/>
      <c r="O546" s="72"/>
      <c r="P546" s="72"/>
      <c r="Q546" s="72"/>
    </row>
    <row r="547">
      <c r="J547" s="72"/>
      <c r="K547" s="72"/>
      <c r="L547" s="72"/>
      <c r="M547" s="72"/>
      <c r="N547" s="72"/>
      <c r="O547" s="72"/>
      <c r="P547" s="72"/>
      <c r="Q547" s="72"/>
    </row>
    <row r="548">
      <c r="J548" s="72"/>
      <c r="K548" s="72"/>
      <c r="L548" s="72"/>
      <c r="M548" s="72"/>
      <c r="N548" s="72"/>
      <c r="O548" s="72"/>
      <c r="P548" s="72"/>
      <c r="Q548" s="72"/>
    </row>
    <row r="549">
      <c r="J549" s="72"/>
      <c r="K549" s="72"/>
      <c r="L549" s="72"/>
      <c r="M549" s="72"/>
      <c r="N549" s="72"/>
      <c r="O549" s="72"/>
      <c r="P549" s="72"/>
      <c r="Q549" s="72"/>
    </row>
    <row r="550">
      <c r="J550" s="72"/>
      <c r="K550" s="72"/>
      <c r="L550" s="72"/>
      <c r="M550" s="72"/>
      <c r="N550" s="72"/>
      <c r="O550" s="72"/>
      <c r="P550" s="72"/>
      <c r="Q550" s="72"/>
    </row>
    <row r="551">
      <c r="J551" s="72"/>
      <c r="K551" s="72"/>
      <c r="L551" s="72"/>
      <c r="M551" s="72"/>
      <c r="N551" s="72"/>
      <c r="O551" s="72"/>
      <c r="P551" s="72"/>
      <c r="Q551" s="72"/>
    </row>
    <row r="552">
      <c r="J552" s="72"/>
      <c r="K552" s="72"/>
      <c r="L552" s="72"/>
      <c r="M552" s="72"/>
      <c r="N552" s="72"/>
      <c r="O552" s="72"/>
      <c r="P552" s="72"/>
      <c r="Q552" s="72"/>
    </row>
    <row r="553">
      <c r="J553" s="72"/>
      <c r="K553" s="72"/>
      <c r="L553" s="72"/>
      <c r="M553" s="72"/>
      <c r="N553" s="72"/>
      <c r="O553" s="72"/>
      <c r="P553" s="72"/>
      <c r="Q553" s="72"/>
    </row>
    <row r="554">
      <c r="J554" s="72"/>
      <c r="K554" s="72"/>
      <c r="L554" s="72"/>
      <c r="M554" s="72"/>
      <c r="N554" s="72"/>
      <c r="O554" s="72"/>
      <c r="P554" s="72"/>
      <c r="Q554" s="72"/>
    </row>
    <row r="555">
      <c r="J555" s="72"/>
      <c r="K555" s="72"/>
      <c r="L555" s="72"/>
      <c r="M555" s="72"/>
      <c r="N555" s="72"/>
      <c r="O555" s="72"/>
      <c r="P555" s="72"/>
      <c r="Q555" s="72"/>
    </row>
    <row r="556">
      <c r="J556" s="72"/>
      <c r="K556" s="72"/>
      <c r="L556" s="72"/>
      <c r="M556" s="72"/>
      <c r="N556" s="72"/>
      <c r="O556" s="72"/>
      <c r="P556" s="72"/>
      <c r="Q556" s="72"/>
    </row>
    <row r="557">
      <c r="J557" s="72"/>
      <c r="K557" s="72"/>
      <c r="L557" s="72"/>
      <c r="M557" s="72"/>
      <c r="N557" s="72"/>
      <c r="O557" s="72"/>
      <c r="P557" s="72"/>
      <c r="Q557" s="72"/>
    </row>
    <row r="558">
      <c r="J558" s="72"/>
      <c r="K558" s="72"/>
      <c r="L558" s="72"/>
      <c r="M558" s="72"/>
      <c r="N558" s="72"/>
      <c r="O558" s="72"/>
      <c r="P558" s="72"/>
      <c r="Q558" s="72"/>
    </row>
    <row r="559">
      <c r="J559" s="72"/>
      <c r="K559" s="72"/>
      <c r="L559" s="72"/>
      <c r="M559" s="72"/>
      <c r="N559" s="72"/>
      <c r="O559" s="72"/>
      <c r="P559" s="72"/>
      <c r="Q559" s="72"/>
    </row>
    <row r="560">
      <c r="J560" s="72"/>
      <c r="K560" s="72"/>
      <c r="L560" s="72"/>
      <c r="M560" s="72"/>
      <c r="N560" s="72"/>
      <c r="O560" s="72"/>
      <c r="P560" s="72"/>
      <c r="Q560" s="72"/>
    </row>
    <row r="561">
      <c r="J561" s="72"/>
      <c r="K561" s="72"/>
      <c r="L561" s="72"/>
      <c r="M561" s="72"/>
      <c r="N561" s="72"/>
      <c r="O561" s="72"/>
      <c r="P561" s="72"/>
      <c r="Q561" s="72"/>
    </row>
    <row r="562">
      <c r="J562" s="72"/>
      <c r="K562" s="72"/>
      <c r="L562" s="72"/>
      <c r="M562" s="72"/>
      <c r="N562" s="72"/>
      <c r="O562" s="72"/>
      <c r="P562" s="72"/>
      <c r="Q562" s="72"/>
    </row>
    <row r="563">
      <c r="J563" s="72"/>
      <c r="K563" s="72"/>
      <c r="L563" s="72"/>
      <c r="M563" s="72"/>
      <c r="N563" s="72"/>
      <c r="O563" s="72"/>
      <c r="P563" s="72"/>
      <c r="Q563" s="72"/>
    </row>
    <row r="564">
      <c r="J564" s="72"/>
      <c r="K564" s="72"/>
      <c r="L564" s="72"/>
      <c r="M564" s="72"/>
      <c r="N564" s="72"/>
      <c r="O564" s="72"/>
      <c r="P564" s="72"/>
      <c r="Q564" s="72"/>
    </row>
    <row r="565">
      <c r="J565" s="72"/>
      <c r="K565" s="72"/>
      <c r="L565" s="72"/>
      <c r="M565" s="72"/>
      <c r="N565" s="72"/>
      <c r="O565" s="72"/>
      <c r="P565" s="72"/>
      <c r="Q565" s="72"/>
    </row>
    <row r="566">
      <c r="J566" s="72"/>
      <c r="K566" s="72"/>
      <c r="L566" s="72"/>
      <c r="M566" s="72"/>
      <c r="N566" s="72"/>
      <c r="O566" s="72"/>
      <c r="P566" s="72"/>
      <c r="Q566" s="72"/>
    </row>
    <row r="567">
      <c r="J567" s="72"/>
      <c r="K567" s="72"/>
      <c r="L567" s="72"/>
      <c r="M567" s="72"/>
      <c r="N567" s="72"/>
      <c r="O567" s="72"/>
      <c r="P567" s="72"/>
      <c r="Q567" s="72"/>
    </row>
    <row r="568">
      <c r="J568" s="72"/>
      <c r="K568" s="72"/>
      <c r="L568" s="72"/>
      <c r="M568" s="72"/>
      <c r="N568" s="72"/>
      <c r="O568" s="72"/>
      <c r="P568" s="72"/>
      <c r="Q568" s="72"/>
    </row>
    <row r="569">
      <c r="J569" s="72"/>
      <c r="K569" s="72"/>
      <c r="L569" s="72"/>
      <c r="M569" s="72"/>
      <c r="N569" s="72"/>
      <c r="O569" s="72"/>
      <c r="P569" s="72"/>
      <c r="Q569" s="72"/>
    </row>
    <row r="570">
      <c r="J570" s="72"/>
      <c r="K570" s="72"/>
      <c r="L570" s="72"/>
      <c r="M570" s="72"/>
      <c r="N570" s="72"/>
      <c r="O570" s="72"/>
      <c r="P570" s="72"/>
      <c r="Q570" s="72"/>
    </row>
    <row r="571">
      <c r="J571" s="72"/>
      <c r="K571" s="72"/>
      <c r="L571" s="72"/>
      <c r="M571" s="72"/>
      <c r="N571" s="72"/>
      <c r="O571" s="72"/>
      <c r="P571" s="72"/>
      <c r="Q571" s="72"/>
    </row>
    <row r="572">
      <c r="J572" s="72"/>
      <c r="K572" s="72"/>
      <c r="L572" s="72"/>
      <c r="M572" s="72"/>
      <c r="N572" s="72"/>
      <c r="O572" s="72"/>
      <c r="P572" s="72"/>
      <c r="Q572" s="72"/>
    </row>
    <row r="573">
      <c r="J573" s="72"/>
      <c r="K573" s="72"/>
      <c r="L573" s="72"/>
      <c r="M573" s="72"/>
      <c r="N573" s="72"/>
      <c r="O573" s="72"/>
      <c r="P573" s="72"/>
      <c r="Q573" s="72"/>
    </row>
    <row r="574">
      <c r="J574" s="72"/>
      <c r="K574" s="72"/>
      <c r="L574" s="72"/>
      <c r="M574" s="72"/>
      <c r="N574" s="72"/>
      <c r="O574" s="72"/>
      <c r="P574" s="72"/>
      <c r="Q574" s="72"/>
    </row>
    <row r="575">
      <c r="J575" s="72"/>
      <c r="K575" s="72"/>
      <c r="L575" s="72"/>
      <c r="M575" s="72"/>
      <c r="N575" s="72"/>
      <c r="O575" s="72"/>
      <c r="P575" s="72"/>
      <c r="Q575" s="72"/>
    </row>
    <row r="576">
      <c r="J576" s="72"/>
      <c r="K576" s="72"/>
      <c r="L576" s="72"/>
      <c r="M576" s="72"/>
      <c r="N576" s="72"/>
      <c r="O576" s="72"/>
      <c r="P576" s="72"/>
      <c r="Q576" s="72"/>
    </row>
    <row r="577">
      <c r="J577" s="72"/>
      <c r="K577" s="72"/>
      <c r="L577" s="72"/>
      <c r="M577" s="72"/>
      <c r="N577" s="72"/>
      <c r="O577" s="72"/>
      <c r="P577" s="72"/>
      <c r="Q577" s="72"/>
    </row>
    <row r="578">
      <c r="J578" s="72"/>
      <c r="K578" s="72"/>
      <c r="L578" s="72"/>
      <c r="M578" s="72"/>
      <c r="N578" s="72"/>
      <c r="O578" s="72"/>
      <c r="P578" s="72"/>
      <c r="Q578" s="72"/>
    </row>
    <row r="579">
      <c r="J579" s="72"/>
      <c r="K579" s="72"/>
      <c r="L579" s="72"/>
      <c r="M579" s="72"/>
      <c r="N579" s="72"/>
      <c r="O579" s="72"/>
      <c r="P579" s="72"/>
      <c r="Q579" s="72"/>
    </row>
    <row r="580">
      <c r="J580" s="72"/>
      <c r="K580" s="72"/>
      <c r="L580" s="72"/>
      <c r="M580" s="72"/>
      <c r="N580" s="72"/>
      <c r="O580" s="72"/>
      <c r="P580" s="72"/>
      <c r="Q580" s="72"/>
    </row>
    <row r="581">
      <c r="J581" s="72"/>
      <c r="K581" s="72"/>
      <c r="L581" s="72"/>
      <c r="M581" s="72"/>
      <c r="N581" s="72"/>
      <c r="O581" s="72"/>
      <c r="P581" s="72"/>
      <c r="Q581" s="72"/>
    </row>
    <row r="582">
      <c r="J582" s="72"/>
      <c r="K582" s="72"/>
      <c r="L582" s="72"/>
      <c r="M582" s="72"/>
      <c r="N582" s="72"/>
      <c r="O582" s="72"/>
      <c r="P582" s="72"/>
      <c r="Q582" s="72"/>
    </row>
    <row r="583">
      <c r="J583" s="72"/>
      <c r="K583" s="72"/>
      <c r="L583" s="72"/>
      <c r="M583" s="72"/>
      <c r="N583" s="72"/>
      <c r="O583" s="72"/>
      <c r="P583" s="72"/>
      <c r="Q583" s="72"/>
    </row>
    <row r="584">
      <c r="J584" s="72"/>
      <c r="K584" s="72"/>
      <c r="L584" s="72"/>
      <c r="M584" s="72"/>
      <c r="N584" s="72"/>
      <c r="O584" s="72"/>
      <c r="P584" s="72"/>
      <c r="Q584" s="72"/>
    </row>
    <row r="585">
      <c r="J585" s="72"/>
      <c r="K585" s="72"/>
      <c r="L585" s="72"/>
      <c r="M585" s="72"/>
      <c r="N585" s="72"/>
      <c r="O585" s="72"/>
      <c r="P585" s="72"/>
      <c r="Q585" s="72"/>
    </row>
    <row r="586">
      <c r="J586" s="72"/>
      <c r="K586" s="72"/>
      <c r="L586" s="72"/>
      <c r="M586" s="72"/>
      <c r="N586" s="72"/>
      <c r="O586" s="72"/>
      <c r="P586" s="72"/>
      <c r="Q586" s="72"/>
    </row>
    <row r="587">
      <c r="J587" s="72"/>
      <c r="K587" s="72"/>
      <c r="L587" s="72"/>
      <c r="M587" s="72"/>
      <c r="N587" s="72"/>
      <c r="O587" s="72"/>
      <c r="P587" s="72"/>
      <c r="Q587" s="72"/>
    </row>
    <row r="588">
      <c r="J588" s="72"/>
      <c r="K588" s="72"/>
      <c r="L588" s="72"/>
      <c r="M588" s="72"/>
      <c r="N588" s="72"/>
      <c r="O588" s="72"/>
      <c r="P588" s="72"/>
      <c r="Q588" s="72"/>
    </row>
    <row r="589">
      <c r="J589" s="72"/>
      <c r="K589" s="72"/>
      <c r="L589" s="72"/>
      <c r="M589" s="72"/>
      <c r="N589" s="72"/>
      <c r="O589" s="72"/>
      <c r="P589" s="72"/>
      <c r="Q589" s="72"/>
    </row>
    <row r="590">
      <c r="J590" s="72"/>
      <c r="K590" s="72"/>
      <c r="L590" s="72"/>
      <c r="M590" s="72"/>
      <c r="N590" s="72"/>
      <c r="O590" s="72"/>
      <c r="P590" s="72"/>
      <c r="Q590" s="72"/>
    </row>
    <row r="591">
      <c r="J591" s="72"/>
      <c r="K591" s="72"/>
      <c r="L591" s="72"/>
      <c r="M591" s="72"/>
      <c r="N591" s="72"/>
      <c r="O591" s="72"/>
      <c r="P591" s="72"/>
      <c r="Q591" s="72"/>
    </row>
    <row r="592">
      <c r="J592" s="72"/>
      <c r="K592" s="72"/>
      <c r="L592" s="72"/>
      <c r="M592" s="72"/>
      <c r="N592" s="72"/>
      <c r="O592" s="72"/>
      <c r="P592" s="72"/>
      <c r="Q592" s="72"/>
    </row>
    <row r="593">
      <c r="J593" s="72"/>
      <c r="K593" s="72"/>
      <c r="L593" s="72"/>
      <c r="M593" s="72"/>
      <c r="N593" s="72"/>
      <c r="O593" s="72"/>
      <c r="P593" s="72"/>
      <c r="Q593" s="72"/>
    </row>
    <row r="594">
      <c r="J594" s="72"/>
      <c r="K594" s="72"/>
      <c r="L594" s="72"/>
      <c r="M594" s="72"/>
      <c r="N594" s="72"/>
      <c r="O594" s="72"/>
      <c r="P594" s="72"/>
      <c r="Q594" s="72"/>
    </row>
    <row r="595">
      <c r="J595" s="72"/>
      <c r="K595" s="72"/>
      <c r="L595" s="72"/>
      <c r="M595" s="72"/>
      <c r="N595" s="72"/>
      <c r="O595" s="72"/>
      <c r="P595" s="72"/>
      <c r="Q595" s="72"/>
    </row>
    <row r="596">
      <c r="J596" s="72"/>
      <c r="K596" s="72"/>
      <c r="L596" s="72"/>
      <c r="M596" s="72"/>
      <c r="N596" s="72"/>
      <c r="O596" s="72"/>
      <c r="P596" s="72"/>
      <c r="Q596" s="72"/>
    </row>
    <row r="597">
      <c r="J597" s="72"/>
      <c r="K597" s="72"/>
      <c r="L597" s="72"/>
      <c r="M597" s="72"/>
      <c r="N597" s="72"/>
      <c r="O597" s="72"/>
      <c r="P597" s="72"/>
      <c r="Q597" s="72"/>
    </row>
    <row r="598">
      <c r="J598" s="72"/>
      <c r="K598" s="72"/>
      <c r="L598" s="72"/>
      <c r="M598" s="72"/>
      <c r="N598" s="72"/>
      <c r="O598" s="72"/>
      <c r="P598" s="72"/>
      <c r="Q598" s="72"/>
    </row>
    <row r="599">
      <c r="J599" s="72"/>
      <c r="K599" s="72"/>
      <c r="L599" s="72"/>
      <c r="M599" s="72"/>
      <c r="N599" s="72"/>
      <c r="O599" s="72"/>
      <c r="P599" s="72"/>
      <c r="Q599" s="72"/>
    </row>
    <row r="600">
      <c r="J600" s="72"/>
      <c r="K600" s="72"/>
      <c r="L600" s="72"/>
      <c r="M600" s="72"/>
      <c r="N600" s="72"/>
      <c r="O600" s="72"/>
      <c r="P600" s="72"/>
      <c r="Q600" s="72"/>
    </row>
    <row r="601">
      <c r="J601" s="72"/>
      <c r="K601" s="72"/>
      <c r="L601" s="72"/>
      <c r="M601" s="72"/>
      <c r="N601" s="72"/>
      <c r="O601" s="72"/>
      <c r="P601" s="72"/>
      <c r="Q601" s="72"/>
    </row>
    <row r="602">
      <c r="J602" s="72"/>
      <c r="K602" s="72"/>
      <c r="L602" s="72"/>
      <c r="M602" s="72"/>
      <c r="N602" s="72"/>
      <c r="O602" s="72"/>
      <c r="P602" s="72"/>
      <c r="Q602" s="72"/>
    </row>
    <row r="603">
      <c r="J603" s="72"/>
      <c r="K603" s="72"/>
      <c r="L603" s="72"/>
      <c r="M603" s="72"/>
      <c r="N603" s="72"/>
      <c r="O603" s="72"/>
      <c r="P603" s="72"/>
      <c r="Q603" s="72"/>
    </row>
    <row r="604">
      <c r="J604" s="72"/>
      <c r="K604" s="72"/>
      <c r="L604" s="72"/>
      <c r="M604" s="72"/>
      <c r="N604" s="72"/>
      <c r="O604" s="72"/>
      <c r="P604" s="72"/>
      <c r="Q604" s="72"/>
    </row>
    <row r="605">
      <c r="J605" s="72"/>
      <c r="K605" s="72"/>
      <c r="L605" s="72"/>
      <c r="M605" s="72"/>
      <c r="N605" s="72"/>
      <c r="O605" s="72"/>
      <c r="P605" s="72"/>
      <c r="Q605" s="72"/>
    </row>
    <row r="606">
      <c r="J606" s="72"/>
      <c r="K606" s="72"/>
      <c r="L606" s="72"/>
      <c r="M606" s="72"/>
      <c r="N606" s="72"/>
      <c r="O606" s="72"/>
      <c r="P606" s="72"/>
      <c r="Q606" s="72"/>
    </row>
    <row r="607">
      <c r="J607" s="72"/>
      <c r="K607" s="72"/>
      <c r="L607" s="72"/>
      <c r="M607" s="72"/>
      <c r="N607" s="72"/>
      <c r="O607" s="72"/>
      <c r="P607" s="72"/>
      <c r="Q607" s="72"/>
    </row>
    <row r="608">
      <c r="J608" s="72"/>
      <c r="K608" s="72"/>
      <c r="L608" s="72"/>
      <c r="M608" s="72"/>
      <c r="N608" s="72"/>
      <c r="O608" s="72"/>
      <c r="P608" s="72"/>
      <c r="Q608" s="72"/>
    </row>
    <row r="609">
      <c r="J609" s="72"/>
      <c r="K609" s="72"/>
      <c r="L609" s="72"/>
      <c r="M609" s="72"/>
      <c r="N609" s="72"/>
      <c r="O609" s="72"/>
      <c r="P609" s="72"/>
      <c r="Q609" s="72"/>
    </row>
    <row r="610">
      <c r="J610" s="72"/>
      <c r="K610" s="72"/>
      <c r="L610" s="72"/>
      <c r="M610" s="72"/>
      <c r="N610" s="72"/>
      <c r="O610" s="72"/>
      <c r="P610" s="72"/>
      <c r="Q610" s="72"/>
    </row>
    <row r="611">
      <c r="J611" s="72"/>
      <c r="K611" s="72"/>
      <c r="L611" s="72"/>
      <c r="M611" s="72"/>
      <c r="N611" s="72"/>
      <c r="O611" s="72"/>
      <c r="P611" s="72"/>
      <c r="Q611" s="72"/>
    </row>
    <row r="612">
      <c r="J612" s="72"/>
      <c r="K612" s="72"/>
      <c r="L612" s="72"/>
      <c r="M612" s="72"/>
      <c r="N612" s="72"/>
      <c r="O612" s="72"/>
      <c r="P612" s="72"/>
      <c r="Q612" s="72"/>
    </row>
    <row r="613">
      <c r="J613" s="72"/>
      <c r="K613" s="72"/>
      <c r="L613" s="72"/>
      <c r="M613" s="72"/>
      <c r="N613" s="72"/>
      <c r="O613" s="72"/>
      <c r="P613" s="72"/>
      <c r="Q613" s="72"/>
    </row>
    <row r="614">
      <c r="J614" s="72"/>
      <c r="K614" s="72"/>
      <c r="L614" s="72"/>
      <c r="M614" s="72"/>
      <c r="N614" s="72"/>
      <c r="O614" s="72"/>
      <c r="P614" s="72"/>
      <c r="Q614" s="72"/>
    </row>
    <row r="615">
      <c r="J615" s="72"/>
      <c r="K615" s="72"/>
      <c r="L615" s="72"/>
      <c r="M615" s="72"/>
      <c r="N615" s="72"/>
      <c r="O615" s="72"/>
      <c r="P615" s="72"/>
      <c r="Q615" s="72"/>
    </row>
    <row r="616">
      <c r="J616" s="72"/>
      <c r="K616" s="72"/>
      <c r="L616" s="72"/>
      <c r="M616" s="72"/>
      <c r="N616" s="72"/>
      <c r="O616" s="72"/>
      <c r="P616" s="72"/>
      <c r="Q616" s="72"/>
    </row>
    <row r="617">
      <c r="J617" s="72"/>
      <c r="K617" s="72"/>
      <c r="L617" s="72"/>
      <c r="M617" s="72"/>
      <c r="N617" s="72"/>
      <c r="O617" s="72"/>
      <c r="P617" s="72"/>
      <c r="Q617" s="72"/>
    </row>
    <row r="618">
      <c r="J618" s="72"/>
      <c r="K618" s="72"/>
      <c r="L618" s="72"/>
      <c r="M618" s="72"/>
      <c r="N618" s="72"/>
      <c r="O618" s="72"/>
      <c r="P618" s="72"/>
      <c r="Q618" s="72"/>
    </row>
    <row r="619">
      <c r="J619" s="72"/>
      <c r="K619" s="72"/>
      <c r="L619" s="72"/>
      <c r="M619" s="72"/>
      <c r="N619" s="72"/>
      <c r="O619" s="72"/>
      <c r="P619" s="72"/>
      <c r="Q619" s="72"/>
    </row>
    <row r="620">
      <c r="J620" s="72"/>
      <c r="K620" s="72"/>
      <c r="L620" s="72"/>
      <c r="M620" s="72"/>
      <c r="N620" s="72"/>
      <c r="O620" s="72"/>
      <c r="P620" s="72"/>
      <c r="Q620" s="72"/>
    </row>
    <row r="621">
      <c r="J621" s="72"/>
      <c r="K621" s="72"/>
      <c r="L621" s="72"/>
      <c r="M621" s="72"/>
      <c r="N621" s="72"/>
      <c r="O621" s="72"/>
      <c r="P621" s="72"/>
      <c r="Q621" s="72"/>
    </row>
    <row r="622">
      <c r="J622" s="72"/>
      <c r="K622" s="72"/>
      <c r="L622" s="72"/>
      <c r="M622" s="72"/>
      <c r="N622" s="72"/>
      <c r="O622" s="72"/>
      <c r="P622" s="72"/>
      <c r="Q622" s="72"/>
    </row>
    <row r="623">
      <c r="J623" s="72"/>
      <c r="K623" s="72"/>
      <c r="L623" s="72"/>
      <c r="M623" s="72"/>
      <c r="N623" s="72"/>
      <c r="O623" s="72"/>
      <c r="P623" s="72"/>
      <c r="Q623" s="72"/>
    </row>
    <row r="624">
      <c r="J624" s="72"/>
      <c r="K624" s="72"/>
      <c r="L624" s="72"/>
      <c r="M624" s="72"/>
      <c r="N624" s="72"/>
      <c r="O624" s="72"/>
      <c r="P624" s="72"/>
      <c r="Q624" s="72"/>
    </row>
    <row r="625">
      <c r="J625" s="72"/>
      <c r="K625" s="72"/>
      <c r="L625" s="72"/>
      <c r="M625" s="72"/>
      <c r="N625" s="72"/>
      <c r="O625" s="72"/>
      <c r="P625" s="72"/>
      <c r="Q625" s="72"/>
    </row>
    <row r="626">
      <c r="J626" s="72"/>
      <c r="K626" s="72"/>
      <c r="L626" s="72"/>
      <c r="M626" s="72"/>
      <c r="N626" s="72"/>
      <c r="O626" s="72"/>
      <c r="P626" s="72"/>
      <c r="Q626" s="72"/>
    </row>
    <row r="627">
      <c r="J627" s="72"/>
      <c r="K627" s="72"/>
      <c r="L627" s="72"/>
      <c r="M627" s="72"/>
      <c r="N627" s="72"/>
      <c r="O627" s="72"/>
      <c r="P627" s="72"/>
      <c r="Q627" s="72"/>
    </row>
    <row r="628">
      <c r="J628" s="72"/>
      <c r="K628" s="72"/>
      <c r="L628" s="72"/>
      <c r="M628" s="72"/>
      <c r="N628" s="72"/>
      <c r="O628" s="72"/>
      <c r="P628" s="72"/>
      <c r="Q628" s="72"/>
    </row>
    <row r="629">
      <c r="J629" s="72"/>
      <c r="K629" s="72"/>
      <c r="L629" s="72"/>
      <c r="M629" s="72"/>
      <c r="N629" s="72"/>
      <c r="O629" s="72"/>
      <c r="P629" s="72"/>
      <c r="Q629" s="72"/>
    </row>
    <row r="630">
      <c r="J630" s="72"/>
      <c r="K630" s="72"/>
      <c r="L630" s="72"/>
      <c r="M630" s="72"/>
      <c r="N630" s="72"/>
      <c r="O630" s="72"/>
      <c r="P630" s="72"/>
      <c r="Q630" s="72"/>
    </row>
    <row r="631">
      <c r="J631" s="72"/>
      <c r="K631" s="72"/>
      <c r="L631" s="72"/>
      <c r="M631" s="72"/>
      <c r="N631" s="72"/>
      <c r="O631" s="72"/>
      <c r="P631" s="72"/>
      <c r="Q631" s="72"/>
    </row>
    <row r="632">
      <c r="J632" s="72"/>
      <c r="K632" s="72"/>
      <c r="L632" s="72"/>
      <c r="M632" s="72"/>
      <c r="N632" s="72"/>
      <c r="O632" s="72"/>
      <c r="P632" s="72"/>
      <c r="Q632" s="72"/>
    </row>
    <row r="633">
      <c r="J633" s="72"/>
      <c r="K633" s="72"/>
      <c r="L633" s="72"/>
      <c r="M633" s="72"/>
      <c r="N633" s="72"/>
      <c r="O633" s="72"/>
      <c r="P633" s="72"/>
      <c r="Q633" s="72"/>
    </row>
    <row r="634">
      <c r="J634" s="72"/>
      <c r="K634" s="72"/>
      <c r="L634" s="72"/>
      <c r="M634" s="72"/>
      <c r="N634" s="72"/>
      <c r="O634" s="72"/>
      <c r="P634" s="72"/>
      <c r="Q634" s="72"/>
    </row>
    <row r="635">
      <c r="J635" s="72"/>
      <c r="K635" s="72"/>
      <c r="L635" s="72"/>
      <c r="M635" s="72"/>
      <c r="N635" s="72"/>
      <c r="O635" s="72"/>
      <c r="P635" s="72"/>
      <c r="Q635" s="72"/>
    </row>
    <row r="636">
      <c r="J636" s="72"/>
      <c r="K636" s="72"/>
      <c r="L636" s="72"/>
      <c r="M636" s="72"/>
      <c r="N636" s="72"/>
      <c r="O636" s="72"/>
      <c r="P636" s="72"/>
      <c r="Q636" s="72"/>
    </row>
    <row r="637">
      <c r="J637" s="72"/>
      <c r="K637" s="72"/>
      <c r="L637" s="72"/>
      <c r="M637" s="72"/>
      <c r="N637" s="72"/>
      <c r="O637" s="72"/>
      <c r="P637" s="72"/>
      <c r="Q637" s="72"/>
    </row>
    <row r="638">
      <c r="J638" s="72"/>
      <c r="K638" s="72"/>
      <c r="L638" s="72"/>
      <c r="M638" s="72"/>
      <c r="N638" s="72"/>
      <c r="O638" s="72"/>
      <c r="P638" s="72"/>
      <c r="Q638" s="72"/>
    </row>
    <row r="639">
      <c r="J639" s="72"/>
      <c r="K639" s="72"/>
      <c r="L639" s="72"/>
      <c r="M639" s="72"/>
      <c r="N639" s="72"/>
      <c r="O639" s="72"/>
      <c r="P639" s="72"/>
      <c r="Q639" s="72"/>
    </row>
    <row r="640">
      <c r="J640" s="72"/>
      <c r="K640" s="72"/>
      <c r="L640" s="72"/>
      <c r="M640" s="72"/>
      <c r="N640" s="72"/>
      <c r="O640" s="72"/>
      <c r="P640" s="72"/>
      <c r="Q640" s="72"/>
    </row>
    <row r="641">
      <c r="J641" s="72"/>
      <c r="K641" s="72"/>
      <c r="L641" s="72"/>
      <c r="M641" s="72"/>
      <c r="N641" s="72"/>
      <c r="O641" s="72"/>
      <c r="P641" s="72"/>
      <c r="Q641" s="72"/>
    </row>
    <row r="642">
      <c r="J642" s="72"/>
      <c r="K642" s="72"/>
      <c r="L642" s="72"/>
      <c r="M642" s="72"/>
      <c r="N642" s="72"/>
      <c r="O642" s="72"/>
      <c r="P642" s="72"/>
      <c r="Q642" s="72"/>
    </row>
    <row r="643">
      <c r="J643" s="72"/>
      <c r="K643" s="72"/>
      <c r="L643" s="72"/>
      <c r="M643" s="72"/>
      <c r="N643" s="72"/>
      <c r="O643" s="72"/>
      <c r="P643" s="72"/>
      <c r="Q643" s="72"/>
    </row>
    <row r="644">
      <c r="J644" s="72"/>
      <c r="K644" s="72"/>
      <c r="L644" s="72"/>
      <c r="M644" s="72"/>
      <c r="N644" s="72"/>
      <c r="O644" s="72"/>
      <c r="P644" s="72"/>
      <c r="Q644" s="72"/>
    </row>
    <row r="645">
      <c r="J645" s="72"/>
      <c r="K645" s="72"/>
      <c r="L645" s="72"/>
      <c r="M645" s="72"/>
      <c r="N645" s="72"/>
      <c r="O645" s="72"/>
      <c r="P645" s="72"/>
      <c r="Q645" s="72"/>
    </row>
    <row r="646">
      <c r="J646" s="72"/>
      <c r="K646" s="72"/>
      <c r="L646" s="72"/>
      <c r="M646" s="72"/>
      <c r="N646" s="72"/>
      <c r="O646" s="72"/>
      <c r="P646" s="72"/>
      <c r="Q646" s="72"/>
    </row>
    <row r="647">
      <c r="J647" s="72"/>
      <c r="K647" s="72"/>
      <c r="L647" s="72"/>
      <c r="M647" s="72"/>
      <c r="N647" s="72"/>
      <c r="O647" s="72"/>
      <c r="P647" s="72"/>
      <c r="Q647" s="72"/>
    </row>
    <row r="648">
      <c r="J648" s="72"/>
      <c r="K648" s="72"/>
      <c r="L648" s="72"/>
      <c r="M648" s="72"/>
      <c r="N648" s="72"/>
      <c r="O648" s="72"/>
      <c r="P648" s="72"/>
      <c r="Q648" s="72"/>
    </row>
    <row r="649">
      <c r="J649" s="72"/>
      <c r="K649" s="72"/>
      <c r="L649" s="72"/>
      <c r="M649" s="72"/>
      <c r="N649" s="72"/>
      <c r="O649" s="72"/>
      <c r="P649" s="72"/>
      <c r="Q649" s="72"/>
    </row>
    <row r="650">
      <c r="J650" s="72"/>
      <c r="K650" s="72"/>
      <c r="L650" s="72"/>
      <c r="M650" s="72"/>
      <c r="N650" s="72"/>
      <c r="O650" s="72"/>
      <c r="P650" s="72"/>
      <c r="Q650" s="72"/>
    </row>
    <row r="651">
      <c r="J651" s="72"/>
      <c r="K651" s="72"/>
      <c r="L651" s="72"/>
      <c r="M651" s="72"/>
      <c r="N651" s="72"/>
      <c r="O651" s="72"/>
      <c r="P651" s="72"/>
      <c r="Q651" s="72"/>
    </row>
    <row r="652">
      <c r="J652" s="72"/>
      <c r="K652" s="72"/>
      <c r="L652" s="72"/>
      <c r="M652" s="72"/>
      <c r="N652" s="72"/>
      <c r="O652" s="72"/>
      <c r="P652" s="72"/>
      <c r="Q652" s="72"/>
    </row>
    <row r="653">
      <c r="J653" s="72"/>
      <c r="K653" s="72"/>
      <c r="L653" s="72"/>
      <c r="M653" s="72"/>
      <c r="N653" s="72"/>
      <c r="O653" s="72"/>
      <c r="P653" s="72"/>
      <c r="Q653" s="72"/>
    </row>
    <row r="654">
      <c r="J654" s="72"/>
      <c r="K654" s="72"/>
      <c r="L654" s="72"/>
      <c r="M654" s="72"/>
      <c r="N654" s="72"/>
      <c r="O654" s="72"/>
      <c r="P654" s="72"/>
      <c r="Q654" s="72"/>
    </row>
    <row r="655">
      <c r="J655" s="72"/>
      <c r="K655" s="72"/>
      <c r="L655" s="72"/>
      <c r="M655" s="72"/>
      <c r="N655" s="72"/>
      <c r="O655" s="72"/>
      <c r="P655" s="72"/>
      <c r="Q655" s="72"/>
    </row>
    <row r="656">
      <c r="J656" s="72"/>
      <c r="K656" s="72"/>
      <c r="L656" s="72"/>
      <c r="M656" s="72"/>
      <c r="N656" s="72"/>
      <c r="O656" s="72"/>
      <c r="P656" s="72"/>
      <c r="Q656" s="72"/>
    </row>
    <row r="657">
      <c r="J657" s="72"/>
      <c r="K657" s="72"/>
      <c r="L657" s="72"/>
      <c r="M657" s="72"/>
      <c r="N657" s="72"/>
      <c r="O657" s="72"/>
      <c r="P657" s="72"/>
      <c r="Q657" s="72"/>
    </row>
    <row r="658">
      <c r="J658" s="72"/>
      <c r="K658" s="72"/>
      <c r="L658" s="72"/>
      <c r="M658" s="72"/>
      <c r="N658" s="72"/>
      <c r="O658" s="72"/>
      <c r="P658" s="72"/>
      <c r="Q658" s="72"/>
    </row>
    <row r="659">
      <c r="J659" s="72"/>
      <c r="K659" s="72"/>
      <c r="L659" s="72"/>
      <c r="M659" s="72"/>
      <c r="N659" s="72"/>
      <c r="O659" s="72"/>
      <c r="P659" s="72"/>
      <c r="Q659" s="72"/>
    </row>
    <row r="660">
      <c r="J660" s="72"/>
      <c r="K660" s="72"/>
      <c r="L660" s="72"/>
      <c r="M660" s="72"/>
      <c r="N660" s="72"/>
      <c r="O660" s="72"/>
      <c r="P660" s="72"/>
      <c r="Q660" s="72"/>
    </row>
    <row r="661">
      <c r="J661" s="72"/>
      <c r="K661" s="72"/>
      <c r="L661" s="72"/>
      <c r="M661" s="72"/>
      <c r="N661" s="72"/>
      <c r="O661" s="72"/>
      <c r="P661" s="72"/>
      <c r="Q661" s="72"/>
    </row>
    <row r="662">
      <c r="J662" s="72"/>
      <c r="K662" s="72"/>
      <c r="L662" s="72"/>
      <c r="M662" s="72"/>
      <c r="N662" s="72"/>
      <c r="O662" s="72"/>
      <c r="P662" s="72"/>
      <c r="Q662" s="72"/>
    </row>
    <row r="663">
      <c r="J663" s="72"/>
      <c r="K663" s="72"/>
      <c r="L663" s="72"/>
      <c r="M663" s="72"/>
      <c r="N663" s="72"/>
      <c r="O663" s="72"/>
      <c r="P663" s="72"/>
      <c r="Q663" s="72"/>
    </row>
    <row r="664">
      <c r="J664" s="72"/>
      <c r="K664" s="72"/>
      <c r="L664" s="72"/>
      <c r="M664" s="72"/>
      <c r="N664" s="72"/>
      <c r="O664" s="72"/>
      <c r="P664" s="72"/>
      <c r="Q664" s="72"/>
    </row>
    <row r="665">
      <c r="J665" s="72"/>
      <c r="K665" s="72"/>
      <c r="L665" s="72"/>
      <c r="M665" s="72"/>
      <c r="N665" s="72"/>
      <c r="O665" s="72"/>
      <c r="P665" s="72"/>
      <c r="Q665" s="72"/>
    </row>
    <row r="666">
      <c r="J666" s="72"/>
      <c r="K666" s="72"/>
      <c r="L666" s="72"/>
      <c r="M666" s="72"/>
      <c r="N666" s="72"/>
      <c r="O666" s="72"/>
      <c r="P666" s="72"/>
      <c r="Q666" s="72"/>
    </row>
    <row r="667">
      <c r="J667" s="72"/>
      <c r="K667" s="72"/>
      <c r="L667" s="72"/>
      <c r="M667" s="72"/>
      <c r="N667" s="72"/>
      <c r="O667" s="72"/>
      <c r="P667" s="72"/>
      <c r="Q667" s="72"/>
    </row>
    <row r="668">
      <c r="J668" s="72"/>
      <c r="K668" s="72"/>
      <c r="L668" s="72"/>
      <c r="M668" s="72"/>
      <c r="N668" s="72"/>
      <c r="O668" s="72"/>
      <c r="P668" s="72"/>
      <c r="Q668" s="72"/>
    </row>
    <row r="669">
      <c r="J669" s="72"/>
      <c r="K669" s="72"/>
      <c r="L669" s="72"/>
      <c r="M669" s="72"/>
      <c r="N669" s="72"/>
      <c r="O669" s="72"/>
      <c r="P669" s="72"/>
      <c r="Q669" s="72"/>
    </row>
    <row r="670">
      <c r="J670" s="72"/>
      <c r="K670" s="72"/>
      <c r="L670" s="72"/>
      <c r="M670" s="72"/>
      <c r="N670" s="72"/>
      <c r="O670" s="72"/>
      <c r="P670" s="72"/>
      <c r="Q670" s="72"/>
    </row>
    <row r="671">
      <c r="J671" s="72"/>
      <c r="K671" s="72"/>
      <c r="L671" s="72"/>
      <c r="M671" s="72"/>
      <c r="N671" s="72"/>
      <c r="O671" s="72"/>
      <c r="P671" s="72"/>
      <c r="Q671" s="72"/>
    </row>
    <row r="672">
      <c r="J672" s="72"/>
      <c r="K672" s="72"/>
      <c r="L672" s="72"/>
      <c r="M672" s="72"/>
      <c r="N672" s="72"/>
      <c r="O672" s="72"/>
      <c r="P672" s="72"/>
      <c r="Q672" s="72"/>
    </row>
    <row r="673">
      <c r="J673" s="72"/>
      <c r="K673" s="72"/>
      <c r="L673" s="72"/>
      <c r="M673" s="72"/>
      <c r="N673" s="72"/>
      <c r="O673" s="72"/>
      <c r="P673" s="72"/>
      <c r="Q673" s="72"/>
    </row>
    <row r="674">
      <c r="J674" s="72"/>
      <c r="K674" s="72"/>
      <c r="L674" s="72"/>
      <c r="M674" s="72"/>
      <c r="N674" s="72"/>
      <c r="O674" s="72"/>
      <c r="P674" s="72"/>
      <c r="Q674" s="72"/>
    </row>
    <row r="675">
      <c r="J675" s="72"/>
      <c r="K675" s="72"/>
      <c r="L675" s="72"/>
      <c r="M675" s="72"/>
      <c r="N675" s="72"/>
      <c r="O675" s="72"/>
      <c r="P675" s="72"/>
      <c r="Q675" s="72"/>
    </row>
    <row r="676">
      <c r="J676" s="72"/>
      <c r="K676" s="72"/>
      <c r="L676" s="72"/>
      <c r="M676" s="72"/>
      <c r="N676" s="72"/>
      <c r="O676" s="72"/>
      <c r="P676" s="72"/>
      <c r="Q676" s="72"/>
    </row>
    <row r="677">
      <c r="J677" s="72"/>
      <c r="K677" s="72"/>
      <c r="L677" s="72"/>
      <c r="M677" s="72"/>
      <c r="N677" s="72"/>
      <c r="O677" s="72"/>
      <c r="P677" s="72"/>
      <c r="Q677" s="72"/>
    </row>
    <row r="678">
      <c r="J678" s="72"/>
      <c r="K678" s="72"/>
      <c r="L678" s="72"/>
      <c r="M678" s="72"/>
      <c r="N678" s="72"/>
      <c r="O678" s="72"/>
      <c r="P678" s="72"/>
      <c r="Q678" s="72"/>
    </row>
    <row r="679">
      <c r="J679" s="72"/>
      <c r="K679" s="72"/>
      <c r="L679" s="72"/>
      <c r="M679" s="72"/>
      <c r="N679" s="72"/>
      <c r="O679" s="72"/>
      <c r="P679" s="72"/>
      <c r="Q679" s="72"/>
    </row>
    <row r="680">
      <c r="J680" s="72"/>
      <c r="K680" s="72"/>
      <c r="L680" s="72"/>
      <c r="M680" s="72"/>
      <c r="N680" s="72"/>
      <c r="O680" s="72"/>
      <c r="P680" s="72"/>
      <c r="Q680" s="72"/>
    </row>
    <row r="681">
      <c r="J681" s="72"/>
      <c r="K681" s="72"/>
      <c r="L681" s="72"/>
      <c r="M681" s="72"/>
      <c r="N681" s="72"/>
      <c r="O681" s="72"/>
      <c r="P681" s="72"/>
      <c r="Q681" s="72"/>
    </row>
    <row r="682">
      <c r="J682" s="72"/>
      <c r="K682" s="72"/>
      <c r="L682" s="72"/>
      <c r="M682" s="72"/>
      <c r="N682" s="72"/>
      <c r="O682" s="72"/>
      <c r="P682" s="72"/>
      <c r="Q682" s="72"/>
    </row>
    <row r="683">
      <c r="J683" s="72"/>
      <c r="K683" s="72"/>
      <c r="L683" s="72"/>
      <c r="M683" s="72"/>
      <c r="N683" s="72"/>
      <c r="O683" s="72"/>
      <c r="P683" s="72"/>
      <c r="Q683" s="72"/>
    </row>
    <row r="684">
      <c r="J684" s="72"/>
      <c r="K684" s="72"/>
      <c r="L684" s="72"/>
      <c r="M684" s="72"/>
      <c r="N684" s="72"/>
      <c r="O684" s="72"/>
      <c r="P684" s="72"/>
      <c r="Q684" s="72"/>
    </row>
    <row r="685">
      <c r="J685" s="72"/>
      <c r="K685" s="72"/>
      <c r="L685" s="72"/>
      <c r="M685" s="72"/>
      <c r="N685" s="72"/>
      <c r="O685" s="72"/>
      <c r="P685" s="72"/>
      <c r="Q685" s="72"/>
    </row>
    <row r="686">
      <c r="J686" s="72"/>
      <c r="K686" s="72"/>
      <c r="L686" s="72"/>
      <c r="M686" s="72"/>
      <c r="N686" s="72"/>
      <c r="O686" s="72"/>
      <c r="P686" s="72"/>
      <c r="Q686" s="72"/>
    </row>
    <row r="687">
      <c r="J687" s="72"/>
      <c r="K687" s="72"/>
      <c r="L687" s="72"/>
      <c r="M687" s="72"/>
      <c r="N687" s="72"/>
      <c r="O687" s="72"/>
      <c r="P687" s="72"/>
      <c r="Q687" s="72"/>
    </row>
    <row r="688">
      <c r="J688" s="72"/>
      <c r="K688" s="72"/>
      <c r="L688" s="72"/>
      <c r="M688" s="72"/>
      <c r="N688" s="72"/>
      <c r="O688" s="72"/>
      <c r="P688" s="72"/>
      <c r="Q688" s="72"/>
    </row>
    <row r="689">
      <c r="J689" s="72"/>
      <c r="K689" s="72"/>
      <c r="L689" s="72"/>
      <c r="M689" s="72"/>
      <c r="N689" s="72"/>
      <c r="O689" s="72"/>
      <c r="P689" s="72"/>
      <c r="Q689" s="72"/>
    </row>
    <row r="690">
      <c r="J690" s="72"/>
      <c r="K690" s="72"/>
      <c r="L690" s="72"/>
      <c r="M690" s="72"/>
      <c r="N690" s="72"/>
      <c r="O690" s="72"/>
      <c r="P690" s="72"/>
      <c r="Q690" s="72"/>
    </row>
    <row r="691">
      <c r="J691" s="72"/>
      <c r="K691" s="72"/>
      <c r="L691" s="72"/>
      <c r="M691" s="72"/>
      <c r="N691" s="72"/>
      <c r="O691" s="72"/>
      <c r="P691" s="72"/>
      <c r="Q691" s="72"/>
    </row>
    <row r="692">
      <c r="J692" s="72"/>
      <c r="K692" s="72"/>
      <c r="L692" s="72"/>
      <c r="M692" s="72"/>
      <c r="N692" s="72"/>
      <c r="O692" s="72"/>
      <c r="P692" s="72"/>
      <c r="Q692" s="72"/>
    </row>
    <row r="693">
      <c r="J693" s="72"/>
      <c r="K693" s="72"/>
      <c r="L693" s="72"/>
      <c r="M693" s="72"/>
      <c r="N693" s="72"/>
      <c r="O693" s="72"/>
      <c r="P693" s="72"/>
      <c r="Q693" s="72"/>
    </row>
    <row r="694">
      <c r="J694" s="72"/>
      <c r="K694" s="72"/>
      <c r="L694" s="72"/>
      <c r="M694" s="72"/>
      <c r="N694" s="72"/>
      <c r="O694" s="72"/>
      <c r="P694" s="72"/>
      <c r="Q694" s="72"/>
    </row>
    <row r="695">
      <c r="J695" s="72"/>
      <c r="K695" s="72"/>
      <c r="L695" s="72"/>
      <c r="M695" s="72"/>
      <c r="N695" s="72"/>
      <c r="O695" s="72"/>
      <c r="P695" s="72"/>
      <c r="Q695" s="72"/>
    </row>
    <row r="696">
      <c r="J696" s="72"/>
      <c r="K696" s="72"/>
      <c r="L696" s="72"/>
      <c r="M696" s="72"/>
      <c r="N696" s="72"/>
      <c r="O696" s="72"/>
      <c r="P696" s="72"/>
      <c r="Q696" s="72"/>
    </row>
    <row r="697">
      <c r="J697" s="72"/>
      <c r="K697" s="72"/>
      <c r="L697" s="72"/>
      <c r="M697" s="72"/>
      <c r="N697" s="72"/>
      <c r="O697" s="72"/>
      <c r="P697" s="72"/>
      <c r="Q697" s="72"/>
    </row>
    <row r="698">
      <c r="J698" s="72"/>
      <c r="K698" s="72"/>
      <c r="L698" s="72"/>
      <c r="M698" s="72"/>
      <c r="N698" s="72"/>
      <c r="O698" s="72"/>
      <c r="P698" s="72"/>
      <c r="Q698" s="72"/>
    </row>
    <row r="699">
      <c r="J699" s="72"/>
      <c r="K699" s="72"/>
      <c r="L699" s="72"/>
      <c r="M699" s="72"/>
      <c r="N699" s="72"/>
      <c r="O699" s="72"/>
      <c r="P699" s="72"/>
      <c r="Q699" s="72"/>
    </row>
    <row r="700">
      <c r="J700" s="72"/>
      <c r="K700" s="72"/>
      <c r="L700" s="72"/>
      <c r="M700" s="72"/>
      <c r="N700" s="72"/>
      <c r="O700" s="72"/>
      <c r="P700" s="72"/>
      <c r="Q700" s="72"/>
    </row>
    <row r="701">
      <c r="J701" s="72"/>
      <c r="K701" s="72"/>
      <c r="L701" s="72"/>
      <c r="M701" s="72"/>
      <c r="N701" s="72"/>
      <c r="O701" s="72"/>
      <c r="P701" s="72"/>
      <c r="Q701" s="72"/>
    </row>
    <row r="702">
      <c r="J702" s="72"/>
      <c r="K702" s="72"/>
      <c r="L702" s="72"/>
      <c r="M702" s="72"/>
      <c r="N702" s="72"/>
      <c r="O702" s="72"/>
      <c r="P702" s="72"/>
      <c r="Q702" s="72"/>
    </row>
    <row r="703">
      <c r="J703" s="72"/>
      <c r="K703" s="72"/>
      <c r="L703" s="72"/>
      <c r="M703" s="72"/>
      <c r="N703" s="72"/>
      <c r="O703" s="72"/>
      <c r="P703" s="72"/>
      <c r="Q703" s="72"/>
    </row>
    <row r="704">
      <c r="J704" s="72"/>
      <c r="K704" s="72"/>
      <c r="L704" s="72"/>
      <c r="M704" s="72"/>
      <c r="N704" s="72"/>
      <c r="O704" s="72"/>
      <c r="P704" s="72"/>
      <c r="Q704" s="72"/>
    </row>
    <row r="705">
      <c r="J705" s="72"/>
      <c r="K705" s="72"/>
      <c r="L705" s="72"/>
      <c r="M705" s="72"/>
      <c r="N705" s="72"/>
      <c r="O705" s="72"/>
      <c r="P705" s="72"/>
      <c r="Q705" s="72"/>
    </row>
    <row r="706">
      <c r="J706" s="72"/>
      <c r="K706" s="72"/>
      <c r="L706" s="72"/>
      <c r="M706" s="72"/>
      <c r="N706" s="72"/>
      <c r="O706" s="72"/>
      <c r="P706" s="72"/>
      <c r="Q706" s="72"/>
    </row>
    <row r="707">
      <c r="J707" s="72"/>
      <c r="K707" s="72"/>
      <c r="L707" s="72"/>
      <c r="M707" s="72"/>
      <c r="N707" s="72"/>
      <c r="O707" s="72"/>
      <c r="P707" s="72"/>
      <c r="Q707" s="72"/>
    </row>
    <row r="708">
      <c r="J708" s="72"/>
      <c r="K708" s="72"/>
      <c r="L708" s="72"/>
      <c r="M708" s="72"/>
      <c r="N708" s="72"/>
      <c r="O708" s="72"/>
      <c r="P708" s="72"/>
      <c r="Q708" s="72"/>
    </row>
    <row r="709">
      <c r="J709" s="72"/>
      <c r="K709" s="72"/>
      <c r="L709" s="72"/>
      <c r="M709" s="72"/>
      <c r="N709" s="72"/>
      <c r="O709" s="72"/>
      <c r="P709" s="72"/>
      <c r="Q709" s="72"/>
    </row>
    <row r="710">
      <c r="J710" s="72"/>
      <c r="K710" s="72"/>
      <c r="L710" s="72"/>
      <c r="M710" s="72"/>
      <c r="N710" s="72"/>
      <c r="O710" s="72"/>
      <c r="P710" s="72"/>
      <c r="Q710" s="72"/>
    </row>
    <row r="711">
      <c r="J711" s="72"/>
      <c r="K711" s="72"/>
      <c r="L711" s="72"/>
      <c r="M711" s="72"/>
      <c r="N711" s="72"/>
      <c r="O711" s="72"/>
      <c r="P711" s="72"/>
      <c r="Q711" s="72"/>
    </row>
    <row r="712">
      <c r="J712" s="72"/>
      <c r="K712" s="72"/>
      <c r="L712" s="72"/>
      <c r="M712" s="72"/>
      <c r="N712" s="72"/>
      <c r="O712" s="72"/>
      <c r="P712" s="72"/>
      <c r="Q712" s="72"/>
    </row>
    <row r="713">
      <c r="J713" s="72"/>
      <c r="K713" s="72"/>
      <c r="L713" s="72"/>
      <c r="M713" s="72"/>
      <c r="N713" s="72"/>
      <c r="O713" s="72"/>
      <c r="P713" s="72"/>
      <c r="Q713" s="72"/>
    </row>
    <row r="714">
      <c r="J714" s="72"/>
      <c r="K714" s="72"/>
      <c r="L714" s="72"/>
      <c r="M714" s="72"/>
      <c r="N714" s="72"/>
      <c r="O714" s="72"/>
      <c r="P714" s="72"/>
      <c r="Q714" s="72"/>
    </row>
    <row r="715">
      <c r="J715" s="72"/>
      <c r="K715" s="72"/>
      <c r="L715" s="72"/>
      <c r="M715" s="72"/>
      <c r="N715" s="72"/>
      <c r="O715" s="72"/>
      <c r="P715" s="72"/>
      <c r="Q715" s="72"/>
    </row>
    <row r="716">
      <c r="J716" s="72"/>
      <c r="K716" s="72"/>
      <c r="L716" s="72"/>
      <c r="M716" s="72"/>
      <c r="N716" s="72"/>
      <c r="O716" s="72"/>
      <c r="P716" s="72"/>
      <c r="Q716" s="72"/>
    </row>
    <row r="717">
      <c r="J717" s="72"/>
      <c r="K717" s="72"/>
      <c r="L717" s="72"/>
      <c r="M717" s="72"/>
      <c r="N717" s="72"/>
      <c r="O717" s="72"/>
      <c r="P717" s="72"/>
      <c r="Q717" s="72"/>
    </row>
    <row r="718">
      <c r="J718" s="72"/>
      <c r="K718" s="72"/>
      <c r="L718" s="72"/>
      <c r="M718" s="72"/>
      <c r="N718" s="72"/>
      <c r="O718" s="72"/>
      <c r="P718" s="72"/>
      <c r="Q718" s="72"/>
    </row>
    <row r="719">
      <c r="J719" s="72"/>
      <c r="K719" s="72"/>
      <c r="L719" s="72"/>
      <c r="M719" s="72"/>
      <c r="N719" s="72"/>
      <c r="O719" s="72"/>
      <c r="P719" s="72"/>
      <c r="Q719" s="72"/>
    </row>
    <row r="720">
      <c r="J720" s="72"/>
      <c r="K720" s="72"/>
      <c r="L720" s="72"/>
      <c r="M720" s="72"/>
      <c r="N720" s="72"/>
      <c r="O720" s="72"/>
      <c r="P720" s="72"/>
      <c r="Q720" s="72"/>
    </row>
    <row r="721">
      <c r="J721" s="72"/>
      <c r="K721" s="72"/>
      <c r="L721" s="72"/>
      <c r="M721" s="72"/>
      <c r="N721" s="72"/>
      <c r="O721" s="72"/>
      <c r="P721" s="72"/>
      <c r="Q721" s="72"/>
    </row>
    <row r="722">
      <c r="J722" s="72"/>
      <c r="K722" s="72"/>
      <c r="L722" s="72"/>
      <c r="M722" s="72"/>
      <c r="N722" s="72"/>
      <c r="O722" s="72"/>
      <c r="P722" s="72"/>
      <c r="Q722" s="72"/>
    </row>
    <row r="723">
      <c r="J723" s="72"/>
      <c r="K723" s="72"/>
      <c r="L723" s="72"/>
      <c r="M723" s="72"/>
      <c r="N723" s="72"/>
      <c r="O723" s="72"/>
      <c r="P723" s="72"/>
      <c r="Q723" s="72"/>
    </row>
    <row r="724">
      <c r="J724" s="72"/>
      <c r="K724" s="72"/>
      <c r="L724" s="72"/>
      <c r="M724" s="72"/>
      <c r="N724" s="72"/>
      <c r="O724" s="72"/>
      <c r="P724" s="72"/>
      <c r="Q724" s="72"/>
    </row>
    <row r="725">
      <c r="J725" s="72"/>
      <c r="K725" s="72"/>
      <c r="L725" s="72"/>
      <c r="M725" s="72"/>
      <c r="N725" s="72"/>
      <c r="O725" s="72"/>
      <c r="P725" s="72"/>
      <c r="Q725" s="72"/>
    </row>
    <row r="726">
      <c r="J726" s="72"/>
      <c r="K726" s="72"/>
      <c r="L726" s="72"/>
      <c r="M726" s="72"/>
      <c r="N726" s="72"/>
      <c r="O726" s="72"/>
      <c r="P726" s="72"/>
      <c r="Q726" s="72"/>
    </row>
    <row r="727">
      <c r="J727" s="72"/>
      <c r="K727" s="72"/>
      <c r="L727" s="72"/>
      <c r="M727" s="72"/>
      <c r="N727" s="72"/>
      <c r="O727" s="72"/>
      <c r="P727" s="72"/>
      <c r="Q727" s="72"/>
    </row>
    <row r="728">
      <c r="J728" s="72"/>
      <c r="K728" s="72"/>
      <c r="L728" s="72"/>
      <c r="M728" s="72"/>
      <c r="N728" s="72"/>
      <c r="O728" s="72"/>
      <c r="P728" s="72"/>
      <c r="Q728" s="72"/>
    </row>
    <row r="729">
      <c r="J729" s="72"/>
      <c r="K729" s="72"/>
      <c r="L729" s="72"/>
      <c r="M729" s="72"/>
      <c r="N729" s="72"/>
      <c r="O729" s="72"/>
      <c r="P729" s="72"/>
      <c r="Q729" s="72"/>
    </row>
    <row r="730">
      <c r="J730" s="72"/>
      <c r="K730" s="72"/>
      <c r="L730" s="72"/>
      <c r="M730" s="72"/>
      <c r="N730" s="72"/>
      <c r="O730" s="72"/>
      <c r="P730" s="72"/>
      <c r="Q730" s="72"/>
    </row>
    <row r="731">
      <c r="J731" s="72"/>
      <c r="K731" s="72"/>
      <c r="L731" s="72"/>
      <c r="M731" s="72"/>
      <c r="N731" s="72"/>
      <c r="O731" s="72"/>
      <c r="P731" s="72"/>
      <c r="Q731" s="72"/>
    </row>
    <row r="732">
      <c r="J732" s="72"/>
      <c r="K732" s="72"/>
      <c r="L732" s="72"/>
      <c r="M732" s="72"/>
      <c r="N732" s="72"/>
      <c r="O732" s="72"/>
      <c r="P732" s="72"/>
      <c r="Q732" s="72"/>
    </row>
    <row r="733">
      <c r="J733" s="72"/>
      <c r="K733" s="72"/>
      <c r="L733" s="72"/>
      <c r="M733" s="72"/>
      <c r="N733" s="72"/>
      <c r="O733" s="72"/>
      <c r="P733" s="72"/>
      <c r="Q733" s="72"/>
    </row>
    <row r="734">
      <c r="J734" s="72"/>
      <c r="K734" s="72"/>
      <c r="L734" s="72"/>
      <c r="M734" s="72"/>
      <c r="N734" s="72"/>
      <c r="O734" s="72"/>
      <c r="P734" s="72"/>
      <c r="Q734" s="72"/>
    </row>
    <row r="735">
      <c r="J735" s="72"/>
      <c r="K735" s="72"/>
      <c r="L735" s="72"/>
      <c r="M735" s="72"/>
      <c r="N735" s="72"/>
      <c r="O735" s="72"/>
      <c r="P735" s="72"/>
      <c r="Q735" s="72"/>
    </row>
    <row r="736">
      <c r="J736" s="72"/>
      <c r="K736" s="72"/>
      <c r="L736" s="72"/>
      <c r="M736" s="72"/>
      <c r="N736" s="72"/>
      <c r="O736" s="72"/>
      <c r="P736" s="72"/>
      <c r="Q736" s="72"/>
    </row>
    <row r="737">
      <c r="J737" s="72"/>
      <c r="K737" s="72"/>
      <c r="L737" s="72"/>
      <c r="M737" s="72"/>
      <c r="N737" s="72"/>
      <c r="O737" s="72"/>
      <c r="P737" s="72"/>
      <c r="Q737" s="72"/>
    </row>
    <row r="738">
      <c r="J738" s="72"/>
      <c r="K738" s="72"/>
      <c r="L738" s="72"/>
      <c r="M738" s="72"/>
      <c r="N738" s="72"/>
      <c r="O738" s="72"/>
      <c r="P738" s="72"/>
      <c r="Q738" s="72"/>
    </row>
    <row r="739">
      <c r="J739" s="72"/>
      <c r="K739" s="72"/>
      <c r="L739" s="72"/>
      <c r="M739" s="72"/>
      <c r="N739" s="72"/>
      <c r="O739" s="72"/>
      <c r="P739" s="72"/>
      <c r="Q739" s="72"/>
    </row>
    <row r="740">
      <c r="J740" s="72"/>
      <c r="K740" s="72"/>
      <c r="L740" s="72"/>
      <c r="M740" s="72"/>
      <c r="N740" s="72"/>
      <c r="O740" s="72"/>
      <c r="P740" s="72"/>
      <c r="Q740" s="72"/>
    </row>
    <row r="741">
      <c r="J741" s="72"/>
      <c r="K741" s="72"/>
      <c r="L741" s="72"/>
      <c r="M741" s="72"/>
      <c r="N741" s="72"/>
      <c r="O741" s="72"/>
      <c r="P741" s="72"/>
      <c r="Q741" s="72"/>
    </row>
    <row r="742">
      <c r="J742" s="72"/>
      <c r="K742" s="72"/>
      <c r="L742" s="72"/>
      <c r="M742" s="72"/>
      <c r="N742" s="72"/>
      <c r="O742" s="72"/>
      <c r="P742" s="72"/>
      <c r="Q742" s="72"/>
    </row>
    <row r="743">
      <c r="J743" s="72"/>
      <c r="K743" s="72"/>
      <c r="L743" s="72"/>
      <c r="M743" s="72"/>
      <c r="N743" s="72"/>
      <c r="O743" s="72"/>
      <c r="P743" s="72"/>
      <c r="Q743" s="72"/>
    </row>
    <row r="744">
      <c r="J744" s="72"/>
      <c r="K744" s="72"/>
      <c r="L744" s="72"/>
      <c r="M744" s="72"/>
      <c r="N744" s="72"/>
      <c r="O744" s="72"/>
      <c r="P744" s="72"/>
      <c r="Q744" s="72"/>
    </row>
    <row r="745">
      <c r="J745" s="72"/>
      <c r="K745" s="72"/>
      <c r="L745" s="72"/>
      <c r="M745" s="72"/>
      <c r="N745" s="72"/>
      <c r="O745" s="72"/>
      <c r="P745" s="72"/>
      <c r="Q745" s="72"/>
    </row>
    <row r="746">
      <c r="J746" s="72"/>
      <c r="K746" s="72"/>
      <c r="L746" s="72"/>
      <c r="M746" s="72"/>
      <c r="N746" s="72"/>
      <c r="O746" s="72"/>
      <c r="P746" s="72"/>
      <c r="Q746" s="72"/>
    </row>
    <row r="747">
      <c r="J747" s="72"/>
      <c r="K747" s="72"/>
      <c r="L747" s="72"/>
      <c r="M747" s="72"/>
      <c r="N747" s="72"/>
      <c r="O747" s="72"/>
      <c r="P747" s="72"/>
      <c r="Q747" s="72"/>
    </row>
    <row r="748">
      <c r="J748" s="72"/>
      <c r="K748" s="72"/>
      <c r="L748" s="72"/>
      <c r="M748" s="72"/>
      <c r="N748" s="72"/>
      <c r="O748" s="72"/>
      <c r="P748" s="72"/>
      <c r="Q748" s="72"/>
    </row>
    <row r="749">
      <c r="J749" s="72"/>
      <c r="K749" s="72"/>
      <c r="L749" s="72"/>
      <c r="M749" s="72"/>
      <c r="N749" s="72"/>
      <c r="O749" s="72"/>
      <c r="P749" s="72"/>
      <c r="Q749" s="72"/>
    </row>
    <row r="750">
      <c r="J750" s="72"/>
      <c r="K750" s="72"/>
      <c r="L750" s="72"/>
      <c r="M750" s="72"/>
      <c r="N750" s="72"/>
      <c r="O750" s="72"/>
      <c r="P750" s="72"/>
      <c r="Q750" s="72"/>
    </row>
    <row r="751">
      <c r="J751" s="72"/>
      <c r="K751" s="72"/>
      <c r="L751" s="72"/>
      <c r="M751" s="72"/>
      <c r="N751" s="72"/>
      <c r="O751" s="72"/>
      <c r="P751" s="72"/>
      <c r="Q751" s="72"/>
    </row>
    <row r="752">
      <c r="J752" s="72"/>
      <c r="K752" s="72"/>
      <c r="L752" s="72"/>
      <c r="M752" s="72"/>
      <c r="N752" s="72"/>
      <c r="O752" s="72"/>
      <c r="P752" s="72"/>
      <c r="Q752" s="72"/>
    </row>
    <row r="753">
      <c r="J753" s="72"/>
      <c r="K753" s="72"/>
      <c r="L753" s="72"/>
      <c r="M753" s="72"/>
      <c r="N753" s="72"/>
      <c r="O753" s="72"/>
      <c r="P753" s="72"/>
      <c r="Q753" s="72"/>
    </row>
    <row r="754">
      <c r="J754" s="72"/>
      <c r="K754" s="72"/>
      <c r="L754" s="72"/>
      <c r="M754" s="72"/>
      <c r="N754" s="72"/>
      <c r="O754" s="72"/>
      <c r="P754" s="72"/>
      <c r="Q754" s="72"/>
    </row>
    <row r="755">
      <c r="J755" s="72"/>
      <c r="K755" s="72"/>
      <c r="L755" s="72"/>
      <c r="M755" s="72"/>
      <c r="N755" s="72"/>
      <c r="O755" s="72"/>
      <c r="P755" s="72"/>
      <c r="Q755" s="72"/>
    </row>
    <row r="756">
      <c r="J756" s="72"/>
      <c r="K756" s="72"/>
      <c r="L756" s="72"/>
      <c r="M756" s="72"/>
      <c r="N756" s="72"/>
      <c r="O756" s="72"/>
      <c r="P756" s="72"/>
      <c r="Q756" s="72"/>
    </row>
    <row r="757">
      <c r="J757" s="72"/>
      <c r="K757" s="72"/>
      <c r="L757" s="72"/>
      <c r="M757" s="72"/>
      <c r="N757" s="72"/>
      <c r="O757" s="72"/>
      <c r="P757" s="72"/>
      <c r="Q757" s="72"/>
    </row>
    <row r="758">
      <c r="J758" s="72"/>
      <c r="K758" s="72"/>
      <c r="L758" s="72"/>
      <c r="M758" s="72"/>
      <c r="N758" s="72"/>
      <c r="O758" s="72"/>
      <c r="P758" s="72"/>
      <c r="Q758" s="72"/>
    </row>
    <row r="759">
      <c r="J759" s="72"/>
      <c r="K759" s="72"/>
      <c r="L759" s="72"/>
      <c r="M759" s="72"/>
      <c r="N759" s="72"/>
      <c r="O759" s="72"/>
      <c r="P759" s="72"/>
      <c r="Q759" s="72"/>
    </row>
    <row r="760">
      <c r="J760" s="72"/>
      <c r="K760" s="72"/>
      <c r="L760" s="72"/>
      <c r="M760" s="72"/>
      <c r="N760" s="72"/>
      <c r="O760" s="72"/>
      <c r="P760" s="72"/>
      <c r="Q760" s="72"/>
    </row>
    <row r="761">
      <c r="J761" s="72"/>
      <c r="K761" s="72"/>
      <c r="L761" s="72"/>
      <c r="M761" s="72"/>
      <c r="N761" s="72"/>
      <c r="O761" s="72"/>
      <c r="P761" s="72"/>
      <c r="Q761" s="72"/>
    </row>
    <row r="762">
      <c r="J762" s="72"/>
      <c r="K762" s="72"/>
      <c r="L762" s="72"/>
      <c r="M762" s="72"/>
      <c r="N762" s="72"/>
      <c r="O762" s="72"/>
      <c r="P762" s="72"/>
      <c r="Q762" s="72"/>
    </row>
    <row r="763">
      <c r="J763" s="72"/>
      <c r="K763" s="72"/>
      <c r="L763" s="72"/>
      <c r="M763" s="72"/>
      <c r="N763" s="72"/>
      <c r="O763" s="72"/>
      <c r="P763" s="72"/>
      <c r="Q763" s="72"/>
    </row>
    <row r="764">
      <c r="J764" s="72"/>
      <c r="K764" s="72"/>
      <c r="L764" s="72"/>
      <c r="M764" s="72"/>
      <c r="N764" s="72"/>
      <c r="O764" s="72"/>
      <c r="P764" s="72"/>
      <c r="Q764" s="72"/>
    </row>
    <row r="765">
      <c r="J765" s="72"/>
      <c r="K765" s="72"/>
      <c r="L765" s="72"/>
      <c r="M765" s="72"/>
      <c r="N765" s="72"/>
      <c r="O765" s="72"/>
      <c r="P765" s="72"/>
      <c r="Q765" s="72"/>
    </row>
    <row r="766">
      <c r="J766" s="72"/>
      <c r="K766" s="72"/>
      <c r="L766" s="72"/>
      <c r="M766" s="72"/>
      <c r="N766" s="72"/>
      <c r="O766" s="72"/>
      <c r="P766" s="72"/>
      <c r="Q766" s="72"/>
    </row>
    <row r="767">
      <c r="J767" s="72"/>
      <c r="K767" s="72"/>
      <c r="L767" s="72"/>
      <c r="M767" s="72"/>
      <c r="N767" s="72"/>
      <c r="O767" s="72"/>
      <c r="P767" s="72"/>
      <c r="Q767" s="72"/>
    </row>
    <row r="768">
      <c r="J768" s="72"/>
      <c r="K768" s="72"/>
      <c r="L768" s="72"/>
      <c r="M768" s="72"/>
      <c r="N768" s="72"/>
      <c r="O768" s="72"/>
      <c r="P768" s="72"/>
      <c r="Q768" s="72"/>
    </row>
    <row r="769">
      <c r="J769" s="72"/>
      <c r="K769" s="72"/>
      <c r="L769" s="72"/>
      <c r="M769" s="72"/>
      <c r="N769" s="72"/>
      <c r="O769" s="72"/>
      <c r="P769" s="72"/>
      <c r="Q769" s="72"/>
    </row>
    <row r="770">
      <c r="J770" s="72"/>
      <c r="K770" s="72"/>
      <c r="L770" s="72"/>
      <c r="M770" s="72"/>
      <c r="N770" s="72"/>
      <c r="O770" s="72"/>
      <c r="P770" s="72"/>
      <c r="Q770" s="72"/>
    </row>
    <row r="771">
      <c r="J771" s="72"/>
      <c r="K771" s="72"/>
      <c r="L771" s="72"/>
      <c r="M771" s="72"/>
      <c r="N771" s="72"/>
      <c r="O771" s="72"/>
      <c r="P771" s="72"/>
      <c r="Q771" s="72"/>
    </row>
    <row r="772">
      <c r="J772" s="72"/>
      <c r="K772" s="72"/>
      <c r="L772" s="72"/>
      <c r="M772" s="72"/>
      <c r="N772" s="72"/>
      <c r="O772" s="72"/>
      <c r="P772" s="72"/>
      <c r="Q772" s="72"/>
    </row>
    <row r="773">
      <c r="J773" s="72"/>
      <c r="K773" s="72"/>
      <c r="L773" s="72"/>
      <c r="M773" s="72"/>
      <c r="N773" s="72"/>
      <c r="O773" s="72"/>
      <c r="P773" s="72"/>
      <c r="Q773" s="72"/>
    </row>
    <row r="774">
      <c r="J774" s="72"/>
      <c r="K774" s="72"/>
      <c r="L774" s="72"/>
      <c r="M774" s="72"/>
      <c r="N774" s="72"/>
      <c r="O774" s="72"/>
      <c r="P774" s="72"/>
      <c r="Q774" s="72"/>
    </row>
    <row r="775">
      <c r="J775" s="72"/>
      <c r="K775" s="72"/>
      <c r="L775" s="72"/>
      <c r="M775" s="72"/>
      <c r="N775" s="72"/>
      <c r="O775" s="72"/>
      <c r="P775" s="72"/>
      <c r="Q775" s="72"/>
    </row>
    <row r="776">
      <c r="J776" s="72"/>
      <c r="K776" s="72"/>
      <c r="L776" s="72"/>
      <c r="M776" s="72"/>
      <c r="N776" s="72"/>
      <c r="O776" s="72"/>
      <c r="P776" s="72"/>
      <c r="Q776" s="72"/>
    </row>
    <row r="777">
      <c r="J777" s="72"/>
      <c r="K777" s="72"/>
      <c r="L777" s="72"/>
      <c r="M777" s="72"/>
      <c r="N777" s="72"/>
      <c r="O777" s="72"/>
      <c r="P777" s="72"/>
      <c r="Q777" s="72"/>
    </row>
    <row r="778">
      <c r="J778" s="72"/>
      <c r="K778" s="72"/>
      <c r="L778" s="72"/>
      <c r="M778" s="72"/>
      <c r="N778" s="72"/>
      <c r="O778" s="72"/>
      <c r="P778" s="72"/>
      <c r="Q778" s="72"/>
    </row>
    <row r="779">
      <c r="J779" s="72"/>
      <c r="K779" s="72"/>
      <c r="L779" s="72"/>
      <c r="M779" s="72"/>
      <c r="N779" s="72"/>
      <c r="O779" s="72"/>
      <c r="P779" s="72"/>
      <c r="Q779" s="72"/>
    </row>
    <row r="780">
      <c r="J780" s="72"/>
      <c r="K780" s="72"/>
      <c r="L780" s="72"/>
      <c r="M780" s="72"/>
      <c r="N780" s="72"/>
      <c r="O780" s="72"/>
      <c r="P780" s="72"/>
      <c r="Q780" s="72"/>
    </row>
    <row r="781">
      <c r="J781" s="72"/>
      <c r="K781" s="72"/>
      <c r="L781" s="72"/>
      <c r="M781" s="72"/>
      <c r="N781" s="72"/>
      <c r="O781" s="72"/>
      <c r="P781" s="72"/>
      <c r="Q781" s="72"/>
    </row>
    <row r="782">
      <c r="J782" s="72"/>
      <c r="K782" s="72"/>
      <c r="L782" s="72"/>
      <c r="M782" s="72"/>
      <c r="N782" s="72"/>
      <c r="O782" s="72"/>
      <c r="P782" s="72"/>
      <c r="Q782" s="72"/>
    </row>
    <row r="783">
      <c r="J783" s="72"/>
      <c r="K783" s="72"/>
      <c r="L783" s="72"/>
      <c r="M783" s="72"/>
      <c r="N783" s="72"/>
      <c r="O783" s="72"/>
      <c r="P783" s="72"/>
      <c r="Q783" s="72"/>
    </row>
    <row r="784">
      <c r="J784" s="72"/>
      <c r="K784" s="72"/>
      <c r="L784" s="72"/>
      <c r="M784" s="72"/>
      <c r="N784" s="72"/>
      <c r="O784" s="72"/>
      <c r="P784" s="72"/>
      <c r="Q784" s="72"/>
    </row>
    <row r="785">
      <c r="J785" s="72"/>
      <c r="K785" s="72"/>
      <c r="L785" s="72"/>
      <c r="M785" s="72"/>
      <c r="N785" s="72"/>
      <c r="O785" s="72"/>
      <c r="P785" s="72"/>
      <c r="Q785" s="72"/>
    </row>
    <row r="786">
      <c r="J786" s="72"/>
      <c r="K786" s="72"/>
      <c r="L786" s="72"/>
      <c r="M786" s="72"/>
      <c r="N786" s="72"/>
      <c r="O786" s="72"/>
      <c r="P786" s="72"/>
      <c r="Q786" s="72"/>
    </row>
    <row r="787">
      <c r="J787" s="72"/>
      <c r="K787" s="72"/>
      <c r="L787" s="72"/>
      <c r="M787" s="72"/>
      <c r="N787" s="72"/>
      <c r="O787" s="72"/>
      <c r="P787" s="72"/>
      <c r="Q787" s="72"/>
    </row>
    <row r="788">
      <c r="J788" s="72"/>
      <c r="K788" s="72"/>
      <c r="L788" s="72"/>
      <c r="M788" s="72"/>
      <c r="N788" s="72"/>
      <c r="O788" s="72"/>
      <c r="P788" s="72"/>
      <c r="Q788" s="72"/>
    </row>
    <row r="789">
      <c r="J789" s="72"/>
      <c r="K789" s="72"/>
      <c r="L789" s="72"/>
      <c r="M789" s="72"/>
      <c r="N789" s="72"/>
      <c r="O789" s="72"/>
      <c r="P789" s="72"/>
      <c r="Q789" s="72"/>
    </row>
    <row r="790">
      <c r="J790" s="72"/>
      <c r="K790" s="72"/>
      <c r="L790" s="72"/>
      <c r="M790" s="72"/>
      <c r="N790" s="72"/>
      <c r="O790" s="72"/>
      <c r="P790" s="72"/>
      <c r="Q790" s="72"/>
    </row>
    <row r="791">
      <c r="J791" s="72"/>
      <c r="K791" s="72"/>
      <c r="L791" s="72"/>
      <c r="M791" s="72"/>
      <c r="N791" s="72"/>
      <c r="O791" s="72"/>
      <c r="P791" s="72"/>
      <c r="Q791" s="72"/>
    </row>
    <row r="792">
      <c r="J792" s="72"/>
      <c r="K792" s="72"/>
      <c r="L792" s="72"/>
      <c r="M792" s="72"/>
      <c r="N792" s="72"/>
      <c r="O792" s="72"/>
      <c r="P792" s="72"/>
      <c r="Q792" s="72"/>
    </row>
    <row r="793">
      <c r="J793" s="72"/>
      <c r="K793" s="72"/>
      <c r="L793" s="72"/>
      <c r="M793" s="72"/>
      <c r="N793" s="72"/>
      <c r="O793" s="72"/>
      <c r="P793" s="72"/>
      <c r="Q793" s="72"/>
    </row>
    <row r="794">
      <c r="J794" s="72"/>
      <c r="K794" s="72"/>
      <c r="L794" s="72"/>
      <c r="M794" s="72"/>
      <c r="N794" s="72"/>
      <c r="O794" s="72"/>
      <c r="P794" s="72"/>
      <c r="Q794" s="72"/>
    </row>
    <row r="795">
      <c r="J795" s="72"/>
      <c r="K795" s="72"/>
      <c r="L795" s="72"/>
      <c r="M795" s="72"/>
      <c r="N795" s="72"/>
      <c r="O795" s="72"/>
      <c r="P795" s="72"/>
      <c r="Q795" s="72"/>
    </row>
    <row r="796">
      <c r="J796" s="72"/>
      <c r="K796" s="72"/>
      <c r="L796" s="72"/>
      <c r="M796" s="72"/>
      <c r="N796" s="72"/>
      <c r="O796" s="72"/>
      <c r="P796" s="72"/>
      <c r="Q796" s="72"/>
    </row>
    <row r="797">
      <c r="J797" s="72"/>
      <c r="K797" s="72"/>
      <c r="L797" s="72"/>
      <c r="M797" s="72"/>
      <c r="N797" s="72"/>
      <c r="O797" s="72"/>
      <c r="P797" s="72"/>
      <c r="Q797" s="72"/>
    </row>
    <row r="798">
      <c r="J798" s="72"/>
      <c r="K798" s="72"/>
      <c r="L798" s="72"/>
      <c r="M798" s="72"/>
      <c r="N798" s="72"/>
      <c r="O798" s="72"/>
      <c r="P798" s="72"/>
      <c r="Q798" s="72"/>
    </row>
    <row r="799">
      <c r="J799" s="72"/>
      <c r="K799" s="72"/>
      <c r="L799" s="72"/>
      <c r="M799" s="72"/>
      <c r="N799" s="72"/>
      <c r="O799" s="72"/>
      <c r="P799" s="72"/>
      <c r="Q799" s="72"/>
    </row>
    <row r="800">
      <c r="J800" s="72"/>
      <c r="K800" s="72"/>
      <c r="L800" s="72"/>
      <c r="M800" s="72"/>
      <c r="N800" s="72"/>
      <c r="O800" s="72"/>
      <c r="P800" s="72"/>
      <c r="Q800" s="72"/>
    </row>
    <row r="801">
      <c r="J801" s="72"/>
      <c r="K801" s="72"/>
      <c r="L801" s="72"/>
      <c r="M801" s="72"/>
      <c r="N801" s="72"/>
      <c r="O801" s="72"/>
      <c r="P801" s="72"/>
      <c r="Q801" s="72"/>
    </row>
    <row r="802">
      <c r="J802" s="72"/>
      <c r="K802" s="72"/>
      <c r="L802" s="72"/>
      <c r="M802" s="72"/>
      <c r="N802" s="72"/>
      <c r="O802" s="72"/>
      <c r="P802" s="72"/>
      <c r="Q802" s="72"/>
    </row>
    <row r="803">
      <c r="J803" s="72"/>
      <c r="K803" s="72"/>
      <c r="L803" s="72"/>
      <c r="M803" s="72"/>
      <c r="N803" s="72"/>
      <c r="O803" s="72"/>
      <c r="P803" s="72"/>
      <c r="Q803" s="72"/>
    </row>
    <row r="804">
      <c r="J804" s="72"/>
      <c r="K804" s="72"/>
      <c r="L804" s="72"/>
      <c r="M804" s="72"/>
      <c r="N804" s="72"/>
      <c r="O804" s="72"/>
      <c r="P804" s="72"/>
      <c r="Q804" s="72"/>
    </row>
    <row r="805">
      <c r="J805" s="72"/>
      <c r="K805" s="72"/>
      <c r="L805" s="72"/>
      <c r="M805" s="72"/>
      <c r="N805" s="72"/>
      <c r="O805" s="72"/>
      <c r="P805" s="72"/>
      <c r="Q805" s="72"/>
    </row>
    <row r="806">
      <c r="J806" s="72"/>
      <c r="K806" s="72"/>
      <c r="L806" s="72"/>
      <c r="M806" s="72"/>
      <c r="N806" s="72"/>
      <c r="O806" s="72"/>
      <c r="P806" s="72"/>
      <c r="Q806" s="72"/>
    </row>
    <row r="807">
      <c r="J807" s="72"/>
      <c r="K807" s="72"/>
      <c r="L807" s="72"/>
      <c r="M807" s="72"/>
      <c r="N807" s="72"/>
      <c r="O807" s="72"/>
      <c r="P807" s="72"/>
      <c r="Q807" s="72"/>
    </row>
    <row r="808">
      <c r="J808" s="72"/>
      <c r="K808" s="72"/>
      <c r="L808" s="72"/>
      <c r="M808" s="72"/>
      <c r="N808" s="72"/>
      <c r="O808" s="72"/>
      <c r="P808" s="72"/>
      <c r="Q808" s="72"/>
    </row>
    <row r="809">
      <c r="J809" s="72"/>
      <c r="K809" s="72"/>
      <c r="L809" s="72"/>
      <c r="M809" s="72"/>
      <c r="N809" s="72"/>
      <c r="O809" s="72"/>
      <c r="P809" s="72"/>
      <c r="Q809" s="72"/>
    </row>
    <row r="810">
      <c r="J810" s="72"/>
      <c r="K810" s="72"/>
      <c r="L810" s="72"/>
      <c r="M810" s="72"/>
      <c r="N810" s="72"/>
      <c r="O810" s="72"/>
      <c r="P810" s="72"/>
      <c r="Q810" s="72"/>
    </row>
    <row r="811">
      <c r="J811" s="72"/>
      <c r="K811" s="72"/>
      <c r="L811" s="72"/>
      <c r="M811" s="72"/>
      <c r="N811" s="72"/>
      <c r="O811" s="72"/>
      <c r="P811" s="72"/>
      <c r="Q811" s="72"/>
    </row>
    <row r="812">
      <c r="J812" s="72"/>
      <c r="K812" s="72"/>
      <c r="L812" s="72"/>
      <c r="M812" s="72"/>
      <c r="N812" s="72"/>
      <c r="O812" s="72"/>
      <c r="P812" s="72"/>
      <c r="Q812" s="72"/>
    </row>
    <row r="813">
      <c r="J813" s="72"/>
      <c r="K813" s="72"/>
      <c r="L813" s="72"/>
      <c r="M813" s="72"/>
      <c r="N813" s="72"/>
      <c r="O813" s="72"/>
      <c r="P813" s="72"/>
      <c r="Q813" s="72"/>
    </row>
    <row r="814">
      <c r="J814" s="72"/>
      <c r="K814" s="72"/>
      <c r="L814" s="72"/>
      <c r="M814" s="72"/>
      <c r="N814" s="72"/>
      <c r="O814" s="72"/>
      <c r="P814" s="72"/>
      <c r="Q814" s="72"/>
    </row>
    <row r="815">
      <c r="J815" s="72"/>
      <c r="K815" s="72"/>
      <c r="L815" s="72"/>
      <c r="M815" s="72"/>
      <c r="N815" s="72"/>
      <c r="O815" s="72"/>
      <c r="P815" s="72"/>
      <c r="Q815" s="72"/>
    </row>
    <row r="816">
      <c r="J816" s="72"/>
      <c r="K816" s="72"/>
      <c r="L816" s="72"/>
      <c r="M816" s="72"/>
      <c r="N816" s="72"/>
      <c r="O816" s="72"/>
      <c r="P816" s="72"/>
      <c r="Q816" s="72"/>
    </row>
    <row r="817">
      <c r="J817" s="72"/>
      <c r="K817" s="72"/>
      <c r="L817" s="72"/>
      <c r="M817" s="72"/>
      <c r="N817" s="72"/>
      <c r="O817" s="72"/>
      <c r="P817" s="72"/>
      <c r="Q817" s="72"/>
    </row>
    <row r="818">
      <c r="J818" s="72"/>
      <c r="K818" s="72"/>
      <c r="L818" s="72"/>
      <c r="M818" s="72"/>
      <c r="N818" s="72"/>
      <c r="O818" s="72"/>
      <c r="P818" s="72"/>
      <c r="Q818" s="72"/>
    </row>
    <row r="819">
      <c r="J819" s="72"/>
      <c r="K819" s="72"/>
      <c r="L819" s="72"/>
      <c r="M819" s="72"/>
      <c r="N819" s="72"/>
      <c r="O819" s="72"/>
      <c r="P819" s="72"/>
      <c r="Q819" s="72"/>
    </row>
    <row r="820">
      <c r="J820" s="72"/>
      <c r="K820" s="72"/>
      <c r="L820" s="72"/>
      <c r="M820" s="72"/>
      <c r="N820" s="72"/>
      <c r="O820" s="72"/>
      <c r="P820" s="72"/>
      <c r="Q820" s="72"/>
    </row>
    <row r="821">
      <c r="J821" s="72"/>
      <c r="K821" s="72"/>
      <c r="L821" s="72"/>
      <c r="M821" s="72"/>
      <c r="N821" s="72"/>
      <c r="O821" s="72"/>
      <c r="P821" s="72"/>
      <c r="Q821" s="72"/>
    </row>
    <row r="822">
      <c r="J822" s="72"/>
      <c r="K822" s="72"/>
      <c r="L822" s="72"/>
      <c r="M822" s="72"/>
      <c r="N822" s="72"/>
      <c r="O822" s="72"/>
      <c r="P822" s="72"/>
      <c r="Q822" s="72"/>
    </row>
    <row r="823">
      <c r="J823" s="72"/>
      <c r="K823" s="72"/>
      <c r="L823" s="72"/>
      <c r="M823" s="72"/>
      <c r="N823" s="72"/>
      <c r="O823" s="72"/>
      <c r="P823" s="72"/>
      <c r="Q823" s="72"/>
    </row>
    <row r="824">
      <c r="J824" s="72"/>
      <c r="K824" s="72"/>
      <c r="L824" s="72"/>
      <c r="M824" s="72"/>
      <c r="N824" s="72"/>
      <c r="O824" s="72"/>
      <c r="P824" s="72"/>
      <c r="Q824" s="72"/>
    </row>
    <row r="825">
      <c r="J825" s="72"/>
      <c r="K825" s="72"/>
      <c r="L825" s="72"/>
      <c r="M825" s="72"/>
      <c r="N825" s="72"/>
      <c r="O825" s="72"/>
      <c r="P825" s="72"/>
      <c r="Q825" s="72"/>
    </row>
    <row r="826">
      <c r="J826" s="72"/>
      <c r="K826" s="72"/>
      <c r="L826" s="72"/>
      <c r="M826" s="72"/>
      <c r="N826" s="72"/>
      <c r="O826" s="72"/>
      <c r="P826" s="72"/>
      <c r="Q826" s="72"/>
    </row>
    <row r="827">
      <c r="J827" s="72"/>
      <c r="K827" s="72"/>
      <c r="L827" s="72"/>
      <c r="M827" s="72"/>
      <c r="N827" s="72"/>
      <c r="O827" s="72"/>
      <c r="P827" s="72"/>
      <c r="Q827" s="72"/>
    </row>
    <row r="828">
      <c r="J828" s="72"/>
      <c r="K828" s="72"/>
      <c r="L828" s="72"/>
      <c r="M828" s="72"/>
      <c r="N828" s="72"/>
      <c r="O828" s="72"/>
      <c r="P828" s="72"/>
      <c r="Q828" s="72"/>
    </row>
    <row r="829">
      <c r="J829" s="72"/>
      <c r="K829" s="72"/>
      <c r="L829" s="72"/>
      <c r="M829" s="72"/>
      <c r="N829" s="72"/>
      <c r="O829" s="72"/>
      <c r="P829" s="72"/>
      <c r="Q829" s="72"/>
    </row>
    <row r="830">
      <c r="J830" s="72"/>
      <c r="K830" s="72"/>
      <c r="L830" s="72"/>
      <c r="M830" s="72"/>
      <c r="N830" s="72"/>
      <c r="O830" s="72"/>
      <c r="P830" s="72"/>
      <c r="Q830" s="72"/>
    </row>
    <row r="831">
      <c r="J831" s="72"/>
      <c r="K831" s="72"/>
      <c r="L831" s="72"/>
      <c r="M831" s="72"/>
      <c r="N831" s="72"/>
      <c r="O831" s="72"/>
      <c r="P831" s="72"/>
      <c r="Q831" s="72"/>
    </row>
    <row r="832">
      <c r="J832" s="72"/>
      <c r="K832" s="72"/>
      <c r="L832" s="72"/>
      <c r="M832" s="72"/>
      <c r="N832" s="72"/>
      <c r="O832" s="72"/>
      <c r="P832" s="72"/>
      <c r="Q832" s="72"/>
    </row>
    <row r="833">
      <c r="J833" s="72"/>
      <c r="K833" s="72"/>
      <c r="L833" s="72"/>
      <c r="M833" s="72"/>
      <c r="N833" s="72"/>
      <c r="O833" s="72"/>
      <c r="P833" s="72"/>
      <c r="Q833" s="72"/>
    </row>
    <row r="834">
      <c r="J834" s="72"/>
      <c r="K834" s="72"/>
      <c r="L834" s="72"/>
      <c r="M834" s="72"/>
      <c r="N834" s="72"/>
      <c r="O834" s="72"/>
      <c r="P834" s="72"/>
      <c r="Q834" s="72"/>
    </row>
    <row r="835">
      <c r="J835" s="72"/>
      <c r="K835" s="72"/>
      <c r="L835" s="72"/>
      <c r="M835" s="72"/>
      <c r="N835" s="72"/>
      <c r="O835" s="72"/>
      <c r="P835" s="72"/>
      <c r="Q835" s="72"/>
    </row>
    <row r="836">
      <c r="J836" s="72"/>
      <c r="K836" s="72"/>
      <c r="L836" s="72"/>
      <c r="M836" s="72"/>
      <c r="N836" s="72"/>
      <c r="O836" s="72"/>
      <c r="P836" s="72"/>
      <c r="Q836" s="72"/>
    </row>
    <row r="837">
      <c r="J837" s="72"/>
      <c r="K837" s="72"/>
      <c r="L837" s="72"/>
      <c r="M837" s="72"/>
      <c r="N837" s="72"/>
      <c r="O837" s="72"/>
      <c r="P837" s="72"/>
      <c r="Q837" s="72"/>
    </row>
    <row r="838">
      <c r="J838" s="72"/>
      <c r="K838" s="72"/>
      <c r="L838" s="72"/>
      <c r="M838" s="72"/>
      <c r="N838" s="72"/>
      <c r="O838" s="72"/>
      <c r="P838" s="72"/>
      <c r="Q838" s="72"/>
    </row>
    <row r="839">
      <c r="J839" s="72"/>
      <c r="K839" s="72"/>
      <c r="L839" s="72"/>
      <c r="M839" s="72"/>
      <c r="N839" s="72"/>
      <c r="O839" s="72"/>
      <c r="P839" s="72"/>
      <c r="Q839" s="72"/>
    </row>
    <row r="840">
      <c r="J840" s="72"/>
      <c r="K840" s="72"/>
      <c r="L840" s="72"/>
      <c r="M840" s="72"/>
      <c r="N840" s="72"/>
      <c r="O840" s="72"/>
      <c r="P840" s="72"/>
      <c r="Q840" s="72"/>
    </row>
    <row r="841">
      <c r="J841" s="72"/>
      <c r="K841" s="72"/>
      <c r="L841" s="72"/>
      <c r="M841" s="72"/>
      <c r="N841" s="72"/>
      <c r="O841" s="72"/>
      <c r="P841" s="72"/>
      <c r="Q841" s="72"/>
    </row>
    <row r="842">
      <c r="J842" s="72"/>
      <c r="K842" s="72"/>
      <c r="L842" s="72"/>
      <c r="M842" s="72"/>
      <c r="N842" s="72"/>
      <c r="O842" s="72"/>
      <c r="P842" s="72"/>
      <c r="Q842" s="72"/>
    </row>
    <row r="843">
      <c r="J843" s="72"/>
      <c r="K843" s="72"/>
      <c r="L843" s="72"/>
      <c r="M843" s="72"/>
      <c r="N843" s="72"/>
      <c r="O843" s="72"/>
      <c r="P843" s="72"/>
      <c r="Q843" s="72"/>
    </row>
    <row r="844">
      <c r="J844" s="72"/>
      <c r="K844" s="72"/>
      <c r="L844" s="72"/>
      <c r="M844" s="72"/>
      <c r="N844" s="72"/>
      <c r="O844" s="72"/>
      <c r="P844" s="72"/>
      <c r="Q844" s="72"/>
    </row>
    <row r="845">
      <c r="J845" s="72"/>
      <c r="K845" s="72"/>
      <c r="L845" s="72"/>
      <c r="M845" s="72"/>
      <c r="N845" s="72"/>
      <c r="O845" s="72"/>
      <c r="P845" s="72"/>
      <c r="Q845" s="72"/>
    </row>
    <row r="846">
      <c r="J846" s="72"/>
      <c r="K846" s="72"/>
      <c r="L846" s="72"/>
      <c r="M846" s="72"/>
      <c r="N846" s="72"/>
      <c r="O846" s="72"/>
      <c r="P846" s="72"/>
      <c r="Q846" s="72"/>
    </row>
    <row r="847">
      <c r="J847" s="72"/>
      <c r="K847" s="72"/>
      <c r="L847" s="72"/>
      <c r="M847" s="72"/>
      <c r="N847" s="72"/>
      <c r="O847" s="72"/>
      <c r="P847" s="72"/>
      <c r="Q847" s="72"/>
    </row>
    <row r="848">
      <c r="J848" s="72"/>
      <c r="K848" s="72"/>
      <c r="L848" s="72"/>
      <c r="M848" s="72"/>
      <c r="N848" s="72"/>
      <c r="O848" s="72"/>
      <c r="P848" s="72"/>
      <c r="Q848" s="72"/>
    </row>
    <row r="849">
      <c r="J849" s="72"/>
      <c r="K849" s="72"/>
      <c r="L849" s="72"/>
      <c r="M849" s="72"/>
      <c r="N849" s="72"/>
      <c r="O849" s="72"/>
      <c r="P849" s="72"/>
      <c r="Q849" s="72"/>
    </row>
    <row r="850">
      <c r="J850" s="72"/>
      <c r="K850" s="72"/>
      <c r="L850" s="72"/>
      <c r="M850" s="72"/>
      <c r="N850" s="72"/>
      <c r="O850" s="72"/>
      <c r="P850" s="72"/>
      <c r="Q850" s="72"/>
    </row>
    <row r="851">
      <c r="J851" s="72"/>
      <c r="K851" s="72"/>
      <c r="L851" s="72"/>
      <c r="M851" s="72"/>
      <c r="N851" s="72"/>
      <c r="O851" s="72"/>
      <c r="P851" s="72"/>
      <c r="Q851" s="72"/>
    </row>
    <row r="852">
      <c r="J852" s="72"/>
      <c r="K852" s="72"/>
      <c r="L852" s="72"/>
      <c r="M852" s="72"/>
      <c r="N852" s="72"/>
      <c r="O852" s="72"/>
      <c r="P852" s="72"/>
      <c r="Q852" s="72"/>
    </row>
    <row r="853">
      <c r="J853" s="72"/>
      <c r="K853" s="72"/>
      <c r="L853" s="72"/>
      <c r="M853" s="72"/>
      <c r="N853" s="72"/>
      <c r="O853" s="72"/>
      <c r="P853" s="72"/>
      <c r="Q853" s="72"/>
    </row>
    <row r="854">
      <c r="J854" s="72"/>
      <c r="K854" s="72"/>
      <c r="L854" s="72"/>
      <c r="M854" s="72"/>
      <c r="N854" s="72"/>
      <c r="O854" s="72"/>
      <c r="P854" s="72"/>
      <c r="Q854" s="72"/>
    </row>
    <row r="855">
      <c r="J855" s="72"/>
      <c r="K855" s="72"/>
      <c r="L855" s="72"/>
      <c r="M855" s="72"/>
      <c r="N855" s="72"/>
      <c r="O855" s="72"/>
      <c r="P855" s="72"/>
      <c r="Q855" s="72"/>
    </row>
    <row r="856">
      <c r="J856" s="72"/>
      <c r="K856" s="72"/>
      <c r="L856" s="72"/>
      <c r="M856" s="72"/>
      <c r="N856" s="72"/>
      <c r="O856" s="72"/>
      <c r="P856" s="72"/>
      <c r="Q856" s="72"/>
    </row>
    <row r="857">
      <c r="J857" s="72"/>
      <c r="K857" s="72"/>
      <c r="L857" s="72"/>
      <c r="M857" s="72"/>
      <c r="N857" s="72"/>
      <c r="O857" s="72"/>
      <c r="P857" s="72"/>
      <c r="Q857" s="72"/>
    </row>
    <row r="858">
      <c r="J858" s="72"/>
      <c r="K858" s="72"/>
      <c r="L858" s="72"/>
      <c r="M858" s="72"/>
      <c r="N858" s="72"/>
      <c r="O858" s="72"/>
      <c r="P858" s="72"/>
      <c r="Q858" s="72"/>
    </row>
    <row r="859">
      <c r="J859" s="72"/>
      <c r="K859" s="72"/>
      <c r="L859" s="72"/>
      <c r="M859" s="72"/>
      <c r="N859" s="72"/>
      <c r="O859" s="72"/>
      <c r="P859" s="72"/>
      <c r="Q859" s="72"/>
    </row>
    <row r="860">
      <c r="J860" s="72"/>
      <c r="K860" s="72"/>
      <c r="L860" s="72"/>
      <c r="M860" s="72"/>
      <c r="N860" s="72"/>
      <c r="O860" s="72"/>
      <c r="P860" s="72"/>
      <c r="Q860" s="72"/>
    </row>
    <row r="861">
      <c r="J861" s="72"/>
      <c r="K861" s="72"/>
      <c r="L861" s="72"/>
      <c r="M861" s="72"/>
      <c r="N861" s="72"/>
      <c r="O861" s="72"/>
      <c r="P861" s="72"/>
      <c r="Q861" s="72"/>
    </row>
    <row r="862">
      <c r="J862" s="72"/>
      <c r="K862" s="72"/>
      <c r="L862" s="72"/>
      <c r="M862" s="72"/>
      <c r="N862" s="72"/>
      <c r="O862" s="72"/>
      <c r="P862" s="72"/>
      <c r="Q862" s="72"/>
    </row>
    <row r="863">
      <c r="J863" s="72"/>
      <c r="K863" s="72"/>
      <c r="L863" s="72"/>
      <c r="M863" s="72"/>
      <c r="N863" s="72"/>
      <c r="O863" s="72"/>
      <c r="P863" s="72"/>
      <c r="Q863" s="72"/>
    </row>
    <row r="864">
      <c r="J864" s="72"/>
      <c r="K864" s="72"/>
      <c r="L864" s="72"/>
      <c r="M864" s="72"/>
      <c r="N864" s="72"/>
      <c r="O864" s="72"/>
      <c r="P864" s="72"/>
      <c r="Q864" s="72"/>
    </row>
    <row r="865">
      <c r="J865" s="72"/>
      <c r="K865" s="72"/>
      <c r="L865" s="72"/>
      <c r="M865" s="72"/>
      <c r="N865" s="72"/>
      <c r="O865" s="72"/>
      <c r="P865" s="72"/>
      <c r="Q865" s="72"/>
    </row>
    <row r="866">
      <c r="J866" s="72"/>
      <c r="K866" s="72"/>
      <c r="L866" s="72"/>
      <c r="M866" s="72"/>
      <c r="N866" s="72"/>
      <c r="O866" s="72"/>
      <c r="P866" s="72"/>
      <c r="Q866" s="72"/>
    </row>
    <row r="867">
      <c r="J867" s="72"/>
      <c r="K867" s="72"/>
      <c r="L867" s="72"/>
      <c r="M867" s="72"/>
      <c r="N867" s="72"/>
      <c r="O867" s="72"/>
      <c r="P867" s="72"/>
      <c r="Q867" s="72"/>
    </row>
    <row r="868">
      <c r="J868" s="72"/>
      <c r="K868" s="72"/>
      <c r="L868" s="72"/>
      <c r="M868" s="72"/>
      <c r="N868" s="72"/>
      <c r="O868" s="72"/>
      <c r="P868" s="72"/>
      <c r="Q868" s="72"/>
    </row>
    <row r="869">
      <c r="J869" s="72"/>
      <c r="K869" s="72"/>
      <c r="L869" s="72"/>
      <c r="M869" s="72"/>
      <c r="N869" s="72"/>
      <c r="O869" s="72"/>
      <c r="P869" s="72"/>
      <c r="Q869" s="72"/>
    </row>
    <row r="870">
      <c r="J870" s="72"/>
      <c r="K870" s="72"/>
      <c r="L870" s="72"/>
      <c r="M870" s="72"/>
      <c r="N870" s="72"/>
      <c r="O870" s="72"/>
      <c r="P870" s="72"/>
      <c r="Q870" s="72"/>
    </row>
    <row r="871">
      <c r="J871" s="72"/>
      <c r="K871" s="72"/>
      <c r="L871" s="72"/>
      <c r="M871" s="72"/>
      <c r="N871" s="72"/>
      <c r="O871" s="72"/>
      <c r="P871" s="72"/>
      <c r="Q871" s="72"/>
    </row>
    <row r="872">
      <c r="J872" s="72"/>
      <c r="K872" s="72"/>
      <c r="L872" s="72"/>
      <c r="M872" s="72"/>
      <c r="N872" s="72"/>
      <c r="O872" s="72"/>
      <c r="P872" s="72"/>
      <c r="Q872" s="72"/>
    </row>
    <row r="873">
      <c r="J873" s="72"/>
      <c r="K873" s="72"/>
      <c r="L873" s="72"/>
      <c r="M873" s="72"/>
      <c r="N873" s="72"/>
      <c r="O873" s="72"/>
      <c r="P873" s="72"/>
      <c r="Q873" s="72"/>
    </row>
    <row r="874">
      <c r="J874" s="72"/>
      <c r="K874" s="72"/>
      <c r="L874" s="72"/>
      <c r="M874" s="72"/>
      <c r="N874" s="72"/>
      <c r="O874" s="72"/>
      <c r="P874" s="72"/>
      <c r="Q874" s="72"/>
    </row>
    <row r="875">
      <c r="J875" s="72"/>
      <c r="K875" s="72"/>
      <c r="L875" s="72"/>
      <c r="M875" s="72"/>
      <c r="N875" s="72"/>
      <c r="O875" s="72"/>
      <c r="P875" s="72"/>
      <c r="Q875" s="72"/>
    </row>
    <row r="876">
      <c r="J876" s="72"/>
      <c r="K876" s="72"/>
      <c r="L876" s="72"/>
      <c r="M876" s="72"/>
      <c r="N876" s="72"/>
      <c r="O876" s="72"/>
      <c r="P876" s="72"/>
      <c r="Q876" s="72"/>
    </row>
    <row r="877">
      <c r="J877" s="72"/>
      <c r="K877" s="72"/>
      <c r="L877" s="72"/>
      <c r="M877" s="72"/>
      <c r="N877" s="72"/>
      <c r="O877" s="72"/>
      <c r="P877" s="72"/>
      <c r="Q877" s="72"/>
    </row>
    <row r="878">
      <c r="J878" s="72"/>
      <c r="K878" s="72"/>
      <c r="L878" s="72"/>
      <c r="M878" s="72"/>
      <c r="N878" s="72"/>
      <c r="O878" s="72"/>
      <c r="P878" s="72"/>
      <c r="Q878" s="72"/>
    </row>
    <row r="879">
      <c r="J879" s="72"/>
      <c r="K879" s="72"/>
      <c r="L879" s="72"/>
      <c r="M879" s="72"/>
      <c r="N879" s="72"/>
      <c r="O879" s="72"/>
      <c r="P879" s="72"/>
      <c r="Q879" s="72"/>
    </row>
    <row r="880">
      <c r="J880" s="72"/>
      <c r="K880" s="72"/>
      <c r="L880" s="72"/>
      <c r="M880" s="72"/>
      <c r="N880" s="72"/>
      <c r="O880" s="72"/>
      <c r="P880" s="72"/>
      <c r="Q880" s="72"/>
    </row>
    <row r="881">
      <c r="J881" s="72"/>
      <c r="K881" s="72"/>
      <c r="L881" s="72"/>
      <c r="M881" s="72"/>
      <c r="N881" s="72"/>
      <c r="O881" s="72"/>
      <c r="P881" s="72"/>
      <c r="Q881" s="72"/>
    </row>
    <row r="882">
      <c r="J882" s="72"/>
      <c r="K882" s="72"/>
      <c r="L882" s="72"/>
      <c r="M882" s="72"/>
      <c r="N882" s="72"/>
      <c r="O882" s="72"/>
      <c r="P882" s="72"/>
      <c r="Q882" s="72"/>
    </row>
    <row r="883">
      <c r="J883" s="72"/>
      <c r="K883" s="72"/>
      <c r="L883" s="72"/>
      <c r="M883" s="72"/>
      <c r="N883" s="72"/>
      <c r="O883" s="72"/>
      <c r="P883" s="72"/>
      <c r="Q883" s="72"/>
    </row>
    <row r="884">
      <c r="J884" s="72"/>
      <c r="K884" s="72"/>
      <c r="L884" s="72"/>
      <c r="M884" s="72"/>
      <c r="N884" s="72"/>
      <c r="O884" s="72"/>
      <c r="P884" s="72"/>
      <c r="Q884" s="72"/>
    </row>
    <row r="885">
      <c r="J885" s="72"/>
      <c r="K885" s="72"/>
      <c r="L885" s="72"/>
      <c r="M885" s="72"/>
      <c r="N885" s="72"/>
      <c r="O885" s="72"/>
      <c r="P885" s="72"/>
      <c r="Q885" s="72"/>
    </row>
    <row r="886">
      <c r="J886" s="72"/>
      <c r="K886" s="72"/>
      <c r="L886" s="72"/>
      <c r="M886" s="72"/>
      <c r="N886" s="72"/>
      <c r="O886" s="72"/>
      <c r="P886" s="72"/>
      <c r="Q886" s="72"/>
    </row>
    <row r="887">
      <c r="J887" s="72"/>
      <c r="K887" s="72"/>
      <c r="L887" s="72"/>
      <c r="M887" s="72"/>
      <c r="N887" s="72"/>
      <c r="O887" s="72"/>
      <c r="P887" s="72"/>
      <c r="Q887" s="72"/>
    </row>
    <row r="888">
      <c r="J888" s="72"/>
      <c r="K888" s="72"/>
      <c r="L888" s="72"/>
      <c r="M888" s="72"/>
      <c r="N888" s="72"/>
      <c r="O888" s="72"/>
      <c r="P888" s="72"/>
      <c r="Q888" s="72"/>
    </row>
    <row r="889">
      <c r="J889" s="72"/>
      <c r="K889" s="72"/>
      <c r="L889" s="72"/>
      <c r="M889" s="72"/>
      <c r="N889" s="72"/>
      <c r="O889" s="72"/>
      <c r="P889" s="72"/>
      <c r="Q889" s="72"/>
    </row>
    <row r="890">
      <c r="J890" s="72"/>
      <c r="K890" s="72"/>
      <c r="L890" s="72"/>
      <c r="M890" s="72"/>
      <c r="N890" s="72"/>
      <c r="O890" s="72"/>
      <c r="P890" s="72"/>
      <c r="Q890" s="72"/>
    </row>
    <row r="891">
      <c r="J891" s="72"/>
      <c r="K891" s="72"/>
      <c r="L891" s="72"/>
      <c r="M891" s="72"/>
      <c r="N891" s="72"/>
      <c r="O891" s="72"/>
      <c r="P891" s="72"/>
      <c r="Q891" s="72"/>
    </row>
    <row r="892">
      <c r="J892" s="72"/>
      <c r="K892" s="72"/>
      <c r="L892" s="72"/>
      <c r="M892" s="72"/>
      <c r="N892" s="72"/>
      <c r="O892" s="72"/>
      <c r="P892" s="72"/>
      <c r="Q892" s="72"/>
    </row>
    <row r="893">
      <c r="J893" s="72"/>
      <c r="K893" s="72"/>
      <c r="L893" s="72"/>
      <c r="M893" s="72"/>
      <c r="N893" s="72"/>
      <c r="O893" s="72"/>
      <c r="P893" s="72"/>
      <c r="Q893" s="72"/>
    </row>
    <row r="894">
      <c r="J894" s="72"/>
      <c r="K894" s="72"/>
      <c r="L894" s="72"/>
      <c r="M894" s="72"/>
      <c r="N894" s="72"/>
      <c r="O894" s="72"/>
      <c r="P894" s="72"/>
      <c r="Q894" s="72"/>
    </row>
    <row r="895">
      <c r="J895" s="72"/>
      <c r="K895" s="72"/>
      <c r="L895" s="72"/>
      <c r="M895" s="72"/>
      <c r="N895" s="72"/>
      <c r="O895" s="72"/>
      <c r="P895" s="72"/>
      <c r="Q895" s="72"/>
    </row>
    <row r="896">
      <c r="J896" s="72"/>
      <c r="K896" s="72"/>
      <c r="L896" s="72"/>
      <c r="M896" s="72"/>
      <c r="N896" s="72"/>
      <c r="O896" s="72"/>
      <c r="P896" s="72"/>
      <c r="Q896" s="72"/>
    </row>
    <row r="897">
      <c r="J897" s="72"/>
      <c r="K897" s="72"/>
      <c r="L897" s="72"/>
      <c r="M897" s="72"/>
      <c r="N897" s="72"/>
      <c r="O897" s="72"/>
      <c r="P897" s="72"/>
      <c r="Q897" s="72"/>
    </row>
    <row r="898">
      <c r="J898" s="72"/>
      <c r="K898" s="72"/>
      <c r="L898" s="72"/>
      <c r="M898" s="72"/>
      <c r="N898" s="72"/>
      <c r="O898" s="72"/>
      <c r="P898" s="72"/>
      <c r="Q898" s="72"/>
    </row>
    <row r="899">
      <c r="J899" s="72"/>
      <c r="K899" s="72"/>
      <c r="L899" s="72"/>
      <c r="M899" s="72"/>
      <c r="N899" s="72"/>
      <c r="O899" s="72"/>
      <c r="P899" s="72"/>
      <c r="Q899" s="72"/>
    </row>
    <row r="900">
      <c r="J900" s="72"/>
      <c r="K900" s="72"/>
      <c r="L900" s="72"/>
      <c r="M900" s="72"/>
      <c r="N900" s="72"/>
      <c r="O900" s="72"/>
      <c r="P900" s="72"/>
      <c r="Q900" s="72"/>
    </row>
    <row r="901">
      <c r="J901" s="72"/>
      <c r="K901" s="72"/>
      <c r="L901" s="72"/>
      <c r="M901" s="72"/>
      <c r="N901" s="72"/>
      <c r="O901" s="72"/>
      <c r="P901" s="72"/>
      <c r="Q901" s="72"/>
    </row>
    <row r="902">
      <c r="J902" s="72"/>
      <c r="K902" s="72"/>
      <c r="L902" s="72"/>
      <c r="M902" s="72"/>
      <c r="N902" s="72"/>
      <c r="O902" s="72"/>
      <c r="P902" s="72"/>
      <c r="Q902" s="72"/>
    </row>
    <row r="903">
      <c r="J903" s="72"/>
      <c r="K903" s="72"/>
      <c r="L903" s="72"/>
      <c r="M903" s="72"/>
      <c r="N903" s="72"/>
      <c r="O903" s="72"/>
      <c r="P903" s="72"/>
      <c r="Q903" s="72"/>
    </row>
    <row r="904">
      <c r="J904" s="72"/>
      <c r="K904" s="72"/>
      <c r="L904" s="72"/>
      <c r="M904" s="72"/>
      <c r="N904" s="72"/>
      <c r="O904" s="72"/>
      <c r="P904" s="72"/>
      <c r="Q904" s="72"/>
    </row>
    <row r="905">
      <c r="J905" s="72"/>
      <c r="K905" s="72"/>
      <c r="L905" s="72"/>
      <c r="M905" s="72"/>
      <c r="N905" s="72"/>
      <c r="O905" s="72"/>
      <c r="P905" s="72"/>
      <c r="Q905" s="72"/>
    </row>
    <row r="906">
      <c r="J906" s="72"/>
      <c r="K906" s="72"/>
      <c r="L906" s="72"/>
      <c r="M906" s="72"/>
      <c r="N906" s="72"/>
      <c r="O906" s="72"/>
      <c r="P906" s="72"/>
      <c r="Q906" s="72"/>
    </row>
    <row r="907">
      <c r="J907" s="72"/>
      <c r="K907" s="72"/>
      <c r="L907" s="72"/>
      <c r="M907" s="72"/>
      <c r="N907" s="72"/>
      <c r="O907" s="72"/>
      <c r="P907" s="72"/>
      <c r="Q907" s="72"/>
    </row>
    <row r="908">
      <c r="J908" s="72"/>
      <c r="K908" s="72"/>
      <c r="L908" s="72"/>
      <c r="M908" s="72"/>
      <c r="N908" s="72"/>
      <c r="O908" s="72"/>
      <c r="P908" s="72"/>
      <c r="Q908" s="72"/>
    </row>
    <row r="909">
      <c r="J909" s="72"/>
      <c r="K909" s="72"/>
      <c r="L909" s="72"/>
      <c r="M909" s="72"/>
      <c r="N909" s="72"/>
      <c r="O909" s="72"/>
      <c r="P909" s="72"/>
      <c r="Q909" s="72"/>
    </row>
    <row r="910">
      <c r="J910" s="72"/>
      <c r="K910" s="72"/>
      <c r="L910" s="72"/>
      <c r="M910" s="72"/>
      <c r="N910" s="72"/>
      <c r="O910" s="72"/>
      <c r="P910" s="72"/>
      <c r="Q910" s="72"/>
    </row>
    <row r="911">
      <c r="J911" s="72"/>
      <c r="K911" s="72"/>
      <c r="L911" s="72"/>
      <c r="M911" s="72"/>
      <c r="N911" s="72"/>
      <c r="O911" s="72"/>
      <c r="P911" s="72"/>
      <c r="Q911" s="72"/>
    </row>
    <row r="912">
      <c r="J912" s="72"/>
      <c r="K912" s="72"/>
      <c r="L912" s="72"/>
      <c r="M912" s="72"/>
      <c r="N912" s="72"/>
      <c r="O912" s="72"/>
      <c r="P912" s="72"/>
      <c r="Q912" s="72"/>
    </row>
    <row r="913">
      <c r="J913" s="72"/>
      <c r="K913" s="72"/>
      <c r="L913" s="72"/>
      <c r="M913" s="72"/>
      <c r="N913" s="72"/>
      <c r="O913" s="72"/>
      <c r="P913" s="72"/>
      <c r="Q913" s="72"/>
    </row>
    <row r="914">
      <c r="J914" s="72"/>
      <c r="K914" s="72"/>
      <c r="L914" s="72"/>
      <c r="M914" s="72"/>
      <c r="N914" s="72"/>
      <c r="O914" s="72"/>
      <c r="P914" s="72"/>
      <c r="Q914" s="72"/>
    </row>
    <row r="915">
      <c r="J915" s="72"/>
      <c r="K915" s="72"/>
      <c r="L915" s="72"/>
      <c r="M915" s="72"/>
      <c r="N915" s="72"/>
      <c r="O915" s="72"/>
      <c r="P915" s="72"/>
      <c r="Q915" s="72"/>
    </row>
    <row r="916">
      <c r="J916" s="72"/>
      <c r="K916" s="72"/>
      <c r="L916" s="72"/>
      <c r="M916" s="72"/>
      <c r="N916" s="72"/>
      <c r="O916" s="72"/>
      <c r="P916" s="72"/>
      <c r="Q916" s="72"/>
    </row>
    <row r="917">
      <c r="J917" s="72"/>
      <c r="K917" s="72"/>
      <c r="L917" s="72"/>
      <c r="M917" s="72"/>
      <c r="N917" s="72"/>
      <c r="O917" s="72"/>
      <c r="P917" s="72"/>
      <c r="Q917" s="72"/>
    </row>
    <row r="918">
      <c r="J918" s="72"/>
      <c r="K918" s="72"/>
      <c r="L918" s="72"/>
      <c r="M918" s="72"/>
      <c r="N918" s="72"/>
      <c r="O918" s="72"/>
      <c r="P918" s="72"/>
      <c r="Q918" s="72"/>
    </row>
    <row r="919">
      <c r="J919" s="72"/>
      <c r="K919" s="72"/>
      <c r="L919" s="72"/>
      <c r="M919" s="72"/>
      <c r="N919" s="72"/>
      <c r="O919" s="72"/>
      <c r="P919" s="72"/>
      <c r="Q919" s="72"/>
    </row>
    <row r="920">
      <c r="J920" s="72"/>
      <c r="K920" s="72"/>
      <c r="L920" s="72"/>
      <c r="M920" s="72"/>
      <c r="N920" s="72"/>
      <c r="O920" s="72"/>
      <c r="P920" s="72"/>
      <c r="Q920" s="72"/>
    </row>
    <row r="921">
      <c r="J921" s="72"/>
      <c r="K921" s="72"/>
      <c r="L921" s="72"/>
      <c r="M921" s="72"/>
      <c r="N921" s="72"/>
      <c r="O921" s="72"/>
      <c r="P921" s="72"/>
      <c r="Q921" s="72"/>
    </row>
    <row r="922">
      <c r="J922" s="72"/>
      <c r="K922" s="72"/>
      <c r="L922" s="72"/>
      <c r="M922" s="72"/>
      <c r="N922" s="72"/>
      <c r="O922" s="72"/>
      <c r="P922" s="72"/>
      <c r="Q922" s="72"/>
    </row>
    <row r="923">
      <c r="J923" s="72"/>
      <c r="K923" s="72"/>
      <c r="L923" s="72"/>
      <c r="M923" s="72"/>
      <c r="N923" s="72"/>
      <c r="O923" s="72"/>
      <c r="P923" s="72"/>
      <c r="Q923" s="72"/>
    </row>
    <row r="924">
      <c r="J924" s="72"/>
      <c r="K924" s="72"/>
      <c r="L924" s="72"/>
      <c r="M924" s="72"/>
      <c r="N924" s="72"/>
      <c r="O924" s="72"/>
      <c r="P924" s="72"/>
      <c r="Q924" s="72"/>
    </row>
    <row r="925">
      <c r="J925" s="72"/>
      <c r="K925" s="72"/>
      <c r="L925" s="72"/>
      <c r="M925" s="72"/>
      <c r="N925" s="72"/>
      <c r="O925" s="72"/>
      <c r="P925" s="72"/>
      <c r="Q925" s="72"/>
    </row>
    <row r="926">
      <c r="J926" s="72"/>
      <c r="K926" s="72"/>
      <c r="L926" s="72"/>
      <c r="M926" s="72"/>
      <c r="N926" s="72"/>
      <c r="O926" s="72"/>
      <c r="P926" s="72"/>
      <c r="Q926" s="72"/>
    </row>
    <row r="927">
      <c r="J927" s="72"/>
      <c r="K927" s="72"/>
      <c r="L927" s="72"/>
      <c r="M927" s="72"/>
      <c r="N927" s="72"/>
      <c r="O927" s="72"/>
      <c r="P927" s="72"/>
      <c r="Q927" s="72"/>
    </row>
    <row r="928">
      <c r="J928" s="72"/>
      <c r="K928" s="72"/>
      <c r="L928" s="72"/>
      <c r="M928" s="72"/>
      <c r="N928" s="72"/>
      <c r="O928" s="72"/>
      <c r="P928" s="72"/>
      <c r="Q928" s="72"/>
    </row>
    <row r="929">
      <c r="J929" s="72"/>
      <c r="K929" s="72"/>
      <c r="L929" s="72"/>
      <c r="M929" s="72"/>
      <c r="N929" s="72"/>
      <c r="O929" s="72"/>
      <c r="P929" s="72"/>
      <c r="Q929" s="72"/>
    </row>
    <row r="930">
      <c r="J930" s="72"/>
      <c r="K930" s="72"/>
      <c r="L930" s="72"/>
      <c r="M930" s="72"/>
      <c r="N930" s="72"/>
      <c r="O930" s="72"/>
      <c r="P930" s="72"/>
      <c r="Q930" s="72"/>
    </row>
    <row r="931">
      <c r="J931" s="72"/>
      <c r="K931" s="72"/>
      <c r="L931" s="72"/>
      <c r="M931" s="72"/>
      <c r="N931" s="72"/>
      <c r="O931" s="72"/>
      <c r="P931" s="72"/>
      <c r="Q931" s="72"/>
    </row>
    <row r="932">
      <c r="J932" s="72"/>
      <c r="K932" s="72"/>
      <c r="L932" s="72"/>
      <c r="M932" s="72"/>
      <c r="N932" s="72"/>
      <c r="O932" s="72"/>
      <c r="P932" s="72"/>
      <c r="Q932" s="72"/>
    </row>
    <row r="933">
      <c r="J933" s="72"/>
      <c r="K933" s="72"/>
      <c r="L933" s="72"/>
      <c r="M933" s="72"/>
      <c r="N933" s="72"/>
      <c r="O933" s="72"/>
      <c r="P933" s="72"/>
      <c r="Q933" s="72"/>
    </row>
    <row r="934">
      <c r="J934" s="72"/>
      <c r="K934" s="72"/>
      <c r="L934" s="72"/>
      <c r="M934" s="72"/>
      <c r="N934" s="72"/>
      <c r="O934" s="72"/>
      <c r="P934" s="72"/>
      <c r="Q934" s="72"/>
    </row>
    <row r="935">
      <c r="J935" s="72"/>
      <c r="K935" s="72"/>
      <c r="L935" s="72"/>
      <c r="M935" s="72"/>
      <c r="N935" s="72"/>
      <c r="O935" s="72"/>
      <c r="P935" s="72"/>
      <c r="Q935" s="72"/>
    </row>
    <row r="936">
      <c r="J936" s="72"/>
      <c r="K936" s="72"/>
      <c r="L936" s="72"/>
      <c r="M936" s="72"/>
      <c r="N936" s="72"/>
      <c r="O936" s="72"/>
      <c r="P936" s="72"/>
      <c r="Q936" s="72"/>
    </row>
    <row r="937">
      <c r="J937" s="72"/>
      <c r="K937" s="72"/>
      <c r="L937" s="72"/>
      <c r="M937" s="72"/>
      <c r="N937" s="72"/>
      <c r="O937" s="72"/>
      <c r="P937" s="72"/>
      <c r="Q937" s="72"/>
    </row>
    <row r="938">
      <c r="J938" s="72"/>
      <c r="K938" s="72"/>
      <c r="L938" s="72"/>
      <c r="M938" s="72"/>
      <c r="N938" s="72"/>
      <c r="O938" s="72"/>
      <c r="P938" s="72"/>
      <c r="Q938" s="72"/>
    </row>
    <row r="939">
      <c r="J939" s="72"/>
      <c r="K939" s="72"/>
      <c r="L939" s="72"/>
      <c r="M939" s="72"/>
      <c r="N939" s="72"/>
      <c r="O939" s="72"/>
      <c r="P939" s="72"/>
      <c r="Q939" s="72"/>
    </row>
    <row r="940">
      <c r="J940" s="72"/>
      <c r="K940" s="72"/>
      <c r="L940" s="72"/>
      <c r="M940" s="72"/>
      <c r="N940" s="72"/>
      <c r="O940" s="72"/>
      <c r="P940" s="72"/>
      <c r="Q940" s="72"/>
    </row>
    <row r="941">
      <c r="J941" s="72"/>
      <c r="K941" s="72"/>
      <c r="L941" s="72"/>
      <c r="M941" s="72"/>
      <c r="N941" s="72"/>
      <c r="O941" s="72"/>
      <c r="P941" s="72"/>
      <c r="Q941" s="72"/>
    </row>
    <row r="942">
      <c r="J942" s="72"/>
      <c r="K942" s="72"/>
      <c r="L942" s="72"/>
      <c r="M942" s="72"/>
      <c r="N942" s="72"/>
      <c r="O942" s="72"/>
      <c r="P942" s="72"/>
      <c r="Q942" s="72"/>
    </row>
    <row r="943">
      <c r="J943" s="72"/>
      <c r="K943" s="72"/>
      <c r="L943" s="72"/>
      <c r="M943" s="72"/>
      <c r="N943" s="72"/>
      <c r="O943" s="72"/>
      <c r="P943" s="72"/>
      <c r="Q943" s="72"/>
    </row>
    <row r="944">
      <c r="J944" s="72"/>
      <c r="K944" s="72"/>
      <c r="L944" s="72"/>
      <c r="M944" s="72"/>
      <c r="N944" s="72"/>
      <c r="O944" s="72"/>
      <c r="P944" s="72"/>
      <c r="Q944" s="72"/>
    </row>
    <row r="945">
      <c r="J945" s="72"/>
      <c r="K945" s="72"/>
      <c r="L945" s="72"/>
      <c r="M945" s="72"/>
      <c r="N945" s="72"/>
      <c r="O945" s="72"/>
      <c r="P945" s="72"/>
      <c r="Q945" s="72"/>
    </row>
    <row r="946">
      <c r="J946" s="72"/>
      <c r="K946" s="72"/>
      <c r="L946" s="72"/>
      <c r="M946" s="72"/>
      <c r="N946" s="72"/>
      <c r="O946" s="72"/>
      <c r="P946" s="72"/>
      <c r="Q946" s="72"/>
    </row>
    <row r="947">
      <c r="J947" s="72"/>
      <c r="K947" s="72"/>
      <c r="L947" s="72"/>
      <c r="M947" s="72"/>
      <c r="N947" s="72"/>
      <c r="O947" s="72"/>
      <c r="P947" s="72"/>
      <c r="Q947" s="72"/>
    </row>
    <row r="948">
      <c r="J948" s="72"/>
      <c r="K948" s="72"/>
      <c r="L948" s="72"/>
      <c r="M948" s="72"/>
      <c r="N948" s="72"/>
      <c r="O948" s="72"/>
      <c r="P948" s="72"/>
      <c r="Q948" s="72"/>
    </row>
    <row r="949">
      <c r="J949" s="72"/>
      <c r="K949" s="72"/>
      <c r="L949" s="72"/>
      <c r="M949" s="72"/>
      <c r="N949" s="72"/>
      <c r="O949" s="72"/>
      <c r="P949" s="72"/>
      <c r="Q949" s="72"/>
    </row>
    <row r="950">
      <c r="J950" s="72"/>
      <c r="K950" s="72"/>
      <c r="L950" s="72"/>
      <c r="M950" s="72"/>
      <c r="N950" s="72"/>
      <c r="O950" s="72"/>
      <c r="P950" s="72"/>
      <c r="Q950" s="72"/>
    </row>
    <row r="951">
      <c r="J951" s="72"/>
      <c r="K951" s="72"/>
      <c r="L951" s="72"/>
      <c r="M951" s="72"/>
      <c r="N951" s="72"/>
      <c r="O951" s="72"/>
      <c r="P951" s="72"/>
      <c r="Q951" s="72"/>
    </row>
    <row r="952">
      <c r="J952" s="72"/>
      <c r="K952" s="72"/>
      <c r="L952" s="72"/>
      <c r="M952" s="72"/>
      <c r="N952" s="72"/>
      <c r="O952" s="72"/>
      <c r="P952" s="72"/>
      <c r="Q952" s="72"/>
    </row>
    <row r="953">
      <c r="J953" s="72"/>
      <c r="K953" s="72"/>
      <c r="L953" s="72"/>
      <c r="M953" s="72"/>
      <c r="N953" s="72"/>
      <c r="O953" s="72"/>
      <c r="P953" s="72"/>
      <c r="Q953" s="72"/>
    </row>
    <row r="954">
      <c r="J954" s="72"/>
      <c r="K954" s="72"/>
      <c r="L954" s="72"/>
      <c r="M954" s="72"/>
      <c r="N954" s="72"/>
      <c r="O954" s="72"/>
      <c r="P954" s="72"/>
      <c r="Q954" s="72"/>
    </row>
    <row r="955">
      <c r="J955" s="72"/>
      <c r="K955" s="72"/>
      <c r="L955" s="72"/>
      <c r="M955" s="72"/>
      <c r="N955" s="72"/>
      <c r="O955" s="72"/>
      <c r="P955" s="72"/>
      <c r="Q955" s="72"/>
    </row>
    <row r="956">
      <c r="J956" s="72"/>
      <c r="K956" s="72"/>
      <c r="L956" s="72"/>
      <c r="M956" s="72"/>
      <c r="N956" s="72"/>
      <c r="O956" s="72"/>
      <c r="P956" s="72"/>
      <c r="Q956" s="72"/>
    </row>
    <row r="957">
      <c r="J957" s="72"/>
      <c r="K957" s="72"/>
      <c r="L957" s="72"/>
      <c r="M957" s="72"/>
      <c r="N957" s="72"/>
      <c r="O957" s="72"/>
      <c r="P957" s="72"/>
      <c r="Q957" s="72"/>
    </row>
    <row r="958">
      <c r="J958" s="72"/>
      <c r="K958" s="72"/>
      <c r="L958" s="72"/>
      <c r="M958" s="72"/>
      <c r="N958" s="72"/>
      <c r="O958" s="72"/>
      <c r="P958" s="72"/>
      <c r="Q958" s="72"/>
    </row>
    <row r="959">
      <c r="J959" s="72"/>
      <c r="K959" s="72"/>
      <c r="L959" s="72"/>
      <c r="M959" s="72"/>
      <c r="N959" s="72"/>
      <c r="O959" s="72"/>
      <c r="P959" s="72"/>
      <c r="Q959" s="72"/>
    </row>
    <row r="960">
      <c r="J960" s="72"/>
      <c r="K960" s="72"/>
      <c r="L960" s="72"/>
      <c r="M960" s="72"/>
      <c r="N960" s="72"/>
      <c r="O960" s="72"/>
      <c r="P960" s="72"/>
      <c r="Q960" s="72"/>
    </row>
    <row r="961">
      <c r="J961" s="72"/>
      <c r="K961" s="72"/>
      <c r="L961" s="72"/>
      <c r="M961" s="72"/>
      <c r="N961" s="72"/>
      <c r="O961" s="72"/>
      <c r="P961" s="72"/>
      <c r="Q961" s="72"/>
    </row>
    <row r="962">
      <c r="J962" s="72"/>
      <c r="K962" s="72"/>
      <c r="L962" s="72"/>
      <c r="M962" s="72"/>
      <c r="N962" s="72"/>
      <c r="O962" s="72"/>
      <c r="P962" s="72"/>
      <c r="Q962" s="72"/>
    </row>
    <row r="963">
      <c r="J963" s="72"/>
      <c r="K963" s="72"/>
      <c r="L963" s="72"/>
      <c r="M963" s="72"/>
      <c r="N963" s="72"/>
      <c r="O963" s="72"/>
      <c r="P963" s="72"/>
      <c r="Q963" s="72"/>
    </row>
    <row r="964">
      <c r="J964" s="72"/>
      <c r="K964" s="72"/>
      <c r="L964" s="72"/>
      <c r="M964" s="72"/>
      <c r="N964" s="72"/>
      <c r="O964" s="72"/>
      <c r="P964" s="72"/>
      <c r="Q964" s="72"/>
    </row>
    <row r="965">
      <c r="J965" s="72"/>
      <c r="K965" s="72"/>
      <c r="L965" s="72"/>
      <c r="M965" s="72"/>
      <c r="N965" s="72"/>
      <c r="O965" s="72"/>
      <c r="P965" s="72"/>
      <c r="Q965" s="72"/>
    </row>
    <row r="966">
      <c r="J966" s="72"/>
      <c r="K966" s="72"/>
      <c r="L966" s="72"/>
      <c r="M966" s="72"/>
      <c r="N966" s="72"/>
      <c r="O966" s="72"/>
      <c r="P966" s="72"/>
      <c r="Q966" s="72"/>
    </row>
    <row r="967">
      <c r="J967" s="72"/>
      <c r="K967" s="72"/>
      <c r="L967" s="72"/>
      <c r="M967" s="72"/>
      <c r="N967" s="72"/>
      <c r="O967" s="72"/>
      <c r="P967" s="72"/>
      <c r="Q967" s="72"/>
    </row>
    <row r="968">
      <c r="J968" s="72"/>
      <c r="K968" s="72"/>
      <c r="L968" s="72"/>
      <c r="M968" s="72"/>
      <c r="N968" s="72"/>
      <c r="O968" s="72"/>
      <c r="P968" s="72"/>
      <c r="Q968" s="72"/>
    </row>
    <row r="969">
      <c r="J969" s="72"/>
      <c r="K969" s="72"/>
      <c r="L969" s="72"/>
      <c r="M969" s="72"/>
      <c r="N969" s="72"/>
      <c r="O969" s="72"/>
      <c r="P969" s="72"/>
      <c r="Q969" s="72"/>
    </row>
    <row r="970">
      <c r="J970" s="72"/>
      <c r="K970" s="72"/>
      <c r="L970" s="72"/>
      <c r="M970" s="72"/>
      <c r="N970" s="72"/>
      <c r="O970" s="72"/>
      <c r="P970" s="72"/>
      <c r="Q970" s="72"/>
    </row>
    <row r="971">
      <c r="J971" s="72"/>
      <c r="K971" s="72"/>
      <c r="L971" s="72"/>
      <c r="M971" s="72"/>
      <c r="N971" s="72"/>
      <c r="O971" s="72"/>
      <c r="P971" s="72"/>
      <c r="Q971" s="72"/>
    </row>
    <row r="972">
      <c r="J972" s="72"/>
      <c r="K972" s="72"/>
      <c r="L972" s="72"/>
      <c r="M972" s="72"/>
      <c r="N972" s="72"/>
      <c r="O972" s="72"/>
      <c r="P972" s="72"/>
      <c r="Q972" s="72"/>
    </row>
    <row r="973">
      <c r="J973" s="72"/>
      <c r="K973" s="72"/>
      <c r="L973" s="72"/>
      <c r="M973" s="72"/>
      <c r="N973" s="72"/>
      <c r="O973" s="72"/>
      <c r="P973" s="72"/>
      <c r="Q973" s="72"/>
    </row>
    <row r="974">
      <c r="J974" s="72"/>
      <c r="K974" s="72"/>
      <c r="L974" s="72"/>
      <c r="M974" s="72"/>
      <c r="N974" s="72"/>
      <c r="O974" s="72"/>
      <c r="P974" s="72"/>
      <c r="Q974" s="72"/>
    </row>
    <row r="975">
      <c r="J975" s="72"/>
      <c r="K975" s="72"/>
      <c r="L975" s="72"/>
      <c r="M975" s="72"/>
      <c r="N975" s="72"/>
      <c r="O975" s="72"/>
      <c r="P975" s="72"/>
      <c r="Q975" s="72"/>
    </row>
    <row r="976">
      <c r="J976" s="72"/>
      <c r="K976" s="72"/>
      <c r="L976" s="72"/>
      <c r="M976" s="72"/>
      <c r="N976" s="72"/>
      <c r="O976" s="72"/>
      <c r="P976" s="72"/>
      <c r="Q976" s="72"/>
    </row>
    <row r="977">
      <c r="J977" s="72"/>
      <c r="K977" s="72"/>
      <c r="L977" s="72"/>
      <c r="M977" s="72"/>
      <c r="N977" s="72"/>
      <c r="O977" s="72"/>
      <c r="P977" s="72"/>
      <c r="Q977" s="72"/>
    </row>
    <row r="978">
      <c r="J978" s="72"/>
      <c r="K978" s="72"/>
      <c r="L978" s="72"/>
      <c r="M978" s="72"/>
      <c r="N978" s="72"/>
      <c r="O978" s="72"/>
      <c r="P978" s="72"/>
      <c r="Q978" s="72"/>
    </row>
    <row r="979">
      <c r="J979" s="72"/>
      <c r="K979" s="72"/>
      <c r="L979" s="72"/>
      <c r="M979" s="72"/>
      <c r="N979" s="72"/>
      <c r="O979" s="72"/>
      <c r="P979" s="72"/>
      <c r="Q979" s="72"/>
    </row>
    <row r="980">
      <c r="J980" s="72"/>
      <c r="K980" s="72"/>
      <c r="L980" s="72"/>
      <c r="M980" s="72"/>
      <c r="N980" s="72"/>
      <c r="O980" s="72"/>
      <c r="P980" s="72"/>
      <c r="Q980" s="72"/>
    </row>
    <row r="981">
      <c r="J981" s="72"/>
      <c r="K981" s="72"/>
      <c r="L981" s="72"/>
      <c r="M981" s="72"/>
      <c r="N981" s="72"/>
      <c r="O981" s="72"/>
      <c r="P981" s="72"/>
      <c r="Q981" s="72"/>
    </row>
    <row r="982">
      <c r="J982" s="72"/>
      <c r="K982" s="72"/>
      <c r="L982" s="72"/>
      <c r="M982" s="72"/>
      <c r="N982" s="72"/>
      <c r="O982" s="72"/>
      <c r="P982" s="72"/>
      <c r="Q982" s="72"/>
    </row>
    <row r="983">
      <c r="J983" s="72"/>
      <c r="K983" s="72"/>
      <c r="L983" s="72"/>
      <c r="M983" s="72"/>
      <c r="N983" s="72"/>
      <c r="O983" s="72"/>
      <c r="P983" s="72"/>
      <c r="Q983" s="72"/>
    </row>
    <row r="984">
      <c r="J984" s="72"/>
      <c r="K984" s="72"/>
      <c r="L984" s="72"/>
      <c r="M984" s="72"/>
      <c r="N984" s="72"/>
      <c r="O984" s="72"/>
      <c r="P984" s="72"/>
      <c r="Q984" s="72"/>
    </row>
    <row r="985">
      <c r="J985" s="72"/>
      <c r="K985" s="72"/>
      <c r="L985" s="72"/>
      <c r="M985" s="72"/>
      <c r="N985" s="72"/>
      <c r="O985" s="72"/>
      <c r="P985" s="72"/>
      <c r="Q985" s="72"/>
    </row>
    <row r="986">
      <c r="J986" s="72"/>
      <c r="K986" s="72"/>
      <c r="L986" s="72"/>
      <c r="M986" s="72"/>
      <c r="N986" s="72"/>
      <c r="O986" s="72"/>
      <c r="P986" s="72"/>
      <c r="Q986" s="72"/>
    </row>
    <row r="987">
      <c r="J987" s="72"/>
      <c r="K987" s="72"/>
      <c r="L987" s="72"/>
      <c r="M987" s="72"/>
      <c r="N987" s="72"/>
      <c r="O987" s="72"/>
      <c r="P987" s="72"/>
      <c r="Q987" s="72"/>
    </row>
    <row r="988">
      <c r="J988" s="72"/>
      <c r="K988" s="72"/>
      <c r="L988" s="72"/>
      <c r="M988" s="72"/>
      <c r="N988" s="72"/>
      <c r="O988" s="72"/>
      <c r="P988" s="72"/>
      <c r="Q988" s="72"/>
    </row>
    <row r="989">
      <c r="J989" s="72"/>
      <c r="K989" s="72"/>
      <c r="L989" s="72"/>
      <c r="M989" s="72"/>
      <c r="N989" s="72"/>
      <c r="O989" s="72"/>
      <c r="P989" s="72"/>
      <c r="Q989" s="72"/>
    </row>
    <row r="990">
      <c r="J990" s="72"/>
      <c r="K990" s="72"/>
      <c r="L990" s="72"/>
      <c r="M990" s="72"/>
      <c r="N990" s="72"/>
      <c r="O990" s="72"/>
      <c r="P990" s="72"/>
      <c r="Q990" s="72"/>
    </row>
    <row r="991">
      <c r="J991" s="72"/>
      <c r="K991" s="72"/>
      <c r="L991" s="72"/>
      <c r="M991" s="72"/>
      <c r="N991" s="72"/>
      <c r="O991" s="72"/>
      <c r="P991" s="72"/>
      <c r="Q991" s="72"/>
    </row>
    <row r="992">
      <c r="J992" s="72"/>
      <c r="K992" s="72"/>
      <c r="L992" s="72"/>
      <c r="M992" s="72"/>
      <c r="N992" s="72"/>
      <c r="O992" s="72"/>
      <c r="P992" s="72"/>
      <c r="Q992" s="72"/>
    </row>
    <row r="993">
      <c r="J993" s="72"/>
      <c r="K993" s="72"/>
      <c r="L993" s="72"/>
      <c r="M993" s="72"/>
      <c r="N993" s="72"/>
      <c r="O993" s="72"/>
      <c r="P993" s="72"/>
      <c r="Q993" s="72"/>
    </row>
    <row r="994">
      <c r="J994" s="72"/>
      <c r="K994" s="72"/>
      <c r="L994" s="72"/>
      <c r="M994" s="72"/>
      <c r="N994" s="72"/>
      <c r="O994" s="72"/>
      <c r="P994" s="72"/>
      <c r="Q994" s="72"/>
    </row>
    <row r="995">
      <c r="J995" s="72"/>
      <c r="K995" s="72"/>
      <c r="L995" s="72"/>
      <c r="M995" s="72"/>
      <c r="N995" s="72"/>
      <c r="O995" s="72"/>
      <c r="P995" s="72"/>
      <c r="Q995" s="72"/>
    </row>
    <row r="996">
      <c r="J996" s="72"/>
      <c r="K996" s="72"/>
      <c r="L996" s="72"/>
      <c r="M996" s="72"/>
      <c r="N996" s="72"/>
      <c r="O996" s="72"/>
      <c r="P996" s="72"/>
      <c r="Q996" s="72"/>
    </row>
    <row r="997">
      <c r="J997" s="72"/>
      <c r="K997" s="72"/>
      <c r="L997" s="72"/>
      <c r="M997" s="72"/>
      <c r="N997" s="72"/>
      <c r="O997" s="72"/>
      <c r="P997" s="72"/>
      <c r="Q997" s="72"/>
    </row>
    <row r="998">
      <c r="J998" s="72"/>
      <c r="K998" s="72"/>
      <c r="L998" s="72"/>
      <c r="M998" s="72"/>
      <c r="N998" s="72"/>
      <c r="O998" s="72"/>
      <c r="P998" s="72"/>
      <c r="Q998" s="72"/>
    </row>
    <row r="999">
      <c r="J999" s="72"/>
      <c r="K999" s="72"/>
      <c r="L999" s="72"/>
      <c r="M999" s="72"/>
      <c r="N999" s="72"/>
      <c r="O999" s="72"/>
      <c r="P999" s="72"/>
      <c r="Q999" s="72"/>
    </row>
    <row r="1000">
      <c r="J1000" s="72"/>
      <c r="K1000" s="72"/>
      <c r="L1000" s="72"/>
      <c r="M1000" s="72"/>
      <c r="N1000" s="72"/>
      <c r="O1000" s="72"/>
      <c r="P1000" s="72"/>
      <c r="Q1000" s="7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2" width="11.5"/>
    <col customWidth="1" min="3" max="3" width="9.13"/>
    <col customWidth="1" min="4" max="4" width="4.0"/>
    <col customWidth="1" min="5" max="6" width="6.25"/>
    <col customWidth="1" min="7" max="7" width="9.63"/>
    <col customWidth="1" min="8" max="8" width="10.75"/>
    <col customWidth="1" min="9" max="9" width="11.88"/>
    <col customWidth="1" min="10" max="10" width="9.38"/>
    <col customWidth="1" min="11" max="11" width="8.13"/>
    <col customWidth="1" min="12" max="12" width="7.38"/>
    <col customWidth="1" min="13" max="14" width="9.0"/>
    <col customWidth="1" min="15" max="15" width="11.0"/>
    <col customWidth="1" min="16" max="16" width="10.13"/>
    <col customWidth="1" min="17" max="17" width="9.88"/>
    <col customWidth="1" min="18" max="18" width="9.13"/>
    <col customWidth="1" min="19" max="20" width="10.88"/>
    <col customWidth="1" min="21" max="21" width="12.0"/>
    <col customWidth="1" min="22" max="22" width="11.88"/>
    <col customWidth="1" min="23" max="23" width="10.88"/>
    <col customWidth="1" min="24" max="24" width="8.38"/>
    <col customWidth="1" min="25" max="25" width="9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>
      <c r="F48" s="73"/>
      <c r="G48" s="73"/>
      <c r="H48" s="73"/>
      <c r="I48" s="73"/>
      <c r="R48" s="72"/>
      <c r="S48" s="72"/>
      <c r="T48" s="72"/>
      <c r="U48" s="72"/>
      <c r="V48" s="72"/>
      <c r="W48" s="72"/>
      <c r="X48" s="72"/>
      <c r="Y48" s="72"/>
      <c r="Z48" s="72"/>
    </row>
    <row r="49">
      <c r="F49" s="73"/>
      <c r="G49" s="73"/>
      <c r="H49" s="73"/>
      <c r="I49" s="73"/>
      <c r="R49" s="72"/>
      <c r="S49" s="72"/>
      <c r="T49" s="72"/>
      <c r="U49" s="72"/>
      <c r="V49" s="72"/>
      <c r="W49" s="72"/>
      <c r="X49" s="72"/>
      <c r="Y49" s="72"/>
      <c r="Z49" s="72"/>
    </row>
    <row r="50">
      <c r="F50" s="73"/>
      <c r="G50" s="73"/>
      <c r="H50" s="73"/>
      <c r="I50" s="73"/>
      <c r="R50" s="72"/>
      <c r="S50" s="72"/>
      <c r="T50" s="72"/>
      <c r="U50" s="72"/>
      <c r="V50" s="72"/>
      <c r="W50" s="72"/>
      <c r="X50" s="72"/>
      <c r="Y50" s="72"/>
      <c r="Z50" s="72"/>
    </row>
    <row r="51">
      <c r="F51" s="73"/>
      <c r="G51" s="73"/>
      <c r="H51" s="73"/>
      <c r="I51" s="73"/>
      <c r="R51" s="72"/>
      <c r="S51" s="72"/>
      <c r="T51" s="72"/>
      <c r="U51" s="72"/>
      <c r="V51" s="72"/>
      <c r="W51" s="72"/>
      <c r="X51" s="72"/>
      <c r="Y51" s="72"/>
      <c r="Z51" s="72"/>
    </row>
    <row r="52">
      <c r="F52" s="73"/>
      <c r="G52" s="73"/>
      <c r="H52" s="73"/>
      <c r="I52" s="73"/>
      <c r="R52" s="72"/>
      <c r="S52" s="72"/>
      <c r="T52" s="72"/>
      <c r="U52" s="72"/>
      <c r="V52" s="72"/>
      <c r="W52" s="72"/>
      <c r="X52" s="72"/>
      <c r="Y52" s="72"/>
      <c r="Z52" s="72"/>
    </row>
    <row r="53">
      <c r="F53" s="73"/>
      <c r="G53" s="73"/>
      <c r="H53" s="73"/>
      <c r="I53" s="73"/>
      <c r="R53" s="72"/>
      <c r="S53" s="72"/>
      <c r="T53" s="72"/>
      <c r="U53" s="72"/>
      <c r="V53" s="72"/>
      <c r="W53" s="72"/>
      <c r="X53" s="72"/>
      <c r="Y53" s="72"/>
      <c r="Z53" s="72"/>
    </row>
    <row r="54">
      <c r="F54" s="73"/>
      <c r="G54" s="73"/>
      <c r="H54" s="73"/>
      <c r="I54" s="73"/>
      <c r="R54" s="72"/>
      <c r="S54" s="72"/>
      <c r="T54" s="72"/>
      <c r="U54" s="72"/>
      <c r="V54" s="72"/>
      <c r="W54" s="72"/>
      <c r="X54" s="72"/>
      <c r="Y54" s="72"/>
      <c r="Z54" s="72"/>
    </row>
    <row r="55">
      <c r="F55" s="73"/>
      <c r="G55" s="73"/>
      <c r="H55" s="73"/>
      <c r="I55" s="73"/>
      <c r="R55" s="72"/>
      <c r="S55" s="72"/>
      <c r="T55" s="72"/>
      <c r="U55" s="72"/>
      <c r="V55" s="72"/>
      <c r="W55" s="72"/>
      <c r="X55" s="72"/>
      <c r="Y55" s="72"/>
      <c r="Z55" s="72"/>
    </row>
    <row r="56">
      <c r="F56" s="73"/>
      <c r="G56" s="73"/>
      <c r="H56" s="73"/>
      <c r="I56" s="73"/>
      <c r="R56" s="72"/>
      <c r="S56" s="72"/>
      <c r="T56" s="72"/>
      <c r="U56" s="72"/>
      <c r="V56" s="72"/>
      <c r="W56" s="72"/>
      <c r="X56" s="72"/>
      <c r="Y56" s="72"/>
      <c r="Z56" s="72"/>
    </row>
    <row r="57">
      <c r="F57" s="73"/>
      <c r="G57" s="73"/>
      <c r="H57" s="73"/>
      <c r="I57" s="73"/>
      <c r="R57" s="72"/>
      <c r="S57" s="72"/>
      <c r="T57" s="72"/>
      <c r="U57" s="72"/>
      <c r="V57" s="72"/>
      <c r="W57" s="72"/>
      <c r="X57" s="72"/>
      <c r="Y57" s="72"/>
      <c r="Z57" s="72"/>
    </row>
    <row r="58">
      <c r="F58" s="73"/>
      <c r="G58" s="73"/>
      <c r="H58" s="73"/>
      <c r="I58" s="73"/>
      <c r="R58" s="72"/>
      <c r="S58" s="72"/>
      <c r="T58" s="72"/>
      <c r="U58" s="72"/>
      <c r="V58" s="72"/>
      <c r="W58" s="72"/>
      <c r="X58" s="72"/>
      <c r="Y58" s="72"/>
      <c r="Z58" s="72"/>
    </row>
    <row r="59">
      <c r="F59" s="73"/>
      <c r="G59" s="73"/>
      <c r="H59" s="73"/>
      <c r="I59" s="73"/>
      <c r="R59" s="72"/>
      <c r="S59" s="72"/>
      <c r="T59" s="72"/>
      <c r="U59" s="72"/>
      <c r="V59" s="72"/>
      <c r="W59" s="72"/>
      <c r="X59" s="72"/>
      <c r="Y59" s="72"/>
      <c r="Z59" s="72"/>
    </row>
    <row r="60">
      <c r="F60" s="73"/>
      <c r="G60" s="73"/>
      <c r="H60" s="73"/>
      <c r="I60" s="73"/>
      <c r="R60" s="72"/>
      <c r="S60" s="72"/>
      <c r="T60" s="72"/>
      <c r="U60" s="72"/>
      <c r="V60" s="72"/>
      <c r="W60" s="72"/>
      <c r="X60" s="72"/>
      <c r="Y60" s="72"/>
      <c r="Z60" s="72"/>
    </row>
    <row r="61">
      <c r="F61" s="73"/>
      <c r="G61" s="73"/>
      <c r="H61" s="73"/>
      <c r="I61" s="73"/>
      <c r="R61" s="72"/>
      <c r="S61" s="72"/>
      <c r="T61" s="72"/>
      <c r="U61" s="72"/>
      <c r="V61" s="72"/>
      <c r="W61" s="72"/>
      <c r="X61" s="72"/>
      <c r="Y61" s="72"/>
      <c r="Z61" s="72"/>
    </row>
    <row r="62">
      <c r="F62" s="73"/>
      <c r="G62" s="73"/>
      <c r="H62" s="73"/>
      <c r="I62" s="73"/>
      <c r="R62" s="72"/>
      <c r="S62" s="72"/>
      <c r="T62" s="72"/>
      <c r="U62" s="72"/>
      <c r="V62" s="72"/>
      <c r="W62" s="72"/>
      <c r="X62" s="72"/>
      <c r="Y62" s="72"/>
      <c r="Z62" s="72"/>
    </row>
    <row r="63">
      <c r="F63" s="73"/>
      <c r="G63" s="73"/>
      <c r="H63" s="73"/>
      <c r="I63" s="73"/>
      <c r="R63" s="72"/>
      <c r="S63" s="72"/>
      <c r="T63" s="72"/>
      <c r="U63" s="72"/>
      <c r="V63" s="72"/>
      <c r="W63" s="72"/>
      <c r="X63" s="72"/>
      <c r="Y63" s="72"/>
      <c r="Z63" s="72"/>
    </row>
    <row r="64">
      <c r="F64" s="73"/>
      <c r="G64" s="73"/>
      <c r="H64" s="73"/>
      <c r="I64" s="73"/>
      <c r="R64" s="72"/>
      <c r="S64" s="72"/>
      <c r="T64" s="72"/>
      <c r="U64" s="72"/>
      <c r="V64" s="72"/>
      <c r="W64" s="72"/>
      <c r="X64" s="72"/>
      <c r="Y64" s="72"/>
      <c r="Z64" s="72"/>
    </row>
    <row r="65">
      <c r="F65" s="73"/>
      <c r="G65" s="73"/>
      <c r="H65" s="73"/>
      <c r="I65" s="73"/>
      <c r="R65" s="72"/>
      <c r="S65" s="72"/>
      <c r="T65" s="72"/>
      <c r="U65" s="72"/>
      <c r="V65" s="72"/>
      <c r="W65" s="72"/>
      <c r="X65" s="72"/>
      <c r="Y65" s="72"/>
      <c r="Z65" s="72"/>
    </row>
    <row r="66">
      <c r="F66" s="73"/>
      <c r="G66" s="73"/>
      <c r="H66" s="73"/>
      <c r="I66" s="73"/>
      <c r="R66" s="72"/>
      <c r="S66" s="72"/>
      <c r="T66" s="72"/>
      <c r="U66" s="72"/>
      <c r="V66" s="72"/>
      <c r="W66" s="72"/>
      <c r="X66" s="72"/>
      <c r="Y66" s="72"/>
      <c r="Z66" s="72"/>
    </row>
    <row r="67">
      <c r="F67" s="73"/>
      <c r="G67" s="73"/>
      <c r="H67" s="73"/>
      <c r="I67" s="73"/>
      <c r="R67" s="72"/>
      <c r="S67" s="72"/>
      <c r="T67" s="72"/>
      <c r="U67" s="72"/>
      <c r="V67" s="72"/>
      <c r="W67" s="72"/>
      <c r="X67" s="72"/>
      <c r="Y67" s="72"/>
      <c r="Z67" s="72"/>
    </row>
    <row r="68">
      <c r="F68" s="73"/>
      <c r="G68" s="73"/>
      <c r="H68" s="73"/>
      <c r="I68" s="73"/>
      <c r="R68" s="72"/>
      <c r="S68" s="72"/>
      <c r="T68" s="72"/>
      <c r="U68" s="72"/>
      <c r="V68" s="72"/>
      <c r="W68" s="72"/>
      <c r="X68" s="72"/>
      <c r="Y68" s="72"/>
      <c r="Z68" s="72"/>
    </row>
    <row r="69">
      <c r="F69" s="73"/>
      <c r="G69" s="73"/>
      <c r="H69" s="73"/>
      <c r="I69" s="73"/>
      <c r="R69" s="72"/>
      <c r="S69" s="72"/>
      <c r="T69" s="72"/>
      <c r="U69" s="72"/>
      <c r="V69" s="72"/>
      <c r="W69" s="72"/>
      <c r="X69" s="72"/>
      <c r="Y69" s="72"/>
      <c r="Z69" s="72"/>
    </row>
    <row r="70">
      <c r="F70" s="73"/>
      <c r="G70" s="73"/>
      <c r="H70" s="73"/>
      <c r="I70" s="73"/>
      <c r="R70" s="72"/>
      <c r="S70" s="72"/>
      <c r="T70" s="72"/>
      <c r="U70" s="72"/>
      <c r="V70" s="72"/>
      <c r="W70" s="72"/>
      <c r="X70" s="72"/>
      <c r="Y70" s="72"/>
      <c r="Z70" s="72"/>
    </row>
    <row r="71">
      <c r="F71" s="73"/>
      <c r="G71" s="73"/>
      <c r="H71" s="73"/>
      <c r="I71" s="73"/>
      <c r="R71" s="72"/>
      <c r="S71" s="72"/>
      <c r="T71" s="72"/>
      <c r="U71" s="72"/>
      <c r="V71" s="72"/>
      <c r="W71" s="72"/>
      <c r="X71" s="72"/>
      <c r="Y71" s="72"/>
      <c r="Z71" s="72"/>
    </row>
    <row r="72">
      <c r="F72" s="73"/>
      <c r="G72" s="73"/>
      <c r="H72" s="73"/>
      <c r="I72" s="73"/>
      <c r="R72" s="72"/>
      <c r="S72" s="72"/>
      <c r="T72" s="72"/>
      <c r="U72" s="72"/>
      <c r="V72" s="72"/>
      <c r="W72" s="72"/>
      <c r="X72" s="72"/>
      <c r="Y72" s="72"/>
      <c r="Z72" s="72"/>
    </row>
    <row r="73">
      <c r="F73" s="73"/>
      <c r="G73" s="73"/>
      <c r="H73" s="73"/>
      <c r="I73" s="73"/>
      <c r="R73" s="72"/>
      <c r="S73" s="72"/>
      <c r="T73" s="72"/>
      <c r="U73" s="72"/>
      <c r="V73" s="72"/>
      <c r="W73" s="72"/>
      <c r="X73" s="72"/>
      <c r="Y73" s="72"/>
      <c r="Z73" s="72"/>
    </row>
    <row r="74">
      <c r="F74" s="73"/>
      <c r="G74" s="73"/>
      <c r="H74" s="73"/>
      <c r="I74" s="73"/>
      <c r="R74" s="72"/>
      <c r="S74" s="72"/>
      <c r="T74" s="72"/>
      <c r="U74" s="72"/>
      <c r="V74" s="72"/>
      <c r="W74" s="72"/>
      <c r="X74" s="72"/>
      <c r="Y74" s="72"/>
      <c r="Z74" s="72"/>
    </row>
    <row r="75">
      <c r="F75" s="73"/>
      <c r="G75" s="73"/>
      <c r="H75" s="73"/>
      <c r="I75" s="73"/>
      <c r="R75" s="72"/>
      <c r="S75" s="72"/>
      <c r="T75" s="72"/>
      <c r="U75" s="72"/>
      <c r="V75" s="72"/>
      <c r="W75" s="72"/>
      <c r="X75" s="72"/>
      <c r="Y75" s="72"/>
      <c r="Z75" s="72"/>
    </row>
    <row r="76">
      <c r="F76" s="73"/>
      <c r="G76" s="73"/>
      <c r="H76" s="73"/>
      <c r="I76" s="73"/>
      <c r="R76" s="72"/>
      <c r="S76" s="72"/>
      <c r="T76" s="72"/>
      <c r="U76" s="72"/>
      <c r="V76" s="72"/>
      <c r="W76" s="72"/>
      <c r="X76" s="72"/>
      <c r="Y76" s="72"/>
      <c r="Z76" s="72"/>
    </row>
    <row r="77">
      <c r="F77" s="73"/>
      <c r="G77" s="73"/>
      <c r="H77" s="73"/>
      <c r="I77" s="73"/>
      <c r="R77" s="72"/>
      <c r="S77" s="72"/>
      <c r="T77" s="72"/>
      <c r="U77" s="72"/>
      <c r="V77" s="72"/>
      <c r="W77" s="72"/>
      <c r="X77" s="72"/>
      <c r="Y77" s="72"/>
      <c r="Z77" s="72"/>
    </row>
    <row r="78">
      <c r="F78" s="73"/>
      <c r="G78" s="73"/>
      <c r="H78" s="73"/>
      <c r="I78" s="73"/>
      <c r="R78" s="72"/>
      <c r="S78" s="72"/>
      <c r="T78" s="72"/>
      <c r="U78" s="72"/>
      <c r="V78" s="72"/>
      <c r="W78" s="72"/>
      <c r="X78" s="72"/>
      <c r="Y78" s="72"/>
      <c r="Z78" s="72"/>
    </row>
    <row r="79">
      <c r="F79" s="73"/>
      <c r="G79" s="73"/>
      <c r="H79" s="73"/>
      <c r="I79" s="73"/>
      <c r="R79" s="72"/>
      <c r="S79" s="72"/>
      <c r="T79" s="72"/>
      <c r="U79" s="72"/>
      <c r="V79" s="72"/>
      <c r="W79" s="72"/>
      <c r="X79" s="72"/>
      <c r="Y79" s="72"/>
      <c r="Z79" s="72"/>
    </row>
    <row r="80">
      <c r="F80" s="73"/>
      <c r="G80" s="73"/>
      <c r="H80" s="73"/>
      <c r="I80" s="73"/>
      <c r="R80" s="72"/>
      <c r="S80" s="72"/>
      <c r="T80" s="72"/>
      <c r="U80" s="72"/>
      <c r="V80" s="72"/>
      <c r="W80" s="72"/>
      <c r="X80" s="72"/>
      <c r="Y80" s="72"/>
      <c r="Z80" s="72"/>
    </row>
    <row r="81">
      <c r="F81" s="73"/>
      <c r="G81" s="73"/>
      <c r="H81" s="73"/>
      <c r="I81" s="73"/>
      <c r="R81" s="72"/>
      <c r="S81" s="72"/>
      <c r="T81" s="72"/>
      <c r="U81" s="72"/>
      <c r="V81" s="72"/>
      <c r="W81" s="72"/>
      <c r="X81" s="72"/>
      <c r="Y81" s="72"/>
      <c r="Z81" s="72"/>
    </row>
    <row r="82">
      <c r="F82" s="73"/>
      <c r="G82" s="73"/>
      <c r="H82" s="73"/>
      <c r="I82" s="73"/>
      <c r="R82" s="72"/>
      <c r="S82" s="72"/>
      <c r="T82" s="72"/>
      <c r="U82" s="72"/>
      <c r="V82" s="72"/>
      <c r="W82" s="72"/>
      <c r="X82" s="72"/>
      <c r="Y82" s="72"/>
      <c r="Z82" s="72"/>
    </row>
    <row r="83">
      <c r="F83" s="73"/>
      <c r="G83" s="73"/>
      <c r="H83" s="73"/>
      <c r="I83" s="73"/>
      <c r="R83" s="72"/>
      <c r="S83" s="72"/>
      <c r="T83" s="72"/>
      <c r="U83" s="72"/>
      <c r="V83" s="72"/>
      <c r="W83" s="72"/>
      <c r="X83" s="72"/>
      <c r="Y83" s="72"/>
      <c r="Z83" s="72"/>
    </row>
    <row r="84">
      <c r="F84" s="73"/>
      <c r="G84" s="73"/>
      <c r="H84" s="73"/>
      <c r="I84" s="73"/>
      <c r="R84" s="72"/>
      <c r="S84" s="72"/>
      <c r="T84" s="72"/>
      <c r="U84" s="72"/>
      <c r="V84" s="72"/>
      <c r="W84" s="72"/>
      <c r="X84" s="72"/>
      <c r="Y84" s="72"/>
      <c r="Z84" s="72"/>
    </row>
    <row r="85">
      <c r="F85" s="73"/>
      <c r="G85" s="73"/>
      <c r="H85" s="73"/>
      <c r="I85" s="73"/>
      <c r="R85" s="72"/>
      <c r="S85" s="72"/>
      <c r="T85" s="72"/>
      <c r="U85" s="72"/>
      <c r="V85" s="72"/>
      <c r="W85" s="72"/>
      <c r="X85" s="72"/>
      <c r="Y85" s="72"/>
      <c r="Z85" s="72"/>
    </row>
    <row r="86">
      <c r="F86" s="73"/>
      <c r="G86" s="73"/>
      <c r="H86" s="73"/>
      <c r="I86" s="73"/>
      <c r="R86" s="72"/>
      <c r="S86" s="72"/>
      <c r="T86" s="72"/>
      <c r="U86" s="72"/>
      <c r="V86" s="72"/>
      <c r="W86" s="72"/>
      <c r="X86" s="72"/>
      <c r="Y86" s="72"/>
      <c r="Z86" s="72"/>
    </row>
    <row r="87">
      <c r="F87" s="73"/>
      <c r="G87" s="73"/>
      <c r="H87" s="73"/>
      <c r="I87" s="73"/>
      <c r="R87" s="72"/>
      <c r="S87" s="72"/>
      <c r="T87" s="72"/>
      <c r="U87" s="72"/>
      <c r="V87" s="72"/>
      <c r="W87" s="72"/>
      <c r="X87" s="72"/>
      <c r="Y87" s="72"/>
      <c r="Z87" s="72"/>
    </row>
    <row r="88">
      <c r="F88" s="73"/>
      <c r="G88" s="73"/>
      <c r="H88" s="73"/>
      <c r="I88" s="73"/>
      <c r="R88" s="72"/>
      <c r="S88" s="72"/>
      <c r="T88" s="72"/>
      <c r="U88" s="72"/>
      <c r="V88" s="72"/>
      <c r="W88" s="72"/>
      <c r="X88" s="72"/>
      <c r="Y88" s="72"/>
      <c r="Z88" s="72"/>
    </row>
    <row r="89">
      <c r="F89" s="73"/>
      <c r="G89" s="73"/>
      <c r="H89" s="73"/>
      <c r="I89" s="73"/>
      <c r="R89" s="72"/>
      <c r="S89" s="72"/>
      <c r="T89" s="72"/>
      <c r="U89" s="72"/>
      <c r="V89" s="72"/>
      <c r="W89" s="72"/>
      <c r="X89" s="72"/>
      <c r="Y89" s="72"/>
      <c r="Z89" s="72"/>
    </row>
    <row r="90">
      <c r="F90" s="73"/>
      <c r="G90" s="73"/>
      <c r="H90" s="73"/>
      <c r="I90" s="73"/>
      <c r="R90" s="72"/>
      <c r="S90" s="72"/>
      <c r="T90" s="72"/>
      <c r="U90" s="72"/>
      <c r="V90" s="72"/>
      <c r="W90" s="72"/>
      <c r="X90" s="72"/>
      <c r="Y90" s="72"/>
      <c r="Z90" s="72"/>
    </row>
    <row r="91">
      <c r="F91" s="73"/>
      <c r="G91" s="73"/>
      <c r="H91" s="73"/>
      <c r="I91" s="73"/>
      <c r="R91" s="72"/>
      <c r="S91" s="72"/>
      <c r="T91" s="72"/>
      <c r="U91" s="72"/>
      <c r="V91" s="72"/>
      <c r="W91" s="72"/>
      <c r="X91" s="72"/>
      <c r="Y91" s="72"/>
      <c r="Z91" s="72"/>
    </row>
    <row r="92">
      <c r="F92" s="73"/>
      <c r="G92" s="73"/>
      <c r="H92" s="73"/>
      <c r="I92" s="73"/>
      <c r="R92" s="72"/>
      <c r="S92" s="72"/>
      <c r="T92" s="72"/>
      <c r="U92" s="72"/>
      <c r="V92" s="72"/>
      <c r="W92" s="72"/>
      <c r="X92" s="72"/>
      <c r="Y92" s="72"/>
      <c r="Z92" s="72"/>
    </row>
    <row r="93">
      <c r="F93" s="73"/>
      <c r="G93" s="73"/>
      <c r="H93" s="73"/>
      <c r="I93" s="73"/>
      <c r="R93" s="72"/>
      <c r="S93" s="72"/>
      <c r="T93" s="72"/>
      <c r="U93" s="72"/>
      <c r="V93" s="72"/>
      <c r="W93" s="72"/>
      <c r="X93" s="72"/>
      <c r="Y93" s="72"/>
      <c r="Z93" s="72"/>
    </row>
    <row r="94">
      <c r="F94" s="73"/>
      <c r="G94" s="73"/>
      <c r="H94" s="73"/>
      <c r="I94" s="73"/>
      <c r="R94" s="72"/>
      <c r="S94" s="72"/>
      <c r="T94" s="72"/>
      <c r="U94" s="72"/>
      <c r="V94" s="72"/>
      <c r="W94" s="72"/>
      <c r="X94" s="72"/>
      <c r="Y94" s="72"/>
      <c r="Z94" s="72"/>
    </row>
    <row r="95">
      <c r="F95" s="73"/>
      <c r="G95" s="73"/>
      <c r="H95" s="73"/>
      <c r="I95" s="73"/>
      <c r="R95" s="72"/>
      <c r="S95" s="72"/>
      <c r="T95" s="72"/>
      <c r="U95" s="72"/>
      <c r="V95" s="72"/>
      <c r="W95" s="72"/>
      <c r="X95" s="72"/>
      <c r="Y95" s="72"/>
      <c r="Z95" s="72"/>
    </row>
    <row r="96">
      <c r="F96" s="73"/>
      <c r="G96" s="73"/>
      <c r="H96" s="73"/>
      <c r="I96" s="73"/>
      <c r="R96" s="72"/>
      <c r="S96" s="72"/>
      <c r="T96" s="72"/>
      <c r="U96" s="72"/>
      <c r="V96" s="72"/>
      <c r="W96" s="72"/>
      <c r="X96" s="72"/>
      <c r="Y96" s="72"/>
      <c r="Z96" s="72"/>
    </row>
    <row r="97">
      <c r="F97" s="73"/>
      <c r="G97" s="73"/>
      <c r="H97" s="73"/>
      <c r="I97" s="73"/>
      <c r="R97" s="72"/>
      <c r="S97" s="72"/>
      <c r="T97" s="72"/>
      <c r="U97" s="72"/>
      <c r="V97" s="72"/>
      <c r="W97" s="72"/>
      <c r="X97" s="72"/>
      <c r="Y97" s="72"/>
      <c r="Z97" s="72"/>
    </row>
    <row r="98">
      <c r="F98" s="73"/>
      <c r="G98" s="73"/>
      <c r="H98" s="73"/>
      <c r="I98" s="73"/>
      <c r="R98" s="72"/>
      <c r="S98" s="72"/>
      <c r="T98" s="72"/>
      <c r="U98" s="72"/>
      <c r="V98" s="72"/>
      <c r="W98" s="72"/>
      <c r="X98" s="72"/>
      <c r="Y98" s="72"/>
      <c r="Z98" s="72"/>
    </row>
    <row r="99">
      <c r="F99" s="73"/>
      <c r="G99" s="73"/>
      <c r="H99" s="73"/>
      <c r="I99" s="73"/>
      <c r="R99" s="72"/>
      <c r="S99" s="72"/>
      <c r="T99" s="72"/>
      <c r="U99" s="72"/>
      <c r="V99" s="72"/>
      <c r="W99" s="72"/>
      <c r="X99" s="72"/>
      <c r="Y99" s="72"/>
      <c r="Z99" s="72"/>
    </row>
    <row r="100">
      <c r="F100" s="73"/>
      <c r="G100" s="73"/>
      <c r="H100" s="73"/>
      <c r="I100" s="73"/>
      <c r="R100" s="72"/>
      <c r="S100" s="72"/>
      <c r="T100" s="72"/>
      <c r="U100" s="72"/>
      <c r="V100" s="72"/>
      <c r="W100" s="72"/>
      <c r="X100" s="72"/>
      <c r="Y100" s="72"/>
      <c r="Z100" s="72"/>
    </row>
    <row r="101">
      <c r="F101" s="73"/>
      <c r="G101" s="73"/>
      <c r="H101" s="73"/>
      <c r="I101" s="73"/>
      <c r="R101" s="72"/>
      <c r="S101" s="72"/>
      <c r="T101" s="72"/>
      <c r="U101" s="72"/>
      <c r="V101" s="72"/>
      <c r="W101" s="72"/>
      <c r="X101" s="72"/>
      <c r="Y101" s="72"/>
      <c r="Z101" s="72"/>
    </row>
    <row r="102">
      <c r="F102" s="73"/>
      <c r="G102" s="73"/>
      <c r="H102" s="73"/>
      <c r="I102" s="73"/>
      <c r="R102" s="72"/>
      <c r="S102" s="72"/>
      <c r="T102" s="72"/>
      <c r="U102" s="72"/>
      <c r="V102" s="72"/>
      <c r="W102" s="72"/>
      <c r="X102" s="72"/>
      <c r="Y102" s="72"/>
      <c r="Z102" s="72"/>
    </row>
    <row r="103">
      <c r="F103" s="73"/>
      <c r="G103" s="73"/>
      <c r="H103" s="73"/>
      <c r="I103" s="73"/>
      <c r="R103" s="72"/>
      <c r="S103" s="72"/>
      <c r="T103" s="72"/>
      <c r="U103" s="72"/>
      <c r="V103" s="72"/>
      <c r="W103" s="72"/>
      <c r="X103" s="72"/>
      <c r="Y103" s="72"/>
      <c r="Z103" s="72"/>
    </row>
    <row r="104">
      <c r="F104" s="73"/>
      <c r="G104" s="73"/>
      <c r="H104" s="73"/>
      <c r="I104" s="73"/>
      <c r="R104" s="72"/>
      <c r="S104" s="72"/>
      <c r="T104" s="72"/>
      <c r="U104" s="72"/>
      <c r="V104" s="72"/>
      <c r="W104" s="72"/>
      <c r="X104" s="72"/>
      <c r="Y104" s="72"/>
      <c r="Z104" s="72"/>
    </row>
    <row r="105">
      <c r="F105" s="73"/>
      <c r="G105" s="73"/>
      <c r="H105" s="73"/>
      <c r="I105" s="73"/>
      <c r="R105" s="72"/>
      <c r="S105" s="72"/>
      <c r="T105" s="72"/>
      <c r="U105" s="72"/>
      <c r="V105" s="72"/>
      <c r="W105" s="72"/>
      <c r="X105" s="72"/>
      <c r="Y105" s="72"/>
      <c r="Z105" s="72"/>
    </row>
    <row r="106">
      <c r="F106" s="73"/>
      <c r="G106" s="73"/>
      <c r="H106" s="73"/>
      <c r="I106" s="73"/>
      <c r="R106" s="72"/>
      <c r="S106" s="72"/>
      <c r="T106" s="72"/>
      <c r="U106" s="72"/>
      <c r="V106" s="72"/>
      <c r="W106" s="72"/>
      <c r="X106" s="72"/>
      <c r="Y106" s="72"/>
      <c r="Z106" s="72"/>
    </row>
    <row r="107">
      <c r="F107" s="73"/>
      <c r="G107" s="73"/>
      <c r="H107" s="73"/>
      <c r="I107" s="73"/>
      <c r="R107" s="72"/>
      <c r="S107" s="72"/>
      <c r="T107" s="72"/>
      <c r="U107" s="72"/>
      <c r="V107" s="72"/>
      <c r="W107" s="72"/>
      <c r="X107" s="72"/>
      <c r="Y107" s="72"/>
      <c r="Z107" s="72"/>
    </row>
    <row r="108">
      <c r="F108" s="73"/>
      <c r="G108" s="73"/>
      <c r="H108" s="73"/>
      <c r="I108" s="73"/>
      <c r="R108" s="72"/>
      <c r="S108" s="72"/>
      <c r="T108" s="72"/>
      <c r="U108" s="72"/>
      <c r="V108" s="72"/>
      <c r="W108" s="72"/>
      <c r="X108" s="72"/>
      <c r="Y108" s="72"/>
      <c r="Z108" s="72"/>
    </row>
    <row r="109">
      <c r="F109" s="73"/>
      <c r="G109" s="73"/>
      <c r="H109" s="73"/>
      <c r="I109" s="73"/>
      <c r="R109" s="72"/>
      <c r="S109" s="72"/>
      <c r="T109" s="72"/>
      <c r="U109" s="72"/>
      <c r="V109" s="72"/>
      <c r="W109" s="72"/>
      <c r="X109" s="72"/>
      <c r="Y109" s="72"/>
      <c r="Z109" s="72"/>
    </row>
    <row r="110">
      <c r="F110" s="73"/>
      <c r="G110" s="73"/>
      <c r="H110" s="73"/>
      <c r="I110" s="73"/>
      <c r="R110" s="72"/>
      <c r="S110" s="72"/>
      <c r="T110" s="72"/>
      <c r="U110" s="72"/>
      <c r="V110" s="72"/>
      <c r="W110" s="72"/>
      <c r="X110" s="72"/>
      <c r="Y110" s="72"/>
      <c r="Z110" s="72"/>
    </row>
    <row r="111">
      <c r="F111" s="73"/>
      <c r="G111" s="73"/>
      <c r="H111" s="73"/>
      <c r="I111" s="73"/>
      <c r="R111" s="72"/>
      <c r="S111" s="72"/>
      <c r="T111" s="72"/>
      <c r="U111" s="72"/>
      <c r="V111" s="72"/>
      <c r="W111" s="72"/>
      <c r="X111" s="72"/>
      <c r="Y111" s="72"/>
      <c r="Z111" s="72"/>
    </row>
    <row r="112">
      <c r="F112" s="73"/>
      <c r="G112" s="73"/>
      <c r="H112" s="73"/>
      <c r="I112" s="73"/>
      <c r="R112" s="72"/>
      <c r="S112" s="72"/>
      <c r="T112" s="72"/>
      <c r="U112" s="72"/>
      <c r="V112" s="72"/>
      <c r="W112" s="72"/>
      <c r="X112" s="72"/>
      <c r="Y112" s="72"/>
      <c r="Z112" s="72"/>
    </row>
    <row r="113">
      <c r="F113" s="73"/>
      <c r="G113" s="73"/>
      <c r="H113" s="73"/>
      <c r="I113" s="73"/>
      <c r="R113" s="72"/>
      <c r="S113" s="72"/>
      <c r="T113" s="72"/>
      <c r="U113" s="72"/>
      <c r="V113" s="72"/>
      <c r="W113" s="72"/>
      <c r="X113" s="72"/>
      <c r="Y113" s="72"/>
      <c r="Z113" s="72"/>
    </row>
    <row r="114">
      <c r="F114" s="73"/>
      <c r="G114" s="73"/>
      <c r="H114" s="73"/>
      <c r="I114" s="73"/>
      <c r="R114" s="72"/>
      <c r="S114" s="72"/>
      <c r="T114" s="72"/>
      <c r="U114" s="72"/>
      <c r="V114" s="72"/>
      <c r="W114" s="72"/>
      <c r="X114" s="72"/>
      <c r="Y114" s="72"/>
      <c r="Z114" s="72"/>
    </row>
    <row r="115">
      <c r="F115" s="73"/>
      <c r="G115" s="73"/>
      <c r="H115" s="73"/>
      <c r="I115" s="73"/>
      <c r="R115" s="72"/>
      <c r="S115" s="72"/>
      <c r="T115" s="72"/>
      <c r="U115" s="72"/>
      <c r="V115" s="72"/>
      <c r="W115" s="72"/>
      <c r="X115" s="72"/>
      <c r="Y115" s="72"/>
      <c r="Z115" s="72"/>
    </row>
    <row r="116">
      <c r="F116" s="73"/>
      <c r="G116" s="73"/>
      <c r="H116" s="73"/>
      <c r="I116" s="73"/>
      <c r="R116" s="72"/>
      <c r="S116" s="72"/>
      <c r="T116" s="72"/>
      <c r="U116" s="72"/>
      <c r="V116" s="72"/>
      <c r="W116" s="72"/>
      <c r="X116" s="72"/>
      <c r="Y116" s="72"/>
      <c r="Z116" s="72"/>
    </row>
    <row r="117">
      <c r="F117" s="73"/>
      <c r="G117" s="73"/>
      <c r="H117" s="73"/>
      <c r="I117" s="73"/>
      <c r="R117" s="72"/>
      <c r="S117" s="72"/>
      <c r="T117" s="72"/>
      <c r="U117" s="72"/>
      <c r="V117" s="72"/>
      <c r="W117" s="72"/>
      <c r="X117" s="72"/>
      <c r="Y117" s="72"/>
      <c r="Z117" s="72"/>
    </row>
    <row r="118">
      <c r="F118" s="73"/>
      <c r="G118" s="73"/>
      <c r="H118" s="73"/>
      <c r="I118" s="73"/>
      <c r="R118" s="72"/>
      <c r="S118" s="72"/>
      <c r="T118" s="72"/>
      <c r="U118" s="72"/>
      <c r="V118" s="72"/>
      <c r="W118" s="72"/>
      <c r="X118" s="72"/>
      <c r="Y118" s="72"/>
      <c r="Z118" s="72"/>
    </row>
    <row r="119">
      <c r="F119" s="73"/>
      <c r="G119" s="73"/>
      <c r="H119" s="73"/>
      <c r="I119" s="73"/>
      <c r="R119" s="72"/>
      <c r="S119" s="72"/>
      <c r="T119" s="72"/>
      <c r="U119" s="72"/>
      <c r="V119" s="72"/>
      <c r="W119" s="72"/>
      <c r="X119" s="72"/>
      <c r="Y119" s="72"/>
      <c r="Z119" s="72"/>
    </row>
    <row r="120">
      <c r="F120" s="73"/>
      <c r="G120" s="73"/>
      <c r="H120" s="73"/>
      <c r="I120" s="73"/>
      <c r="R120" s="72"/>
      <c r="S120" s="72"/>
      <c r="T120" s="72"/>
      <c r="U120" s="72"/>
      <c r="V120" s="72"/>
      <c r="W120" s="72"/>
      <c r="X120" s="72"/>
      <c r="Y120" s="72"/>
      <c r="Z120" s="72"/>
    </row>
    <row r="121">
      <c r="F121" s="73"/>
      <c r="G121" s="73"/>
      <c r="H121" s="73"/>
      <c r="I121" s="73"/>
      <c r="R121" s="72"/>
      <c r="S121" s="72"/>
      <c r="T121" s="72"/>
      <c r="U121" s="72"/>
      <c r="V121" s="72"/>
      <c r="W121" s="72"/>
      <c r="X121" s="72"/>
      <c r="Y121" s="72"/>
      <c r="Z121" s="72"/>
    </row>
    <row r="122">
      <c r="F122" s="73"/>
      <c r="G122" s="73"/>
      <c r="H122" s="73"/>
      <c r="I122" s="73"/>
      <c r="R122" s="72"/>
      <c r="S122" s="72"/>
      <c r="T122" s="72"/>
      <c r="U122" s="72"/>
      <c r="V122" s="72"/>
      <c r="W122" s="72"/>
      <c r="X122" s="72"/>
      <c r="Y122" s="72"/>
      <c r="Z122" s="72"/>
    </row>
    <row r="123">
      <c r="F123" s="73"/>
      <c r="G123" s="73"/>
      <c r="H123" s="73"/>
      <c r="I123" s="73"/>
      <c r="R123" s="72"/>
      <c r="S123" s="72"/>
      <c r="T123" s="72"/>
      <c r="U123" s="72"/>
      <c r="V123" s="72"/>
      <c r="W123" s="72"/>
      <c r="X123" s="72"/>
      <c r="Y123" s="72"/>
      <c r="Z123" s="72"/>
    </row>
    <row r="124">
      <c r="F124" s="73"/>
      <c r="G124" s="73"/>
      <c r="H124" s="73"/>
      <c r="I124" s="73"/>
      <c r="R124" s="72"/>
      <c r="S124" s="72"/>
      <c r="T124" s="72"/>
      <c r="U124" s="72"/>
      <c r="V124" s="72"/>
      <c r="W124" s="72"/>
      <c r="X124" s="72"/>
      <c r="Y124" s="72"/>
      <c r="Z124" s="72"/>
    </row>
    <row r="125">
      <c r="F125" s="73"/>
      <c r="G125" s="73"/>
      <c r="H125" s="73"/>
      <c r="I125" s="73"/>
      <c r="R125" s="72"/>
      <c r="S125" s="72"/>
      <c r="T125" s="72"/>
      <c r="U125" s="72"/>
      <c r="V125" s="72"/>
      <c r="W125" s="72"/>
      <c r="X125" s="72"/>
      <c r="Y125" s="72"/>
      <c r="Z125" s="72"/>
    </row>
    <row r="126">
      <c r="F126" s="73"/>
      <c r="G126" s="73"/>
      <c r="H126" s="73"/>
      <c r="I126" s="73"/>
      <c r="R126" s="72"/>
      <c r="S126" s="72"/>
      <c r="T126" s="72"/>
      <c r="U126" s="72"/>
      <c r="V126" s="72"/>
      <c r="W126" s="72"/>
      <c r="X126" s="72"/>
      <c r="Y126" s="72"/>
      <c r="Z126" s="72"/>
    </row>
    <row r="127">
      <c r="F127" s="73"/>
      <c r="G127" s="73"/>
      <c r="H127" s="73"/>
      <c r="I127" s="73"/>
      <c r="R127" s="72"/>
      <c r="S127" s="72"/>
      <c r="T127" s="72"/>
      <c r="U127" s="72"/>
      <c r="V127" s="72"/>
      <c r="W127" s="72"/>
      <c r="X127" s="72"/>
      <c r="Y127" s="72"/>
      <c r="Z127" s="72"/>
    </row>
    <row r="128">
      <c r="F128" s="73"/>
      <c r="G128" s="73"/>
      <c r="H128" s="73"/>
      <c r="I128" s="73"/>
      <c r="R128" s="72"/>
      <c r="S128" s="72"/>
      <c r="T128" s="72"/>
      <c r="U128" s="72"/>
      <c r="V128" s="72"/>
      <c r="W128" s="72"/>
      <c r="X128" s="72"/>
      <c r="Y128" s="72"/>
      <c r="Z128" s="72"/>
    </row>
    <row r="129">
      <c r="F129" s="73"/>
      <c r="G129" s="73"/>
      <c r="H129" s="73"/>
      <c r="I129" s="73"/>
      <c r="R129" s="72"/>
      <c r="S129" s="72"/>
      <c r="T129" s="72"/>
      <c r="U129" s="72"/>
      <c r="V129" s="72"/>
      <c r="W129" s="72"/>
      <c r="X129" s="72"/>
      <c r="Y129" s="72"/>
      <c r="Z129" s="72"/>
    </row>
    <row r="130">
      <c r="F130" s="73"/>
      <c r="G130" s="73"/>
      <c r="H130" s="73"/>
      <c r="I130" s="73"/>
      <c r="R130" s="72"/>
      <c r="S130" s="72"/>
      <c r="T130" s="72"/>
      <c r="U130" s="72"/>
      <c r="V130" s="72"/>
      <c r="W130" s="72"/>
      <c r="X130" s="72"/>
      <c r="Y130" s="72"/>
      <c r="Z130" s="72"/>
    </row>
    <row r="131">
      <c r="F131" s="73"/>
      <c r="G131" s="73"/>
      <c r="H131" s="73"/>
      <c r="I131" s="73"/>
      <c r="R131" s="72"/>
      <c r="S131" s="72"/>
      <c r="T131" s="72"/>
      <c r="U131" s="72"/>
      <c r="V131" s="72"/>
      <c r="W131" s="72"/>
      <c r="X131" s="72"/>
      <c r="Y131" s="72"/>
      <c r="Z131" s="72"/>
    </row>
    <row r="132">
      <c r="F132" s="73"/>
      <c r="G132" s="73"/>
      <c r="H132" s="73"/>
      <c r="I132" s="73"/>
      <c r="R132" s="72"/>
      <c r="S132" s="72"/>
      <c r="T132" s="72"/>
      <c r="U132" s="72"/>
      <c r="V132" s="72"/>
      <c r="W132" s="72"/>
      <c r="X132" s="72"/>
      <c r="Y132" s="72"/>
      <c r="Z132" s="72"/>
    </row>
    <row r="133">
      <c r="F133" s="73"/>
      <c r="G133" s="73"/>
      <c r="H133" s="73"/>
      <c r="I133" s="73"/>
      <c r="R133" s="72"/>
      <c r="S133" s="72"/>
      <c r="T133" s="72"/>
      <c r="U133" s="72"/>
      <c r="V133" s="72"/>
      <c r="W133" s="72"/>
      <c r="X133" s="72"/>
      <c r="Y133" s="72"/>
      <c r="Z133" s="72"/>
    </row>
    <row r="134">
      <c r="F134" s="73"/>
      <c r="G134" s="73"/>
      <c r="H134" s="73"/>
      <c r="I134" s="73"/>
      <c r="R134" s="72"/>
      <c r="S134" s="72"/>
      <c r="T134" s="72"/>
      <c r="U134" s="72"/>
      <c r="V134" s="72"/>
      <c r="W134" s="72"/>
      <c r="X134" s="72"/>
      <c r="Y134" s="72"/>
      <c r="Z134" s="72"/>
    </row>
    <row r="135">
      <c r="F135" s="73"/>
      <c r="G135" s="73"/>
      <c r="H135" s="73"/>
      <c r="I135" s="73"/>
      <c r="R135" s="72"/>
      <c r="S135" s="72"/>
      <c r="T135" s="72"/>
      <c r="U135" s="72"/>
      <c r="V135" s="72"/>
      <c r="W135" s="72"/>
      <c r="X135" s="72"/>
      <c r="Y135" s="72"/>
      <c r="Z135" s="72"/>
    </row>
    <row r="136">
      <c r="F136" s="73"/>
      <c r="G136" s="73"/>
      <c r="H136" s="73"/>
      <c r="I136" s="73"/>
      <c r="R136" s="72"/>
      <c r="S136" s="72"/>
      <c r="T136" s="72"/>
      <c r="U136" s="72"/>
      <c r="V136" s="72"/>
      <c r="W136" s="72"/>
      <c r="X136" s="72"/>
      <c r="Y136" s="72"/>
      <c r="Z136" s="72"/>
    </row>
    <row r="137">
      <c r="F137" s="73"/>
      <c r="G137" s="73"/>
      <c r="H137" s="73"/>
      <c r="I137" s="73"/>
      <c r="R137" s="72"/>
      <c r="S137" s="72"/>
      <c r="T137" s="72"/>
      <c r="U137" s="72"/>
      <c r="V137" s="72"/>
      <c r="W137" s="72"/>
      <c r="X137" s="72"/>
      <c r="Y137" s="72"/>
      <c r="Z137" s="72"/>
    </row>
    <row r="138">
      <c r="F138" s="73"/>
      <c r="G138" s="73"/>
      <c r="H138" s="73"/>
      <c r="I138" s="73"/>
      <c r="R138" s="72"/>
      <c r="S138" s="72"/>
      <c r="T138" s="72"/>
      <c r="U138" s="72"/>
      <c r="V138" s="72"/>
      <c r="W138" s="72"/>
      <c r="X138" s="72"/>
      <c r="Y138" s="72"/>
      <c r="Z138" s="72"/>
    </row>
    <row r="139">
      <c r="F139" s="73"/>
      <c r="G139" s="73"/>
      <c r="H139" s="73"/>
      <c r="I139" s="73"/>
      <c r="R139" s="72"/>
      <c r="S139" s="72"/>
      <c r="T139" s="72"/>
      <c r="U139" s="72"/>
      <c r="V139" s="72"/>
      <c r="W139" s="72"/>
      <c r="X139" s="72"/>
      <c r="Y139" s="72"/>
      <c r="Z139" s="72"/>
    </row>
    <row r="140">
      <c r="F140" s="73"/>
      <c r="G140" s="73"/>
      <c r="H140" s="73"/>
      <c r="I140" s="73"/>
      <c r="R140" s="72"/>
      <c r="S140" s="72"/>
      <c r="T140" s="72"/>
      <c r="U140" s="72"/>
      <c r="V140" s="72"/>
      <c r="W140" s="72"/>
      <c r="X140" s="72"/>
      <c r="Y140" s="72"/>
      <c r="Z140" s="72"/>
    </row>
    <row r="141">
      <c r="F141" s="73"/>
      <c r="G141" s="73"/>
      <c r="H141" s="73"/>
      <c r="I141" s="73"/>
      <c r="R141" s="72"/>
      <c r="S141" s="72"/>
      <c r="T141" s="72"/>
      <c r="U141" s="72"/>
      <c r="V141" s="72"/>
      <c r="W141" s="72"/>
      <c r="X141" s="72"/>
      <c r="Y141" s="72"/>
      <c r="Z141" s="72"/>
    </row>
    <row r="142">
      <c r="F142" s="73"/>
      <c r="G142" s="73"/>
      <c r="H142" s="73"/>
      <c r="I142" s="73"/>
      <c r="R142" s="72"/>
      <c r="S142" s="72"/>
      <c r="T142" s="72"/>
      <c r="U142" s="72"/>
      <c r="V142" s="72"/>
      <c r="W142" s="72"/>
      <c r="X142" s="72"/>
      <c r="Y142" s="72"/>
      <c r="Z142" s="72"/>
    </row>
    <row r="143">
      <c r="F143" s="73"/>
      <c r="G143" s="73"/>
      <c r="H143" s="73"/>
      <c r="I143" s="73"/>
      <c r="R143" s="72"/>
      <c r="S143" s="72"/>
      <c r="T143" s="72"/>
      <c r="U143" s="72"/>
      <c r="V143" s="72"/>
      <c r="W143" s="72"/>
      <c r="X143" s="72"/>
      <c r="Y143" s="72"/>
      <c r="Z143" s="72"/>
    </row>
    <row r="144">
      <c r="F144" s="73"/>
      <c r="G144" s="73"/>
      <c r="H144" s="73"/>
      <c r="I144" s="73"/>
      <c r="R144" s="72"/>
      <c r="S144" s="72"/>
      <c r="T144" s="72"/>
      <c r="U144" s="72"/>
      <c r="V144" s="72"/>
      <c r="W144" s="72"/>
      <c r="X144" s="72"/>
      <c r="Y144" s="72"/>
      <c r="Z144" s="72"/>
    </row>
    <row r="145">
      <c r="F145" s="73"/>
      <c r="G145" s="73"/>
      <c r="H145" s="73"/>
      <c r="I145" s="73"/>
      <c r="R145" s="72"/>
      <c r="S145" s="72"/>
      <c r="T145" s="72"/>
      <c r="U145" s="72"/>
      <c r="V145" s="72"/>
      <c r="W145" s="72"/>
      <c r="X145" s="72"/>
      <c r="Y145" s="72"/>
      <c r="Z145" s="72"/>
    </row>
    <row r="146">
      <c r="F146" s="73"/>
      <c r="G146" s="73"/>
      <c r="H146" s="73"/>
      <c r="I146" s="73"/>
      <c r="R146" s="72"/>
      <c r="S146" s="72"/>
      <c r="T146" s="72"/>
      <c r="U146" s="72"/>
      <c r="V146" s="72"/>
      <c r="W146" s="72"/>
      <c r="X146" s="72"/>
      <c r="Y146" s="72"/>
      <c r="Z146" s="72"/>
    </row>
    <row r="147">
      <c r="F147" s="73"/>
      <c r="G147" s="73"/>
      <c r="H147" s="73"/>
      <c r="I147" s="73"/>
      <c r="R147" s="72"/>
      <c r="S147" s="72"/>
      <c r="T147" s="72"/>
      <c r="U147" s="72"/>
      <c r="V147" s="72"/>
      <c r="W147" s="72"/>
      <c r="X147" s="72"/>
      <c r="Y147" s="72"/>
      <c r="Z147" s="72"/>
    </row>
    <row r="148">
      <c r="F148" s="73"/>
      <c r="G148" s="73"/>
      <c r="H148" s="73"/>
      <c r="I148" s="73"/>
      <c r="R148" s="72"/>
      <c r="S148" s="72"/>
      <c r="T148" s="72"/>
      <c r="U148" s="72"/>
      <c r="V148" s="72"/>
      <c r="W148" s="72"/>
      <c r="X148" s="72"/>
      <c r="Y148" s="72"/>
      <c r="Z148" s="72"/>
    </row>
    <row r="149">
      <c r="F149" s="73"/>
      <c r="G149" s="73"/>
      <c r="H149" s="73"/>
      <c r="I149" s="73"/>
      <c r="R149" s="72"/>
      <c r="S149" s="72"/>
      <c r="T149" s="72"/>
      <c r="U149" s="72"/>
      <c r="V149" s="72"/>
      <c r="W149" s="72"/>
      <c r="X149" s="72"/>
      <c r="Y149" s="72"/>
      <c r="Z149" s="72"/>
    </row>
    <row r="150">
      <c r="F150" s="73"/>
      <c r="G150" s="73"/>
      <c r="H150" s="73"/>
      <c r="I150" s="73"/>
      <c r="R150" s="72"/>
      <c r="S150" s="72"/>
      <c r="T150" s="72"/>
      <c r="U150" s="72"/>
      <c r="V150" s="72"/>
      <c r="W150" s="72"/>
      <c r="X150" s="72"/>
      <c r="Y150" s="72"/>
      <c r="Z150" s="72"/>
    </row>
    <row r="151">
      <c r="F151" s="73"/>
      <c r="G151" s="73"/>
      <c r="H151" s="73"/>
      <c r="I151" s="73"/>
      <c r="R151" s="72"/>
      <c r="S151" s="72"/>
      <c r="T151" s="72"/>
      <c r="U151" s="72"/>
      <c r="V151" s="72"/>
      <c r="W151" s="72"/>
      <c r="X151" s="72"/>
      <c r="Y151" s="72"/>
      <c r="Z151" s="72"/>
    </row>
    <row r="152">
      <c r="F152" s="73"/>
      <c r="G152" s="73"/>
      <c r="H152" s="73"/>
      <c r="I152" s="73"/>
      <c r="R152" s="72"/>
      <c r="S152" s="72"/>
      <c r="T152" s="72"/>
      <c r="U152" s="72"/>
      <c r="V152" s="72"/>
      <c r="W152" s="72"/>
      <c r="X152" s="72"/>
      <c r="Y152" s="72"/>
      <c r="Z152" s="72"/>
    </row>
    <row r="153">
      <c r="F153" s="73"/>
      <c r="G153" s="73"/>
      <c r="H153" s="73"/>
      <c r="I153" s="73"/>
      <c r="R153" s="72"/>
      <c r="S153" s="72"/>
      <c r="T153" s="72"/>
      <c r="U153" s="72"/>
      <c r="V153" s="72"/>
      <c r="W153" s="72"/>
      <c r="X153" s="72"/>
      <c r="Y153" s="72"/>
      <c r="Z153" s="72"/>
    </row>
    <row r="154">
      <c r="F154" s="73"/>
      <c r="G154" s="73"/>
      <c r="H154" s="73"/>
      <c r="I154" s="73"/>
      <c r="R154" s="72"/>
      <c r="S154" s="72"/>
      <c r="T154" s="72"/>
      <c r="U154" s="72"/>
      <c r="V154" s="72"/>
      <c r="W154" s="72"/>
      <c r="X154" s="72"/>
      <c r="Y154" s="72"/>
      <c r="Z154" s="72"/>
    </row>
    <row r="155">
      <c r="F155" s="73"/>
      <c r="G155" s="73"/>
      <c r="H155" s="73"/>
      <c r="I155" s="73"/>
      <c r="R155" s="72"/>
      <c r="S155" s="72"/>
      <c r="T155" s="72"/>
      <c r="U155" s="72"/>
      <c r="V155" s="72"/>
      <c r="W155" s="72"/>
      <c r="X155" s="72"/>
      <c r="Y155" s="72"/>
      <c r="Z155" s="72"/>
    </row>
    <row r="156">
      <c r="F156" s="73"/>
      <c r="G156" s="73"/>
      <c r="H156" s="73"/>
      <c r="I156" s="73"/>
      <c r="R156" s="72"/>
      <c r="S156" s="72"/>
      <c r="T156" s="72"/>
      <c r="U156" s="72"/>
      <c r="V156" s="72"/>
      <c r="W156" s="72"/>
      <c r="X156" s="72"/>
      <c r="Y156" s="72"/>
      <c r="Z156" s="72"/>
    </row>
    <row r="157">
      <c r="F157" s="73"/>
      <c r="G157" s="73"/>
      <c r="H157" s="73"/>
      <c r="I157" s="73"/>
      <c r="R157" s="72"/>
      <c r="S157" s="72"/>
      <c r="T157" s="72"/>
      <c r="U157" s="72"/>
      <c r="V157" s="72"/>
      <c r="W157" s="72"/>
      <c r="X157" s="72"/>
      <c r="Y157" s="72"/>
      <c r="Z157" s="72"/>
    </row>
    <row r="158">
      <c r="F158" s="73"/>
      <c r="G158" s="73"/>
      <c r="H158" s="73"/>
      <c r="I158" s="73"/>
      <c r="R158" s="72"/>
      <c r="S158" s="72"/>
      <c r="T158" s="72"/>
      <c r="U158" s="72"/>
      <c r="V158" s="72"/>
      <c r="W158" s="72"/>
      <c r="X158" s="72"/>
      <c r="Y158" s="72"/>
      <c r="Z158" s="72"/>
    </row>
    <row r="159">
      <c r="F159" s="73"/>
      <c r="G159" s="73"/>
      <c r="H159" s="73"/>
      <c r="I159" s="73"/>
      <c r="R159" s="72"/>
      <c r="S159" s="72"/>
      <c r="T159" s="72"/>
      <c r="U159" s="72"/>
      <c r="V159" s="72"/>
      <c r="W159" s="72"/>
      <c r="X159" s="72"/>
      <c r="Y159" s="72"/>
      <c r="Z159" s="72"/>
    </row>
    <row r="160">
      <c r="F160" s="73"/>
      <c r="G160" s="73"/>
      <c r="H160" s="73"/>
      <c r="I160" s="73"/>
      <c r="R160" s="72"/>
      <c r="S160" s="72"/>
      <c r="T160" s="72"/>
      <c r="U160" s="72"/>
      <c r="V160" s="72"/>
      <c r="W160" s="72"/>
      <c r="X160" s="72"/>
      <c r="Y160" s="72"/>
      <c r="Z160" s="72"/>
    </row>
    <row r="161">
      <c r="F161" s="73"/>
      <c r="G161" s="73"/>
      <c r="H161" s="73"/>
      <c r="I161" s="73"/>
      <c r="R161" s="72"/>
      <c r="S161" s="72"/>
      <c r="T161" s="72"/>
      <c r="U161" s="72"/>
      <c r="V161" s="72"/>
      <c r="W161" s="72"/>
      <c r="X161" s="72"/>
      <c r="Y161" s="72"/>
      <c r="Z161" s="72"/>
    </row>
    <row r="162">
      <c r="F162" s="73"/>
      <c r="G162" s="73"/>
      <c r="H162" s="73"/>
      <c r="I162" s="73"/>
      <c r="R162" s="72"/>
      <c r="S162" s="72"/>
      <c r="T162" s="72"/>
      <c r="U162" s="72"/>
      <c r="V162" s="72"/>
      <c r="W162" s="72"/>
      <c r="X162" s="72"/>
      <c r="Y162" s="72"/>
      <c r="Z162" s="72"/>
    </row>
    <row r="163">
      <c r="F163" s="73"/>
      <c r="G163" s="73"/>
      <c r="H163" s="73"/>
      <c r="I163" s="73"/>
      <c r="R163" s="72"/>
      <c r="S163" s="72"/>
      <c r="T163" s="72"/>
      <c r="U163" s="72"/>
      <c r="V163" s="72"/>
      <c r="W163" s="72"/>
      <c r="X163" s="72"/>
      <c r="Y163" s="72"/>
      <c r="Z163" s="72"/>
    </row>
    <row r="164">
      <c r="F164" s="73"/>
      <c r="G164" s="73"/>
      <c r="H164" s="73"/>
      <c r="I164" s="73"/>
      <c r="R164" s="72"/>
      <c r="S164" s="72"/>
      <c r="T164" s="72"/>
      <c r="U164" s="72"/>
      <c r="V164" s="72"/>
      <c r="W164" s="72"/>
      <c r="X164" s="72"/>
      <c r="Y164" s="72"/>
      <c r="Z164" s="72"/>
    </row>
    <row r="165">
      <c r="F165" s="73"/>
      <c r="G165" s="73"/>
      <c r="H165" s="73"/>
      <c r="I165" s="73"/>
      <c r="R165" s="72"/>
      <c r="S165" s="72"/>
      <c r="T165" s="72"/>
      <c r="U165" s="72"/>
      <c r="V165" s="72"/>
      <c r="W165" s="72"/>
      <c r="X165" s="72"/>
      <c r="Y165" s="72"/>
      <c r="Z165" s="72"/>
    </row>
    <row r="166">
      <c r="F166" s="73"/>
      <c r="G166" s="73"/>
      <c r="H166" s="73"/>
      <c r="I166" s="73"/>
      <c r="R166" s="72"/>
      <c r="S166" s="72"/>
      <c r="T166" s="72"/>
      <c r="U166" s="72"/>
      <c r="V166" s="72"/>
      <c r="W166" s="72"/>
      <c r="X166" s="72"/>
      <c r="Y166" s="72"/>
      <c r="Z166" s="72"/>
    </row>
    <row r="167">
      <c r="F167" s="73"/>
      <c r="G167" s="73"/>
      <c r="H167" s="73"/>
      <c r="I167" s="73"/>
      <c r="R167" s="72"/>
      <c r="S167" s="72"/>
      <c r="T167" s="72"/>
      <c r="U167" s="72"/>
      <c r="V167" s="72"/>
      <c r="W167" s="72"/>
      <c r="X167" s="72"/>
      <c r="Y167" s="72"/>
      <c r="Z167" s="72"/>
    </row>
    <row r="168">
      <c r="F168" s="73"/>
      <c r="G168" s="73"/>
      <c r="H168" s="73"/>
      <c r="I168" s="73"/>
      <c r="R168" s="72"/>
      <c r="S168" s="72"/>
      <c r="T168" s="72"/>
      <c r="U168" s="72"/>
      <c r="V168" s="72"/>
      <c r="W168" s="72"/>
      <c r="X168" s="72"/>
      <c r="Y168" s="72"/>
      <c r="Z168" s="72"/>
    </row>
    <row r="169">
      <c r="F169" s="73"/>
      <c r="G169" s="73"/>
      <c r="H169" s="73"/>
      <c r="I169" s="73"/>
      <c r="R169" s="72"/>
      <c r="S169" s="72"/>
      <c r="T169" s="72"/>
      <c r="U169" s="72"/>
      <c r="V169" s="72"/>
      <c r="W169" s="72"/>
      <c r="X169" s="72"/>
      <c r="Y169" s="72"/>
      <c r="Z169" s="72"/>
    </row>
    <row r="170">
      <c r="F170" s="73"/>
      <c r="G170" s="73"/>
      <c r="H170" s="73"/>
      <c r="I170" s="73"/>
      <c r="R170" s="72"/>
      <c r="S170" s="72"/>
      <c r="T170" s="72"/>
      <c r="U170" s="72"/>
      <c r="V170" s="72"/>
      <c r="W170" s="72"/>
      <c r="X170" s="72"/>
      <c r="Y170" s="72"/>
      <c r="Z170" s="72"/>
    </row>
    <row r="171">
      <c r="F171" s="73"/>
      <c r="G171" s="73"/>
      <c r="H171" s="73"/>
      <c r="I171" s="73"/>
      <c r="R171" s="72"/>
      <c r="S171" s="72"/>
      <c r="T171" s="72"/>
      <c r="U171" s="72"/>
      <c r="V171" s="72"/>
      <c r="W171" s="72"/>
      <c r="X171" s="72"/>
      <c r="Y171" s="72"/>
      <c r="Z171" s="72"/>
    </row>
    <row r="172">
      <c r="F172" s="73"/>
      <c r="G172" s="73"/>
      <c r="H172" s="73"/>
      <c r="I172" s="73"/>
      <c r="R172" s="72"/>
      <c r="S172" s="72"/>
      <c r="T172" s="72"/>
      <c r="U172" s="72"/>
      <c r="V172" s="72"/>
      <c r="W172" s="72"/>
      <c r="X172" s="72"/>
      <c r="Y172" s="72"/>
      <c r="Z172" s="72"/>
    </row>
    <row r="173">
      <c r="F173" s="73"/>
      <c r="G173" s="73"/>
      <c r="H173" s="73"/>
      <c r="I173" s="73"/>
      <c r="R173" s="72"/>
      <c r="S173" s="72"/>
      <c r="T173" s="72"/>
      <c r="U173" s="72"/>
      <c r="V173" s="72"/>
      <c r="W173" s="72"/>
      <c r="X173" s="72"/>
      <c r="Y173" s="72"/>
      <c r="Z173" s="72"/>
    </row>
    <row r="174">
      <c r="F174" s="73"/>
      <c r="G174" s="73"/>
      <c r="H174" s="73"/>
      <c r="I174" s="73"/>
      <c r="R174" s="72"/>
      <c r="S174" s="72"/>
      <c r="T174" s="72"/>
      <c r="U174" s="72"/>
      <c r="V174" s="72"/>
      <c r="W174" s="72"/>
      <c r="X174" s="72"/>
      <c r="Y174" s="72"/>
      <c r="Z174" s="72"/>
    </row>
    <row r="175">
      <c r="F175" s="73"/>
      <c r="G175" s="73"/>
      <c r="H175" s="73"/>
      <c r="I175" s="73"/>
      <c r="R175" s="72"/>
      <c r="S175" s="72"/>
      <c r="T175" s="72"/>
      <c r="U175" s="72"/>
      <c r="V175" s="72"/>
      <c r="W175" s="72"/>
      <c r="X175" s="72"/>
      <c r="Y175" s="72"/>
      <c r="Z175" s="72"/>
    </row>
    <row r="176">
      <c r="F176" s="73"/>
      <c r="G176" s="73"/>
      <c r="H176" s="73"/>
      <c r="I176" s="73"/>
      <c r="R176" s="72"/>
      <c r="S176" s="72"/>
      <c r="T176" s="72"/>
      <c r="U176" s="72"/>
      <c r="V176" s="72"/>
      <c r="W176" s="72"/>
      <c r="X176" s="72"/>
      <c r="Y176" s="72"/>
      <c r="Z176" s="72"/>
    </row>
    <row r="177">
      <c r="F177" s="73"/>
      <c r="G177" s="73"/>
      <c r="H177" s="73"/>
      <c r="I177" s="73"/>
      <c r="R177" s="72"/>
      <c r="S177" s="72"/>
      <c r="T177" s="72"/>
      <c r="U177" s="72"/>
      <c r="V177" s="72"/>
      <c r="W177" s="72"/>
      <c r="X177" s="72"/>
      <c r="Y177" s="72"/>
      <c r="Z177" s="72"/>
    </row>
    <row r="178">
      <c r="F178" s="73"/>
      <c r="G178" s="73"/>
      <c r="H178" s="73"/>
      <c r="I178" s="73"/>
      <c r="R178" s="72"/>
      <c r="S178" s="72"/>
      <c r="T178" s="72"/>
      <c r="U178" s="72"/>
      <c r="V178" s="72"/>
      <c r="W178" s="72"/>
      <c r="X178" s="72"/>
      <c r="Y178" s="72"/>
      <c r="Z178" s="72"/>
    </row>
    <row r="179">
      <c r="F179" s="73"/>
      <c r="G179" s="73"/>
      <c r="H179" s="73"/>
      <c r="I179" s="73"/>
      <c r="R179" s="72"/>
      <c r="S179" s="72"/>
      <c r="T179" s="72"/>
      <c r="U179" s="72"/>
      <c r="V179" s="72"/>
      <c r="W179" s="72"/>
      <c r="X179" s="72"/>
      <c r="Y179" s="72"/>
      <c r="Z179" s="72"/>
    </row>
    <row r="180">
      <c r="F180" s="73"/>
      <c r="G180" s="73"/>
      <c r="H180" s="73"/>
      <c r="I180" s="73"/>
      <c r="R180" s="72"/>
      <c r="S180" s="72"/>
      <c r="T180" s="72"/>
      <c r="U180" s="72"/>
      <c r="V180" s="72"/>
      <c r="W180" s="72"/>
      <c r="X180" s="72"/>
      <c r="Y180" s="72"/>
      <c r="Z180" s="72"/>
    </row>
    <row r="181">
      <c r="F181" s="73"/>
      <c r="G181" s="73"/>
      <c r="H181" s="73"/>
      <c r="I181" s="73"/>
      <c r="R181" s="72"/>
      <c r="S181" s="72"/>
      <c r="T181" s="72"/>
      <c r="U181" s="72"/>
      <c r="V181" s="72"/>
      <c r="W181" s="72"/>
      <c r="X181" s="72"/>
      <c r="Y181" s="72"/>
      <c r="Z181" s="72"/>
    </row>
    <row r="182">
      <c r="F182" s="73"/>
      <c r="G182" s="73"/>
      <c r="H182" s="73"/>
      <c r="I182" s="73"/>
      <c r="R182" s="72"/>
      <c r="S182" s="72"/>
      <c r="T182" s="72"/>
      <c r="U182" s="72"/>
      <c r="V182" s="72"/>
      <c r="W182" s="72"/>
      <c r="X182" s="72"/>
      <c r="Y182" s="72"/>
      <c r="Z182" s="72"/>
    </row>
    <row r="183">
      <c r="F183" s="73"/>
      <c r="G183" s="73"/>
      <c r="H183" s="73"/>
      <c r="I183" s="73"/>
      <c r="R183" s="72"/>
      <c r="S183" s="72"/>
      <c r="T183" s="72"/>
      <c r="U183" s="72"/>
      <c r="V183" s="72"/>
      <c r="W183" s="72"/>
      <c r="X183" s="72"/>
      <c r="Y183" s="72"/>
      <c r="Z183" s="72"/>
    </row>
    <row r="184">
      <c r="F184" s="73"/>
      <c r="G184" s="73"/>
      <c r="H184" s="73"/>
      <c r="I184" s="73"/>
      <c r="R184" s="72"/>
      <c r="S184" s="72"/>
      <c r="T184" s="72"/>
      <c r="U184" s="72"/>
      <c r="V184" s="72"/>
      <c r="W184" s="72"/>
      <c r="X184" s="72"/>
      <c r="Y184" s="72"/>
      <c r="Z184" s="72"/>
    </row>
    <row r="185">
      <c r="F185" s="73"/>
      <c r="G185" s="73"/>
      <c r="H185" s="73"/>
      <c r="I185" s="73"/>
      <c r="R185" s="72"/>
      <c r="S185" s="72"/>
      <c r="T185" s="72"/>
      <c r="U185" s="72"/>
      <c r="V185" s="72"/>
      <c r="W185" s="72"/>
      <c r="X185" s="72"/>
      <c r="Y185" s="72"/>
      <c r="Z185" s="72"/>
    </row>
    <row r="186">
      <c r="F186" s="73"/>
      <c r="G186" s="73"/>
      <c r="H186" s="73"/>
      <c r="I186" s="73"/>
      <c r="R186" s="72"/>
      <c r="S186" s="72"/>
      <c r="T186" s="72"/>
      <c r="U186" s="72"/>
      <c r="V186" s="72"/>
      <c r="W186" s="72"/>
      <c r="X186" s="72"/>
      <c r="Y186" s="72"/>
      <c r="Z186" s="72"/>
    </row>
    <row r="187">
      <c r="F187" s="73"/>
      <c r="G187" s="73"/>
      <c r="H187" s="73"/>
      <c r="I187" s="73"/>
      <c r="R187" s="72"/>
      <c r="S187" s="72"/>
      <c r="T187" s="72"/>
      <c r="U187" s="72"/>
      <c r="V187" s="72"/>
      <c r="W187" s="72"/>
      <c r="X187" s="72"/>
      <c r="Y187" s="72"/>
      <c r="Z187" s="72"/>
    </row>
    <row r="188">
      <c r="F188" s="73"/>
      <c r="G188" s="73"/>
      <c r="H188" s="73"/>
      <c r="I188" s="73"/>
      <c r="R188" s="72"/>
      <c r="S188" s="72"/>
      <c r="T188" s="72"/>
      <c r="U188" s="72"/>
      <c r="V188" s="72"/>
      <c r="W188" s="72"/>
      <c r="X188" s="72"/>
      <c r="Y188" s="72"/>
      <c r="Z188" s="72"/>
    </row>
    <row r="189">
      <c r="F189" s="73"/>
      <c r="G189" s="73"/>
      <c r="H189" s="73"/>
      <c r="I189" s="73"/>
      <c r="R189" s="72"/>
      <c r="S189" s="72"/>
      <c r="T189" s="72"/>
      <c r="U189" s="72"/>
      <c r="V189" s="72"/>
      <c r="W189" s="72"/>
      <c r="X189" s="72"/>
      <c r="Y189" s="72"/>
      <c r="Z189" s="72"/>
    </row>
    <row r="190">
      <c r="F190" s="73"/>
      <c r="G190" s="73"/>
      <c r="H190" s="73"/>
      <c r="I190" s="73"/>
      <c r="R190" s="72"/>
      <c r="S190" s="72"/>
      <c r="T190" s="72"/>
      <c r="U190" s="72"/>
      <c r="V190" s="72"/>
      <c r="W190" s="72"/>
      <c r="X190" s="72"/>
      <c r="Y190" s="72"/>
      <c r="Z190" s="72"/>
    </row>
    <row r="191">
      <c r="F191" s="73"/>
      <c r="G191" s="73"/>
      <c r="H191" s="73"/>
      <c r="I191" s="73"/>
      <c r="R191" s="72"/>
      <c r="S191" s="72"/>
      <c r="T191" s="72"/>
      <c r="U191" s="72"/>
      <c r="V191" s="72"/>
      <c r="W191" s="72"/>
      <c r="X191" s="72"/>
      <c r="Y191" s="72"/>
      <c r="Z191" s="72"/>
    </row>
    <row r="192">
      <c r="F192" s="73"/>
      <c r="G192" s="73"/>
      <c r="H192" s="73"/>
      <c r="I192" s="73"/>
      <c r="R192" s="72"/>
      <c r="S192" s="72"/>
      <c r="T192" s="72"/>
      <c r="U192" s="72"/>
      <c r="V192" s="72"/>
      <c r="W192" s="72"/>
      <c r="X192" s="72"/>
      <c r="Y192" s="72"/>
      <c r="Z192" s="72"/>
    </row>
    <row r="193">
      <c r="F193" s="73"/>
      <c r="G193" s="73"/>
      <c r="H193" s="73"/>
      <c r="I193" s="73"/>
      <c r="R193" s="72"/>
      <c r="S193" s="72"/>
      <c r="T193" s="72"/>
      <c r="U193" s="72"/>
      <c r="V193" s="72"/>
      <c r="W193" s="72"/>
      <c r="X193" s="72"/>
      <c r="Y193" s="72"/>
      <c r="Z193" s="72"/>
    </row>
    <row r="194">
      <c r="F194" s="73"/>
      <c r="G194" s="73"/>
      <c r="H194" s="73"/>
      <c r="I194" s="73"/>
      <c r="R194" s="72"/>
      <c r="S194" s="72"/>
      <c r="T194" s="72"/>
      <c r="U194" s="72"/>
      <c r="V194" s="72"/>
      <c r="W194" s="72"/>
      <c r="X194" s="72"/>
      <c r="Y194" s="72"/>
      <c r="Z194" s="72"/>
    </row>
    <row r="195">
      <c r="F195" s="73"/>
      <c r="G195" s="73"/>
      <c r="H195" s="73"/>
      <c r="I195" s="73"/>
      <c r="R195" s="72"/>
      <c r="S195" s="72"/>
      <c r="T195" s="72"/>
      <c r="U195" s="72"/>
      <c r="V195" s="72"/>
      <c r="W195" s="72"/>
      <c r="X195" s="72"/>
      <c r="Y195" s="72"/>
      <c r="Z195" s="72"/>
    </row>
    <row r="196">
      <c r="F196" s="73"/>
      <c r="G196" s="73"/>
      <c r="H196" s="73"/>
      <c r="I196" s="73"/>
      <c r="R196" s="72"/>
      <c r="S196" s="72"/>
      <c r="T196" s="72"/>
      <c r="U196" s="72"/>
      <c r="V196" s="72"/>
      <c r="W196" s="72"/>
      <c r="X196" s="72"/>
      <c r="Y196" s="72"/>
      <c r="Z196" s="72"/>
    </row>
    <row r="197">
      <c r="F197" s="73"/>
      <c r="G197" s="73"/>
      <c r="H197" s="73"/>
      <c r="I197" s="73"/>
      <c r="R197" s="72"/>
      <c r="S197" s="72"/>
      <c r="T197" s="72"/>
      <c r="U197" s="72"/>
      <c r="V197" s="72"/>
      <c r="W197" s="72"/>
      <c r="X197" s="72"/>
      <c r="Y197" s="72"/>
      <c r="Z197" s="72"/>
    </row>
    <row r="198">
      <c r="F198" s="73"/>
      <c r="G198" s="73"/>
      <c r="H198" s="73"/>
      <c r="I198" s="73"/>
      <c r="R198" s="72"/>
      <c r="S198" s="72"/>
      <c r="T198" s="72"/>
      <c r="U198" s="72"/>
      <c r="V198" s="72"/>
      <c r="W198" s="72"/>
      <c r="X198" s="72"/>
      <c r="Y198" s="72"/>
      <c r="Z198" s="72"/>
    </row>
    <row r="199">
      <c r="F199" s="73"/>
      <c r="G199" s="73"/>
      <c r="H199" s="73"/>
      <c r="I199" s="73"/>
      <c r="R199" s="72"/>
      <c r="S199" s="72"/>
      <c r="T199" s="72"/>
      <c r="U199" s="72"/>
      <c r="V199" s="72"/>
      <c r="W199" s="72"/>
      <c r="X199" s="72"/>
      <c r="Y199" s="72"/>
      <c r="Z199" s="72"/>
    </row>
    <row r="200">
      <c r="F200" s="73"/>
      <c r="G200" s="73"/>
      <c r="H200" s="73"/>
      <c r="I200" s="73"/>
      <c r="R200" s="72"/>
      <c r="S200" s="72"/>
      <c r="T200" s="72"/>
      <c r="U200" s="72"/>
      <c r="V200" s="72"/>
      <c r="W200" s="72"/>
      <c r="X200" s="72"/>
      <c r="Y200" s="72"/>
      <c r="Z200" s="72"/>
    </row>
    <row r="201">
      <c r="F201" s="73"/>
      <c r="G201" s="73"/>
      <c r="H201" s="73"/>
      <c r="I201" s="73"/>
      <c r="R201" s="72"/>
      <c r="S201" s="72"/>
      <c r="T201" s="72"/>
      <c r="U201" s="72"/>
      <c r="V201" s="72"/>
      <c r="W201" s="72"/>
      <c r="X201" s="72"/>
      <c r="Y201" s="72"/>
      <c r="Z201" s="72"/>
    </row>
    <row r="202">
      <c r="F202" s="73"/>
      <c r="G202" s="73"/>
      <c r="H202" s="73"/>
      <c r="I202" s="73"/>
      <c r="R202" s="72"/>
      <c r="S202" s="72"/>
      <c r="T202" s="72"/>
      <c r="U202" s="72"/>
      <c r="V202" s="72"/>
      <c r="W202" s="72"/>
      <c r="X202" s="72"/>
      <c r="Y202" s="72"/>
      <c r="Z202" s="72"/>
    </row>
    <row r="203">
      <c r="F203" s="73"/>
      <c r="G203" s="73"/>
      <c r="H203" s="73"/>
      <c r="I203" s="73"/>
      <c r="R203" s="72"/>
      <c r="S203" s="72"/>
      <c r="T203" s="72"/>
      <c r="U203" s="72"/>
      <c r="V203" s="72"/>
      <c r="W203" s="72"/>
      <c r="X203" s="72"/>
      <c r="Y203" s="72"/>
      <c r="Z203" s="72"/>
    </row>
    <row r="204">
      <c r="F204" s="73"/>
      <c r="G204" s="73"/>
      <c r="H204" s="73"/>
      <c r="I204" s="73"/>
      <c r="R204" s="72"/>
      <c r="S204" s="72"/>
      <c r="T204" s="72"/>
      <c r="U204" s="72"/>
      <c r="V204" s="72"/>
      <c r="W204" s="72"/>
      <c r="X204" s="72"/>
      <c r="Y204" s="72"/>
      <c r="Z204" s="72"/>
    </row>
    <row r="205">
      <c r="F205" s="73"/>
      <c r="G205" s="73"/>
      <c r="H205" s="73"/>
      <c r="I205" s="73"/>
      <c r="R205" s="72"/>
      <c r="S205" s="72"/>
      <c r="T205" s="72"/>
      <c r="U205" s="72"/>
      <c r="V205" s="72"/>
      <c r="W205" s="72"/>
      <c r="X205" s="72"/>
      <c r="Y205" s="72"/>
      <c r="Z205" s="72"/>
    </row>
    <row r="206">
      <c r="F206" s="73"/>
      <c r="G206" s="73"/>
      <c r="H206" s="73"/>
      <c r="I206" s="73"/>
      <c r="R206" s="72"/>
      <c r="S206" s="72"/>
      <c r="T206" s="72"/>
      <c r="U206" s="72"/>
      <c r="V206" s="72"/>
      <c r="W206" s="72"/>
      <c r="X206" s="72"/>
      <c r="Y206" s="72"/>
      <c r="Z206" s="72"/>
    </row>
    <row r="207">
      <c r="F207" s="73"/>
      <c r="G207" s="73"/>
      <c r="H207" s="73"/>
      <c r="I207" s="73"/>
      <c r="R207" s="72"/>
      <c r="S207" s="72"/>
      <c r="T207" s="72"/>
      <c r="U207" s="72"/>
      <c r="V207" s="72"/>
      <c r="W207" s="72"/>
      <c r="X207" s="72"/>
      <c r="Y207" s="72"/>
      <c r="Z207" s="72"/>
    </row>
    <row r="208">
      <c r="F208" s="73"/>
      <c r="G208" s="73"/>
      <c r="H208" s="73"/>
      <c r="I208" s="73"/>
      <c r="R208" s="72"/>
      <c r="S208" s="72"/>
      <c r="T208" s="72"/>
      <c r="U208" s="72"/>
      <c r="V208" s="72"/>
      <c r="W208" s="72"/>
      <c r="X208" s="72"/>
      <c r="Y208" s="72"/>
      <c r="Z208" s="72"/>
    </row>
    <row r="209">
      <c r="F209" s="73"/>
      <c r="G209" s="73"/>
      <c r="H209" s="73"/>
      <c r="I209" s="73"/>
      <c r="R209" s="72"/>
      <c r="S209" s="72"/>
      <c r="T209" s="72"/>
      <c r="U209" s="72"/>
      <c r="V209" s="72"/>
      <c r="W209" s="72"/>
      <c r="X209" s="72"/>
      <c r="Y209" s="72"/>
      <c r="Z209" s="72"/>
    </row>
    <row r="210">
      <c r="F210" s="73"/>
      <c r="G210" s="73"/>
      <c r="H210" s="73"/>
      <c r="I210" s="73"/>
      <c r="R210" s="72"/>
      <c r="S210" s="72"/>
      <c r="T210" s="72"/>
      <c r="U210" s="72"/>
      <c r="V210" s="72"/>
      <c r="W210" s="72"/>
      <c r="X210" s="72"/>
      <c r="Y210" s="72"/>
      <c r="Z210" s="72"/>
    </row>
    <row r="211">
      <c r="F211" s="73"/>
      <c r="G211" s="73"/>
      <c r="H211" s="73"/>
      <c r="I211" s="73"/>
      <c r="R211" s="72"/>
      <c r="S211" s="72"/>
      <c r="T211" s="72"/>
      <c r="U211" s="72"/>
      <c r="V211" s="72"/>
      <c r="W211" s="72"/>
      <c r="X211" s="72"/>
      <c r="Y211" s="72"/>
      <c r="Z211" s="72"/>
    </row>
    <row r="212">
      <c r="F212" s="73"/>
      <c r="G212" s="73"/>
      <c r="H212" s="73"/>
      <c r="I212" s="73"/>
      <c r="R212" s="72"/>
      <c r="S212" s="72"/>
      <c r="T212" s="72"/>
      <c r="U212" s="72"/>
      <c r="V212" s="72"/>
      <c r="W212" s="72"/>
      <c r="X212" s="72"/>
      <c r="Y212" s="72"/>
      <c r="Z212" s="72"/>
    </row>
    <row r="213">
      <c r="F213" s="73"/>
      <c r="G213" s="73"/>
      <c r="H213" s="73"/>
      <c r="I213" s="73"/>
      <c r="R213" s="72"/>
      <c r="S213" s="72"/>
      <c r="T213" s="72"/>
      <c r="U213" s="72"/>
      <c r="V213" s="72"/>
      <c r="W213" s="72"/>
      <c r="X213" s="72"/>
      <c r="Y213" s="72"/>
      <c r="Z213" s="72"/>
    </row>
    <row r="214">
      <c r="F214" s="73"/>
      <c r="G214" s="73"/>
      <c r="H214" s="73"/>
      <c r="I214" s="73"/>
      <c r="R214" s="72"/>
      <c r="S214" s="72"/>
      <c r="T214" s="72"/>
      <c r="U214" s="72"/>
      <c r="V214" s="72"/>
      <c r="W214" s="72"/>
      <c r="X214" s="72"/>
      <c r="Y214" s="72"/>
      <c r="Z214" s="72"/>
    </row>
    <row r="215">
      <c r="F215" s="73"/>
      <c r="G215" s="73"/>
      <c r="H215" s="73"/>
      <c r="I215" s="73"/>
      <c r="R215" s="72"/>
      <c r="S215" s="72"/>
      <c r="T215" s="72"/>
      <c r="U215" s="72"/>
      <c r="V215" s="72"/>
      <c r="W215" s="72"/>
      <c r="X215" s="72"/>
      <c r="Y215" s="72"/>
      <c r="Z215" s="72"/>
    </row>
    <row r="216">
      <c r="F216" s="73"/>
      <c r="G216" s="73"/>
      <c r="H216" s="73"/>
      <c r="I216" s="73"/>
      <c r="R216" s="72"/>
      <c r="S216" s="72"/>
      <c r="T216" s="72"/>
      <c r="U216" s="72"/>
      <c r="V216" s="72"/>
      <c r="W216" s="72"/>
      <c r="X216" s="72"/>
      <c r="Y216" s="72"/>
      <c r="Z216" s="72"/>
    </row>
    <row r="217">
      <c r="F217" s="73"/>
      <c r="G217" s="73"/>
      <c r="H217" s="73"/>
      <c r="I217" s="73"/>
      <c r="R217" s="72"/>
      <c r="S217" s="72"/>
      <c r="T217" s="72"/>
      <c r="U217" s="72"/>
      <c r="V217" s="72"/>
      <c r="W217" s="72"/>
      <c r="X217" s="72"/>
      <c r="Y217" s="72"/>
      <c r="Z217" s="72"/>
    </row>
    <row r="218">
      <c r="F218" s="73"/>
      <c r="G218" s="73"/>
      <c r="H218" s="73"/>
      <c r="I218" s="73"/>
      <c r="R218" s="72"/>
      <c r="S218" s="72"/>
      <c r="T218" s="72"/>
      <c r="U218" s="72"/>
      <c r="V218" s="72"/>
      <c r="W218" s="72"/>
      <c r="X218" s="72"/>
      <c r="Y218" s="72"/>
      <c r="Z218" s="72"/>
    </row>
    <row r="219">
      <c r="F219" s="73"/>
      <c r="G219" s="73"/>
      <c r="H219" s="73"/>
      <c r="I219" s="73"/>
      <c r="R219" s="72"/>
      <c r="S219" s="72"/>
      <c r="T219" s="72"/>
      <c r="U219" s="72"/>
      <c r="V219" s="72"/>
      <c r="W219" s="72"/>
      <c r="X219" s="72"/>
      <c r="Y219" s="72"/>
      <c r="Z219" s="72"/>
    </row>
    <row r="220">
      <c r="F220" s="73"/>
      <c r="G220" s="73"/>
      <c r="H220" s="73"/>
      <c r="I220" s="73"/>
      <c r="R220" s="72"/>
      <c r="S220" s="72"/>
      <c r="T220" s="72"/>
      <c r="U220" s="72"/>
      <c r="V220" s="72"/>
      <c r="W220" s="72"/>
      <c r="X220" s="72"/>
      <c r="Y220" s="72"/>
      <c r="Z220" s="72"/>
    </row>
    <row r="221">
      <c r="F221" s="73"/>
      <c r="G221" s="73"/>
      <c r="H221" s="73"/>
      <c r="I221" s="73"/>
      <c r="R221" s="72"/>
      <c r="S221" s="72"/>
      <c r="T221" s="72"/>
      <c r="U221" s="72"/>
      <c r="V221" s="72"/>
      <c r="W221" s="72"/>
      <c r="X221" s="72"/>
      <c r="Y221" s="72"/>
      <c r="Z221" s="72"/>
    </row>
    <row r="222">
      <c r="F222" s="73"/>
      <c r="G222" s="73"/>
      <c r="H222" s="73"/>
      <c r="I222" s="73"/>
      <c r="R222" s="72"/>
      <c r="S222" s="72"/>
      <c r="T222" s="72"/>
      <c r="U222" s="72"/>
      <c r="V222" s="72"/>
      <c r="W222" s="72"/>
      <c r="X222" s="72"/>
      <c r="Y222" s="72"/>
      <c r="Z222" s="72"/>
    </row>
    <row r="223">
      <c r="F223" s="73"/>
      <c r="G223" s="73"/>
      <c r="H223" s="73"/>
      <c r="I223" s="73"/>
      <c r="R223" s="72"/>
      <c r="S223" s="72"/>
      <c r="T223" s="72"/>
      <c r="U223" s="72"/>
      <c r="V223" s="72"/>
      <c r="W223" s="72"/>
      <c r="X223" s="72"/>
      <c r="Y223" s="72"/>
      <c r="Z223" s="72"/>
    </row>
    <row r="224">
      <c r="F224" s="73"/>
      <c r="G224" s="73"/>
      <c r="H224" s="73"/>
      <c r="I224" s="73"/>
      <c r="R224" s="72"/>
      <c r="S224" s="72"/>
      <c r="T224" s="72"/>
      <c r="U224" s="72"/>
      <c r="V224" s="72"/>
      <c r="W224" s="72"/>
      <c r="X224" s="72"/>
      <c r="Y224" s="72"/>
      <c r="Z224" s="72"/>
    </row>
    <row r="225">
      <c r="F225" s="73"/>
      <c r="G225" s="73"/>
      <c r="H225" s="73"/>
      <c r="I225" s="73"/>
      <c r="R225" s="72"/>
      <c r="S225" s="72"/>
      <c r="T225" s="72"/>
      <c r="U225" s="72"/>
      <c r="V225" s="72"/>
      <c r="W225" s="72"/>
      <c r="X225" s="72"/>
      <c r="Y225" s="72"/>
      <c r="Z225" s="72"/>
    </row>
    <row r="226">
      <c r="F226" s="73"/>
      <c r="G226" s="73"/>
      <c r="H226" s="73"/>
      <c r="I226" s="73"/>
      <c r="R226" s="72"/>
      <c r="S226" s="72"/>
      <c r="T226" s="72"/>
      <c r="U226" s="72"/>
      <c r="V226" s="72"/>
      <c r="W226" s="72"/>
      <c r="X226" s="72"/>
      <c r="Y226" s="72"/>
      <c r="Z226" s="72"/>
    </row>
    <row r="227">
      <c r="F227" s="73"/>
      <c r="G227" s="73"/>
      <c r="H227" s="73"/>
      <c r="I227" s="73"/>
      <c r="R227" s="72"/>
      <c r="S227" s="72"/>
      <c r="T227" s="72"/>
      <c r="U227" s="72"/>
      <c r="V227" s="72"/>
      <c r="W227" s="72"/>
      <c r="X227" s="72"/>
      <c r="Y227" s="72"/>
      <c r="Z227" s="72"/>
    </row>
    <row r="228">
      <c r="F228" s="73"/>
      <c r="G228" s="73"/>
      <c r="H228" s="73"/>
      <c r="I228" s="73"/>
      <c r="R228" s="72"/>
      <c r="S228" s="72"/>
      <c r="T228" s="72"/>
      <c r="U228" s="72"/>
      <c r="V228" s="72"/>
      <c r="W228" s="72"/>
      <c r="X228" s="72"/>
      <c r="Y228" s="72"/>
      <c r="Z228" s="72"/>
    </row>
    <row r="229">
      <c r="F229" s="73"/>
      <c r="G229" s="73"/>
      <c r="H229" s="73"/>
      <c r="I229" s="73"/>
      <c r="R229" s="72"/>
      <c r="S229" s="72"/>
      <c r="T229" s="72"/>
      <c r="U229" s="72"/>
      <c r="V229" s="72"/>
      <c r="W229" s="72"/>
      <c r="X229" s="72"/>
      <c r="Y229" s="72"/>
      <c r="Z229" s="72"/>
    </row>
    <row r="230">
      <c r="F230" s="73"/>
      <c r="G230" s="73"/>
      <c r="H230" s="73"/>
      <c r="I230" s="73"/>
      <c r="R230" s="72"/>
      <c r="S230" s="72"/>
      <c r="T230" s="72"/>
      <c r="U230" s="72"/>
      <c r="V230" s="72"/>
      <c r="W230" s="72"/>
      <c r="X230" s="72"/>
      <c r="Y230" s="72"/>
      <c r="Z230" s="72"/>
    </row>
    <row r="231">
      <c r="F231" s="73"/>
      <c r="G231" s="73"/>
      <c r="H231" s="73"/>
      <c r="I231" s="73"/>
      <c r="R231" s="72"/>
      <c r="S231" s="72"/>
      <c r="T231" s="72"/>
      <c r="U231" s="72"/>
      <c r="V231" s="72"/>
      <c r="W231" s="72"/>
      <c r="X231" s="72"/>
      <c r="Y231" s="72"/>
      <c r="Z231" s="72"/>
    </row>
    <row r="232">
      <c r="F232" s="73"/>
      <c r="G232" s="73"/>
      <c r="H232" s="73"/>
      <c r="I232" s="73"/>
      <c r="R232" s="72"/>
      <c r="S232" s="72"/>
      <c r="T232" s="72"/>
      <c r="U232" s="72"/>
      <c r="V232" s="72"/>
      <c r="W232" s="72"/>
      <c r="X232" s="72"/>
      <c r="Y232" s="72"/>
      <c r="Z232" s="72"/>
    </row>
    <row r="233">
      <c r="F233" s="73"/>
      <c r="G233" s="73"/>
      <c r="H233" s="73"/>
      <c r="I233" s="73"/>
      <c r="R233" s="72"/>
      <c r="S233" s="72"/>
      <c r="T233" s="72"/>
      <c r="U233" s="72"/>
      <c r="V233" s="72"/>
      <c r="W233" s="72"/>
      <c r="X233" s="72"/>
      <c r="Y233" s="72"/>
      <c r="Z233" s="72"/>
    </row>
    <row r="234">
      <c r="F234" s="73"/>
      <c r="G234" s="73"/>
      <c r="H234" s="73"/>
      <c r="I234" s="73"/>
      <c r="R234" s="72"/>
      <c r="S234" s="72"/>
      <c r="T234" s="72"/>
      <c r="U234" s="72"/>
      <c r="V234" s="72"/>
      <c r="W234" s="72"/>
      <c r="X234" s="72"/>
      <c r="Y234" s="72"/>
      <c r="Z234" s="72"/>
    </row>
    <row r="235">
      <c r="F235" s="73"/>
      <c r="G235" s="73"/>
      <c r="H235" s="73"/>
      <c r="I235" s="73"/>
      <c r="R235" s="72"/>
      <c r="S235" s="72"/>
      <c r="T235" s="72"/>
      <c r="U235" s="72"/>
      <c r="V235" s="72"/>
      <c r="W235" s="72"/>
      <c r="X235" s="72"/>
      <c r="Y235" s="72"/>
      <c r="Z235" s="72"/>
    </row>
    <row r="236">
      <c r="F236" s="73"/>
      <c r="G236" s="73"/>
      <c r="H236" s="73"/>
      <c r="I236" s="73"/>
      <c r="R236" s="72"/>
      <c r="S236" s="72"/>
      <c r="T236" s="72"/>
      <c r="U236" s="72"/>
      <c r="V236" s="72"/>
      <c r="W236" s="72"/>
      <c r="X236" s="72"/>
      <c r="Y236" s="72"/>
      <c r="Z236" s="72"/>
    </row>
    <row r="237">
      <c r="F237" s="73"/>
      <c r="G237" s="73"/>
      <c r="H237" s="73"/>
      <c r="I237" s="73"/>
      <c r="R237" s="72"/>
      <c r="S237" s="72"/>
      <c r="T237" s="72"/>
      <c r="U237" s="72"/>
      <c r="V237" s="72"/>
      <c r="W237" s="72"/>
      <c r="X237" s="72"/>
      <c r="Y237" s="72"/>
      <c r="Z237" s="72"/>
    </row>
    <row r="238">
      <c r="F238" s="73"/>
      <c r="G238" s="73"/>
      <c r="H238" s="73"/>
      <c r="I238" s="73"/>
      <c r="R238" s="72"/>
      <c r="S238" s="72"/>
      <c r="T238" s="72"/>
      <c r="U238" s="72"/>
      <c r="V238" s="72"/>
      <c r="W238" s="72"/>
      <c r="X238" s="72"/>
      <c r="Y238" s="72"/>
      <c r="Z238" s="72"/>
    </row>
    <row r="239">
      <c r="F239" s="73"/>
      <c r="G239" s="73"/>
      <c r="H239" s="73"/>
      <c r="I239" s="73"/>
      <c r="R239" s="72"/>
      <c r="S239" s="72"/>
      <c r="T239" s="72"/>
      <c r="U239" s="72"/>
      <c r="V239" s="72"/>
      <c r="W239" s="72"/>
      <c r="X239" s="72"/>
      <c r="Y239" s="72"/>
      <c r="Z239" s="72"/>
    </row>
    <row r="240">
      <c r="F240" s="73"/>
      <c r="G240" s="73"/>
      <c r="H240" s="73"/>
      <c r="I240" s="73"/>
      <c r="R240" s="72"/>
      <c r="S240" s="72"/>
      <c r="T240" s="72"/>
      <c r="U240" s="72"/>
      <c r="V240" s="72"/>
      <c r="W240" s="72"/>
      <c r="X240" s="72"/>
      <c r="Y240" s="72"/>
      <c r="Z240" s="72"/>
    </row>
    <row r="241">
      <c r="F241" s="73"/>
      <c r="G241" s="73"/>
      <c r="H241" s="73"/>
      <c r="I241" s="73"/>
      <c r="R241" s="72"/>
      <c r="S241" s="72"/>
      <c r="T241" s="72"/>
      <c r="U241" s="72"/>
      <c r="V241" s="72"/>
      <c r="W241" s="72"/>
      <c r="X241" s="72"/>
      <c r="Y241" s="72"/>
      <c r="Z241" s="72"/>
    </row>
    <row r="242">
      <c r="F242" s="73"/>
      <c r="G242" s="73"/>
      <c r="H242" s="73"/>
      <c r="I242" s="73"/>
      <c r="R242" s="72"/>
      <c r="S242" s="72"/>
      <c r="T242" s="72"/>
      <c r="U242" s="72"/>
      <c r="V242" s="72"/>
      <c r="W242" s="72"/>
      <c r="X242" s="72"/>
      <c r="Y242" s="72"/>
      <c r="Z242" s="72"/>
    </row>
    <row r="243">
      <c r="F243" s="73"/>
      <c r="G243" s="73"/>
      <c r="H243" s="73"/>
      <c r="I243" s="73"/>
      <c r="R243" s="72"/>
      <c r="S243" s="72"/>
      <c r="T243" s="72"/>
      <c r="U243" s="72"/>
      <c r="V243" s="72"/>
      <c r="W243" s="72"/>
      <c r="X243" s="72"/>
      <c r="Y243" s="72"/>
      <c r="Z243" s="72"/>
    </row>
    <row r="244">
      <c r="F244" s="73"/>
      <c r="G244" s="73"/>
      <c r="H244" s="73"/>
      <c r="I244" s="73"/>
      <c r="R244" s="72"/>
      <c r="S244" s="72"/>
      <c r="T244" s="72"/>
      <c r="U244" s="72"/>
      <c r="V244" s="72"/>
      <c r="W244" s="72"/>
      <c r="X244" s="72"/>
      <c r="Y244" s="72"/>
      <c r="Z244" s="72"/>
    </row>
    <row r="245">
      <c r="F245" s="73"/>
      <c r="G245" s="73"/>
      <c r="H245" s="73"/>
      <c r="I245" s="73"/>
      <c r="R245" s="72"/>
      <c r="S245" s="72"/>
      <c r="T245" s="72"/>
      <c r="U245" s="72"/>
      <c r="V245" s="72"/>
      <c r="W245" s="72"/>
      <c r="X245" s="72"/>
      <c r="Y245" s="72"/>
      <c r="Z245" s="72"/>
    </row>
    <row r="246">
      <c r="F246" s="73"/>
      <c r="G246" s="73"/>
      <c r="H246" s="73"/>
      <c r="I246" s="73"/>
      <c r="R246" s="72"/>
      <c r="S246" s="72"/>
      <c r="T246" s="72"/>
      <c r="U246" s="72"/>
      <c r="V246" s="72"/>
      <c r="W246" s="72"/>
      <c r="X246" s="72"/>
      <c r="Y246" s="72"/>
      <c r="Z246" s="72"/>
    </row>
    <row r="247">
      <c r="F247" s="73"/>
      <c r="G247" s="73"/>
      <c r="H247" s="73"/>
      <c r="I247" s="73"/>
      <c r="R247" s="72"/>
      <c r="S247" s="72"/>
      <c r="T247" s="72"/>
      <c r="U247" s="72"/>
      <c r="V247" s="72"/>
      <c r="W247" s="72"/>
      <c r="X247" s="72"/>
      <c r="Y247" s="72"/>
      <c r="Z247" s="72"/>
    </row>
    <row r="248">
      <c r="F248" s="73"/>
      <c r="G248" s="73"/>
      <c r="H248" s="73"/>
      <c r="I248" s="73"/>
      <c r="R248" s="72"/>
      <c r="S248" s="72"/>
      <c r="T248" s="72"/>
      <c r="U248" s="72"/>
      <c r="V248" s="72"/>
      <c r="W248" s="72"/>
      <c r="X248" s="72"/>
      <c r="Y248" s="72"/>
      <c r="Z248" s="72"/>
    </row>
    <row r="249">
      <c r="F249" s="73"/>
      <c r="G249" s="73"/>
      <c r="H249" s="73"/>
      <c r="I249" s="73"/>
      <c r="R249" s="72"/>
      <c r="S249" s="72"/>
      <c r="T249" s="72"/>
      <c r="U249" s="72"/>
      <c r="V249" s="72"/>
      <c r="W249" s="72"/>
      <c r="X249" s="72"/>
      <c r="Y249" s="72"/>
      <c r="Z249" s="72"/>
    </row>
    <row r="250">
      <c r="F250" s="73"/>
      <c r="G250" s="73"/>
      <c r="H250" s="73"/>
      <c r="I250" s="73"/>
      <c r="R250" s="72"/>
      <c r="S250" s="72"/>
      <c r="T250" s="72"/>
      <c r="U250" s="72"/>
      <c r="V250" s="72"/>
      <c r="W250" s="72"/>
      <c r="X250" s="72"/>
      <c r="Y250" s="72"/>
      <c r="Z250" s="72"/>
    </row>
    <row r="251">
      <c r="F251" s="73"/>
      <c r="G251" s="73"/>
      <c r="H251" s="73"/>
      <c r="I251" s="73"/>
      <c r="R251" s="72"/>
      <c r="S251" s="72"/>
      <c r="T251" s="72"/>
      <c r="U251" s="72"/>
      <c r="V251" s="72"/>
      <c r="W251" s="72"/>
      <c r="X251" s="72"/>
      <c r="Y251" s="72"/>
      <c r="Z251" s="72"/>
    </row>
    <row r="252">
      <c r="F252" s="73"/>
      <c r="G252" s="73"/>
      <c r="H252" s="73"/>
      <c r="I252" s="73"/>
      <c r="R252" s="72"/>
      <c r="S252" s="72"/>
      <c r="T252" s="72"/>
      <c r="U252" s="72"/>
      <c r="V252" s="72"/>
      <c r="W252" s="72"/>
      <c r="X252" s="72"/>
      <c r="Y252" s="72"/>
      <c r="Z252" s="72"/>
    </row>
    <row r="253">
      <c r="F253" s="73"/>
      <c r="G253" s="73"/>
      <c r="H253" s="73"/>
      <c r="I253" s="73"/>
      <c r="R253" s="72"/>
      <c r="S253" s="72"/>
      <c r="T253" s="72"/>
      <c r="U253" s="72"/>
      <c r="V253" s="72"/>
      <c r="W253" s="72"/>
      <c r="X253" s="72"/>
      <c r="Y253" s="72"/>
      <c r="Z253" s="72"/>
    </row>
    <row r="254">
      <c r="F254" s="73"/>
      <c r="G254" s="73"/>
      <c r="H254" s="73"/>
      <c r="I254" s="73"/>
      <c r="R254" s="72"/>
      <c r="S254" s="72"/>
      <c r="T254" s="72"/>
      <c r="U254" s="72"/>
      <c r="V254" s="72"/>
      <c r="W254" s="72"/>
      <c r="X254" s="72"/>
      <c r="Y254" s="72"/>
      <c r="Z254" s="72"/>
    </row>
    <row r="255">
      <c r="F255" s="73"/>
      <c r="G255" s="73"/>
      <c r="H255" s="73"/>
      <c r="I255" s="73"/>
      <c r="R255" s="72"/>
      <c r="S255" s="72"/>
      <c r="T255" s="72"/>
      <c r="U255" s="72"/>
      <c r="V255" s="72"/>
      <c r="W255" s="72"/>
      <c r="X255" s="72"/>
      <c r="Y255" s="72"/>
      <c r="Z255" s="72"/>
    </row>
    <row r="256">
      <c r="F256" s="73"/>
      <c r="G256" s="73"/>
      <c r="H256" s="73"/>
      <c r="I256" s="73"/>
      <c r="R256" s="72"/>
      <c r="S256" s="72"/>
      <c r="T256" s="72"/>
      <c r="U256" s="72"/>
      <c r="V256" s="72"/>
      <c r="W256" s="72"/>
      <c r="X256" s="72"/>
      <c r="Y256" s="72"/>
      <c r="Z256" s="72"/>
    </row>
    <row r="257">
      <c r="F257" s="73"/>
      <c r="G257" s="73"/>
      <c r="H257" s="73"/>
      <c r="I257" s="73"/>
      <c r="R257" s="72"/>
      <c r="S257" s="72"/>
      <c r="T257" s="72"/>
      <c r="U257" s="72"/>
      <c r="V257" s="72"/>
      <c r="W257" s="72"/>
      <c r="X257" s="72"/>
      <c r="Y257" s="72"/>
      <c r="Z257" s="72"/>
    </row>
    <row r="258">
      <c r="F258" s="73"/>
      <c r="G258" s="73"/>
      <c r="H258" s="73"/>
      <c r="I258" s="73"/>
      <c r="R258" s="72"/>
      <c r="S258" s="72"/>
      <c r="T258" s="72"/>
      <c r="U258" s="72"/>
      <c r="V258" s="72"/>
      <c r="W258" s="72"/>
      <c r="X258" s="72"/>
      <c r="Y258" s="72"/>
      <c r="Z258" s="72"/>
    </row>
    <row r="259">
      <c r="F259" s="73"/>
      <c r="G259" s="73"/>
      <c r="H259" s="73"/>
      <c r="I259" s="73"/>
      <c r="R259" s="72"/>
      <c r="S259" s="72"/>
      <c r="T259" s="72"/>
      <c r="U259" s="72"/>
      <c r="V259" s="72"/>
      <c r="W259" s="72"/>
      <c r="X259" s="72"/>
      <c r="Y259" s="72"/>
      <c r="Z259" s="72"/>
    </row>
    <row r="260">
      <c r="F260" s="73"/>
      <c r="G260" s="73"/>
      <c r="H260" s="73"/>
      <c r="I260" s="73"/>
      <c r="R260" s="72"/>
      <c r="S260" s="72"/>
      <c r="T260" s="72"/>
      <c r="U260" s="72"/>
      <c r="V260" s="72"/>
      <c r="W260" s="72"/>
      <c r="X260" s="72"/>
      <c r="Y260" s="72"/>
      <c r="Z260" s="72"/>
    </row>
    <row r="261">
      <c r="F261" s="73"/>
      <c r="G261" s="73"/>
      <c r="H261" s="73"/>
      <c r="I261" s="73"/>
      <c r="R261" s="72"/>
      <c r="S261" s="72"/>
      <c r="T261" s="72"/>
      <c r="U261" s="72"/>
      <c r="V261" s="72"/>
      <c r="W261" s="72"/>
      <c r="X261" s="72"/>
      <c r="Y261" s="72"/>
      <c r="Z261" s="72"/>
    </row>
    <row r="262">
      <c r="F262" s="73"/>
      <c r="G262" s="73"/>
      <c r="H262" s="73"/>
      <c r="I262" s="73"/>
      <c r="R262" s="72"/>
      <c r="S262" s="72"/>
      <c r="T262" s="72"/>
      <c r="U262" s="72"/>
      <c r="V262" s="72"/>
      <c r="W262" s="72"/>
      <c r="X262" s="72"/>
      <c r="Y262" s="72"/>
      <c r="Z262" s="72"/>
    </row>
    <row r="263">
      <c r="F263" s="73"/>
      <c r="G263" s="73"/>
      <c r="H263" s="73"/>
      <c r="I263" s="73"/>
      <c r="R263" s="72"/>
      <c r="S263" s="72"/>
      <c r="T263" s="72"/>
      <c r="U263" s="72"/>
      <c r="V263" s="72"/>
      <c r="W263" s="72"/>
      <c r="X263" s="72"/>
      <c r="Y263" s="72"/>
      <c r="Z263" s="72"/>
    </row>
    <row r="264">
      <c r="F264" s="73"/>
      <c r="G264" s="73"/>
      <c r="H264" s="73"/>
      <c r="I264" s="73"/>
      <c r="R264" s="72"/>
      <c r="S264" s="72"/>
      <c r="T264" s="72"/>
      <c r="U264" s="72"/>
      <c r="V264" s="72"/>
      <c r="W264" s="72"/>
      <c r="X264" s="72"/>
      <c r="Y264" s="72"/>
      <c r="Z264" s="72"/>
    </row>
    <row r="265">
      <c r="F265" s="73"/>
      <c r="G265" s="73"/>
      <c r="H265" s="73"/>
      <c r="I265" s="73"/>
      <c r="R265" s="72"/>
      <c r="S265" s="72"/>
      <c r="T265" s="72"/>
      <c r="U265" s="72"/>
      <c r="V265" s="72"/>
      <c r="W265" s="72"/>
      <c r="X265" s="72"/>
      <c r="Y265" s="72"/>
      <c r="Z265" s="72"/>
    </row>
    <row r="266">
      <c r="F266" s="73"/>
      <c r="G266" s="73"/>
      <c r="H266" s="73"/>
      <c r="I266" s="73"/>
      <c r="R266" s="72"/>
      <c r="S266" s="72"/>
      <c r="T266" s="72"/>
      <c r="U266" s="72"/>
      <c r="V266" s="72"/>
      <c r="W266" s="72"/>
      <c r="X266" s="72"/>
      <c r="Y266" s="72"/>
      <c r="Z266" s="72"/>
    </row>
    <row r="267">
      <c r="F267" s="73"/>
      <c r="G267" s="73"/>
      <c r="H267" s="73"/>
      <c r="I267" s="73"/>
      <c r="R267" s="72"/>
      <c r="S267" s="72"/>
      <c r="T267" s="72"/>
      <c r="U267" s="72"/>
      <c r="V267" s="72"/>
      <c r="W267" s="72"/>
      <c r="X267" s="72"/>
      <c r="Y267" s="72"/>
      <c r="Z267" s="72"/>
    </row>
    <row r="268">
      <c r="F268" s="73"/>
      <c r="G268" s="73"/>
      <c r="H268" s="73"/>
      <c r="I268" s="73"/>
      <c r="R268" s="72"/>
      <c r="S268" s="72"/>
      <c r="T268" s="72"/>
      <c r="U268" s="72"/>
      <c r="V268" s="72"/>
      <c r="W268" s="72"/>
      <c r="X268" s="72"/>
      <c r="Y268" s="72"/>
      <c r="Z268" s="72"/>
    </row>
    <row r="269">
      <c r="F269" s="73"/>
      <c r="G269" s="73"/>
      <c r="H269" s="73"/>
      <c r="I269" s="73"/>
      <c r="R269" s="72"/>
      <c r="S269" s="72"/>
      <c r="T269" s="72"/>
      <c r="U269" s="72"/>
      <c r="V269" s="72"/>
      <c r="W269" s="72"/>
      <c r="X269" s="72"/>
      <c r="Y269" s="72"/>
      <c r="Z269" s="72"/>
    </row>
    <row r="270">
      <c r="F270" s="73"/>
      <c r="G270" s="73"/>
      <c r="H270" s="73"/>
      <c r="I270" s="73"/>
      <c r="R270" s="72"/>
      <c r="S270" s="72"/>
      <c r="T270" s="72"/>
      <c r="U270" s="72"/>
      <c r="V270" s="72"/>
      <c r="W270" s="72"/>
      <c r="X270" s="72"/>
      <c r="Y270" s="72"/>
      <c r="Z270" s="72"/>
    </row>
    <row r="271">
      <c r="F271" s="73"/>
      <c r="G271" s="73"/>
      <c r="H271" s="73"/>
      <c r="I271" s="73"/>
      <c r="R271" s="72"/>
      <c r="S271" s="72"/>
      <c r="T271" s="72"/>
      <c r="U271" s="72"/>
      <c r="V271" s="72"/>
      <c r="W271" s="72"/>
      <c r="X271" s="72"/>
      <c r="Y271" s="72"/>
      <c r="Z271" s="72"/>
    </row>
    <row r="272">
      <c r="F272" s="73"/>
      <c r="G272" s="73"/>
      <c r="H272" s="73"/>
      <c r="I272" s="73"/>
      <c r="R272" s="72"/>
      <c r="S272" s="72"/>
      <c r="T272" s="72"/>
      <c r="U272" s="72"/>
      <c r="V272" s="72"/>
      <c r="W272" s="72"/>
      <c r="X272" s="72"/>
      <c r="Y272" s="72"/>
      <c r="Z272" s="72"/>
    </row>
    <row r="273">
      <c r="F273" s="73"/>
      <c r="G273" s="73"/>
      <c r="H273" s="73"/>
      <c r="I273" s="73"/>
      <c r="R273" s="72"/>
      <c r="S273" s="72"/>
      <c r="T273" s="72"/>
      <c r="U273" s="72"/>
      <c r="V273" s="72"/>
      <c r="W273" s="72"/>
      <c r="X273" s="72"/>
      <c r="Y273" s="72"/>
      <c r="Z273" s="72"/>
    </row>
    <row r="274">
      <c r="F274" s="73"/>
      <c r="G274" s="73"/>
      <c r="H274" s="73"/>
      <c r="I274" s="73"/>
      <c r="R274" s="72"/>
      <c r="S274" s="72"/>
      <c r="T274" s="72"/>
      <c r="U274" s="72"/>
      <c r="V274" s="72"/>
      <c r="W274" s="72"/>
      <c r="X274" s="72"/>
      <c r="Y274" s="72"/>
      <c r="Z274" s="72"/>
    </row>
    <row r="275">
      <c r="F275" s="73"/>
      <c r="G275" s="73"/>
      <c r="H275" s="73"/>
      <c r="I275" s="73"/>
      <c r="R275" s="72"/>
      <c r="S275" s="72"/>
      <c r="T275" s="72"/>
      <c r="U275" s="72"/>
      <c r="V275" s="72"/>
      <c r="W275" s="72"/>
      <c r="X275" s="72"/>
      <c r="Y275" s="72"/>
      <c r="Z275" s="72"/>
    </row>
    <row r="276">
      <c r="F276" s="73"/>
      <c r="G276" s="73"/>
      <c r="H276" s="73"/>
      <c r="I276" s="73"/>
      <c r="R276" s="72"/>
      <c r="S276" s="72"/>
      <c r="T276" s="72"/>
      <c r="U276" s="72"/>
      <c r="V276" s="72"/>
      <c r="W276" s="72"/>
      <c r="X276" s="72"/>
      <c r="Y276" s="72"/>
      <c r="Z276" s="72"/>
    </row>
    <row r="277">
      <c r="F277" s="73"/>
      <c r="G277" s="73"/>
      <c r="H277" s="73"/>
      <c r="I277" s="73"/>
      <c r="R277" s="72"/>
      <c r="S277" s="72"/>
      <c r="T277" s="72"/>
      <c r="U277" s="72"/>
      <c r="V277" s="72"/>
      <c r="W277" s="72"/>
      <c r="X277" s="72"/>
      <c r="Y277" s="72"/>
      <c r="Z277" s="72"/>
    </row>
    <row r="278">
      <c r="F278" s="73"/>
      <c r="G278" s="73"/>
      <c r="H278" s="73"/>
      <c r="I278" s="73"/>
      <c r="R278" s="72"/>
      <c r="S278" s="72"/>
      <c r="T278" s="72"/>
      <c r="U278" s="72"/>
      <c r="V278" s="72"/>
      <c r="W278" s="72"/>
      <c r="X278" s="72"/>
      <c r="Y278" s="72"/>
      <c r="Z278" s="72"/>
    </row>
    <row r="279">
      <c r="F279" s="73"/>
      <c r="G279" s="73"/>
      <c r="H279" s="73"/>
      <c r="I279" s="73"/>
      <c r="R279" s="72"/>
      <c r="S279" s="72"/>
      <c r="T279" s="72"/>
      <c r="U279" s="72"/>
      <c r="V279" s="72"/>
      <c r="W279" s="72"/>
      <c r="X279" s="72"/>
      <c r="Y279" s="72"/>
      <c r="Z279" s="72"/>
    </row>
    <row r="280">
      <c r="F280" s="73"/>
      <c r="G280" s="73"/>
      <c r="H280" s="73"/>
      <c r="I280" s="73"/>
      <c r="R280" s="72"/>
      <c r="S280" s="72"/>
      <c r="T280" s="72"/>
      <c r="U280" s="72"/>
      <c r="V280" s="72"/>
      <c r="W280" s="72"/>
      <c r="X280" s="72"/>
      <c r="Y280" s="72"/>
      <c r="Z280" s="72"/>
    </row>
    <row r="281">
      <c r="F281" s="73"/>
      <c r="G281" s="73"/>
      <c r="H281" s="73"/>
      <c r="I281" s="73"/>
      <c r="R281" s="72"/>
      <c r="S281" s="72"/>
      <c r="T281" s="72"/>
      <c r="U281" s="72"/>
      <c r="V281" s="72"/>
      <c r="W281" s="72"/>
      <c r="X281" s="72"/>
      <c r="Y281" s="72"/>
      <c r="Z281" s="72"/>
    </row>
    <row r="282">
      <c r="F282" s="73"/>
      <c r="G282" s="73"/>
      <c r="H282" s="73"/>
      <c r="I282" s="73"/>
      <c r="R282" s="72"/>
      <c r="S282" s="72"/>
      <c r="T282" s="72"/>
      <c r="U282" s="72"/>
      <c r="V282" s="72"/>
      <c r="W282" s="72"/>
      <c r="X282" s="72"/>
      <c r="Y282" s="72"/>
      <c r="Z282" s="72"/>
    </row>
    <row r="283">
      <c r="F283" s="73"/>
      <c r="G283" s="73"/>
      <c r="H283" s="73"/>
      <c r="I283" s="73"/>
      <c r="R283" s="72"/>
      <c r="S283" s="72"/>
      <c r="T283" s="72"/>
      <c r="U283" s="72"/>
      <c r="V283" s="72"/>
      <c r="W283" s="72"/>
      <c r="X283" s="72"/>
      <c r="Y283" s="72"/>
      <c r="Z283" s="72"/>
    </row>
    <row r="284">
      <c r="F284" s="73"/>
      <c r="G284" s="73"/>
      <c r="H284" s="73"/>
      <c r="I284" s="73"/>
      <c r="R284" s="72"/>
      <c r="S284" s="72"/>
      <c r="T284" s="72"/>
      <c r="U284" s="72"/>
      <c r="V284" s="72"/>
      <c r="W284" s="72"/>
      <c r="X284" s="72"/>
      <c r="Y284" s="72"/>
      <c r="Z284" s="72"/>
    </row>
    <row r="285">
      <c r="F285" s="73"/>
      <c r="G285" s="73"/>
      <c r="H285" s="73"/>
      <c r="I285" s="73"/>
      <c r="R285" s="72"/>
      <c r="S285" s="72"/>
      <c r="T285" s="72"/>
      <c r="U285" s="72"/>
      <c r="V285" s="72"/>
      <c r="W285" s="72"/>
      <c r="X285" s="72"/>
      <c r="Y285" s="72"/>
      <c r="Z285" s="72"/>
    </row>
    <row r="286">
      <c r="F286" s="73"/>
      <c r="G286" s="73"/>
      <c r="H286" s="73"/>
      <c r="I286" s="73"/>
      <c r="R286" s="72"/>
      <c r="S286" s="72"/>
      <c r="T286" s="72"/>
      <c r="U286" s="72"/>
      <c r="V286" s="72"/>
      <c r="W286" s="72"/>
      <c r="X286" s="72"/>
      <c r="Y286" s="72"/>
      <c r="Z286" s="72"/>
    </row>
    <row r="287">
      <c r="F287" s="73"/>
      <c r="G287" s="73"/>
      <c r="H287" s="73"/>
      <c r="I287" s="73"/>
      <c r="R287" s="72"/>
      <c r="S287" s="72"/>
      <c r="T287" s="72"/>
      <c r="U287" s="72"/>
      <c r="V287" s="72"/>
      <c r="W287" s="72"/>
      <c r="X287" s="72"/>
      <c r="Y287" s="72"/>
      <c r="Z287" s="72"/>
    </row>
    <row r="288">
      <c r="F288" s="73"/>
      <c r="G288" s="73"/>
      <c r="H288" s="73"/>
      <c r="I288" s="73"/>
      <c r="R288" s="72"/>
      <c r="S288" s="72"/>
      <c r="T288" s="72"/>
      <c r="U288" s="72"/>
      <c r="V288" s="72"/>
      <c r="W288" s="72"/>
      <c r="X288" s="72"/>
      <c r="Y288" s="72"/>
      <c r="Z288" s="72"/>
    </row>
    <row r="289">
      <c r="F289" s="73"/>
      <c r="G289" s="73"/>
      <c r="H289" s="73"/>
      <c r="I289" s="73"/>
      <c r="R289" s="72"/>
      <c r="S289" s="72"/>
      <c r="T289" s="72"/>
      <c r="U289" s="72"/>
      <c r="V289" s="72"/>
      <c r="W289" s="72"/>
      <c r="X289" s="72"/>
      <c r="Y289" s="72"/>
      <c r="Z289" s="72"/>
    </row>
    <row r="290">
      <c r="F290" s="73"/>
      <c r="G290" s="73"/>
      <c r="H290" s="73"/>
      <c r="I290" s="73"/>
      <c r="R290" s="72"/>
      <c r="S290" s="72"/>
      <c r="T290" s="72"/>
      <c r="U290" s="72"/>
      <c r="V290" s="72"/>
      <c r="W290" s="72"/>
      <c r="X290" s="72"/>
      <c r="Y290" s="72"/>
      <c r="Z290" s="72"/>
    </row>
    <row r="291">
      <c r="F291" s="73"/>
      <c r="G291" s="73"/>
      <c r="H291" s="73"/>
      <c r="I291" s="73"/>
      <c r="R291" s="72"/>
      <c r="S291" s="72"/>
      <c r="T291" s="72"/>
      <c r="U291" s="72"/>
      <c r="V291" s="72"/>
      <c r="W291" s="72"/>
      <c r="X291" s="72"/>
      <c r="Y291" s="72"/>
      <c r="Z291" s="72"/>
    </row>
    <row r="292">
      <c r="F292" s="73"/>
      <c r="G292" s="73"/>
      <c r="H292" s="73"/>
      <c r="I292" s="73"/>
      <c r="R292" s="72"/>
      <c r="S292" s="72"/>
      <c r="T292" s="72"/>
      <c r="U292" s="72"/>
      <c r="V292" s="72"/>
      <c r="W292" s="72"/>
      <c r="X292" s="72"/>
      <c r="Y292" s="72"/>
      <c r="Z292" s="72"/>
    </row>
    <row r="293">
      <c r="F293" s="73"/>
      <c r="G293" s="73"/>
      <c r="H293" s="73"/>
      <c r="I293" s="73"/>
      <c r="R293" s="72"/>
      <c r="S293" s="72"/>
      <c r="T293" s="72"/>
      <c r="U293" s="72"/>
      <c r="V293" s="72"/>
      <c r="W293" s="72"/>
      <c r="X293" s="72"/>
      <c r="Y293" s="72"/>
      <c r="Z293" s="72"/>
    </row>
    <row r="294">
      <c r="F294" s="73"/>
      <c r="G294" s="73"/>
      <c r="H294" s="73"/>
      <c r="I294" s="73"/>
      <c r="R294" s="72"/>
      <c r="S294" s="72"/>
      <c r="T294" s="72"/>
      <c r="U294" s="72"/>
      <c r="V294" s="72"/>
      <c r="W294" s="72"/>
      <c r="X294" s="72"/>
      <c r="Y294" s="72"/>
      <c r="Z294" s="72"/>
    </row>
    <row r="295">
      <c r="F295" s="73"/>
      <c r="G295" s="73"/>
      <c r="H295" s="73"/>
      <c r="I295" s="73"/>
      <c r="R295" s="72"/>
      <c r="S295" s="72"/>
      <c r="T295" s="72"/>
      <c r="U295" s="72"/>
      <c r="V295" s="72"/>
      <c r="W295" s="72"/>
      <c r="X295" s="72"/>
      <c r="Y295" s="72"/>
      <c r="Z295" s="72"/>
    </row>
    <row r="296">
      <c r="F296" s="73"/>
      <c r="G296" s="73"/>
      <c r="H296" s="73"/>
      <c r="I296" s="73"/>
      <c r="R296" s="72"/>
      <c r="S296" s="72"/>
      <c r="T296" s="72"/>
      <c r="U296" s="72"/>
      <c r="V296" s="72"/>
      <c r="W296" s="72"/>
      <c r="X296" s="72"/>
      <c r="Y296" s="72"/>
      <c r="Z296" s="72"/>
    </row>
    <row r="297">
      <c r="F297" s="73"/>
      <c r="G297" s="73"/>
      <c r="H297" s="73"/>
      <c r="I297" s="73"/>
      <c r="R297" s="72"/>
      <c r="S297" s="72"/>
      <c r="T297" s="72"/>
      <c r="U297" s="72"/>
      <c r="V297" s="72"/>
      <c r="W297" s="72"/>
      <c r="X297" s="72"/>
      <c r="Y297" s="72"/>
      <c r="Z297" s="72"/>
    </row>
    <row r="298">
      <c r="F298" s="73"/>
      <c r="G298" s="73"/>
      <c r="H298" s="73"/>
      <c r="I298" s="73"/>
      <c r="R298" s="72"/>
      <c r="S298" s="72"/>
      <c r="T298" s="72"/>
      <c r="U298" s="72"/>
      <c r="V298" s="72"/>
      <c r="W298" s="72"/>
      <c r="X298" s="72"/>
      <c r="Y298" s="72"/>
      <c r="Z298" s="72"/>
    </row>
    <row r="299">
      <c r="F299" s="73"/>
      <c r="G299" s="73"/>
      <c r="H299" s="73"/>
      <c r="I299" s="73"/>
      <c r="R299" s="72"/>
      <c r="S299" s="72"/>
      <c r="T299" s="72"/>
      <c r="U299" s="72"/>
      <c r="V299" s="72"/>
      <c r="W299" s="72"/>
      <c r="X299" s="72"/>
      <c r="Y299" s="72"/>
      <c r="Z299" s="72"/>
    </row>
    <row r="300">
      <c r="F300" s="73"/>
      <c r="G300" s="73"/>
      <c r="H300" s="73"/>
      <c r="I300" s="73"/>
      <c r="R300" s="72"/>
      <c r="S300" s="72"/>
      <c r="T300" s="72"/>
      <c r="U300" s="72"/>
      <c r="V300" s="72"/>
      <c r="W300" s="72"/>
      <c r="X300" s="72"/>
      <c r="Y300" s="72"/>
      <c r="Z300" s="72"/>
    </row>
    <row r="301">
      <c r="F301" s="73"/>
      <c r="G301" s="73"/>
      <c r="H301" s="73"/>
      <c r="I301" s="73"/>
      <c r="R301" s="72"/>
      <c r="S301" s="72"/>
      <c r="T301" s="72"/>
      <c r="U301" s="72"/>
      <c r="V301" s="72"/>
      <c r="W301" s="72"/>
      <c r="X301" s="72"/>
      <c r="Y301" s="72"/>
      <c r="Z301" s="72"/>
    </row>
    <row r="302">
      <c r="F302" s="73"/>
      <c r="G302" s="73"/>
      <c r="H302" s="73"/>
      <c r="I302" s="73"/>
      <c r="R302" s="72"/>
      <c r="S302" s="72"/>
      <c r="T302" s="72"/>
      <c r="U302" s="72"/>
      <c r="V302" s="72"/>
      <c r="W302" s="72"/>
      <c r="X302" s="72"/>
      <c r="Y302" s="72"/>
      <c r="Z302" s="72"/>
    </row>
    <row r="303">
      <c r="F303" s="73"/>
      <c r="G303" s="73"/>
      <c r="H303" s="73"/>
      <c r="I303" s="73"/>
      <c r="R303" s="72"/>
      <c r="S303" s="72"/>
      <c r="T303" s="72"/>
      <c r="U303" s="72"/>
      <c r="V303" s="72"/>
      <c r="W303" s="72"/>
      <c r="X303" s="72"/>
      <c r="Y303" s="72"/>
      <c r="Z303" s="72"/>
    </row>
    <row r="304">
      <c r="F304" s="73"/>
      <c r="G304" s="73"/>
      <c r="H304" s="73"/>
      <c r="I304" s="73"/>
      <c r="R304" s="72"/>
      <c r="S304" s="72"/>
      <c r="T304" s="72"/>
      <c r="U304" s="72"/>
      <c r="V304" s="72"/>
      <c r="W304" s="72"/>
      <c r="X304" s="72"/>
      <c r="Y304" s="72"/>
      <c r="Z304" s="72"/>
    </row>
    <row r="305">
      <c r="F305" s="73"/>
      <c r="G305" s="73"/>
      <c r="H305" s="73"/>
      <c r="I305" s="73"/>
      <c r="R305" s="72"/>
      <c r="S305" s="72"/>
      <c r="T305" s="72"/>
      <c r="U305" s="72"/>
      <c r="V305" s="72"/>
      <c r="W305" s="72"/>
      <c r="X305" s="72"/>
      <c r="Y305" s="72"/>
      <c r="Z305" s="72"/>
    </row>
    <row r="306">
      <c r="F306" s="73"/>
      <c r="G306" s="73"/>
      <c r="H306" s="73"/>
      <c r="I306" s="73"/>
      <c r="R306" s="72"/>
      <c r="S306" s="72"/>
      <c r="T306" s="72"/>
      <c r="U306" s="72"/>
      <c r="V306" s="72"/>
      <c r="W306" s="72"/>
      <c r="X306" s="72"/>
      <c r="Y306" s="72"/>
      <c r="Z306" s="72"/>
    </row>
    <row r="307">
      <c r="F307" s="73"/>
      <c r="G307" s="73"/>
      <c r="H307" s="73"/>
      <c r="I307" s="73"/>
      <c r="R307" s="72"/>
      <c r="S307" s="72"/>
      <c r="T307" s="72"/>
      <c r="U307" s="72"/>
      <c r="V307" s="72"/>
      <c r="W307" s="72"/>
      <c r="X307" s="72"/>
      <c r="Y307" s="72"/>
      <c r="Z307" s="72"/>
    </row>
    <row r="308">
      <c r="F308" s="73"/>
      <c r="G308" s="73"/>
      <c r="H308" s="73"/>
      <c r="I308" s="73"/>
      <c r="R308" s="72"/>
      <c r="S308" s="72"/>
      <c r="T308" s="72"/>
      <c r="U308" s="72"/>
      <c r="V308" s="72"/>
      <c r="W308" s="72"/>
      <c r="X308" s="72"/>
      <c r="Y308" s="72"/>
      <c r="Z308" s="72"/>
    </row>
    <row r="309">
      <c r="F309" s="73"/>
      <c r="G309" s="73"/>
      <c r="H309" s="73"/>
      <c r="I309" s="73"/>
      <c r="R309" s="72"/>
      <c r="S309" s="72"/>
      <c r="T309" s="72"/>
      <c r="U309" s="72"/>
      <c r="V309" s="72"/>
      <c r="W309" s="72"/>
      <c r="X309" s="72"/>
      <c r="Y309" s="72"/>
      <c r="Z309" s="72"/>
    </row>
    <row r="310">
      <c r="F310" s="73"/>
      <c r="G310" s="73"/>
      <c r="H310" s="73"/>
      <c r="I310" s="73"/>
      <c r="R310" s="72"/>
      <c r="S310" s="72"/>
      <c r="T310" s="72"/>
      <c r="U310" s="72"/>
      <c r="V310" s="72"/>
      <c r="W310" s="72"/>
      <c r="X310" s="72"/>
      <c r="Y310" s="72"/>
      <c r="Z310" s="72"/>
    </row>
    <row r="311">
      <c r="F311" s="73"/>
      <c r="G311" s="73"/>
      <c r="H311" s="73"/>
      <c r="I311" s="73"/>
      <c r="R311" s="72"/>
      <c r="S311" s="72"/>
      <c r="T311" s="72"/>
      <c r="U311" s="72"/>
      <c r="V311" s="72"/>
      <c r="W311" s="72"/>
      <c r="X311" s="72"/>
      <c r="Y311" s="72"/>
      <c r="Z311" s="72"/>
    </row>
    <row r="312">
      <c r="F312" s="73"/>
      <c r="G312" s="73"/>
      <c r="H312" s="73"/>
      <c r="I312" s="73"/>
      <c r="R312" s="72"/>
      <c r="S312" s="72"/>
      <c r="T312" s="72"/>
      <c r="U312" s="72"/>
      <c r="V312" s="72"/>
      <c r="W312" s="72"/>
      <c r="X312" s="72"/>
      <c r="Y312" s="72"/>
      <c r="Z312" s="72"/>
    </row>
    <row r="313">
      <c r="F313" s="73"/>
      <c r="G313" s="73"/>
      <c r="H313" s="73"/>
      <c r="I313" s="73"/>
      <c r="R313" s="72"/>
      <c r="S313" s="72"/>
      <c r="T313" s="72"/>
      <c r="U313" s="72"/>
      <c r="V313" s="72"/>
      <c r="W313" s="72"/>
      <c r="X313" s="72"/>
      <c r="Y313" s="72"/>
      <c r="Z313" s="72"/>
    </row>
    <row r="314">
      <c r="F314" s="73"/>
      <c r="G314" s="73"/>
      <c r="H314" s="73"/>
      <c r="I314" s="73"/>
      <c r="R314" s="72"/>
      <c r="S314" s="72"/>
      <c r="T314" s="72"/>
      <c r="U314" s="72"/>
      <c r="V314" s="72"/>
      <c r="W314" s="72"/>
      <c r="X314" s="72"/>
      <c r="Y314" s="72"/>
      <c r="Z314" s="72"/>
    </row>
    <row r="315">
      <c r="F315" s="73"/>
      <c r="G315" s="73"/>
      <c r="H315" s="73"/>
      <c r="I315" s="73"/>
      <c r="R315" s="72"/>
      <c r="S315" s="72"/>
      <c r="T315" s="72"/>
      <c r="U315" s="72"/>
      <c r="V315" s="72"/>
      <c r="W315" s="72"/>
      <c r="X315" s="72"/>
      <c r="Y315" s="72"/>
      <c r="Z315" s="72"/>
    </row>
    <row r="316">
      <c r="F316" s="73"/>
      <c r="G316" s="73"/>
      <c r="H316" s="73"/>
      <c r="I316" s="73"/>
      <c r="R316" s="72"/>
      <c r="S316" s="72"/>
      <c r="T316" s="72"/>
      <c r="U316" s="72"/>
      <c r="V316" s="72"/>
      <c r="W316" s="72"/>
      <c r="X316" s="72"/>
      <c r="Y316" s="72"/>
      <c r="Z316" s="72"/>
    </row>
    <row r="317">
      <c r="F317" s="73"/>
      <c r="G317" s="73"/>
      <c r="H317" s="73"/>
      <c r="I317" s="73"/>
      <c r="R317" s="72"/>
      <c r="S317" s="72"/>
      <c r="T317" s="72"/>
      <c r="U317" s="72"/>
      <c r="V317" s="72"/>
      <c r="W317" s="72"/>
      <c r="X317" s="72"/>
      <c r="Y317" s="72"/>
      <c r="Z317" s="72"/>
    </row>
    <row r="318">
      <c r="F318" s="73"/>
      <c r="G318" s="73"/>
      <c r="H318" s="73"/>
      <c r="I318" s="73"/>
      <c r="R318" s="72"/>
      <c r="S318" s="72"/>
      <c r="T318" s="72"/>
      <c r="U318" s="72"/>
      <c r="V318" s="72"/>
      <c r="W318" s="72"/>
      <c r="X318" s="72"/>
      <c r="Y318" s="72"/>
      <c r="Z318" s="72"/>
    </row>
    <row r="319">
      <c r="F319" s="73"/>
      <c r="G319" s="73"/>
      <c r="H319" s="73"/>
      <c r="I319" s="73"/>
      <c r="R319" s="72"/>
      <c r="S319" s="72"/>
      <c r="T319" s="72"/>
      <c r="U319" s="72"/>
      <c r="V319" s="72"/>
      <c r="W319" s="72"/>
      <c r="X319" s="72"/>
      <c r="Y319" s="72"/>
      <c r="Z319" s="72"/>
    </row>
    <row r="320">
      <c r="F320" s="73"/>
      <c r="G320" s="73"/>
      <c r="H320" s="73"/>
      <c r="I320" s="73"/>
      <c r="R320" s="72"/>
      <c r="S320" s="72"/>
      <c r="T320" s="72"/>
      <c r="U320" s="72"/>
      <c r="V320" s="72"/>
      <c r="W320" s="72"/>
      <c r="X320" s="72"/>
      <c r="Y320" s="72"/>
      <c r="Z320" s="72"/>
    </row>
    <row r="321">
      <c r="F321" s="73"/>
      <c r="G321" s="73"/>
      <c r="H321" s="73"/>
      <c r="I321" s="73"/>
      <c r="R321" s="72"/>
      <c r="S321" s="72"/>
      <c r="T321" s="72"/>
      <c r="U321" s="72"/>
      <c r="V321" s="72"/>
      <c r="W321" s="72"/>
      <c r="X321" s="72"/>
      <c r="Y321" s="72"/>
      <c r="Z321" s="72"/>
    </row>
    <row r="322">
      <c r="F322" s="73"/>
      <c r="G322" s="73"/>
      <c r="H322" s="73"/>
      <c r="I322" s="73"/>
      <c r="R322" s="72"/>
      <c r="S322" s="72"/>
      <c r="T322" s="72"/>
      <c r="U322" s="72"/>
      <c r="V322" s="72"/>
      <c r="W322" s="72"/>
      <c r="X322" s="72"/>
      <c r="Y322" s="72"/>
      <c r="Z322" s="72"/>
    </row>
    <row r="323">
      <c r="F323" s="73"/>
      <c r="G323" s="73"/>
      <c r="H323" s="73"/>
      <c r="I323" s="73"/>
      <c r="R323" s="72"/>
      <c r="S323" s="72"/>
      <c r="T323" s="72"/>
      <c r="U323" s="72"/>
      <c r="V323" s="72"/>
      <c r="W323" s="72"/>
      <c r="X323" s="72"/>
      <c r="Y323" s="72"/>
      <c r="Z323" s="72"/>
    </row>
    <row r="324">
      <c r="F324" s="73"/>
      <c r="G324" s="73"/>
      <c r="H324" s="73"/>
      <c r="I324" s="73"/>
      <c r="R324" s="72"/>
      <c r="S324" s="72"/>
      <c r="T324" s="72"/>
      <c r="U324" s="72"/>
      <c r="V324" s="72"/>
      <c r="W324" s="72"/>
      <c r="X324" s="72"/>
      <c r="Y324" s="72"/>
      <c r="Z324" s="72"/>
    </row>
    <row r="325">
      <c r="F325" s="73"/>
      <c r="G325" s="73"/>
      <c r="H325" s="73"/>
      <c r="I325" s="73"/>
      <c r="R325" s="72"/>
      <c r="S325" s="72"/>
      <c r="T325" s="72"/>
      <c r="U325" s="72"/>
      <c r="V325" s="72"/>
      <c r="W325" s="72"/>
      <c r="X325" s="72"/>
      <c r="Y325" s="72"/>
      <c r="Z325" s="72"/>
    </row>
    <row r="326">
      <c r="F326" s="73"/>
      <c r="G326" s="73"/>
      <c r="H326" s="73"/>
      <c r="I326" s="73"/>
      <c r="R326" s="72"/>
      <c r="S326" s="72"/>
      <c r="T326" s="72"/>
      <c r="U326" s="72"/>
      <c r="V326" s="72"/>
      <c r="W326" s="72"/>
      <c r="X326" s="72"/>
      <c r="Y326" s="72"/>
      <c r="Z326" s="72"/>
    </row>
    <row r="327">
      <c r="F327" s="73"/>
      <c r="G327" s="73"/>
      <c r="H327" s="73"/>
      <c r="I327" s="73"/>
      <c r="R327" s="72"/>
      <c r="S327" s="72"/>
      <c r="T327" s="72"/>
      <c r="U327" s="72"/>
      <c r="V327" s="72"/>
      <c r="W327" s="72"/>
      <c r="X327" s="72"/>
      <c r="Y327" s="72"/>
      <c r="Z327" s="72"/>
    </row>
    <row r="328">
      <c r="F328" s="73"/>
      <c r="G328" s="73"/>
      <c r="H328" s="73"/>
      <c r="I328" s="73"/>
      <c r="R328" s="72"/>
      <c r="S328" s="72"/>
      <c r="T328" s="72"/>
      <c r="U328" s="72"/>
      <c r="V328" s="72"/>
      <c r="W328" s="72"/>
      <c r="X328" s="72"/>
      <c r="Y328" s="72"/>
      <c r="Z328" s="72"/>
    </row>
    <row r="329">
      <c r="F329" s="73"/>
      <c r="G329" s="73"/>
      <c r="H329" s="73"/>
      <c r="I329" s="73"/>
      <c r="R329" s="72"/>
      <c r="S329" s="72"/>
      <c r="T329" s="72"/>
      <c r="U329" s="72"/>
      <c r="V329" s="72"/>
      <c r="W329" s="72"/>
      <c r="X329" s="72"/>
      <c r="Y329" s="72"/>
      <c r="Z329" s="72"/>
    </row>
    <row r="330">
      <c r="F330" s="73"/>
      <c r="G330" s="73"/>
      <c r="H330" s="73"/>
      <c r="I330" s="73"/>
      <c r="R330" s="72"/>
      <c r="S330" s="72"/>
      <c r="T330" s="72"/>
      <c r="U330" s="72"/>
      <c r="V330" s="72"/>
      <c r="W330" s="72"/>
      <c r="X330" s="72"/>
      <c r="Y330" s="72"/>
      <c r="Z330" s="72"/>
    </row>
    <row r="331">
      <c r="F331" s="73"/>
      <c r="G331" s="73"/>
      <c r="H331" s="73"/>
      <c r="I331" s="73"/>
      <c r="R331" s="72"/>
      <c r="S331" s="72"/>
      <c r="T331" s="72"/>
      <c r="U331" s="72"/>
      <c r="V331" s="72"/>
      <c r="W331" s="72"/>
      <c r="X331" s="72"/>
      <c r="Y331" s="72"/>
      <c r="Z331" s="72"/>
    </row>
    <row r="332">
      <c r="F332" s="73"/>
      <c r="G332" s="73"/>
      <c r="H332" s="73"/>
      <c r="I332" s="73"/>
      <c r="R332" s="72"/>
      <c r="S332" s="72"/>
      <c r="T332" s="72"/>
      <c r="U332" s="72"/>
      <c r="V332" s="72"/>
      <c r="W332" s="72"/>
      <c r="X332" s="72"/>
      <c r="Y332" s="72"/>
      <c r="Z332" s="72"/>
    </row>
    <row r="333">
      <c r="F333" s="73"/>
      <c r="G333" s="73"/>
      <c r="H333" s="73"/>
      <c r="I333" s="73"/>
      <c r="R333" s="72"/>
      <c r="S333" s="72"/>
      <c r="T333" s="72"/>
      <c r="U333" s="72"/>
      <c r="V333" s="72"/>
      <c r="W333" s="72"/>
      <c r="X333" s="72"/>
      <c r="Y333" s="72"/>
      <c r="Z333" s="72"/>
    </row>
    <row r="334">
      <c r="F334" s="73"/>
      <c r="G334" s="73"/>
      <c r="H334" s="73"/>
      <c r="I334" s="73"/>
      <c r="R334" s="72"/>
      <c r="S334" s="72"/>
      <c r="T334" s="72"/>
      <c r="U334" s="72"/>
      <c r="V334" s="72"/>
      <c r="W334" s="72"/>
      <c r="X334" s="72"/>
      <c r="Y334" s="72"/>
      <c r="Z334" s="72"/>
    </row>
    <row r="335">
      <c r="F335" s="73"/>
      <c r="G335" s="73"/>
      <c r="H335" s="73"/>
      <c r="I335" s="73"/>
      <c r="R335" s="72"/>
      <c r="S335" s="72"/>
      <c r="T335" s="72"/>
      <c r="U335" s="72"/>
      <c r="V335" s="72"/>
      <c r="W335" s="72"/>
      <c r="X335" s="72"/>
      <c r="Y335" s="72"/>
      <c r="Z335" s="72"/>
    </row>
    <row r="336">
      <c r="F336" s="73"/>
      <c r="G336" s="73"/>
      <c r="H336" s="73"/>
      <c r="I336" s="73"/>
      <c r="R336" s="72"/>
      <c r="S336" s="72"/>
      <c r="T336" s="72"/>
      <c r="U336" s="72"/>
      <c r="V336" s="72"/>
      <c r="W336" s="72"/>
      <c r="X336" s="72"/>
      <c r="Y336" s="72"/>
      <c r="Z336" s="72"/>
    </row>
    <row r="337">
      <c r="F337" s="73"/>
      <c r="G337" s="73"/>
      <c r="H337" s="73"/>
      <c r="I337" s="73"/>
      <c r="R337" s="72"/>
      <c r="S337" s="72"/>
      <c r="T337" s="72"/>
      <c r="U337" s="72"/>
      <c r="V337" s="72"/>
      <c r="W337" s="72"/>
      <c r="X337" s="72"/>
      <c r="Y337" s="72"/>
      <c r="Z337" s="72"/>
    </row>
    <row r="338">
      <c r="F338" s="73"/>
      <c r="G338" s="73"/>
      <c r="H338" s="73"/>
      <c r="I338" s="73"/>
      <c r="R338" s="72"/>
      <c r="S338" s="72"/>
      <c r="T338" s="72"/>
      <c r="U338" s="72"/>
      <c r="V338" s="72"/>
      <c r="W338" s="72"/>
      <c r="X338" s="72"/>
      <c r="Y338" s="72"/>
      <c r="Z338" s="72"/>
    </row>
    <row r="339">
      <c r="F339" s="73"/>
      <c r="G339" s="73"/>
      <c r="H339" s="73"/>
      <c r="I339" s="73"/>
      <c r="R339" s="72"/>
      <c r="S339" s="72"/>
      <c r="T339" s="72"/>
      <c r="U339" s="72"/>
      <c r="V339" s="72"/>
      <c r="W339" s="72"/>
      <c r="X339" s="72"/>
      <c r="Y339" s="72"/>
      <c r="Z339" s="72"/>
    </row>
    <row r="340">
      <c r="F340" s="73"/>
      <c r="G340" s="73"/>
      <c r="H340" s="73"/>
      <c r="I340" s="73"/>
      <c r="R340" s="72"/>
      <c r="S340" s="72"/>
      <c r="T340" s="72"/>
      <c r="U340" s="72"/>
      <c r="V340" s="72"/>
      <c r="W340" s="72"/>
      <c r="X340" s="72"/>
      <c r="Y340" s="72"/>
      <c r="Z340" s="72"/>
    </row>
    <row r="341">
      <c r="F341" s="73"/>
      <c r="G341" s="73"/>
      <c r="H341" s="73"/>
      <c r="I341" s="73"/>
      <c r="R341" s="72"/>
      <c r="S341" s="72"/>
      <c r="T341" s="72"/>
      <c r="U341" s="72"/>
      <c r="V341" s="72"/>
      <c r="W341" s="72"/>
      <c r="X341" s="72"/>
      <c r="Y341" s="72"/>
      <c r="Z341" s="72"/>
    </row>
    <row r="342">
      <c r="F342" s="73"/>
      <c r="G342" s="73"/>
      <c r="H342" s="73"/>
      <c r="I342" s="73"/>
      <c r="R342" s="72"/>
      <c r="S342" s="72"/>
      <c r="T342" s="72"/>
      <c r="U342" s="72"/>
      <c r="V342" s="72"/>
      <c r="W342" s="72"/>
      <c r="X342" s="72"/>
      <c r="Y342" s="72"/>
      <c r="Z342" s="72"/>
    </row>
    <row r="343">
      <c r="F343" s="73"/>
      <c r="G343" s="73"/>
      <c r="H343" s="73"/>
      <c r="I343" s="73"/>
      <c r="R343" s="72"/>
      <c r="S343" s="72"/>
      <c r="T343" s="72"/>
      <c r="U343" s="72"/>
      <c r="V343" s="72"/>
      <c r="W343" s="72"/>
      <c r="X343" s="72"/>
      <c r="Y343" s="72"/>
      <c r="Z343" s="72"/>
    </row>
    <row r="344">
      <c r="F344" s="73"/>
      <c r="G344" s="73"/>
      <c r="H344" s="73"/>
      <c r="I344" s="73"/>
      <c r="R344" s="72"/>
      <c r="S344" s="72"/>
      <c r="T344" s="72"/>
      <c r="U344" s="72"/>
      <c r="V344" s="72"/>
      <c r="W344" s="72"/>
      <c r="X344" s="72"/>
      <c r="Y344" s="72"/>
      <c r="Z344" s="72"/>
    </row>
    <row r="345">
      <c r="F345" s="73"/>
      <c r="G345" s="73"/>
      <c r="H345" s="73"/>
      <c r="I345" s="73"/>
      <c r="R345" s="72"/>
      <c r="S345" s="72"/>
      <c r="T345" s="72"/>
      <c r="U345" s="72"/>
      <c r="V345" s="72"/>
      <c r="W345" s="72"/>
      <c r="X345" s="72"/>
      <c r="Y345" s="72"/>
      <c r="Z345" s="72"/>
    </row>
    <row r="346">
      <c r="F346" s="73"/>
      <c r="G346" s="73"/>
      <c r="H346" s="73"/>
      <c r="I346" s="73"/>
      <c r="R346" s="72"/>
      <c r="S346" s="72"/>
      <c r="T346" s="72"/>
      <c r="U346" s="72"/>
      <c r="V346" s="72"/>
      <c r="W346" s="72"/>
      <c r="X346" s="72"/>
      <c r="Y346" s="72"/>
      <c r="Z346" s="72"/>
    </row>
    <row r="347">
      <c r="F347" s="73"/>
      <c r="G347" s="73"/>
      <c r="H347" s="73"/>
      <c r="I347" s="73"/>
      <c r="R347" s="72"/>
      <c r="S347" s="72"/>
      <c r="T347" s="72"/>
      <c r="U347" s="72"/>
      <c r="V347" s="72"/>
      <c r="W347" s="72"/>
      <c r="X347" s="72"/>
      <c r="Y347" s="72"/>
      <c r="Z347" s="72"/>
    </row>
    <row r="348">
      <c r="F348" s="73"/>
      <c r="G348" s="73"/>
      <c r="H348" s="73"/>
      <c r="I348" s="73"/>
      <c r="R348" s="72"/>
      <c r="S348" s="72"/>
      <c r="T348" s="72"/>
      <c r="U348" s="72"/>
      <c r="V348" s="72"/>
      <c r="W348" s="72"/>
      <c r="X348" s="72"/>
      <c r="Y348" s="72"/>
      <c r="Z348" s="72"/>
    </row>
    <row r="349">
      <c r="F349" s="73"/>
      <c r="G349" s="73"/>
      <c r="H349" s="73"/>
      <c r="I349" s="73"/>
      <c r="R349" s="72"/>
      <c r="S349" s="72"/>
      <c r="T349" s="72"/>
      <c r="U349" s="72"/>
      <c r="V349" s="72"/>
      <c r="W349" s="72"/>
      <c r="X349" s="72"/>
      <c r="Y349" s="72"/>
      <c r="Z349" s="72"/>
    </row>
    <row r="350">
      <c r="F350" s="73"/>
      <c r="G350" s="73"/>
      <c r="H350" s="73"/>
      <c r="I350" s="73"/>
      <c r="R350" s="72"/>
      <c r="S350" s="72"/>
      <c r="T350" s="72"/>
      <c r="U350" s="72"/>
      <c r="V350" s="72"/>
      <c r="W350" s="72"/>
      <c r="X350" s="72"/>
      <c r="Y350" s="72"/>
      <c r="Z350" s="72"/>
    </row>
    <row r="351">
      <c r="F351" s="73"/>
      <c r="G351" s="73"/>
      <c r="H351" s="73"/>
      <c r="I351" s="73"/>
      <c r="R351" s="72"/>
      <c r="S351" s="72"/>
      <c r="T351" s="72"/>
      <c r="U351" s="72"/>
      <c r="V351" s="72"/>
      <c r="W351" s="72"/>
      <c r="X351" s="72"/>
      <c r="Y351" s="72"/>
      <c r="Z351" s="72"/>
    </row>
    <row r="352">
      <c r="F352" s="73"/>
      <c r="G352" s="73"/>
      <c r="H352" s="73"/>
      <c r="I352" s="73"/>
      <c r="R352" s="72"/>
      <c r="S352" s="72"/>
      <c r="T352" s="72"/>
      <c r="U352" s="72"/>
      <c r="V352" s="72"/>
      <c r="W352" s="72"/>
      <c r="X352" s="72"/>
      <c r="Y352" s="72"/>
      <c r="Z352" s="72"/>
    </row>
    <row r="353">
      <c r="F353" s="73"/>
      <c r="G353" s="73"/>
      <c r="H353" s="73"/>
      <c r="I353" s="73"/>
      <c r="R353" s="72"/>
      <c r="S353" s="72"/>
      <c r="T353" s="72"/>
      <c r="U353" s="72"/>
      <c r="V353" s="72"/>
      <c r="W353" s="72"/>
      <c r="X353" s="72"/>
      <c r="Y353" s="72"/>
      <c r="Z353" s="72"/>
    </row>
    <row r="354">
      <c r="F354" s="73"/>
      <c r="G354" s="73"/>
      <c r="H354" s="73"/>
      <c r="I354" s="73"/>
      <c r="R354" s="72"/>
      <c r="S354" s="72"/>
      <c r="T354" s="72"/>
      <c r="U354" s="72"/>
      <c r="V354" s="72"/>
      <c r="W354" s="72"/>
      <c r="X354" s="72"/>
      <c r="Y354" s="72"/>
      <c r="Z354" s="72"/>
    </row>
    <row r="355">
      <c r="F355" s="73"/>
      <c r="G355" s="73"/>
      <c r="H355" s="73"/>
      <c r="I355" s="73"/>
      <c r="R355" s="72"/>
      <c r="S355" s="72"/>
      <c r="T355" s="72"/>
      <c r="U355" s="72"/>
      <c r="V355" s="72"/>
      <c r="W355" s="72"/>
      <c r="X355" s="72"/>
      <c r="Y355" s="72"/>
      <c r="Z355" s="72"/>
    </row>
    <row r="356">
      <c r="F356" s="73"/>
      <c r="G356" s="73"/>
      <c r="H356" s="73"/>
      <c r="I356" s="73"/>
      <c r="R356" s="72"/>
      <c r="S356" s="72"/>
      <c r="T356" s="72"/>
      <c r="U356" s="72"/>
      <c r="V356" s="72"/>
      <c r="W356" s="72"/>
      <c r="X356" s="72"/>
      <c r="Y356" s="72"/>
      <c r="Z356" s="72"/>
    </row>
    <row r="357">
      <c r="F357" s="73"/>
      <c r="G357" s="73"/>
      <c r="H357" s="73"/>
      <c r="I357" s="73"/>
      <c r="R357" s="72"/>
      <c r="S357" s="72"/>
      <c r="T357" s="72"/>
      <c r="U357" s="72"/>
      <c r="V357" s="72"/>
      <c r="W357" s="72"/>
      <c r="X357" s="72"/>
      <c r="Y357" s="72"/>
      <c r="Z357" s="72"/>
    </row>
    <row r="358">
      <c r="F358" s="73"/>
      <c r="G358" s="73"/>
      <c r="H358" s="73"/>
      <c r="I358" s="73"/>
      <c r="R358" s="72"/>
      <c r="S358" s="72"/>
      <c r="T358" s="72"/>
      <c r="U358" s="72"/>
      <c r="V358" s="72"/>
      <c r="W358" s="72"/>
      <c r="X358" s="72"/>
      <c r="Y358" s="72"/>
      <c r="Z358" s="72"/>
    </row>
    <row r="359">
      <c r="F359" s="73"/>
      <c r="G359" s="73"/>
      <c r="H359" s="73"/>
      <c r="I359" s="73"/>
      <c r="R359" s="72"/>
      <c r="S359" s="72"/>
      <c r="T359" s="72"/>
      <c r="U359" s="72"/>
      <c r="V359" s="72"/>
      <c r="W359" s="72"/>
      <c r="X359" s="72"/>
      <c r="Y359" s="72"/>
      <c r="Z359" s="72"/>
    </row>
    <row r="360">
      <c r="F360" s="73"/>
      <c r="G360" s="73"/>
      <c r="H360" s="73"/>
      <c r="I360" s="73"/>
      <c r="R360" s="72"/>
      <c r="S360" s="72"/>
      <c r="T360" s="72"/>
      <c r="U360" s="72"/>
      <c r="V360" s="72"/>
      <c r="W360" s="72"/>
      <c r="X360" s="72"/>
      <c r="Y360" s="72"/>
      <c r="Z360" s="72"/>
    </row>
    <row r="361">
      <c r="F361" s="73"/>
      <c r="G361" s="73"/>
      <c r="H361" s="73"/>
      <c r="I361" s="73"/>
      <c r="R361" s="72"/>
      <c r="S361" s="72"/>
      <c r="T361" s="72"/>
      <c r="U361" s="72"/>
      <c r="V361" s="72"/>
      <c r="W361" s="72"/>
      <c r="X361" s="72"/>
      <c r="Y361" s="72"/>
      <c r="Z361" s="72"/>
    </row>
    <row r="362">
      <c r="F362" s="73"/>
      <c r="G362" s="73"/>
      <c r="H362" s="73"/>
      <c r="I362" s="73"/>
      <c r="R362" s="72"/>
      <c r="S362" s="72"/>
      <c r="T362" s="72"/>
      <c r="U362" s="72"/>
      <c r="V362" s="72"/>
      <c r="W362" s="72"/>
      <c r="X362" s="72"/>
      <c r="Y362" s="72"/>
      <c r="Z362" s="72"/>
    </row>
    <row r="363">
      <c r="F363" s="73"/>
      <c r="G363" s="73"/>
      <c r="H363" s="73"/>
      <c r="I363" s="73"/>
      <c r="R363" s="72"/>
      <c r="S363" s="72"/>
      <c r="T363" s="72"/>
      <c r="U363" s="72"/>
      <c r="V363" s="72"/>
      <c r="W363" s="72"/>
      <c r="X363" s="72"/>
      <c r="Y363" s="72"/>
      <c r="Z363" s="72"/>
    </row>
    <row r="364">
      <c r="F364" s="73"/>
      <c r="G364" s="73"/>
      <c r="H364" s="73"/>
      <c r="I364" s="73"/>
      <c r="R364" s="72"/>
      <c r="S364" s="72"/>
      <c r="T364" s="72"/>
      <c r="U364" s="72"/>
      <c r="V364" s="72"/>
      <c r="W364" s="72"/>
      <c r="X364" s="72"/>
      <c r="Y364" s="72"/>
      <c r="Z364" s="72"/>
    </row>
    <row r="365">
      <c r="F365" s="73"/>
      <c r="G365" s="73"/>
      <c r="H365" s="73"/>
      <c r="I365" s="73"/>
      <c r="R365" s="72"/>
      <c r="S365" s="72"/>
      <c r="T365" s="72"/>
      <c r="U365" s="72"/>
      <c r="V365" s="72"/>
      <c r="W365" s="72"/>
      <c r="X365" s="72"/>
      <c r="Y365" s="72"/>
      <c r="Z365" s="72"/>
    </row>
    <row r="366">
      <c r="F366" s="73"/>
      <c r="G366" s="73"/>
      <c r="H366" s="73"/>
      <c r="I366" s="73"/>
      <c r="R366" s="72"/>
      <c r="S366" s="72"/>
      <c r="T366" s="72"/>
      <c r="U366" s="72"/>
      <c r="V366" s="72"/>
      <c r="W366" s="72"/>
      <c r="X366" s="72"/>
      <c r="Y366" s="72"/>
      <c r="Z366" s="72"/>
    </row>
    <row r="367">
      <c r="F367" s="73"/>
      <c r="G367" s="73"/>
      <c r="H367" s="73"/>
      <c r="I367" s="73"/>
      <c r="R367" s="72"/>
      <c r="S367" s="72"/>
      <c r="T367" s="72"/>
      <c r="U367" s="72"/>
      <c r="V367" s="72"/>
      <c r="W367" s="72"/>
      <c r="X367" s="72"/>
      <c r="Y367" s="72"/>
      <c r="Z367" s="72"/>
    </row>
    <row r="368">
      <c r="F368" s="73"/>
      <c r="G368" s="73"/>
      <c r="H368" s="73"/>
      <c r="I368" s="73"/>
      <c r="R368" s="72"/>
      <c r="S368" s="72"/>
      <c r="T368" s="72"/>
      <c r="U368" s="72"/>
      <c r="V368" s="72"/>
      <c r="W368" s="72"/>
      <c r="X368" s="72"/>
      <c r="Y368" s="72"/>
      <c r="Z368" s="72"/>
    </row>
    <row r="369">
      <c r="F369" s="73"/>
      <c r="G369" s="73"/>
      <c r="H369" s="73"/>
      <c r="I369" s="73"/>
      <c r="R369" s="72"/>
      <c r="S369" s="72"/>
      <c r="T369" s="72"/>
      <c r="U369" s="72"/>
      <c r="V369" s="72"/>
      <c r="W369" s="72"/>
      <c r="X369" s="72"/>
      <c r="Y369" s="72"/>
      <c r="Z369" s="72"/>
    </row>
    <row r="370">
      <c r="F370" s="73"/>
      <c r="G370" s="73"/>
      <c r="H370" s="73"/>
      <c r="I370" s="73"/>
      <c r="R370" s="72"/>
      <c r="S370" s="72"/>
      <c r="T370" s="72"/>
      <c r="U370" s="72"/>
      <c r="V370" s="72"/>
      <c r="W370" s="72"/>
      <c r="X370" s="72"/>
      <c r="Y370" s="72"/>
      <c r="Z370" s="72"/>
    </row>
    <row r="371">
      <c r="F371" s="73"/>
      <c r="G371" s="73"/>
      <c r="H371" s="73"/>
      <c r="I371" s="73"/>
      <c r="R371" s="72"/>
      <c r="S371" s="72"/>
      <c r="T371" s="72"/>
      <c r="U371" s="72"/>
      <c r="V371" s="72"/>
      <c r="W371" s="72"/>
      <c r="X371" s="72"/>
      <c r="Y371" s="72"/>
      <c r="Z371" s="72"/>
    </row>
    <row r="372">
      <c r="F372" s="73"/>
      <c r="G372" s="73"/>
      <c r="H372" s="73"/>
      <c r="I372" s="73"/>
      <c r="R372" s="72"/>
      <c r="S372" s="72"/>
      <c r="T372" s="72"/>
      <c r="U372" s="72"/>
      <c r="V372" s="72"/>
      <c r="W372" s="72"/>
      <c r="X372" s="72"/>
      <c r="Y372" s="72"/>
      <c r="Z372" s="72"/>
    </row>
    <row r="373">
      <c r="F373" s="73"/>
      <c r="G373" s="73"/>
      <c r="H373" s="73"/>
      <c r="I373" s="73"/>
      <c r="R373" s="72"/>
      <c r="S373" s="72"/>
      <c r="T373" s="72"/>
      <c r="U373" s="72"/>
      <c r="V373" s="72"/>
      <c r="W373" s="72"/>
      <c r="X373" s="72"/>
      <c r="Y373" s="72"/>
      <c r="Z373" s="72"/>
    </row>
    <row r="374">
      <c r="F374" s="73"/>
      <c r="G374" s="73"/>
      <c r="H374" s="73"/>
      <c r="I374" s="73"/>
      <c r="R374" s="72"/>
      <c r="S374" s="72"/>
      <c r="T374" s="72"/>
      <c r="U374" s="72"/>
      <c r="V374" s="72"/>
      <c r="W374" s="72"/>
      <c r="X374" s="72"/>
      <c r="Y374" s="72"/>
      <c r="Z374" s="72"/>
    </row>
    <row r="375">
      <c r="F375" s="73"/>
      <c r="G375" s="73"/>
      <c r="H375" s="73"/>
      <c r="I375" s="73"/>
      <c r="R375" s="72"/>
      <c r="S375" s="72"/>
      <c r="T375" s="72"/>
      <c r="U375" s="72"/>
      <c r="V375" s="72"/>
      <c r="W375" s="72"/>
      <c r="X375" s="72"/>
      <c r="Y375" s="72"/>
      <c r="Z375" s="72"/>
    </row>
    <row r="376">
      <c r="F376" s="73"/>
      <c r="G376" s="73"/>
      <c r="H376" s="73"/>
      <c r="I376" s="73"/>
      <c r="R376" s="72"/>
      <c r="S376" s="72"/>
      <c r="T376" s="72"/>
      <c r="U376" s="72"/>
      <c r="V376" s="72"/>
      <c r="W376" s="72"/>
      <c r="X376" s="72"/>
      <c r="Y376" s="72"/>
      <c r="Z376" s="72"/>
    </row>
    <row r="377">
      <c r="F377" s="73"/>
      <c r="G377" s="73"/>
      <c r="H377" s="73"/>
      <c r="I377" s="73"/>
      <c r="R377" s="72"/>
      <c r="S377" s="72"/>
      <c r="T377" s="72"/>
      <c r="U377" s="72"/>
      <c r="V377" s="72"/>
      <c r="W377" s="72"/>
      <c r="X377" s="72"/>
      <c r="Y377" s="72"/>
      <c r="Z377" s="72"/>
    </row>
    <row r="378">
      <c r="F378" s="73"/>
      <c r="G378" s="73"/>
      <c r="H378" s="73"/>
      <c r="I378" s="73"/>
      <c r="R378" s="72"/>
      <c r="S378" s="72"/>
      <c r="T378" s="72"/>
      <c r="U378" s="72"/>
      <c r="V378" s="72"/>
      <c r="W378" s="72"/>
      <c r="X378" s="72"/>
      <c r="Y378" s="72"/>
      <c r="Z378" s="72"/>
    </row>
    <row r="379">
      <c r="F379" s="73"/>
      <c r="G379" s="73"/>
      <c r="H379" s="73"/>
      <c r="I379" s="73"/>
      <c r="R379" s="72"/>
      <c r="S379" s="72"/>
      <c r="T379" s="72"/>
      <c r="U379" s="72"/>
      <c r="V379" s="72"/>
      <c r="W379" s="72"/>
      <c r="X379" s="72"/>
      <c r="Y379" s="72"/>
      <c r="Z379" s="72"/>
    </row>
    <row r="380">
      <c r="F380" s="73"/>
      <c r="G380" s="73"/>
      <c r="H380" s="73"/>
      <c r="I380" s="73"/>
      <c r="R380" s="72"/>
      <c r="S380" s="72"/>
      <c r="T380" s="72"/>
      <c r="U380" s="72"/>
      <c r="V380" s="72"/>
      <c r="W380" s="72"/>
      <c r="X380" s="72"/>
      <c r="Y380" s="72"/>
      <c r="Z380" s="72"/>
    </row>
    <row r="381">
      <c r="F381" s="73"/>
      <c r="G381" s="73"/>
      <c r="H381" s="73"/>
      <c r="I381" s="73"/>
      <c r="R381" s="72"/>
      <c r="S381" s="72"/>
      <c r="T381" s="72"/>
      <c r="U381" s="72"/>
      <c r="V381" s="72"/>
      <c r="W381" s="72"/>
      <c r="X381" s="72"/>
      <c r="Y381" s="72"/>
      <c r="Z381" s="72"/>
    </row>
    <row r="382">
      <c r="F382" s="73"/>
      <c r="G382" s="73"/>
      <c r="H382" s="73"/>
      <c r="I382" s="73"/>
      <c r="R382" s="72"/>
      <c r="S382" s="72"/>
      <c r="T382" s="72"/>
      <c r="U382" s="72"/>
      <c r="V382" s="72"/>
      <c r="W382" s="72"/>
      <c r="X382" s="72"/>
      <c r="Y382" s="72"/>
      <c r="Z382" s="72"/>
    </row>
    <row r="383">
      <c r="F383" s="73"/>
      <c r="G383" s="73"/>
      <c r="H383" s="73"/>
      <c r="I383" s="73"/>
      <c r="R383" s="72"/>
      <c r="S383" s="72"/>
      <c r="T383" s="72"/>
      <c r="U383" s="72"/>
      <c r="V383" s="72"/>
      <c r="W383" s="72"/>
      <c r="X383" s="72"/>
      <c r="Y383" s="72"/>
      <c r="Z383" s="72"/>
    </row>
    <row r="384">
      <c r="F384" s="73"/>
      <c r="G384" s="73"/>
      <c r="H384" s="73"/>
      <c r="I384" s="73"/>
      <c r="R384" s="72"/>
      <c r="S384" s="72"/>
      <c r="T384" s="72"/>
      <c r="U384" s="72"/>
      <c r="V384" s="72"/>
      <c r="W384" s="72"/>
      <c r="X384" s="72"/>
      <c r="Y384" s="72"/>
      <c r="Z384" s="72"/>
    </row>
    <row r="385">
      <c r="F385" s="73"/>
      <c r="G385" s="73"/>
      <c r="H385" s="73"/>
      <c r="I385" s="73"/>
      <c r="R385" s="72"/>
      <c r="S385" s="72"/>
      <c r="T385" s="72"/>
      <c r="U385" s="72"/>
      <c r="V385" s="72"/>
      <c r="W385" s="72"/>
      <c r="X385" s="72"/>
      <c r="Y385" s="72"/>
      <c r="Z385" s="72"/>
    </row>
    <row r="386">
      <c r="F386" s="73"/>
      <c r="G386" s="73"/>
      <c r="H386" s="73"/>
      <c r="I386" s="73"/>
      <c r="R386" s="72"/>
      <c r="S386" s="72"/>
      <c r="T386" s="72"/>
      <c r="U386" s="72"/>
      <c r="V386" s="72"/>
      <c r="W386" s="72"/>
      <c r="X386" s="72"/>
      <c r="Y386" s="72"/>
      <c r="Z386" s="72"/>
    </row>
    <row r="387">
      <c r="F387" s="73"/>
      <c r="G387" s="73"/>
      <c r="H387" s="73"/>
      <c r="I387" s="73"/>
      <c r="R387" s="72"/>
      <c r="S387" s="72"/>
      <c r="T387" s="72"/>
      <c r="U387" s="72"/>
      <c r="V387" s="72"/>
      <c r="W387" s="72"/>
      <c r="X387" s="72"/>
      <c r="Y387" s="72"/>
      <c r="Z387" s="72"/>
    </row>
    <row r="388">
      <c r="F388" s="73"/>
      <c r="G388" s="73"/>
      <c r="H388" s="73"/>
      <c r="I388" s="73"/>
      <c r="R388" s="72"/>
      <c r="S388" s="72"/>
      <c r="T388" s="72"/>
      <c r="U388" s="72"/>
      <c r="V388" s="72"/>
      <c r="W388" s="72"/>
      <c r="X388" s="72"/>
      <c r="Y388" s="72"/>
      <c r="Z388" s="72"/>
    </row>
    <row r="389">
      <c r="F389" s="73"/>
      <c r="G389" s="73"/>
      <c r="H389" s="73"/>
      <c r="I389" s="73"/>
      <c r="R389" s="72"/>
      <c r="S389" s="72"/>
      <c r="T389" s="72"/>
      <c r="U389" s="72"/>
      <c r="V389" s="72"/>
      <c r="W389" s="72"/>
      <c r="X389" s="72"/>
      <c r="Y389" s="72"/>
      <c r="Z389" s="72"/>
    </row>
    <row r="390">
      <c r="F390" s="73"/>
      <c r="G390" s="73"/>
      <c r="H390" s="73"/>
      <c r="I390" s="73"/>
      <c r="R390" s="72"/>
      <c r="S390" s="72"/>
      <c r="T390" s="72"/>
      <c r="U390" s="72"/>
      <c r="V390" s="72"/>
      <c r="W390" s="72"/>
      <c r="X390" s="72"/>
      <c r="Y390" s="72"/>
      <c r="Z390" s="72"/>
    </row>
    <row r="391">
      <c r="F391" s="73"/>
      <c r="G391" s="73"/>
      <c r="H391" s="73"/>
      <c r="I391" s="73"/>
      <c r="R391" s="72"/>
      <c r="S391" s="72"/>
      <c r="T391" s="72"/>
      <c r="U391" s="72"/>
      <c r="V391" s="72"/>
      <c r="W391" s="72"/>
      <c r="X391" s="72"/>
      <c r="Y391" s="72"/>
      <c r="Z391" s="72"/>
    </row>
    <row r="392">
      <c r="F392" s="73"/>
      <c r="G392" s="73"/>
      <c r="H392" s="73"/>
      <c r="I392" s="73"/>
      <c r="R392" s="72"/>
      <c r="S392" s="72"/>
      <c r="T392" s="72"/>
      <c r="U392" s="72"/>
      <c r="V392" s="72"/>
      <c r="W392" s="72"/>
      <c r="X392" s="72"/>
      <c r="Y392" s="72"/>
      <c r="Z392" s="72"/>
    </row>
    <row r="393">
      <c r="F393" s="73"/>
      <c r="G393" s="73"/>
      <c r="H393" s="73"/>
      <c r="I393" s="73"/>
      <c r="R393" s="72"/>
      <c r="S393" s="72"/>
      <c r="T393" s="72"/>
      <c r="U393" s="72"/>
      <c r="V393" s="72"/>
      <c r="W393" s="72"/>
      <c r="X393" s="72"/>
      <c r="Y393" s="72"/>
      <c r="Z393" s="72"/>
    </row>
    <row r="394">
      <c r="F394" s="73"/>
      <c r="G394" s="73"/>
      <c r="H394" s="73"/>
      <c r="I394" s="73"/>
      <c r="R394" s="72"/>
      <c r="S394" s="72"/>
      <c r="T394" s="72"/>
      <c r="U394" s="72"/>
      <c r="V394" s="72"/>
      <c r="W394" s="72"/>
      <c r="X394" s="72"/>
      <c r="Y394" s="72"/>
      <c r="Z394" s="72"/>
    </row>
    <row r="395">
      <c r="F395" s="73"/>
      <c r="G395" s="73"/>
      <c r="H395" s="73"/>
      <c r="I395" s="73"/>
      <c r="R395" s="72"/>
      <c r="S395" s="72"/>
      <c r="T395" s="72"/>
      <c r="U395" s="72"/>
      <c r="V395" s="72"/>
      <c r="W395" s="72"/>
      <c r="X395" s="72"/>
      <c r="Y395" s="72"/>
      <c r="Z395" s="72"/>
    </row>
    <row r="396">
      <c r="F396" s="73"/>
      <c r="G396" s="73"/>
      <c r="H396" s="73"/>
      <c r="I396" s="73"/>
      <c r="R396" s="72"/>
      <c r="S396" s="72"/>
      <c r="T396" s="72"/>
      <c r="U396" s="72"/>
      <c r="V396" s="72"/>
      <c r="W396" s="72"/>
      <c r="X396" s="72"/>
      <c r="Y396" s="72"/>
      <c r="Z396" s="72"/>
    </row>
    <row r="397">
      <c r="F397" s="73"/>
      <c r="G397" s="73"/>
      <c r="H397" s="73"/>
      <c r="I397" s="73"/>
      <c r="R397" s="72"/>
      <c r="S397" s="72"/>
      <c r="T397" s="72"/>
      <c r="U397" s="72"/>
      <c r="V397" s="72"/>
      <c r="W397" s="72"/>
      <c r="X397" s="72"/>
      <c r="Y397" s="72"/>
      <c r="Z397" s="72"/>
    </row>
    <row r="398">
      <c r="F398" s="73"/>
      <c r="G398" s="73"/>
      <c r="H398" s="73"/>
      <c r="I398" s="73"/>
      <c r="R398" s="72"/>
      <c r="S398" s="72"/>
      <c r="T398" s="72"/>
      <c r="U398" s="72"/>
      <c r="V398" s="72"/>
      <c r="W398" s="72"/>
      <c r="X398" s="72"/>
      <c r="Y398" s="72"/>
      <c r="Z398" s="72"/>
    </row>
    <row r="399">
      <c r="F399" s="73"/>
      <c r="G399" s="73"/>
      <c r="H399" s="73"/>
      <c r="I399" s="73"/>
      <c r="R399" s="72"/>
      <c r="S399" s="72"/>
      <c r="T399" s="72"/>
      <c r="U399" s="72"/>
      <c r="V399" s="72"/>
      <c r="W399" s="72"/>
      <c r="X399" s="72"/>
      <c r="Y399" s="72"/>
      <c r="Z399" s="72"/>
    </row>
    <row r="400">
      <c r="F400" s="73"/>
      <c r="G400" s="73"/>
      <c r="H400" s="73"/>
      <c r="I400" s="73"/>
      <c r="R400" s="72"/>
      <c r="S400" s="72"/>
      <c r="T400" s="72"/>
      <c r="U400" s="72"/>
      <c r="V400" s="72"/>
      <c r="W400" s="72"/>
      <c r="X400" s="72"/>
      <c r="Y400" s="72"/>
      <c r="Z400" s="72"/>
    </row>
    <row r="401">
      <c r="F401" s="73"/>
      <c r="G401" s="73"/>
      <c r="H401" s="73"/>
      <c r="I401" s="73"/>
      <c r="R401" s="72"/>
      <c r="S401" s="72"/>
      <c r="T401" s="72"/>
      <c r="U401" s="72"/>
      <c r="V401" s="72"/>
      <c r="W401" s="72"/>
      <c r="X401" s="72"/>
      <c r="Y401" s="72"/>
      <c r="Z401" s="72"/>
    </row>
    <row r="402">
      <c r="F402" s="73"/>
      <c r="G402" s="73"/>
      <c r="H402" s="73"/>
      <c r="I402" s="73"/>
      <c r="R402" s="72"/>
      <c r="S402" s="72"/>
      <c r="T402" s="72"/>
      <c r="U402" s="72"/>
      <c r="V402" s="72"/>
      <c r="W402" s="72"/>
      <c r="X402" s="72"/>
      <c r="Y402" s="72"/>
      <c r="Z402" s="72"/>
    </row>
    <row r="403">
      <c r="F403" s="73"/>
      <c r="G403" s="73"/>
      <c r="H403" s="73"/>
      <c r="I403" s="73"/>
      <c r="R403" s="72"/>
      <c r="S403" s="72"/>
      <c r="T403" s="72"/>
      <c r="U403" s="72"/>
      <c r="V403" s="72"/>
      <c r="W403" s="72"/>
      <c r="X403" s="72"/>
      <c r="Y403" s="72"/>
      <c r="Z403" s="72"/>
    </row>
    <row r="404">
      <c r="F404" s="73"/>
      <c r="G404" s="73"/>
      <c r="H404" s="73"/>
      <c r="I404" s="73"/>
      <c r="R404" s="72"/>
      <c r="S404" s="72"/>
      <c r="T404" s="72"/>
      <c r="U404" s="72"/>
      <c r="V404" s="72"/>
      <c r="W404" s="72"/>
      <c r="X404" s="72"/>
      <c r="Y404" s="72"/>
      <c r="Z404" s="72"/>
    </row>
    <row r="405">
      <c r="F405" s="73"/>
      <c r="G405" s="73"/>
      <c r="H405" s="73"/>
      <c r="I405" s="73"/>
      <c r="R405" s="72"/>
      <c r="S405" s="72"/>
      <c r="T405" s="72"/>
      <c r="U405" s="72"/>
      <c r="V405" s="72"/>
      <c r="W405" s="72"/>
      <c r="X405" s="72"/>
      <c r="Y405" s="72"/>
      <c r="Z405" s="72"/>
    </row>
    <row r="406">
      <c r="F406" s="73"/>
      <c r="G406" s="73"/>
      <c r="H406" s="73"/>
      <c r="I406" s="73"/>
      <c r="R406" s="72"/>
      <c r="S406" s="72"/>
      <c r="T406" s="72"/>
      <c r="U406" s="72"/>
      <c r="V406" s="72"/>
      <c r="W406" s="72"/>
      <c r="X406" s="72"/>
      <c r="Y406" s="72"/>
      <c r="Z406" s="72"/>
    </row>
    <row r="407">
      <c r="F407" s="73"/>
      <c r="G407" s="73"/>
      <c r="H407" s="73"/>
      <c r="I407" s="73"/>
      <c r="R407" s="72"/>
      <c r="S407" s="72"/>
      <c r="T407" s="72"/>
      <c r="U407" s="72"/>
      <c r="V407" s="72"/>
      <c r="W407" s="72"/>
      <c r="X407" s="72"/>
      <c r="Y407" s="72"/>
      <c r="Z407" s="72"/>
    </row>
    <row r="408">
      <c r="F408" s="73"/>
      <c r="G408" s="73"/>
      <c r="H408" s="73"/>
      <c r="I408" s="73"/>
      <c r="R408" s="72"/>
      <c r="S408" s="72"/>
      <c r="T408" s="72"/>
      <c r="U408" s="72"/>
      <c r="V408" s="72"/>
      <c r="W408" s="72"/>
      <c r="X408" s="72"/>
      <c r="Y408" s="72"/>
      <c r="Z408" s="72"/>
    </row>
    <row r="409">
      <c r="F409" s="73"/>
      <c r="G409" s="73"/>
      <c r="H409" s="73"/>
      <c r="I409" s="73"/>
      <c r="R409" s="72"/>
      <c r="S409" s="72"/>
      <c r="T409" s="72"/>
      <c r="U409" s="72"/>
      <c r="V409" s="72"/>
      <c r="W409" s="72"/>
      <c r="X409" s="72"/>
      <c r="Y409" s="72"/>
      <c r="Z409" s="72"/>
    </row>
    <row r="410">
      <c r="F410" s="73"/>
      <c r="G410" s="73"/>
      <c r="H410" s="73"/>
      <c r="I410" s="73"/>
      <c r="R410" s="72"/>
      <c r="S410" s="72"/>
      <c r="T410" s="72"/>
      <c r="U410" s="72"/>
      <c r="V410" s="72"/>
      <c r="W410" s="72"/>
      <c r="X410" s="72"/>
      <c r="Y410" s="72"/>
      <c r="Z410" s="72"/>
    </row>
    <row r="411">
      <c r="F411" s="73"/>
      <c r="G411" s="73"/>
      <c r="H411" s="73"/>
      <c r="I411" s="73"/>
      <c r="R411" s="72"/>
      <c r="S411" s="72"/>
      <c r="T411" s="72"/>
      <c r="U411" s="72"/>
      <c r="V411" s="72"/>
      <c r="W411" s="72"/>
      <c r="X411" s="72"/>
      <c r="Y411" s="72"/>
      <c r="Z411" s="72"/>
    </row>
    <row r="412">
      <c r="F412" s="73"/>
      <c r="G412" s="73"/>
      <c r="H412" s="73"/>
      <c r="I412" s="73"/>
      <c r="R412" s="72"/>
      <c r="S412" s="72"/>
      <c r="T412" s="72"/>
      <c r="U412" s="72"/>
      <c r="V412" s="72"/>
      <c r="W412" s="72"/>
      <c r="X412" s="72"/>
      <c r="Y412" s="72"/>
      <c r="Z412" s="72"/>
    </row>
    <row r="413">
      <c r="F413" s="73"/>
      <c r="G413" s="73"/>
      <c r="H413" s="73"/>
      <c r="I413" s="73"/>
      <c r="R413" s="72"/>
      <c r="S413" s="72"/>
      <c r="T413" s="72"/>
      <c r="U413" s="72"/>
      <c r="V413" s="72"/>
      <c r="W413" s="72"/>
      <c r="X413" s="72"/>
      <c r="Y413" s="72"/>
      <c r="Z413" s="72"/>
    </row>
    <row r="414">
      <c r="F414" s="73"/>
      <c r="G414" s="73"/>
      <c r="H414" s="73"/>
      <c r="I414" s="73"/>
      <c r="R414" s="72"/>
      <c r="S414" s="72"/>
      <c r="T414" s="72"/>
      <c r="U414" s="72"/>
      <c r="V414" s="72"/>
      <c r="W414" s="72"/>
      <c r="X414" s="72"/>
      <c r="Y414" s="72"/>
      <c r="Z414" s="72"/>
    </row>
    <row r="415">
      <c r="F415" s="73"/>
      <c r="G415" s="73"/>
      <c r="H415" s="73"/>
      <c r="I415" s="73"/>
      <c r="R415" s="72"/>
      <c r="S415" s="72"/>
      <c r="T415" s="72"/>
      <c r="U415" s="72"/>
      <c r="V415" s="72"/>
      <c r="W415" s="72"/>
      <c r="X415" s="72"/>
      <c r="Y415" s="72"/>
      <c r="Z415" s="72"/>
    </row>
    <row r="416">
      <c r="F416" s="73"/>
      <c r="G416" s="73"/>
      <c r="H416" s="73"/>
      <c r="I416" s="73"/>
      <c r="R416" s="72"/>
      <c r="S416" s="72"/>
      <c r="T416" s="72"/>
      <c r="U416" s="72"/>
      <c r="V416" s="72"/>
      <c r="W416" s="72"/>
      <c r="X416" s="72"/>
      <c r="Y416" s="72"/>
      <c r="Z416" s="72"/>
    </row>
    <row r="417">
      <c r="F417" s="73"/>
      <c r="G417" s="73"/>
      <c r="H417" s="73"/>
      <c r="I417" s="73"/>
      <c r="R417" s="72"/>
      <c r="S417" s="72"/>
      <c r="T417" s="72"/>
      <c r="U417" s="72"/>
      <c r="V417" s="72"/>
      <c r="W417" s="72"/>
      <c r="X417" s="72"/>
      <c r="Y417" s="72"/>
      <c r="Z417" s="72"/>
    </row>
    <row r="418">
      <c r="F418" s="73"/>
      <c r="G418" s="73"/>
      <c r="H418" s="73"/>
      <c r="I418" s="73"/>
      <c r="R418" s="72"/>
      <c r="S418" s="72"/>
      <c r="T418" s="72"/>
      <c r="U418" s="72"/>
      <c r="V418" s="72"/>
      <c r="W418" s="72"/>
      <c r="X418" s="72"/>
      <c r="Y418" s="72"/>
      <c r="Z418" s="72"/>
    </row>
    <row r="419">
      <c r="F419" s="73"/>
      <c r="G419" s="73"/>
      <c r="H419" s="73"/>
      <c r="I419" s="73"/>
      <c r="R419" s="72"/>
      <c r="S419" s="72"/>
      <c r="T419" s="72"/>
      <c r="U419" s="72"/>
      <c r="V419" s="72"/>
      <c r="W419" s="72"/>
      <c r="X419" s="72"/>
      <c r="Y419" s="72"/>
      <c r="Z419" s="72"/>
    </row>
    <row r="420">
      <c r="F420" s="73"/>
      <c r="G420" s="73"/>
      <c r="H420" s="73"/>
      <c r="I420" s="73"/>
      <c r="R420" s="72"/>
      <c r="S420" s="72"/>
      <c r="T420" s="72"/>
      <c r="U420" s="72"/>
      <c r="V420" s="72"/>
      <c r="W420" s="72"/>
      <c r="X420" s="72"/>
      <c r="Y420" s="72"/>
      <c r="Z420" s="72"/>
    </row>
    <row r="421">
      <c r="F421" s="73"/>
      <c r="G421" s="73"/>
      <c r="H421" s="73"/>
      <c r="I421" s="73"/>
      <c r="R421" s="72"/>
      <c r="S421" s="72"/>
      <c r="T421" s="72"/>
      <c r="U421" s="72"/>
      <c r="V421" s="72"/>
      <c r="W421" s="72"/>
      <c r="X421" s="72"/>
      <c r="Y421" s="72"/>
      <c r="Z421" s="72"/>
    </row>
    <row r="422">
      <c r="F422" s="73"/>
      <c r="G422" s="73"/>
      <c r="H422" s="73"/>
      <c r="I422" s="73"/>
      <c r="R422" s="72"/>
      <c r="S422" s="72"/>
      <c r="T422" s="72"/>
      <c r="U422" s="72"/>
      <c r="V422" s="72"/>
      <c r="W422" s="72"/>
      <c r="X422" s="72"/>
      <c r="Y422" s="72"/>
      <c r="Z422" s="72"/>
    </row>
    <row r="423">
      <c r="F423" s="73"/>
      <c r="G423" s="73"/>
      <c r="H423" s="73"/>
      <c r="I423" s="73"/>
      <c r="R423" s="72"/>
      <c r="S423" s="72"/>
      <c r="T423" s="72"/>
      <c r="U423" s="72"/>
      <c r="V423" s="72"/>
      <c r="W423" s="72"/>
      <c r="X423" s="72"/>
      <c r="Y423" s="72"/>
      <c r="Z423" s="72"/>
    </row>
    <row r="424">
      <c r="F424" s="73"/>
      <c r="G424" s="73"/>
      <c r="H424" s="73"/>
      <c r="I424" s="73"/>
      <c r="R424" s="72"/>
      <c r="S424" s="72"/>
      <c r="T424" s="72"/>
      <c r="U424" s="72"/>
      <c r="V424" s="72"/>
      <c r="W424" s="72"/>
      <c r="X424" s="72"/>
      <c r="Y424" s="72"/>
      <c r="Z424" s="72"/>
    </row>
    <row r="425">
      <c r="F425" s="73"/>
      <c r="G425" s="73"/>
      <c r="H425" s="73"/>
      <c r="I425" s="73"/>
      <c r="R425" s="72"/>
      <c r="S425" s="72"/>
      <c r="T425" s="72"/>
      <c r="U425" s="72"/>
      <c r="V425" s="72"/>
      <c r="W425" s="72"/>
      <c r="X425" s="72"/>
      <c r="Y425" s="72"/>
      <c r="Z425" s="72"/>
    </row>
    <row r="426">
      <c r="F426" s="73"/>
      <c r="G426" s="73"/>
      <c r="H426" s="73"/>
      <c r="I426" s="73"/>
      <c r="R426" s="72"/>
      <c r="S426" s="72"/>
      <c r="T426" s="72"/>
      <c r="U426" s="72"/>
      <c r="V426" s="72"/>
      <c r="W426" s="72"/>
      <c r="X426" s="72"/>
      <c r="Y426" s="72"/>
      <c r="Z426" s="72"/>
    </row>
    <row r="427">
      <c r="F427" s="73"/>
      <c r="G427" s="73"/>
      <c r="H427" s="73"/>
      <c r="I427" s="73"/>
      <c r="R427" s="72"/>
      <c r="S427" s="72"/>
      <c r="T427" s="72"/>
      <c r="U427" s="72"/>
      <c r="V427" s="72"/>
      <c r="W427" s="72"/>
      <c r="X427" s="72"/>
      <c r="Y427" s="72"/>
      <c r="Z427" s="72"/>
    </row>
    <row r="428">
      <c r="F428" s="73"/>
      <c r="G428" s="73"/>
      <c r="H428" s="73"/>
      <c r="I428" s="73"/>
      <c r="R428" s="72"/>
      <c r="S428" s="72"/>
      <c r="T428" s="72"/>
      <c r="U428" s="72"/>
      <c r="V428" s="72"/>
      <c r="W428" s="72"/>
      <c r="X428" s="72"/>
      <c r="Y428" s="72"/>
      <c r="Z428" s="72"/>
    </row>
    <row r="429">
      <c r="F429" s="73"/>
      <c r="G429" s="73"/>
      <c r="H429" s="73"/>
      <c r="I429" s="73"/>
      <c r="R429" s="72"/>
      <c r="S429" s="72"/>
      <c r="T429" s="72"/>
      <c r="U429" s="72"/>
      <c r="V429" s="72"/>
      <c r="W429" s="72"/>
      <c r="X429" s="72"/>
      <c r="Y429" s="72"/>
      <c r="Z429" s="72"/>
    </row>
    <row r="430">
      <c r="F430" s="73"/>
      <c r="G430" s="73"/>
      <c r="H430" s="73"/>
      <c r="I430" s="73"/>
      <c r="R430" s="72"/>
      <c r="S430" s="72"/>
      <c r="T430" s="72"/>
      <c r="U430" s="72"/>
      <c r="V430" s="72"/>
      <c r="W430" s="72"/>
      <c r="X430" s="72"/>
      <c r="Y430" s="72"/>
      <c r="Z430" s="72"/>
    </row>
    <row r="431">
      <c r="F431" s="73"/>
      <c r="G431" s="73"/>
      <c r="H431" s="73"/>
      <c r="I431" s="73"/>
      <c r="R431" s="72"/>
      <c r="S431" s="72"/>
      <c r="T431" s="72"/>
      <c r="U431" s="72"/>
      <c r="V431" s="72"/>
      <c r="W431" s="72"/>
      <c r="X431" s="72"/>
      <c r="Y431" s="72"/>
      <c r="Z431" s="72"/>
    </row>
    <row r="432">
      <c r="F432" s="73"/>
      <c r="G432" s="73"/>
      <c r="H432" s="73"/>
      <c r="I432" s="73"/>
      <c r="R432" s="72"/>
      <c r="S432" s="72"/>
      <c r="T432" s="72"/>
      <c r="U432" s="72"/>
      <c r="V432" s="72"/>
      <c r="W432" s="72"/>
      <c r="X432" s="72"/>
      <c r="Y432" s="72"/>
      <c r="Z432" s="72"/>
    </row>
    <row r="433">
      <c r="F433" s="73"/>
      <c r="G433" s="73"/>
      <c r="H433" s="73"/>
      <c r="I433" s="73"/>
      <c r="R433" s="72"/>
      <c r="S433" s="72"/>
      <c r="T433" s="72"/>
      <c r="U433" s="72"/>
      <c r="V433" s="72"/>
      <c r="W433" s="72"/>
      <c r="X433" s="72"/>
      <c r="Y433" s="72"/>
      <c r="Z433" s="72"/>
    </row>
    <row r="434">
      <c r="F434" s="73"/>
      <c r="G434" s="73"/>
      <c r="H434" s="73"/>
      <c r="I434" s="73"/>
      <c r="R434" s="72"/>
      <c r="S434" s="72"/>
      <c r="T434" s="72"/>
      <c r="U434" s="72"/>
      <c r="V434" s="72"/>
      <c r="W434" s="72"/>
      <c r="X434" s="72"/>
      <c r="Y434" s="72"/>
      <c r="Z434" s="72"/>
    </row>
    <row r="435">
      <c r="F435" s="73"/>
      <c r="G435" s="73"/>
      <c r="H435" s="73"/>
      <c r="I435" s="73"/>
      <c r="R435" s="72"/>
      <c r="S435" s="72"/>
      <c r="T435" s="72"/>
      <c r="U435" s="72"/>
      <c r="V435" s="72"/>
      <c r="W435" s="72"/>
      <c r="X435" s="72"/>
      <c r="Y435" s="72"/>
      <c r="Z435" s="72"/>
    </row>
    <row r="436">
      <c r="F436" s="73"/>
      <c r="G436" s="73"/>
      <c r="H436" s="73"/>
      <c r="I436" s="73"/>
      <c r="R436" s="72"/>
      <c r="S436" s="72"/>
      <c r="T436" s="72"/>
      <c r="U436" s="72"/>
      <c r="V436" s="72"/>
      <c r="W436" s="72"/>
      <c r="X436" s="72"/>
      <c r="Y436" s="72"/>
      <c r="Z436" s="72"/>
    </row>
    <row r="437">
      <c r="F437" s="73"/>
      <c r="G437" s="73"/>
      <c r="H437" s="73"/>
      <c r="I437" s="73"/>
      <c r="R437" s="72"/>
      <c r="S437" s="72"/>
      <c r="T437" s="72"/>
      <c r="U437" s="72"/>
      <c r="V437" s="72"/>
      <c r="W437" s="72"/>
      <c r="X437" s="72"/>
      <c r="Y437" s="72"/>
      <c r="Z437" s="72"/>
    </row>
    <row r="438">
      <c r="F438" s="73"/>
      <c r="G438" s="73"/>
      <c r="H438" s="73"/>
      <c r="I438" s="73"/>
      <c r="R438" s="72"/>
      <c r="S438" s="72"/>
      <c r="T438" s="72"/>
      <c r="U438" s="72"/>
      <c r="V438" s="72"/>
      <c r="W438" s="72"/>
      <c r="X438" s="72"/>
      <c r="Y438" s="72"/>
      <c r="Z438" s="72"/>
    </row>
    <row r="439">
      <c r="F439" s="73"/>
      <c r="G439" s="73"/>
      <c r="H439" s="73"/>
      <c r="I439" s="73"/>
      <c r="R439" s="72"/>
      <c r="S439" s="72"/>
      <c r="T439" s="72"/>
      <c r="U439" s="72"/>
      <c r="V439" s="72"/>
      <c r="W439" s="72"/>
      <c r="X439" s="72"/>
      <c r="Y439" s="72"/>
      <c r="Z439" s="72"/>
    </row>
    <row r="440">
      <c r="F440" s="73"/>
      <c r="G440" s="73"/>
      <c r="H440" s="73"/>
      <c r="I440" s="73"/>
      <c r="R440" s="72"/>
      <c r="S440" s="72"/>
      <c r="T440" s="72"/>
      <c r="U440" s="72"/>
      <c r="V440" s="72"/>
      <c r="W440" s="72"/>
      <c r="X440" s="72"/>
      <c r="Y440" s="72"/>
      <c r="Z440" s="72"/>
    </row>
    <row r="441">
      <c r="F441" s="73"/>
      <c r="G441" s="73"/>
      <c r="H441" s="73"/>
      <c r="I441" s="73"/>
      <c r="R441" s="72"/>
      <c r="S441" s="72"/>
      <c r="T441" s="72"/>
      <c r="U441" s="72"/>
      <c r="V441" s="72"/>
      <c r="W441" s="72"/>
      <c r="X441" s="72"/>
      <c r="Y441" s="72"/>
      <c r="Z441" s="72"/>
    </row>
    <row r="442">
      <c r="F442" s="73"/>
      <c r="G442" s="73"/>
      <c r="H442" s="73"/>
      <c r="I442" s="73"/>
      <c r="R442" s="72"/>
      <c r="S442" s="72"/>
      <c r="T442" s="72"/>
      <c r="U442" s="72"/>
      <c r="V442" s="72"/>
      <c r="W442" s="72"/>
      <c r="X442" s="72"/>
      <c r="Y442" s="72"/>
      <c r="Z442" s="72"/>
    </row>
    <row r="443">
      <c r="F443" s="73"/>
      <c r="G443" s="73"/>
      <c r="H443" s="73"/>
      <c r="I443" s="73"/>
      <c r="R443" s="72"/>
      <c r="S443" s="72"/>
      <c r="T443" s="72"/>
      <c r="U443" s="72"/>
      <c r="V443" s="72"/>
      <c r="W443" s="72"/>
      <c r="X443" s="72"/>
      <c r="Y443" s="72"/>
      <c r="Z443" s="72"/>
    </row>
    <row r="444">
      <c r="F444" s="73"/>
      <c r="G444" s="73"/>
      <c r="H444" s="73"/>
      <c r="I444" s="73"/>
      <c r="R444" s="72"/>
      <c r="S444" s="72"/>
      <c r="T444" s="72"/>
      <c r="U444" s="72"/>
      <c r="V444" s="72"/>
      <c r="W444" s="72"/>
      <c r="X444" s="72"/>
      <c r="Y444" s="72"/>
      <c r="Z444" s="72"/>
    </row>
    <row r="445">
      <c r="F445" s="73"/>
      <c r="G445" s="73"/>
      <c r="H445" s="73"/>
      <c r="I445" s="73"/>
      <c r="R445" s="72"/>
      <c r="S445" s="72"/>
      <c r="T445" s="72"/>
      <c r="U445" s="72"/>
      <c r="V445" s="72"/>
      <c r="W445" s="72"/>
      <c r="X445" s="72"/>
      <c r="Y445" s="72"/>
      <c r="Z445" s="72"/>
    </row>
    <row r="446">
      <c r="F446" s="73"/>
      <c r="G446" s="73"/>
      <c r="H446" s="73"/>
      <c r="I446" s="73"/>
      <c r="R446" s="72"/>
      <c r="S446" s="72"/>
      <c r="T446" s="72"/>
      <c r="U446" s="72"/>
      <c r="V446" s="72"/>
      <c r="W446" s="72"/>
      <c r="X446" s="72"/>
      <c r="Y446" s="72"/>
      <c r="Z446" s="72"/>
    </row>
    <row r="447">
      <c r="F447" s="73"/>
      <c r="G447" s="73"/>
      <c r="H447" s="73"/>
      <c r="I447" s="73"/>
      <c r="R447" s="72"/>
      <c r="S447" s="72"/>
      <c r="T447" s="72"/>
      <c r="U447" s="72"/>
      <c r="V447" s="72"/>
      <c r="W447" s="72"/>
      <c r="X447" s="72"/>
      <c r="Y447" s="72"/>
      <c r="Z447" s="72"/>
    </row>
    <row r="448">
      <c r="F448" s="73"/>
      <c r="G448" s="73"/>
      <c r="H448" s="73"/>
      <c r="I448" s="73"/>
      <c r="R448" s="72"/>
      <c r="S448" s="72"/>
      <c r="T448" s="72"/>
      <c r="U448" s="72"/>
      <c r="V448" s="72"/>
      <c r="W448" s="72"/>
      <c r="X448" s="72"/>
      <c r="Y448" s="72"/>
      <c r="Z448" s="72"/>
    </row>
    <row r="449">
      <c r="F449" s="73"/>
      <c r="G449" s="73"/>
      <c r="H449" s="73"/>
      <c r="I449" s="73"/>
      <c r="R449" s="72"/>
      <c r="S449" s="72"/>
      <c r="T449" s="72"/>
      <c r="U449" s="72"/>
      <c r="V449" s="72"/>
      <c r="W449" s="72"/>
      <c r="X449" s="72"/>
      <c r="Y449" s="72"/>
      <c r="Z449" s="72"/>
    </row>
    <row r="450">
      <c r="F450" s="73"/>
      <c r="G450" s="73"/>
      <c r="H450" s="73"/>
      <c r="I450" s="73"/>
      <c r="R450" s="72"/>
      <c r="S450" s="72"/>
      <c r="T450" s="72"/>
      <c r="U450" s="72"/>
      <c r="V450" s="72"/>
      <c r="W450" s="72"/>
      <c r="X450" s="72"/>
      <c r="Y450" s="72"/>
      <c r="Z450" s="72"/>
    </row>
    <row r="451">
      <c r="F451" s="73"/>
      <c r="G451" s="73"/>
      <c r="H451" s="73"/>
      <c r="I451" s="73"/>
      <c r="R451" s="72"/>
      <c r="S451" s="72"/>
      <c r="T451" s="72"/>
      <c r="U451" s="72"/>
      <c r="V451" s="72"/>
      <c r="W451" s="72"/>
      <c r="X451" s="72"/>
      <c r="Y451" s="72"/>
      <c r="Z451" s="72"/>
    </row>
    <row r="452">
      <c r="F452" s="73"/>
      <c r="G452" s="73"/>
      <c r="H452" s="73"/>
      <c r="I452" s="73"/>
      <c r="R452" s="72"/>
      <c r="S452" s="72"/>
      <c r="T452" s="72"/>
      <c r="U452" s="72"/>
      <c r="V452" s="72"/>
      <c r="W452" s="72"/>
      <c r="X452" s="72"/>
      <c r="Y452" s="72"/>
      <c r="Z452" s="72"/>
    </row>
    <row r="453">
      <c r="F453" s="73"/>
      <c r="G453" s="73"/>
      <c r="H453" s="73"/>
      <c r="I453" s="73"/>
      <c r="R453" s="72"/>
      <c r="S453" s="72"/>
      <c r="T453" s="72"/>
      <c r="U453" s="72"/>
      <c r="V453" s="72"/>
      <c r="W453" s="72"/>
      <c r="X453" s="72"/>
      <c r="Y453" s="72"/>
      <c r="Z453" s="72"/>
    </row>
    <row r="454">
      <c r="F454" s="73"/>
      <c r="G454" s="73"/>
      <c r="H454" s="73"/>
      <c r="I454" s="73"/>
      <c r="R454" s="72"/>
      <c r="S454" s="72"/>
      <c r="T454" s="72"/>
      <c r="U454" s="72"/>
      <c r="V454" s="72"/>
      <c r="W454" s="72"/>
      <c r="X454" s="72"/>
      <c r="Y454" s="72"/>
      <c r="Z454" s="72"/>
    </row>
    <row r="455">
      <c r="F455" s="73"/>
      <c r="G455" s="73"/>
      <c r="H455" s="73"/>
      <c r="I455" s="73"/>
      <c r="R455" s="72"/>
      <c r="S455" s="72"/>
      <c r="T455" s="72"/>
      <c r="U455" s="72"/>
      <c r="V455" s="72"/>
      <c r="W455" s="72"/>
      <c r="X455" s="72"/>
      <c r="Y455" s="72"/>
      <c r="Z455" s="72"/>
    </row>
    <row r="456">
      <c r="F456" s="73"/>
      <c r="G456" s="73"/>
      <c r="H456" s="73"/>
      <c r="I456" s="73"/>
      <c r="R456" s="72"/>
      <c r="S456" s="72"/>
      <c r="T456" s="72"/>
      <c r="U456" s="72"/>
      <c r="V456" s="72"/>
      <c r="W456" s="72"/>
      <c r="X456" s="72"/>
      <c r="Y456" s="72"/>
      <c r="Z456" s="72"/>
    </row>
    <row r="457">
      <c r="F457" s="73"/>
      <c r="G457" s="73"/>
      <c r="H457" s="73"/>
      <c r="I457" s="73"/>
      <c r="R457" s="72"/>
      <c r="S457" s="72"/>
      <c r="T457" s="72"/>
      <c r="U457" s="72"/>
      <c r="V457" s="72"/>
      <c r="W457" s="72"/>
      <c r="X457" s="72"/>
      <c r="Y457" s="72"/>
      <c r="Z457" s="72"/>
    </row>
    <row r="458">
      <c r="F458" s="73"/>
      <c r="G458" s="73"/>
      <c r="H458" s="73"/>
      <c r="I458" s="73"/>
      <c r="R458" s="72"/>
      <c r="S458" s="72"/>
      <c r="T458" s="72"/>
      <c r="U458" s="72"/>
      <c r="V458" s="72"/>
      <c r="W458" s="72"/>
      <c r="X458" s="72"/>
      <c r="Y458" s="72"/>
      <c r="Z458" s="72"/>
    </row>
    <row r="459">
      <c r="F459" s="73"/>
      <c r="G459" s="73"/>
      <c r="H459" s="73"/>
      <c r="I459" s="73"/>
      <c r="R459" s="72"/>
      <c r="S459" s="72"/>
      <c r="T459" s="72"/>
      <c r="U459" s="72"/>
      <c r="V459" s="72"/>
      <c r="W459" s="72"/>
      <c r="X459" s="72"/>
      <c r="Y459" s="72"/>
      <c r="Z459" s="72"/>
    </row>
    <row r="460">
      <c r="F460" s="73"/>
      <c r="G460" s="73"/>
      <c r="H460" s="73"/>
      <c r="I460" s="73"/>
      <c r="R460" s="72"/>
      <c r="S460" s="72"/>
      <c r="T460" s="72"/>
      <c r="U460" s="72"/>
      <c r="V460" s="72"/>
      <c r="W460" s="72"/>
      <c r="X460" s="72"/>
      <c r="Y460" s="72"/>
      <c r="Z460" s="72"/>
    </row>
    <row r="461">
      <c r="F461" s="73"/>
      <c r="G461" s="73"/>
      <c r="H461" s="73"/>
      <c r="I461" s="73"/>
      <c r="R461" s="72"/>
      <c r="S461" s="72"/>
      <c r="T461" s="72"/>
      <c r="U461" s="72"/>
      <c r="V461" s="72"/>
      <c r="W461" s="72"/>
      <c r="X461" s="72"/>
      <c r="Y461" s="72"/>
      <c r="Z461" s="72"/>
    </row>
    <row r="462">
      <c r="F462" s="73"/>
      <c r="G462" s="73"/>
      <c r="H462" s="73"/>
      <c r="I462" s="73"/>
      <c r="R462" s="72"/>
      <c r="S462" s="72"/>
      <c r="T462" s="72"/>
      <c r="U462" s="72"/>
      <c r="V462" s="72"/>
      <c r="W462" s="72"/>
      <c r="X462" s="72"/>
      <c r="Y462" s="72"/>
      <c r="Z462" s="72"/>
    </row>
    <row r="463">
      <c r="F463" s="73"/>
      <c r="G463" s="73"/>
      <c r="H463" s="73"/>
      <c r="I463" s="73"/>
      <c r="R463" s="72"/>
      <c r="S463" s="72"/>
      <c r="T463" s="72"/>
      <c r="U463" s="72"/>
      <c r="V463" s="72"/>
      <c r="W463" s="72"/>
      <c r="X463" s="72"/>
      <c r="Y463" s="72"/>
      <c r="Z463" s="72"/>
    </row>
    <row r="464">
      <c r="F464" s="73"/>
      <c r="G464" s="73"/>
      <c r="H464" s="73"/>
      <c r="I464" s="73"/>
      <c r="R464" s="72"/>
      <c r="S464" s="72"/>
      <c r="T464" s="72"/>
      <c r="U464" s="72"/>
      <c r="V464" s="72"/>
      <c r="W464" s="72"/>
      <c r="X464" s="72"/>
      <c r="Y464" s="72"/>
      <c r="Z464" s="72"/>
    </row>
    <row r="465">
      <c r="F465" s="73"/>
      <c r="G465" s="73"/>
      <c r="H465" s="73"/>
      <c r="I465" s="73"/>
      <c r="R465" s="72"/>
      <c r="S465" s="72"/>
      <c r="T465" s="72"/>
      <c r="U465" s="72"/>
      <c r="V465" s="72"/>
      <c r="W465" s="72"/>
      <c r="X465" s="72"/>
      <c r="Y465" s="72"/>
      <c r="Z465" s="72"/>
    </row>
    <row r="466">
      <c r="F466" s="73"/>
      <c r="G466" s="73"/>
      <c r="H466" s="73"/>
      <c r="I466" s="73"/>
      <c r="R466" s="72"/>
      <c r="S466" s="72"/>
      <c r="T466" s="72"/>
      <c r="U466" s="72"/>
      <c r="V466" s="72"/>
      <c r="W466" s="72"/>
      <c r="X466" s="72"/>
      <c r="Y466" s="72"/>
      <c r="Z466" s="72"/>
    </row>
    <row r="467">
      <c r="F467" s="73"/>
      <c r="G467" s="73"/>
      <c r="H467" s="73"/>
      <c r="I467" s="73"/>
      <c r="R467" s="72"/>
      <c r="S467" s="72"/>
      <c r="T467" s="72"/>
      <c r="U467" s="72"/>
      <c r="V467" s="72"/>
      <c r="W467" s="72"/>
      <c r="X467" s="72"/>
      <c r="Y467" s="72"/>
      <c r="Z467" s="72"/>
    </row>
    <row r="468">
      <c r="F468" s="73"/>
      <c r="G468" s="73"/>
      <c r="H468" s="73"/>
      <c r="I468" s="73"/>
      <c r="R468" s="72"/>
      <c r="S468" s="72"/>
      <c r="T468" s="72"/>
      <c r="U468" s="72"/>
      <c r="V468" s="72"/>
      <c r="W468" s="72"/>
      <c r="X468" s="72"/>
      <c r="Y468" s="72"/>
      <c r="Z468" s="72"/>
    </row>
    <row r="469">
      <c r="F469" s="73"/>
      <c r="G469" s="73"/>
      <c r="H469" s="73"/>
      <c r="I469" s="73"/>
      <c r="R469" s="72"/>
      <c r="S469" s="72"/>
      <c r="T469" s="72"/>
      <c r="U469" s="72"/>
      <c r="V469" s="72"/>
      <c r="W469" s="72"/>
      <c r="X469" s="72"/>
      <c r="Y469" s="72"/>
      <c r="Z469" s="72"/>
    </row>
    <row r="470">
      <c r="F470" s="73"/>
      <c r="G470" s="73"/>
      <c r="H470" s="73"/>
      <c r="I470" s="73"/>
      <c r="R470" s="72"/>
      <c r="S470" s="72"/>
      <c r="T470" s="72"/>
      <c r="U470" s="72"/>
      <c r="V470" s="72"/>
      <c r="W470" s="72"/>
      <c r="X470" s="72"/>
      <c r="Y470" s="72"/>
      <c r="Z470" s="72"/>
    </row>
    <row r="471">
      <c r="F471" s="73"/>
      <c r="G471" s="73"/>
      <c r="H471" s="73"/>
      <c r="I471" s="73"/>
      <c r="R471" s="72"/>
      <c r="S471" s="72"/>
      <c r="T471" s="72"/>
      <c r="U471" s="72"/>
      <c r="V471" s="72"/>
      <c r="W471" s="72"/>
      <c r="X471" s="72"/>
      <c r="Y471" s="72"/>
      <c r="Z471" s="72"/>
    </row>
    <row r="472">
      <c r="F472" s="73"/>
      <c r="G472" s="73"/>
      <c r="H472" s="73"/>
      <c r="I472" s="73"/>
      <c r="R472" s="72"/>
      <c r="S472" s="72"/>
      <c r="T472" s="72"/>
      <c r="U472" s="72"/>
      <c r="V472" s="72"/>
      <c r="W472" s="72"/>
      <c r="X472" s="72"/>
      <c r="Y472" s="72"/>
      <c r="Z472" s="72"/>
    </row>
    <row r="473">
      <c r="F473" s="73"/>
      <c r="G473" s="73"/>
      <c r="H473" s="73"/>
      <c r="I473" s="73"/>
      <c r="R473" s="72"/>
      <c r="S473" s="72"/>
      <c r="T473" s="72"/>
      <c r="U473" s="72"/>
      <c r="V473" s="72"/>
      <c r="W473" s="72"/>
      <c r="X473" s="72"/>
      <c r="Y473" s="72"/>
      <c r="Z473" s="72"/>
    </row>
    <row r="474">
      <c r="F474" s="73"/>
      <c r="G474" s="73"/>
      <c r="H474" s="73"/>
      <c r="I474" s="73"/>
      <c r="R474" s="72"/>
      <c r="S474" s="72"/>
      <c r="T474" s="72"/>
      <c r="U474" s="72"/>
      <c r="V474" s="72"/>
      <c r="W474" s="72"/>
      <c r="X474" s="72"/>
      <c r="Y474" s="72"/>
      <c r="Z474" s="72"/>
    </row>
    <row r="475">
      <c r="F475" s="73"/>
      <c r="G475" s="73"/>
      <c r="H475" s="73"/>
      <c r="I475" s="73"/>
      <c r="R475" s="72"/>
      <c r="S475" s="72"/>
      <c r="T475" s="72"/>
      <c r="U475" s="72"/>
      <c r="V475" s="72"/>
      <c r="W475" s="72"/>
      <c r="X475" s="72"/>
      <c r="Y475" s="72"/>
      <c r="Z475" s="72"/>
    </row>
    <row r="476">
      <c r="F476" s="73"/>
      <c r="G476" s="73"/>
      <c r="H476" s="73"/>
      <c r="I476" s="73"/>
      <c r="R476" s="72"/>
      <c r="S476" s="72"/>
      <c r="T476" s="72"/>
      <c r="U476" s="72"/>
      <c r="V476" s="72"/>
      <c r="W476" s="72"/>
      <c r="X476" s="72"/>
      <c r="Y476" s="72"/>
      <c r="Z476" s="72"/>
    </row>
    <row r="477">
      <c r="F477" s="73"/>
      <c r="G477" s="73"/>
      <c r="H477" s="73"/>
      <c r="I477" s="73"/>
      <c r="R477" s="72"/>
      <c r="S477" s="72"/>
      <c r="T477" s="72"/>
      <c r="U477" s="72"/>
      <c r="V477" s="72"/>
      <c r="W477" s="72"/>
      <c r="X477" s="72"/>
      <c r="Y477" s="72"/>
      <c r="Z477" s="72"/>
    </row>
    <row r="478">
      <c r="F478" s="73"/>
      <c r="G478" s="73"/>
      <c r="H478" s="73"/>
      <c r="I478" s="73"/>
      <c r="R478" s="72"/>
      <c r="S478" s="72"/>
      <c r="T478" s="72"/>
      <c r="U478" s="72"/>
      <c r="V478" s="72"/>
      <c r="W478" s="72"/>
      <c r="X478" s="72"/>
      <c r="Y478" s="72"/>
      <c r="Z478" s="72"/>
    </row>
    <row r="479">
      <c r="F479" s="73"/>
      <c r="G479" s="73"/>
      <c r="H479" s="73"/>
      <c r="I479" s="73"/>
      <c r="R479" s="72"/>
      <c r="S479" s="72"/>
      <c r="T479" s="72"/>
      <c r="U479" s="72"/>
      <c r="V479" s="72"/>
      <c r="W479" s="72"/>
      <c r="X479" s="72"/>
      <c r="Y479" s="72"/>
      <c r="Z479" s="72"/>
    </row>
    <row r="480">
      <c r="F480" s="73"/>
      <c r="G480" s="73"/>
      <c r="H480" s="73"/>
      <c r="I480" s="73"/>
      <c r="R480" s="72"/>
      <c r="S480" s="72"/>
      <c r="T480" s="72"/>
      <c r="U480" s="72"/>
      <c r="V480" s="72"/>
      <c r="W480" s="72"/>
      <c r="X480" s="72"/>
      <c r="Y480" s="72"/>
      <c r="Z480" s="72"/>
    </row>
    <row r="481">
      <c r="F481" s="73"/>
      <c r="G481" s="73"/>
      <c r="H481" s="73"/>
      <c r="I481" s="73"/>
      <c r="R481" s="72"/>
      <c r="S481" s="72"/>
      <c r="T481" s="72"/>
      <c r="U481" s="72"/>
      <c r="V481" s="72"/>
      <c r="W481" s="72"/>
      <c r="X481" s="72"/>
      <c r="Y481" s="72"/>
      <c r="Z481" s="72"/>
    </row>
    <row r="482">
      <c r="F482" s="73"/>
      <c r="G482" s="73"/>
      <c r="H482" s="73"/>
      <c r="I482" s="73"/>
      <c r="R482" s="72"/>
      <c r="S482" s="72"/>
      <c r="T482" s="72"/>
      <c r="U482" s="72"/>
      <c r="V482" s="72"/>
      <c r="W482" s="72"/>
      <c r="X482" s="72"/>
      <c r="Y482" s="72"/>
      <c r="Z482" s="72"/>
    </row>
    <row r="483">
      <c r="F483" s="73"/>
      <c r="G483" s="73"/>
      <c r="H483" s="73"/>
      <c r="I483" s="73"/>
      <c r="R483" s="72"/>
      <c r="S483" s="72"/>
      <c r="T483" s="72"/>
      <c r="U483" s="72"/>
      <c r="V483" s="72"/>
      <c r="W483" s="72"/>
      <c r="X483" s="72"/>
      <c r="Y483" s="72"/>
      <c r="Z483" s="72"/>
    </row>
    <row r="484">
      <c r="F484" s="73"/>
      <c r="G484" s="73"/>
      <c r="H484" s="73"/>
      <c r="I484" s="73"/>
      <c r="R484" s="72"/>
      <c r="S484" s="72"/>
      <c r="T484" s="72"/>
      <c r="U484" s="72"/>
      <c r="V484" s="72"/>
      <c r="W484" s="72"/>
      <c r="X484" s="72"/>
      <c r="Y484" s="72"/>
      <c r="Z484" s="72"/>
    </row>
    <row r="485">
      <c r="F485" s="73"/>
      <c r="G485" s="73"/>
      <c r="H485" s="73"/>
      <c r="I485" s="73"/>
      <c r="R485" s="72"/>
      <c r="S485" s="72"/>
      <c r="T485" s="72"/>
      <c r="U485" s="72"/>
      <c r="V485" s="72"/>
      <c r="W485" s="72"/>
      <c r="X485" s="72"/>
      <c r="Y485" s="72"/>
      <c r="Z485" s="72"/>
    </row>
    <row r="486">
      <c r="F486" s="73"/>
      <c r="G486" s="73"/>
      <c r="H486" s="73"/>
      <c r="I486" s="73"/>
      <c r="R486" s="72"/>
      <c r="S486" s="72"/>
      <c r="T486" s="72"/>
      <c r="U486" s="72"/>
      <c r="V486" s="72"/>
      <c r="W486" s="72"/>
      <c r="X486" s="72"/>
      <c r="Y486" s="72"/>
      <c r="Z486" s="72"/>
    </row>
    <row r="487">
      <c r="F487" s="73"/>
      <c r="G487" s="73"/>
      <c r="H487" s="73"/>
      <c r="I487" s="73"/>
      <c r="R487" s="72"/>
      <c r="S487" s="72"/>
      <c r="T487" s="72"/>
      <c r="U487" s="72"/>
      <c r="V487" s="72"/>
      <c r="W487" s="72"/>
      <c r="X487" s="72"/>
      <c r="Y487" s="72"/>
      <c r="Z487" s="72"/>
    </row>
    <row r="488">
      <c r="F488" s="73"/>
      <c r="G488" s="73"/>
      <c r="H488" s="73"/>
      <c r="I488" s="73"/>
      <c r="R488" s="72"/>
      <c r="S488" s="72"/>
      <c r="T488" s="72"/>
      <c r="U488" s="72"/>
      <c r="V488" s="72"/>
      <c r="W488" s="72"/>
      <c r="X488" s="72"/>
      <c r="Y488" s="72"/>
      <c r="Z488" s="72"/>
    </row>
    <row r="489">
      <c r="F489" s="73"/>
      <c r="G489" s="73"/>
      <c r="H489" s="73"/>
      <c r="I489" s="73"/>
      <c r="R489" s="72"/>
      <c r="S489" s="72"/>
      <c r="T489" s="72"/>
      <c r="U489" s="72"/>
      <c r="V489" s="72"/>
      <c r="W489" s="72"/>
      <c r="X489" s="72"/>
      <c r="Y489" s="72"/>
      <c r="Z489" s="72"/>
    </row>
    <row r="490">
      <c r="F490" s="73"/>
      <c r="G490" s="73"/>
      <c r="H490" s="73"/>
      <c r="I490" s="73"/>
      <c r="R490" s="72"/>
      <c r="S490" s="72"/>
      <c r="T490" s="72"/>
      <c r="U490" s="72"/>
      <c r="V490" s="72"/>
      <c r="W490" s="72"/>
      <c r="X490" s="72"/>
      <c r="Y490" s="72"/>
      <c r="Z490" s="72"/>
    </row>
    <row r="491">
      <c r="F491" s="73"/>
      <c r="G491" s="73"/>
      <c r="H491" s="73"/>
      <c r="I491" s="73"/>
      <c r="R491" s="72"/>
      <c r="S491" s="72"/>
      <c r="T491" s="72"/>
      <c r="U491" s="72"/>
      <c r="V491" s="72"/>
      <c r="W491" s="72"/>
      <c r="X491" s="72"/>
      <c r="Y491" s="72"/>
      <c r="Z491" s="72"/>
    </row>
    <row r="492">
      <c r="F492" s="73"/>
      <c r="G492" s="73"/>
      <c r="H492" s="73"/>
      <c r="I492" s="73"/>
      <c r="R492" s="72"/>
      <c r="S492" s="72"/>
      <c r="T492" s="72"/>
      <c r="U492" s="72"/>
      <c r="V492" s="72"/>
      <c r="W492" s="72"/>
      <c r="X492" s="72"/>
      <c r="Y492" s="72"/>
      <c r="Z492" s="72"/>
    </row>
    <row r="493">
      <c r="F493" s="73"/>
      <c r="G493" s="73"/>
      <c r="H493" s="73"/>
      <c r="I493" s="73"/>
      <c r="R493" s="72"/>
      <c r="S493" s="72"/>
      <c r="T493" s="72"/>
      <c r="U493" s="72"/>
      <c r="V493" s="72"/>
      <c r="W493" s="72"/>
      <c r="X493" s="72"/>
      <c r="Y493" s="72"/>
      <c r="Z493" s="72"/>
    </row>
    <row r="494">
      <c r="F494" s="73"/>
      <c r="G494" s="73"/>
      <c r="H494" s="73"/>
      <c r="I494" s="73"/>
      <c r="R494" s="72"/>
      <c r="S494" s="72"/>
      <c r="T494" s="72"/>
      <c r="U494" s="72"/>
      <c r="V494" s="72"/>
      <c r="W494" s="72"/>
      <c r="X494" s="72"/>
      <c r="Y494" s="72"/>
      <c r="Z494" s="72"/>
    </row>
    <row r="495">
      <c r="F495" s="73"/>
      <c r="G495" s="73"/>
      <c r="H495" s="73"/>
      <c r="I495" s="73"/>
      <c r="R495" s="72"/>
      <c r="S495" s="72"/>
      <c r="T495" s="72"/>
      <c r="U495" s="72"/>
      <c r="V495" s="72"/>
      <c r="W495" s="72"/>
      <c r="X495" s="72"/>
      <c r="Y495" s="72"/>
      <c r="Z495" s="72"/>
    </row>
    <row r="496">
      <c r="F496" s="73"/>
      <c r="G496" s="73"/>
      <c r="H496" s="73"/>
      <c r="I496" s="73"/>
      <c r="R496" s="72"/>
      <c r="S496" s="72"/>
      <c r="T496" s="72"/>
      <c r="U496" s="72"/>
      <c r="V496" s="72"/>
      <c r="W496" s="72"/>
      <c r="X496" s="72"/>
      <c r="Y496" s="72"/>
      <c r="Z496" s="72"/>
    </row>
    <row r="497">
      <c r="F497" s="73"/>
      <c r="G497" s="73"/>
      <c r="H497" s="73"/>
      <c r="I497" s="73"/>
      <c r="R497" s="72"/>
      <c r="S497" s="72"/>
      <c r="T497" s="72"/>
      <c r="U497" s="72"/>
      <c r="V497" s="72"/>
      <c r="W497" s="72"/>
      <c r="X497" s="72"/>
      <c r="Y497" s="72"/>
      <c r="Z497" s="72"/>
    </row>
    <row r="498">
      <c r="F498" s="73"/>
      <c r="G498" s="73"/>
      <c r="H498" s="73"/>
      <c r="I498" s="73"/>
      <c r="R498" s="72"/>
      <c r="S498" s="72"/>
      <c r="T498" s="72"/>
      <c r="U498" s="72"/>
      <c r="V498" s="72"/>
      <c r="W498" s="72"/>
      <c r="X498" s="72"/>
      <c r="Y498" s="72"/>
      <c r="Z498" s="72"/>
    </row>
    <row r="499">
      <c r="F499" s="73"/>
      <c r="G499" s="73"/>
      <c r="H499" s="73"/>
      <c r="I499" s="73"/>
      <c r="R499" s="72"/>
      <c r="S499" s="72"/>
      <c r="T499" s="72"/>
      <c r="U499" s="72"/>
      <c r="V499" s="72"/>
      <c r="W499" s="72"/>
      <c r="X499" s="72"/>
      <c r="Y499" s="72"/>
      <c r="Z499" s="72"/>
    </row>
    <row r="500">
      <c r="F500" s="73"/>
      <c r="G500" s="73"/>
      <c r="H500" s="73"/>
      <c r="I500" s="73"/>
      <c r="R500" s="72"/>
      <c r="S500" s="72"/>
      <c r="T500" s="72"/>
      <c r="U500" s="72"/>
      <c r="V500" s="72"/>
      <c r="W500" s="72"/>
      <c r="X500" s="72"/>
      <c r="Y500" s="72"/>
      <c r="Z500" s="72"/>
    </row>
    <row r="501">
      <c r="F501" s="73"/>
      <c r="G501" s="73"/>
      <c r="H501" s="73"/>
      <c r="I501" s="73"/>
      <c r="R501" s="72"/>
      <c r="S501" s="72"/>
      <c r="T501" s="72"/>
      <c r="U501" s="72"/>
      <c r="V501" s="72"/>
      <c r="W501" s="72"/>
      <c r="X501" s="72"/>
      <c r="Y501" s="72"/>
      <c r="Z501" s="72"/>
    </row>
    <row r="502">
      <c r="F502" s="73"/>
      <c r="G502" s="73"/>
      <c r="H502" s="73"/>
      <c r="I502" s="73"/>
      <c r="R502" s="72"/>
      <c r="S502" s="72"/>
      <c r="T502" s="72"/>
      <c r="U502" s="72"/>
      <c r="V502" s="72"/>
      <c r="W502" s="72"/>
      <c r="X502" s="72"/>
      <c r="Y502" s="72"/>
      <c r="Z502" s="72"/>
    </row>
    <row r="503">
      <c r="F503" s="73"/>
      <c r="G503" s="73"/>
      <c r="H503" s="73"/>
      <c r="I503" s="73"/>
      <c r="R503" s="72"/>
      <c r="S503" s="72"/>
      <c r="T503" s="72"/>
      <c r="U503" s="72"/>
      <c r="V503" s="72"/>
      <c r="W503" s="72"/>
      <c r="X503" s="72"/>
      <c r="Y503" s="72"/>
      <c r="Z503" s="72"/>
    </row>
    <row r="504">
      <c r="F504" s="73"/>
      <c r="G504" s="73"/>
      <c r="H504" s="73"/>
      <c r="I504" s="73"/>
      <c r="R504" s="72"/>
      <c r="S504" s="72"/>
      <c r="T504" s="72"/>
      <c r="U504" s="72"/>
      <c r="V504" s="72"/>
      <c r="W504" s="72"/>
      <c r="X504" s="72"/>
      <c r="Y504" s="72"/>
      <c r="Z504" s="72"/>
    </row>
    <row r="505">
      <c r="F505" s="73"/>
      <c r="G505" s="73"/>
      <c r="H505" s="73"/>
      <c r="I505" s="73"/>
      <c r="R505" s="72"/>
      <c r="S505" s="72"/>
      <c r="T505" s="72"/>
      <c r="U505" s="72"/>
      <c r="V505" s="72"/>
      <c r="W505" s="72"/>
      <c r="X505" s="72"/>
      <c r="Y505" s="72"/>
      <c r="Z505" s="72"/>
    </row>
    <row r="506">
      <c r="F506" s="73"/>
      <c r="G506" s="73"/>
      <c r="H506" s="73"/>
      <c r="I506" s="73"/>
      <c r="R506" s="72"/>
      <c r="S506" s="72"/>
      <c r="T506" s="72"/>
      <c r="U506" s="72"/>
      <c r="V506" s="72"/>
      <c r="W506" s="72"/>
      <c r="X506" s="72"/>
      <c r="Y506" s="72"/>
      <c r="Z506" s="72"/>
    </row>
    <row r="507">
      <c r="F507" s="73"/>
      <c r="G507" s="73"/>
      <c r="H507" s="73"/>
      <c r="I507" s="73"/>
      <c r="R507" s="72"/>
      <c r="S507" s="72"/>
      <c r="T507" s="72"/>
      <c r="U507" s="72"/>
      <c r="V507" s="72"/>
      <c r="W507" s="72"/>
      <c r="X507" s="72"/>
      <c r="Y507" s="72"/>
      <c r="Z507" s="72"/>
    </row>
    <row r="508">
      <c r="F508" s="73"/>
      <c r="G508" s="73"/>
      <c r="H508" s="73"/>
      <c r="I508" s="73"/>
      <c r="R508" s="72"/>
      <c r="S508" s="72"/>
      <c r="T508" s="72"/>
      <c r="U508" s="72"/>
      <c r="V508" s="72"/>
      <c r="W508" s="72"/>
      <c r="X508" s="72"/>
      <c r="Y508" s="72"/>
      <c r="Z508" s="72"/>
    </row>
    <row r="509">
      <c r="F509" s="73"/>
      <c r="G509" s="73"/>
      <c r="H509" s="73"/>
      <c r="I509" s="73"/>
      <c r="R509" s="72"/>
      <c r="S509" s="72"/>
      <c r="T509" s="72"/>
      <c r="U509" s="72"/>
      <c r="V509" s="72"/>
      <c r="W509" s="72"/>
      <c r="X509" s="72"/>
      <c r="Y509" s="72"/>
      <c r="Z509" s="72"/>
    </row>
    <row r="510">
      <c r="F510" s="73"/>
      <c r="G510" s="73"/>
      <c r="H510" s="73"/>
      <c r="I510" s="73"/>
      <c r="R510" s="72"/>
      <c r="S510" s="72"/>
      <c r="T510" s="72"/>
      <c r="U510" s="72"/>
      <c r="V510" s="72"/>
      <c r="W510" s="72"/>
      <c r="X510" s="72"/>
      <c r="Y510" s="72"/>
      <c r="Z510" s="72"/>
    </row>
    <row r="511">
      <c r="F511" s="73"/>
      <c r="G511" s="73"/>
      <c r="H511" s="73"/>
      <c r="I511" s="73"/>
      <c r="R511" s="72"/>
      <c r="S511" s="72"/>
      <c r="T511" s="72"/>
      <c r="U511" s="72"/>
      <c r="V511" s="72"/>
      <c r="W511" s="72"/>
      <c r="X511" s="72"/>
      <c r="Y511" s="72"/>
      <c r="Z511" s="72"/>
    </row>
    <row r="512">
      <c r="F512" s="73"/>
      <c r="G512" s="73"/>
      <c r="H512" s="73"/>
      <c r="I512" s="73"/>
      <c r="R512" s="72"/>
      <c r="S512" s="72"/>
      <c r="T512" s="72"/>
      <c r="U512" s="72"/>
      <c r="V512" s="72"/>
      <c r="W512" s="72"/>
      <c r="X512" s="72"/>
      <c r="Y512" s="72"/>
      <c r="Z512" s="72"/>
    </row>
    <row r="513">
      <c r="F513" s="73"/>
      <c r="G513" s="73"/>
      <c r="H513" s="73"/>
      <c r="I513" s="73"/>
      <c r="R513" s="72"/>
      <c r="S513" s="72"/>
      <c r="T513" s="72"/>
      <c r="U513" s="72"/>
      <c r="V513" s="72"/>
      <c r="W513" s="72"/>
      <c r="X513" s="72"/>
      <c r="Y513" s="72"/>
      <c r="Z513" s="72"/>
    </row>
    <row r="514">
      <c r="F514" s="73"/>
      <c r="G514" s="73"/>
      <c r="H514" s="73"/>
      <c r="I514" s="73"/>
      <c r="R514" s="72"/>
      <c r="S514" s="72"/>
      <c r="T514" s="72"/>
      <c r="U514" s="72"/>
      <c r="V514" s="72"/>
      <c r="W514" s="72"/>
      <c r="X514" s="72"/>
      <c r="Y514" s="72"/>
      <c r="Z514" s="72"/>
    </row>
    <row r="515">
      <c r="F515" s="73"/>
      <c r="G515" s="73"/>
      <c r="H515" s="73"/>
      <c r="I515" s="73"/>
      <c r="R515" s="72"/>
      <c r="S515" s="72"/>
      <c r="T515" s="72"/>
      <c r="U515" s="72"/>
      <c r="V515" s="72"/>
      <c r="W515" s="72"/>
      <c r="X515" s="72"/>
      <c r="Y515" s="72"/>
      <c r="Z515" s="72"/>
    </row>
    <row r="516">
      <c r="F516" s="73"/>
      <c r="G516" s="73"/>
      <c r="H516" s="73"/>
      <c r="I516" s="73"/>
      <c r="R516" s="72"/>
      <c r="S516" s="72"/>
      <c r="T516" s="72"/>
      <c r="U516" s="72"/>
      <c r="V516" s="72"/>
      <c r="W516" s="72"/>
      <c r="X516" s="72"/>
      <c r="Y516" s="72"/>
      <c r="Z516" s="72"/>
    </row>
    <row r="517">
      <c r="F517" s="73"/>
      <c r="G517" s="73"/>
      <c r="H517" s="73"/>
      <c r="I517" s="73"/>
      <c r="R517" s="72"/>
      <c r="S517" s="72"/>
      <c r="T517" s="72"/>
      <c r="U517" s="72"/>
      <c r="V517" s="72"/>
      <c r="W517" s="72"/>
      <c r="X517" s="72"/>
      <c r="Y517" s="72"/>
      <c r="Z517" s="72"/>
    </row>
    <row r="518">
      <c r="F518" s="73"/>
      <c r="G518" s="73"/>
      <c r="H518" s="73"/>
      <c r="I518" s="73"/>
      <c r="R518" s="72"/>
      <c r="S518" s="72"/>
      <c r="T518" s="72"/>
      <c r="U518" s="72"/>
      <c r="V518" s="72"/>
      <c r="W518" s="72"/>
      <c r="X518" s="72"/>
      <c r="Y518" s="72"/>
      <c r="Z518" s="72"/>
    </row>
    <row r="519">
      <c r="F519" s="73"/>
      <c r="G519" s="73"/>
      <c r="H519" s="73"/>
      <c r="I519" s="73"/>
      <c r="R519" s="72"/>
      <c r="S519" s="72"/>
      <c r="T519" s="72"/>
      <c r="U519" s="72"/>
      <c r="V519" s="72"/>
      <c r="W519" s="72"/>
      <c r="X519" s="72"/>
      <c r="Y519" s="72"/>
      <c r="Z519" s="72"/>
    </row>
    <row r="520">
      <c r="F520" s="73"/>
      <c r="G520" s="73"/>
      <c r="H520" s="73"/>
      <c r="I520" s="73"/>
      <c r="R520" s="72"/>
      <c r="S520" s="72"/>
      <c r="T520" s="72"/>
      <c r="U520" s="72"/>
      <c r="V520" s="72"/>
      <c r="W520" s="72"/>
      <c r="X520" s="72"/>
      <c r="Y520" s="72"/>
      <c r="Z520" s="72"/>
    </row>
    <row r="521">
      <c r="F521" s="73"/>
      <c r="G521" s="73"/>
      <c r="H521" s="73"/>
      <c r="I521" s="73"/>
      <c r="R521" s="72"/>
      <c r="S521" s="72"/>
      <c r="T521" s="72"/>
      <c r="U521" s="72"/>
      <c r="V521" s="72"/>
      <c r="W521" s="72"/>
      <c r="X521" s="72"/>
      <c r="Y521" s="72"/>
      <c r="Z521" s="72"/>
    </row>
    <row r="522">
      <c r="F522" s="73"/>
      <c r="G522" s="73"/>
      <c r="H522" s="73"/>
      <c r="I522" s="73"/>
      <c r="R522" s="72"/>
      <c r="S522" s="72"/>
      <c r="T522" s="72"/>
      <c r="U522" s="72"/>
      <c r="V522" s="72"/>
      <c r="W522" s="72"/>
      <c r="X522" s="72"/>
      <c r="Y522" s="72"/>
      <c r="Z522" s="72"/>
    </row>
    <row r="523">
      <c r="F523" s="73"/>
      <c r="G523" s="73"/>
      <c r="H523" s="73"/>
      <c r="I523" s="73"/>
      <c r="R523" s="72"/>
      <c r="S523" s="72"/>
      <c r="T523" s="72"/>
      <c r="U523" s="72"/>
      <c r="V523" s="72"/>
      <c r="W523" s="72"/>
      <c r="X523" s="72"/>
      <c r="Y523" s="72"/>
      <c r="Z523" s="72"/>
    </row>
    <row r="524">
      <c r="F524" s="73"/>
      <c r="G524" s="73"/>
      <c r="H524" s="73"/>
      <c r="I524" s="73"/>
      <c r="R524" s="72"/>
      <c r="S524" s="72"/>
      <c r="T524" s="72"/>
      <c r="U524" s="72"/>
      <c r="V524" s="72"/>
      <c r="W524" s="72"/>
      <c r="X524" s="72"/>
      <c r="Y524" s="72"/>
      <c r="Z524" s="72"/>
    </row>
    <row r="525">
      <c r="F525" s="73"/>
      <c r="G525" s="73"/>
      <c r="H525" s="73"/>
      <c r="I525" s="73"/>
      <c r="R525" s="72"/>
      <c r="S525" s="72"/>
      <c r="T525" s="72"/>
      <c r="U525" s="72"/>
      <c r="V525" s="72"/>
      <c r="W525" s="72"/>
      <c r="X525" s="72"/>
      <c r="Y525" s="72"/>
      <c r="Z525" s="72"/>
    </row>
    <row r="526">
      <c r="F526" s="73"/>
      <c r="G526" s="73"/>
      <c r="H526" s="73"/>
      <c r="I526" s="73"/>
      <c r="R526" s="72"/>
      <c r="S526" s="72"/>
      <c r="T526" s="72"/>
      <c r="U526" s="72"/>
      <c r="V526" s="72"/>
      <c r="W526" s="72"/>
      <c r="X526" s="72"/>
      <c r="Y526" s="72"/>
      <c r="Z526" s="72"/>
    </row>
    <row r="527">
      <c r="F527" s="73"/>
      <c r="G527" s="73"/>
      <c r="H527" s="73"/>
      <c r="I527" s="73"/>
      <c r="R527" s="72"/>
      <c r="S527" s="72"/>
      <c r="T527" s="72"/>
      <c r="U527" s="72"/>
      <c r="V527" s="72"/>
      <c r="W527" s="72"/>
      <c r="X527" s="72"/>
      <c r="Y527" s="72"/>
      <c r="Z527" s="72"/>
    </row>
    <row r="528">
      <c r="F528" s="73"/>
      <c r="G528" s="73"/>
      <c r="H528" s="73"/>
      <c r="I528" s="73"/>
      <c r="R528" s="72"/>
      <c r="S528" s="72"/>
      <c r="T528" s="72"/>
      <c r="U528" s="72"/>
      <c r="V528" s="72"/>
      <c r="W528" s="72"/>
      <c r="X528" s="72"/>
      <c r="Y528" s="72"/>
      <c r="Z528" s="72"/>
    </row>
    <row r="529">
      <c r="F529" s="73"/>
      <c r="G529" s="73"/>
      <c r="H529" s="73"/>
      <c r="I529" s="73"/>
      <c r="R529" s="72"/>
      <c r="S529" s="72"/>
      <c r="T529" s="72"/>
      <c r="U529" s="72"/>
      <c r="V529" s="72"/>
      <c r="W529" s="72"/>
      <c r="X529" s="72"/>
      <c r="Y529" s="72"/>
      <c r="Z529" s="72"/>
    </row>
    <row r="530">
      <c r="F530" s="73"/>
      <c r="G530" s="73"/>
      <c r="H530" s="73"/>
      <c r="I530" s="73"/>
      <c r="R530" s="72"/>
      <c r="S530" s="72"/>
      <c r="T530" s="72"/>
      <c r="U530" s="72"/>
      <c r="V530" s="72"/>
      <c r="W530" s="72"/>
      <c r="X530" s="72"/>
      <c r="Y530" s="72"/>
      <c r="Z530" s="72"/>
    </row>
    <row r="531">
      <c r="F531" s="73"/>
      <c r="G531" s="73"/>
      <c r="H531" s="73"/>
      <c r="I531" s="73"/>
      <c r="R531" s="72"/>
      <c r="S531" s="72"/>
      <c r="T531" s="72"/>
      <c r="U531" s="72"/>
      <c r="V531" s="72"/>
      <c r="W531" s="72"/>
      <c r="X531" s="72"/>
      <c r="Y531" s="72"/>
      <c r="Z531" s="72"/>
    </row>
    <row r="532">
      <c r="F532" s="73"/>
      <c r="G532" s="73"/>
      <c r="H532" s="73"/>
      <c r="I532" s="73"/>
      <c r="R532" s="72"/>
      <c r="S532" s="72"/>
      <c r="T532" s="72"/>
      <c r="U532" s="72"/>
      <c r="V532" s="72"/>
      <c r="W532" s="72"/>
      <c r="X532" s="72"/>
      <c r="Y532" s="72"/>
      <c r="Z532" s="72"/>
    </row>
    <row r="533">
      <c r="F533" s="73"/>
      <c r="G533" s="73"/>
      <c r="H533" s="73"/>
      <c r="I533" s="73"/>
      <c r="R533" s="72"/>
      <c r="S533" s="72"/>
      <c r="T533" s="72"/>
      <c r="U533" s="72"/>
      <c r="V533" s="72"/>
      <c r="W533" s="72"/>
      <c r="X533" s="72"/>
      <c r="Y533" s="72"/>
      <c r="Z533" s="72"/>
    </row>
    <row r="534">
      <c r="F534" s="73"/>
      <c r="G534" s="73"/>
      <c r="H534" s="73"/>
      <c r="I534" s="73"/>
      <c r="R534" s="72"/>
      <c r="S534" s="72"/>
      <c r="T534" s="72"/>
      <c r="U534" s="72"/>
      <c r="V534" s="72"/>
      <c r="W534" s="72"/>
      <c r="X534" s="72"/>
      <c r="Y534" s="72"/>
      <c r="Z534" s="72"/>
    </row>
    <row r="535">
      <c r="F535" s="73"/>
      <c r="G535" s="73"/>
      <c r="H535" s="73"/>
      <c r="I535" s="73"/>
      <c r="R535" s="72"/>
      <c r="S535" s="72"/>
      <c r="T535" s="72"/>
      <c r="U535" s="72"/>
      <c r="V535" s="72"/>
      <c r="W535" s="72"/>
      <c r="X535" s="72"/>
      <c r="Y535" s="72"/>
      <c r="Z535" s="72"/>
    </row>
    <row r="536">
      <c r="F536" s="73"/>
      <c r="G536" s="73"/>
      <c r="H536" s="73"/>
      <c r="I536" s="73"/>
      <c r="R536" s="72"/>
      <c r="S536" s="72"/>
      <c r="T536" s="72"/>
      <c r="U536" s="72"/>
      <c r="V536" s="72"/>
      <c r="W536" s="72"/>
      <c r="X536" s="72"/>
      <c r="Y536" s="72"/>
      <c r="Z536" s="72"/>
    </row>
    <row r="537">
      <c r="F537" s="73"/>
      <c r="G537" s="73"/>
      <c r="H537" s="73"/>
      <c r="I537" s="73"/>
      <c r="R537" s="72"/>
      <c r="S537" s="72"/>
      <c r="T537" s="72"/>
      <c r="U537" s="72"/>
      <c r="V537" s="72"/>
      <c r="W537" s="72"/>
      <c r="X537" s="72"/>
      <c r="Y537" s="72"/>
      <c r="Z537" s="72"/>
    </row>
    <row r="538">
      <c r="F538" s="73"/>
      <c r="G538" s="73"/>
      <c r="H538" s="73"/>
      <c r="I538" s="73"/>
      <c r="R538" s="72"/>
      <c r="S538" s="72"/>
      <c r="T538" s="72"/>
      <c r="U538" s="72"/>
      <c r="V538" s="72"/>
      <c r="W538" s="72"/>
      <c r="X538" s="72"/>
      <c r="Y538" s="72"/>
      <c r="Z538" s="72"/>
    </row>
    <row r="539">
      <c r="F539" s="73"/>
      <c r="G539" s="73"/>
      <c r="H539" s="73"/>
      <c r="I539" s="73"/>
      <c r="R539" s="72"/>
      <c r="S539" s="72"/>
      <c r="T539" s="72"/>
      <c r="U539" s="72"/>
      <c r="V539" s="72"/>
      <c r="W539" s="72"/>
      <c r="X539" s="72"/>
      <c r="Y539" s="72"/>
      <c r="Z539" s="72"/>
    </row>
    <row r="540">
      <c r="F540" s="73"/>
      <c r="G540" s="73"/>
      <c r="H540" s="73"/>
      <c r="I540" s="73"/>
      <c r="R540" s="72"/>
      <c r="S540" s="72"/>
      <c r="T540" s="72"/>
      <c r="U540" s="72"/>
      <c r="V540" s="72"/>
      <c r="W540" s="72"/>
      <c r="X540" s="72"/>
      <c r="Y540" s="72"/>
      <c r="Z540" s="72"/>
    </row>
    <row r="541">
      <c r="F541" s="73"/>
      <c r="G541" s="73"/>
      <c r="H541" s="73"/>
      <c r="I541" s="73"/>
      <c r="R541" s="72"/>
      <c r="S541" s="72"/>
      <c r="T541" s="72"/>
      <c r="U541" s="72"/>
      <c r="V541" s="72"/>
      <c r="W541" s="72"/>
      <c r="X541" s="72"/>
      <c r="Y541" s="72"/>
      <c r="Z541" s="72"/>
    </row>
    <row r="542">
      <c r="F542" s="73"/>
      <c r="G542" s="73"/>
      <c r="H542" s="73"/>
      <c r="I542" s="73"/>
      <c r="R542" s="72"/>
      <c r="S542" s="72"/>
      <c r="T542" s="72"/>
      <c r="U542" s="72"/>
      <c r="V542" s="72"/>
      <c r="W542" s="72"/>
      <c r="X542" s="72"/>
      <c r="Y542" s="72"/>
      <c r="Z542" s="72"/>
    </row>
    <row r="543">
      <c r="F543" s="73"/>
      <c r="G543" s="73"/>
      <c r="H543" s="73"/>
      <c r="I543" s="73"/>
      <c r="R543" s="72"/>
      <c r="S543" s="72"/>
      <c r="T543" s="72"/>
      <c r="U543" s="72"/>
      <c r="V543" s="72"/>
      <c r="W543" s="72"/>
      <c r="X543" s="72"/>
      <c r="Y543" s="72"/>
      <c r="Z543" s="72"/>
    </row>
    <row r="544">
      <c r="F544" s="73"/>
      <c r="G544" s="73"/>
      <c r="H544" s="73"/>
      <c r="I544" s="73"/>
      <c r="R544" s="72"/>
      <c r="S544" s="72"/>
      <c r="T544" s="72"/>
      <c r="U544" s="72"/>
      <c r="V544" s="72"/>
      <c r="W544" s="72"/>
      <c r="X544" s="72"/>
      <c r="Y544" s="72"/>
      <c r="Z544" s="72"/>
    </row>
    <row r="545">
      <c r="F545" s="73"/>
      <c r="G545" s="73"/>
      <c r="H545" s="73"/>
      <c r="I545" s="73"/>
      <c r="R545" s="72"/>
      <c r="S545" s="72"/>
      <c r="T545" s="72"/>
      <c r="U545" s="72"/>
      <c r="V545" s="72"/>
      <c r="W545" s="72"/>
      <c r="X545" s="72"/>
      <c r="Y545" s="72"/>
      <c r="Z545" s="72"/>
    </row>
    <row r="546">
      <c r="F546" s="73"/>
      <c r="G546" s="73"/>
      <c r="H546" s="73"/>
      <c r="I546" s="73"/>
      <c r="R546" s="72"/>
      <c r="S546" s="72"/>
      <c r="T546" s="72"/>
      <c r="U546" s="72"/>
      <c r="V546" s="72"/>
      <c r="W546" s="72"/>
      <c r="X546" s="72"/>
      <c r="Y546" s="72"/>
      <c r="Z546" s="72"/>
    </row>
    <row r="547">
      <c r="F547" s="73"/>
      <c r="G547" s="73"/>
      <c r="H547" s="73"/>
      <c r="I547" s="73"/>
      <c r="R547" s="72"/>
      <c r="S547" s="72"/>
      <c r="T547" s="72"/>
      <c r="U547" s="72"/>
      <c r="V547" s="72"/>
      <c r="W547" s="72"/>
      <c r="X547" s="72"/>
      <c r="Y547" s="72"/>
      <c r="Z547" s="72"/>
    </row>
    <row r="548">
      <c r="F548" s="73"/>
      <c r="G548" s="73"/>
      <c r="H548" s="73"/>
      <c r="I548" s="73"/>
      <c r="R548" s="72"/>
      <c r="S548" s="72"/>
      <c r="T548" s="72"/>
      <c r="U548" s="72"/>
      <c r="V548" s="72"/>
      <c r="W548" s="72"/>
      <c r="X548" s="72"/>
      <c r="Y548" s="72"/>
      <c r="Z548" s="72"/>
    </row>
    <row r="549">
      <c r="F549" s="73"/>
      <c r="G549" s="73"/>
      <c r="H549" s="73"/>
      <c r="I549" s="73"/>
      <c r="R549" s="72"/>
      <c r="S549" s="72"/>
      <c r="T549" s="72"/>
      <c r="U549" s="72"/>
      <c r="V549" s="72"/>
      <c r="W549" s="72"/>
      <c r="X549" s="72"/>
      <c r="Y549" s="72"/>
      <c r="Z549" s="72"/>
    </row>
    <row r="550">
      <c r="F550" s="73"/>
      <c r="G550" s="73"/>
      <c r="H550" s="73"/>
      <c r="I550" s="73"/>
      <c r="R550" s="72"/>
      <c r="S550" s="72"/>
      <c r="T550" s="72"/>
      <c r="U550" s="72"/>
      <c r="V550" s="72"/>
      <c r="W550" s="72"/>
      <c r="X550" s="72"/>
      <c r="Y550" s="72"/>
      <c r="Z550" s="72"/>
    </row>
    <row r="551">
      <c r="F551" s="73"/>
      <c r="G551" s="73"/>
      <c r="H551" s="73"/>
      <c r="I551" s="73"/>
      <c r="R551" s="72"/>
      <c r="S551" s="72"/>
      <c r="T551" s="72"/>
      <c r="U551" s="72"/>
      <c r="V551" s="72"/>
      <c r="W551" s="72"/>
      <c r="X551" s="72"/>
      <c r="Y551" s="72"/>
      <c r="Z551" s="72"/>
    </row>
    <row r="552">
      <c r="F552" s="73"/>
      <c r="G552" s="73"/>
      <c r="H552" s="73"/>
      <c r="I552" s="73"/>
      <c r="R552" s="72"/>
      <c r="S552" s="72"/>
      <c r="T552" s="72"/>
      <c r="U552" s="72"/>
      <c r="V552" s="72"/>
      <c r="W552" s="72"/>
      <c r="X552" s="72"/>
      <c r="Y552" s="72"/>
      <c r="Z552" s="72"/>
    </row>
    <row r="553">
      <c r="F553" s="73"/>
      <c r="G553" s="73"/>
      <c r="H553" s="73"/>
      <c r="I553" s="73"/>
      <c r="R553" s="72"/>
      <c r="S553" s="72"/>
      <c r="T553" s="72"/>
      <c r="U553" s="72"/>
      <c r="V553" s="72"/>
      <c r="W553" s="72"/>
      <c r="X553" s="72"/>
      <c r="Y553" s="72"/>
      <c r="Z553" s="72"/>
    </row>
    <row r="554">
      <c r="F554" s="73"/>
      <c r="G554" s="73"/>
      <c r="H554" s="73"/>
      <c r="I554" s="73"/>
      <c r="R554" s="72"/>
      <c r="S554" s="72"/>
      <c r="T554" s="72"/>
      <c r="U554" s="72"/>
      <c r="V554" s="72"/>
      <c r="W554" s="72"/>
      <c r="X554" s="72"/>
      <c r="Y554" s="72"/>
      <c r="Z554" s="72"/>
    </row>
    <row r="555">
      <c r="F555" s="73"/>
      <c r="G555" s="73"/>
      <c r="H555" s="73"/>
      <c r="I555" s="73"/>
      <c r="R555" s="72"/>
      <c r="S555" s="72"/>
      <c r="T555" s="72"/>
      <c r="U555" s="72"/>
      <c r="V555" s="72"/>
      <c r="W555" s="72"/>
      <c r="X555" s="72"/>
      <c r="Y555" s="72"/>
      <c r="Z555" s="72"/>
    </row>
    <row r="556">
      <c r="F556" s="73"/>
      <c r="G556" s="73"/>
      <c r="H556" s="73"/>
      <c r="I556" s="73"/>
      <c r="R556" s="72"/>
      <c r="S556" s="72"/>
      <c r="T556" s="72"/>
      <c r="U556" s="72"/>
      <c r="V556" s="72"/>
      <c r="W556" s="72"/>
      <c r="X556" s="72"/>
      <c r="Y556" s="72"/>
      <c r="Z556" s="72"/>
    </row>
    <row r="557">
      <c r="F557" s="73"/>
      <c r="G557" s="73"/>
      <c r="H557" s="73"/>
      <c r="I557" s="73"/>
      <c r="R557" s="72"/>
      <c r="S557" s="72"/>
      <c r="T557" s="72"/>
      <c r="U557" s="72"/>
      <c r="V557" s="72"/>
      <c r="W557" s="72"/>
      <c r="X557" s="72"/>
      <c r="Y557" s="72"/>
      <c r="Z557" s="72"/>
    </row>
    <row r="558">
      <c r="F558" s="73"/>
      <c r="G558" s="73"/>
      <c r="H558" s="73"/>
      <c r="I558" s="73"/>
      <c r="R558" s="72"/>
      <c r="S558" s="72"/>
      <c r="T558" s="72"/>
      <c r="U558" s="72"/>
      <c r="V558" s="72"/>
      <c r="W558" s="72"/>
      <c r="X558" s="72"/>
      <c r="Y558" s="72"/>
      <c r="Z558" s="72"/>
    </row>
    <row r="559">
      <c r="F559" s="73"/>
      <c r="G559" s="73"/>
      <c r="H559" s="73"/>
      <c r="I559" s="73"/>
      <c r="R559" s="72"/>
      <c r="S559" s="72"/>
      <c r="T559" s="72"/>
      <c r="U559" s="72"/>
      <c r="V559" s="72"/>
      <c r="W559" s="72"/>
      <c r="X559" s="72"/>
      <c r="Y559" s="72"/>
      <c r="Z559" s="72"/>
    </row>
    <row r="560">
      <c r="F560" s="73"/>
      <c r="G560" s="73"/>
      <c r="H560" s="73"/>
      <c r="I560" s="73"/>
      <c r="R560" s="72"/>
      <c r="S560" s="72"/>
      <c r="T560" s="72"/>
      <c r="U560" s="72"/>
      <c r="V560" s="72"/>
      <c r="W560" s="72"/>
      <c r="X560" s="72"/>
      <c r="Y560" s="72"/>
      <c r="Z560" s="72"/>
    </row>
    <row r="561">
      <c r="F561" s="73"/>
      <c r="G561" s="73"/>
      <c r="H561" s="73"/>
      <c r="I561" s="73"/>
      <c r="R561" s="72"/>
      <c r="S561" s="72"/>
      <c r="T561" s="72"/>
      <c r="U561" s="72"/>
      <c r="V561" s="72"/>
      <c r="W561" s="72"/>
      <c r="X561" s="72"/>
      <c r="Y561" s="72"/>
      <c r="Z561" s="72"/>
    </row>
    <row r="562">
      <c r="F562" s="73"/>
      <c r="G562" s="73"/>
      <c r="H562" s="73"/>
      <c r="I562" s="73"/>
      <c r="R562" s="72"/>
      <c r="S562" s="72"/>
      <c r="T562" s="72"/>
      <c r="U562" s="72"/>
      <c r="V562" s="72"/>
      <c r="W562" s="72"/>
      <c r="X562" s="72"/>
      <c r="Y562" s="72"/>
      <c r="Z562" s="72"/>
    </row>
    <row r="563">
      <c r="F563" s="73"/>
      <c r="G563" s="73"/>
      <c r="H563" s="73"/>
      <c r="I563" s="73"/>
      <c r="R563" s="72"/>
      <c r="S563" s="72"/>
      <c r="T563" s="72"/>
      <c r="U563" s="72"/>
      <c r="V563" s="72"/>
      <c r="W563" s="72"/>
      <c r="X563" s="72"/>
      <c r="Y563" s="72"/>
      <c r="Z563" s="72"/>
    </row>
    <row r="564">
      <c r="F564" s="73"/>
      <c r="G564" s="73"/>
      <c r="H564" s="73"/>
      <c r="I564" s="73"/>
      <c r="R564" s="72"/>
      <c r="S564" s="72"/>
      <c r="T564" s="72"/>
      <c r="U564" s="72"/>
      <c r="V564" s="72"/>
      <c r="W564" s="72"/>
      <c r="X564" s="72"/>
      <c r="Y564" s="72"/>
      <c r="Z564" s="72"/>
    </row>
    <row r="565">
      <c r="F565" s="73"/>
      <c r="G565" s="73"/>
      <c r="H565" s="73"/>
      <c r="I565" s="73"/>
      <c r="R565" s="72"/>
      <c r="S565" s="72"/>
      <c r="T565" s="72"/>
      <c r="U565" s="72"/>
      <c r="V565" s="72"/>
      <c r="W565" s="72"/>
      <c r="X565" s="72"/>
      <c r="Y565" s="72"/>
      <c r="Z565" s="72"/>
    </row>
    <row r="566">
      <c r="F566" s="73"/>
      <c r="G566" s="73"/>
      <c r="H566" s="73"/>
      <c r="I566" s="73"/>
      <c r="R566" s="72"/>
      <c r="S566" s="72"/>
      <c r="T566" s="72"/>
      <c r="U566" s="72"/>
      <c r="V566" s="72"/>
      <c r="W566" s="72"/>
      <c r="X566" s="72"/>
      <c r="Y566" s="72"/>
      <c r="Z566" s="72"/>
    </row>
    <row r="567">
      <c r="F567" s="73"/>
      <c r="G567" s="73"/>
      <c r="H567" s="73"/>
      <c r="I567" s="73"/>
      <c r="R567" s="72"/>
      <c r="S567" s="72"/>
      <c r="T567" s="72"/>
      <c r="U567" s="72"/>
      <c r="V567" s="72"/>
      <c r="W567" s="72"/>
      <c r="X567" s="72"/>
      <c r="Y567" s="72"/>
      <c r="Z567" s="72"/>
    </row>
    <row r="568">
      <c r="F568" s="73"/>
      <c r="G568" s="73"/>
      <c r="H568" s="73"/>
      <c r="I568" s="73"/>
      <c r="R568" s="72"/>
      <c r="S568" s="72"/>
      <c r="T568" s="72"/>
      <c r="U568" s="72"/>
      <c r="V568" s="72"/>
      <c r="W568" s="72"/>
      <c r="X568" s="72"/>
      <c r="Y568" s="72"/>
      <c r="Z568" s="72"/>
    </row>
    <row r="569">
      <c r="F569" s="73"/>
      <c r="G569" s="73"/>
      <c r="H569" s="73"/>
      <c r="I569" s="73"/>
      <c r="R569" s="72"/>
      <c r="S569" s="72"/>
      <c r="T569" s="72"/>
      <c r="U569" s="72"/>
      <c r="V569" s="72"/>
      <c r="W569" s="72"/>
      <c r="X569" s="72"/>
      <c r="Y569" s="72"/>
      <c r="Z569" s="72"/>
    </row>
    <row r="570">
      <c r="F570" s="73"/>
      <c r="G570" s="73"/>
      <c r="H570" s="73"/>
      <c r="I570" s="73"/>
      <c r="R570" s="72"/>
      <c r="S570" s="72"/>
      <c r="T570" s="72"/>
      <c r="U570" s="72"/>
      <c r="V570" s="72"/>
      <c r="W570" s="72"/>
      <c r="X570" s="72"/>
      <c r="Y570" s="72"/>
      <c r="Z570" s="72"/>
    </row>
    <row r="571">
      <c r="F571" s="73"/>
      <c r="G571" s="73"/>
      <c r="H571" s="73"/>
      <c r="I571" s="73"/>
      <c r="R571" s="72"/>
      <c r="S571" s="72"/>
      <c r="T571" s="72"/>
      <c r="U571" s="72"/>
      <c r="V571" s="72"/>
      <c r="W571" s="72"/>
      <c r="X571" s="72"/>
      <c r="Y571" s="72"/>
      <c r="Z571" s="72"/>
    </row>
    <row r="572">
      <c r="F572" s="73"/>
      <c r="G572" s="73"/>
      <c r="H572" s="73"/>
      <c r="I572" s="73"/>
      <c r="R572" s="72"/>
      <c r="S572" s="72"/>
      <c r="T572" s="72"/>
      <c r="U572" s="72"/>
      <c r="V572" s="72"/>
      <c r="W572" s="72"/>
      <c r="X572" s="72"/>
      <c r="Y572" s="72"/>
      <c r="Z572" s="72"/>
    </row>
    <row r="573">
      <c r="F573" s="73"/>
      <c r="G573" s="73"/>
      <c r="H573" s="73"/>
      <c r="I573" s="73"/>
      <c r="R573" s="72"/>
      <c r="S573" s="72"/>
      <c r="T573" s="72"/>
      <c r="U573" s="72"/>
      <c r="V573" s="72"/>
      <c r="W573" s="72"/>
      <c r="X573" s="72"/>
      <c r="Y573" s="72"/>
      <c r="Z573" s="72"/>
    </row>
    <row r="574">
      <c r="F574" s="73"/>
      <c r="G574" s="73"/>
      <c r="H574" s="73"/>
      <c r="I574" s="73"/>
      <c r="R574" s="72"/>
      <c r="S574" s="72"/>
      <c r="T574" s="72"/>
      <c r="U574" s="72"/>
      <c r="V574" s="72"/>
      <c r="W574" s="72"/>
      <c r="X574" s="72"/>
      <c r="Y574" s="72"/>
      <c r="Z574" s="72"/>
    </row>
    <row r="575">
      <c r="F575" s="73"/>
      <c r="G575" s="73"/>
      <c r="H575" s="73"/>
      <c r="I575" s="73"/>
      <c r="R575" s="72"/>
      <c r="S575" s="72"/>
      <c r="T575" s="72"/>
      <c r="U575" s="72"/>
      <c r="V575" s="72"/>
      <c r="W575" s="72"/>
      <c r="X575" s="72"/>
      <c r="Y575" s="72"/>
      <c r="Z575" s="72"/>
    </row>
    <row r="576">
      <c r="F576" s="73"/>
      <c r="G576" s="73"/>
      <c r="H576" s="73"/>
      <c r="I576" s="73"/>
      <c r="R576" s="72"/>
      <c r="S576" s="72"/>
      <c r="T576" s="72"/>
      <c r="U576" s="72"/>
      <c r="V576" s="72"/>
      <c r="W576" s="72"/>
      <c r="X576" s="72"/>
      <c r="Y576" s="72"/>
      <c r="Z576" s="72"/>
    </row>
    <row r="577">
      <c r="F577" s="73"/>
      <c r="G577" s="73"/>
      <c r="H577" s="73"/>
      <c r="I577" s="73"/>
      <c r="R577" s="72"/>
      <c r="S577" s="72"/>
      <c r="T577" s="72"/>
      <c r="U577" s="72"/>
      <c r="V577" s="72"/>
      <c r="W577" s="72"/>
      <c r="X577" s="72"/>
      <c r="Y577" s="72"/>
      <c r="Z577" s="72"/>
    </row>
    <row r="578">
      <c r="F578" s="73"/>
      <c r="G578" s="73"/>
      <c r="H578" s="73"/>
      <c r="I578" s="73"/>
      <c r="R578" s="72"/>
      <c r="S578" s="72"/>
      <c r="T578" s="72"/>
      <c r="U578" s="72"/>
      <c r="V578" s="72"/>
      <c r="W578" s="72"/>
      <c r="X578" s="72"/>
      <c r="Y578" s="72"/>
      <c r="Z578" s="72"/>
    </row>
    <row r="579">
      <c r="F579" s="73"/>
      <c r="G579" s="73"/>
      <c r="H579" s="73"/>
      <c r="I579" s="73"/>
      <c r="R579" s="72"/>
      <c r="S579" s="72"/>
      <c r="T579" s="72"/>
      <c r="U579" s="72"/>
      <c r="V579" s="72"/>
      <c r="W579" s="72"/>
      <c r="X579" s="72"/>
      <c r="Y579" s="72"/>
      <c r="Z579" s="72"/>
    </row>
    <row r="580">
      <c r="F580" s="73"/>
      <c r="G580" s="73"/>
      <c r="H580" s="73"/>
      <c r="I580" s="73"/>
      <c r="R580" s="72"/>
      <c r="S580" s="72"/>
      <c r="T580" s="72"/>
      <c r="U580" s="72"/>
      <c r="V580" s="72"/>
      <c r="W580" s="72"/>
      <c r="X580" s="72"/>
      <c r="Y580" s="72"/>
      <c r="Z580" s="72"/>
    </row>
    <row r="581">
      <c r="F581" s="73"/>
      <c r="G581" s="73"/>
      <c r="H581" s="73"/>
      <c r="I581" s="73"/>
      <c r="R581" s="72"/>
      <c r="S581" s="72"/>
      <c r="T581" s="72"/>
      <c r="U581" s="72"/>
      <c r="V581" s="72"/>
      <c r="W581" s="72"/>
      <c r="X581" s="72"/>
      <c r="Y581" s="72"/>
      <c r="Z581" s="72"/>
    </row>
    <row r="582">
      <c r="F582" s="73"/>
      <c r="G582" s="73"/>
      <c r="H582" s="73"/>
      <c r="I582" s="73"/>
      <c r="R582" s="72"/>
      <c r="S582" s="72"/>
      <c r="T582" s="72"/>
      <c r="U582" s="72"/>
      <c r="V582" s="72"/>
      <c r="W582" s="72"/>
      <c r="X582" s="72"/>
      <c r="Y582" s="72"/>
      <c r="Z582" s="72"/>
    </row>
    <row r="583">
      <c r="F583" s="73"/>
      <c r="G583" s="73"/>
      <c r="H583" s="73"/>
      <c r="I583" s="73"/>
      <c r="R583" s="72"/>
      <c r="S583" s="72"/>
      <c r="T583" s="72"/>
      <c r="U583" s="72"/>
      <c r="V583" s="72"/>
      <c r="W583" s="72"/>
      <c r="X583" s="72"/>
      <c r="Y583" s="72"/>
      <c r="Z583" s="72"/>
    </row>
    <row r="584">
      <c r="F584" s="73"/>
      <c r="G584" s="73"/>
      <c r="H584" s="73"/>
      <c r="I584" s="73"/>
      <c r="R584" s="72"/>
      <c r="S584" s="72"/>
      <c r="T584" s="72"/>
      <c r="U584" s="72"/>
      <c r="V584" s="72"/>
      <c r="W584" s="72"/>
      <c r="X584" s="72"/>
      <c r="Y584" s="72"/>
      <c r="Z584" s="72"/>
    </row>
    <row r="585">
      <c r="F585" s="73"/>
      <c r="G585" s="73"/>
      <c r="H585" s="73"/>
      <c r="I585" s="73"/>
      <c r="R585" s="72"/>
      <c r="S585" s="72"/>
      <c r="T585" s="72"/>
      <c r="U585" s="72"/>
      <c r="V585" s="72"/>
      <c r="W585" s="72"/>
      <c r="X585" s="72"/>
      <c r="Y585" s="72"/>
      <c r="Z585" s="72"/>
    </row>
    <row r="586">
      <c r="F586" s="73"/>
      <c r="G586" s="73"/>
      <c r="H586" s="73"/>
      <c r="I586" s="73"/>
      <c r="R586" s="72"/>
      <c r="S586" s="72"/>
      <c r="T586" s="72"/>
      <c r="U586" s="72"/>
      <c r="V586" s="72"/>
      <c r="W586" s="72"/>
      <c r="X586" s="72"/>
      <c r="Y586" s="72"/>
      <c r="Z586" s="72"/>
    </row>
    <row r="587">
      <c r="F587" s="73"/>
      <c r="G587" s="73"/>
      <c r="H587" s="73"/>
      <c r="I587" s="73"/>
      <c r="R587" s="72"/>
      <c r="S587" s="72"/>
      <c r="T587" s="72"/>
      <c r="U587" s="72"/>
      <c r="V587" s="72"/>
      <c r="W587" s="72"/>
      <c r="X587" s="72"/>
      <c r="Y587" s="72"/>
      <c r="Z587" s="72"/>
    </row>
    <row r="588">
      <c r="F588" s="73"/>
      <c r="G588" s="73"/>
      <c r="H588" s="73"/>
      <c r="I588" s="73"/>
      <c r="R588" s="72"/>
      <c r="S588" s="72"/>
      <c r="T588" s="72"/>
      <c r="U588" s="72"/>
      <c r="V588" s="72"/>
      <c r="W588" s="72"/>
      <c r="X588" s="72"/>
      <c r="Y588" s="72"/>
      <c r="Z588" s="72"/>
    </row>
    <row r="589">
      <c r="F589" s="73"/>
      <c r="G589" s="73"/>
      <c r="H589" s="73"/>
      <c r="I589" s="73"/>
      <c r="R589" s="72"/>
      <c r="S589" s="72"/>
      <c r="T589" s="72"/>
      <c r="U589" s="72"/>
      <c r="V589" s="72"/>
      <c r="W589" s="72"/>
      <c r="X589" s="72"/>
      <c r="Y589" s="72"/>
      <c r="Z589" s="72"/>
    </row>
    <row r="590">
      <c r="F590" s="73"/>
      <c r="G590" s="73"/>
      <c r="H590" s="73"/>
      <c r="I590" s="73"/>
      <c r="R590" s="72"/>
      <c r="S590" s="72"/>
      <c r="T590" s="72"/>
      <c r="U590" s="72"/>
      <c r="V590" s="72"/>
      <c r="W590" s="72"/>
      <c r="X590" s="72"/>
      <c r="Y590" s="72"/>
      <c r="Z590" s="72"/>
    </row>
    <row r="591">
      <c r="F591" s="73"/>
      <c r="G591" s="73"/>
      <c r="H591" s="73"/>
      <c r="I591" s="73"/>
      <c r="R591" s="72"/>
      <c r="S591" s="72"/>
      <c r="T591" s="72"/>
      <c r="U591" s="72"/>
      <c r="V591" s="72"/>
      <c r="W591" s="72"/>
      <c r="X591" s="72"/>
      <c r="Y591" s="72"/>
      <c r="Z591" s="72"/>
    </row>
    <row r="592">
      <c r="F592" s="73"/>
      <c r="G592" s="73"/>
      <c r="H592" s="73"/>
      <c r="I592" s="73"/>
      <c r="R592" s="72"/>
      <c r="S592" s="72"/>
      <c r="T592" s="72"/>
      <c r="U592" s="72"/>
      <c r="V592" s="72"/>
      <c r="W592" s="72"/>
      <c r="X592" s="72"/>
      <c r="Y592" s="72"/>
      <c r="Z592" s="72"/>
    </row>
    <row r="593">
      <c r="F593" s="73"/>
      <c r="G593" s="73"/>
      <c r="H593" s="73"/>
      <c r="I593" s="73"/>
      <c r="R593" s="72"/>
      <c r="S593" s="72"/>
      <c r="T593" s="72"/>
      <c r="U593" s="72"/>
      <c r="V593" s="72"/>
      <c r="W593" s="72"/>
      <c r="X593" s="72"/>
      <c r="Y593" s="72"/>
      <c r="Z593" s="72"/>
    </row>
    <row r="594">
      <c r="F594" s="73"/>
      <c r="G594" s="73"/>
      <c r="H594" s="73"/>
      <c r="I594" s="73"/>
      <c r="R594" s="72"/>
      <c r="S594" s="72"/>
      <c r="T594" s="72"/>
      <c r="U594" s="72"/>
      <c r="V594" s="72"/>
      <c r="W594" s="72"/>
      <c r="X594" s="72"/>
      <c r="Y594" s="72"/>
      <c r="Z594" s="72"/>
    </row>
    <row r="595">
      <c r="F595" s="73"/>
      <c r="G595" s="73"/>
      <c r="H595" s="73"/>
      <c r="I595" s="73"/>
      <c r="R595" s="72"/>
      <c r="S595" s="72"/>
      <c r="T595" s="72"/>
      <c r="U595" s="72"/>
      <c r="V595" s="72"/>
      <c r="W595" s="72"/>
      <c r="X595" s="72"/>
      <c r="Y595" s="72"/>
      <c r="Z595" s="72"/>
    </row>
    <row r="596">
      <c r="F596" s="73"/>
      <c r="G596" s="73"/>
      <c r="H596" s="73"/>
      <c r="I596" s="73"/>
      <c r="R596" s="72"/>
      <c r="S596" s="72"/>
      <c r="T596" s="72"/>
      <c r="U596" s="72"/>
      <c r="V596" s="72"/>
      <c r="W596" s="72"/>
      <c r="X596" s="72"/>
      <c r="Y596" s="72"/>
      <c r="Z596" s="72"/>
    </row>
    <row r="597">
      <c r="F597" s="73"/>
      <c r="G597" s="73"/>
      <c r="H597" s="73"/>
      <c r="I597" s="73"/>
      <c r="R597" s="72"/>
      <c r="S597" s="72"/>
      <c r="T597" s="72"/>
      <c r="U597" s="72"/>
      <c r="V597" s="72"/>
      <c r="W597" s="72"/>
      <c r="X597" s="72"/>
      <c r="Y597" s="72"/>
      <c r="Z597" s="72"/>
    </row>
    <row r="598">
      <c r="F598" s="73"/>
      <c r="G598" s="73"/>
      <c r="H598" s="73"/>
      <c r="I598" s="73"/>
      <c r="R598" s="72"/>
      <c r="S598" s="72"/>
      <c r="T598" s="72"/>
      <c r="U598" s="72"/>
      <c r="V598" s="72"/>
      <c r="W598" s="72"/>
      <c r="X598" s="72"/>
      <c r="Y598" s="72"/>
      <c r="Z598" s="72"/>
    </row>
    <row r="599">
      <c r="F599" s="73"/>
      <c r="G599" s="73"/>
      <c r="H599" s="73"/>
      <c r="I599" s="73"/>
      <c r="R599" s="72"/>
      <c r="S599" s="72"/>
      <c r="T599" s="72"/>
      <c r="U599" s="72"/>
      <c r="V599" s="72"/>
      <c r="W599" s="72"/>
      <c r="X599" s="72"/>
      <c r="Y599" s="72"/>
      <c r="Z599" s="72"/>
    </row>
    <row r="600">
      <c r="F600" s="73"/>
      <c r="G600" s="73"/>
      <c r="H600" s="73"/>
      <c r="I600" s="73"/>
      <c r="R600" s="72"/>
      <c r="S600" s="72"/>
      <c r="T600" s="72"/>
      <c r="U600" s="72"/>
      <c r="V600" s="72"/>
      <c r="W600" s="72"/>
      <c r="X600" s="72"/>
      <c r="Y600" s="72"/>
      <c r="Z600" s="72"/>
    </row>
    <row r="601">
      <c r="F601" s="73"/>
      <c r="G601" s="73"/>
      <c r="H601" s="73"/>
      <c r="I601" s="73"/>
      <c r="R601" s="72"/>
      <c r="S601" s="72"/>
      <c r="T601" s="72"/>
      <c r="U601" s="72"/>
      <c r="V601" s="72"/>
      <c r="W601" s="72"/>
      <c r="X601" s="72"/>
      <c r="Y601" s="72"/>
      <c r="Z601" s="72"/>
    </row>
    <row r="602">
      <c r="F602" s="73"/>
      <c r="G602" s="73"/>
      <c r="H602" s="73"/>
      <c r="I602" s="73"/>
      <c r="R602" s="72"/>
      <c r="S602" s="72"/>
      <c r="T602" s="72"/>
      <c r="U602" s="72"/>
      <c r="V602" s="72"/>
      <c r="W602" s="72"/>
      <c r="X602" s="72"/>
      <c r="Y602" s="72"/>
      <c r="Z602" s="72"/>
    </row>
    <row r="603">
      <c r="F603" s="73"/>
      <c r="G603" s="73"/>
      <c r="H603" s="73"/>
      <c r="I603" s="73"/>
      <c r="R603" s="72"/>
      <c r="S603" s="72"/>
      <c r="T603" s="72"/>
      <c r="U603" s="72"/>
      <c r="V603" s="72"/>
      <c r="W603" s="72"/>
      <c r="X603" s="72"/>
      <c r="Y603" s="72"/>
      <c r="Z603" s="72"/>
    </row>
    <row r="604">
      <c r="F604" s="73"/>
      <c r="G604" s="73"/>
      <c r="H604" s="73"/>
      <c r="I604" s="73"/>
      <c r="R604" s="72"/>
      <c r="S604" s="72"/>
      <c r="T604" s="72"/>
      <c r="U604" s="72"/>
      <c r="V604" s="72"/>
      <c r="W604" s="72"/>
      <c r="X604" s="72"/>
      <c r="Y604" s="72"/>
      <c r="Z604" s="72"/>
    </row>
    <row r="605">
      <c r="F605" s="73"/>
      <c r="G605" s="73"/>
      <c r="H605" s="73"/>
      <c r="I605" s="73"/>
      <c r="R605" s="72"/>
      <c r="S605" s="72"/>
      <c r="T605" s="72"/>
      <c r="U605" s="72"/>
      <c r="V605" s="72"/>
      <c r="W605" s="72"/>
      <c r="X605" s="72"/>
      <c r="Y605" s="72"/>
      <c r="Z605" s="72"/>
    </row>
    <row r="606">
      <c r="F606" s="73"/>
      <c r="G606" s="73"/>
      <c r="H606" s="73"/>
      <c r="I606" s="73"/>
      <c r="R606" s="72"/>
      <c r="S606" s="72"/>
      <c r="T606" s="72"/>
      <c r="U606" s="72"/>
      <c r="V606" s="72"/>
      <c r="W606" s="72"/>
      <c r="X606" s="72"/>
      <c r="Y606" s="72"/>
      <c r="Z606" s="72"/>
    </row>
    <row r="607">
      <c r="F607" s="73"/>
      <c r="G607" s="73"/>
      <c r="H607" s="73"/>
      <c r="I607" s="73"/>
      <c r="R607" s="72"/>
      <c r="S607" s="72"/>
      <c r="T607" s="72"/>
      <c r="U607" s="72"/>
      <c r="V607" s="72"/>
      <c r="W607" s="72"/>
      <c r="X607" s="72"/>
      <c r="Y607" s="72"/>
      <c r="Z607" s="72"/>
    </row>
    <row r="608">
      <c r="F608" s="73"/>
      <c r="G608" s="73"/>
      <c r="H608" s="73"/>
      <c r="I608" s="73"/>
      <c r="R608" s="72"/>
      <c r="S608" s="72"/>
      <c r="T608" s="72"/>
      <c r="U608" s="72"/>
      <c r="V608" s="72"/>
      <c r="W608" s="72"/>
      <c r="X608" s="72"/>
      <c r="Y608" s="72"/>
      <c r="Z608" s="72"/>
    </row>
    <row r="609">
      <c r="F609" s="73"/>
      <c r="G609" s="73"/>
      <c r="H609" s="73"/>
      <c r="I609" s="73"/>
      <c r="R609" s="72"/>
      <c r="S609" s="72"/>
      <c r="T609" s="72"/>
      <c r="U609" s="72"/>
      <c r="V609" s="72"/>
      <c r="W609" s="72"/>
      <c r="X609" s="72"/>
      <c r="Y609" s="72"/>
      <c r="Z609" s="72"/>
    </row>
    <row r="610">
      <c r="F610" s="73"/>
      <c r="G610" s="73"/>
      <c r="H610" s="73"/>
      <c r="I610" s="73"/>
      <c r="R610" s="72"/>
      <c r="S610" s="72"/>
      <c r="T610" s="72"/>
      <c r="U610" s="72"/>
      <c r="V610" s="72"/>
      <c r="W610" s="72"/>
      <c r="X610" s="72"/>
      <c r="Y610" s="72"/>
      <c r="Z610" s="72"/>
    </row>
    <row r="611">
      <c r="F611" s="73"/>
      <c r="G611" s="73"/>
      <c r="H611" s="73"/>
      <c r="I611" s="73"/>
      <c r="R611" s="72"/>
      <c r="S611" s="72"/>
      <c r="T611" s="72"/>
      <c r="U611" s="72"/>
      <c r="V611" s="72"/>
      <c r="W611" s="72"/>
      <c r="X611" s="72"/>
      <c r="Y611" s="72"/>
      <c r="Z611" s="72"/>
    </row>
    <row r="612">
      <c r="F612" s="73"/>
      <c r="G612" s="73"/>
      <c r="H612" s="73"/>
      <c r="I612" s="73"/>
      <c r="R612" s="72"/>
      <c r="S612" s="72"/>
      <c r="T612" s="72"/>
      <c r="U612" s="72"/>
      <c r="V612" s="72"/>
      <c r="W612" s="72"/>
      <c r="X612" s="72"/>
      <c r="Y612" s="72"/>
      <c r="Z612" s="72"/>
    </row>
    <row r="613">
      <c r="F613" s="73"/>
      <c r="G613" s="73"/>
      <c r="H613" s="73"/>
      <c r="I613" s="73"/>
      <c r="R613" s="72"/>
      <c r="S613" s="72"/>
      <c r="T613" s="72"/>
      <c r="U613" s="72"/>
      <c r="V613" s="72"/>
      <c r="W613" s="72"/>
      <c r="X613" s="72"/>
      <c r="Y613" s="72"/>
      <c r="Z613" s="72"/>
    </row>
    <row r="614">
      <c r="F614" s="73"/>
      <c r="G614" s="73"/>
      <c r="H614" s="73"/>
      <c r="I614" s="73"/>
      <c r="R614" s="72"/>
      <c r="S614" s="72"/>
      <c r="T614" s="72"/>
      <c r="U614" s="72"/>
      <c r="V614" s="72"/>
      <c r="W614" s="72"/>
      <c r="X614" s="72"/>
      <c r="Y614" s="72"/>
      <c r="Z614" s="72"/>
    </row>
    <row r="615">
      <c r="F615" s="73"/>
      <c r="G615" s="73"/>
      <c r="H615" s="73"/>
      <c r="I615" s="73"/>
      <c r="R615" s="72"/>
      <c r="S615" s="72"/>
      <c r="T615" s="72"/>
      <c r="U615" s="72"/>
      <c r="V615" s="72"/>
      <c r="W615" s="72"/>
      <c r="X615" s="72"/>
      <c r="Y615" s="72"/>
      <c r="Z615" s="72"/>
    </row>
    <row r="616">
      <c r="F616" s="73"/>
      <c r="G616" s="73"/>
      <c r="H616" s="73"/>
      <c r="I616" s="73"/>
      <c r="R616" s="72"/>
      <c r="S616" s="72"/>
      <c r="T616" s="72"/>
      <c r="U616" s="72"/>
      <c r="V616" s="72"/>
      <c r="W616" s="72"/>
      <c r="X616" s="72"/>
      <c r="Y616" s="72"/>
      <c r="Z616" s="72"/>
    </row>
    <row r="617">
      <c r="F617" s="73"/>
      <c r="G617" s="73"/>
      <c r="H617" s="73"/>
      <c r="I617" s="73"/>
      <c r="R617" s="72"/>
      <c r="S617" s="72"/>
      <c r="T617" s="72"/>
      <c r="U617" s="72"/>
      <c r="V617" s="72"/>
      <c r="W617" s="72"/>
      <c r="X617" s="72"/>
      <c r="Y617" s="72"/>
      <c r="Z617" s="72"/>
    </row>
    <row r="618">
      <c r="F618" s="73"/>
      <c r="G618" s="73"/>
      <c r="H618" s="73"/>
      <c r="I618" s="73"/>
      <c r="R618" s="72"/>
      <c r="S618" s="72"/>
      <c r="T618" s="72"/>
      <c r="U618" s="72"/>
      <c r="V618" s="72"/>
      <c r="W618" s="72"/>
      <c r="X618" s="72"/>
      <c r="Y618" s="72"/>
      <c r="Z618" s="72"/>
    </row>
    <row r="619">
      <c r="F619" s="73"/>
      <c r="G619" s="73"/>
      <c r="H619" s="73"/>
      <c r="I619" s="73"/>
      <c r="R619" s="72"/>
      <c r="S619" s="72"/>
      <c r="T619" s="72"/>
      <c r="U619" s="72"/>
      <c r="V619" s="72"/>
      <c r="W619" s="72"/>
      <c r="X619" s="72"/>
      <c r="Y619" s="72"/>
      <c r="Z619" s="72"/>
    </row>
    <row r="620">
      <c r="F620" s="73"/>
      <c r="G620" s="73"/>
      <c r="H620" s="73"/>
      <c r="I620" s="73"/>
      <c r="R620" s="72"/>
      <c r="S620" s="72"/>
      <c r="T620" s="72"/>
      <c r="U620" s="72"/>
      <c r="V620" s="72"/>
      <c r="W620" s="72"/>
      <c r="X620" s="72"/>
      <c r="Y620" s="72"/>
      <c r="Z620" s="72"/>
    </row>
    <row r="621">
      <c r="F621" s="73"/>
      <c r="G621" s="73"/>
      <c r="H621" s="73"/>
      <c r="I621" s="73"/>
      <c r="R621" s="72"/>
      <c r="S621" s="72"/>
      <c r="T621" s="72"/>
      <c r="U621" s="72"/>
      <c r="V621" s="72"/>
      <c r="W621" s="72"/>
      <c r="X621" s="72"/>
      <c r="Y621" s="72"/>
      <c r="Z621" s="72"/>
    </row>
    <row r="622">
      <c r="F622" s="73"/>
      <c r="G622" s="73"/>
      <c r="H622" s="73"/>
      <c r="I622" s="73"/>
      <c r="R622" s="72"/>
      <c r="S622" s="72"/>
      <c r="T622" s="72"/>
      <c r="U622" s="72"/>
      <c r="V622" s="72"/>
      <c r="W622" s="72"/>
      <c r="X622" s="72"/>
      <c r="Y622" s="72"/>
      <c r="Z622" s="72"/>
    </row>
    <row r="623">
      <c r="F623" s="73"/>
      <c r="G623" s="73"/>
      <c r="H623" s="73"/>
      <c r="I623" s="73"/>
      <c r="R623" s="72"/>
      <c r="S623" s="72"/>
      <c r="T623" s="72"/>
      <c r="U623" s="72"/>
      <c r="V623" s="72"/>
      <c r="W623" s="72"/>
      <c r="X623" s="72"/>
      <c r="Y623" s="72"/>
      <c r="Z623" s="72"/>
    </row>
    <row r="624">
      <c r="F624" s="73"/>
      <c r="G624" s="73"/>
      <c r="H624" s="73"/>
      <c r="I624" s="73"/>
      <c r="R624" s="72"/>
      <c r="S624" s="72"/>
      <c r="T624" s="72"/>
      <c r="U624" s="72"/>
      <c r="V624" s="72"/>
      <c r="W624" s="72"/>
      <c r="X624" s="72"/>
      <c r="Y624" s="72"/>
      <c r="Z624" s="72"/>
    </row>
    <row r="625">
      <c r="F625" s="73"/>
      <c r="G625" s="73"/>
      <c r="H625" s="73"/>
      <c r="I625" s="73"/>
      <c r="R625" s="72"/>
      <c r="S625" s="72"/>
      <c r="T625" s="72"/>
      <c r="U625" s="72"/>
      <c r="V625" s="72"/>
      <c r="W625" s="72"/>
      <c r="X625" s="72"/>
      <c r="Y625" s="72"/>
      <c r="Z625" s="72"/>
    </row>
    <row r="626">
      <c r="F626" s="73"/>
      <c r="G626" s="73"/>
      <c r="H626" s="73"/>
      <c r="I626" s="73"/>
      <c r="R626" s="72"/>
      <c r="S626" s="72"/>
      <c r="T626" s="72"/>
      <c r="U626" s="72"/>
      <c r="V626" s="72"/>
      <c r="W626" s="72"/>
      <c r="X626" s="72"/>
      <c r="Y626" s="72"/>
      <c r="Z626" s="72"/>
    </row>
    <row r="627">
      <c r="F627" s="73"/>
      <c r="G627" s="73"/>
      <c r="H627" s="73"/>
      <c r="I627" s="73"/>
      <c r="R627" s="72"/>
      <c r="S627" s="72"/>
      <c r="T627" s="72"/>
      <c r="U627" s="72"/>
      <c r="V627" s="72"/>
      <c r="W627" s="72"/>
      <c r="X627" s="72"/>
      <c r="Y627" s="72"/>
      <c r="Z627" s="72"/>
    </row>
    <row r="628">
      <c r="F628" s="73"/>
      <c r="G628" s="73"/>
      <c r="H628" s="73"/>
      <c r="I628" s="73"/>
      <c r="R628" s="72"/>
      <c r="S628" s="72"/>
      <c r="T628" s="72"/>
      <c r="U628" s="72"/>
      <c r="V628" s="72"/>
      <c r="W628" s="72"/>
      <c r="X628" s="72"/>
      <c r="Y628" s="72"/>
      <c r="Z628" s="72"/>
    </row>
    <row r="629">
      <c r="F629" s="73"/>
      <c r="G629" s="73"/>
      <c r="H629" s="73"/>
      <c r="I629" s="73"/>
      <c r="R629" s="72"/>
      <c r="S629" s="72"/>
      <c r="T629" s="72"/>
      <c r="U629" s="72"/>
      <c r="V629" s="72"/>
      <c r="W629" s="72"/>
      <c r="X629" s="72"/>
      <c r="Y629" s="72"/>
      <c r="Z629" s="72"/>
    </row>
    <row r="630">
      <c r="F630" s="73"/>
      <c r="G630" s="73"/>
      <c r="H630" s="73"/>
      <c r="I630" s="73"/>
      <c r="R630" s="72"/>
      <c r="S630" s="72"/>
      <c r="T630" s="72"/>
      <c r="U630" s="72"/>
      <c r="V630" s="72"/>
      <c r="W630" s="72"/>
      <c r="X630" s="72"/>
      <c r="Y630" s="72"/>
      <c r="Z630" s="72"/>
    </row>
    <row r="631">
      <c r="F631" s="73"/>
      <c r="G631" s="73"/>
      <c r="H631" s="73"/>
      <c r="I631" s="73"/>
      <c r="R631" s="72"/>
      <c r="S631" s="72"/>
      <c r="T631" s="72"/>
      <c r="U631" s="72"/>
      <c r="V631" s="72"/>
      <c r="W631" s="72"/>
      <c r="X631" s="72"/>
      <c r="Y631" s="72"/>
      <c r="Z631" s="72"/>
    </row>
    <row r="632">
      <c r="F632" s="73"/>
      <c r="G632" s="73"/>
      <c r="H632" s="73"/>
      <c r="I632" s="73"/>
      <c r="R632" s="72"/>
      <c r="S632" s="72"/>
      <c r="T632" s="72"/>
      <c r="U632" s="72"/>
      <c r="V632" s="72"/>
      <c r="W632" s="72"/>
      <c r="X632" s="72"/>
      <c r="Y632" s="72"/>
      <c r="Z632" s="72"/>
    </row>
    <row r="633">
      <c r="F633" s="73"/>
      <c r="G633" s="73"/>
      <c r="H633" s="73"/>
      <c r="I633" s="73"/>
      <c r="R633" s="72"/>
      <c r="S633" s="72"/>
      <c r="T633" s="72"/>
      <c r="U633" s="72"/>
      <c r="V633" s="72"/>
      <c r="W633" s="72"/>
      <c r="X633" s="72"/>
      <c r="Y633" s="72"/>
      <c r="Z633" s="72"/>
    </row>
    <row r="634">
      <c r="F634" s="73"/>
      <c r="G634" s="73"/>
      <c r="H634" s="73"/>
      <c r="I634" s="73"/>
      <c r="R634" s="72"/>
      <c r="S634" s="72"/>
      <c r="T634" s="72"/>
      <c r="U634" s="72"/>
      <c r="V634" s="72"/>
      <c r="W634" s="72"/>
      <c r="X634" s="72"/>
      <c r="Y634" s="72"/>
      <c r="Z634" s="72"/>
    </row>
    <row r="635">
      <c r="F635" s="73"/>
      <c r="G635" s="73"/>
      <c r="H635" s="73"/>
      <c r="I635" s="73"/>
      <c r="R635" s="72"/>
      <c r="S635" s="72"/>
      <c r="T635" s="72"/>
      <c r="U635" s="72"/>
      <c r="V635" s="72"/>
      <c r="W635" s="72"/>
      <c r="X635" s="72"/>
      <c r="Y635" s="72"/>
      <c r="Z635" s="72"/>
    </row>
    <row r="636">
      <c r="F636" s="73"/>
      <c r="G636" s="73"/>
      <c r="H636" s="73"/>
      <c r="I636" s="73"/>
      <c r="R636" s="72"/>
      <c r="S636" s="72"/>
      <c r="T636" s="72"/>
      <c r="U636" s="72"/>
      <c r="V636" s="72"/>
      <c r="W636" s="72"/>
      <c r="X636" s="72"/>
      <c r="Y636" s="72"/>
      <c r="Z636" s="72"/>
    </row>
    <row r="637">
      <c r="F637" s="73"/>
      <c r="G637" s="73"/>
      <c r="H637" s="73"/>
      <c r="I637" s="73"/>
      <c r="R637" s="72"/>
      <c r="S637" s="72"/>
      <c r="T637" s="72"/>
      <c r="U637" s="72"/>
      <c r="V637" s="72"/>
      <c r="W637" s="72"/>
      <c r="X637" s="72"/>
      <c r="Y637" s="72"/>
      <c r="Z637" s="72"/>
    </row>
    <row r="638">
      <c r="F638" s="73"/>
      <c r="G638" s="73"/>
      <c r="H638" s="73"/>
      <c r="I638" s="73"/>
      <c r="R638" s="72"/>
      <c r="S638" s="72"/>
      <c r="T638" s="72"/>
      <c r="U638" s="72"/>
      <c r="V638" s="72"/>
      <c r="W638" s="72"/>
      <c r="X638" s="72"/>
      <c r="Y638" s="72"/>
      <c r="Z638" s="72"/>
    </row>
    <row r="639">
      <c r="F639" s="73"/>
      <c r="G639" s="73"/>
      <c r="H639" s="73"/>
      <c r="I639" s="73"/>
      <c r="R639" s="72"/>
      <c r="S639" s="72"/>
      <c r="T639" s="72"/>
      <c r="U639" s="72"/>
      <c r="V639" s="72"/>
      <c r="W639" s="72"/>
      <c r="X639" s="72"/>
      <c r="Y639" s="72"/>
      <c r="Z639" s="72"/>
    </row>
    <row r="640">
      <c r="F640" s="73"/>
      <c r="G640" s="73"/>
      <c r="H640" s="73"/>
      <c r="I640" s="73"/>
      <c r="R640" s="72"/>
      <c r="S640" s="72"/>
      <c r="T640" s="72"/>
      <c r="U640" s="72"/>
      <c r="V640" s="72"/>
      <c r="W640" s="72"/>
      <c r="X640" s="72"/>
      <c r="Y640" s="72"/>
      <c r="Z640" s="72"/>
    </row>
    <row r="641">
      <c r="F641" s="73"/>
      <c r="G641" s="73"/>
      <c r="H641" s="73"/>
      <c r="I641" s="73"/>
      <c r="R641" s="72"/>
      <c r="S641" s="72"/>
      <c r="T641" s="72"/>
      <c r="U641" s="72"/>
      <c r="V641" s="72"/>
      <c r="W641" s="72"/>
      <c r="X641" s="72"/>
      <c r="Y641" s="72"/>
      <c r="Z641" s="72"/>
    </row>
    <row r="642">
      <c r="F642" s="73"/>
      <c r="G642" s="73"/>
      <c r="H642" s="73"/>
      <c r="I642" s="73"/>
      <c r="R642" s="72"/>
      <c r="S642" s="72"/>
      <c r="T642" s="72"/>
      <c r="U642" s="72"/>
      <c r="V642" s="72"/>
      <c r="W642" s="72"/>
      <c r="X642" s="72"/>
      <c r="Y642" s="72"/>
      <c r="Z642" s="72"/>
    </row>
    <row r="643">
      <c r="F643" s="73"/>
      <c r="G643" s="73"/>
      <c r="H643" s="73"/>
      <c r="I643" s="73"/>
      <c r="R643" s="72"/>
      <c r="S643" s="72"/>
      <c r="T643" s="72"/>
      <c r="U643" s="72"/>
      <c r="V643" s="72"/>
      <c r="W643" s="72"/>
      <c r="X643" s="72"/>
      <c r="Y643" s="72"/>
      <c r="Z643" s="72"/>
    </row>
    <row r="644">
      <c r="F644" s="73"/>
      <c r="G644" s="73"/>
      <c r="H644" s="73"/>
      <c r="I644" s="73"/>
      <c r="R644" s="72"/>
      <c r="S644" s="72"/>
      <c r="T644" s="72"/>
      <c r="U644" s="72"/>
      <c r="V644" s="72"/>
      <c r="W644" s="72"/>
      <c r="X644" s="72"/>
      <c r="Y644" s="72"/>
      <c r="Z644" s="72"/>
    </row>
    <row r="645">
      <c r="F645" s="73"/>
      <c r="G645" s="73"/>
      <c r="H645" s="73"/>
      <c r="I645" s="73"/>
      <c r="R645" s="72"/>
      <c r="S645" s="72"/>
      <c r="T645" s="72"/>
      <c r="U645" s="72"/>
      <c r="V645" s="72"/>
      <c r="W645" s="72"/>
      <c r="X645" s="72"/>
      <c r="Y645" s="72"/>
      <c r="Z645" s="72"/>
    </row>
    <row r="646">
      <c r="F646" s="73"/>
      <c r="G646" s="73"/>
      <c r="H646" s="73"/>
      <c r="I646" s="73"/>
      <c r="R646" s="72"/>
      <c r="S646" s="72"/>
      <c r="T646" s="72"/>
      <c r="U646" s="72"/>
      <c r="V646" s="72"/>
      <c r="W646" s="72"/>
      <c r="X646" s="72"/>
      <c r="Y646" s="72"/>
      <c r="Z646" s="72"/>
    </row>
    <row r="647">
      <c r="F647" s="73"/>
      <c r="G647" s="73"/>
      <c r="H647" s="73"/>
      <c r="I647" s="73"/>
      <c r="R647" s="72"/>
      <c r="S647" s="72"/>
      <c r="T647" s="72"/>
      <c r="U647" s="72"/>
      <c r="V647" s="72"/>
      <c r="W647" s="72"/>
      <c r="X647" s="72"/>
      <c r="Y647" s="72"/>
      <c r="Z647" s="72"/>
    </row>
    <row r="648">
      <c r="F648" s="73"/>
      <c r="G648" s="73"/>
      <c r="H648" s="73"/>
      <c r="I648" s="73"/>
      <c r="R648" s="72"/>
      <c r="S648" s="72"/>
      <c r="T648" s="72"/>
      <c r="U648" s="72"/>
      <c r="V648" s="72"/>
      <c r="W648" s="72"/>
      <c r="X648" s="72"/>
      <c r="Y648" s="72"/>
      <c r="Z648" s="72"/>
    </row>
    <row r="649">
      <c r="F649" s="73"/>
      <c r="G649" s="73"/>
      <c r="H649" s="73"/>
      <c r="I649" s="73"/>
      <c r="R649" s="72"/>
      <c r="S649" s="72"/>
      <c r="T649" s="72"/>
      <c r="U649" s="72"/>
      <c r="V649" s="72"/>
      <c r="W649" s="72"/>
      <c r="X649" s="72"/>
      <c r="Y649" s="72"/>
      <c r="Z649" s="72"/>
    </row>
    <row r="650">
      <c r="F650" s="73"/>
      <c r="G650" s="73"/>
      <c r="H650" s="73"/>
      <c r="I650" s="73"/>
      <c r="R650" s="72"/>
      <c r="S650" s="72"/>
      <c r="T650" s="72"/>
      <c r="U650" s="72"/>
      <c r="V650" s="72"/>
      <c r="W650" s="72"/>
      <c r="X650" s="72"/>
      <c r="Y650" s="72"/>
      <c r="Z650" s="72"/>
    </row>
    <row r="651">
      <c r="F651" s="73"/>
      <c r="G651" s="73"/>
      <c r="H651" s="73"/>
      <c r="I651" s="73"/>
      <c r="R651" s="72"/>
      <c r="S651" s="72"/>
      <c r="T651" s="72"/>
      <c r="U651" s="72"/>
      <c r="V651" s="72"/>
      <c r="W651" s="72"/>
      <c r="X651" s="72"/>
      <c r="Y651" s="72"/>
      <c r="Z651" s="72"/>
    </row>
    <row r="652">
      <c r="F652" s="73"/>
      <c r="G652" s="73"/>
      <c r="H652" s="73"/>
      <c r="I652" s="73"/>
      <c r="R652" s="72"/>
      <c r="S652" s="72"/>
      <c r="T652" s="72"/>
      <c r="U652" s="72"/>
      <c r="V652" s="72"/>
      <c r="W652" s="72"/>
      <c r="X652" s="72"/>
      <c r="Y652" s="72"/>
      <c r="Z652" s="72"/>
    </row>
    <row r="653">
      <c r="F653" s="73"/>
      <c r="G653" s="73"/>
      <c r="H653" s="73"/>
      <c r="I653" s="73"/>
      <c r="R653" s="72"/>
      <c r="S653" s="72"/>
      <c r="T653" s="72"/>
      <c r="U653" s="72"/>
      <c r="V653" s="72"/>
      <c r="W653" s="72"/>
      <c r="X653" s="72"/>
      <c r="Y653" s="72"/>
      <c r="Z653" s="72"/>
    </row>
    <row r="654">
      <c r="F654" s="73"/>
      <c r="G654" s="73"/>
      <c r="H654" s="73"/>
      <c r="I654" s="73"/>
      <c r="R654" s="72"/>
      <c r="S654" s="72"/>
      <c r="T654" s="72"/>
      <c r="U654" s="72"/>
      <c r="V654" s="72"/>
      <c r="W654" s="72"/>
      <c r="X654" s="72"/>
      <c r="Y654" s="72"/>
      <c r="Z654" s="72"/>
    </row>
    <row r="655">
      <c r="F655" s="73"/>
      <c r="G655" s="73"/>
      <c r="H655" s="73"/>
      <c r="I655" s="73"/>
      <c r="R655" s="72"/>
      <c r="S655" s="72"/>
      <c r="T655" s="72"/>
      <c r="U655" s="72"/>
      <c r="V655" s="72"/>
      <c r="W655" s="72"/>
      <c r="X655" s="72"/>
      <c r="Y655" s="72"/>
      <c r="Z655" s="72"/>
    </row>
    <row r="656">
      <c r="F656" s="73"/>
      <c r="G656" s="73"/>
      <c r="H656" s="73"/>
      <c r="I656" s="73"/>
      <c r="R656" s="72"/>
      <c r="S656" s="72"/>
      <c r="T656" s="72"/>
      <c r="U656" s="72"/>
      <c r="V656" s="72"/>
      <c r="W656" s="72"/>
      <c r="X656" s="72"/>
      <c r="Y656" s="72"/>
      <c r="Z656" s="72"/>
    </row>
    <row r="657">
      <c r="F657" s="73"/>
      <c r="G657" s="73"/>
      <c r="H657" s="73"/>
      <c r="I657" s="73"/>
      <c r="R657" s="72"/>
      <c r="S657" s="72"/>
      <c r="T657" s="72"/>
      <c r="U657" s="72"/>
      <c r="V657" s="72"/>
      <c r="W657" s="72"/>
      <c r="X657" s="72"/>
      <c r="Y657" s="72"/>
      <c r="Z657" s="72"/>
    </row>
    <row r="658">
      <c r="F658" s="73"/>
      <c r="G658" s="73"/>
      <c r="H658" s="73"/>
      <c r="I658" s="73"/>
      <c r="R658" s="72"/>
      <c r="S658" s="72"/>
      <c r="T658" s="72"/>
      <c r="U658" s="72"/>
      <c r="V658" s="72"/>
      <c r="W658" s="72"/>
      <c r="X658" s="72"/>
      <c r="Y658" s="72"/>
      <c r="Z658" s="72"/>
    </row>
    <row r="659">
      <c r="F659" s="73"/>
      <c r="G659" s="73"/>
      <c r="H659" s="73"/>
      <c r="I659" s="73"/>
      <c r="R659" s="72"/>
      <c r="S659" s="72"/>
      <c r="T659" s="72"/>
      <c r="U659" s="72"/>
      <c r="V659" s="72"/>
      <c r="W659" s="72"/>
      <c r="X659" s="72"/>
      <c r="Y659" s="72"/>
      <c r="Z659" s="72"/>
    </row>
    <row r="660">
      <c r="F660" s="73"/>
      <c r="G660" s="73"/>
      <c r="H660" s="73"/>
      <c r="I660" s="73"/>
      <c r="R660" s="72"/>
      <c r="S660" s="72"/>
      <c r="T660" s="72"/>
      <c r="U660" s="72"/>
      <c r="V660" s="72"/>
      <c r="W660" s="72"/>
      <c r="X660" s="72"/>
      <c r="Y660" s="72"/>
      <c r="Z660" s="72"/>
    </row>
    <row r="661">
      <c r="F661" s="73"/>
      <c r="G661" s="73"/>
      <c r="H661" s="73"/>
      <c r="I661" s="73"/>
      <c r="R661" s="72"/>
      <c r="S661" s="72"/>
      <c r="T661" s="72"/>
      <c r="U661" s="72"/>
      <c r="V661" s="72"/>
      <c r="W661" s="72"/>
      <c r="X661" s="72"/>
      <c r="Y661" s="72"/>
      <c r="Z661" s="72"/>
    </row>
    <row r="662">
      <c r="F662" s="73"/>
      <c r="G662" s="73"/>
      <c r="H662" s="73"/>
      <c r="I662" s="73"/>
      <c r="R662" s="72"/>
      <c r="S662" s="72"/>
      <c r="T662" s="72"/>
      <c r="U662" s="72"/>
      <c r="V662" s="72"/>
      <c r="W662" s="72"/>
      <c r="X662" s="72"/>
      <c r="Y662" s="72"/>
      <c r="Z662" s="72"/>
    </row>
    <row r="663">
      <c r="F663" s="73"/>
      <c r="G663" s="73"/>
      <c r="H663" s="73"/>
      <c r="I663" s="73"/>
      <c r="R663" s="72"/>
      <c r="S663" s="72"/>
      <c r="T663" s="72"/>
      <c r="U663" s="72"/>
      <c r="V663" s="72"/>
      <c r="W663" s="72"/>
      <c r="X663" s="72"/>
      <c r="Y663" s="72"/>
      <c r="Z663" s="72"/>
    </row>
    <row r="664">
      <c r="F664" s="73"/>
      <c r="G664" s="73"/>
      <c r="H664" s="73"/>
      <c r="I664" s="73"/>
      <c r="R664" s="72"/>
      <c r="S664" s="72"/>
      <c r="T664" s="72"/>
      <c r="U664" s="72"/>
      <c r="V664" s="72"/>
      <c r="W664" s="72"/>
      <c r="X664" s="72"/>
      <c r="Y664" s="72"/>
      <c r="Z664" s="72"/>
    </row>
    <row r="665">
      <c r="F665" s="73"/>
      <c r="G665" s="73"/>
      <c r="H665" s="73"/>
      <c r="I665" s="73"/>
      <c r="R665" s="72"/>
      <c r="S665" s="72"/>
      <c r="T665" s="72"/>
      <c r="U665" s="72"/>
      <c r="V665" s="72"/>
      <c r="W665" s="72"/>
      <c r="X665" s="72"/>
      <c r="Y665" s="72"/>
      <c r="Z665" s="72"/>
    </row>
    <row r="666">
      <c r="F666" s="73"/>
      <c r="G666" s="73"/>
      <c r="H666" s="73"/>
      <c r="I666" s="73"/>
      <c r="R666" s="72"/>
      <c r="S666" s="72"/>
      <c r="T666" s="72"/>
      <c r="U666" s="72"/>
      <c r="V666" s="72"/>
      <c r="W666" s="72"/>
      <c r="X666" s="72"/>
      <c r="Y666" s="72"/>
      <c r="Z666" s="72"/>
    </row>
    <row r="667">
      <c r="F667" s="73"/>
      <c r="G667" s="73"/>
      <c r="H667" s="73"/>
      <c r="I667" s="73"/>
      <c r="R667" s="72"/>
      <c r="S667" s="72"/>
      <c r="T667" s="72"/>
      <c r="U667" s="72"/>
      <c r="V667" s="72"/>
      <c r="W667" s="72"/>
      <c r="X667" s="72"/>
      <c r="Y667" s="72"/>
      <c r="Z667" s="72"/>
    </row>
    <row r="668">
      <c r="F668" s="73"/>
      <c r="G668" s="73"/>
      <c r="H668" s="73"/>
      <c r="I668" s="73"/>
      <c r="R668" s="72"/>
      <c r="S668" s="72"/>
      <c r="T668" s="72"/>
      <c r="U668" s="72"/>
      <c r="V668" s="72"/>
      <c r="W668" s="72"/>
      <c r="X668" s="72"/>
      <c r="Y668" s="72"/>
      <c r="Z668" s="72"/>
    </row>
    <row r="669">
      <c r="F669" s="73"/>
      <c r="G669" s="73"/>
      <c r="H669" s="73"/>
      <c r="I669" s="73"/>
      <c r="R669" s="72"/>
      <c r="S669" s="72"/>
      <c r="T669" s="72"/>
      <c r="U669" s="72"/>
      <c r="V669" s="72"/>
      <c r="W669" s="72"/>
      <c r="X669" s="72"/>
      <c r="Y669" s="72"/>
      <c r="Z669" s="72"/>
    </row>
    <row r="670">
      <c r="F670" s="73"/>
      <c r="G670" s="73"/>
      <c r="H670" s="73"/>
      <c r="I670" s="73"/>
      <c r="R670" s="72"/>
      <c r="S670" s="72"/>
      <c r="T670" s="72"/>
      <c r="U670" s="72"/>
      <c r="V670" s="72"/>
      <c r="W670" s="72"/>
      <c r="X670" s="72"/>
      <c r="Y670" s="72"/>
      <c r="Z670" s="72"/>
    </row>
    <row r="671">
      <c r="F671" s="73"/>
      <c r="G671" s="73"/>
      <c r="H671" s="73"/>
      <c r="I671" s="73"/>
      <c r="R671" s="72"/>
      <c r="S671" s="72"/>
      <c r="T671" s="72"/>
      <c r="U671" s="72"/>
      <c r="V671" s="72"/>
      <c r="W671" s="72"/>
      <c r="X671" s="72"/>
      <c r="Y671" s="72"/>
      <c r="Z671" s="72"/>
    </row>
    <row r="672">
      <c r="F672" s="73"/>
      <c r="G672" s="73"/>
      <c r="H672" s="73"/>
      <c r="I672" s="73"/>
      <c r="R672" s="72"/>
      <c r="S672" s="72"/>
      <c r="T672" s="72"/>
      <c r="U672" s="72"/>
      <c r="V672" s="72"/>
      <c r="W672" s="72"/>
      <c r="X672" s="72"/>
      <c r="Y672" s="72"/>
      <c r="Z672" s="72"/>
    </row>
    <row r="673">
      <c r="F673" s="73"/>
      <c r="G673" s="73"/>
      <c r="H673" s="73"/>
      <c r="I673" s="73"/>
      <c r="R673" s="72"/>
      <c r="S673" s="72"/>
      <c r="T673" s="72"/>
      <c r="U673" s="72"/>
      <c r="V673" s="72"/>
      <c r="W673" s="72"/>
      <c r="X673" s="72"/>
      <c r="Y673" s="72"/>
      <c r="Z673" s="72"/>
    </row>
    <row r="674">
      <c r="F674" s="73"/>
      <c r="G674" s="73"/>
      <c r="H674" s="73"/>
      <c r="I674" s="73"/>
      <c r="R674" s="72"/>
      <c r="S674" s="72"/>
      <c r="T674" s="72"/>
      <c r="U674" s="72"/>
      <c r="V674" s="72"/>
      <c r="W674" s="72"/>
      <c r="X674" s="72"/>
      <c r="Y674" s="72"/>
      <c r="Z674" s="72"/>
    </row>
    <row r="675">
      <c r="F675" s="73"/>
      <c r="G675" s="73"/>
      <c r="H675" s="73"/>
      <c r="I675" s="73"/>
      <c r="R675" s="72"/>
      <c r="S675" s="72"/>
      <c r="T675" s="72"/>
      <c r="U675" s="72"/>
      <c r="V675" s="72"/>
      <c r="W675" s="72"/>
      <c r="X675" s="72"/>
      <c r="Y675" s="72"/>
      <c r="Z675" s="72"/>
    </row>
    <row r="676">
      <c r="F676" s="73"/>
      <c r="G676" s="73"/>
      <c r="H676" s="73"/>
      <c r="I676" s="73"/>
      <c r="R676" s="72"/>
      <c r="S676" s="72"/>
      <c r="T676" s="72"/>
      <c r="U676" s="72"/>
      <c r="V676" s="72"/>
      <c r="W676" s="72"/>
      <c r="X676" s="72"/>
      <c r="Y676" s="72"/>
      <c r="Z676" s="72"/>
    </row>
    <row r="677">
      <c r="F677" s="73"/>
      <c r="G677" s="73"/>
      <c r="H677" s="73"/>
      <c r="I677" s="73"/>
      <c r="R677" s="72"/>
      <c r="S677" s="72"/>
      <c r="T677" s="72"/>
      <c r="U677" s="72"/>
      <c r="V677" s="72"/>
      <c r="W677" s="72"/>
      <c r="X677" s="72"/>
      <c r="Y677" s="72"/>
      <c r="Z677" s="72"/>
    </row>
    <row r="678">
      <c r="F678" s="73"/>
      <c r="G678" s="73"/>
      <c r="H678" s="73"/>
      <c r="I678" s="73"/>
      <c r="R678" s="72"/>
      <c r="S678" s="72"/>
      <c r="T678" s="72"/>
      <c r="U678" s="72"/>
      <c r="V678" s="72"/>
      <c r="W678" s="72"/>
      <c r="X678" s="72"/>
      <c r="Y678" s="72"/>
      <c r="Z678" s="72"/>
    </row>
    <row r="679">
      <c r="F679" s="73"/>
      <c r="G679" s="73"/>
      <c r="H679" s="73"/>
      <c r="I679" s="73"/>
      <c r="R679" s="72"/>
      <c r="S679" s="72"/>
      <c r="T679" s="72"/>
      <c r="U679" s="72"/>
      <c r="V679" s="72"/>
      <c r="W679" s="72"/>
      <c r="X679" s="72"/>
      <c r="Y679" s="72"/>
      <c r="Z679" s="72"/>
    </row>
    <row r="680">
      <c r="F680" s="73"/>
      <c r="G680" s="73"/>
      <c r="H680" s="73"/>
      <c r="I680" s="73"/>
      <c r="R680" s="72"/>
      <c r="S680" s="72"/>
      <c r="T680" s="72"/>
      <c r="U680" s="72"/>
      <c r="V680" s="72"/>
      <c r="W680" s="72"/>
      <c r="X680" s="72"/>
      <c r="Y680" s="72"/>
      <c r="Z680" s="72"/>
    </row>
    <row r="681">
      <c r="F681" s="73"/>
      <c r="G681" s="73"/>
      <c r="H681" s="73"/>
      <c r="I681" s="73"/>
      <c r="R681" s="72"/>
      <c r="S681" s="72"/>
      <c r="T681" s="72"/>
      <c r="U681" s="72"/>
      <c r="V681" s="72"/>
      <c r="W681" s="72"/>
      <c r="X681" s="72"/>
      <c r="Y681" s="72"/>
      <c r="Z681" s="72"/>
    </row>
    <row r="682">
      <c r="F682" s="73"/>
      <c r="G682" s="73"/>
      <c r="H682" s="73"/>
      <c r="I682" s="73"/>
      <c r="R682" s="72"/>
      <c r="S682" s="72"/>
      <c r="T682" s="72"/>
      <c r="U682" s="72"/>
      <c r="V682" s="72"/>
      <c r="W682" s="72"/>
      <c r="X682" s="72"/>
      <c r="Y682" s="72"/>
      <c r="Z682" s="72"/>
    </row>
    <row r="683">
      <c r="F683" s="73"/>
      <c r="G683" s="73"/>
      <c r="H683" s="73"/>
      <c r="I683" s="73"/>
      <c r="R683" s="72"/>
      <c r="S683" s="72"/>
      <c r="T683" s="72"/>
      <c r="U683" s="72"/>
      <c r="V683" s="72"/>
      <c r="W683" s="72"/>
      <c r="X683" s="72"/>
      <c r="Y683" s="72"/>
      <c r="Z683" s="72"/>
    </row>
    <row r="684">
      <c r="F684" s="73"/>
      <c r="G684" s="73"/>
      <c r="H684" s="73"/>
      <c r="I684" s="73"/>
      <c r="R684" s="72"/>
      <c r="S684" s="72"/>
      <c r="T684" s="72"/>
      <c r="U684" s="72"/>
      <c r="V684" s="72"/>
      <c r="W684" s="72"/>
      <c r="X684" s="72"/>
      <c r="Y684" s="72"/>
      <c r="Z684" s="72"/>
    </row>
    <row r="685">
      <c r="F685" s="73"/>
      <c r="G685" s="73"/>
      <c r="H685" s="73"/>
      <c r="I685" s="73"/>
      <c r="R685" s="72"/>
      <c r="S685" s="72"/>
      <c r="T685" s="72"/>
      <c r="U685" s="72"/>
      <c r="V685" s="72"/>
      <c r="W685" s="72"/>
      <c r="X685" s="72"/>
      <c r="Y685" s="72"/>
      <c r="Z685" s="72"/>
    </row>
    <row r="686">
      <c r="F686" s="73"/>
      <c r="G686" s="73"/>
      <c r="H686" s="73"/>
      <c r="I686" s="73"/>
      <c r="R686" s="72"/>
      <c r="S686" s="72"/>
      <c r="T686" s="72"/>
      <c r="U686" s="72"/>
      <c r="V686" s="72"/>
      <c r="W686" s="72"/>
      <c r="X686" s="72"/>
      <c r="Y686" s="72"/>
      <c r="Z686" s="72"/>
    </row>
    <row r="687">
      <c r="F687" s="73"/>
      <c r="G687" s="73"/>
      <c r="H687" s="73"/>
      <c r="I687" s="73"/>
      <c r="R687" s="72"/>
      <c r="S687" s="72"/>
      <c r="T687" s="72"/>
      <c r="U687" s="72"/>
      <c r="V687" s="72"/>
      <c r="W687" s="72"/>
      <c r="X687" s="72"/>
      <c r="Y687" s="72"/>
      <c r="Z687" s="72"/>
    </row>
    <row r="688">
      <c r="F688" s="73"/>
      <c r="G688" s="73"/>
      <c r="H688" s="73"/>
      <c r="I688" s="73"/>
      <c r="R688" s="72"/>
      <c r="S688" s="72"/>
      <c r="T688" s="72"/>
      <c r="U688" s="72"/>
      <c r="V688" s="72"/>
      <c r="W688" s="72"/>
      <c r="X688" s="72"/>
      <c r="Y688" s="72"/>
      <c r="Z688" s="72"/>
    </row>
    <row r="689">
      <c r="F689" s="73"/>
      <c r="G689" s="73"/>
      <c r="H689" s="73"/>
      <c r="I689" s="73"/>
      <c r="R689" s="72"/>
      <c r="S689" s="72"/>
      <c r="T689" s="72"/>
      <c r="U689" s="72"/>
      <c r="V689" s="72"/>
      <c r="W689" s="72"/>
      <c r="X689" s="72"/>
      <c r="Y689" s="72"/>
      <c r="Z689" s="72"/>
    </row>
    <row r="690">
      <c r="F690" s="73"/>
      <c r="G690" s="73"/>
      <c r="H690" s="73"/>
      <c r="I690" s="73"/>
      <c r="R690" s="72"/>
      <c r="S690" s="72"/>
      <c r="T690" s="72"/>
      <c r="U690" s="72"/>
      <c r="V690" s="72"/>
      <c r="W690" s="72"/>
      <c r="X690" s="72"/>
      <c r="Y690" s="72"/>
      <c r="Z690" s="72"/>
    </row>
    <row r="691">
      <c r="F691" s="73"/>
      <c r="G691" s="73"/>
      <c r="H691" s="73"/>
      <c r="I691" s="73"/>
      <c r="R691" s="72"/>
      <c r="S691" s="72"/>
      <c r="T691" s="72"/>
      <c r="U691" s="72"/>
      <c r="V691" s="72"/>
      <c r="W691" s="72"/>
      <c r="X691" s="72"/>
      <c r="Y691" s="72"/>
      <c r="Z691" s="72"/>
    </row>
    <row r="692">
      <c r="F692" s="73"/>
      <c r="G692" s="73"/>
      <c r="H692" s="73"/>
      <c r="I692" s="73"/>
      <c r="R692" s="72"/>
      <c r="S692" s="72"/>
      <c r="T692" s="72"/>
      <c r="U692" s="72"/>
      <c r="V692" s="72"/>
      <c r="W692" s="72"/>
      <c r="X692" s="72"/>
      <c r="Y692" s="72"/>
      <c r="Z692" s="72"/>
    </row>
    <row r="693">
      <c r="F693" s="73"/>
      <c r="G693" s="73"/>
      <c r="H693" s="73"/>
      <c r="I693" s="73"/>
      <c r="R693" s="72"/>
      <c r="S693" s="72"/>
      <c r="T693" s="72"/>
      <c r="U693" s="72"/>
      <c r="V693" s="72"/>
      <c r="W693" s="72"/>
      <c r="X693" s="72"/>
      <c r="Y693" s="72"/>
      <c r="Z693" s="72"/>
    </row>
    <row r="694">
      <c r="F694" s="73"/>
      <c r="G694" s="73"/>
      <c r="H694" s="73"/>
      <c r="I694" s="73"/>
      <c r="R694" s="72"/>
      <c r="S694" s="72"/>
      <c r="T694" s="72"/>
      <c r="U694" s="72"/>
      <c r="V694" s="72"/>
      <c r="W694" s="72"/>
      <c r="X694" s="72"/>
      <c r="Y694" s="72"/>
      <c r="Z694" s="72"/>
    </row>
    <row r="695">
      <c r="F695" s="73"/>
      <c r="G695" s="73"/>
      <c r="H695" s="73"/>
      <c r="I695" s="73"/>
      <c r="R695" s="72"/>
      <c r="S695" s="72"/>
      <c r="T695" s="72"/>
      <c r="U695" s="72"/>
      <c r="V695" s="72"/>
      <c r="W695" s="72"/>
      <c r="X695" s="72"/>
      <c r="Y695" s="72"/>
      <c r="Z695" s="72"/>
    </row>
    <row r="696">
      <c r="F696" s="73"/>
      <c r="G696" s="73"/>
      <c r="H696" s="73"/>
      <c r="I696" s="73"/>
      <c r="R696" s="72"/>
      <c r="S696" s="72"/>
      <c r="T696" s="72"/>
      <c r="U696" s="72"/>
      <c r="V696" s="72"/>
      <c r="W696" s="72"/>
      <c r="X696" s="72"/>
      <c r="Y696" s="72"/>
      <c r="Z696" s="72"/>
    </row>
    <row r="697">
      <c r="F697" s="73"/>
      <c r="G697" s="73"/>
      <c r="H697" s="73"/>
      <c r="I697" s="73"/>
      <c r="R697" s="72"/>
      <c r="S697" s="72"/>
      <c r="T697" s="72"/>
      <c r="U697" s="72"/>
      <c r="V697" s="72"/>
      <c r="W697" s="72"/>
      <c r="X697" s="72"/>
      <c r="Y697" s="72"/>
      <c r="Z697" s="72"/>
    </row>
    <row r="698">
      <c r="F698" s="73"/>
      <c r="G698" s="73"/>
      <c r="H698" s="73"/>
      <c r="I698" s="73"/>
      <c r="R698" s="72"/>
      <c r="S698" s="72"/>
      <c r="T698" s="72"/>
      <c r="U698" s="72"/>
      <c r="V698" s="72"/>
      <c r="W698" s="72"/>
      <c r="X698" s="72"/>
      <c r="Y698" s="72"/>
      <c r="Z698" s="72"/>
    </row>
    <row r="699">
      <c r="F699" s="73"/>
      <c r="G699" s="73"/>
      <c r="H699" s="73"/>
      <c r="I699" s="73"/>
      <c r="R699" s="72"/>
      <c r="S699" s="72"/>
      <c r="T699" s="72"/>
      <c r="U699" s="72"/>
      <c r="V699" s="72"/>
      <c r="W699" s="72"/>
      <c r="X699" s="72"/>
      <c r="Y699" s="72"/>
      <c r="Z699" s="72"/>
    </row>
    <row r="700">
      <c r="F700" s="73"/>
      <c r="G700" s="73"/>
      <c r="H700" s="73"/>
      <c r="I700" s="73"/>
      <c r="R700" s="72"/>
      <c r="S700" s="72"/>
      <c r="T700" s="72"/>
      <c r="U700" s="72"/>
      <c r="V700" s="72"/>
      <c r="W700" s="72"/>
      <c r="X700" s="72"/>
      <c r="Y700" s="72"/>
      <c r="Z700" s="72"/>
    </row>
    <row r="701">
      <c r="F701" s="73"/>
      <c r="G701" s="73"/>
      <c r="H701" s="73"/>
      <c r="I701" s="73"/>
      <c r="R701" s="72"/>
      <c r="S701" s="72"/>
      <c r="T701" s="72"/>
      <c r="U701" s="72"/>
      <c r="V701" s="72"/>
      <c r="W701" s="72"/>
      <c r="X701" s="72"/>
      <c r="Y701" s="72"/>
      <c r="Z701" s="72"/>
    </row>
    <row r="702">
      <c r="F702" s="73"/>
      <c r="G702" s="73"/>
      <c r="H702" s="73"/>
      <c r="I702" s="73"/>
      <c r="R702" s="72"/>
      <c r="S702" s="72"/>
      <c r="T702" s="72"/>
      <c r="U702" s="72"/>
      <c r="V702" s="72"/>
      <c r="W702" s="72"/>
      <c r="X702" s="72"/>
      <c r="Y702" s="72"/>
      <c r="Z702" s="72"/>
    </row>
    <row r="703">
      <c r="F703" s="73"/>
      <c r="G703" s="73"/>
      <c r="H703" s="73"/>
      <c r="I703" s="73"/>
      <c r="R703" s="72"/>
      <c r="S703" s="72"/>
      <c r="T703" s="72"/>
      <c r="U703" s="72"/>
      <c r="V703" s="72"/>
      <c r="W703" s="72"/>
      <c r="X703" s="72"/>
      <c r="Y703" s="72"/>
      <c r="Z703" s="72"/>
    </row>
    <row r="704">
      <c r="F704" s="73"/>
      <c r="G704" s="73"/>
      <c r="H704" s="73"/>
      <c r="I704" s="73"/>
      <c r="R704" s="72"/>
      <c r="S704" s="72"/>
      <c r="T704" s="72"/>
      <c r="U704" s="72"/>
      <c r="V704" s="72"/>
      <c r="W704" s="72"/>
      <c r="X704" s="72"/>
      <c r="Y704" s="72"/>
      <c r="Z704" s="72"/>
    </row>
    <row r="705">
      <c r="F705" s="73"/>
      <c r="G705" s="73"/>
      <c r="H705" s="73"/>
      <c r="I705" s="73"/>
      <c r="R705" s="72"/>
      <c r="S705" s="72"/>
      <c r="T705" s="72"/>
      <c r="U705" s="72"/>
      <c r="V705" s="72"/>
      <c r="W705" s="72"/>
      <c r="X705" s="72"/>
      <c r="Y705" s="72"/>
      <c r="Z705" s="72"/>
    </row>
    <row r="706">
      <c r="F706" s="73"/>
      <c r="G706" s="73"/>
      <c r="H706" s="73"/>
      <c r="I706" s="73"/>
      <c r="R706" s="72"/>
      <c r="S706" s="72"/>
      <c r="T706" s="72"/>
      <c r="U706" s="72"/>
      <c r="V706" s="72"/>
      <c r="W706" s="72"/>
      <c r="X706" s="72"/>
      <c r="Y706" s="72"/>
      <c r="Z706" s="72"/>
    </row>
    <row r="707">
      <c r="F707" s="73"/>
      <c r="G707" s="73"/>
      <c r="H707" s="73"/>
      <c r="I707" s="73"/>
      <c r="R707" s="72"/>
      <c r="S707" s="72"/>
      <c r="T707" s="72"/>
      <c r="U707" s="72"/>
      <c r="V707" s="72"/>
      <c r="W707" s="72"/>
      <c r="X707" s="72"/>
      <c r="Y707" s="72"/>
      <c r="Z707" s="72"/>
    </row>
    <row r="708">
      <c r="F708" s="73"/>
      <c r="G708" s="73"/>
      <c r="H708" s="73"/>
      <c r="I708" s="73"/>
      <c r="R708" s="72"/>
      <c r="S708" s="72"/>
      <c r="T708" s="72"/>
      <c r="U708" s="72"/>
      <c r="V708" s="72"/>
      <c r="W708" s="72"/>
      <c r="X708" s="72"/>
      <c r="Y708" s="72"/>
      <c r="Z708" s="72"/>
    </row>
    <row r="709">
      <c r="F709" s="73"/>
      <c r="G709" s="73"/>
      <c r="H709" s="73"/>
      <c r="I709" s="73"/>
      <c r="R709" s="72"/>
      <c r="S709" s="72"/>
      <c r="T709" s="72"/>
      <c r="U709" s="72"/>
      <c r="V709" s="72"/>
      <c r="W709" s="72"/>
      <c r="X709" s="72"/>
      <c r="Y709" s="72"/>
      <c r="Z709" s="72"/>
    </row>
    <row r="710">
      <c r="F710" s="73"/>
      <c r="G710" s="73"/>
      <c r="H710" s="73"/>
      <c r="I710" s="73"/>
      <c r="R710" s="72"/>
      <c r="S710" s="72"/>
      <c r="T710" s="72"/>
      <c r="U710" s="72"/>
      <c r="V710" s="72"/>
      <c r="W710" s="72"/>
      <c r="X710" s="72"/>
      <c r="Y710" s="72"/>
      <c r="Z710" s="72"/>
    </row>
    <row r="711">
      <c r="F711" s="73"/>
      <c r="G711" s="73"/>
      <c r="H711" s="73"/>
      <c r="I711" s="73"/>
      <c r="R711" s="72"/>
      <c r="S711" s="72"/>
      <c r="T711" s="72"/>
      <c r="U711" s="72"/>
      <c r="V711" s="72"/>
      <c r="W711" s="72"/>
      <c r="X711" s="72"/>
      <c r="Y711" s="72"/>
      <c r="Z711" s="72"/>
    </row>
    <row r="712">
      <c r="F712" s="73"/>
      <c r="G712" s="73"/>
      <c r="H712" s="73"/>
      <c r="I712" s="73"/>
      <c r="R712" s="72"/>
      <c r="S712" s="72"/>
      <c r="T712" s="72"/>
      <c r="U712" s="72"/>
      <c r="V712" s="72"/>
      <c r="W712" s="72"/>
      <c r="X712" s="72"/>
      <c r="Y712" s="72"/>
      <c r="Z712" s="72"/>
    </row>
    <row r="713">
      <c r="F713" s="73"/>
      <c r="G713" s="73"/>
      <c r="H713" s="73"/>
      <c r="I713" s="73"/>
      <c r="R713" s="72"/>
      <c r="S713" s="72"/>
      <c r="T713" s="72"/>
      <c r="U713" s="72"/>
      <c r="V713" s="72"/>
      <c r="W713" s="72"/>
      <c r="X713" s="72"/>
      <c r="Y713" s="72"/>
      <c r="Z713" s="72"/>
    </row>
    <row r="714">
      <c r="F714" s="73"/>
      <c r="G714" s="73"/>
      <c r="H714" s="73"/>
      <c r="I714" s="73"/>
      <c r="R714" s="72"/>
      <c r="S714" s="72"/>
      <c r="T714" s="72"/>
      <c r="U714" s="72"/>
      <c r="V714" s="72"/>
      <c r="W714" s="72"/>
      <c r="X714" s="72"/>
      <c r="Y714" s="72"/>
      <c r="Z714" s="72"/>
    </row>
    <row r="715">
      <c r="F715" s="73"/>
      <c r="G715" s="73"/>
      <c r="H715" s="73"/>
      <c r="I715" s="73"/>
      <c r="R715" s="72"/>
      <c r="S715" s="72"/>
      <c r="T715" s="72"/>
      <c r="U715" s="72"/>
      <c r="V715" s="72"/>
      <c r="W715" s="72"/>
      <c r="X715" s="72"/>
      <c r="Y715" s="72"/>
      <c r="Z715" s="72"/>
    </row>
    <row r="716">
      <c r="F716" s="73"/>
      <c r="G716" s="73"/>
      <c r="H716" s="73"/>
      <c r="I716" s="73"/>
      <c r="R716" s="72"/>
      <c r="S716" s="72"/>
      <c r="T716" s="72"/>
      <c r="U716" s="72"/>
      <c r="V716" s="72"/>
      <c r="W716" s="72"/>
      <c r="X716" s="72"/>
      <c r="Y716" s="72"/>
      <c r="Z716" s="72"/>
    </row>
    <row r="717">
      <c r="F717" s="73"/>
      <c r="G717" s="73"/>
      <c r="H717" s="73"/>
      <c r="I717" s="73"/>
      <c r="R717" s="72"/>
      <c r="S717" s="72"/>
      <c r="T717" s="72"/>
      <c r="U717" s="72"/>
      <c r="V717" s="72"/>
      <c r="W717" s="72"/>
      <c r="X717" s="72"/>
      <c r="Y717" s="72"/>
      <c r="Z717" s="72"/>
    </row>
    <row r="718">
      <c r="F718" s="73"/>
      <c r="G718" s="73"/>
      <c r="H718" s="73"/>
      <c r="I718" s="73"/>
      <c r="R718" s="72"/>
      <c r="S718" s="72"/>
      <c r="T718" s="72"/>
      <c r="U718" s="72"/>
      <c r="V718" s="72"/>
      <c r="W718" s="72"/>
      <c r="X718" s="72"/>
      <c r="Y718" s="72"/>
      <c r="Z718" s="72"/>
    </row>
    <row r="719">
      <c r="F719" s="73"/>
      <c r="G719" s="73"/>
      <c r="H719" s="73"/>
      <c r="I719" s="73"/>
      <c r="R719" s="72"/>
      <c r="S719" s="72"/>
      <c r="T719" s="72"/>
      <c r="U719" s="72"/>
      <c r="V719" s="72"/>
      <c r="W719" s="72"/>
      <c r="X719" s="72"/>
      <c r="Y719" s="72"/>
      <c r="Z719" s="72"/>
    </row>
    <row r="720">
      <c r="F720" s="73"/>
      <c r="G720" s="73"/>
      <c r="H720" s="73"/>
      <c r="I720" s="73"/>
      <c r="R720" s="72"/>
      <c r="S720" s="72"/>
      <c r="T720" s="72"/>
      <c r="U720" s="72"/>
      <c r="V720" s="72"/>
      <c r="W720" s="72"/>
      <c r="X720" s="72"/>
      <c r="Y720" s="72"/>
      <c r="Z720" s="72"/>
    </row>
    <row r="721">
      <c r="F721" s="73"/>
      <c r="G721" s="73"/>
      <c r="H721" s="73"/>
      <c r="I721" s="73"/>
      <c r="R721" s="72"/>
      <c r="S721" s="72"/>
      <c r="T721" s="72"/>
      <c r="U721" s="72"/>
      <c r="V721" s="72"/>
      <c r="W721" s="72"/>
      <c r="X721" s="72"/>
      <c r="Y721" s="72"/>
      <c r="Z721" s="72"/>
    </row>
    <row r="722">
      <c r="F722" s="73"/>
      <c r="G722" s="73"/>
      <c r="H722" s="73"/>
      <c r="I722" s="73"/>
      <c r="R722" s="72"/>
      <c r="S722" s="72"/>
      <c r="T722" s="72"/>
      <c r="U722" s="72"/>
      <c r="V722" s="72"/>
      <c r="W722" s="72"/>
      <c r="X722" s="72"/>
      <c r="Y722" s="72"/>
      <c r="Z722" s="72"/>
    </row>
    <row r="723">
      <c r="F723" s="73"/>
      <c r="G723" s="73"/>
      <c r="H723" s="73"/>
      <c r="I723" s="73"/>
      <c r="R723" s="72"/>
      <c r="S723" s="72"/>
      <c r="T723" s="72"/>
      <c r="U723" s="72"/>
      <c r="V723" s="72"/>
      <c r="W723" s="72"/>
      <c r="X723" s="72"/>
      <c r="Y723" s="72"/>
      <c r="Z723" s="72"/>
    </row>
    <row r="724">
      <c r="F724" s="73"/>
      <c r="G724" s="73"/>
      <c r="H724" s="73"/>
      <c r="I724" s="73"/>
      <c r="R724" s="72"/>
      <c r="S724" s="72"/>
      <c r="T724" s="72"/>
      <c r="U724" s="72"/>
      <c r="V724" s="72"/>
      <c r="W724" s="72"/>
      <c r="X724" s="72"/>
      <c r="Y724" s="72"/>
      <c r="Z724" s="72"/>
    </row>
    <row r="725">
      <c r="F725" s="73"/>
      <c r="G725" s="73"/>
      <c r="H725" s="73"/>
      <c r="I725" s="73"/>
      <c r="R725" s="72"/>
      <c r="S725" s="72"/>
      <c r="T725" s="72"/>
      <c r="U725" s="72"/>
      <c r="V725" s="72"/>
      <c r="W725" s="72"/>
      <c r="X725" s="72"/>
      <c r="Y725" s="72"/>
      <c r="Z725" s="72"/>
    </row>
    <row r="726">
      <c r="F726" s="73"/>
      <c r="G726" s="73"/>
      <c r="H726" s="73"/>
      <c r="I726" s="73"/>
      <c r="R726" s="72"/>
      <c r="S726" s="72"/>
      <c r="T726" s="72"/>
      <c r="U726" s="72"/>
      <c r="V726" s="72"/>
      <c r="W726" s="72"/>
      <c r="X726" s="72"/>
      <c r="Y726" s="72"/>
      <c r="Z726" s="72"/>
    </row>
    <row r="727">
      <c r="F727" s="73"/>
      <c r="G727" s="73"/>
      <c r="H727" s="73"/>
      <c r="I727" s="73"/>
      <c r="R727" s="72"/>
      <c r="S727" s="72"/>
      <c r="T727" s="72"/>
      <c r="U727" s="72"/>
      <c r="V727" s="72"/>
      <c r="W727" s="72"/>
      <c r="X727" s="72"/>
      <c r="Y727" s="72"/>
      <c r="Z727" s="72"/>
    </row>
    <row r="728">
      <c r="F728" s="73"/>
      <c r="G728" s="73"/>
      <c r="H728" s="73"/>
      <c r="I728" s="73"/>
      <c r="R728" s="72"/>
      <c r="S728" s="72"/>
      <c r="T728" s="72"/>
      <c r="U728" s="72"/>
      <c r="V728" s="72"/>
      <c r="W728" s="72"/>
      <c r="X728" s="72"/>
      <c r="Y728" s="72"/>
      <c r="Z728" s="72"/>
    </row>
    <row r="729">
      <c r="F729" s="73"/>
      <c r="G729" s="73"/>
      <c r="H729" s="73"/>
      <c r="I729" s="73"/>
      <c r="R729" s="72"/>
      <c r="S729" s="72"/>
      <c r="T729" s="72"/>
      <c r="U729" s="72"/>
      <c r="V729" s="72"/>
      <c r="W729" s="72"/>
      <c r="X729" s="72"/>
      <c r="Y729" s="72"/>
      <c r="Z729" s="72"/>
    </row>
    <row r="730">
      <c r="F730" s="73"/>
      <c r="G730" s="73"/>
      <c r="H730" s="73"/>
      <c r="I730" s="73"/>
      <c r="R730" s="72"/>
      <c r="S730" s="72"/>
      <c r="T730" s="72"/>
      <c r="U730" s="72"/>
      <c r="V730" s="72"/>
      <c r="W730" s="72"/>
      <c r="X730" s="72"/>
      <c r="Y730" s="72"/>
      <c r="Z730" s="72"/>
    </row>
    <row r="731">
      <c r="F731" s="73"/>
      <c r="G731" s="73"/>
      <c r="H731" s="73"/>
      <c r="I731" s="73"/>
      <c r="R731" s="72"/>
      <c r="S731" s="72"/>
      <c r="T731" s="72"/>
      <c r="U731" s="72"/>
      <c r="V731" s="72"/>
      <c r="W731" s="72"/>
      <c r="X731" s="72"/>
      <c r="Y731" s="72"/>
      <c r="Z731" s="72"/>
    </row>
    <row r="732">
      <c r="F732" s="73"/>
      <c r="G732" s="73"/>
      <c r="H732" s="73"/>
      <c r="I732" s="73"/>
      <c r="R732" s="72"/>
      <c r="S732" s="72"/>
      <c r="T732" s="72"/>
      <c r="U732" s="72"/>
      <c r="V732" s="72"/>
      <c r="W732" s="72"/>
      <c r="X732" s="72"/>
      <c r="Y732" s="72"/>
      <c r="Z732" s="72"/>
    </row>
    <row r="733">
      <c r="F733" s="73"/>
      <c r="G733" s="73"/>
      <c r="H733" s="73"/>
      <c r="I733" s="73"/>
      <c r="R733" s="72"/>
      <c r="S733" s="72"/>
      <c r="T733" s="72"/>
      <c r="U733" s="72"/>
      <c r="V733" s="72"/>
      <c r="W733" s="72"/>
      <c r="X733" s="72"/>
      <c r="Y733" s="72"/>
      <c r="Z733" s="72"/>
    </row>
    <row r="734">
      <c r="F734" s="73"/>
      <c r="G734" s="73"/>
      <c r="H734" s="73"/>
      <c r="I734" s="73"/>
      <c r="R734" s="72"/>
      <c r="S734" s="72"/>
      <c r="T734" s="72"/>
      <c r="U734" s="72"/>
      <c r="V734" s="72"/>
      <c r="W734" s="72"/>
      <c r="X734" s="72"/>
      <c r="Y734" s="72"/>
      <c r="Z734" s="72"/>
    </row>
    <row r="735">
      <c r="F735" s="73"/>
      <c r="G735" s="73"/>
      <c r="H735" s="73"/>
      <c r="I735" s="73"/>
      <c r="R735" s="72"/>
      <c r="S735" s="72"/>
      <c r="T735" s="72"/>
      <c r="U735" s="72"/>
      <c r="V735" s="72"/>
      <c r="W735" s="72"/>
      <c r="X735" s="72"/>
      <c r="Y735" s="72"/>
      <c r="Z735" s="72"/>
    </row>
    <row r="736">
      <c r="F736" s="73"/>
      <c r="G736" s="73"/>
      <c r="H736" s="73"/>
      <c r="I736" s="73"/>
      <c r="R736" s="72"/>
      <c r="S736" s="72"/>
      <c r="T736" s="72"/>
      <c r="U736" s="72"/>
      <c r="V736" s="72"/>
      <c r="W736" s="72"/>
      <c r="X736" s="72"/>
      <c r="Y736" s="72"/>
      <c r="Z736" s="72"/>
    </row>
    <row r="737">
      <c r="F737" s="73"/>
      <c r="G737" s="73"/>
      <c r="H737" s="73"/>
      <c r="I737" s="73"/>
      <c r="R737" s="72"/>
      <c r="S737" s="72"/>
      <c r="T737" s="72"/>
      <c r="U737" s="72"/>
      <c r="V737" s="72"/>
      <c r="W737" s="72"/>
      <c r="X737" s="72"/>
      <c r="Y737" s="72"/>
      <c r="Z737" s="72"/>
    </row>
    <row r="738">
      <c r="F738" s="73"/>
      <c r="G738" s="73"/>
      <c r="H738" s="73"/>
      <c r="I738" s="73"/>
      <c r="R738" s="72"/>
      <c r="S738" s="72"/>
      <c r="T738" s="72"/>
      <c r="U738" s="72"/>
      <c r="V738" s="72"/>
      <c r="W738" s="72"/>
      <c r="X738" s="72"/>
      <c r="Y738" s="72"/>
      <c r="Z738" s="72"/>
    </row>
    <row r="739">
      <c r="F739" s="73"/>
      <c r="G739" s="73"/>
      <c r="H739" s="73"/>
      <c r="I739" s="73"/>
      <c r="R739" s="72"/>
      <c r="S739" s="72"/>
      <c r="T739" s="72"/>
      <c r="U739" s="72"/>
      <c r="V739" s="72"/>
      <c r="W739" s="72"/>
      <c r="X739" s="72"/>
      <c r="Y739" s="72"/>
      <c r="Z739" s="72"/>
    </row>
    <row r="740">
      <c r="F740" s="73"/>
      <c r="G740" s="73"/>
      <c r="H740" s="73"/>
      <c r="I740" s="73"/>
      <c r="R740" s="72"/>
      <c r="S740" s="72"/>
      <c r="T740" s="72"/>
      <c r="U740" s="72"/>
      <c r="V740" s="72"/>
      <c r="W740" s="72"/>
      <c r="X740" s="72"/>
      <c r="Y740" s="72"/>
      <c r="Z740" s="72"/>
    </row>
    <row r="741">
      <c r="F741" s="73"/>
      <c r="G741" s="73"/>
      <c r="H741" s="73"/>
      <c r="I741" s="73"/>
      <c r="R741" s="72"/>
      <c r="S741" s="72"/>
      <c r="T741" s="72"/>
      <c r="U741" s="72"/>
      <c r="V741" s="72"/>
      <c r="W741" s="72"/>
      <c r="X741" s="72"/>
      <c r="Y741" s="72"/>
      <c r="Z741" s="72"/>
    </row>
    <row r="742">
      <c r="F742" s="73"/>
      <c r="G742" s="73"/>
      <c r="H742" s="73"/>
      <c r="I742" s="73"/>
      <c r="R742" s="72"/>
      <c r="S742" s="72"/>
      <c r="T742" s="72"/>
      <c r="U742" s="72"/>
      <c r="V742" s="72"/>
      <c r="W742" s="72"/>
      <c r="X742" s="72"/>
      <c r="Y742" s="72"/>
      <c r="Z742" s="72"/>
    </row>
    <row r="743">
      <c r="F743" s="73"/>
      <c r="G743" s="73"/>
      <c r="H743" s="73"/>
      <c r="I743" s="73"/>
      <c r="R743" s="72"/>
      <c r="S743" s="72"/>
      <c r="T743" s="72"/>
      <c r="U743" s="72"/>
      <c r="V743" s="72"/>
      <c r="W743" s="72"/>
      <c r="X743" s="72"/>
      <c r="Y743" s="72"/>
      <c r="Z743" s="72"/>
    </row>
    <row r="744">
      <c r="F744" s="73"/>
      <c r="G744" s="73"/>
      <c r="H744" s="73"/>
      <c r="I744" s="73"/>
      <c r="R744" s="72"/>
      <c r="S744" s="72"/>
      <c r="T744" s="72"/>
      <c r="U744" s="72"/>
      <c r="V744" s="72"/>
      <c r="W744" s="72"/>
      <c r="X744" s="72"/>
      <c r="Y744" s="72"/>
      <c r="Z744" s="72"/>
    </row>
    <row r="745">
      <c r="F745" s="73"/>
      <c r="G745" s="73"/>
      <c r="H745" s="73"/>
      <c r="I745" s="73"/>
      <c r="R745" s="72"/>
      <c r="S745" s="72"/>
      <c r="T745" s="72"/>
      <c r="U745" s="72"/>
      <c r="V745" s="72"/>
      <c r="W745" s="72"/>
      <c r="X745" s="72"/>
      <c r="Y745" s="72"/>
      <c r="Z745" s="72"/>
    </row>
    <row r="746">
      <c r="F746" s="73"/>
      <c r="G746" s="73"/>
      <c r="H746" s="73"/>
      <c r="I746" s="73"/>
      <c r="R746" s="72"/>
      <c r="S746" s="72"/>
      <c r="T746" s="72"/>
      <c r="U746" s="72"/>
      <c r="V746" s="72"/>
      <c r="W746" s="72"/>
      <c r="X746" s="72"/>
      <c r="Y746" s="72"/>
      <c r="Z746" s="72"/>
    </row>
    <row r="747">
      <c r="F747" s="73"/>
      <c r="G747" s="73"/>
      <c r="H747" s="73"/>
      <c r="I747" s="73"/>
      <c r="R747" s="72"/>
      <c r="S747" s="72"/>
      <c r="T747" s="72"/>
      <c r="U747" s="72"/>
      <c r="V747" s="72"/>
      <c r="W747" s="72"/>
      <c r="X747" s="72"/>
      <c r="Y747" s="72"/>
      <c r="Z747" s="72"/>
    </row>
    <row r="748">
      <c r="F748" s="73"/>
      <c r="G748" s="73"/>
      <c r="H748" s="73"/>
      <c r="I748" s="73"/>
      <c r="R748" s="72"/>
      <c r="S748" s="72"/>
      <c r="T748" s="72"/>
      <c r="U748" s="72"/>
      <c r="V748" s="72"/>
      <c r="W748" s="72"/>
      <c r="X748" s="72"/>
      <c r="Y748" s="72"/>
      <c r="Z748" s="72"/>
    </row>
    <row r="749">
      <c r="F749" s="73"/>
      <c r="G749" s="73"/>
      <c r="H749" s="73"/>
      <c r="I749" s="73"/>
      <c r="R749" s="72"/>
      <c r="S749" s="72"/>
      <c r="T749" s="72"/>
      <c r="U749" s="72"/>
      <c r="V749" s="72"/>
      <c r="W749" s="72"/>
      <c r="X749" s="72"/>
      <c r="Y749" s="72"/>
      <c r="Z749" s="72"/>
    </row>
    <row r="750">
      <c r="F750" s="73"/>
      <c r="G750" s="73"/>
      <c r="H750" s="73"/>
      <c r="I750" s="73"/>
      <c r="R750" s="72"/>
      <c r="S750" s="72"/>
      <c r="T750" s="72"/>
      <c r="U750" s="72"/>
      <c r="V750" s="72"/>
      <c r="W750" s="72"/>
      <c r="X750" s="72"/>
      <c r="Y750" s="72"/>
      <c r="Z750" s="72"/>
    </row>
    <row r="751">
      <c r="F751" s="73"/>
      <c r="G751" s="73"/>
      <c r="H751" s="73"/>
      <c r="I751" s="73"/>
      <c r="R751" s="72"/>
      <c r="S751" s="72"/>
      <c r="T751" s="72"/>
      <c r="U751" s="72"/>
      <c r="V751" s="72"/>
      <c r="W751" s="72"/>
      <c r="X751" s="72"/>
      <c r="Y751" s="72"/>
      <c r="Z751" s="72"/>
    </row>
    <row r="752">
      <c r="F752" s="73"/>
      <c r="G752" s="73"/>
      <c r="H752" s="73"/>
      <c r="I752" s="73"/>
      <c r="R752" s="72"/>
      <c r="S752" s="72"/>
      <c r="T752" s="72"/>
      <c r="U752" s="72"/>
      <c r="V752" s="72"/>
      <c r="W752" s="72"/>
      <c r="X752" s="72"/>
      <c r="Y752" s="72"/>
      <c r="Z752" s="72"/>
    </row>
    <row r="753">
      <c r="F753" s="73"/>
      <c r="G753" s="73"/>
      <c r="H753" s="73"/>
      <c r="I753" s="73"/>
      <c r="R753" s="72"/>
      <c r="S753" s="72"/>
      <c r="T753" s="72"/>
      <c r="U753" s="72"/>
      <c r="V753" s="72"/>
      <c r="W753" s="72"/>
      <c r="X753" s="72"/>
      <c r="Y753" s="72"/>
      <c r="Z753" s="72"/>
    </row>
    <row r="754">
      <c r="F754" s="73"/>
      <c r="G754" s="73"/>
      <c r="H754" s="73"/>
      <c r="I754" s="73"/>
      <c r="R754" s="72"/>
      <c r="S754" s="72"/>
      <c r="T754" s="72"/>
      <c r="U754" s="72"/>
      <c r="V754" s="72"/>
      <c r="W754" s="72"/>
      <c r="X754" s="72"/>
      <c r="Y754" s="72"/>
      <c r="Z754" s="72"/>
    </row>
    <row r="755">
      <c r="F755" s="73"/>
      <c r="G755" s="73"/>
      <c r="H755" s="73"/>
      <c r="I755" s="73"/>
      <c r="R755" s="72"/>
      <c r="S755" s="72"/>
      <c r="T755" s="72"/>
      <c r="U755" s="72"/>
      <c r="V755" s="72"/>
      <c r="W755" s="72"/>
      <c r="X755" s="72"/>
      <c r="Y755" s="72"/>
      <c r="Z755" s="72"/>
    </row>
    <row r="756">
      <c r="F756" s="73"/>
      <c r="G756" s="73"/>
      <c r="H756" s="73"/>
      <c r="I756" s="73"/>
      <c r="R756" s="72"/>
      <c r="S756" s="72"/>
      <c r="T756" s="72"/>
      <c r="U756" s="72"/>
      <c r="V756" s="72"/>
      <c r="W756" s="72"/>
      <c r="X756" s="72"/>
      <c r="Y756" s="72"/>
      <c r="Z756" s="72"/>
    </row>
    <row r="757">
      <c r="F757" s="73"/>
      <c r="G757" s="73"/>
      <c r="H757" s="73"/>
      <c r="I757" s="73"/>
      <c r="R757" s="72"/>
      <c r="S757" s="72"/>
      <c r="T757" s="72"/>
      <c r="U757" s="72"/>
      <c r="V757" s="72"/>
      <c r="W757" s="72"/>
      <c r="X757" s="72"/>
      <c r="Y757" s="72"/>
      <c r="Z757" s="72"/>
    </row>
    <row r="758">
      <c r="F758" s="73"/>
      <c r="G758" s="73"/>
      <c r="H758" s="73"/>
      <c r="I758" s="73"/>
      <c r="R758" s="72"/>
      <c r="S758" s="72"/>
      <c r="T758" s="72"/>
      <c r="U758" s="72"/>
      <c r="V758" s="72"/>
      <c r="W758" s="72"/>
      <c r="X758" s="72"/>
      <c r="Y758" s="72"/>
      <c r="Z758" s="72"/>
    </row>
    <row r="759">
      <c r="F759" s="73"/>
      <c r="G759" s="73"/>
      <c r="H759" s="73"/>
      <c r="I759" s="73"/>
      <c r="R759" s="72"/>
      <c r="S759" s="72"/>
      <c r="T759" s="72"/>
      <c r="U759" s="72"/>
      <c r="V759" s="72"/>
      <c r="W759" s="72"/>
      <c r="X759" s="72"/>
      <c r="Y759" s="72"/>
      <c r="Z759" s="72"/>
    </row>
    <row r="760">
      <c r="F760" s="73"/>
      <c r="G760" s="73"/>
      <c r="H760" s="73"/>
      <c r="I760" s="73"/>
      <c r="R760" s="72"/>
      <c r="S760" s="72"/>
      <c r="T760" s="72"/>
      <c r="U760" s="72"/>
      <c r="V760" s="72"/>
      <c r="W760" s="72"/>
      <c r="X760" s="72"/>
      <c r="Y760" s="72"/>
      <c r="Z760" s="72"/>
    </row>
    <row r="761">
      <c r="F761" s="73"/>
      <c r="G761" s="73"/>
      <c r="H761" s="73"/>
      <c r="I761" s="73"/>
      <c r="R761" s="72"/>
      <c r="S761" s="72"/>
      <c r="T761" s="72"/>
      <c r="U761" s="72"/>
      <c r="V761" s="72"/>
      <c r="W761" s="72"/>
      <c r="X761" s="72"/>
      <c r="Y761" s="72"/>
      <c r="Z761" s="72"/>
    </row>
    <row r="762">
      <c r="F762" s="73"/>
      <c r="G762" s="73"/>
      <c r="H762" s="73"/>
      <c r="I762" s="73"/>
      <c r="R762" s="72"/>
      <c r="S762" s="72"/>
      <c r="T762" s="72"/>
      <c r="U762" s="72"/>
      <c r="V762" s="72"/>
      <c r="W762" s="72"/>
      <c r="X762" s="72"/>
      <c r="Y762" s="72"/>
      <c r="Z762" s="72"/>
    </row>
    <row r="763">
      <c r="F763" s="73"/>
      <c r="G763" s="73"/>
      <c r="H763" s="73"/>
      <c r="I763" s="73"/>
      <c r="R763" s="72"/>
      <c r="S763" s="72"/>
      <c r="T763" s="72"/>
      <c r="U763" s="72"/>
      <c r="V763" s="72"/>
      <c r="W763" s="72"/>
      <c r="X763" s="72"/>
      <c r="Y763" s="72"/>
      <c r="Z763" s="72"/>
    </row>
    <row r="764">
      <c r="F764" s="73"/>
      <c r="G764" s="73"/>
      <c r="H764" s="73"/>
      <c r="I764" s="73"/>
      <c r="R764" s="72"/>
      <c r="S764" s="72"/>
      <c r="T764" s="72"/>
      <c r="U764" s="72"/>
      <c r="V764" s="72"/>
      <c r="W764" s="72"/>
      <c r="X764" s="72"/>
      <c r="Y764" s="72"/>
      <c r="Z764" s="72"/>
    </row>
    <row r="765">
      <c r="F765" s="73"/>
      <c r="G765" s="73"/>
      <c r="H765" s="73"/>
      <c r="I765" s="73"/>
      <c r="R765" s="72"/>
      <c r="S765" s="72"/>
      <c r="T765" s="72"/>
      <c r="U765" s="72"/>
      <c r="V765" s="72"/>
      <c r="W765" s="72"/>
      <c r="X765" s="72"/>
      <c r="Y765" s="72"/>
      <c r="Z765" s="72"/>
    </row>
    <row r="766">
      <c r="F766" s="73"/>
      <c r="G766" s="73"/>
      <c r="H766" s="73"/>
      <c r="I766" s="73"/>
      <c r="R766" s="72"/>
      <c r="S766" s="72"/>
      <c r="T766" s="72"/>
      <c r="U766" s="72"/>
      <c r="V766" s="72"/>
      <c r="W766" s="72"/>
      <c r="X766" s="72"/>
      <c r="Y766" s="72"/>
      <c r="Z766" s="72"/>
    </row>
    <row r="767">
      <c r="F767" s="73"/>
      <c r="G767" s="73"/>
      <c r="H767" s="73"/>
      <c r="I767" s="73"/>
      <c r="R767" s="72"/>
      <c r="S767" s="72"/>
      <c r="T767" s="72"/>
      <c r="U767" s="72"/>
      <c r="V767" s="72"/>
      <c r="W767" s="72"/>
      <c r="X767" s="72"/>
      <c r="Y767" s="72"/>
      <c r="Z767" s="72"/>
    </row>
    <row r="768">
      <c r="F768" s="73"/>
      <c r="G768" s="73"/>
      <c r="H768" s="73"/>
      <c r="I768" s="73"/>
      <c r="R768" s="72"/>
      <c r="S768" s="72"/>
      <c r="T768" s="72"/>
      <c r="U768" s="72"/>
      <c r="V768" s="72"/>
      <c r="W768" s="72"/>
      <c r="X768" s="72"/>
      <c r="Y768" s="72"/>
      <c r="Z768" s="72"/>
    </row>
    <row r="769">
      <c r="F769" s="73"/>
      <c r="G769" s="73"/>
      <c r="H769" s="73"/>
      <c r="I769" s="73"/>
      <c r="R769" s="72"/>
      <c r="S769" s="72"/>
      <c r="T769" s="72"/>
      <c r="U769" s="72"/>
      <c r="V769" s="72"/>
      <c r="W769" s="72"/>
      <c r="X769" s="72"/>
      <c r="Y769" s="72"/>
      <c r="Z769" s="72"/>
    </row>
    <row r="770">
      <c r="F770" s="73"/>
      <c r="G770" s="73"/>
      <c r="H770" s="73"/>
      <c r="I770" s="73"/>
      <c r="R770" s="72"/>
      <c r="S770" s="72"/>
      <c r="T770" s="72"/>
      <c r="U770" s="72"/>
      <c r="V770" s="72"/>
      <c r="W770" s="72"/>
      <c r="X770" s="72"/>
      <c r="Y770" s="72"/>
      <c r="Z770" s="72"/>
    </row>
    <row r="771">
      <c r="F771" s="73"/>
      <c r="G771" s="73"/>
      <c r="H771" s="73"/>
      <c r="I771" s="73"/>
      <c r="R771" s="72"/>
      <c r="S771" s="72"/>
      <c r="T771" s="72"/>
      <c r="U771" s="72"/>
      <c r="V771" s="72"/>
      <c r="W771" s="72"/>
      <c r="X771" s="72"/>
      <c r="Y771" s="72"/>
      <c r="Z771" s="72"/>
    </row>
    <row r="772">
      <c r="F772" s="73"/>
      <c r="G772" s="73"/>
      <c r="H772" s="73"/>
      <c r="I772" s="73"/>
      <c r="R772" s="72"/>
      <c r="S772" s="72"/>
      <c r="T772" s="72"/>
      <c r="U772" s="72"/>
      <c r="V772" s="72"/>
      <c r="W772" s="72"/>
      <c r="X772" s="72"/>
      <c r="Y772" s="72"/>
      <c r="Z772" s="72"/>
    </row>
    <row r="773">
      <c r="F773" s="73"/>
      <c r="G773" s="73"/>
      <c r="H773" s="73"/>
      <c r="I773" s="73"/>
      <c r="R773" s="72"/>
      <c r="S773" s="72"/>
      <c r="T773" s="72"/>
      <c r="U773" s="72"/>
      <c r="V773" s="72"/>
      <c r="W773" s="72"/>
      <c r="X773" s="72"/>
      <c r="Y773" s="72"/>
      <c r="Z773" s="72"/>
    </row>
    <row r="774">
      <c r="F774" s="73"/>
      <c r="G774" s="73"/>
      <c r="H774" s="73"/>
      <c r="I774" s="73"/>
      <c r="R774" s="72"/>
      <c r="S774" s="72"/>
      <c r="T774" s="72"/>
      <c r="U774" s="72"/>
      <c r="V774" s="72"/>
      <c r="W774" s="72"/>
      <c r="X774" s="72"/>
      <c r="Y774" s="72"/>
      <c r="Z774" s="72"/>
    </row>
    <row r="775">
      <c r="F775" s="73"/>
      <c r="G775" s="73"/>
      <c r="H775" s="73"/>
      <c r="I775" s="73"/>
      <c r="R775" s="72"/>
      <c r="S775" s="72"/>
      <c r="T775" s="72"/>
      <c r="U775" s="72"/>
      <c r="V775" s="72"/>
      <c r="W775" s="72"/>
      <c r="X775" s="72"/>
      <c r="Y775" s="72"/>
      <c r="Z775" s="72"/>
    </row>
    <row r="776">
      <c r="F776" s="73"/>
      <c r="G776" s="73"/>
      <c r="H776" s="73"/>
      <c r="I776" s="73"/>
      <c r="R776" s="72"/>
      <c r="S776" s="72"/>
      <c r="T776" s="72"/>
      <c r="U776" s="72"/>
      <c r="V776" s="72"/>
      <c r="W776" s="72"/>
      <c r="X776" s="72"/>
      <c r="Y776" s="72"/>
      <c r="Z776" s="72"/>
    </row>
    <row r="777">
      <c r="F777" s="73"/>
      <c r="G777" s="73"/>
      <c r="H777" s="73"/>
      <c r="I777" s="73"/>
      <c r="R777" s="72"/>
      <c r="S777" s="72"/>
      <c r="T777" s="72"/>
      <c r="U777" s="72"/>
      <c r="V777" s="72"/>
      <c r="W777" s="72"/>
      <c r="X777" s="72"/>
      <c r="Y777" s="72"/>
      <c r="Z777" s="72"/>
    </row>
    <row r="778">
      <c r="F778" s="73"/>
      <c r="G778" s="73"/>
      <c r="H778" s="73"/>
      <c r="I778" s="73"/>
      <c r="R778" s="72"/>
      <c r="S778" s="72"/>
      <c r="T778" s="72"/>
      <c r="U778" s="72"/>
      <c r="V778" s="72"/>
      <c r="W778" s="72"/>
      <c r="X778" s="72"/>
      <c r="Y778" s="72"/>
      <c r="Z778" s="72"/>
    </row>
    <row r="779">
      <c r="F779" s="73"/>
      <c r="G779" s="73"/>
      <c r="H779" s="73"/>
      <c r="I779" s="73"/>
      <c r="R779" s="72"/>
      <c r="S779" s="72"/>
      <c r="T779" s="72"/>
      <c r="U779" s="72"/>
      <c r="V779" s="72"/>
      <c r="W779" s="72"/>
      <c r="X779" s="72"/>
      <c r="Y779" s="72"/>
      <c r="Z779" s="72"/>
    </row>
    <row r="780">
      <c r="F780" s="73"/>
      <c r="G780" s="73"/>
      <c r="H780" s="73"/>
      <c r="I780" s="73"/>
      <c r="R780" s="72"/>
      <c r="S780" s="72"/>
      <c r="T780" s="72"/>
      <c r="U780" s="72"/>
      <c r="V780" s="72"/>
      <c r="W780" s="72"/>
      <c r="X780" s="72"/>
      <c r="Y780" s="72"/>
      <c r="Z780" s="72"/>
    </row>
    <row r="781">
      <c r="F781" s="73"/>
      <c r="G781" s="73"/>
      <c r="H781" s="73"/>
      <c r="I781" s="73"/>
      <c r="R781" s="72"/>
      <c r="S781" s="72"/>
      <c r="T781" s="72"/>
      <c r="U781" s="72"/>
      <c r="V781" s="72"/>
      <c r="W781" s="72"/>
      <c r="X781" s="72"/>
      <c r="Y781" s="72"/>
      <c r="Z781" s="72"/>
    </row>
    <row r="782">
      <c r="F782" s="73"/>
      <c r="G782" s="73"/>
      <c r="H782" s="73"/>
      <c r="I782" s="73"/>
      <c r="R782" s="72"/>
      <c r="S782" s="72"/>
      <c r="T782" s="72"/>
      <c r="U782" s="72"/>
      <c r="V782" s="72"/>
      <c r="W782" s="72"/>
      <c r="X782" s="72"/>
      <c r="Y782" s="72"/>
      <c r="Z782" s="72"/>
    </row>
    <row r="783">
      <c r="F783" s="73"/>
      <c r="G783" s="73"/>
      <c r="H783" s="73"/>
      <c r="I783" s="73"/>
      <c r="R783" s="72"/>
      <c r="S783" s="72"/>
      <c r="T783" s="72"/>
      <c r="U783" s="72"/>
      <c r="V783" s="72"/>
      <c r="W783" s="72"/>
      <c r="X783" s="72"/>
      <c r="Y783" s="72"/>
      <c r="Z783" s="72"/>
    </row>
    <row r="784">
      <c r="F784" s="73"/>
      <c r="G784" s="73"/>
      <c r="H784" s="73"/>
      <c r="I784" s="73"/>
      <c r="R784" s="72"/>
      <c r="S784" s="72"/>
      <c r="T784" s="72"/>
      <c r="U784" s="72"/>
      <c r="V784" s="72"/>
      <c r="W784" s="72"/>
      <c r="X784" s="72"/>
      <c r="Y784" s="72"/>
      <c r="Z784" s="72"/>
    </row>
    <row r="785">
      <c r="F785" s="73"/>
      <c r="G785" s="73"/>
      <c r="H785" s="73"/>
      <c r="I785" s="73"/>
      <c r="R785" s="72"/>
      <c r="S785" s="72"/>
      <c r="T785" s="72"/>
      <c r="U785" s="72"/>
      <c r="V785" s="72"/>
      <c r="W785" s="72"/>
      <c r="X785" s="72"/>
      <c r="Y785" s="72"/>
      <c r="Z785" s="72"/>
    </row>
    <row r="786">
      <c r="F786" s="73"/>
      <c r="G786" s="73"/>
      <c r="H786" s="73"/>
      <c r="I786" s="73"/>
      <c r="R786" s="72"/>
      <c r="S786" s="72"/>
      <c r="T786" s="72"/>
      <c r="U786" s="72"/>
      <c r="V786" s="72"/>
      <c r="W786" s="72"/>
      <c r="X786" s="72"/>
      <c r="Y786" s="72"/>
      <c r="Z786" s="72"/>
    </row>
    <row r="787">
      <c r="F787" s="73"/>
      <c r="G787" s="73"/>
      <c r="H787" s="73"/>
      <c r="I787" s="73"/>
      <c r="R787" s="72"/>
      <c r="S787" s="72"/>
      <c r="T787" s="72"/>
      <c r="U787" s="72"/>
      <c r="V787" s="72"/>
      <c r="W787" s="72"/>
      <c r="X787" s="72"/>
      <c r="Y787" s="72"/>
      <c r="Z787" s="72"/>
    </row>
    <row r="788">
      <c r="F788" s="73"/>
      <c r="G788" s="73"/>
      <c r="H788" s="73"/>
      <c r="I788" s="73"/>
      <c r="R788" s="72"/>
      <c r="S788" s="72"/>
      <c r="T788" s="72"/>
      <c r="U788" s="72"/>
      <c r="V788" s="72"/>
      <c r="W788" s="72"/>
      <c r="X788" s="72"/>
      <c r="Y788" s="72"/>
      <c r="Z788" s="72"/>
    </row>
    <row r="789">
      <c r="F789" s="73"/>
      <c r="G789" s="73"/>
      <c r="H789" s="73"/>
      <c r="I789" s="73"/>
      <c r="R789" s="72"/>
      <c r="S789" s="72"/>
      <c r="T789" s="72"/>
      <c r="U789" s="72"/>
      <c r="V789" s="72"/>
      <c r="W789" s="72"/>
      <c r="X789" s="72"/>
      <c r="Y789" s="72"/>
      <c r="Z789" s="72"/>
    </row>
    <row r="790">
      <c r="F790" s="73"/>
      <c r="G790" s="73"/>
      <c r="H790" s="73"/>
      <c r="I790" s="73"/>
      <c r="R790" s="72"/>
      <c r="S790" s="72"/>
      <c r="T790" s="72"/>
      <c r="U790" s="72"/>
      <c r="V790" s="72"/>
      <c r="W790" s="72"/>
      <c r="X790" s="72"/>
      <c r="Y790" s="72"/>
      <c r="Z790" s="72"/>
    </row>
    <row r="791">
      <c r="F791" s="73"/>
      <c r="G791" s="73"/>
      <c r="H791" s="73"/>
      <c r="I791" s="73"/>
      <c r="R791" s="72"/>
      <c r="S791" s="72"/>
      <c r="T791" s="72"/>
      <c r="U791" s="72"/>
      <c r="V791" s="72"/>
      <c r="W791" s="72"/>
      <c r="X791" s="72"/>
      <c r="Y791" s="72"/>
      <c r="Z791" s="72"/>
    </row>
    <row r="792">
      <c r="F792" s="73"/>
      <c r="G792" s="73"/>
      <c r="H792" s="73"/>
      <c r="I792" s="73"/>
      <c r="R792" s="72"/>
      <c r="S792" s="72"/>
      <c r="T792" s="72"/>
      <c r="U792" s="72"/>
      <c r="V792" s="72"/>
      <c r="W792" s="72"/>
      <c r="X792" s="72"/>
      <c r="Y792" s="72"/>
      <c r="Z792" s="72"/>
    </row>
    <row r="793">
      <c r="F793" s="73"/>
      <c r="G793" s="73"/>
      <c r="H793" s="73"/>
      <c r="I793" s="73"/>
      <c r="R793" s="72"/>
      <c r="S793" s="72"/>
      <c r="T793" s="72"/>
      <c r="U793" s="72"/>
      <c r="V793" s="72"/>
      <c r="W793" s="72"/>
      <c r="X793" s="72"/>
      <c r="Y793" s="72"/>
      <c r="Z793" s="72"/>
    </row>
    <row r="794">
      <c r="F794" s="73"/>
      <c r="G794" s="73"/>
      <c r="H794" s="73"/>
      <c r="I794" s="73"/>
      <c r="R794" s="72"/>
      <c r="S794" s="72"/>
      <c r="T794" s="72"/>
      <c r="U794" s="72"/>
      <c r="V794" s="72"/>
      <c r="W794" s="72"/>
      <c r="X794" s="72"/>
      <c r="Y794" s="72"/>
      <c r="Z794" s="72"/>
    </row>
    <row r="795">
      <c r="F795" s="73"/>
      <c r="G795" s="73"/>
      <c r="H795" s="73"/>
      <c r="I795" s="73"/>
      <c r="R795" s="72"/>
      <c r="S795" s="72"/>
      <c r="T795" s="72"/>
      <c r="U795" s="72"/>
      <c r="V795" s="72"/>
      <c r="W795" s="72"/>
      <c r="X795" s="72"/>
      <c r="Y795" s="72"/>
      <c r="Z795" s="72"/>
    </row>
    <row r="796">
      <c r="F796" s="73"/>
      <c r="G796" s="73"/>
      <c r="H796" s="73"/>
      <c r="I796" s="73"/>
      <c r="R796" s="72"/>
      <c r="S796" s="72"/>
      <c r="T796" s="72"/>
      <c r="U796" s="72"/>
      <c r="V796" s="72"/>
      <c r="W796" s="72"/>
      <c r="X796" s="72"/>
      <c r="Y796" s="72"/>
      <c r="Z796" s="72"/>
    </row>
    <row r="797">
      <c r="F797" s="73"/>
      <c r="G797" s="73"/>
      <c r="H797" s="73"/>
      <c r="I797" s="73"/>
      <c r="R797" s="72"/>
      <c r="S797" s="72"/>
      <c r="T797" s="72"/>
      <c r="U797" s="72"/>
      <c r="V797" s="72"/>
      <c r="W797" s="72"/>
      <c r="X797" s="72"/>
      <c r="Y797" s="72"/>
      <c r="Z797" s="72"/>
    </row>
    <row r="798">
      <c r="F798" s="73"/>
      <c r="G798" s="73"/>
      <c r="H798" s="73"/>
      <c r="I798" s="73"/>
      <c r="R798" s="72"/>
      <c r="S798" s="72"/>
      <c r="T798" s="72"/>
      <c r="U798" s="72"/>
      <c r="V798" s="72"/>
      <c r="W798" s="72"/>
      <c r="X798" s="72"/>
      <c r="Y798" s="72"/>
      <c r="Z798" s="72"/>
    </row>
    <row r="799">
      <c r="F799" s="73"/>
      <c r="G799" s="73"/>
      <c r="H799" s="73"/>
      <c r="I799" s="73"/>
      <c r="R799" s="72"/>
      <c r="S799" s="72"/>
      <c r="T799" s="72"/>
      <c r="U799" s="72"/>
      <c r="V799" s="72"/>
      <c r="W799" s="72"/>
      <c r="X799" s="72"/>
      <c r="Y799" s="72"/>
      <c r="Z799" s="72"/>
    </row>
    <row r="800">
      <c r="F800" s="73"/>
      <c r="G800" s="73"/>
      <c r="H800" s="73"/>
      <c r="I800" s="73"/>
      <c r="R800" s="72"/>
      <c r="S800" s="72"/>
      <c r="T800" s="72"/>
      <c r="U800" s="72"/>
      <c r="V800" s="72"/>
      <c r="W800" s="72"/>
      <c r="X800" s="72"/>
      <c r="Y800" s="72"/>
      <c r="Z800" s="72"/>
    </row>
    <row r="801">
      <c r="F801" s="73"/>
      <c r="G801" s="73"/>
      <c r="H801" s="73"/>
      <c r="I801" s="73"/>
      <c r="R801" s="72"/>
      <c r="S801" s="72"/>
      <c r="T801" s="72"/>
      <c r="U801" s="72"/>
      <c r="V801" s="72"/>
      <c r="W801" s="72"/>
      <c r="X801" s="72"/>
      <c r="Y801" s="72"/>
      <c r="Z801" s="72"/>
    </row>
    <row r="802">
      <c r="F802" s="73"/>
      <c r="G802" s="73"/>
      <c r="H802" s="73"/>
      <c r="I802" s="73"/>
      <c r="R802" s="72"/>
      <c r="S802" s="72"/>
      <c r="T802" s="72"/>
      <c r="U802" s="72"/>
      <c r="V802" s="72"/>
      <c r="W802" s="72"/>
      <c r="X802" s="72"/>
      <c r="Y802" s="72"/>
      <c r="Z802" s="72"/>
    </row>
    <row r="803">
      <c r="F803" s="73"/>
      <c r="G803" s="73"/>
      <c r="H803" s="73"/>
      <c r="I803" s="73"/>
      <c r="R803" s="72"/>
      <c r="S803" s="72"/>
      <c r="T803" s="72"/>
      <c r="U803" s="72"/>
      <c r="V803" s="72"/>
      <c r="W803" s="72"/>
      <c r="X803" s="72"/>
      <c r="Y803" s="72"/>
      <c r="Z803" s="72"/>
    </row>
    <row r="804">
      <c r="F804" s="73"/>
      <c r="G804" s="73"/>
      <c r="H804" s="73"/>
      <c r="I804" s="73"/>
      <c r="R804" s="72"/>
      <c r="S804" s="72"/>
      <c r="T804" s="72"/>
      <c r="U804" s="72"/>
      <c r="V804" s="72"/>
      <c r="W804" s="72"/>
      <c r="X804" s="72"/>
      <c r="Y804" s="72"/>
      <c r="Z804" s="72"/>
    </row>
    <row r="805">
      <c r="F805" s="73"/>
      <c r="G805" s="73"/>
      <c r="H805" s="73"/>
      <c r="I805" s="73"/>
      <c r="R805" s="72"/>
      <c r="S805" s="72"/>
      <c r="T805" s="72"/>
      <c r="U805" s="72"/>
      <c r="V805" s="72"/>
      <c r="W805" s="72"/>
      <c r="X805" s="72"/>
      <c r="Y805" s="72"/>
      <c r="Z805" s="72"/>
    </row>
    <row r="806">
      <c r="F806" s="73"/>
      <c r="G806" s="73"/>
      <c r="H806" s="73"/>
      <c r="I806" s="73"/>
      <c r="R806" s="72"/>
      <c r="S806" s="72"/>
      <c r="T806" s="72"/>
      <c r="U806" s="72"/>
      <c r="V806" s="72"/>
      <c r="W806" s="72"/>
      <c r="X806" s="72"/>
      <c r="Y806" s="72"/>
      <c r="Z806" s="72"/>
    </row>
    <row r="807">
      <c r="F807" s="73"/>
      <c r="G807" s="73"/>
      <c r="H807" s="73"/>
      <c r="I807" s="73"/>
      <c r="R807" s="72"/>
      <c r="S807" s="72"/>
      <c r="T807" s="72"/>
      <c r="U807" s="72"/>
      <c r="V807" s="72"/>
      <c r="W807" s="72"/>
      <c r="X807" s="72"/>
      <c r="Y807" s="72"/>
      <c r="Z807" s="72"/>
    </row>
    <row r="808">
      <c r="F808" s="73"/>
      <c r="G808" s="73"/>
      <c r="H808" s="73"/>
      <c r="I808" s="73"/>
      <c r="R808" s="72"/>
      <c r="S808" s="72"/>
      <c r="T808" s="72"/>
      <c r="U808" s="72"/>
      <c r="V808" s="72"/>
      <c r="W808" s="72"/>
      <c r="X808" s="72"/>
      <c r="Y808" s="72"/>
      <c r="Z808" s="72"/>
    </row>
    <row r="809">
      <c r="F809" s="73"/>
      <c r="G809" s="73"/>
      <c r="H809" s="73"/>
      <c r="I809" s="73"/>
      <c r="R809" s="72"/>
      <c r="S809" s="72"/>
      <c r="T809" s="72"/>
      <c r="U809" s="72"/>
      <c r="V809" s="72"/>
      <c r="W809" s="72"/>
      <c r="X809" s="72"/>
      <c r="Y809" s="72"/>
      <c r="Z809" s="72"/>
    </row>
    <row r="810">
      <c r="F810" s="73"/>
      <c r="G810" s="73"/>
      <c r="H810" s="73"/>
      <c r="I810" s="73"/>
      <c r="R810" s="72"/>
      <c r="S810" s="72"/>
      <c r="T810" s="72"/>
      <c r="U810" s="72"/>
      <c r="V810" s="72"/>
      <c r="W810" s="72"/>
      <c r="X810" s="72"/>
      <c r="Y810" s="72"/>
      <c r="Z810" s="72"/>
    </row>
    <row r="811">
      <c r="F811" s="73"/>
      <c r="G811" s="73"/>
      <c r="H811" s="73"/>
      <c r="I811" s="73"/>
      <c r="R811" s="72"/>
      <c r="S811" s="72"/>
      <c r="T811" s="72"/>
      <c r="U811" s="72"/>
      <c r="V811" s="72"/>
      <c r="W811" s="72"/>
      <c r="X811" s="72"/>
      <c r="Y811" s="72"/>
      <c r="Z811" s="72"/>
    </row>
    <row r="812">
      <c r="F812" s="73"/>
      <c r="G812" s="73"/>
      <c r="H812" s="73"/>
      <c r="I812" s="73"/>
      <c r="R812" s="72"/>
      <c r="S812" s="72"/>
      <c r="T812" s="72"/>
      <c r="U812" s="72"/>
      <c r="V812" s="72"/>
      <c r="W812" s="72"/>
      <c r="X812" s="72"/>
      <c r="Y812" s="72"/>
      <c r="Z812" s="72"/>
    </row>
    <row r="813">
      <c r="F813" s="73"/>
      <c r="G813" s="73"/>
      <c r="H813" s="73"/>
      <c r="I813" s="73"/>
      <c r="R813" s="72"/>
      <c r="S813" s="72"/>
      <c r="T813" s="72"/>
      <c r="U813" s="72"/>
      <c r="V813" s="72"/>
      <c r="W813" s="72"/>
      <c r="X813" s="72"/>
      <c r="Y813" s="72"/>
      <c r="Z813" s="72"/>
    </row>
    <row r="814">
      <c r="F814" s="73"/>
      <c r="G814" s="73"/>
      <c r="H814" s="73"/>
      <c r="I814" s="73"/>
      <c r="R814" s="72"/>
      <c r="S814" s="72"/>
      <c r="T814" s="72"/>
      <c r="U814" s="72"/>
      <c r="V814" s="72"/>
      <c r="W814" s="72"/>
      <c r="X814" s="72"/>
      <c r="Y814" s="72"/>
      <c r="Z814" s="72"/>
    </row>
    <row r="815">
      <c r="F815" s="73"/>
      <c r="G815" s="73"/>
      <c r="H815" s="73"/>
      <c r="I815" s="73"/>
      <c r="R815" s="72"/>
      <c r="S815" s="72"/>
      <c r="T815" s="72"/>
      <c r="U815" s="72"/>
      <c r="V815" s="72"/>
      <c r="W815" s="72"/>
      <c r="X815" s="72"/>
      <c r="Y815" s="72"/>
      <c r="Z815" s="72"/>
    </row>
    <row r="816">
      <c r="F816" s="73"/>
      <c r="G816" s="73"/>
      <c r="H816" s="73"/>
      <c r="I816" s="73"/>
      <c r="R816" s="72"/>
      <c r="S816" s="72"/>
      <c r="T816" s="72"/>
      <c r="U816" s="72"/>
      <c r="V816" s="72"/>
      <c r="W816" s="72"/>
      <c r="X816" s="72"/>
      <c r="Y816" s="72"/>
      <c r="Z816" s="72"/>
    </row>
    <row r="817">
      <c r="F817" s="73"/>
      <c r="G817" s="73"/>
      <c r="H817" s="73"/>
      <c r="I817" s="73"/>
      <c r="R817" s="72"/>
      <c r="S817" s="72"/>
      <c r="T817" s="72"/>
      <c r="U817" s="72"/>
      <c r="V817" s="72"/>
      <c r="W817" s="72"/>
      <c r="X817" s="72"/>
      <c r="Y817" s="72"/>
      <c r="Z817" s="72"/>
    </row>
    <row r="818">
      <c r="F818" s="73"/>
      <c r="G818" s="73"/>
      <c r="H818" s="73"/>
      <c r="I818" s="73"/>
      <c r="R818" s="72"/>
      <c r="S818" s="72"/>
      <c r="T818" s="72"/>
      <c r="U818" s="72"/>
      <c r="V818" s="72"/>
      <c r="W818" s="72"/>
      <c r="X818" s="72"/>
      <c r="Y818" s="72"/>
      <c r="Z818" s="72"/>
    </row>
    <row r="819">
      <c r="F819" s="73"/>
      <c r="G819" s="73"/>
      <c r="H819" s="73"/>
      <c r="I819" s="73"/>
      <c r="R819" s="72"/>
      <c r="S819" s="72"/>
      <c r="T819" s="72"/>
      <c r="U819" s="72"/>
      <c r="V819" s="72"/>
      <c r="W819" s="72"/>
      <c r="X819" s="72"/>
      <c r="Y819" s="72"/>
      <c r="Z819" s="72"/>
    </row>
    <row r="820">
      <c r="F820" s="73"/>
      <c r="G820" s="73"/>
      <c r="H820" s="73"/>
      <c r="I820" s="73"/>
      <c r="R820" s="72"/>
      <c r="S820" s="72"/>
      <c r="T820" s="72"/>
      <c r="U820" s="72"/>
      <c r="V820" s="72"/>
      <c r="W820" s="72"/>
      <c r="X820" s="72"/>
      <c r="Y820" s="72"/>
      <c r="Z820" s="72"/>
    </row>
    <row r="821">
      <c r="F821" s="73"/>
      <c r="G821" s="73"/>
      <c r="H821" s="73"/>
      <c r="I821" s="73"/>
      <c r="R821" s="72"/>
      <c r="S821" s="72"/>
      <c r="T821" s="72"/>
      <c r="U821" s="72"/>
      <c r="V821" s="72"/>
      <c r="W821" s="72"/>
      <c r="X821" s="72"/>
      <c r="Y821" s="72"/>
      <c r="Z821" s="72"/>
    </row>
    <row r="822">
      <c r="F822" s="73"/>
      <c r="G822" s="73"/>
      <c r="H822" s="73"/>
      <c r="I822" s="73"/>
      <c r="R822" s="72"/>
      <c r="S822" s="72"/>
      <c r="T822" s="72"/>
      <c r="U822" s="72"/>
      <c r="V822" s="72"/>
      <c r="W822" s="72"/>
      <c r="X822" s="72"/>
      <c r="Y822" s="72"/>
      <c r="Z822" s="72"/>
    </row>
    <row r="823">
      <c r="F823" s="73"/>
      <c r="G823" s="73"/>
      <c r="H823" s="73"/>
      <c r="I823" s="73"/>
      <c r="R823" s="72"/>
      <c r="S823" s="72"/>
      <c r="T823" s="72"/>
      <c r="U823" s="72"/>
      <c r="V823" s="72"/>
      <c r="W823" s="72"/>
      <c r="X823" s="72"/>
      <c r="Y823" s="72"/>
      <c r="Z823" s="72"/>
    </row>
    <row r="824">
      <c r="F824" s="73"/>
      <c r="G824" s="73"/>
      <c r="H824" s="73"/>
      <c r="I824" s="73"/>
      <c r="R824" s="72"/>
      <c r="S824" s="72"/>
      <c r="T824" s="72"/>
      <c r="U824" s="72"/>
      <c r="V824" s="72"/>
      <c r="W824" s="72"/>
      <c r="X824" s="72"/>
      <c r="Y824" s="72"/>
      <c r="Z824" s="72"/>
    </row>
    <row r="825">
      <c r="F825" s="73"/>
      <c r="G825" s="73"/>
      <c r="H825" s="73"/>
      <c r="I825" s="73"/>
      <c r="R825" s="72"/>
      <c r="S825" s="72"/>
      <c r="T825" s="72"/>
      <c r="U825" s="72"/>
      <c r="V825" s="72"/>
      <c r="W825" s="72"/>
      <c r="X825" s="72"/>
      <c r="Y825" s="72"/>
      <c r="Z825" s="72"/>
    </row>
    <row r="826">
      <c r="F826" s="73"/>
      <c r="G826" s="73"/>
      <c r="H826" s="73"/>
      <c r="I826" s="73"/>
      <c r="R826" s="72"/>
      <c r="S826" s="72"/>
      <c r="T826" s="72"/>
      <c r="U826" s="72"/>
      <c r="V826" s="72"/>
      <c r="W826" s="72"/>
      <c r="X826" s="72"/>
      <c r="Y826" s="72"/>
      <c r="Z826" s="72"/>
    </row>
    <row r="827">
      <c r="F827" s="73"/>
      <c r="G827" s="73"/>
      <c r="H827" s="73"/>
      <c r="I827" s="73"/>
      <c r="R827" s="72"/>
      <c r="S827" s="72"/>
      <c r="T827" s="72"/>
      <c r="U827" s="72"/>
      <c r="V827" s="72"/>
      <c r="W827" s="72"/>
      <c r="X827" s="72"/>
      <c r="Y827" s="72"/>
      <c r="Z827" s="72"/>
    </row>
    <row r="828">
      <c r="F828" s="73"/>
      <c r="G828" s="73"/>
      <c r="H828" s="73"/>
      <c r="I828" s="73"/>
      <c r="R828" s="72"/>
      <c r="S828" s="72"/>
      <c r="T828" s="72"/>
      <c r="U828" s="72"/>
      <c r="V828" s="72"/>
      <c r="W828" s="72"/>
      <c r="X828" s="72"/>
      <c r="Y828" s="72"/>
      <c r="Z828" s="72"/>
    </row>
    <row r="829">
      <c r="F829" s="73"/>
      <c r="G829" s="73"/>
      <c r="H829" s="73"/>
      <c r="I829" s="73"/>
      <c r="R829" s="72"/>
      <c r="S829" s="72"/>
      <c r="T829" s="72"/>
      <c r="U829" s="72"/>
      <c r="V829" s="72"/>
      <c r="W829" s="72"/>
      <c r="X829" s="72"/>
      <c r="Y829" s="72"/>
      <c r="Z829" s="72"/>
    </row>
    <row r="830">
      <c r="F830" s="73"/>
      <c r="G830" s="73"/>
      <c r="H830" s="73"/>
      <c r="I830" s="73"/>
      <c r="R830" s="72"/>
      <c r="S830" s="72"/>
      <c r="T830" s="72"/>
      <c r="U830" s="72"/>
      <c r="V830" s="72"/>
      <c r="W830" s="72"/>
      <c r="X830" s="72"/>
      <c r="Y830" s="72"/>
      <c r="Z830" s="72"/>
    </row>
    <row r="831">
      <c r="F831" s="73"/>
      <c r="G831" s="73"/>
      <c r="H831" s="73"/>
      <c r="I831" s="73"/>
      <c r="R831" s="72"/>
      <c r="S831" s="72"/>
      <c r="T831" s="72"/>
      <c r="U831" s="72"/>
      <c r="V831" s="72"/>
      <c r="W831" s="72"/>
      <c r="X831" s="72"/>
      <c r="Y831" s="72"/>
      <c r="Z831" s="72"/>
    </row>
    <row r="832">
      <c r="F832" s="73"/>
      <c r="G832" s="73"/>
      <c r="H832" s="73"/>
      <c r="I832" s="73"/>
      <c r="R832" s="72"/>
      <c r="S832" s="72"/>
      <c r="T832" s="72"/>
      <c r="U832" s="72"/>
      <c r="V832" s="72"/>
      <c r="W832" s="72"/>
      <c r="X832" s="72"/>
      <c r="Y832" s="72"/>
      <c r="Z832" s="72"/>
    </row>
    <row r="833">
      <c r="F833" s="73"/>
      <c r="G833" s="73"/>
      <c r="H833" s="73"/>
      <c r="I833" s="73"/>
      <c r="R833" s="72"/>
      <c r="S833" s="72"/>
      <c r="T833" s="72"/>
      <c r="U833" s="72"/>
      <c r="V833" s="72"/>
      <c r="W833" s="72"/>
      <c r="X833" s="72"/>
      <c r="Y833" s="72"/>
      <c r="Z833" s="72"/>
    </row>
    <row r="834">
      <c r="F834" s="73"/>
      <c r="G834" s="73"/>
      <c r="H834" s="73"/>
      <c r="I834" s="73"/>
      <c r="R834" s="72"/>
      <c r="S834" s="72"/>
      <c r="T834" s="72"/>
      <c r="U834" s="72"/>
      <c r="V834" s="72"/>
      <c r="W834" s="72"/>
      <c r="X834" s="72"/>
      <c r="Y834" s="72"/>
      <c r="Z834" s="72"/>
    </row>
    <row r="835">
      <c r="F835" s="73"/>
      <c r="G835" s="73"/>
      <c r="H835" s="73"/>
      <c r="I835" s="73"/>
      <c r="R835" s="72"/>
      <c r="S835" s="72"/>
      <c r="T835" s="72"/>
      <c r="U835" s="72"/>
      <c r="V835" s="72"/>
      <c r="W835" s="72"/>
      <c r="X835" s="72"/>
      <c r="Y835" s="72"/>
      <c r="Z835" s="72"/>
    </row>
    <row r="836">
      <c r="F836" s="73"/>
      <c r="G836" s="73"/>
      <c r="H836" s="73"/>
      <c r="I836" s="73"/>
      <c r="R836" s="72"/>
      <c r="S836" s="72"/>
      <c r="T836" s="72"/>
      <c r="U836" s="72"/>
      <c r="V836" s="72"/>
      <c r="W836" s="72"/>
      <c r="X836" s="72"/>
      <c r="Y836" s="72"/>
      <c r="Z836" s="72"/>
    </row>
    <row r="837">
      <c r="F837" s="73"/>
      <c r="G837" s="73"/>
      <c r="H837" s="73"/>
      <c r="I837" s="73"/>
      <c r="R837" s="72"/>
      <c r="S837" s="72"/>
      <c r="T837" s="72"/>
      <c r="U837" s="72"/>
      <c r="V837" s="72"/>
      <c r="W837" s="72"/>
      <c r="X837" s="72"/>
      <c r="Y837" s="72"/>
      <c r="Z837" s="72"/>
    </row>
    <row r="838">
      <c r="F838" s="73"/>
      <c r="G838" s="73"/>
      <c r="H838" s="73"/>
      <c r="I838" s="73"/>
      <c r="R838" s="72"/>
      <c r="S838" s="72"/>
      <c r="T838" s="72"/>
      <c r="U838" s="72"/>
      <c r="V838" s="72"/>
      <c r="W838" s="72"/>
      <c r="X838" s="72"/>
      <c r="Y838" s="72"/>
      <c r="Z838" s="72"/>
    </row>
    <row r="839">
      <c r="F839" s="73"/>
      <c r="G839" s="73"/>
      <c r="H839" s="73"/>
      <c r="I839" s="73"/>
      <c r="R839" s="72"/>
      <c r="S839" s="72"/>
      <c r="T839" s="72"/>
      <c r="U839" s="72"/>
      <c r="V839" s="72"/>
      <c r="W839" s="72"/>
      <c r="X839" s="72"/>
      <c r="Y839" s="72"/>
      <c r="Z839" s="72"/>
    </row>
    <row r="840">
      <c r="F840" s="73"/>
      <c r="G840" s="73"/>
      <c r="H840" s="73"/>
      <c r="I840" s="73"/>
      <c r="R840" s="72"/>
      <c r="S840" s="72"/>
      <c r="T840" s="72"/>
      <c r="U840" s="72"/>
      <c r="V840" s="72"/>
      <c r="W840" s="72"/>
      <c r="X840" s="72"/>
      <c r="Y840" s="72"/>
      <c r="Z840" s="72"/>
    </row>
    <row r="841">
      <c r="F841" s="73"/>
      <c r="G841" s="73"/>
      <c r="H841" s="73"/>
      <c r="I841" s="73"/>
      <c r="R841" s="72"/>
      <c r="S841" s="72"/>
      <c r="T841" s="72"/>
      <c r="U841" s="72"/>
      <c r="V841" s="72"/>
      <c r="W841" s="72"/>
      <c r="X841" s="72"/>
      <c r="Y841" s="72"/>
      <c r="Z841" s="72"/>
    </row>
    <row r="842">
      <c r="F842" s="73"/>
      <c r="G842" s="73"/>
      <c r="H842" s="73"/>
      <c r="I842" s="73"/>
      <c r="R842" s="72"/>
      <c r="S842" s="72"/>
      <c r="T842" s="72"/>
      <c r="U842" s="72"/>
      <c r="V842" s="72"/>
      <c r="W842" s="72"/>
      <c r="X842" s="72"/>
      <c r="Y842" s="72"/>
      <c r="Z842" s="72"/>
    </row>
    <row r="843">
      <c r="F843" s="73"/>
      <c r="G843" s="73"/>
      <c r="H843" s="73"/>
      <c r="I843" s="73"/>
      <c r="R843" s="72"/>
      <c r="S843" s="72"/>
      <c r="T843" s="72"/>
      <c r="U843" s="72"/>
      <c r="V843" s="72"/>
      <c r="W843" s="72"/>
      <c r="X843" s="72"/>
      <c r="Y843" s="72"/>
      <c r="Z843" s="72"/>
    </row>
    <row r="844">
      <c r="F844" s="73"/>
      <c r="G844" s="73"/>
      <c r="H844" s="73"/>
      <c r="I844" s="73"/>
      <c r="R844" s="72"/>
      <c r="S844" s="72"/>
      <c r="T844" s="72"/>
      <c r="U844" s="72"/>
      <c r="V844" s="72"/>
      <c r="W844" s="72"/>
      <c r="X844" s="72"/>
      <c r="Y844" s="72"/>
      <c r="Z844" s="72"/>
    </row>
    <row r="845">
      <c r="F845" s="73"/>
      <c r="G845" s="73"/>
      <c r="H845" s="73"/>
      <c r="I845" s="73"/>
      <c r="R845" s="72"/>
      <c r="S845" s="72"/>
      <c r="T845" s="72"/>
      <c r="U845" s="72"/>
      <c r="V845" s="72"/>
      <c r="W845" s="72"/>
      <c r="X845" s="72"/>
      <c r="Y845" s="72"/>
      <c r="Z845" s="72"/>
    </row>
    <row r="846">
      <c r="F846" s="73"/>
      <c r="G846" s="73"/>
      <c r="H846" s="73"/>
      <c r="I846" s="73"/>
      <c r="R846" s="72"/>
      <c r="S846" s="72"/>
      <c r="T846" s="72"/>
      <c r="U846" s="72"/>
      <c r="V846" s="72"/>
      <c r="W846" s="72"/>
      <c r="X846" s="72"/>
      <c r="Y846" s="72"/>
      <c r="Z846" s="72"/>
    </row>
    <row r="847">
      <c r="F847" s="73"/>
      <c r="G847" s="73"/>
      <c r="H847" s="73"/>
      <c r="I847" s="73"/>
      <c r="R847" s="72"/>
      <c r="S847" s="72"/>
      <c r="T847" s="72"/>
      <c r="U847" s="72"/>
      <c r="V847" s="72"/>
      <c r="W847" s="72"/>
      <c r="X847" s="72"/>
      <c r="Y847" s="72"/>
      <c r="Z847" s="72"/>
    </row>
    <row r="848">
      <c r="F848" s="73"/>
      <c r="G848" s="73"/>
      <c r="H848" s="73"/>
      <c r="I848" s="73"/>
      <c r="R848" s="72"/>
      <c r="S848" s="72"/>
      <c r="T848" s="72"/>
      <c r="U848" s="72"/>
      <c r="V848" s="72"/>
      <c r="W848" s="72"/>
      <c r="X848" s="72"/>
      <c r="Y848" s="72"/>
      <c r="Z848" s="72"/>
    </row>
    <row r="849">
      <c r="F849" s="73"/>
      <c r="G849" s="73"/>
      <c r="H849" s="73"/>
      <c r="I849" s="73"/>
      <c r="R849" s="72"/>
      <c r="S849" s="72"/>
      <c r="T849" s="72"/>
      <c r="U849" s="72"/>
      <c r="V849" s="72"/>
      <c r="W849" s="72"/>
      <c r="X849" s="72"/>
      <c r="Y849" s="72"/>
      <c r="Z849" s="72"/>
    </row>
    <row r="850">
      <c r="F850" s="73"/>
      <c r="G850" s="73"/>
      <c r="H850" s="73"/>
      <c r="I850" s="73"/>
      <c r="R850" s="72"/>
      <c r="S850" s="72"/>
      <c r="T850" s="72"/>
      <c r="U850" s="72"/>
      <c r="V850" s="72"/>
      <c r="W850" s="72"/>
      <c r="X850" s="72"/>
      <c r="Y850" s="72"/>
      <c r="Z850" s="72"/>
    </row>
    <row r="851">
      <c r="F851" s="73"/>
      <c r="G851" s="73"/>
      <c r="H851" s="73"/>
      <c r="I851" s="73"/>
      <c r="R851" s="72"/>
      <c r="S851" s="72"/>
      <c r="T851" s="72"/>
      <c r="U851" s="72"/>
      <c r="V851" s="72"/>
      <c r="W851" s="72"/>
      <c r="X851" s="72"/>
      <c r="Y851" s="72"/>
      <c r="Z851" s="72"/>
    </row>
    <row r="852">
      <c r="F852" s="73"/>
      <c r="G852" s="73"/>
      <c r="H852" s="73"/>
      <c r="I852" s="73"/>
      <c r="R852" s="72"/>
      <c r="S852" s="72"/>
      <c r="T852" s="72"/>
      <c r="U852" s="72"/>
      <c r="V852" s="72"/>
      <c r="W852" s="72"/>
      <c r="X852" s="72"/>
      <c r="Y852" s="72"/>
      <c r="Z852" s="72"/>
    </row>
    <row r="853">
      <c r="F853" s="73"/>
      <c r="G853" s="73"/>
      <c r="H853" s="73"/>
      <c r="I853" s="73"/>
      <c r="R853" s="72"/>
      <c r="S853" s="72"/>
      <c r="T853" s="72"/>
      <c r="U853" s="72"/>
      <c r="V853" s="72"/>
      <c r="W853" s="72"/>
      <c r="X853" s="72"/>
      <c r="Y853" s="72"/>
      <c r="Z853" s="72"/>
    </row>
    <row r="854">
      <c r="F854" s="73"/>
      <c r="G854" s="73"/>
      <c r="H854" s="73"/>
      <c r="I854" s="73"/>
      <c r="R854" s="72"/>
      <c r="S854" s="72"/>
      <c r="T854" s="72"/>
      <c r="U854" s="72"/>
      <c r="V854" s="72"/>
      <c r="W854" s="72"/>
      <c r="X854" s="72"/>
      <c r="Y854" s="72"/>
      <c r="Z854" s="72"/>
    </row>
    <row r="855">
      <c r="F855" s="73"/>
      <c r="G855" s="73"/>
      <c r="H855" s="73"/>
      <c r="I855" s="73"/>
      <c r="R855" s="72"/>
      <c r="S855" s="72"/>
      <c r="T855" s="72"/>
      <c r="U855" s="72"/>
      <c r="V855" s="72"/>
      <c r="W855" s="72"/>
      <c r="X855" s="72"/>
      <c r="Y855" s="72"/>
      <c r="Z855" s="72"/>
    </row>
    <row r="856">
      <c r="F856" s="73"/>
      <c r="G856" s="73"/>
      <c r="H856" s="73"/>
      <c r="I856" s="73"/>
      <c r="R856" s="72"/>
      <c r="S856" s="72"/>
      <c r="T856" s="72"/>
      <c r="U856" s="72"/>
      <c r="V856" s="72"/>
      <c r="W856" s="72"/>
      <c r="X856" s="72"/>
      <c r="Y856" s="72"/>
      <c r="Z856" s="72"/>
    </row>
    <row r="857">
      <c r="F857" s="73"/>
      <c r="G857" s="73"/>
      <c r="H857" s="73"/>
      <c r="I857" s="73"/>
      <c r="R857" s="72"/>
      <c r="S857" s="72"/>
      <c r="T857" s="72"/>
      <c r="U857" s="72"/>
      <c r="V857" s="72"/>
      <c r="W857" s="72"/>
      <c r="X857" s="72"/>
      <c r="Y857" s="72"/>
      <c r="Z857" s="72"/>
    </row>
    <row r="858">
      <c r="F858" s="73"/>
      <c r="G858" s="73"/>
      <c r="H858" s="73"/>
      <c r="I858" s="73"/>
      <c r="R858" s="72"/>
      <c r="S858" s="72"/>
      <c r="T858" s="72"/>
      <c r="U858" s="72"/>
      <c r="V858" s="72"/>
      <c r="W858" s="72"/>
      <c r="X858" s="72"/>
      <c r="Y858" s="72"/>
      <c r="Z858" s="72"/>
    </row>
    <row r="859">
      <c r="F859" s="73"/>
      <c r="G859" s="73"/>
      <c r="H859" s="73"/>
      <c r="I859" s="73"/>
      <c r="R859" s="72"/>
      <c r="S859" s="72"/>
      <c r="T859" s="72"/>
      <c r="U859" s="72"/>
      <c r="V859" s="72"/>
      <c r="W859" s="72"/>
      <c r="X859" s="72"/>
      <c r="Y859" s="72"/>
      <c r="Z859" s="72"/>
    </row>
    <row r="860">
      <c r="F860" s="73"/>
      <c r="G860" s="73"/>
      <c r="H860" s="73"/>
      <c r="I860" s="73"/>
      <c r="R860" s="72"/>
      <c r="S860" s="72"/>
      <c r="T860" s="72"/>
      <c r="U860" s="72"/>
      <c r="V860" s="72"/>
      <c r="W860" s="72"/>
      <c r="X860" s="72"/>
      <c r="Y860" s="72"/>
      <c r="Z860" s="72"/>
    </row>
    <row r="861">
      <c r="F861" s="73"/>
      <c r="G861" s="73"/>
      <c r="H861" s="73"/>
      <c r="I861" s="73"/>
      <c r="R861" s="72"/>
      <c r="S861" s="72"/>
      <c r="T861" s="72"/>
      <c r="U861" s="72"/>
      <c r="V861" s="72"/>
      <c r="W861" s="72"/>
      <c r="X861" s="72"/>
      <c r="Y861" s="72"/>
      <c r="Z861" s="72"/>
    </row>
    <row r="862">
      <c r="F862" s="73"/>
      <c r="G862" s="73"/>
      <c r="H862" s="73"/>
      <c r="I862" s="73"/>
      <c r="R862" s="72"/>
      <c r="S862" s="72"/>
      <c r="T862" s="72"/>
      <c r="U862" s="72"/>
      <c r="V862" s="72"/>
      <c r="W862" s="72"/>
      <c r="X862" s="72"/>
      <c r="Y862" s="72"/>
      <c r="Z862" s="72"/>
    </row>
    <row r="863">
      <c r="F863" s="73"/>
      <c r="G863" s="73"/>
      <c r="H863" s="73"/>
      <c r="I863" s="73"/>
      <c r="R863" s="72"/>
      <c r="S863" s="72"/>
      <c r="T863" s="72"/>
      <c r="U863" s="72"/>
      <c r="V863" s="72"/>
      <c r="W863" s="72"/>
      <c r="X863" s="72"/>
      <c r="Y863" s="72"/>
      <c r="Z863" s="72"/>
    </row>
    <row r="864">
      <c r="F864" s="73"/>
      <c r="G864" s="73"/>
      <c r="H864" s="73"/>
      <c r="I864" s="73"/>
      <c r="R864" s="72"/>
      <c r="S864" s="72"/>
      <c r="T864" s="72"/>
      <c r="U864" s="72"/>
      <c r="V864" s="72"/>
      <c r="W864" s="72"/>
      <c r="X864" s="72"/>
      <c r="Y864" s="72"/>
      <c r="Z864" s="72"/>
    </row>
    <row r="865">
      <c r="F865" s="73"/>
      <c r="G865" s="73"/>
      <c r="H865" s="73"/>
      <c r="I865" s="73"/>
      <c r="R865" s="72"/>
      <c r="S865" s="72"/>
      <c r="T865" s="72"/>
      <c r="U865" s="72"/>
      <c r="V865" s="72"/>
      <c r="W865" s="72"/>
      <c r="X865" s="72"/>
      <c r="Y865" s="72"/>
      <c r="Z865" s="72"/>
    </row>
    <row r="866">
      <c r="F866" s="73"/>
      <c r="G866" s="73"/>
      <c r="H866" s="73"/>
      <c r="I866" s="73"/>
      <c r="R866" s="72"/>
      <c r="S866" s="72"/>
      <c r="T866" s="72"/>
      <c r="U866" s="72"/>
      <c r="V866" s="72"/>
      <c r="W866" s="72"/>
      <c r="X866" s="72"/>
      <c r="Y866" s="72"/>
      <c r="Z866" s="72"/>
    </row>
    <row r="867">
      <c r="F867" s="73"/>
      <c r="G867" s="73"/>
      <c r="H867" s="73"/>
      <c r="I867" s="73"/>
      <c r="R867" s="72"/>
      <c r="S867" s="72"/>
      <c r="T867" s="72"/>
      <c r="U867" s="72"/>
      <c r="V867" s="72"/>
      <c r="W867" s="72"/>
      <c r="X867" s="72"/>
      <c r="Y867" s="72"/>
      <c r="Z867" s="72"/>
    </row>
    <row r="868">
      <c r="F868" s="73"/>
      <c r="G868" s="73"/>
      <c r="H868" s="73"/>
      <c r="I868" s="73"/>
      <c r="R868" s="72"/>
      <c r="S868" s="72"/>
      <c r="T868" s="72"/>
      <c r="U868" s="72"/>
      <c r="V868" s="72"/>
      <c r="W868" s="72"/>
      <c r="X868" s="72"/>
      <c r="Y868" s="72"/>
      <c r="Z868" s="72"/>
    </row>
    <row r="869">
      <c r="F869" s="73"/>
      <c r="G869" s="73"/>
      <c r="H869" s="73"/>
      <c r="I869" s="73"/>
      <c r="R869" s="72"/>
      <c r="S869" s="72"/>
      <c r="T869" s="72"/>
      <c r="U869" s="72"/>
      <c r="V869" s="72"/>
      <c r="W869" s="72"/>
      <c r="X869" s="72"/>
      <c r="Y869" s="72"/>
      <c r="Z869" s="72"/>
    </row>
    <row r="870">
      <c r="F870" s="73"/>
      <c r="G870" s="73"/>
      <c r="H870" s="73"/>
      <c r="I870" s="73"/>
      <c r="R870" s="72"/>
      <c r="S870" s="72"/>
      <c r="T870" s="72"/>
      <c r="U870" s="72"/>
      <c r="V870" s="72"/>
      <c r="W870" s="72"/>
      <c r="X870" s="72"/>
      <c r="Y870" s="72"/>
      <c r="Z870" s="72"/>
    </row>
    <row r="871">
      <c r="F871" s="73"/>
      <c r="G871" s="73"/>
      <c r="H871" s="73"/>
      <c r="I871" s="73"/>
      <c r="R871" s="72"/>
      <c r="S871" s="72"/>
      <c r="T871" s="72"/>
      <c r="U871" s="72"/>
      <c r="V871" s="72"/>
      <c r="W871" s="72"/>
      <c r="X871" s="72"/>
      <c r="Y871" s="72"/>
      <c r="Z871" s="72"/>
    </row>
    <row r="872">
      <c r="F872" s="73"/>
      <c r="G872" s="73"/>
      <c r="H872" s="73"/>
      <c r="I872" s="73"/>
      <c r="R872" s="72"/>
      <c r="S872" s="72"/>
      <c r="T872" s="72"/>
      <c r="U872" s="72"/>
      <c r="V872" s="72"/>
      <c r="W872" s="72"/>
      <c r="X872" s="72"/>
      <c r="Y872" s="72"/>
      <c r="Z872" s="72"/>
    </row>
    <row r="873">
      <c r="F873" s="73"/>
      <c r="G873" s="73"/>
      <c r="H873" s="73"/>
      <c r="I873" s="73"/>
      <c r="R873" s="72"/>
      <c r="S873" s="72"/>
      <c r="T873" s="72"/>
      <c r="U873" s="72"/>
      <c r="V873" s="72"/>
      <c r="W873" s="72"/>
      <c r="X873" s="72"/>
      <c r="Y873" s="72"/>
      <c r="Z873" s="72"/>
    </row>
    <row r="874">
      <c r="F874" s="73"/>
      <c r="G874" s="73"/>
      <c r="H874" s="73"/>
      <c r="I874" s="73"/>
      <c r="R874" s="72"/>
      <c r="S874" s="72"/>
      <c r="T874" s="72"/>
      <c r="U874" s="72"/>
      <c r="V874" s="72"/>
      <c r="W874" s="72"/>
      <c r="X874" s="72"/>
      <c r="Y874" s="72"/>
      <c r="Z874" s="72"/>
    </row>
    <row r="875">
      <c r="F875" s="73"/>
      <c r="G875" s="73"/>
      <c r="H875" s="73"/>
      <c r="I875" s="73"/>
      <c r="R875" s="72"/>
      <c r="S875" s="72"/>
      <c r="T875" s="72"/>
      <c r="U875" s="72"/>
      <c r="V875" s="72"/>
      <c r="W875" s="72"/>
      <c r="X875" s="72"/>
      <c r="Y875" s="72"/>
      <c r="Z875" s="72"/>
    </row>
    <row r="876">
      <c r="F876" s="73"/>
      <c r="G876" s="73"/>
      <c r="H876" s="73"/>
      <c r="I876" s="73"/>
      <c r="R876" s="72"/>
      <c r="S876" s="72"/>
      <c r="T876" s="72"/>
      <c r="U876" s="72"/>
      <c r="V876" s="72"/>
      <c r="W876" s="72"/>
      <c r="X876" s="72"/>
      <c r="Y876" s="72"/>
      <c r="Z876" s="72"/>
    </row>
    <row r="877">
      <c r="F877" s="73"/>
      <c r="G877" s="73"/>
      <c r="H877" s="73"/>
      <c r="I877" s="73"/>
      <c r="R877" s="72"/>
      <c r="S877" s="72"/>
      <c r="T877" s="72"/>
      <c r="U877" s="72"/>
      <c r="V877" s="72"/>
      <c r="W877" s="72"/>
      <c r="X877" s="72"/>
      <c r="Y877" s="72"/>
      <c r="Z877" s="72"/>
    </row>
    <row r="878">
      <c r="F878" s="73"/>
      <c r="G878" s="73"/>
      <c r="H878" s="73"/>
      <c r="I878" s="73"/>
      <c r="R878" s="72"/>
      <c r="S878" s="72"/>
      <c r="T878" s="72"/>
      <c r="U878" s="72"/>
      <c r="V878" s="72"/>
      <c r="W878" s="72"/>
      <c r="X878" s="72"/>
      <c r="Y878" s="72"/>
      <c r="Z878" s="72"/>
    </row>
    <row r="879">
      <c r="F879" s="73"/>
      <c r="G879" s="73"/>
      <c r="H879" s="73"/>
      <c r="I879" s="73"/>
      <c r="R879" s="72"/>
      <c r="S879" s="72"/>
      <c r="T879" s="72"/>
      <c r="U879" s="72"/>
      <c r="V879" s="72"/>
      <c r="W879" s="72"/>
      <c r="X879" s="72"/>
      <c r="Y879" s="72"/>
      <c r="Z879" s="72"/>
    </row>
    <row r="880">
      <c r="F880" s="73"/>
      <c r="G880" s="73"/>
      <c r="H880" s="73"/>
      <c r="I880" s="73"/>
      <c r="R880" s="72"/>
      <c r="S880" s="72"/>
      <c r="T880" s="72"/>
      <c r="U880" s="72"/>
      <c r="V880" s="72"/>
      <c r="W880" s="72"/>
      <c r="X880" s="72"/>
      <c r="Y880" s="72"/>
      <c r="Z880" s="72"/>
    </row>
    <row r="881">
      <c r="F881" s="73"/>
      <c r="G881" s="73"/>
      <c r="H881" s="73"/>
      <c r="I881" s="73"/>
      <c r="R881" s="72"/>
      <c r="S881" s="72"/>
      <c r="T881" s="72"/>
      <c r="U881" s="72"/>
      <c r="V881" s="72"/>
      <c r="W881" s="72"/>
      <c r="X881" s="72"/>
      <c r="Y881" s="72"/>
      <c r="Z881" s="72"/>
    </row>
    <row r="882">
      <c r="F882" s="73"/>
      <c r="G882" s="73"/>
      <c r="H882" s="73"/>
      <c r="I882" s="73"/>
      <c r="R882" s="72"/>
      <c r="S882" s="72"/>
      <c r="T882" s="72"/>
      <c r="U882" s="72"/>
      <c r="V882" s="72"/>
      <c r="W882" s="72"/>
      <c r="X882" s="72"/>
      <c r="Y882" s="72"/>
      <c r="Z882" s="72"/>
    </row>
    <row r="883">
      <c r="F883" s="73"/>
      <c r="G883" s="73"/>
      <c r="H883" s="73"/>
      <c r="I883" s="73"/>
      <c r="R883" s="72"/>
      <c r="S883" s="72"/>
      <c r="T883" s="72"/>
      <c r="U883" s="72"/>
      <c r="V883" s="72"/>
      <c r="W883" s="72"/>
      <c r="X883" s="72"/>
      <c r="Y883" s="72"/>
      <c r="Z883" s="72"/>
    </row>
    <row r="884">
      <c r="F884" s="73"/>
      <c r="G884" s="73"/>
      <c r="H884" s="73"/>
      <c r="I884" s="73"/>
      <c r="R884" s="72"/>
      <c r="S884" s="72"/>
      <c r="T884" s="72"/>
      <c r="U884" s="72"/>
      <c r="V884" s="72"/>
      <c r="W884" s="72"/>
      <c r="X884" s="72"/>
      <c r="Y884" s="72"/>
      <c r="Z884" s="72"/>
    </row>
    <row r="885">
      <c r="F885" s="73"/>
      <c r="G885" s="73"/>
      <c r="H885" s="73"/>
      <c r="I885" s="73"/>
      <c r="R885" s="72"/>
      <c r="S885" s="72"/>
      <c r="T885" s="72"/>
      <c r="U885" s="72"/>
      <c r="V885" s="72"/>
      <c r="W885" s="72"/>
      <c r="X885" s="72"/>
      <c r="Y885" s="72"/>
      <c r="Z885" s="72"/>
    </row>
    <row r="886">
      <c r="F886" s="73"/>
      <c r="G886" s="73"/>
      <c r="H886" s="73"/>
      <c r="I886" s="73"/>
      <c r="R886" s="72"/>
      <c r="S886" s="72"/>
      <c r="T886" s="72"/>
      <c r="U886" s="72"/>
      <c r="V886" s="72"/>
      <c r="W886" s="72"/>
      <c r="X886" s="72"/>
      <c r="Y886" s="72"/>
      <c r="Z886" s="72"/>
    </row>
    <row r="887">
      <c r="F887" s="73"/>
      <c r="G887" s="73"/>
      <c r="H887" s="73"/>
      <c r="I887" s="73"/>
      <c r="R887" s="72"/>
      <c r="S887" s="72"/>
      <c r="T887" s="72"/>
      <c r="U887" s="72"/>
      <c r="V887" s="72"/>
      <c r="W887" s="72"/>
      <c r="X887" s="72"/>
      <c r="Y887" s="72"/>
      <c r="Z887" s="72"/>
    </row>
    <row r="888">
      <c r="F888" s="73"/>
      <c r="G888" s="73"/>
      <c r="H888" s="73"/>
      <c r="I888" s="73"/>
      <c r="R888" s="72"/>
      <c r="S888" s="72"/>
      <c r="T888" s="72"/>
      <c r="U888" s="72"/>
      <c r="V888" s="72"/>
      <c r="W888" s="72"/>
      <c r="X888" s="72"/>
      <c r="Y888" s="72"/>
      <c r="Z888" s="72"/>
    </row>
    <row r="889">
      <c r="F889" s="73"/>
      <c r="G889" s="73"/>
      <c r="H889" s="73"/>
      <c r="I889" s="73"/>
      <c r="R889" s="72"/>
      <c r="S889" s="72"/>
      <c r="T889" s="72"/>
      <c r="U889" s="72"/>
      <c r="V889" s="72"/>
      <c r="W889" s="72"/>
      <c r="X889" s="72"/>
      <c r="Y889" s="72"/>
      <c r="Z889" s="72"/>
    </row>
    <row r="890">
      <c r="F890" s="73"/>
      <c r="G890" s="73"/>
      <c r="H890" s="73"/>
      <c r="I890" s="73"/>
      <c r="R890" s="72"/>
      <c r="S890" s="72"/>
      <c r="T890" s="72"/>
      <c r="U890" s="72"/>
      <c r="V890" s="72"/>
      <c r="W890" s="72"/>
      <c r="X890" s="72"/>
      <c r="Y890" s="72"/>
      <c r="Z890" s="72"/>
    </row>
    <row r="891">
      <c r="F891" s="73"/>
      <c r="G891" s="73"/>
      <c r="H891" s="73"/>
      <c r="I891" s="73"/>
      <c r="R891" s="72"/>
      <c r="S891" s="72"/>
      <c r="T891" s="72"/>
      <c r="U891" s="72"/>
      <c r="V891" s="72"/>
      <c r="W891" s="72"/>
      <c r="X891" s="72"/>
      <c r="Y891" s="72"/>
      <c r="Z891" s="72"/>
    </row>
    <row r="892">
      <c r="F892" s="73"/>
      <c r="G892" s="73"/>
      <c r="H892" s="73"/>
      <c r="I892" s="73"/>
      <c r="R892" s="72"/>
      <c r="S892" s="72"/>
      <c r="T892" s="72"/>
      <c r="U892" s="72"/>
      <c r="V892" s="72"/>
      <c r="W892" s="72"/>
      <c r="X892" s="72"/>
      <c r="Y892" s="72"/>
      <c r="Z892" s="72"/>
    </row>
    <row r="893">
      <c r="F893" s="73"/>
      <c r="G893" s="73"/>
      <c r="H893" s="73"/>
      <c r="I893" s="73"/>
      <c r="R893" s="72"/>
      <c r="S893" s="72"/>
      <c r="T893" s="72"/>
      <c r="U893" s="72"/>
      <c r="V893" s="72"/>
      <c r="W893" s="72"/>
      <c r="X893" s="72"/>
      <c r="Y893" s="72"/>
      <c r="Z893" s="72"/>
    </row>
    <row r="894">
      <c r="F894" s="73"/>
      <c r="G894" s="73"/>
      <c r="H894" s="73"/>
      <c r="I894" s="73"/>
      <c r="R894" s="72"/>
      <c r="S894" s="72"/>
      <c r="T894" s="72"/>
      <c r="U894" s="72"/>
      <c r="V894" s="72"/>
      <c r="W894" s="72"/>
      <c r="X894" s="72"/>
      <c r="Y894" s="72"/>
      <c r="Z894" s="72"/>
    </row>
    <row r="895">
      <c r="F895" s="73"/>
      <c r="G895" s="73"/>
      <c r="H895" s="73"/>
      <c r="I895" s="73"/>
      <c r="R895" s="72"/>
      <c r="S895" s="72"/>
      <c r="T895" s="72"/>
      <c r="U895" s="72"/>
      <c r="V895" s="72"/>
      <c r="W895" s="72"/>
      <c r="X895" s="72"/>
      <c r="Y895" s="72"/>
      <c r="Z895" s="72"/>
    </row>
    <row r="896">
      <c r="F896" s="73"/>
      <c r="G896" s="73"/>
      <c r="H896" s="73"/>
      <c r="I896" s="73"/>
      <c r="R896" s="72"/>
      <c r="S896" s="72"/>
      <c r="T896" s="72"/>
      <c r="U896" s="72"/>
      <c r="V896" s="72"/>
      <c r="W896" s="72"/>
      <c r="X896" s="72"/>
      <c r="Y896" s="72"/>
      <c r="Z896" s="72"/>
    </row>
    <row r="897">
      <c r="F897" s="73"/>
      <c r="G897" s="73"/>
      <c r="H897" s="73"/>
      <c r="I897" s="73"/>
      <c r="R897" s="72"/>
      <c r="S897" s="72"/>
      <c r="T897" s="72"/>
      <c r="U897" s="72"/>
      <c r="V897" s="72"/>
      <c r="W897" s="72"/>
      <c r="X897" s="72"/>
      <c r="Y897" s="72"/>
      <c r="Z897" s="72"/>
    </row>
    <row r="898">
      <c r="F898" s="73"/>
      <c r="G898" s="73"/>
      <c r="H898" s="73"/>
      <c r="I898" s="73"/>
      <c r="R898" s="72"/>
      <c r="S898" s="72"/>
      <c r="T898" s="72"/>
      <c r="U898" s="72"/>
      <c r="V898" s="72"/>
      <c r="W898" s="72"/>
      <c r="X898" s="72"/>
      <c r="Y898" s="72"/>
      <c r="Z898" s="72"/>
    </row>
    <row r="899">
      <c r="F899" s="73"/>
      <c r="G899" s="73"/>
      <c r="H899" s="73"/>
      <c r="I899" s="73"/>
      <c r="R899" s="72"/>
      <c r="S899" s="72"/>
      <c r="T899" s="72"/>
      <c r="U899" s="72"/>
      <c r="V899" s="72"/>
      <c r="W899" s="72"/>
      <c r="X899" s="72"/>
      <c r="Y899" s="72"/>
      <c r="Z899" s="72"/>
    </row>
    <row r="900">
      <c r="F900" s="73"/>
      <c r="G900" s="73"/>
      <c r="H900" s="73"/>
      <c r="I900" s="73"/>
      <c r="R900" s="72"/>
      <c r="S900" s="72"/>
      <c r="T900" s="72"/>
      <c r="U900" s="72"/>
      <c r="V900" s="72"/>
      <c r="W900" s="72"/>
      <c r="X900" s="72"/>
      <c r="Y900" s="72"/>
      <c r="Z900" s="72"/>
    </row>
    <row r="901">
      <c r="F901" s="73"/>
      <c r="G901" s="73"/>
      <c r="H901" s="73"/>
      <c r="I901" s="73"/>
      <c r="R901" s="72"/>
      <c r="S901" s="72"/>
      <c r="T901" s="72"/>
      <c r="U901" s="72"/>
      <c r="V901" s="72"/>
      <c r="W901" s="72"/>
      <c r="X901" s="72"/>
      <c r="Y901" s="72"/>
      <c r="Z901" s="72"/>
    </row>
    <row r="902">
      <c r="F902" s="73"/>
      <c r="G902" s="73"/>
      <c r="H902" s="73"/>
      <c r="I902" s="73"/>
      <c r="R902" s="72"/>
      <c r="S902" s="72"/>
      <c r="T902" s="72"/>
      <c r="U902" s="72"/>
      <c r="V902" s="72"/>
      <c r="W902" s="72"/>
      <c r="X902" s="72"/>
      <c r="Y902" s="72"/>
      <c r="Z902" s="72"/>
    </row>
    <row r="903">
      <c r="F903" s="73"/>
      <c r="G903" s="73"/>
      <c r="H903" s="73"/>
      <c r="I903" s="73"/>
      <c r="R903" s="72"/>
      <c r="S903" s="72"/>
      <c r="T903" s="72"/>
      <c r="U903" s="72"/>
      <c r="V903" s="72"/>
      <c r="W903" s="72"/>
      <c r="X903" s="72"/>
      <c r="Y903" s="72"/>
      <c r="Z903" s="72"/>
    </row>
    <row r="904">
      <c r="F904" s="73"/>
      <c r="G904" s="73"/>
      <c r="H904" s="73"/>
      <c r="I904" s="73"/>
      <c r="R904" s="72"/>
      <c r="S904" s="72"/>
      <c r="T904" s="72"/>
      <c r="U904" s="72"/>
      <c r="V904" s="72"/>
      <c r="W904" s="72"/>
      <c r="X904" s="72"/>
      <c r="Y904" s="72"/>
      <c r="Z904" s="72"/>
    </row>
    <row r="905">
      <c r="F905" s="73"/>
      <c r="G905" s="73"/>
      <c r="H905" s="73"/>
      <c r="I905" s="73"/>
      <c r="R905" s="72"/>
      <c r="S905" s="72"/>
      <c r="T905" s="72"/>
      <c r="U905" s="72"/>
      <c r="V905" s="72"/>
      <c r="W905" s="72"/>
      <c r="X905" s="72"/>
      <c r="Y905" s="72"/>
      <c r="Z905" s="72"/>
    </row>
    <row r="906">
      <c r="F906" s="73"/>
      <c r="G906" s="73"/>
      <c r="H906" s="73"/>
      <c r="I906" s="73"/>
      <c r="R906" s="72"/>
      <c r="S906" s="72"/>
      <c r="T906" s="72"/>
      <c r="U906" s="72"/>
      <c r="V906" s="72"/>
      <c r="W906" s="72"/>
      <c r="X906" s="72"/>
      <c r="Y906" s="72"/>
      <c r="Z906" s="72"/>
    </row>
    <row r="907">
      <c r="F907" s="73"/>
      <c r="G907" s="73"/>
      <c r="H907" s="73"/>
      <c r="I907" s="73"/>
      <c r="R907" s="72"/>
      <c r="S907" s="72"/>
      <c r="T907" s="72"/>
      <c r="U907" s="72"/>
      <c r="V907" s="72"/>
      <c r="W907" s="72"/>
      <c r="X907" s="72"/>
      <c r="Y907" s="72"/>
      <c r="Z907" s="72"/>
    </row>
    <row r="908">
      <c r="F908" s="73"/>
      <c r="G908" s="73"/>
      <c r="H908" s="73"/>
      <c r="I908" s="73"/>
      <c r="R908" s="72"/>
      <c r="S908" s="72"/>
      <c r="T908" s="72"/>
      <c r="U908" s="72"/>
      <c r="V908" s="72"/>
      <c r="W908" s="72"/>
      <c r="X908" s="72"/>
      <c r="Y908" s="72"/>
      <c r="Z908" s="72"/>
    </row>
    <row r="909">
      <c r="F909" s="73"/>
      <c r="G909" s="73"/>
      <c r="H909" s="73"/>
      <c r="I909" s="73"/>
      <c r="R909" s="72"/>
      <c r="S909" s="72"/>
      <c r="T909" s="72"/>
      <c r="U909" s="72"/>
      <c r="V909" s="72"/>
      <c r="W909" s="72"/>
      <c r="X909" s="72"/>
      <c r="Y909" s="72"/>
      <c r="Z909" s="72"/>
    </row>
    <row r="910">
      <c r="F910" s="73"/>
      <c r="G910" s="73"/>
      <c r="H910" s="73"/>
      <c r="I910" s="73"/>
      <c r="R910" s="72"/>
      <c r="S910" s="72"/>
      <c r="T910" s="72"/>
      <c r="U910" s="72"/>
      <c r="V910" s="72"/>
      <c r="W910" s="72"/>
      <c r="X910" s="72"/>
      <c r="Y910" s="72"/>
      <c r="Z910" s="72"/>
    </row>
    <row r="911">
      <c r="F911" s="73"/>
      <c r="G911" s="73"/>
      <c r="H911" s="73"/>
      <c r="I911" s="73"/>
      <c r="R911" s="72"/>
      <c r="S911" s="72"/>
      <c r="T911" s="72"/>
      <c r="U911" s="72"/>
      <c r="V911" s="72"/>
      <c r="W911" s="72"/>
      <c r="X911" s="72"/>
      <c r="Y911" s="72"/>
      <c r="Z911" s="72"/>
    </row>
    <row r="912">
      <c r="F912" s="73"/>
      <c r="G912" s="73"/>
      <c r="H912" s="73"/>
      <c r="I912" s="73"/>
      <c r="R912" s="72"/>
      <c r="S912" s="72"/>
      <c r="T912" s="72"/>
      <c r="U912" s="72"/>
      <c r="V912" s="72"/>
      <c r="W912" s="72"/>
      <c r="X912" s="72"/>
      <c r="Y912" s="72"/>
      <c r="Z912" s="72"/>
    </row>
    <row r="913">
      <c r="F913" s="73"/>
      <c r="G913" s="73"/>
      <c r="H913" s="73"/>
      <c r="I913" s="73"/>
      <c r="R913" s="72"/>
      <c r="S913" s="72"/>
      <c r="T913" s="72"/>
      <c r="U913" s="72"/>
      <c r="V913" s="72"/>
      <c r="W913" s="72"/>
      <c r="X913" s="72"/>
      <c r="Y913" s="72"/>
      <c r="Z913" s="72"/>
    </row>
    <row r="914">
      <c r="F914" s="73"/>
      <c r="G914" s="73"/>
      <c r="H914" s="73"/>
      <c r="I914" s="73"/>
      <c r="R914" s="72"/>
      <c r="S914" s="72"/>
      <c r="T914" s="72"/>
      <c r="U914" s="72"/>
      <c r="V914" s="72"/>
      <c r="W914" s="72"/>
      <c r="X914" s="72"/>
      <c r="Y914" s="72"/>
      <c r="Z914" s="72"/>
    </row>
    <row r="915">
      <c r="F915" s="73"/>
      <c r="G915" s="73"/>
      <c r="H915" s="73"/>
      <c r="I915" s="73"/>
      <c r="R915" s="72"/>
      <c r="S915" s="72"/>
      <c r="T915" s="72"/>
      <c r="U915" s="72"/>
      <c r="V915" s="72"/>
      <c r="W915" s="72"/>
      <c r="X915" s="72"/>
      <c r="Y915" s="72"/>
      <c r="Z915" s="72"/>
    </row>
    <row r="916">
      <c r="F916" s="73"/>
      <c r="G916" s="73"/>
      <c r="H916" s="73"/>
      <c r="I916" s="73"/>
      <c r="R916" s="72"/>
      <c r="S916" s="72"/>
      <c r="T916" s="72"/>
      <c r="U916" s="72"/>
      <c r="V916" s="72"/>
      <c r="W916" s="72"/>
      <c r="X916" s="72"/>
      <c r="Y916" s="72"/>
      <c r="Z916" s="72"/>
    </row>
    <row r="917">
      <c r="F917" s="73"/>
      <c r="G917" s="73"/>
      <c r="H917" s="73"/>
      <c r="I917" s="73"/>
      <c r="R917" s="72"/>
      <c r="S917" s="72"/>
      <c r="T917" s="72"/>
      <c r="U917" s="72"/>
      <c r="V917" s="72"/>
      <c r="W917" s="72"/>
      <c r="X917" s="72"/>
      <c r="Y917" s="72"/>
      <c r="Z917" s="72"/>
    </row>
    <row r="918">
      <c r="F918" s="73"/>
      <c r="G918" s="73"/>
      <c r="H918" s="73"/>
      <c r="I918" s="73"/>
      <c r="R918" s="72"/>
      <c r="S918" s="72"/>
      <c r="T918" s="72"/>
      <c r="U918" s="72"/>
      <c r="V918" s="72"/>
      <c r="W918" s="72"/>
      <c r="X918" s="72"/>
      <c r="Y918" s="72"/>
      <c r="Z918" s="72"/>
    </row>
    <row r="919">
      <c r="F919" s="73"/>
      <c r="G919" s="73"/>
      <c r="H919" s="73"/>
      <c r="I919" s="73"/>
      <c r="R919" s="72"/>
      <c r="S919" s="72"/>
      <c r="T919" s="72"/>
      <c r="U919" s="72"/>
      <c r="V919" s="72"/>
      <c r="W919" s="72"/>
      <c r="X919" s="72"/>
      <c r="Y919" s="72"/>
      <c r="Z919" s="72"/>
    </row>
    <row r="920">
      <c r="F920" s="73"/>
      <c r="G920" s="73"/>
      <c r="H920" s="73"/>
      <c r="I920" s="73"/>
      <c r="R920" s="72"/>
      <c r="S920" s="72"/>
      <c r="T920" s="72"/>
      <c r="U920" s="72"/>
      <c r="V920" s="72"/>
      <c r="W920" s="72"/>
      <c r="X920" s="72"/>
      <c r="Y920" s="72"/>
      <c r="Z920" s="72"/>
    </row>
    <row r="921">
      <c r="F921" s="73"/>
      <c r="G921" s="73"/>
      <c r="H921" s="73"/>
      <c r="I921" s="73"/>
      <c r="R921" s="72"/>
      <c r="S921" s="72"/>
      <c r="T921" s="72"/>
      <c r="U921" s="72"/>
      <c r="V921" s="72"/>
      <c r="W921" s="72"/>
      <c r="X921" s="72"/>
      <c r="Y921" s="72"/>
      <c r="Z921" s="72"/>
    </row>
    <row r="922">
      <c r="F922" s="73"/>
      <c r="G922" s="73"/>
      <c r="H922" s="73"/>
      <c r="I922" s="73"/>
      <c r="R922" s="72"/>
      <c r="S922" s="72"/>
      <c r="T922" s="72"/>
      <c r="U922" s="72"/>
      <c r="V922" s="72"/>
      <c r="W922" s="72"/>
      <c r="X922" s="72"/>
      <c r="Y922" s="72"/>
      <c r="Z922" s="72"/>
    </row>
    <row r="923">
      <c r="F923" s="73"/>
      <c r="G923" s="73"/>
      <c r="H923" s="73"/>
      <c r="I923" s="73"/>
      <c r="R923" s="72"/>
      <c r="S923" s="72"/>
      <c r="T923" s="72"/>
      <c r="U923" s="72"/>
      <c r="V923" s="72"/>
      <c r="W923" s="72"/>
      <c r="X923" s="72"/>
      <c r="Y923" s="72"/>
      <c r="Z923" s="72"/>
    </row>
    <row r="924">
      <c r="F924" s="73"/>
      <c r="G924" s="73"/>
      <c r="H924" s="73"/>
      <c r="I924" s="73"/>
      <c r="R924" s="72"/>
      <c r="S924" s="72"/>
      <c r="T924" s="72"/>
      <c r="U924" s="72"/>
      <c r="V924" s="72"/>
      <c r="W924" s="72"/>
      <c r="X924" s="72"/>
      <c r="Y924" s="72"/>
      <c r="Z924" s="72"/>
    </row>
    <row r="925">
      <c r="F925" s="73"/>
      <c r="G925" s="73"/>
      <c r="H925" s="73"/>
      <c r="I925" s="73"/>
      <c r="R925" s="72"/>
      <c r="S925" s="72"/>
      <c r="T925" s="72"/>
      <c r="U925" s="72"/>
      <c r="V925" s="72"/>
      <c r="W925" s="72"/>
      <c r="X925" s="72"/>
      <c r="Y925" s="72"/>
      <c r="Z925" s="72"/>
    </row>
    <row r="926">
      <c r="F926" s="73"/>
      <c r="G926" s="73"/>
      <c r="H926" s="73"/>
      <c r="I926" s="73"/>
      <c r="R926" s="72"/>
      <c r="S926" s="72"/>
      <c r="T926" s="72"/>
      <c r="U926" s="72"/>
      <c r="V926" s="72"/>
      <c r="W926" s="72"/>
      <c r="X926" s="72"/>
      <c r="Y926" s="72"/>
      <c r="Z926" s="72"/>
    </row>
    <row r="927">
      <c r="F927" s="73"/>
      <c r="G927" s="73"/>
      <c r="H927" s="73"/>
      <c r="I927" s="73"/>
      <c r="R927" s="72"/>
      <c r="S927" s="72"/>
      <c r="T927" s="72"/>
      <c r="U927" s="72"/>
      <c r="V927" s="72"/>
      <c r="W927" s="72"/>
      <c r="X927" s="72"/>
      <c r="Y927" s="72"/>
      <c r="Z927" s="72"/>
    </row>
    <row r="928">
      <c r="F928" s="73"/>
      <c r="G928" s="73"/>
      <c r="H928" s="73"/>
      <c r="I928" s="73"/>
      <c r="R928" s="72"/>
      <c r="S928" s="72"/>
      <c r="T928" s="72"/>
      <c r="U928" s="72"/>
      <c r="V928" s="72"/>
      <c r="W928" s="72"/>
      <c r="X928" s="72"/>
      <c r="Y928" s="72"/>
      <c r="Z928" s="72"/>
    </row>
    <row r="929">
      <c r="F929" s="73"/>
      <c r="G929" s="73"/>
      <c r="H929" s="73"/>
      <c r="I929" s="73"/>
      <c r="R929" s="72"/>
      <c r="S929" s="72"/>
      <c r="T929" s="72"/>
      <c r="U929" s="72"/>
      <c r="V929" s="72"/>
      <c r="W929" s="72"/>
      <c r="X929" s="72"/>
      <c r="Y929" s="72"/>
      <c r="Z929" s="72"/>
    </row>
    <row r="930">
      <c r="F930" s="73"/>
      <c r="G930" s="73"/>
      <c r="H930" s="73"/>
      <c r="I930" s="73"/>
      <c r="R930" s="72"/>
      <c r="S930" s="72"/>
      <c r="T930" s="72"/>
      <c r="U930" s="72"/>
      <c r="V930" s="72"/>
      <c r="W930" s="72"/>
      <c r="X930" s="72"/>
      <c r="Y930" s="72"/>
      <c r="Z930" s="72"/>
    </row>
    <row r="931">
      <c r="F931" s="73"/>
      <c r="G931" s="73"/>
      <c r="H931" s="73"/>
      <c r="I931" s="73"/>
      <c r="R931" s="72"/>
      <c r="S931" s="72"/>
      <c r="T931" s="72"/>
      <c r="U931" s="72"/>
      <c r="V931" s="72"/>
      <c r="W931" s="72"/>
      <c r="X931" s="72"/>
      <c r="Y931" s="72"/>
      <c r="Z931" s="72"/>
    </row>
    <row r="932">
      <c r="F932" s="73"/>
      <c r="G932" s="73"/>
      <c r="H932" s="73"/>
      <c r="I932" s="73"/>
      <c r="R932" s="72"/>
      <c r="S932" s="72"/>
      <c r="T932" s="72"/>
      <c r="U932" s="72"/>
      <c r="V932" s="72"/>
      <c r="W932" s="72"/>
      <c r="X932" s="72"/>
      <c r="Y932" s="72"/>
      <c r="Z932" s="72"/>
    </row>
    <row r="933">
      <c r="F933" s="73"/>
      <c r="G933" s="73"/>
      <c r="H933" s="73"/>
      <c r="I933" s="73"/>
      <c r="R933" s="72"/>
      <c r="S933" s="72"/>
      <c r="T933" s="72"/>
      <c r="U933" s="72"/>
      <c r="V933" s="72"/>
      <c r="W933" s="72"/>
      <c r="X933" s="72"/>
      <c r="Y933" s="72"/>
      <c r="Z933" s="72"/>
    </row>
    <row r="934">
      <c r="F934" s="73"/>
      <c r="G934" s="73"/>
      <c r="H934" s="73"/>
      <c r="I934" s="73"/>
      <c r="R934" s="72"/>
      <c r="S934" s="72"/>
      <c r="T934" s="72"/>
      <c r="U934" s="72"/>
      <c r="V934" s="72"/>
      <c r="W934" s="72"/>
      <c r="X934" s="72"/>
      <c r="Y934" s="72"/>
      <c r="Z934" s="72"/>
    </row>
    <row r="935">
      <c r="F935" s="73"/>
      <c r="G935" s="73"/>
      <c r="H935" s="73"/>
      <c r="I935" s="73"/>
      <c r="R935" s="72"/>
      <c r="S935" s="72"/>
      <c r="T935" s="72"/>
      <c r="U935" s="72"/>
      <c r="V935" s="72"/>
      <c r="W935" s="72"/>
      <c r="X935" s="72"/>
      <c r="Y935" s="72"/>
      <c r="Z935" s="72"/>
    </row>
    <row r="936">
      <c r="F936" s="73"/>
      <c r="G936" s="73"/>
      <c r="H936" s="73"/>
      <c r="I936" s="73"/>
      <c r="R936" s="72"/>
      <c r="S936" s="72"/>
      <c r="T936" s="72"/>
      <c r="U936" s="72"/>
      <c r="V936" s="72"/>
      <c r="W936" s="72"/>
      <c r="X936" s="72"/>
      <c r="Y936" s="72"/>
      <c r="Z936" s="72"/>
    </row>
    <row r="937">
      <c r="F937" s="73"/>
      <c r="G937" s="73"/>
      <c r="H937" s="73"/>
      <c r="I937" s="73"/>
      <c r="R937" s="72"/>
      <c r="S937" s="72"/>
      <c r="T937" s="72"/>
      <c r="U937" s="72"/>
      <c r="V937" s="72"/>
      <c r="W937" s="72"/>
      <c r="X937" s="72"/>
      <c r="Y937" s="72"/>
      <c r="Z937" s="72"/>
    </row>
    <row r="938">
      <c r="F938" s="73"/>
      <c r="G938" s="73"/>
      <c r="H938" s="73"/>
      <c r="I938" s="73"/>
      <c r="R938" s="72"/>
      <c r="S938" s="72"/>
      <c r="T938" s="72"/>
      <c r="U938" s="72"/>
      <c r="V938" s="72"/>
      <c r="W938" s="72"/>
      <c r="X938" s="72"/>
      <c r="Y938" s="72"/>
      <c r="Z938" s="72"/>
    </row>
    <row r="939">
      <c r="F939" s="73"/>
      <c r="G939" s="73"/>
      <c r="H939" s="73"/>
      <c r="I939" s="73"/>
      <c r="R939" s="72"/>
      <c r="S939" s="72"/>
      <c r="T939" s="72"/>
      <c r="U939" s="72"/>
      <c r="V939" s="72"/>
      <c r="W939" s="72"/>
      <c r="X939" s="72"/>
      <c r="Y939" s="72"/>
      <c r="Z939" s="72"/>
    </row>
    <row r="940">
      <c r="F940" s="73"/>
      <c r="G940" s="73"/>
      <c r="H940" s="73"/>
      <c r="I940" s="73"/>
      <c r="R940" s="72"/>
      <c r="S940" s="72"/>
      <c r="T940" s="72"/>
      <c r="U940" s="72"/>
      <c r="V940" s="72"/>
      <c r="W940" s="72"/>
      <c r="X940" s="72"/>
      <c r="Y940" s="72"/>
      <c r="Z940" s="72"/>
    </row>
    <row r="941">
      <c r="F941" s="73"/>
      <c r="G941" s="73"/>
      <c r="H941" s="73"/>
      <c r="I941" s="73"/>
      <c r="R941" s="72"/>
      <c r="S941" s="72"/>
      <c r="T941" s="72"/>
      <c r="U941" s="72"/>
      <c r="V941" s="72"/>
      <c r="W941" s="72"/>
      <c r="X941" s="72"/>
      <c r="Y941" s="72"/>
      <c r="Z941" s="72"/>
    </row>
    <row r="942">
      <c r="F942" s="73"/>
      <c r="G942" s="73"/>
      <c r="H942" s="73"/>
      <c r="I942" s="73"/>
      <c r="R942" s="72"/>
      <c r="S942" s="72"/>
      <c r="T942" s="72"/>
      <c r="U942" s="72"/>
      <c r="V942" s="72"/>
      <c r="W942" s="72"/>
      <c r="X942" s="72"/>
      <c r="Y942" s="72"/>
      <c r="Z942" s="72"/>
    </row>
    <row r="943">
      <c r="F943" s="73"/>
      <c r="G943" s="73"/>
      <c r="H943" s="73"/>
      <c r="I943" s="73"/>
      <c r="R943" s="72"/>
      <c r="S943" s="72"/>
      <c r="T943" s="72"/>
      <c r="U943" s="72"/>
      <c r="V943" s="72"/>
      <c r="W943" s="72"/>
      <c r="X943" s="72"/>
      <c r="Y943" s="72"/>
      <c r="Z943" s="72"/>
    </row>
    <row r="944">
      <c r="F944" s="73"/>
      <c r="G944" s="73"/>
      <c r="H944" s="73"/>
      <c r="I944" s="73"/>
      <c r="R944" s="72"/>
      <c r="S944" s="72"/>
      <c r="T944" s="72"/>
      <c r="U944" s="72"/>
      <c r="V944" s="72"/>
      <c r="W944" s="72"/>
      <c r="X944" s="72"/>
      <c r="Y944" s="72"/>
      <c r="Z944" s="72"/>
    </row>
    <row r="945">
      <c r="F945" s="73"/>
      <c r="G945" s="73"/>
      <c r="H945" s="73"/>
      <c r="I945" s="73"/>
      <c r="R945" s="72"/>
      <c r="S945" s="72"/>
      <c r="T945" s="72"/>
      <c r="U945" s="72"/>
      <c r="V945" s="72"/>
      <c r="W945" s="72"/>
      <c r="X945" s="72"/>
      <c r="Y945" s="72"/>
      <c r="Z945" s="72"/>
    </row>
    <row r="946">
      <c r="F946" s="73"/>
      <c r="G946" s="73"/>
      <c r="H946" s="73"/>
      <c r="I946" s="73"/>
      <c r="R946" s="72"/>
      <c r="S946" s="72"/>
      <c r="T946" s="72"/>
      <c r="U946" s="72"/>
      <c r="V946" s="72"/>
      <c r="W946" s="72"/>
      <c r="X946" s="72"/>
      <c r="Y946" s="72"/>
      <c r="Z946" s="72"/>
    </row>
    <row r="947">
      <c r="F947" s="73"/>
      <c r="G947" s="73"/>
      <c r="H947" s="73"/>
      <c r="I947" s="73"/>
      <c r="R947" s="72"/>
      <c r="S947" s="72"/>
      <c r="T947" s="72"/>
      <c r="U947" s="72"/>
      <c r="V947" s="72"/>
      <c r="W947" s="72"/>
      <c r="X947" s="72"/>
      <c r="Y947" s="72"/>
      <c r="Z947" s="72"/>
    </row>
    <row r="948">
      <c r="F948" s="73"/>
      <c r="G948" s="73"/>
      <c r="H948" s="73"/>
      <c r="I948" s="73"/>
      <c r="R948" s="72"/>
      <c r="S948" s="72"/>
      <c r="T948" s="72"/>
      <c r="U948" s="72"/>
      <c r="V948" s="72"/>
      <c r="W948" s="72"/>
      <c r="X948" s="72"/>
      <c r="Y948" s="72"/>
      <c r="Z948" s="72"/>
    </row>
    <row r="949">
      <c r="F949" s="73"/>
      <c r="G949" s="73"/>
      <c r="H949" s="73"/>
      <c r="I949" s="73"/>
      <c r="R949" s="72"/>
      <c r="S949" s="72"/>
      <c r="T949" s="72"/>
      <c r="U949" s="72"/>
      <c r="V949" s="72"/>
      <c r="W949" s="72"/>
      <c r="X949" s="72"/>
      <c r="Y949" s="72"/>
      <c r="Z949" s="72"/>
    </row>
    <row r="950">
      <c r="F950" s="73"/>
      <c r="G950" s="73"/>
      <c r="H950" s="73"/>
      <c r="I950" s="73"/>
      <c r="R950" s="72"/>
      <c r="S950" s="72"/>
      <c r="T950" s="72"/>
      <c r="U950" s="72"/>
      <c r="V950" s="72"/>
      <c r="W950" s="72"/>
      <c r="X950" s="72"/>
      <c r="Y950" s="72"/>
      <c r="Z950" s="72"/>
    </row>
    <row r="951">
      <c r="F951" s="73"/>
      <c r="G951" s="73"/>
      <c r="H951" s="73"/>
      <c r="I951" s="73"/>
      <c r="R951" s="72"/>
      <c r="S951" s="72"/>
      <c r="T951" s="72"/>
      <c r="U951" s="72"/>
      <c r="V951" s="72"/>
      <c r="W951" s="72"/>
      <c r="X951" s="72"/>
      <c r="Y951" s="72"/>
      <c r="Z951" s="72"/>
    </row>
    <row r="952">
      <c r="F952" s="73"/>
      <c r="G952" s="73"/>
      <c r="H952" s="73"/>
      <c r="I952" s="73"/>
      <c r="R952" s="72"/>
      <c r="S952" s="72"/>
      <c r="T952" s="72"/>
      <c r="U952" s="72"/>
      <c r="V952" s="72"/>
      <c r="W952" s="72"/>
      <c r="X952" s="72"/>
      <c r="Y952" s="72"/>
      <c r="Z952" s="72"/>
    </row>
    <row r="953">
      <c r="F953" s="73"/>
      <c r="G953" s="73"/>
      <c r="H953" s="73"/>
      <c r="I953" s="73"/>
      <c r="R953" s="72"/>
      <c r="S953" s="72"/>
      <c r="T953" s="72"/>
      <c r="U953" s="72"/>
      <c r="V953" s="72"/>
      <c r="W953" s="72"/>
      <c r="X953" s="72"/>
      <c r="Y953" s="72"/>
      <c r="Z953" s="72"/>
    </row>
    <row r="954">
      <c r="F954" s="73"/>
      <c r="G954" s="73"/>
      <c r="H954" s="73"/>
      <c r="I954" s="73"/>
      <c r="R954" s="72"/>
      <c r="S954" s="72"/>
      <c r="T954" s="72"/>
      <c r="U954" s="72"/>
      <c r="V954" s="72"/>
      <c r="W954" s="72"/>
      <c r="X954" s="72"/>
      <c r="Y954" s="72"/>
      <c r="Z954" s="72"/>
    </row>
    <row r="955">
      <c r="F955" s="73"/>
      <c r="G955" s="73"/>
      <c r="H955" s="73"/>
      <c r="I955" s="73"/>
      <c r="R955" s="72"/>
      <c r="S955" s="72"/>
      <c r="T955" s="72"/>
      <c r="U955" s="72"/>
      <c r="V955" s="72"/>
      <c r="W955" s="72"/>
      <c r="X955" s="72"/>
      <c r="Y955" s="72"/>
      <c r="Z955" s="72"/>
    </row>
    <row r="956">
      <c r="F956" s="73"/>
      <c r="G956" s="73"/>
      <c r="H956" s="73"/>
      <c r="I956" s="73"/>
      <c r="R956" s="72"/>
      <c r="S956" s="72"/>
      <c r="T956" s="72"/>
      <c r="U956" s="72"/>
      <c r="V956" s="72"/>
      <c r="W956" s="72"/>
      <c r="X956" s="72"/>
      <c r="Y956" s="72"/>
      <c r="Z956" s="72"/>
    </row>
    <row r="957">
      <c r="F957" s="73"/>
      <c r="G957" s="73"/>
      <c r="H957" s="73"/>
      <c r="I957" s="73"/>
      <c r="R957" s="72"/>
      <c r="S957" s="72"/>
      <c r="T957" s="72"/>
      <c r="U957" s="72"/>
      <c r="V957" s="72"/>
      <c r="W957" s="72"/>
      <c r="X957" s="72"/>
      <c r="Y957" s="72"/>
      <c r="Z957" s="72"/>
    </row>
    <row r="958">
      <c r="F958" s="73"/>
      <c r="G958" s="73"/>
      <c r="H958" s="73"/>
      <c r="I958" s="73"/>
      <c r="R958" s="72"/>
      <c r="S958" s="72"/>
      <c r="T958" s="72"/>
      <c r="U958" s="72"/>
      <c r="V958" s="72"/>
      <c r="W958" s="72"/>
      <c r="X958" s="72"/>
      <c r="Y958" s="72"/>
      <c r="Z958" s="72"/>
    </row>
    <row r="959">
      <c r="F959" s="73"/>
      <c r="G959" s="73"/>
      <c r="H959" s="73"/>
      <c r="I959" s="73"/>
      <c r="R959" s="72"/>
      <c r="S959" s="72"/>
      <c r="T959" s="72"/>
      <c r="U959" s="72"/>
      <c r="V959" s="72"/>
      <c r="W959" s="72"/>
      <c r="X959" s="72"/>
      <c r="Y959" s="72"/>
      <c r="Z959" s="72"/>
    </row>
    <row r="960">
      <c r="F960" s="73"/>
      <c r="G960" s="73"/>
      <c r="H960" s="73"/>
      <c r="I960" s="73"/>
      <c r="R960" s="72"/>
      <c r="S960" s="72"/>
      <c r="T960" s="72"/>
      <c r="U960" s="72"/>
      <c r="V960" s="72"/>
      <c r="W960" s="72"/>
      <c r="X960" s="72"/>
      <c r="Y960" s="72"/>
      <c r="Z960" s="72"/>
    </row>
    <row r="961">
      <c r="F961" s="73"/>
      <c r="G961" s="73"/>
      <c r="H961" s="73"/>
      <c r="I961" s="73"/>
      <c r="R961" s="72"/>
      <c r="S961" s="72"/>
      <c r="T961" s="72"/>
      <c r="U961" s="72"/>
      <c r="V961" s="72"/>
      <c r="W961" s="72"/>
      <c r="X961" s="72"/>
      <c r="Y961" s="72"/>
      <c r="Z961" s="72"/>
    </row>
    <row r="962">
      <c r="F962" s="73"/>
      <c r="G962" s="73"/>
      <c r="H962" s="73"/>
      <c r="I962" s="73"/>
      <c r="R962" s="72"/>
      <c r="S962" s="72"/>
      <c r="T962" s="72"/>
      <c r="U962" s="72"/>
      <c r="V962" s="72"/>
      <c r="W962" s="72"/>
      <c r="X962" s="72"/>
      <c r="Y962" s="72"/>
      <c r="Z962" s="72"/>
    </row>
    <row r="963">
      <c r="F963" s="73"/>
      <c r="G963" s="73"/>
      <c r="H963" s="73"/>
      <c r="I963" s="73"/>
      <c r="R963" s="72"/>
      <c r="S963" s="72"/>
      <c r="T963" s="72"/>
      <c r="U963" s="72"/>
      <c r="V963" s="72"/>
      <c r="W963" s="72"/>
      <c r="X963" s="72"/>
      <c r="Y963" s="72"/>
      <c r="Z963" s="72"/>
    </row>
    <row r="964">
      <c r="F964" s="73"/>
      <c r="G964" s="73"/>
      <c r="H964" s="73"/>
      <c r="I964" s="73"/>
      <c r="R964" s="72"/>
      <c r="S964" s="72"/>
      <c r="T964" s="72"/>
      <c r="U964" s="72"/>
      <c r="V964" s="72"/>
      <c r="W964" s="72"/>
      <c r="X964" s="72"/>
      <c r="Y964" s="72"/>
      <c r="Z964" s="72"/>
    </row>
    <row r="965">
      <c r="F965" s="73"/>
      <c r="G965" s="73"/>
      <c r="H965" s="73"/>
      <c r="I965" s="73"/>
      <c r="R965" s="72"/>
      <c r="S965" s="72"/>
      <c r="T965" s="72"/>
      <c r="U965" s="72"/>
      <c r="V965" s="72"/>
      <c r="W965" s="72"/>
      <c r="X965" s="72"/>
      <c r="Y965" s="72"/>
      <c r="Z965" s="72"/>
    </row>
    <row r="966">
      <c r="F966" s="73"/>
      <c r="G966" s="73"/>
      <c r="H966" s="73"/>
      <c r="I966" s="73"/>
      <c r="R966" s="72"/>
      <c r="S966" s="72"/>
      <c r="T966" s="72"/>
      <c r="U966" s="72"/>
      <c r="V966" s="72"/>
      <c r="W966" s="72"/>
      <c r="X966" s="72"/>
      <c r="Y966" s="72"/>
      <c r="Z966" s="72"/>
    </row>
    <row r="967">
      <c r="F967" s="73"/>
      <c r="G967" s="73"/>
      <c r="H967" s="73"/>
      <c r="I967" s="73"/>
      <c r="R967" s="72"/>
      <c r="S967" s="72"/>
      <c r="T967" s="72"/>
      <c r="U967" s="72"/>
      <c r="V967" s="72"/>
      <c r="W967" s="72"/>
      <c r="X967" s="72"/>
      <c r="Y967" s="72"/>
      <c r="Z967" s="72"/>
    </row>
    <row r="968">
      <c r="F968" s="73"/>
      <c r="G968" s="73"/>
      <c r="H968" s="73"/>
      <c r="I968" s="73"/>
      <c r="R968" s="72"/>
      <c r="S968" s="72"/>
      <c r="T968" s="72"/>
      <c r="U968" s="72"/>
      <c r="V968" s="72"/>
      <c r="W968" s="72"/>
      <c r="X968" s="72"/>
      <c r="Y968" s="72"/>
      <c r="Z968" s="72"/>
    </row>
    <row r="969">
      <c r="F969" s="73"/>
      <c r="G969" s="73"/>
      <c r="H969" s="73"/>
      <c r="I969" s="73"/>
      <c r="R969" s="72"/>
      <c r="S969" s="72"/>
      <c r="T969" s="72"/>
      <c r="U969" s="72"/>
      <c r="V969" s="72"/>
      <c r="W969" s="72"/>
      <c r="X969" s="72"/>
      <c r="Y969" s="72"/>
      <c r="Z969" s="72"/>
    </row>
    <row r="970">
      <c r="F970" s="73"/>
      <c r="G970" s="73"/>
      <c r="H970" s="73"/>
      <c r="I970" s="73"/>
      <c r="R970" s="72"/>
      <c r="S970" s="72"/>
      <c r="T970" s="72"/>
      <c r="U970" s="72"/>
      <c r="V970" s="72"/>
      <c r="W970" s="72"/>
      <c r="X970" s="72"/>
      <c r="Y970" s="72"/>
      <c r="Z970" s="72"/>
    </row>
    <row r="971">
      <c r="F971" s="73"/>
      <c r="G971" s="73"/>
      <c r="H971" s="73"/>
      <c r="I971" s="73"/>
      <c r="R971" s="72"/>
      <c r="S971" s="72"/>
      <c r="T971" s="72"/>
      <c r="U971" s="72"/>
      <c r="V971" s="72"/>
      <c r="W971" s="72"/>
      <c r="X971" s="72"/>
      <c r="Y971" s="72"/>
      <c r="Z971" s="72"/>
    </row>
    <row r="972">
      <c r="F972" s="73"/>
      <c r="G972" s="73"/>
      <c r="H972" s="73"/>
      <c r="I972" s="73"/>
      <c r="R972" s="72"/>
      <c r="S972" s="72"/>
      <c r="T972" s="72"/>
      <c r="U972" s="72"/>
      <c r="V972" s="72"/>
      <c r="W972" s="72"/>
      <c r="X972" s="72"/>
      <c r="Y972" s="72"/>
      <c r="Z972" s="72"/>
    </row>
    <row r="973">
      <c r="F973" s="73"/>
      <c r="G973" s="73"/>
      <c r="H973" s="73"/>
      <c r="I973" s="73"/>
      <c r="R973" s="72"/>
      <c r="S973" s="72"/>
      <c r="T973" s="72"/>
      <c r="U973" s="72"/>
      <c r="V973" s="72"/>
      <c r="W973" s="72"/>
      <c r="X973" s="72"/>
      <c r="Y973" s="72"/>
      <c r="Z973" s="72"/>
    </row>
    <row r="974">
      <c r="F974" s="73"/>
      <c r="G974" s="73"/>
      <c r="H974" s="73"/>
      <c r="I974" s="73"/>
      <c r="R974" s="72"/>
      <c r="S974" s="72"/>
      <c r="T974" s="72"/>
      <c r="U974" s="72"/>
      <c r="V974" s="72"/>
      <c r="W974" s="72"/>
      <c r="X974" s="72"/>
      <c r="Y974" s="72"/>
      <c r="Z974" s="72"/>
    </row>
    <row r="975">
      <c r="F975" s="73"/>
      <c r="G975" s="73"/>
      <c r="H975" s="73"/>
      <c r="I975" s="73"/>
      <c r="R975" s="72"/>
      <c r="S975" s="72"/>
      <c r="T975" s="72"/>
      <c r="U975" s="72"/>
      <c r="V975" s="72"/>
      <c r="W975" s="72"/>
      <c r="X975" s="72"/>
      <c r="Y975" s="72"/>
      <c r="Z975" s="72"/>
    </row>
    <row r="976">
      <c r="F976" s="73"/>
      <c r="G976" s="73"/>
      <c r="H976" s="73"/>
      <c r="I976" s="73"/>
      <c r="R976" s="72"/>
      <c r="S976" s="72"/>
      <c r="T976" s="72"/>
      <c r="U976" s="72"/>
      <c r="V976" s="72"/>
      <c r="W976" s="72"/>
      <c r="X976" s="72"/>
      <c r="Y976" s="72"/>
      <c r="Z976" s="72"/>
    </row>
    <row r="977">
      <c r="F977" s="73"/>
      <c r="G977" s="73"/>
      <c r="H977" s="73"/>
      <c r="I977" s="73"/>
      <c r="R977" s="72"/>
      <c r="S977" s="72"/>
      <c r="T977" s="72"/>
      <c r="U977" s="72"/>
      <c r="V977" s="72"/>
      <c r="W977" s="72"/>
      <c r="X977" s="72"/>
      <c r="Y977" s="72"/>
      <c r="Z977" s="72"/>
    </row>
    <row r="978">
      <c r="F978" s="73"/>
      <c r="G978" s="73"/>
      <c r="H978" s="73"/>
      <c r="I978" s="73"/>
      <c r="R978" s="72"/>
      <c r="S978" s="72"/>
      <c r="T978" s="72"/>
      <c r="U978" s="72"/>
      <c r="V978" s="72"/>
      <c r="W978" s="72"/>
      <c r="X978" s="72"/>
      <c r="Y978" s="72"/>
      <c r="Z978" s="72"/>
    </row>
    <row r="979">
      <c r="F979" s="73"/>
      <c r="G979" s="73"/>
      <c r="H979" s="73"/>
      <c r="I979" s="73"/>
      <c r="R979" s="72"/>
      <c r="S979" s="72"/>
      <c r="T979" s="72"/>
      <c r="U979" s="72"/>
      <c r="V979" s="72"/>
      <c r="W979" s="72"/>
      <c r="X979" s="72"/>
      <c r="Y979" s="72"/>
      <c r="Z979" s="72"/>
    </row>
    <row r="980">
      <c r="F980" s="73"/>
      <c r="G980" s="73"/>
      <c r="H980" s="73"/>
      <c r="I980" s="73"/>
      <c r="R980" s="72"/>
      <c r="S980" s="72"/>
      <c r="T980" s="72"/>
      <c r="U980" s="72"/>
      <c r="V980" s="72"/>
      <c r="W980" s="72"/>
      <c r="X980" s="72"/>
      <c r="Y980" s="72"/>
      <c r="Z980" s="72"/>
    </row>
    <row r="981">
      <c r="F981" s="73"/>
      <c r="G981" s="73"/>
      <c r="H981" s="73"/>
      <c r="I981" s="73"/>
      <c r="R981" s="72"/>
      <c r="S981" s="72"/>
      <c r="T981" s="72"/>
      <c r="U981" s="72"/>
      <c r="V981" s="72"/>
      <c r="W981" s="72"/>
      <c r="X981" s="72"/>
      <c r="Y981" s="72"/>
      <c r="Z981" s="72"/>
    </row>
    <row r="982">
      <c r="F982" s="73"/>
      <c r="G982" s="73"/>
      <c r="H982" s="73"/>
      <c r="I982" s="73"/>
      <c r="R982" s="72"/>
      <c r="S982" s="72"/>
      <c r="T982" s="72"/>
      <c r="U982" s="72"/>
      <c r="V982" s="72"/>
      <c r="W982" s="72"/>
      <c r="X982" s="72"/>
      <c r="Y982" s="72"/>
      <c r="Z982" s="72"/>
    </row>
    <row r="983">
      <c r="F983" s="73"/>
      <c r="G983" s="73"/>
      <c r="H983" s="73"/>
      <c r="I983" s="73"/>
      <c r="R983" s="72"/>
      <c r="S983" s="72"/>
      <c r="T983" s="72"/>
      <c r="U983" s="72"/>
      <c r="V983" s="72"/>
      <c r="W983" s="72"/>
      <c r="X983" s="72"/>
      <c r="Y983" s="72"/>
      <c r="Z983" s="72"/>
    </row>
    <row r="984">
      <c r="F984" s="73"/>
      <c r="G984" s="73"/>
      <c r="H984" s="73"/>
      <c r="I984" s="73"/>
      <c r="R984" s="72"/>
      <c r="S984" s="72"/>
      <c r="T984" s="72"/>
      <c r="U984" s="72"/>
      <c r="V984" s="72"/>
      <c r="W984" s="72"/>
      <c r="X984" s="72"/>
      <c r="Y984" s="72"/>
      <c r="Z984" s="72"/>
    </row>
    <row r="985">
      <c r="F985" s="73"/>
      <c r="G985" s="73"/>
      <c r="H985" s="73"/>
      <c r="I985" s="73"/>
      <c r="R985" s="72"/>
      <c r="S985" s="72"/>
      <c r="T985" s="72"/>
      <c r="U985" s="72"/>
      <c r="V985" s="72"/>
      <c r="W985" s="72"/>
      <c r="X985" s="72"/>
      <c r="Y985" s="72"/>
      <c r="Z985" s="72"/>
    </row>
    <row r="986">
      <c r="F986" s="73"/>
      <c r="G986" s="73"/>
      <c r="H986" s="73"/>
      <c r="I986" s="73"/>
      <c r="R986" s="72"/>
      <c r="S986" s="72"/>
      <c r="T986" s="72"/>
      <c r="U986" s="72"/>
      <c r="V986" s="72"/>
      <c r="W986" s="72"/>
      <c r="X986" s="72"/>
      <c r="Y986" s="72"/>
      <c r="Z986" s="72"/>
    </row>
    <row r="987">
      <c r="F987" s="73"/>
      <c r="G987" s="73"/>
      <c r="H987" s="73"/>
      <c r="I987" s="73"/>
      <c r="R987" s="72"/>
      <c r="S987" s="72"/>
      <c r="T987" s="72"/>
      <c r="U987" s="72"/>
      <c r="V987" s="72"/>
      <c r="W987" s="72"/>
      <c r="X987" s="72"/>
      <c r="Y987" s="72"/>
      <c r="Z987" s="72"/>
    </row>
    <row r="988">
      <c r="F988" s="73"/>
      <c r="G988" s="73"/>
      <c r="H988" s="73"/>
      <c r="I988" s="73"/>
      <c r="R988" s="72"/>
      <c r="S988" s="72"/>
      <c r="T988" s="72"/>
      <c r="U988" s="72"/>
      <c r="V988" s="72"/>
      <c r="W988" s="72"/>
      <c r="X988" s="72"/>
      <c r="Y988" s="72"/>
      <c r="Z988" s="72"/>
    </row>
    <row r="989">
      <c r="F989" s="73"/>
      <c r="G989" s="73"/>
      <c r="H989" s="73"/>
      <c r="I989" s="73"/>
      <c r="R989" s="72"/>
      <c r="S989" s="72"/>
      <c r="T989" s="72"/>
      <c r="U989" s="72"/>
      <c r="V989" s="72"/>
      <c r="W989" s="72"/>
      <c r="X989" s="72"/>
      <c r="Y989" s="72"/>
      <c r="Z989" s="72"/>
    </row>
    <row r="990">
      <c r="F990" s="73"/>
      <c r="G990" s="73"/>
      <c r="H990" s="73"/>
      <c r="I990" s="73"/>
      <c r="R990" s="72"/>
      <c r="S990" s="72"/>
      <c r="T990" s="72"/>
      <c r="U990" s="72"/>
      <c r="V990" s="72"/>
      <c r="W990" s="72"/>
      <c r="X990" s="72"/>
      <c r="Y990" s="72"/>
      <c r="Z990" s="72"/>
    </row>
    <row r="991">
      <c r="F991" s="73"/>
      <c r="G991" s="73"/>
      <c r="H991" s="73"/>
      <c r="I991" s="73"/>
      <c r="R991" s="72"/>
      <c r="S991" s="72"/>
      <c r="T991" s="72"/>
      <c r="U991" s="72"/>
      <c r="V991" s="72"/>
      <c r="W991" s="72"/>
      <c r="X991" s="72"/>
      <c r="Y991" s="72"/>
      <c r="Z991" s="72"/>
    </row>
    <row r="992">
      <c r="F992" s="73"/>
      <c r="G992" s="73"/>
      <c r="H992" s="73"/>
      <c r="I992" s="73"/>
      <c r="R992" s="72"/>
      <c r="S992" s="72"/>
      <c r="T992" s="72"/>
      <c r="U992" s="72"/>
      <c r="V992" s="72"/>
      <c r="W992" s="72"/>
      <c r="X992" s="72"/>
      <c r="Y992" s="72"/>
      <c r="Z992" s="72"/>
    </row>
    <row r="993">
      <c r="F993" s="73"/>
      <c r="G993" s="73"/>
      <c r="H993" s="73"/>
      <c r="I993" s="73"/>
      <c r="R993" s="72"/>
      <c r="S993" s="72"/>
      <c r="T993" s="72"/>
      <c r="U993" s="72"/>
      <c r="V993" s="72"/>
      <c r="W993" s="72"/>
      <c r="X993" s="72"/>
      <c r="Y993" s="72"/>
      <c r="Z993" s="72"/>
    </row>
    <row r="994">
      <c r="F994" s="73"/>
      <c r="G994" s="73"/>
      <c r="H994" s="73"/>
      <c r="I994" s="73"/>
      <c r="R994" s="72"/>
      <c r="S994" s="72"/>
      <c r="T994" s="72"/>
      <c r="U994" s="72"/>
      <c r="V994" s="72"/>
      <c r="W994" s="72"/>
      <c r="X994" s="72"/>
      <c r="Y994" s="72"/>
      <c r="Z994" s="72"/>
    </row>
    <row r="995">
      <c r="F995" s="73"/>
      <c r="G995" s="73"/>
      <c r="H995" s="73"/>
      <c r="I995" s="73"/>
      <c r="R995" s="72"/>
      <c r="S995" s="72"/>
      <c r="T995" s="72"/>
      <c r="U995" s="72"/>
      <c r="V995" s="72"/>
      <c r="W995" s="72"/>
      <c r="X995" s="72"/>
      <c r="Y995" s="72"/>
      <c r="Z995" s="72"/>
    </row>
    <row r="996">
      <c r="F996" s="73"/>
      <c r="G996" s="73"/>
      <c r="H996" s="73"/>
      <c r="I996" s="73"/>
      <c r="R996" s="72"/>
      <c r="S996" s="72"/>
      <c r="T996" s="72"/>
      <c r="U996" s="72"/>
      <c r="V996" s="72"/>
      <c r="W996" s="72"/>
      <c r="X996" s="72"/>
      <c r="Y996" s="72"/>
      <c r="Z996" s="72"/>
    </row>
    <row r="997">
      <c r="F997" s="73"/>
      <c r="G997" s="73"/>
      <c r="H997" s="73"/>
      <c r="I997" s="73"/>
      <c r="R997" s="72"/>
      <c r="S997" s="72"/>
      <c r="T997" s="72"/>
      <c r="U997" s="72"/>
      <c r="V997" s="72"/>
      <c r="W997" s="72"/>
      <c r="X997" s="72"/>
      <c r="Y997" s="72"/>
      <c r="Z997" s="72"/>
    </row>
    <row r="998">
      <c r="F998" s="73"/>
      <c r="G998" s="73"/>
      <c r="H998" s="73"/>
      <c r="I998" s="73"/>
      <c r="R998" s="72"/>
      <c r="S998" s="72"/>
      <c r="T998" s="72"/>
      <c r="U998" s="72"/>
      <c r="V998" s="72"/>
      <c r="W998" s="72"/>
      <c r="X998" s="72"/>
      <c r="Y998" s="72"/>
      <c r="Z998" s="72"/>
    </row>
    <row r="999">
      <c r="F999" s="73"/>
      <c r="G999" s="73"/>
      <c r="H999" s="73"/>
      <c r="I999" s="73"/>
      <c r="R999" s="72"/>
      <c r="S999" s="72"/>
      <c r="T999" s="72"/>
      <c r="U999" s="72"/>
      <c r="V999" s="72"/>
      <c r="W999" s="72"/>
      <c r="X999" s="72"/>
      <c r="Y999" s="72"/>
      <c r="Z999" s="72"/>
    </row>
    <row r="1000">
      <c r="F1000" s="73"/>
      <c r="G1000" s="73"/>
      <c r="H1000" s="73"/>
      <c r="I1000" s="73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5.88"/>
    <col customWidth="1" min="3" max="3" width="2.88"/>
    <col customWidth="1" min="4" max="4" width="25.63"/>
    <col customWidth="1" min="5" max="5" width="2.88"/>
    <col customWidth="1" min="6" max="6" width="24.38"/>
    <col customWidth="1" min="7" max="7" width="2.88"/>
    <col customWidth="1" min="8" max="8" width="23.25"/>
    <col customWidth="1" min="9" max="9" width="22.5"/>
  </cols>
  <sheetData>
    <row r="1">
      <c r="A1" s="74"/>
      <c r="B1" s="74" t="s">
        <v>132</v>
      </c>
      <c r="C1" s="75"/>
      <c r="D1" s="75" t="s">
        <v>133</v>
      </c>
      <c r="E1" s="76"/>
      <c r="F1" s="76" t="s">
        <v>134</v>
      </c>
      <c r="G1" s="77"/>
      <c r="H1" s="77" t="s">
        <v>135</v>
      </c>
      <c r="I1" s="78" t="s">
        <v>136</v>
      </c>
    </row>
    <row r="2">
      <c r="A2" s="7"/>
      <c r="B2" s="7"/>
      <c r="C2" s="7"/>
      <c r="D2" s="7"/>
      <c r="E2" s="7"/>
      <c r="F2" s="7"/>
      <c r="G2" s="7"/>
      <c r="H2" s="7"/>
      <c r="I2" s="7"/>
    </row>
    <row r="3">
      <c r="A3" s="79"/>
      <c r="B3" s="80" t="s">
        <v>84</v>
      </c>
      <c r="C3" s="81"/>
      <c r="D3" s="82" t="s">
        <v>98</v>
      </c>
      <c r="E3" s="17"/>
      <c r="F3" s="17"/>
      <c r="G3" s="17"/>
      <c r="H3" s="17"/>
      <c r="I3" s="7"/>
    </row>
    <row r="4">
      <c r="A4" s="83">
        <v>1.0</v>
      </c>
      <c r="B4" s="84">
        <v>44566.0</v>
      </c>
      <c r="C4" s="83">
        <v>5.0</v>
      </c>
      <c r="D4" s="83" t="s">
        <v>137</v>
      </c>
      <c r="E4" s="17"/>
      <c r="F4" s="17"/>
      <c r="G4" s="17"/>
      <c r="H4" s="17"/>
      <c r="I4" s="7"/>
    </row>
    <row r="5">
      <c r="A5" s="79"/>
      <c r="B5" s="81" t="s">
        <v>91</v>
      </c>
      <c r="C5" s="81"/>
      <c r="D5" s="81" t="s">
        <v>91</v>
      </c>
      <c r="E5" s="85"/>
      <c r="F5" s="81" t="s">
        <v>91</v>
      </c>
      <c r="G5" s="7"/>
      <c r="H5" s="7"/>
      <c r="I5" s="7"/>
    </row>
    <row r="6">
      <c r="A6" s="17"/>
      <c r="B6" s="17"/>
      <c r="C6" s="17"/>
      <c r="D6" s="17"/>
      <c r="E6" s="83">
        <v>15.0</v>
      </c>
      <c r="F6" s="83" t="s">
        <v>138</v>
      </c>
      <c r="G6" s="86"/>
      <c r="H6" s="87"/>
      <c r="I6" s="7"/>
    </row>
    <row r="7">
      <c r="A7" s="79"/>
      <c r="B7" s="80" t="s">
        <v>75</v>
      </c>
      <c r="C7" s="81"/>
      <c r="D7" s="81" t="s">
        <v>88</v>
      </c>
      <c r="E7" s="81"/>
      <c r="F7" s="82" t="s">
        <v>88</v>
      </c>
      <c r="G7" s="17"/>
      <c r="H7" s="17"/>
      <c r="I7" s="17"/>
    </row>
    <row r="8">
      <c r="A8" s="83">
        <v>2.0</v>
      </c>
      <c r="B8" s="83" t="s">
        <v>137</v>
      </c>
      <c r="C8" s="83">
        <v>6.0</v>
      </c>
      <c r="D8" s="83" t="s">
        <v>138</v>
      </c>
      <c r="E8" s="17"/>
      <c r="F8" s="88"/>
      <c r="G8" s="17"/>
      <c r="H8" s="17"/>
      <c r="I8" s="17"/>
    </row>
    <row r="9">
      <c r="A9" s="79"/>
      <c r="B9" s="81" t="s">
        <v>139</v>
      </c>
      <c r="C9" s="81"/>
      <c r="D9" s="82" t="s">
        <v>139</v>
      </c>
      <c r="E9" s="17"/>
      <c r="F9" s="17"/>
      <c r="G9" s="79"/>
      <c r="H9" s="81" t="s">
        <v>91</v>
      </c>
      <c r="I9" s="89" t="s">
        <v>91</v>
      </c>
    </row>
    <row r="10">
      <c r="A10" s="17"/>
      <c r="B10" s="17"/>
      <c r="C10" s="17"/>
      <c r="D10" s="17"/>
      <c r="E10" s="17"/>
      <c r="F10" s="17"/>
      <c r="G10" s="83">
        <v>20.0</v>
      </c>
      <c r="H10" s="84">
        <v>44683.0</v>
      </c>
      <c r="I10" s="84">
        <v>44683.0</v>
      </c>
    </row>
    <row r="11">
      <c r="A11" s="79"/>
      <c r="B11" s="85" t="s">
        <v>140</v>
      </c>
      <c r="C11" s="81"/>
      <c r="D11" s="82" t="s">
        <v>76</v>
      </c>
      <c r="E11" s="17"/>
      <c r="F11" s="17"/>
      <c r="G11" s="79"/>
      <c r="H11" s="80" t="s">
        <v>86</v>
      </c>
      <c r="I11" s="82" t="s">
        <v>86</v>
      </c>
    </row>
    <row r="12">
      <c r="A12" s="83">
        <v>3.0</v>
      </c>
      <c r="B12" s="84">
        <v>44685.0</v>
      </c>
      <c r="C12" s="83">
        <v>7.0</v>
      </c>
      <c r="D12" s="84">
        <v>44566.0</v>
      </c>
      <c r="E12" s="90"/>
      <c r="F12" s="91"/>
      <c r="G12" s="17"/>
      <c r="H12" s="17"/>
      <c r="I12" s="7"/>
    </row>
    <row r="13">
      <c r="A13" s="79"/>
      <c r="B13" s="82" t="s">
        <v>112</v>
      </c>
      <c r="C13" s="81"/>
      <c r="D13" s="85" t="s">
        <v>140</v>
      </c>
      <c r="E13" s="81"/>
      <c r="F13" s="80" t="s">
        <v>140</v>
      </c>
      <c r="G13" s="17"/>
      <c r="H13" s="17"/>
      <c r="I13" s="7"/>
    </row>
    <row r="14">
      <c r="A14" s="7"/>
      <c r="B14" s="7"/>
      <c r="C14" s="17"/>
      <c r="D14" s="17"/>
      <c r="E14" s="83">
        <v>16.0</v>
      </c>
      <c r="F14" s="84">
        <v>44566.0</v>
      </c>
      <c r="G14" s="17"/>
      <c r="H14" s="17"/>
      <c r="I14" s="7"/>
    </row>
    <row r="15">
      <c r="A15" s="79"/>
      <c r="B15" s="85" t="s">
        <v>86</v>
      </c>
      <c r="C15" s="81"/>
      <c r="D15" s="82" t="s">
        <v>95</v>
      </c>
      <c r="E15" s="81"/>
      <c r="F15" s="85" t="s">
        <v>86</v>
      </c>
      <c r="G15" s="92"/>
      <c r="H15" s="92"/>
      <c r="I15" s="17"/>
    </row>
    <row r="16">
      <c r="A16" s="83">
        <v>4.0</v>
      </c>
      <c r="B16" s="83" t="s">
        <v>141</v>
      </c>
      <c r="C16" s="83">
        <v>8.0</v>
      </c>
      <c r="D16" s="84">
        <v>44597.0</v>
      </c>
      <c r="E16" s="17"/>
      <c r="F16" s="17"/>
      <c r="G16" s="17"/>
      <c r="H16" s="17"/>
      <c r="I16" s="7"/>
    </row>
    <row r="17">
      <c r="A17" s="93"/>
      <c r="B17" s="94" t="s">
        <v>81</v>
      </c>
      <c r="C17" s="81"/>
      <c r="D17" s="85" t="s">
        <v>86</v>
      </c>
      <c r="E17" s="17"/>
      <c r="F17" s="17"/>
      <c r="G17" s="17"/>
      <c r="H17" s="17"/>
      <c r="I17" s="7"/>
    </row>
    <row r="18">
      <c r="A18" s="17"/>
      <c r="B18" s="17"/>
      <c r="C18" s="17"/>
      <c r="D18" s="17"/>
      <c r="E18" s="17"/>
      <c r="F18" s="17"/>
      <c r="G18" s="17"/>
      <c r="H18" s="17"/>
      <c r="I18" s="7"/>
    </row>
    <row r="19">
      <c r="A19" s="86"/>
      <c r="B19" s="86"/>
      <c r="C19" s="17"/>
      <c r="D19" s="17"/>
      <c r="E19" s="17"/>
      <c r="F19" s="17"/>
      <c r="G19" s="17"/>
      <c r="H19" s="17"/>
      <c r="I19" s="7"/>
    </row>
    <row r="20">
      <c r="A20" s="74"/>
      <c r="B20" s="74" t="s">
        <v>142</v>
      </c>
      <c r="C20" s="75"/>
      <c r="D20" s="75" t="s">
        <v>143</v>
      </c>
      <c r="E20" s="76"/>
      <c r="F20" s="76" t="s">
        <v>144</v>
      </c>
      <c r="G20" s="77"/>
      <c r="H20" s="77" t="s">
        <v>145</v>
      </c>
      <c r="I20" s="78" t="s">
        <v>146</v>
      </c>
    </row>
    <row r="21">
      <c r="A21" s="79"/>
      <c r="B21" s="82" t="s">
        <v>95</v>
      </c>
      <c r="C21" s="17"/>
      <c r="D21" s="17"/>
      <c r="E21" s="95"/>
      <c r="F21" s="95"/>
      <c r="G21" s="17"/>
      <c r="H21" s="17"/>
      <c r="I21" s="7"/>
    </row>
    <row r="22">
      <c r="A22" s="83">
        <v>12.0</v>
      </c>
      <c r="B22" s="84">
        <v>44566.0</v>
      </c>
      <c r="C22" s="17"/>
      <c r="D22" s="17"/>
      <c r="E22" s="95"/>
      <c r="F22" s="95"/>
      <c r="G22" s="17"/>
      <c r="H22" s="17"/>
      <c r="I22" s="7"/>
    </row>
    <row r="23">
      <c r="A23" s="79"/>
      <c r="B23" s="81" t="s">
        <v>84</v>
      </c>
      <c r="C23" s="81"/>
      <c r="D23" s="81" t="s">
        <v>84</v>
      </c>
      <c r="E23" s="81"/>
      <c r="F23" s="82" t="s">
        <v>88</v>
      </c>
      <c r="G23" s="17"/>
      <c r="H23" s="17"/>
      <c r="I23" s="17"/>
    </row>
    <row r="24">
      <c r="A24" s="86"/>
      <c r="B24" s="86"/>
      <c r="C24" s="83">
        <v>14.0</v>
      </c>
      <c r="D24" s="84">
        <v>44682.0</v>
      </c>
      <c r="E24" s="83">
        <v>17.0</v>
      </c>
      <c r="F24" s="84">
        <v>44566.0</v>
      </c>
      <c r="G24" s="17"/>
      <c r="H24" s="17"/>
      <c r="I24" s="17"/>
    </row>
    <row r="25">
      <c r="A25" s="79"/>
      <c r="B25" s="82" t="s">
        <v>76</v>
      </c>
      <c r="C25" s="79"/>
      <c r="D25" s="80" t="s">
        <v>75</v>
      </c>
      <c r="E25" s="79"/>
      <c r="F25" s="81" t="s">
        <v>84</v>
      </c>
      <c r="G25" s="17"/>
      <c r="H25" s="17"/>
      <c r="I25" s="17"/>
    </row>
    <row r="26">
      <c r="A26" s="83">
        <v>11.0</v>
      </c>
      <c r="B26" s="84">
        <v>44566.0</v>
      </c>
      <c r="C26" s="17"/>
      <c r="D26" s="17"/>
      <c r="E26" s="17"/>
      <c r="F26" s="17"/>
      <c r="G26" s="17"/>
      <c r="H26" s="17"/>
      <c r="I26" s="17"/>
    </row>
    <row r="27">
      <c r="A27" s="79"/>
      <c r="B27" s="85" t="s">
        <v>75</v>
      </c>
      <c r="C27" s="17"/>
      <c r="D27" s="17"/>
      <c r="E27" s="17"/>
      <c r="F27" s="17"/>
      <c r="G27" s="79"/>
      <c r="H27" s="81" t="s">
        <v>84</v>
      </c>
      <c r="I27" s="81" t="s">
        <v>86</v>
      </c>
    </row>
    <row r="28">
      <c r="A28" s="86"/>
      <c r="B28" s="86"/>
      <c r="C28" s="17"/>
      <c r="D28" s="17"/>
      <c r="E28" s="17"/>
      <c r="F28" s="17"/>
      <c r="G28" s="83">
        <v>19.0</v>
      </c>
      <c r="H28" s="84">
        <v>44683.0</v>
      </c>
      <c r="I28" s="84">
        <v>44684.0</v>
      </c>
    </row>
    <row r="29">
      <c r="A29" s="79"/>
      <c r="B29" s="82" t="s">
        <v>139</v>
      </c>
      <c r="C29" s="17"/>
      <c r="D29" s="17"/>
      <c r="E29" s="17"/>
      <c r="F29" s="17"/>
      <c r="G29" s="79"/>
      <c r="H29" s="82" t="s">
        <v>140</v>
      </c>
      <c r="I29" s="82" t="s">
        <v>84</v>
      </c>
    </row>
    <row r="30">
      <c r="A30" s="83">
        <v>10.0</v>
      </c>
      <c r="B30" s="84">
        <v>44597.0</v>
      </c>
      <c r="C30" s="17"/>
      <c r="D30" s="17"/>
      <c r="E30" s="17"/>
      <c r="F30" s="17"/>
      <c r="G30" s="17"/>
      <c r="H30" s="17"/>
      <c r="I30" s="7"/>
    </row>
    <row r="31">
      <c r="A31" s="79"/>
      <c r="B31" s="85" t="s">
        <v>112</v>
      </c>
      <c r="C31" s="85"/>
      <c r="D31" s="85" t="s">
        <v>112</v>
      </c>
      <c r="E31" s="81"/>
      <c r="F31" s="81" t="s">
        <v>140</v>
      </c>
      <c r="G31" s="17"/>
      <c r="H31" s="17"/>
      <c r="I31" s="7"/>
    </row>
    <row r="32">
      <c r="A32" s="86"/>
      <c r="B32" s="86"/>
      <c r="C32" s="83">
        <v>13.0</v>
      </c>
      <c r="D32" s="84">
        <v>44684.0</v>
      </c>
      <c r="E32" s="83">
        <v>18.0</v>
      </c>
      <c r="F32" s="83" t="s">
        <v>138</v>
      </c>
      <c r="G32" s="17"/>
      <c r="H32" s="17"/>
      <c r="I32" s="7"/>
    </row>
    <row r="33">
      <c r="A33" s="79"/>
      <c r="B33" s="81" t="s">
        <v>98</v>
      </c>
      <c r="C33" s="79"/>
      <c r="D33" s="82" t="s">
        <v>98</v>
      </c>
      <c r="E33" s="79"/>
      <c r="F33" s="80" t="s">
        <v>112</v>
      </c>
      <c r="G33" s="17"/>
      <c r="H33" s="17"/>
      <c r="I33" s="7"/>
    </row>
    <row r="34">
      <c r="A34" s="83">
        <v>9.0</v>
      </c>
      <c r="B34" s="83" t="s">
        <v>138</v>
      </c>
      <c r="C34" s="17"/>
      <c r="D34" s="17"/>
      <c r="E34" s="17"/>
      <c r="F34" s="17"/>
      <c r="G34" s="17"/>
      <c r="H34" s="17"/>
      <c r="I34" s="7"/>
    </row>
    <row r="35">
      <c r="A35" s="79"/>
      <c r="B35" s="80" t="s">
        <v>81</v>
      </c>
      <c r="C35" s="17"/>
      <c r="D35" s="17"/>
      <c r="E35" s="17"/>
      <c r="F35" s="17"/>
      <c r="G35" s="17"/>
      <c r="H35" s="17"/>
      <c r="I35" s="7"/>
    </row>
    <row r="36">
      <c r="A36" s="86"/>
      <c r="B36" s="86"/>
      <c r="C36" s="17"/>
      <c r="D36" s="17"/>
      <c r="E36" s="17"/>
      <c r="F36" s="17"/>
      <c r="G36" s="17"/>
      <c r="H36" s="17"/>
      <c r="I36" s="7"/>
    </row>
    <row r="37">
      <c r="A37" s="86"/>
      <c r="B37" s="86"/>
      <c r="C37" s="17"/>
      <c r="D37" s="17"/>
      <c r="E37" s="17"/>
      <c r="F37" s="17"/>
      <c r="G37" s="17"/>
      <c r="H37" s="17"/>
      <c r="I37" s="7"/>
    </row>
    <row r="38">
      <c r="A38" s="86"/>
      <c r="B38" s="86"/>
      <c r="C38" s="17"/>
      <c r="D38" s="17"/>
      <c r="E38" s="17"/>
      <c r="F38" s="17"/>
      <c r="G38" s="17"/>
      <c r="H38" s="17"/>
      <c r="I38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5"/>
    <col customWidth="1" min="4" max="4" width="15.0"/>
    <col customWidth="1" min="5" max="5" width="16.5"/>
    <col customWidth="1" min="6" max="7" width="16.75"/>
    <col customWidth="1" min="8" max="8" width="15.13"/>
    <col customWidth="1" min="9" max="9" width="16.25"/>
    <col customWidth="1" min="10" max="10" width="16.38"/>
    <col customWidth="1" min="11" max="11" width="13.63"/>
    <col customWidth="1" min="12" max="12" width="15.38"/>
    <col customWidth="1" min="13" max="13" width="17.5"/>
    <col customWidth="1" min="14" max="14" width="18.13"/>
    <col customWidth="1" min="15" max="15" width="3.88"/>
    <col customWidth="1" min="19" max="19" width="3.88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>
      <c r="B2" s="96" t="s">
        <v>147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8"/>
      <c r="O2" s="17"/>
      <c r="P2" s="99" t="s">
        <v>148</v>
      </c>
      <c r="Q2" s="100" t="s">
        <v>149</v>
      </c>
      <c r="R2" s="98"/>
      <c r="S2" s="17"/>
    </row>
    <row r="3">
      <c r="B3" s="101"/>
      <c r="N3" s="102"/>
      <c r="O3" s="17"/>
      <c r="P3" s="103"/>
      <c r="Q3" s="104"/>
      <c r="R3" s="105"/>
      <c r="S3" s="17"/>
    </row>
    <row r="4">
      <c r="B4" s="101"/>
      <c r="N4" s="102"/>
      <c r="O4" s="17"/>
      <c r="P4" s="106" t="s">
        <v>150</v>
      </c>
      <c r="Q4" s="107" t="s">
        <v>151</v>
      </c>
      <c r="R4" s="102"/>
      <c r="S4" s="17"/>
    </row>
    <row r="5">
      <c r="B5" s="108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5"/>
      <c r="O5" s="17"/>
      <c r="P5" s="109" t="s">
        <v>152</v>
      </c>
      <c r="Q5" s="110" t="s">
        <v>153</v>
      </c>
      <c r="R5" s="102"/>
      <c r="S5" s="17"/>
    </row>
    <row r="6">
      <c r="B6" s="111" t="s">
        <v>154</v>
      </c>
      <c r="C6" s="112" t="s">
        <v>151</v>
      </c>
      <c r="D6" s="112" t="s">
        <v>153</v>
      </c>
      <c r="E6" s="113" t="s">
        <v>155</v>
      </c>
      <c r="F6" s="113" t="s">
        <v>156</v>
      </c>
      <c r="G6" s="113" t="s">
        <v>157</v>
      </c>
      <c r="H6" s="114" t="s">
        <v>158</v>
      </c>
      <c r="I6" s="113" t="s">
        <v>159</v>
      </c>
      <c r="J6" s="115" t="s">
        <v>160</v>
      </c>
      <c r="K6" s="116" t="s">
        <v>161</v>
      </c>
      <c r="L6" s="113" t="s">
        <v>162</v>
      </c>
      <c r="M6" s="113" t="s">
        <v>163</v>
      </c>
      <c r="N6" s="113" t="s">
        <v>164</v>
      </c>
      <c r="O6" s="17"/>
      <c r="P6" s="106" t="s">
        <v>165</v>
      </c>
      <c r="Q6" s="107" t="s">
        <v>155</v>
      </c>
      <c r="R6" s="102"/>
      <c r="S6" s="17"/>
    </row>
    <row r="7">
      <c r="B7" s="117" t="s">
        <v>166</v>
      </c>
      <c r="C7" s="118" t="s">
        <v>98</v>
      </c>
      <c r="D7" s="119" t="s">
        <v>76</v>
      </c>
      <c r="E7" s="119" t="s">
        <v>95</v>
      </c>
      <c r="F7" s="119" t="s">
        <v>88</v>
      </c>
      <c r="G7" s="119" t="s">
        <v>75</v>
      </c>
      <c r="H7" s="120" t="s">
        <v>86</v>
      </c>
      <c r="I7" s="119" t="s">
        <v>105</v>
      </c>
      <c r="J7" s="121" t="s">
        <v>84</v>
      </c>
      <c r="K7" s="122" t="s">
        <v>91</v>
      </c>
      <c r="L7" s="123" t="s">
        <v>112</v>
      </c>
      <c r="M7" s="123" t="s">
        <v>81</v>
      </c>
      <c r="N7" s="123" t="s">
        <v>139</v>
      </c>
      <c r="O7" s="17"/>
      <c r="P7" s="109" t="s">
        <v>167</v>
      </c>
      <c r="Q7" s="110" t="s">
        <v>156</v>
      </c>
      <c r="R7" s="102"/>
      <c r="S7" s="17"/>
    </row>
    <row r="8">
      <c r="B8" s="124" t="s">
        <v>168</v>
      </c>
      <c r="C8" s="125" t="s">
        <v>113</v>
      </c>
      <c r="D8" s="126" t="s">
        <v>109</v>
      </c>
      <c r="E8" s="126" t="s">
        <v>87</v>
      </c>
      <c r="F8" s="126" t="s">
        <v>108</v>
      </c>
      <c r="G8" s="126" t="s">
        <v>79</v>
      </c>
      <c r="H8" s="120" t="s">
        <v>89</v>
      </c>
      <c r="I8" s="126" t="s">
        <v>169</v>
      </c>
      <c r="J8" s="121" t="s">
        <v>82</v>
      </c>
      <c r="K8" s="127" t="s">
        <v>115</v>
      </c>
      <c r="L8" s="128" t="s">
        <v>114</v>
      </c>
      <c r="M8" s="128" t="s">
        <v>104</v>
      </c>
      <c r="N8" s="128" t="s">
        <v>103</v>
      </c>
      <c r="O8" s="17"/>
      <c r="P8" s="106">
        <v>5.0</v>
      </c>
      <c r="Q8" s="107" t="s">
        <v>157</v>
      </c>
      <c r="R8" s="102"/>
      <c r="S8" s="17"/>
    </row>
    <row r="9">
      <c r="B9" s="129" t="s">
        <v>170</v>
      </c>
      <c r="C9" s="130" t="s">
        <v>77</v>
      </c>
      <c r="D9" s="130" t="s">
        <v>85</v>
      </c>
      <c r="E9" s="130" t="s">
        <v>171</v>
      </c>
      <c r="F9" s="130" t="s">
        <v>172</v>
      </c>
      <c r="G9" s="130" t="s">
        <v>173</v>
      </c>
      <c r="H9" s="131" t="s">
        <v>80</v>
      </c>
      <c r="I9" s="130" t="s">
        <v>93</v>
      </c>
      <c r="J9" s="132" t="s">
        <v>106</v>
      </c>
      <c r="K9" s="133" t="s">
        <v>111</v>
      </c>
      <c r="L9" s="130" t="s">
        <v>90</v>
      </c>
      <c r="M9" s="130" t="s">
        <v>73</v>
      </c>
      <c r="N9" s="130" t="s">
        <v>110</v>
      </c>
      <c r="O9" s="17"/>
      <c r="P9" s="134">
        <v>6.0</v>
      </c>
      <c r="Q9" s="110" t="s">
        <v>158</v>
      </c>
      <c r="R9" s="102"/>
      <c r="S9" s="17"/>
    </row>
    <row r="10">
      <c r="B10" s="135" t="s">
        <v>174</v>
      </c>
      <c r="C10" s="136" t="s">
        <v>97</v>
      </c>
      <c r="D10" s="136" t="s">
        <v>101</v>
      </c>
      <c r="E10" s="136" t="s">
        <v>94</v>
      </c>
      <c r="F10" s="136" t="s">
        <v>72</v>
      </c>
      <c r="G10" s="136" t="s">
        <v>102</v>
      </c>
      <c r="H10" s="137" t="s">
        <v>99</v>
      </c>
      <c r="I10" s="136" t="s">
        <v>100</v>
      </c>
      <c r="J10" s="138" t="s">
        <v>96</v>
      </c>
      <c r="K10" s="139" t="s">
        <v>116</v>
      </c>
      <c r="L10" s="136" t="s">
        <v>175</v>
      </c>
      <c r="M10" s="136" t="s">
        <v>74</v>
      </c>
      <c r="N10" s="136" t="s">
        <v>78</v>
      </c>
      <c r="O10" s="17"/>
      <c r="P10" s="106">
        <v>7.0</v>
      </c>
      <c r="Q10" s="107" t="s">
        <v>159</v>
      </c>
      <c r="R10" s="102"/>
      <c r="S10" s="17"/>
    </row>
    <row r="11">
      <c r="O11" s="17"/>
      <c r="P11" s="109">
        <v>8.0</v>
      </c>
      <c r="Q11" s="110" t="s">
        <v>160</v>
      </c>
      <c r="R11" s="102"/>
      <c r="S11" s="17"/>
    </row>
    <row r="12">
      <c r="B12" s="140" t="s">
        <v>176</v>
      </c>
      <c r="C12" s="97"/>
      <c r="D12" s="97"/>
      <c r="E12" s="97"/>
      <c r="F12" s="97"/>
      <c r="G12" s="97"/>
      <c r="H12" s="97"/>
      <c r="I12" s="97"/>
      <c r="J12" s="97"/>
      <c r="K12" s="97"/>
      <c r="L12" s="98"/>
      <c r="M12" s="100" t="s">
        <v>177</v>
      </c>
      <c r="N12" s="98"/>
      <c r="O12" s="17"/>
      <c r="P12" s="106">
        <v>9.0</v>
      </c>
      <c r="Q12" s="107" t="s">
        <v>161</v>
      </c>
      <c r="R12" s="102"/>
      <c r="S12" s="17"/>
    </row>
    <row r="13">
      <c r="B13" s="108"/>
      <c r="C13" s="104"/>
      <c r="D13" s="104"/>
      <c r="E13" s="104"/>
      <c r="F13" s="104"/>
      <c r="G13" s="104"/>
      <c r="H13" s="104"/>
      <c r="I13" s="104"/>
      <c r="J13" s="104"/>
      <c r="K13" s="104"/>
      <c r="L13" s="105"/>
      <c r="M13" s="104"/>
      <c r="N13" s="105"/>
      <c r="O13" s="17"/>
      <c r="P13" s="109">
        <v>10.0</v>
      </c>
      <c r="Q13" s="110" t="s">
        <v>162</v>
      </c>
      <c r="R13" s="102"/>
      <c r="S13" s="17"/>
    </row>
    <row r="14">
      <c r="B14" s="141" t="s">
        <v>178</v>
      </c>
      <c r="D14" s="142" t="s">
        <v>179</v>
      </c>
      <c r="F14" s="142" t="s">
        <v>180</v>
      </c>
      <c r="G14" s="142" t="s">
        <v>181</v>
      </c>
      <c r="H14" s="142" t="s">
        <v>182</v>
      </c>
      <c r="J14" s="142" t="s">
        <v>183</v>
      </c>
      <c r="L14" s="102"/>
      <c r="M14" s="141" t="s">
        <v>178</v>
      </c>
      <c r="N14" s="102"/>
      <c r="O14" s="17"/>
      <c r="P14" s="143">
        <v>11.0</v>
      </c>
      <c r="Q14" s="144" t="s">
        <v>163</v>
      </c>
      <c r="R14" s="102"/>
      <c r="S14" s="17"/>
    </row>
    <row r="15" ht="15.75" customHeight="1">
      <c r="B15" s="145" t="s">
        <v>72</v>
      </c>
      <c r="D15" s="146" t="s">
        <v>184</v>
      </c>
      <c r="F15" s="146" t="s">
        <v>185</v>
      </c>
      <c r="G15" s="146" t="s">
        <v>186</v>
      </c>
      <c r="H15" s="147" t="s">
        <v>187</v>
      </c>
      <c r="J15" s="148" t="s">
        <v>188</v>
      </c>
      <c r="L15" s="102"/>
      <c r="M15" s="149" t="s">
        <v>95</v>
      </c>
      <c r="N15" s="102"/>
      <c r="O15" s="17"/>
      <c r="P15" s="109">
        <v>12.0</v>
      </c>
      <c r="Q15" s="110" t="s">
        <v>164</v>
      </c>
      <c r="R15" s="102"/>
      <c r="S15" s="17"/>
    </row>
    <row r="16" ht="15.75" customHeight="1">
      <c r="B16" s="150" t="s">
        <v>73</v>
      </c>
      <c r="D16" s="146" t="s">
        <v>189</v>
      </c>
      <c r="F16" s="146" t="s">
        <v>190</v>
      </c>
      <c r="G16" s="146" t="s">
        <v>191</v>
      </c>
      <c r="H16" s="147" t="s">
        <v>192</v>
      </c>
      <c r="J16" s="148" t="s">
        <v>193</v>
      </c>
      <c r="L16" s="102"/>
      <c r="M16" s="151" t="s">
        <v>75</v>
      </c>
      <c r="N16" s="102"/>
      <c r="O16" s="17"/>
      <c r="P16" s="152" t="s">
        <v>194</v>
      </c>
      <c r="Q16" s="104"/>
      <c r="R16" s="105"/>
      <c r="S16" s="17"/>
    </row>
    <row r="17" ht="15.75" customHeight="1">
      <c r="B17" s="145" t="s">
        <v>74</v>
      </c>
      <c r="D17" s="146" t="s">
        <v>195</v>
      </c>
      <c r="F17" s="146" t="s">
        <v>196</v>
      </c>
      <c r="G17" s="146" t="s">
        <v>197</v>
      </c>
      <c r="H17" s="147" t="s">
        <v>198</v>
      </c>
      <c r="J17" s="146" t="s">
        <v>188</v>
      </c>
      <c r="L17" s="102"/>
      <c r="M17" s="153" t="s">
        <v>199</v>
      </c>
      <c r="N17" s="102"/>
      <c r="O17" s="17"/>
      <c r="P17" s="17"/>
      <c r="Q17" s="17"/>
      <c r="R17" s="17"/>
      <c r="S17" s="17"/>
    </row>
    <row r="18" ht="15.75" customHeight="1">
      <c r="B18" s="150" t="s">
        <v>77</v>
      </c>
      <c r="D18" s="146" t="s">
        <v>200</v>
      </c>
      <c r="F18" s="146" t="s">
        <v>201</v>
      </c>
      <c r="G18" s="146" t="s">
        <v>186</v>
      </c>
      <c r="H18" s="147" t="s">
        <v>202</v>
      </c>
      <c r="J18" s="148" t="s">
        <v>203</v>
      </c>
      <c r="L18" s="102"/>
      <c r="M18" s="151" t="s">
        <v>204</v>
      </c>
      <c r="N18" s="102"/>
      <c r="O18" s="17"/>
      <c r="P18" s="154" t="s">
        <v>205</v>
      </c>
      <c r="Q18" s="98"/>
      <c r="R18" s="17"/>
      <c r="S18" s="17"/>
    </row>
    <row r="19" ht="15.75" customHeight="1">
      <c r="B19" s="155" t="s">
        <v>78</v>
      </c>
      <c r="D19" s="156" t="s">
        <v>206</v>
      </c>
      <c r="F19" s="156" t="s">
        <v>207</v>
      </c>
      <c r="G19" s="156" t="s">
        <v>208</v>
      </c>
      <c r="H19" s="157" t="s">
        <v>209</v>
      </c>
      <c r="J19" s="158" t="s">
        <v>188</v>
      </c>
      <c r="L19" s="102"/>
      <c r="M19" s="153" t="s">
        <v>210</v>
      </c>
      <c r="N19" s="102"/>
      <c r="O19" s="17"/>
      <c r="P19" s="108"/>
      <c r="Q19" s="105"/>
      <c r="R19" s="17"/>
      <c r="S19" s="17"/>
    </row>
    <row r="20" ht="15.75" customHeight="1">
      <c r="B20" s="155" t="s">
        <v>79</v>
      </c>
      <c r="D20" s="156" t="s">
        <v>211</v>
      </c>
      <c r="F20" s="156" t="s">
        <v>201</v>
      </c>
      <c r="G20" s="156" t="s">
        <v>212</v>
      </c>
      <c r="H20" s="156" t="s">
        <v>213</v>
      </c>
      <c r="J20" s="158" t="s">
        <v>188</v>
      </c>
      <c r="L20" s="102"/>
      <c r="M20" s="159" t="s">
        <v>214</v>
      </c>
      <c r="N20" s="102"/>
      <c r="O20" s="17"/>
      <c r="P20" s="160" t="s">
        <v>178</v>
      </c>
      <c r="Q20" s="161"/>
      <c r="R20" s="17"/>
      <c r="S20" s="17"/>
    </row>
    <row r="21" ht="15.75" customHeight="1">
      <c r="B21" s="145" t="s">
        <v>80</v>
      </c>
      <c r="D21" s="146" t="s">
        <v>215</v>
      </c>
      <c r="F21" s="146" t="s">
        <v>201</v>
      </c>
      <c r="G21" s="146" t="s">
        <v>186</v>
      </c>
      <c r="H21" s="147" t="s">
        <v>216</v>
      </c>
      <c r="J21" s="148" t="s">
        <v>188</v>
      </c>
      <c r="L21" s="102"/>
      <c r="M21" s="162" t="s">
        <v>217</v>
      </c>
      <c r="N21" s="102"/>
      <c r="O21" s="17"/>
      <c r="P21" s="163" t="s">
        <v>218</v>
      </c>
      <c r="Q21" s="164"/>
      <c r="R21" s="17"/>
      <c r="S21" s="17"/>
    </row>
    <row r="22" ht="15.75" customHeight="1">
      <c r="B22" s="150" t="s">
        <v>219</v>
      </c>
      <c r="D22" s="146" t="s">
        <v>220</v>
      </c>
      <c r="F22" s="146" t="s">
        <v>190</v>
      </c>
      <c r="G22" s="146" t="s">
        <v>197</v>
      </c>
      <c r="H22" s="146" t="s">
        <v>221</v>
      </c>
      <c r="J22" s="146" t="s">
        <v>188</v>
      </c>
      <c r="L22" s="102"/>
      <c r="M22" s="159" t="s">
        <v>222</v>
      </c>
      <c r="N22" s="102"/>
      <c r="O22" s="17"/>
      <c r="P22" s="165" t="s">
        <v>223</v>
      </c>
      <c r="Q22" s="164"/>
      <c r="R22" s="17"/>
      <c r="S22" s="17"/>
    </row>
    <row r="23" ht="15.75" customHeight="1">
      <c r="B23" s="166" t="s">
        <v>218</v>
      </c>
      <c r="D23" s="167" t="s">
        <v>224</v>
      </c>
      <c r="F23" s="167" t="s">
        <v>196</v>
      </c>
      <c r="G23" s="167" t="s">
        <v>197</v>
      </c>
      <c r="H23" s="168" t="s">
        <v>225</v>
      </c>
      <c r="J23" s="167" t="s">
        <v>188</v>
      </c>
      <c r="L23" s="102"/>
      <c r="M23" s="149" t="s">
        <v>226</v>
      </c>
      <c r="N23" s="102"/>
      <c r="O23" s="17"/>
      <c r="P23" s="169" t="s">
        <v>227</v>
      </c>
      <c r="Q23" s="170"/>
      <c r="R23" s="17"/>
      <c r="S23" s="17"/>
    </row>
    <row r="24" ht="15.75" customHeight="1">
      <c r="B24" s="145" t="s">
        <v>87</v>
      </c>
      <c r="D24" s="146" t="s">
        <v>228</v>
      </c>
      <c r="F24" s="146" t="s">
        <v>190</v>
      </c>
      <c r="G24" s="146" t="s">
        <v>186</v>
      </c>
      <c r="H24" s="147" t="s">
        <v>229</v>
      </c>
      <c r="J24" s="148" t="s">
        <v>230</v>
      </c>
      <c r="L24" s="102"/>
      <c r="M24" s="159" t="s">
        <v>231</v>
      </c>
      <c r="N24" s="102"/>
      <c r="O24" s="17"/>
      <c r="P24" s="95"/>
      <c r="Q24" s="95"/>
      <c r="R24" s="17"/>
      <c r="S24" s="17"/>
    </row>
    <row r="25" ht="15.75" customHeight="1">
      <c r="B25" s="145" t="s">
        <v>90</v>
      </c>
      <c r="D25" s="146" t="s">
        <v>232</v>
      </c>
      <c r="F25" s="146" t="s">
        <v>201</v>
      </c>
      <c r="G25" s="146" t="s">
        <v>197</v>
      </c>
      <c r="H25" s="147" t="s">
        <v>233</v>
      </c>
      <c r="J25" s="148" t="s">
        <v>188</v>
      </c>
      <c r="L25" s="102"/>
      <c r="M25" s="162" t="s">
        <v>234</v>
      </c>
      <c r="N25" s="102"/>
      <c r="O25" s="17"/>
      <c r="P25" s="95"/>
      <c r="Q25" s="95"/>
      <c r="R25" s="17"/>
      <c r="S25" s="17"/>
    </row>
    <row r="26" ht="15.75" customHeight="1">
      <c r="B26" s="150" t="s">
        <v>92</v>
      </c>
      <c r="D26" s="146" t="s">
        <v>235</v>
      </c>
      <c r="F26" s="146" t="s">
        <v>201</v>
      </c>
      <c r="G26" s="146" t="s">
        <v>191</v>
      </c>
      <c r="H26" s="146" t="s">
        <v>236</v>
      </c>
      <c r="J26" s="146" t="s">
        <v>237</v>
      </c>
      <c r="L26" s="102"/>
      <c r="M26" s="171" t="s">
        <v>238</v>
      </c>
      <c r="N26" s="105"/>
      <c r="O26" s="17"/>
      <c r="P26" s="17"/>
      <c r="Q26" s="17"/>
      <c r="R26" s="17"/>
      <c r="S26" s="17"/>
    </row>
    <row r="27" ht="15.75" customHeight="1">
      <c r="B27" s="155" t="s">
        <v>93</v>
      </c>
      <c r="D27" s="156" t="s">
        <v>239</v>
      </c>
      <c r="F27" s="156" t="s">
        <v>190</v>
      </c>
      <c r="G27" s="156" t="s">
        <v>197</v>
      </c>
      <c r="H27" s="157" t="s">
        <v>240</v>
      </c>
      <c r="J27" s="158" t="s">
        <v>241</v>
      </c>
      <c r="L27" s="102"/>
      <c r="M27" s="17"/>
      <c r="N27" s="17"/>
      <c r="O27" s="17"/>
      <c r="P27" s="17"/>
      <c r="Q27" s="17"/>
      <c r="R27" s="17"/>
      <c r="S27" s="17"/>
    </row>
    <row r="28" ht="15.75" customHeight="1">
      <c r="B28" s="150" t="s">
        <v>94</v>
      </c>
      <c r="D28" s="146" t="s">
        <v>242</v>
      </c>
      <c r="F28" s="146" t="s">
        <v>207</v>
      </c>
      <c r="G28" s="146" t="s">
        <v>212</v>
      </c>
      <c r="H28" s="147" t="s">
        <v>243</v>
      </c>
      <c r="J28" s="148" t="s">
        <v>188</v>
      </c>
      <c r="L28" s="102"/>
      <c r="M28" s="17"/>
      <c r="N28" s="17"/>
      <c r="O28" s="17"/>
      <c r="P28" s="17"/>
      <c r="Q28" s="17"/>
      <c r="R28" s="17"/>
      <c r="S28" s="17"/>
    </row>
    <row r="29" ht="15.75" customHeight="1">
      <c r="B29" s="155" t="s">
        <v>96</v>
      </c>
      <c r="D29" s="156" t="s">
        <v>244</v>
      </c>
      <c r="F29" s="156" t="s">
        <v>185</v>
      </c>
      <c r="G29" s="156" t="s">
        <v>197</v>
      </c>
      <c r="H29" s="156" t="s">
        <v>245</v>
      </c>
      <c r="J29" s="158" t="s">
        <v>246</v>
      </c>
      <c r="L29" s="102"/>
      <c r="M29" s="172" t="s">
        <v>247</v>
      </c>
      <c r="N29" s="17"/>
      <c r="O29" s="17"/>
      <c r="P29" s="95"/>
      <c r="Q29" s="95"/>
      <c r="R29" s="17"/>
      <c r="S29" s="17"/>
    </row>
    <row r="30" ht="15.75" customHeight="1">
      <c r="B30" s="145" t="s">
        <v>97</v>
      </c>
      <c r="D30" s="146" t="s">
        <v>248</v>
      </c>
      <c r="F30" s="146" t="s">
        <v>207</v>
      </c>
      <c r="G30" s="146" t="s">
        <v>186</v>
      </c>
      <c r="H30" s="147" t="s">
        <v>249</v>
      </c>
      <c r="J30" s="148" t="s">
        <v>97</v>
      </c>
      <c r="L30" s="102"/>
      <c r="M30" s="173" t="s">
        <v>250</v>
      </c>
      <c r="N30" s="17"/>
      <c r="O30" s="17"/>
      <c r="P30" s="17"/>
      <c r="Q30" s="17"/>
      <c r="R30" s="17"/>
      <c r="S30" s="17"/>
    </row>
    <row r="31" ht="15.75" customHeight="1">
      <c r="B31" s="150" t="s">
        <v>99</v>
      </c>
      <c r="D31" s="146" t="s">
        <v>251</v>
      </c>
      <c r="F31" s="146" t="s">
        <v>201</v>
      </c>
      <c r="G31" s="146" t="s">
        <v>197</v>
      </c>
      <c r="H31" s="174" t="s">
        <v>252</v>
      </c>
      <c r="J31" s="146" t="s">
        <v>188</v>
      </c>
      <c r="L31" s="102"/>
      <c r="M31" s="17"/>
      <c r="N31" s="17"/>
      <c r="O31" s="17"/>
      <c r="P31" s="17"/>
      <c r="Q31" s="17"/>
      <c r="R31" s="17"/>
      <c r="S31" s="17"/>
    </row>
    <row r="32" ht="15.75" customHeight="1">
      <c r="B32" s="150" t="s">
        <v>100</v>
      </c>
      <c r="D32" s="146" t="s">
        <v>253</v>
      </c>
      <c r="F32" s="146" t="s">
        <v>254</v>
      </c>
      <c r="G32" s="146" t="s">
        <v>186</v>
      </c>
      <c r="H32" s="146" t="s">
        <v>255</v>
      </c>
      <c r="J32" s="146" t="s">
        <v>188</v>
      </c>
      <c r="L32" s="102"/>
      <c r="M32" s="17"/>
      <c r="N32" s="17"/>
      <c r="O32" s="17"/>
      <c r="P32" s="17"/>
      <c r="Q32" s="17"/>
      <c r="R32" s="17"/>
      <c r="S32" s="17"/>
    </row>
    <row r="33" ht="15.75" customHeight="1">
      <c r="B33" s="150" t="s">
        <v>173</v>
      </c>
      <c r="D33" s="146" t="s">
        <v>256</v>
      </c>
      <c r="F33" s="146" t="s">
        <v>201</v>
      </c>
      <c r="G33" s="146" t="s">
        <v>257</v>
      </c>
      <c r="H33" s="146" t="s">
        <v>258</v>
      </c>
      <c r="J33" s="146" t="s">
        <v>259</v>
      </c>
      <c r="L33" s="102"/>
      <c r="M33" s="17"/>
      <c r="N33" s="17"/>
      <c r="O33" s="17"/>
      <c r="P33" s="17"/>
      <c r="Q33" s="17"/>
      <c r="R33" s="17"/>
      <c r="S33" s="17"/>
    </row>
    <row r="34" ht="15.75" customHeight="1">
      <c r="B34" s="145" t="s">
        <v>175</v>
      </c>
      <c r="D34" s="146" t="s">
        <v>260</v>
      </c>
      <c r="F34" s="146" t="s">
        <v>207</v>
      </c>
      <c r="G34" s="146" t="s">
        <v>197</v>
      </c>
      <c r="H34" s="146" t="s">
        <v>261</v>
      </c>
      <c r="J34" s="146" t="s">
        <v>188</v>
      </c>
      <c r="L34" s="102"/>
      <c r="M34" s="17"/>
      <c r="N34" s="17"/>
      <c r="O34" s="17"/>
      <c r="P34" s="17"/>
      <c r="Q34" s="17"/>
      <c r="R34" s="17"/>
      <c r="S34" s="17"/>
    </row>
    <row r="35" ht="15.75" customHeight="1">
      <c r="B35" s="155" t="s">
        <v>101</v>
      </c>
      <c r="D35" s="156" t="s">
        <v>262</v>
      </c>
      <c r="F35" s="156" t="s">
        <v>207</v>
      </c>
      <c r="G35" s="156" t="s">
        <v>208</v>
      </c>
      <c r="H35" s="156" t="s">
        <v>263</v>
      </c>
      <c r="J35" s="175" t="s">
        <v>264</v>
      </c>
      <c r="L35" s="102"/>
      <c r="M35" s="17"/>
      <c r="N35" s="17"/>
      <c r="O35" s="17"/>
      <c r="P35" s="17"/>
      <c r="Q35" s="17"/>
      <c r="R35" s="17"/>
      <c r="S35" s="17"/>
    </row>
    <row r="36" ht="15.75" customHeight="1">
      <c r="B36" s="145" t="s">
        <v>102</v>
      </c>
      <c r="D36" s="146" t="s">
        <v>265</v>
      </c>
      <c r="F36" s="146" t="s">
        <v>201</v>
      </c>
      <c r="G36" s="146" t="s">
        <v>186</v>
      </c>
      <c r="H36" s="147" t="s">
        <v>266</v>
      </c>
      <c r="J36" s="146" t="s">
        <v>267</v>
      </c>
      <c r="L36" s="102"/>
      <c r="M36" s="17"/>
      <c r="N36" s="17"/>
      <c r="O36" s="17"/>
      <c r="P36" s="17"/>
      <c r="Q36" s="17"/>
      <c r="R36" s="17"/>
      <c r="S36" s="17"/>
    </row>
    <row r="37" ht="15.75" customHeight="1">
      <c r="B37" s="150" t="s">
        <v>106</v>
      </c>
      <c r="D37" s="146" t="s">
        <v>268</v>
      </c>
      <c r="F37" s="146" t="s">
        <v>254</v>
      </c>
      <c r="G37" s="146" t="s">
        <v>191</v>
      </c>
      <c r="H37" s="174" t="s">
        <v>269</v>
      </c>
      <c r="J37" s="146" t="s">
        <v>270</v>
      </c>
      <c r="L37" s="102"/>
      <c r="M37" s="17"/>
      <c r="N37" s="17"/>
      <c r="O37" s="17"/>
      <c r="P37" s="17"/>
      <c r="Q37" s="17"/>
      <c r="R37" s="17"/>
      <c r="S37" s="17"/>
    </row>
    <row r="38" ht="15.75" customHeight="1">
      <c r="B38" s="155" t="s">
        <v>271</v>
      </c>
      <c r="D38" s="156" t="s">
        <v>272</v>
      </c>
      <c r="F38" s="156" t="s">
        <v>207</v>
      </c>
      <c r="G38" s="156" t="s">
        <v>197</v>
      </c>
      <c r="H38" s="156">
        <v>2012.0</v>
      </c>
      <c r="J38" s="158" t="s">
        <v>273</v>
      </c>
      <c r="L38" s="102"/>
      <c r="M38" s="17"/>
      <c r="N38" s="17"/>
      <c r="O38" s="17"/>
      <c r="P38" s="17"/>
      <c r="Q38" s="17"/>
      <c r="R38" s="17"/>
      <c r="S38" s="17"/>
    </row>
    <row r="39" ht="15.75" customHeight="1">
      <c r="B39" s="166" t="s">
        <v>223</v>
      </c>
      <c r="D39" s="167" t="s">
        <v>274</v>
      </c>
      <c r="F39" s="167" t="s">
        <v>207</v>
      </c>
      <c r="G39" s="167" t="s">
        <v>257</v>
      </c>
      <c r="H39" s="167" t="s">
        <v>275</v>
      </c>
      <c r="J39" s="167" t="s">
        <v>276</v>
      </c>
      <c r="L39" s="102"/>
      <c r="M39" s="17"/>
      <c r="N39" s="17"/>
      <c r="O39" s="17"/>
      <c r="P39" s="17"/>
      <c r="Q39" s="17"/>
      <c r="R39" s="17"/>
      <c r="S39" s="17"/>
    </row>
    <row r="40" ht="15.75" customHeight="1">
      <c r="B40" s="145" t="s">
        <v>277</v>
      </c>
      <c r="D40" s="146" t="s">
        <v>278</v>
      </c>
      <c r="F40" s="146" t="s">
        <v>254</v>
      </c>
      <c r="G40" s="146" t="s">
        <v>197</v>
      </c>
      <c r="H40" s="147" t="s">
        <v>279</v>
      </c>
      <c r="J40" s="148" t="s">
        <v>188</v>
      </c>
      <c r="L40" s="102"/>
      <c r="M40" s="17"/>
      <c r="N40" s="17"/>
      <c r="O40" s="17"/>
      <c r="P40" s="17"/>
      <c r="Q40" s="17"/>
      <c r="R40" s="17"/>
      <c r="S40" s="17"/>
    </row>
    <row r="41" ht="15.75" customHeight="1">
      <c r="B41" s="150" t="s">
        <v>111</v>
      </c>
      <c r="D41" s="146">
        <v>6694.0</v>
      </c>
      <c r="F41" s="146" t="s">
        <v>207</v>
      </c>
      <c r="G41" s="146" t="s">
        <v>186</v>
      </c>
      <c r="H41" s="146" t="s">
        <v>252</v>
      </c>
      <c r="J41" s="146" t="s">
        <v>280</v>
      </c>
      <c r="L41" s="102"/>
      <c r="M41" s="17"/>
      <c r="N41" s="17"/>
      <c r="O41" s="17"/>
      <c r="P41" s="17"/>
      <c r="Q41" s="17"/>
      <c r="R41" s="17"/>
      <c r="S41" s="17"/>
    </row>
    <row r="42" ht="15.75" customHeight="1">
      <c r="B42" s="166" t="s">
        <v>227</v>
      </c>
      <c r="D42" s="167" t="s">
        <v>281</v>
      </c>
      <c r="F42" s="167" t="s">
        <v>207</v>
      </c>
      <c r="G42" s="167" t="s">
        <v>191</v>
      </c>
      <c r="H42" s="168" t="s">
        <v>282</v>
      </c>
      <c r="J42" s="176" t="s">
        <v>283</v>
      </c>
      <c r="L42" s="102"/>
      <c r="M42" s="17"/>
      <c r="N42" s="17"/>
      <c r="O42" s="17"/>
      <c r="P42" s="17"/>
      <c r="Q42" s="17"/>
      <c r="R42" s="17"/>
      <c r="S42" s="17"/>
    </row>
    <row r="43" ht="15.75" customHeight="1">
      <c r="B43" s="177" t="s">
        <v>116</v>
      </c>
      <c r="C43" s="104"/>
      <c r="D43" s="178" t="s">
        <v>284</v>
      </c>
      <c r="E43" s="104"/>
      <c r="F43" s="178" t="s">
        <v>190</v>
      </c>
      <c r="G43" s="178" t="s">
        <v>186</v>
      </c>
      <c r="H43" s="178" t="s">
        <v>225</v>
      </c>
      <c r="I43" s="104"/>
      <c r="J43" s="179" t="s">
        <v>188</v>
      </c>
      <c r="K43" s="104"/>
      <c r="L43" s="105"/>
      <c r="M43" s="17"/>
      <c r="N43" s="17"/>
      <c r="O43" s="17"/>
      <c r="P43" s="17"/>
      <c r="Q43" s="17"/>
      <c r="R43" s="17"/>
      <c r="S43" s="17"/>
    </row>
  </sheetData>
  <customSheetViews>
    <customSheetView guid="{6787E9D4-3159-4D55-AC38-C6BABF8B2DC9}" filter="1" showAutoFilter="1">
      <autoFilter ref="$B$15:$L$43"/>
    </customSheetView>
    <customSheetView guid="{A604874B-F869-4656-88D6-85DF395DD469}" filter="1" showAutoFilter="1">
      <autoFilter ref="$B$14:$L$43">
        <sortState ref="B14:L43">
          <sortCondition ref="B14:B43"/>
          <sortCondition ref="C14:C43"/>
        </sortState>
      </autoFilter>
    </customSheetView>
    <customSheetView guid="{A3138447-5E66-408F-B98C-971D9EF84EC3}" filter="1" showAutoFilter="1">
      <autoFilter ref="$B$14:$C$43"/>
    </customSheetView>
    <customSheetView guid="{93E5271B-C728-4BA8-8983-06C1E4B55178}" filter="1" showAutoFilter="1">
      <autoFilter ref="$B$14:$L$43">
        <sortState ref="B14:L43">
          <sortCondition ref="B14:B43"/>
        </sortState>
      </autoFilter>
    </customSheetView>
  </customSheetViews>
  <mergeCells count="156">
    <mergeCell ref="J17:L17"/>
    <mergeCell ref="M17:N17"/>
    <mergeCell ref="B16:C16"/>
    <mergeCell ref="D16:E16"/>
    <mergeCell ref="J16:L16"/>
    <mergeCell ref="M16:N16"/>
    <mergeCell ref="P16:R16"/>
    <mergeCell ref="B17:C17"/>
    <mergeCell ref="D17:E17"/>
    <mergeCell ref="J19:L19"/>
    <mergeCell ref="M19:N19"/>
    <mergeCell ref="B18:C18"/>
    <mergeCell ref="D18:E18"/>
    <mergeCell ref="J18:L18"/>
    <mergeCell ref="M18:N18"/>
    <mergeCell ref="B19:C19"/>
    <mergeCell ref="D19:E19"/>
    <mergeCell ref="H19:I19"/>
    <mergeCell ref="B2:N5"/>
    <mergeCell ref="P2:P3"/>
    <mergeCell ref="Q2:R3"/>
    <mergeCell ref="Q4:R4"/>
    <mergeCell ref="Q5:R5"/>
    <mergeCell ref="Q6:R6"/>
    <mergeCell ref="Q7:R7"/>
    <mergeCell ref="Q13:R13"/>
    <mergeCell ref="Q14:R14"/>
    <mergeCell ref="Q15:R15"/>
    <mergeCell ref="P18:Q19"/>
    <mergeCell ref="Q8:R8"/>
    <mergeCell ref="Q9:R9"/>
    <mergeCell ref="Q10:R10"/>
    <mergeCell ref="Q11:R11"/>
    <mergeCell ref="M12:N13"/>
    <mergeCell ref="Q12:R12"/>
    <mergeCell ref="M14:N14"/>
    <mergeCell ref="H15:I15"/>
    <mergeCell ref="J15:L15"/>
    <mergeCell ref="M15:N15"/>
    <mergeCell ref="B12:L13"/>
    <mergeCell ref="B14:C14"/>
    <mergeCell ref="D14:E14"/>
    <mergeCell ref="H14:I14"/>
    <mergeCell ref="J14:L14"/>
    <mergeCell ref="B15:C15"/>
    <mergeCell ref="D15:E15"/>
    <mergeCell ref="H16:I16"/>
    <mergeCell ref="H17:I17"/>
    <mergeCell ref="H18:I18"/>
    <mergeCell ref="H20:I20"/>
    <mergeCell ref="H21:I21"/>
    <mergeCell ref="B25:C25"/>
    <mergeCell ref="B26:C26"/>
    <mergeCell ref="D26:E26"/>
    <mergeCell ref="B27:C27"/>
    <mergeCell ref="D27:E27"/>
    <mergeCell ref="B28:C28"/>
    <mergeCell ref="D28:E28"/>
    <mergeCell ref="B30:C30"/>
    <mergeCell ref="D30:E30"/>
    <mergeCell ref="B31:C31"/>
    <mergeCell ref="D31:E31"/>
    <mergeCell ref="B32:C32"/>
    <mergeCell ref="D32:E32"/>
    <mergeCell ref="D33:E33"/>
    <mergeCell ref="B40:C40"/>
    <mergeCell ref="B41:C41"/>
    <mergeCell ref="B42:C42"/>
    <mergeCell ref="B43:C43"/>
    <mergeCell ref="B33:C33"/>
    <mergeCell ref="B34:C34"/>
    <mergeCell ref="B35:C35"/>
    <mergeCell ref="B36:C36"/>
    <mergeCell ref="B37:C37"/>
    <mergeCell ref="B38:C38"/>
    <mergeCell ref="B39:C39"/>
    <mergeCell ref="D41:E41"/>
    <mergeCell ref="D42:E42"/>
    <mergeCell ref="D43:E43"/>
    <mergeCell ref="D34:E34"/>
    <mergeCell ref="D35:E35"/>
    <mergeCell ref="D36:E36"/>
    <mergeCell ref="D37:E37"/>
    <mergeCell ref="D38:E38"/>
    <mergeCell ref="D39:E39"/>
    <mergeCell ref="D40:E40"/>
    <mergeCell ref="H28:I28"/>
    <mergeCell ref="J28:L28"/>
    <mergeCell ref="H30:I30"/>
    <mergeCell ref="J30:L30"/>
    <mergeCell ref="H31:I31"/>
    <mergeCell ref="J31:L31"/>
    <mergeCell ref="J32:L32"/>
    <mergeCell ref="H37:I37"/>
    <mergeCell ref="H38:I38"/>
    <mergeCell ref="H39:I39"/>
    <mergeCell ref="H40:I40"/>
    <mergeCell ref="H41:I41"/>
    <mergeCell ref="H42:I42"/>
    <mergeCell ref="H43:I43"/>
    <mergeCell ref="J38:L38"/>
    <mergeCell ref="J39:L39"/>
    <mergeCell ref="J40:L40"/>
    <mergeCell ref="J41:L41"/>
    <mergeCell ref="J42:L42"/>
    <mergeCell ref="J43:L43"/>
    <mergeCell ref="J33:L33"/>
    <mergeCell ref="J34:L34"/>
    <mergeCell ref="H35:I35"/>
    <mergeCell ref="J35:L35"/>
    <mergeCell ref="H36:I36"/>
    <mergeCell ref="J36:L36"/>
    <mergeCell ref="J37:L37"/>
    <mergeCell ref="J21:L21"/>
    <mergeCell ref="M21:N21"/>
    <mergeCell ref="J22:L22"/>
    <mergeCell ref="M22:N22"/>
    <mergeCell ref="P22:Q22"/>
    <mergeCell ref="J23:L23"/>
    <mergeCell ref="M23:N23"/>
    <mergeCell ref="P23:Q23"/>
    <mergeCell ref="B20:C20"/>
    <mergeCell ref="D20:E20"/>
    <mergeCell ref="J20:L20"/>
    <mergeCell ref="M20:N20"/>
    <mergeCell ref="P20:Q20"/>
    <mergeCell ref="D21:E21"/>
    <mergeCell ref="P21:Q21"/>
    <mergeCell ref="B21:C21"/>
    <mergeCell ref="B22:C22"/>
    <mergeCell ref="D22:E22"/>
    <mergeCell ref="H22:I22"/>
    <mergeCell ref="B23:C23"/>
    <mergeCell ref="D23:E23"/>
    <mergeCell ref="H23:I23"/>
    <mergeCell ref="B24:C24"/>
    <mergeCell ref="D24:E24"/>
    <mergeCell ref="H24:I24"/>
    <mergeCell ref="J24:L24"/>
    <mergeCell ref="M24:N24"/>
    <mergeCell ref="D25:E25"/>
    <mergeCell ref="M25:N25"/>
    <mergeCell ref="H25:I25"/>
    <mergeCell ref="J25:L25"/>
    <mergeCell ref="H26:I26"/>
    <mergeCell ref="J26:L26"/>
    <mergeCell ref="M26:N26"/>
    <mergeCell ref="H27:I27"/>
    <mergeCell ref="J27:L27"/>
    <mergeCell ref="B29:C29"/>
    <mergeCell ref="D29:E29"/>
    <mergeCell ref="H29:I29"/>
    <mergeCell ref="J29:L29"/>
    <mergeCell ref="H32:I32"/>
    <mergeCell ref="H33:I33"/>
    <mergeCell ref="H34:I34"/>
  </mergeCells>
  <hyperlinks>
    <hyperlink r:id="rId1" ref="M29"/>
    <hyperlink r:id="rId2" ref="M30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.63"/>
    <col customWidth="1" min="3" max="3" width="18.63"/>
    <col customWidth="1" min="4" max="4" width="12.88"/>
    <col customWidth="1" min="5" max="5" width="4.63"/>
    <col customWidth="1" min="6" max="6" width="15.63"/>
    <col customWidth="1" min="7" max="7" width="2.38"/>
    <col customWidth="1" min="8" max="8" width="18.38"/>
    <col customWidth="1" min="9" max="9" width="2.25"/>
    <col customWidth="1" min="10" max="10" width="15.5"/>
    <col customWidth="1" min="11" max="11" width="13.63"/>
    <col customWidth="1" min="12" max="12" width="2.88"/>
    <col customWidth="1" min="13" max="13" width="17.13"/>
    <col customWidth="1" min="14" max="14" width="3.13"/>
    <col customWidth="1" min="15" max="15" width="21.0"/>
    <col customWidth="1" min="16" max="16" width="5.5"/>
    <col customWidth="1" min="17" max="17" width="6.13"/>
  </cols>
  <sheetData>
    <row r="1">
      <c r="A1" s="180" t="s">
        <v>285</v>
      </c>
    </row>
    <row r="2">
      <c r="A2" s="7"/>
      <c r="B2" s="181"/>
      <c r="C2" s="182" t="str">
        <f>IFERROR(__xludf.DUMMYFUNCTION("Query('Halo Reach Stats'!A:AK,""Select A, (I/J) Order By (I/J) Desc Limit 5 LABEL (I/J) 'Highest KD Ratio' "")"),"Player")</f>
        <v>Player</v>
      </c>
      <c r="D2" s="183" t="str">
        <f>IFERROR(__xludf.DUMMYFUNCTION("""COMPUTED_VALUE"""),"Highest KD Ratio")</f>
        <v>Highest KD Ratio</v>
      </c>
      <c r="E2" s="161"/>
      <c r="F2" s="184"/>
      <c r="G2" s="185"/>
      <c r="H2" s="186" t="str">
        <f>IFERROR(__xludf.DUMMYFUNCTION("Query('Halo Reach Stats'!A:AK,""Select A,H where A&lt;&gt; '' Order by H Desc Limit 5 LABEL H 'Most Goals'"")"),"Player")</f>
        <v>Player</v>
      </c>
      <c r="I2" s="186" t="str">
        <f>IFERROR(__xludf.DUMMYFUNCTION("""COMPUTED_VALUE"""),"Most Goals")</f>
        <v>Most Goals</v>
      </c>
      <c r="K2" s="7"/>
      <c r="L2" s="7"/>
      <c r="M2" s="182" t="s">
        <v>286</v>
      </c>
      <c r="P2" s="187"/>
      <c r="Q2" s="7"/>
    </row>
    <row r="3">
      <c r="A3" s="7"/>
      <c r="B3" s="185">
        <v>1.0</v>
      </c>
      <c r="C3" s="188" t="str">
        <f>IFERROR(__xludf.DUMMYFUNCTION("""COMPUTED_VALUE"""),"yLuxe")</f>
        <v>yLuxe</v>
      </c>
      <c r="D3" s="189">
        <f>IFERROR(__xludf.DUMMYFUNCTION("""COMPUTED_VALUE"""),1.711340206185567)</f>
        <v>1.711340206</v>
      </c>
      <c r="E3" s="164"/>
      <c r="F3" s="17"/>
      <c r="G3" s="185">
        <v>1.0</v>
      </c>
      <c r="H3" s="188" t="str">
        <f>IFERROR(__xludf.DUMMYFUNCTION("""COMPUTED_VALUE"""),"yLuxe")</f>
        <v>yLuxe</v>
      </c>
      <c r="I3" s="188">
        <f>IFERROR(__xludf.DUMMYFUNCTION("""COMPUTED_VALUE"""),14.0)</f>
        <v>14</v>
      </c>
      <c r="K3" s="7"/>
      <c r="L3" s="7"/>
      <c r="M3" s="190" t="s">
        <v>287</v>
      </c>
      <c r="P3" s="191"/>
      <c r="Q3" s="7"/>
    </row>
    <row r="4">
      <c r="A4" s="7"/>
      <c r="B4" s="185">
        <v>2.0</v>
      </c>
      <c r="C4" s="192" t="str">
        <f>IFERROR(__xludf.DUMMYFUNCTION("""COMPUTED_VALUE"""),"Genesiology")</f>
        <v>Genesiology</v>
      </c>
      <c r="D4" s="193">
        <f>IFERROR(__xludf.DUMMYFUNCTION("""COMPUTED_VALUE"""),1.4858156028368794)</f>
        <v>1.485815603</v>
      </c>
      <c r="E4" s="164"/>
      <c r="F4" s="17"/>
      <c r="G4" s="185">
        <v>2.0</v>
      </c>
      <c r="H4" s="188" t="str">
        <f>IFERROR(__xludf.DUMMYFUNCTION("""COMPUTED_VALUE"""),"Sabasauros rex")</f>
        <v>Sabasauros rex</v>
      </c>
      <c r="I4" s="188">
        <f>IFERROR(__xludf.DUMMYFUNCTION("""COMPUTED_VALUE"""),10.0)</f>
        <v>10</v>
      </c>
      <c r="K4" s="7"/>
      <c r="L4" s="7"/>
      <c r="P4" s="194"/>
      <c r="Q4" s="7"/>
    </row>
    <row r="5">
      <c r="A5" s="7"/>
      <c r="B5" s="185">
        <v>3.0</v>
      </c>
      <c r="C5" s="192" t="str">
        <f>IFERROR(__xludf.DUMMYFUNCTION("""COMPUTED_VALUE"""),"ACE B S1lentND1")</f>
        <v>ACE B S1lentND1</v>
      </c>
      <c r="D5" s="193">
        <f>IFERROR(__xludf.DUMMYFUNCTION("""COMPUTED_VALUE"""),1.4101123595505618)</f>
        <v>1.41011236</v>
      </c>
      <c r="E5" s="164"/>
      <c r="F5" s="17"/>
      <c r="G5" s="185">
        <v>3.0</v>
      </c>
      <c r="H5" s="188" t="str">
        <f>IFERROR(__xludf.DUMMYFUNCTION("""COMPUTED_VALUE"""),"Hells Angel cx")</f>
        <v>Hells Angel cx</v>
      </c>
      <c r="I5" s="188">
        <f>IFERROR(__xludf.DUMMYFUNCTION("""COMPUTED_VALUE"""),9.0)</f>
        <v>9</v>
      </c>
      <c r="K5" s="7"/>
      <c r="L5" s="7"/>
      <c r="M5" s="7"/>
      <c r="N5" s="7"/>
      <c r="O5" s="7"/>
      <c r="P5" s="195"/>
      <c r="Q5" s="7"/>
    </row>
    <row r="6">
      <c r="A6" s="7"/>
      <c r="B6" s="185">
        <v>4.0</v>
      </c>
      <c r="C6" s="196" t="str">
        <f>IFERROR(__xludf.DUMMYFUNCTION("""COMPUTED_VALUE"""),"Vile")</f>
        <v>Vile</v>
      </c>
      <c r="D6" s="197">
        <f>IFERROR(__xludf.DUMMYFUNCTION("""COMPUTED_VALUE"""),1.368421052631579)</f>
        <v>1.368421053</v>
      </c>
      <c r="E6" s="164"/>
      <c r="F6" s="17"/>
      <c r="G6" s="185">
        <v>4.0</v>
      </c>
      <c r="H6" s="188" t="str">
        <f>IFERROR(__xludf.DUMMYFUNCTION("""COMPUTED_VALUE"""),"Impuritive")</f>
        <v>Impuritive</v>
      </c>
      <c r="I6" s="188">
        <f>IFERROR(__xludf.DUMMYFUNCTION("""COMPUTED_VALUE"""),8.0)</f>
        <v>8</v>
      </c>
      <c r="K6" s="7"/>
      <c r="L6" s="7"/>
      <c r="M6" s="186" t="s">
        <v>288</v>
      </c>
      <c r="P6" s="198"/>
      <c r="Q6" s="7"/>
    </row>
    <row r="7">
      <c r="A7" s="7"/>
      <c r="B7" s="199">
        <v>5.0</v>
      </c>
      <c r="C7" s="200" t="str">
        <f>IFERROR(__xludf.DUMMYFUNCTION("""COMPUTED_VALUE"""),"oDhmon")</f>
        <v>oDhmon</v>
      </c>
      <c r="D7" s="201">
        <f>IFERROR(__xludf.DUMMYFUNCTION("""COMPUTED_VALUE"""),1.3293650793650793)</f>
        <v>1.329365079</v>
      </c>
      <c r="E7" s="170"/>
      <c r="F7" s="17"/>
      <c r="G7" s="199">
        <v>5.0</v>
      </c>
      <c r="H7" s="202" t="str">
        <f>IFERROR(__xludf.DUMMYFUNCTION("""COMPUTED_VALUE"""),"Vile")</f>
        <v>Vile</v>
      </c>
      <c r="I7" s="202">
        <f>IFERROR(__xludf.DUMMYFUNCTION("""COMPUTED_VALUE"""),8.0)</f>
        <v>8</v>
      </c>
      <c r="K7" s="7"/>
      <c r="L7" s="7"/>
      <c r="M7" s="203" t="s">
        <v>289</v>
      </c>
      <c r="P7" s="194"/>
      <c r="Q7" s="7"/>
    </row>
    <row r="8">
      <c r="A8" s="7"/>
      <c r="B8" s="204"/>
      <c r="C8" s="17"/>
      <c r="D8" s="17"/>
      <c r="E8" s="17"/>
      <c r="F8" s="17"/>
      <c r="G8" s="205"/>
      <c r="H8" s="17"/>
      <c r="I8" s="17"/>
      <c r="J8" s="17"/>
      <c r="K8" s="7"/>
      <c r="L8" s="7"/>
      <c r="M8" s="7"/>
      <c r="N8" s="7"/>
      <c r="O8" s="7"/>
      <c r="P8" s="206"/>
      <c r="Q8" s="7"/>
    </row>
    <row r="9">
      <c r="A9" s="7"/>
      <c r="B9" s="207"/>
      <c r="C9" s="186" t="str">
        <f>IFERROR(__xludf.DUMMYFUNCTION("Query('Halo Reach Stats'!A:AK,""Select A,S where A&lt;&gt; '' Order by S Desc Limit 5 LABEL S 'Most Sprees'"")"),"Player")</f>
        <v>Player</v>
      </c>
      <c r="D9" s="186" t="str">
        <f>IFERROR(__xludf.DUMMYFUNCTION("""COMPUTED_VALUE"""),"Most Sprees")</f>
        <v>Most Sprees</v>
      </c>
      <c r="F9" s="17"/>
      <c r="G9" s="185"/>
      <c r="H9" s="186" t="str">
        <f>IFERROR(__xludf.DUMMYFUNCTION("Query('Halo Reach Stats'!A:AK,""Select A,R where A&lt;&gt; '' Order by R Desc Limit 5 LABEL R 'Most Bomb Stops'"")"),"Player")</f>
        <v>Player</v>
      </c>
      <c r="I9" s="186" t="str">
        <f>IFERROR(__xludf.DUMMYFUNCTION("""COMPUTED_VALUE"""),"Most Bomb Stops")</f>
        <v>Most Bomb Stops</v>
      </c>
      <c r="K9" s="7"/>
      <c r="L9" s="7"/>
      <c r="M9" s="7"/>
      <c r="N9" s="7"/>
      <c r="O9" s="7"/>
      <c r="P9" s="191"/>
      <c r="Q9" s="208"/>
    </row>
    <row r="10">
      <c r="A10" s="7"/>
      <c r="B10" s="185">
        <v>1.0</v>
      </c>
      <c r="C10" s="188" t="str">
        <f>IFERROR(__xludf.DUMMYFUNCTION("""COMPUTED_VALUE"""),"Vile")</f>
        <v>Vile</v>
      </c>
      <c r="D10" s="188">
        <f>IFERROR(__xludf.DUMMYFUNCTION("""COMPUTED_VALUE"""),3.0)</f>
        <v>3</v>
      </c>
      <c r="F10" s="17"/>
      <c r="G10" s="185">
        <v>1.0</v>
      </c>
      <c r="H10" s="188" t="str">
        <f>IFERROR(__xludf.DUMMYFUNCTION("""COMPUTED_VALUE"""),"Genesiology")</f>
        <v>Genesiology</v>
      </c>
      <c r="I10" s="188">
        <f>IFERROR(__xludf.DUMMYFUNCTION("""COMPUTED_VALUE"""),14.0)</f>
        <v>14</v>
      </c>
      <c r="K10" s="7"/>
      <c r="L10" s="7"/>
      <c r="M10" s="209" t="str">
        <f>IFERROR(__xludf.DUMMYFUNCTION("Query('Halo Reach Stats'!A:AK,""Select A,Q where A&lt;&gt; '' Order By Q Desc Limit 1 LABEL A 'Tom Brady Award: *Highest average life' "")"),"Tom Brady Award: *Highest average life")</f>
        <v>Tom Brady Award: *Highest average life</v>
      </c>
      <c r="P10" s="194"/>
      <c r="Q10" s="7"/>
    </row>
    <row r="11" ht="16.5" customHeight="1">
      <c r="A11" s="7"/>
      <c r="B11" s="185">
        <v>2.0</v>
      </c>
      <c r="C11" s="188" t="str">
        <f>IFERROR(__xludf.DUMMYFUNCTION("""COMPUTED_VALUE"""),"Dabb")</f>
        <v>Dabb</v>
      </c>
      <c r="D11" s="188">
        <f>IFERROR(__xludf.DUMMYFUNCTION("""COMPUTED_VALUE"""),2.0)</f>
        <v>2</v>
      </c>
      <c r="F11" s="17"/>
      <c r="G11" s="185">
        <v>2.0</v>
      </c>
      <c r="H11" s="188" t="str">
        <f>IFERROR(__xludf.DUMMYFUNCTION("""COMPUTED_VALUE"""),"Vile")</f>
        <v>Vile</v>
      </c>
      <c r="I11" s="188">
        <f>IFERROR(__xludf.DUMMYFUNCTION("""COMPUTED_VALUE"""),11.0)</f>
        <v>11</v>
      </c>
      <c r="K11" s="7"/>
      <c r="L11" s="7"/>
      <c r="M11" s="210" t="str">
        <f>IFERROR(__xludf.DUMMYFUNCTION("""COMPUTED_VALUE"""),"yLuxe")</f>
        <v>yLuxe</v>
      </c>
      <c r="N11" s="211">
        <f>IFERROR(__xludf.DUMMYFUNCTION("""COMPUTED_VALUE"""),30.0)</f>
        <v>30</v>
      </c>
      <c r="O11" s="181" t="s">
        <v>290</v>
      </c>
      <c r="P11" s="206"/>
      <c r="Q11" s="7"/>
    </row>
    <row r="12">
      <c r="A12" s="7"/>
      <c r="B12" s="185">
        <v>3.0</v>
      </c>
      <c r="C12" s="188" t="str">
        <f>IFERROR(__xludf.DUMMYFUNCTION("""COMPUTED_VALUE"""),"ACE B S1lentND1")</f>
        <v>ACE B S1lentND1</v>
      </c>
      <c r="D12" s="188">
        <f>IFERROR(__xludf.DUMMYFUNCTION("""COMPUTED_VALUE"""),1.0)</f>
        <v>1</v>
      </c>
      <c r="F12" s="17"/>
      <c r="G12" s="185">
        <v>3.0</v>
      </c>
      <c r="H12" s="188" t="str">
        <f>IFERROR(__xludf.DUMMYFUNCTION("""COMPUTED_VALUE"""),"oDhmon")</f>
        <v>oDhmon</v>
      </c>
      <c r="I12" s="188">
        <f>IFERROR(__xludf.DUMMYFUNCTION("""COMPUTED_VALUE"""),10.0)</f>
        <v>10</v>
      </c>
      <c r="K12" s="7"/>
      <c r="L12" s="7"/>
      <c r="M12" s="7"/>
      <c r="N12" s="7"/>
      <c r="O12" s="7"/>
      <c r="P12" s="191"/>
      <c r="Q12" s="7"/>
    </row>
    <row r="13">
      <c r="A13" s="7"/>
      <c r="B13" s="185">
        <v>4.0</v>
      </c>
      <c r="C13" s="188" t="str">
        <f>IFERROR(__xludf.DUMMYFUNCTION("""COMPUTED_VALUE"""),"Hells Angel cx")</f>
        <v>Hells Angel cx</v>
      </c>
      <c r="D13" s="188">
        <f>IFERROR(__xludf.DUMMYFUNCTION("""COMPUTED_VALUE"""),1.0)</f>
        <v>1</v>
      </c>
      <c r="F13" s="17"/>
      <c r="G13" s="185">
        <v>4.0</v>
      </c>
      <c r="H13" s="188" t="str">
        <f>IFERROR(__xludf.DUMMYFUNCTION("""COMPUTED_VALUE"""),"ACE B S1lentND1")</f>
        <v>ACE B S1lentND1</v>
      </c>
      <c r="I13" s="188">
        <f>IFERROR(__xludf.DUMMYFUNCTION("""COMPUTED_VALUE"""),9.0)</f>
        <v>9</v>
      </c>
      <c r="K13" s="7"/>
      <c r="L13" s="7"/>
      <c r="M13" s="212" t="str">
        <f>IFERROR(__xludf.DUMMYFUNCTION("Query('Halo Reach Stats'!A:AK,""Select A,Q where A&lt;&gt; '' Order By Q Asc Limit 1 LABEL A 'ActiveHate Award: *Lowest average life' "")"),"ActiveHate Award: *Lowest average life")</f>
        <v>ActiveHate Award: *Lowest average life</v>
      </c>
      <c r="P13" s="191"/>
      <c r="Q13" s="7"/>
    </row>
    <row r="14">
      <c r="A14" s="7"/>
      <c r="B14" s="185">
        <v>5.0</v>
      </c>
      <c r="C14" s="188" t="str">
        <f>IFERROR(__xludf.DUMMYFUNCTION("""COMPUTED_VALUE"""),"yLuxe")</f>
        <v>yLuxe</v>
      </c>
      <c r="D14" s="188">
        <f>IFERROR(__xludf.DUMMYFUNCTION("""COMPUTED_VALUE"""),1.0)</f>
        <v>1</v>
      </c>
      <c r="F14" s="17"/>
      <c r="G14" s="185">
        <v>5.0</v>
      </c>
      <c r="H14" s="188" t="str">
        <f>IFERROR(__xludf.DUMMYFUNCTION("""COMPUTED_VALUE"""),"MoldyVolts")</f>
        <v>MoldyVolts</v>
      </c>
      <c r="I14" s="188">
        <f>IFERROR(__xludf.DUMMYFUNCTION("""COMPUTED_VALUE"""),9.0)</f>
        <v>9</v>
      </c>
      <c r="K14" s="7"/>
      <c r="L14" s="7"/>
      <c r="M14" s="188" t="str">
        <f>IFERROR(__xludf.DUMMYFUNCTION("""COMPUTED_VALUE"""),"Kgod Online")</f>
        <v>Kgod Online</v>
      </c>
      <c r="N14" s="211">
        <f>IFERROR(__xludf.DUMMYFUNCTION("""COMPUTED_VALUE"""),7.0)</f>
        <v>7</v>
      </c>
      <c r="O14" s="181" t="s">
        <v>290</v>
      </c>
      <c r="P14" s="7"/>
      <c r="Q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213"/>
      <c r="P15" s="7"/>
      <c r="Q15" s="7"/>
    </row>
    <row r="16">
      <c r="A16" s="7"/>
      <c r="B16" s="7"/>
      <c r="C16" s="214"/>
      <c r="D16" s="7"/>
      <c r="E16" s="7"/>
      <c r="F16" s="7"/>
      <c r="G16" s="7"/>
      <c r="H16" s="7"/>
      <c r="I16" s="7"/>
      <c r="J16" s="7"/>
      <c r="K16" s="214"/>
      <c r="L16" s="214"/>
      <c r="M16" s="214"/>
      <c r="N16" s="7"/>
      <c r="O16" s="7"/>
      <c r="P16" s="7"/>
      <c r="Q16" s="7"/>
    </row>
    <row r="17">
      <c r="A17" s="7"/>
      <c r="B17" s="7"/>
      <c r="C17" s="215" t="str">
        <f>IFERROR(__xludf.DUMMYFUNCTION("Query(HEXASbaseINFO!A:Y,""Select A,R where A&lt;&gt;'' Order by R Desc Limit 10"")"),"Player")</f>
        <v>Player</v>
      </c>
      <c r="D17" s="216" t="str">
        <f>IFERROR(__xludf.DUMMYFUNCTION("""COMPUTED_VALUE"""),"AverageLife")</f>
        <v>AverageLife</v>
      </c>
      <c r="E17" s="217"/>
      <c r="F17" s="218" t="str">
        <f>IFERROR(__xludf.DUMMYFUNCTION("Query(HEXASbaseINFO!A:Y,""Select A,T where A&lt;&gt;'' Order by T Desc Limit 10"")"),"Player")</f>
        <v>Player</v>
      </c>
      <c r="G17" s="219" t="str">
        <f>IFERROR(__xludf.DUMMYFUNCTION("""COMPUTED_VALUE"""),"w key warrior")</f>
        <v>w key warrior</v>
      </c>
      <c r="H17" s="220"/>
      <c r="I17" s="217"/>
      <c r="J17" s="221" t="str">
        <f>IFERROR(__xludf.DUMMYFUNCTION("Query(HEXASbaseINFO!A:Y,""Select A,V where A&lt;&gt;'' Order by V Desc Limit 10"")"),"Player")</f>
        <v>Player</v>
      </c>
      <c r="K17" s="222" t="str">
        <f>IFERROR(__xludf.DUMMYFUNCTION("""COMPUTED_VALUE"""),"Sugar Daddies")</f>
        <v>Sugar Daddies</v>
      </c>
      <c r="L17" s="217"/>
      <c r="M17" s="223" t="str">
        <f>IFERROR(__xludf.DUMMYFUNCTION("Query(HEXASbaseINFO!A:Y,""Select A,X where A&lt;&gt;'' Order by X Desc Limit 10"")"),"Player")</f>
        <v>Player</v>
      </c>
      <c r="N17" s="224" t="str">
        <f>IFERROR(__xludf.DUMMYFUNCTION("""COMPUTED_VALUE"""),"Running Wild")</f>
        <v>Running Wild</v>
      </c>
      <c r="O17" s="220"/>
      <c r="P17" s="7"/>
      <c r="Q17" s="7"/>
    </row>
    <row r="18">
      <c r="A18" s="7"/>
      <c r="B18" s="7"/>
      <c r="C18" s="225" t="str">
        <f>IFERROR(__xludf.DUMMYFUNCTION("""COMPUTED_VALUE"""),"yLuxe")</f>
        <v>yLuxe</v>
      </c>
      <c r="D18" s="226">
        <f>IFERROR(__xludf.DUMMYFUNCTION("""COMPUTED_VALUE"""),30.0)</f>
        <v>30</v>
      </c>
      <c r="E18" s="213"/>
      <c r="F18" s="227" t="str">
        <f>IFERROR(__xludf.DUMMYFUNCTION("""COMPUTED_VALUE"""),"Galvann")</f>
        <v>Galvann</v>
      </c>
      <c r="G18" s="228">
        <f>IFERROR(__xludf.DUMMYFUNCTION("""COMPUTED_VALUE"""),9.32475884244373)</f>
        <v>9.324758842</v>
      </c>
      <c r="H18" s="102"/>
      <c r="I18" s="213"/>
      <c r="J18" s="229" t="str">
        <f>IFERROR(__xludf.DUMMYFUNCTION("""COMPUTED_VALUE"""),"Vile")</f>
        <v>Vile</v>
      </c>
      <c r="K18" s="230">
        <f>IFERROR(__xludf.DUMMYFUNCTION("""COMPUTED_VALUE"""),0.03894207366542268)</f>
        <v>0.03894207367</v>
      </c>
      <c r="L18" s="194"/>
      <c r="M18" s="231" t="str">
        <f>IFERROR(__xludf.DUMMYFUNCTION("""COMPUTED_VALUE"""),"Galvann")</f>
        <v>Galvann</v>
      </c>
      <c r="N18" s="232">
        <f>IFERROR(__xludf.DUMMYFUNCTION("""COMPUTED_VALUE"""),1.2218649517684887)</f>
        <v>1.221864952</v>
      </c>
      <c r="O18" s="102"/>
      <c r="P18" s="7"/>
      <c r="Q18" s="7"/>
    </row>
    <row r="19">
      <c r="A19" s="7"/>
      <c r="B19" s="7"/>
      <c r="C19" s="225" t="str">
        <f>IFERROR(__xludf.DUMMYFUNCTION("""COMPUTED_VALUE"""),"Sabasauros rex")</f>
        <v>Sabasauros rex</v>
      </c>
      <c r="D19" s="226">
        <f>IFERROR(__xludf.DUMMYFUNCTION("""COMPUTED_VALUE"""),28.0)</f>
        <v>28</v>
      </c>
      <c r="E19" s="213"/>
      <c r="F19" s="227" t="str">
        <f>IFERROR(__xludf.DUMMYFUNCTION("""COMPUTED_VALUE"""),"GodSnipezX")</f>
        <v>GodSnipezX</v>
      </c>
      <c r="G19" s="228">
        <f>IFERROR(__xludf.DUMMYFUNCTION("""COMPUTED_VALUE"""),9.03954802259887)</f>
        <v>9.039548023</v>
      </c>
      <c r="H19" s="102"/>
      <c r="I19" s="213"/>
      <c r="J19" s="229" t="str">
        <f>IFERROR(__xludf.DUMMYFUNCTION("""COMPUTED_VALUE"""),"Dabb")</f>
        <v>Dabb</v>
      </c>
      <c r="K19" s="230">
        <f>IFERROR(__xludf.DUMMYFUNCTION("""COMPUTED_VALUE"""),0.033510192683607935)</f>
        <v>0.03351019268</v>
      </c>
      <c r="L19" s="194"/>
      <c r="M19" s="231" t="str">
        <f>IFERROR(__xludf.DUMMYFUNCTION("""COMPUTED_VALUE"""),"Judasey")</f>
        <v>Judasey</v>
      </c>
      <c r="N19" s="232">
        <f>IFERROR(__xludf.DUMMYFUNCTION("""COMPUTED_VALUE"""),1.1172873818788216)</f>
        <v>1.117287382</v>
      </c>
      <c r="O19" s="102"/>
      <c r="P19" s="7"/>
      <c r="Q19" s="7"/>
    </row>
    <row r="20">
      <c r="A20" s="7"/>
      <c r="B20" s="7"/>
      <c r="C20" s="225" t="str">
        <f>IFERROR(__xludf.DUMMYFUNCTION("""COMPUTED_VALUE"""),"ACE B S1lentND1")</f>
        <v>ACE B S1lentND1</v>
      </c>
      <c r="D20" s="226">
        <f>IFERROR(__xludf.DUMMYFUNCTION("""COMPUTED_VALUE"""),22.0)</f>
        <v>22</v>
      </c>
      <c r="E20" s="213"/>
      <c r="F20" s="227" t="str">
        <f>IFERROR(__xludf.DUMMYFUNCTION("""COMPUTED_VALUE"""),"Kgod Online")</f>
        <v>Kgod Online</v>
      </c>
      <c r="G20" s="228">
        <f>IFERROR(__xludf.DUMMYFUNCTION("""COMPUTED_VALUE"""),8.321167883211679)</f>
        <v>8.321167883</v>
      </c>
      <c r="H20" s="102"/>
      <c r="I20" s="213"/>
      <c r="J20" s="229" t="str">
        <f>IFERROR(__xludf.DUMMYFUNCTION("""COMPUTED_VALUE"""),"yLuxe")</f>
        <v>yLuxe</v>
      </c>
      <c r="K20" s="230">
        <f>IFERROR(__xludf.DUMMYFUNCTION("""COMPUTED_VALUE"""),0.033351862145636464)</f>
        <v>0.03335186215</v>
      </c>
      <c r="L20" s="194"/>
      <c r="M20" s="233" t="str">
        <f>IFERROR(__xludf.DUMMYFUNCTION("""COMPUTED_VALUE"""),"unbes")</f>
        <v>unbes</v>
      </c>
      <c r="N20" s="232">
        <f>IFERROR(__xludf.DUMMYFUNCTION("""COMPUTED_VALUE"""),1.0672595886603669)</f>
        <v>1.067259589</v>
      </c>
      <c r="O20" s="102"/>
      <c r="P20" s="7"/>
      <c r="Q20" s="7"/>
    </row>
    <row r="21">
      <c r="A21" s="7"/>
      <c r="B21" s="7"/>
      <c r="C21" s="225" t="str">
        <f>IFERROR(__xludf.DUMMYFUNCTION("""COMPUTED_VALUE"""),"Dabb")</f>
        <v>Dabb</v>
      </c>
      <c r="D21" s="226">
        <f>IFERROR(__xludf.DUMMYFUNCTION("""COMPUTED_VALUE"""),22.0)</f>
        <v>22</v>
      </c>
      <c r="E21" s="213"/>
      <c r="F21" s="227" t="str">
        <f>IFERROR(__xludf.DUMMYFUNCTION("""COMPUTED_VALUE"""),"SOULBENDERs")</f>
        <v>SOULBENDERs</v>
      </c>
      <c r="G21" s="228">
        <f>IFERROR(__xludf.DUMMYFUNCTION("""COMPUTED_VALUE"""),8.305084745762711)</f>
        <v>8.305084746</v>
      </c>
      <c r="H21" s="102"/>
      <c r="I21" s="213"/>
      <c r="J21" s="229" t="str">
        <f>IFERROR(__xludf.DUMMYFUNCTION("""COMPUTED_VALUE"""),"ACE B S1lentND1")</f>
        <v>ACE B S1lentND1</v>
      </c>
      <c r="K21" s="230">
        <f>IFERROR(__xludf.DUMMYFUNCTION("""COMPUTED_VALUE"""),0.012409513960703207)</f>
        <v>0.01240951396</v>
      </c>
      <c r="L21" s="234"/>
      <c r="M21" s="235" t="str">
        <f>IFERROR(__xludf.DUMMYFUNCTION("""COMPUTED_VALUE"""),"Genesiology")</f>
        <v>Genesiology</v>
      </c>
      <c r="N21" s="232">
        <f>IFERROR(__xludf.DUMMYFUNCTION("""COMPUTED_VALUE"""),0.8937823834196891)</f>
        <v>0.8937823834</v>
      </c>
      <c r="O21" s="102"/>
      <c r="P21" s="7"/>
      <c r="Q21" s="7"/>
    </row>
    <row r="22">
      <c r="A22" s="7"/>
      <c r="B22" s="7"/>
      <c r="C22" s="225" t="str">
        <f>IFERROR(__xludf.DUMMYFUNCTION("""COMPUTED_VALUE"""),"Vile")</f>
        <v>Vile</v>
      </c>
      <c r="D22" s="226">
        <f>IFERROR(__xludf.DUMMYFUNCTION("""COMPUTED_VALUE"""),22.0)</f>
        <v>22</v>
      </c>
      <c r="E22" s="213"/>
      <c r="F22" s="227" t="str">
        <f>IFERROR(__xludf.DUMMYFUNCTION("""COMPUTED_VALUE"""),"Finesse God24")</f>
        <v>Finesse God24</v>
      </c>
      <c r="G22" s="228">
        <f>IFERROR(__xludf.DUMMYFUNCTION("""COMPUTED_VALUE"""),8.164556962025317)</f>
        <v>8.164556962</v>
      </c>
      <c r="H22" s="102"/>
      <c r="I22" s="213"/>
      <c r="J22" s="229" t="str">
        <f>IFERROR(__xludf.DUMMYFUNCTION("""COMPUTED_VALUE"""),"Hells Angel cx")</f>
        <v>Hells Angel cx</v>
      </c>
      <c r="K22" s="230">
        <f>IFERROR(__xludf.DUMMYFUNCTION("""COMPUTED_VALUE"""),0.009715025906735751)</f>
        <v>0.009715025907</v>
      </c>
      <c r="L22" s="194"/>
      <c r="M22" s="231" t="str">
        <f>IFERROR(__xludf.DUMMYFUNCTION("""COMPUTED_VALUE"""),"GodSnipezX")</f>
        <v>GodSnipezX</v>
      </c>
      <c r="N22" s="232">
        <f>IFERROR(__xludf.DUMMYFUNCTION("""COMPUTED_VALUE"""),0.7909604519774012)</f>
        <v>0.790960452</v>
      </c>
      <c r="O22" s="102"/>
      <c r="P22" s="7"/>
      <c r="Q22" s="7"/>
    </row>
    <row r="23">
      <c r="A23" s="7"/>
      <c r="B23" s="7"/>
      <c r="C23" s="225" t="str">
        <f>IFERROR(__xludf.DUMMYFUNCTION("""COMPUTED_VALUE"""),"oDhmon")</f>
        <v>oDhmon</v>
      </c>
      <c r="D23" s="226">
        <f>IFERROR(__xludf.DUMMYFUNCTION("""COMPUTED_VALUE"""),19.0)</f>
        <v>19</v>
      </c>
      <c r="E23" s="213"/>
      <c r="F23" s="227" t="str">
        <f>IFERROR(__xludf.DUMMYFUNCTION("""COMPUTED_VALUE"""),"siIIy kids")</f>
        <v>siIIy kids</v>
      </c>
      <c r="G23" s="228">
        <f>IFERROR(__xludf.DUMMYFUNCTION("""COMPUTED_VALUE"""),7.9720279720279725)</f>
        <v>7.972027972</v>
      </c>
      <c r="H23" s="102"/>
      <c r="I23" s="213"/>
      <c r="J23" s="229" t="str">
        <f>IFERROR(__xludf.DUMMYFUNCTION("""COMPUTED_VALUE"""),"ADhillyy")</f>
        <v>ADhillyy</v>
      </c>
      <c r="K23" s="230">
        <f>IFERROR(__xludf.DUMMYFUNCTION("""COMPUTED_VALUE"""),0.0)</f>
        <v>0</v>
      </c>
      <c r="L23" s="194"/>
      <c r="M23" s="231" t="str">
        <f>IFERROR(__xludf.DUMMYFUNCTION("""COMPUTED_VALUE"""),"Yejis Aegyo")</f>
        <v>Yejis Aegyo</v>
      </c>
      <c r="N23" s="232">
        <f>IFERROR(__xludf.DUMMYFUNCTION("""COMPUTED_VALUE"""),0.7863571766935102)</f>
        <v>0.7863571767</v>
      </c>
      <c r="O23" s="102"/>
      <c r="P23" s="7"/>
      <c r="Q23" s="7"/>
    </row>
    <row r="24">
      <c r="A24" s="7"/>
      <c r="B24" s="7"/>
      <c r="C24" s="225" t="str">
        <f>IFERROR(__xludf.DUMMYFUNCTION("""COMPUTED_VALUE"""),"Genesiology")</f>
        <v>Genesiology</v>
      </c>
      <c r="D24" s="226">
        <f>IFERROR(__xludf.DUMMYFUNCTION("""COMPUTED_VALUE"""),17.0)</f>
        <v>17</v>
      </c>
      <c r="E24" s="213"/>
      <c r="F24" s="227" t="str">
        <f>IFERROR(__xludf.DUMMYFUNCTION("""COMPUTED_VALUE"""),"MoldyVolts")</f>
        <v>MoldyVolts</v>
      </c>
      <c r="G24" s="228">
        <f>IFERROR(__xludf.DUMMYFUNCTION("""COMPUTED_VALUE"""),7.866145154280748)</f>
        <v>7.866145154</v>
      </c>
      <c r="H24" s="102"/>
      <c r="I24" s="213"/>
      <c r="J24" s="229" t="str">
        <f>IFERROR(__xludf.DUMMYFUNCTION("""COMPUTED_VALUE"""),"Almighty Tycoon")</f>
        <v>Almighty Tycoon</v>
      </c>
      <c r="K24" s="230">
        <f>IFERROR(__xludf.DUMMYFUNCTION("""COMPUTED_VALUE"""),0.0)</f>
        <v>0</v>
      </c>
      <c r="L24" s="194"/>
      <c r="M24" s="231" t="str">
        <f>IFERROR(__xludf.DUMMYFUNCTION("""COMPUTED_VALUE"""),"Finesse God24")</f>
        <v>Finesse God24</v>
      </c>
      <c r="N24" s="232">
        <f>IFERROR(__xludf.DUMMYFUNCTION("""COMPUTED_VALUE"""),0.7405063291139241)</f>
        <v>0.7405063291</v>
      </c>
      <c r="O24" s="102"/>
      <c r="P24" s="7"/>
      <c r="Q24" s="7"/>
    </row>
    <row r="25">
      <c r="A25" s="7"/>
      <c r="B25" s="7"/>
      <c r="C25" s="225" t="str">
        <f>IFERROR(__xludf.DUMMYFUNCTION("""COMPUTED_VALUE"""),"HumanKite187")</f>
        <v>HumanKite187</v>
      </c>
      <c r="D25" s="226">
        <f>IFERROR(__xludf.DUMMYFUNCTION("""COMPUTED_VALUE"""),16.0)</f>
        <v>16</v>
      </c>
      <c r="E25" s="213"/>
      <c r="F25" s="227" t="str">
        <f>IFERROR(__xludf.DUMMYFUNCTION("""COMPUTED_VALUE"""),"Yaeqin")</f>
        <v>Yaeqin</v>
      </c>
      <c r="G25" s="228">
        <f>IFERROR(__xludf.DUMMYFUNCTION("""COMPUTED_VALUE"""),7.792642140468228)</f>
        <v>7.79264214</v>
      </c>
      <c r="H25" s="102"/>
      <c r="I25" s="213"/>
      <c r="J25" s="229" t="str">
        <f>IFERROR(__xludf.DUMMYFUNCTION("""COMPUTED_VALUE"""),"AwareMosquito")</f>
        <v>AwareMosquito</v>
      </c>
      <c r="K25" s="230">
        <f>IFERROR(__xludf.DUMMYFUNCTION("""COMPUTED_VALUE"""),0.0)</f>
        <v>0</v>
      </c>
      <c r="L25" s="194"/>
      <c r="M25" s="231" t="str">
        <f>IFERROR(__xludf.DUMMYFUNCTION("""COMPUTED_VALUE"""),"Itzreelz")</f>
        <v>Itzreelz</v>
      </c>
      <c r="N25" s="232">
        <f>IFERROR(__xludf.DUMMYFUNCTION("""COMPUTED_VALUE"""),0.7405063291139241)</f>
        <v>0.7405063291</v>
      </c>
      <c r="O25" s="102"/>
      <c r="P25" s="7"/>
      <c r="Q25" s="7"/>
    </row>
    <row r="26">
      <c r="A26" s="7"/>
      <c r="B26" s="7"/>
      <c r="C26" s="225" t="str">
        <f>IFERROR(__xludf.DUMMYFUNCTION("""COMPUTED_VALUE"""),"Impuritive")</f>
        <v>Impuritive</v>
      </c>
      <c r="D26" s="226">
        <f>IFERROR(__xludf.DUMMYFUNCTION("""COMPUTED_VALUE"""),16.0)</f>
        <v>16</v>
      </c>
      <c r="E26" s="213"/>
      <c r="F26" s="227" t="str">
        <f>IFERROR(__xludf.DUMMYFUNCTION("""COMPUTED_VALUE"""),"Judasey")</f>
        <v>Judasey</v>
      </c>
      <c r="G26" s="228">
        <f>IFERROR(__xludf.DUMMYFUNCTION("""COMPUTED_VALUE"""),7.770983879933296)</f>
        <v>7.77098388</v>
      </c>
      <c r="H26" s="102"/>
      <c r="I26" s="213"/>
      <c r="J26" s="229" t="str">
        <f>IFERROR(__xludf.DUMMYFUNCTION("""COMPUTED_VALUE"""),"Dat Twinkie")</f>
        <v>Dat Twinkie</v>
      </c>
      <c r="K26" s="230">
        <f>IFERROR(__xludf.DUMMYFUNCTION("""COMPUTED_VALUE"""),0.0)</f>
        <v>0</v>
      </c>
      <c r="L26" s="194"/>
      <c r="M26" s="231" t="str">
        <f>IFERROR(__xludf.DUMMYFUNCTION("""COMPUTED_VALUE"""),"MoldyVolts")</f>
        <v>MoldyVolts</v>
      </c>
      <c r="N26" s="232">
        <f>IFERROR(__xludf.DUMMYFUNCTION("""COMPUTED_VALUE"""),0.7301173402868318)</f>
        <v>0.7301173403</v>
      </c>
      <c r="O26" s="102"/>
      <c r="P26" s="7"/>
      <c r="Q26" s="7"/>
    </row>
    <row r="27">
      <c r="A27" s="7"/>
      <c r="B27" s="7"/>
      <c r="C27" s="236" t="str">
        <f>IFERROR(__xludf.DUMMYFUNCTION("""COMPUTED_VALUE"""),"Into Sublime")</f>
        <v>Into Sublime</v>
      </c>
      <c r="D27" s="237">
        <f>IFERROR(__xludf.DUMMYFUNCTION("""COMPUTED_VALUE"""),16.0)</f>
        <v>16</v>
      </c>
      <c r="E27" s="238"/>
      <c r="F27" s="239" t="str">
        <f>IFERROR(__xludf.DUMMYFUNCTION("""COMPUTED_VALUE"""),"Fanciest Pants")</f>
        <v>Fanciest Pants</v>
      </c>
      <c r="G27" s="240">
        <f>IFERROR(__xludf.DUMMYFUNCTION("""COMPUTED_VALUE"""),7.690589220888021)</f>
        <v>7.690589221</v>
      </c>
      <c r="H27" s="105"/>
      <c r="I27" s="238"/>
      <c r="J27" s="241" t="str">
        <f>IFERROR(__xludf.DUMMYFUNCTION("""COMPUTED_VALUE"""),"Dhlyn")</f>
        <v>Dhlyn</v>
      </c>
      <c r="K27" s="242">
        <f>IFERROR(__xludf.DUMMYFUNCTION("""COMPUTED_VALUE"""),0.0)</f>
        <v>0</v>
      </c>
      <c r="L27" s="243"/>
      <c r="M27" s="244" t="str">
        <f>IFERROR(__xludf.DUMMYFUNCTION("""COMPUTED_VALUE"""),"oDhmon")</f>
        <v>oDhmon</v>
      </c>
      <c r="N27" s="245">
        <f>IFERROR(__xludf.DUMMYFUNCTION("""COMPUTED_VALUE"""),0.7012195121951219)</f>
        <v>0.7012195122</v>
      </c>
      <c r="O27" s="105"/>
      <c r="P27" s="7"/>
      <c r="Q27" s="7"/>
    </row>
    <row r="28">
      <c r="A28" s="7"/>
      <c r="B28" s="7"/>
      <c r="C28" s="7"/>
      <c r="D28" s="7"/>
      <c r="E28" s="7"/>
      <c r="F28" s="7"/>
      <c r="G28" s="194"/>
      <c r="H28" s="194"/>
      <c r="I28" s="7"/>
      <c r="J28" s="7"/>
      <c r="K28" s="214"/>
      <c r="L28" s="214"/>
      <c r="M28" s="7"/>
      <c r="N28" s="7"/>
      <c r="O28" s="7"/>
      <c r="P28" s="7"/>
      <c r="Q28" s="7"/>
    </row>
    <row r="29">
      <c r="A29" s="7"/>
      <c r="B29" s="7"/>
      <c r="C29" s="246" t="str">
        <f>IFERROR(__xludf.DUMMYFUNCTION("Query(HEXASbaseINFO!A:Y,""Select A,S where A&lt;&gt;'' Order by S Desc Limit 10"")"),"Player")</f>
        <v>Player</v>
      </c>
      <c r="D29" s="247" t="str">
        <f>IFERROR(__xludf.DUMMYFUNCTION("""COMPUTED_VALUE"""),"k-d whores")</f>
        <v>k-d whores</v>
      </c>
      <c r="E29" s="217"/>
      <c r="F29" s="248" t="str">
        <f>IFERROR(__xludf.DUMMYFUNCTION("Query(HEXASbaseINFO!A:Y,""Select A,U where A&lt;&gt;'' Order by U Desc Limit 10"")"),"Player")</f>
        <v>Player</v>
      </c>
      <c r="G29" s="249" t="str">
        <f>IFERROR(__xludf.DUMMYFUNCTION("""COMPUTED_VALUE"""),"Spree King")</f>
        <v>Spree King</v>
      </c>
      <c r="H29" s="220"/>
      <c r="I29" s="217"/>
      <c r="J29" s="250" t="str">
        <f>IFERROR(__xludf.DUMMYFUNCTION("Query(HEXASbaseINFO!A:Y,""Select A,W where A&lt;&gt;'' Order by W Desc Limit 10"")"),"Player")</f>
        <v>Player</v>
      </c>
      <c r="K29" s="251" t="str">
        <f>IFERROR(__xludf.DUMMYFUNCTION("""COMPUTED_VALUE"""),"Helping Hands")</f>
        <v>Helping Hands</v>
      </c>
      <c r="L29" s="217"/>
      <c r="M29" s="252" t="str">
        <f>IFERROR(__xludf.DUMMYFUNCTION("Query(HEXASbaseINFO!A:Z,""Select A,Y where A&lt;&gt;'' Order by Y Desc Limit 10"")"),"Player")</f>
        <v>Player</v>
      </c>
      <c r="N29" s="253" t="str">
        <f>IFERROR(__xludf.DUMMYFUNCTION("""COMPUTED_VALUE"""),"Overrated")</f>
        <v>Overrated</v>
      </c>
      <c r="O29" s="220"/>
      <c r="P29" s="7"/>
      <c r="Q29" s="7"/>
    </row>
    <row r="30">
      <c r="A30" s="7"/>
      <c r="B30" s="7"/>
      <c r="C30" s="254" t="str">
        <f>IFERROR(__xludf.DUMMYFUNCTION("""COMPUTED_VALUE"""),"Genesiology")</f>
        <v>Genesiology</v>
      </c>
      <c r="D30" s="255">
        <f>IFERROR(__xludf.DUMMYFUNCTION("""COMPUTED_VALUE"""),1.680699481865285)</f>
        <v>1.680699482</v>
      </c>
      <c r="E30" s="213"/>
      <c r="F30" s="256" t="str">
        <f>IFERROR(__xludf.DUMMYFUNCTION("""COMPUTED_VALUE"""),"InfiniteRainge")</f>
        <v>InfiniteRainge</v>
      </c>
      <c r="G30" s="257">
        <f>IFERROR(__xludf.DUMMYFUNCTION("""COMPUTED_VALUE"""),0.14598540145985403)</f>
        <v>0.1459854015</v>
      </c>
      <c r="H30" s="102"/>
      <c r="I30" s="213"/>
      <c r="J30" s="258" t="str">
        <f>IFERROR(__xludf.DUMMYFUNCTION("""COMPUTED_VALUE"""),"Galvann")</f>
        <v>Galvann</v>
      </c>
      <c r="K30" s="259">
        <f>IFERROR(__xludf.DUMMYFUNCTION("""COMPUTED_VALUE"""),0.5144694533762058)</f>
        <v>0.5144694534</v>
      </c>
      <c r="L30" s="194"/>
      <c r="M30" s="260" t="str">
        <f>IFERROR(__xludf.DUMMYFUNCTION("""COMPUTED_VALUE"""),"Vile")</f>
        <v>Vile</v>
      </c>
      <c r="N30" s="261">
        <f>IFERROR(__xludf.DUMMYFUNCTION("""COMPUTED_VALUE"""),0.028846153846153848)</f>
        <v>0.02884615385</v>
      </c>
      <c r="O30" s="102"/>
      <c r="P30" s="7"/>
      <c r="Q30" s="7"/>
    </row>
    <row r="31">
      <c r="A31" s="7"/>
      <c r="B31" s="7"/>
      <c r="C31" s="254" t="str">
        <f>IFERROR(__xludf.DUMMYFUNCTION("""COMPUTED_VALUE"""),"Galvann")</f>
        <v>Galvann</v>
      </c>
      <c r="D31" s="255">
        <f>IFERROR(__xludf.DUMMYFUNCTION("""COMPUTED_VALUE"""),1.4790996784565915)</f>
        <v>1.479099678</v>
      </c>
      <c r="E31" s="213"/>
      <c r="F31" s="256" t="str">
        <f>IFERROR(__xludf.DUMMYFUNCTION("""COMPUTED_VALUE"""),"Genesiology")</f>
        <v>Genesiology</v>
      </c>
      <c r="G31" s="257">
        <f>IFERROR(__xludf.DUMMYFUNCTION("""COMPUTED_VALUE"""),0.1360103626943005)</f>
        <v>0.1360103627</v>
      </c>
      <c r="H31" s="102"/>
      <c r="I31" s="213"/>
      <c r="J31" s="258" t="str">
        <f>IFERROR(__xludf.DUMMYFUNCTION("""COMPUTED_VALUE"""),"Judasey")</f>
        <v>Judasey</v>
      </c>
      <c r="K31" s="259">
        <f>IFERROR(__xludf.DUMMYFUNCTION("""COMPUTED_VALUE"""),0.3835464146748193)</f>
        <v>0.3835464147</v>
      </c>
      <c r="L31" s="194"/>
      <c r="M31" s="260" t="str">
        <f>IFERROR(__xludf.DUMMYFUNCTION("""COMPUTED_VALUE"""),"Dhlyn")</f>
        <v>Dhlyn</v>
      </c>
      <c r="N31" s="261">
        <f>IFERROR(__xludf.DUMMYFUNCTION("""COMPUTED_VALUE"""),0.023809523809523808)</f>
        <v>0.02380952381</v>
      </c>
      <c r="O31" s="102"/>
      <c r="P31" s="7"/>
      <c r="Q31" s="7"/>
    </row>
    <row r="32">
      <c r="A32" s="7"/>
      <c r="B32" s="7"/>
      <c r="C32" s="254" t="str">
        <f>IFERROR(__xludf.DUMMYFUNCTION("""COMPUTED_VALUE"""),"Judasey")</f>
        <v>Judasey</v>
      </c>
      <c r="D32" s="255">
        <f>IFERROR(__xludf.DUMMYFUNCTION("""COMPUTED_VALUE"""),1.2340188993885493)</f>
        <v>1.234018899</v>
      </c>
      <c r="E32" s="213"/>
      <c r="F32" s="256" t="str">
        <f>IFERROR(__xludf.DUMMYFUNCTION("""COMPUTED_VALUE"""),"Dabb")</f>
        <v>Dabb</v>
      </c>
      <c r="G32" s="257">
        <f>IFERROR(__xludf.DUMMYFUNCTION("""COMPUTED_VALUE"""),0.13404077073443174)</f>
        <v>0.1340407707</v>
      </c>
      <c r="H32" s="102"/>
      <c r="I32" s="213"/>
      <c r="J32" s="258" t="str">
        <f>IFERROR(__xludf.DUMMYFUNCTION("""COMPUTED_VALUE"""),"Genesiology")</f>
        <v>Genesiology</v>
      </c>
      <c r="K32" s="259">
        <f>IFERROR(__xludf.DUMMYFUNCTION("""COMPUTED_VALUE"""),0.349740932642487)</f>
        <v>0.3497409326</v>
      </c>
      <c r="L32" s="194"/>
      <c r="M32" s="260" t="str">
        <f>IFERROR(__xludf.DUMMYFUNCTION("""COMPUTED_VALUE"""),"unbes")</f>
        <v>unbes</v>
      </c>
      <c r="N32" s="261">
        <f>IFERROR(__xludf.DUMMYFUNCTION("""COMPUTED_VALUE"""),0.020161290322580645)</f>
        <v>0.02016129032</v>
      </c>
      <c r="O32" s="102"/>
      <c r="P32" s="7"/>
      <c r="Q32" s="7"/>
    </row>
    <row r="33">
      <c r="A33" s="7"/>
      <c r="B33" s="7"/>
      <c r="C33" s="254" t="str">
        <f>IFERROR(__xludf.DUMMYFUNCTION("""COMPUTED_VALUE"""),"yLuxe")</f>
        <v>yLuxe</v>
      </c>
      <c r="D33" s="255">
        <f>IFERROR(__xludf.DUMMYFUNCTION("""COMPUTED_VALUE"""),1.2340188993885493)</f>
        <v>1.234018899</v>
      </c>
      <c r="E33" s="213"/>
      <c r="F33" s="256" t="str">
        <f>IFERROR(__xludf.DUMMYFUNCTION("""COMPUTED_VALUE"""),"yLuxe")</f>
        <v>yLuxe</v>
      </c>
      <c r="G33" s="257">
        <f>IFERROR(__xludf.DUMMYFUNCTION("""COMPUTED_VALUE"""),0.13340744858254586)</f>
        <v>0.1334074486</v>
      </c>
      <c r="H33" s="102"/>
      <c r="I33" s="213"/>
      <c r="J33" s="258" t="str">
        <f>IFERROR(__xludf.DUMMYFUNCTION("""COMPUTED_VALUE"""),"Almighty Tycoon")</f>
        <v>Almighty Tycoon</v>
      </c>
      <c r="K33" s="259">
        <f>IFERROR(__xludf.DUMMYFUNCTION("""COMPUTED_VALUE"""),0.32967032967032966)</f>
        <v>0.3296703297</v>
      </c>
      <c r="L33" s="194"/>
      <c r="M33" s="260" t="str">
        <f>IFERROR(__xludf.DUMMYFUNCTION("""COMPUTED_VALUE"""),"Genesiology")</f>
        <v>Genesiology</v>
      </c>
      <c r="N33" s="261">
        <f>IFERROR(__xludf.DUMMYFUNCTION("""COMPUTED_VALUE"""),0.016706443914081145)</f>
        <v>0.01670644391</v>
      </c>
      <c r="O33" s="102"/>
      <c r="P33" s="7"/>
      <c r="Q33" s="7"/>
    </row>
    <row r="34">
      <c r="A34" s="7"/>
      <c r="B34" s="7"/>
      <c r="C34" s="254" t="str">
        <f>IFERROR(__xludf.DUMMYFUNCTION("""COMPUTED_VALUE"""),"unbes")</f>
        <v>unbes</v>
      </c>
      <c r="D34" s="255">
        <f>IFERROR(__xludf.DUMMYFUNCTION("""COMPUTED_VALUE"""),1.1673151750972763)</f>
        <v>1.167315175</v>
      </c>
      <c r="E34" s="213"/>
      <c r="F34" s="256" t="str">
        <f>IFERROR(__xludf.DUMMYFUNCTION("""COMPUTED_VALUE"""),"Dat Twinkie")</f>
        <v>Dat Twinkie</v>
      </c>
      <c r="G34" s="257">
        <f>IFERROR(__xludf.DUMMYFUNCTION("""COMPUTED_VALUE"""),0.13186813186813187)</f>
        <v>0.1318681319</v>
      </c>
      <c r="H34" s="102"/>
      <c r="I34" s="213"/>
      <c r="J34" s="258" t="str">
        <f>IFERROR(__xludf.DUMMYFUNCTION("""COMPUTED_VALUE"""),"Itzreelz")</f>
        <v>Itzreelz</v>
      </c>
      <c r="K34" s="259">
        <f>IFERROR(__xludf.DUMMYFUNCTION("""COMPUTED_VALUE"""),0.3227848101265823)</f>
        <v>0.3227848101</v>
      </c>
      <c r="L34" s="194"/>
      <c r="M34" s="260" t="str">
        <f>IFERROR(__xludf.DUMMYFUNCTION("""COMPUTED_VALUE"""),"Itzreelz")</f>
        <v>Itzreelz</v>
      </c>
      <c r="N34" s="261">
        <f>IFERROR(__xludf.DUMMYFUNCTION("""COMPUTED_VALUE"""),0.016216216216216217)</f>
        <v>0.01621621622</v>
      </c>
      <c r="O34" s="102"/>
      <c r="P34" s="7"/>
      <c r="Q34" s="7"/>
    </row>
    <row r="35">
      <c r="A35" s="7"/>
      <c r="B35" s="7"/>
      <c r="C35" s="254" t="str">
        <f>IFERROR(__xludf.DUMMYFUNCTION("""COMPUTED_VALUE"""),"ACE B S1lentND1")</f>
        <v>ACE B S1lentND1</v>
      </c>
      <c r="D35" s="255">
        <f>IFERROR(__xludf.DUMMYFUNCTION("""COMPUTED_VALUE"""),1.0920372285418822)</f>
        <v>1.092037229</v>
      </c>
      <c r="E35" s="213"/>
      <c r="F35" s="256" t="str">
        <f>IFERROR(__xludf.DUMMYFUNCTION("""COMPUTED_VALUE"""),"ACE B S1lentND1")</f>
        <v>ACE B S1lentND1</v>
      </c>
      <c r="G35" s="257">
        <f>IFERROR(__xludf.DUMMYFUNCTION("""COMPUTED_VALUE"""),0.11168562564632886)</f>
        <v>0.1116856256</v>
      </c>
      <c r="H35" s="102"/>
      <c r="I35" s="213"/>
      <c r="J35" s="258" t="str">
        <f>IFERROR(__xludf.DUMMYFUNCTION("""COMPUTED_VALUE"""),"L1ght5aber")</f>
        <v>L1ght5aber</v>
      </c>
      <c r="K35" s="259">
        <f>IFERROR(__xludf.DUMMYFUNCTION("""COMPUTED_VALUE"""),0.3159003159003159)</f>
        <v>0.3159003159</v>
      </c>
      <c r="L35" s="194"/>
      <c r="M35" s="260" t="str">
        <f>IFERROR(__xludf.DUMMYFUNCTION("""COMPUTED_VALUE"""),"Judasey")</f>
        <v>Judasey</v>
      </c>
      <c r="N35" s="261">
        <f>IFERROR(__xludf.DUMMYFUNCTION("""COMPUTED_VALUE"""),0.016194331983805668)</f>
        <v>0.01619433198</v>
      </c>
      <c r="O35" s="102"/>
      <c r="P35" s="7"/>
      <c r="Q35" s="7"/>
    </row>
    <row r="36">
      <c r="A36" s="7"/>
      <c r="B36" s="7"/>
      <c r="C36" s="254" t="str">
        <f>IFERROR(__xludf.DUMMYFUNCTION("""COMPUTED_VALUE"""),"oDhmon")</f>
        <v>oDhmon</v>
      </c>
      <c r="D36" s="255">
        <f>IFERROR(__xludf.DUMMYFUNCTION("""COMPUTED_VALUE"""),1.0670731707317072)</f>
        <v>1.067073171</v>
      </c>
      <c r="E36" s="213"/>
      <c r="F36" s="256" t="str">
        <f>IFERROR(__xludf.DUMMYFUNCTION("""COMPUTED_VALUE"""),"Vile")</f>
        <v>Vile</v>
      </c>
      <c r="G36" s="257">
        <f>IFERROR(__xludf.DUMMYFUNCTION("""COMPUTED_VALUE"""),0.10709070257991238)</f>
        <v>0.1070907026</v>
      </c>
      <c r="H36" s="102"/>
      <c r="I36" s="213"/>
      <c r="J36" s="258" t="str">
        <f>IFERROR(__xludf.DUMMYFUNCTION("""COMPUTED_VALUE"""),"InfiniteRainge")</f>
        <v>InfiniteRainge</v>
      </c>
      <c r="K36" s="259">
        <f>IFERROR(__xludf.DUMMYFUNCTION("""COMPUTED_VALUE"""),0.29197080291970806)</f>
        <v>0.2919708029</v>
      </c>
      <c r="L36" s="194"/>
      <c r="M36" s="260" t="str">
        <f>IFERROR(__xludf.DUMMYFUNCTION("""COMPUTED_VALUE"""),"Galvann")</f>
        <v>Galvann</v>
      </c>
      <c r="N36" s="261">
        <f>IFERROR(__xludf.DUMMYFUNCTION("""COMPUTED_VALUE"""),0.013157894736842105)</f>
        <v>0.01315789474</v>
      </c>
      <c r="O36" s="102"/>
      <c r="P36" s="7"/>
      <c r="Q36" s="7"/>
    </row>
    <row r="37">
      <c r="A37" s="7"/>
      <c r="B37" s="7"/>
      <c r="C37" s="254" t="str">
        <f>IFERROR(__xludf.DUMMYFUNCTION("""COMPUTED_VALUE"""),"Vile")</f>
        <v>Vile</v>
      </c>
      <c r="D37" s="255">
        <f>IFERROR(__xludf.DUMMYFUNCTION("""COMPUTED_VALUE"""),1.0417004705500568)</f>
        <v>1.041700471</v>
      </c>
      <c r="E37" s="213"/>
      <c r="F37" s="256" t="str">
        <f>IFERROR(__xludf.DUMMYFUNCTION("""COMPUTED_VALUE"""),"oDhmon")</f>
        <v>oDhmon</v>
      </c>
      <c r="G37" s="257">
        <f>IFERROR(__xludf.DUMMYFUNCTION("""COMPUTED_VALUE"""),0.1016260162601626)</f>
        <v>0.1016260163</v>
      </c>
      <c r="H37" s="102"/>
      <c r="I37" s="213"/>
      <c r="J37" s="258" t="str">
        <f>IFERROR(__xludf.DUMMYFUNCTION("""COMPUTED_VALUE"""),"MoldyVolts")</f>
        <v>MoldyVolts</v>
      </c>
      <c r="K37" s="259">
        <f>IFERROR(__xludf.DUMMYFUNCTION("""COMPUTED_VALUE"""),0.27813993915688834)</f>
        <v>0.2781399392</v>
      </c>
      <c r="L37" s="194"/>
      <c r="M37" s="260" t="str">
        <f>IFERROR(__xludf.DUMMYFUNCTION("""COMPUTED_VALUE"""),"MoldyVolts")</f>
        <v>MoldyVolts</v>
      </c>
      <c r="N37" s="261">
        <f>IFERROR(__xludf.DUMMYFUNCTION("""COMPUTED_VALUE"""),0.012953367875647668)</f>
        <v>0.01295336788</v>
      </c>
      <c r="O37" s="102"/>
      <c r="P37" s="7"/>
      <c r="Q37" s="7"/>
    </row>
    <row r="38">
      <c r="A38" s="7"/>
      <c r="B38" s="7"/>
      <c r="C38" s="254" t="str">
        <f>IFERROR(__xludf.DUMMYFUNCTION("""COMPUTED_VALUE"""),"Dabb")</f>
        <v>Dabb</v>
      </c>
      <c r="D38" s="255">
        <f>IFERROR(__xludf.DUMMYFUNCTION("""COMPUTED_VALUE"""),0.7539793353811785)</f>
        <v>0.7539793354</v>
      </c>
      <c r="E38" s="213"/>
      <c r="F38" s="256" t="str">
        <f>IFERROR(__xludf.DUMMYFUNCTION("""COMPUTED_VALUE"""),"Impuritive")</f>
        <v>Impuritive</v>
      </c>
      <c r="G38" s="257">
        <f>IFERROR(__xludf.DUMMYFUNCTION("""COMPUTED_VALUE"""),0.0949367088607595)</f>
        <v>0.09493670886</v>
      </c>
      <c r="H38" s="102"/>
      <c r="I38" s="213"/>
      <c r="J38" s="258" t="str">
        <f>IFERROR(__xludf.DUMMYFUNCTION("""COMPUTED_VALUE"""),"Yejis Aegyo")</f>
        <v>Yejis Aegyo</v>
      </c>
      <c r="K38" s="259">
        <f>IFERROR(__xludf.DUMMYFUNCTION("""COMPUTED_VALUE"""),0.27475130270014214)</f>
        <v>0.2747513027</v>
      </c>
      <c r="L38" s="194"/>
      <c r="M38" s="260" t="str">
        <f>IFERROR(__xludf.DUMMYFUNCTION("""COMPUTED_VALUE"""),"Sabasauros rex")</f>
        <v>Sabasauros rex</v>
      </c>
      <c r="N38" s="261">
        <f>IFERROR(__xludf.DUMMYFUNCTION("""COMPUTED_VALUE"""),0.012096774193548387)</f>
        <v>0.01209677419</v>
      </c>
      <c r="O38" s="102"/>
      <c r="P38" s="7"/>
      <c r="Q38" s="7"/>
    </row>
    <row r="39">
      <c r="A39" s="7"/>
      <c r="B39" s="7"/>
      <c r="C39" s="262" t="str">
        <f>IFERROR(__xludf.DUMMYFUNCTION("""COMPUTED_VALUE"""),"Rage More Nerd")</f>
        <v>Rage More Nerd</v>
      </c>
      <c r="D39" s="263">
        <f>IFERROR(__xludf.DUMMYFUNCTION("""COMPUTED_VALUE"""),0.6096528365791701)</f>
        <v>0.6096528366</v>
      </c>
      <c r="E39" s="238"/>
      <c r="F39" s="264" t="str">
        <f>IFERROR(__xludf.DUMMYFUNCTION("""COMPUTED_VALUE"""),"HumanKite187")</f>
        <v>HumanKite187</v>
      </c>
      <c r="G39" s="265">
        <f>IFERROR(__xludf.DUMMYFUNCTION("""COMPUTED_VALUE"""),0.0847457627118644)</f>
        <v>0.08474576271</v>
      </c>
      <c r="H39" s="105"/>
      <c r="I39" s="238"/>
      <c r="J39" s="266" t="str">
        <f>IFERROR(__xludf.DUMMYFUNCTION("""COMPUTED_VALUE"""),"NOPLEX")</f>
        <v>NOPLEX</v>
      </c>
      <c r="K39" s="267">
        <f>IFERROR(__xludf.DUMMYFUNCTION("""COMPUTED_VALUE"""),0.2680815414688635)</f>
        <v>0.2680815415</v>
      </c>
      <c r="L39" s="243"/>
      <c r="M39" s="268" t="str">
        <f>IFERROR(__xludf.DUMMYFUNCTION("""COMPUTED_VALUE"""),"Mhurcy")</f>
        <v>Mhurcy</v>
      </c>
      <c r="N39" s="269">
        <f>IFERROR(__xludf.DUMMYFUNCTION("""COMPUTED_VALUE"""),0.01098901098901099)</f>
        <v>0.01098901099</v>
      </c>
      <c r="O39" s="105"/>
      <c r="P39" s="7"/>
      <c r="Q39" s="7"/>
    </row>
    <row r="40">
      <c r="A40" s="7"/>
      <c r="B40" s="7"/>
      <c r="C40" s="7"/>
      <c r="D40" s="7"/>
      <c r="E40" s="7"/>
      <c r="F40" s="7"/>
      <c r="G40" s="7"/>
      <c r="H40" s="7"/>
      <c r="I40" s="208"/>
      <c r="J40" s="7"/>
      <c r="K40" s="7"/>
      <c r="L40" s="7"/>
      <c r="M40" s="7"/>
      <c r="N40" s="7"/>
      <c r="O40" s="7"/>
      <c r="P40" s="7"/>
      <c r="Q40" s="7"/>
    </row>
    <row r="41">
      <c r="A41" s="7"/>
      <c r="B41" s="7"/>
      <c r="C41" s="7"/>
      <c r="D41" s="7"/>
      <c r="E41" s="7"/>
      <c r="F41" s="7"/>
      <c r="G41" s="7"/>
      <c r="H41" s="270" t="str">
        <f>IFERROR(__xludf.DUMMYFUNCTION("Query(HEXASbaseINFO!A:Z,""Select A,Z where A&lt;&gt;'' Order by Z Desc Limit 10"")"),"Player")</f>
        <v>Player</v>
      </c>
      <c r="I41" s="271" t="str">
        <f>IFERROR(__xludf.DUMMYFUNCTION("""COMPUTED_VALUE"""),"6-S HEXAS")</f>
        <v>6-S HEXAS</v>
      </c>
      <c r="J41" s="220"/>
      <c r="K41" s="7"/>
      <c r="L41" s="7"/>
      <c r="M41" s="7"/>
      <c r="N41" s="7"/>
      <c r="O41" s="7"/>
      <c r="P41" s="7"/>
      <c r="Q41" s="7"/>
    </row>
    <row r="42">
      <c r="A42" s="7"/>
      <c r="B42" s="7"/>
      <c r="C42" s="7"/>
      <c r="D42" s="7"/>
      <c r="E42" s="7"/>
      <c r="F42" s="7"/>
      <c r="G42" s="7"/>
      <c r="H42" s="272" t="str">
        <f>IFERROR(__xludf.DUMMYFUNCTION("""COMPUTED_VALUE"""),"yLuxe")</f>
        <v>yLuxe</v>
      </c>
      <c r="I42" s="273">
        <f>IFERROR(__xludf.DUMMYFUNCTION("""COMPUTED_VALUE"""),2.417620900500278)</f>
        <v>2.417620901</v>
      </c>
      <c r="J42" s="102"/>
      <c r="K42" s="7"/>
      <c r="L42" s="7"/>
      <c r="M42" s="74" t="s">
        <v>291</v>
      </c>
    </row>
    <row r="43">
      <c r="A43" s="7"/>
      <c r="B43" s="7"/>
      <c r="C43" s="7"/>
      <c r="D43" s="7"/>
      <c r="E43" s="7"/>
      <c r="F43" s="7"/>
      <c r="G43" s="7"/>
      <c r="H43" s="272" t="str">
        <f>IFERROR(__xludf.DUMMYFUNCTION("""COMPUTED_VALUE"""),"Genesiology")</f>
        <v>Genesiology</v>
      </c>
      <c r="I43" s="273">
        <f>IFERROR(__xludf.DUMMYFUNCTION("""COMPUTED_VALUE"""),2.4010362694300516)</f>
        <v>2.401036269</v>
      </c>
      <c r="J43" s="102"/>
      <c r="K43" s="7"/>
      <c r="L43" s="7"/>
      <c r="M43" s="274" t="s">
        <v>292</v>
      </c>
      <c r="N43" s="275" t="s">
        <v>293</v>
      </c>
    </row>
    <row r="44">
      <c r="A44" s="7"/>
      <c r="B44" s="7"/>
      <c r="C44" s="7"/>
      <c r="D44" s="7"/>
      <c r="E44" s="7"/>
      <c r="F44" s="7"/>
      <c r="G44" s="7"/>
      <c r="H44" s="272" t="str">
        <f>IFERROR(__xludf.DUMMYFUNCTION("""COMPUTED_VALUE"""),"Galvann")</f>
        <v>Galvann</v>
      </c>
      <c r="I44" s="273">
        <f>IFERROR(__xludf.DUMMYFUNCTION("""COMPUTED_VALUE"""),2.2508038585209)</f>
        <v>2.250803859</v>
      </c>
      <c r="J44" s="102"/>
      <c r="K44" s="7"/>
      <c r="L44" s="7"/>
      <c r="M44" s="274" t="s">
        <v>294</v>
      </c>
      <c r="N44" s="275" t="s">
        <v>295</v>
      </c>
    </row>
    <row r="45">
      <c r="A45" s="7"/>
      <c r="B45" s="7"/>
      <c r="C45" s="7"/>
      <c r="D45" s="7"/>
      <c r="E45" s="7"/>
      <c r="F45" s="7"/>
      <c r="G45" s="7"/>
      <c r="H45" s="272" t="str">
        <f>IFERROR(__xludf.DUMMYFUNCTION("""COMPUTED_VALUE"""),"Judasey")</f>
        <v>Judasey</v>
      </c>
      <c r="I45" s="273">
        <f>IFERROR(__xludf.DUMMYFUNCTION("""COMPUTED_VALUE"""),2.2177876598110062)</f>
        <v>2.21778766</v>
      </c>
      <c r="J45" s="102"/>
      <c r="K45" s="7"/>
      <c r="L45" s="7"/>
      <c r="M45" s="274" t="s">
        <v>128</v>
      </c>
      <c r="N45" s="275" t="s">
        <v>296</v>
      </c>
    </row>
    <row r="46">
      <c r="A46" s="7"/>
      <c r="B46" s="7"/>
      <c r="C46" s="7"/>
      <c r="D46" s="7"/>
      <c r="E46" s="7"/>
      <c r="F46" s="7"/>
      <c r="G46" s="7"/>
      <c r="H46" s="276" t="str">
        <f>IFERROR(__xludf.DUMMYFUNCTION("""COMPUTED_VALUE"""),"unbes")</f>
        <v>unbes</v>
      </c>
      <c r="I46" s="277">
        <f>IFERROR(__xludf.DUMMYFUNCTION("""COMPUTED_VALUE"""),2.1178154530294604)</f>
        <v>2.117815453</v>
      </c>
      <c r="J46" s="102"/>
      <c r="K46" s="7"/>
      <c r="L46" s="7"/>
      <c r="M46" s="274" t="s">
        <v>130</v>
      </c>
      <c r="N46" s="278" t="s">
        <v>297</v>
      </c>
    </row>
    <row r="47">
      <c r="A47" s="7"/>
      <c r="B47" s="7"/>
      <c r="C47" s="279"/>
      <c r="D47" s="7"/>
      <c r="E47" s="7"/>
      <c r="F47" s="7"/>
      <c r="G47" s="7"/>
      <c r="H47" s="272" t="str">
        <f>IFERROR(__xludf.DUMMYFUNCTION("""COMPUTED_VALUE"""),"Vile")</f>
        <v>Vile</v>
      </c>
      <c r="I47" s="273">
        <f>IFERROR(__xludf.DUMMYFUNCTION("""COMPUTED_VALUE"""),2.100751798366596)</f>
        <v>2.100751798</v>
      </c>
      <c r="J47" s="102"/>
      <c r="K47" s="7"/>
      <c r="L47" s="7"/>
    </row>
    <row r="48">
      <c r="A48" s="7"/>
      <c r="B48" s="7"/>
      <c r="C48" s="7"/>
      <c r="D48" s="7"/>
      <c r="E48" s="7"/>
      <c r="F48" s="7"/>
      <c r="G48" s="7"/>
      <c r="H48" s="272" t="str">
        <f>IFERROR(__xludf.DUMMYFUNCTION("""COMPUTED_VALUE"""),"oDhmon")</f>
        <v>oDhmon</v>
      </c>
      <c r="I48" s="273">
        <f>IFERROR(__xludf.DUMMYFUNCTION("""COMPUTED_VALUE"""),1.846341463414634)</f>
        <v>1.846341463</v>
      </c>
      <c r="J48" s="102"/>
      <c r="K48" s="7"/>
      <c r="L48" s="7"/>
      <c r="M48" s="274" t="s">
        <v>298</v>
      </c>
      <c r="N48" s="280" t="s">
        <v>299</v>
      </c>
    </row>
    <row r="49">
      <c r="A49" s="7"/>
      <c r="B49" s="7"/>
      <c r="C49" s="7"/>
      <c r="D49" s="7"/>
      <c r="E49" s="7"/>
      <c r="F49" s="7"/>
      <c r="G49" s="7"/>
      <c r="H49" s="272" t="str">
        <f>IFERROR(__xludf.DUMMYFUNCTION("""COMPUTED_VALUE"""),"ACE B S1lentND1")</f>
        <v>ACE B S1lentND1</v>
      </c>
      <c r="I49" s="273">
        <f>IFERROR(__xludf.DUMMYFUNCTION("""COMPUTED_VALUE"""),1.8380558428128233)</f>
        <v>1.838055843</v>
      </c>
      <c r="J49" s="102"/>
      <c r="K49" s="7"/>
      <c r="L49" s="7"/>
      <c r="M49" s="274" t="s">
        <v>127</v>
      </c>
      <c r="N49" s="280" t="s">
        <v>300</v>
      </c>
    </row>
    <row r="50">
      <c r="A50" s="7"/>
      <c r="B50" s="7"/>
      <c r="C50" s="7"/>
      <c r="D50" s="7"/>
      <c r="E50" s="7"/>
      <c r="F50" s="7"/>
      <c r="G50" s="7"/>
      <c r="H50" s="272" t="str">
        <f>IFERROR(__xludf.DUMMYFUNCTION("""COMPUTED_VALUE"""),"Dabb")</f>
        <v>Dabb</v>
      </c>
      <c r="I50" s="273">
        <f>IFERROR(__xludf.DUMMYFUNCTION("""COMPUTED_VALUE"""),1.5728567439262777)</f>
        <v>1.572856744</v>
      </c>
      <c r="J50" s="102"/>
      <c r="K50" s="7"/>
      <c r="L50" s="7"/>
      <c r="M50" s="274" t="s">
        <v>129</v>
      </c>
      <c r="N50" s="280" t="s">
        <v>301</v>
      </c>
    </row>
    <row r="51">
      <c r="A51" s="7"/>
      <c r="B51" s="7"/>
      <c r="C51" s="7"/>
      <c r="D51" s="7"/>
      <c r="E51" s="7"/>
      <c r="F51" s="7"/>
      <c r="G51" s="7"/>
      <c r="H51" s="281" t="str">
        <f>IFERROR(__xludf.DUMMYFUNCTION("""COMPUTED_VALUE"""),"Sabasauros rex")</f>
        <v>Sabasauros rex</v>
      </c>
      <c r="I51" s="282">
        <f>IFERROR(__xludf.DUMMYFUNCTION("""COMPUTED_VALUE"""),1.25619295958279)</f>
        <v>1.25619296</v>
      </c>
      <c r="J51" s="105"/>
      <c r="K51" s="7"/>
      <c r="L51" s="7"/>
      <c r="M51" s="274" t="s">
        <v>302</v>
      </c>
      <c r="N51" s="280" t="s">
        <v>303</v>
      </c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274" t="s">
        <v>131</v>
      </c>
      <c r="N52" s="280" t="s">
        <v>304</v>
      </c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</sheetData>
  <mergeCells count="97">
    <mergeCell ref="N22:O22"/>
    <mergeCell ref="N23:O23"/>
    <mergeCell ref="N24:O24"/>
    <mergeCell ref="N25:O25"/>
    <mergeCell ref="N26:O26"/>
    <mergeCell ref="N27:O27"/>
    <mergeCell ref="N29:O29"/>
    <mergeCell ref="N30:O30"/>
    <mergeCell ref="N31:O31"/>
    <mergeCell ref="N34:O34"/>
    <mergeCell ref="N35:O35"/>
    <mergeCell ref="N36:O36"/>
    <mergeCell ref="N37:O37"/>
    <mergeCell ref="N38:O38"/>
    <mergeCell ref="N48:Q48"/>
    <mergeCell ref="N49:Q49"/>
    <mergeCell ref="N50:Q50"/>
    <mergeCell ref="N51:Q51"/>
    <mergeCell ref="N52:Q52"/>
    <mergeCell ref="N39:O39"/>
    <mergeCell ref="M42:Q42"/>
    <mergeCell ref="N43:Q43"/>
    <mergeCell ref="N44:Q44"/>
    <mergeCell ref="N45:Q45"/>
    <mergeCell ref="M46:M47"/>
    <mergeCell ref="N46:Q47"/>
    <mergeCell ref="G23:H23"/>
    <mergeCell ref="G24:H24"/>
    <mergeCell ref="G25:H25"/>
    <mergeCell ref="G26:H26"/>
    <mergeCell ref="G27:H27"/>
    <mergeCell ref="G29:H29"/>
    <mergeCell ref="G30:H30"/>
    <mergeCell ref="G33:H33"/>
    <mergeCell ref="G34:H34"/>
    <mergeCell ref="G35:H35"/>
    <mergeCell ref="G36:H36"/>
    <mergeCell ref="G37:H37"/>
    <mergeCell ref="G38:H38"/>
    <mergeCell ref="G39:H39"/>
    <mergeCell ref="I48:J48"/>
    <mergeCell ref="I49:J49"/>
    <mergeCell ref="I50:J50"/>
    <mergeCell ref="I51:J51"/>
    <mergeCell ref="I41:J41"/>
    <mergeCell ref="I42:J42"/>
    <mergeCell ref="I43:J43"/>
    <mergeCell ref="I44:J44"/>
    <mergeCell ref="I45:J45"/>
    <mergeCell ref="I46:J46"/>
    <mergeCell ref="I47:J47"/>
    <mergeCell ref="A1:Q1"/>
    <mergeCell ref="D2:E2"/>
    <mergeCell ref="I2:J2"/>
    <mergeCell ref="M2:O2"/>
    <mergeCell ref="D3:E3"/>
    <mergeCell ref="M3:O4"/>
    <mergeCell ref="D4:E4"/>
    <mergeCell ref="D7:E7"/>
    <mergeCell ref="D9:E9"/>
    <mergeCell ref="D10:E10"/>
    <mergeCell ref="D11:E11"/>
    <mergeCell ref="D12:E12"/>
    <mergeCell ref="D13:E13"/>
    <mergeCell ref="D14:E14"/>
    <mergeCell ref="D5:E5"/>
    <mergeCell ref="I5:J5"/>
    <mergeCell ref="D6:E6"/>
    <mergeCell ref="I6:J6"/>
    <mergeCell ref="M6:O6"/>
    <mergeCell ref="I7:J7"/>
    <mergeCell ref="M7:O7"/>
    <mergeCell ref="I3:J3"/>
    <mergeCell ref="I4:J4"/>
    <mergeCell ref="I9:J9"/>
    <mergeCell ref="I10:J10"/>
    <mergeCell ref="I11:J11"/>
    <mergeCell ref="I12:J12"/>
    <mergeCell ref="I13:J13"/>
    <mergeCell ref="M10:O10"/>
    <mergeCell ref="M13:O13"/>
    <mergeCell ref="N17:O17"/>
    <mergeCell ref="N18:O18"/>
    <mergeCell ref="N19:O19"/>
    <mergeCell ref="N20:O20"/>
    <mergeCell ref="N21:O21"/>
    <mergeCell ref="I14:J14"/>
    <mergeCell ref="G17:H17"/>
    <mergeCell ref="G18:H18"/>
    <mergeCell ref="G19:H19"/>
    <mergeCell ref="G20:H20"/>
    <mergeCell ref="G21:H21"/>
    <mergeCell ref="G22:H22"/>
    <mergeCell ref="G31:H31"/>
    <mergeCell ref="G32:H32"/>
    <mergeCell ref="N32:O32"/>
    <mergeCell ref="N33:O3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63"/>
    <col customWidth="1" min="2" max="2" width="5.25"/>
    <col customWidth="1" min="3" max="3" width="11.88"/>
    <col customWidth="1" min="4" max="4" width="12.25"/>
    <col customWidth="1" min="5" max="5" width="5.0"/>
    <col customWidth="1" min="6" max="6" width="5.88"/>
    <col customWidth="1" min="7" max="7" width="5.63"/>
    <col customWidth="1" min="8" max="8" width="4.5"/>
    <col customWidth="1" min="9" max="9" width="6.88"/>
    <col customWidth="1" min="10" max="10" width="6.5"/>
    <col customWidth="1" min="11" max="11" width="6.63"/>
    <col customWidth="1" min="12" max="12" width="6.13"/>
    <col customWidth="1" min="13" max="13" width="8.5"/>
    <col customWidth="1" min="14" max="14" width="8.88"/>
    <col customWidth="1" min="15" max="15" width="9.5"/>
    <col customWidth="1" min="16" max="16" width="10.5"/>
    <col customWidth="1" min="17" max="17" width="11.63"/>
    <col customWidth="1" min="18" max="18" width="12.88"/>
    <col customWidth="1" min="19" max="19" width="11.88"/>
    <col customWidth="1" min="20" max="20" width="9.38"/>
    <col customWidth="1" min="21" max="21" width="11.63"/>
    <col customWidth="1" min="22" max="22" width="10.13"/>
    <col customWidth="1" min="23" max="23" width="9.0"/>
    <col customWidth="1" min="24" max="24" width="8.0"/>
    <col customWidth="1" min="25" max="25" width="10.0"/>
    <col customWidth="1" min="26" max="26" width="10.13"/>
    <col customWidth="1" min="27" max="27" width="11.88"/>
    <col customWidth="1" min="28" max="28" width="11.13"/>
    <col customWidth="1" min="29" max="29" width="12.63"/>
    <col customWidth="1" min="30" max="30" width="9.0"/>
    <col customWidth="1" min="31" max="31" width="7.63"/>
    <col customWidth="1" min="32" max="32" width="8.25"/>
    <col customWidth="1" min="33" max="34" width="13.25"/>
    <col customWidth="1" hidden="1" min="35" max="35" width="10.0"/>
  </cols>
  <sheetData>
    <row r="1">
      <c r="A1" s="283" t="s">
        <v>62</v>
      </c>
      <c r="B1" s="283" t="s">
        <v>305</v>
      </c>
      <c r="C1" s="283" t="s">
        <v>117</v>
      </c>
      <c r="D1" s="283" t="s">
        <v>306</v>
      </c>
      <c r="E1" s="283" t="s">
        <v>307</v>
      </c>
      <c r="F1" s="283" t="s">
        <v>308</v>
      </c>
      <c r="G1" s="283" t="s">
        <v>20</v>
      </c>
      <c r="H1" s="283" t="s">
        <v>21</v>
      </c>
      <c r="I1" s="283" t="s">
        <v>22</v>
      </c>
      <c r="J1" s="283" t="s">
        <v>23</v>
      </c>
      <c r="K1" s="283" t="s">
        <v>24</v>
      </c>
      <c r="L1" s="283" t="s">
        <v>25</v>
      </c>
      <c r="M1" s="283" t="s">
        <v>26</v>
      </c>
      <c r="N1" s="283" t="s">
        <v>27</v>
      </c>
      <c r="O1" s="283" t="s">
        <v>28</v>
      </c>
      <c r="P1" s="283" t="s">
        <v>29</v>
      </c>
      <c r="Q1" s="283" t="s">
        <v>31</v>
      </c>
      <c r="R1" s="283" t="s">
        <v>32</v>
      </c>
      <c r="S1" s="283" t="s">
        <v>118</v>
      </c>
      <c r="T1" s="283" t="s">
        <v>309</v>
      </c>
      <c r="U1" s="283" t="s">
        <v>310</v>
      </c>
      <c r="V1" s="283" t="s">
        <v>33</v>
      </c>
      <c r="W1" s="283" t="s">
        <v>34</v>
      </c>
      <c r="X1" s="283" t="s">
        <v>35</v>
      </c>
      <c r="Y1" s="283" t="s">
        <v>36</v>
      </c>
      <c r="Z1" s="283" t="s">
        <v>37</v>
      </c>
      <c r="AA1" s="283" t="s">
        <v>38</v>
      </c>
      <c r="AB1" s="283" t="s">
        <v>39</v>
      </c>
      <c r="AC1" s="283" t="s">
        <v>311</v>
      </c>
      <c r="AD1" s="283" t="s">
        <v>312</v>
      </c>
      <c r="AE1" s="283" t="s">
        <v>313</v>
      </c>
      <c r="AF1" s="283" t="s">
        <v>40</v>
      </c>
      <c r="AG1" s="283" t="s">
        <v>314</v>
      </c>
      <c r="AH1" s="283" t="s">
        <v>315</v>
      </c>
      <c r="AI1" s="283" t="s">
        <v>316</v>
      </c>
    </row>
    <row r="2">
      <c r="A2" s="284" t="s">
        <v>103</v>
      </c>
      <c r="B2" s="285">
        <v>0.0</v>
      </c>
      <c r="C2" s="285">
        <v>1.0</v>
      </c>
      <c r="D2" s="285">
        <v>0.0</v>
      </c>
      <c r="E2" s="285">
        <v>1.0</v>
      </c>
      <c r="F2" s="285">
        <v>0.0</v>
      </c>
      <c r="G2" s="285">
        <v>2.0</v>
      </c>
      <c r="H2" s="285">
        <v>58.0</v>
      </c>
      <c r="I2" s="285">
        <v>7.0</v>
      </c>
      <c r="J2" s="285">
        <v>36.0</v>
      </c>
      <c r="K2" s="285">
        <v>22.0</v>
      </c>
      <c r="L2" s="285">
        <v>6.0</v>
      </c>
      <c r="M2" s="285">
        <v>0.0</v>
      </c>
      <c r="N2" s="285">
        <v>682.0</v>
      </c>
      <c r="O2" s="285">
        <v>859.0</v>
      </c>
      <c r="P2" s="285">
        <v>18.0</v>
      </c>
      <c r="Q2" s="285">
        <v>3.0</v>
      </c>
      <c r="R2" s="285">
        <v>0.0</v>
      </c>
      <c r="S2" s="285">
        <v>0.0</v>
      </c>
      <c r="T2" s="285">
        <v>0.0</v>
      </c>
      <c r="U2" s="285">
        <v>0.0</v>
      </c>
      <c r="V2" s="285">
        <v>13.0</v>
      </c>
      <c r="W2" s="285">
        <v>5.0</v>
      </c>
      <c r="X2" s="285">
        <v>1.0</v>
      </c>
      <c r="Y2" s="285">
        <v>0.0</v>
      </c>
      <c r="Z2" s="285">
        <v>0.0</v>
      </c>
      <c r="AA2" s="285">
        <v>0.0</v>
      </c>
      <c r="AB2" s="285">
        <v>0.0</v>
      </c>
      <c r="AC2" s="285">
        <v>0.0</v>
      </c>
      <c r="AD2" s="285">
        <v>0.0</v>
      </c>
      <c r="AE2" s="285">
        <v>0.0</v>
      </c>
      <c r="AF2" s="285">
        <v>4.0</v>
      </c>
      <c r="AG2" s="285">
        <v>0.0</v>
      </c>
      <c r="AH2" s="285">
        <v>3.0</v>
      </c>
      <c r="AI2" s="285" t="s">
        <v>317</v>
      </c>
    </row>
    <row r="3">
      <c r="A3" s="286" t="s">
        <v>71</v>
      </c>
      <c r="B3" s="287">
        <v>0.0</v>
      </c>
      <c r="C3" s="287">
        <v>1.0</v>
      </c>
      <c r="D3" s="287">
        <v>0.0</v>
      </c>
      <c r="E3" s="287">
        <v>1.0</v>
      </c>
      <c r="F3" s="287">
        <v>0.0</v>
      </c>
      <c r="G3" s="287">
        <v>2.0</v>
      </c>
      <c r="H3" s="287">
        <v>44.0</v>
      </c>
      <c r="I3" s="287">
        <v>3.0</v>
      </c>
      <c r="J3" s="287">
        <v>36.0</v>
      </c>
      <c r="K3" s="287">
        <v>8.0</v>
      </c>
      <c r="L3" s="287">
        <v>5.0</v>
      </c>
      <c r="M3" s="287">
        <v>0.0</v>
      </c>
      <c r="N3" s="287">
        <v>685.0</v>
      </c>
      <c r="O3" s="287">
        <v>859.0</v>
      </c>
      <c r="P3" s="287">
        <v>19.0</v>
      </c>
      <c r="Q3" s="287">
        <v>1.0</v>
      </c>
      <c r="R3" s="287">
        <v>0.0</v>
      </c>
      <c r="S3" s="287">
        <v>0.0</v>
      </c>
      <c r="T3" s="287">
        <v>0.0</v>
      </c>
      <c r="U3" s="287">
        <v>0.0</v>
      </c>
      <c r="V3" s="287">
        <v>8.0</v>
      </c>
      <c r="W3" s="287">
        <v>2.0</v>
      </c>
      <c r="X3" s="287">
        <v>0.0</v>
      </c>
      <c r="Y3" s="287">
        <v>0.0</v>
      </c>
      <c r="Z3" s="287">
        <v>0.0</v>
      </c>
      <c r="AA3" s="287">
        <v>0.0</v>
      </c>
      <c r="AB3" s="287">
        <v>0.0</v>
      </c>
      <c r="AC3" s="287">
        <v>0.0</v>
      </c>
      <c r="AD3" s="287">
        <v>0.0</v>
      </c>
      <c r="AE3" s="287">
        <v>0.0</v>
      </c>
      <c r="AF3" s="287">
        <v>1.0</v>
      </c>
      <c r="AG3" s="287">
        <v>0.0</v>
      </c>
      <c r="AH3" s="287">
        <v>1.0</v>
      </c>
      <c r="AI3" s="1" t="s">
        <v>317</v>
      </c>
    </row>
    <row r="4">
      <c r="A4" s="286" t="s">
        <v>110</v>
      </c>
      <c r="B4" s="287">
        <v>0.0</v>
      </c>
      <c r="C4" s="287">
        <v>1.0</v>
      </c>
      <c r="D4" s="287">
        <v>0.0</v>
      </c>
      <c r="E4" s="287">
        <v>1.0</v>
      </c>
      <c r="F4" s="287">
        <v>0.0</v>
      </c>
      <c r="G4" s="287">
        <v>1.0</v>
      </c>
      <c r="H4" s="287">
        <v>63.0</v>
      </c>
      <c r="I4" s="287">
        <v>2.0</v>
      </c>
      <c r="J4" s="287">
        <v>50.0</v>
      </c>
      <c r="K4" s="287">
        <v>13.0</v>
      </c>
      <c r="L4" s="287">
        <v>4.0</v>
      </c>
      <c r="M4" s="287">
        <v>0.0</v>
      </c>
      <c r="N4" s="287">
        <v>644.0</v>
      </c>
      <c r="O4" s="287">
        <v>859.0</v>
      </c>
      <c r="P4" s="287">
        <v>12.0</v>
      </c>
      <c r="Q4" s="287">
        <v>0.0</v>
      </c>
      <c r="R4" s="287">
        <v>0.0</v>
      </c>
      <c r="S4" s="287">
        <v>0.0</v>
      </c>
      <c r="T4" s="287">
        <v>0.0</v>
      </c>
      <c r="U4" s="287">
        <v>0.0</v>
      </c>
      <c r="V4" s="287">
        <v>11.0</v>
      </c>
      <c r="W4" s="287">
        <v>1.0</v>
      </c>
      <c r="X4" s="287">
        <v>1.0</v>
      </c>
      <c r="Y4" s="287">
        <v>0.0</v>
      </c>
      <c r="Z4" s="287">
        <v>0.0</v>
      </c>
      <c r="AA4" s="287">
        <v>0.0</v>
      </c>
      <c r="AB4" s="287">
        <v>0.0</v>
      </c>
      <c r="AC4" s="287">
        <v>0.0</v>
      </c>
      <c r="AD4" s="287">
        <v>0.0</v>
      </c>
      <c r="AE4" s="287">
        <v>0.0</v>
      </c>
      <c r="AF4" s="287">
        <v>3.0</v>
      </c>
      <c r="AG4" s="287">
        <v>0.0</v>
      </c>
      <c r="AH4" s="287">
        <v>0.0</v>
      </c>
      <c r="AI4" s="1" t="s">
        <v>317</v>
      </c>
    </row>
    <row r="5">
      <c r="A5" s="286" t="s">
        <v>78</v>
      </c>
      <c r="B5" s="287">
        <v>0.0</v>
      </c>
      <c r="C5" s="287">
        <v>1.0</v>
      </c>
      <c r="D5" s="287">
        <v>0.0</v>
      </c>
      <c r="E5" s="287">
        <v>1.0</v>
      </c>
      <c r="F5" s="287">
        <v>0.0</v>
      </c>
      <c r="G5" s="287">
        <v>0.0</v>
      </c>
      <c r="H5" s="287">
        <v>35.0</v>
      </c>
      <c r="I5" s="287">
        <v>3.0</v>
      </c>
      <c r="J5" s="287">
        <v>46.0</v>
      </c>
      <c r="K5" s="287">
        <v>-11.0</v>
      </c>
      <c r="L5" s="287">
        <v>3.0</v>
      </c>
      <c r="M5" s="287">
        <v>0.0</v>
      </c>
      <c r="N5" s="287">
        <v>653.0</v>
      </c>
      <c r="O5" s="287">
        <v>859.0</v>
      </c>
      <c r="P5" s="287">
        <v>14.0</v>
      </c>
      <c r="Q5" s="287">
        <v>0.0</v>
      </c>
      <c r="R5" s="287">
        <v>0.0</v>
      </c>
      <c r="S5" s="287">
        <v>0.0</v>
      </c>
      <c r="T5" s="287">
        <v>0.0</v>
      </c>
      <c r="U5" s="287">
        <v>0.0</v>
      </c>
      <c r="V5" s="287">
        <v>5.0</v>
      </c>
      <c r="W5" s="287">
        <v>1.0</v>
      </c>
      <c r="X5" s="287">
        <v>0.0</v>
      </c>
      <c r="Y5" s="287">
        <v>0.0</v>
      </c>
      <c r="Z5" s="287">
        <v>0.0</v>
      </c>
      <c r="AA5" s="287">
        <v>0.0</v>
      </c>
      <c r="AB5" s="287">
        <v>0.0</v>
      </c>
      <c r="AC5" s="287">
        <v>0.0</v>
      </c>
      <c r="AD5" s="287">
        <v>0.0</v>
      </c>
      <c r="AE5" s="287">
        <v>0.0</v>
      </c>
      <c r="AF5" s="287">
        <v>1.0</v>
      </c>
      <c r="AG5" s="287">
        <v>0.0</v>
      </c>
      <c r="AH5" s="287">
        <v>0.0</v>
      </c>
      <c r="AI5" s="1" t="s">
        <v>317</v>
      </c>
    </row>
    <row r="6">
      <c r="A6" s="286" t="s">
        <v>75</v>
      </c>
      <c r="B6" s="287">
        <v>1.0</v>
      </c>
      <c r="C6" s="287">
        <v>1.0</v>
      </c>
      <c r="D6" s="287">
        <v>0.0</v>
      </c>
      <c r="E6" s="287">
        <v>0.0</v>
      </c>
      <c r="F6" s="287">
        <v>1.0</v>
      </c>
      <c r="G6" s="287">
        <v>0.0</v>
      </c>
      <c r="H6" s="287">
        <v>38.0</v>
      </c>
      <c r="I6" s="287">
        <v>3.0</v>
      </c>
      <c r="J6" s="287">
        <v>30.0</v>
      </c>
      <c r="K6" s="287">
        <v>8.0</v>
      </c>
      <c r="L6" s="287">
        <v>11.0</v>
      </c>
      <c r="M6" s="287">
        <v>0.0</v>
      </c>
      <c r="N6" s="287">
        <v>708.0</v>
      </c>
      <c r="O6" s="287">
        <v>859.0</v>
      </c>
      <c r="P6" s="287">
        <v>23.0</v>
      </c>
      <c r="Q6" s="287">
        <v>1.0</v>
      </c>
      <c r="R6" s="287">
        <v>1.0</v>
      </c>
      <c r="S6" s="287">
        <v>0.0</v>
      </c>
      <c r="T6" s="287">
        <v>0.0</v>
      </c>
      <c r="U6" s="287">
        <v>0.0</v>
      </c>
      <c r="V6" s="287">
        <v>5.0</v>
      </c>
      <c r="W6" s="287">
        <v>1.0</v>
      </c>
      <c r="X6" s="287">
        <v>0.0</v>
      </c>
      <c r="Y6" s="287">
        <v>0.0</v>
      </c>
      <c r="Z6" s="287">
        <v>0.0</v>
      </c>
      <c r="AA6" s="287">
        <v>0.0</v>
      </c>
      <c r="AB6" s="287">
        <v>0.0</v>
      </c>
      <c r="AC6" s="287">
        <v>0.0</v>
      </c>
      <c r="AD6" s="287">
        <v>0.0</v>
      </c>
      <c r="AE6" s="287">
        <v>0.0</v>
      </c>
      <c r="AF6" s="287">
        <v>1.0</v>
      </c>
      <c r="AG6" s="287">
        <v>0.0</v>
      </c>
      <c r="AH6" s="287">
        <v>1.0</v>
      </c>
      <c r="AI6" s="1" t="s">
        <v>317</v>
      </c>
    </row>
    <row r="7">
      <c r="A7" s="286" t="s">
        <v>79</v>
      </c>
      <c r="B7" s="287">
        <v>1.0</v>
      </c>
      <c r="C7" s="287">
        <v>1.0</v>
      </c>
      <c r="D7" s="287">
        <v>0.0</v>
      </c>
      <c r="E7" s="287">
        <v>0.0</v>
      </c>
      <c r="F7" s="287">
        <v>1.0</v>
      </c>
      <c r="G7" s="287">
        <v>0.0</v>
      </c>
      <c r="H7" s="287">
        <v>44.0</v>
      </c>
      <c r="I7" s="287">
        <v>3.0</v>
      </c>
      <c r="J7" s="287">
        <v>63.0</v>
      </c>
      <c r="K7" s="287">
        <v>-19.0</v>
      </c>
      <c r="L7" s="287">
        <v>3.0</v>
      </c>
      <c r="M7" s="287">
        <v>2.0</v>
      </c>
      <c r="N7" s="287">
        <v>602.0</v>
      </c>
      <c r="O7" s="287">
        <v>859.0</v>
      </c>
      <c r="P7" s="287">
        <v>9.0</v>
      </c>
      <c r="Q7" s="287">
        <v>0.0</v>
      </c>
      <c r="R7" s="287">
        <v>0.0</v>
      </c>
      <c r="S7" s="287">
        <v>0.0</v>
      </c>
      <c r="T7" s="287">
        <v>0.0</v>
      </c>
      <c r="U7" s="287">
        <v>0.0</v>
      </c>
      <c r="V7" s="287">
        <v>6.0</v>
      </c>
      <c r="W7" s="287">
        <v>0.0</v>
      </c>
      <c r="X7" s="287">
        <v>0.0</v>
      </c>
      <c r="Y7" s="287">
        <v>0.0</v>
      </c>
      <c r="Z7" s="287">
        <v>0.0</v>
      </c>
      <c r="AA7" s="287">
        <v>0.0</v>
      </c>
      <c r="AB7" s="287">
        <v>0.0</v>
      </c>
      <c r="AC7" s="287">
        <v>0.0</v>
      </c>
      <c r="AD7" s="287">
        <v>0.0</v>
      </c>
      <c r="AE7" s="287">
        <v>0.0</v>
      </c>
      <c r="AF7" s="287">
        <v>0.0</v>
      </c>
      <c r="AG7" s="287">
        <v>0.0</v>
      </c>
      <c r="AH7" s="287">
        <v>0.0</v>
      </c>
      <c r="AI7" s="1" t="s">
        <v>317</v>
      </c>
    </row>
    <row r="8">
      <c r="A8" s="286" t="s">
        <v>102</v>
      </c>
      <c r="B8" s="287">
        <v>1.0</v>
      </c>
      <c r="C8" s="287">
        <v>1.0</v>
      </c>
      <c r="D8" s="287">
        <v>0.0</v>
      </c>
      <c r="E8" s="287">
        <v>0.0</v>
      </c>
      <c r="F8" s="287">
        <v>1.0</v>
      </c>
      <c r="G8" s="287">
        <v>0.0</v>
      </c>
      <c r="H8" s="287">
        <v>35.0</v>
      </c>
      <c r="I8" s="287">
        <v>8.0</v>
      </c>
      <c r="J8" s="287">
        <v>62.0</v>
      </c>
      <c r="K8" s="287">
        <v>-27.0</v>
      </c>
      <c r="L8" s="287">
        <v>3.0</v>
      </c>
      <c r="M8" s="287">
        <v>1.0</v>
      </c>
      <c r="N8" s="287">
        <v>611.0</v>
      </c>
      <c r="O8" s="287">
        <v>859.0</v>
      </c>
      <c r="P8" s="287">
        <v>9.0</v>
      </c>
      <c r="Q8" s="287">
        <v>0.0</v>
      </c>
      <c r="R8" s="287">
        <v>0.0</v>
      </c>
      <c r="S8" s="287">
        <v>0.0</v>
      </c>
      <c r="T8" s="287">
        <v>0.0</v>
      </c>
      <c r="U8" s="287">
        <v>0.0</v>
      </c>
      <c r="V8" s="287">
        <v>5.0</v>
      </c>
      <c r="W8" s="287">
        <v>0.0</v>
      </c>
      <c r="X8" s="287">
        <v>0.0</v>
      </c>
      <c r="Y8" s="287">
        <v>0.0</v>
      </c>
      <c r="Z8" s="287">
        <v>0.0</v>
      </c>
      <c r="AA8" s="287">
        <v>0.0</v>
      </c>
      <c r="AB8" s="287">
        <v>0.0</v>
      </c>
      <c r="AC8" s="287">
        <v>0.0</v>
      </c>
      <c r="AD8" s="287">
        <v>0.0</v>
      </c>
      <c r="AE8" s="287">
        <v>0.0</v>
      </c>
      <c r="AF8" s="287">
        <v>1.0</v>
      </c>
      <c r="AG8" s="287">
        <v>0.0</v>
      </c>
      <c r="AH8" s="287">
        <v>0.0</v>
      </c>
      <c r="AI8" s="1" t="s">
        <v>317</v>
      </c>
    </row>
    <row r="9">
      <c r="A9" s="288" t="s">
        <v>76</v>
      </c>
      <c r="B9" s="289">
        <v>1.0</v>
      </c>
      <c r="C9" s="289">
        <v>1.0</v>
      </c>
      <c r="D9" s="289">
        <v>0.0</v>
      </c>
      <c r="E9" s="289">
        <v>0.0</v>
      </c>
      <c r="F9" s="289">
        <v>1.0</v>
      </c>
      <c r="G9" s="289">
        <v>0.0</v>
      </c>
      <c r="H9" s="289">
        <v>44.0</v>
      </c>
      <c r="I9" s="289">
        <v>2.0</v>
      </c>
      <c r="J9" s="289">
        <v>57.0</v>
      </c>
      <c r="K9" s="289">
        <v>-13.0</v>
      </c>
      <c r="L9" s="289">
        <v>5.0</v>
      </c>
      <c r="M9" s="289">
        <v>0.0</v>
      </c>
      <c r="N9" s="289">
        <v>626.0</v>
      </c>
      <c r="O9" s="289">
        <v>859.0</v>
      </c>
      <c r="P9" s="289">
        <v>10.0</v>
      </c>
      <c r="Q9" s="289">
        <v>2.0</v>
      </c>
      <c r="R9" s="289">
        <v>0.0</v>
      </c>
      <c r="S9" s="289">
        <v>0.0</v>
      </c>
      <c r="T9" s="289">
        <v>0.0</v>
      </c>
      <c r="U9" s="289">
        <v>0.0</v>
      </c>
      <c r="V9" s="289">
        <v>3.0</v>
      </c>
      <c r="W9" s="289">
        <v>1.0</v>
      </c>
      <c r="X9" s="289">
        <v>0.0</v>
      </c>
      <c r="Y9" s="289">
        <v>0.0</v>
      </c>
      <c r="Z9" s="289">
        <v>0.0</v>
      </c>
      <c r="AA9" s="289">
        <v>0.0</v>
      </c>
      <c r="AB9" s="289">
        <v>0.0</v>
      </c>
      <c r="AC9" s="289">
        <v>0.0</v>
      </c>
      <c r="AD9" s="289">
        <v>0.0</v>
      </c>
      <c r="AE9" s="289">
        <v>0.0</v>
      </c>
      <c r="AF9" s="289">
        <v>0.0</v>
      </c>
      <c r="AG9" s="289">
        <v>0.0</v>
      </c>
      <c r="AH9" s="289">
        <v>1.0</v>
      </c>
      <c r="AI9" s="290" t="s">
        <v>317</v>
      </c>
    </row>
    <row r="10">
      <c r="A10" s="284" t="s">
        <v>115</v>
      </c>
      <c r="B10" s="291">
        <v>0.0</v>
      </c>
      <c r="C10" s="291">
        <v>1.0</v>
      </c>
      <c r="D10" s="291">
        <v>0.0</v>
      </c>
      <c r="E10" s="291">
        <v>1.0</v>
      </c>
      <c r="F10" s="291">
        <v>0.0</v>
      </c>
      <c r="G10" s="291">
        <v>3.0</v>
      </c>
      <c r="H10" s="291">
        <v>65.0</v>
      </c>
      <c r="I10" s="291">
        <v>2.0</v>
      </c>
      <c r="J10" s="291">
        <v>44.0</v>
      </c>
      <c r="K10" s="291">
        <v>21.0</v>
      </c>
      <c r="L10" s="291">
        <v>5.0</v>
      </c>
      <c r="M10" s="291">
        <v>0.0</v>
      </c>
      <c r="N10" s="291">
        <v>1303.0</v>
      </c>
      <c r="O10" s="291">
        <v>1522.0</v>
      </c>
      <c r="P10" s="291">
        <v>29.0</v>
      </c>
      <c r="Q10" s="291">
        <v>2.0</v>
      </c>
      <c r="R10" s="291">
        <v>0.0</v>
      </c>
      <c r="S10" s="291">
        <v>0.0</v>
      </c>
      <c r="T10" s="291">
        <v>0.0</v>
      </c>
      <c r="U10" s="291">
        <v>0.0</v>
      </c>
      <c r="V10" s="291">
        <v>9.0</v>
      </c>
      <c r="W10" s="291">
        <v>1.0</v>
      </c>
      <c r="X10" s="291">
        <v>0.0</v>
      </c>
      <c r="Y10" s="291">
        <v>0.0</v>
      </c>
      <c r="Z10" s="291">
        <v>0.0</v>
      </c>
      <c r="AA10" s="291">
        <v>0.0</v>
      </c>
      <c r="AB10" s="291">
        <v>0.0</v>
      </c>
      <c r="AC10" s="291">
        <v>0.0</v>
      </c>
      <c r="AD10" s="291">
        <v>0.0</v>
      </c>
      <c r="AE10" s="291">
        <v>0.0</v>
      </c>
      <c r="AF10" s="291">
        <v>2.0</v>
      </c>
      <c r="AG10" s="291">
        <v>0.0</v>
      </c>
      <c r="AH10" s="291">
        <v>0.0</v>
      </c>
      <c r="AI10" s="285" t="s">
        <v>318</v>
      </c>
    </row>
    <row r="11">
      <c r="A11" s="286" t="s">
        <v>111</v>
      </c>
      <c r="B11" s="287">
        <v>0.0</v>
      </c>
      <c r="C11" s="287">
        <v>1.0</v>
      </c>
      <c r="D11" s="287">
        <v>0.0</v>
      </c>
      <c r="E11" s="287">
        <v>1.0</v>
      </c>
      <c r="F11" s="287">
        <v>0.0</v>
      </c>
      <c r="G11" s="287">
        <v>1.0</v>
      </c>
      <c r="H11" s="287">
        <v>92.0</v>
      </c>
      <c r="I11" s="287">
        <v>7.0</v>
      </c>
      <c r="J11" s="287">
        <v>90.0</v>
      </c>
      <c r="K11" s="287">
        <v>2.0</v>
      </c>
      <c r="L11" s="287">
        <v>5.0</v>
      </c>
      <c r="M11" s="287">
        <v>1.0</v>
      </c>
      <c r="N11" s="287">
        <v>1173.0</v>
      </c>
      <c r="O11" s="287">
        <v>1522.0</v>
      </c>
      <c r="P11" s="287">
        <v>13.0</v>
      </c>
      <c r="Q11" s="287">
        <v>1.0</v>
      </c>
      <c r="R11" s="287">
        <v>0.0</v>
      </c>
      <c r="S11" s="287">
        <v>0.0</v>
      </c>
      <c r="T11" s="287">
        <v>0.0</v>
      </c>
      <c r="U11" s="287">
        <v>0.0</v>
      </c>
      <c r="V11" s="287">
        <v>16.0</v>
      </c>
      <c r="W11" s="287">
        <v>4.0</v>
      </c>
      <c r="X11" s="287">
        <v>1.0</v>
      </c>
      <c r="Y11" s="287">
        <v>0.0</v>
      </c>
      <c r="Z11" s="287">
        <v>0.0</v>
      </c>
      <c r="AA11" s="287">
        <v>0.0</v>
      </c>
      <c r="AB11" s="287">
        <v>0.0</v>
      </c>
      <c r="AC11" s="287">
        <v>0.0</v>
      </c>
      <c r="AD11" s="287">
        <v>0.0</v>
      </c>
      <c r="AE11" s="287">
        <v>0.0</v>
      </c>
      <c r="AF11" s="287">
        <v>7.0</v>
      </c>
      <c r="AG11" s="287">
        <v>0.0</v>
      </c>
      <c r="AH11" s="287">
        <v>0.0</v>
      </c>
      <c r="AI11" s="1" t="s">
        <v>318</v>
      </c>
    </row>
    <row r="12">
      <c r="A12" s="286" t="s">
        <v>116</v>
      </c>
      <c r="B12" s="287">
        <v>0.0</v>
      </c>
      <c r="C12" s="287">
        <v>1.0</v>
      </c>
      <c r="D12" s="287">
        <v>0.0</v>
      </c>
      <c r="E12" s="287">
        <v>1.0</v>
      </c>
      <c r="F12" s="287">
        <v>0.0</v>
      </c>
      <c r="G12" s="287">
        <v>1.0</v>
      </c>
      <c r="H12" s="287">
        <v>83.0</v>
      </c>
      <c r="I12" s="287">
        <v>6.0</v>
      </c>
      <c r="J12" s="287">
        <v>105.0</v>
      </c>
      <c r="K12" s="287">
        <v>-22.0</v>
      </c>
      <c r="L12" s="287">
        <v>5.0</v>
      </c>
      <c r="M12" s="287">
        <v>3.0</v>
      </c>
      <c r="N12" s="287">
        <v>1132.0</v>
      </c>
      <c r="O12" s="287">
        <v>1522.0</v>
      </c>
      <c r="P12" s="287">
        <v>10.0</v>
      </c>
      <c r="Q12" s="287">
        <v>1.0</v>
      </c>
      <c r="R12" s="287">
        <v>0.0</v>
      </c>
      <c r="S12" s="287">
        <v>0.0</v>
      </c>
      <c r="T12" s="287">
        <v>0.0</v>
      </c>
      <c r="U12" s="287">
        <v>0.0</v>
      </c>
      <c r="V12" s="287">
        <v>11.0</v>
      </c>
      <c r="W12" s="287">
        <v>1.0</v>
      </c>
      <c r="X12" s="287">
        <v>0.0</v>
      </c>
      <c r="Y12" s="287">
        <v>0.0</v>
      </c>
      <c r="Z12" s="287">
        <v>0.0</v>
      </c>
      <c r="AA12" s="287">
        <v>0.0</v>
      </c>
      <c r="AB12" s="287">
        <v>0.0</v>
      </c>
      <c r="AC12" s="287">
        <v>0.0</v>
      </c>
      <c r="AD12" s="287">
        <v>0.0</v>
      </c>
      <c r="AE12" s="287">
        <v>0.0</v>
      </c>
      <c r="AF12" s="287">
        <v>9.0</v>
      </c>
      <c r="AG12" s="287">
        <v>0.0</v>
      </c>
      <c r="AH12" s="287">
        <v>1.0</v>
      </c>
      <c r="AI12" s="1" t="s">
        <v>318</v>
      </c>
    </row>
    <row r="13">
      <c r="A13" s="286" t="s">
        <v>91</v>
      </c>
      <c r="B13" s="287">
        <v>0.0</v>
      </c>
      <c r="C13" s="287">
        <v>1.0</v>
      </c>
      <c r="D13" s="287">
        <v>0.0</v>
      </c>
      <c r="E13" s="287">
        <v>1.0</v>
      </c>
      <c r="F13" s="287">
        <v>0.0</v>
      </c>
      <c r="G13" s="287">
        <v>0.0</v>
      </c>
      <c r="H13" s="287">
        <v>110.0</v>
      </c>
      <c r="I13" s="287">
        <v>7.0</v>
      </c>
      <c r="J13" s="287">
        <v>84.0</v>
      </c>
      <c r="K13" s="287">
        <v>26.0</v>
      </c>
      <c r="L13" s="287">
        <v>6.0</v>
      </c>
      <c r="M13" s="287">
        <v>4.0</v>
      </c>
      <c r="N13" s="287">
        <v>1196.0</v>
      </c>
      <c r="O13" s="287">
        <v>1522.0</v>
      </c>
      <c r="P13" s="287">
        <v>14.0</v>
      </c>
      <c r="Q13" s="287">
        <v>3.0</v>
      </c>
      <c r="R13" s="287">
        <v>0.0</v>
      </c>
      <c r="S13" s="287">
        <v>0.0</v>
      </c>
      <c r="T13" s="287">
        <v>0.0</v>
      </c>
      <c r="U13" s="287">
        <v>0.0</v>
      </c>
      <c r="V13" s="287">
        <v>24.0</v>
      </c>
      <c r="W13" s="287">
        <v>8.0</v>
      </c>
      <c r="X13" s="287">
        <v>1.0</v>
      </c>
      <c r="Y13" s="287">
        <v>1.0</v>
      </c>
      <c r="Z13" s="287">
        <v>0.0</v>
      </c>
      <c r="AA13" s="287">
        <v>0.0</v>
      </c>
      <c r="AB13" s="287">
        <v>0.0</v>
      </c>
      <c r="AC13" s="287">
        <v>0.0</v>
      </c>
      <c r="AD13" s="287">
        <v>0.0</v>
      </c>
      <c r="AE13" s="287">
        <v>0.0</v>
      </c>
      <c r="AF13" s="287">
        <v>15.0</v>
      </c>
      <c r="AG13" s="287">
        <v>0.0</v>
      </c>
      <c r="AH13" s="287">
        <v>3.0</v>
      </c>
      <c r="AI13" s="1" t="s">
        <v>318</v>
      </c>
    </row>
    <row r="14">
      <c r="A14" s="286" t="s">
        <v>84</v>
      </c>
      <c r="B14" s="287">
        <v>1.0</v>
      </c>
      <c r="C14" s="287">
        <v>1.0</v>
      </c>
      <c r="D14" s="287">
        <v>0.0</v>
      </c>
      <c r="E14" s="287">
        <v>0.0</v>
      </c>
      <c r="F14" s="287">
        <v>1.0</v>
      </c>
      <c r="G14" s="287">
        <v>1.0</v>
      </c>
      <c r="H14" s="287">
        <v>74.0</v>
      </c>
      <c r="I14" s="287">
        <v>3.0</v>
      </c>
      <c r="J14" s="287">
        <v>82.0</v>
      </c>
      <c r="K14" s="287">
        <v>-8.0</v>
      </c>
      <c r="L14" s="287">
        <v>4.0</v>
      </c>
      <c r="M14" s="287">
        <v>2.0</v>
      </c>
      <c r="N14" s="287">
        <v>1203.0</v>
      </c>
      <c r="O14" s="287">
        <v>1522.0</v>
      </c>
      <c r="P14" s="287">
        <v>14.0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9.0</v>
      </c>
      <c r="W14" s="287">
        <v>2.0</v>
      </c>
      <c r="X14" s="287">
        <v>0.0</v>
      </c>
      <c r="Y14" s="287">
        <v>0.0</v>
      </c>
      <c r="Z14" s="287">
        <v>0.0</v>
      </c>
      <c r="AA14" s="287">
        <v>0.0</v>
      </c>
      <c r="AB14" s="287">
        <v>0.0</v>
      </c>
      <c r="AC14" s="287">
        <v>0.0</v>
      </c>
      <c r="AD14" s="287">
        <v>0.0</v>
      </c>
      <c r="AE14" s="287">
        <v>0.0</v>
      </c>
      <c r="AF14" s="287">
        <v>1.0</v>
      </c>
      <c r="AG14" s="287">
        <v>0.0</v>
      </c>
      <c r="AH14" s="287">
        <v>0.0</v>
      </c>
      <c r="AI14" s="1" t="s">
        <v>318</v>
      </c>
    </row>
    <row r="15">
      <c r="A15" s="286" t="s">
        <v>96</v>
      </c>
      <c r="B15" s="287">
        <v>1.0</v>
      </c>
      <c r="C15" s="287">
        <v>1.0</v>
      </c>
      <c r="D15" s="287">
        <v>0.0</v>
      </c>
      <c r="E15" s="287">
        <v>0.0</v>
      </c>
      <c r="F15" s="287">
        <v>1.0</v>
      </c>
      <c r="G15" s="287">
        <v>0.0</v>
      </c>
      <c r="H15" s="287">
        <v>94.0</v>
      </c>
      <c r="I15" s="287">
        <v>0.0</v>
      </c>
      <c r="J15" s="287">
        <v>102.0</v>
      </c>
      <c r="K15" s="287">
        <v>-8.0</v>
      </c>
      <c r="L15" s="287">
        <v>4.0</v>
      </c>
      <c r="M15" s="287">
        <v>0.0</v>
      </c>
      <c r="N15" s="287">
        <v>1141.0</v>
      </c>
      <c r="O15" s="287">
        <v>1522.0</v>
      </c>
      <c r="P15" s="287">
        <v>11.0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13.0</v>
      </c>
      <c r="W15" s="287">
        <v>4.0</v>
      </c>
      <c r="X15" s="287">
        <v>0.0</v>
      </c>
      <c r="Y15" s="287">
        <v>0.0</v>
      </c>
      <c r="Z15" s="287">
        <v>0.0</v>
      </c>
      <c r="AA15" s="287">
        <v>0.0</v>
      </c>
      <c r="AB15" s="287">
        <v>0.0</v>
      </c>
      <c r="AC15" s="287">
        <v>0.0</v>
      </c>
      <c r="AD15" s="287">
        <v>0.0</v>
      </c>
      <c r="AE15" s="287">
        <v>0.0</v>
      </c>
      <c r="AF15" s="287">
        <v>0.0</v>
      </c>
      <c r="AG15" s="287">
        <v>0.0</v>
      </c>
      <c r="AH15" s="287">
        <v>0.0</v>
      </c>
      <c r="AI15" s="1" t="s">
        <v>318</v>
      </c>
    </row>
    <row r="16">
      <c r="A16" s="286" t="s">
        <v>106</v>
      </c>
      <c r="B16" s="287">
        <v>1.0</v>
      </c>
      <c r="C16" s="287">
        <v>1.0</v>
      </c>
      <c r="D16" s="287">
        <v>0.0</v>
      </c>
      <c r="E16" s="287">
        <v>0.0</v>
      </c>
      <c r="F16" s="287">
        <v>1.0</v>
      </c>
      <c r="G16" s="287">
        <v>0.0</v>
      </c>
      <c r="H16" s="287">
        <v>65.0</v>
      </c>
      <c r="I16" s="287">
        <v>4.0</v>
      </c>
      <c r="J16" s="287">
        <v>111.0</v>
      </c>
      <c r="K16" s="287">
        <v>-46.0</v>
      </c>
      <c r="L16" s="287">
        <v>3.0</v>
      </c>
      <c r="M16" s="287">
        <v>2.0</v>
      </c>
      <c r="N16" s="287">
        <v>1112.0</v>
      </c>
      <c r="O16" s="287">
        <v>1522.0</v>
      </c>
      <c r="P16" s="287">
        <v>10.0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6.0</v>
      </c>
      <c r="W16" s="287">
        <v>0.0</v>
      </c>
      <c r="X16" s="287">
        <v>0.0</v>
      </c>
      <c r="Y16" s="287">
        <v>0.0</v>
      </c>
      <c r="Z16" s="287">
        <v>0.0</v>
      </c>
      <c r="AA16" s="287">
        <v>0.0</v>
      </c>
      <c r="AB16" s="287">
        <v>0.0</v>
      </c>
      <c r="AC16" s="287">
        <v>0.0</v>
      </c>
      <c r="AD16" s="287">
        <v>0.0</v>
      </c>
      <c r="AE16" s="287">
        <v>0.0</v>
      </c>
      <c r="AF16" s="287">
        <v>3.0</v>
      </c>
      <c r="AG16" s="287">
        <v>0.0</v>
      </c>
      <c r="AH16" s="287">
        <v>0.0</v>
      </c>
      <c r="AI16" s="1" t="s">
        <v>318</v>
      </c>
    </row>
    <row r="17">
      <c r="A17" s="288" t="s">
        <v>82</v>
      </c>
      <c r="B17" s="289">
        <v>1.0</v>
      </c>
      <c r="C17" s="289">
        <v>1.0</v>
      </c>
      <c r="D17" s="289">
        <v>0.0</v>
      </c>
      <c r="E17" s="289">
        <v>0.0</v>
      </c>
      <c r="F17" s="289">
        <v>1.0</v>
      </c>
      <c r="G17" s="289">
        <v>0.0</v>
      </c>
      <c r="H17" s="289">
        <v>77.0</v>
      </c>
      <c r="I17" s="289">
        <v>7.0</v>
      </c>
      <c r="J17" s="289">
        <v>67.0</v>
      </c>
      <c r="K17" s="289">
        <v>10.0</v>
      </c>
      <c r="L17" s="289">
        <v>5.0</v>
      </c>
      <c r="M17" s="289">
        <v>1.0</v>
      </c>
      <c r="N17" s="289">
        <v>1246.0</v>
      </c>
      <c r="O17" s="289">
        <v>1522.0</v>
      </c>
      <c r="P17" s="289">
        <v>18.0</v>
      </c>
      <c r="Q17" s="289">
        <v>1.0</v>
      </c>
      <c r="R17" s="289">
        <v>0.0</v>
      </c>
      <c r="S17" s="289">
        <v>0.0</v>
      </c>
      <c r="T17" s="289">
        <v>0.0</v>
      </c>
      <c r="U17" s="289">
        <v>0.0</v>
      </c>
      <c r="V17" s="289">
        <v>11.0</v>
      </c>
      <c r="W17" s="289">
        <v>0.0</v>
      </c>
      <c r="X17" s="289">
        <v>0.0</v>
      </c>
      <c r="Y17" s="289">
        <v>0.0</v>
      </c>
      <c r="Z17" s="289">
        <v>0.0</v>
      </c>
      <c r="AA17" s="289">
        <v>0.0</v>
      </c>
      <c r="AB17" s="289">
        <v>0.0</v>
      </c>
      <c r="AC17" s="289">
        <v>0.0</v>
      </c>
      <c r="AD17" s="289">
        <v>0.0</v>
      </c>
      <c r="AE17" s="289">
        <v>0.0</v>
      </c>
      <c r="AF17" s="289">
        <v>0.0</v>
      </c>
      <c r="AG17" s="289">
        <v>0.0</v>
      </c>
      <c r="AH17" s="289">
        <v>1.0</v>
      </c>
      <c r="AI17" s="290" t="s">
        <v>318</v>
      </c>
    </row>
    <row r="18">
      <c r="A18" s="284" t="s">
        <v>86</v>
      </c>
      <c r="B18" s="291">
        <v>1.0</v>
      </c>
      <c r="C18" s="291">
        <v>1.0</v>
      </c>
      <c r="D18" s="291">
        <v>0.0</v>
      </c>
      <c r="E18" s="291">
        <v>1.0</v>
      </c>
      <c r="F18" s="291">
        <v>0.0</v>
      </c>
      <c r="G18" s="291">
        <v>4.0</v>
      </c>
      <c r="H18" s="291">
        <v>52.0</v>
      </c>
      <c r="I18" s="291">
        <v>2.0</v>
      </c>
      <c r="J18" s="291">
        <v>36.0</v>
      </c>
      <c r="K18" s="291">
        <v>16.0</v>
      </c>
      <c r="L18" s="291">
        <v>6.0</v>
      </c>
      <c r="M18" s="291">
        <v>1.0</v>
      </c>
      <c r="N18" s="291">
        <v>878.0</v>
      </c>
      <c r="O18" s="291">
        <v>1069.0</v>
      </c>
      <c r="P18" s="291">
        <v>24.0</v>
      </c>
      <c r="Q18" s="291">
        <v>2.0</v>
      </c>
      <c r="R18" s="291">
        <v>0.0</v>
      </c>
      <c r="S18" s="291">
        <v>0.0</v>
      </c>
      <c r="T18" s="291">
        <v>0.0</v>
      </c>
      <c r="U18" s="291">
        <v>0.0</v>
      </c>
      <c r="V18" s="291">
        <v>6.0</v>
      </c>
      <c r="W18" s="291">
        <v>0.0</v>
      </c>
      <c r="X18" s="291">
        <v>0.0</v>
      </c>
      <c r="Y18" s="291">
        <v>0.0</v>
      </c>
      <c r="Z18" s="291">
        <v>0.0</v>
      </c>
      <c r="AA18" s="291">
        <v>0.0</v>
      </c>
      <c r="AB18" s="291">
        <v>0.0</v>
      </c>
      <c r="AC18" s="291">
        <v>0.0</v>
      </c>
      <c r="AD18" s="291">
        <v>0.0</v>
      </c>
      <c r="AE18" s="291">
        <v>0.0</v>
      </c>
      <c r="AF18" s="291">
        <v>1.0</v>
      </c>
      <c r="AG18" s="291">
        <v>0.0</v>
      </c>
      <c r="AH18" s="291">
        <v>0.0</v>
      </c>
      <c r="AI18" s="285" t="s">
        <v>319</v>
      </c>
    </row>
    <row r="19">
      <c r="A19" s="286" t="s">
        <v>89</v>
      </c>
      <c r="B19" s="287">
        <v>1.0</v>
      </c>
      <c r="C19" s="287">
        <v>1.0</v>
      </c>
      <c r="D19" s="287">
        <v>0.0</v>
      </c>
      <c r="E19" s="287">
        <v>1.0</v>
      </c>
      <c r="F19" s="287">
        <v>0.0</v>
      </c>
      <c r="G19" s="287">
        <v>1.0</v>
      </c>
      <c r="H19" s="287">
        <v>64.0</v>
      </c>
      <c r="I19" s="287">
        <v>4.0</v>
      </c>
      <c r="J19" s="287">
        <v>65.0</v>
      </c>
      <c r="K19" s="287">
        <v>-1.0</v>
      </c>
      <c r="L19" s="287">
        <v>4.0</v>
      </c>
      <c r="M19" s="287">
        <v>2.0</v>
      </c>
      <c r="N19" s="287">
        <v>798.0</v>
      </c>
      <c r="O19" s="287">
        <v>1069.0</v>
      </c>
      <c r="P19" s="287">
        <v>12.0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10.0</v>
      </c>
      <c r="W19" s="287">
        <v>4.0</v>
      </c>
      <c r="X19" s="287">
        <v>0.0</v>
      </c>
      <c r="Y19" s="287">
        <v>0.0</v>
      </c>
      <c r="Z19" s="287">
        <v>0.0</v>
      </c>
      <c r="AA19" s="287">
        <v>0.0</v>
      </c>
      <c r="AB19" s="287">
        <v>0.0</v>
      </c>
      <c r="AC19" s="287">
        <v>0.0</v>
      </c>
      <c r="AD19" s="287">
        <v>0.0</v>
      </c>
      <c r="AE19" s="287">
        <v>0.0</v>
      </c>
      <c r="AF19" s="287">
        <v>0.0</v>
      </c>
      <c r="AG19" s="287">
        <v>0.0</v>
      </c>
      <c r="AH19" s="287">
        <v>0.0</v>
      </c>
      <c r="AI19" s="1" t="s">
        <v>319</v>
      </c>
    </row>
    <row r="20">
      <c r="A20" s="286" t="s">
        <v>80</v>
      </c>
      <c r="B20" s="287">
        <v>1.0</v>
      </c>
      <c r="C20" s="287">
        <v>1.0</v>
      </c>
      <c r="D20" s="287">
        <v>0.0</v>
      </c>
      <c r="E20" s="287">
        <v>1.0</v>
      </c>
      <c r="F20" s="287">
        <v>0.0</v>
      </c>
      <c r="G20" s="287">
        <v>0.0</v>
      </c>
      <c r="H20" s="287">
        <v>76.0</v>
      </c>
      <c r="I20" s="287">
        <v>4.0</v>
      </c>
      <c r="J20" s="287">
        <v>78.0</v>
      </c>
      <c r="K20" s="287">
        <v>-2.0</v>
      </c>
      <c r="L20" s="287">
        <v>4.0</v>
      </c>
      <c r="M20" s="287">
        <v>0.0</v>
      </c>
      <c r="N20" s="287">
        <v>754.0</v>
      </c>
      <c r="O20" s="287">
        <v>1069.0</v>
      </c>
      <c r="P20" s="287">
        <v>9.0</v>
      </c>
      <c r="Q20" s="287">
        <v>0.0</v>
      </c>
      <c r="R20" s="287">
        <v>0.0</v>
      </c>
      <c r="S20" s="287">
        <v>0.0</v>
      </c>
      <c r="T20" s="287">
        <v>0.0</v>
      </c>
      <c r="U20" s="287">
        <v>0.0</v>
      </c>
      <c r="V20" s="287">
        <v>13.0</v>
      </c>
      <c r="W20" s="287">
        <v>3.0</v>
      </c>
      <c r="X20" s="287">
        <v>0.0</v>
      </c>
      <c r="Y20" s="287">
        <v>0.0</v>
      </c>
      <c r="Z20" s="287">
        <v>0.0</v>
      </c>
      <c r="AA20" s="287">
        <v>0.0</v>
      </c>
      <c r="AB20" s="287">
        <v>0.0</v>
      </c>
      <c r="AC20" s="287">
        <v>0.0</v>
      </c>
      <c r="AD20" s="287">
        <v>0.0</v>
      </c>
      <c r="AE20" s="287">
        <v>0.0</v>
      </c>
      <c r="AF20" s="287">
        <v>4.0</v>
      </c>
      <c r="AG20" s="287">
        <v>0.0</v>
      </c>
      <c r="AH20" s="287">
        <v>0.0</v>
      </c>
      <c r="AI20" s="1" t="s">
        <v>319</v>
      </c>
    </row>
    <row r="21">
      <c r="A21" s="286" t="s">
        <v>99</v>
      </c>
      <c r="B21" s="287">
        <v>1.0</v>
      </c>
      <c r="C21" s="287">
        <v>1.0</v>
      </c>
      <c r="D21" s="287">
        <v>0.0</v>
      </c>
      <c r="E21" s="287">
        <v>1.0</v>
      </c>
      <c r="F21" s="287">
        <v>0.0</v>
      </c>
      <c r="G21" s="287">
        <v>0.0</v>
      </c>
      <c r="H21" s="287">
        <v>51.0</v>
      </c>
      <c r="I21" s="287">
        <v>5.0</v>
      </c>
      <c r="J21" s="287">
        <v>76.0</v>
      </c>
      <c r="K21" s="287">
        <v>-25.0</v>
      </c>
      <c r="L21" s="287">
        <v>3.0</v>
      </c>
      <c r="M21" s="287">
        <v>3.0</v>
      </c>
      <c r="N21" s="287">
        <v>757.0</v>
      </c>
      <c r="O21" s="287">
        <v>1069.0</v>
      </c>
      <c r="P21" s="287">
        <v>9.0</v>
      </c>
      <c r="Q21" s="287">
        <v>0.0</v>
      </c>
      <c r="R21" s="287">
        <v>0.0</v>
      </c>
      <c r="S21" s="287">
        <v>0.0</v>
      </c>
      <c r="T21" s="287">
        <v>0.0</v>
      </c>
      <c r="U21" s="287">
        <v>0.0</v>
      </c>
      <c r="V21" s="287">
        <v>5.0</v>
      </c>
      <c r="W21" s="287">
        <v>0.0</v>
      </c>
      <c r="X21" s="287">
        <v>0.0</v>
      </c>
      <c r="Y21" s="287">
        <v>0.0</v>
      </c>
      <c r="Z21" s="287">
        <v>0.0</v>
      </c>
      <c r="AA21" s="287">
        <v>0.0</v>
      </c>
      <c r="AB21" s="287">
        <v>0.0</v>
      </c>
      <c r="AC21" s="287">
        <v>0.0</v>
      </c>
      <c r="AD21" s="287">
        <v>0.0</v>
      </c>
      <c r="AE21" s="287">
        <v>0.0</v>
      </c>
      <c r="AF21" s="287">
        <v>5.0</v>
      </c>
      <c r="AG21" s="287">
        <v>0.0</v>
      </c>
      <c r="AH21" s="287">
        <v>0.0</v>
      </c>
      <c r="AI21" s="1" t="s">
        <v>319</v>
      </c>
    </row>
    <row r="22">
      <c r="A22" s="286" t="s">
        <v>103</v>
      </c>
      <c r="B22" s="287">
        <v>0.0</v>
      </c>
      <c r="C22" s="287">
        <v>1.0</v>
      </c>
      <c r="D22" s="287">
        <v>0.0</v>
      </c>
      <c r="E22" s="287">
        <v>0.0</v>
      </c>
      <c r="F22" s="287">
        <v>1.0</v>
      </c>
      <c r="G22" s="287">
        <v>1.0</v>
      </c>
      <c r="H22" s="287">
        <v>56.0</v>
      </c>
      <c r="I22" s="287">
        <v>3.0</v>
      </c>
      <c r="J22" s="287">
        <v>55.0</v>
      </c>
      <c r="K22" s="287">
        <v>1.0</v>
      </c>
      <c r="L22" s="287">
        <v>6.0</v>
      </c>
      <c r="M22" s="287">
        <v>1.0</v>
      </c>
      <c r="N22" s="287">
        <v>828.0</v>
      </c>
      <c r="O22" s="287">
        <v>1069.0</v>
      </c>
      <c r="P22" s="287">
        <v>15.0</v>
      </c>
      <c r="Q22" s="287">
        <v>1.0</v>
      </c>
      <c r="R22" s="287">
        <v>0.0</v>
      </c>
      <c r="S22" s="287">
        <v>0.0</v>
      </c>
      <c r="T22" s="287">
        <v>0.0</v>
      </c>
      <c r="U22" s="287">
        <v>0.0</v>
      </c>
      <c r="V22" s="287">
        <v>6.0</v>
      </c>
      <c r="W22" s="287">
        <v>0.0</v>
      </c>
      <c r="X22" s="287">
        <v>0.0</v>
      </c>
      <c r="Y22" s="287">
        <v>0.0</v>
      </c>
      <c r="Z22" s="287">
        <v>0.0</v>
      </c>
      <c r="AA22" s="287">
        <v>0.0</v>
      </c>
      <c r="AB22" s="287">
        <v>0.0</v>
      </c>
      <c r="AC22" s="287">
        <v>0.0</v>
      </c>
      <c r="AD22" s="287">
        <v>0.0</v>
      </c>
      <c r="AE22" s="287">
        <v>0.0</v>
      </c>
      <c r="AF22" s="287">
        <v>1.0</v>
      </c>
      <c r="AG22" s="287">
        <v>0.0</v>
      </c>
      <c r="AH22" s="287">
        <v>1.0</v>
      </c>
      <c r="AI22" s="1" t="s">
        <v>319</v>
      </c>
    </row>
    <row r="23">
      <c r="A23" s="286" t="s">
        <v>104</v>
      </c>
      <c r="B23" s="287">
        <v>0.0</v>
      </c>
      <c r="C23" s="287">
        <v>1.0</v>
      </c>
      <c r="D23" s="287">
        <v>0.0</v>
      </c>
      <c r="E23" s="287">
        <v>0.0</v>
      </c>
      <c r="F23" s="287">
        <v>1.0</v>
      </c>
      <c r="G23" s="287">
        <v>0.0</v>
      </c>
      <c r="H23" s="287">
        <v>72.0</v>
      </c>
      <c r="I23" s="287">
        <v>3.0</v>
      </c>
      <c r="J23" s="287">
        <v>66.0</v>
      </c>
      <c r="K23" s="287">
        <v>6.0</v>
      </c>
      <c r="L23" s="287">
        <v>7.0</v>
      </c>
      <c r="M23" s="287">
        <v>1.0</v>
      </c>
      <c r="N23" s="287">
        <v>792.0</v>
      </c>
      <c r="O23" s="287">
        <v>1069.0</v>
      </c>
      <c r="P23" s="287">
        <v>12.0</v>
      </c>
      <c r="Q23" s="287">
        <v>1.0</v>
      </c>
      <c r="R23" s="287">
        <v>0.0</v>
      </c>
      <c r="S23" s="287">
        <v>0.0</v>
      </c>
      <c r="T23" s="287">
        <v>0.0</v>
      </c>
      <c r="U23" s="287">
        <v>0.0</v>
      </c>
      <c r="V23" s="287">
        <v>14.0</v>
      </c>
      <c r="W23" s="287">
        <v>4.0</v>
      </c>
      <c r="X23" s="287">
        <v>0.0</v>
      </c>
      <c r="Y23" s="287">
        <v>0.0</v>
      </c>
      <c r="Z23" s="287">
        <v>0.0</v>
      </c>
      <c r="AA23" s="287">
        <v>0.0</v>
      </c>
      <c r="AB23" s="287">
        <v>0.0</v>
      </c>
      <c r="AC23" s="287">
        <v>0.0</v>
      </c>
      <c r="AD23" s="287">
        <v>0.0</v>
      </c>
      <c r="AE23" s="287">
        <v>0.0</v>
      </c>
      <c r="AF23" s="287">
        <v>1.0</v>
      </c>
      <c r="AG23" s="287">
        <v>0.0</v>
      </c>
      <c r="AH23" s="287">
        <v>1.0</v>
      </c>
      <c r="AI23" s="1" t="s">
        <v>319</v>
      </c>
    </row>
    <row r="24">
      <c r="A24" s="286" t="s">
        <v>73</v>
      </c>
      <c r="B24" s="287">
        <v>0.0</v>
      </c>
      <c r="C24" s="287">
        <v>1.0</v>
      </c>
      <c r="D24" s="287">
        <v>0.0</v>
      </c>
      <c r="E24" s="287">
        <v>0.0</v>
      </c>
      <c r="F24" s="287">
        <v>1.0</v>
      </c>
      <c r="G24" s="287">
        <v>0.0</v>
      </c>
      <c r="H24" s="287">
        <v>47.0</v>
      </c>
      <c r="I24" s="287">
        <v>5.0</v>
      </c>
      <c r="J24" s="287">
        <v>58.0</v>
      </c>
      <c r="K24" s="287">
        <v>-11.0</v>
      </c>
      <c r="L24" s="287">
        <v>4.0</v>
      </c>
      <c r="M24" s="287">
        <v>2.0</v>
      </c>
      <c r="N24" s="287">
        <v>820.0</v>
      </c>
      <c r="O24" s="287">
        <v>1069.0</v>
      </c>
      <c r="P24" s="287">
        <v>14.0</v>
      </c>
      <c r="Q24" s="287">
        <v>0.0</v>
      </c>
      <c r="R24" s="287">
        <v>0.0</v>
      </c>
      <c r="S24" s="287">
        <v>0.0</v>
      </c>
      <c r="T24" s="287">
        <v>0.0</v>
      </c>
      <c r="U24" s="287">
        <v>0.0</v>
      </c>
      <c r="V24" s="287">
        <v>7.0</v>
      </c>
      <c r="W24" s="287">
        <v>0.0</v>
      </c>
      <c r="X24" s="287">
        <v>0.0</v>
      </c>
      <c r="Y24" s="287">
        <v>0.0</v>
      </c>
      <c r="Z24" s="287">
        <v>0.0</v>
      </c>
      <c r="AA24" s="287">
        <v>0.0</v>
      </c>
      <c r="AB24" s="287">
        <v>0.0</v>
      </c>
      <c r="AC24" s="287">
        <v>0.0</v>
      </c>
      <c r="AD24" s="287">
        <v>0.0</v>
      </c>
      <c r="AE24" s="287">
        <v>0.0</v>
      </c>
      <c r="AF24" s="287">
        <v>3.0</v>
      </c>
      <c r="AG24" s="287">
        <v>0.0</v>
      </c>
      <c r="AH24" s="287">
        <v>0.0</v>
      </c>
      <c r="AI24" s="1" t="s">
        <v>319</v>
      </c>
    </row>
    <row r="25">
      <c r="A25" s="288" t="s">
        <v>74</v>
      </c>
      <c r="B25" s="289">
        <v>0.0</v>
      </c>
      <c r="C25" s="289">
        <v>1.0</v>
      </c>
      <c r="D25" s="289">
        <v>0.0</v>
      </c>
      <c r="E25" s="289">
        <v>0.0</v>
      </c>
      <c r="F25" s="289">
        <v>1.0</v>
      </c>
      <c r="G25" s="289">
        <v>0.0</v>
      </c>
      <c r="H25" s="289">
        <v>70.0</v>
      </c>
      <c r="I25" s="289">
        <v>3.0</v>
      </c>
      <c r="J25" s="289">
        <v>81.0</v>
      </c>
      <c r="K25" s="289">
        <v>-11.0</v>
      </c>
      <c r="L25" s="289">
        <v>4.0</v>
      </c>
      <c r="M25" s="289">
        <v>0.0</v>
      </c>
      <c r="N25" s="289">
        <v>751.0</v>
      </c>
      <c r="O25" s="289">
        <v>1069.0</v>
      </c>
      <c r="P25" s="289">
        <v>9.0</v>
      </c>
      <c r="Q25" s="289">
        <v>0.0</v>
      </c>
      <c r="R25" s="289">
        <v>0.0</v>
      </c>
      <c r="S25" s="289">
        <v>0.0</v>
      </c>
      <c r="T25" s="289">
        <v>0.0</v>
      </c>
      <c r="U25" s="289">
        <v>0.0</v>
      </c>
      <c r="V25" s="289">
        <v>6.0</v>
      </c>
      <c r="W25" s="289">
        <v>0.0</v>
      </c>
      <c r="X25" s="289">
        <v>0.0</v>
      </c>
      <c r="Y25" s="289">
        <v>0.0</v>
      </c>
      <c r="Z25" s="289">
        <v>0.0</v>
      </c>
      <c r="AA25" s="289">
        <v>0.0</v>
      </c>
      <c r="AB25" s="289">
        <v>0.0</v>
      </c>
      <c r="AC25" s="289">
        <v>0.0</v>
      </c>
      <c r="AD25" s="289">
        <v>0.0</v>
      </c>
      <c r="AE25" s="289">
        <v>0.0</v>
      </c>
      <c r="AF25" s="289">
        <v>1.0</v>
      </c>
      <c r="AG25" s="289">
        <v>0.0</v>
      </c>
      <c r="AH25" s="289">
        <v>0.0</v>
      </c>
      <c r="AI25" s="290" t="s">
        <v>319</v>
      </c>
    </row>
    <row r="26">
      <c r="A26" s="284" t="s">
        <v>115</v>
      </c>
      <c r="B26" s="291">
        <v>0.0</v>
      </c>
      <c r="C26" s="291">
        <v>1.0</v>
      </c>
      <c r="D26" s="291">
        <v>0.0</v>
      </c>
      <c r="E26" s="291">
        <v>1.0</v>
      </c>
      <c r="F26" s="291">
        <v>0.0</v>
      </c>
      <c r="G26" s="291">
        <v>4.0</v>
      </c>
      <c r="H26" s="291">
        <v>47.0</v>
      </c>
      <c r="I26" s="291">
        <v>0.0</v>
      </c>
      <c r="J26" s="291">
        <v>16.0</v>
      </c>
      <c r="K26" s="291">
        <v>31.0</v>
      </c>
      <c r="L26" s="291">
        <v>16.0</v>
      </c>
      <c r="M26" s="291">
        <v>1.0</v>
      </c>
      <c r="N26" s="291">
        <v>747.0</v>
      </c>
      <c r="O26" s="291">
        <v>861.0</v>
      </c>
      <c r="P26" s="291">
        <v>46.0</v>
      </c>
      <c r="Q26" s="291">
        <v>3.0</v>
      </c>
      <c r="R26" s="291">
        <v>1.0</v>
      </c>
      <c r="S26" s="291">
        <v>1.0</v>
      </c>
      <c r="T26" s="291">
        <v>0.0</v>
      </c>
      <c r="U26" s="291">
        <v>0.0</v>
      </c>
      <c r="V26" s="291">
        <v>6.0</v>
      </c>
      <c r="W26" s="291">
        <v>0.0</v>
      </c>
      <c r="X26" s="291">
        <v>0.0</v>
      </c>
      <c r="Y26" s="291">
        <v>0.0</v>
      </c>
      <c r="Z26" s="291">
        <v>0.0</v>
      </c>
      <c r="AA26" s="291">
        <v>0.0</v>
      </c>
      <c r="AB26" s="291">
        <v>0.0</v>
      </c>
      <c r="AC26" s="291">
        <v>0.0</v>
      </c>
      <c r="AD26" s="291">
        <v>0.0</v>
      </c>
      <c r="AE26" s="291">
        <v>0.0</v>
      </c>
      <c r="AF26" s="291">
        <v>0.0</v>
      </c>
      <c r="AG26" s="291">
        <v>0.0</v>
      </c>
      <c r="AH26" s="291">
        <v>0.0</v>
      </c>
      <c r="AI26" s="285" t="s">
        <v>320</v>
      </c>
    </row>
    <row r="27">
      <c r="A27" s="286" t="s">
        <v>91</v>
      </c>
      <c r="B27" s="287">
        <v>0.0</v>
      </c>
      <c r="C27" s="287">
        <v>1.0</v>
      </c>
      <c r="D27" s="287">
        <v>0.0</v>
      </c>
      <c r="E27" s="287">
        <v>1.0</v>
      </c>
      <c r="F27" s="287">
        <v>0.0</v>
      </c>
      <c r="G27" s="287">
        <v>1.0</v>
      </c>
      <c r="H27" s="287">
        <v>60.0</v>
      </c>
      <c r="I27" s="287">
        <v>7.0</v>
      </c>
      <c r="J27" s="287">
        <v>41.0</v>
      </c>
      <c r="K27" s="287">
        <v>19.0</v>
      </c>
      <c r="L27" s="287">
        <v>4.0</v>
      </c>
      <c r="M27" s="287">
        <v>2.0</v>
      </c>
      <c r="N27" s="287">
        <v>669.0</v>
      </c>
      <c r="O27" s="287">
        <v>861.0</v>
      </c>
      <c r="P27" s="287">
        <v>16.0</v>
      </c>
      <c r="Q27" s="287">
        <v>0.0</v>
      </c>
      <c r="R27" s="287">
        <v>0.0</v>
      </c>
      <c r="S27" s="287">
        <v>0.0</v>
      </c>
      <c r="T27" s="287">
        <v>0.0</v>
      </c>
      <c r="U27" s="287">
        <v>0.0</v>
      </c>
      <c r="V27" s="287">
        <v>11.0</v>
      </c>
      <c r="W27" s="287">
        <v>3.0</v>
      </c>
      <c r="X27" s="287">
        <v>1.0</v>
      </c>
      <c r="Y27" s="287">
        <v>0.0</v>
      </c>
      <c r="Z27" s="287">
        <v>0.0</v>
      </c>
      <c r="AA27" s="287">
        <v>0.0</v>
      </c>
      <c r="AB27" s="287">
        <v>0.0</v>
      </c>
      <c r="AC27" s="287">
        <v>0.0</v>
      </c>
      <c r="AD27" s="287">
        <v>0.0</v>
      </c>
      <c r="AE27" s="287">
        <v>0.0</v>
      </c>
      <c r="AF27" s="287">
        <v>2.0</v>
      </c>
      <c r="AG27" s="287">
        <v>0.0</v>
      </c>
      <c r="AH27" s="287">
        <v>0.0</v>
      </c>
      <c r="AI27" s="1" t="s">
        <v>320</v>
      </c>
    </row>
    <row r="28">
      <c r="A28" s="286" t="s">
        <v>111</v>
      </c>
      <c r="B28" s="287">
        <v>0.0</v>
      </c>
      <c r="C28" s="287">
        <v>1.0</v>
      </c>
      <c r="D28" s="287">
        <v>0.0</v>
      </c>
      <c r="E28" s="287">
        <v>1.0</v>
      </c>
      <c r="F28" s="287">
        <v>0.0</v>
      </c>
      <c r="G28" s="287">
        <v>0.0</v>
      </c>
      <c r="H28" s="287">
        <v>59.0</v>
      </c>
      <c r="I28" s="287">
        <v>5.0</v>
      </c>
      <c r="J28" s="287">
        <v>41.0</v>
      </c>
      <c r="K28" s="287">
        <v>18.0</v>
      </c>
      <c r="L28" s="287">
        <v>5.0</v>
      </c>
      <c r="M28" s="287">
        <v>2.0</v>
      </c>
      <c r="N28" s="287">
        <v>670.0</v>
      </c>
      <c r="O28" s="287">
        <v>861.0</v>
      </c>
      <c r="P28" s="287">
        <v>16.0</v>
      </c>
      <c r="Q28" s="287">
        <v>1.0</v>
      </c>
      <c r="R28" s="287">
        <v>0.0</v>
      </c>
      <c r="S28" s="287">
        <v>0.0</v>
      </c>
      <c r="T28" s="287">
        <v>0.0</v>
      </c>
      <c r="U28" s="287">
        <v>0.0</v>
      </c>
      <c r="V28" s="287">
        <v>10.0</v>
      </c>
      <c r="W28" s="287">
        <v>3.0</v>
      </c>
      <c r="X28" s="287">
        <v>1.0</v>
      </c>
      <c r="Y28" s="287">
        <v>0.0</v>
      </c>
      <c r="Z28" s="287">
        <v>0.0</v>
      </c>
      <c r="AA28" s="287">
        <v>0.0</v>
      </c>
      <c r="AB28" s="287">
        <v>0.0</v>
      </c>
      <c r="AC28" s="287">
        <v>0.0</v>
      </c>
      <c r="AD28" s="287">
        <v>0.0</v>
      </c>
      <c r="AE28" s="287">
        <v>0.0</v>
      </c>
      <c r="AF28" s="287">
        <v>1.0</v>
      </c>
      <c r="AG28" s="287">
        <v>0.0</v>
      </c>
      <c r="AH28" s="287">
        <v>1.0</v>
      </c>
      <c r="AI28" s="1" t="s">
        <v>320</v>
      </c>
    </row>
    <row r="29">
      <c r="A29" s="286" t="s">
        <v>116</v>
      </c>
      <c r="B29" s="287">
        <v>0.0</v>
      </c>
      <c r="C29" s="287">
        <v>1.0</v>
      </c>
      <c r="D29" s="287">
        <v>0.0</v>
      </c>
      <c r="E29" s="287">
        <v>1.0</v>
      </c>
      <c r="F29" s="287">
        <v>0.0</v>
      </c>
      <c r="G29" s="287">
        <v>0.0</v>
      </c>
      <c r="H29" s="287">
        <v>37.0</v>
      </c>
      <c r="I29" s="287">
        <v>6.0</v>
      </c>
      <c r="J29" s="287">
        <v>50.0</v>
      </c>
      <c r="K29" s="287">
        <v>-13.0</v>
      </c>
      <c r="L29" s="287">
        <v>3.0</v>
      </c>
      <c r="M29" s="287">
        <v>1.0</v>
      </c>
      <c r="N29" s="287">
        <v>644.0</v>
      </c>
      <c r="O29" s="287">
        <v>861.0</v>
      </c>
      <c r="P29" s="287">
        <v>12.0</v>
      </c>
      <c r="Q29" s="287">
        <v>0.0</v>
      </c>
      <c r="R29" s="287">
        <v>0.0</v>
      </c>
      <c r="S29" s="287">
        <v>0.0</v>
      </c>
      <c r="T29" s="287">
        <v>0.0</v>
      </c>
      <c r="U29" s="287">
        <v>0.0</v>
      </c>
      <c r="V29" s="287">
        <v>6.0</v>
      </c>
      <c r="W29" s="287">
        <v>0.0</v>
      </c>
      <c r="X29" s="287">
        <v>0.0</v>
      </c>
      <c r="Y29" s="287">
        <v>0.0</v>
      </c>
      <c r="Z29" s="287">
        <v>0.0</v>
      </c>
      <c r="AA29" s="287">
        <v>0.0</v>
      </c>
      <c r="AB29" s="287">
        <v>0.0</v>
      </c>
      <c r="AC29" s="287">
        <v>0.0</v>
      </c>
      <c r="AD29" s="287">
        <v>0.0</v>
      </c>
      <c r="AE29" s="287">
        <v>0.0</v>
      </c>
      <c r="AF29" s="287">
        <v>0.0</v>
      </c>
      <c r="AG29" s="287">
        <v>0.0</v>
      </c>
      <c r="AH29" s="287">
        <v>0.0</v>
      </c>
      <c r="AI29" s="1" t="s">
        <v>320</v>
      </c>
    </row>
    <row r="30">
      <c r="A30" s="286" t="s">
        <v>113</v>
      </c>
      <c r="B30" s="287">
        <v>1.0</v>
      </c>
      <c r="C30" s="287">
        <v>1.0</v>
      </c>
      <c r="D30" s="287">
        <v>0.0</v>
      </c>
      <c r="E30" s="287">
        <v>0.0</v>
      </c>
      <c r="F30" s="287">
        <v>1.0</v>
      </c>
      <c r="G30" s="287">
        <v>0.0</v>
      </c>
      <c r="H30" s="287">
        <v>39.0</v>
      </c>
      <c r="I30" s="287">
        <v>1.0</v>
      </c>
      <c r="J30" s="287">
        <v>44.0</v>
      </c>
      <c r="K30" s="287">
        <v>-5.0</v>
      </c>
      <c r="L30" s="287">
        <v>4.0</v>
      </c>
      <c r="M30" s="287">
        <v>0.0</v>
      </c>
      <c r="N30" s="287">
        <v>666.0</v>
      </c>
      <c r="O30" s="287">
        <v>861.0</v>
      </c>
      <c r="P30" s="287">
        <v>15.0</v>
      </c>
      <c r="Q30" s="287">
        <v>0.0</v>
      </c>
      <c r="R30" s="287">
        <v>0.0</v>
      </c>
      <c r="S30" s="287">
        <v>0.0</v>
      </c>
      <c r="T30" s="287">
        <v>0.0</v>
      </c>
      <c r="U30" s="287">
        <v>0.0</v>
      </c>
      <c r="V30" s="287">
        <v>4.0</v>
      </c>
      <c r="W30" s="287">
        <v>0.0</v>
      </c>
      <c r="X30" s="287">
        <v>0.0</v>
      </c>
      <c r="Y30" s="287">
        <v>0.0</v>
      </c>
      <c r="Z30" s="287">
        <v>0.0</v>
      </c>
      <c r="AA30" s="287">
        <v>0.0</v>
      </c>
      <c r="AB30" s="287">
        <v>0.0</v>
      </c>
      <c r="AC30" s="287">
        <v>0.0</v>
      </c>
      <c r="AD30" s="287">
        <v>0.0</v>
      </c>
      <c r="AE30" s="287">
        <v>0.0</v>
      </c>
      <c r="AF30" s="287">
        <v>0.0</v>
      </c>
      <c r="AG30" s="287">
        <v>0.0</v>
      </c>
      <c r="AH30" s="287">
        <v>0.0</v>
      </c>
      <c r="AI30" s="1" t="s">
        <v>320</v>
      </c>
    </row>
    <row r="31">
      <c r="A31" s="286" t="s">
        <v>77</v>
      </c>
      <c r="B31" s="287">
        <v>1.0</v>
      </c>
      <c r="C31" s="287">
        <v>1.0</v>
      </c>
      <c r="D31" s="287">
        <v>0.0</v>
      </c>
      <c r="E31" s="287">
        <v>0.0</v>
      </c>
      <c r="F31" s="287">
        <v>1.0</v>
      </c>
      <c r="G31" s="287">
        <v>0.0</v>
      </c>
      <c r="H31" s="287">
        <v>29.0</v>
      </c>
      <c r="I31" s="287">
        <v>2.0</v>
      </c>
      <c r="J31" s="287">
        <v>61.0</v>
      </c>
      <c r="K31" s="287">
        <v>-32.0</v>
      </c>
      <c r="L31" s="287">
        <v>3.0</v>
      </c>
      <c r="M31" s="287">
        <v>0.0</v>
      </c>
      <c r="N31" s="287">
        <v>617.0</v>
      </c>
      <c r="O31" s="287">
        <v>861.0</v>
      </c>
      <c r="P31" s="287">
        <v>10.0</v>
      </c>
      <c r="Q31" s="287">
        <v>0.0</v>
      </c>
      <c r="R31" s="287">
        <v>0.0</v>
      </c>
      <c r="S31" s="287">
        <v>0.0</v>
      </c>
      <c r="T31" s="287">
        <v>0.0</v>
      </c>
      <c r="U31" s="287">
        <v>0.0</v>
      </c>
      <c r="V31" s="287">
        <v>5.0</v>
      </c>
      <c r="W31" s="287">
        <v>0.0</v>
      </c>
      <c r="X31" s="287">
        <v>0.0</v>
      </c>
      <c r="Y31" s="287">
        <v>0.0</v>
      </c>
      <c r="Z31" s="287">
        <v>0.0</v>
      </c>
      <c r="AA31" s="287">
        <v>0.0</v>
      </c>
      <c r="AB31" s="287">
        <v>0.0</v>
      </c>
      <c r="AC31" s="287">
        <v>0.0</v>
      </c>
      <c r="AD31" s="287">
        <v>0.0</v>
      </c>
      <c r="AE31" s="287">
        <v>0.0</v>
      </c>
      <c r="AF31" s="287">
        <v>0.0</v>
      </c>
      <c r="AG31" s="287">
        <v>0.0</v>
      </c>
      <c r="AH31" s="287">
        <v>0.0</v>
      </c>
      <c r="AI31" s="1" t="s">
        <v>320</v>
      </c>
    </row>
    <row r="32">
      <c r="A32" s="286" t="s">
        <v>97</v>
      </c>
      <c r="B32" s="287">
        <v>1.0</v>
      </c>
      <c r="C32" s="287">
        <v>1.0</v>
      </c>
      <c r="D32" s="287">
        <v>0.0</v>
      </c>
      <c r="E32" s="287">
        <v>0.0</v>
      </c>
      <c r="F32" s="287">
        <v>1.0</v>
      </c>
      <c r="G32" s="287">
        <v>0.0</v>
      </c>
      <c r="H32" s="287">
        <v>29.0</v>
      </c>
      <c r="I32" s="287">
        <v>2.0</v>
      </c>
      <c r="J32" s="287">
        <v>52.0</v>
      </c>
      <c r="K32" s="287">
        <v>-23.0</v>
      </c>
      <c r="L32" s="287">
        <v>4.0</v>
      </c>
      <c r="M32" s="287">
        <v>2.0</v>
      </c>
      <c r="N32" s="287">
        <v>642.0</v>
      </c>
      <c r="O32" s="287">
        <v>861.0</v>
      </c>
      <c r="P32" s="287">
        <v>12.0</v>
      </c>
      <c r="Q32" s="287">
        <v>0.0</v>
      </c>
      <c r="R32" s="287">
        <v>0.0</v>
      </c>
      <c r="S32" s="287">
        <v>0.0</v>
      </c>
      <c r="T32" s="287">
        <v>0.0</v>
      </c>
      <c r="U32" s="287">
        <v>0.0</v>
      </c>
      <c r="V32" s="287">
        <v>1.0</v>
      </c>
      <c r="W32" s="287">
        <v>0.0</v>
      </c>
      <c r="X32" s="287">
        <v>0.0</v>
      </c>
      <c r="Y32" s="287">
        <v>0.0</v>
      </c>
      <c r="Z32" s="287">
        <v>0.0</v>
      </c>
      <c r="AA32" s="287">
        <v>0.0</v>
      </c>
      <c r="AB32" s="287">
        <v>0.0</v>
      </c>
      <c r="AC32" s="287">
        <v>0.0</v>
      </c>
      <c r="AD32" s="287">
        <v>0.0</v>
      </c>
      <c r="AE32" s="287">
        <v>0.0</v>
      </c>
      <c r="AF32" s="287">
        <v>0.0</v>
      </c>
      <c r="AG32" s="287">
        <v>0.0</v>
      </c>
      <c r="AH32" s="287">
        <v>0.0</v>
      </c>
      <c r="AI32" s="1" t="s">
        <v>320</v>
      </c>
    </row>
    <row r="33">
      <c r="A33" s="288" t="s">
        <v>98</v>
      </c>
      <c r="B33" s="289">
        <v>1.0</v>
      </c>
      <c r="C33" s="289">
        <v>1.0</v>
      </c>
      <c r="D33" s="289">
        <v>0.0</v>
      </c>
      <c r="E33" s="289">
        <v>0.0</v>
      </c>
      <c r="F33" s="289">
        <v>1.0</v>
      </c>
      <c r="G33" s="289">
        <v>0.0</v>
      </c>
      <c r="H33" s="289">
        <v>42.0</v>
      </c>
      <c r="I33" s="289">
        <v>4.0</v>
      </c>
      <c r="J33" s="289">
        <v>60.0</v>
      </c>
      <c r="K33" s="289">
        <v>-18.0</v>
      </c>
      <c r="L33" s="289">
        <v>3.0</v>
      </c>
      <c r="M33" s="289">
        <v>1.0</v>
      </c>
      <c r="N33" s="289">
        <v>620.0</v>
      </c>
      <c r="O33" s="289">
        <v>861.0</v>
      </c>
      <c r="P33" s="289">
        <v>10.0</v>
      </c>
      <c r="Q33" s="289">
        <v>0.0</v>
      </c>
      <c r="R33" s="289">
        <v>0.0</v>
      </c>
      <c r="S33" s="289">
        <v>0.0</v>
      </c>
      <c r="T33" s="289">
        <v>0.0</v>
      </c>
      <c r="U33" s="289">
        <v>0.0</v>
      </c>
      <c r="V33" s="289">
        <v>6.0</v>
      </c>
      <c r="W33" s="289">
        <v>0.0</v>
      </c>
      <c r="X33" s="289">
        <v>0.0</v>
      </c>
      <c r="Y33" s="289">
        <v>0.0</v>
      </c>
      <c r="Z33" s="289">
        <v>0.0</v>
      </c>
      <c r="AA33" s="289">
        <v>0.0</v>
      </c>
      <c r="AB33" s="289">
        <v>0.0</v>
      </c>
      <c r="AC33" s="289">
        <v>0.0</v>
      </c>
      <c r="AD33" s="289">
        <v>0.0</v>
      </c>
      <c r="AE33" s="289">
        <v>0.0</v>
      </c>
      <c r="AF33" s="289">
        <v>0.0</v>
      </c>
      <c r="AG33" s="289">
        <v>0.0</v>
      </c>
      <c r="AH33" s="289">
        <v>0.0</v>
      </c>
      <c r="AI33" s="290" t="s">
        <v>320</v>
      </c>
    </row>
    <row r="34">
      <c r="A34" s="292" t="s">
        <v>105</v>
      </c>
      <c r="B34" s="291">
        <v>1.0</v>
      </c>
      <c r="C34" s="291">
        <v>1.0</v>
      </c>
      <c r="D34" s="291">
        <v>0.0</v>
      </c>
      <c r="E34" s="291">
        <v>1.0</v>
      </c>
      <c r="F34" s="291">
        <v>0.0</v>
      </c>
      <c r="G34" s="293">
        <v>4.0</v>
      </c>
      <c r="H34" s="293">
        <v>71.0</v>
      </c>
      <c r="I34" s="293">
        <v>4.0</v>
      </c>
      <c r="J34" s="293">
        <v>58.0</v>
      </c>
      <c r="K34" s="293">
        <v>13.0</v>
      </c>
      <c r="L34" s="293">
        <v>6.0</v>
      </c>
      <c r="M34" s="293">
        <v>2.0</v>
      </c>
      <c r="N34" s="293">
        <v>1925.0</v>
      </c>
      <c r="O34" s="293">
        <v>2216.0</v>
      </c>
      <c r="P34" s="293">
        <v>33.0</v>
      </c>
      <c r="Q34" s="293">
        <v>2.0</v>
      </c>
      <c r="R34" s="293">
        <v>0.0</v>
      </c>
      <c r="S34" s="293">
        <v>0.0</v>
      </c>
      <c r="T34" s="293">
        <v>0.0</v>
      </c>
      <c r="U34" s="293">
        <v>0.0</v>
      </c>
      <c r="V34" s="293">
        <v>10.0</v>
      </c>
      <c r="W34" s="293">
        <v>2.0</v>
      </c>
      <c r="X34" s="293">
        <v>0.0</v>
      </c>
      <c r="Y34" s="293">
        <v>0.0</v>
      </c>
      <c r="Z34" s="293">
        <v>0.0</v>
      </c>
      <c r="AA34" s="293">
        <v>0.0</v>
      </c>
      <c r="AB34" s="293">
        <v>0.0</v>
      </c>
      <c r="AC34" s="293">
        <v>0.0</v>
      </c>
      <c r="AD34" s="293">
        <v>0.0</v>
      </c>
      <c r="AE34" s="293">
        <v>0.0</v>
      </c>
      <c r="AF34" s="293">
        <v>2.0</v>
      </c>
      <c r="AG34" s="293">
        <v>0.0</v>
      </c>
      <c r="AH34" s="293">
        <v>0.0</v>
      </c>
      <c r="AI34" s="293" t="s">
        <v>321</v>
      </c>
    </row>
    <row r="35">
      <c r="A35" s="294" t="s">
        <v>100</v>
      </c>
      <c r="B35" s="287">
        <v>1.0</v>
      </c>
      <c r="C35" s="287">
        <v>1.0</v>
      </c>
      <c r="D35" s="287">
        <v>0.0</v>
      </c>
      <c r="E35" s="287">
        <v>1.0</v>
      </c>
      <c r="F35" s="287">
        <v>0.0</v>
      </c>
      <c r="G35" s="295">
        <v>1.0</v>
      </c>
      <c r="H35" s="295">
        <v>111.0</v>
      </c>
      <c r="I35" s="295">
        <v>12.0</v>
      </c>
      <c r="J35" s="295">
        <v>139.0</v>
      </c>
      <c r="K35" s="295">
        <v>-28.0</v>
      </c>
      <c r="L35" s="295">
        <v>6.0</v>
      </c>
      <c r="M35" s="295">
        <v>1.0</v>
      </c>
      <c r="N35" s="295">
        <v>1681.0</v>
      </c>
      <c r="O35" s="295">
        <v>2216.0</v>
      </c>
      <c r="P35" s="295">
        <v>12.0</v>
      </c>
      <c r="Q35" s="295">
        <v>5.0</v>
      </c>
      <c r="R35" s="295">
        <v>0.0</v>
      </c>
      <c r="S35" s="295">
        <v>0.0</v>
      </c>
      <c r="T35" s="295">
        <v>0.0</v>
      </c>
      <c r="U35" s="295">
        <v>0.0</v>
      </c>
      <c r="V35" s="295">
        <v>13.0</v>
      </c>
      <c r="W35" s="295">
        <v>4.0</v>
      </c>
      <c r="X35" s="295">
        <v>2.0</v>
      </c>
      <c r="Y35" s="295">
        <v>0.0</v>
      </c>
      <c r="Z35" s="295">
        <v>0.0</v>
      </c>
      <c r="AA35" s="295">
        <v>0.0</v>
      </c>
      <c r="AB35" s="295">
        <v>0.0</v>
      </c>
      <c r="AC35" s="295">
        <v>0.0</v>
      </c>
      <c r="AD35" s="295">
        <v>0.0</v>
      </c>
      <c r="AE35" s="295">
        <v>0.0</v>
      </c>
      <c r="AF35" s="295">
        <v>4.0</v>
      </c>
      <c r="AG35" s="295">
        <v>0.0</v>
      </c>
      <c r="AH35" s="295">
        <v>5.0</v>
      </c>
      <c r="AI35" s="295" t="s">
        <v>321</v>
      </c>
    </row>
    <row r="36">
      <c r="A36" s="296" t="s">
        <v>83</v>
      </c>
      <c r="B36" s="287">
        <v>1.0</v>
      </c>
      <c r="C36" s="287">
        <v>1.0</v>
      </c>
      <c r="D36" s="287">
        <v>0.0</v>
      </c>
      <c r="E36" s="287">
        <v>1.0</v>
      </c>
      <c r="F36" s="287">
        <v>0.0</v>
      </c>
      <c r="G36" s="295">
        <v>0.0</v>
      </c>
      <c r="H36" s="295">
        <v>174.0</v>
      </c>
      <c r="I36" s="295">
        <v>8.0</v>
      </c>
      <c r="J36" s="295">
        <v>146.0</v>
      </c>
      <c r="K36" s="295">
        <v>28.0</v>
      </c>
      <c r="L36" s="295">
        <v>7.0</v>
      </c>
      <c r="M36" s="295">
        <v>0.0</v>
      </c>
      <c r="N36" s="295">
        <v>1653.0</v>
      </c>
      <c r="O36" s="295">
        <v>2216.0</v>
      </c>
      <c r="P36" s="295">
        <v>11.0</v>
      </c>
      <c r="Q36" s="295">
        <v>5.0</v>
      </c>
      <c r="R36" s="295">
        <v>0.0</v>
      </c>
      <c r="S36" s="295">
        <v>0.0</v>
      </c>
      <c r="T36" s="295">
        <v>0.0</v>
      </c>
      <c r="U36" s="295">
        <v>0.0</v>
      </c>
      <c r="V36" s="295">
        <v>29.0</v>
      </c>
      <c r="W36" s="295">
        <v>9.0</v>
      </c>
      <c r="X36" s="295">
        <v>2.0</v>
      </c>
      <c r="Y36" s="295">
        <v>0.0</v>
      </c>
      <c r="Z36" s="295">
        <v>0.0</v>
      </c>
      <c r="AA36" s="295">
        <v>0.0</v>
      </c>
      <c r="AB36" s="295">
        <v>0.0</v>
      </c>
      <c r="AC36" s="295">
        <v>0.0</v>
      </c>
      <c r="AD36" s="295">
        <v>0.0</v>
      </c>
      <c r="AE36" s="295">
        <v>0.0</v>
      </c>
      <c r="AF36" s="295">
        <v>7.0</v>
      </c>
      <c r="AG36" s="295">
        <v>0.0</v>
      </c>
      <c r="AH36" s="295">
        <v>5.0</v>
      </c>
      <c r="AI36" s="295" t="s">
        <v>321</v>
      </c>
    </row>
    <row r="37">
      <c r="A37" s="296" t="s">
        <v>93</v>
      </c>
      <c r="B37" s="287">
        <v>1.0</v>
      </c>
      <c r="C37" s="287">
        <v>1.0</v>
      </c>
      <c r="D37" s="287">
        <v>0.0</v>
      </c>
      <c r="E37" s="287">
        <v>1.0</v>
      </c>
      <c r="F37" s="287">
        <v>0.0</v>
      </c>
      <c r="G37" s="295">
        <v>0.0</v>
      </c>
      <c r="H37" s="295">
        <v>146.0</v>
      </c>
      <c r="I37" s="295">
        <v>9.0</v>
      </c>
      <c r="J37" s="295">
        <v>144.0</v>
      </c>
      <c r="K37" s="295">
        <v>2.0</v>
      </c>
      <c r="L37" s="295">
        <v>4.0</v>
      </c>
      <c r="M37" s="295">
        <v>1.0</v>
      </c>
      <c r="N37" s="295">
        <v>1656.0</v>
      </c>
      <c r="O37" s="295">
        <v>2216.0</v>
      </c>
      <c r="P37" s="295">
        <v>11.0</v>
      </c>
      <c r="Q37" s="295">
        <v>0.0</v>
      </c>
      <c r="R37" s="295">
        <v>0.0</v>
      </c>
      <c r="S37" s="295">
        <v>0.0</v>
      </c>
      <c r="T37" s="295">
        <v>0.0</v>
      </c>
      <c r="U37" s="295">
        <v>0.0</v>
      </c>
      <c r="V37" s="295">
        <v>23.0</v>
      </c>
      <c r="W37" s="295">
        <v>3.0</v>
      </c>
      <c r="X37" s="295">
        <v>0.0</v>
      </c>
      <c r="Y37" s="295">
        <v>0.0</v>
      </c>
      <c r="Z37" s="295">
        <v>0.0</v>
      </c>
      <c r="AA37" s="295">
        <v>0.0</v>
      </c>
      <c r="AB37" s="295">
        <v>0.0</v>
      </c>
      <c r="AC37" s="295">
        <v>0.0</v>
      </c>
      <c r="AD37" s="295">
        <v>0.0</v>
      </c>
      <c r="AE37" s="295">
        <v>0.0</v>
      </c>
      <c r="AF37" s="295">
        <v>2.0</v>
      </c>
      <c r="AG37" s="295">
        <v>0.0</v>
      </c>
      <c r="AH37" s="295">
        <v>0.0</v>
      </c>
      <c r="AI37" s="295" t="s">
        <v>321</v>
      </c>
    </row>
    <row r="38">
      <c r="A38" s="296" t="s">
        <v>112</v>
      </c>
      <c r="B38" s="287">
        <v>0.0</v>
      </c>
      <c r="C38" s="287">
        <v>1.0</v>
      </c>
      <c r="D38" s="287">
        <v>0.0</v>
      </c>
      <c r="E38" s="287">
        <v>0.0</v>
      </c>
      <c r="F38" s="287">
        <v>1.0</v>
      </c>
      <c r="G38" s="295">
        <v>3.0</v>
      </c>
      <c r="H38" s="295">
        <v>130.0</v>
      </c>
      <c r="I38" s="295">
        <v>13.0</v>
      </c>
      <c r="J38" s="295">
        <v>94.0</v>
      </c>
      <c r="K38" s="295">
        <v>36.0</v>
      </c>
      <c r="L38" s="295">
        <v>10.0</v>
      </c>
      <c r="M38" s="295">
        <v>5.0</v>
      </c>
      <c r="N38" s="295">
        <v>1813.0</v>
      </c>
      <c r="O38" s="295">
        <v>2216.0</v>
      </c>
      <c r="P38" s="295">
        <v>19.0</v>
      </c>
      <c r="Q38" s="295">
        <v>3.0</v>
      </c>
      <c r="R38" s="295">
        <v>2.0</v>
      </c>
      <c r="S38" s="295">
        <v>0.0</v>
      </c>
      <c r="T38" s="295">
        <v>0.0</v>
      </c>
      <c r="U38" s="295">
        <v>0.0</v>
      </c>
      <c r="V38" s="295">
        <v>22.0</v>
      </c>
      <c r="W38" s="295">
        <v>3.0</v>
      </c>
      <c r="X38" s="295">
        <v>1.0</v>
      </c>
      <c r="Y38" s="295">
        <v>1.0</v>
      </c>
      <c r="Z38" s="295">
        <v>0.0</v>
      </c>
      <c r="AA38" s="295">
        <v>0.0</v>
      </c>
      <c r="AB38" s="295">
        <v>0.0</v>
      </c>
      <c r="AC38" s="295">
        <v>0.0</v>
      </c>
      <c r="AD38" s="295">
        <v>0.0</v>
      </c>
      <c r="AE38" s="295">
        <v>0.0</v>
      </c>
      <c r="AF38" s="295">
        <v>1.0</v>
      </c>
      <c r="AG38" s="295">
        <v>0.0</v>
      </c>
      <c r="AH38" s="295">
        <v>1.0</v>
      </c>
      <c r="AI38" s="295" t="s">
        <v>321</v>
      </c>
    </row>
    <row r="39">
      <c r="A39" s="296" t="s">
        <v>90</v>
      </c>
      <c r="B39" s="287">
        <v>0.0</v>
      </c>
      <c r="C39" s="287">
        <v>1.0</v>
      </c>
      <c r="D39" s="287">
        <v>0.0</v>
      </c>
      <c r="E39" s="287">
        <v>0.0</v>
      </c>
      <c r="F39" s="287">
        <v>1.0</v>
      </c>
      <c r="G39" s="295">
        <v>1.0</v>
      </c>
      <c r="H39" s="295">
        <v>105.0</v>
      </c>
      <c r="I39" s="295">
        <v>7.0</v>
      </c>
      <c r="J39" s="295">
        <v>141.0</v>
      </c>
      <c r="K39" s="295">
        <v>-36.0</v>
      </c>
      <c r="L39" s="295">
        <v>5.0</v>
      </c>
      <c r="M39" s="295">
        <v>4.0</v>
      </c>
      <c r="N39" s="295">
        <v>1669.0</v>
      </c>
      <c r="O39" s="295">
        <v>2216.0</v>
      </c>
      <c r="P39" s="295">
        <v>11.0</v>
      </c>
      <c r="Q39" s="295">
        <v>2.0</v>
      </c>
      <c r="R39" s="295">
        <v>0.0</v>
      </c>
      <c r="S39" s="295">
        <v>0.0</v>
      </c>
      <c r="T39" s="295">
        <v>0.0</v>
      </c>
      <c r="U39" s="295">
        <v>0.0</v>
      </c>
      <c r="V39" s="295">
        <v>16.0</v>
      </c>
      <c r="W39" s="295">
        <v>3.0</v>
      </c>
      <c r="X39" s="295">
        <v>0.0</v>
      </c>
      <c r="Y39" s="295">
        <v>0.0</v>
      </c>
      <c r="Z39" s="295">
        <v>0.0</v>
      </c>
      <c r="AA39" s="295">
        <v>0.0</v>
      </c>
      <c r="AB39" s="295">
        <v>0.0</v>
      </c>
      <c r="AC39" s="295">
        <v>0.0</v>
      </c>
      <c r="AD39" s="295">
        <v>0.0</v>
      </c>
      <c r="AE39" s="295">
        <v>0.0</v>
      </c>
      <c r="AF39" s="295">
        <v>5.0</v>
      </c>
      <c r="AG39" s="295">
        <v>0.0</v>
      </c>
      <c r="AH39" s="295">
        <v>1.0</v>
      </c>
      <c r="AI39" s="295" t="s">
        <v>321</v>
      </c>
    </row>
    <row r="40">
      <c r="A40" s="296" t="s">
        <v>78</v>
      </c>
      <c r="B40" s="287">
        <v>0.0</v>
      </c>
      <c r="C40" s="287">
        <v>1.0</v>
      </c>
      <c r="D40" s="287">
        <v>0.0</v>
      </c>
      <c r="E40" s="287">
        <v>0.0</v>
      </c>
      <c r="F40" s="287">
        <v>1.0</v>
      </c>
      <c r="G40" s="295">
        <v>0.0</v>
      </c>
      <c r="H40" s="295">
        <v>84.0</v>
      </c>
      <c r="I40" s="295">
        <v>4.0</v>
      </c>
      <c r="J40" s="295">
        <v>142.0</v>
      </c>
      <c r="K40" s="295">
        <v>-58.0</v>
      </c>
      <c r="L40" s="295">
        <v>5.0</v>
      </c>
      <c r="M40" s="295">
        <v>0.0</v>
      </c>
      <c r="N40" s="295">
        <v>1665.0</v>
      </c>
      <c r="O40" s="295">
        <v>2216.0</v>
      </c>
      <c r="P40" s="295">
        <v>11.0</v>
      </c>
      <c r="Q40" s="295">
        <v>1.0</v>
      </c>
      <c r="R40" s="295">
        <v>0.0</v>
      </c>
      <c r="S40" s="295">
        <v>0.0</v>
      </c>
      <c r="T40" s="295">
        <v>0.0</v>
      </c>
      <c r="U40" s="295">
        <v>0.0</v>
      </c>
      <c r="V40" s="295">
        <v>5.0</v>
      </c>
      <c r="W40" s="295">
        <v>2.0</v>
      </c>
      <c r="X40" s="295">
        <v>1.0</v>
      </c>
      <c r="Y40" s="295">
        <v>0.0</v>
      </c>
      <c r="Z40" s="295">
        <v>0.0</v>
      </c>
      <c r="AA40" s="295">
        <v>0.0</v>
      </c>
      <c r="AB40" s="295">
        <v>0.0</v>
      </c>
      <c r="AC40" s="295">
        <v>0.0</v>
      </c>
      <c r="AD40" s="295">
        <v>0.0</v>
      </c>
      <c r="AE40" s="295">
        <v>0.0</v>
      </c>
      <c r="AF40" s="295">
        <v>2.0</v>
      </c>
      <c r="AG40" s="295">
        <v>0.0</v>
      </c>
      <c r="AH40" s="295">
        <v>1.0</v>
      </c>
      <c r="AI40" s="295" t="s">
        <v>321</v>
      </c>
    </row>
    <row r="41">
      <c r="A41" s="297" t="s">
        <v>114</v>
      </c>
      <c r="B41" s="289">
        <v>0.0</v>
      </c>
      <c r="C41" s="289">
        <v>1.0</v>
      </c>
      <c r="D41" s="289">
        <v>0.0</v>
      </c>
      <c r="E41" s="289">
        <v>0.0</v>
      </c>
      <c r="F41" s="289">
        <v>1.0</v>
      </c>
      <c r="G41" s="298">
        <v>0.0</v>
      </c>
      <c r="H41" s="298">
        <v>154.0</v>
      </c>
      <c r="I41" s="298">
        <v>8.0</v>
      </c>
      <c r="J41" s="298">
        <v>146.0</v>
      </c>
      <c r="K41" s="298">
        <v>8.0</v>
      </c>
      <c r="L41" s="298">
        <v>6.0</v>
      </c>
      <c r="M41" s="298">
        <v>3.0</v>
      </c>
      <c r="N41" s="298">
        <v>1659.0</v>
      </c>
      <c r="O41" s="298">
        <v>2216.0</v>
      </c>
      <c r="P41" s="298">
        <v>11.0</v>
      </c>
      <c r="Q41" s="298">
        <v>2.0</v>
      </c>
      <c r="R41" s="298">
        <v>0.0</v>
      </c>
      <c r="S41" s="298">
        <v>0.0</v>
      </c>
      <c r="T41" s="298">
        <v>0.0</v>
      </c>
      <c r="U41" s="298">
        <v>0.0</v>
      </c>
      <c r="V41" s="298">
        <v>28.0</v>
      </c>
      <c r="W41" s="298">
        <v>8.0</v>
      </c>
      <c r="X41" s="298">
        <v>2.0</v>
      </c>
      <c r="Y41" s="298">
        <v>0.0</v>
      </c>
      <c r="Z41" s="298">
        <v>0.0</v>
      </c>
      <c r="AA41" s="298">
        <v>0.0</v>
      </c>
      <c r="AB41" s="298">
        <v>0.0</v>
      </c>
      <c r="AC41" s="298">
        <v>0.0</v>
      </c>
      <c r="AD41" s="298">
        <v>0.0</v>
      </c>
      <c r="AE41" s="298">
        <v>0.0</v>
      </c>
      <c r="AF41" s="298">
        <v>1.0</v>
      </c>
      <c r="AG41" s="298">
        <v>0.0</v>
      </c>
      <c r="AH41" s="298">
        <v>2.0</v>
      </c>
      <c r="AI41" s="298" t="s">
        <v>321</v>
      </c>
    </row>
    <row r="42">
      <c r="A42" s="284" t="s">
        <v>98</v>
      </c>
      <c r="B42" s="291">
        <v>1.0</v>
      </c>
      <c r="C42" s="291">
        <v>1.0</v>
      </c>
      <c r="D42" s="291">
        <v>0.0</v>
      </c>
      <c r="E42" s="291">
        <v>1.0</v>
      </c>
      <c r="F42" s="291">
        <v>0.0</v>
      </c>
      <c r="G42" s="291">
        <v>4.0</v>
      </c>
      <c r="H42" s="291">
        <v>46.0</v>
      </c>
      <c r="I42" s="291">
        <v>2.0</v>
      </c>
      <c r="J42" s="291">
        <v>46.0</v>
      </c>
      <c r="K42" s="291">
        <v>0.0</v>
      </c>
      <c r="L42" s="291">
        <v>5.0</v>
      </c>
      <c r="M42" s="291">
        <v>1.0</v>
      </c>
      <c r="N42" s="291">
        <v>727.0</v>
      </c>
      <c r="O42" s="291">
        <v>933.0</v>
      </c>
      <c r="P42" s="291">
        <v>15.0</v>
      </c>
      <c r="Q42" s="291">
        <v>1.0</v>
      </c>
      <c r="R42" s="291">
        <v>0.0</v>
      </c>
      <c r="S42" s="291">
        <v>0.0</v>
      </c>
      <c r="T42" s="291">
        <v>0.0</v>
      </c>
      <c r="U42" s="291">
        <v>0.0</v>
      </c>
      <c r="V42" s="291">
        <v>10.0</v>
      </c>
      <c r="W42" s="291">
        <v>2.0</v>
      </c>
      <c r="X42" s="291">
        <v>0.0</v>
      </c>
      <c r="Y42" s="291">
        <v>0.0</v>
      </c>
      <c r="Z42" s="291">
        <v>0.0</v>
      </c>
      <c r="AA42" s="291">
        <v>0.0</v>
      </c>
      <c r="AB42" s="291">
        <v>0.0</v>
      </c>
      <c r="AC42" s="291">
        <v>0.0</v>
      </c>
      <c r="AD42" s="291">
        <v>0.0</v>
      </c>
      <c r="AE42" s="291">
        <v>0.0</v>
      </c>
      <c r="AF42" s="291">
        <v>1.0</v>
      </c>
      <c r="AG42" s="291">
        <v>0.0</v>
      </c>
      <c r="AH42" s="291">
        <v>0.0</v>
      </c>
      <c r="AI42" s="285" t="s">
        <v>322</v>
      </c>
    </row>
    <row r="43">
      <c r="A43" s="286" t="s">
        <v>113</v>
      </c>
      <c r="B43" s="287">
        <v>1.0</v>
      </c>
      <c r="C43" s="287">
        <v>1.0</v>
      </c>
      <c r="D43" s="287">
        <v>0.0</v>
      </c>
      <c r="E43" s="287">
        <v>1.0</v>
      </c>
      <c r="F43" s="287">
        <v>0.0</v>
      </c>
      <c r="G43" s="287">
        <v>1.0</v>
      </c>
      <c r="H43" s="287">
        <v>60.0</v>
      </c>
      <c r="I43" s="287">
        <v>3.0</v>
      </c>
      <c r="J43" s="287">
        <v>58.0</v>
      </c>
      <c r="K43" s="287">
        <v>2.0</v>
      </c>
      <c r="L43" s="287">
        <v>4.0</v>
      </c>
      <c r="M43" s="287">
        <v>1.0</v>
      </c>
      <c r="N43" s="287">
        <v>694.0</v>
      </c>
      <c r="O43" s="287">
        <v>933.0</v>
      </c>
      <c r="P43" s="287">
        <v>11.0</v>
      </c>
      <c r="Q43" s="287">
        <v>0.0</v>
      </c>
      <c r="R43" s="287">
        <v>0.0</v>
      </c>
      <c r="S43" s="287">
        <v>0.0</v>
      </c>
      <c r="T43" s="287">
        <v>0.0</v>
      </c>
      <c r="U43" s="287">
        <v>0.0</v>
      </c>
      <c r="V43" s="287">
        <v>9.0</v>
      </c>
      <c r="W43" s="287">
        <v>2.0</v>
      </c>
      <c r="X43" s="287">
        <v>0.0</v>
      </c>
      <c r="Y43" s="287">
        <v>0.0</v>
      </c>
      <c r="Z43" s="287">
        <v>0.0</v>
      </c>
      <c r="AA43" s="287">
        <v>0.0</v>
      </c>
      <c r="AB43" s="287">
        <v>0.0</v>
      </c>
      <c r="AC43" s="287">
        <v>0.0</v>
      </c>
      <c r="AD43" s="287">
        <v>0.0</v>
      </c>
      <c r="AE43" s="287">
        <v>0.0</v>
      </c>
      <c r="AF43" s="287">
        <v>5.0</v>
      </c>
      <c r="AG43" s="287">
        <v>0.0</v>
      </c>
      <c r="AH43" s="287">
        <v>0.0</v>
      </c>
      <c r="AI43" s="1" t="s">
        <v>322</v>
      </c>
    </row>
    <row r="44">
      <c r="A44" s="286" t="s">
        <v>97</v>
      </c>
      <c r="B44" s="287">
        <v>1.0</v>
      </c>
      <c r="C44" s="287">
        <v>1.0</v>
      </c>
      <c r="D44" s="287">
        <v>0.0</v>
      </c>
      <c r="E44" s="287">
        <v>1.0</v>
      </c>
      <c r="F44" s="287">
        <v>0.0</v>
      </c>
      <c r="G44" s="287">
        <v>0.0</v>
      </c>
      <c r="H44" s="287">
        <v>52.0</v>
      </c>
      <c r="I44" s="287">
        <v>3.0</v>
      </c>
      <c r="J44" s="287">
        <v>60.0</v>
      </c>
      <c r="K44" s="287">
        <v>-8.0</v>
      </c>
      <c r="L44" s="287">
        <v>3.0</v>
      </c>
      <c r="M44" s="287">
        <v>0.0</v>
      </c>
      <c r="N44" s="287">
        <v>681.0</v>
      </c>
      <c r="O44" s="287">
        <v>933.0</v>
      </c>
      <c r="P44" s="287">
        <v>11.0</v>
      </c>
      <c r="Q44" s="287">
        <v>0.0</v>
      </c>
      <c r="R44" s="287">
        <v>0.0</v>
      </c>
      <c r="S44" s="287">
        <v>0.0</v>
      </c>
      <c r="T44" s="287">
        <v>0.0</v>
      </c>
      <c r="U44" s="287">
        <v>0.0</v>
      </c>
      <c r="V44" s="287">
        <v>10.0</v>
      </c>
      <c r="W44" s="287">
        <v>0.0</v>
      </c>
      <c r="X44" s="287">
        <v>0.0</v>
      </c>
      <c r="Y44" s="287">
        <v>0.0</v>
      </c>
      <c r="Z44" s="287">
        <v>0.0</v>
      </c>
      <c r="AA44" s="287">
        <v>0.0</v>
      </c>
      <c r="AB44" s="287">
        <v>0.0</v>
      </c>
      <c r="AC44" s="287">
        <v>0.0</v>
      </c>
      <c r="AD44" s="287">
        <v>0.0</v>
      </c>
      <c r="AE44" s="287">
        <v>0.0</v>
      </c>
      <c r="AF44" s="287">
        <v>5.0</v>
      </c>
      <c r="AG44" s="287">
        <v>0.0</v>
      </c>
      <c r="AH44" s="287">
        <v>0.0</v>
      </c>
      <c r="AI44" s="1" t="s">
        <v>322</v>
      </c>
    </row>
    <row r="45">
      <c r="A45" s="286" t="s">
        <v>77</v>
      </c>
      <c r="B45" s="287">
        <v>1.0</v>
      </c>
      <c r="C45" s="287">
        <v>1.0</v>
      </c>
      <c r="D45" s="287">
        <v>0.0</v>
      </c>
      <c r="E45" s="287">
        <v>1.0</v>
      </c>
      <c r="F45" s="287">
        <v>0.0</v>
      </c>
      <c r="G45" s="287">
        <v>0.0</v>
      </c>
      <c r="H45" s="287">
        <v>55.0</v>
      </c>
      <c r="I45" s="287">
        <v>5.0</v>
      </c>
      <c r="J45" s="287">
        <v>50.0</v>
      </c>
      <c r="K45" s="287">
        <v>5.0</v>
      </c>
      <c r="L45" s="287">
        <v>4.0</v>
      </c>
      <c r="M45" s="287">
        <v>1.0</v>
      </c>
      <c r="N45" s="287">
        <v>718.0</v>
      </c>
      <c r="O45" s="287">
        <v>933.0</v>
      </c>
      <c r="P45" s="287">
        <v>14.0</v>
      </c>
      <c r="Q45" s="287">
        <v>0.0</v>
      </c>
      <c r="R45" s="287">
        <v>0.0</v>
      </c>
      <c r="S45" s="287">
        <v>0.0</v>
      </c>
      <c r="T45" s="287">
        <v>0.0</v>
      </c>
      <c r="U45" s="287">
        <v>0.0</v>
      </c>
      <c r="V45" s="287">
        <v>10.0</v>
      </c>
      <c r="W45" s="287">
        <v>2.0</v>
      </c>
      <c r="X45" s="287">
        <v>2.0</v>
      </c>
      <c r="Y45" s="287">
        <v>0.0</v>
      </c>
      <c r="Z45" s="287">
        <v>0.0</v>
      </c>
      <c r="AA45" s="287">
        <v>0.0</v>
      </c>
      <c r="AB45" s="287">
        <v>0.0</v>
      </c>
      <c r="AC45" s="287">
        <v>0.0</v>
      </c>
      <c r="AD45" s="287">
        <v>0.0</v>
      </c>
      <c r="AE45" s="287">
        <v>0.0</v>
      </c>
      <c r="AF45" s="287">
        <v>2.0</v>
      </c>
      <c r="AG45" s="287">
        <v>0.0</v>
      </c>
      <c r="AH45" s="287">
        <v>0.0</v>
      </c>
      <c r="AI45" s="1" t="s">
        <v>322</v>
      </c>
    </row>
    <row r="46">
      <c r="A46" s="286" t="s">
        <v>104</v>
      </c>
      <c r="B46" s="287">
        <v>0.0</v>
      </c>
      <c r="C46" s="287">
        <v>1.0</v>
      </c>
      <c r="D46" s="287">
        <v>0.0</v>
      </c>
      <c r="E46" s="287">
        <v>0.0</v>
      </c>
      <c r="F46" s="287">
        <v>1.0</v>
      </c>
      <c r="G46" s="287">
        <v>0.0</v>
      </c>
      <c r="H46" s="287">
        <v>56.0</v>
      </c>
      <c r="I46" s="287">
        <v>5.0</v>
      </c>
      <c r="J46" s="287">
        <v>52.0</v>
      </c>
      <c r="K46" s="287">
        <v>4.0</v>
      </c>
      <c r="L46" s="287">
        <v>5.0</v>
      </c>
      <c r="M46" s="287">
        <v>1.0</v>
      </c>
      <c r="N46" s="287">
        <v>711.0</v>
      </c>
      <c r="O46" s="287">
        <v>933.0</v>
      </c>
      <c r="P46" s="287">
        <v>13.0</v>
      </c>
      <c r="Q46" s="287">
        <v>1.0</v>
      </c>
      <c r="R46" s="287">
        <v>0.0</v>
      </c>
      <c r="S46" s="287">
        <v>0.0</v>
      </c>
      <c r="T46" s="287">
        <v>0.0</v>
      </c>
      <c r="U46" s="287">
        <v>0.0</v>
      </c>
      <c r="V46" s="287">
        <v>3.0</v>
      </c>
      <c r="W46" s="287">
        <v>0.0</v>
      </c>
      <c r="X46" s="287">
        <v>0.0</v>
      </c>
      <c r="Y46" s="287">
        <v>0.0</v>
      </c>
      <c r="Z46" s="287">
        <v>0.0</v>
      </c>
      <c r="AA46" s="287">
        <v>0.0</v>
      </c>
      <c r="AB46" s="287">
        <v>0.0</v>
      </c>
      <c r="AC46" s="287">
        <v>0.0</v>
      </c>
      <c r="AD46" s="287">
        <v>0.0</v>
      </c>
      <c r="AE46" s="287">
        <v>0.0</v>
      </c>
      <c r="AF46" s="287">
        <v>0.0</v>
      </c>
      <c r="AG46" s="287">
        <v>0.0</v>
      </c>
      <c r="AH46" s="287">
        <v>0.0</v>
      </c>
      <c r="AI46" s="1" t="s">
        <v>322</v>
      </c>
    </row>
    <row r="47">
      <c r="A47" s="286" t="s">
        <v>73</v>
      </c>
      <c r="B47" s="287">
        <v>0.0</v>
      </c>
      <c r="C47" s="287">
        <v>1.0</v>
      </c>
      <c r="D47" s="287">
        <v>0.0</v>
      </c>
      <c r="E47" s="287">
        <v>0.0</v>
      </c>
      <c r="F47" s="287">
        <v>1.0</v>
      </c>
      <c r="G47" s="287">
        <v>0.0</v>
      </c>
      <c r="H47" s="287">
        <v>39.0</v>
      </c>
      <c r="I47" s="287">
        <v>6.0</v>
      </c>
      <c r="J47" s="287">
        <v>56.0</v>
      </c>
      <c r="K47" s="287">
        <v>-17.0</v>
      </c>
      <c r="L47" s="287">
        <v>3.0</v>
      </c>
      <c r="M47" s="287">
        <v>0.0</v>
      </c>
      <c r="N47" s="287">
        <v>693.0</v>
      </c>
      <c r="O47" s="287">
        <v>933.0</v>
      </c>
      <c r="P47" s="287">
        <v>12.0</v>
      </c>
      <c r="Q47" s="287">
        <v>0.0</v>
      </c>
      <c r="R47" s="287">
        <v>0.0</v>
      </c>
      <c r="S47" s="287">
        <v>0.0</v>
      </c>
      <c r="T47" s="287">
        <v>0.0</v>
      </c>
      <c r="U47" s="287">
        <v>0.0</v>
      </c>
      <c r="V47" s="287">
        <v>3.0</v>
      </c>
      <c r="W47" s="287">
        <v>1.0</v>
      </c>
      <c r="X47" s="287">
        <v>0.0</v>
      </c>
      <c r="Y47" s="287">
        <v>0.0</v>
      </c>
      <c r="Z47" s="287">
        <v>0.0</v>
      </c>
      <c r="AA47" s="287">
        <v>0.0</v>
      </c>
      <c r="AB47" s="287">
        <v>0.0</v>
      </c>
      <c r="AC47" s="287">
        <v>0.0</v>
      </c>
      <c r="AD47" s="287">
        <v>0.0</v>
      </c>
      <c r="AE47" s="287">
        <v>0.0</v>
      </c>
      <c r="AF47" s="287">
        <v>0.0</v>
      </c>
      <c r="AG47" s="287">
        <v>0.0</v>
      </c>
      <c r="AH47" s="287">
        <v>0.0</v>
      </c>
      <c r="AI47" s="1" t="s">
        <v>322</v>
      </c>
    </row>
    <row r="48">
      <c r="A48" s="286" t="s">
        <v>74</v>
      </c>
      <c r="B48" s="287">
        <v>0.0</v>
      </c>
      <c r="C48" s="287">
        <v>1.0</v>
      </c>
      <c r="D48" s="287">
        <v>0.0</v>
      </c>
      <c r="E48" s="287">
        <v>0.0</v>
      </c>
      <c r="F48" s="287">
        <v>1.0</v>
      </c>
      <c r="G48" s="287">
        <v>0.0</v>
      </c>
      <c r="H48" s="287">
        <v>38.0</v>
      </c>
      <c r="I48" s="287">
        <v>1.0</v>
      </c>
      <c r="J48" s="287">
        <v>53.0</v>
      </c>
      <c r="K48" s="287">
        <v>-15.0</v>
      </c>
      <c r="L48" s="287">
        <v>5.0</v>
      </c>
      <c r="M48" s="287">
        <v>0.0</v>
      </c>
      <c r="N48" s="287">
        <v>714.0</v>
      </c>
      <c r="O48" s="287">
        <v>933.0</v>
      </c>
      <c r="P48" s="287">
        <v>13.0</v>
      </c>
      <c r="Q48" s="287">
        <v>1.0</v>
      </c>
      <c r="R48" s="287">
        <v>0.0</v>
      </c>
      <c r="S48" s="287">
        <v>0.0</v>
      </c>
      <c r="T48" s="287">
        <v>0.0</v>
      </c>
      <c r="U48" s="287">
        <v>0.0</v>
      </c>
      <c r="V48" s="287">
        <v>3.0</v>
      </c>
      <c r="W48" s="287">
        <v>1.0</v>
      </c>
      <c r="X48" s="287">
        <v>0.0</v>
      </c>
      <c r="Y48" s="287">
        <v>0.0</v>
      </c>
      <c r="Z48" s="287">
        <v>0.0</v>
      </c>
      <c r="AA48" s="287">
        <v>0.0</v>
      </c>
      <c r="AB48" s="287">
        <v>0.0</v>
      </c>
      <c r="AC48" s="287">
        <v>0.0</v>
      </c>
      <c r="AD48" s="287">
        <v>0.0</v>
      </c>
      <c r="AE48" s="287">
        <v>0.0</v>
      </c>
      <c r="AF48" s="287">
        <v>1.0</v>
      </c>
      <c r="AG48" s="287">
        <v>1.0</v>
      </c>
      <c r="AH48" s="287">
        <v>1.0</v>
      </c>
      <c r="AI48" s="1" t="s">
        <v>322</v>
      </c>
    </row>
    <row r="49">
      <c r="A49" s="286" t="s">
        <v>81</v>
      </c>
      <c r="B49" s="289">
        <v>0.0</v>
      </c>
      <c r="C49" s="289">
        <v>1.0</v>
      </c>
      <c r="D49" s="289">
        <v>0.0</v>
      </c>
      <c r="E49" s="289">
        <v>0.0</v>
      </c>
      <c r="F49" s="289">
        <v>1.0</v>
      </c>
      <c r="G49" s="287">
        <v>0.0</v>
      </c>
      <c r="H49" s="287">
        <v>76.0</v>
      </c>
      <c r="I49" s="287">
        <v>8.0</v>
      </c>
      <c r="J49" s="287">
        <v>61.0</v>
      </c>
      <c r="K49" s="287">
        <v>15.0</v>
      </c>
      <c r="L49" s="287">
        <v>5.0</v>
      </c>
      <c r="M49" s="287">
        <v>2.0</v>
      </c>
      <c r="N49" s="287">
        <v>686.0</v>
      </c>
      <c r="O49" s="287">
        <v>933.0</v>
      </c>
      <c r="P49" s="287">
        <v>11.0</v>
      </c>
      <c r="Q49" s="287">
        <v>1.0</v>
      </c>
      <c r="R49" s="287">
        <v>0.0</v>
      </c>
      <c r="S49" s="287">
        <v>0.0</v>
      </c>
      <c r="T49" s="287">
        <v>0.0</v>
      </c>
      <c r="U49" s="287">
        <v>0.0</v>
      </c>
      <c r="V49" s="287">
        <v>12.0</v>
      </c>
      <c r="W49" s="287">
        <v>6.0</v>
      </c>
      <c r="X49" s="287">
        <v>1.0</v>
      </c>
      <c r="Y49" s="287">
        <v>0.0</v>
      </c>
      <c r="Z49" s="287">
        <v>0.0</v>
      </c>
      <c r="AA49" s="287">
        <v>0.0</v>
      </c>
      <c r="AB49" s="287">
        <v>0.0</v>
      </c>
      <c r="AC49" s="287">
        <v>0.0</v>
      </c>
      <c r="AD49" s="287">
        <v>0.0</v>
      </c>
      <c r="AE49" s="287">
        <v>0.0</v>
      </c>
      <c r="AF49" s="287">
        <v>4.0</v>
      </c>
      <c r="AG49" s="287">
        <v>0.0</v>
      </c>
      <c r="AH49" s="287">
        <v>0.0</v>
      </c>
      <c r="AI49" s="1" t="s">
        <v>322</v>
      </c>
    </row>
    <row r="50">
      <c r="A50" s="284" t="s">
        <v>88</v>
      </c>
      <c r="B50" s="291">
        <v>1.0</v>
      </c>
      <c r="C50" s="291">
        <v>1.0</v>
      </c>
      <c r="D50" s="291">
        <v>0.0</v>
      </c>
      <c r="E50" s="291">
        <v>1.0</v>
      </c>
      <c r="F50" s="291">
        <v>0.0</v>
      </c>
      <c r="G50" s="291">
        <v>4.0</v>
      </c>
      <c r="H50" s="291">
        <v>18.0</v>
      </c>
      <c r="I50" s="291">
        <v>1.0</v>
      </c>
      <c r="J50" s="291">
        <v>30.0</v>
      </c>
      <c r="K50" s="291">
        <v>-12.0</v>
      </c>
      <c r="L50" s="291">
        <v>3.0</v>
      </c>
      <c r="M50" s="291">
        <v>1.0</v>
      </c>
      <c r="N50" s="291">
        <v>657.0</v>
      </c>
      <c r="O50" s="291">
        <v>815.0</v>
      </c>
      <c r="P50" s="291">
        <v>21.0</v>
      </c>
      <c r="Q50" s="291">
        <v>0.0</v>
      </c>
      <c r="R50" s="291">
        <v>0.0</v>
      </c>
      <c r="S50" s="291">
        <v>0.0</v>
      </c>
      <c r="T50" s="291">
        <v>0.0</v>
      </c>
      <c r="U50" s="291">
        <v>0.0</v>
      </c>
      <c r="V50" s="291">
        <v>2.0</v>
      </c>
      <c r="W50" s="291">
        <v>0.0</v>
      </c>
      <c r="X50" s="291">
        <v>0.0</v>
      </c>
      <c r="Y50" s="291">
        <v>0.0</v>
      </c>
      <c r="Z50" s="291">
        <v>0.0</v>
      </c>
      <c r="AA50" s="291">
        <v>0.0</v>
      </c>
      <c r="AB50" s="291">
        <v>0.0</v>
      </c>
      <c r="AC50" s="291">
        <v>0.0</v>
      </c>
      <c r="AD50" s="291">
        <v>0.0</v>
      </c>
      <c r="AE50" s="291">
        <v>0.0</v>
      </c>
      <c r="AF50" s="291">
        <v>0.0</v>
      </c>
      <c r="AG50" s="291">
        <v>0.0</v>
      </c>
      <c r="AH50" s="291">
        <v>0.0</v>
      </c>
      <c r="AI50" s="285" t="s">
        <v>323</v>
      </c>
    </row>
    <row r="51">
      <c r="A51" s="286" t="s">
        <v>108</v>
      </c>
      <c r="B51" s="287">
        <v>1.0</v>
      </c>
      <c r="C51" s="287">
        <v>1.0</v>
      </c>
      <c r="D51" s="287">
        <v>0.0</v>
      </c>
      <c r="E51" s="287">
        <v>1.0</v>
      </c>
      <c r="F51" s="287">
        <v>0.0</v>
      </c>
      <c r="G51" s="287">
        <v>1.0</v>
      </c>
      <c r="H51" s="287">
        <v>43.0</v>
      </c>
      <c r="I51" s="287">
        <v>4.0</v>
      </c>
      <c r="J51" s="287">
        <v>49.0</v>
      </c>
      <c r="K51" s="287">
        <v>-6.0</v>
      </c>
      <c r="L51" s="287">
        <v>4.0</v>
      </c>
      <c r="M51" s="287">
        <v>0.0</v>
      </c>
      <c r="N51" s="287">
        <v>600.0</v>
      </c>
      <c r="O51" s="287">
        <v>815.0</v>
      </c>
      <c r="P51" s="287">
        <v>12.0</v>
      </c>
      <c r="Q51" s="287">
        <v>0.0</v>
      </c>
      <c r="R51" s="287">
        <v>0.0</v>
      </c>
      <c r="S51" s="287">
        <v>0.0</v>
      </c>
      <c r="T51" s="287">
        <v>0.0</v>
      </c>
      <c r="U51" s="287">
        <v>0.0</v>
      </c>
      <c r="V51" s="287">
        <v>6.0</v>
      </c>
      <c r="W51" s="287">
        <v>3.0</v>
      </c>
      <c r="X51" s="287">
        <v>0.0</v>
      </c>
      <c r="Y51" s="287">
        <v>0.0</v>
      </c>
      <c r="Z51" s="287">
        <v>0.0</v>
      </c>
      <c r="AA51" s="287">
        <v>0.0</v>
      </c>
      <c r="AB51" s="287">
        <v>0.0</v>
      </c>
      <c r="AC51" s="287">
        <v>0.0</v>
      </c>
      <c r="AD51" s="287">
        <v>0.0</v>
      </c>
      <c r="AE51" s="287">
        <v>0.0</v>
      </c>
      <c r="AF51" s="287">
        <v>3.0</v>
      </c>
      <c r="AG51" s="287">
        <v>0.0</v>
      </c>
      <c r="AH51" s="287">
        <v>0.0</v>
      </c>
      <c r="AI51" s="1" t="s">
        <v>323</v>
      </c>
    </row>
    <row r="52">
      <c r="A52" s="286" t="s">
        <v>107</v>
      </c>
      <c r="B52" s="287">
        <v>1.0</v>
      </c>
      <c r="C52" s="287">
        <v>1.0</v>
      </c>
      <c r="D52" s="287">
        <v>0.0</v>
      </c>
      <c r="E52" s="287">
        <v>1.0</v>
      </c>
      <c r="F52" s="287">
        <v>0.0</v>
      </c>
      <c r="G52" s="287">
        <v>0.0</v>
      </c>
      <c r="H52" s="287">
        <v>51.0</v>
      </c>
      <c r="I52" s="287">
        <v>4.0</v>
      </c>
      <c r="J52" s="287">
        <v>55.0</v>
      </c>
      <c r="K52" s="287">
        <v>-4.0</v>
      </c>
      <c r="L52" s="287">
        <v>5.0</v>
      </c>
      <c r="M52" s="287">
        <v>1.0</v>
      </c>
      <c r="N52" s="287">
        <v>581.0</v>
      </c>
      <c r="O52" s="287">
        <v>815.0</v>
      </c>
      <c r="P52" s="287">
        <v>10.0</v>
      </c>
      <c r="Q52" s="287">
        <v>1.0</v>
      </c>
      <c r="R52" s="287">
        <v>0.0</v>
      </c>
      <c r="S52" s="287">
        <v>0.0</v>
      </c>
      <c r="T52" s="287">
        <v>0.0</v>
      </c>
      <c r="U52" s="287">
        <v>0.0</v>
      </c>
      <c r="V52" s="287">
        <v>9.0</v>
      </c>
      <c r="W52" s="287">
        <v>1.0</v>
      </c>
      <c r="X52" s="287">
        <v>0.0</v>
      </c>
      <c r="Y52" s="287">
        <v>0.0</v>
      </c>
      <c r="Z52" s="287">
        <v>0.0</v>
      </c>
      <c r="AA52" s="287">
        <v>0.0</v>
      </c>
      <c r="AB52" s="287">
        <v>0.0</v>
      </c>
      <c r="AC52" s="287">
        <v>0.0</v>
      </c>
      <c r="AD52" s="287">
        <v>0.0</v>
      </c>
      <c r="AE52" s="287">
        <v>0.0</v>
      </c>
      <c r="AF52" s="287">
        <v>0.0</v>
      </c>
      <c r="AG52" s="287">
        <v>0.0</v>
      </c>
      <c r="AH52" s="287">
        <v>1.0</v>
      </c>
      <c r="AI52" s="1" t="s">
        <v>323</v>
      </c>
    </row>
    <row r="53">
      <c r="A53" s="286" t="s">
        <v>72</v>
      </c>
      <c r="B53" s="287">
        <v>1.0</v>
      </c>
      <c r="C53" s="287">
        <v>1.0</v>
      </c>
      <c r="D53" s="287">
        <v>0.0</v>
      </c>
      <c r="E53" s="287">
        <v>1.0</v>
      </c>
      <c r="F53" s="287">
        <v>0.0</v>
      </c>
      <c r="G53" s="287">
        <v>0.0</v>
      </c>
      <c r="H53" s="287">
        <v>40.0</v>
      </c>
      <c r="I53" s="287">
        <v>1.0</v>
      </c>
      <c r="J53" s="287">
        <v>49.0</v>
      </c>
      <c r="K53" s="287">
        <v>-9.0</v>
      </c>
      <c r="L53" s="287">
        <v>4.0</v>
      </c>
      <c r="M53" s="287">
        <v>0.0</v>
      </c>
      <c r="N53" s="287">
        <v>598.0</v>
      </c>
      <c r="O53" s="287">
        <v>815.0</v>
      </c>
      <c r="P53" s="287">
        <v>12.0</v>
      </c>
      <c r="Q53" s="287">
        <v>0.0</v>
      </c>
      <c r="R53" s="287">
        <v>0.0</v>
      </c>
      <c r="S53" s="287">
        <v>0.0</v>
      </c>
      <c r="T53" s="287">
        <v>0.0</v>
      </c>
      <c r="U53" s="287">
        <v>0.0</v>
      </c>
      <c r="V53" s="287">
        <v>7.0</v>
      </c>
      <c r="W53" s="287">
        <v>1.0</v>
      </c>
      <c r="X53" s="287">
        <v>0.0</v>
      </c>
      <c r="Y53" s="287">
        <v>0.0</v>
      </c>
      <c r="Z53" s="287">
        <v>0.0</v>
      </c>
      <c r="AA53" s="287">
        <v>0.0</v>
      </c>
      <c r="AB53" s="287">
        <v>0.0</v>
      </c>
      <c r="AC53" s="287">
        <v>0.0</v>
      </c>
      <c r="AD53" s="287">
        <v>0.0</v>
      </c>
      <c r="AE53" s="287">
        <v>0.0</v>
      </c>
      <c r="AF53" s="287">
        <v>1.0</v>
      </c>
      <c r="AG53" s="287">
        <v>0.0</v>
      </c>
      <c r="AH53" s="287">
        <v>0.0</v>
      </c>
      <c r="AI53" s="1" t="s">
        <v>323</v>
      </c>
    </row>
    <row r="54">
      <c r="A54" s="286" t="s">
        <v>110</v>
      </c>
      <c r="B54" s="287">
        <v>0.0</v>
      </c>
      <c r="C54" s="287">
        <v>1.0</v>
      </c>
      <c r="D54" s="287">
        <v>0.0</v>
      </c>
      <c r="E54" s="287">
        <v>0.0</v>
      </c>
      <c r="F54" s="287">
        <v>1.0</v>
      </c>
      <c r="G54" s="287">
        <v>0.0</v>
      </c>
      <c r="H54" s="287">
        <v>53.0</v>
      </c>
      <c r="I54" s="287">
        <v>4.0</v>
      </c>
      <c r="J54" s="287">
        <v>49.0</v>
      </c>
      <c r="K54" s="287">
        <v>4.0</v>
      </c>
      <c r="L54" s="287">
        <v>3.0</v>
      </c>
      <c r="M54" s="287">
        <v>0.0</v>
      </c>
      <c r="N54" s="287">
        <v>602.0</v>
      </c>
      <c r="O54" s="287">
        <v>815.0</v>
      </c>
      <c r="P54" s="287">
        <v>12.0</v>
      </c>
      <c r="Q54" s="287">
        <v>0.0</v>
      </c>
      <c r="R54" s="287">
        <v>0.0</v>
      </c>
      <c r="S54" s="287">
        <v>0.0</v>
      </c>
      <c r="T54" s="287">
        <v>0.0</v>
      </c>
      <c r="U54" s="287">
        <v>0.0</v>
      </c>
      <c r="V54" s="287">
        <v>10.0</v>
      </c>
      <c r="W54" s="287">
        <v>1.0</v>
      </c>
      <c r="X54" s="287">
        <v>0.0</v>
      </c>
      <c r="Y54" s="287">
        <v>0.0</v>
      </c>
      <c r="Z54" s="287">
        <v>0.0</v>
      </c>
      <c r="AA54" s="287">
        <v>0.0</v>
      </c>
      <c r="AB54" s="287">
        <v>0.0</v>
      </c>
      <c r="AC54" s="287">
        <v>0.0</v>
      </c>
      <c r="AD54" s="287">
        <v>0.0</v>
      </c>
      <c r="AE54" s="287">
        <v>0.0</v>
      </c>
      <c r="AF54" s="287">
        <v>2.0</v>
      </c>
      <c r="AG54" s="287">
        <v>0.0</v>
      </c>
      <c r="AH54" s="287">
        <v>0.0</v>
      </c>
      <c r="AI54" s="1" t="s">
        <v>323</v>
      </c>
    </row>
    <row r="55">
      <c r="A55" s="286" t="s">
        <v>78</v>
      </c>
      <c r="B55" s="287">
        <v>0.0</v>
      </c>
      <c r="C55" s="287">
        <v>1.0</v>
      </c>
      <c r="D55" s="287">
        <v>0.0</v>
      </c>
      <c r="E55" s="287">
        <v>0.0</v>
      </c>
      <c r="F55" s="287">
        <v>1.0</v>
      </c>
      <c r="G55" s="287">
        <v>0.0</v>
      </c>
      <c r="H55" s="287">
        <v>26.0</v>
      </c>
      <c r="I55" s="287">
        <v>2.0</v>
      </c>
      <c r="J55" s="287">
        <v>47.0</v>
      </c>
      <c r="K55" s="287">
        <v>-21.0</v>
      </c>
      <c r="L55" s="287">
        <v>2.0</v>
      </c>
      <c r="M55" s="287">
        <v>0.0</v>
      </c>
      <c r="N55" s="287">
        <v>604.0</v>
      </c>
      <c r="O55" s="287">
        <v>815.0</v>
      </c>
      <c r="P55" s="287">
        <v>12.0</v>
      </c>
      <c r="Q55" s="287">
        <v>0.0</v>
      </c>
      <c r="R55" s="287">
        <v>0.0</v>
      </c>
      <c r="S55" s="287">
        <v>0.0</v>
      </c>
      <c r="T55" s="287">
        <v>0.0</v>
      </c>
      <c r="U55" s="287">
        <v>0.0</v>
      </c>
      <c r="V55" s="287">
        <v>0.0</v>
      </c>
      <c r="W55" s="287">
        <v>0.0</v>
      </c>
      <c r="X55" s="287">
        <v>0.0</v>
      </c>
      <c r="Y55" s="287">
        <v>0.0</v>
      </c>
      <c r="Z55" s="287">
        <v>0.0</v>
      </c>
      <c r="AA55" s="287">
        <v>0.0</v>
      </c>
      <c r="AB55" s="287">
        <v>0.0</v>
      </c>
      <c r="AC55" s="287">
        <v>0.0</v>
      </c>
      <c r="AD55" s="287">
        <v>0.0</v>
      </c>
      <c r="AE55" s="287">
        <v>0.0</v>
      </c>
      <c r="AF55" s="287">
        <v>1.0</v>
      </c>
      <c r="AG55" s="287">
        <v>0.0</v>
      </c>
      <c r="AH55" s="287">
        <v>0.0</v>
      </c>
      <c r="AI55" s="1" t="s">
        <v>323</v>
      </c>
    </row>
    <row r="56">
      <c r="A56" s="286" t="s">
        <v>103</v>
      </c>
      <c r="B56" s="287">
        <v>0.0</v>
      </c>
      <c r="C56" s="287">
        <v>1.0</v>
      </c>
      <c r="D56" s="287">
        <v>0.0</v>
      </c>
      <c r="E56" s="287">
        <v>0.0</v>
      </c>
      <c r="F56" s="287">
        <v>1.0</v>
      </c>
      <c r="G56" s="287">
        <v>0.0</v>
      </c>
      <c r="H56" s="287">
        <v>40.0</v>
      </c>
      <c r="I56" s="287">
        <v>2.0</v>
      </c>
      <c r="J56" s="287">
        <v>26.0</v>
      </c>
      <c r="K56" s="287">
        <v>14.0</v>
      </c>
      <c r="L56" s="287">
        <v>6.0</v>
      </c>
      <c r="M56" s="287">
        <v>0.0</v>
      </c>
      <c r="N56" s="287">
        <v>675.0</v>
      </c>
      <c r="O56" s="287">
        <v>815.0</v>
      </c>
      <c r="P56" s="287">
        <v>25.0</v>
      </c>
      <c r="Q56" s="287">
        <v>2.0</v>
      </c>
      <c r="R56" s="287">
        <v>0.0</v>
      </c>
      <c r="S56" s="287">
        <v>0.0</v>
      </c>
      <c r="T56" s="287">
        <v>0.0</v>
      </c>
      <c r="U56" s="287">
        <v>0.0</v>
      </c>
      <c r="V56" s="287">
        <v>8.0</v>
      </c>
      <c r="W56" s="287">
        <v>2.0</v>
      </c>
      <c r="X56" s="287">
        <v>0.0</v>
      </c>
      <c r="Y56" s="287">
        <v>0.0</v>
      </c>
      <c r="Z56" s="287">
        <v>0.0</v>
      </c>
      <c r="AA56" s="287">
        <v>0.0</v>
      </c>
      <c r="AB56" s="287">
        <v>0.0</v>
      </c>
      <c r="AC56" s="287">
        <v>0.0</v>
      </c>
      <c r="AD56" s="287">
        <v>0.0</v>
      </c>
      <c r="AE56" s="287">
        <v>0.0</v>
      </c>
      <c r="AF56" s="287">
        <v>3.0</v>
      </c>
      <c r="AG56" s="287">
        <v>0.0</v>
      </c>
      <c r="AH56" s="287">
        <v>2.0</v>
      </c>
      <c r="AI56" s="1" t="s">
        <v>323</v>
      </c>
    </row>
    <row r="57">
      <c r="A57" s="288" t="s">
        <v>71</v>
      </c>
      <c r="B57" s="289">
        <v>0.0</v>
      </c>
      <c r="C57" s="289">
        <v>1.0</v>
      </c>
      <c r="D57" s="289">
        <v>0.0</v>
      </c>
      <c r="E57" s="289">
        <v>0.0</v>
      </c>
      <c r="F57" s="289">
        <v>1.0</v>
      </c>
      <c r="G57" s="289">
        <v>0.0</v>
      </c>
      <c r="H57" s="289">
        <v>58.0</v>
      </c>
      <c r="I57" s="289">
        <v>3.0</v>
      </c>
      <c r="J57" s="289">
        <v>40.0</v>
      </c>
      <c r="K57" s="289">
        <v>18.0</v>
      </c>
      <c r="L57" s="289">
        <v>5.0</v>
      </c>
      <c r="M57" s="289">
        <v>1.0</v>
      </c>
      <c r="N57" s="289">
        <v>633.0</v>
      </c>
      <c r="O57" s="289">
        <v>815.0</v>
      </c>
      <c r="P57" s="289">
        <v>15.0</v>
      </c>
      <c r="Q57" s="289">
        <v>2.0</v>
      </c>
      <c r="R57" s="289">
        <v>0.0</v>
      </c>
      <c r="S57" s="289">
        <v>0.0</v>
      </c>
      <c r="T57" s="289">
        <v>0.0</v>
      </c>
      <c r="U57" s="289">
        <v>0.0</v>
      </c>
      <c r="V57" s="289">
        <v>10.0</v>
      </c>
      <c r="W57" s="289">
        <v>1.0</v>
      </c>
      <c r="X57" s="289">
        <v>1.0</v>
      </c>
      <c r="Y57" s="289">
        <v>1.0</v>
      </c>
      <c r="Z57" s="289">
        <v>0.0</v>
      </c>
      <c r="AA57" s="289">
        <v>0.0</v>
      </c>
      <c r="AB57" s="289">
        <v>0.0</v>
      </c>
      <c r="AC57" s="289">
        <v>0.0</v>
      </c>
      <c r="AD57" s="289">
        <v>0.0</v>
      </c>
      <c r="AE57" s="289">
        <v>0.0</v>
      </c>
      <c r="AF57" s="289">
        <v>4.0</v>
      </c>
      <c r="AG57" s="289">
        <v>0.0</v>
      </c>
      <c r="AH57" s="289">
        <v>2.0</v>
      </c>
      <c r="AI57" s="290" t="s">
        <v>323</v>
      </c>
    </row>
    <row r="58">
      <c r="A58" s="284" t="s">
        <v>96</v>
      </c>
      <c r="B58" s="291">
        <v>1.0</v>
      </c>
      <c r="C58" s="291">
        <v>1.0</v>
      </c>
      <c r="D58" s="291">
        <v>0.0</v>
      </c>
      <c r="E58" s="291">
        <v>1.0</v>
      </c>
      <c r="F58" s="291">
        <v>0.0</v>
      </c>
      <c r="G58" s="291">
        <v>3.0</v>
      </c>
      <c r="H58" s="291">
        <v>38.0</v>
      </c>
      <c r="I58" s="291">
        <v>2.0</v>
      </c>
      <c r="J58" s="291">
        <v>32.0</v>
      </c>
      <c r="K58" s="291">
        <v>6.0</v>
      </c>
      <c r="L58" s="291">
        <v>7.0</v>
      </c>
      <c r="M58" s="291">
        <v>1.0</v>
      </c>
      <c r="N58" s="291">
        <v>644.0</v>
      </c>
      <c r="O58" s="291">
        <v>822.0</v>
      </c>
      <c r="P58" s="291">
        <v>20.0</v>
      </c>
      <c r="Q58" s="291">
        <v>1.0</v>
      </c>
      <c r="R58" s="291">
        <v>0.0</v>
      </c>
      <c r="S58" s="291">
        <v>0.0</v>
      </c>
      <c r="T58" s="291">
        <v>0.0</v>
      </c>
      <c r="U58" s="291">
        <v>0.0</v>
      </c>
      <c r="V58" s="291">
        <v>5.0</v>
      </c>
      <c r="W58" s="291">
        <v>1.0</v>
      </c>
      <c r="X58" s="291">
        <v>0.0</v>
      </c>
      <c r="Y58" s="291">
        <v>0.0</v>
      </c>
      <c r="Z58" s="291">
        <v>0.0</v>
      </c>
      <c r="AA58" s="291">
        <v>0.0</v>
      </c>
      <c r="AB58" s="291">
        <v>0.0</v>
      </c>
      <c r="AC58" s="291">
        <v>0.0</v>
      </c>
      <c r="AD58" s="291">
        <v>0.0</v>
      </c>
      <c r="AE58" s="291">
        <v>0.0</v>
      </c>
      <c r="AF58" s="291">
        <v>0.0</v>
      </c>
      <c r="AG58" s="291">
        <v>0.0</v>
      </c>
      <c r="AH58" s="291">
        <v>1.0</v>
      </c>
      <c r="AI58" s="285" t="s">
        <v>324</v>
      </c>
    </row>
    <row r="59">
      <c r="A59" s="286" t="s">
        <v>84</v>
      </c>
      <c r="B59" s="287">
        <v>1.0</v>
      </c>
      <c r="C59" s="287">
        <v>1.0</v>
      </c>
      <c r="D59" s="287">
        <v>0.0</v>
      </c>
      <c r="E59" s="287">
        <v>1.0</v>
      </c>
      <c r="F59" s="287">
        <v>0.0</v>
      </c>
      <c r="G59" s="287">
        <v>1.0</v>
      </c>
      <c r="H59" s="287">
        <v>44.0</v>
      </c>
      <c r="I59" s="287">
        <v>2.0</v>
      </c>
      <c r="J59" s="287">
        <v>47.0</v>
      </c>
      <c r="K59" s="287">
        <v>-3.0</v>
      </c>
      <c r="L59" s="287">
        <v>4.0</v>
      </c>
      <c r="M59" s="287">
        <v>5.0</v>
      </c>
      <c r="N59" s="287">
        <v>606.0</v>
      </c>
      <c r="O59" s="287">
        <v>822.0</v>
      </c>
      <c r="P59" s="287">
        <v>12.0</v>
      </c>
      <c r="Q59" s="287">
        <v>0.0</v>
      </c>
      <c r="R59" s="287">
        <v>0.0</v>
      </c>
      <c r="S59" s="287">
        <v>0.0</v>
      </c>
      <c r="T59" s="287">
        <v>0.0</v>
      </c>
      <c r="U59" s="287">
        <v>0.0</v>
      </c>
      <c r="V59" s="287">
        <v>6.0</v>
      </c>
      <c r="W59" s="287">
        <v>0.0</v>
      </c>
      <c r="X59" s="287">
        <v>0.0</v>
      </c>
      <c r="Y59" s="287">
        <v>0.0</v>
      </c>
      <c r="Z59" s="287">
        <v>0.0</v>
      </c>
      <c r="AA59" s="287">
        <v>0.0</v>
      </c>
      <c r="AB59" s="287">
        <v>0.0</v>
      </c>
      <c r="AC59" s="287">
        <v>0.0</v>
      </c>
      <c r="AD59" s="287">
        <v>0.0</v>
      </c>
      <c r="AE59" s="287">
        <v>0.0</v>
      </c>
      <c r="AF59" s="287">
        <v>2.0</v>
      </c>
      <c r="AG59" s="287">
        <v>0.0</v>
      </c>
      <c r="AH59" s="287">
        <v>0.0</v>
      </c>
      <c r="AI59" s="1" t="s">
        <v>324</v>
      </c>
    </row>
    <row r="60">
      <c r="A60" s="286" t="s">
        <v>106</v>
      </c>
      <c r="B60" s="287">
        <v>1.0</v>
      </c>
      <c r="C60" s="287">
        <v>1.0</v>
      </c>
      <c r="D60" s="287">
        <v>0.0</v>
      </c>
      <c r="E60" s="287">
        <v>1.0</v>
      </c>
      <c r="F60" s="287">
        <v>0.0</v>
      </c>
      <c r="G60" s="287">
        <v>1.0</v>
      </c>
      <c r="H60" s="287">
        <v>45.0</v>
      </c>
      <c r="I60" s="287">
        <v>3.0</v>
      </c>
      <c r="J60" s="287">
        <v>51.0</v>
      </c>
      <c r="K60" s="287">
        <v>-6.0</v>
      </c>
      <c r="L60" s="287">
        <v>4.0</v>
      </c>
      <c r="M60" s="287">
        <v>2.0</v>
      </c>
      <c r="N60" s="287">
        <v>592.0</v>
      </c>
      <c r="O60" s="287">
        <v>822.0</v>
      </c>
      <c r="P60" s="287">
        <v>11.0</v>
      </c>
      <c r="Q60" s="287">
        <v>0.0</v>
      </c>
      <c r="R60" s="287">
        <v>0.0</v>
      </c>
      <c r="S60" s="287">
        <v>0.0</v>
      </c>
      <c r="T60" s="287">
        <v>0.0</v>
      </c>
      <c r="U60" s="287">
        <v>0.0</v>
      </c>
      <c r="V60" s="287">
        <v>7.0</v>
      </c>
      <c r="W60" s="287">
        <v>1.0</v>
      </c>
      <c r="X60" s="287">
        <v>0.0</v>
      </c>
      <c r="Y60" s="287">
        <v>0.0</v>
      </c>
      <c r="Z60" s="287">
        <v>0.0</v>
      </c>
      <c r="AA60" s="287">
        <v>0.0</v>
      </c>
      <c r="AB60" s="287">
        <v>0.0</v>
      </c>
      <c r="AC60" s="287">
        <v>0.0</v>
      </c>
      <c r="AD60" s="287">
        <v>0.0</v>
      </c>
      <c r="AE60" s="287">
        <v>0.0</v>
      </c>
      <c r="AF60" s="287">
        <v>2.0</v>
      </c>
      <c r="AG60" s="287">
        <v>0.0</v>
      </c>
      <c r="AH60" s="287">
        <v>0.0</v>
      </c>
      <c r="AI60" s="1" t="s">
        <v>324</v>
      </c>
    </row>
    <row r="61">
      <c r="A61" s="286" t="s">
        <v>82</v>
      </c>
      <c r="B61" s="287">
        <v>1.0</v>
      </c>
      <c r="C61" s="287">
        <v>1.0</v>
      </c>
      <c r="D61" s="287">
        <v>0.0</v>
      </c>
      <c r="E61" s="287">
        <v>1.0</v>
      </c>
      <c r="F61" s="287">
        <v>0.0</v>
      </c>
      <c r="G61" s="287">
        <v>0.0</v>
      </c>
      <c r="H61" s="287">
        <v>67.0</v>
      </c>
      <c r="I61" s="287">
        <v>6.0</v>
      </c>
      <c r="J61" s="287">
        <v>34.0</v>
      </c>
      <c r="K61" s="287">
        <v>33.0</v>
      </c>
      <c r="L61" s="287">
        <v>6.0</v>
      </c>
      <c r="M61" s="287">
        <v>2.0</v>
      </c>
      <c r="N61" s="287">
        <v>635.0</v>
      </c>
      <c r="O61" s="287">
        <v>822.0</v>
      </c>
      <c r="P61" s="287">
        <v>18.0</v>
      </c>
      <c r="Q61" s="287">
        <v>2.0</v>
      </c>
      <c r="R61" s="287">
        <v>0.0</v>
      </c>
      <c r="S61" s="287">
        <v>0.0</v>
      </c>
      <c r="T61" s="287">
        <v>0.0</v>
      </c>
      <c r="U61" s="287">
        <v>0.0</v>
      </c>
      <c r="V61" s="287">
        <v>11.0</v>
      </c>
      <c r="W61" s="287">
        <v>2.0</v>
      </c>
      <c r="X61" s="287">
        <v>1.0</v>
      </c>
      <c r="Y61" s="287">
        <v>1.0</v>
      </c>
      <c r="Z61" s="287">
        <v>0.0</v>
      </c>
      <c r="AA61" s="287">
        <v>0.0</v>
      </c>
      <c r="AB61" s="287">
        <v>0.0</v>
      </c>
      <c r="AC61" s="287">
        <v>0.0</v>
      </c>
      <c r="AD61" s="287">
        <v>0.0</v>
      </c>
      <c r="AE61" s="287">
        <v>0.0</v>
      </c>
      <c r="AF61" s="287">
        <v>2.0</v>
      </c>
      <c r="AG61" s="287">
        <v>0.0</v>
      </c>
      <c r="AH61" s="287">
        <v>1.0</v>
      </c>
      <c r="AI61" s="1" t="s">
        <v>324</v>
      </c>
    </row>
    <row r="62">
      <c r="A62" s="286" t="s">
        <v>87</v>
      </c>
      <c r="B62" s="287">
        <v>0.0</v>
      </c>
      <c r="C62" s="287">
        <v>1.0</v>
      </c>
      <c r="D62" s="287">
        <v>0.0</v>
      </c>
      <c r="E62" s="287">
        <v>0.0</v>
      </c>
      <c r="F62" s="287">
        <v>1.0</v>
      </c>
      <c r="G62" s="287">
        <v>1.0</v>
      </c>
      <c r="H62" s="287">
        <v>43.0</v>
      </c>
      <c r="I62" s="287">
        <v>4.0</v>
      </c>
      <c r="J62" s="287">
        <v>41.0</v>
      </c>
      <c r="K62" s="287">
        <v>2.0</v>
      </c>
      <c r="L62" s="287">
        <v>6.0</v>
      </c>
      <c r="M62" s="287">
        <v>2.0</v>
      </c>
      <c r="N62" s="287">
        <v>618.0</v>
      </c>
      <c r="O62" s="287">
        <v>822.0</v>
      </c>
      <c r="P62" s="287">
        <v>15.0</v>
      </c>
      <c r="Q62" s="287">
        <v>2.0</v>
      </c>
      <c r="R62" s="287">
        <v>0.0</v>
      </c>
      <c r="S62" s="287">
        <v>0.0</v>
      </c>
      <c r="T62" s="287">
        <v>0.0</v>
      </c>
      <c r="U62" s="287">
        <v>0.0</v>
      </c>
      <c r="V62" s="287">
        <v>7.0</v>
      </c>
      <c r="W62" s="287">
        <v>1.0</v>
      </c>
      <c r="X62" s="287">
        <v>0.0</v>
      </c>
      <c r="Y62" s="287">
        <v>0.0</v>
      </c>
      <c r="Z62" s="287">
        <v>0.0</v>
      </c>
      <c r="AA62" s="287">
        <v>0.0</v>
      </c>
      <c r="AB62" s="287">
        <v>0.0</v>
      </c>
      <c r="AC62" s="287">
        <v>0.0</v>
      </c>
      <c r="AD62" s="287">
        <v>0.0</v>
      </c>
      <c r="AE62" s="287">
        <v>0.0</v>
      </c>
      <c r="AF62" s="287">
        <v>1.0</v>
      </c>
      <c r="AG62" s="287">
        <v>0.0</v>
      </c>
      <c r="AH62" s="287">
        <v>1.0</v>
      </c>
      <c r="AI62" s="1" t="s">
        <v>324</v>
      </c>
    </row>
    <row r="63">
      <c r="A63" s="286" t="s">
        <v>95</v>
      </c>
      <c r="B63" s="287">
        <v>0.0</v>
      </c>
      <c r="C63" s="287">
        <v>1.0</v>
      </c>
      <c r="D63" s="287">
        <v>0.0</v>
      </c>
      <c r="E63" s="287">
        <v>0.0</v>
      </c>
      <c r="F63" s="287">
        <v>1.0</v>
      </c>
      <c r="G63" s="287">
        <v>0.0</v>
      </c>
      <c r="H63" s="287">
        <v>31.0</v>
      </c>
      <c r="I63" s="287">
        <v>1.0</v>
      </c>
      <c r="J63" s="287">
        <v>50.0</v>
      </c>
      <c r="K63" s="287">
        <v>-19.0</v>
      </c>
      <c r="L63" s="287">
        <v>4.0</v>
      </c>
      <c r="M63" s="287">
        <v>1.0</v>
      </c>
      <c r="N63" s="287">
        <v>591.0</v>
      </c>
      <c r="O63" s="287">
        <v>822.0</v>
      </c>
      <c r="P63" s="287">
        <v>11.0</v>
      </c>
      <c r="Q63" s="287">
        <v>0.0</v>
      </c>
      <c r="R63" s="287">
        <v>0.0</v>
      </c>
      <c r="S63" s="287">
        <v>0.0</v>
      </c>
      <c r="T63" s="287">
        <v>0.0</v>
      </c>
      <c r="U63" s="287">
        <v>0.0</v>
      </c>
      <c r="V63" s="287">
        <v>5.0</v>
      </c>
      <c r="W63" s="287">
        <v>0.0</v>
      </c>
      <c r="X63" s="287">
        <v>0.0</v>
      </c>
      <c r="Y63" s="287">
        <v>0.0</v>
      </c>
      <c r="Z63" s="287">
        <v>0.0</v>
      </c>
      <c r="AA63" s="287">
        <v>0.0</v>
      </c>
      <c r="AB63" s="287">
        <v>0.0</v>
      </c>
      <c r="AC63" s="287">
        <v>0.0</v>
      </c>
      <c r="AD63" s="287">
        <v>0.0</v>
      </c>
      <c r="AE63" s="287">
        <v>0.0</v>
      </c>
      <c r="AF63" s="287">
        <v>0.0</v>
      </c>
      <c r="AG63" s="287">
        <v>0.0</v>
      </c>
      <c r="AH63" s="287">
        <v>0.0</v>
      </c>
      <c r="AI63" s="1" t="s">
        <v>324</v>
      </c>
    </row>
    <row r="64">
      <c r="A64" s="286" t="s">
        <v>94</v>
      </c>
      <c r="B64" s="287">
        <v>0.0</v>
      </c>
      <c r="C64" s="287">
        <v>1.0</v>
      </c>
      <c r="D64" s="287">
        <v>0.0</v>
      </c>
      <c r="E64" s="287">
        <v>0.0</v>
      </c>
      <c r="F64" s="287">
        <v>1.0</v>
      </c>
      <c r="G64" s="287">
        <v>0.0</v>
      </c>
      <c r="H64" s="287">
        <v>36.0</v>
      </c>
      <c r="I64" s="287">
        <v>1.0</v>
      </c>
      <c r="J64" s="287">
        <v>41.0</v>
      </c>
      <c r="K64" s="287">
        <v>-5.0</v>
      </c>
      <c r="L64" s="287">
        <v>3.0</v>
      </c>
      <c r="M64" s="287">
        <v>0.0</v>
      </c>
      <c r="N64" s="287">
        <v>615.0</v>
      </c>
      <c r="O64" s="287">
        <v>822.0</v>
      </c>
      <c r="P64" s="287">
        <v>15.0</v>
      </c>
      <c r="Q64" s="287">
        <v>0.0</v>
      </c>
      <c r="R64" s="287">
        <v>0.0</v>
      </c>
      <c r="S64" s="287">
        <v>0.0</v>
      </c>
      <c r="T64" s="287">
        <v>0.0</v>
      </c>
      <c r="U64" s="287">
        <v>0.0</v>
      </c>
      <c r="V64" s="287">
        <v>5.0</v>
      </c>
      <c r="W64" s="287">
        <v>0.0</v>
      </c>
      <c r="X64" s="287">
        <v>0.0</v>
      </c>
      <c r="Y64" s="287">
        <v>0.0</v>
      </c>
      <c r="Z64" s="287">
        <v>0.0</v>
      </c>
      <c r="AA64" s="287">
        <v>0.0</v>
      </c>
      <c r="AB64" s="287">
        <v>0.0</v>
      </c>
      <c r="AC64" s="287">
        <v>0.0</v>
      </c>
      <c r="AD64" s="287">
        <v>0.0</v>
      </c>
      <c r="AE64" s="287">
        <v>0.0</v>
      </c>
      <c r="AF64" s="287">
        <v>1.0</v>
      </c>
      <c r="AG64" s="287">
        <v>0.0</v>
      </c>
      <c r="AH64" s="287">
        <v>0.0</v>
      </c>
      <c r="AI64" s="1" t="s">
        <v>324</v>
      </c>
    </row>
    <row r="65">
      <c r="A65" s="288" t="s">
        <v>92</v>
      </c>
      <c r="B65" s="289">
        <v>0.0</v>
      </c>
      <c r="C65" s="289">
        <v>1.0</v>
      </c>
      <c r="D65" s="289">
        <v>0.0</v>
      </c>
      <c r="E65" s="289">
        <v>0.0</v>
      </c>
      <c r="F65" s="289">
        <v>1.0</v>
      </c>
      <c r="G65" s="289">
        <v>0.0</v>
      </c>
      <c r="H65" s="289">
        <v>39.0</v>
      </c>
      <c r="I65" s="289">
        <v>2.0</v>
      </c>
      <c r="J65" s="289">
        <v>73.0</v>
      </c>
      <c r="K65" s="289">
        <v>-34.0</v>
      </c>
      <c r="L65" s="289">
        <v>3.0</v>
      </c>
      <c r="M65" s="289">
        <v>2.0</v>
      </c>
      <c r="N65" s="289">
        <v>525.0</v>
      </c>
      <c r="O65" s="289">
        <v>822.0</v>
      </c>
      <c r="P65" s="289">
        <v>7.0</v>
      </c>
      <c r="Q65" s="289">
        <v>0.0</v>
      </c>
      <c r="R65" s="289">
        <v>0.0</v>
      </c>
      <c r="S65" s="289">
        <v>0.0</v>
      </c>
      <c r="T65" s="289">
        <v>0.0</v>
      </c>
      <c r="U65" s="289">
        <v>0.0</v>
      </c>
      <c r="V65" s="289">
        <v>5.0</v>
      </c>
      <c r="W65" s="289">
        <v>0.0</v>
      </c>
      <c r="X65" s="289">
        <v>0.0</v>
      </c>
      <c r="Y65" s="289">
        <v>0.0</v>
      </c>
      <c r="Z65" s="289">
        <v>0.0</v>
      </c>
      <c r="AA65" s="289">
        <v>0.0</v>
      </c>
      <c r="AB65" s="289">
        <v>0.0</v>
      </c>
      <c r="AC65" s="289">
        <v>0.0</v>
      </c>
      <c r="AD65" s="289">
        <v>0.0</v>
      </c>
      <c r="AE65" s="289">
        <v>0.0</v>
      </c>
      <c r="AF65" s="289">
        <v>1.0</v>
      </c>
      <c r="AG65" s="289">
        <v>0.0</v>
      </c>
      <c r="AH65" s="289">
        <v>0.0</v>
      </c>
      <c r="AI65" s="290" t="s">
        <v>324</v>
      </c>
    </row>
    <row r="66">
      <c r="A66" s="284" t="s">
        <v>115</v>
      </c>
      <c r="B66" s="291">
        <v>0.0</v>
      </c>
      <c r="C66" s="291">
        <v>1.0</v>
      </c>
      <c r="D66" s="291">
        <v>0.0</v>
      </c>
      <c r="E66" s="291">
        <v>1.0</v>
      </c>
      <c r="F66" s="291">
        <v>0.0</v>
      </c>
      <c r="G66" s="291">
        <v>4.0</v>
      </c>
      <c r="H66" s="291">
        <v>14.0</v>
      </c>
      <c r="I66" s="291">
        <v>1.0</v>
      </c>
      <c r="J66" s="291">
        <v>7.0</v>
      </c>
      <c r="K66" s="291">
        <v>7.0</v>
      </c>
      <c r="L66" s="291">
        <v>5.0</v>
      </c>
      <c r="M66" s="291">
        <v>1.0</v>
      </c>
      <c r="N66" s="291">
        <v>238.0</v>
      </c>
      <c r="O66" s="291">
        <v>329.0</v>
      </c>
      <c r="P66" s="291">
        <v>34.0</v>
      </c>
      <c r="Q66" s="291">
        <v>1.0</v>
      </c>
      <c r="R66" s="291">
        <v>0.0</v>
      </c>
      <c r="S66" s="291">
        <v>0.0</v>
      </c>
      <c r="T66" s="291">
        <v>0.0</v>
      </c>
      <c r="U66" s="291">
        <v>0.0</v>
      </c>
      <c r="V66" s="291">
        <v>3.0</v>
      </c>
      <c r="W66" s="291">
        <v>1.0</v>
      </c>
      <c r="X66" s="291">
        <v>0.0</v>
      </c>
      <c r="Y66" s="291">
        <v>0.0</v>
      </c>
      <c r="Z66" s="291">
        <v>0.0</v>
      </c>
      <c r="AA66" s="291">
        <v>0.0</v>
      </c>
      <c r="AB66" s="291">
        <v>0.0</v>
      </c>
      <c r="AC66" s="291">
        <v>0.0</v>
      </c>
      <c r="AD66" s="291">
        <v>0.0</v>
      </c>
      <c r="AE66" s="291">
        <v>0.0</v>
      </c>
      <c r="AF66" s="291">
        <v>0.0</v>
      </c>
      <c r="AG66" s="291">
        <v>0.0</v>
      </c>
      <c r="AH66" s="291">
        <v>1.0</v>
      </c>
      <c r="AI66" s="285" t="s">
        <v>325</v>
      </c>
    </row>
    <row r="67">
      <c r="A67" s="286" t="s">
        <v>91</v>
      </c>
      <c r="B67" s="287">
        <v>0.0</v>
      </c>
      <c r="C67" s="287">
        <v>1.0</v>
      </c>
      <c r="D67" s="287">
        <v>0.0</v>
      </c>
      <c r="E67" s="287">
        <v>1.0</v>
      </c>
      <c r="F67" s="287">
        <v>0.0</v>
      </c>
      <c r="G67" s="287">
        <v>1.0</v>
      </c>
      <c r="H67" s="287">
        <v>23.0</v>
      </c>
      <c r="I67" s="287">
        <v>5.0</v>
      </c>
      <c r="J67" s="287">
        <v>19.0</v>
      </c>
      <c r="K67" s="287">
        <v>4.0</v>
      </c>
      <c r="L67" s="287">
        <v>4.0</v>
      </c>
      <c r="M67" s="287">
        <v>1.0</v>
      </c>
      <c r="N67" s="287">
        <v>202.0</v>
      </c>
      <c r="O67" s="287">
        <v>329.0</v>
      </c>
      <c r="P67" s="287">
        <v>10.0</v>
      </c>
      <c r="Q67" s="287">
        <v>0.0</v>
      </c>
      <c r="R67" s="287">
        <v>0.0</v>
      </c>
      <c r="S67" s="287">
        <v>0.0</v>
      </c>
      <c r="T67" s="287">
        <v>0.0</v>
      </c>
      <c r="U67" s="287">
        <v>0.0</v>
      </c>
      <c r="V67" s="287">
        <v>6.0</v>
      </c>
      <c r="W67" s="287">
        <v>2.0</v>
      </c>
      <c r="X67" s="287">
        <v>1.0</v>
      </c>
      <c r="Y67" s="287">
        <v>0.0</v>
      </c>
      <c r="Z67" s="287">
        <v>0.0</v>
      </c>
      <c r="AA67" s="287">
        <v>0.0</v>
      </c>
      <c r="AB67" s="287">
        <v>0.0</v>
      </c>
      <c r="AC67" s="287">
        <v>0.0</v>
      </c>
      <c r="AD67" s="287">
        <v>0.0</v>
      </c>
      <c r="AE67" s="287">
        <v>0.0</v>
      </c>
      <c r="AF67" s="287">
        <v>2.0</v>
      </c>
      <c r="AG67" s="287">
        <v>0.0</v>
      </c>
      <c r="AH67" s="287">
        <v>0.0</v>
      </c>
      <c r="AI67" s="1" t="s">
        <v>325</v>
      </c>
    </row>
    <row r="68">
      <c r="A68" s="286" t="s">
        <v>111</v>
      </c>
      <c r="B68" s="287">
        <v>0.0</v>
      </c>
      <c r="C68" s="287">
        <v>1.0</v>
      </c>
      <c r="D68" s="287">
        <v>0.0</v>
      </c>
      <c r="E68" s="287">
        <v>1.0</v>
      </c>
      <c r="F68" s="287">
        <v>0.0</v>
      </c>
      <c r="G68" s="287">
        <v>0.0</v>
      </c>
      <c r="H68" s="287">
        <v>24.0</v>
      </c>
      <c r="I68" s="287">
        <v>0.0</v>
      </c>
      <c r="J68" s="287">
        <v>16.0</v>
      </c>
      <c r="K68" s="287">
        <v>8.0</v>
      </c>
      <c r="L68" s="287">
        <v>6.0</v>
      </c>
      <c r="M68" s="287">
        <v>2.0</v>
      </c>
      <c r="N68" s="287">
        <v>214.0</v>
      </c>
      <c r="O68" s="287">
        <v>329.0</v>
      </c>
      <c r="P68" s="287">
        <v>13.0</v>
      </c>
      <c r="Q68" s="287">
        <v>1.0</v>
      </c>
      <c r="R68" s="287">
        <v>0.0</v>
      </c>
      <c r="S68" s="287">
        <v>0.0</v>
      </c>
      <c r="T68" s="287">
        <v>0.0</v>
      </c>
      <c r="U68" s="287">
        <v>0.0</v>
      </c>
      <c r="V68" s="287">
        <v>5.0</v>
      </c>
      <c r="W68" s="287">
        <v>2.0</v>
      </c>
      <c r="X68" s="287">
        <v>0.0</v>
      </c>
      <c r="Y68" s="287">
        <v>0.0</v>
      </c>
      <c r="Z68" s="287">
        <v>0.0</v>
      </c>
      <c r="AA68" s="287">
        <v>0.0</v>
      </c>
      <c r="AB68" s="287">
        <v>0.0</v>
      </c>
      <c r="AC68" s="287">
        <v>0.0</v>
      </c>
      <c r="AD68" s="287">
        <v>0.0</v>
      </c>
      <c r="AE68" s="287">
        <v>0.0</v>
      </c>
      <c r="AF68" s="287">
        <v>2.0</v>
      </c>
      <c r="AG68" s="287">
        <v>0.0</v>
      </c>
      <c r="AH68" s="287">
        <v>1.0</v>
      </c>
      <c r="AI68" s="1" t="s">
        <v>325</v>
      </c>
    </row>
    <row r="69">
      <c r="A69" s="286" t="s">
        <v>116</v>
      </c>
      <c r="B69" s="287">
        <v>0.0</v>
      </c>
      <c r="C69" s="287">
        <v>1.0</v>
      </c>
      <c r="D69" s="287">
        <v>0.0</v>
      </c>
      <c r="E69" s="287">
        <v>1.0</v>
      </c>
      <c r="F69" s="287">
        <v>0.0</v>
      </c>
      <c r="G69" s="287">
        <v>0.0</v>
      </c>
      <c r="H69" s="287">
        <v>13.0</v>
      </c>
      <c r="I69" s="287">
        <v>2.0</v>
      </c>
      <c r="J69" s="287">
        <v>18.0</v>
      </c>
      <c r="K69" s="287">
        <v>-5.0</v>
      </c>
      <c r="L69" s="287">
        <v>2.0</v>
      </c>
      <c r="M69" s="287">
        <v>0.0</v>
      </c>
      <c r="N69" s="287">
        <v>208.0</v>
      </c>
      <c r="O69" s="287">
        <v>329.0</v>
      </c>
      <c r="P69" s="287">
        <v>11.0</v>
      </c>
      <c r="Q69" s="287">
        <v>0.0</v>
      </c>
      <c r="R69" s="287">
        <v>0.0</v>
      </c>
      <c r="S69" s="287">
        <v>0.0</v>
      </c>
      <c r="T69" s="287">
        <v>0.0</v>
      </c>
      <c r="U69" s="287">
        <v>0.0</v>
      </c>
      <c r="V69" s="287">
        <v>2.0</v>
      </c>
      <c r="W69" s="287">
        <v>0.0</v>
      </c>
      <c r="X69" s="287">
        <v>0.0</v>
      </c>
      <c r="Y69" s="287">
        <v>0.0</v>
      </c>
      <c r="Z69" s="287">
        <v>0.0</v>
      </c>
      <c r="AA69" s="287">
        <v>0.0</v>
      </c>
      <c r="AB69" s="287">
        <v>0.0</v>
      </c>
      <c r="AC69" s="287">
        <v>0.0</v>
      </c>
      <c r="AD69" s="287">
        <v>0.0</v>
      </c>
      <c r="AE69" s="287">
        <v>0.0</v>
      </c>
      <c r="AF69" s="287">
        <v>1.0</v>
      </c>
      <c r="AG69" s="287">
        <v>0.0</v>
      </c>
      <c r="AH69" s="287">
        <v>0.0</v>
      </c>
      <c r="AI69" s="1" t="s">
        <v>325</v>
      </c>
    </row>
    <row r="70">
      <c r="A70" s="286" t="s">
        <v>108</v>
      </c>
      <c r="B70" s="287">
        <v>1.0</v>
      </c>
      <c r="C70" s="287">
        <v>1.0</v>
      </c>
      <c r="D70" s="287">
        <v>0.0</v>
      </c>
      <c r="E70" s="287">
        <v>0.0</v>
      </c>
      <c r="F70" s="287">
        <v>1.0</v>
      </c>
      <c r="G70" s="287">
        <v>0.0</v>
      </c>
      <c r="H70" s="287">
        <v>17.0</v>
      </c>
      <c r="I70" s="287">
        <v>0.0</v>
      </c>
      <c r="J70" s="287">
        <v>18.0</v>
      </c>
      <c r="K70" s="287">
        <v>-1.0</v>
      </c>
      <c r="L70" s="287">
        <v>4.0</v>
      </c>
      <c r="M70" s="287">
        <v>0.0</v>
      </c>
      <c r="N70" s="287">
        <v>210.0</v>
      </c>
      <c r="O70" s="287">
        <v>329.0</v>
      </c>
      <c r="P70" s="287">
        <v>11.0</v>
      </c>
      <c r="Q70" s="287">
        <v>0.0</v>
      </c>
      <c r="R70" s="287">
        <v>0.0</v>
      </c>
      <c r="S70" s="287">
        <v>0.0</v>
      </c>
      <c r="T70" s="287">
        <v>0.0</v>
      </c>
      <c r="U70" s="287">
        <v>0.0</v>
      </c>
      <c r="V70" s="287">
        <v>3.0</v>
      </c>
      <c r="W70" s="287">
        <v>0.0</v>
      </c>
      <c r="X70" s="287">
        <v>0.0</v>
      </c>
      <c r="Y70" s="287">
        <v>0.0</v>
      </c>
      <c r="Z70" s="287">
        <v>0.0</v>
      </c>
      <c r="AA70" s="287">
        <v>0.0</v>
      </c>
      <c r="AB70" s="287">
        <v>0.0</v>
      </c>
      <c r="AC70" s="287">
        <v>0.0</v>
      </c>
      <c r="AD70" s="287">
        <v>0.0</v>
      </c>
      <c r="AE70" s="287">
        <v>0.0</v>
      </c>
      <c r="AF70" s="287">
        <v>0.0</v>
      </c>
      <c r="AG70" s="287">
        <v>0.0</v>
      </c>
      <c r="AH70" s="287">
        <v>0.0</v>
      </c>
      <c r="AI70" s="1" t="s">
        <v>325</v>
      </c>
    </row>
    <row r="71">
      <c r="A71" s="286" t="s">
        <v>107</v>
      </c>
      <c r="B71" s="287">
        <v>1.0</v>
      </c>
      <c r="C71" s="287">
        <v>1.0</v>
      </c>
      <c r="D71" s="287">
        <v>0.0</v>
      </c>
      <c r="E71" s="287">
        <v>0.0</v>
      </c>
      <c r="F71" s="287">
        <v>1.0</v>
      </c>
      <c r="G71" s="287">
        <v>0.0</v>
      </c>
      <c r="H71" s="287">
        <v>18.0</v>
      </c>
      <c r="I71" s="287">
        <v>1.0</v>
      </c>
      <c r="J71" s="287">
        <v>23.0</v>
      </c>
      <c r="K71" s="287">
        <v>-5.0</v>
      </c>
      <c r="L71" s="287">
        <v>3.0</v>
      </c>
      <c r="M71" s="287">
        <v>2.0</v>
      </c>
      <c r="N71" s="287">
        <v>199.0</v>
      </c>
      <c r="O71" s="287">
        <v>329.0</v>
      </c>
      <c r="P71" s="287">
        <v>8.0</v>
      </c>
      <c r="Q71" s="287">
        <v>0.0</v>
      </c>
      <c r="R71" s="287">
        <v>0.0</v>
      </c>
      <c r="S71" s="287">
        <v>0.0</v>
      </c>
      <c r="T71" s="287">
        <v>0.0</v>
      </c>
      <c r="U71" s="287">
        <v>0.0</v>
      </c>
      <c r="V71" s="287">
        <v>2.0</v>
      </c>
      <c r="W71" s="287">
        <v>1.0</v>
      </c>
      <c r="X71" s="287">
        <v>0.0</v>
      </c>
      <c r="Y71" s="287">
        <v>0.0</v>
      </c>
      <c r="Z71" s="287">
        <v>0.0</v>
      </c>
      <c r="AA71" s="287">
        <v>0.0</v>
      </c>
      <c r="AB71" s="287">
        <v>0.0</v>
      </c>
      <c r="AC71" s="287">
        <v>0.0</v>
      </c>
      <c r="AD71" s="287">
        <v>0.0</v>
      </c>
      <c r="AE71" s="287">
        <v>0.0</v>
      </c>
      <c r="AF71" s="287">
        <v>0.0</v>
      </c>
      <c r="AG71" s="287">
        <v>0.0</v>
      </c>
      <c r="AH71" s="287">
        <v>0.0</v>
      </c>
      <c r="AI71" s="1" t="s">
        <v>325</v>
      </c>
    </row>
    <row r="72">
      <c r="A72" s="286" t="s">
        <v>88</v>
      </c>
      <c r="B72" s="287">
        <v>1.0</v>
      </c>
      <c r="C72" s="287">
        <v>1.0</v>
      </c>
      <c r="D72" s="287">
        <v>0.0</v>
      </c>
      <c r="E72" s="287">
        <v>0.0</v>
      </c>
      <c r="F72" s="287">
        <v>1.0</v>
      </c>
      <c r="G72" s="287">
        <v>0.0</v>
      </c>
      <c r="H72" s="287">
        <v>10.0</v>
      </c>
      <c r="I72" s="287">
        <v>0.0</v>
      </c>
      <c r="J72" s="287">
        <v>21.0</v>
      </c>
      <c r="K72" s="287">
        <v>-11.0</v>
      </c>
      <c r="L72" s="287">
        <v>2.0</v>
      </c>
      <c r="M72" s="287">
        <v>0.0</v>
      </c>
      <c r="N72" s="287">
        <v>197.0</v>
      </c>
      <c r="O72" s="287">
        <v>329.0</v>
      </c>
      <c r="P72" s="287">
        <v>9.0</v>
      </c>
      <c r="Q72" s="287">
        <v>0.0</v>
      </c>
      <c r="R72" s="287">
        <v>0.0</v>
      </c>
      <c r="S72" s="287">
        <v>0.0</v>
      </c>
      <c r="T72" s="287">
        <v>0.0</v>
      </c>
      <c r="U72" s="287">
        <v>0.0</v>
      </c>
      <c r="V72" s="287">
        <v>2.0</v>
      </c>
      <c r="W72" s="287">
        <v>0.0</v>
      </c>
      <c r="X72" s="287">
        <v>0.0</v>
      </c>
      <c r="Y72" s="287">
        <v>0.0</v>
      </c>
      <c r="Z72" s="287">
        <v>0.0</v>
      </c>
      <c r="AA72" s="287">
        <v>0.0</v>
      </c>
      <c r="AB72" s="287">
        <v>0.0</v>
      </c>
      <c r="AC72" s="287">
        <v>0.0</v>
      </c>
      <c r="AD72" s="287">
        <v>0.0</v>
      </c>
      <c r="AE72" s="287">
        <v>0.0</v>
      </c>
      <c r="AF72" s="287">
        <v>0.0</v>
      </c>
      <c r="AG72" s="287">
        <v>0.0</v>
      </c>
      <c r="AH72" s="287">
        <v>0.0</v>
      </c>
      <c r="AI72" s="1" t="s">
        <v>325</v>
      </c>
    </row>
    <row r="73">
      <c r="A73" s="288" t="s">
        <v>72</v>
      </c>
      <c r="B73" s="289">
        <v>1.0</v>
      </c>
      <c r="C73" s="289">
        <v>1.0</v>
      </c>
      <c r="D73" s="289">
        <v>0.0</v>
      </c>
      <c r="E73" s="289">
        <v>0.0</v>
      </c>
      <c r="F73" s="289">
        <v>1.0</v>
      </c>
      <c r="G73" s="289">
        <v>0.0</v>
      </c>
      <c r="H73" s="289">
        <v>9.0</v>
      </c>
      <c r="I73" s="289">
        <v>1.0</v>
      </c>
      <c r="J73" s="289">
        <v>21.0</v>
      </c>
      <c r="K73" s="289">
        <v>-12.0</v>
      </c>
      <c r="L73" s="289">
        <v>2.0</v>
      </c>
      <c r="M73" s="289">
        <v>0.0</v>
      </c>
      <c r="N73" s="289">
        <v>202.0</v>
      </c>
      <c r="O73" s="289">
        <v>329.0</v>
      </c>
      <c r="P73" s="289">
        <v>9.0</v>
      </c>
      <c r="Q73" s="289">
        <v>0.0</v>
      </c>
      <c r="R73" s="289">
        <v>0.0</v>
      </c>
      <c r="S73" s="289">
        <v>0.0</v>
      </c>
      <c r="T73" s="289">
        <v>0.0</v>
      </c>
      <c r="U73" s="289">
        <v>0.0</v>
      </c>
      <c r="V73" s="289">
        <v>0.0</v>
      </c>
      <c r="W73" s="289">
        <v>0.0</v>
      </c>
      <c r="X73" s="289">
        <v>0.0</v>
      </c>
      <c r="Y73" s="289">
        <v>0.0</v>
      </c>
      <c r="Z73" s="289">
        <v>0.0</v>
      </c>
      <c r="AA73" s="289">
        <v>0.0</v>
      </c>
      <c r="AB73" s="289">
        <v>0.0</v>
      </c>
      <c r="AC73" s="289">
        <v>0.0</v>
      </c>
      <c r="AD73" s="289">
        <v>0.0</v>
      </c>
      <c r="AE73" s="289">
        <v>0.0</v>
      </c>
      <c r="AF73" s="289">
        <v>0.0</v>
      </c>
      <c r="AG73" s="289">
        <v>0.0</v>
      </c>
      <c r="AH73" s="289">
        <v>0.0</v>
      </c>
      <c r="AI73" s="290" t="s">
        <v>325</v>
      </c>
    </row>
    <row r="74">
      <c r="A74" s="284" t="s">
        <v>75</v>
      </c>
      <c r="B74" s="291">
        <v>1.0</v>
      </c>
      <c r="C74" s="291">
        <v>1.0</v>
      </c>
      <c r="D74" s="291">
        <v>0.0</v>
      </c>
      <c r="E74" s="291">
        <v>1.0</v>
      </c>
      <c r="F74" s="291">
        <v>0.0</v>
      </c>
      <c r="G74" s="291">
        <v>5.0</v>
      </c>
      <c r="H74" s="291">
        <v>78.0</v>
      </c>
      <c r="I74" s="291">
        <v>5.0</v>
      </c>
      <c r="J74" s="291">
        <v>62.0</v>
      </c>
      <c r="K74" s="291">
        <v>16.0</v>
      </c>
      <c r="L74" s="291">
        <v>8.0</v>
      </c>
      <c r="M74" s="291">
        <v>1.0</v>
      </c>
      <c r="N74" s="291">
        <v>1153.0</v>
      </c>
      <c r="O74" s="291">
        <v>1416.0</v>
      </c>
      <c r="P74" s="291">
        <v>18.0</v>
      </c>
      <c r="Q74" s="291">
        <v>4.0</v>
      </c>
      <c r="R74" s="291">
        <v>0.0</v>
      </c>
      <c r="S74" s="291">
        <v>0.0</v>
      </c>
      <c r="T74" s="291">
        <v>0.0</v>
      </c>
      <c r="U74" s="291">
        <v>0.0</v>
      </c>
      <c r="V74" s="291">
        <v>11.0</v>
      </c>
      <c r="W74" s="291">
        <v>1.0</v>
      </c>
      <c r="X74" s="291">
        <v>0.0</v>
      </c>
      <c r="Y74" s="291">
        <v>0.0</v>
      </c>
      <c r="Z74" s="291">
        <v>0.0</v>
      </c>
      <c r="AA74" s="291">
        <v>0.0</v>
      </c>
      <c r="AB74" s="291">
        <v>0.0</v>
      </c>
      <c r="AC74" s="291">
        <v>0.0</v>
      </c>
      <c r="AD74" s="291">
        <v>0.0</v>
      </c>
      <c r="AE74" s="291">
        <v>0.0</v>
      </c>
      <c r="AF74" s="291">
        <v>0.0</v>
      </c>
      <c r="AG74" s="291">
        <v>0.0</v>
      </c>
      <c r="AH74" s="291">
        <v>1.0</v>
      </c>
      <c r="AI74" s="285" t="s">
        <v>326</v>
      </c>
    </row>
    <row r="75">
      <c r="A75" s="286" t="s">
        <v>79</v>
      </c>
      <c r="B75" s="287">
        <v>1.0</v>
      </c>
      <c r="C75" s="287">
        <v>1.0</v>
      </c>
      <c r="D75" s="287">
        <v>0.0</v>
      </c>
      <c r="E75" s="287">
        <v>1.0</v>
      </c>
      <c r="F75" s="287">
        <v>0.0</v>
      </c>
      <c r="G75" s="287">
        <v>0.0</v>
      </c>
      <c r="H75" s="287">
        <v>81.0</v>
      </c>
      <c r="I75" s="287">
        <v>7.0</v>
      </c>
      <c r="J75" s="287">
        <v>91.0</v>
      </c>
      <c r="K75" s="287">
        <v>-10.0</v>
      </c>
      <c r="L75" s="287">
        <v>4.0</v>
      </c>
      <c r="M75" s="287">
        <v>1.0</v>
      </c>
      <c r="N75" s="287">
        <v>1060.0</v>
      </c>
      <c r="O75" s="287">
        <v>1416.0</v>
      </c>
      <c r="P75" s="287">
        <v>11.0</v>
      </c>
      <c r="Q75" s="287">
        <v>0.0</v>
      </c>
      <c r="R75" s="287">
        <v>0.0</v>
      </c>
      <c r="S75" s="287">
        <v>0.0</v>
      </c>
      <c r="T75" s="287">
        <v>0.0</v>
      </c>
      <c r="U75" s="287">
        <v>0.0</v>
      </c>
      <c r="V75" s="287">
        <v>13.0</v>
      </c>
      <c r="W75" s="287">
        <v>2.0</v>
      </c>
      <c r="X75" s="287">
        <v>0.0</v>
      </c>
      <c r="Y75" s="287">
        <v>0.0</v>
      </c>
      <c r="Z75" s="287">
        <v>0.0</v>
      </c>
      <c r="AA75" s="287">
        <v>0.0</v>
      </c>
      <c r="AB75" s="287">
        <v>0.0</v>
      </c>
      <c r="AC75" s="287">
        <v>0.0</v>
      </c>
      <c r="AD75" s="287">
        <v>0.0</v>
      </c>
      <c r="AE75" s="287">
        <v>0.0</v>
      </c>
      <c r="AF75" s="287">
        <v>2.0</v>
      </c>
      <c r="AG75" s="287">
        <v>0.0</v>
      </c>
      <c r="AH75" s="287">
        <v>0.0</v>
      </c>
      <c r="AI75" s="1" t="s">
        <v>326</v>
      </c>
    </row>
    <row r="76">
      <c r="A76" s="286" t="s">
        <v>104</v>
      </c>
      <c r="B76" s="287">
        <v>1.0</v>
      </c>
      <c r="C76" s="287">
        <v>1.0</v>
      </c>
      <c r="D76" s="287">
        <v>0.0</v>
      </c>
      <c r="E76" s="287">
        <v>1.0</v>
      </c>
      <c r="F76" s="287">
        <v>0.0</v>
      </c>
      <c r="G76" s="287">
        <v>0.0</v>
      </c>
      <c r="H76" s="287">
        <v>79.0</v>
      </c>
      <c r="I76" s="287">
        <v>4.0</v>
      </c>
      <c r="J76" s="287">
        <v>63.0</v>
      </c>
      <c r="K76" s="287">
        <v>16.0</v>
      </c>
      <c r="L76" s="287">
        <v>9.0</v>
      </c>
      <c r="M76" s="287">
        <v>0.0</v>
      </c>
      <c r="N76" s="287">
        <v>1153.0</v>
      </c>
      <c r="O76" s="287">
        <v>1416.0</v>
      </c>
      <c r="P76" s="287">
        <v>18.0</v>
      </c>
      <c r="Q76" s="287">
        <v>1.0</v>
      </c>
      <c r="R76" s="287">
        <v>0.0</v>
      </c>
      <c r="S76" s="287">
        <v>0.0</v>
      </c>
      <c r="T76" s="287">
        <v>0.0</v>
      </c>
      <c r="U76" s="287">
        <v>0.0</v>
      </c>
      <c r="V76" s="287">
        <v>11.0</v>
      </c>
      <c r="W76" s="287">
        <v>3.0</v>
      </c>
      <c r="X76" s="287">
        <v>0.0</v>
      </c>
      <c r="Y76" s="287">
        <v>0.0</v>
      </c>
      <c r="Z76" s="287">
        <v>0.0</v>
      </c>
      <c r="AA76" s="287">
        <v>0.0</v>
      </c>
      <c r="AB76" s="287">
        <v>0.0</v>
      </c>
      <c r="AC76" s="287">
        <v>0.0</v>
      </c>
      <c r="AD76" s="287">
        <v>0.0</v>
      </c>
      <c r="AE76" s="287">
        <v>0.0</v>
      </c>
      <c r="AF76" s="287">
        <v>1.0</v>
      </c>
      <c r="AG76" s="287">
        <v>0.0</v>
      </c>
      <c r="AH76" s="287">
        <v>0.0</v>
      </c>
      <c r="AI76" s="1" t="s">
        <v>326</v>
      </c>
    </row>
    <row r="77">
      <c r="A77" s="286" t="s">
        <v>102</v>
      </c>
      <c r="B77" s="287">
        <v>1.0</v>
      </c>
      <c r="C77" s="287">
        <v>1.0</v>
      </c>
      <c r="D77" s="287">
        <v>0.0</v>
      </c>
      <c r="E77" s="287">
        <v>1.0</v>
      </c>
      <c r="F77" s="287">
        <v>0.0</v>
      </c>
      <c r="G77" s="287">
        <v>0.0</v>
      </c>
      <c r="H77" s="287">
        <v>91.0</v>
      </c>
      <c r="I77" s="287">
        <v>4.0</v>
      </c>
      <c r="J77" s="287">
        <v>89.0</v>
      </c>
      <c r="K77" s="287">
        <v>2.0</v>
      </c>
      <c r="L77" s="287">
        <v>7.0</v>
      </c>
      <c r="M77" s="287">
        <v>0.0</v>
      </c>
      <c r="N77" s="287">
        <v>1069.0</v>
      </c>
      <c r="O77" s="287">
        <v>1416.0</v>
      </c>
      <c r="P77" s="287">
        <v>12.0</v>
      </c>
      <c r="Q77" s="287">
        <v>2.0</v>
      </c>
      <c r="R77" s="287">
        <v>0.0</v>
      </c>
      <c r="S77" s="287">
        <v>0.0</v>
      </c>
      <c r="T77" s="287">
        <v>0.0</v>
      </c>
      <c r="U77" s="287">
        <v>0.0</v>
      </c>
      <c r="V77" s="287">
        <v>17.0</v>
      </c>
      <c r="W77" s="287">
        <v>6.0</v>
      </c>
      <c r="X77" s="287">
        <v>1.0</v>
      </c>
      <c r="Y77" s="287">
        <v>1.0</v>
      </c>
      <c r="Z77" s="287">
        <v>0.0</v>
      </c>
      <c r="AA77" s="287">
        <v>0.0</v>
      </c>
      <c r="AB77" s="287">
        <v>0.0</v>
      </c>
      <c r="AC77" s="287">
        <v>0.0</v>
      </c>
      <c r="AD77" s="287">
        <v>0.0</v>
      </c>
      <c r="AE77" s="287">
        <v>0.0</v>
      </c>
      <c r="AF77" s="287">
        <v>0.0</v>
      </c>
      <c r="AG77" s="287">
        <v>0.0</v>
      </c>
      <c r="AH77" s="287">
        <v>1.0</v>
      </c>
      <c r="AI77" s="1" t="s">
        <v>326</v>
      </c>
    </row>
    <row r="78">
      <c r="A78" s="286" t="s">
        <v>85</v>
      </c>
      <c r="B78" s="287">
        <v>0.0</v>
      </c>
      <c r="C78" s="287">
        <v>1.0</v>
      </c>
      <c r="D78" s="287">
        <v>0.0</v>
      </c>
      <c r="E78" s="287">
        <v>0.0</v>
      </c>
      <c r="F78" s="287">
        <v>1.0</v>
      </c>
      <c r="G78" s="287">
        <v>1.0</v>
      </c>
      <c r="H78" s="287">
        <v>67.0</v>
      </c>
      <c r="I78" s="287">
        <v>6.0</v>
      </c>
      <c r="J78" s="287">
        <v>68.0</v>
      </c>
      <c r="K78" s="287">
        <v>-1.0</v>
      </c>
      <c r="L78" s="287">
        <v>7.0</v>
      </c>
      <c r="M78" s="287">
        <v>0.0</v>
      </c>
      <c r="N78" s="287">
        <v>1137.0</v>
      </c>
      <c r="O78" s="287">
        <v>1416.0</v>
      </c>
      <c r="P78" s="287">
        <v>16.0</v>
      </c>
      <c r="Q78" s="287">
        <v>2.0</v>
      </c>
      <c r="R78" s="287">
        <v>0.0</v>
      </c>
      <c r="S78" s="287">
        <v>0.0</v>
      </c>
      <c r="T78" s="287">
        <v>0.0</v>
      </c>
      <c r="U78" s="287">
        <v>0.0</v>
      </c>
      <c r="V78" s="287">
        <v>11.0</v>
      </c>
      <c r="W78" s="287">
        <v>2.0</v>
      </c>
      <c r="X78" s="287">
        <v>0.0</v>
      </c>
      <c r="Y78" s="287">
        <v>0.0</v>
      </c>
      <c r="Z78" s="287">
        <v>0.0</v>
      </c>
      <c r="AA78" s="287">
        <v>0.0</v>
      </c>
      <c r="AB78" s="287">
        <v>0.0</v>
      </c>
      <c r="AC78" s="287">
        <v>0.0</v>
      </c>
      <c r="AD78" s="287">
        <v>0.0</v>
      </c>
      <c r="AE78" s="287">
        <v>0.0</v>
      </c>
      <c r="AF78" s="287">
        <v>4.0</v>
      </c>
      <c r="AG78" s="287">
        <v>0.0</v>
      </c>
      <c r="AH78" s="287">
        <v>1.0</v>
      </c>
      <c r="AI78" s="1" t="s">
        <v>326</v>
      </c>
    </row>
    <row r="79">
      <c r="A79" s="286" t="s">
        <v>101</v>
      </c>
      <c r="B79" s="287">
        <v>0.0</v>
      </c>
      <c r="C79" s="287">
        <v>1.0</v>
      </c>
      <c r="D79" s="287">
        <v>0.0</v>
      </c>
      <c r="E79" s="287">
        <v>0.0</v>
      </c>
      <c r="F79" s="287">
        <v>1.0</v>
      </c>
      <c r="G79" s="287">
        <v>0.0</v>
      </c>
      <c r="H79" s="287">
        <v>53.0</v>
      </c>
      <c r="I79" s="287">
        <v>6.0</v>
      </c>
      <c r="J79" s="287">
        <v>84.0</v>
      </c>
      <c r="K79" s="287">
        <v>-31.0</v>
      </c>
      <c r="L79" s="287">
        <v>4.0</v>
      </c>
      <c r="M79" s="287">
        <v>1.0</v>
      </c>
      <c r="N79" s="287">
        <v>1088.0</v>
      </c>
      <c r="O79" s="287">
        <v>1416.0</v>
      </c>
      <c r="P79" s="287">
        <v>12.0</v>
      </c>
      <c r="Q79" s="287">
        <v>0.0</v>
      </c>
      <c r="R79" s="287">
        <v>0.0</v>
      </c>
      <c r="S79" s="287">
        <v>0.0</v>
      </c>
      <c r="T79" s="287">
        <v>0.0</v>
      </c>
      <c r="U79" s="287">
        <v>0.0</v>
      </c>
      <c r="V79" s="287">
        <v>7.0</v>
      </c>
      <c r="W79" s="287">
        <v>1.0</v>
      </c>
      <c r="X79" s="287">
        <v>0.0</v>
      </c>
      <c r="Y79" s="287">
        <v>0.0</v>
      </c>
      <c r="Z79" s="287">
        <v>0.0</v>
      </c>
      <c r="AA79" s="287">
        <v>0.0</v>
      </c>
      <c r="AB79" s="287">
        <v>0.0</v>
      </c>
      <c r="AC79" s="287">
        <v>0.0</v>
      </c>
      <c r="AD79" s="287">
        <v>0.0</v>
      </c>
      <c r="AE79" s="287">
        <v>0.0</v>
      </c>
      <c r="AF79" s="287">
        <v>2.0</v>
      </c>
      <c r="AG79" s="287">
        <v>0.0</v>
      </c>
      <c r="AH79" s="287">
        <v>0.0</v>
      </c>
      <c r="AI79" s="1" t="s">
        <v>326</v>
      </c>
    </row>
    <row r="80">
      <c r="A80" s="286" t="s">
        <v>109</v>
      </c>
      <c r="B80" s="287">
        <v>0.0</v>
      </c>
      <c r="C80" s="287">
        <v>1.0</v>
      </c>
      <c r="D80" s="287">
        <v>0.0</v>
      </c>
      <c r="E80" s="287">
        <v>0.0</v>
      </c>
      <c r="F80" s="287">
        <v>1.0</v>
      </c>
      <c r="G80" s="287">
        <v>0.0</v>
      </c>
      <c r="H80" s="287">
        <v>93.0</v>
      </c>
      <c r="I80" s="287">
        <v>5.0</v>
      </c>
      <c r="J80" s="287">
        <v>98.0</v>
      </c>
      <c r="K80" s="287">
        <v>-5.0</v>
      </c>
      <c r="L80" s="287">
        <v>4.0</v>
      </c>
      <c r="M80" s="287">
        <v>2.0</v>
      </c>
      <c r="N80" s="287">
        <v>1050.0</v>
      </c>
      <c r="O80" s="287">
        <v>1416.0</v>
      </c>
      <c r="P80" s="287">
        <v>10.0</v>
      </c>
      <c r="Q80" s="287">
        <v>0.0</v>
      </c>
      <c r="R80" s="287">
        <v>0.0</v>
      </c>
      <c r="S80" s="287">
        <v>0.0</v>
      </c>
      <c r="T80" s="287">
        <v>0.0</v>
      </c>
      <c r="U80" s="287">
        <v>0.0</v>
      </c>
      <c r="V80" s="287">
        <v>14.0</v>
      </c>
      <c r="W80" s="287">
        <v>2.0</v>
      </c>
      <c r="X80" s="287">
        <v>0.0</v>
      </c>
      <c r="Y80" s="287">
        <v>0.0</v>
      </c>
      <c r="Z80" s="287">
        <v>0.0</v>
      </c>
      <c r="AA80" s="287">
        <v>0.0</v>
      </c>
      <c r="AB80" s="287">
        <v>0.0</v>
      </c>
      <c r="AC80" s="287">
        <v>0.0</v>
      </c>
      <c r="AD80" s="287">
        <v>0.0</v>
      </c>
      <c r="AE80" s="287">
        <v>0.0</v>
      </c>
      <c r="AF80" s="287">
        <v>2.0</v>
      </c>
      <c r="AG80" s="287">
        <v>0.0</v>
      </c>
      <c r="AH80" s="287">
        <v>0.0</v>
      </c>
      <c r="AI80" s="1" t="s">
        <v>326</v>
      </c>
    </row>
    <row r="81">
      <c r="A81" s="288" t="s">
        <v>76</v>
      </c>
      <c r="B81" s="289">
        <v>0.0</v>
      </c>
      <c r="C81" s="289">
        <v>1.0</v>
      </c>
      <c r="D81" s="289">
        <v>0.0</v>
      </c>
      <c r="E81" s="289">
        <v>0.0</v>
      </c>
      <c r="F81" s="289">
        <v>1.0</v>
      </c>
      <c r="G81" s="289">
        <v>0.0</v>
      </c>
      <c r="H81" s="289">
        <v>81.0</v>
      </c>
      <c r="I81" s="289">
        <v>2.0</v>
      </c>
      <c r="J81" s="289">
        <v>95.0</v>
      </c>
      <c r="K81" s="289">
        <v>-14.0</v>
      </c>
      <c r="L81" s="289">
        <v>6.0</v>
      </c>
      <c r="M81" s="289">
        <v>3.0</v>
      </c>
      <c r="N81" s="289">
        <v>1056.0</v>
      </c>
      <c r="O81" s="289">
        <v>1416.0</v>
      </c>
      <c r="P81" s="289">
        <v>11.0</v>
      </c>
      <c r="Q81" s="289">
        <v>3.0</v>
      </c>
      <c r="R81" s="289">
        <v>0.0</v>
      </c>
      <c r="S81" s="289">
        <v>0.0</v>
      </c>
      <c r="T81" s="289">
        <v>0.0</v>
      </c>
      <c r="U81" s="289">
        <v>0.0</v>
      </c>
      <c r="V81" s="289">
        <v>14.0</v>
      </c>
      <c r="W81" s="289">
        <v>3.0</v>
      </c>
      <c r="X81" s="289">
        <v>0.0</v>
      </c>
      <c r="Y81" s="289">
        <v>0.0</v>
      </c>
      <c r="Z81" s="289">
        <v>0.0</v>
      </c>
      <c r="AA81" s="289">
        <v>0.0</v>
      </c>
      <c r="AB81" s="289">
        <v>0.0</v>
      </c>
      <c r="AC81" s="289">
        <v>0.0</v>
      </c>
      <c r="AD81" s="289">
        <v>0.0</v>
      </c>
      <c r="AE81" s="289">
        <v>0.0</v>
      </c>
      <c r="AF81" s="289">
        <v>1.0</v>
      </c>
      <c r="AG81" s="289">
        <v>0.0</v>
      </c>
      <c r="AH81" s="289">
        <v>2.0</v>
      </c>
      <c r="AI81" s="290" t="s">
        <v>326</v>
      </c>
    </row>
    <row r="82">
      <c r="A82" s="284" t="s">
        <v>86</v>
      </c>
      <c r="B82" s="291">
        <v>0.0</v>
      </c>
      <c r="C82" s="291">
        <v>1.0</v>
      </c>
      <c r="D82" s="291">
        <v>0.0</v>
      </c>
      <c r="E82" s="291">
        <v>1.0</v>
      </c>
      <c r="F82" s="291">
        <v>0.0</v>
      </c>
      <c r="G82" s="291">
        <v>3.0</v>
      </c>
      <c r="H82" s="291">
        <v>63.0</v>
      </c>
      <c r="I82" s="291">
        <v>3.0</v>
      </c>
      <c r="J82" s="291">
        <v>64.0</v>
      </c>
      <c r="K82" s="291">
        <v>-1.0</v>
      </c>
      <c r="L82" s="291">
        <v>5.0</v>
      </c>
      <c r="M82" s="291">
        <v>2.0</v>
      </c>
      <c r="N82" s="291">
        <v>932.0</v>
      </c>
      <c r="O82" s="291">
        <v>1205.0</v>
      </c>
      <c r="P82" s="291">
        <v>14.0</v>
      </c>
      <c r="Q82" s="291">
        <v>3.0</v>
      </c>
      <c r="R82" s="291">
        <v>0.0</v>
      </c>
      <c r="S82" s="291">
        <v>0.0</v>
      </c>
      <c r="T82" s="291">
        <v>0.0</v>
      </c>
      <c r="U82" s="291">
        <v>0.0</v>
      </c>
      <c r="V82" s="291">
        <v>11.0</v>
      </c>
      <c r="W82" s="291">
        <v>3.0</v>
      </c>
      <c r="X82" s="291">
        <v>0.0</v>
      </c>
      <c r="Y82" s="291">
        <v>0.0</v>
      </c>
      <c r="Z82" s="291">
        <v>0.0</v>
      </c>
      <c r="AA82" s="291">
        <v>0.0</v>
      </c>
      <c r="AB82" s="291">
        <v>0.0</v>
      </c>
      <c r="AC82" s="291">
        <v>0.0</v>
      </c>
      <c r="AD82" s="291">
        <v>0.0</v>
      </c>
      <c r="AE82" s="291">
        <v>0.0</v>
      </c>
      <c r="AF82" s="291">
        <v>0.0</v>
      </c>
      <c r="AG82" s="291">
        <v>0.0</v>
      </c>
      <c r="AH82" s="291">
        <v>1.0</v>
      </c>
      <c r="AI82" s="285" t="s">
        <v>327</v>
      </c>
    </row>
    <row r="83">
      <c r="A83" s="286" t="s">
        <v>89</v>
      </c>
      <c r="B83" s="287">
        <v>0.0</v>
      </c>
      <c r="C83" s="287">
        <v>1.0</v>
      </c>
      <c r="D83" s="287">
        <v>0.0</v>
      </c>
      <c r="E83" s="287">
        <v>1.0</v>
      </c>
      <c r="F83" s="287">
        <v>0.0</v>
      </c>
      <c r="G83" s="287">
        <v>2.0</v>
      </c>
      <c r="H83" s="287">
        <v>78.0</v>
      </c>
      <c r="I83" s="287">
        <v>6.0</v>
      </c>
      <c r="J83" s="287">
        <v>57.0</v>
      </c>
      <c r="K83" s="287">
        <v>21.0</v>
      </c>
      <c r="L83" s="287">
        <v>5.0</v>
      </c>
      <c r="M83" s="287">
        <v>1.0</v>
      </c>
      <c r="N83" s="287">
        <v>948.0</v>
      </c>
      <c r="O83" s="287">
        <v>1205.0</v>
      </c>
      <c r="P83" s="287">
        <v>16.0</v>
      </c>
      <c r="Q83" s="287">
        <v>2.0</v>
      </c>
      <c r="R83" s="287">
        <v>0.0</v>
      </c>
      <c r="S83" s="287">
        <v>0.0</v>
      </c>
      <c r="T83" s="287">
        <v>0.0</v>
      </c>
      <c r="U83" s="287">
        <v>0.0</v>
      </c>
      <c r="V83" s="287">
        <v>12.0</v>
      </c>
      <c r="W83" s="287">
        <v>4.0</v>
      </c>
      <c r="X83" s="287">
        <v>2.0</v>
      </c>
      <c r="Y83" s="287">
        <v>1.0</v>
      </c>
      <c r="Z83" s="287">
        <v>0.0</v>
      </c>
      <c r="AA83" s="287">
        <v>0.0</v>
      </c>
      <c r="AB83" s="287">
        <v>0.0</v>
      </c>
      <c r="AC83" s="287">
        <v>0.0</v>
      </c>
      <c r="AD83" s="287">
        <v>0.0</v>
      </c>
      <c r="AE83" s="287">
        <v>0.0</v>
      </c>
      <c r="AF83" s="287">
        <v>5.0</v>
      </c>
      <c r="AG83" s="287">
        <v>0.0</v>
      </c>
      <c r="AH83" s="287">
        <v>1.0</v>
      </c>
      <c r="AI83" s="1" t="s">
        <v>327</v>
      </c>
    </row>
    <row r="84">
      <c r="A84" s="286" t="s">
        <v>80</v>
      </c>
      <c r="B84" s="287">
        <v>0.0</v>
      </c>
      <c r="C84" s="287">
        <v>1.0</v>
      </c>
      <c r="D84" s="287">
        <v>0.0</v>
      </c>
      <c r="E84" s="287">
        <v>1.0</v>
      </c>
      <c r="F84" s="287">
        <v>0.0</v>
      </c>
      <c r="G84" s="287">
        <v>0.0</v>
      </c>
      <c r="H84" s="287">
        <v>76.0</v>
      </c>
      <c r="I84" s="287">
        <v>6.0</v>
      </c>
      <c r="J84" s="287">
        <v>76.0</v>
      </c>
      <c r="K84" s="287">
        <v>0.0</v>
      </c>
      <c r="L84" s="287">
        <v>6.0</v>
      </c>
      <c r="M84" s="287">
        <v>0.0</v>
      </c>
      <c r="N84" s="287">
        <v>900.0</v>
      </c>
      <c r="O84" s="287">
        <v>1205.0</v>
      </c>
      <c r="P84" s="287">
        <v>11.0</v>
      </c>
      <c r="Q84" s="287">
        <v>2.0</v>
      </c>
      <c r="R84" s="287">
        <v>0.0</v>
      </c>
      <c r="S84" s="287">
        <v>0.0</v>
      </c>
      <c r="T84" s="287">
        <v>0.0</v>
      </c>
      <c r="U84" s="287">
        <v>0.0</v>
      </c>
      <c r="V84" s="287">
        <v>13.0</v>
      </c>
      <c r="W84" s="287">
        <v>2.0</v>
      </c>
      <c r="X84" s="287">
        <v>0.0</v>
      </c>
      <c r="Y84" s="287">
        <v>0.0</v>
      </c>
      <c r="Z84" s="287">
        <v>0.0</v>
      </c>
      <c r="AA84" s="287">
        <v>0.0</v>
      </c>
      <c r="AB84" s="287">
        <v>0.0</v>
      </c>
      <c r="AC84" s="287">
        <v>0.0</v>
      </c>
      <c r="AD84" s="287">
        <v>0.0</v>
      </c>
      <c r="AE84" s="287">
        <v>0.0</v>
      </c>
      <c r="AF84" s="287">
        <v>1.0</v>
      </c>
      <c r="AG84" s="287">
        <v>0.0</v>
      </c>
      <c r="AH84" s="287">
        <v>2.0</v>
      </c>
      <c r="AI84" s="1" t="s">
        <v>327</v>
      </c>
    </row>
    <row r="85">
      <c r="A85" s="286" t="s">
        <v>99</v>
      </c>
      <c r="B85" s="287">
        <v>0.0</v>
      </c>
      <c r="C85" s="287">
        <v>1.0</v>
      </c>
      <c r="D85" s="287">
        <v>0.0</v>
      </c>
      <c r="E85" s="287">
        <v>1.0</v>
      </c>
      <c r="F85" s="287">
        <v>0.0</v>
      </c>
      <c r="G85" s="287">
        <v>0.0</v>
      </c>
      <c r="H85" s="287">
        <v>80.0</v>
      </c>
      <c r="I85" s="287">
        <v>4.0</v>
      </c>
      <c r="J85" s="287">
        <v>72.0</v>
      </c>
      <c r="K85" s="287">
        <v>8.0</v>
      </c>
      <c r="L85" s="287">
        <v>5.0</v>
      </c>
      <c r="M85" s="287">
        <v>2.0</v>
      </c>
      <c r="N85" s="287">
        <v>915.0</v>
      </c>
      <c r="O85" s="287">
        <v>1205.0</v>
      </c>
      <c r="P85" s="287">
        <v>12.0</v>
      </c>
      <c r="Q85" s="287">
        <v>2.0</v>
      </c>
      <c r="R85" s="287">
        <v>0.0</v>
      </c>
      <c r="S85" s="287">
        <v>0.0</v>
      </c>
      <c r="T85" s="287">
        <v>0.0</v>
      </c>
      <c r="U85" s="287">
        <v>0.0</v>
      </c>
      <c r="V85" s="287">
        <v>14.0</v>
      </c>
      <c r="W85" s="287">
        <v>3.0</v>
      </c>
      <c r="X85" s="287">
        <v>1.0</v>
      </c>
      <c r="Y85" s="287">
        <v>1.0</v>
      </c>
      <c r="Z85" s="287">
        <v>0.0</v>
      </c>
      <c r="AA85" s="287">
        <v>0.0</v>
      </c>
      <c r="AB85" s="287">
        <v>0.0</v>
      </c>
      <c r="AC85" s="287">
        <v>0.0</v>
      </c>
      <c r="AD85" s="287">
        <v>0.0</v>
      </c>
      <c r="AE85" s="287">
        <v>0.0</v>
      </c>
      <c r="AF85" s="287">
        <v>4.0</v>
      </c>
      <c r="AG85" s="287">
        <v>0.0</v>
      </c>
      <c r="AH85" s="287">
        <v>2.0</v>
      </c>
      <c r="AI85" s="1" t="s">
        <v>327</v>
      </c>
    </row>
    <row r="86">
      <c r="A86" s="286" t="s">
        <v>83</v>
      </c>
      <c r="B86" s="287">
        <v>1.0</v>
      </c>
      <c r="C86" s="287">
        <v>1.0</v>
      </c>
      <c r="D86" s="287">
        <v>0.0</v>
      </c>
      <c r="E86" s="287">
        <v>0.0</v>
      </c>
      <c r="F86" s="287">
        <v>1.0</v>
      </c>
      <c r="G86" s="287">
        <v>1.0</v>
      </c>
      <c r="H86" s="287">
        <v>77.0</v>
      </c>
      <c r="I86" s="287">
        <v>7.0</v>
      </c>
      <c r="J86" s="287">
        <v>87.0</v>
      </c>
      <c r="K86" s="287">
        <v>-10.0</v>
      </c>
      <c r="L86" s="287">
        <v>5.0</v>
      </c>
      <c r="M86" s="287">
        <v>1.0</v>
      </c>
      <c r="N86" s="287">
        <v>871.0</v>
      </c>
      <c r="O86" s="287">
        <v>1205.0</v>
      </c>
      <c r="P86" s="287">
        <v>10.0</v>
      </c>
      <c r="Q86" s="287">
        <v>1.0</v>
      </c>
      <c r="R86" s="287">
        <v>0.0</v>
      </c>
      <c r="S86" s="287">
        <v>0.0</v>
      </c>
      <c r="T86" s="287">
        <v>0.0</v>
      </c>
      <c r="U86" s="287">
        <v>0.0</v>
      </c>
      <c r="V86" s="287">
        <v>9.0</v>
      </c>
      <c r="W86" s="287">
        <v>0.0</v>
      </c>
      <c r="X86" s="287">
        <v>0.0</v>
      </c>
      <c r="Y86" s="287">
        <v>0.0</v>
      </c>
      <c r="Z86" s="287">
        <v>0.0</v>
      </c>
      <c r="AA86" s="287">
        <v>0.0</v>
      </c>
      <c r="AB86" s="287">
        <v>0.0</v>
      </c>
      <c r="AC86" s="287">
        <v>0.0</v>
      </c>
      <c r="AD86" s="287">
        <v>0.0</v>
      </c>
      <c r="AE86" s="287">
        <v>0.0</v>
      </c>
      <c r="AF86" s="287">
        <v>4.0</v>
      </c>
      <c r="AG86" s="287">
        <v>0.0</v>
      </c>
      <c r="AH86" s="287">
        <v>0.0</v>
      </c>
      <c r="AI86" s="1" t="s">
        <v>327</v>
      </c>
    </row>
    <row r="87">
      <c r="A87" s="286" t="s">
        <v>105</v>
      </c>
      <c r="B87" s="287">
        <v>1.0</v>
      </c>
      <c r="C87" s="287">
        <v>1.0</v>
      </c>
      <c r="D87" s="287">
        <v>0.0</v>
      </c>
      <c r="E87" s="287">
        <v>0.0</v>
      </c>
      <c r="F87" s="287">
        <v>1.0</v>
      </c>
      <c r="G87" s="287">
        <v>0.0</v>
      </c>
      <c r="H87" s="287">
        <v>53.0</v>
      </c>
      <c r="I87" s="287">
        <v>4.0</v>
      </c>
      <c r="J87" s="287">
        <v>49.0</v>
      </c>
      <c r="K87" s="287">
        <v>4.0</v>
      </c>
      <c r="L87" s="287">
        <v>5.0</v>
      </c>
      <c r="M87" s="287">
        <v>0.0</v>
      </c>
      <c r="N87" s="287">
        <v>982.0</v>
      </c>
      <c r="O87" s="287">
        <v>1205.0</v>
      </c>
      <c r="P87" s="287">
        <v>20.0</v>
      </c>
      <c r="Q87" s="287">
        <v>1.0</v>
      </c>
      <c r="R87" s="287">
        <v>0.0</v>
      </c>
      <c r="S87" s="287">
        <v>0.0</v>
      </c>
      <c r="T87" s="287">
        <v>0.0</v>
      </c>
      <c r="U87" s="287">
        <v>0.0</v>
      </c>
      <c r="V87" s="287">
        <v>5.0</v>
      </c>
      <c r="W87" s="287">
        <v>0.0</v>
      </c>
      <c r="X87" s="287">
        <v>0.0</v>
      </c>
      <c r="Y87" s="287">
        <v>0.0</v>
      </c>
      <c r="Z87" s="287">
        <v>0.0</v>
      </c>
      <c r="AA87" s="287">
        <v>0.0</v>
      </c>
      <c r="AB87" s="287">
        <v>0.0</v>
      </c>
      <c r="AC87" s="287">
        <v>0.0</v>
      </c>
      <c r="AD87" s="287">
        <v>0.0</v>
      </c>
      <c r="AE87" s="287">
        <v>0.0</v>
      </c>
      <c r="AF87" s="287">
        <v>0.0</v>
      </c>
      <c r="AG87" s="287">
        <v>0.0</v>
      </c>
      <c r="AH87" s="287">
        <v>0.0</v>
      </c>
      <c r="AI87" s="1" t="s">
        <v>327</v>
      </c>
    </row>
    <row r="88">
      <c r="A88" s="286" t="s">
        <v>100</v>
      </c>
      <c r="B88" s="287">
        <v>1.0</v>
      </c>
      <c r="C88" s="287">
        <v>1.0</v>
      </c>
      <c r="D88" s="287">
        <v>0.0</v>
      </c>
      <c r="E88" s="287">
        <v>0.0</v>
      </c>
      <c r="F88" s="287">
        <v>1.0</v>
      </c>
      <c r="G88" s="287">
        <v>0.0</v>
      </c>
      <c r="H88" s="287">
        <v>66.0</v>
      </c>
      <c r="I88" s="287">
        <v>3.0</v>
      </c>
      <c r="J88" s="287">
        <v>102.0</v>
      </c>
      <c r="K88" s="287">
        <v>-36.0</v>
      </c>
      <c r="L88" s="287">
        <v>5.0</v>
      </c>
      <c r="M88" s="287">
        <v>1.0</v>
      </c>
      <c r="N88" s="287">
        <v>820.0</v>
      </c>
      <c r="O88" s="287">
        <v>1205.0</v>
      </c>
      <c r="P88" s="287">
        <v>8.0</v>
      </c>
      <c r="Q88" s="287">
        <v>1.0</v>
      </c>
      <c r="R88" s="287">
        <v>0.0</v>
      </c>
      <c r="S88" s="287">
        <v>0.0</v>
      </c>
      <c r="T88" s="287">
        <v>0.0</v>
      </c>
      <c r="U88" s="287">
        <v>0.0</v>
      </c>
      <c r="V88" s="287">
        <v>13.0</v>
      </c>
      <c r="W88" s="287">
        <v>1.0</v>
      </c>
      <c r="X88" s="287">
        <v>0.0</v>
      </c>
      <c r="Y88" s="287">
        <v>0.0</v>
      </c>
      <c r="Z88" s="287">
        <v>0.0</v>
      </c>
      <c r="AA88" s="287">
        <v>0.0</v>
      </c>
      <c r="AB88" s="287">
        <v>0.0</v>
      </c>
      <c r="AC88" s="287">
        <v>0.0</v>
      </c>
      <c r="AD88" s="287">
        <v>0.0</v>
      </c>
      <c r="AE88" s="287">
        <v>0.0</v>
      </c>
      <c r="AF88" s="287">
        <v>3.0</v>
      </c>
      <c r="AG88" s="287">
        <v>0.0</v>
      </c>
      <c r="AH88" s="287">
        <v>1.0</v>
      </c>
      <c r="AI88" s="1" t="s">
        <v>327</v>
      </c>
    </row>
    <row r="89">
      <c r="A89" s="288" t="s">
        <v>112</v>
      </c>
      <c r="B89" s="289">
        <v>1.0</v>
      </c>
      <c r="C89" s="289">
        <v>1.0</v>
      </c>
      <c r="D89" s="289">
        <v>0.0</v>
      </c>
      <c r="E89" s="289">
        <v>1.0</v>
      </c>
      <c r="F89" s="289">
        <v>0.0</v>
      </c>
      <c r="G89" s="289">
        <v>5.0</v>
      </c>
      <c r="H89" s="289">
        <v>132.0</v>
      </c>
      <c r="I89" s="289">
        <v>9.0</v>
      </c>
      <c r="J89" s="289">
        <v>90.0</v>
      </c>
      <c r="K89" s="289">
        <v>42.0</v>
      </c>
      <c r="L89" s="289">
        <v>17.0</v>
      </c>
      <c r="M89" s="289">
        <v>3.0</v>
      </c>
      <c r="N89" s="289">
        <v>2622.0</v>
      </c>
      <c r="O89" s="289">
        <v>2991.0</v>
      </c>
      <c r="P89" s="289">
        <v>29.0</v>
      </c>
      <c r="Q89" s="289">
        <v>5.0</v>
      </c>
      <c r="R89" s="289">
        <v>1.0</v>
      </c>
      <c r="S89" s="289">
        <v>1.0</v>
      </c>
      <c r="T89" s="289">
        <v>0.0</v>
      </c>
      <c r="U89" s="289">
        <v>0.0</v>
      </c>
      <c r="V89" s="289">
        <v>19.0</v>
      </c>
      <c r="W89" s="289">
        <v>4.0</v>
      </c>
      <c r="X89" s="289">
        <v>2.0</v>
      </c>
      <c r="Y89" s="289">
        <v>1.0</v>
      </c>
      <c r="Z89" s="289">
        <v>0.0</v>
      </c>
      <c r="AA89" s="289">
        <v>0.0</v>
      </c>
      <c r="AB89" s="289">
        <v>0.0</v>
      </c>
      <c r="AC89" s="289">
        <v>0.0</v>
      </c>
      <c r="AD89" s="289">
        <v>0.0</v>
      </c>
      <c r="AE89" s="289">
        <v>0.0</v>
      </c>
      <c r="AF89" s="289">
        <v>4.0</v>
      </c>
      <c r="AG89" s="289">
        <v>0.0</v>
      </c>
      <c r="AH89" s="289">
        <v>2.0</v>
      </c>
      <c r="AI89" s="290" t="s">
        <v>328</v>
      </c>
    </row>
    <row r="90">
      <c r="A90" s="284" t="s">
        <v>90</v>
      </c>
      <c r="B90" s="291">
        <v>1.0</v>
      </c>
      <c r="C90" s="291">
        <v>1.0</v>
      </c>
      <c r="D90" s="291">
        <v>0.0</v>
      </c>
      <c r="E90" s="291">
        <v>1.0</v>
      </c>
      <c r="F90" s="291">
        <v>0.0</v>
      </c>
      <c r="G90" s="291">
        <v>0.0</v>
      </c>
      <c r="H90" s="291">
        <v>155.0</v>
      </c>
      <c r="I90" s="291">
        <v>8.0</v>
      </c>
      <c r="J90" s="291">
        <v>154.0</v>
      </c>
      <c r="K90" s="291">
        <v>1.0</v>
      </c>
      <c r="L90" s="291">
        <v>7.0</v>
      </c>
      <c r="M90" s="291">
        <v>3.0</v>
      </c>
      <c r="N90" s="291">
        <v>2599.0</v>
      </c>
      <c r="O90" s="291">
        <v>3161.0</v>
      </c>
      <c r="P90" s="291">
        <v>16.0</v>
      </c>
      <c r="Q90" s="291">
        <v>2.0</v>
      </c>
      <c r="R90" s="291">
        <v>0.0</v>
      </c>
      <c r="S90" s="291">
        <v>0.0</v>
      </c>
      <c r="T90" s="291">
        <v>0.0</v>
      </c>
      <c r="U90" s="291">
        <v>0.0</v>
      </c>
      <c r="V90" s="291">
        <v>23.0</v>
      </c>
      <c r="W90" s="291">
        <v>5.0</v>
      </c>
      <c r="X90" s="291">
        <v>0.0</v>
      </c>
      <c r="Y90" s="291">
        <v>0.0</v>
      </c>
      <c r="Z90" s="291">
        <v>0.0</v>
      </c>
      <c r="AA90" s="291">
        <v>0.0</v>
      </c>
      <c r="AB90" s="291">
        <v>0.0</v>
      </c>
      <c r="AC90" s="291">
        <v>0.0</v>
      </c>
      <c r="AD90" s="291">
        <v>0.0</v>
      </c>
      <c r="AE90" s="291">
        <v>0.0</v>
      </c>
      <c r="AF90" s="291">
        <v>5.0</v>
      </c>
      <c r="AG90" s="291">
        <v>0.0</v>
      </c>
      <c r="AH90" s="291">
        <v>2.0</v>
      </c>
      <c r="AI90" s="285" t="s">
        <v>328</v>
      </c>
    </row>
    <row r="91">
      <c r="A91" s="286" t="s">
        <v>114</v>
      </c>
      <c r="B91" s="287">
        <v>1.0</v>
      </c>
      <c r="C91" s="287">
        <v>1.0</v>
      </c>
      <c r="D91" s="287">
        <v>0.0</v>
      </c>
      <c r="E91" s="287">
        <v>1.0</v>
      </c>
      <c r="F91" s="287">
        <v>0.0</v>
      </c>
      <c r="G91" s="287">
        <v>0.0</v>
      </c>
      <c r="H91" s="287">
        <v>165.0</v>
      </c>
      <c r="I91" s="287">
        <v>17.0</v>
      </c>
      <c r="J91" s="287">
        <v>177.0</v>
      </c>
      <c r="K91" s="287">
        <v>-12.0</v>
      </c>
      <c r="L91" s="287">
        <v>5.0</v>
      </c>
      <c r="M91" s="287">
        <v>3.0</v>
      </c>
      <c r="N91" s="287">
        <v>2536.0</v>
      </c>
      <c r="O91" s="287">
        <v>3161.0</v>
      </c>
      <c r="P91" s="287">
        <v>14.0</v>
      </c>
      <c r="Q91" s="287">
        <v>4.0</v>
      </c>
      <c r="R91" s="287">
        <v>0.0</v>
      </c>
      <c r="S91" s="287">
        <v>0.0</v>
      </c>
      <c r="T91" s="287">
        <v>0.0</v>
      </c>
      <c r="U91" s="287">
        <v>0.0</v>
      </c>
      <c r="V91" s="287">
        <v>30.0</v>
      </c>
      <c r="W91" s="287">
        <v>3.0</v>
      </c>
      <c r="X91" s="287">
        <v>2.0</v>
      </c>
      <c r="Y91" s="287">
        <v>0.0</v>
      </c>
      <c r="Z91" s="287">
        <v>0.0</v>
      </c>
      <c r="AA91" s="287">
        <v>0.0</v>
      </c>
      <c r="AB91" s="287">
        <v>0.0</v>
      </c>
      <c r="AC91" s="287">
        <v>0.0</v>
      </c>
      <c r="AD91" s="287">
        <v>0.0</v>
      </c>
      <c r="AE91" s="287">
        <v>0.0</v>
      </c>
      <c r="AF91" s="287">
        <v>4.0</v>
      </c>
      <c r="AG91" s="287">
        <v>0.0</v>
      </c>
      <c r="AH91" s="287">
        <v>3.0</v>
      </c>
      <c r="AI91" s="1" t="s">
        <v>328</v>
      </c>
    </row>
    <row r="92">
      <c r="A92" s="286" t="s">
        <v>74</v>
      </c>
      <c r="B92" s="287">
        <v>1.0</v>
      </c>
      <c r="C92" s="287">
        <v>1.0</v>
      </c>
      <c r="D92" s="287">
        <v>0.0</v>
      </c>
      <c r="E92" s="287">
        <v>1.0</v>
      </c>
      <c r="F92" s="287">
        <v>0.0</v>
      </c>
      <c r="G92" s="287">
        <v>0.0</v>
      </c>
      <c r="H92" s="287">
        <v>149.0</v>
      </c>
      <c r="I92" s="287">
        <v>3.0</v>
      </c>
      <c r="J92" s="287">
        <v>192.0</v>
      </c>
      <c r="K92" s="287">
        <v>-43.0</v>
      </c>
      <c r="L92" s="287">
        <v>4.0</v>
      </c>
      <c r="M92" s="287">
        <v>2.0</v>
      </c>
      <c r="N92" s="287">
        <v>2486.0</v>
      </c>
      <c r="O92" s="287">
        <v>3161.0</v>
      </c>
      <c r="P92" s="287">
        <v>12.0</v>
      </c>
      <c r="Q92" s="287">
        <v>0.0</v>
      </c>
      <c r="R92" s="287">
        <v>0.0</v>
      </c>
      <c r="S92" s="287">
        <v>0.0</v>
      </c>
      <c r="T92" s="287">
        <v>0.0</v>
      </c>
      <c r="U92" s="287">
        <v>0.0</v>
      </c>
      <c r="V92" s="287">
        <v>16.0</v>
      </c>
      <c r="W92" s="287">
        <v>2.0</v>
      </c>
      <c r="X92" s="287">
        <v>0.0</v>
      </c>
      <c r="Y92" s="287">
        <v>0.0</v>
      </c>
      <c r="Z92" s="287">
        <v>0.0</v>
      </c>
      <c r="AA92" s="287">
        <v>0.0</v>
      </c>
      <c r="AB92" s="287">
        <v>0.0</v>
      </c>
      <c r="AC92" s="287">
        <v>0.0</v>
      </c>
      <c r="AD92" s="287">
        <v>0.0</v>
      </c>
      <c r="AE92" s="287">
        <v>0.0</v>
      </c>
      <c r="AF92" s="287">
        <v>5.0</v>
      </c>
      <c r="AG92" s="287">
        <v>0.0</v>
      </c>
      <c r="AH92" s="287">
        <v>0.0</v>
      </c>
      <c r="AI92" s="1" t="s">
        <v>328</v>
      </c>
    </row>
    <row r="93">
      <c r="A93" s="286" t="s">
        <v>103</v>
      </c>
      <c r="B93" s="287">
        <v>0.0</v>
      </c>
      <c r="C93" s="287">
        <v>1.0</v>
      </c>
      <c r="D93" s="287">
        <v>0.0</v>
      </c>
      <c r="E93" s="287">
        <v>0.0</v>
      </c>
      <c r="F93" s="287">
        <v>1.0</v>
      </c>
      <c r="G93" s="287">
        <v>1.0</v>
      </c>
      <c r="H93" s="287">
        <v>181.0</v>
      </c>
      <c r="I93" s="287">
        <v>10.0</v>
      </c>
      <c r="J93" s="287">
        <v>135.0</v>
      </c>
      <c r="K93" s="287">
        <v>46.0</v>
      </c>
      <c r="L93" s="287">
        <v>7.0</v>
      </c>
      <c r="M93" s="287">
        <v>1.0</v>
      </c>
      <c r="N93" s="287">
        <v>2663.0</v>
      </c>
      <c r="O93" s="287">
        <v>3161.0</v>
      </c>
      <c r="P93" s="287">
        <v>19.0</v>
      </c>
      <c r="Q93" s="287">
        <v>4.0</v>
      </c>
      <c r="R93" s="287">
        <v>0.0</v>
      </c>
      <c r="S93" s="287">
        <v>0.0</v>
      </c>
      <c r="T93" s="287">
        <v>0.0</v>
      </c>
      <c r="U93" s="287">
        <v>0.0</v>
      </c>
      <c r="V93" s="287">
        <v>27.0</v>
      </c>
      <c r="W93" s="287">
        <v>6.0</v>
      </c>
      <c r="X93" s="287">
        <v>1.0</v>
      </c>
      <c r="Y93" s="287">
        <v>0.0</v>
      </c>
      <c r="Z93" s="287">
        <v>0.0</v>
      </c>
      <c r="AA93" s="287">
        <v>0.0</v>
      </c>
      <c r="AB93" s="287">
        <v>0.0</v>
      </c>
      <c r="AC93" s="287">
        <v>0.0</v>
      </c>
      <c r="AD93" s="287">
        <v>0.0</v>
      </c>
      <c r="AE93" s="287">
        <v>0.0</v>
      </c>
      <c r="AF93" s="287">
        <v>14.0</v>
      </c>
      <c r="AG93" s="287">
        <v>0.0</v>
      </c>
      <c r="AH93" s="287">
        <v>2.0</v>
      </c>
      <c r="AI93" s="1" t="s">
        <v>328</v>
      </c>
    </row>
    <row r="94">
      <c r="A94" s="286" t="s">
        <v>71</v>
      </c>
      <c r="B94" s="287">
        <v>0.0</v>
      </c>
      <c r="C94" s="287">
        <v>1.0</v>
      </c>
      <c r="D94" s="287">
        <v>0.0</v>
      </c>
      <c r="E94" s="287">
        <v>0.0</v>
      </c>
      <c r="F94" s="287">
        <v>1.0</v>
      </c>
      <c r="G94" s="287">
        <v>1.0</v>
      </c>
      <c r="H94" s="287">
        <v>149.0</v>
      </c>
      <c r="I94" s="287">
        <v>9.0</v>
      </c>
      <c r="J94" s="287">
        <v>102.0</v>
      </c>
      <c r="K94" s="287">
        <v>47.0</v>
      </c>
      <c r="L94" s="287">
        <v>12.0</v>
      </c>
      <c r="M94" s="287">
        <v>0.0</v>
      </c>
      <c r="N94" s="287">
        <v>2766.0</v>
      </c>
      <c r="O94" s="287">
        <v>3161.0</v>
      </c>
      <c r="P94" s="287">
        <v>27.0</v>
      </c>
      <c r="Q94" s="287">
        <v>6.0</v>
      </c>
      <c r="R94" s="287">
        <v>1.0</v>
      </c>
      <c r="S94" s="287">
        <v>0.0</v>
      </c>
      <c r="T94" s="287">
        <v>0.0</v>
      </c>
      <c r="U94" s="287">
        <v>0.0</v>
      </c>
      <c r="V94" s="287">
        <v>23.0</v>
      </c>
      <c r="W94" s="287">
        <v>4.0</v>
      </c>
      <c r="X94" s="287">
        <v>0.0</v>
      </c>
      <c r="Y94" s="287">
        <v>0.0</v>
      </c>
      <c r="Z94" s="287">
        <v>0.0</v>
      </c>
      <c r="AA94" s="287">
        <v>0.0</v>
      </c>
      <c r="AB94" s="287">
        <v>0.0</v>
      </c>
      <c r="AC94" s="287">
        <v>0.0</v>
      </c>
      <c r="AD94" s="287">
        <v>0.0</v>
      </c>
      <c r="AE94" s="287">
        <v>0.0</v>
      </c>
      <c r="AF94" s="287">
        <v>5.0</v>
      </c>
      <c r="AG94" s="287">
        <v>0.0</v>
      </c>
      <c r="AH94" s="287">
        <v>2.0</v>
      </c>
      <c r="AI94" s="1" t="s">
        <v>328</v>
      </c>
    </row>
    <row r="95">
      <c r="A95" s="286" t="s">
        <v>78</v>
      </c>
      <c r="B95" s="287">
        <v>0.0</v>
      </c>
      <c r="C95" s="287">
        <v>1.0</v>
      </c>
      <c r="D95" s="287">
        <v>0.0</v>
      </c>
      <c r="E95" s="287">
        <v>0.0</v>
      </c>
      <c r="F95" s="287">
        <v>1.0</v>
      </c>
      <c r="G95" s="287">
        <v>0.0</v>
      </c>
      <c r="H95" s="287">
        <v>105.0</v>
      </c>
      <c r="I95" s="287">
        <v>6.0</v>
      </c>
      <c r="J95" s="287">
        <v>189.0</v>
      </c>
      <c r="K95" s="287">
        <v>-84.0</v>
      </c>
      <c r="L95" s="287">
        <v>3.0</v>
      </c>
      <c r="M95" s="287">
        <v>3.0</v>
      </c>
      <c r="N95" s="287">
        <v>2508.0</v>
      </c>
      <c r="O95" s="287">
        <v>3161.0</v>
      </c>
      <c r="P95" s="287">
        <v>13.0</v>
      </c>
      <c r="Q95" s="287">
        <v>0.0</v>
      </c>
      <c r="R95" s="287">
        <v>0.0</v>
      </c>
      <c r="S95" s="287">
        <v>0.0</v>
      </c>
      <c r="T95" s="287">
        <v>0.0</v>
      </c>
      <c r="U95" s="287">
        <v>0.0</v>
      </c>
      <c r="V95" s="287">
        <v>7.0</v>
      </c>
      <c r="W95" s="287">
        <v>0.0</v>
      </c>
      <c r="X95" s="287">
        <v>0.0</v>
      </c>
      <c r="Y95" s="287">
        <v>0.0</v>
      </c>
      <c r="Z95" s="287">
        <v>0.0</v>
      </c>
      <c r="AA95" s="287">
        <v>0.0</v>
      </c>
      <c r="AB95" s="287">
        <v>0.0</v>
      </c>
      <c r="AC95" s="287">
        <v>0.0</v>
      </c>
      <c r="AD95" s="287">
        <v>0.0</v>
      </c>
      <c r="AE95" s="287">
        <v>0.0</v>
      </c>
      <c r="AF95" s="287">
        <v>9.0</v>
      </c>
      <c r="AG95" s="287">
        <v>0.0</v>
      </c>
      <c r="AH95" s="287">
        <v>0.0</v>
      </c>
      <c r="AI95" s="1" t="s">
        <v>328</v>
      </c>
    </row>
    <row r="96">
      <c r="A96" s="286" t="s">
        <v>110</v>
      </c>
      <c r="B96" s="287">
        <v>0.0</v>
      </c>
      <c r="C96" s="287">
        <v>1.0</v>
      </c>
      <c r="D96" s="287">
        <v>0.0</v>
      </c>
      <c r="E96" s="287">
        <v>0.0</v>
      </c>
      <c r="F96" s="287">
        <v>1.0</v>
      </c>
      <c r="G96" s="287">
        <v>0.0</v>
      </c>
      <c r="H96" s="287">
        <v>163.0</v>
      </c>
      <c r="I96" s="287">
        <v>12.0</v>
      </c>
      <c r="J96" s="287">
        <v>194.0</v>
      </c>
      <c r="K96" s="287">
        <v>-31.0</v>
      </c>
      <c r="L96" s="287">
        <v>5.0</v>
      </c>
      <c r="M96" s="287">
        <v>0.0</v>
      </c>
      <c r="N96" s="287">
        <v>2492.0</v>
      </c>
      <c r="O96" s="287">
        <v>3161.0</v>
      </c>
      <c r="P96" s="287">
        <v>12.0</v>
      </c>
      <c r="Q96" s="287">
        <v>2.0</v>
      </c>
      <c r="R96" s="287">
        <v>0.0</v>
      </c>
      <c r="S96" s="287">
        <v>0.0</v>
      </c>
      <c r="T96" s="287">
        <v>0.0</v>
      </c>
      <c r="U96" s="287">
        <v>0.0</v>
      </c>
      <c r="V96" s="287">
        <v>27.0</v>
      </c>
      <c r="W96" s="287">
        <v>3.0</v>
      </c>
      <c r="X96" s="287">
        <v>0.0</v>
      </c>
      <c r="Y96" s="287">
        <v>0.0</v>
      </c>
      <c r="Z96" s="287">
        <v>0.0</v>
      </c>
      <c r="AA96" s="287">
        <v>0.0</v>
      </c>
      <c r="AB96" s="287">
        <v>0.0</v>
      </c>
      <c r="AC96" s="287">
        <v>0.0</v>
      </c>
      <c r="AD96" s="287">
        <v>0.0</v>
      </c>
      <c r="AE96" s="287">
        <v>0.0</v>
      </c>
      <c r="AF96" s="287">
        <v>8.0</v>
      </c>
      <c r="AG96" s="287">
        <v>0.0</v>
      </c>
      <c r="AH96" s="287">
        <v>2.0</v>
      </c>
      <c r="AI96" s="1" t="s">
        <v>328</v>
      </c>
    </row>
    <row r="97">
      <c r="A97" s="288" t="s">
        <v>84</v>
      </c>
      <c r="B97" s="289">
        <v>1.0</v>
      </c>
      <c r="C97" s="289">
        <v>1.0</v>
      </c>
      <c r="D97" s="289">
        <v>0.0</v>
      </c>
      <c r="E97" s="289">
        <v>1.0</v>
      </c>
      <c r="F97" s="289">
        <v>0.0</v>
      </c>
      <c r="G97" s="289">
        <v>3.0</v>
      </c>
      <c r="H97" s="289">
        <v>54.0</v>
      </c>
      <c r="I97" s="289">
        <v>4.0</v>
      </c>
      <c r="J97" s="289">
        <v>58.0</v>
      </c>
      <c r="K97" s="289">
        <v>-4.0</v>
      </c>
      <c r="L97" s="289">
        <v>10.0</v>
      </c>
      <c r="M97" s="289">
        <v>4.0</v>
      </c>
      <c r="N97" s="289">
        <v>1054.0</v>
      </c>
      <c r="O97" s="289">
        <v>1306.0</v>
      </c>
      <c r="P97" s="289">
        <v>18.0</v>
      </c>
      <c r="Q97" s="289">
        <v>1.0</v>
      </c>
      <c r="R97" s="289">
        <v>1.0</v>
      </c>
      <c r="S97" s="289">
        <v>0.0</v>
      </c>
      <c r="T97" s="289">
        <v>0.0</v>
      </c>
      <c r="U97" s="289">
        <v>0.0</v>
      </c>
      <c r="V97" s="289">
        <v>5.0</v>
      </c>
      <c r="W97" s="289">
        <v>1.0</v>
      </c>
      <c r="X97" s="289">
        <v>0.0</v>
      </c>
      <c r="Y97" s="289">
        <v>0.0</v>
      </c>
      <c r="Z97" s="289">
        <v>0.0</v>
      </c>
      <c r="AA97" s="289">
        <v>0.0</v>
      </c>
      <c r="AB97" s="289">
        <v>0.0</v>
      </c>
      <c r="AC97" s="289">
        <v>0.0</v>
      </c>
      <c r="AD97" s="289">
        <v>0.0</v>
      </c>
      <c r="AE97" s="289">
        <v>0.0</v>
      </c>
      <c r="AF97" s="289">
        <v>2.0</v>
      </c>
      <c r="AG97" s="289">
        <v>0.0</v>
      </c>
      <c r="AH97" s="289">
        <v>0.0</v>
      </c>
      <c r="AI97" s="290" t="s">
        <v>329</v>
      </c>
    </row>
    <row r="98">
      <c r="A98" s="284" t="s">
        <v>82</v>
      </c>
      <c r="B98" s="291">
        <v>1.0</v>
      </c>
      <c r="C98" s="291">
        <v>1.0</v>
      </c>
      <c r="D98" s="291">
        <v>0.0</v>
      </c>
      <c r="E98" s="291">
        <v>1.0</v>
      </c>
      <c r="F98" s="291">
        <v>0.0</v>
      </c>
      <c r="G98" s="291">
        <v>1.0</v>
      </c>
      <c r="H98" s="291">
        <v>91.0</v>
      </c>
      <c r="I98" s="291">
        <v>9.0</v>
      </c>
      <c r="J98" s="291">
        <v>66.0</v>
      </c>
      <c r="K98" s="291">
        <v>25.0</v>
      </c>
      <c r="L98" s="291">
        <v>6.0</v>
      </c>
      <c r="M98" s="291">
        <v>7.0</v>
      </c>
      <c r="N98" s="291">
        <v>1034.0</v>
      </c>
      <c r="O98" s="291">
        <v>1306.0</v>
      </c>
      <c r="P98" s="291">
        <v>15.0</v>
      </c>
      <c r="Q98" s="291">
        <v>4.0</v>
      </c>
      <c r="R98" s="291">
        <v>0.0</v>
      </c>
      <c r="S98" s="291">
        <v>0.0</v>
      </c>
      <c r="T98" s="291">
        <v>0.0</v>
      </c>
      <c r="U98" s="291">
        <v>0.0</v>
      </c>
      <c r="V98" s="291">
        <v>18.0</v>
      </c>
      <c r="W98" s="291">
        <v>2.0</v>
      </c>
      <c r="X98" s="291">
        <v>0.0</v>
      </c>
      <c r="Y98" s="291">
        <v>0.0</v>
      </c>
      <c r="Z98" s="291">
        <v>0.0</v>
      </c>
      <c r="AA98" s="291">
        <v>0.0</v>
      </c>
      <c r="AB98" s="291">
        <v>0.0</v>
      </c>
      <c r="AC98" s="291">
        <v>0.0</v>
      </c>
      <c r="AD98" s="291">
        <v>0.0</v>
      </c>
      <c r="AE98" s="291">
        <v>0.0</v>
      </c>
      <c r="AF98" s="291">
        <v>5.0</v>
      </c>
      <c r="AG98" s="291">
        <v>0.0</v>
      </c>
      <c r="AH98" s="291">
        <v>4.0</v>
      </c>
      <c r="AI98" s="285" t="s">
        <v>329</v>
      </c>
    </row>
    <row r="99">
      <c r="A99" s="286" t="s">
        <v>106</v>
      </c>
      <c r="B99" s="287">
        <v>1.0</v>
      </c>
      <c r="C99" s="287">
        <v>1.0</v>
      </c>
      <c r="D99" s="287">
        <v>0.0</v>
      </c>
      <c r="E99" s="287">
        <v>1.0</v>
      </c>
      <c r="F99" s="287">
        <v>0.0</v>
      </c>
      <c r="G99" s="287">
        <v>1.0</v>
      </c>
      <c r="H99" s="287">
        <v>78.0</v>
      </c>
      <c r="I99" s="287">
        <v>5.0</v>
      </c>
      <c r="J99" s="287">
        <v>91.0</v>
      </c>
      <c r="K99" s="287">
        <v>-13.0</v>
      </c>
      <c r="L99" s="287">
        <v>4.0</v>
      </c>
      <c r="M99" s="287">
        <v>4.0</v>
      </c>
      <c r="N99" s="287">
        <v>958.0</v>
      </c>
      <c r="O99" s="287">
        <v>1306.0</v>
      </c>
      <c r="P99" s="287">
        <v>10.0</v>
      </c>
      <c r="Q99" s="287">
        <v>0.0</v>
      </c>
      <c r="R99" s="287">
        <v>0.0</v>
      </c>
      <c r="S99" s="287">
        <v>0.0</v>
      </c>
      <c r="T99" s="287">
        <v>0.0</v>
      </c>
      <c r="U99" s="287">
        <v>0.0</v>
      </c>
      <c r="V99" s="287">
        <v>11.0</v>
      </c>
      <c r="W99" s="287">
        <v>2.0</v>
      </c>
      <c r="X99" s="287">
        <v>0.0</v>
      </c>
      <c r="Y99" s="287">
        <v>0.0</v>
      </c>
      <c r="Z99" s="287">
        <v>0.0</v>
      </c>
      <c r="AA99" s="287">
        <v>0.0</v>
      </c>
      <c r="AB99" s="287">
        <v>0.0</v>
      </c>
      <c r="AC99" s="287">
        <v>0.0</v>
      </c>
      <c r="AD99" s="287">
        <v>0.0</v>
      </c>
      <c r="AE99" s="287">
        <v>0.0</v>
      </c>
      <c r="AF99" s="287">
        <v>5.0</v>
      </c>
      <c r="AG99" s="287">
        <v>0.0</v>
      </c>
      <c r="AH99" s="287">
        <v>0.0</v>
      </c>
      <c r="AI99" s="1" t="s">
        <v>329</v>
      </c>
    </row>
    <row r="100">
      <c r="A100" s="286" t="s">
        <v>96</v>
      </c>
      <c r="B100" s="287">
        <v>1.0</v>
      </c>
      <c r="C100" s="287">
        <v>1.0</v>
      </c>
      <c r="D100" s="287">
        <v>0.0</v>
      </c>
      <c r="E100" s="287">
        <v>1.0</v>
      </c>
      <c r="F100" s="287">
        <v>0.0</v>
      </c>
      <c r="G100" s="287">
        <v>0.0</v>
      </c>
      <c r="H100" s="287">
        <v>69.0</v>
      </c>
      <c r="I100" s="287">
        <v>3.0</v>
      </c>
      <c r="J100" s="287">
        <v>80.0</v>
      </c>
      <c r="K100" s="287">
        <v>-11.0</v>
      </c>
      <c r="L100" s="287">
        <v>4.0</v>
      </c>
      <c r="M100" s="287">
        <v>0.0</v>
      </c>
      <c r="N100" s="287">
        <v>981.0</v>
      </c>
      <c r="O100" s="287">
        <v>1306.0</v>
      </c>
      <c r="P100" s="287">
        <v>12.0</v>
      </c>
      <c r="Q100" s="287">
        <v>0.0</v>
      </c>
      <c r="R100" s="287">
        <v>0.0</v>
      </c>
      <c r="S100" s="287">
        <v>0.0</v>
      </c>
      <c r="T100" s="287">
        <v>0.0</v>
      </c>
      <c r="U100" s="287">
        <v>0.0</v>
      </c>
      <c r="V100" s="287">
        <v>6.0</v>
      </c>
      <c r="W100" s="287">
        <v>2.0</v>
      </c>
      <c r="X100" s="287">
        <v>0.0</v>
      </c>
      <c r="Y100" s="287">
        <v>0.0</v>
      </c>
      <c r="Z100" s="287">
        <v>0.0</v>
      </c>
      <c r="AA100" s="287">
        <v>0.0</v>
      </c>
      <c r="AB100" s="287">
        <v>0.0</v>
      </c>
      <c r="AC100" s="287">
        <v>0.0</v>
      </c>
      <c r="AD100" s="287">
        <v>0.0</v>
      </c>
      <c r="AE100" s="287">
        <v>0.0</v>
      </c>
      <c r="AF100" s="287">
        <v>3.0</v>
      </c>
      <c r="AG100" s="287">
        <v>0.0</v>
      </c>
      <c r="AH100" s="287">
        <v>0.0</v>
      </c>
      <c r="AI100" s="1" t="s">
        <v>329</v>
      </c>
    </row>
    <row r="101">
      <c r="A101" s="286" t="s">
        <v>75</v>
      </c>
      <c r="B101" s="287">
        <v>0.0</v>
      </c>
      <c r="C101" s="287">
        <v>1.0</v>
      </c>
      <c r="D101" s="287">
        <v>0.0</v>
      </c>
      <c r="E101" s="287">
        <v>0.0</v>
      </c>
      <c r="F101" s="287">
        <v>1.0</v>
      </c>
      <c r="G101" s="287">
        <v>1.0</v>
      </c>
      <c r="H101" s="287">
        <v>53.0</v>
      </c>
      <c r="I101" s="287">
        <v>2.0</v>
      </c>
      <c r="J101" s="287">
        <v>42.0</v>
      </c>
      <c r="K101" s="287">
        <v>11.0</v>
      </c>
      <c r="L101" s="287">
        <v>10.0</v>
      </c>
      <c r="M101" s="287">
        <v>1.0</v>
      </c>
      <c r="N101" s="287">
        <v>1103.0</v>
      </c>
      <c r="O101" s="287">
        <v>1306.0</v>
      </c>
      <c r="P101" s="287">
        <v>26.0</v>
      </c>
      <c r="Q101" s="287">
        <v>3.0</v>
      </c>
      <c r="R101" s="287">
        <v>1.0</v>
      </c>
      <c r="S101" s="287">
        <v>0.0</v>
      </c>
      <c r="T101" s="287">
        <v>0.0</v>
      </c>
      <c r="U101" s="287">
        <v>0.0</v>
      </c>
      <c r="V101" s="287">
        <v>7.0</v>
      </c>
      <c r="W101" s="287">
        <v>2.0</v>
      </c>
      <c r="X101" s="287">
        <v>0.0</v>
      </c>
      <c r="Y101" s="287">
        <v>0.0</v>
      </c>
      <c r="Z101" s="287">
        <v>0.0</v>
      </c>
      <c r="AA101" s="287">
        <v>0.0</v>
      </c>
      <c r="AB101" s="287">
        <v>0.0</v>
      </c>
      <c r="AC101" s="287">
        <v>0.0</v>
      </c>
      <c r="AD101" s="287">
        <v>0.0</v>
      </c>
      <c r="AE101" s="287">
        <v>0.0</v>
      </c>
      <c r="AF101" s="287">
        <v>0.0</v>
      </c>
      <c r="AG101" s="287">
        <v>0.0</v>
      </c>
      <c r="AH101" s="287">
        <v>0.0</v>
      </c>
      <c r="AI101" s="1" t="s">
        <v>329</v>
      </c>
    </row>
    <row r="102">
      <c r="A102" s="286" t="s">
        <v>102</v>
      </c>
      <c r="B102" s="287">
        <v>0.0</v>
      </c>
      <c r="C102" s="287">
        <v>1.0</v>
      </c>
      <c r="D102" s="287">
        <v>0.0</v>
      </c>
      <c r="E102" s="287">
        <v>0.0</v>
      </c>
      <c r="F102" s="287">
        <v>1.0</v>
      </c>
      <c r="G102" s="287">
        <v>0.0</v>
      </c>
      <c r="H102" s="287">
        <v>62.0</v>
      </c>
      <c r="I102" s="287">
        <v>4.0</v>
      </c>
      <c r="J102" s="287">
        <v>93.0</v>
      </c>
      <c r="K102" s="287">
        <v>-31.0</v>
      </c>
      <c r="L102" s="287">
        <v>2.0</v>
      </c>
      <c r="M102" s="287">
        <v>3.0</v>
      </c>
      <c r="N102" s="287">
        <v>951.0</v>
      </c>
      <c r="O102" s="287">
        <v>1306.0</v>
      </c>
      <c r="P102" s="287">
        <v>10.0</v>
      </c>
      <c r="Q102" s="287">
        <v>0.0</v>
      </c>
      <c r="R102" s="287">
        <v>0.0</v>
      </c>
      <c r="S102" s="287">
        <v>0.0</v>
      </c>
      <c r="T102" s="287">
        <v>0.0</v>
      </c>
      <c r="U102" s="287">
        <v>0.0</v>
      </c>
      <c r="V102" s="287">
        <v>3.0</v>
      </c>
      <c r="W102" s="287">
        <v>0.0</v>
      </c>
      <c r="X102" s="287">
        <v>0.0</v>
      </c>
      <c r="Y102" s="287">
        <v>0.0</v>
      </c>
      <c r="Z102" s="287">
        <v>0.0</v>
      </c>
      <c r="AA102" s="287">
        <v>0.0</v>
      </c>
      <c r="AB102" s="287">
        <v>0.0</v>
      </c>
      <c r="AC102" s="287">
        <v>0.0</v>
      </c>
      <c r="AD102" s="287">
        <v>0.0</v>
      </c>
      <c r="AE102" s="287">
        <v>0.0</v>
      </c>
      <c r="AF102" s="287">
        <v>2.0</v>
      </c>
      <c r="AG102" s="287">
        <v>0.0</v>
      </c>
      <c r="AH102" s="287">
        <v>0.0</v>
      </c>
      <c r="AI102" s="1" t="s">
        <v>329</v>
      </c>
    </row>
    <row r="103">
      <c r="A103" s="286" t="s">
        <v>79</v>
      </c>
      <c r="B103" s="287">
        <v>0.0</v>
      </c>
      <c r="C103" s="287">
        <v>1.0</v>
      </c>
      <c r="D103" s="287">
        <v>0.0</v>
      </c>
      <c r="E103" s="287">
        <v>0.0</v>
      </c>
      <c r="F103" s="287">
        <v>1.0</v>
      </c>
      <c r="G103" s="287">
        <v>0.0</v>
      </c>
      <c r="H103" s="287">
        <v>74.0</v>
      </c>
      <c r="I103" s="287">
        <v>4.0</v>
      </c>
      <c r="J103" s="287">
        <v>92.0</v>
      </c>
      <c r="K103" s="287">
        <v>-18.0</v>
      </c>
      <c r="L103" s="287">
        <v>4.0</v>
      </c>
      <c r="M103" s="287">
        <v>0.0</v>
      </c>
      <c r="N103" s="287">
        <v>952.0</v>
      </c>
      <c r="O103" s="287">
        <v>1306.0</v>
      </c>
      <c r="P103" s="287">
        <v>10.0</v>
      </c>
      <c r="Q103" s="287">
        <v>0.0</v>
      </c>
      <c r="R103" s="287">
        <v>0.0</v>
      </c>
      <c r="S103" s="287">
        <v>0.0</v>
      </c>
      <c r="T103" s="287">
        <v>0.0</v>
      </c>
      <c r="U103" s="287">
        <v>0.0</v>
      </c>
      <c r="V103" s="287">
        <v>9.0</v>
      </c>
      <c r="W103" s="287">
        <v>0.0</v>
      </c>
      <c r="X103" s="287">
        <v>0.0</v>
      </c>
      <c r="Y103" s="287">
        <v>0.0</v>
      </c>
      <c r="Z103" s="287">
        <v>0.0</v>
      </c>
      <c r="AA103" s="287">
        <v>0.0</v>
      </c>
      <c r="AB103" s="287">
        <v>0.0</v>
      </c>
      <c r="AC103" s="287">
        <v>0.0</v>
      </c>
      <c r="AD103" s="287">
        <v>0.0</v>
      </c>
      <c r="AE103" s="287">
        <v>0.0</v>
      </c>
      <c r="AF103" s="287">
        <v>7.0</v>
      </c>
      <c r="AG103" s="287">
        <v>0.0</v>
      </c>
      <c r="AH103" s="287">
        <v>0.0</v>
      </c>
      <c r="AI103" s="1" t="s">
        <v>329</v>
      </c>
    </row>
    <row r="104">
      <c r="A104" s="286" t="s">
        <v>104</v>
      </c>
      <c r="B104" s="287">
        <v>0.0</v>
      </c>
      <c r="C104" s="287">
        <v>1.0</v>
      </c>
      <c r="D104" s="287">
        <v>0.0</v>
      </c>
      <c r="E104" s="287">
        <v>0.0</v>
      </c>
      <c r="F104" s="287">
        <v>1.0</v>
      </c>
      <c r="G104" s="287">
        <v>0.0</v>
      </c>
      <c r="H104" s="287">
        <v>82.0</v>
      </c>
      <c r="I104" s="287">
        <v>3.0</v>
      </c>
      <c r="J104" s="287">
        <v>75.0</v>
      </c>
      <c r="K104" s="287">
        <v>7.0</v>
      </c>
      <c r="L104" s="287">
        <v>6.0</v>
      </c>
      <c r="M104" s="287">
        <v>0.0</v>
      </c>
      <c r="N104" s="287">
        <v>1000.0</v>
      </c>
      <c r="O104" s="287">
        <v>1306.0</v>
      </c>
      <c r="P104" s="287">
        <v>13.0</v>
      </c>
      <c r="Q104" s="287">
        <v>1.0</v>
      </c>
      <c r="R104" s="287">
        <v>0.0</v>
      </c>
      <c r="S104" s="287">
        <v>0.0</v>
      </c>
      <c r="T104" s="287">
        <v>0.0</v>
      </c>
      <c r="U104" s="287">
        <v>0.0</v>
      </c>
      <c r="V104" s="287">
        <v>12.0</v>
      </c>
      <c r="W104" s="287">
        <v>4.0</v>
      </c>
      <c r="X104" s="287">
        <v>0.0</v>
      </c>
      <c r="Y104" s="287">
        <v>0.0</v>
      </c>
      <c r="Z104" s="287">
        <v>0.0</v>
      </c>
      <c r="AA104" s="287">
        <v>0.0</v>
      </c>
      <c r="AB104" s="287">
        <v>0.0</v>
      </c>
      <c r="AC104" s="287">
        <v>0.0</v>
      </c>
      <c r="AD104" s="287">
        <v>0.0</v>
      </c>
      <c r="AE104" s="287">
        <v>0.0</v>
      </c>
      <c r="AF104" s="287">
        <v>5.0</v>
      </c>
      <c r="AG104" s="287">
        <v>0.0</v>
      </c>
      <c r="AH104" s="287">
        <v>1.0</v>
      </c>
      <c r="AI104" s="1" t="s">
        <v>329</v>
      </c>
    </row>
    <row r="105">
      <c r="A105" s="288" t="s">
        <v>105</v>
      </c>
      <c r="B105" s="289">
        <v>1.0</v>
      </c>
      <c r="C105" s="289">
        <v>1.0</v>
      </c>
      <c r="D105" s="289">
        <v>0.0</v>
      </c>
      <c r="E105" s="289">
        <v>1.0</v>
      </c>
      <c r="F105" s="289">
        <v>0.0</v>
      </c>
      <c r="G105" s="289">
        <v>4.0</v>
      </c>
      <c r="H105" s="289">
        <v>48.0</v>
      </c>
      <c r="I105" s="289">
        <v>1.0</v>
      </c>
      <c r="J105" s="289">
        <v>27.0</v>
      </c>
      <c r="K105" s="289">
        <v>21.0</v>
      </c>
      <c r="L105" s="289">
        <v>7.0</v>
      </c>
      <c r="M105" s="289">
        <v>1.0</v>
      </c>
      <c r="N105" s="289">
        <v>810.0</v>
      </c>
      <c r="O105" s="289">
        <v>956.0</v>
      </c>
      <c r="P105" s="289">
        <v>30.0</v>
      </c>
      <c r="Q105" s="289">
        <v>3.0</v>
      </c>
      <c r="R105" s="289">
        <v>0.0</v>
      </c>
      <c r="S105" s="289">
        <v>0.0</v>
      </c>
      <c r="T105" s="289">
        <v>0.0</v>
      </c>
      <c r="U105" s="289">
        <v>0.0</v>
      </c>
      <c r="V105" s="289">
        <v>9.0</v>
      </c>
      <c r="W105" s="289">
        <v>2.0</v>
      </c>
      <c r="X105" s="289">
        <v>2.0</v>
      </c>
      <c r="Y105" s="289">
        <v>1.0</v>
      </c>
      <c r="Z105" s="289">
        <v>0.0</v>
      </c>
      <c r="AA105" s="289">
        <v>0.0</v>
      </c>
      <c r="AB105" s="289">
        <v>0.0</v>
      </c>
      <c r="AC105" s="289">
        <v>0.0</v>
      </c>
      <c r="AD105" s="289">
        <v>0.0</v>
      </c>
      <c r="AE105" s="289">
        <v>0.0</v>
      </c>
      <c r="AF105" s="289">
        <v>0.0</v>
      </c>
      <c r="AG105" s="289">
        <v>0.0</v>
      </c>
      <c r="AH105" s="289">
        <v>3.0</v>
      </c>
      <c r="AI105" s="290" t="s">
        <v>330</v>
      </c>
    </row>
    <row r="106">
      <c r="A106" s="284" t="s">
        <v>100</v>
      </c>
      <c r="B106" s="291">
        <v>1.0</v>
      </c>
      <c r="C106" s="291">
        <v>1.0</v>
      </c>
      <c r="D106" s="291">
        <v>0.0</v>
      </c>
      <c r="E106" s="291">
        <v>1.0</v>
      </c>
      <c r="F106" s="291">
        <v>0.0</v>
      </c>
      <c r="G106" s="291">
        <v>1.0</v>
      </c>
      <c r="H106" s="291">
        <v>75.0</v>
      </c>
      <c r="I106" s="291">
        <v>4.0</v>
      </c>
      <c r="J106" s="291">
        <v>61.0</v>
      </c>
      <c r="K106" s="291">
        <v>14.0</v>
      </c>
      <c r="L106" s="291">
        <v>8.0</v>
      </c>
      <c r="M106" s="291">
        <v>2.0</v>
      </c>
      <c r="N106" s="291">
        <v>707.0</v>
      </c>
      <c r="O106" s="291">
        <v>956.0</v>
      </c>
      <c r="P106" s="291">
        <v>11.0</v>
      </c>
      <c r="Q106" s="291">
        <v>3.0</v>
      </c>
      <c r="R106" s="291">
        <v>0.0</v>
      </c>
      <c r="S106" s="291">
        <v>0.0</v>
      </c>
      <c r="T106" s="291">
        <v>0.0</v>
      </c>
      <c r="U106" s="291">
        <v>0.0</v>
      </c>
      <c r="V106" s="291">
        <v>17.0</v>
      </c>
      <c r="W106" s="291">
        <v>4.0</v>
      </c>
      <c r="X106" s="291">
        <v>2.0</v>
      </c>
      <c r="Y106" s="291">
        <v>0.0</v>
      </c>
      <c r="Z106" s="291">
        <v>0.0</v>
      </c>
      <c r="AA106" s="291">
        <v>0.0</v>
      </c>
      <c r="AB106" s="291">
        <v>0.0</v>
      </c>
      <c r="AC106" s="291">
        <v>0.0</v>
      </c>
      <c r="AD106" s="291">
        <v>0.0</v>
      </c>
      <c r="AE106" s="291">
        <v>0.0</v>
      </c>
      <c r="AF106" s="291">
        <v>4.0</v>
      </c>
      <c r="AG106" s="291">
        <v>0.0</v>
      </c>
      <c r="AH106" s="291">
        <v>3.0</v>
      </c>
      <c r="AI106" s="285" t="s">
        <v>330</v>
      </c>
    </row>
    <row r="107">
      <c r="A107" s="286" t="s">
        <v>83</v>
      </c>
      <c r="B107" s="287">
        <v>1.0</v>
      </c>
      <c r="C107" s="287">
        <v>1.0</v>
      </c>
      <c r="D107" s="287">
        <v>0.0</v>
      </c>
      <c r="E107" s="287">
        <v>1.0</v>
      </c>
      <c r="F107" s="287">
        <v>0.0</v>
      </c>
      <c r="G107" s="287">
        <v>0.0</v>
      </c>
      <c r="H107" s="287">
        <v>62.0</v>
      </c>
      <c r="I107" s="287">
        <v>4.0</v>
      </c>
      <c r="J107" s="287">
        <v>66.0</v>
      </c>
      <c r="K107" s="287">
        <v>-4.0</v>
      </c>
      <c r="L107" s="287">
        <v>7.0</v>
      </c>
      <c r="M107" s="287">
        <v>3.0</v>
      </c>
      <c r="N107" s="287">
        <v>694.0</v>
      </c>
      <c r="O107" s="287">
        <v>956.0</v>
      </c>
      <c r="P107" s="287">
        <v>10.0</v>
      </c>
      <c r="Q107" s="287">
        <v>1.0</v>
      </c>
      <c r="R107" s="287">
        <v>0.0</v>
      </c>
      <c r="S107" s="287">
        <v>0.0</v>
      </c>
      <c r="T107" s="287">
        <v>0.0</v>
      </c>
      <c r="U107" s="287">
        <v>0.0</v>
      </c>
      <c r="V107" s="287">
        <v>11.0</v>
      </c>
      <c r="W107" s="287">
        <v>2.0</v>
      </c>
      <c r="X107" s="287">
        <v>0.0</v>
      </c>
      <c r="Y107" s="287">
        <v>0.0</v>
      </c>
      <c r="Z107" s="287">
        <v>0.0</v>
      </c>
      <c r="AA107" s="287">
        <v>0.0</v>
      </c>
      <c r="AB107" s="287">
        <v>0.0</v>
      </c>
      <c r="AC107" s="287">
        <v>0.0</v>
      </c>
      <c r="AD107" s="287">
        <v>0.0</v>
      </c>
      <c r="AE107" s="287">
        <v>0.0</v>
      </c>
      <c r="AF107" s="287">
        <v>6.0</v>
      </c>
      <c r="AG107" s="287">
        <v>0.0</v>
      </c>
      <c r="AH107" s="287">
        <v>1.0</v>
      </c>
      <c r="AI107" s="1" t="s">
        <v>330</v>
      </c>
    </row>
    <row r="108">
      <c r="A108" s="286" t="s">
        <v>93</v>
      </c>
      <c r="B108" s="287">
        <v>1.0</v>
      </c>
      <c r="C108" s="287">
        <v>1.0</v>
      </c>
      <c r="D108" s="287">
        <v>0.0</v>
      </c>
      <c r="E108" s="287">
        <v>1.0</v>
      </c>
      <c r="F108" s="287">
        <v>0.0</v>
      </c>
      <c r="G108" s="287">
        <v>0.0</v>
      </c>
      <c r="H108" s="287">
        <v>47.0</v>
      </c>
      <c r="I108" s="287">
        <v>9.0</v>
      </c>
      <c r="J108" s="287">
        <v>50.0</v>
      </c>
      <c r="K108" s="287">
        <v>-3.0</v>
      </c>
      <c r="L108" s="287">
        <v>5.0</v>
      </c>
      <c r="M108" s="287">
        <v>0.0</v>
      </c>
      <c r="N108" s="287">
        <v>740.0</v>
      </c>
      <c r="O108" s="287">
        <v>956.0</v>
      </c>
      <c r="P108" s="287">
        <v>14.0</v>
      </c>
      <c r="Q108" s="287">
        <v>1.0</v>
      </c>
      <c r="R108" s="287">
        <v>0.0</v>
      </c>
      <c r="S108" s="287">
        <v>0.0</v>
      </c>
      <c r="T108" s="287">
        <v>0.0</v>
      </c>
      <c r="U108" s="287">
        <v>0.0</v>
      </c>
      <c r="V108" s="287">
        <v>7.0</v>
      </c>
      <c r="W108" s="287">
        <v>1.0</v>
      </c>
      <c r="X108" s="287">
        <v>0.0</v>
      </c>
      <c r="Y108" s="287">
        <v>0.0</v>
      </c>
      <c r="Z108" s="287">
        <v>0.0</v>
      </c>
      <c r="AA108" s="287">
        <v>0.0</v>
      </c>
      <c r="AB108" s="287">
        <v>0.0</v>
      </c>
      <c r="AC108" s="287">
        <v>0.0</v>
      </c>
      <c r="AD108" s="287">
        <v>0.0</v>
      </c>
      <c r="AE108" s="287">
        <v>0.0</v>
      </c>
      <c r="AF108" s="287">
        <v>1.0</v>
      </c>
      <c r="AG108" s="287">
        <v>0.0</v>
      </c>
      <c r="AH108" s="287">
        <v>1.0</v>
      </c>
      <c r="AI108" s="1" t="s">
        <v>330</v>
      </c>
    </row>
    <row r="109">
      <c r="A109" s="286" t="s">
        <v>90</v>
      </c>
      <c r="B109" s="287">
        <v>0.0</v>
      </c>
      <c r="C109" s="287">
        <v>1.0</v>
      </c>
      <c r="D109" s="287">
        <v>0.0</v>
      </c>
      <c r="E109" s="287">
        <v>0.0</v>
      </c>
      <c r="F109" s="287">
        <v>1.0</v>
      </c>
      <c r="G109" s="287">
        <v>0.0</v>
      </c>
      <c r="H109" s="287">
        <v>42.0</v>
      </c>
      <c r="I109" s="287">
        <v>1.0</v>
      </c>
      <c r="J109" s="287">
        <v>51.0</v>
      </c>
      <c r="K109" s="287">
        <v>-9.0</v>
      </c>
      <c r="L109" s="287">
        <v>3.0</v>
      </c>
      <c r="M109" s="287">
        <v>0.0</v>
      </c>
      <c r="N109" s="287">
        <v>744.0</v>
      </c>
      <c r="O109" s="287">
        <v>956.0</v>
      </c>
      <c r="P109" s="287">
        <v>14.0</v>
      </c>
      <c r="Q109" s="287">
        <v>0.0</v>
      </c>
      <c r="R109" s="287">
        <v>0.0</v>
      </c>
      <c r="S109" s="287">
        <v>0.0</v>
      </c>
      <c r="T109" s="287">
        <v>0.0</v>
      </c>
      <c r="U109" s="287">
        <v>0.0</v>
      </c>
      <c r="V109" s="287">
        <v>3.0</v>
      </c>
      <c r="W109" s="287">
        <v>2.0</v>
      </c>
      <c r="X109" s="287">
        <v>0.0</v>
      </c>
      <c r="Y109" s="287">
        <v>0.0</v>
      </c>
      <c r="Z109" s="287">
        <v>0.0</v>
      </c>
      <c r="AA109" s="287">
        <v>0.0</v>
      </c>
      <c r="AB109" s="287">
        <v>0.0</v>
      </c>
      <c r="AC109" s="287">
        <v>0.0</v>
      </c>
      <c r="AD109" s="287">
        <v>0.0</v>
      </c>
      <c r="AE109" s="287">
        <v>0.0</v>
      </c>
      <c r="AF109" s="287">
        <v>2.0</v>
      </c>
      <c r="AG109" s="287">
        <v>0.0</v>
      </c>
      <c r="AH109" s="287">
        <v>0.0</v>
      </c>
      <c r="AI109" s="1" t="s">
        <v>330</v>
      </c>
    </row>
    <row r="110">
      <c r="A110" s="286" t="s">
        <v>114</v>
      </c>
      <c r="B110" s="287">
        <v>0.0</v>
      </c>
      <c r="C110" s="287">
        <v>1.0</v>
      </c>
      <c r="D110" s="287">
        <v>0.0</v>
      </c>
      <c r="E110" s="287">
        <v>0.0</v>
      </c>
      <c r="F110" s="287">
        <v>1.0</v>
      </c>
      <c r="G110" s="287">
        <v>0.0</v>
      </c>
      <c r="H110" s="287">
        <v>62.0</v>
      </c>
      <c r="I110" s="287">
        <v>4.0</v>
      </c>
      <c r="J110" s="287">
        <v>66.0</v>
      </c>
      <c r="K110" s="287">
        <v>-4.0</v>
      </c>
      <c r="L110" s="287">
        <v>4.0</v>
      </c>
      <c r="M110" s="287">
        <v>1.0</v>
      </c>
      <c r="N110" s="287">
        <v>691.0</v>
      </c>
      <c r="O110" s="287">
        <v>956.0</v>
      </c>
      <c r="P110" s="287">
        <v>10.0</v>
      </c>
      <c r="Q110" s="287">
        <v>0.0</v>
      </c>
      <c r="R110" s="287">
        <v>0.0</v>
      </c>
      <c r="S110" s="287">
        <v>0.0</v>
      </c>
      <c r="T110" s="287">
        <v>0.0</v>
      </c>
      <c r="U110" s="287">
        <v>0.0</v>
      </c>
      <c r="V110" s="287">
        <v>10.0</v>
      </c>
      <c r="W110" s="287">
        <v>0.0</v>
      </c>
      <c r="X110" s="287">
        <v>0.0</v>
      </c>
      <c r="Y110" s="287">
        <v>0.0</v>
      </c>
      <c r="Z110" s="287">
        <v>0.0</v>
      </c>
      <c r="AA110" s="287">
        <v>0.0</v>
      </c>
      <c r="AB110" s="287">
        <v>0.0</v>
      </c>
      <c r="AC110" s="287">
        <v>0.0</v>
      </c>
      <c r="AD110" s="287">
        <v>0.0</v>
      </c>
      <c r="AE110" s="287">
        <v>0.0</v>
      </c>
      <c r="AF110" s="287">
        <v>0.0</v>
      </c>
      <c r="AG110" s="287">
        <v>0.0</v>
      </c>
      <c r="AH110" s="287">
        <v>0.0</v>
      </c>
      <c r="AI110" s="1" t="s">
        <v>330</v>
      </c>
    </row>
    <row r="111">
      <c r="A111" s="286" t="s">
        <v>112</v>
      </c>
      <c r="B111" s="287">
        <v>0.0</v>
      </c>
      <c r="C111" s="287">
        <v>1.0</v>
      </c>
      <c r="D111" s="287">
        <v>0.0</v>
      </c>
      <c r="E111" s="287">
        <v>0.0</v>
      </c>
      <c r="F111" s="287">
        <v>1.0</v>
      </c>
      <c r="G111" s="287">
        <v>0.0</v>
      </c>
      <c r="H111" s="287">
        <v>50.0</v>
      </c>
      <c r="I111" s="287">
        <v>1.0</v>
      </c>
      <c r="J111" s="287">
        <v>44.0</v>
      </c>
      <c r="K111" s="287">
        <v>6.0</v>
      </c>
      <c r="L111" s="287">
        <v>7.0</v>
      </c>
      <c r="M111" s="287">
        <v>2.0</v>
      </c>
      <c r="N111" s="287">
        <v>763.0</v>
      </c>
      <c r="O111" s="287">
        <v>956.0</v>
      </c>
      <c r="P111" s="287">
        <v>17.0</v>
      </c>
      <c r="Q111" s="287">
        <v>3.0</v>
      </c>
      <c r="R111" s="287">
        <v>0.0</v>
      </c>
      <c r="S111" s="287">
        <v>0.0</v>
      </c>
      <c r="T111" s="287">
        <v>0.0</v>
      </c>
      <c r="U111" s="287">
        <v>0.0</v>
      </c>
      <c r="V111" s="287">
        <v>9.0</v>
      </c>
      <c r="W111" s="287">
        <v>2.0</v>
      </c>
      <c r="X111" s="287">
        <v>1.0</v>
      </c>
      <c r="Y111" s="287">
        <v>1.0</v>
      </c>
      <c r="Z111" s="287">
        <v>1.0</v>
      </c>
      <c r="AA111" s="287">
        <v>1.0</v>
      </c>
      <c r="AB111" s="287">
        <v>0.0</v>
      </c>
      <c r="AC111" s="287">
        <v>0.0</v>
      </c>
      <c r="AD111" s="287">
        <v>0.0</v>
      </c>
      <c r="AE111" s="287">
        <v>0.0</v>
      </c>
      <c r="AF111" s="287">
        <v>3.0</v>
      </c>
      <c r="AG111" s="287">
        <v>0.0</v>
      </c>
      <c r="AH111" s="287">
        <v>2.0</v>
      </c>
      <c r="AI111" s="1" t="s">
        <v>330</v>
      </c>
    </row>
    <row r="112">
      <c r="A112" s="286" t="s">
        <v>74</v>
      </c>
      <c r="B112" s="287">
        <v>0.0</v>
      </c>
      <c r="C112" s="287">
        <v>1.0</v>
      </c>
      <c r="D112" s="287">
        <v>0.0</v>
      </c>
      <c r="E112" s="287">
        <v>0.0</v>
      </c>
      <c r="F112" s="287">
        <v>1.0</v>
      </c>
      <c r="G112" s="287">
        <v>0.0</v>
      </c>
      <c r="H112" s="287">
        <v>41.0</v>
      </c>
      <c r="I112" s="287">
        <v>1.0</v>
      </c>
      <c r="J112" s="287">
        <v>82.0</v>
      </c>
      <c r="K112" s="287">
        <v>-41.0</v>
      </c>
      <c r="L112" s="287">
        <v>2.0</v>
      </c>
      <c r="M112" s="287">
        <v>0.0</v>
      </c>
      <c r="N112" s="287">
        <v>646.0</v>
      </c>
      <c r="O112" s="287">
        <v>956.0</v>
      </c>
      <c r="P112" s="287">
        <v>7.0</v>
      </c>
      <c r="Q112" s="287">
        <v>0.0</v>
      </c>
      <c r="R112" s="287">
        <v>0.0</v>
      </c>
      <c r="S112" s="287">
        <v>0.0</v>
      </c>
      <c r="T112" s="287">
        <v>0.0</v>
      </c>
      <c r="U112" s="287">
        <v>0.0</v>
      </c>
      <c r="V112" s="287">
        <v>2.0</v>
      </c>
      <c r="W112" s="287">
        <v>0.0</v>
      </c>
      <c r="X112" s="287">
        <v>0.0</v>
      </c>
      <c r="Y112" s="287">
        <v>0.0</v>
      </c>
      <c r="Z112" s="287">
        <v>0.0</v>
      </c>
      <c r="AA112" s="287">
        <v>0.0</v>
      </c>
      <c r="AB112" s="287">
        <v>0.0</v>
      </c>
      <c r="AC112" s="287">
        <v>0.0</v>
      </c>
      <c r="AD112" s="287">
        <v>0.0</v>
      </c>
      <c r="AE112" s="287">
        <v>0.0</v>
      </c>
      <c r="AF112" s="287">
        <v>0.0</v>
      </c>
      <c r="AG112" s="287">
        <v>0.0</v>
      </c>
      <c r="AH112" s="287">
        <v>0.0</v>
      </c>
      <c r="AI112" s="1" t="s">
        <v>330</v>
      </c>
    </row>
    <row r="113">
      <c r="A113" s="288" t="s">
        <v>84</v>
      </c>
      <c r="B113" s="289">
        <v>0.0</v>
      </c>
      <c r="C113" s="289">
        <v>1.0</v>
      </c>
      <c r="D113" s="289">
        <v>0.0</v>
      </c>
      <c r="E113" s="289">
        <v>1.0</v>
      </c>
      <c r="F113" s="289">
        <v>0.0</v>
      </c>
      <c r="G113" s="289">
        <v>4.0</v>
      </c>
      <c r="H113" s="289">
        <v>136.0</v>
      </c>
      <c r="I113" s="289">
        <v>10.0</v>
      </c>
      <c r="J113" s="289">
        <v>123.0</v>
      </c>
      <c r="K113" s="289">
        <v>13.0</v>
      </c>
      <c r="L113" s="289">
        <v>5.0</v>
      </c>
      <c r="M113" s="289">
        <v>4.0</v>
      </c>
      <c r="N113" s="289">
        <v>2064.0</v>
      </c>
      <c r="O113" s="289">
        <v>2526.0</v>
      </c>
      <c r="P113" s="289">
        <v>16.0</v>
      </c>
      <c r="Q113" s="289">
        <v>1.0</v>
      </c>
      <c r="R113" s="289">
        <v>0.0</v>
      </c>
      <c r="S113" s="289">
        <v>0.0</v>
      </c>
      <c r="T113" s="289">
        <v>0.0</v>
      </c>
      <c r="U113" s="289">
        <v>0.0</v>
      </c>
      <c r="V113" s="289">
        <v>19.0</v>
      </c>
      <c r="W113" s="289">
        <v>2.0</v>
      </c>
      <c r="X113" s="289">
        <v>0.0</v>
      </c>
      <c r="Y113" s="289">
        <v>0.0</v>
      </c>
      <c r="Z113" s="289">
        <v>0.0</v>
      </c>
      <c r="AA113" s="289">
        <v>0.0</v>
      </c>
      <c r="AB113" s="289">
        <v>0.0</v>
      </c>
      <c r="AC113" s="289">
        <v>0.0</v>
      </c>
      <c r="AD113" s="289">
        <v>0.0</v>
      </c>
      <c r="AE113" s="289">
        <v>0.0</v>
      </c>
      <c r="AF113" s="289">
        <v>2.0</v>
      </c>
      <c r="AG113" s="289">
        <v>0.0</v>
      </c>
      <c r="AH113" s="289">
        <v>0.0</v>
      </c>
      <c r="AI113" s="290" t="s">
        <v>331</v>
      </c>
    </row>
    <row r="114">
      <c r="A114" s="284" t="s">
        <v>106</v>
      </c>
      <c r="B114" s="291">
        <v>0.0</v>
      </c>
      <c r="C114" s="291">
        <v>1.0</v>
      </c>
      <c r="D114" s="291">
        <v>0.0</v>
      </c>
      <c r="E114" s="291">
        <v>1.0</v>
      </c>
      <c r="F114" s="291">
        <v>0.0</v>
      </c>
      <c r="G114" s="291">
        <v>1.0</v>
      </c>
      <c r="H114" s="291">
        <v>132.0</v>
      </c>
      <c r="I114" s="291">
        <v>10.0</v>
      </c>
      <c r="J114" s="291">
        <v>149.0</v>
      </c>
      <c r="K114" s="291">
        <v>-17.0</v>
      </c>
      <c r="L114" s="291">
        <v>5.0</v>
      </c>
      <c r="M114" s="291">
        <v>5.0</v>
      </c>
      <c r="N114" s="291">
        <v>1991.0</v>
      </c>
      <c r="O114" s="291">
        <v>2526.0</v>
      </c>
      <c r="P114" s="291">
        <v>13.0</v>
      </c>
      <c r="Q114" s="291">
        <v>1.0</v>
      </c>
      <c r="R114" s="291">
        <v>0.0</v>
      </c>
      <c r="S114" s="291">
        <v>0.0</v>
      </c>
      <c r="T114" s="291">
        <v>0.0</v>
      </c>
      <c r="U114" s="291">
        <v>0.0</v>
      </c>
      <c r="V114" s="291">
        <v>15.0</v>
      </c>
      <c r="W114" s="291">
        <v>4.0</v>
      </c>
      <c r="X114" s="291">
        <v>1.0</v>
      </c>
      <c r="Y114" s="291">
        <v>0.0</v>
      </c>
      <c r="Z114" s="291">
        <v>0.0</v>
      </c>
      <c r="AA114" s="291">
        <v>0.0</v>
      </c>
      <c r="AB114" s="291">
        <v>0.0</v>
      </c>
      <c r="AC114" s="291">
        <v>0.0</v>
      </c>
      <c r="AD114" s="291">
        <v>0.0</v>
      </c>
      <c r="AE114" s="291">
        <v>0.0</v>
      </c>
      <c r="AF114" s="291">
        <v>8.0</v>
      </c>
      <c r="AG114" s="291">
        <v>0.0</v>
      </c>
      <c r="AH114" s="291">
        <v>1.0</v>
      </c>
      <c r="AI114" s="285" t="s">
        <v>331</v>
      </c>
    </row>
    <row r="115">
      <c r="A115" s="286" t="s">
        <v>82</v>
      </c>
      <c r="B115" s="287">
        <v>0.0</v>
      </c>
      <c r="C115" s="287">
        <v>1.0</v>
      </c>
      <c r="D115" s="287">
        <v>0.0</v>
      </c>
      <c r="E115" s="287">
        <v>1.0</v>
      </c>
      <c r="F115" s="287">
        <v>0.0</v>
      </c>
      <c r="G115" s="287">
        <v>0.0</v>
      </c>
      <c r="H115" s="287">
        <v>184.0</v>
      </c>
      <c r="I115" s="287">
        <v>14.0</v>
      </c>
      <c r="J115" s="287">
        <v>115.0</v>
      </c>
      <c r="K115" s="287">
        <v>69.0</v>
      </c>
      <c r="L115" s="287">
        <v>8.0</v>
      </c>
      <c r="M115" s="287">
        <v>4.0</v>
      </c>
      <c r="N115" s="287">
        <v>2093.0</v>
      </c>
      <c r="O115" s="287">
        <v>2526.0</v>
      </c>
      <c r="P115" s="287">
        <v>18.0</v>
      </c>
      <c r="Q115" s="287">
        <v>7.0</v>
      </c>
      <c r="R115" s="287">
        <v>0.0</v>
      </c>
      <c r="S115" s="287">
        <v>0.0</v>
      </c>
      <c r="T115" s="287">
        <v>0.0</v>
      </c>
      <c r="U115" s="287">
        <v>0.0</v>
      </c>
      <c r="V115" s="287">
        <v>33.0</v>
      </c>
      <c r="W115" s="287">
        <v>8.0</v>
      </c>
      <c r="X115" s="287">
        <v>3.0</v>
      </c>
      <c r="Y115" s="287">
        <v>1.0</v>
      </c>
      <c r="Z115" s="287">
        <v>1.0</v>
      </c>
      <c r="AA115" s="287">
        <v>0.0</v>
      </c>
      <c r="AB115" s="287">
        <v>0.0</v>
      </c>
      <c r="AC115" s="287">
        <v>0.0</v>
      </c>
      <c r="AD115" s="287">
        <v>0.0</v>
      </c>
      <c r="AE115" s="287">
        <v>0.0</v>
      </c>
      <c r="AF115" s="287">
        <v>18.0</v>
      </c>
      <c r="AG115" s="287">
        <v>0.0</v>
      </c>
      <c r="AH115" s="287">
        <v>7.0</v>
      </c>
      <c r="AI115" s="1" t="s">
        <v>331</v>
      </c>
    </row>
    <row r="116">
      <c r="A116" s="286" t="s">
        <v>96</v>
      </c>
      <c r="B116" s="287">
        <v>0.0</v>
      </c>
      <c r="C116" s="287">
        <v>1.0</v>
      </c>
      <c r="D116" s="287">
        <v>0.0</v>
      </c>
      <c r="E116" s="287">
        <v>1.0</v>
      </c>
      <c r="F116" s="287">
        <v>0.0</v>
      </c>
      <c r="G116" s="287">
        <v>0.0</v>
      </c>
      <c r="H116" s="287">
        <v>161.0</v>
      </c>
      <c r="I116" s="287">
        <v>5.0</v>
      </c>
      <c r="J116" s="287">
        <v>180.0</v>
      </c>
      <c r="K116" s="287">
        <v>-19.0</v>
      </c>
      <c r="L116" s="287">
        <v>5.0</v>
      </c>
      <c r="M116" s="287">
        <v>3.0</v>
      </c>
      <c r="N116" s="287">
        <v>1884.0</v>
      </c>
      <c r="O116" s="287">
        <v>2526.0</v>
      </c>
      <c r="P116" s="287">
        <v>10.0</v>
      </c>
      <c r="Q116" s="287">
        <v>1.0</v>
      </c>
      <c r="R116" s="287">
        <v>0.0</v>
      </c>
      <c r="S116" s="287">
        <v>0.0</v>
      </c>
      <c r="T116" s="287">
        <v>0.0</v>
      </c>
      <c r="U116" s="287">
        <v>0.0</v>
      </c>
      <c r="V116" s="287">
        <v>25.0</v>
      </c>
      <c r="W116" s="287">
        <v>2.0</v>
      </c>
      <c r="X116" s="287">
        <v>0.0</v>
      </c>
      <c r="Y116" s="287">
        <v>0.0</v>
      </c>
      <c r="Z116" s="287">
        <v>0.0</v>
      </c>
      <c r="AA116" s="287">
        <v>0.0</v>
      </c>
      <c r="AB116" s="287">
        <v>0.0</v>
      </c>
      <c r="AC116" s="287">
        <v>0.0</v>
      </c>
      <c r="AD116" s="287">
        <v>0.0</v>
      </c>
      <c r="AE116" s="287">
        <v>0.0</v>
      </c>
      <c r="AF116" s="287">
        <v>8.0</v>
      </c>
      <c r="AG116" s="287">
        <v>0.0</v>
      </c>
      <c r="AH116" s="287">
        <v>0.0</v>
      </c>
      <c r="AI116" s="1" t="s">
        <v>331</v>
      </c>
    </row>
    <row r="117">
      <c r="A117" s="286" t="s">
        <v>105</v>
      </c>
      <c r="B117" s="287">
        <v>1.0</v>
      </c>
      <c r="C117" s="287">
        <v>1.0</v>
      </c>
      <c r="D117" s="287">
        <v>0.0</v>
      </c>
      <c r="E117" s="287">
        <v>0.0</v>
      </c>
      <c r="F117" s="287">
        <v>1.0</v>
      </c>
      <c r="G117" s="287">
        <v>2.0</v>
      </c>
      <c r="H117" s="287">
        <v>76.0</v>
      </c>
      <c r="I117" s="287">
        <v>1.0</v>
      </c>
      <c r="J117" s="287">
        <v>75.0</v>
      </c>
      <c r="K117" s="287">
        <v>1.0</v>
      </c>
      <c r="L117" s="287">
        <v>8.0</v>
      </c>
      <c r="M117" s="287">
        <v>2.0</v>
      </c>
      <c r="N117" s="287">
        <v>2206.0</v>
      </c>
      <c r="O117" s="287">
        <v>2526.0</v>
      </c>
      <c r="P117" s="287">
        <v>29.0</v>
      </c>
      <c r="Q117" s="287">
        <v>2.0</v>
      </c>
      <c r="R117" s="287">
        <v>0.0</v>
      </c>
      <c r="S117" s="287">
        <v>0.0</v>
      </c>
      <c r="T117" s="287">
        <v>0.0</v>
      </c>
      <c r="U117" s="287">
        <v>0.0</v>
      </c>
      <c r="V117" s="287">
        <v>9.0</v>
      </c>
      <c r="W117" s="287">
        <v>0.0</v>
      </c>
      <c r="X117" s="287">
        <v>0.0</v>
      </c>
      <c r="Y117" s="287">
        <v>0.0</v>
      </c>
      <c r="Z117" s="287">
        <v>0.0</v>
      </c>
      <c r="AA117" s="287">
        <v>0.0</v>
      </c>
      <c r="AB117" s="287">
        <v>0.0</v>
      </c>
      <c r="AC117" s="287">
        <v>0.0</v>
      </c>
      <c r="AD117" s="287">
        <v>0.0</v>
      </c>
      <c r="AE117" s="287">
        <v>0.0</v>
      </c>
      <c r="AF117" s="287">
        <v>2.0</v>
      </c>
      <c r="AG117" s="287">
        <v>0.0</v>
      </c>
      <c r="AH117" s="287">
        <v>0.0</v>
      </c>
      <c r="AI117" s="1" t="s">
        <v>331</v>
      </c>
    </row>
    <row r="118">
      <c r="A118" s="286" t="s">
        <v>83</v>
      </c>
      <c r="B118" s="287">
        <v>1.0</v>
      </c>
      <c r="C118" s="287">
        <v>1.0</v>
      </c>
      <c r="D118" s="287">
        <v>0.0</v>
      </c>
      <c r="E118" s="287">
        <v>0.0</v>
      </c>
      <c r="F118" s="287">
        <v>1.0</v>
      </c>
      <c r="G118" s="287">
        <v>0.0</v>
      </c>
      <c r="H118" s="287">
        <v>183.0</v>
      </c>
      <c r="I118" s="287">
        <v>11.0</v>
      </c>
      <c r="J118" s="287">
        <v>215.0</v>
      </c>
      <c r="K118" s="287">
        <v>-32.0</v>
      </c>
      <c r="L118" s="287">
        <v>5.0</v>
      </c>
      <c r="M118" s="287">
        <v>1.0</v>
      </c>
      <c r="N118" s="287">
        <v>1791.0</v>
      </c>
      <c r="O118" s="287">
        <v>2526.0</v>
      </c>
      <c r="P118" s="287">
        <v>8.0</v>
      </c>
      <c r="Q118" s="287">
        <v>1.0</v>
      </c>
      <c r="R118" s="287">
        <v>0.0</v>
      </c>
      <c r="S118" s="287">
        <v>0.0</v>
      </c>
      <c r="T118" s="287">
        <v>0.0</v>
      </c>
      <c r="U118" s="287">
        <v>0.0</v>
      </c>
      <c r="V118" s="287">
        <v>27.0</v>
      </c>
      <c r="W118" s="287">
        <v>2.0</v>
      </c>
      <c r="X118" s="287">
        <v>0.0</v>
      </c>
      <c r="Y118" s="287">
        <v>0.0</v>
      </c>
      <c r="Z118" s="287">
        <v>0.0</v>
      </c>
      <c r="AA118" s="287">
        <v>0.0</v>
      </c>
      <c r="AB118" s="287">
        <v>0.0</v>
      </c>
      <c r="AC118" s="287">
        <v>0.0</v>
      </c>
      <c r="AD118" s="287">
        <v>0.0</v>
      </c>
      <c r="AE118" s="287">
        <v>0.0</v>
      </c>
      <c r="AF118" s="287">
        <v>21.0</v>
      </c>
      <c r="AG118" s="287">
        <v>0.0</v>
      </c>
      <c r="AH118" s="287">
        <v>1.0</v>
      </c>
      <c r="AI118" s="1" t="s">
        <v>331</v>
      </c>
    </row>
    <row r="119">
      <c r="A119" s="286" t="s">
        <v>100</v>
      </c>
      <c r="B119" s="287">
        <v>1.0</v>
      </c>
      <c r="C119" s="287">
        <v>1.0</v>
      </c>
      <c r="D119" s="287">
        <v>0.0</v>
      </c>
      <c r="E119" s="287">
        <v>0.0</v>
      </c>
      <c r="F119" s="287">
        <v>1.0</v>
      </c>
      <c r="G119" s="287">
        <v>0.0</v>
      </c>
      <c r="H119" s="287">
        <v>134.0</v>
      </c>
      <c r="I119" s="287">
        <v>13.0</v>
      </c>
      <c r="J119" s="287">
        <v>185.0</v>
      </c>
      <c r="K119" s="287">
        <v>-51.0</v>
      </c>
      <c r="L119" s="287">
        <v>4.0</v>
      </c>
      <c r="M119" s="287">
        <v>4.0</v>
      </c>
      <c r="N119" s="287">
        <v>1878.0</v>
      </c>
      <c r="O119" s="287">
        <v>2526.0</v>
      </c>
      <c r="P119" s="287">
        <v>10.0</v>
      </c>
      <c r="Q119" s="287">
        <v>0.0</v>
      </c>
      <c r="R119" s="287">
        <v>0.0</v>
      </c>
      <c r="S119" s="287">
        <v>0.0</v>
      </c>
      <c r="T119" s="287">
        <v>0.0</v>
      </c>
      <c r="U119" s="287">
        <v>0.0</v>
      </c>
      <c r="V119" s="287">
        <v>22.0</v>
      </c>
      <c r="W119" s="287">
        <v>5.0</v>
      </c>
      <c r="X119" s="287">
        <v>1.0</v>
      </c>
      <c r="Y119" s="287">
        <v>0.0</v>
      </c>
      <c r="Z119" s="287">
        <v>0.0</v>
      </c>
      <c r="AA119" s="287">
        <v>0.0</v>
      </c>
      <c r="AB119" s="287">
        <v>0.0</v>
      </c>
      <c r="AC119" s="287">
        <v>0.0</v>
      </c>
      <c r="AD119" s="287">
        <v>0.0</v>
      </c>
      <c r="AE119" s="287">
        <v>0.0</v>
      </c>
      <c r="AF119" s="287">
        <v>12.0</v>
      </c>
      <c r="AG119" s="287">
        <v>0.0</v>
      </c>
      <c r="AH119" s="287">
        <v>0.0</v>
      </c>
      <c r="AI119" s="1" t="s">
        <v>331</v>
      </c>
    </row>
    <row r="120">
      <c r="A120" s="286" t="s">
        <v>93</v>
      </c>
      <c r="B120" s="287">
        <v>1.0</v>
      </c>
      <c r="C120" s="287">
        <v>1.0</v>
      </c>
      <c r="D120" s="287">
        <v>0.0</v>
      </c>
      <c r="E120" s="287">
        <v>0.0</v>
      </c>
      <c r="F120" s="287">
        <v>1.0</v>
      </c>
      <c r="G120" s="287">
        <v>0.0</v>
      </c>
      <c r="H120" s="287">
        <v>149.0</v>
      </c>
      <c r="I120" s="287">
        <v>12.0</v>
      </c>
      <c r="J120" s="287">
        <v>159.0</v>
      </c>
      <c r="K120" s="287">
        <v>-10.0</v>
      </c>
      <c r="L120" s="287">
        <v>6.0</v>
      </c>
      <c r="M120" s="287">
        <v>5.0</v>
      </c>
      <c r="N120" s="287">
        <v>1955.0</v>
      </c>
      <c r="O120" s="287">
        <v>2526.0</v>
      </c>
      <c r="P120" s="287">
        <v>12.0</v>
      </c>
      <c r="Q120" s="287">
        <v>1.0</v>
      </c>
      <c r="R120" s="287">
        <v>0.0</v>
      </c>
      <c r="S120" s="287">
        <v>0.0</v>
      </c>
      <c r="T120" s="287">
        <v>0.0</v>
      </c>
      <c r="U120" s="287">
        <v>0.0</v>
      </c>
      <c r="V120" s="287">
        <v>20.0</v>
      </c>
      <c r="W120" s="287">
        <v>2.0</v>
      </c>
      <c r="X120" s="287">
        <v>0.0</v>
      </c>
      <c r="Y120" s="287">
        <v>0.0</v>
      </c>
      <c r="Z120" s="287">
        <v>0.0</v>
      </c>
      <c r="AA120" s="287">
        <v>0.0</v>
      </c>
      <c r="AB120" s="287">
        <v>0.0</v>
      </c>
      <c r="AC120" s="287">
        <v>0.0</v>
      </c>
      <c r="AD120" s="287">
        <v>0.0</v>
      </c>
      <c r="AE120" s="287">
        <v>0.0</v>
      </c>
      <c r="AF120" s="287">
        <v>10.0</v>
      </c>
      <c r="AG120" s="287">
        <v>0.0</v>
      </c>
      <c r="AH120" s="287">
        <v>1.0</v>
      </c>
      <c r="AI120" s="1" t="s">
        <v>331</v>
      </c>
    </row>
    <row r="121">
      <c r="A121" s="288" t="s">
        <v>115</v>
      </c>
      <c r="B121" s="289">
        <v>0.0</v>
      </c>
      <c r="C121" s="289">
        <v>1.0</v>
      </c>
      <c r="D121" s="289">
        <v>0.0</v>
      </c>
      <c r="E121" s="289">
        <v>1.0</v>
      </c>
      <c r="F121" s="289">
        <v>0.0</v>
      </c>
      <c r="G121" s="289">
        <v>3.0</v>
      </c>
      <c r="H121" s="289">
        <v>40.0</v>
      </c>
      <c r="I121" s="289">
        <v>2.0</v>
      </c>
      <c r="J121" s="289">
        <v>30.0</v>
      </c>
      <c r="K121" s="289">
        <v>10.0</v>
      </c>
      <c r="L121" s="289">
        <v>8.0</v>
      </c>
      <c r="M121" s="289">
        <v>0.0</v>
      </c>
      <c r="N121" s="289">
        <v>699.0</v>
      </c>
      <c r="O121" s="289">
        <v>886.0</v>
      </c>
      <c r="P121" s="289">
        <v>23.0</v>
      </c>
      <c r="Q121" s="289">
        <v>2.0</v>
      </c>
      <c r="R121" s="289">
        <v>0.0</v>
      </c>
      <c r="S121" s="289">
        <v>0.0</v>
      </c>
      <c r="T121" s="289">
        <v>0.0</v>
      </c>
      <c r="U121" s="289">
        <v>0.0</v>
      </c>
      <c r="V121" s="289">
        <v>5.0</v>
      </c>
      <c r="W121" s="289">
        <v>1.0</v>
      </c>
      <c r="X121" s="289">
        <v>0.0</v>
      </c>
      <c r="Y121" s="289">
        <v>0.0</v>
      </c>
      <c r="Z121" s="289">
        <v>0.0</v>
      </c>
      <c r="AA121" s="289">
        <v>0.0</v>
      </c>
      <c r="AB121" s="289">
        <v>0.0</v>
      </c>
      <c r="AC121" s="289">
        <v>0.0</v>
      </c>
      <c r="AD121" s="289">
        <v>0.0</v>
      </c>
      <c r="AE121" s="289">
        <v>0.0</v>
      </c>
      <c r="AF121" s="289">
        <v>1.0</v>
      </c>
      <c r="AG121" s="289">
        <v>0.0</v>
      </c>
      <c r="AH121" s="289">
        <v>0.0</v>
      </c>
      <c r="AI121" s="290" t="s">
        <v>332</v>
      </c>
    </row>
    <row r="122">
      <c r="A122" s="284" t="s">
        <v>91</v>
      </c>
      <c r="B122" s="291">
        <v>0.0</v>
      </c>
      <c r="C122" s="291">
        <v>1.0</v>
      </c>
      <c r="D122" s="291">
        <v>0.0</v>
      </c>
      <c r="E122" s="291">
        <v>1.0</v>
      </c>
      <c r="F122" s="291">
        <v>0.0</v>
      </c>
      <c r="G122" s="291">
        <v>2.0</v>
      </c>
      <c r="H122" s="291">
        <v>54.0</v>
      </c>
      <c r="I122" s="291">
        <v>4.0</v>
      </c>
      <c r="J122" s="291">
        <v>52.0</v>
      </c>
      <c r="K122" s="291">
        <v>2.0</v>
      </c>
      <c r="L122" s="291">
        <v>4.0</v>
      </c>
      <c r="M122" s="291">
        <v>3.0</v>
      </c>
      <c r="N122" s="291">
        <v>632.0</v>
      </c>
      <c r="O122" s="291">
        <v>886.0</v>
      </c>
      <c r="P122" s="291">
        <v>12.0</v>
      </c>
      <c r="Q122" s="291">
        <v>0.0</v>
      </c>
      <c r="R122" s="291">
        <v>0.0</v>
      </c>
      <c r="S122" s="291">
        <v>0.0</v>
      </c>
      <c r="T122" s="291">
        <v>0.0</v>
      </c>
      <c r="U122" s="291">
        <v>0.0</v>
      </c>
      <c r="V122" s="291">
        <v>7.0</v>
      </c>
      <c r="W122" s="291">
        <v>2.0</v>
      </c>
      <c r="X122" s="291">
        <v>0.0</v>
      </c>
      <c r="Y122" s="291">
        <v>0.0</v>
      </c>
      <c r="Z122" s="291">
        <v>0.0</v>
      </c>
      <c r="AA122" s="291">
        <v>0.0</v>
      </c>
      <c r="AB122" s="291">
        <v>0.0</v>
      </c>
      <c r="AC122" s="291">
        <v>0.0</v>
      </c>
      <c r="AD122" s="291">
        <v>0.0</v>
      </c>
      <c r="AE122" s="291">
        <v>0.0</v>
      </c>
      <c r="AF122" s="291">
        <v>1.0</v>
      </c>
      <c r="AG122" s="291">
        <v>0.0</v>
      </c>
      <c r="AH122" s="291">
        <v>0.0</v>
      </c>
      <c r="AI122" s="285" t="s">
        <v>332</v>
      </c>
    </row>
    <row r="123">
      <c r="A123" s="286" t="s">
        <v>111</v>
      </c>
      <c r="B123" s="287">
        <v>0.0</v>
      </c>
      <c r="C123" s="287">
        <v>1.0</v>
      </c>
      <c r="D123" s="287">
        <v>0.0</v>
      </c>
      <c r="E123" s="287">
        <v>1.0</v>
      </c>
      <c r="F123" s="287">
        <v>0.0</v>
      </c>
      <c r="G123" s="287">
        <v>0.0</v>
      </c>
      <c r="H123" s="287">
        <v>73.0</v>
      </c>
      <c r="I123" s="287">
        <v>3.0</v>
      </c>
      <c r="J123" s="287">
        <v>46.0</v>
      </c>
      <c r="K123" s="287">
        <v>27.0</v>
      </c>
      <c r="L123" s="287">
        <v>7.0</v>
      </c>
      <c r="M123" s="287">
        <v>2.0</v>
      </c>
      <c r="N123" s="287">
        <v>655.0</v>
      </c>
      <c r="O123" s="287">
        <v>886.0</v>
      </c>
      <c r="P123" s="287">
        <v>14.0</v>
      </c>
      <c r="Q123" s="287">
        <v>2.0</v>
      </c>
      <c r="R123" s="287">
        <v>0.0</v>
      </c>
      <c r="S123" s="287">
        <v>0.0</v>
      </c>
      <c r="T123" s="287">
        <v>0.0</v>
      </c>
      <c r="U123" s="287">
        <v>0.0</v>
      </c>
      <c r="V123" s="287">
        <v>14.0</v>
      </c>
      <c r="W123" s="287">
        <v>5.0</v>
      </c>
      <c r="X123" s="287">
        <v>2.0</v>
      </c>
      <c r="Y123" s="287">
        <v>1.0</v>
      </c>
      <c r="Z123" s="287">
        <v>0.0</v>
      </c>
      <c r="AA123" s="287">
        <v>0.0</v>
      </c>
      <c r="AB123" s="287">
        <v>0.0</v>
      </c>
      <c r="AC123" s="287">
        <v>0.0</v>
      </c>
      <c r="AD123" s="287">
        <v>0.0</v>
      </c>
      <c r="AE123" s="287">
        <v>0.0</v>
      </c>
      <c r="AF123" s="287">
        <v>6.0</v>
      </c>
      <c r="AG123" s="287">
        <v>0.0</v>
      </c>
      <c r="AH123" s="287">
        <v>2.0</v>
      </c>
      <c r="AI123" s="1" t="s">
        <v>332</v>
      </c>
    </row>
    <row r="124">
      <c r="A124" s="286" t="s">
        <v>116</v>
      </c>
      <c r="B124" s="287">
        <v>0.0</v>
      </c>
      <c r="C124" s="287">
        <v>1.0</v>
      </c>
      <c r="D124" s="287">
        <v>0.0</v>
      </c>
      <c r="E124" s="287">
        <v>1.0</v>
      </c>
      <c r="F124" s="287">
        <v>0.0</v>
      </c>
      <c r="G124" s="287">
        <v>0.0</v>
      </c>
      <c r="H124" s="287">
        <v>45.0</v>
      </c>
      <c r="I124" s="287">
        <v>1.0</v>
      </c>
      <c r="J124" s="287">
        <v>64.0</v>
      </c>
      <c r="K124" s="287">
        <v>-19.0</v>
      </c>
      <c r="L124" s="287">
        <v>4.0</v>
      </c>
      <c r="M124" s="287">
        <v>1.0</v>
      </c>
      <c r="N124" s="287">
        <v>603.0</v>
      </c>
      <c r="O124" s="287">
        <v>886.0</v>
      </c>
      <c r="P124" s="287">
        <v>9.0</v>
      </c>
      <c r="Q124" s="287">
        <v>0.0</v>
      </c>
      <c r="R124" s="287">
        <v>0.0</v>
      </c>
      <c r="S124" s="287">
        <v>0.0</v>
      </c>
      <c r="T124" s="287">
        <v>0.0</v>
      </c>
      <c r="U124" s="287">
        <v>0.0</v>
      </c>
      <c r="V124" s="287">
        <v>7.0</v>
      </c>
      <c r="W124" s="287">
        <v>0.0</v>
      </c>
      <c r="X124" s="287">
        <v>0.0</v>
      </c>
      <c r="Y124" s="287">
        <v>0.0</v>
      </c>
      <c r="Z124" s="287">
        <v>0.0</v>
      </c>
      <c r="AA124" s="287">
        <v>0.0</v>
      </c>
      <c r="AB124" s="287">
        <v>0.0</v>
      </c>
      <c r="AC124" s="287">
        <v>0.0</v>
      </c>
      <c r="AD124" s="287">
        <v>0.0</v>
      </c>
      <c r="AE124" s="287">
        <v>0.0</v>
      </c>
      <c r="AF124" s="287">
        <v>1.0</v>
      </c>
      <c r="AG124" s="287">
        <v>0.0</v>
      </c>
      <c r="AH124" s="287">
        <v>0.0</v>
      </c>
      <c r="AI124" s="1" t="s">
        <v>332</v>
      </c>
    </row>
    <row r="125">
      <c r="A125" s="286" t="s">
        <v>80</v>
      </c>
      <c r="B125" s="287">
        <v>1.0</v>
      </c>
      <c r="C125" s="287">
        <v>1.0</v>
      </c>
      <c r="D125" s="287">
        <v>0.0</v>
      </c>
      <c r="E125" s="287">
        <v>0.0</v>
      </c>
      <c r="F125" s="287">
        <v>1.0</v>
      </c>
      <c r="G125" s="287">
        <v>1.0</v>
      </c>
      <c r="H125" s="287">
        <v>51.0</v>
      </c>
      <c r="I125" s="287">
        <v>4.0</v>
      </c>
      <c r="J125" s="287">
        <v>59.0</v>
      </c>
      <c r="K125" s="287">
        <v>-8.0</v>
      </c>
      <c r="L125" s="287">
        <v>3.0</v>
      </c>
      <c r="M125" s="287">
        <v>0.0</v>
      </c>
      <c r="N125" s="287">
        <v>620.0</v>
      </c>
      <c r="O125" s="287">
        <v>886.0</v>
      </c>
      <c r="P125" s="287">
        <v>10.0</v>
      </c>
      <c r="Q125" s="287">
        <v>0.0</v>
      </c>
      <c r="R125" s="287">
        <v>0.0</v>
      </c>
      <c r="S125" s="287">
        <v>0.0</v>
      </c>
      <c r="T125" s="287">
        <v>0.0</v>
      </c>
      <c r="U125" s="287">
        <v>0.0</v>
      </c>
      <c r="V125" s="287">
        <v>7.0</v>
      </c>
      <c r="W125" s="287">
        <v>1.0</v>
      </c>
      <c r="X125" s="287">
        <v>0.0</v>
      </c>
      <c r="Y125" s="287">
        <v>0.0</v>
      </c>
      <c r="Z125" s="287">
        <v>0.0</v>
      </c>
      <c r="AA125" s="287">
        <v>0.0</v>
      </c>
      <c r="AB125" s="287">
        <v>0.0</v>
      </c>
      <c r="AC125" s="287">
        <v>0.0</v>
      </c>
      <c r="AD125" s="287">
        <v>0.0</v>
      </c>
      <c r="AE125" s="287">
        <v>0.0</v>
      </c>
      <c r="AF125" s="287">
        <v>2.0</v>
      </c>
      <c r="AG125" s="287">
        <v>0.0</v>
      </c>
      <c r="AH125" s="287">
        <v>0.0</v>
      </c>
      <c r="AI125" s="1" t="s">
        <v>332</v>
      </c>
    </row>
    <row r="126">
      <c r="A126" s="286" t="s">
        <v>86</v>
      </c>
      <c r="B126" s="287">
        <v>1.0</v>
      </c>
      <c r="C126" s="287">
        <v>1.0</v>
      </c>
      <c r="D126" s="287">
        <v>0.0</v>
      </c>
      <c r="E126" s="287">
        <v>0.0</v>
      </c>
      <c r="F126" s="287">
        <v>1.0</v>
      </c>
      <c r="G126" s="287">
        <v>1.0</v>
      </c>
      <c r="H126" s="287">
        <v>34.0</v>
      </c>
      <c r="I126" s="287">
        <v>0.0</v>
      </c>
      <c r="J126" s="287">
        <v>48.0</v>
      </c>
      <c r="K126" s="287">
        <v>-14.0</v>
      </c>
      <c r="L126" s="287">
        <v>4.0</v>
      </c>
      <c r="M126" s="287">
        <v>1.0</v>
      </c>
      <c r="N126" s="287">
        <v>651.0</v>
      </c>
      <c r="O126" s="287">
        <v>886.0</v>
      </c>
      <c r="P126" s="287">
        <v>13.0</v>
      </c>
      <c r="Q126" s="287">
        <v>0.0</v>
      </c>
      <c r="R126" s="287">
        <v>0.0</v>
      </c>
      <c r="S126" s="287">
        <v>0.0</v>
      </c>
      <c r="T126" s="287">
        <v>0.0</v>
      </c>
      <c r="U126" s="287">
        <v>0.0</v>
      </c>
      <c r="V126" s="287">
        <v>2.0</v>
      </c>
      <c r="W126" s="287">
        <v>1.0</v>
      </c>
      <c r="X126" s="287">
        <v>0.0</v>
      </c>
      <c r="Y126" s="287">
        <v>0.0</v>
      </c>
      <c r="Z126" s="287">
        <v>0.0</v>
      </c>
      <c r="AA126" s="287">
        <v>0.0</v>
      </c>
      <c r="AB126" s="287">
        <v>0.0</v>
      </c>
      <c r="AC126" s="287">
        <v>0.0</v>
      </c>
      <c r="AD126" s="287">
        <v>0.0</v>
      </c>
      <c r="AE126" s="287">
        <v>0.0</v>
      </c>
      <c r="AF126" s="287">
        <v>0.0</v>
      </c>
      <c r="AG126" s="287">
        <v>0.0</v>
      </c>
      <c r="AH126" s="287">
        <v>0.0</v>
      </c>
      <c r="AI126" s="1" t="s">
        <v>332</v>
      </c>
    </row>
    <row r="127">
      <c r="A127" s="286" t="s">
        <v>89</v>
      </c>
      <c r="B127" s="287">
        <v>1.0</v>
      </c>
      <c r="C127" s="287">
        <v>1.0</v>
      </c>
      <c r="D127" s="287">
        <v>0.0</v>
      </c>
      <c r="E127" s="287">
        <v>0.0</v>
      </c>
      <c r="F127" s="287">
        <v>1.0</v>
      </c>
      <c r="G127" s="287">
        <v>0.0</v>
      </c>
      <c r="H127" s="287">
        <v>43.0</v>
      </c>
      <c r="I127" s="287">
        <v>7.0</v>
      </c>
      <c r="J127" s="287">
        <v>50.0</v>
      </c>
      <c r="K127" s="287">
        <v>-7.0</v>
      </c>
      <c r="L127" s="287">
        <v>4.0</v>
      </c>
      <c r="M127" s="287">
        <v>1.0</v>
      </c>
      <c r="N127" s="287">
        <v>643.0</v>
      </c>
      <c r="O127" s="287">
        <v>886.0</v>
      </c>
      <c r="P127" s="287">
        <v>12.0</v>
      </c>
      <c r="Q127" s="287">
        <v>0.0</v>
      </c>
      <c r="R127" s="287">
        <v>0.0</v>
      </c>
      <c r="S127" s="287">
        <v>0.0</v>
      </c>
      <c r="T127" s="287">
        <v>0.0</v>
      </c>
      <c r="U127" s="287">
        <v>0.0</v>
      </c>
      <c r="V127" s="287">
        <v>5.0</v>
      </c>
      <c r="W127" s="287">
        <v>1.0</v>
      </c>
      <c r="X127" s="287">
        <v>0.0</v>
      </c>
      <c r="Y127" s="287">
        <v>0.0</v>
      </c>
      <c r="Z127" s="287">
        <v>0.0</v>
      </c>
      <c r="AA127" s="287">
        <v>0.0</v>
      </c>
      <c r="AB127" s="287">
        <v>0.0</v>
      </c>
      <c r="AC127" s="287">
        <v>0.0</v>
      </c>
      <c r="AD127" s="287">
        <v>0.0</v>
      </c>
      <c r="AE127" s="287">
        <v>0.0</v>
      </c>
      <c r="AF127" s="287">
        <v>3.0</v>
      </c>
      <c r="AG127" s="287">
        <v>0.0</v>
      </c>
      <c r="AH127" s="287">
        <v>0.0</v>
      </c>
      <c r="AI127" s="1" t="s">
        <v>332</v>
      </c>
    </row>
    <row r="128">
      <c r="A128" s="286" t="s">
        <v>99</v>
      </c>
      <c r="B128" s="287">
        <v>1.0</v>
      </c>
      <c r="C128" s="287">
        <v>1.0</v>
      </c>
      <c r="D128" s="287">
        <v>0.0</v>
      </c>
      <c r="E128" s="287">
        <v>0.0</v>
      </c>
      <c r="F128" s="287">
        <v>1.0</v>
      </c>
      <c r="G128" s="287">
        <v>0.0</v>
      </c>
      <c r="H128" s="287">
        <v>51.0</v>
      </c>
      <c r="I128" s="287">
        <v>1.0</v>
      </c>
      <c r="J128" s="287">
        <v>63.0</v>
      </c>
      <c r="K128" s="287">
        <v>-12.0</v>
      </c>
      <c r="L128" s="287">
        <v>5.0</v>
      </c>
      <c r="M128" s="287">
        <v>1.0</v>
      </c>
      <c r="N128" s="287">
        <v>600.0</v>
      </c>
      <c r="O128" s="287">
        <v>886.0</v>
      </c>
      <c r="P128" s="287">
        <v>9.0</v>
      </c>
      <c r="Q128" s="287">
        <v>1.0</v>
      </c>
      <c r="R128" s="287">
        <v>0.0</v>
      </c>
      <c r="S128" s="287">
        <v>0.0</v>
      </c>
      <c r="T128" s="287">
        <v>0.0</v>
      </c>
      <c r="U128" s="287">
        <v>0.0</v>
      </c>
      <c r="V128" s="287">
        <v>9.0</v>
      </c>
      <c r="W128" s="287">
        <v>2.0</v>
      </c>
      <c r="X128" s="287">
        <v>0.0</v>
      </c>
      <c r="Y128" s="287">
        <v>0.0</v>
      </c>
      <c r="Z128" s="287">
        <v>0.0</v>
      </c>
      <c r="AA128" s="287">
        <v>0.0</v>
      </c>
      <c r="AB128" s="287">
        <v>0.0</v>
      </c>
      <c r="AC128" s="287">
        <v>0.0</v>
      </c>
      <c r="AD128" s="287">
        <v>0.0</v>
      </c>
      <c r="AE128" s="287">
        <v>0.0</v>
      </c>
      <c r="AF128" s="287">
        <v>2.0</v>
      </c>
      <c r="AG128" s="287">
        <v>0.0</v>
      </c>
      <c r="AH128" s="287">
        <v>1.0</v>
      </c>
      <c r="AI128" s="1" t="s">
        <v>332</v>
      </c>
    </row>
    <row r="129">
      <c r="A129" s="288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289"/>
      <c r="W129" s="289"/>
      <c r="X129" s="289"/>
      <c r="Y129" s="289"/>
      <c r="Z129" s="289"/>
      <c r="AA129" s="289"/>
      <c r="AB129" s="289"/>
      <c r="AC129" s="289"/>
      <c r="AD129" s="289"/>
      <c r="AE129" s="289"/>
      <c r="AF129" s="289"/>
      <c r="AG129" s="289"/>
      <c r="AH129" s="289"/>
      <c r="AI129" s="289"/>
    </row>
    <row r="130">
      <c r="A130" s="284"/>
      <c r="B130" s="291"/>
      <c r="C130" s="291"/>
      <c r="D130" s="291"/>
      <c r="E130" s="291"/>
      <c r="F130" s="291"/>
      <c r="G130" s="291"/>
      <c r="H130" s="291"/>
      <c r="I130" s="291"/>
      <c r="J130" s="291"/>
      <c r="K130" s="291"/>
      <c r="L130" s="291"/>
      <c r="M130" s="291"/>
      <c r="N130" s="291"/>
      <c r="O130" s="291"/>
      <c r="P130" s="291"/>
      <c r="Q130" s="291"/>
      <c r="R130" s="291"/>
      <c r="S130" s="291"/>
      <c r="T130" s="291"/>
      <c r="U130" s="291"/>
      <c r="V130" s="291"/>
      <c r="W130" s="291"/>
      <c r="X130" s="291"/>
      <c r="Y130" s="291"/>
      <c r="Z130" s="291"/>
      <c r="AA130" s="291"/>
      <c r="AB130" s="291"/>
      <c r="AC130" s="291"/>
      <c r="AD130" s="291"/>
      <c r="AE130" s="291"/>
      <c r="AF130" s="291"/>
      <c r="AG130" s="291"/>
      <c r="AH130" s="291"/>
      <c r="AI130" s="291"/>
    </row>
    <row r="131">
      <c r="A131" s="286"/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  <c r="AA131" s="287"/>
      <c r="AB131" s="287"/>
      <c r="AC131" s="287"/>
      <c r="AD131" s="287"/>
      <c r="AE131" s="287"/>
      <c r="AF131" s="287"/>
      <c r="AG131" s="287"/>
      <c r="AH131" s="287"/>
      <c r="AI131" s="287"/>
    </row>
    <row r="132">
      <c r="A132" s="286"/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  <c r="AA132" s="287"/>
      <c r="AB132" s="287"/>
      <c r="AC132" s="287"/>
      <c r="AD132" s="287"/>
      <c r="AE132" s="287"/>
      <c r="AF132" s="287"/>
      <c r="AG132" s="287"/>
      <c r="AH132" s="287"/>
      <c r="AI132" s="287"/>
    </row>
    <row r="133">
      <c r="A133" s="286"/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87"/>
      <c r="AB133" s="287"/>
      <c r="AC133" s="287"/>
      <c r="AD133" s="287"/>
      <c r="AE133" s="287"/>
      <c r="AF133" s="287"/>
      <c r="AG133" s="287"/>
      <c r="AH133" s="287"/>
      <c r="AI133" s="287"/>
    </row>
    <row r="134">
      <c r="A134" s="286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7"/>
      <c r="P134" s="287"/>
      <c r="Q134" s="287"/>
      <c r="R134" s="287"/>
      <c r="S134" s="287"/>
      <c r="T134" s="287"/>
      <c r="U134" s="287"/>
      <c r="V134" s="287"/>
      <c r="W134" s="287"/>
      <c r="X134" s="287"/>
      <c r="Y134" s="287"/>
      <c r="Z134" s="287"/>
      <c r="AA134" s="287"/>
      <c r="AB134" s="287"/>
      <c r="AC134" s="287"/>
      <c r="AD134" s="287"/>
      <c r="AE134" s="287"/>
      <c r="AF134" s="287"/>
      <c r="AG134" s="287"/>
      <c r="AH134" s="287"/>
      <c r="AI134" s="287"/>
    </row>
    <row r="135">
      <c r="A135" s="286"/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  <c r="Q135" s="287"/>
      <c r="R135" s="287"/>
      <c r="S135" s="287"/>
      <c r="T135" s="287"/>
      <c r="U135" s="287"/>
      <c r="V135" s="287"/>
      <c r="W135" s="287"/>
      <c r="X135" s="287"/>
      <c r="Y135" s="287"/>
      <c r="Z135" s="287"/>
      <c r="AA135" s="287"/>
      <c r="AB135" s="287"/>
      <c r="AC135" s="287"/>
      <c r="AD135" s="287"/>
      <c r="AE135" s="287"/>
      <c r="AF135" s="287"/>
      <c r="AG135" s="287"/>
      <c r="AH135" s="287"/>
      <c r="AI135" s="287"/>
    </row>
    <row r="136">
      <c r="A136" s="286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87"/>
      <c r="AB136" s="287"/>
      <c r="AC136" s="287"/>
      <c r="AD136" s="287"/>
      <c r="AE136" s="287"/>
      <c r="AF136" s="287"/>
      <c r="AG136" s="287"/>
      <c r="AH136" s="287"/>
      <c r="AI136" s="287"/>
    </row>
    <row r="137">
      <c r="A137" s="288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289"/>
      <c r="W137" s="289"/>
      <c r="X137" s="289"/>
      <c r="Y137" s="289"/>
      <c r="Z137" s="289"/>
      <c r="AA137" s="289"/>
      <c r="AB137" s="289"/>
      <c r="AC137" s="289"/>
      <c r="AD137" s="289"/>
      <c r="AE137" s="289"/>
      <c r="AF137" s="289"/>
      <c r="AG137" s="289"/>
      <c r="AH137" s="289"/>
      <c r="AI137" s="289"/>
    </row>
    <row r="138">
      <c r="A138" s="284"/>
      <c r="B138" s="291"/>
      <c r="C138" s="291"/>
      <c r="D138" s="291"/>
      <c r="E138" s="291"/>
      <c r="F138" s="291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299"/>
      <c r="AH138" s="299"/>
      <c r="AI138" s="299"/>
    </row>
    <row r="139">
      <c r="A139" s="286"/>
      <c r="B139" s="287"/>
      <c r="C139" s="287"/>
      <c r="D139" s="287"/>
      <c r="E139" s="287"/>
      <c r="F139" s="287"/>
      <c r="G139" s="295"/>
      <c r="H139" s="295"/>
      <c r="I139" s="295"/>
      <c r="J139" s="295"/>
      <c r="K139" s="295"/>
      <c r="L139" s="295"/>
      <c r="M139" s="295"/>
      <c r="N139" s="295"/>
      <c r="O139" s="295"/>
      <c r="P139" s="295"/>
      <c r="Q139" s="295"/>
      <c r="R139" s="295"/>
      <c r="S139" s="295"/>
      <c r="T139" s="295"/>
      <c r="U139" s="295"/>
      <c r="V139" s="295"/>
      <c r="W139" s="295"/>
      <c r="X139" s="295"/>
      <c r="Y139" s="295"/>
      <c r="Z139" s="295"/>
      <c r="AA139" s="295"/>
      <c r="AB139" s="295"/>
      <c r="AC139" s="295"/>
      <c r="AD139" s="295"/>
      <c r="AE139" s="295"/>
      <c r="AF139" s="295"/>
      <c r="AG139" s="295"/>
      <c r="AH139" s="295"/>
      <c r="AI139" s="295"/>
    </row>
    <row r="140">
      <c r="A140" s="286"/>
      <c r="B140" s="287"/>
      <c r="C140" s="287"/>
      <c r="D140" s="287"/>
      <c r="E140" s="287"/>
      <c r="F140" s="287"/>
      <c r="G140" s="295"/>
      <c r="H140" s="295"/>
      <c r="I140" s="295"/>
      <c r="J140" s="295"/>
      <c r="K140" s="295"/>
      <c r="L140" s="295"/>
      <c r="M140" s="295"/>
      <c r="N140" s="295"/>
      <c r="O140" s="295"/>
      <c r="P140" s="295"/>
      <c r="Q140" s="295"/>
      <c r="R140" s="295"/>
      <c r="S140" s="295"/>
      <c r="T140" s="295"/>
      <c r="U140" s="295"/>
      <c r="V140" s="295"/>
      <c r="W140" s="295"/>
      <c r="X140" s="295"/>
      <c r="Y140" s="295"/>
      <c r="Z140" s="295"/>
      <c r="AA140" s="295"/>
      <c r="AB140" s="295"/>
      <c r="AC140" s="295"/>
      <c r="AD140" s="295"/>
      <c r="AE140" s="295"/>
      <c r="AF140" s="295"/>
      <c r="AG140" s="295"/>
      <c r="AH140" s="295"/>
      <c r="AI140" s="295"/>
    </row>
    <row r="141">
      <c r="A141" s="286"/>
      <c r="B141" s="287"/>
      <c r="C141" s="287"/>
      <c r="D141" s="287"/>
      <c r="E141" s="287"/>
      <c r="F141" s="287"/>
      <c r="G141" s="295"/>
      <c r="H141" s="295"/>
      <c r="I141" s="295"/>
      <c r="J141" s="295"/>
      <c r="K141" s="295"/>
      <c r="L141" s="295"/>
      <c r="M141" s="295"/>
      <c r="N141" s="295"/>
      <c r="O141" s="295"/>
      <c r="P141" s="295"/>
      <c r="Q141" s="295"/>
      <c r="R141" s="295"/>
      <c r="S141" s="295"/>
      <c r="T141" s="295"/>
      <c r="U141" s="295"/>
      <c r="V141" s="295"/>
      <c r="W141" s="295"/>
      <c r="X141" s="295"/>
      <c r="Y141" s="295"/>
      <c r="Z141" s="295"/>
      <c r="AA141" s="295"/>
      <c r="AB141" s="295"/>
      <c r="AC141" s="295"/>
      <c r="AD141" s="295"/>
      <c r="AE141" s="295"/>
      <c r="AF141" s="295"/>
      <c r="AG141" s="295"/>
      <c r="AH141" s="295"/>
      <c r="AI141" s="295"/>
    </row>
    <row r="142">
      <c r="A142" s="286"/>
      <c r="B142" s="287"/>
      <c r="C142" s="287"/>
      <c r="D142" s="287"/>
      <c r="E142" s="287"/>
      <c r="F142" s="287"/>
      <c r="G142" s="295"/>
      <c r="H142" s="295"/>
      <c r="I142" s="295"/>
      <c r="J142" s="295"/>
      <c r="K142" s="295"/>
      <c r="L142" s="295"/>
      <c r="M142" s="295"/>
      <c r="N142" s="295"/>
      <c r="O142" s="295"/>
      <c r="P142" s="295"/>
      <c r="Q142" s="295"/>
      <c r="R142" s="295"/>
      <c r="S142" s="295"/>
      <c r="T142" s="295"/>
      <c r="U142" s="295"/>
      <c r="V142" s="295"/>
      <c r="W142" s="295"/>
      <c r="X142" s="295"/>
      <c r="Y142" s="295"/>
      <c r="Z142" s="295"/>
      <c r="AA142" s="295"/>
      <c r="AB142" s="295"/>
      <c r="AC142" s="295"/>
      <c r="AD142" s="295"/>
      <c r="AE142" s="295"/>
      <c r="AF142" s="295"/>
      <c r="AG142" s="295"/>
      <c r="AH142" s="295"/>
      <c r="AI142" s="295"/>
    </row>
    <row r="143">
      <c r="A143" s="286"/>
      <c r="B143" s="287"/>
      <c r="C143" s="287"/>
      <c r="D143" s="287"/>
      <c r="E143" s="287"/>
      <c r="F143" s="287"/>
      <c r="G143" s="295"/>
      <c r="H143" s="295"/>
      <c r="I143" s="295"/>
      <c r="J143" s="295"/>
      <c r="K143" s="295"/>
      <c r="L143" s="295"/>
      <c r="M143" s="295"/>
      <c r="N143" s="295"/>
      <c r="O143" s="295"/>
      <c r="P143" s="295"/>
      <c r="Q143" s="295"/>
      <c r="R143" s="295"/>
      <c r="S143" s="295"/>
      <c r="T143" s="295"/>
      <c r="U143" s="295"/>
      <c r="V143" s="295"/>
      <c r="W143" s="295"/>
      <c r="X143" s="295"/>
      <c r="Y143" s="295"/>
      <c r="Z143" s="295"/>
      <c r="AA143" s="295"/>
      <c r="AB143" s="295"/>
      <c r="AC143" s="295"/>
      <c r="AD143" s="295"/>
      <c r="AE143" s="295"/>
      <c r="AF143" s="295"/>
      <c r="AG143" s="295"/>
      <c r="AH143" s="295"/>
      <c r="AI143" s="295"/>
    </row>
    <row r="144">
      <c r="A144" s="286"/>
      <c r="B144" s="287"/>
      <c r="C144" s="287"/>
      <c r="D144" s="287"/>
      <c r="E144" s="287"/>
      <c r="F144" s="287"/>
      <c r="G144" s="295"/>
      <c r="H144" s="295"/>
      <c r="I144" s="295"/>
      <c r="J144" s="295"/>
      <c r="K144" s="295"/>
      <c r="L144" s="295"/>
      <c r="M144" s="295"/>
      <c r="N144" s="295"/>
      <c r="O144" s="295"/>
      <c r="P144" s="295"/>
      <c r="Q144" s="295"/>
      <c r="R144" s="295"/>
      <c r="S144" s="295"/>
      <c r="T144" s="295"/>
      <c r="U144" s="295"/>
      <c r="V144" s="295"/>
      <c r="W144" s="295"/>
      <c r="X144" s="295"/>
      <c r="Y144" s="295"/>
      <c r="Z144" s="295"/>
      <c r="AA144" s="295"/>
      <c r="AB144" s="295"/>
      <c r="AC144" s="295"/>
      <c r="AD144" s="295"/>
      <c r="AE144" s="295"/>
      <c r="AF144" s="295"/>
      <c r="AG144" s="295"/>
      <c r="AH144" s="295"/>
      <c r="AI144" s="295"/>
    </row>
    <row r="145">
      <c r="A145" s="288"/>
      <c r="B145" s="289"/>
      <c r="C145" s="289"/>
      <c r="D145" s="289"/>
      <c r="E145" s="289"/>
      <c r="F145" s="289"/>
      <c r="G145" s="300"/>
      <c r="H145" s="300"/>
      <c r="I145" s="300"/>
      <c r="J145" s="300"/>
      <c r="K145" s="300"/>
      <c r="L145" s="300"/>
      <c r="M145" s="300"/>
      <c r="N145" s="300"/>
      <c r="O145" s="300"/>
      <c r="P145" s="300"/>
      <c r="Q145" s="300"/>
      <c r="R145" s="300"/>
      <c r="S145" s="300"/>
      <c r="T145" s="300"/>
      <c r="U145" s="300"/>
      <c r="V145" s="300"/>
      <c r="W145" s="300"/>
      <c r="X145" s="300"/>
      <c r="Y145" s="300"/>
      <c r="Z145" s="300"/>
      <c r="AA145" s="300"/>
      <c r="AB145" s="300"/>
      <c r="AC145" s="300"/>
      <c r="AD145" s="300"/>
      <c r="AE145" s="300"/>
      <c r="AF145" s="300"/>
      <c r="AG145" s="300"/>
      <c r="AH145" s="300"/>
      <c r="AI145" s="300"/>
    </row>
    <row r="146">
      <c r="A146" s="284"/>
      <c r="B146" s="291"/>
      <c r="C146" s="291"/>
      <c r="D146" s="291"/>
      <c r="E146" s="291"/>
      <c r="F146" s="291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  <c r="AB146" s="299"/>
      <c r="AC146" s="299"/>
      <c r="AD146" s="299"/>
      <c r="AE146" s="299"/>
      <c r="AF146" s="299"/>
      <c r="AG146" s="299"/>
      <c r="AH146" s="299"/>
      <c r="AI146" s="299"/>
    </row>
    <row r="147">
      <c r="A147" s="286"/>
      <c r="B147" s="287"/>
      <c r="C147" s="287"/>
      <c r="D147" s="287"/>
      <c r="E147" s="287"/>
      <c r="F147" s="287"/>
      <c r="G147" s="295"/>
      <c r="H147" s="295"/>
      <c r="I147" s="295"/>
      <c r="J147" s="295"/>
      <c r="K147" s="295"/>
      <c r="L147" s="295"/>
      <c r="M147" s="295"/>
      <c r="N147" s="295"/>
      <c r="O147" s="295"/>
      <c r="P147" s="295"/>
      <c r="Q147" s="295"/>
      <c r="R147" s="295"/>
      <c r="S147" s="295"/>
      <c r="T147" s="295"/>
      <c r="U147" s="295"/>
      <c r="V147" s="295"/>
      <c r="W147" s="295"/>
      <c r="X147" s="295"/>
      <c r="Y147" s="295"/>
      <c r="Z147" s="295"/>
      <c r="AA147" s="295"/>
      <c r="AB147" s="295"/>
      <c r="AC147" s="295"/>
      <c r="AD147" s="295"/>
      <c r="AE147" s="295"/>
      <c r="AF147" s="295"/>
      <c r="AG147" s="295"/>
      <c r="AH147" s="295"/>
      <c r="AI147" s="295"/>
    </row>
    <row r="148">
      <c r="A148" s="286"/>
      <c r="B148" s="287"/>
      <c r="C148" s="287"/>
      <c r="D148" s="287"/>
      <c r="E148" s="287"/>
      <c r="F148" s="287"/>
      <c r="G148" s="295"/>
      <c r="H148" s="295"/>
      <c r="I148" s="295"/>
      <c r="J148" s="295"/>
      <c r="K148" s="295"/>
      <c r="L148" s="295"/>
      <c r="M148" s="295"/>
      <c r="N148" s="295"/>
      <c r="O148" s="295"/>
      <c r="P148" s="295"/>
      <c r="Q148" s="295"/>
      <c r="R148" s="295"/>
      <c r="S148" s="295"/>
      <c r="T148" s="295"/>
      <c r="U148" s="295"/>
      <c r="V148" s="295"/>
      <c r="W148" s="295"/>
      <c r="X148" s="295"/>
      <c r="Y148" s="295"/>
      <c r="Z148" s="295"/>
      <c r="AA148" s="295"/>
      <c r="AB148" s="295"/>
      <c r="AC148" s="295"/>
      <c r="AD148" s="295"/>
      <c r="AE148" s="295"/>
      <c r="AF148" s="295"/>
      <c r="AG148" s="295"/>
      <c r="AH148" s="295"/>
      <c r="AI148" s="295"/>
    </row>
    <row r="149">
      <c r="A149" s="286"/>
      <c r="B149" s="287"/>
      <c r="C149" s="287"/>
      <c r="D149" s="287"/>
      <c r="E149" s="287"/>
      <c r="F149" s="287"/>
      <c r="G149" s="295"/>
      <c r="H149" s="295"/>
      <c r="I149" s="295"/>
      <c r="J149" s="295"/>
      <c r="K149" s="295"/>
      <c r="L149" s="295"/>
      <c r="M149" s="295"/>
      <c r="N149" s="295"/>
      <c r="O149" s="295"/>
      <c r="P149" s="295"/>
      <c r="Q149" s="295"/>
      <c r="R149" s="295"/>
      <c r="S149" s="295"/>
      <c r="T149" s="295"/>
      <c r="U149" s="295"/>
      <c r="V149" s="295"/>
      <c r="W149" s="295"/>
      <c r="X149" s="295"/>
      <c r="Y149" s="295"/>
      <c r="Z149" s="295"/>
      <c r="AA149" s="295"/>
      <c r="AB149" s="295"/>
      <c r="AC149" s="295"/>
      <c r="AD149" s="295"/>
      <c r="AE149" s="295"/>
      <c r="AF149" s="295"/>
      <c r="AG149" s="295"/>
      <c r="AH149" s="295"/>
      <c r="AI149" s="295"/>
    </row>
    <row r="150">
      <c r="A150" s="286"/>
      <c r="B150" s="287"/>
      <c r="C150" s="287"/>
      <c r="D150" s="287"/>
      <c r="E150" s="287"/>
      <c r="F150" s="287"/>
      <c r="G150" s="295"/>
      <c r="H150" s="295"/>
      <c r="I150" s="295"/>
      <c r="J150" s="295"/>
      <c r="K150" s="295"/>
      <c r="L150" s="295"/>
      <c r="M150" s="295"/>
      <c r="N150" s="295"/>
      <c r="O150" s="295"/>
      <c r="P150" s="295"/>
      <c r="Q150" s="295"/>
      <c r="R150" s="295"/>
      <c r="S150" s="295"/>
      <c r="T150" s="295"/>
      <c r="U150" s="295"/>
      <c r="V150" s="295"/>
      <c r="W150" s="295"/>
      <c r="X150" s="295"/>
      <c r="Y150" s="295"/>
      <c r="Z150" s="295"/>
      <c r="AA150" s="295"/>
      <c r="AB150" s="295"/>
      <c r="AC150" s="295"/>
      <c r="AD150" s="295"/>
      <c r="AE150" s="295"/>
      <c r="AF150" s="295"/>
      <c r="AG150" s="295"/>
      <c r="AH150" s="295"/>
      <c r="AI150" s="295"/>
    </row>
    <row r="151">
      <c r="A151" s="286"/>
      <c r="B151" s="287"/>
      <c r="C151" s="287"/>
      <c r="D151" s="287"/>
      <c r="E151" s="287"/>
      <c r="F151" s="287"/>
      <c r="G151" s="295"/>
      <c r="H151" s="295"/>
      <c r="I151" s="295"/>
      <c r="J151" s="295"/>
      <c r="K151" s="295"/>
      <c r="L151" s="295"/>
      <c r="M151" s="295"/>
      <c r="N151" s="295"/>
      <c r="O151" s="295"/>
      <c r="P151" s="295"/>
      <c r="Q151" s="295"/>
      <c r="R151" s="295"/>
      <c r="S151" s="295"/>
      <c r="T151" s="295"/>
      <c r="U151" s="295"/>
      <c r="V151" s="295"/>
      <c r="W151" s="295"/>
      <c r="X151" s="295"/>
      <c r="Y151" s="295"/>
      <c r="Z151" s="295"/>
      <c r="AA151" s="295"/>
      <c r="AB151" s="295"/>
      <c r="AC151" s="295"/>
      <c r="AD151" s="295"/>
      <c r="AE151" s="295"/>
      <c r="AF151" s="295"/>
      <c r="AG151" s="295"/>
      <c r="AH151" s="295"/>
      <c r="AI151" s="295"/>
    </row>
    <row r="152">
      <c r="A152" s="286"/>
      <c r="B152" s="287"/>
      <c r="C152" s="287"/>
      <c r="D152" s="287"/>
      <c r="E152" s="287"/>
      <c r="F152" s="287"/>
      <c r="G152" s="295"/>
      <c r="H152" s="295"/>
      <c r="I152" s="295"/>
      <c r="J152" s="295"/>
      <c r="K152" s="295"/>
      <c r="L152" s="295"/>
      <c r="M152" s="295"/>
      <c r="N152" s="295"/>
      <c r="O152" s="295"/>
      <c r="P152" s="295"/>
      <c r="Q152" s="295"/>
      <c r="R152" s="295"/>
      <c r="S152" s="295"/>
      <c r="T152" s="295"/>
      <c r="U152" s="295"/>
      <c r="V152" s="295"/>
      <c r="W152" s="295"/>
      <c r="X152" s="295"/>
      <c r="Y152" s="295"/>
      <c r="Z152" s="295"/>
      <c r="AA152" s="295"/>
      <c r="AB152" s="295"/>
      <c r="AC152" s="295"/>
      <c r="AD152" s="295"/>
      <c r="AE152" s="295"/>
      <c r="AF152" s="295"/>
      <c r="AG152" s="295"/>
      <c r="AH152" s="295"/>
      <c r="AI152" s="295"/>
    </row>
    <row r="153">
      <c r="A153" s="288"/>
      <c r="B153" s="289"/>
      <c r="C153" s="289"/>
      <c r="D153" s="289"/>
      <c r="E153" s="289"/>
      <c r="F153" s="289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300"/>
      <c r="AA153" s="300"/>
      <c r="AB153" s="300"/>
      <c r="AC153" s="300"/>
      <c r="AD153" s="300"/>
      <c r="AE153" s="300"/>
      <c r="AF153" s="300"/>
      <c r="AG153" s="300"/>
      <c r="AH153" s="300"/>
      <c r="AI153" s="300"/>
    </row>
    <row r="154">
      <c r="A154" s="284"/>
      <c r="B154" s="291"/>
      <c r="C154" s="291"/>
      <c r="D154" s="291"/>
      <c r="E154" s="291"/>
      <c r="F154" s="291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  <c r="AB154" s="299"/>
      <c r="AC154" s="299"/>
      <c r="AD154" s="299"/>
      <c r="AE154" s="299"/>
      <c r="AF154" s="299"/>
      <c r="AG154" s="299"/>
      <c r="AH154" s="299"/>
      <c r="AI154" s="299"/>
    </row>
    <row r="155">
      <c r="A155" s="286"/>
      <c r="B155" s="287"/>
      <c r="C155" s="287"/>
      <c r="D155" s="287"/>
      <c r="E155" s="287"/>
      <c r="F155" s="287"/>
      <c r="G155" s="295"/>
      <c r="H155" s="295"/>
      <c r="I155" s="295"/>
      <c r="J155" s="295"/>
      <c r="K155" s="295"/>
      <c r="L155" s="295"/>
      <c r="M155" s="295"/>
      <c r="N155" s="295"/>
      <c r="O155" s="295"/>
      <c r="P155" s="295"/>
      <c r="Q155" s="295"/>
      <c r="R155" s="295"/>
      <c r="S155" s="295"/>
      <c r="T155" s="295"/>
      <c r="U155" s="295"/>
      <c r="V155" s="295"/>
      <c r="W155" s="295"/>
      <c r="X155" s="295"/>
      <c r="Y155" s="295"/>
      <c r="Z155" s="295"/>
      <c r="AA155" s="295"/>
      <c r="AB155" s="295"/>
      <c r="AC155" s="295"/>
      <c r="AD155" s="295"/>
      <c r="AE155" s="295"/>
      <c r="AF155" s="295"/>
      <c r="AG155" s="295"/>
      <c r="AH155" s="295"/>
      <c r="AI155" s="295"/>
    </row>
    <row r="156">
      <c r="A156" s="286"/>
      <c r="B156" s="287"/>
      <c r="C156" s="287"/>
      <c r="D156" s="287"/>
      <c r="E156" s="287"/>
      <c r="F156" s="287"/>
      <c r="G156" s="295"/>
      <c r="H156" s="295"/>
      <c r="I156" s="295"/>
      <c r="J156" s="295"/>
      <c r="K156" s="295"/>
      <c r="L156" s="295"/>
      <c r="M156" s="295"/>
      <c r="N156" s="295"/>
      <c r="O156" s="295"/>
      <c r="P156" s="295"/>
      <c r="Q156" s="295"/>
      <c r="R156" s="295"/>
      <c r="S156" s="295"/>
      <c r="T156" s="295"/>
      <c r="U156" s="295"/>
      <c r="V156" s="295"/>
      <c r="W156" s="295"/>
      <c r="X156" s="295"/>
      <c r="Y156" s="295"/>
      <c r="Z156" s="295"/>
      <c r="AA156" s="295"/>
      <c r="AB156" s="295"/>
      <c r="AC156" s="295"/>
      <c r="AD156" s="295"/>
      <c r="AE156" s="295"/>
      <c r="AF156" s="295"/>
      <c r="AG156" s="295"/>
      <c r="AH156" s="295"/>
      <c r="AI156" s="295"/>
    </row>
    <row r="157">
      <c r="A157" s="286"/>
      <c r="B157" s="287"/>
      <c r="C157" s="287"/>
      <c r="D157" s="287"/>
      <c r="E157" s="287"/>
      <c r="F157" s="287"/>
      <c r="G157" s="295"/>
      <c r="H157" s="295"/>
      <c r="I157" s="295"/>
      <c r="J157" s="295"/>
      <c r="K157" s="295"/>
      <c r="L157" s="295"/>
      <c r="M157" s="295"/>
      <c r="N157" s="295"/>
      <c r="O157" s="295"/>
      <c r="P157" s="295"/>
      <c r="Q157" s="295"/>
      <c r="R157" s="295"/>
      <c r="S157" s="295"/>
      <c r="T157" s="295"/>
      <c r="U157" s="295"/>
      <c r="V157" s="295"/>
      <c r="W157" s="295"/>
      <c r="X157" s="295"/>
      <c r="Y157" s="295"/>
      <c r="Z157" s="295"/>
      <c r="AA157" s="295"/>
      <c r="AB157" s="295"/>
      <c r="AC157" s="295"/>
      <c r="AD157" s="295"/>
      <c r="AE157" s="295"/>
      <c r="AF157" s="295"/>
      <c r="AG157" s="295"/>
      <c r="AH157" s="295"/>
      <c r="AI157" s="295"/>
    </row>
    <row r="158">
      <c r="A158" s="286"/>
      <c r="B158" s="287"/>
      <c r="C158" s="287"/>
      <c r="D158" s="287"/>
      <c r="E158" s="287"/>
      <c r="F158" s="287"/>
      <c r="G158" s="295"/>
      <c r="H158" s="295"/>
      <c r="I158" s="295"/>
      <c r="J158" s="295"/>
      <c r="K158" s="295"/>
      <c r="L158" s="295"/>
      <c r="M158" s="295"/>
      <c r="N158" s="295"/>
      <c r="O158" s="295"/>
      <c r="P158" s="295"/>
      <c r="Q158" s="295"/>
      <c r="R158" s="295"/>
      <c r="S158" s="295"/>
      <c r="T158" s="295"/>
      <c r="U158" s="295"/>
      <c r="V158" s="295"/>
      <c r="W158" s="295"/>
      <c r="X158" s="295"/>
      <c r="Y158" s="295"/>
      <c r="Z158" s="295"/>
      <c r="AA158" s="295"/>
      <c r="AB158" s="295"/>
      <c r="AC158" s="295"/>
      <c r="AD158" s="295"/>
      <c r="AE158" s="295"/>
      <c r="AF158" s="295"/>
      <c r="AG158" s="295"/>
      <c r="AH158" s="295"/>
      <c r="AI158" s="295"/>
    </row>
    <row r="159">
      <c r="A159" s="286"/>
      <c r="B159" s="287"/>
      <c r="C159" s="287"/>
      <c r="D159" s="287"/>
      <c r="E159" s="287"/>
      <c r="F159" s="287"/>
      <c r="G159" s="295"/>
      <c r="H159" s="295"/>
      <c r="I159" s="295"/>
      <c r="J159" s="295"/>
      <c r="K159" s="295"/>
      <c r="L159" s="295"/>
      <c r="M159" s="295"/>
      <c r="N159" s="295"/>
      <c r="O159" s="295"/>
      <c r="P159" s="295"/>
      <c r="Q159" s="295"/>
      <c r="R159" s="295"/>
      <c r="S159" s="295"/>
      <c r="T159" s="295"/>
      <c r="U159" s="295"/>
      <c r="V159" s="295"/>
      <c r="W159" s="295"/>
      <c r="X159" s="295"/>
      <c r="Y159" s="295"/>
      <c r="Z159" s="295"/>
      <c r="AA159" s="295"/>
      <c r="AB159" s="295"/>
      <c r="AC159" s="295"/>
      <c r="AD159" s="295"/>
      <c r="AE159" s="295"/>
      <c r="AF159" s="295"/>
      <c r="AG159" s="295"/>
      <c r="AH159" s="295"/>
      <c r="AI159" s="295"/>
    </row>
    <row r="160">
      <c r="A160" s="286"/>
      <c r="B160" s="287"/>
      <c r="C160" s="287"/>
      <c r="D160" s="287"/>
      <c r="E160" s="287"/>
      <c r="F160" s="287"/>
      <c r="G160" s="295"/>
      <c r="H160" s="295"/>
      <c r="I160" s="295"/>
      <c r="J160" s="295"/>
      <c r="K160" s="295"/>
      <c r="L160" s="295"/>
      <c r="M160" s="295"/>
      <c r="N160" s="295"/>
      <c r="O160" s="295"/>
      <c r="P160" s="295"/>
      <c r="Q160" s="295"/>
      <c r="R160" s="295"/>
      <c r="S160" s="295"/>
      <c r="T160" s="295"/>
      <c r="U160" s="295"/>
      <c r="V160" s="295"/>
      <c r="W160" s="295"/>
      <c r="X160" s="295"/>
      <c r="Y160" s="295"/>
      <c r="Z160" s="295"/>
      <c r="AA160" s="295"/>
      <c r="AB160" s="295"/>
      <c r="AC160" s="295"/>
      <c r="AD160" s="295"/>
      <c r="AE160" s="295"/>
      <c r="AF160" s="295"/>
      <c r="AG160" s="295"/>
      <c r="AH160" s="295"/>
      <c r="AI160" s="295"/>
    </row>
    <row r="161">
      <c r="A161" s="288"/>
      <c r="B161" s="289"/>
      <c r="C161" s="289"/>
      <c r="D161" s="289"/>
      <c r="E161" s="289"/>
      <c r="F161" s="289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0"/>
      <c r="T161" s="300"/>
      <c r="U161" s="300"/>
      <c r="V161" s="300"/>
      <c r="W161" s="300"/>
      <c r="X161" s="300"/>
      <c r="Y161" s="300"/>
      <c r="Z161" s="300"/>
      <c r="AA161" s="300"/>
      <c r="AB161" s="300"/>
      <c r="AC161" s="300"/>
      <c r="AD161" s="300"/>
      <c r="AE161" s="300"/>
      <c r="AF161" s="300"/>
      <c r="AG161" s="300"/>
      <c r="AH161" s="300"/>
      <c r="AI161" s="30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7.13"/>
    <col customWidth="1" min="2" max="2" width="15.88"/>
    <col customWidth="1" hidden="1" min="3" max="3" width="8.88"/>
    <col customWidth="1" min="4" max="4" width="5.88"/>
    <col customWidth="1" min="5" max="5" width="9.75"/>
    <col customWidth="1" min="6" max="6" width="17.88"/>
    <col customWidth="1" min="7" max="7" width="5.63"/>
    <col customWidth="1" min="8" max="8" width="4.75"/>
    <col customWidth="1" min="9" max="9" width="6.5"/>
    <col customWidth="1" min="10" max="10" width="6.63"/>
    <col customWidth="1" min="11" max="11" width="5.13"/>
    <col customWidth="1" min="12" max="12" width="6.88"/>
    <col customWidth="1" min="13" max="13" width="6.13"/>
    <col customWidth="1" min="14" max="14" width="8.5"/>
    <col customWidth="1" min="15" max="15" width="9.5"/>
    <col customWidth="1" min="16" max="16" width="7.0"/>
    <col customWidth="1" min="17" max="17" width="9.13"/>
    <col customWidth="1" min="18" max="18" width="10.38"/>
    <col customWidth="1" min="19" max="19" width="8.38"/>
    <col customWidth="1" min="20" max="20" width="9.38"/>
    <col customWidth="1" min="21" max="21" width="11.63"/>
    <col customWidth="1" min="22" max="23" width="6.38"/>
    <col customWidth="1" min="24" max="24" width="6.13"/>
    <col customWidth="1" min="25" max="29" width="6.38"/>
    <col customWidth="1" min="30" max="30" width="7.25"/>
    <col customWidth="1" min="31" max="31" width="7.63"/>
    <col customWidth="1" min="32" max="32" width="8.25"/>
    <col customWidth="1" min="33" max="33" width="12.5"/>
    <col customWidth="1" min="34" max="34" width="13.25"/>
  </cols>
  <sheetData>
    <row r="1">
      <c r="A1" s="301"/>
      <c r="B1" s="301" t="s">
        <v>333</v>
      </c>
      <c r="C1" s="302" t="s">
        <v>334</v>
      </c>
      <c r="D1" s="301" t="s">
        <v>335</v>
      </c>
      <c r="E1" s="301" t="s">
        <v>336</v>
      </c>
      <c r="F1" s="301" t="s">
        <v>337</v>
      </c>
      <c r="G1" s="301" t="s">
        <v>20</v>
      </c>
      <c r="H1" s="301" t="s">
        <v>21</v>
      </c>
      <c r="I1" s="301" t="s">
        <v>23</v>
      </c>
      <c r="J1" s="301" t="s">
        <v>24</v>
      </c>
      <c r="K1" s="303" t="s">
        <v>338</v>
      </c>
      <c r="L1" s="301" t="s">
        <v>22</v>
      </c>
      <c r="M1" s="301" t="s">
        <v>25</v>
      </c>
      <c r="N1" s="301" t="s">
        <v>26</v>
      </c>
      <c r="O1" s="301" t="s">
        <v>28</v>
      </c>
      <c r="P1" s="301" t="s">
        <v>339</v>
      </c>
      <c r="Q1" s="304" t="s">
        <v>340</v>
      </c>
      <c r="R1" s="305" t="s">
        <v>341</v>
      </c>
      <c r="S1" s="305" t="s">
        <v>342</v>
      </c>
      <c r="T1" s="306" t="s">
        <v>309</v>
      </c>
      <c r="U1" s="306" t="s">
        <v>310</v>
      </c>
      <c r="V1" s="305" t="s">
        <v>343</v>
      </c>
      <c r="W1" s="305" t="s">
        <v>344</v>
      </c>
      <c r="X1" s="305" t="s">
        <v>345</v>
      </c>
      <c r="Y1" s="305" t="s">
        <v>346</v>
      </c>
      <c r="Z1" s="305" t="s">
        <v>347</v>
      </c>
      <c r="AA1" s="305" t="s">
        <v>348</v>
      </c>
      <c r="AB1" s="305" t="s">
        <v>349</v>
      </c>
      <c r="AC1" s="305" t="s">
        <v>350</v>
      </c>
      <c r="AD1" s="305" t="s">
        <v>351</v>
      </c>
      <c r="AE1" s="306" t="s">
        <v>313</v>
      </c>
      <c r="AF1" s="306" t="s">
        <v>40</v>
      </c>
      <c r="AG1" s="306" t="s">
        <v>314</v>
      </c>
      <c r="AH1" s="305" t="s">
        <v>315</v>
      </c>
    </row>
    <row r="2">
      <c r="A2" s="307" t="s">
        <v>352</v>
      </c>
      <c r="B2" s="308" t="str">
        <f t="array" ref="B2">IFERROR(INDEX(TeamInfo!$C1:$C$45,MATCH($A$2,TeamInfo!A:A,0),0),"")</f>
        <v>MealyKitten0</v>
      </c>
      <c r="C2" s="309" t="str">
        <f t="array" ref="C2">IFERROR(INDEX('Player Efficiency'!$1:$45,MATCH(B2,'Player Efficiency'!A:A,0),2),"")</f>
        <v/>
      </c>
      <c r="D2" s="310" t="str">
        <f t="array" ref="D2">IFERROR(INDEX(PlayerGrades!$1:$47,MATCH(B2,PlayerGrades!J:J,0),18),"")</f>
        <v>C</v>
      </c>
      <c r="E2" s="310">
        <f t="array" ref="E2">IFERROR(INDEX(PlayerGrades!$1:$47,MATCH(B2,PlayerGrades!J:J,0),19),"")</f>
        <v>10.6</v>
      </c>
      <c r="F2" s="311" t="str">
        <f t="array" ref="F2">IFERROR(INDEX(TeamInfo!$D1:$D$45,MATCH($A$2,TeamInfo!A:A,0),0),"")</f>
        <v>US EAST</v>
      </c>
      <c r="G2" s="16">
        <f t="array" ref="G2">IFERROR(INDEX('Halo Reach Stats'!$1:$46,MATCH($B2,'Halo Reach Stats'!$A:$A,0),8),"")</f>
        <v>4</v>
      </c>
      <c r="H2" s="16">
        <f t="array" ref="H2">IFERROR(INDEX('Halo Reach Stats'!$1:$46,MATCH($B2,'Halo Reach Stats'!$A:$A,0),9),"")</f>
        <v>88</v>
      </c>
      <c r="I2" s="16">
        <f t="array" ref="I2">IFERROR(INDEX('Halo Reach Stats'!$1:$46,MATCH($B2,'Halo Reach Stats'!$A:$A,0),10),"")</f>
        <v>106</v>
      </c>
      <c r="J2" s="16">
        <f t="array" ref="J2">IFERROR(INDEX('Halo Reach Stats'!$1:$46,MATCH($B2,'Halo Reach Stats'!$A:$A,0),11),"")</f>
        <v>-18</v>
      </c>
      <c r="K2" s="312">
        <f t="shared" ref="K2:K5" si="1">H2/I2</f>
        <v>0.8301886792</v>
      </c>
      <c r="L2" s="16">
        <f t="array" ref="L2">IFERROR(INDEX('Halo Reach Stats'!$1:$46,MATCH($B2,'Halo Reach Stats'!$A:$A,0),12),"")</f>
        <v>6</v>
      </c>
      <c r="M2" s="16">
        <f t="array" ref="M2">IFERROR(INDEX('Halo Reach Stats'!$1:$46,MATCH($B2,'Halo Reach Stats'!$A:$A,0),13),"")</f>
        <v>5</v>
      </c>
      <c r="N2" s="16">
        <f t="array" ref="N2">IFERROR(INDEX('Halo Reach Stats'!$1:$46,MATCH($B2,'Halo Reach Stats'!$A:$A,0),14),"")</f>
        <v>2</v>
      </c>
      <c r="O2" s="16">
        <f t="array" ref="O2">IFERROR(INDEX('Halo Reach Stats'!$1:$46,MATCH($B2,'Halo Reach Stats'!$A:$A,0),16),"")</f>
        <v>1794</v>
      </c>
      <c r="P2" s="16">
        <f t="array" ref="P2">IFERROR(INDEX('Halo Reach Stats'!$1:$46,MATCH($B2,'Halo Reach Stats'!$A:$A,0),17),"")</f>
        <v>12</v>
      </c>
      <c r="Q2" s="16">
        <f t="array" ref="Q2">IFERROR(INDEX('Halo Reach Stats'!$1:$46,MATCH($B2,'Halo Reach Stats'!$A:$A,0),18),"")</f>
        <v>1</v>
      </c>
      <c r="R2" s="16">
        <f t="array" ref="R2">IFERROR(INDEX('Halo Reach Stats'!$1:$46,MATCH($B2,'Halo Reach Stats'!$A:$A,0),19),"")</f>
        <v>0</v>
      </c>
      <c r="S2" s="16">
        <f t="array" ref="S2">IFERROR(INDEX('Halo Reach Stats'!$1:$46,MATCH($B2,'Halo Reach Stats'!$A:$A,0),20),"")</f>
        <v>0</v>
      </c>
      <c r="T2" s="16">
        <f t="array" ref="T2">IFERROR(INDEX('Halo Reach Stats'!$1:$46,MATCH($B2,'Halo Reach Stats'!$A:$A,0),21),"")</f>
        <v>0</v>
      </c>
      <c r="U2" s="16">
        <f t="array" ref="U2">IFERROR(INDEX('Halo Reach Stats'!$1:$46,MATCH($B2,'Halo Reach Stats'!$A:$A,0),22),"")</f>
        <v>0</v>
      </c>
      <c r="V2" s="16">
        <f t="array" ref="V2">IFERROR(INDEX('Halo Reach Stats'!$1:$46,MATCH($B2,'Halo Reach Stats'!$A:$A,0),23),"")</f>
        <v>16</v>
      </c>
      <c r="W2" s="16">
        <f t="array" ref="W2">IFERROR(INDEX('Halo Reach Stats'!$1:$46,MATCH($B2,'Halo Reach Stats'!$A:$A,0),24),"")</f>
        <v>2</v>
      </c>
      <c r="X2" s="16">
        <f t="array" ref="X2">IFERROR(INDEX('Halo Reach Stats'!$1:$46,MATCH($B2,'Halo Reach Stats'!$A:$A,0),25),"")</f>
        <v>0</v>
      </c>
      <c r="Y2" s="16">
        <f t="array" ref="Y2">IFERROR(INDEX('Halo Reach Stats'!$1:$46,MATCH($B2,'Halo Reach Stats'!$A:$A,0),26),"")</f>
        <v>0</v>
      </c>
      <c r="Z2" s="16">
        <f t="array" ref="Z2">IFERROR(INDEX('Halo Reach Stats'!$1:$46,MATCH($B2,'Halo Reach Stats'!$A:$A,0),27),"")</f>
        <v>0</v>
      </c>
      <c r="AA2" s="16">
        <f t="array" ref="AA2">IFERROR(INDEX('Halo Reach Stats'!$1:$46,MATCH($B2,'Halo Reach Stats'!$A:$A,0),28),"")</f>
        <v>0</v>
      </c>
      <c r="AB2" s="16">
        <f t="array" ref="AB2">IFERROR(INDEX('Halo Reach Stats'!$1:$46,MATCH($B2,'Halo Reach Stats'!$A:$A,0),29),"")</f>
        <v>0</v>
      </c>
      <c r="AC2" s="16">
        <f t="array" ref="AC2">IFERROR(INDEX('Halo Reach Stats'!$1:$46,MATCH($B2,'Halo Reach Stats'!$A:$A,0),30),"")</f>
        <v>0</v>
      </c>
      <c r="AD2" s="16">
        <f t="array" ref="AD2">IFERROR(INDEX('Halo Reach Stats'!$1:$46,MATCH($B2,'Halo Reach Stats'!$A:$A,0),31),"")</f>
        <v>0</v>
      </c>
      <c r="AE2" s="16">
        <f t="array" ref="AE2">IFERROR(INDEX('Halo Reach Stats'!$1:$46,MATCH($B2,'Halo Reach Stats'!$A:$A,0),32),"")</f>
        <v>0</v>
      </c>
      <c r="AF2" s="16">
        <f t="array" ref="AF2">IFERROR(INDEX('Halo Reach Stats'!$1:$46,MATCH($B2,'Halo Reach Stats'!$A:$A,0),33),"")</f>
        <v>1</v>
      </c>
      <c r="AG2" s="16">
        <f t="array" ref="AG2">IFERROR(INDEX('Halo Reach Stats'!$1:$46,MATCH($B2,'Halo Reach Stats'!$A:$A,0),34),"")</f>
        <v>0</v>
      </c>
      <c r="AH2" s="16">
        <f t="array" ref="AH2">IFERROR(INDEX('Halo Reach Stats'!$1:$46,MATCH($B2,'Halo Reach Stats'!$A:$A,0),35),"")</f>
        <v>0</v>
      </c>
    </row>
    <row r="3">
      <c r="A3" s="313" t="str">
        <f t="array" ref="A3">IFERROR(INDEX(TeamInfo!$1:$45,MATCH(A2,TeamInfo!A:A,0),2),"")</f>
        <v>Baked Potatoes</v>
      </c>
      <c r="B3" s="314" t="str">
        <f t="array" ref="B3">IFERROR(INDEX(TeamInfo!$C2:$C$45,MATCH($A$2,TeamInfo!A:A,0),0),"")</f>
        <v>Yaeqin</v>
      </c>
      <c r="C3" s="309" t="str">
        <f t="array" ref="C3">IFERROR(INDEX('Player Efficiency'!$1:$45,MATCH(B3,'Player Efficiency'!A:A,0),2),"")</f>
        <v/>
      </c>
      <c r="D3" s="310" t="str">
        <f t="array" ref="D3">IFERROR(INDEX(PlayerGrades!$1:$47,MATCH(B3,PlayerGrades!J:J,0),18),"")</f>
        <v>C</v>
      </c>
      <c r="E3" s="310">
        <f t="array" ref="E3">IFERROR(INDEX(PlayerGrades!$1:$47,MATCH(B3,PlayerGrades!J:J,0),19),"")</f>
        <v>11.9</v>
      </c>
      <c r="F3" s="16" t="str">
        <f t="array" ref="F3">IFERROR(INDEX(TeamInfo!$D2:$D$45,MATCH($A$2,TeamInfo!A:A,0),0),"")</f>
        <v>US EAST</v>
      </c>
      <c r="G3" s="16">
        <f t="array" ref="G3">IFERROR(INDEX('Halo Reach Stats'!$1:$46,MATCH($B3,'Halo Reach Stats'!$A:$A,0),8),"")</f>
        <v>1</v>
      </c>
      <c r="H3" s="16">
        <f t="array" ref="H3">IFERROR(INDEX('Halo Reach Stats'!$1:$46,MATCH($B3,'Halo Reach Stats'!$A:$A,0),9),"")</f>
        <v>99</v>
      </c>
      <c r="I3" s="16">
        <f t="array" ref="I3">IFERROR(INDEX('Halo Reach Stats'!$1:$46,MATCH($B3,'Halo Reach Stats'!$A:$A,0),10),"")</f>
        <v>130</v>
      </c>
      <c r="J3" s="16">
        <f t="array" ref="J3">IFERROR(INDEX('Halo Reach Stats'!$1:$46,MATCH($B3,'Halo Reach Stats'!$A:$A,0),11),"")</f>
        <v>-31</v>
      </c>
      <c r="K3" s="312">
        <f t="shared" si="1"/>
        <v>0.7615384615</v>
      </c>
      <c r="L3" s="16">
        <f t="array" ref="L3">IFERROR(INDEX('Halo Reach Stats'!$1:$46,MATCH($B3,'Halo Reach Stats'!$A:$A,0),12),"")</f>
        <v>4</v>
      </c>
      <c r="M3" s="16">
        <f t="array" ref="M3">IFERROR(INDEX('Halo Reach Stats'!$1:$46,MATCH($B3,'Halo Reach Stats'!$A:$A,0),13),"")</f>
        <v>4</v>
      </c>
      <c r="N3" s="16">
        <f t="array" ref="N3">IFERROR(INDEX('Halo Reach Stats'!$1:$46,MATCH($B3,'Halo Reach Stats'!$A:$A,0),14),"")</f>
        <v>1</v>
      </c>
      <c r="O3" s="16">
        <f t="array" ref="O3">IFERROR(INDEX('Halo Reach Stats'!$1:$46,MATCH($B3,'Halo Reach Stats'!$A:$A,0),16),"")</f>
        <v>1794</v>
      </c>
      <c r="P3" s="16">
        <f t="array" ref="P3">IFERROR(INDEX('Halo Reach Stats'!$1:$46,MATCH($B3,'Halo Reach Stats'!$A:$A,0),17),"")</f>
        <v>13</v>
      </c>
      <c r="Q3" s="16">
        <f t="array" ref="Q3">IFERROR(INDEX('Halo Reach Stats'!$1:$46,MATCH($B3,'Halo Reach Stats'!$A:$A,0),18),"")</f>
        <v>0</v>
      </c>
      <c r="R3" s="16">
        <f t="array" ref="R3">IFERROR(INDEX('Halo Reach Stats'!$1:$46,MATCH($B3,'Halo Reach Stats'!$A:$A,0),19),"")</f>
        <v>0</v>
      </c>
      <c r="S3" s="16">
        <f t="array" ref="S3">IFERROR(INDEX('Halo Reach Stats'!$1:$46,MATCH($B3,'Halo Reach Stats'!$A:$A,0),20),"")</f>
        <v>0</v>
      </c>
      <c r="T3" s="16">
        <f t="array" ref="T3">IFERROR(INDEX('Halo Reach Stats'!$1:$46,MATCH($B3,'Halo Reach Stats'!$A:$A,0),21),"")</f>
        <v>0</v>
      </c>
      <c r="U3" s="16">
        <f t="array" ref="U3">IFERROR(INDEX('Halo Reach Stats'!$1:$46,MATCH($B3,'Halo Reach Stats'!$A:$A,0),22),"")</f>
        <v>0</v>
      </c>
      <c r="V3" s="16">
        <f t="array" ref="V3">IFERROR(INDEX('Halo Reach Stats'!$1:$46,MATCH($B3,'Halo Reach Stats'!$A:$A,0),23),"")</f>
        <v>13</v>
      </c>
      <c r="W3" s="16">
        <f t="array" ref="W3">IFERROR(INDEX('Halo Reach Stats'!$1:$46,MATCH($B3,'Halo Reach Stats'!$A:$A,0),24),"")</f>
        <v>2</v>
      </c>
      <c r="X3" s="16">
        <f t="array" ref="X3">IFERROR(INDEX('Halo Reach Stats'!$1:$46,MATCH($B3,'Halo Reach Stats'!$A:$A,0),25),"")</f>
        <v>0</v>
      </c>
      <c r="Y3" s="16">
        <f t="array" ref="Y3">IFERROR(INDEX('Halo Reach Stats'!$1:$46,MATCH($B3,'Halo Reach Stats'!$A:$A,0),26),"")</f>
        <v>0</v>
      </c>
      <c r="Z3" s="16">
        <f t="array" ref="Z3">IFERROR(INDEX('Halo Reach Stats'!$1:$46,MATCH($B3,'Halo Reach Stats'!$A:$A,0),27),"")</f>
        <v>0</v>
      </c>
      <c r="AA3" s="16">
        <f t="array" ref="AA3">IFERROR(INDEX('Halo Reach Stats'!$1:$46,MATCH($B3,'Halo Reach Stats'!$A:$A,0),28),"")</f>
        <v>0</v>
      </c>
      <c r="AB3" s="16">
        <f t="array" ref="AB3">IFERROR(INDEX('Halo Reach Stats'!$1:$46,MATCH($B3,'Halo Reach Stats'!$A:$A,0),29),"")</f>
        <v>0</v>
      </c>
      <c r="AC3" s="16">
        <f t="array" ref="AC3">IFERROR(INDEX('Halo Reach Stats'!$1:$46,MATCH($B3,'Halo Reach Stats'!$A:$A,0),30),"")</f>
        <v>0</v>
      </c>
      <c r="AD3" s="16">
        <f t="array" ref="AD3">IFERROR(INDEX('Halo Reach Stats'!$1:$46,MATCH($B3,'Halo Reach Stats'!$A:$A,0),31),"")</f>
        <v>0</v>
      </c>
      <c r="AE3" s="16">
        <f t="array" ref="AE3">IFERROR(INDEX('Halo Reach Stats'!$1:$46,MATCH($B3,'Halo Reach Stats'!$A:$A,0),32),"")</f>
        <v>0</v>
      </c>
      <c r="AF3" s="16">
        <f t="array" ref="AF3">IFERROR(INDEX('Halo Reach Stats'!$1:$46,MATCH($B3,'Halo Reach Stats'!$A:$A,0),33),"")</f>
        <v>5</v>
      </c>
      <c r="AG3" s="16">
        <f t="array" ref="AG3">IFERROR(INDEX('Halo Reach Stats'!$1:$46,MATCH($B3,'Halo Reach Stats'!$A:$A,0),34),"")</f>
        <v>0</v>
      </c>
      <c r="AH3" s="16">
        <f t="array" ref="AH3">IFERROR(INDEX('Halo Reach Stats'!$1:$46,MATCH($B3,'Halo Reach Stats'!$A:$A,0),35),"")</f>
        <v>0</v>
      </c>
    </row>
    <row r="4">
      <c r="A4" s="12" t="str">
        <f t="array" ref="A4">IFERROR(INDEX(TeamInfo!$1:$45,MATCH(A2,TeamInfo!A:A,0),5),"")</f>
        <v/>
      </c>
      <c r="B4" s="314" t="str">
        <f t="array" ref="B4">IFERROR(INDEX(TeamInfo!$C3:$C$45,MATCH($A$2,TeamInfo!A:A,0),0),"")</f>
        <v>Dhlyn</v>
      </c>
      <c r="C4" s="309" t="str">
        <f t="array" ref="C4">IFERROR(INDEX('Player Efficiency'!$1:$45,MATCH(B4,'Player Efficiency'!A:A,0),2),"")</f>
        <v/>
      </c>
      <c r="D4" s="310" t="str">
        <f t="array" ref="D4">IFERROR(INDEX(PlayerGrades!$1:$47,MATCH(B4,PlayerGrades!J:J,0),18),"")</f>
        <v>D</v>
      </c>
      <c r="E4" s="310">
        <f t="array" ref="E4">IFERROR(INDEX(PlayerGrades!$1:$47,MATCH(B4,PlayerGrades!J:J,0),19),"")</f>
        <v>7.7</v>
      </c>
      <c r="F4" s="16" t="str">
        <f t="array" ref="F4">IFERROR(INDEX(TeamInfo!$D3:$D$45,MATCH($A$2,TeamInfo!A:A,0),0),"")</f>
        <v>US SOUTH CENTRAL</v>
      </c>
      <c r="G4" s="16">
        <f t="array" ref="G4">IFERROR(INDEX('Halo Reach Stats'!$1:$46,MATCH($B4,'Halo Reach Stats'!$A:$A,0),8),"")</f>
        <v>0</v>
      </c>
      <c r="H4" s="16">
        <f t="array" ref="H4">IFERROR(INDEX('Halo Reach Stats'!$1:$46,MATCH($B4,'Halo Reach Stats'!$A:$A,0),9),"")</f>
        <v>84</v>
      </c>
      <c r="I4" s="16">
        <f t="array" ref="I4">IFERROR(INDEX('Halo Reach Stats'!$1:$46,MATCH($B4,'Halo Reach Stats'!$A:$A,0),10),"")</f>
        <v>111</v>
      </c>
      <c r="J4" s="16">
        <f t="array" ref="J4">IFERROR(INDEX('Halo Reach Stats'!$1:$46,MATCH($B4,'Halo Reach Stats'!$A:$A,0),11),"")</f>
        <v>-27</v>
      </c>
      <c r="K4" s="312">
        <f t="shared" si="1"/>
        <v>0.7567567568</v>
      </c>
      <c r="L4" s="16">
        <f t="array" ref="L4">IFERROR(INDEX('Halo Reach Stats'!$1:$46,MATCH($B4,'Halo Reach Stats'!$A:$A,0),12),"")</f>
        <v>7</v>
      </c>
      <c r="M4" s="16">
        <f t="array" ref="M4">IFERROR(INDEX('Halo Reach Stats'!$1:$46,MATCH($B4,'Halo Reach Stats'!$A:$A,0),13),"")</f>
        <v>4</v>
      </c>
      <c r="N4" s="16">
        <f t="array" ref="N4">IFERROR(INDEX('Halo Reach Stats'!$1:$46,MATCH($B4,'Halo Reach Stats'!$A:$A,0),14),"")</f>
        <v>1</v>
      </c>
      <c r="O4" s="16">
        <f t="array" ref="O4">IFERROR(INDEX('Halo Reach Stats'!$1:$46,MATCH($B4,'Halo Reach Stats'!$A:$A,0),16),"")</f>
        <v>1794</v>
      </c>
      <c r="P4" s="16">
        <f t="array" ref="P4">IFERROR(INDEX('Halo Reach Stats'!$1:$46,MATCH($B4,'Halo Reach Stats'!$A:$A,0),17),"")</f>
        <v>12</v>
      </c>
      <c r="Q4" s="16">
        <f t="array" ref="Q4">IFERROR(INDEX('Halo Reach Stats'!$1:$46,MATCH($B4,'Halo Reach Stats'!$A:$A,0),18),"")</f>
        <v>0</v>
      </c>
      <c r="R4" s="16">
        <f t="array" ref="R4">IFERROR(INDEX('Halo Reach Stats'!$1:$46,MATCH($B4,'Halo Reach Stats'!$A:$A,0),19),"")</f>
        <v>0</v>
      </c>
      <c r="S4" s="16">
        <f t="array" ref="S4">IFERROR(INDEX('Halo Reach Stats'!$1:$46,MATCH($B4,'Halo Reach Stats'!$A:$A,0),20),"")</f>
        <v>0</v>
      </c>
      <c r="T4" s="16">
        <f t="array" ref="T4">IFERROR(INDEX('Halo Reach Stats'!$1:$46,MATCH($B4,'Halo Reach Stats'!$A:$A,0),21),"")</f>
        <v>0</v>
      </c>
      <c r="U4" s="16">
        <f t="array" ref="U4">IFERROR(INDEX('Halo Reach Stats'!$1:$46,MATCH($B4,'Halo Reach Stats'!$A:$A,0),22),"")</f>
        <v>0</v>
      </c>
      <c r="V4" s="16">
        <f t="array" ref="V4">IFERROR(INDEX('Halo Reach Stats'!$1:$46,MATCH($B4,'Halo Reach Stats'!$A:$A,0),23),"")</f>
        <v>15</v>
      </c>
      <c r="W4" s="16">
        <f t="array" ref="W4">IFERROR(INDEX('Halo Reach Stats'!$1:$46,MATCH($B4,'Halo Reach Stats'!$A:$A,0),24),"")</f>
        <v>2</v>
      </c>
      <c r="X4" s="16">
        <f t="array" ref="X4">IFERROR(INDEX('Halo Reach Stats'!$1:$46,MATCH($B4,'Halo Reach Stats'!$A:$A,0),25),"")</f>
        <v>2</v>
      </c>
      <c r="Y4" s="16">
        <f t="array" ref="Y4">IFERROR(INDEX('Halo Reach Stats'!$1:$46,MATCH($B4,'Halo Reach Stats'!$A:$A,0),26),"")</f>
        <v>0</v>
      </c>
      <c r="Z4" s="16">
        <f t="array" ref="Z4">IFERROR(INDEX('Halo Reach Stats'!$1:$46,MATCH($B4,'Halo Reach Stats'!$A:$A,0),27),"")</f>
        <v>0</v>
      </c>
      <c r="AA4" s="16">
        <f t="array" ref="AA4">IFERROR(INDEX('Halo Reach Stats'!$1:$46,MATCH($B4,'Halo Reach Stats'!$A:$A,0),28),"")</f>
        <v>0</v>
      </c>
      <c r="AB4" s="16">
        <f t="array" ref="AB4">IFERROR(INDEX('Halo Reach Stats'!$1:$46,MATCH($B4,'Halo Reach Stats'!$A:$A,0),29),"")</f>
        <v>0</v>
      </c>
      <c r="AC4" s="16">
        <f t="array" ref="AC4">IFERROR(INDEX('Halo Reach Stats'!$1:$46,MATCH($B4,'Halo Reach Stats'!$A:$A,0),30),"")</f>
        <v>0</v>
      </c>
      <c r="AD4" s="16">
        <f t="array" ref="AD4">IFERROR(INDEX('Halo Reach Stats'!$1:$46,MATCH($B4,'Halo Reach Stats'!$A:$A,0),31),"")</f>
        <v>0</v>
      </c>
      <c r="AE4" s="16">
        <f t="array" ref="AE4">IFERROR(INDEX('Halo Reach Stats'!$1:$46,MATCH($B4,'Halo Reach Stats'!$A:$A,0),32),"")</f>
        <v>0</v>
      </c>
      <c r="AF4" s="16">
        <f t="array" ref="AF4">IFERROR(INDEX('Halo Reach Stats'!$1:$46,MATCH($B4,'Halo Reach Stats'!$A:$A,0),33),"")</f>
        <v>2</v>
      </c>
      <c r="AG4" s="16">
        <f t="array" ref="AG4">IFERROR(INDEX('Halo Reach Stats'!$1:$46,MATCH($B4,'Halo Reach Stats'!$A:$A,0),34),"")</f>
        <v>0</v>
      </c>
      <c r="AH4" s="16">
        <f t="array" ref="AH4">IFERROR(INDEX('Halo Reach Stats'!$1:$46,MATCH($B4,'Halo Reach Stats'!$A:$A,0),35),"")</f>
        <v>0</v>
      </c>
    </row>
    <row r="5">
      <c r="A5" s="315" t="str">
        <f>IF(((E2+E3+E4+E5)/4)&lt;=5.55,"F",IF(((E2+E3+E4+E5)/4)&lt;9.25,"E",IF(((E2+E3+E4+E5)/4)&lt;12.95,"D",IF(((E2+E3+E4+E5)/4)&lt;16.65,"C",IF(((E2+E3+E4+E5)/4)&lt;20.35,"B",IF(((E2+E3+E4+E5)/4)&lt;24.05,"A","S"))))))</f>
        <v>E</v>
      </c>
      <c r="B5" s="314" t="str">
        <f t="array" ref="B5">IFERROR(INDEX(TeamInfo!$C4:$C$45,MATCH($A$2,TeamInfo!A:A,0),0),"")</f>
        <v>Mavbrid</v>
      </c>
      <c r="C5" s="309" t="str">
        <f t="array" ref="C5">IFERROR(INDEX('Player Efficiency'!$1:$45,MATCH(B5,'Player Efficiency'!A:A,0),2),"")</f>
        <v/>
      </c>
      <c r="D5" s="310" t="str">
        <f t="array" ref="D5">IFERROR(INDEX(PlayerGrades!$1:$47,MATCH(B5,PlayerGrades!J:J,0),18),"")</f>
        <v>E</v>
      </c>
      <c r="E5" s="310">
        <f t="array" ref="E5">IFERROR(INDEX(PlayerGrades!$1:$47,MATCH(B5,PlayerGrades!J:J,0),19),"")</f>
        <v>6.2</v>
      </c>
      <c r="F5" s="16" t="str">
        <f t="array" ref="F5">IFERROR(INDEX(TeamInfo!$D4:$D$45,MATCH($A$2,TeamInfo!A:A,0),0),"")</f>
        <v>US EAST</v>
      </c>
      <c r="G5" s="16">
        <f t="array" ref="G5">IFERROR(INDEX('Halo Reach Stats'!$1:$46,MATCH($B5,'Halo Reach Stats'!$A:$A,0),8),"")</f>
        <v>0</v>
      </c>
      <c r="H5" s="16">
        <f t="array" ref="H5">IFERROR(INDEX('Halo Reach Stats'!$1:$46,MATCH($B5,'Halo Reach Stats'!$A:$A,0),9),"")</f>
        <v>81</v>
      </c>
      <c r="I5" s="16">
        <f t="array" ref="I5">IFERROR(INDEX('Halo Reach Stats'!$1:$46,MATCH($B5,'Halo Reach Stats'!$A:$A,0),10),"")</f>
        <v>112</v>
      </c>
      <c r="J5" s="16">
        <f t="array" ref="J5">IFERROR(INDEX('Halo Reach Stats'!$1:$46,MATCH($B5,'Halo Reach Stats'!$A:$A,0),11),"")</f>
        <v>-31</v>
      </c>
      <c r="K5" s="312">
        <f t="shared" si="1"/>
        <v>0.7232142857</v>
      </c>
      <c r="L5" s="16">
        <f t="array" ref="L5">IFERROR(INDEX('Halo Reach Stats'!$1:$46,MATCH($B5,'Halo Reach Stats'!$A:$A,0),12),"")</f>
        <v>5</v>
      </c>
      <c r="M5" s="16">
        <f t="array" ref="M5">IFERROR(INDEX('Halo Reach Stats'!$1:$46,MATCH($B5,'Halo Reach Stats'!$A:$A,0),13),"")</f>
        <v>4</v>
      </c>
      <c r="N5" s="16">
        <f t="array" ref="N5">IFERROR(INDEX('Halo Reach Stats'!$1:$46,MATCH($B5,'Halo Reach Stats'!$A:$A,0),14),"")</f>
        <v>2</v>
      </c>
      <c r="O5" s="16">
        <f t="array" ref="O5">IFERROR(INDEX('Halo Reach Stats'!$1:$46,MATCH($B5,'Halo Reach Stats'!$A:$A,0),16),"")</f>
        <v>1794</v>
      </c>
      <c r="P5" s="16">
        <f t="array" ref="P5">IFERROR(INDEX('Halo Reach Stats'!$1:$46,MATCH($B5,'Halo Reach Stats'!$A:$A,0),17),"")</f>
        <v>11</v>
      </c>
      <c r="Q5" s="16">
        <f t="array" ref="Q5">IFERROR(INDEX('Halo Reach Stats'!$1:$46,MATCH($B5,'Halo Reach Stats'!$A:$A,0),18),"")</f>
        <v>0</v>
      </c>
      <c r="R5" s="16">
        <f t="array" ref="R5">IFERROR(INDEX('Halo Reach Stats'!$1:$46,MATCH($B5,'Halo Reach Stats'!$A:$A,0),19),"")</f>
        <v>0</v>
      </c>
      <c r="S5" s="16">
        <f t="array" ref="S5">IFERROR(INDEX('Halo Reach Stats'!$1:$46,MATCH($B5,'Halo Reach Stats'!$A:$A,0),20),"")</f>
        <v>0</v>
      </c>
      <c r="T5" s="16">
        <f t="array" ref="T5">IFERROR(INDEX('Halo Reach Stats'!$1:$46,MATCH($B5,'Halo Reach Stats'!$A:$A,0),21),"")</f>
        <v>0</v>
      </c>
      <c r="U5" s="16">
        <f t="array" ref="U5">IFERROR(INDEX('Halo Reach Stats'!$1:$46,MATCH($B5,'Halo Reach Stats'!$A:$A,0),22),"")</f>
        <v>0</v>
      </c>
      <c r="V5" s="16">
        <f t="array" ref="V5">IFERROR(INDEX('Halo Reach Stats'!$1:$46,MATCH($B5,'Halo Reach Stats'!$A:$A,0),23),"")</f>
        <v>11</v>
      </c>
      <c r="W5" s="16">
        <f t="array" ref="W5">IFERROR(INDEX('Halo Reach Stats'!$1:$46,MATCH($B5,'Halo Reach Stats'!$A:$A,0),24),"")</f>
        <v>0</v>
      </c>
      <c r="X5" s="16">
        <f t="array" ref="X5">IFERROR(INDEX('Halo Reach Stats'!$1:$46,MATCH($B5,'Halo Reach Stats'!$A:$A,0),25),"")</f>
        <v>0</v>
      </c>
      <c r="Y5" s="16">
        <f t="array" ref="Y5">IFERROR(INDEX('Halo Reach Stats'!$1:$46,MATCH($B5,'Halo Reach Stats'!$A:$A,0),26),"")</f>
        <v>0</v>
      </c>
      <c r="Z5" s="16">
        <f t="array" ref="Z5">IFERROR(INDEX('Halo Reach Stats'!$1:$46,MATCH($B5,'Halo Reach Stats'!$A:$A,0),27),"")</f>
        <v>0</v>
      </c>
      <c r="AA5" s="16">
        <f t="array" ref="AA5">IFERROR(INDEX('Halo Reach Stats'!$1:$46,MATCH($B5,'Halo Reach Stats'!$A:$A,0),28),"")</f>
        <v>0</v>
      </c>
      <c r="AB5" s="16">
        <f t="array" ref="AB5">IFERROR(INDEX('Halo Reach Stats'!$1:$46,MATCH($B5,'Halo Reach Stats'!$A:$A,0),29),"")</f>
        <v>0</v>
      </c>
      <c r="AC5" s="16">
        <f t="array" ref="AC5">IFERROR(INDEX('Halo Reach Stats'!$1:$46,MATCH($B5,'Halo Reach Stats'!$A:$A,0),30),"")</f>
        <v>0</v>
      </c>
      <c r="AD5" s="16">
        <f t="array" ref="AD5">IFERROR(INDEX('Halo Reach Stats'!$1:$46,MATCH($B5,'Halo Reach Stats'!$A:$A,0),31),"")</f>
        <v>0</v>
      </c>
      <c r="AE5" s="16">
        <f t="array" ref="AE5">IFERROR(INDEX('Halo Reach Stats'!$1:$46,MATCH($B5,'Halo Reach Stats'!$A:$A,0),32),"")</f>
        <v>0</v>
      </c>
      <c r="AF5" s="16">
        <f t="array" ref="AF5">IFERROR(INDEX('Halo Reach Stats'!$1:$46,MATCH($B5,'Halo Reach Stats'!$A:$A,0),33),"")</f>
        <v>5</v>
      </c>
      <c r="AG5" s="16">
        <f t="array" ref="AG5">IFERROR(INDEX('Halo Reach Stats'!$1:$46,MATCH($B5,'Halo Reach Stats'!$A:$A,0),34),"")</f>
        <v>0</v>
      </c>
      <c r="AH5" s="16">
        <f t="array" ref="AH5">IFERROR(INDEX('Halo Reach Stats'!$1:$46,MATCH($B5,'Halo Reach Stats'!$A:$A,0),35),"")</f>
        <v>0</v>
      </c>
    </row>
    <row r="6">
      <c r="A6" s="316"/>
      <c r="B6" s="317" t="s">
        <v>353</v>
      </c>
      <c r="C6" s="318">
        <f>SUM(C2:C5)/4</f>
        <v>0</v>
      </c>
      <c r="D6" s="319"/>
      <c r="E6" s="320">
        <f>SUM(E2:E5)/4</f>
        <v>9.1</v>
      </c>
      <c r="F6" s="321" t="s">
        <v>354</v>
      </c>
      <c r="G6" s="322">
        <f t="shared" ref="G6:J6" si="2">SUM(G2:G5)</f>
        <v>5</v>
      </c>
      <c r="H6" s="322">
        <f t="shared" si="2"/>
        <v>352</v>
      </c>
      <c r="I6" s="322">
        <f t="shared" si="2"/>
        <v>459</v>
      </c>
      <c r="J6" s="322">
        <f t="shared" si="2"/>
        <v>-107</v>
      </c>
      <c r="K6" s="323">
        <f>SUM(K2:K5)/4</f>
        <v>0.7679245458</v>
      </c>
      <c r="L6" s="322">
        <f t="shared" ref="L6:O6" si="3">SUM(L2:L5)</f>
        <v>22</v>
      </c>
      <c r="M6" s="322">
        <f t="shared" si="3"/>
        <v>17</v>
      </c>
      <c r="N6" s="322">
        <f t="shared" si="3"/>
        <v>6</v>
      </c>
      <c r="O6" s="322">
        <f t="shared" si="3"/>
        <v>7176</v>
      </c>
      <c r="P6" s="322">
        <f>SUM(P2:P5)/4</f>
        <v>12</v>
      </c>
      <c r="Q6" s="322">
        <f t="shared" ref="Q6:AH6" si="4">SUM(Q2:Q5)</f>
        <v>1</v>
      </c>
      <c r="R6" s="322">
        <f t="shared" si="4"/>
        <v>0</v>
      </c>
      <c r="S6" s="322">
        <f t="shared" si="4"/>
        <v>0</v>
      </c>
      <c r="T6" s="322">
        <f t="shared" si="4"/>
        <v>0</v>
      </c>
      <c r="U6" s="322">
        <f t="shared" si="4"/>
        <v>0</v>
      </c>
      <c r="V6" s="322">
        <f t="shared" si="4"/>
        <v>55</v>
      </c>
      <c r="W6" s="322">
        <f t="shared" si="4"/>
        <v>6</v>
      </c>
      <c r="X6" s="322">
        <f t="shared" si="4"/>
        <v>2</v>
      </c>
      <c r="Y6" s="322">
        <f t="shared" si="4"/>
        <v>0</v>
      </c>
      <c r="Z6" s="322">
        <f t="shared" si="4"/>
        <v>0</v>
      </c>
      <c r="AA6" s="322">
        <f t="shared" si="4"/>
        <v>0</v>
      </c>
      <c r="AB6" s="322">
        <f t="shared" si="4"/>
        <v>0</v>
      </c>
      <c r="AC6" s="322">
        <f t="shared" si="4"/>
        <v>0</v>
      </c>
      <c r="AD6" s="322">
        <f t="shared" si="4"/>
        <v>0</v>
      </c>
      <c r="AE6" s="322">
        <f t="shared" si="4"/>
        <v>0</v>
      </c>
      <c r="AF6" s="322">
        <f t="shared" si="4"/>
        <v>13</v>
      </c>
      <c r="AG6" s="322">
        <f t="shared" si="4"/>
        <v>0</v>
      </c>
      <c r="AH6" s="322">
        <f t="shared" si="4"/>
        <v>0</v>
      </c>
    </row>
    <row r="7">
      <c r="A7" s="324" t="s">
        <v>355</v>
      </c>
      <c r="B7" s="308" t="str">
        <f t="array" ref="B7">IFERROR(INDEX(TeamInfo!$C1:$C$45,MATCH($A$7,TeamInfo!A:A,0),0),"")</f>
        <v>Dat Twinkie</v>
      </c>
      <c r="C7" s="309" t="str">
        <f t="array" ref="C7">IFERROR(INDEX('Player Efficiency'!$1:$45,MATCH(B7,'Player Efficiency'!A:A,0),2),"")</f>
        <v/>
      </c>
      <c r="D7" s="310" t="str">
        <f t="array" ref="D7">IFERROR(INDEX(PlayerGrades!$1:$47,MATCH(B7,PlayerGrades!J:J,0),18),"")</f>
        <v>C</v>
      </c>
      <c r="E7" s="310">
        <f t="array" ref="E7">IFERROR(INDEX(PlayerGrades!$1:$47,MATCH(B7,PlayerGrades!J:J,0),19),"")</f>
        <v>10.4</v>
      </c>
      <c r="F7" s="311" t="str">
        <f t="array" ref="F7">IFERROR(INDEX(TeamInfo!$D1:$D$45,MATCH($A$7,TeamInfo!A:A,0),0),"")</f>
        <v>US SOUTH CENTRAL</v>
      </c>
      <c r="G7" s="16">
        <f t="array" ref="G7">IFERROR(INDEX('Halo Reach Stats'!$1:$46,MATCH($B7,'Halo Reach Stats'!$A:$A,0),8),"")</f>
        <v>0</v>
      </c>
      <c r="H7" s="16">
        <f t="array" ref="H7">IFERROR(INDEX('Halo Reach Stats'!$1:$46,MATCH($B7,'Halo Reach Stats'!$A:$A,0),9),"")</f>
        <v>125</v>
      </c>
      <c r="I7" s="16">
        <f t="array" ref="I7">IFERROR(INDEX('Halo Reach Stats'!$1:$46,MATCH($B7,'Halo Reach Stats'!$A:$A,0),10),"")</f>
        <v>152</v>
      </c>
      <c r="J7" s="16">
        <f t="array" ref="J7">IFERROR(INDEX('Halo Reach Stats'!$1:$46,MATCH($B7,'Halo Reach Stats'!$A:$A,0),11),"")</f>
        <v>-27</v>
      </c>
      <c r="K7" s="312">
        <f t="shared" ref="K7:K10" si="5">H7/I7</f>
        <v>0.8223684211</v>
      </c>
      <c r="L7" s="16">
        <f t="array" ref="L7">IFERROR(INDEX('Halo Reach Stats'!$1:$46,MATCH($B7,'Halo Reach Stats'!$A:$A,0),12),"")</f>
        <v>4</v>
      </c>
      <c r="M7" s="16">
        <f t="array" ref="M7">IFERROR(INDEX('Halo Reach Stats'!$1:$46,MATCH($B7,'Halo Reach Stats'!$A:$A,0),13),"")</f>
        <v>6</v>
      </c>
      <c r="N7" s="16">
        <f t="array" ref="N7">IFERROR(INDEX('Halo Reach Stats'!$1:$46,MATCH($B7,'Halo Reach Stats'!$A:$A,0),14),"")</f>
        <v>3</v>
      </c>
      <c r="O7" s="16">
        <f t="array" ref="O7">IFERROR(INDEX('Halo Reach Stats'!$1:$46,MATCH($B7,'Halo Reach Stats'!$A:$A,0),16),"")</f>
        <v>2275</v>
      </c>
      <c r="P7" s="16">
        <f t="array" ref="P7">IFERROR(INDEX('Halo Reach Stats'!$1:$46,MATCH($B7,'Halo Reach Stats'!$A:$A,0),17),"")</f>
        <v>11</v>
      </c>
      <c r="Q7" s="16">
        <f t="array" ref="Q7">IFERROR(INDEX('Halo Reach Stats'!$1:$46,MATCH($B7,'Halo Reach Stats'!$A:$A,0),18),"")</f>
        <v>5</v>
      </c>
      <c r="R7" s="16">
        <f t="array" ref="R7">IFERROR(INDEX('Halo Reach Stats'!$1:$46,MATCH($B7,'Halo Reach Stats'!$A:$A,0),19),"")</f>
        <v>0</v>
      </c>
      <c r="S7" s="16">
        <f t="array" ref="S7">IFERROR(INDEX('Halo Reach Stats'!$1:$46,MATCH($B7,'Halo Reach Stats'!$A:$A,0),20),"")</f>
        <v>0</v>
      </c>
      <c r="T7" s="16">
        <f t="array" ref="T7">IFERROR(INDEX('Halo Reach Stats'!$1:$46,MATCH($B7,'Halo Reach Stats'!$A:$A,0),21),"")</f>
        <v>0</v>
      </c>
      <c r="U7" s="16">
        <f t="array" ref="U7">IFERROR(INDEX('Halo Reach Stats'!$1:$46,MATCH($B7,'Halo Reach Stats'!$A:$A,0),22),"")</f>
        <v>0</v>
      </c>
      <c r="V7" s="16">
        <f t="array" ref="V7">IFERROR(INDEX('Halo Reach Stats'!$1:$46,MATCH($B7,'Halo Reach Stats'!$A:$A,0),23),"")</f>
        <v>17</v>
      </c>
      <c r="W7" s="16">
        <f t="array" ref="W7">IFERROR(INDEX('Halo Reach Stats'!$1:$46,MATCH($B7,'Halo Reach Stats'!$A:$A,0),24),"")</f>
        <v>4</v>
      </c>
      <c r="X7" s="16">
        <f t="array" ref="X7">IFERROR(INDEX('Halo Reach Stats'!$1:$46,MATCH($B7,'Halo Reach Stats'!$A:$A,0),25),"")</f>
        <v>0</v>
      </c>
      <c r="Y7" s="16">
        <f t="array" ref="Y7">IFERROR(INDEX('Halo Reach Stats'!$1:$46,MATCH($B7,'Halo Reach Stats'!$A:$A,0),26),"")</f>
        <v>0</v>
      </c>
      <c r="Z7" s="16">
        <f t="array" ref="Z7">IFERROR(INDEX('Halo Reach Stats'!$1:$46,MATCH($B7,'Halo Reach Stats'!$A:$A,0),27),"")</f>
        <v>0</v>
      </c>
      <c r="AA7" s="16">
        <f t="array" ref="AA7">IFERROR(INDEX('Halo Reach Stats'!$1:$46,MATCH($B7,'Halo Reach Stats'!$A:$A,0),28),"")</f>
        <v>0</v>
      </c>
      <c r="AB7" s="16">
        <f t="array" ref="AB7">IFERROR(INDEX('Halo Reach Stats'!$1:$46,MATCH($B7,'Halo Reach Stats'!$A:$A,0),29),"")</f>
        <v>0</v>
      </c>
      <c r="AC7" s="16">
        <f t="array" ref="AC7">IFERROR(INDEX('Halo Reach Stats'!$1:$46,MATCH($B7,'Halo Reach Stats'!$A:$A,0),30),"")</f>
        <v>0</v>
      </c>
      <c r="AD7" s="16">
        <f t="array" ref="AD7">IFERROR(INDEX('Halo Reach Stats'!$1:$46,MATCH($B7,'Halo Reach Stats'!$A:$A,0),31),"")</f>
        <v>0</v>
      </c>
      <c r="AE7" s="16">
        <f t="array" ref="AE7">IFERROR(INDEX('Halo Reach Stats'!$1:$46,MATCH($B7,'Halo Reach Stats'!$A:$A,0),32),"")</f>
        <v>0</v>
      </c>
      <c r="AF7" s="16">
        <f t="array" ref="AF7">IFERROR(INDEX('Halo Reach Stats'!$1:$46,MATCH($B7,'Halo Reach Stats'!$A:$A,0),33),"")</f>
        <v>1</v>
      </c>
      <c r="AG7" s="16">
        <f t="array" ref="AG7">IFERROR(INDEX('Halo Reach Stats'!$1:$46,MATCH($B7,'Halo Reach Stats'!$A:$A,0),34),"")</f>
        <v>0</v>
      </c>
      <c r="AH7" s="16">
        <f t="array" ref="AH7">IFERROR(INDEX('Halo Reach Stats'!$1:$46,MATCH($B7,'Halo Reach Stats'!$A:$A,0),35),"")</f>
        <v>3</v>
      </c>
    </row>
    <row r="8">
      <c r="A8" s="313" t="str">
        <f t="array" ref="A8">IFERROR(INDEX(TeamInfo!$1:$45,MATCH(A7,TeamInfo!A:A,0),2),"")</f>
        <v>[REDACTED]</v>
      </c>
      <c r="B8" s="314" t="str">
        <f t="array" ref="B8">IFERROR(INDEX(TeamInfo!$C2:$C$45,MATCH($A$7,TeamInfo!A:A,0),0),"")</f>
        <v>SOULBENDERs</v>
      </c>
      <c r="C8" s="309" t="str">
        <f t="array" ref="C8">IFERROR(INDEX('Player Efficiency'!$1:$45,MATCH(B8,'Player Efficiency'!A:A,0),2),"")</f>
        <v/>
      </c>
      <c r="D8" s="310" t="str">
        <f t="array" ref="D8">IFERROR(INDEX(PlayerGrades!$1:$47,MATCH(B8,PlayerGrades!J:J,0),18),"")</f>
        <v>C</v>
      </c>
      <c r="E8" s="310">
        <f t="array" ref="E8">IFERROR(INDEX(PlayerGrades!$1:$47,MATCH(B8,PlayerGrades!J:J,0),19),"")</f>
        <v>10.2</v>
      </c>
      <c r="F8" s="16" t="str">
        <f t="array" ref="F8">IFERROR(INDEX(TeamInfo!$D2:$D$45,MATCH($A$7,TeamInfo!A:A,0),0),"")</f>
        <v>US NORTH CENTRAL</v>
      </c>
      <c r="G8" s="16">
        <f t="array" ref="G8">IFERROR(INDEX('Halo Reach Stats'!$1:$46,MATCH($B8,'Halo Reach Stats'!$A:$A,0),8),"")</f>
        <v>0</v>
      </c>
      <c r="H8" s="16">
        <f t="array" ref="H8">IFERROR(INDEX('Halo Reach Stats'!$1:$46,MATCH($B8,'Halo Reach Stats'!$A:$A,0),9),"")</f>
        <v>93</v>
      </c>
      <c r="I8" s="16">
        <f t="array" ref="I8">IFERROR(INDEX('Halo Reach Stats'!$1:$46,MATCH($B8,'Halo Reach Stats'!$A:$A,0),10),"")</f>
        <v>98</v>
      </c>
      <c r="J8" s="16">
        <f t="array" ref="J8">IFERROR(INDEX('Halo Reach Stats'!$1:$46,MATCH($B8,'Halo Reach Stats'!$A:$A,0),11),"")</f>
        <v>-5</v>
      </c>
      <c r="K8" s="312">
        <f t="shared" si="5"/>
        <v>0.9489795918</v>
      </c>
      <c r="L8" s="16">
        <f t="array" ref="L8">IFERROR(INDEX('Halo Reach Stats'!$1:$46,MATCH($B8,'Halo Reach Stats'!$A:$A,0),12),"")</f>
        <v>5</v>
      </c>
      <c r="M8" s="16">
        <f t="array" ref="M8">IFERROR(INDEX('Halo Reach Stats'!$1:$46,MATCH($B8,'Halo Reach Stats'!$A:$A,0),13),"")</f>
        <v>4</v>
      </c>
      <c r="N8" s="16">
        <f t="array" ref="N8">IFERROR(INDEX('Halo Reach Stats'!$1:$46,MATCH($B8,'Halo Reach Stats'!$A:$A,0),14),"")</f>
        <v>2</v>
      </c>
      <c r="O8" s="16">
        <f t="array" ref="O8">IFERROR(INDEX('Halo Reach Stats'!$1:$46,MATCH($B8,'Halo Reach Stats'!$A:$A,0),16),"")</f>
        <v>1416</v>
      </c>
      <c r="P8" s="16">
        <f t="array" ref="P8">IFERROR(INDEX('Halo Reach Stats'!$1:$46,MATCH($B8,'Halo Reach Stats'!$A:$A,0),17),"")</f>
        <v>10</v>
      </c>
      <c r="Q8" s="16">
        <f t="array" ref="Q8">IFERROR(INDEX('Halo Reach Stats'!$1:$46,MATCH($B8,'Halo Reach Stats'!$A:$A,0),18),"")</f>
        <v>0</v>
      </c>
      <c r="R8" s="16">
        <f t="array" ref="R8">IFERROR(INDEX('Halo Reach Stats'!$1:$46,MATCH($B8,'Halo Reach Stats'!$A:$A,0),19),"")</f>
        <v>0</v>
      </c>
      <c r="S8" s="16">
        <f t="array" ref="S8">IFERROR(INDEX('Halo Reach Stats'!$1:$46,MATCH($B8,'Halo Reach Stats'!$A:$A,0),20),"")</f>
        <v>0</v>
      </c>
      <c r="T8" s="16">
        <f t="array" ref="T8">IFERROR(INDEX('Halo Reach Stats'!$1:$46,MATCH($B8,'Halo Reach Stats'!$A:$A,0),21),"")</f>
        <v>0</v>
      </c>
      <c r="U8" s="16">
        <f t="array" ref="U8">IFERROR(INDEX('Halo Reach Stats'!$1:$46,MATCH($B8,'Halo Reach Stats'!$A:$A,0),22),"")</f>
        <v>0</v>
      </c>
      <c r="V8" s="16">
        <f t="array" ref="V8">IFERROR(INDEX('Halo Reach Stats'!$1:$46,MATCH($B8,'Halo Reach Stats'!$A:$A,0),23),"")</f>
        <v>14</v>
      </c>
      <c r="W8" s="16">
        <f t="array" ref="W8">IFERROR(INDEX('Halo Reach Stats'!$1:$46,MATCH($B8,'Halo Reach Stats'!$A:$A,0),24),"")</f>
        <v>2</v>
      </c>
      <c r="X8" s="16">
        <f t="array" ref="X8">IFERROR(INDEX('Halo Reach Stats'!$1:$46,MATCH($B8,'Halo Reach Stats'!$A:$A,0),25),"")</f>
        <v>0</v>
      </c>
      <c r="Y8" s="16">
        <f t="array" ref="Y8">IFERROR(INDEX('Halo Reach Stats'!$1:$46,MATCH($B8,'Halo Reach Stats'!$A:$A,0),26),"")</f>
        <v>0</v>
      </c>
      <c r="Z8" s="16">
        <f t="array" ref="Z8">IFERROR(INDEX('Halo Reach Stats'!$1:$46,MATCH($B8,'Halo Reach Stats'!$A:$A,0),27),"")</f>
        <v>0</v>
      </c>
      <c r="AA8" s="16">
        <f t="array" ref="AA8">IFERROR(INDEX('Halo Reach Stats'!$1:$46,MATCH($B8,'Halo Reach Stats'!$A:$A,0),28),"")</f>
        <v>0</v>
      </c>
      <c r="AB8" s="16">
        <f t="array" ref="AB8">IFERROR(INDEX('Halo Reach Stats'!$1:$46,MATCH($B8,'Halo Reach Stats'!$A:$A,0),29),"")</f>
        <v>0</v>
      </c>
      <c r="AC8" s="16">
        <f t="array" ref="AC8">IFERROR(INDEX('Halo Reach Stats'!$1:$46,MATCH($B8,'Halo Reach Stats'!$A:$A,0),30),"")</f>
        <v>0</v>
      </c>
      <c r="AD8" s="16">
        <f t="array" ref="AD8">IFERROR(INDEX('Halo Reach Stats'!$1:$46,MATCH($B8,'Halo Reach Stats'!$A:$A,0),31),"")</f>
        <v>0</v>
      </c>
      <c r="AE8" s="16">
        <f t="array" ref="AE8">IFERROR(INDEX('Halo Reach Stats'!$1:$46,MATCH($B8,'Halo Reach Stats'!$A:$A,0),32),"")</f>
        <v>0</v>
      </c>
      <c r="AF8" s="16">
        <f t="array" ref="AF8">IFERROR(INDEX('Halo Reach Stats'!$1:$46,MATCH($B8,'Halo Reach Stats'!$A:$A,0),33),"")</f>
        <v>2</v>
      </c>
      <c r="AG8" s="16">
        <f t="array" ref="AG8">IFERROR(INDEX('Halo Reach Stats'!$1:$46,MATCH($B8,'Halo Reach Stats'!$A:$A,0),34),"")</f>
        <v>0</v>
      </c>
      <c r="AH8" s="16">
        <f t="array" ref="AH8">IFERROR(INDEX('Halo Reach Stats'!$1:$46,MATCH($B8,'Halo Reach Stats'!$A:$A,0),35),"")</f>
        <v>0</v>
      </c>
    </row>
    <row r="9">
      <c r="A9" s="12" t="str">
        <f t="array" ref="A9">IFERROR(INDEX(TeamInfo!$1:$45,MATCH(A7,TeamInfo!A:A,0),5),"")</f>
        <v/>
      </c>
      <c r="B9" s="314" t="str">
        <f t="array" ref="B9">IFERROR(INDEX(TeamInfo!$C3:$C$45,MATCH($A$7,TeamInfo!A:A,0),0),"")</f>
        <v>HumanKite187</v>
      </c>
      <c r="C9" s="309" t="str">
        <f t="array" ref="C9">IFERROR(INDEX('Player Efficiency'!$1:$45,MATCH(B9,'Player Efficiency'!A:A,0),2),"")</f>
        <v/>
      </c>
      <c r="D9" s="310" t="str">
        <f t="array" ref="D9">IFERROR(INDEX(PlayerGrades!$1:$47,MATCH(B9,PlayerGrades!J:J,0),18),"")</f>
        <v>B</v>
      </c>
      <c r="E9" s="310">
        <f t="array" ref="E9">IFERROR(INDEX(PlayerGrades!$1:$47,MATCH(B9,PlayerGrades!J:J,0),19),"")</f>
        <v>14.9</v>
      </c>
      <c r="F9" s="16" t="str">
        <f t="array" ref="F9">IFERROR(INDEX(TeamInfo!$D3:$D$45,MATCH($A$7,TeamInfo!A:A,0),0),"")</f>
        <v>US WEST</v>
      </c>
      <c r="G9" s="16">
        <f t="array" ref="G9">IFERROR(INDEX('Halo Reach Stats'!$1:$46,MATCH($B9,'Halo Reach Stats'!$A:$A,0),8),"")</f>
        <v>1</v>
      </c>
      <c r="H9" s="16">
        <f t="array" ref="H9">IFERROR(INDEX('Halo Reach Stats'!$1:$46,MATCH($B9,'Halo Reach Stats'!$A:$A,0),9),"")</f>
        <v>67</v>
      </c>
      <c r="I9" s="16">
        <f t="array" ref="I9">IFERROR(INDEX('Halo Reach Stats'!$1:$46,MATCH($B9,'Halo Reach Stats'!$A:$A,0),10),"")</f>
        <v>68</v>
      </c>
      <c r="J9" s="16">
        <f t="array" ref="J9">IFERROR(INDEX('Halo Reach Stats'!$1:$46,MATCH($B9,'Halo Reach Stats'!$A:$A,0),11),"")</f>
        <v>-1</v>
      </c>
      <c r="K9" s="312">
        <f t="shared" si="5"/>
        <v>0.9852941176</v>
      </c>
      <c r="L9" s="16">
        <f t="array" ref="L9">IFERROR(INDEX('Halo Reach Stats'!$1:$46,MATCH($B9,'Halo Reach Stats'!$A:$A,0),12),"")</f>
        <v>6</v>
      </c>
      <c r="M9" s="16">
        <f t="array" ref="M9">IFERROR(INDEX('Halo Reach Stats'!$1:$46,MATCH($B9,'Halo Reach Stats'!$A:$A,0),13),"")</f>
        <v>7</v>
      </c>
      <c r="N9" s="16">
        <f t="array" ref="N9">IFERROR(INDEX('Halo Reach Stats'!$1:$46,MATCH($B9,'Halo Reach Stats'!$A:$A,0),14),"")</f>
        <v>0</v>
      </c>
      <c r="O9" s="16">
        <f t="array" ref="O9">IFERROR(INDEX('Halo Reach Stats'!$1:$46,MATCH($B9,'Halo Reach Stats'!$A:$A,0),16),"")</f>
        <v>1416</v>
      </c>
      <c r="P9" s="16">
        <f t="array" ref="P9">IFERROR(INDEX('Halo Reach Stats'!$1:$46,MATCH($B9,'Halo Reach Stats'!$A:$A,0),17),"")</f>
        <v>16</v>
      </c>
      <c r="Q9" s="16">
        <f t="array" ref="Q9">IFERROR(INDEX('Halo Reach Stats'!$1:$46,MATCH($B9,'Halo Reach Stats'!$A:$A,0),18),"")</f>
        <v>2</v>
      </c>
      <c r="R9" s="16">
        <f t="array" ref="R9">IFERROR(INDEX('Halo Reach Stats'!$1:$46,MATCH($B9,'Halo Reach Stats'!$A:$A,0),19),"")</f>
        <v>0</v>
      </c>
      <c r="S9" s="16">
        <f t="array" ref="S9">IFERROR(INDEX('Halo Reach Stats'!$1:$46,MATCH($B9,'Halo Reach Stats'!$A:$A,0),20),"")</f>
        <v>0</v>
      </c>
      <c r="T9" s="16">
        <f t="array" ref="T9">IFERROR(INDEX('Halo Reach Stats'!$1:$46,MATCH($B9,'Halo Reach Stats'!$A:$A,0),21),"")</f>
        <v>0</v>
      </c>
      <c r="U9" s="16">
        <f t="array" ref="U9">IFERROR(INDEX('Halo Reach Stats'!$1:$46,MATCH($B9,'Halo Reach Stats'!$A:$A,0),22),"")</f>
        <v>0</v>
      </c>
      <c r="V9" s="16">
        <f t="array" ref="V9">IFERROR(INDEX('Halo Reach Stats'!$1:$46,MATCH($B9,'Halo Reach Stats'!$A:$A,0),23),"")</f>
        <v>11</v>
      </c>
      <c r="W9" s="16">
        <f t="array" ref="W9">IFERROR(INDEX('Halo Reach Stats'!$1:$46,MATCH($B9,'Halo Reach Stats'!$A:$A,0),24),"")</f>
        <v>2</v>
      </c>
      <c r="X9" s="16">
        <f t="array" ref="X9">IFERROR(INDEX('Halo Reach Stats'!$1:$46,MATCH($B9,'Halo Reach Stats'!$A:$A,0),25),"")</f>
        <v>0</v>
      </c>
      <c r="Y9" s="16">
        <f t="array" ref="Y9">IFERROR(INDEX('Halo Reach Stats'!$1:$46,MATCH($B9,'Halo Reach Stats'!$A:$A,0),26),"")</f>
        <v>0</v>
      </c>
      <c r="Z9" s="16">
        <f t="array" ref="Z9">IFERROR(INDEX('Halo Reach Stats'!$1:$46,MATCH($B9,'Halo Reach Stats'!$A:$A,0),27),"")</f>
        <v>0</v>
      </c>
      <c r="AA9" s="16">
        <f t="array" ref="AA9">IFERROR(INDEX('Halo Reach Stats'!$1:$46,MATCH($B9,'Halo Reach Stats'!$A:$A,0),28),"")</f>
        <v>0</v>
      </c>
      <c r="AB9" s="16">
        <f t="array" ref="AB9">IFERROR(INDEX('Halo Reach Stats'!$1:$46,MATCH($B9,'Halo Reach Stats'!$A:$A,0),29),"")</f>
        <v>0</v>
      </c>
      <c r="AC9" s="16">
        <f t="array" ref="AC9">IFERROR(INDEX('Halo Reach Stats'!$1:$46,MATCH($B9,'Halo Reach Stats'!$A:$A,0),30),"")</f>
        <v>0</v>
      </c>
      <c r="AD9" s="16">
        <f t="array" ref="AD9">IFERROR(INDEX('Halo Reach Stats'!$1:$46,MATCH($B9,'Halo Reach Stats'!$A:$A,0),31),"")</f>
        <v>0</v>
      </c>
      <c r="AE9" s="16">
        <f t="array" ref="AE9">IFERROR(INDEX('Halo Reach Stats'!$1:$46,MATCH($B9,'Halo Reach Stats'!$A:$A,0),32),"")</f>
        <v>0</v>
      </c>
      <c r="AF9" s="16">
        <f t="array" ref="AF9">IFERROR(INDEX('Halo Reach Stats'!$1:$46,MATCH($B9,'Halo Reach Stats'!$A:$A,0),33),"")</f>
        <v>4</v>
      </c>
      <c r="AG9" s="16">
        <f t="array" ref="AG9">IFERROR(INDEX('Halo Reach Stats'!$1:$46,MATCH($B9,'Halo Reach Stats'!$A:$A,0),34),"")</f>
        <v>0</v>
      </c>
      <c r="AH9" s="16">
        <f t="array" ref="AH9">IFERROR(INDEX('Halo Reach Stats'!$1:$46,MATCH($B9,'Halo Reach Stats'!$A:$A,0),35),"")</f>
        <v>1</v>
      </c>
    </row>
    <row r="10">
      <c r="A10" s="315" t="str">
        <f>IF(((E7+E8+E9+E10)/4)&lt;=5.55,"F",IF(((E7+E8+E9+E10)/4)&lt;9.25,"E",IF(((E7+E8+E9+E10)/4)&lt;12.95,"D",IF(((E7+E8+E9+E10)/4)&lt;16.65,"C",IF(((E7+E8+E9+E10)/4)&lt;20.35,"B",IF(((E7+E8+E9+E10)/4)&lt;24.05,"A","S"))))))</f>
        <v>D</v>
      </c>
      <c r="B10" s="314" t="str">
        <f t="array" ref="B10">IFERROR(INDEX(TeamInfo!$C4:$C$45,MATCH($A$7,TeamInfo!A:A,0),0),"")</f>
        <v>noketone</v>
      </c>
      <c r="C10" s="309" t="str">
        <f t="array" ref="C10">IFERROR(INDEX('Player Efficiency'!$1:$45,MATCH(B10,'Player Efficiency'!A:A,0),2),"")</f>
        <v/>
      </c>
      <c r="D10" s="310" t="str">
        <f t="array" ref="D10">IFERROR(INDEX(PlayerGrades!$1:$47,MATCH(B10,PlayerGrades!J:J,0),18),"")</f>
        <v>E</v>
      </c>
      <c r="E10" s="310">
        <f t="array" ref="E10">IFERROR(INDEX(PlayerGrades!$1:$47,MATCH(B10,PlayerGrades!J:J,0),19),"")</f>
        <v>4.9</v>
      </c>
      <c r="F10" s="16" t="str">
        <f t="array" ref="F10">IFERROR(INDEX(TeamInfo!$D4:$D$45,MATCH($A$7,TeamInfo!A:A,0),0),"")</f>
        <v>US EAST</v>
      </c>
      <c r="G10" s="16">
        <f t="array" ref="G10">IFERROR(INDEX('Halo Reach Stats'!$1:$46,MATCH($B10,'Halo Reach Stats'!$A:$A,0),8),"")</f>
        <v>0</v>
      </c>
      <c r="H10" s="16">
        <f t="array" ref="H10">IFERROR(INDEX('Halo Reach Stats'!$1:$46,MATCH($B10,'Halo Reach Stats'!$A:$A,0),9),"")</f>
        <v>53</v>
      </c>
      <c r="I10" s="16">
        <f t="array" ref="I10">IFERROR(INDEX('Halo Reach Stats'!$1:$46,MATCH($B10,'Halo Reach Stats'!$A:$A,0),10),"")</f>
        <v>84</v>
      </c>
      <c r="J10" s="16">
        <f t="array" ref="J10">IFERROR(INDEX('Halo Reach Stats'!$1:$46,MATCH($B10,'Halo Reach Stats'!$A:$A,0),11),"")</f>
        <v>-31</v>
      </c>
      <c r="K10" s="312">
        <f t="shared" si="5"/>
        <v>0.630952381</v>
      </c>
      <c r="L10" s="16">
        <f t="array" ref="L10">IFERROR(INDEX('Halo Reach Stats'!$1:$46,MATCH($B10,'Halo Reach Stats'!$A:$A,0),12),"")</f>
        <v>6</v>
      </c>
      <c r="M10" s="16">
        <f t="array" ref="M10">IFERROR(INDEX('Halo Reach Stats'!$1:$46,MATCH($B10,'Halo Reach Stats'!$A:$A,0),13),"")</f>
        <v>4</v>
      </c>
      <c r="N10" s="16">
        <f t="array" ref="N10">IFERROR(INDEX('Halo Reach Stats'!$1:$46,MATCH($B10,'Halo Reach Stats'!$A:$A,0),14),"")</f>
        <v>1</v>
      </c>
      <c r="O10" s="16">
        <f t="array" ref="O10">IFERROR(INDEX('Halo Reach Stats'!$1:$46,MATCH($B10,'Halo Reach Stats'!$A:$A,0),16),"")</f>
        <v>1416</v>
      </c>
      <c r="P10" s="16">
        <f t="array" ref="P10">IFERROR(INDEX('Halo Reach Stats'!$1:$46,MATCH($B10,'Halo Reach Stats'!$A:$A,0),17),"")</f>
        <v>12</v>
      </c>
      <c r="Q10" s="16">
        <f t="array" ref="Q10">IFERROR(INDEX('Halo Reach Stats'!$1:$46,MATCH($B10,'Halo Reach Stats'!$A:$A,0),18),"")</f>
        <v>0</v>
      </c>
      <c r="R10" s="16">
        <f t="array" ref="R10">IFERROR(INDEX('Halo Reach Stats'!$1:$46,MATCH($B10,'Halo Reach Stats'!$A:$A,0),19),"")</f>
        <v>0</v>
      </c>
      <c r="S10" s="16">
        <f t="array" ref="S10">IFERROR(INDEX('Halo Reach Stats'!$1:$46,MATCH($B10,'Halo Reach Stats'!$A:$A,0),20),"")</f>
        <v>0</v>
      </c>
      <c r="T10" s="16">
        <f t="array" ref="T10">IFERROR(INDEX('Halo Reach Stats'!$1:$46,MATCH($B10,'Halo Reach Stats'!$A:$A,0),21),"")</f>
        <v>0</v>
      </c>
      <c r="U10" s="16">
        <f t="array" ref="U10">IFERROR(INDEX('Halo Reach Stats'!$1:$46,MATCH($B10,'Halo Reach Stats'!$A:$A,0),22),"")</f>
        <v>0</v>
      </c>
      <c r="V10" s="16">
        <f t="array" ref="V10">IFERROR(INDEX('Halo Reach Stats'!$1:$46,MATCH($B10,'Halo Reach Stats'!$A:$A,0),23),"")</f>
        <v>7</v>
      </c>
      <c r="W10" s="16">
        <f t="array" ref="W10">IFERROR(INDEX('Halo Reach Stats'!$1:$46,MATCH($B10,'Halo Reach Stats'!$A:$A,0),24),"")</f>
        <v>1</v>
      </c>
      <c r="X10" s="16">
        <f t="array" ref="X10">IFERROR(INDEX('Halo Reach Stats'!$1:$46,MATCH($B10,'Halo Reach Stats'!$A:$A,0),25),"")</f>
        <v>0</v>
      </c>
      <c r="Y10" s="16">
        <f t="array" ref="Y10">IFERROR(INDEX('Halo Reach Stats'!$1:$46,MATCH($B10,'Halo Reach Stats'!$A:$A,0),26),"")</f>
        <v>0</v>
      </c>
      <c r="Z10" s="16">
        <f t="array" ref="Z10">IFERROR(INDEX('Halo Reach Stats'!$1:$46,MATCH($B10,'Halo Reach Stats'!$A:$A,0),27),"")</f>
        <v>0</v>
      </c>
      <c r="AA10" s="16">
        <f t="array" ref="AA10">IFERROR(INDEX('Halo Reach Stats'!$1:$46,MATCH($B10,'Halo Reach Stats'!$A:$A,0),28),"")</f>
        <v>0</v>
      </c>
      <c r="AB10" s="16">
        <f t="array" ref="AB10">IFERROR(INDEX('Halo Reach Stats'!$1:$46,MATCH($B10,'Halo Reach Stats'!$A:$A,0),29),"")</f>
        <v>0</v>
      </c>
      <c r="AC10" s="16">
        <f t="array" ref="AC10">IFERROR(INDEX('Halo Reach Stats'!$1:$46,MATCH($B10,'Halo Reach Stats'!$A:$A,0),30),"")</f>
        <v>0</v>
      </c>
      <c r="AD10" s="16">
        <f t="array" ref="AD10">IFERROR(INDEX('Halo Reach Stats'!$1:$46,MATCH($B10,'Halo Reach Stats'!$A:$A,0),31),"")</f>
        <v>0</v>
      </c>
      <c r="AE10" s="16">
        <f t="array" ref="AE10">IFERROR(INDEX('Halo Reach Stats'!$1:$46,MATCH($B10,'Halo Reach Stats'!$A:$A,0),32),"")</f>
        <v>0</v>
      </c>
      <c r="AF10" s="16">
        <f t="array" ref="AF10">IFERROR(INDEX('Halo Reach Stats'!$1:$46,MATCH($B10,'Halo Reach Stats'!$A:$A,0),33),"")</f>
        <v>2</v>
      </c>
      <c r="AG10" s="16">
        <f t="array" ref="AG10">IFERROR(INDEX('Halo Reach Stats'!$1:$46,MATCH($B10,'Halo Reach Stats'!$A:$A,0),34),"")</f>
        <v>0</v>
      </c>
      <c r="AH10" s="16">
        <f t="array" ref="AH10">IFERROR(INDEX('Halo Reach Stats'!$1:$46,MATCH($B10,'Halo Reach Stats'!$A:$A,0),35),"")</f>
        <v>0</v>
      </c>
    </row>
    <row r="11">
      <c r="A11" s="316"/>
      <c r="B11" s="317" t="s">
        <v>353</v>
      </c>
      <c r="C11" s="318">
        <f>SUM(C7:C10)/4</f>
        <v>0</v>
      </c>
      <c r="D11" s="325"/>
      <c r="E11" s="326">
        <f>SUM(E7:E10)/4</f>
        <v>10.1</v>
      </c>
      <c r="F11" s="321" t="s">
        <v>354</v>
      </c>
      <c r="G11" s="327">
        <f t="shared" ref="G11:J11" si="6">SUM(G7:G10)</f>
        <v>1</v>
      </c>
      <c r="H11" s="327">
        <f t="shared" si="6"/>
        <v>338</v>
      </c>
      <c r="I11" s="327">
        <f t="shared" si="6"/>
        <v>402</v>
      </c>
      <c r="J11" s="327">
        <f t="shared" si="6"/>
        <v>-64</v>
      </c>
      <c r="K11" s="328">
        <f>SUM(K7:K10)/4</f>
        <v>0.8468986279</v>
      </c>
      <c r="L11" s="327">
        <f t="shared" ref="L11:O11" si="7">SUM(L7:L10)</f>
        <v>21</v>
      </c>
      <c r="M11" s="327">
        <f t="shared" si="7"/>
        <v>21</v>
      </c>
      <c r="N11" s="327">
        <f t="shared" si="7"/>
        <v>6</v>
      </c>
      <c r="O11" s="327">
        <f t="shared" si="7"/>
        <v>6523</v>
      </c>
      <c r="P11" s="327">
        <f>SUM(P7:P10)/4</f>
        <v>12.25</v>
      </c>
      <c r="Q11" s="327">
        <f t="shared" ref="Q11:AH11" si="8">SUM(Q7:Q10)</f>
        <v>7</v>
      </c>
      <c r="R11" s="327">
        <f t="shared" si="8"/>
        <v>0</v>
      </c>
      <c r="S11" s="327">
        <f t="shared" si="8"/>
        <v>0</v>
      </c>
      <c r="T11" s="327">
        <f t="shared" si="8"/>
        <v>0</v>
      </c>
      <c r="U11" s="327">
        <f t="shared" si="8"/>
        <v>0</v>
      </c>
      <c r="V11" s="327">
        <f t="shared" si="8"/>
        <v>49</v>
      </c>
      <c r="W11" s="327">
        <f t="shared" si="8"/>
        <v>9</v>
      </c>
      <c r="X11" s="327">
        <f t="shared" si="8"/>
        <v>0</v>
      </c>
      <c r="Y11" s="327">
        <f t="shared" si="8"/>
        <v>0</v>
      </c>
      <c r="Z11" s="327">
        <f t="shared" si="8"/>
        <v>0</v>
      </c>
      <c r="AA11" s="327">
        <f t="shared" si="8"/>
        <v>0</v>
      </c>
      <c r="AB11" s="327">
        <f t="shared" si="8"/>
        <v>0</v>
      </c>
      <c r="AC11" s="327">
        <f t="shared" si="8"/>
        <v>0</v>
      </c>
      <c r="AD11" s="327">
        <f t="shared" si="8"/>
        <v>0</v>
      </c>
      <c r="AE11" s="327">
        <f t="shared" si="8"/>
        <v>0</v>
      </c>
      <c r="AF11" s="327">
        <f t="shared" si="8"/>
        <v>9</v>
      </c>
      <c r="AG11" s="327">
        <f t="shared" si="8"/>
        <v>0</v>
      </c>
      <c r="AH11" s="327">
        <f t="shared" si="8"/>
        <v>4</v>
      </c>
    </row>
    <row r="12">
      <c r="A12" s="324" t="s">
        <v>356</v>
      </c>
      <c r="B12" s="329" t="str">
        <f t="array" ref="B12">IFERROR(INDEX(TeamInfo!$C1:$C$45,MATCH($A$12,TeamInfo!A:A,0),0),"")</f>
        <v>Laser Wins</v>
      </c>
      <c r="C12" s="14" t="str">
        <f t="array" ref="C12">IFERROR(INDEX('Player Efficiency'!$1:$45,MATCH(B12,'Player Efficiency'!A:A,0),2),"")</f>
        <v/>
      </c>
      <c r="D12" s="310" t="str">
        <f t="array" ref="D12">IFERROR(INDEX(PlayerGrades!$1:$47,MATCH(B12,PlayerGrades!J:J,0),18),"")</f>
        <v>F</v>
      </c>
      <c r="E12" s="310">
        <f t="array" ref="E12">IFERROR(INDEX(PlayerGrades!$1:$47,MATCH(B12,PlayerGrades!J:J,0),19),"")</f>
        <v>3.2</v>
      </c>
      <c r="F12" s="311" t="str">
        <f t="array" ref="F12">IFERROR(INDEX(TeamInfo!$D1:$D$45,MATCH($A$12,TeamInfo!A:A,0),0),"")</f>
        <v>US WEST</v>
      </c>
      <c r="G12" s="16">
        <f t="array" ref="G12">IFERROR(INDEX('Halo Reach Stats'!$1:$46,MATCH($B12,'Halo Reach Stats'!$A:$A,0),8),"")</f>
        <v>0</v>
      </c>
      <c r="H12" s="16">
        <f t="array" ref="H12">IFERROR(INDEX('Halo Reach Stats'!$1:$46,MATCH($B12,'Halo Reach Stats'!$A:$A,0),9),"")</f>
        <v>31</v>
      </c>
      <c r="I12" s="16">
        <f t="array" ref="I12">IFERROR(INDEX('Halo Reach Stats'!$1:$46,MATCH($B12,'Halo Reach Stats'!$A:$A,0),10),"")</f>
        <v>50</v>
      </c>
      <c r="J12" s="16">
        <f t="array" ref="J12">IFERROR(INDEX('Halo Reach Stats'!$1:$46,MATCH($B12,'Halo Reach Stats'!$A:$A,0),11),"")</f>
        <v>-19</v>
      </c>
      <c r="K12" s="312">
        <f t="shared" ref="K12:K15" si="9">H12/I12</f>
        <v>0.62</v>
      </c>
      <c r="L12" s="16">
        <f t="array" ref="L12">IFERROR(INDEX('Halo Reach Stats'!$1:$46,MATCH($B12,'Halo Reach Stats'!$A:$A,0),12),"")</f>
        <v>1</v>
      </c>
      <c r="M12" s="16">
        <f t="array" ref="M12">IFERROR(INDEX('Halo Reach Stats'!$1:$46,MATCH($B12,'Halo Reach Stats'!$A:$A,0),13),"")</f>
        <v>4</v>
      </c>
      <c r="N12" s="16">
        <f t="array" ref="N12">IFERROR(INDEX('Halo Reach Stats'!$1:$46,MATCH($B12,'Halo Reach Stats'!$A:$A,0),14),"")</f>
        <v>1</v>
      </c>
      <c r="O12" s="16">
        <f t="array" ref="O12">IFERROR(INDEX('Halo Reach Stats'!$1:$46,MATCH($B12,'Halo Reach Stats'!$A:$A,0),16),"")</f>
        <v>822</v>
      </c>
      <c r="P12" s="16">
        <f t="array" ref="P12">IFERROR(INDEX('Halo Reach Stats'!$1:$46,MATCH($B12,'Halo Reach Stats'!$A:$A,0),17),"")</f>
        <v>11</v>
      </c>
      <c r="Q12" s="16">
        <f t="array" ref="Q12">IFERROR(INDEX('Halo Reach Stats'!$1:$46,MATCH($B12,'Halo Reach Stats'!$A:$A,0),18),"")</f>
        <v>0</v>
      </c>
      <c r="R12" s="16">
        <f t="array" ref="R12">IFERROR(INDEX('Halo Reach Stats'!$1:$46,MATCH($B12,'Halo Reach Stats'!$A:$A,0),19),"")</f>
        <v>0</v>
      </c>
      <c r="S12" s="16">
        <f t="array" ref="S12">IFERROR(INDEX('Halo Reach Stats'!$1:$46,MATCH($B12,'Halo Reach Stats'!$A:$A,0),20),"")</f>
        <v>0</v>
      </c>
      <c r="T12" s="16">
        <f t="array" ref="T12">IFERROR(INDEX('Halo Reach Stats'!$1:$46,MATCH($B12,'Halo Reach Stats'!$A:$A,0),21),"")</f>
        <v>0</v>
      </c>
      <c r="U12" s="16">
        <f t="array" ref="U12">IFERROR(INDEX('Halo Reach Stats'!$1:$46,MATCH($B12,'Halo Reach Stats'!$A:$A,0),22),"")</f>
        <v>0</v>
      </c>
      <c r="V12" s="16">
        <f t="array" ref="V12">IFERROR(INDEX('Halo Reach Stats'!$1:$46,MATCH($B12,'Halo Reach Stats'!$A:$A,0),23),"")</f>
        <v>5</v>
      </c>
      <c r="W12" s="16">
        <f t="array" ref="W12">IFERROR(INDEX('Halo Reach Stats'!$1:$46,MATCH($B12,'Halo Reach Stats'!$A:$A,0),24),"")</f>
        <v>0</v>
      </c>
      <c r="X12" s="16">
        <f t="array" ref="X12">IFERROR(INDEX('Halo Reach Stats'!$1:$46,MATCH($B12,'Halo Reach Stats'!$A:$A,0),25),"")</f>
        <v>0</v>
      </c>
      <c r="Y12" s="16">
        <f t="array" ref="Y12">IFERROR(INDEX('Halo Reach Stats'!$1:$46,MATCH($B12,'Halo Reach Stats'!$A:$A,0),26),"")</f>
        <v>0</v>
      </c>
      <c r="Z12" s="16">
        <f t="array" ref="Z12">IFERROR(INDEX('Halo Reach Stats'!$1:$46,MATCH($B12,'Halo Reach Stats'!$A:$A,0),27),"")</f>
        <v>0</v>
      </c>
      <c r="AA12" s="16">
        <f t="array" ref="AA12">IFERROR(INDEX('Halo Reach Stats'!$1:$46,MATCH($B12,'Halo Reach Stats'!$A:$A,0),28),"")</f>
        <v>0</v>
      </c>
      <c r="AB12" s="16">
        <f t="array" ref="AB12">IFERROR(INDEX('Halo Reach Stats'!$1:$46,MATCH($B12,'Halo Reach Stats'!$A:$A,0),29),"")</f>
        <v>0</v>
      </c>
      <c r="AC12" s="16">
        <f t="array" ref="AC12">IFERROR(INDEX('Halo Reach Stats'!$1:$46,MATCH($B12,'Halo Reach Stats'!$A:$A,0),30),"")</f>
        <v>0</v>
      </c>
      <c r="AD12" s="16">
        <f t="array" ref="AD12">IFERROR(INDEX('Halo Reach Stats'!$1:$46,MATCH($B12,'Halo Reach Stats'!$A:$A,0),31),"")</f>
        <v>0</v>
      </c>
      <c r="AE12" s="16">
        <f t="array" ref="AE12">IFERROR(INDEX('Halo Reach Stats'!$1:$46,MATCH($B12,'Halo Reach Stats'!$A:$A,0),32),"")</f>
        <v>0</v>
      </c>
      <c r="AF12" s="16">
        <f t="array" ref="AF12">IFERROR(INDEX('Halo Reach Stats'!$1:$46,MATCH($B12,'Halo Reach Stats'!$A:$A,0),33),"")</f>
        <v>0</v>
      </c>
      <c r="AG12" s="16">
        <f t="array" ref="AG12">IFERROR(INDEX('Halo Reach Stats'!$1:$46,MATCH($B12,'Halo Reach Stats'!$A:$A,0),34),"")</f>
        <v>0</v>
      </c>
      <c r="AH12" s="16">
        <f t="array" ref="AH12">IFERROR(INDEX('Halo Reach Stats'!$1:$46,MATCH($B12,'Halo Reach Stats'!$A:$A,0),35),"")</f>
        <v>0</v>
      </c>
    </row>
    <row r="13">
      <c r="A13" s="330" t="str">
        <f t="array" ref="A13">IFERROR(INDEX(TeamInfo!$1:$45,MATCH(A12,TeamInfo!A:A,0),2),"")</f>
        <v>Mount Grifmore</v>
      </c>
      <c r="B13" s="1" t="str">
        <f t="array" ref="B13">IFERROR(INDEX(TeamInfo!$C2:$C$45,MATCH($A$12,TeamInfo!A:A,0),0),"")</f>
        <v>InfiniteRainge</v>
      </c>
      <c r="C13" s="14" t="str">
        <f t="array" ref="C13">IFERROR(INDEX('Player Efficiency'!$1:$45,MATCH(B13,'Player Efficiency'!A:A,0),2),"")</f>
        <v/>
      </c>
      <c r="D13" s="310" t="str">
        <f t="array" ref="D13">IFERROR(INDEX(PlayerGrades!$1:$47,MATCH(B13,PlayerGrades!J:J,0),18),"")</f>
        <v>B</v>
      </c>
      <c r="E13" s="310">
        <f t="array" ref="E13">IFERROR(INDEX(PlayerGrades!$1:$47,MATCH(B13,PlayerGrades!J:J,0),19),"")</f>
        <v>14.1</v>
      </c>
      <c r="F13" s="16" t="str">
        <f t="array" ref="F13">IFERROR(INDEX(TeamInfo!$D2:$D$45,MATCH($A$12,TeamInfo!A:A,0),0),"")</f>
        <v>US WEST</v>
      </c>
      <c r="G13" s="16">
        <f t="array" ref="G13">IFERROR(INDEX('Halo Reach Stats'!$1:$46,MATCH($B13,'Halo Reach Stats'!$A:$A,0),8),"")</f>
        <v>1</v>
      </c>
      <c r="H13" s="16">
        <f t="array" ref="H13">IFERROR(INDEX('Halo Reach Stats'!$1:$46,MATCH($B13,'Halo Reach Stats'!$A:$A,0),9),"")</f>
        <v>43</v>
      </c>
      <c r="I13" s="16">
        <f t="array" ref="I13">IFERROR(INDEX('Halo Reach Stats'!$1:$46,MATCH($B13,'Halo Reach Stats'!$A:$A,0),10),"")</f>
        <v>41</v>
      </c>
      <c r="J13" s="16">
        <f t="array" ref="J13">IFERROR(INDEX('Halo Reach Stats'!$1:$46,MATCH($B13,'Halo Reach Stats'!$A:$A,0),11),"")</f>
        <v>2</v>
      </c>
      <c r="K13" s="312">
        <f t="shared" si="9"/>
        <v>1.048780488</v>
      </c>
      <c r="L13" s="16">
        <f t="array" ref="L13">IFERROR(INDEX('Halo Reach Stats'!$1:$46,MATCH($B13,'Halo Reach Stats'!$A:$A,0),12),"")</f>
        <v>4</v>
      </c>
      <c r="M13" s="16">
        <f t="array" ref="M13">IFERROR(INDEX('Halo Reach Stats'!$1:$46,MATCH($B13,'Halo Reach Stats'!$A:$A,0),13),"")</f>
        <v>6</v>
      </c>
      <c r="N13" s="16">
        <f t="array" ref="N13">IFERROR(INDEX('Halo Reach Stats'!$1:$46,MATCH($B13,'Halo Reach Stats'!$A:$A,0),14),"")</f>
        <v>2</v>
      </c>
      <c r="O13" s="16">
        <f t="array" ref="O13">IFERROR(INDEX('Halo Reach Stats'!$1:$46,MATCH($B13,'Halo Reach Stats'!$A:$A,0),16),"")</f>
        <v>822</v>
      </c>
      <c r="P13" s="16">
        <f t="array" ref="P13">IFERROR(INDEX('Halo Reach Stats'!$1:$46,MATCH($B13,'Halo Reach Stats'!$A:$A,0),17),"")</f>
        <v>15</v>
      </c>
      <c r="Q13" s="16">
        <f t="array" ref="Q13">IFERROR(INDEX('Halo Reach Stats'!$1:$46,MATCH($B13,'Halo Reach Stats'!$A:$A,0),18),"")</f>
        <v>2</v>
      </c>
      <c r="R13" s="16">
        <f t="array" ref="R13">IFERROR(INDEX('Halo Reach Stats'!$1:$46,MATCH($B13,'Halo Reach Stats'!$A:$A,0),19),"")</f>
        <v>0</v>
      </c>
      <c r="S13" s="16">
        <f t="array" ref="S13">IFERROR(INDEX('Halo Reach Stats'!$1:$46,MATCH($B13,'Halo Reach Stats'!$A:$A,0),20),"")</f>
        <v>0</v>
      </c>
      <c r="T13" s="16">
        <f t="array" ref="T13">IFERROR(INDEX('Halo Reach Stats'!$1:$46,MATCH($B13,'Halo Reach Stats'!$A:$A,0),21),"")</f>
        <v>0</v>
      </c>
      <c r="U13" s="16">
        <f t="array" ref="U13">IFERROR(INDEX('Halo Reach Stats'!$1:$46,MATCH($B13,'Halo Reach Stats'!$A:$A,0),22),"")</f>
        <v>0</v>
      </c>
      <c r="V13" s="16">
        <f t="array" ref="V13">IFERROR(INDEX('Halo Reach Stats'!$1:$46,MATCH($B13,'Halo Reach Stats'!$A:$A,0),23),"")</f>
        <v>7</v>
      </c>
      <c r="W13" s="16">
        <f t="array" ref="W13">IFERROR(INDEX('Halo Reach Stats'!$1:$46,MATCH($B13,'Halo Reach Stats'!$A:$A,0),24),"")</f>
        <v>1</v>
      </c>
      <c r="X13" s="16">
        <f t="array" ref="X13">IFERROR(INDEX('Halo Reach Stats'!$1:$46,MATCH($B13,'Halo Reach Stats'!$A:$A,0),25),"")</f>
        <v>0</v>
      </c>
      <c r="Y13" s="16">
        <f t="array" ref="Y13">IFERROR(INDEX('Halo Reach Stats'!$1:$46,MATCH($B13,'Halo Reach Stats'!$A:$A,0),26),"")</f>
        <v>0</v>
      </c>
      <c r="Z13" s="16">
        <f t="array" ref="Z13">IFERROR(INDEX('Halo Reach Stats'!$1:$46,MATCH($B13,'Halo Reach Stats'!$A:$A,0),27),"")</f>
        <v>0</v>
      </c>
      <c r="AA13" s="16">
        <f t="array" ref="AA13">IFERROR(INDEX('Halo Reach Stats'!$1:$46,MATCH($B13,'Halo Reach Stats'!$A:$A,0),28),"")</f>
        <v>0</v>
      </c>
      <c r="AB13" s="16">
        <f t="array" ref="AB13">IFERROR(INDEX('Halo Reach Stats'!$1:$46,MATCH($B13,'Halo Reach Stats'!$A:$A,0),29),"")</f>
        <v>0</v>
      </c>
      <c r="AC13" s="16">
        <f t="array" ref="AC13">IFERROR(INDEX('Halo Reach Stats'!$1:$46,MATCH($B13,'Halo Reach Stats'!$A:$A,0),30),"")</f>
        <v>0</v>
      </c>
      <c r="AD13" s="16">
        <f t="array" ref="AD13">IFERROR(INDEX('Halo Reach Stats'!$1:$46,MATCH($B13,'Halo Reach Stats'!$A:$A,0),31),"")</f>
        <v>0</v>
      </c>
      <c r="AE13" s="16">
        <f t="array" ref="AE13">IFERROR(INDEX('Halo Reach Stats'!$1:$46,MATCH($B13,'Halo Reach Stats'!$A:$A,0),32),"")</f>
        <v>0</v>
      </c>
      <c r="AF13" s="16">
        <f t="array" ref="AF13">IFERROR(INDEX('Halo Reach Stats'!$1:$46,MATCH($B13,'Halo Reach Stats'!$A:$A,0),33),"")</f>
        <v>1</v>
      </c>
      <c r="AG13" s="16">
        <f t="array" ref="AG13">IFERROR(INDEX('Halo Reach Stats'!$1:$46,MATCH($B13,'Halo Reach Stats'!$A:$A,0),34),"")</f>
        <v>0</v>
      </c>
      <c r="AH13" s="16">
        <f t="array" ref="AH13">IFERROR(INDEX('Halo Reach Stats'!$1:$46,MATCH($B13,'Halo Reach Stats'!$A:$A,0),35),"")</f>
        <v>1</v>
      </c>
    </row>
    <row r="14">
      <c r="A14" s="12" t="str">
        <f t="array" ref="A14">IFERROR(INDEX(TeamInfo!$1:$45,MATCH(A12,TeamInfo!A:A,0),5),"")</f>
        <v/>
      </c>
      <c r="B14" s="1" t="str">
        <f t="array" ref="B14">IFERROR(INDEX(TeamInfo!$C3:$C$45,MATCH($A$12,TeamInfo!A:A,0),0),"")</f>
        <v>KGod Online</v>
      </c>
      <c r="C14" s="14" t="str">
        <f t="array" ref="C14">IFERROR(INDEX('Player Efficiency'!$1:$45,MATCH(B14,'Player Efficiency'!A:A,0),2),"")</f>
        <v/>
      </c>
      <c r="D14" s="310" t="str">
        <f t="array" ref="D14">IFERROR(INDEX(PlayerGrades!$1:$47,MATCH(B14,PlayerGrades!J:J,0),18),"")</f>
        <v>F</v>
      </c>
      <c r="E14" s="310">
        <f t="array" ref="E14">IFERROR(INDEX(PlayerGrades!$1:$47,MATCH(B14,PlayerGrades!J:J,0),19),"")</f>
        <v>4.2</v>
      </c>
      <c r="F14" s="16" t="str">
        <f t="array" ref="F14">IFERROR(INDEX(TeamInfo!$D3:$D$45,MATCH($A$12,TeamInfo!A:A,0),0),"")</f>
        <v>US SOUTH CENTRAL</v>
      </c>
      <c r="G14" s="16">
        <f t="array" ref="G14">IFERROR(INDEX('Halo Reach Stats'!$1:$46,MATCH($B14,'Halo Reach Stats'!$A:$A,0),8),"")</f>
        <v>0</v>
      </c>
      <c r="H14" s="16">
        <f t="array" ref="H14">IFERROR(INDEX('Halo Reach Stats'!$1:$46,MATCH($B14,'Halo Reach Stats'!$A:$A,0),9),"")</f>
        <v>39</v>
      </c>
      <c r="I14" s="16">
        <f t="array" ref="I14">IFERROR(INDEX('Halo Reach Stats'!$1:$46,MATCH($B14,'Halo Reach Stats'!$A:$A,0),10),"")</f>
        <v>73</v>
      </c>
      <c r="J14" s="16">
        <f t="array" ref="J14">IFERROR(INDEX('Halo Reach Stats'!$1:$46,MATCH($B14,'Halo Reach Stats'!$A:$A,0),11),"")</f>
        <v>-34</v>
      </c>
      <c r="K14" s="312">
        <f t="shared" si="9"/>
        <v>0.5342465753</v>
      </c>
      <c r="L14" s="16">
        <f t="array" ref="L14">IFERROR(INDEX('Halo Reach Stats'!$1:$46,MATCH($B14,'Halo Reach Stats'!$A:$A,0),12),"")</f>
        <v>2</v>
      </c>
      <c r="M14" s="16">
        <f t="array" ref="M14">IFERROR(INDEX('Halo Reach Stats'!$1:$46,MATCH($B14,'Halo Reach Stats'!$A:$A,0),13),"")</f>
        <v>3</v>
      </c>
      <c r="N14" s="16">
        <f t="array" ref="N14">IFERROR(INDEX('Halo Reach Stats'!$1:$46,MATCH($B14,'Halo Reach Stats'!$A:$A,0),14),"")</f>
        <v>2</v>
      </c>
      <c r="O14" s="16">
        <f t="array" ref="O14">IFERROR(INDEX('Halo Reach Stats'!$1:$46,MATCH($B14,'Halo Reach Stats'!$A:$A,0),16),"")</f>
        <v>822</v>
      </c>
      <c r="P14" s="16">
        <f t="array" ref="P14">IFERROR(INDEX('Halo Reach Stats'!$1:$46,MATCH($B14,'Halo Reach Stats'!$A:$A,0),17),"")</f>
        <v>7</v>
      </c>
      <c r="Q14" s="16">
        <f t="array" ref="Q14">IFERROR(INDEX('Halo Reach Stats'!$1:$46,MATCH($B14,'Halo Reach Stats'!$A:$A,0),18),"")</f>
        <v>0</v>
      </c>
      <c r="R14" s="16">
        <f t="array" ref="R14">IFERROR(INDEX('Halo Reach Stats'!$1:$46,MATCH($B14,'Halo Reach Stats'!$A:$A,0),19),"")</f>
        <v>0</v>
      </c>
      <c r="S14" s="16">
        <f t="array" ref="S14">IFERROR(INDEX('Halo Reach Stats'!$1:$46,MATCH($B14,'Halo Reach Stats'!$A:$A,0),20),"")</f>
        <v>0</v>
      </c>
      <c r="T14" s="16">
        <f t="array" ref="T14">IFERROR(INDEX('Halo Reach Stats'!$1:$46,MATCH($B14,'Halo Reach Stats'!$A:$A,0),21),"")</f>
        <v>0</v>
      </c>
      <c r="U14" s="16">
        <f t="array" ref="U14">IFERROR(INDEX('Halo Reach Stats'!$1:$46,MATCH($B14,'Halo Reach Stats'!$A:$A,0),22),"")</f>
        <v>0</v>
      </c>
      <c r="V14" s="16">
        <f t="array" ref="V14">IFERROR(INDEX('Halo Reach Stats'!$1:$46,MATCH($B14,'Halo Reach Stats'!$A:$A,0),23),"")</f>
        <v>5</v>
      </c>
      <c r="W14" s="16">
        <f t="array" ref="W14">IFERROR(INDEX('Halo Reach Stats'!$1:$46,MATCH($B14,'Halo Reach Stats'!$A:$A,0),24),"")</f>
        <v>0</v>
      </c>
      <c r="X14" s="16">
        <f t="array" ref="X14">IFERROR(INDEX('Halo Reach Stats'!$1:$46,MATCH($B14,'Halo Reach Stats'!$A:$A,0),25),"")</f>
        <v>0</v>
      </c>
      <c r="Y14" s="16">
        <f t="array" ref="Y14">IFERROR(INDEX('Halo Reach Stats'!$1:$46,MATCH($B14,'Halo Reach Stats'!$A:$A,0),26),"")</f>
        <v>0</v>
      </c>
      <c r="Z14" s="16">
        <f t="array" ref="Z14">IFERROR(INDEX('Halo Reach Stats'!$1:$46,MATCH($B14,'Halo Reach Stats'!$A:$A,0),27),"")</f>
        <v>0</v>
      </c>
      <c r="AA14" s="16">
        <f t="array" ref="AA14">IFERROR(INDEX('Halo Reach Stats'!$1:$46,MATCH($B14,'Halo Reach Stats'!$A:$A,0),28),"")</f>
        <v>0</v>
      </c>
      <c r="AB14" s="16">
        <f t="array" ref="AB14">IFERROR(INDEX('Halo Reach Stats'!$1:$46,MATCH($B14,'Halo Reach Stats'!$A:$A,0),29),"")</f>
        <v>0</v>
      </c>
      <c r="AC14" s="16">
        <f t="array" ref="AC14">IFERROR(INDEX('Halo Reach Stats'!$1:$46,MATCH($B14,'Halo Reach Stats'!$A:$A,0),30),"")</f>
        <v>0</v>
      </c>
      <c r="AD14" s="16">
        <f t="array" ref="AD14">IFERROR(INDEX('Halo Reach Stats'!$1:$46,MATCH($B14,'Halo Reach Stats'!$A:$A,0),31),"")</f>
        <v>0</v>
      </c>
      <c r="AE14" s="16">
        <f t="array" ref="AE14">IFERROR(INDEX('Halo Reach Stats'!$1:$46,MATCH($B14,'Halo Reach Stats'!$A:$A,0),32),"")</f>
        <v>0</v>
      </c>
      <c r="AF14" s="16">
        <f t="array" ref="AF14">IFERROR(INDEX('Halo Reach Stats'!$1:$46,MATCH($B14,'Halo Reach Stats'!$A:$A,0),33),"")</f>
        <v>1</v>
      </c>
      <c r="AG14" s="16">
        <f t="array" ref="AG14">IFERROR(INDEX('Halo Reach Stats'!$1:$46,MATCH($B14,'Halo Reach Stats'!$A:$A,0),34),"")</f>
        <v>0</v>
      </c>
      <c r="AH14" s="16">
        <f t="array" ref="AH14">IFERROR(INDEX('Halo Reach Stats'!$1:$46,MATCH($B14,'Halo Reach Stats'!$A:$A,0),35),"")</f>
        <v>0</v>
      </c>
    </row>
    <row r="15">
      <c r="A15" s="315" t="str">
        <f>IF(((E12+E13+E14+E15)/4)&lt;=5.55,"F",IF(((E12+E13+E14+E15)/4)&lt;9.25,"E",IF(((E12+E13+E14+E15)/4)&lt;12.95,"D",IF(((E12+E13+E14+E15)/4)&lt;16.65,"C",IF(((E12+E13+E14+E15)/4)&lt;20.35,"B",IF(((E12+E13+E14+E15)/4)&lt;24.05,"A","S"))))))</f>
        <v>E</v>
      </c>
      <c r="B15" s="1" t="str">
        <f t="array" ref="B15">IFERROR(INDEX(TeamInfo!$C4:$C$45,MATCH($A$12,TeamInfo!A:A,0),0),"")</f>
        <v>Lane Uppy</v>
      </c>
      <c r="C15" s="14" t="str">
        <f t="array" ref="C15">IFERROR(INDEX('Player Efficiency'!$1:$45,MATCH(B15,'Player Efficiency'!A:A,0),2),"")</f>
        <v/>
      </c>
      <c r="D15" s="310" t="str">
        <f t="array" ref="D15">IFERROR(INDEX(PlayerGrades!$1:$47,MATCH(B15,PlayerGrades!J:J,0),18),"")</f>
        <v>E</v>
      </c>
      <c r="E15" s="310">
        <f t="array" ref="E15">IFERROR(INDEX(PlayerGrades!$1:$47,MATCH(B15,PlayerGrades!J:J,0),19),"")</f>
        <v>5.7</v>
      </c>
      <c r="F15" s="16" t="str">
        <f t="array" ref="F15">IFERROR(INDEX(TeamInfo!$D4:$D$45,MATCH($A$12,TeamInfo!A:A,0),0),"")</f>
        <v>US EAST</v>
      </c>
      <c r="G15" s="16">
        <f t="array" ref="G15">IFERROR(INDEX('Halo Reach Stats'!$1:$46,MATCH($B15,'Halo Reach Stats'!$A:$A,0),8),"")</f>
        <v>0</v>
      </c>
      <c r="H15" s="16">
        <f t="array" ref="H15">IFERROR(INDEX('Halo Reach Stats'!$1:$46,MATCH($B15,'Halo Reach Stats'!$A:$A,0),9),"")</f>
        <v>36</v>
      </c>
      <c r="I15" s="16">
        <f t="array" ref="I15">IFERROR(INDEX('Halo Reach Stats'!$1:$46,MATCH($B15,'Halo Reach Stats'!$A:$A,0),10),"")</f>
        <v>41</v>
      </c>
      <c r="J15" s="16">
        <f t="array" ref="J15">IFERROR(INDEX('Halo Reach Stats'!$1:$46,MATCH($B15,'Halo Reach Stats'!$A:$A,0),11),"")</f>
        <v>-5</v>
      </c>
      <c r="K15" s="312">
        <f t="shared" si="9"/>
        <v>0.8780487805</v>
      </c>
      <c r="L15" s="16">
        <f t="array" ref="L15">IFERROR(INDEX('Halo Reach Stats'!$1:$46,MATCH($B15,'Halo Reach Stats'!$A:$A,0),12),"")</f>
        <v>1</v>
      </c>
      <c r="M15" s="16">
        <f t="array" ref="M15">IFERROR(INDEX('Halo Reach Stats'!$1:$46,MATCH($B15,'Halo Reach Stats'!$A:$A,0),13),"")</f>
        <v>3</v>
      </c>
      <c r="N15" s="16">
        <f t="array" ref="N15">IFERROR(INDEX('Halo Reach Stats'!$1:$46,MATCH($B15,'Halo Reach Stats'!$A:$A,0),14),"")</f>
        <v>0</v>
      </c>
      <c r="O15" s="16">
        <f t="array" ref="O15">IFERROR(INDEX('Halo Reach Stats'!$1:$46,MATCH($B15,'Halo Reach Stats'!$A:$A,0),16),"")</f>
        <v>822</v>
      </c>
      <c r="P15" s="16">
        <f t="array" ref="P15">IFERROR(INDEX('Halo Reach Stats'!$1:$46,MATCH($B15,'Halo Reach Stats'!$A:$A,0),17),"")</f>
        <v>15</v>
      </c>
      <c r="Q15" s="16">
        <f t="array" ref="Q15">IFERROR(INDEX('Halo Reach Stats'!$1:$46,MATCH($B15,'Halo Reach Stats'!$A:$A,0),18),"")</f>
        <v>0</v>
      </c>
      <c r="R15" s="16">
        <f t="array" ref="R15">IFERROR(INDEX('Halo Reach Stats'!$1:$46,MATCH($B15,'Halo Reach Stats'!$A:$A,0),19),"")</f>
        <v>0</v>
      </c>
      <c r="S15" s="16">
        <f t="array" ref="S15">IFERROR(INDEX('Halo Reach Stats'!$1:$46,MATCH($B15,'Halo Reach Stats'!$A:$A,0),20),"")</f>
        <v>0</v>
      </c>
      <c r="T15" s="16">
        <f t="array" ref="T15">IFERROR(INDEX('Halo Reach Stats'!$1:$46,MATCH($B15,'Halo Reach Stats'!$A:$A,0),21),"")</f>
        <v>0</v>
      </c>
      <c r="U15" s="16">
        <f t="array" ref="U15">IFERROR(INDEX('Halo Reach Stats'!$1:$46,MATCH($B15,'Halo Reach Stats'!$A:$A,0),22),"")</f>
        <v>0</v>
      </c>
      <c r="V15" s="16">
        <f t="array" ref="V15">IFERROR(INDEX('Halo Reach Stats'!$1:$46,MATCH($B15,'Halo Reach Stats'!$A:$A,0),23),"")</f>
        <v>5</v>
      </c>
      <c r="W15" s="16">
        <f t="array" ref="W15">IFERROR(INDEX('Halo Reach Stats'!$1:$46,MATCH($B15,'Halo Reach Stats'!$A:$A,0),24),"")</f>
        <v>0</v>
      </c>
      <c r="X15" s="16">
        <f t="array" ref="X15">IFERROR(INDEX('Halo Reach Stats'!$1:$46,MATCH($B15,'Halo Reach Stats'!$A:$A,0),25),"")</f>
        <v>0</v>
      </c>
      <c r="Y15" s="16">
        <f t="array" ref="Y15">IFERROR(INDEX('Halo Reach Stats'!$1:$46,MATCH($B15,'Halo Reach Stats'!$A:$A,0),26),"")</f>
        <v>0</v>
      </c>
      <c r="Z15" s="16">
        <f t="array" ref="Z15">IFERROR(INDEX('Halo Reach Stats'!$1:$46,MATCH($B15,'Halo Reach Stats'!$A:$A,0),27),"")</f>
        <v>0</v>
      </c>
      <c r="AA15" s="16">
        <f t="array" ref="AA15">IFERROR(INDEX('Halo Reach Stats'!$1:$46,MATCH($B15,'Halo Reach Stats'!$A:$A,0),28),"")</f>
        <v>0</v>
      </c>
      <c r="AB15" s="16">
        <f t="array" ref="AB15">IFERROR(INDEX('Halo Reach Stats'!$1:$46,MATCH($B15,'Halo Reach Stats'!$A:$A,0),29),"")</f>
        <v>0</v>
      </c>
      <c r="AC15" s="16">
        <f t="array" ref="AC15">IFERROR(INDEX('Halo Reach Stats'!$1:$46,MATCH($B15,'Halo Reach Stats'!$A:$A,0),30),"")</f>
        <v>0</v>
      </c>
      <c r="AD15" s="16">
        <f t="array" ref="AD15">IFERROR(INDEX('Halo Reach Stats'!$1:$46,MATCH($B15,'Halo Reach Stats'!$A:$A,0),31),"")</f>
        <v>0</v>
      </c>
      <c r="AE15" s="16">
        <f t="array" ref="AE15">IFERROR(INDEX('Halo Reach Stats'!$1:$46,MATCH($B15,'Halo Reach Stats'!$A:$A,0),32),"")</f>
        <v>0</v>
      </c>
      <c r="AF15" s="16">
        <f t="array" ref="AF15">IFERROR(INDEX('Halo Reach Stats'!$1:$46,MATCH($B15,'Halo Reach Stats'!$A:$A,0),33),"")</f>
        <v>1</v>
      </c>
      <c r="AG15" s="16">
        <f t="array" ref="AG15">IFERROR(INDEX('Halo Reach Stats'!$1:$46,MATCH($B15,'Halo Reach Stats'!$A:$A,0),34),"")</f>
        <v>0</v>
      </c>
      <c r="AH15" s="16">
        <f t="array" ref="AH15">IFERROR(INDEX('Halo Reach Stats'!$1:$46,MATCH($B15,'Halo Reach Stats'!$A:$A,0),35),"")</f>
        <v>0</v>
      </c>
    </row>
    <row r="16">
      <c r="A16" s="331"/>
      <c r="B16" s="317" t="s">
        <v>353</v>
      </c>
      <c r="C16" s="332">
        <f>SUM(C12:C15)/4</f>
        <v>0</v>
      </c>
      <c r="D16" s="325"/>
      <c r="E16" s="326">
        <f>SUM(E12:E15)/4</f>
        <v>6.8</v>
      </c>
      <c r="F16" s="321" t="s">
        <v>354</v>
      </c>
      <c r="G16" s="327">
        <f t="shared" ref="G16:J16" si="10">SUM(G12:G15)</f>
        <v>1</v>
      </c>
      <c r="H16" s="327">
        <f t="shared" si="10"/>
        <v>149</v>
      </c>
      <c r="I16" s="327">
        <f t="shared" si="10"/>
        <v>205</v>
      </c>
      <c r="J16" s="327">
        <f t="shared" si="10"/>
        <v>-56</v>
      </c>
      <c r="K16" s="328">
        <f>SUM(K12:K15)/4</f>
        <v>0.7702689609</v>
      </c>
      <c r="L16" s="327">
        <f t="shared" ref="L16:O16" si="11">SUM(L12:L15)</f>
        <v>8</v>
      </c>
      <c r="M16" s="327">
        <f t="shared" si="11"/>
        <v>16</v>
      </c>
      <c r="N16" s="327">
        <f t="shared" si="11"/>
        <v>5</v>
      </c>
      <c r="O16" s="327">
        <f t="shared" si="11"/>
        <v>3288</v>
      </c>
      <c r="P16" s="327">
        <f>SUM(P12:P15)/4</f>
        <v>12</v>
      </c>
      <c r="Q16" s="327">
        <f t="shared" ref="Q16:AH16" si="12">SUM(Q12:Q15)</f>
        <v>2</v>
      </c>
      <c r="R16" s="327">
        <f t="shared" si="12"/>
        <v>0</v>
      </c>
      <c r="S16" s="327">
        <f t="shared" si="12"/>
        <v>0</v>
      </c>
      <c r="T16" s="327">
        <f t="shared" si="12"/>
        <v>0</v>
      </c>
      <c r="U16" s="327">
        <f t="shared" si="12"/>
        <v>0</v>
      </c>
      <c r="V16" s="327">
        <f t="shared" si="12"/>
        <v>22</v>
      </c>
      <c r="W16" s="327">
        <f t="shared" si="12"/>
        <v>1</v>
      </c>
      <c r="X16" s="327">
        <f t="shared" si="12"/>
        <v>0</v>
      </c>
      <c r="Y16" s="327">
        <f t="shared" si="12"/>
        <v>0</v>
      </c>
      <c r="Z16" s="327">
        <f t="shared" si="12"/>
        <v>0</v>
      </c>
      <c r="AA16" s="327">
        <f t="shared" si="12"/>
        <v>0</v>
      </c>
      <c r="AB16" s="327">
        <f t="shared" si="12"/>
        <v>0</v>
      </c>
      <c r="AC16" s="327">
        <f t="shared" si="12"/>
        <v>0</v>
      </c>
      <c r="AD16" s="327">
        <f t="shared" si="12"/>
        <v>0</v>
      </c>
      <c r="AE16" s="327">
        <f t="shared" si="12"/>
        <v>0</v>
      </c>
      <c r="AF16" s="327">
        <f t="shared" si="12"/>
        <v>3</v>
      </c>
      <c r="AG16" s="327">
        <f t="shared" si="12"/>
        <v>0</v>
      </c>
      <c r="AH16" s="327">
        <f t="shared" si="12"/>
        <v>1</v>
      </c>
    </row>
    <row r="17">
      <c r="A17" s="333" t="s">
        <v>357</v>
      </c>
      <c r="B17" s="329" t="str">
        <f t="array" ref="B17">IFERROR(INDEX(TeamInfo!$C1:$C$45,MATCH($A$17,TeamInfo!A:A,0),0),"")</f>
        <v>Into Sublime</v>
      </c>
      <c r="C17" s="14" t="str">
        <f t="array" ref="C17">IFERROR(INDEX('Player Efficiency'!$1:$45,MATCH(B17,'Player Efficiency'!A:A,0),2),"")</f>
        <v/>
      </c>
      <c r="D17" s="310" t="str">
        <f t="array" ref="D17">IFERROR(INDEX(PlayerGrades!$1:$47,MATCH(B17,PlayerGrades!J:J,0),18),"")</f>
        <v>E</v>
      </c>
      <c r="E17" s="310">
        <f t="array" ref="E17">IFERROR(INDEX(PlayerGrades!$1:$47,MATCH(B17,PlayerGrades!J:J,0),19),"")</f>
        <v>5.2</v>
      </c>
      <c r="F17" s="311" t="str">
        <f t="array" ref="F17">IFERROR(INDEX(TeamInfo!$D1:$D$45,MATCH($A$17,TeamInfo!A:A,0),0),"")</f>
        <v>US EAST</v>
      </c>
      <c r="G17" s="16">
        <f t="array" ref="G17">IFERROR(INDEX('Halo Reach Stats'!$1:$46,MATCH($B17,'Halo Reach Stats'!$A:$A,0),8),"")</f>
        <v>4</v>
      </c>
      <c r="H17" s="16">
        <f t="array" ref="H17">IFERROR(INDEX('Halo Reach Stats'!$1:$46,MATCH($B17,'Halo Reach Stats'!$A:$A,0),9),"")</f>
        <v>28</v>
      </c>
      <c r="I17" s="16">
        <f t="array" ref="I17">IFERROR(INDEX('Halo Reach Stats'!$1:$46,MATCH($B17,'Halo Reach Stats'!$A:$A,0),10),"")</f>
        <v>51</v>
      </c>
      <c r="J17" s="16">
        <f t="array" ref="J17">IFERROR(INDEX('Halo Reach Stats'!$1:$46,MATCH($B17,'Halo Reach Stats'!$A:$A,0),11),"")</f>
        <v>-23</v>
      </c>
      <c r="K17" s="312">
        <f t="shared" ref="K17:K20" si="13">H17/I17</f>
        <v>0.5490196078</v>
      </c>
      <c r="L17" s="16">
        <f t="array" ref="L17">IFERROR(INDEX('Halo Reach Stats'!$1:$46,MATCH($B17,'Halo Reach Stats'!$A:$A,0),12),"")</f>
        <v>1</v>
      </c>
      <c r="M17" s="16">
        <f t="array" ref="M17">IFERROR(INDEX('Halo Reach Stats'!$1:$46,MATCH($B17,'Halo Reach Stats'!$A:$A,0),13),"")</f>
        <v>3</v>
      </c>
      <c r="N17" s="16">
        <f t="array" ref="N17">IFERROR(INDEX('Halo Reach Stats'!$1:$46,MATCH($B17,'Halo Reach Stats'!$A:$A,0),14),"")</f>
        <v>1</v>
      </c>
      <c r="O17" s="16">
        <f t="array" ref="O17">IFERROR(INDEX('Halo Reach Stats'!$1:$46,MATCH($B17,'Halo Reach Stats'!$A:$A,0),16),"")</f>
        <v>1144</v>
      </c>
      <c r="P17" s="16">
        <f t="array" ref="P17">IFERROR(INDEX('Halo Reach Stats'!$1:$46,MATCH($B17,'Halo Reach Stats'!$A:$A,0),17),"")</f>
        <v>16</v>
      </c>
      <c r="Q17" s="16">
        <f t="array" ref="Q17">IFERROR(INDEX('Halo Reach Stats'!$1:$46,MATCH($B17,'Halo Reach Stats'!$A:$A,0),18),"")</f>
        <v>0</v>
      </c>
      <c r="R17" s="16">
        <f t="array" ref="R17">IFERROR(INDEX('Halo Reach Stats'!$1:$46,MATCH($B17,'Halo Reach Stats'!$A:$A,0),19),"")</f>
        <v>0</v>
      </c>
      <c r="S17" s="16">
        <f t="array" ref="S17">IFERROR(INDEX('Halo Reach Stats'!$1:$46,MATCH($B17,'Halo Reach Stats'!$A:$A,0),20),"")</f>
        <v>0</v>
      </c>
      <c r="T17" s="16">
        <f t="array" ref="T17">IFERROR(INDEX('Halo Reach Stats'!$1:$46,MATCH($B17,'Halo Reach Stats'!$A:$A,0),21),"")</f>
        <v>0</v>
      </c>
      <c r="U17" s="16">
        <f t="array" ref="U17">IFERROR(INDEX('Halo Reach Stats'!$1:$46,MATCH($B17,'Halo Reach Stats'!$A:$A,0),22),"")</f>
        <v>0</v>
      </c>
      <c r="V17" s="16">
        <f t="array" ref="V17">IFERROR(INDEX('Halo Reach Stats'!$1:$46,MATCH($B17,'Halo Reach Stats'!$A:$A,0),23),"")</f>
        <v>4</v>
      </c>
      <c r="W17" s="16">
        <f t="array" ref="W17">IFERROR(INDEX('Halo Reach Stats'!$1:$46,MATCH($B17,'Halo Reach Stats'!$A:$A,0),24),"")</f>
        <v>0</v>
      </c>
      <c r="X17" s="16">
        <f t="array" ref="X17">IFERROR(INDEX('Halo Reach Stats'!$1:$46,MATCH($B17,'Halo Reach Stats'!$A:$A,0),25),"")</f>
        <v>0</v>
      </c>
      <c r="Y17" s="16">
        <f t="array" ref="Y17">IFERROR(INDEX('Halo Reach Stats'!$1:$46,MATCH($B17,'Halo Reach Stats'!$A:$A,0),26),"")</f>
        <v>0</v>
      </c>
      <c r="Z17" s="16">
        <f t="array" ref="Z17">IFERROR(INDEX('Halo Reach Stats'!$1:$46,MATCH($B17,'Halo Reach Stats'!$A:$A,0),27),"")</f>
        <v>0</v>
      </c>
      <c r="AA17" s="16">
        <f t="array" ref="AA17">IFERROR(INDEX('Halo Reach Stats'!$1:$46,MATCH($B17,'Halo Reach Stats'!$A:$A,0),28),"")</f>
        <v>0</v>
      </c>
      <c r="AB17" s="16">
        <f t="array" ref="AB17">IFERROR(INDEX('Halo Reach Stats'!$1:$46,MATCH($B17,'Halo Reach Stats'!$A:$A,0),29),"")</f>
        <v>0</v>
      </c>
      <c r="AC17" s="16">
        <f t="array" ref="AC17">IFERROR(INDEX('Halo Reach Stats'!$1:$46,MATCH($B17,'Halo Reach Stats'!$A:$A,0),30),"")</f>
        <v>0</v>
      </c>
      <c r="AD17" s="16">
        <f t="array" ref="AD17">IFERROR(INDEX('Halo Reach Stats'!$1:$46,MATCH($B17,'Halo Reach Stats'!$A:$A,0),31),"")</f>
        <v>0</v>
      </c>
      <c r="AE17" s="16">
        <f t="array" ref="AE17">IFERROR(INDEX('Halo Reach Stats'!$1:$46,MATCH($B17,'Halo Reach Stats'!$A:$A,0),32),"")</f>
        <v>0</v>
      </c>
      <c r="AF17" s="16">
        <f t="array" ref="AF17">IFERROR(INDEX('Halo Reach Stats'!$1:$46,MATCH($B17,'Halo Reach Stats'!$A:$A,0),33),"")</f>
        <v>0</v>
      </c>
      <c r="AG17" s="16">
        <f t="array" ref="AG17">IFERROR(INDEX('Halo Reach Stats'!$1:$46,MATCH($B17,'Halo Reach Stats'!$A:$A,0),34),"")</f>
        <v>0</v>
      </c>
      <c r="AH17" s="16">
        <f t="array" ref="AH17">IFERROR(INDEX('Halo Reach Stats'!$1:$46,MATCH($B17,'Halo Reach Stats'!$A:$A,0),35),"")</f>
        <v>0</v>
      </c>
    </row>
    <row r="18">
      <c r="A18" s="330" t="str">
        <f t="array" ref="A18">IFERROR(INDEX(TeamInfo!$1:$45,MATCH(A17,TeamInfo!A:A,0),2),"")</f>
        <v>Beer</v>
      </c>
      <c r="B18" s="1" t="str">
        <f t="array" ref="B18">IFERROR(INDEX(TeamInfo!$C2:$C$45,MATCH($A$17,TeamInfo!A:A,0),0),"")</f>
        <v>Solace VIII</v>
      </c>
      <c r="C18" s="14" t="str">
        <f t="array" ref="C18">IFERROR(INDEX('Player Efficiency'!$1:$45,MATCH(B18,'Player Efficiency'!A:A,0),2),"")</f>
        <v/>
      </c>
      <c r="D18" s="310" t="str">
        <f t="array" ref="D18">IFERROR(INDEX(PlayerGrades!$1:$47,MATCH(B18,PlayerGrades!J:J,0),18),"")</f>
        <v>B</v>
      </c>
      <c r="E18" s="310">
        <f t="array" ref="E18">IFERROR(INDEX(PlayerGrades!$1:$47,MATCH(B18,PlayerGrades!J:J,0),19),"")</f>
        <v>13.1</v>
      </c>
      <c r="F18" s="16" t="str">
        <f t="array" ref="F18">IFERROR(INDEX(TeamInfo!$D2:$D$45,MATCH($A$17,TeamInfo!A:A,0),0),"")</f>
        <v>US NORTH CENTRAL</v>
      </c>
      <c r="G18" s="16">
        <f t="array" ref="G18">IFERROR(INDEX('Halo Reach Stats'!$1:$46,MATCH($B18,'Halo Reach Stats'!$A:$A,0),8),"")</f>
        <v>1</v>
      </c>
      <c r="H18" s="16">
        <f t="array" ref="H18">IFERROR(INDEX('Halo Reach Stats'!$1:$46,MATCH($B18,'Halo Reach Stats'!$A:$A,0),9),"")</f>
        <v>60</v>
      </c>
      <c r="I18" s="16">
        <f t="array" ref="I18">IFERROR(INDEX('Halo Reach Stats'!$1:$46,MATCH($B18,'Halo Reach Stats'!$A:$A,0),10),"")</f>
        <v>67</v>
      </c>
      <c r="J18" s="16">
        <f t="array" ref="J18">IFERROR(INDEX('Halo Reach Stats'!$1:$46,MATCH($B18,'Halo Reach Stats'!$A:$A,0),11),"")</f>
        <v>-7</v>
      </c>
      <c r="K18" s="312">
        <f t="shared" si="13"/>
        <v>0.8955223881</v>
      </c>
      <c r="L18" s="16">
        <f t="array" ref="L18">IFERROR(INDEX('Halo Reach Stats'!$1:$46,MATCH($B18,'Halo Reach Stats'!$A:$A,0),12),"")</f>
        <v>4</v>
      </c>
      <c r="M18" s="16">
        <f t="array" ref="M18">IFERROR(INDEX('Halo Reach Stats'!$1:$46,MATCH($B18,'Halo Reach Stats'!$A:$A,0),13),"")</f>
        <v>4</v>
      </c>
      <c r="N18" s="16">
        <f t="array" ref="N18">IFERROR(INDEX('Halo Reach Stats'!$1:$46,MATCH($B18,'Halo Reach Stats'!$A:$A,0),14),"")</f>
        <v>0</v>
      </c>
      <c r="O18" s="16">
        <f t="array" ref="O18">IFERROR(INDEX('Halo Reach Stats'!$1:$46,MATCH($B18,'Halo Reach Stats'!$A:$A,0),16),"")</f>
        <v>1144</v>
      </c>
      <c r="P18" s="16">
        <f t="array" ref="P18">IFERROR(INDEX('Halo Reach Stats'!$1:$46,MATCH($B18,'Halo Reach Stats'!$A:$A,0),17),"")</f>
        <v>12</v>
      </c>
      <c r="Q18" s="16">
        <f t="array" ref="Q18">IFERROR(INDEX('Halo Reach Stats'!$1:$46,MATCH($B18,'Halo Reach Stats'!$A:$A,0),18),"")</f>
        <v>0</v>
      </c>
      <c r="R18" s="16">
        <f t="array" ref="R18">IFERROR(INDEX('Halo Reach Stats'!$1:$46,MATCH($B18,'Halo Reach Stats'!$A:$A,0),19),"")</f>
        <v>0</v>
      </c>
      <c r="S18" s="16">
        <f t="array" ref="S18">IFERROR(INDEX('Halo Reach Stats'!$1:$46,MATCH($B18,'Halo Reach Stats'!$A:$A,0),20),"")</f>
        <v>0</v>
      </c>
      <c r="T18" s="16">
        <f t="array" ref="T18">IFERROR(INDEX('Halo Reach Stats'!$1:$46,MATCH($B18,'Halo Reach Stats'!$A:$A,0),21),"")</f>
        <v>0</v>
      </c>
      <c r="U18" s="16">
        <f t="array" ref="U18">IFERROR(INDEX('Halo Reach Stats'!$1:$46,MATCH($B18,'Halo Reach Stats'!$A:$A,0),22),"")</f>
        <v>0</v>
      </c>
      <c r="V18" s="16">
        <f t="array" ref="V18">IFERROR(INDEX('Halo Reach Stats'!$1:$46,MATCH($B18,'Halo Reach Stats'!$A:$A,0),23),"")</f>
        <v>9</v>
      </c>
      <c r="W18" s="16">
        <f t="array" ref="W18">IFERROR(INDEX('Halo Reach Stats'!$1:$46,MATCH($B18,'Halo Reach Stats'!$A:$A,0),24),"")</f>
        <v>3</v>
      </c>
      <c r="X18" s="16">
        <f t="array" ref="X18">IFERROR(INDEX('Halo Reach Stats'!$1:$46,MATCH($B18,'Halo Reach Stats'!$A:$A,0),25),"")</f>
        <v>0</v>
      </c>
      <c r="Y18" s="16">
        <f t="array" ref="Y18">IFERROR(INDEX('Halo Reach Stats'!$1:$46,MATCH($B18,'Halo Reach Stats'!$A:$A,0),26),"")</f>
        <v>0</v>
      </c>
      <c r="Z18" s="16">
        <f t="array" ref="Z18">IFERROR(INDEX('Halo Reach Stats'!$1:$46,MATCH($B18,'Halo Reach Stats'!$A:$A,0),27),"")</f>
        <v>0</v>
      </c>
      <c r="AA18" s="16">
        <f t="array" ref="AA18">IFERROR(INDEX('Halo Reach Stats'!$1:$46,MATCH($B18,'Halo Reach Stats'!$A:$A,0),28),"")</f>
        <v>0</v>
      </c>
      <c r="AB18" s="16">
        <f t="array" ref="AB18">IFERROR(INDEX('Halo Reach Stats'!$1:$46,MATCH($B18,'Halo Reach Stats'!$A:$A,0),29),"")</f>
        <v>0</v>
      </c>
      <c r="AC18" s="16">
        <f t="array" ref="AC18">IFERROR(INDEX('Halo Reach Stats'!$1:$46,MATCH($B18,'Halo Reach Stats'!$A:$A,0),30),"")</f>
        <v>0</v>
      </c>
      <c r="AD18" s="16">
        <f t="array" ref="AD18">IFERROR(INDEX('Halo Reach Stats'!$1:$46,MATCH($B18,'Halo Reach Stats'!$A:$A,0),31),"")</f>
        <v>0</v>
      </c>
      <c r="AE18" s="16">
        <f t="array" ref="AE18">IFERROR(INDEX('Halo Reach Stats'!$1:$46,MATCH($B18,'Halo Reach Stats'!$A:$A,0),32),"")</f>
        <v>0</v>
      </c>
      <c r="AF18" s="16">
        <f t="array" ref="AF18">IFERROR(INDEX('Halo Reach Stats'!$1:$46,MATCH($B18,'Halo Reach Stats'!$A:$A,0),33),"")</f>
        <v>3</v>
      </c>
      <c r="AG18" s="16">
        <f t="array" ref="AG18">IFERROR(INDEX('Halo Reach Stats'!$1:$46,MATCH($B18,'Halo Reach Stats'!$A:$A,0),34),"")</f>
        <v>0</v>
      </c>
      <c r="AH18" s="16">
        <f t="array" ref="AH18">IFERROR(INDEX('Halo Reach Stats'!$1:$46,MATCH($B18,'Halo Reach Stats'!$A:$A,0),35),"")</f>
        <v>0</v>
      </c>
    </row>
    <row r="19">
      <c r="A19" s="12" t="str">
        <f t="array" ref="A19">IFERROR(INDEX(TeamInfo!$1:$45,MATCH(A17,TeamInfo!A:A,0),5),"")</f>
        <v/>
      </c>
      <c r="B19" s="1" t="str">
        <f t="array" ref="B19">IFERROR(INDEX(TeamInfo!$C3:$C$45,MATCH($A$17,TeamInfo!A:A,0),0),"")</f>
        <v>siiiy kids</v>
      </c>
      <c r="C19" s="14" t="str">
        <f t="array" ref="C19">IFERROR(INDEX('Player Efficiency'!$1:$45,MATCH(B19,'Player Efficiency'!A:A,0),2),"")</f>
        <v/>
      </c>
      <c r="D19" s="310" t="str">
        <f t="array" ref="D19">IFERROR(INDEX(PlayerGrades!$1:$47,MATCH(B19,PlayerGrades!J:J,0),18),"")</f>
        <v>C</v>
      </c>
      <c r="E19" s="310">
        <f t="array" ref="E19">IFERROR(INDEX(PlayerGrades!$1:$47,MATCH(B19,PlayerGrades!J:J,0),19),"")</f>
        <v>11.1</v>
      </c>
      <c r="F19" s="16" t="str">
        <f t="array" ref="F19">IFERROR(INDEX(TeamInfo!$D3:$D$45,MATCH($A$17,TeamInfo!A:A,0),0),"")</f>
        <v>US EAST</v>
      </c>
      <c r="G19" s="16">
        <f t="array" ref="G19">IFERROR(INDEX('Halo Reach Stats'!$1:$46,MATCH($B19,'Halo Reach Stats'!$A:$A,0),8),"")</f>
        <v>0</v>
      </c>
      <c r="H19" s="16">
        <f t="array" ref="H19">IFERROR(INDEX('Halo Reach Stats'!$1:$46,MATCH($B19,'Halo Reach Stats'!$A:$A,0),9),"")</f>
        <v>69</v>
      </c>
      <c r="I19" s="16">
        <f t="array" ref="I19">IFERROR(INDEX('Halo Reach Stats'!$1:$46,MATCH($B19,'Halo Reach Stats'!$A:$A,0),10),"")</f>
        <v>78</v>
      </c>
      <c r="J19" s="16">
        <f t="array" ref="J19">IFERROR(INDEX('Halo Reach Stats'!$1:$46,MATCH($B19,'Halo Reach Stats'!$A:$A,0),11),"")</f>
        <v>-9</v>
      </c>
      <c r="K19" s="312">
        <f t="shared" si="13"/>
        <v>0.8846153846</v>
      </c>
      <c r="L19" s="16">
        <f t="array" ref="L19">IFERROR(INDEX('Halo Reach Stats'!$1:$46,MATCH($B19,'Halo Reach Stats'!$A:$A,0),12),"")</f>
        <v>5</v>
      </c>
      <c r="M19" s="16">
        <f t="array" ref="M19">IFERROR(INDEX('Halo Reach Stats'!$1:$46,MATCH($B19,'Halo Reach Stats'!$A:$A,0),13),"")</f>
        <v>5</v>
      </c>
      <c r="N19" s="16">
        <f t="array" ref="N19">IFERROR(INDEX('Halo Reach Stats'!$1:$46,MATCH($B19,'Halo Reach Stats'!$A:$A,0),14),"")</f>
        <v>3</v>
      </c>
      <c r="O19" s="16">
        <f t="array" ref="O19">IFERROR(INDEX('Halo Reach Stats'!$1:$46,MATCH($B19,'Halo Reach Stats'!$A:$A,0),16),"")</f>
        <v>1144</v>
      </c>
      <c r="P19" s="16">
        <f t="array" ref="P19">IFERROR(INDEX('Halo Reach Stats'!$1:$46,MATCH($B19,'Halo Reach Stats'!$A:$A,0),17),"")</f>
        <v>10</v>
      </c>
      <c r="Q19" s="16">
        <f t="array" ref="Q19">IFERROR(INDEX('Halo Reach Stats'!$1:$46,MATCH($B19,'Halo Reach Stats'!$A:$A,0),18),"")</f>
        <v>1</v>
      </c>
      <c r="R19" s="16">
        <f t="array" ref="R19">IFERROR(INDEX('Halo Reach Stats'!$1:$46,MATCH($B19,'Halo Reach Stats'!$A:$A,0),19),"")</f>
        <v>0</v>
      </c>
      <c r="S19" s="16">
        <f t="array" ref="S19">IFERROR(INDEX('Halo Reach Stats'!$1:$46,MATCH($B19,'Halo Reach Stats'!$A:$A,0),20),"")</f>
        <v>0</v>
      </c>
      <c r="T19" s="16">
        <f t="array" ref="T19">IFERROR(INDEX('Halo Reach Stats'!$1:$46,MATCH($B19,'Halo Reach Stats'!$A:$A,0),21),"")</f>
        <v>0</v>
      </c>
      <c r="U19" s="16">
        <f t="array" ref="U19">IFERROR(INDEX('Halo Reach Stats'!$1:$46,MATCH($B19,'Halo Reach Stats'!$A:$A,0),22),"")</f>
        <v>0</v>
      </c>
      <c r="V19" s="16">
        <f t="array" ref="V19">IFERROR(INDEX('Halo Reach Stats'!$1:$46,MATCH($B19,'Halo Reach Stats'!$A:$A,0),23),"")</f>
        <v>11</v>
      </c>
      <c r="W19" s="16">
        <f t="array" ref="W19">IFERROR(INDEX('Halo Reach Stats'!$1:$46,MATCH($B19,'Halo Reach Stats'!$A:$A,0),24),"")</f>
        <v>2</v>
      </c>
      <c r="X19" s="16">
        <f t="array" ref="X19">IFERROR(INDEX('Halo Reach Stats'!$1:$46,MATCH($B19,'Halo Reach Stats'!$A:$A,0),25),"")</f>
        <v>0</v>
      </c>
      <c r="Y19" s="16">
        <f t="array" ref="Y19">IFERROR(INDEX('Halo Reach Stats'!$1:$46,MATCH($B19,'Halo Reach Stats'!$A:$A,0),26),"")</f>
        <v>0</v>
      </c>
      <c r="Z19" s="16">
        <f t="array" ref="Z19">IFERROR(INDEX('Halo Reach Stats'!$1:$46,MATCH($B19,'Halo Reach Stats'!$A:$A,0),27),"")</f>
        <v>0</v>
      </c>
      <c r="AA19" s="16">
        <f t="array" ref="AA19">IFERROR(INDEX('Halo Reach Stats'!$1:$46,MATCH($B19,'Halo Reach Stats'!$A:$A,0),28),"")</f>
        <v>0</v>
      </c>
      <c r="AB19" s="16">
        <f t="array" ref="AB19">IFERROR(INDEX('Halo Reach Stats'!$1:$46,MATCH($B19,'Halo Reach Stats'!$A:$A,0),29),"")</f>
        <v>0</v>
      </c>
      <c r="AC19" s="16">
        <f t="array" ref="AC19">IFERROR(INDEX('Halo Reach Stats'!$1:$46,MATCH($B19,'Halo Reach Stats'!$A:$A,0),30),"")</f>
        <v>0</v>
      </c>
      <c r="AD19" s="16">
        <f t="array" ref="AD19">IFERROR(INDEX('Halo Reach Stats'!$1:$46,MATCH($B19,'Halo Reach Stats'!$A:$A,0),31),"")</f>
        <v>0</v>
      </c>
      <c r="AE19" s="16">
        <f t="array" ref="AE19">IFERROR(INDEX('Halo Reach Stats'!$1:$46,MATCH($B19,'Halo Reach Stats'!$A:$A,0),32),"")</f>
        <v>0</v>
      </c>
      <c r="AF19" s="16">
        <f t="array" ref="AF19">IFERROR(INDEX('Halo Reach Stats'!$1:$46,MATCH($B19,'Halo Reach Stats'!$A:$A,0),33),"")</f>
        <v>0</v>
      </c>
      <c r="AG19" s="16">
        <f t="array" ref="AG19">IFERROR(INDEX('Halo Reach Stats'!$1:$46,MATCH($B19,'Halo Reach Stats'!$A:$A,0),34),"")</f>
        <v>0</v>
      </c>
      <c r="AH19" s="16">
        <f t="array" ref="AH19">IFERROR(INDEX('Halo Reach Stats'!$1:$46,MATCH($B19,'Halo Reach Stats'!$A:$A,0),35),"")</f>
        <v>1</v>
      </c>
    </row>
    <row r="20">
      <c r="A20" s="315" t="str">
        <f>IF(((E17+E18+E19+E20)/4)&lt;=5.55,"F",IF(((E17+E18+E19+E20)/4)&lt;9.25,"E",IF(((E17+E18+E19+E20)/4)&lt;12.95,"D",IF(((E17+E18+E19+E20)/4)&lt;16.65,"C",IF(((E17+E18+E19+E20)/4)&lt;20.35,"B",IF(((E17+E18+E19+E20)/4)&lt;24.05,"A","S"))))))</f>
        <v>E</v>
      </c>
      <c r="B20" s="1" t="str">
        <f t="array" ref="B20">IFERROR(INDEX(TeamInfo!$C4:$C$45,MATCH($A$17,TeamInfo!A:A,0),0),"")</f>
        <v>ADhillyy</v>
      </c>
      <c r="C20" s="14" t="str">
        <f t="array" ref="C20">IFERROR(INDEX('Player Efficiency'!$1:$45,MATCH(B20,'Player Efficiency'!A:A,0),2),"")</f>
        <v/>
      </c>
      <c r="D20" s="310" t="str">
        <f t="array" ref="D20">IFERROR(INDEX(PlayerGrades!$1:$47,MATCH(B20,PlayerGrades!J:J,0),18),"")</f>
        <v>E</v>
      </c>
      <c r="E20" s="310">
        <f t="array" ref="E20">IFERROR(INDEX(PlayerGrades!$1:$47,MATCH(B20,PlayerGrades!J:J,0),19),"")</f>
        <v>4.9</v>
      </c>
      <c r="F20" s="16" t="str">
        <f t="array" ref="F20">IFERROR(INDEX(TeamInfo!$D4:$D$45,MATCH($A$17,TeamInfo!A:A,0),0),"")</f>
        <v>Canada</v>
      </c>
      <c r="G20" s="16">
        <f t="array" ref="G20">IFERROR(INDEX('Halo Reach Stats'!$1:$46,MATCH($B20,'Halo Reach Stats'!$A:$A,0),8),"")</f>
        <v>0</v>
      </c>
      <c r="H20" s="16">
        <f t="array" ref="H20">IFERROR(INDEX('Halo Reach Stats'!$1:$46,MATCH($B20,'Halo Reach Stats'!$A:$A,0),9),"")</f>
        <v>49</v>
      </c>
      <c r="I20" s="16">
        <f t="array" ref="I20">IFERROR(INDEX('Halo Reach Stats'!$1:$46,MATCH($B20,'Halo Reach Stats'!$A:$A,0),10),"")</f>
        <v>70</v>
      </c>
      <c r="J20" s="16">
        <f t="array" ref="J20">IFERROR(INDEX('Halo Reach Stats'!$1:$46,MATCH($B20,'Halo Reach Stats'!$A:$A,0),11),"")</f>
        <v>-21</v>
      </c>
      <c r="K20" s="312">
        <f t="shared" si="13"/>
        <v>0.7</v>
      </c>
      <c r="L20" s="16">
        <f t="array" ref="L20">IFERROR(INDEX('Halo Reach Stats'!$1:$46,MATCH($B20,'Halo Reach Stats'!$A:$A,0),12),"")</f>
        <v>2</v>
      </c>
      <c r="M20" s="16">
        <f t="array" ref="M20">IFERROR(INDEX('Halo Reach Stats'!$1:$46,MATCH($B20,'Halo Reach Stats'!$A:$A,0),13),"")</f>
        <v>4</v>
      </c>
      <c r="N20" s="16">
        <f t="array" ref="N20">IFERROR(INDEX('Halo Reach Stats'!$1:$46,MATCH($B20,'Halo Reach Stats'!$A:$A,0),14),"")</f>
        <v>0</v>
      </c>
      <c r="O20" s="16">
        <f t="array" ref="O20">IFERROR(INDEX('Halo Reach Stats'!$1:$46,MATCH($B20,'Halo Reach Stats'!$A:$A,0),16),"")</f>
        <v>1144</v>
      </c>
      <c r="P20" s="16">
        <f t="array" ref="P20">IFERROR(INDEX('Halo Reach Stats'!$1:$46,MATCH($B20,'Halo Reach Stats'!$A:$A,0),17),"")</f>
        <v>11</v>
      </c>
      <c r="Q20" s="16">
        <f t="array" ref="Q20">IFERROR(INDEX('Halo Reach Stats'!$1:$46,MATCH($B20,'Halo Reach Stats'!$A:$A,0),18),"")</f>
        <v>0</v>
      </c>
      <c r="R20" s="16">
        <f t="array" ref="R20">IFERROR(INDEX('Halo Reach Stats'!$1:$46,MATCH($B20,'Halo Reach Stats'!$A:$A,0),19),"")</f>
        <v>0</v>
      </c>
      <c r="S20" s="16">
        <f t="array" ref="S20">IFERROR(INDEX('Halo Reach Stats'!$1:$46,MATCH($B20,'Halo Reach Stats'!$A:$A,0),20),"")</f>
        <v>0</v>
      </c>
      <c r="T20" s="16">
        <f t="array" ref="T20">IFERROR(INDEX('Halo Reach Stats'!$1:$46,MATCH($B20,'Halo Reach Stats'!$A:$A,0),21),"")</f>
        <v>0</v>
      </c>
      <c r="U20" s="16">
        <f t="array" ref="U20">IFERROR(INDEX('Halo Reach Stats'!$1:$46,MATCH($B20,'Halo Reach Stats'!$A:$A,0),22),"")</f>
        <v>0</v>
      </c>
      <c r="V20" s="16">
        <f t="array" ref="V20">IFERROR(INDEX('Halo Reach Stats'!$1:$46,MATCH($B20,'Halo Reach Stats'!$A:$A,0),23),"")</f>
        <v>7</v>
      </c>
      <c r="W20" s="16">
        <f t="array" ref="W20">IFERROR(INDEX('Halo Reach Stats'!$1:$46,MATCH($B20,'Halo Reach Stats'!$A:$A,0),24),"")</f>
        <v>1</v>
      </c>
      <c r="X20" s="16">
        <f t="array" ref="X20">IFERROR(INDEX('Halo Reach Stats'!$1:$46,MATCH($B20,'Halo Reach Stats'!$A:$A,0),25),"")</f>
        <v>0</v>
      </c>
      <c r="Y20" s="16">
        <f t="array" ref="Y20">IFERROR(INDEX('Halo Reach Stats'!$1:$46,MATCH($B20,'Halo Reach Stats'!$A:$A,0),26),"")</f>
        <v>0</v>
      </c>
      <c r="Z20" s="16">
        <f t="array" ref="Z20">IFERROR(INDEX('Halo Reach Stats'!$1:$46,MATCH($B20,'Halo Reach Stats'!$A:$A,0),27),"")</f>
        <v>0</v>
      </c>
      <c r="AA20" s="16">
        <f t="array" ref="AA20">IFERROR(INDEX('Halo Reach Stats'!$1:$46,MATCH($B20,'Halo Reach Stats'!$A:$A,0),28),"")</f>
        <v>0</v>
      </c>
      <c r="AB20" s="16">
        <f t="array" ref="AB20">IFERROR(INDEX('Halo Reach Stats'!$1:$46,MATCH($B20,'Halo Reach Stats'!$A:$A,0),29),"")</f>
        <v>0</v>
      </c>
      <c r="AC20" s="16">
        <f t="array" ref="AC20">IFERROR(INDEX('Halo Reach Stats'!$1:$46,MATCH($B20,'Halo Reach Stats'!$A:$A,0),30),"")</f>
        <v>0</v>
      </c>
      <c r="AD20" s="16">
        <f t="array" ref="AD20">IFERROR(INDEX('Halo Reach Stats'!$1:$46,MATCH($B20,'Halo Reach Stats'!$A:$A,0),31),"")</f>
        <v>0</v>
      </c>
      <c r="AE20" s="16">
        <f t="array" ref="AE20">IFERROR(INDEX('Halo Reach Stats'!$1:$46,MATCH($B20,'Halo Reach Stats'!$A:$A,0),32),"")</f>
        <v>0</v>
      </c>
      <c r="AF20" s="16">
        <f t="array" ref="AF20">IFERROR(INDEX('Halo Reach Stats'!$1:$46,MATCH($B20,'Halo Reach Stats'!$A:$A,0),33),"")</f>
        <v>1</v>
      </c>
      <c r="AG20" s="16">
        <f t="array" ref="AG20">IFERROR(INDEX('Halo Reach Stats'!$1:$46,MATCH($B20,'Halo Reach Stats'!$A:$A,0),34),"")</f>
        <v>0</v>
      </c>
      <c r="AH20" s="16">
        <f t="array" ref="AH20">IFERROR(INDEX('Halo Reach Stats'!$1:$46,MATCH($B20,'Halo Reach Stats'!$A:$A,0),35),"")</f>
        <v>0</v>
      </c>
    </row>
    <row r="21">
      <c r="A21" s="331"/>
      <c r="B21" s="317" t="s">
        <v>353</v>
      </c>
      <c r="C21" s="332">
        <f>SUM(C17:C20)/4</f>
        <v>0</v>
      </c>
      <c r="D21" s="325"/>
      <c r="E21" s="326">
        <f>SUM(E17:E20)/4</f>
        <v>8.575</v>
      </c>
      <c r="F21" s="321" t="s">
        <v>354</v>
      </c>
      <c r="G21" s="327">
        <f t="shared" ref="G21:J21" si="14">SUM(G17:G20)</f>
        <v>5</v>
      </c>
      <c r="H21" s="327">
        <f t="shared" si="14"/>
        <v>206</v>
      </c>
      <c r="I21" s="327">
        <f t="shared" si="14"/>
        <v>266</v>
      </c>
      <c r="J21" s="327">
        <f t="shared" si="14"/>
        <v>-60</v>
      </c>
      <c r="K21" s="328">
        <f>SUM(K17:K20)/4</f>
        <v>0.7572893451</v>
      </c>
      <c r="L21" s="327">
        <f t="shared" ref="L21:O21" si="15">SUM(L17:L20)</f>
        <v>12</v>
      </c>
      <c r="M21" s="327">
        <f t="shared" si="15"/>
        <v>16</v>
      </c>
      <c r="N21" s="327">
        <f t="shared" si="15"/>
        <v>4</v>
      </c>
      <c r="O21" s="327">
        <f t="shared" si="15"/>
        <v>4576</v>
      </c>
      <c r="P21" s="327">
        <f>SUM(P17:P20)/4</f>
        <v>12.25</v>
      </c>
      <c r="Q21" s="327">
        <f t="shared" ref="Q21:AH21" si="16">SUM(Q17:Q20)</f>
        <v>1</v>
      </c>
      <c r="R21" s="327">
        <f t="shared" si="16"/>
        <v>0</v>
      </c>
      <c r="S21" s="327">
        <f t="shared" si="16"/>
        <v>0</v>
      </c>
      <c r="T21" s="327">
        <f t="shared" si="16"/>
        <v>0</v>
      </c>
      <c r="U21" s="327">
        <f t="shared" si="16"/>
        <v>0</v>
      </c>
      <c r="V21" s="327">
        <f t="shared" si="16"/>
        <v>31</v>
      </c>
      <c r="W21" s="327">
        <f t="shared" si="16"/>
        <v>6</v>
      </c>
      <c r="X21" s="327">
        <f t="shared" si="16"/>
        <v>0</v>
      </c>
      <c r="Y21" s="327">
        <f t="shared" si="16"/>
        <v>0</v>
      </c>
      <c r="Z21" s="327">
        <f t="shared" si="16"/>
        <v>0</v>
      </c>
      <c r="AA21" s="327">
        <f t="shared" si="16"/>
        <v>0</v>
      </c>
      <c r="AB21" s="327">
        <f t="shared" si="16"/>
        <v>0</v>
      </c>
      <c r="AC21" s="327">
        <f t="shared" si="16"/>
        <v>0</v>
      </c>
      <c r="AD21" s="327">
        <f t="shared" si="16"/>
        <v>0</v>
      </c>
      <c r="AE21" s="327">
        <f t="shared" si="16"/>
        <v>0</v>
      </c>
      <c r="AF21" s="327">
        <f t="shared" si="16"/>
        <v>4</v>
      </c>
      <c r="AG21" s="327">
        <f t="shared" si="16"/>
        <v>0</v>
      </c>
      <c r="AH21" s="327">
        <f t="shared" si="16"/>
        <v>1</v>
      </c>
    </row>
    <row r="22">
      <c r="A22" s="333" t="s">
        <v>358</v>
      </c>
      <c r="B22" s="329" t="str">
        <f t="array" ref="B22">IFERROR(INDEX(TeamInfo!$C1:$C$45,MATCH($A$22,TeamInfo!A:A,0),0),"")</f>
        <v>Dabb</v>
      </c>
      <c r="C22" s="14" t="str">
        <f t="array" ref="C22">IFERROR(INDEX('Player Efficiency'!$1:$45,MATCH(B22,'Player Efficiency'!A:A,0),2),"")</f>
        <v/>
      </c>
      <c r="D22" s="310" t="str">
        <f t="array" ref="D22">IFERROR(INDEX(PlayerGrades!$1:$47,MATCH(B22,PlayerGrades!J:J,0),18),"")</f>
        <v>C</v>
      </c>
      <c r="E22" s="310">
        <f t="array" ref="E22">IFERROR(INDEX(PlayerGrades!$1:$47,MATCH(B22,PlayerGrades!J:J,0),19),"")</f>
        <v>12.3</v>
      </c>
      <c r="F22" s="311" t="str">
        <f t="array" ref="F22">IFERROR(INDEX(TeamInfo!$D1:$D$45,MATCH($A$22,TeamInfo!A:A,0),0),"")</f>
        <v>US NORTH CENTRAL</v>
      </c>
      <c r="G22" s="16">
        <f t="array" ref="G22">IFERROR(INDEX('Halo Reach Stats'!$1:$46,MATCH($B22,'Halo Reach Stats'!$A:$A,0),8),"")</f>
        <v>6</v>
      </c>
      <c r="H22" s="16">
        <f t="array" ref="H22">IFERROR(INDEX('Halo Reach Stats'!$1:$46,MATCH($B22,'Halo Reach Stats'!$A:$A,0),9),"")</f>
        <v>169</v>
      </c>
      <c r="I22" s="16">
        <f t="array" ref="I22">IFERROR(INDEX('Halo Reach Stats'!$1:$46,MATCH($B22,'Halo Reach Stats'!$A:$A,0),10),"")</f>
        <v>134</v>
      </c>
      <c r="J22" s="16">
        <f t="array" ref="J22">IFERROR(INDEX('Halo Reach Stats'!$1:$46,MATCH($B22,'Halo Reach Stats'!$A:$A,0),11),"")</f>
        <v>35</v>
      </c>
      <c r="K22" s="312">
        <f t="shared" ref="K22:K25" si="17">H22/I22</f>
        <v>1.26119403</v>
      </c>
      <c r="L22" s="16">
        <f t="array" ref="L22">IFERROR(INDEX('Halo Reach Stats'!$1:$46,MATCH($B22,'Halo Reach Stats'!$A:$A,0),12),"")</f>
        <v>10</v>
      </c>
      <c r="M22" s="16">
        <f t="array" ref="M22">IFERROR(INDEX('Halo Reach Stats'!$1:$46,MATCH($B22,'Halo Reach Stats'!$A:$A,0),13),"")</f>
        <v>11</v>
      </c>
      <c r="N22" s="16">
        <f t="array" ref="N22">IFERROR(INDEX('Halo Reach Stats'!$1:$46,MATCH($B22,'Halo Reach Stats'!$A:$A,0),14),"")</f>
        <v>2</v>
      </c>
      <c r="O22" s="16">
        <f t="array" ref="O22">IFERROR(INDEX('Halo Reach Stats'!$1:$46,MATCH($B22,'Halo Reach Stats'!$A:$A,0),16),"")</f>
        <v>3581</v>
      </c>
      <c r="P22" s="16">
        <f t="array" ref="P22">IFERROR(INDEX('Halo Reach Stats'!$1:$46,MATCH($B22,'Halo Reach Stats'!$A:$A,0),17),"")</f>
        <v>22</v>
      </c>
      <c r="Q22" s="16">
        <f t="array" ref="Q22">IFERROR(INDEX('Halo Reach Stats'!$1:$46,MATCH($B22,'Halo Reach Stats'!$A:$A,0),18),"")</f>
        <v>8</v>
      </c>
      <c r="R22" s="16">
        <f t="array" ref="R22">IFERROR(INDEX('Halo Reach Stats'!$1:$46,MATCH($B22,'Halo Reach Stats'!$A:$A,0),19),"")</f>
        <v>2</v>
      </c>
      <c r="S22" s="16">
        <f t="array" ref="S22">IFERROR(INDEX('Halo Reach Stats'!$1:$46,MATCH($B22,'Halo Reach Stats'!$A:$A,0),20),"")</f>
        <v>0</v>
      </c>
      <c r="T22" s="16">
        <f t="array" ref="T22">IFERROR(INDEX('Halo Reach Stats'!$1:$46,MATCH($B22,'Halo Reach Stats'!$A:$A,0),21),"")</f>
        <v>0</v>
      </c>
      <c r="U22" s="16">
        <f t="array" ref="U22">IFERROR(INDEX('Halo Reach Stats'!$1:$46,MATCH($B22,'Halo Reach Stats'!$A:$A,0),22),"")</f>
        <v>0</v>
      </c>
      <c r="V22" s="16">
        <f t="array" ref="V22">IFERROR(INDEX('Halo Reach Stats'!$1:$46,MATCH($B22,'Halo Reach Stats'!$A:$A,0),23),"")</f>
        <v>23</v>
      </c>
      <c r="W22" s="16">
        <f t="array" ref="W22">IFERROR(INDEX('Halo Reach Stats'!$1:$46,MATCH($B22,'Halo Reach Stats'!$A:$A,0),24),"")</f>
        <v>4</v>
      </c>
      <c r="X22" s="16">
        <f t="array" ref="X22">IFERROR(INDEX('Halo Reach Stats'!$1:$46,MATCH($B22,'Halo Reach Stats'!$A:$A,0),25),"")</f>
        <v>0</v>
      </c>
      <c r="Y22" s="16">
        <f t="array" ref="Y22">IFERROR(INDEX('Halo Reach Stats'!$1:$46,MATCH($B22,'Halo Reach Stats'!$A:$A,0),26),"")</f>
        <v>0</v>
      </c>
      <c r="Z22" s="16">
        <f t="array" ref="Z22">IFERROR(INDEX('Halo Reach Stats'!$1:$46,MATCH($B22,'Halo Reach Stats'!$A:$A,0),27),"")</f>
        <v>0</v>
      </c>
      <c r="AA22" s="16">
        <f t="array" ref="AA22">IFERROR(INDEX('Halo Reach Stats'!$1:$46,MATCH($B22,'Halo Reach Stats'!$A:$A,0),28),"")</f>
        <v>0</v>
      </c>
      <c r="AB22" s="16">
        <f t="array" ref="AB22">IFERROR(INDEX('Halo Reach Stats'!$1:$46,MATCH($B22,'Halo Reach Stats'!$A:$A,0),29),"")</f>
        <v>0</v>
      </c>
      <c r="AC22" s="16">
        <f t="array" ref="AC22">IFERROR(INDEX('Halo Reach Stats'!$1:$46,MATCH($B22,'Halo Reach Stats'!$A:$A,0),30),"")</f>
        <v>0</v>
      </c>
      <c r="AD22" s="16">
        <f t="array" ref="AD22">IFERROR(INDEX('Halo Reach Stats'!$1:$46,MATCH($B22,'Halo Reach Stats'!$A:$A,0),31),"")</f>
        <v>0</v>
      </c>
      <c r="AE22" s="16">
        <f t="array" ref="AE22">IFERROR(INDEX('Halo Reach Stats'!$1:$46,MATCH($B22,'Halo Reach Stats'!$A:$A,0),32),"")</f>
        <v>0</v>
      </c>
      <c r="AF22" s="16">
        <f t="array" ref="AF22">IFERROR(INDEX('Halo Reach Stats'!$1:$46,MATCH($B22,'Halo Reach Stats'!$A:$A,0),33),"")</f>
        <v>1</v>
      </c>
      <c r="AG22" s="16">
        <f t="array" ref="AG22">IFERROR(INDEX('Halo Reach Stats'!$1:$46,MATCH($B22,'Halo Reach Stats'!$A:$A,0),34),"")</f>
        <v>0</v>
      </c>
      <c r="AH22" s="16">
        <f t="array" ref="AH22">IFERROR(INDEX('Halo Reach Stats'!$1:$46,MATCH($B22,'Halo Reach Stats'!$A:$A,0),35),"")</f>
        <v>2</v>
      </c>
    </row>
    <row r="23">
      <c r="A23" s="330" t="str">
        <f t="array" ref="A23">IFERROR(INDEX(TeamInfo!$1:$45,MATCH(A22,TeamInfo!A:A,0),2),"")</f>
        <v>bbaD Company</v>
      </c>
      <c r="B23" s="1" t="str">
        <f t="array" ref="B23">IFERROR(INDEX(TeamInfo!$C2:$C$45,MATCH($A$22,TeamInfo!A:A,0),0),"")</f>
        <v>Fanciest Pants</v>
      </c>
      <c r="C23" s="14" t="str">
        <f t="array" ref="C23">IFERROR(INDEX('Player Efficiency'!$1:$45,MATCH(B23,'Player Efficiency'!A:A,0),2),"")</f>
        <v/>
      </c>
      <c r="D23" s="310" t="str">
        <f t="array" ref="D23">IFERROR(INDEX(PlayerGrades!$1:$47,MATCH(B23,PlayerGrades!J:J,0),18),"")</f>
        <v>D</v>
      </c>
      <c r="E23" s="310">
        <f t="array" ref="E23">IFERROR(INDEX(PlayerGrades!$1:$47,MATCH(B23,PlayerGrades!J:J,0),19),"")</f>
        <v>7.6</v>
      </c>
      <c r="F23" s="16" t="str">
        <f t="array" ref="F23">IFERROR(INDEX(TeamInfo!$D2:$D$45,MATCH($A$22,TeamInfo!A:A,0),0),"")</f>
        <v>US SOUTH CENTRAL</v>
      </c>
      <c r="G23" s="16">
        <f t="array" ref="G23">IFERROR(INDEX('Halo Reach Stats'!$1:$46,MATCH($B23,'Halo Reach Stats'!$A:$A,0),8),"")</f>
        <v>0</v>
      </c>
      <c r="H23" s="16">
        <f t="array" ref="H23">IFERROR(INDEX('Halo Reach Stats'!$1:$46,MATCH($B23,'Halo Reach Stats'!$A:$A,0),9),"")</f>
        <v>199</v>
      </c>
      <c r="I23" s="16">
        <f t="array" ref="I23">IFERROR(INDEX('Halo Reach Stats'!$1:$46,MATCH($B23,'Halo Reach Stats'!$A:$A,0),10),"")</f>
        <v>246</v>
      </c>
      <c r="J23" s="16">
        <f t="array" ref="J23">IFERROR(INDEX('Halo Reach Stats'!$1:$46,MATCH($B23,'Halo Reach Stats'!$A:$A,0),11),"")</f>
        <v>-47</v>
      </c>
      <c r="K23" s="312">
        <f t="shared" si="17"/>
        <v>0.8089430894</v>
      </c>
      <c r="L23" s="16">
        <f t="array" ref="L23">IFERROR(INDEX('Halo Reach Stats'!$1:$46,MATCH($B23,'Halo Reach Stats'!$A:$A,0),12),"")</f>
        <v>14</v>
      </c>
      <c r="M23" s="16">
        <f t="array" ref="M23">IFERROR(INDEX('Halo Reach Stats'!$1:$46,MATCH($B23,'Halo Reach Stats'!$A:$A,0),13),"")</f>
        <v>4</v>
      </c>
      <c r="N23" s="16">
        <f t="array" ref="N23">IFERROR(INDEX('Halo Reach Stats'!$1:$46,MATCH($B23,'Halo Reach Stats'!$A:$A,0),14),"")</f>
        <v>3</v>
      </c>
      <c r="O23" s="16">
        <f t="array" ref="O23">IFERROR(INDEX('Halo Reach Stats'!$1:$46,MATCH($B23,'Halo Reach Stats'!$A:$A,0),16),"")</f>
        <v>3581</v>
      </c>
      <c r="P23" s="16">
        <f t="array" ref="P23">IFERROR(INDEX('Halo Reach Stats'!$1:$46,MATCH($B23,'Halo Reach Stats'!$A:$A,0),17),"")</f>
        <v>10</v>
      </c>
      <c r="Q23" s="16">
        <f t="array" ref="Q23">IFERROR(INDEX('Halo Reach Stats'!$1:$46,MATCH($B23,'Halo Reach Stats'!$A:$A,0),18),"")</f>
        <v>0</v>
      </c>
      <c r="R23" s="16">
        <f t="array" ref="R23">IFERROR(INDEX('Halo Reach Stats'!$1:$46,MATCH($B23,'Halo Reach Stats'!$A:$A,0),19),"")</f>
        <v>0</v>
      </c>
      <c r="S23" s="16">
        <f t="array" ref="S23">IFERROR(INDEX('Halo Reach Stats'!$1:$46,MATCH($B23,'Halo Reach Stats'!$A:$A,0),20),"")</f>
        <v>0</v>
      </c>
      <c r="T23" s="16">
        <f t="array" ref="T23">IFERROR(INDEX('Halo Reach Stats'!$1:$46,MATCH($B23,'Halo Reach Stats'!$A:$A,0),21),"")</f>
        <v>0</v>
      </c>
      <c r="U23" s="16">
        <f t="array" ref="U23">IFERROR(INDEX('Halo Reach Stats'!$1:$46,MATCH($B23,'Halo Reach Stats'!$A:$A,0),22),"")</f>
        <v>0</v>
      </c>
      <c r="V23" s="16">
        <f t="array" ref="V23">IFERROR(INDEX('Halo Reach Stats'!$1:$46,MATCH($B23,'Halo Reach Stats'!$A:$A,0),23),"")</f>
        <v>28</v>
      </c>
      <c r="W23" s="16">
        <f t="array" ref="W23">IFERROR(INDEX('Halo Reach Stats'!$1:$46,MATCH($B23,'Halo Reach Stats'!$A:$A,0),24),"")</f>
        <v>2</v>
      </c>
      <c r="X23" s="16">
        <f t="array" ref="X23">IFERROR(INDEX('Halo Reach Stats'!$1:$46,MATCH($B23,'Halo Reach Stats'!$A:$A,0),25),"")</f>
        <v>0</v>
      </c>
      <c r="Y23" s="16">
        <f t="array" ref="Y23">IFERROR(INDEX('Halo Reach Stats'!$1:$46,MATCH($B23,'Halo Reach Stats'!$A:$A,0),26),"")</f>
        <v>0</v>
      </c>
      <c r="Z23" s="16">
        <f t="array" ref="Z23">IFERROR(INDEX('Halo Reach Stats'!$1:$46,MATCH($B23,'Halo Reach Stats'!$A:$A,0),27),"")</f>
        <v>0</v>
      </c>
      <c r="AA23" s="16">
        <f t="array" ref="AA23">IFERROR(INDEX('Halo Reach Stats'!$1:$46,MATCH($B23,'Halo Reach Stats'!$A:$A,0),28),"")</f>
        <v>0</v>
      </c>
      <c r="AB23" s="16">
        <f t="array" ref="AB23">IFERROR(INDEX('Halo Reach Stats'!$1:$46,MATCH($B23,'Halo Reach Stats'!$A:$A,0),29),"")</f>
        <v>0</v>
      </c>
      <c r="AC23" s="16">
        <f t="array" ref="AC23">IFERROR(INDEX('Halo Reach Stats'!$1:$46,MATCH($B23,'Halo Reach Stats'!$A:$A,0),30),"")</f>
        <v>0</v>
      </c>
      <c r="AD23" s="16">
        <f t="array" ref="AD23">IFERROR(INDEX('Halo Reach Stats'!$1:$46,MATCH($B23,'Halo Reach Stats'!$A:$A,0),31),"")</f>
        <v>0</v>
      </c>
      <c r="AE23" s="16">
        <f t="array" ref="AE23">IFERROR(INDEX('Halo Reach Stats'!$1:$46,MATCH($B23,'Halo Reach Stats'!$A:$A,0),32),"")</f>
        <v>0</v>
      </c>
      <c r="AF23" s="16">
        <f t="array" ref="AF23">IFERROR(INDEX('Halo Reach Stats'!$1:$46,MATCH($B23,'Halo Reach Stats'!$A:$A,0),33),"")</f>
        <v>9</v>
      </c>
      <c r="AG23" s="16">
        <f t="array" ref="AG23">IFERROR(INDEX('Halo Reach Stats'!$1:$46,MATCH($B23,'Halo Reach Stats'!$A:$A,0),34),"")</f>
        <v>0</v>
      </c>
      <c r="AH23" s="16">
        <f t="array" ref="AH23">IFERROR(INDEX('Halo Reach Stats'!$1:$46,MATCH($B23,'Halo Reach Stats'!$A:$A,0),35),"")</f>
        <v>0</v>
      </c>
    </row>
    <row r="24">
      <c r="A24" s="12" t="str">
        <f t="array" ref="A24">IFERROR(INDEX(TeamInfo!$1:$45,MATCH(A22,TeamInfo!A:A,0),5),"")</f>
        <v/>
      </c>
      <c r="B24" s="1" t="str">
        <f t="array" ref="B24">IFERROR(INDEX(TeamInfo!$C3:$C$45,MATCH($A$22,TeamInfo!A:A,0),0),"")</f>
        <v>Myst The Cold</v>
      </c>
      <c r="C24" s="14" t="str">
        <f t="array" ref="C24">IFERROR(INDEX('Player Efficiency'!$1:$45,MATCH(B24,'Player Efficiency'!A:A,0),2),"")</f>
        <v/>
      </c>
      <c r="D24" s="334" t="str">
        <f t="array" ref="D24">IFERROR(INDEX(PlayerGrades!$1:$47,MATCH(B24,PlayerGrades!J:J,0),18),"")</f>
        <v/>
      </c>
      <c r="E24" s="334" t="str">
        <f t="array" ref="E24">IFERROR(INDEX(PlayerGrades!$1:$47,MATCH(B24,PlayerGrades!J:J,0),19),"")</f>
        <v/>
      </c>
      <c r="F24" s="335" t="str">
        <f t="array" ref="F24">IFERROR(INDEX(TeamInfo!$D3:$D$45,MATCH($A$22,TeamInfo!A:A,0),0),"")</f>
        <v>US SOUTH CENTRAL</v>
      </c>
      <c r="G24" s="335" t="str">
        <f t="array" ref="G24">IFERROR(INDEX('Halo Reach Stats'!$1:$46,MATCH($B24,'Halo Reach Stats'!$A:$A,0),8),"")</f>
        <v/>
      </c>
      <c r="H24" s="335" t="str">
        <f t="array" ref="H24">IFERROR(INDEX('Halo Reach Stats'!$1:$46,MATCH($B24,'Halo Reach Stats'!$A:$A,0),9),"")</f>
        <v/>
      </c>
      <c r="I24" s="335" t="str">
        <f t="array" ref="I24">IFERROR(INDEX('Halo Reach Stats'!$1:$46,MATCH($B24,'Halo Reach Stats'!$A:$A,0),10),"")</f>
        <v/>
      </c>
      <c r="J24" s="335" t="str">
        <f t="array" ref="J24">IFERROR(INDEX('Halo Reach Stats'!$1:$46,MATCH($B24,'Halo Reach Stats'!$A:$A,0),11),"")</f>
        <v/>
      </c>
      <c r="K24" s="336" t="str">
        <f t="shared" si="17"/>
        <v>#DIV/0!</v>
      </c>
      <c r="L24" s="335" t="str">
        <f t="array" ref="L24">IFERROR(INDEX('Halo Reach Stats'!$1:$46,MATCH($B24,'Halo Reach Stats'!$A:$A,0),12),"")</f>
        <v/>
      </c>
      <c r="M24" s="335" t="str">
        <f t="array" ref="M24">IFERROR(INDEX('Halo Reach Stats'!$1:$46,MATCH($B24,'Halo Reach Stats'!$A:$A,0),13),"")</f>
        <v/>
      </c>
      <c r="N24" s="335" t="str">
        <f t="array" ref="N24">IFERROR(INDEX('Halo Reach Stats'!$1:$46,MATCH($B24,'Halo Reach Stats'!$A:$A,0),14),"")</f>
        <v/>
      </c>
      <c r="O24" s="335" t="str">
        <f t="array" ref="O24">IFERROR(INDEX('Halo Reach Stats'!$1:$46,MATCH($B24,'Halo Reach Stats'!$A:$A,0),16),"")</f>
        <v/>
      </c>
      <c r="P24" s="335" t="str">
        <f t="array" ref="P24">IFERROR(INDEX('Halo Reach Stats'!$1:$46,MATCH($B24,'Halo Reach Stats'!$A:$A,0),17),"")</f>
        <v/>
      </c>
      <c r="Q24" s="335" t="str">
        <f t="array" ref="Q24">IFERROR(INDEX('Halo Reach Stats'!$1:$46,MATCH($B24,'Halo Reach Stats'!$A:$A,0),18),"")</f>
        <v/>
      </c>
      <c r="R24" s="335" t="str">
        <f t="array" ref="R24">IFERROR(INDEX('Halo Reach Stats'!$1:$46,MATCH($B24,'Halo Reach Stats'!$A:$A,0),19),"")</f>
        <v/>
      </c>
      <c r="S24" s="335" t="str">
        <f t="array" ref="S24">IFERROR(INDEX('Halo Reach Stats'!$1:$46,MATCH($B24,'Halo Reach Stats'!$A:$A,0),20),"")</f>
        <v/>
      </c>
      <c r="T24" s="335" t="str">
        <f t="array" ref="T24">IFERROR(INDEX('Halo Reach Stats'!$1:$46,MATCH($B24,'Halo Reach Stats'!$A:$A,0),21),"")</f>
        <v/>
      </c>
      <c r="U24" s="335" t="str">
        <f t="array" ref="U24">IFERROR(INDEX('Halo Reach Stats'!$1:$46,MATCH($B24,'Halo Reach Stats'!$A:$A,0),22),"")</f>
        <v/>
      </c>
      <c r="V24" s="335" t="str">
        <f t="array" ref="V24">IFERROR(INDEX('Halo Reach Stats'!$1:$46,MATCH($B24,'Halo Reach Stats'!$A:$A,0),23),"")</f>
        <v/>
      </c>
      <c r="W24" s="335" t="str">
        <f t="array" ref="W24">IFERROR(INDEX('Halo Reach Stats'!$1:$46,MATCH($B24,'Halo Reach Stats'!$A:$A,0),24),"")</f>
        <v/>
      </c>
      <c r="X24" s="335" t="str">
        <f t="array" ref="X24">IFERROR(INDEX('Halo Reach Stats'!$1:$46,MATCH($B24,'Halo Reach Stats'!$A:$A,0),25),"")</f>
        <v/>
      </c>
      <c r="Y24" s="335" t="str">
        <f t="array" ref="Y24">IFERROR(INDEX('Halo Reach Stats'!$1:$46,MATCH($B24,'Halo Reach Stats'!$A:$A,0),26),"")</f>
        <v/>
      </c>
      <c r="Z24" s="335" t="str">
        <f t="array" ref="Z24">IFERROR(INDEX('Halo Reach Stats'!$1:$46,MATCH($B24,'Halo Reach Stats'!$A:$A,0),27),"")</f>
        <v/>
      </c>
      <c r="AA24" s="335" t="str">
        <f t="array" ref="AA24">IFERROR(INDEX('Halo Reach Stats'!$1:$46,MATCH($B24,'Halo Reach Stats'!$A:$A,0),28),"")</f>
        <v/>
      </c>
      <c r="AB24" s="335" t="str">
        <f t="array" ref="AB24">IFERROR(INDEX('Halo Reach Stats'!$1:$46,MATCH($B24,'Halo Reach Stats'!$A:$A,0),29),"")</f>
        <v/>
      </c>
      <c r="AC24" s="335" t="str">
        <f t="array" ref="AC24">IFERROR(INDEX('Halo Reach Stats'!$1:$46,MATCH($B24,'Halo Reach Stats'!$A:$A,0),30),"")</f>
        <v/>
      </c>
      <c r="AD24" s="335" t="str">
        <f t="array" ref="AD24">IFERROR(INDEX('Halo Reach Stats'!$1:$46,MATCH($B24,'Halo Reach Stats'!$A:$A,0),31),"")</f>
        <v/>
      </c>
      <c r="AE24" s="335" t="str">
        <f t="array" ref="AE24">IFERROR(INDEX('Halo Reach Stats'!$1:$46,MATCH($B24,'Halo Reach Stats'!$A:$A,0),32),"")</f>
        <v/>
      </c>
      <c r="AF24" s="335" t="str">
        <f t="array" ref="AF24">IFERROR(INDEX('Halo Reach Stats'!$1:$46,MATCH($B24,'Halo Reach Stats'!$A:$A,0),33),"")</f>
        <v/>
      </c>
      <c r="AG24" s="335" t="str">
        <f t="array" ref="AG24">IFERROR(INDEX('Halo Reach Stats'!$1:$46,MATCH($B24,'Halo Reach Stats'!$A:$A,0),34),"")</f>
        <v/>
      </c>
      <c r="AH24" s="335" t="str">
        <f t="array" ref="AH24">IFERROR(INDEX('Halo Reach Stats'!$1:$46,MATCH($B24,'Halo Reach Stats'!$A:$A,0),35),"")</f>
        <v/>
      </c>
    </row>
    <row r="25">
      <c r="A25" s="315" t="str">
        <f>IF(((E22+E23+E24+E25)/4)&lt;=5.55,"F",IF(((E22+E23+E24+E25)/4)&lt;9.25,"E",IF(((E22+E23+E24+E25)/4)&lt;12.95,"D",IF(((E22+E23+E24+E25)/4)&lt;16.65,"C",IF(((E22+E23+E24+E25)/4)&lt;20.35,"B",IF(((E22+E23+E24+E25)/4)&lt;24.05,"A","S"))))))</f>
        <v>E</v>
      </c>
      <c r="B25" s="1" t="str">
        <f t="array" ref="B25">IFERROR(INDEX(TeamInfo!$C4:$C$45,MATCH($A$22,TeamInfo!A:A,0),0),"")</f>
        <v>NOPLEX</v>
      </c>
      <c r="C25" s="14" t="str">
        <f t="array" ref="C25">IFERROR(INDEX('Player Efficiency'!$1:$45,MATCH(B25,'Player Efficiency'!A:A,0),2),"")</f>
        <v/>
      </c>
      <c r="D25" s="310" t="str">
        <f t="array" ref="D25">IFERROR(INDEX(PlayerGrades!$1:$47,MATCH(B25,PlayerGrades!J:J,0),18),"")</f>
        <v>D</v>
      </c>
      <c r="E25" s="310">
        <f t="array" ref="E25">IFERROR(INDEX(PlayerGrades!$1:$47,MATCH(B25,PlayerGrades!J:J,0),19),"")</f>
        <v>8.2</v>
      </c>
      <c r="F25" s="16" t="str">
        <f t="array" ref="F25">IFERROR(INDEX(TeamInfo!$D4:$D$45,MATCH($A$22,TeamInfo!A:A,0),0),"")</f>
        <v>US SOUTH CENTRAL</v>
      </c>
      <c r="G25" s="16">
        <f t="array" ref="G25">IFERROR(INDEX('Halo Reach Stats'!$1:$46,MATCH($B25,'Halo Reach Stats'!$A:$A,0),8),"")</f>
        <v>0</v>
      </c>
      <c r="H25" s="16">
        <f t="array" ref="H25">IFERROR(INDEX('Halo Reach Stats'!$1:$46,MATCH($B25,'Halo Reach Stats'!$A:$A,0),9),"")</f>
        <v>188</v>
      </c>
      <c r="I25" s="16">
        <f t="array" ref="I25">IFERROR(INDEX('Halo Reach Stats'!$1:$46,MATCH($B25,'Halo Reach Stats'!$A:$A,0),10),"")</f>
        <v>244</v>
      </c>
      <c r="J25" s="16">
        <f t="array" ref="J25">IFERROR(INDEX('Halo Reach Stats'!$1:$46,MATCH($B25,'Halo Reach Stats'!$A:$A,0),11),"")</f>
        <v>-56</v>
      </c>
      <c r="K25" s="312">
        <f t="shared" si="17"/>
        <v>0.7704918033</v>
      </c>
      <c r="L25" s="16">
        <f t="array" ref="L25">IFERROR(INDEX('Halo Reach Stats'!$1:$46,MATCH($B25,'Halo Reach Stats'!$A:$A,0),12),"")</f>
        <v>16</v>
      </c>
      <c r="M25" s="16">
        <f t="array" ref="M25">IFERROR(INDEX('Halo Reach Stats'!$1:$46,MATCH($B25,'Halo Reach Stats'!$A:$A,0),13),"")</f>
        <v>7</v>
      </c>
      <c r="N25" s="16">
        <f t="array" ref="N25">IFERROR(INDEX('Halo Reach Stats'!$1:$46,MATCH($B25,'Halo Reach Stats'!$A:$A,0),14),"")</f>
        <v>4</v>
      </c>
      <c r="O25" s="16">
        <f t="array" ref="O25">IFERROR(INDEX('Halo Reach Stats'!$1:$46,MATCH($B25,'Halo Reach Stats'!$A:$A,0),16),"")</f>
        <v>3581</v>
      </c>
      <c r="P25" s="16">
        <f t="array" ref="P25">IFERROR(INDEX('Halo Reach Stats'!$1:$46,MATCH($B25,'Halo Reach Stats'!$A:$A,0),17),"")</f>
        <v>10</v>
      </c>
      <c r="Q25" s="16">
        <f t="array" ref="Q25">IFERROR(INDEX('Halo Reach Stats'!$1:$46,MATCH($B25,'Halo Reach Stats'!$A:$A,0),18),"")</f>
        <v>2</v>
      </c>
      <c r="R25" s="16">
        <f t="array" ref="R25">IFERROR(INDEX('Halo Reach Stats'!$1:$46,MATCH($B25,'Halo Reach Stats'!$A:$A,0),19),"")</f>
        <v>0</v>
      </c>
      <c r="S25" s="16">
        <f t="array" ref="S25">IFERROR(INDEX('Halo Reach Stats'!$1:$46,MATCH($B25,'Halo Reach Stats'!$A:$A,0),20),"")</f>
        <v>0</v>
      </c>
      <c r="T25" s="16">
        <f t="array" ref="T25">IFERROR(INDEX('Halo Reach Stats'!$1:$46,MATCH($B25,'Halo Reach Stats'!$A:$A,0),21),"")</f>
        <v>0</v>
      </c>
      <c r="U25" s="16">
        <f t="array" ref="U25">IFERROR(INDEX('Halo Reach Stats'!$1:$46,MATCH($B25,'Halo Reach Stats'!$A:$A,0),22),"")</f>
        <v>0</v>
      </c>
      <c r="V25" s="16">
        <f t="array" ref="V25">IFERROR(INDEX('Halo Reach Stats'!$1:$46,MATCH($B25,'Halo Reach Stats'!$A:$A,0),23),"")</f>
        <v>25</v>
      </c>
      <c r="W25" s="16">
        <f t="array" ref="W25">IFERROR(INDEX('Halo Reach Stats'!$1:$46,MATCH($B25,'Halo Reach Stats'!$A:$A,0),24),"")</f>
        <v>6</v>
      </c>
      <c r="X25" s="16">
        <f t="array" ref="X25">IFERROR(INDEX('Halo Reach Stats'!$1:$46,MATCH($B25,'Halo Reach Stats'!$A:$A,0),25),"")</f>
        <v>1</v>
      </c>
      <c r="Y25" s="16">
        <f t="array" ref="Y25">IFERROR(INDEX('Halo Reach Stats'!$1:$46,MATCH($B25,'Halo Reach Stats'!$A:$A,0),26),"")</f>
        <v>1</v>
      </c>
      <c r="Z25" s="16">
        <f t="array" ref="Z25">IFERROR(INDEX('Halo Reach Stats'!$1:$46,MATCH($B25,'Halo Reach Stats'!$A:$A,0),27),"")</f>
        <v>0</v>
      </c>
      <c r="AA25" s="16">
        <f t="array" ref="AA25">IFERROR(INDEX('Halo Reach Stats'!$1:$46,MATCH($B25,'Halo Reach Stats'!$A:$A,0),28),"")</f>
        <v>0</v>
      </c>
      <c r="AB25" s="16">
        <f t="array" ref="AB25">IFERROR(INDEX('Halo Reach Stats'!$1:$46,MATCH($B25,'Halo Reach Stats'!$A:$A,0),29),"")</f>
        <v>0</v>
      </c>
      <c r="AC25" s="16">
        <f t="array" ref="AC25">IFERROR(INDEX('Halo Reach Stats'!$1:$46,MATCH($B25,'Halo Reach Stats'!$A:$A,0),30),"")</f>
        <v>0</v>
      </c>
      <c r="AD25" s="16">
        <f t="array" ref="AD25">IFERROR(INDEX('Halo Reach Stats'!$1:$46,MATCH($B25,'Halo Reach Stats'!$A:$A,0),31),"")</f>
        <v>0</v>
      </c>
      <c r="AE25" s="16">
        <f t="array" ref="AE25">IFERROR(INDEX('Halo Reach Stats'!$1:$46,MATCH($B25,'Halo Reach Stats'!$A:$A,0),32),"")</f>
        <v>0</v>
      </c>
      <c r="AF25" s="16">
        <f t="array" ref="AF25">IFERROR(INDEX('Halo Reach Stats'!$1:$46,MATCH($B25,'Halo Reach Stats'!$A:$A,0),33),"")</f>
        <v>3</v>
      </c>
      <c r="AG25" s="16">
        <f t="array" ref="AG25">IFERROR(INDEX('Halo Reach Stats'!$1:$46,MATCH($B25,'Halo Reach Stats'!$A:$A,0),34),"")</f>
        <v>0</v>
      </c>
      <c r="AH25" s="16">
        <f t="array" ref="AH25">IFERROR(INDEX('Halo Reach Stats'!$1:$46,MATCH($B25,'Halo Reach Stats'!$A:$A,0),35),"")</f>
        <v>1</v>
      </c>
    </row>
    <row r="26">
      <c r="A26" s="331"/>
      <c r="B26" s="317" t="s">
        <v>353</v>
      </c>
      <c r="C26" s="332">
        <f>SUM(C22:C25)/4</f>
        <v>0</v>
      </c>
      <c r="D26" s="325"/>
      <c r="E26" s="326">
        <f>SUM(E22:E25)/4</f>
        <v>7.025</v>
      </c>
      <c r="F26" s="321" t="s">
        <v>354</v>
      </c>
      <c r="G26" s="327">
        <f t="shared" ref="G26:O26" si="18">SUM(G22:G25)</f>
        <v>6</v>
      </c>
      <c r="H26" s="327">
        <f t="shared" si="18"/>
        <v>556</v>
      </c>
      <c r="I26" s="327">
        <f t="shared" si="18"/>
        <v>624</v>
      </c>
      <c r="J26" s="327">
        <f t="shared" si="18"/>
        <v>-68</v>
      </c>
      <c r="K26" s="328" t="str">
        <f t="shared" si="18"/>
        <v>#DIV/0!</v>
      </c>
      <c r="L26" s="327">
        <f t="shared" si="18"/>
        <v>40</v>
      </c>
      <c r="M26" s="327">
        <f t="shared" si="18"/>
        <v>22</v>
      </c>
      <c r="N26" s="327">
        <f t="shared" si="18"/>
        <v>9</v>
      </c>
      <c r="O26" s="327">
        <f t="shared" si="18"/>
        <v>10743</v>
      </c>
      <c r="P26" s="327">
        <f>SUM(P22:P25)/4</f>
        <v>10.5</v>
      </c>
      <c r="Q26" s="327">
        <f t="shared" ref="Q26:AH26" si="19">SUM(Q22:Q25)</f>
        <v>10</v>
      </c>
      <c r="R26" s="327">
        <f t="shared" si="19"/>
        <v>2</v>
      </c>
      <c r="S26" s="327">
        <f t="shared" si="19"/>
        <v>0</v>
      </c>
      <c r="T26" s="327">
        <f t="shared" si="19"/>
        <v>0</v>
      </c>
      <c r="U26" s="327">
        <f t="shared" si="19"/>
        <v>0</v>
      </c>
      <c r="V26" s="327">
        <f t="shared" si="19"/>
        <v>76</v>
      </c>
      <c r="W26" s="327">
        <f t="shared" si="19"/>
        <v>12</v>
      </c>
      <c r="X26" s="327">
        <f t="shared" si="19"/>
        <v>1</v>
      </c>
      <c r="Y26" s="327">
        <f t="shared" si="19"/>
        <v>1</v>
      </c>
      <c r="Z26" s="327">
        <f t="shared" si="19"/>
        <v>0</v>
      </c>
      <c r="AA26" s="327">
        <f t="shared" si="19"/>
        <v>0</v>
      </c>
      <c r="AB26" s="327">
        <f t="shared" si="19"/>
        <v>0</v>
      </c>
      <c r="AC26" s="327">
        <f t="shared" si="19"/>
        <v>0</v>
      </c>
      <c r="AD26" s="327">
        <f t="shared" si="19"/>
        <v>0</v>
      </c>
      <c r="AE26" s="327">
        <f t="shared" si="19"/>
        <v>0</v>
      </c>
      <c r="AF26" s="327">
        <f t="shared" si="19"/>
        <v>13</v>
      </c>
      <c r="AG26" s="327">
        <f t="shared" si="19"/>
        <v>0</v>
      </c>
      <c r="AH26" s="327">
        <f t="shared" si="19"/>
        <v>3</v>
      </c>
    </row>
    <row r="27">
      <c r="A27" s="333" t="s">
        <v>359</v>
      </c>
      <c r="B27" s="329" t="str">
        <f t="array" ref="B27">IFERROR(INDEX(TeamInfo!$C1:$C$45,MATCH($A$27,TeamInfo!A:A,0),0),"")</f>
        <v>Impuritive</v>
      </c>
      <c r="C27" s="14" t="str">
        <f t="array" ref="C27">IFERROR(INDEX('Player Efficiency'!$1:$45,MATCH(B27,'Player Efficiency'!A:A,0),2),"")</f>
        <v/>
      </c>
      <c r="D27" s="310" t="str">
        <f t="array" ref="D27">IFERROR(INDEX(PlayerGrades!$1:$47,MATCH(B27,PlayerGrades!J:J,0),18),"")</f>
        <v>C</v>
      </c>
      <c r="E27" s="310">
        <f t="array" ref="E27">IFERROR(INDEX(PlayerGrades!$1:$47,MATCH(B27,PlayerGrades!J:J,0),19),"")</f>
        <v>11.1</v>
      </c>
      <c r="F27" s="311" t="str">
        <f t="array" ref="F27">IFERROR(INDEX(TeamInfo!$D1:$D$45,MATCH($A$27,TeamInfo!A:A,0),0),"")</f>
        <v>West Europe</v>
      </c>
      <c r="G27" s="16">
        <f t="array" ref="G27">IFERROR(INDEX('Halo Reach Stats'!$1:$46,MATCH($B27,'Halo Reach Stats'!$A:$A,0),8),"")</f>
        <v>8</v>
      </c>
      <c r="H27" s="16">
        <f t="array" ref="H27">IFERROR(INDEX('Halo Reach Stats'!$1:$46,MATCH($B27,'Halo Reach Stats'!$A:$A,0),9),"")</f>
        <v>149</v>
      </c>
      <c r="I27" s="16">
        <f t="array" ref="I27">IFERROR(INDEX('Halo Reach Stats'!$1:$46,MATCH($B27,'Halo Reach Stats'!$A:$A,0),10),"")</f>
        <v>148</v>
      </c>
      <c r="J27" s="16">
        <f t="array" ref="J27">IFERROR(INDEX('Halo Reach Stats'!$1:$46,MATCH($B27,'Halo Reach Stats'!$A:$A,0),11),"")</f>
        <v>1</v>
      </c>
      <c r="K27" s="312">
        <f t="shared" ref="K27:K30" si="20">H27/I27</f>
        <v>1.006756757</v>
      </c>
      <c r="L27" s="16">
        <f t="array" ref="L27">IFERROR(INDEX('Halo Reach Stats'!$1:$46,MATCH($B27,'Halo Reach Stats'!$A:$A,0),12),"")</f>
        <v>5</v>
      </c>
      <c r="M27" s="16">
        <f t="array" ref="M27">IFERROR(INDEX('Halo Reach Stats'!$1:$46,MATCH($B27,'Halo Reach Stats'!$A:$A,0),13),"")</f>
        <v>6</v>
      </c>
      <c r="N27" s="16">
        <f t="array" ref="N27">IFERROR(INDEX('Halo Reach Stats'!$1:$46,MATCH($B27,'Halo Reach Stats'!$A:$A,0),14),"")</f>
        <v>4</v>
      </c>
      <c r="O27" s="16">
        <f t="array" ref="O27">IFERROR(INDEX('Halo Reach Stats'!$1:$46,MATCH($B27,'Halo Reach Stats'!$A:$A,0),16),"")</f>
        <v>3160</v>
      </c>
      <c r="P27" s="16">
        <f t="array" ref="P27">IFERROR(INDEX('Halo Reach Stats'!$1:$46,MATCH($B27,'Halo Reach Stats'!$A:$A,0),17),"")</f>
        <v>16</v>
      </c>
      <c r="Q27" s="16">
        <f t="array" ref="Q27">IFERROR(INDEX('Halo Reach Stats'!$1:$46,MATCH($B27,'Halo Reach Stats'!$A:$A,0),18),"")</f>
        <v>5</v>
      </c>
      <c r="R27" s="16">
        <f t="array" ref="R27">IFERROR(INDEX('Halo Reach Stats'!$1:$46,MATCH($B27,'Halo Reach Stats'!$A:$A,0),19),"")</f>
        <v>0</v>
      </c>
      <c r="S27" s="16">
        <f t="array" ref="S27">IFERROR(INDEX('Halo Reach Stats'!$1:$46,MATCH($B27,'Halo Reach Stats'!$A:$A,0),20),"")</f>
        <v>0</v>
      </c>
      <c r="T27" s="16">
        <f t="array" ref="T27">IFERROR(INDEX('Halo Reach Stats'!$1:$46,MATCH($B27,'Halo Reach Stats'!$A:$A,0),21),"")</f>
        <v>0</v>
      </c>
      <c r="U27" s="16">
        <f t="array" ref="U27">IFERROR(INDEX('Halo Reach Stats'!$1:$46,MATCH($B27,'Halo Reach Stats'!$A:$A,0),22),"")</f>
        <v>0</v>
      </c>
      <c r="V27" s="16">
        <f t="array" ref="V27">IFERROR(INDEX('Halo Reach Stats'!$1:$46,MATCH($B27,'Halo Reach Stats'!$A:$A,0),23),"")</f>
        <v>19</v>
      </c>
      <c r="W27" s="16">
        <f t="array" ref="W27">IFERROR(INDEX('Halo Reach Stats'!$1:$46,MATCH($B27,'Halo Reach Stats'!$A:$A,0),24),"")</f>
        <v>4</v>
      </c>
      <c r="X27" s="16">
        <f t="array" ref="X27">IFERROR(INDEX('Halo Reach Stats'!$1:$46,MATCH($B27,'Halo Reach Stats'!$A:$A,0),25),"")</f>
        <v>0</v>
      </c>
      <c r="Y27" s="16">
        <f t="array" ref="Y27">IFERROR(INDEX('Halo Reach Stats'!$1:$46,MATCH($B27,'Halo Reach Stats'!$A:$A,0),26),"")</f>
        <v>0</v>
      </c>
      <c r="Z27" s="16">
        <f t="array" ref="Z27">IFERROR(INDEX('Halo Reach Stats'!$1:$46,MATCH($B27,'Halo Reach Stats'!$A:$A,0),27),"")</f>
        <v>0</v>
      </c>
      <c r="AA27" s="16">
        <f t="array" ref="AA27">IFERROR(INDEX('Halo Reach Stats'!$1:$46,MATCH($B27,'Halo Reach Stats'!$A:$A,0),28),"")</f>
        <v>0</v>
      </c>
      <c r="AB27" s="16">
        <f t="array" ref="AB27">IFERROR(INDEX('Halo Reach Stats'!$1:$46,MATCH($B27,'Halo Reach Stats'!$A:$A,0),29),"")</f>
        <v>0</v>
      </c>
      <c r="AC27" s="16">
        <f t="array" ref="AC27">IFERROR(INDEX('Halo Reach Stats'!$1:$46,MATCH($B27,'Halo Reach Stats'!$A:$A,0),30),"")</f>
        <v>0</v>
      </c>
      <c r="AD27" s="16">
        <f t="array" ref="AD27">IFERROR(INDEX('Halo Reach Stats'!$1:$46,MATCH($B27,'Halo Reach Stats'!$A:$A,0),31),"")</f>
        <v>0</v>
      </c>
      <c r="AE27" s="16">
        <f t="array" ref="AE27">IFERROR(INDEX('Halo Reach Stats'!$1:$46,MATCH($B27,'Halo Reach Stats'!$A:$A,0),32),"")</f>
        <v>0</v>
      </c>
      <c r="AF27" s="16">
        <f t="array" ref="AF27">IFERROR(INDEX('Halo Reach Stats'!$1:$46,MATCH($B27,'Halo Reach Stats'!$A:$A,0),33),"")</f>
        <v>1</v>
      </c>
      <c r="AG27" s="16">
        <f t="array" ref="AG27">IFERROR(INDEX('Halo Reach Stats'!$1:$46,MATCH($B27,'Halo Reach Stats'!$A:$A,0),34),"")</f>
        <v>0</v>
      </c>
      <c r="AH27" s="16">
        <f t="array" ref="AH27">IFERROR(INDEX('Halo Reach Stats'!$1:$46,MATCH($B27,'Halo Reach Stats'!$A:$A,0),35),"")</f>
        <v>1</v>
      </c>
    </row>
    <row r="28">
      <c r="A28" s="330" t="str">
        <f t="array" ref="A28">IFERROR(INDEX(TeamInfo!$1:$45,MATCH(A27,TeamInfo!A:A,0),2),"")</f>
        <v>Reverse Sweepers</v>
      </c>
      <c r="B28" s="1" t="str">
        <f t="array" ref="B28">IFERROR(INDEX(TeamInfo!$C2:$C$45,MATCH($A$27,TeamInfo!A:A,0),0),"")</f>
        <v>Itzreelz</v>
      </c>
      <c r="C28" s="14" t="str">
        <f t="array" ref="C28">IFERROR(INDEX('Player Efficiency'!$1:$45,MATCH(B28,'Player Efficiency'!A:A,0),2),"")</f>
        <v/>
      </c>
      <c r="D28" s="310" t="str">
        <f t="array" ref="D28">IFERROR(INDEX(PlayerGrades!$1:$47,MATCH(B28,PlayerGrades!J:J,0),18),"")</f>
        <v>A</v>
      </c>
      <c r="E28" s="310">
        <f t="array" ref="E28">IFERROR(INDEX(PlayerGrades!$1:$47,MATCH(B28,PlayerGrades!J:J,0),19),"")</f>
        <v>15.9</v>
      </c>
      <c r="F28" s="16" t="str">
        <f t="array" ref="F28">IFERROR(INDEX(TeamInfo!$D2:$D$45,MATCH($A$27,TeamInfo!A:A,0),0),"")</f>
        <v>US EAST</v>
      </c>
      <c r="G28" s="16">
        <f t="array" ref="G28">IFERROR(INDEX('Halo Reach Stats'!$1:$46,MATCH($B28,'Halo Reach Stats'!$A:$A,0),8),"")</f>
        <v>3</v>
      </c>
      <c r="H28" s="16">
        <f t="array" ref="H28">IFERROR(INDEX('Halo Reach Stats'!$1:$46,MATCH($B28,'Halo Reach Stats'!$A:$A,0),9),"")</f>
        <v>185</v>
      </c>
      <c r="I28" s="16">
        <f t="array" ref="I28">IFERROR(INDEX('Halo Reach Stats'!$1:$46,MATCH($B28,'Halo Reach Stats'!$A:$A,0),10),"")</f>
        <v>172</v>
      </c>
      <c r="J28" s="16">
        <f t="array" ref="J28">IFERROR(INDEX('Halo Reach Stats'!$1:$46,MATCH($B28,'Halo Reach Stats'!$A:$A,0),11),"")</f>
        <v>13</v>
      </c>
      <c r="K28" s="312">
        <f t="shared" si="20"/>
        <v>1.075581395</v>
      </c>
      <c r="L28" s="16">
        <f t="array" ref="L28">IFERROR(INDEX('Halo Reach Stats'!$1:$46,MATCH($B28,'Halo Reach Stats'!$A:$A,0),12),"")</f>
        <v>17</v>
      </c>
      <c r="M28" s="16">
        <f t="array" ref="M28">IFERROR(INDEX('Halo Reach Stats'!$1:$46,MATCH($B28,'Halo Reach Stats'!$A:$A,0),13),"")</f>
        <v>5</v>
      </c>
      <c r="N28" s="16">
        <f t="array" ref="N28">IFERROR(INDEX('Halo Reach Stats'!$1:$46,MATCH($B28,'Halo Reach Stats'!$A:$A,0),14),"")</f>
        <v>4</v>
      </c>
      <c r="O28" s="16">
        <f t="array" ref="O28">IFERROR(INDEX('Halo Reach Stats'!$1:$46,MATCH($B28,'Halo Reach Stats'!$A:$A,0),16),"")</f>
        <v>3160</v>
      </c>
      <c r="P28" s="16">
        <f t="array" ref="P28">IFERROR(INDEX('Halo Reach Stats'!$1:$46,MATCH($B28,'Halo Reach Stats'!$A:$A,0),17),"")</f>
        <v>13</v>
      </c>
      <c r="Q28" s="16">
        <f t="array" ref="Q28">IFERROR(INDEX('Halo Reach Stats'!$1:$46,MATCH($B28,'Halo Reach Stats'!$A:$A,0),18),"")</f>
        <v>2</v>
      </c>
      <c r="R28" s="16">
        <f t="array" ref="R28">IFERROR(INDEX('Halo Reach Stats'!$1:$46,MATCH($B28,'Halo Reach Stats'!$A:$A,0),19),"")</f>
        <v>0</v>
      </c>
      <c r="S28" s="16">
        <f t="array" ref="S28">IFERROR(INDEX('Halo Reach Stats'!$1:$46,MATCH($B28,'Halo Reach Stats'!$A:$A,0),20),"")</f>
        <v>0</v>
      </c>
      <c r="T28" s="16">
        <f t="array" ref="T28">IFERROR(INDEX('Halo Reach Stats'!$1:$46,MATCH($B28,'Halo Reach Stats'!$A:$A,0),21),"")</f>
        <v>0</v>
      </c>
      <c r="U28" s="16">
        <f t="array" ref="U28">IFERROR(INDEX('Halo Reach Stats'!$1:$46,MATCH($B28,'Halo Reach Stats'!$A:$A,0),22),"")</f>
        <v>0</v>
      </c>
      <c r="V28" s="16">
        <f t="array" ref="V28">IFERROR(INDEX('Halo Reach Stats'!$1:$46,MATCH($B28,'Halo Reach Stats'!$A:$A,0),23),"")</f>
        <v>27</v>
      </c>
      <c r="W28" s="16">
        <f t="array" ref="W28">IFERROR(INDEX('Halo Reach Stats'!$1:$46,MATCH($B28,'Halo Reach Stats'!$A:$A,0),24),"")</f>
        <v>9</v>
      </c>
      <c r="X28" s="16">
        <f t="array" ref="X28">IFERROR(INDEX('Halo Reach Stats'!$1:$46,MATCH($B28,'Halo Reach Stats'!$A:$A,0),25),"")</f>
        <v>2</v>
      </c>
      <c r="Y28" s="16">
        <f t="array" ref="Y28">IFERROR(INDEX('Halo Reach Stats'!$1:$46,MATCH($B28,'Halo Reach Stats'!$A:$A,0),26),"")</f>
        <v>1</v>
      </c>
      <c r="Z28" s="16">
        <f t="array" ref="Z28">IFERROR(INDEX('Halo Reach Stats'!$1:$46,MATCH($B28,'Halo Reach Stats'!$A:$A,0),27),"")</f>
        <v>0</v>
      </c>
      <c r="AA28" s="16">
        <f t="array" ref="AA28">IFERROR(INDEX('Halo Reach Stats'!$1:$46,MATCH($B28,'Halo Reach Stats'!$A:$A,0),28),"")</f>
        <v>0</v>
      </c>
      <c r="AB28" s="16">
        <f t="array" ref="AB28">IFERROR(INDEX('Halo Reach Stats'!$1:$46,MATCH($B28,'Halo Reach Stats'!$A:$A,0),29),"")</f>
        <v>0</v>
      </c>
      <c r="AC28" s="16">
        <f t="array" ref="AC28">IFERROR(INDEX('Halo Reach Stats'!$1:$46,MATCH($B28,'Halo Reach Stats'!$A:$A,0),30),"")</f>
        <v>0</v>
      </c>
      <c r="AD28" s="16">
        <f t="array" ref="AD28">IFERROR(INDEX('Halo Reach Stats'!$1:$46,MATCH($B28,'Halo Reach Stats'!$A:$A,0),31),"")</f>
        <v>0</v>
      </c>
      <c r="AE28" s="16">
        <f t="array" ref="AE28">IFERROR(INDEX('Halo Reach Stats'!$1:$46,MATCH($B28,'Halo Reach Stats'!$A:$A,0),32),"")</f>
        <v>0</v>
      </c>
      <c r="AF28" s="16">
        <f t="array" ref="AF28">IFERROR(INDEX('Halo Reach Stats'!$1:$46,MATCH($B28,'Halo Reach Stats'!$A:$A,0),33),"")</f>
        <v>8</v>
      </c>
      <c r="AG28" s="16">
        <f t="array" ref="AG28">IFERROR(INDEX('Halo Reach Stats'!$1:$46,MATCH($B28,'Halo Reach Stats'!$A:$A,0),34),"")</f>
        <v>0</v>
      </c>
      <c r="AH28" s="16">
        <f t="array" ref="AH28">IFERROR(INDEX('Halo Reach Stats'!$1:$46,MATCH($B28,'Halo Reach Stats'!$A:$A,0),35),"")</f>
        <v>1</v>
      </c>
    </row>
    <row r="29">
      <c r="A29" s="12" t="str">
        <f t="array" ref="A29">IFERROR(INDEX(TeamInfo!$1:$45,MATCH(A27,TeamInfo!A:A,0),5),"")</f>
        <v/>
      </c>
      <c r="B29" s="1" t="str">
        <f t="array" ref="B29">IFERROR(INDEX(TeamInfo!$C3:$C$45,MATCH($A$27,TeamInfo!A:A,0),0),"")</f>
        <v>Finesse God24</v>
      </c>
      <c r="C29" s="14" t="str">
        <f t="array" ref="C29">IFERROR(INDEX('Player Efficiency'!$1:$45,MATCH(B29,'Player Efficiency'!A:A,0),2),"")</f>
        <v/>
      </c>
      <c r="D29" s="310" t="str">
        <f t="array" ref="D29">IFERROR(INDEX(PlayerGrades!$1:$47,MATCH(B29,PlayerGrades!J:J,0),18),"")</f>
        <v>B</v>
      </c>
      <c r="E29" s="310">
        <f t="array" ref="E29">IFERROR(INDEX(PlayerGrades!$1:$47,MATCH(B29,PlayerGrades!J:J,0),19),"")</f>
        <v>14.9</v>
      </c>
      <c r="F29" s="16" t="str">
        <f t="array" ref="F29">IFERROR(INDEX(TeamInfo!$D3:$D$45,MATCH($A$27,TeamInfo!A:A,0),0),"")</f>
        <v>US SOUTH CENTRAL</v>
      </c>
      <c r="G29" s="16">
        <f t="array" ref="G29">IFERROR(INDEX('Halo Reach Stats'!$1:$46,MATCH($B29,'Halo Reach Stats'!$A:$A,0),8),"")</f>
        <v>1</v>
      </c>
      <c r="H29" s="16">
        <f t="array" ref="H29">IFERROR(INDEX('Halo Reach Stats'!$1:$46,MATCH($B29,'Halo Reach Stats'!$A:$A,0),9),"")</f>
        <v>203</v>
      </c>
      <c r="I29" s="16">
        <f t="array" ref="I29">IFERROR(INDEX('Halo Reach Stats'!$1:$46,MATCH($B29,'Halo Reach Stats'!$A:$A,0),10),"")</f>
        <v>213</v>
      </c>
      <c r="J29" s="16">
        <f t="array" ref="J29">IFERROR(INDEX('Halo Reach Stats'!$1:$46,MATCH($B29,'Halo Reach Stats'!$A:$A,0),11),"")</f>
        <v>-10</v>
      </c>
      <c r="K29" s="312">
        <f t="shared" si="20"/>
        <v>0.9530516432</v>
      </c>
      <c r="L29" s="16">
        <f t="array" ref="L29">IFERROR(INDEX('Halo Reach Stats'!$1:$46,MATCH($B29,'Halo Reach Stats'!$A:$A,0),12),"")</f>
        <v>14</v>
      </c>
      <c r="M29" s="16">
        <f t="array" ref="M29">IFERROR(INDEX('Halo Reach Stats'!$1:$46,MATCH($B29,'Halo Reach Stats'!$A:$A,0),13),"")</f>
        <v>6</v>
      </c>
      <c r="N29" s="16">
        <f t="array" ref="N29">IFERROR(INDEX('Halo Reach Stats'!$1:$46,MATCH($B29,'Halo Reach Stats'!$A:$A,0),14),"")</f>
        <v>0</v>
      </c>
      <c r="O29" s="16">
        <f t="array" ref="O29">IFERROR(INDEX('Halo Reach Stats'!$1:$46,MATCH($B29,'Halo Reach Stats'!$A:$A,0),16),"")</f>
        <v>3160</v>
      </c>
      <c r="P29" s="16">
        <f t="array" ref="P29">IFERROR(INDEX('Halo Reach Stats'!$1:$46,MATCH($B29,'Halo Reach Stats'!$A:$A,0),17),"")</f>
        <v>10</v>
      </c>
      <c r="Q29" s="16">
        <f t="array" ref="Q29">IFERROR(INDEX('Halo Reach Stats'!$1:$46,MATCH($B29,'Halo Reach Stats'!$A:$A,0),18),"")</f>
        <v>2</v>
      </c>
      <c r="R29" s="16">
        <f t="array" ref="R29">IFERROR(INDEX('Halo Reach Stats'!$1:$46,MATCH($B29,'Halo Reach Stats'!$A:$A,0),19),"")</f>
        <v>0</v>
      </c>
      <c r="S29" s="16">
        <f t="array" ref="S29">IFERROR(INDEX('Halo Reach Stats'!$1:$46,MATCH($B29,'Halo Reach Stats'!$A:$A,0),20),"")</f>
        <v>0</v>
      </c>
      <c r="T29" s="16">
        <f t="array" ref="T29">IFERROR(INDEX('Halo Reach Stats'!$1:$46,MATCH($B29,'Halo Reach Stats'!$A:$A,0),21),"")</f>
        <v>0</v>
      </c>
      <c r="U29" s="16">
        <f t="array" ref="U29">IFERROR(INDEX('Halo Reach Stats'!$1:$46,MATCH($B29,'Halo Reach Stats'!$A:$A,0),22),"")</f>
        <v>0</v>
      </c>
      <c r="V29" s="16">
        <f t="array" ref="V29">IFERROR(INDEX('Halo Reach Stats'!$1:$46,MATCH($B29,'Halo Reach Stats'!$A:$A,0),23),"")</f>
        <v>33</v>
      </c>
      <c r="W29" s="16">
        <f t="array" ref="W29">IFERROR(INDEX('Halo Reach Stats'!$1:$46,MATCH($B29,'Halo Reach Stats'!$A:$A,0),24),"")</f>
        <v>6</v>
      </c>
      <c r="X29" s="16">
        <f t="array" ref="X29">IFERROR(INDEX('Halo Reach Stats'!$1:$46,MATCH($B29,'Halo Reach Stats'!$A:$A,0),25),"")</f>
        <v>0</v>
      </c>
      <c r="Y29" s="16">
        <f t="array" ref="Y29">IFERROR(INDEX('Halo Reach Stats'!$1:$46,MATCH($B29,'Halo Reach Stats'!$A:$A,0),26),"")</f>
        <v>0</v>
      </c>
      <c r="Z29" s="16">
        <f t="array" ref="Z29">IFERROR(INDEX('Halo Reach Stats'!$1:$46,MATCH($B29,'Halo Reach Stats'!$A:$A,0),27),"")</f>
        <v>0</v>
      </c>
      <c r="AA29" s="16">
        <f t="array" ref="AA29">IFERROR(INDEX('Halo Reach Stats'!$1:$46,MATCH($B29,'Halo Reach Stats'!$A:$A,0),28),"")</f>
        <v>0</v>
      </c>
      <c r="AB29" s="16">
        <f t="array" ref="AB29">IFERROR(INDEX('Halo Reach Stats'!$1:$46,MATCH($B29,'Halo Reach Stats'!$A:$A,0),29),"")</f>
        <v>0</v>
      </c>
      <c r="AC29" s="16">
        <f t="array" ref="AC29">IFERROR(INDEX('Halo Reach Stats'!$1:$46,MATCH($B29,'Halo Reach Stats'!$A:$A,0),30),"")</f>
        <v>0</v>
      </c>
      <c r="AD29" s="16">
        <f t="array" ref="AD29">IFERROR(INDEX('Halo Reach Stats'!$1:$46,MATCH($B29,'Halo Reach Stats'!$A:$A,0),31),"")</f>
        <v>0</v>
      </c>
      <c r="AE29" s="16">
        <f t="array" ref="AE29">IFERROR(INDEX('Halo Reach Stats'!$1:$46,MATCH($B29,'Halo Reach Stats'!$A:$A,0),32),"")</f>
        <v>0</v>
      </c>
      <c r="AF29" s="16">
        <f t="array" ref="AF29">IFERROR(INDEX('Halo Reach Stats'!$1:$46,MATCH($B29,'Halo Reach Stats'!$A:$A,0),33),"")</f>
        <v>7</v>
      </c>
      <c r="AG29" s="16">
        <f t="array" ref="AG29">IFERROR(INDEX('Halo Reach Stats'!$1:$46,MATCH($B29,'Halo Reach Stats'!$A:$A,0),34),"")</f>
        <v>0</v>
      </c>
      <c r="AH29" s="16">
        <f t="array" ref="AH29">IFERROR(INDEX('Halo Reach Stats'!$1:$46,MATCH($B29,'Halo Reach Stats'!$A:$A,0),35),"")</f>
        <v>2</v>
      </c>
    </row>
    <row r="30">
      <c r="A30" s="315" t="str">
        <f>IF(((E27+E28+E29+E30)/4)&lt;=5.55,"F",IF(((E27+E28+E29+E30)/4)&lt;9.25,"E",IF(((E27+E28+E29+E30)/4)&lt;12.95,"D",IF(((E27+E28+E29+E30)/4)&lt;16.65,"C",IF(((E27+E28+E29+E30)/4)&lt;20.35,"B",IF(((E27+E28+E29+E30)/4)&lt;24.05,"A","S"))))))</f>
        <v>C</v>
      </c>
      <c r="B30" s="1" t="str">
        <f t="array" ref="B30">IFERROR(INDEX(TeamInfo!$C4:$C$45,MATCH($A$27,TeamInfo!A:A,0),0),"")</f>
        <v>Mhurcy</v>
      </c>
      <c r="C30" s="14" t="str">
        <f t="array" ref="C30">IFERROR(INDEX('Player Efficiency'!$1:$45,MATCH(B30,'Player Efficiency'!A:A,0),2),"")</f>
        <v/>
      </c>
      <c r="D30" s="310" t="str">
        <f t="array" ref="D30">IFERROR(INDEX(PlayerGrades!$1:$47,MATCH(B30,PlayerGrades!J:J,0),18),"")</f>
        <v>B</v>
      </c>
      <c r="E30" s="310">
        <f t="array" ref="E30">IFERROR(INDEX(PlayerGrades!$1:$47,MATCH(B30,PlayerGrades!J:J,0),19),"")</f>
        <v>13</v>
      </c>
      <c r="F30" s="16" t="str">
        <f t="array" ref="F30">IFERROR(INDEX(TeamInfo!$D4:$D$45,MATCH($A$27,TeamInfo!A:A,0),0),"")</f>
        <v>US SOUTH CENTRAL</v>
      </c>
      <c r="G30" s="16">
        <f t="array" ref="G30">IFERROR(INDEX('Halo Reach Stats'!$1:$46,MATCH($B30,'Halo Reach Stats'!$A:$A,0),8),"")</f>
        <v>0</v>
      </c>
      <c r="H30" s="16">
        <f t="array" ref="H30">IFERROR(INDEX('Halo Reach Stats'!$1:$46,MATCH($B30,'Halo Reach Stats'!$A:$A,0),9),"")</f>
        <v>182</v>
      </c>
      <c r="I30" s="16">
        <f t="array" ref="I30">IFERROR(INDEX('Halo Reach Stats'!$1:$46,MATCH($B30,'Halo Reach Stats'!$A:$A,0),10),"")</f>
        <v>211</v>
      </c>
      <c r="J30" s="16">
        <f t="array" ref="J30">IFERROR(INDEX('Halo Reach Stats'!$1:$46,MATCH($B30,'Halo Reach Stats'!$A:$A,0),11),"")</f>
        <v>-29</v>
      </c>
      <c r="K30" s="312">
        <f t="shared" si="20"/>
        <v>0.8625592417</v>
      </c>
      <c r="L30" s="16">
        <f t="array" ref="L30">IFERROR(INDEX('Halo Reach Stats'!$1:$46,MATCH($B30,'Halo Reach Stats'!$A:$A,0),12),"")</f>
        <v>10</v>
      </c>
      <c r="M30" s="16">
        <f t="array" ref="M30">IFERROR(INDEX('Halo Reach Stats'!$1:$46,MATCH($B30,'Halo Reach Stats'!$A:$A,0),13),"")</f>
        <v>5</v>
      </c>
      <c r="N30" s="16">
        <f t="array" ref="N30">IFERROR(INDEX('Halo Reach Stats'!$1:$46,MATCH($B30,'Halo Reach Stats'!$A:$A,0),14),"")</f>
        <v>6</v>
      </c>
      <c r="O30" s="16">
        <f t="array" ref="O30">IFERROR(INDEX('Halo Reach Stats'!$1:$46,MATCH($B30,'Halo Reach Stats'!$A:$A,0),16),"")</f>
        <v>3160</v>
      </c>
      <c r="P30" s="16">
        <f t="array" ref="P30">IFERROR(INDEX('Halo Reach Stats'!$1:$46,MATCH($B30,'Halo Reach Stats'!$A:$A,0),17),"")</f>
        <v>10</v>
      </c>
      <c r="Q30" s="16">
        <f t="array" ref="Q30">IFERROR(INDEX('Halo Reach Stats'!$1:$46,MATCH($B30,'Halo Reach Stats'!$A:$A,0),18),"")</f>
        <v>3</v>
      </c>
      <c r="R30" s="16">
        <f t="array" ref="R30">IFERROR(INDEX('Halo Reach Stats'!$1:$46,MATCH($B30,'Halo Reach Stats'!$A:$A,0),19),"")</f>
        <v>0</v>
      </c>
      <c r="S30" s="16">
        <f t="array" ref="S30">IFERROR(INDEX('Halo Reach Stats'!$1:$46,MATCH($B30,'Halo Reach Stats'!$A:$A,0),20),"")</f>
        <v>0</v>
      </c>
      <c r="T30" s="16">
        <f t="array" ref="T30">IFERROR(INDEX('Halo Reach Stats'!$1:$46,MATCH($B30,'Halo Reach Stats'!$A:$A,0),21),"")</f>
        <v>0</v>
      </c>
      <c r="U30" s="16">
        <f t="array" ref="U30">IFERROR(INDEX('Halo Reach Stats'!$1:$46,MATCH($B30,'Halo Reach Stats'!$A:$A,0),22),"")</f>
        <v>0</v>
      </c>
      <c r="V30" s="16">
        <f t="array" ref="V30">IFERROR(INDEX('Halo Reach Stats'!$1:$46,MATCH($B30,'Halo Reach Stats'!$A:$A,0),23),"")</f>
        <v>28</v>
      </c>
      <c r="W30" s="16">
        <f t="array" ref="W30">IFERROR(INDEX('Halo Reach Stats'!$1:$46,MATCH($B30,'Halo Reach Stats'!$A:$A,0),24),"")</f>
        <v>5</v>
      </c>
      <c r="X30" s="16">
        <f t="array" ref="X30">IFERROR(INDEX('Halo Reach Stats'!$1:$46,MATCH($B30,'Halo Reach Stats'!$A:$A,0),25),"")</f>
        <v>1</v>
      </c>
      <c r="Y30" s="16">
        <f t="array" ref="Y30">IFERROR(INDEX('Halo Reach Stats'!$1:$46,MATCH($B30,'Halo Reach Stats'!$A:$A,0),26),"")</f>
        <v>1</v>
      </c>
      <c r="Z30" s="16">
        <f t="array" ref="Z30">IFERROR(INDEX('Halo Reach Stats'!$1:$46,MATCH($B30,'Halo Reach Stats'!$A:$A,0),27),"")</f>
        <v>0</v>
      </c>
      <c r="AA30" s="16">
        <f t="array" ref="AA30">IFERROR(INDEX('Halo Reach Stats'!$1:$46,MATCH($B30,'Halo Reach Stats'!$A:$A,0),28),"")</f>
        <v>0</v>
      </c>
      <c r="AB30" s="16">
        <f t="array" ref="AB30">IFERROR(INDEX('Halo Reach Stats'!$1:$46,MATCH($B30,'Halo Reach Stats'!$A:$A,0),29),"")</f>
        <v>0</v>
      </c>
      <c r="AC30" s="16">
        <f t="array" ref="AC30">IFERROR(INDEX('Halo Reach Stats'!$1:$46,MATCH($B30,'Halo Reach Stats'!$A:$A,0),30),"")</f>
        <v>0</v>
      </c>
      <c r="AD30" s="16">
        <f t="array" ref="AD30">IFERROR(INDEX('Halo Reach Stats'!$1:$46,MATCH($B30,'Halo Reach Stats'!$A:$A,0),31),"")</f>
        <v>0</v>
      </c>
      <c r="AE30" s="16">
        <f t="array" ref="AE30">IFERROR(INDEX('Halo Reach Stats'!$1:$46,MATCH($B30,'Halo Reach Stats'!$A:$A,0),32),"")</f>
        <v>0</v>
      </c>
      <c r="AF30" s="16">
        <f t="array" ref="AF30">IFERROR(INDEX('Halo Reach Stats'!$1:$46,MATCH($B30,'Halo Reach Stats'!$A:$A,0),33),"")</f>
        <v>11</v>
      </c>
      <c r="AG30" s="16">
        <f t="array" ref="AG30">IFERROR(INDEX('Halo Reach Stats'!$1:$46,MATCH($B30,'Halo Reach Stats'!$A:$A,0),34),"")</f>
        <v>0</v>
      </c>
      <c r="AH30" s="16">
        <f t="array" ref="AH30">IFERROR(INDEX('Halo Reach Stats'!$1:$46,MATCH($B30,'Halo Reach Stats'!$A:$A,0),35),"")</f>
        <v>3</v>
      </c>
    </row>
    <row r="31">
      <c r="A31" s="331"/>
      <c r="B31" s="317" t="s">
        <v>353</v>
      </c>
      <c r="C31" s="332">
        <f>SUM(C27:C30)/4</f>
        <v>0</v>
      </c>
      <c r="D31" s="325"/>
      <c r="E31" s="326">
        <f>SUM(E27:E30)/4</f>
        <v>13.725</v>
      </c>
      <c r="F31" s="321" t="s">
        <v>354</v>
      </c>
      <c r="G31" s="327">
        <f t="shared" ref="G31:J31" si="21">SUM(G27:G30)</f>
        <v>12</v>
      </c>
      <c r="H31" s="327">
        <f t="shared" si="21"/>
        <v>719</v>
      </c>
      <c r="I31" s="327">
        <f t="shared" si="21"/>
        <v>744</v>
      </c>
      <c r="J31" s="327">
        <f t="shared" si="21"/>
        <v>-25</v>
      </c>
      <c r="K31" s="328">
        <f>SUM(K27:K30)/4</f>
        <v>0.9744872593</v>
      </c>
      <c r="L31" s="327">
        <f t="shared" ref="L31:O31" si="22">SUM(L27:L30)</f>
        <v>46</v>
      </c>
      <c r="M31" s="327">
        <f t="shared" si="22"/>
        <v>22</v>
      </c>
      <c r="N31" s="327">
        <f t="shared" si="22"/>
        <v>14</v>
      </c>
      <c r="O31" s="327">
        <f t="shared" si="22"/>
        <v>12640</v>
      </c>
      <c r="P31" s="327">
        <f>SUM(P27:P30)/4</f>
        <v>12.25</v>
      </c>
      <c r="Q31" s="327">
        <f t="shared" ref="Q31:AH31" si="23">SUM(Q27:Q30)</f>
        <v>12</v>
      </c>
      <c r="R31" s="327">
        <f t="shared" si="23"/>
        <v>0</v>
      </c>
      <c r="S31" s="327">
        <f t="shared" si="23"/>
        <v>0</v>
      </c>
      <c r="T31" s="327">
        <f t="shared" si="23"/>
        <v>0</v>
      </c>
      <c r="U31" s="327">
        <f t="shared" si="23"/>
        <v>0</v>
      </c>
      <c r="V31" s="327">
        <f t="shared" si="23"/>
        <v>107</v>
      </c>
      <c r="W31" s="327">
        <f t="shared" si="23"/>
        <v>24</v>
      </c>
      <c r="X31" s="327">
        <f t="shared" si="23"/>
        <v>3</v>
      </c>
      <c r="Y31" s="327">
        <f t="shared" si="23"/>
        <v>2</v>
      </c>
      <c r="Z31" s="327">
        <f t="shared" si="23"/>
        <v>0</v>
      </c>
      <c r="AA31" s="327">
        <f t="shared" si="23"/>
        <v>0</v>
      </c>
      <c r="AB31" s="327">
        <f t="shared" si="23"/>
        <v>0</v>
      </c>
      <c r="AC31" s="327">
        <f t="shared" si="23"/>
        <v>0</v>
      </c>
      <c r="AD31" s="327">
        <f t="shared" si="23"/>
        <v>0</v>
      </c>
      <c r="AE31" s="327">
        <f t="shared" si="23"/>
        <v>0</v>
      </c>
      <c r="AF31" s="327">
        <f t="shared" si="23"/>
        <v>27</v>
      </c>
      <c r="AG31" s="327">
        <f t="shared" si="23"/>
        <v>0</v>
      </c>
      <c r="AH31" s="327">
        <f t="shared" si="23"/>
        <v>7</v>
      </c>
    </row>
    <row r="32">
      <c r="A32" s="333" t="s">
        <v>360</v>
      </c>
      <c r="B32" s="329" t="str">
        <f t="array" ref="B32">IFERROR(INDEX(TeamInfo!$C1:$C$45,MATCH($A$32,TeamInfo!A:A,0),0),"")</f>
        <v>Sabasauros rex</v>
      </c>
      <c r="C32" s="14" t="str">
        <f t="array" ref="C32">IFERROR(INDEX('Player Efficiency'!$1:$45,MATCH(B32,'Player Efficiency'!A:A,0),2),"")</f>
        <v/>
      </c>
      <c r="D32" s="310" t="str">
        <f t="array" ref="D32">IFERROR(INDEX(PlayerGrades!$1:$47,MATCH(B32,PlayerGrades!J:J,0),18),"")</f>
        <v>C</v>
      </c>
      <c r="E32" s="310">
        <f t="array" ref="E32">IFERROR(INDEX(PlayerGrades!$1:$47,MATCH(B32,PlayerGrades!J:J,0),19),"")</f>
        <v>10.6</v>
      </c>
      <c r="F32" s="311" t="str">
        <f t="array" ref="F32">IFERROR(INDEX(TeamInfo!$D1:$D$45,MATCH($A$32,TeamInfo!A:A,0),0),"")</f>
        <v>US EAST</v>
      </c>
      <c r="G32" s="16">
        <f t="array" ref="G32">IFERROR(INDEX('Halo Reach Stats'!$1:$46,MATCH($B32,'Halo Reach Stats'!$A:$A,0),8),"")</f>
        <v>10</v>
      </c>
      <c r="H32" s="16">
        <f t="array" ref="H32">IFERROR(INDEX('Halo Reach Stats'!$1:$46,MATCH($B32,'Halo Reach Stats'!$A:$A,0),9),"")</f>
        <v>248</v>
      </c>
      <c r="I32" s="16">
        <f t="array" ref="I32">IFERROR(INDEX('Halo Reach Stats'!$1:$46,MATCH($B32,'Halo Reach Stats'!$A:$A,0),10),"")</f>
        <v>209</v>
      </c>
      <c r="J32" s="16">
        <f t="array" ref="J32">IFERROR(INDEX('Halo Reach Stats'!$1:$46,MATCH($B32,'Halo Reach Stats'!$A:$A,0),11),"")</f>
        <v>39</v>
      </c>
      <c r="K32" s="312">
        <f t="shared" ref="K32:K35" si="24">H32/I32</f>
        <v>1.186602871</v>
      </c>
      <c r="L32" s="16">
        <f t="array" ref="L32">IFERROR(INDEX('Halo Reach Stats'!$1:$46,MATCH($B32,'Halo Reach Stats'!$A:$A,0),12),"")</f>
        <v>10</v>
      </c>
      <c r="M32" s="16">
        <f t="array" ref="M32">IFERROR(INDEX('Halo Reach Stats'!$1:$46,MATCH($B32,'Halo Reach Stats'!$A:$A,0),13),"")</f>
        <v>8</v>
      </c>
      <c r="N32" s="16">
        <f t="array" ref="N32">IFERROR(INDEX('Halo Reach Stats'!$1:$46,MATCH($B32,'Halo Reach Stats'!$A:$A,0),14),"")</f>
        <v>5</v>
      </c>
      <c r="O32" s="16">
        <f t="array" ref="O32">IFERROR(INDEX('Halo Reach Stats'!$1:$46,MATCH($B32,'Halo Reach Stats'!$A:$A,0),16),"")</f>
        <v>6903</v>
      </c>
      <c r="P32" s="16">
        <f t="array" ref="P32">IFERROR(INDEX('Halo Reach Stats'!$1:$46,MATCH($B32,'Halo Reach Stats'!$A:$A,0),17),"")</f>
        <v>28</v>
      </c>
      <c r="Q32" s="16">
        <f t="array" ref="Q32">IFERROR(INDEX('Halo Reach Stats'!$1:$46,MATCH($B32,'Halo Reach Stats'!$A:$A,0),18),"")</f>
        <v>8</v>
      </c>
      <c r="R32" s="16">
        <f t="array" ref="R32">IFERROR(INDEX('Halo Reach Stats'!$1:$46,MATCH($B32,'Halo Reach Stats'!$A:$A,0),19),"")</f>
        <v>0</v>
      </c>
      <c r="S32" s="16">
        <f t="array" ref="S32">IFERROR(INDEX('Halo Reach Stats'!$1:$46,MATCH($B32,'Halo Reach Stats'!$A:$A,0),20),"")</f>
        <v>0</v>
      </c>
      <c r="T32" s="16">
        <f t="array" ref="T32">IFERROR(INDEX('Halo Reach Stats'!$1:$46,MATCH($B32,'Halo Reach Stats'!$A:$A,0),21),"")</f>
        <v>0</v>
      </c>
      <c r="U32" s="16">
        <f t="array" ref="U32">IFERROR(INDEX('Halo Reach Stats'!$1:$46,MATCH($B32,'Halo Reach Stats'!$A:$A,0),22),"")</f>
        <v>0</v>
      </c>
      <c r="V32" s="16">
        <f t="array" ref="V32">IFERROR(INDEX('Halo Reach Stats'!$1:$46,MATCH($B32,'Halo Reach Stats'!$A:$A,0),23),"")</f>
        <v>33</v>
      </c>
      <c r="W32" s="16">
        <f t="array" ref="W32">IFERROR(INDEX('Halo Reach Stats'!$1:$46,MATCH($B32,'Halo Reach Stats'!$A:$A,0),24),"")</f>
        <v>4</v>
      </c>
      <c r="X32" s="16">
        <f t="array" ref="X32">IFERROR(INDEX('Halo Reach Stats'!$1:$46,MATCH($B32,'Halo Reach Stats'!$A:$A,0),25),"")</f>
        <v>2</v>
      </c>
      <c r="Y32" s="16">
        <f t="array" ref="Y32">IFERROR(INDEX('Halo Reach Stats'!$1:$46,MATCH($B32,'Halo Reach Stats'!$A:$A,0),26),"")</f>
        <v>1</v>
      </c>
      <c r="Z32" s="16">
        <f t="array" ref="Z32">IFERROR(INDEX('Halo Reach Stats'!$1:$46,MATCH($B32,'Halo Reach Stats'!$A:$A,0),27),"")</f>
        <v>0</v>
      </c>
      <c r="AA32" s="16">
        <f t="array" ref="AA32">IFERROR(INDEX('Halo Reach Stats'!$1:$46,MATCH($B32,'Halo Reach Stats'!$A:$A,0),28),"")</f>
        <v>0</v>
      </c>
      <c r="AB32" s="16">
        <f t="array" ref="AB32">IFERROR(INDEX('Halo Reach Stats'!$1:$46,MATCH($B32,'Halo Reach Stats'!$A:$A,0),29),"")</f>
        <v>0</v>
      </c>
      <c r="AC32" s="16">
        <f t="array" ref="AC32">IFERROR(INDEX('Halo Reach Stats'!$1:$46,MATCH($B32,'Halo Reach Stats'!$A:$A,0),30),"")</f>
        <v>0</v>
      </c>
      <c r="AD32" s="16">
        <f t="array" ref="AD32">IFERROR(INDEX('Halo Reach Stats'!$1:$46,MATCH($B32,'Halo Reach Stats'!$A:$A,0),31),"")</f>
        <v>0</v>
      </c>
      <c r="AE32" s="16">
        <f t="array" ref="AE32">IFERROR(INDEX('Halo Reach Stats'!$1:$46,MATCH($B32,'Halo Reach Stats'!$A:$A,0),32),"")</f>
        <v>0</v>
      </c>
      <c r="AF32" s="16">
        <f t="array" ref="AF32">IFERROR(INDEX('Halo Reach Stats'!$1:$46,MATCH($B32,'Halo Reach Stats'!$A:$A,0),33),"")</f>
        <v>4</v>
      </c>
      <c r="AG32" s="16">
        <f t="array" ref="AG32">IFERROR(INDEX('Halo Reach Stats'!$1:$46,MATCH($B32,'Halo Reach Stats'!$A:$A,0),34),"")</f>
        <v>0</v>
      </c>
      <c r="AH32" s="16">
        <f t="array" ref="AH32">IFERROR(INDEX('Halo Reach Stats'!$1:$46,MATCH($B32,'Halo Reach Stats'!$A:$A,0),35),"")</f>
        <v>3</v>
      </c>
    </row>
    <row r="33">
      <c r="A33" s="330" t="str">
        <f t="array" ref="A33">IFERROR(INDEX(TeamInfo!$1:$45,MATCH(A32,TeamInfo!A:A,0),2),"")</f>
        <v>Washed Squad</v>
      </c>
      <c r="B33" s="1" t="str">
        <f t="array" ref="B33">IFERROR(INDEX(TeamInfo!$C2:$C$45,MATCH($A$32,TeamInfo!A:A,0),0),"")</f>
        <v>Godsnipezx</v>
      </c>
      <c r="C33" s="14" t="str">
        <f t="array" ref="C33">IFERROR(INDEX('Player Efficiency'!$1:$45,MATCH(B33,'Player Efficiency'!A:A,0),2),"")</f>
        <v/>
      </c>
      <c r="D33" s="310" t="str">
        <f t="array" ref="D33">IFERROR(INDEX(PlayerGrades!$1:$47,MATCH(B33,PlayerGrades!J:J,0),18),"")</f>
        <v>A</v>
      </c>
      <c r="E33" s="310">
        <f t="array" ref="E33">IFERROR(INDEX(PlayerGrades!$1:$47,MATCH(B33,PlayerGrades!J:J,0),19),"")</f>
        <v>16.4</v>
      </c>
      <c r="F33" s="16" t="str">
        <f t="array" ref="F33">IFERROR(INDEX(TeamInfo!$D2:$D$45,MATCH($A$32,TeamInfo!A:A,0),0),"")</f>
        <v>US NORTH CENTRAL</v>
      </c>
      <c r="G33" s="16">
        <f t="array" ref="G33">IFERROR(INDEX('Halo Reach Stats'!$1:$46,MATCH($B33,'Halo Reach Stats'!$A:$A,0),8),"")</f>
        <v>1</v>
      </c>
      <c r="H33" s="16">
        <f t="array" ref="H33">IFERROR(INDEX('Halo Reach Stats'!$1:$46,MATCH($B33,'Halo Reach Stats'!$A:$A,0),9),"")</f>
        <v>496</v>
      </c>
      <c r="I33" s="16">
        <f t="array" ref="I33">IFERROR(INDEX('Halo Reach Stats'!$1:$46,MATCH($B33,'Halo Reach Stats'!$A:$A,0),10),"")</f>
        <v>514</v>
      </c>
      <c r="J33" s="16">
        <f t="array" ref="J33">IFERROR(INDEX('Halo Reach Stats'!$1:$46,MATCH($B33,'Halo Reach Stats'!$A:$A,0),11),"")</f>
        <v>-18</v>
      </c>
      <c r="K33" s="312">
        <f t="shared" si="24"/>
        <v>0.9649805447</v>
      </c>
      <c r="L33" s="16">
        <f t="array" ref="L33">IFERROR(INDEX('Halo Reach Stats'!$1:$46,MATCH($B33,'Halo Reach Stats'!$A:$A,0),12),"")</f>
        <v>30</v>
      </c>
      <c r="M33" s="16">
        <f t="array" ref="M33">IFERROR(INDEX('Halo Reach Stats'!$1:$46,MATCH($B33,'Halo Reach Stats'!$A:$A,0),13),"")</f>
        <v>7</v>
      </c>
      <c r="N33" s="16">
        <f t="array" ref="N33">IFERROR(INDEX('Halo Reach Stats'!$1:$46,MATCH($B33,'Halo Reach Stats'!$A:$A,0),14),"")</f>
        <v>5</v>
      </c>
      <c r="O33" s="16">
        <f t="array" ref="O33">IFERROR(INDEX('Halo Reach Stats'!$1:$46,MATCH($B33,'Halo Reach Stats'!$A:$A,0),16),"")</f>
        <v>6903</v>
      </c>
      <c r="P33" s="16">
        <f t="array" ref="P33">IFERROR(INDEX('Halo Reach Stats'!$1:$46,MATCH($B33,'Halo Reach Stats'!$A:$A,0),17),"")</f>
        <v>9</v>
      </c>
      <c r="Q33" s="16">
        <f t="array" ref="Q33">IFERROR(INDEX('Halo Reach Stats'!$1:$46,MATCH($B33,'Halo Reach Stats'!$A:$A,0),18),"")</f>
        <v>8</v>
      </c>
      <c r="R33" s="16">
        <f t="array" ref="R33">IFERROR(INDEX('Halo Reach Stats'!$1:$46,MATCH($B33,'Halo Reach Stats'!$A:$A,0),19),"")</f>
        <v>0</v>
      </c>
      <c r="S33" s="16">
        <f t="array" ref="S33">IFERROR(INDEX('Halo Reach Stats'!$1:$46,MATCH($B33,'Halo Reach Stats'!$A:$A,0),20),"")</f>
        <v>0</v>
      </c>
      <c r="T33" s="16">
        <f t="array" ref="T33">IFERROR(INDEX('Halo Reach Stats'!$1:$46,MATCH($B33,'Halo Reach Stats'!$A:$A,0),21),"")</f>
        <v>0</v>
      </c>
      <c r="U33" s="16">
        <f t="array" ref="U33">IFERROR(INDEX('Halo Reach Stats'!$1:$46,MATCH($B33,'Halo Reach Stats'!$A:$A,0),22),"")</f>
        <v>0</v>
      </c>
      <c r="V33" s="16">
        <f t="array" ref="V33">IFERROR(INDEX('Halo Reach Stats'!$1:$46,MATCH($B33,'Halo Reach Stats'!$A:$A,0),23),"")</f>
        <v>76</v>
      </c>
      <c r="W33" s="16">
        <f t="array" ref="W33">IFERROR(INDEX('Halo Reach Stats'!$1:$46,MATCH($B33,'Halo Reach Stats'!$A:$A,0),24),"")</f>
        <v>13</v>
      </c>
      <c r="X33" s="16">
        <f t="array" ref="X33">IFERROR(INDEX('Halo Reach Stats'!$1:$46,MATCH($B33,'Halo Reach Stats'!$A:$A,0),25),"")</f>
        <v>2</v>
      </c>
      <c r="Y33" s="16">
        <f t="array" ref="Y33">IFERROR(INDEX('Halo Reach Stats'!$1:$46,MATCH($B33,'Halo Reach Stats'!$A:$A,0),26),"")</f>
        <v>0</v>
      </c>
      <c r="Z33" s="16">
        <f t="array" ref="Z33">IFERROR(INDEX('Halo Reach Stats'!$1:$46,MATCH($B33,'Halo Reach Stats'!$A:$A,0),27),"")</f>
        <v>0</v>
      </c>
      <c r="AA33" s="16">
        <f t="array" ref="AA33">IFERROR(INDEX('Halo Reach Stats'!$1:$46,MATCH($B33,'Halo Reach Stats'!$A:$A,0),28),"")</f>
        <v>0</v>
      </c>
      <c r="AB33" s="16">
        <f t="array" ref="AB33">IFERROR(INDEX('Halo Reach Stats'!$1:$46,MATCH($B33,'Halo Reach Stats'!$A:$A,0),29),"")</f>
        <v>0</v>
      </c>
      <c r="AC33" s="16">
        <f t="array" ref="AC33">IFERROR(INDEX('Halo Reach Stats'!$1:$46,MATCH($B33,'Halo Reach Stats'!$A:$A,0),30),"")</f>
        <v>0</v>
      </c>
      <c r="AD33" s="16">
        <f t="array" ref="AD33">IFERROR(INDEX('Halo Reach Stats'!$1:$46,MATCH($B33,'Halo Reach Stats'!$A:$A,0),31),"")</f>
        <v>0</v>
      </c>
      <c r="AE33" s="16">
        <f t="array" ref="AE33">IFERROR(INDEX('Halo Reach Stats'!$1:$46,MATCH($B33,'Halo Reach Stats'!$A:$A,0),32),"")</f>
        <v>0</v>
      </c>
      <c r="AF33" s="16">
        <f t="array" ref="AF33">IFERROR(INDEX('Halo Reach Stats'!$1:$46,MATCH($B33,'Halo Reach Stats'!$A:$A,0),33),"")</f>
        <v>38</v>
      </c>
      <c r="AG33" s="16">
        <f t="array" ref="AG33">IFERROR(INDEX('Halo Reach Stats'!$1:$46,MATCH($B33,'Halo Reach Stats'!$A:$A,0),34),"")</f>
        <v>0</v>
      </c>
      <c r="AH33" s="16">
        <f t="array" ref="AH33">IFERROR(INDEX('Halo Reach Stats'!$1:$46,MATCH($B33,'Halo Reach Stats'!$A:$A,0),35),"")</f>
        <v>7</v>
      </c>
    </row>
    <row r="34">
      <c r="A34" s="12" t="str">
        <f t="array" ref="A34">IFERROR(INDEX(TeamInfo!$1:$45,MATCH(A32,TeamInfo!A:A,0),5),"")</f>
        <v/>
      </c>
      <c r="B34" s="1" t="str">
        <f t="array" ref="B34">IFERROR(INDEX(TeamInfo!$C3:$C$45,MATCH($A$32,TeamInfo!A:A,0),0),"")</f>
        <v>L1ght5aber</v>
      </c>
      <c r="C34" s="14" t="str">
        <f t="array" ref="C34">IFERROR(INDEX('Player Efficiency'!$1:$45,MATCH(B34,'Player Efficiency'!A:A,0),2),"")</f>
        <v/>
      </c>
      <c r="D34" s="310" t="str">
        <f t="array" ref="D34">IFERROR(INDEX(PlayerGrades!$1:$47,MATCH(B34,PlayerGrades!J:J,0),18),"")</f>
        <v>C</v>
      </c>
      <c r="E34" s="310">
        <f t="array" ref="E34">IFERROR(INDEX(PlayerGrades!$1:$47,MATCH(B34,PlayerGrades!J:J,0),19),"")</f>
        <v>11</v>
      </c>
      <c r="F34" s="16" t="str">
        <f t="array" ref="F34">IFERROR(INDEX(TeamInfo!$D3:$D$45,MATCH($A$32,TeamInfo!A:A,0),0),"")</f>
        <v>US WEST</v>
      </c>
      <c r="G34" s="16">
        <f t="array" ref="G34">IFERROR(INDEX('Halo Reach Stats'!$1:$46,MATCH($B34,'Halo Reach Stats'!$A:$A,0),8),"")</f>
        <v>0</v>
      </c>
      <c r="H34" s="16">
        <f t="array" ref="H34">IFERROR(INDEX('Halo Reach Stats'!$1:$46,MATCH($B34,'Halo Reach Stats'!$A:$A,0),9),"")</f>
        <v>342</v>
      </c>
      <c r="I34" s="16">
        <f t="array" ref="I34">IFERROR(INDEX('Halo Reach Stats'!$1:$46,MATCH($B34,'Halo Reach Stats'!$A:$A,0),10),"")</f>
        <v>353</v>
      </c>
      <c r="J34" s="16">
        <f t="array" ref="J34">IFERROR(INDEX('Halo Reach Stats'!$1:$46,MATCH($B34,'Halo Reach Stats'!$A:$A,0),11),"")</f>
        <v>-11</v>
      </c>
      <c r="K34" s="312">
        <f t="shared" si="24"/>
        <v>0.9688385269</v>
      </c>
      <c r="L34" s="16">
        <f t="array" ref="L34">IFERROR(INDEX('Halo Reach Stats'!$1:$46,MATCH($B34,'Halo Reach Stats'!$A:$A,0),12),"")</f>
        <v>30</v>
      </c>
      <c r="M34" s="16">
        <f t="array" ref="M34">IFERROR(INDEX('Halo Reach Stats'!$1:$46,MATCH($B34,'Halo Reach Stats'!$A:$A,0),13),"")</f>
        <v>6</v>
      </c>
      <c r="N34" s="16">
        <f t="array" ref="N34">IFERROR(INDEX('Halo Reach Stats'!$1:$46,MATCH($B34,'Halo Reach Stats'!$A:$A,0),14),"")</f>
        <v>6</v>
      </c>
      <c r="O34" s="16">
        <f t="array" ref="O34">IFERROR(INDEX('Halo Reach Stats'!$1:$46,MATCH($B34,'Halo Reach Stats'!$A:$A,0),16),"")</f>
        <v>5698</v>
      </c>
      <c r="P34" s="16">
        <f t="array" ref="P34">IFERROR(INDEX('Halo Reach Stats'!$1:$46,MATCH($B34,'Halo Reach Stats'!$A:$A,0),17),"")</f>
        <v>12</v>
      </c>
      <c r="Q34" s="16">
        <f t="array" ref="Q34">IFERROR(INDEX('Halo Reach Stats'!$1:$46,MATCH($B34,'Halo Reach Stats'!$A:$A,0),18),"")</f>
        <v>2</v>
      </c>
      <c r="R34" s="16">
        <f t="array" ref="R34">IFERROR(INDEX('Halo Reach Stats'!$1:$46,MATCH($B34,'Halo Reach Stats'!$A:$A,0),19),"")</f>
        <v>0</v>
      </c>
      <c r="S34" s="16">
        <f t="array" ref="S34">IFERROR(INDEX('Halo Reach Stats'!$1:$46,MATCH($B34,'Halo Reach Stats'!$A:$A,0),20),"")</f>
        <v>0</v>
      </c>
      <c r="T34" s="16">
        <f t="array" ref="T34">IFERROR(INDEX('Halo Reach Stats'!$1:$46,MATCH($B34,'Halo Reach Stats'!$A:$A,0),21),"")</f>
        <v>0</v>
      </c>
      <c r="U34" s="16">
        <f t="array" ref="U34">IFERROR(INDEX('Halo Reach Stats'!$1:$46,MATCH($B34,'Halo Reach Stats'!$A:$A,0),22),"")</f>
        <v>0</v>
      </c>
      <c r="V34" s="16">
        <f t="array" ref="V34">IFERROR(INDEX('Halo Reach Stats'!$1:$46,MATCH($B34,'Halo Reach Stats'!$A:$A,0),23),"")</f>
        <v>50</v>
      </c>
      <c r="W34" s="16">
        <f t="array" ref="W34">IFERROR(INDEX('Halo Reach Stats'!$1:$46,MATCH($B34,'Halo Reach Stats'!$A:$A,0),24),"")</f>
        <v>6</v>
      </c>
      <c r="X34" s="16">
        <f t="array" ref="X34">IFERROR(INDEX('Halo Reach Stats'!$1:$46,MATCH($B34,'Halo Reach Stats'!$A:$A,0),25),"")</f>
        <v>0</v>
      </c>
      <c r="Y34" s="16">
        <f t="array" ref="Y34">IFERROR(INDEX('Halo Reach Stats'!$1:$46,MATCH($B34,'Halo Reach Stats'!$A:$A,0),26),"")</f>
        <v>0</v>
      </c>
      <c r="Z34" s="16">
        <f t="array" ref="Z34">IFERROR(INDEX('Halo Reach Stats'!$1:$46,MATCH($B34,'Halo Reach Stats'!$A:$A,0),27),"")</f>
        <v>0</v>
      </c>
      <c r="AA34" s="16">
        <f t="array" ref="AA34">IFERROR(INDEX('Halo Reach Stats'!$1:$46,MATCH($B34,'Halo Reach Stats'!$A:$A,0),28),"")</f>
        <v>0</v>
      </c>
      <c r="AB34" s="16">
        <f t="array" ref="AB34">IFERROR(INDEX('Halo Reach Stats'!$1:$46,MATCH($B34,'Halo Reach Stats'!$A:$A,0),29),"")</f>
        <v>0</v>
      </c>
      <c r="AC34" s="16">
        <f t="array" ref="AC34">IFERROR(INDEX('Halo Reach Stats'!$1:$46,MATCH($B34,'Halo Reach Stats'!$A:$A,0),30),"")</f>
        <v>0</v>
      </c>
      <c r="AD34" s="16">
        <f t="array" ref="AD34">IFERROR(INDEX('Halo Reach Stats'!$1:$46,MATCH($B34,'Halo Reach Stats'!$A:$A,0),31),"")</f>
        <v>0</v>
      </c>
      <c r="AE34" s="16">
        <f t="array" ref="AE34">IFERROR(INDEX('Halo Reach Stats'!$1:$46,MATCH($B34,'Halo Reach Stats'!$A:$A,0),32),"")</f>
        <v>0</v>
      </c>
      <c r="AF34" s="16">
        <f t="array" ref="AF34">IFERROR(INDEX('Halo Reach Stats'!$1:$46,MATCH($B34,'Halo Reach Stats'!$A:$A,0),33),"")</f>
        <v>13</v>
      </c>
      <c r="AG34" s="16">
        <f t="array" ref="AG34">IFERROR(INDEX('Halo Reach Stats'!$1:$46,MATCH($B34,'Halo Reach Stats'!$A:$A,0),34),"")</f>
        <v>0</v>
      </c>
      <c r="AH34" s="16">
        <f t="array" ref="AH34">IFERROR(INDEX('Halo Reach Stats'!$1:$46,MATCH($B34,'Halo Reach Stats'!$A:$A,0),35),"")</f>
        <v>2</v>
      </c>
    </row>
    <row r="35">
      <c r="A35" s="315" t="str">
        <f>IF(((E32+E33+E34+E35)/4)&lt;=5.55,"F",IF(((E32+E33+E34+E35)/4)&lt;9.25,"E",IF(((E32+E33+E34+E35)/4)&lt;12.95,"D",IF(((E32+E33+E34+E35)/4)&lt;16.65,"C",IF(((E32+E33+E34+E35)/4)&lt;20.35,"B",IF(((E32+E33+E34+E35)/4)&lt;24.05,"A","S"))))))</f>
        <v>C</v>
      </c>
      <c r="B35" s="1" t="str">
        <f t="array" ref="B35">IFERROR(INDEX(TeamInfo!$C4:$C$45,MATCH($A$32,TeamInfo!A:A,0),0),"")</f>
        <v>MoldyVolts</v>
      </c>
      <c r="C35" s="14" t="str">
        <f t="array" ref="C35">IFERROR(INDEX('Player Efficiency'!$1:$45,MATCH(B35,'Player Efficiency'!A:A,0),2),"")</f>
        <v/>
      </c>
      <c r="D35" s="310" t="str">
        <f t="array" ref="D35">IFERROR(INDEX(PlayerGrades!$1:$47,MATCH(B35,PlayerGrades!J:J,0),18),"")</f>
        <v>B</v>
      </c>
      <c r="E35" s="310">
        <f t="array" ref="E35">IFERROR(INDEX(PlayerGrades!$1:$47,MATCH(B35,PlayerGrades!J:J,0),19),"")</f>
        <v>14.6</v>
      </c>
      <c r="F35" s="16" t="str">
        <f t="array" ref="F35">IFERROR(INDEX(TeamInfo!$D4:$D$45,MATCH($A$32,TeamInfo!A:A,0),0),"")</f>
        <v>US NORTH CENTRAL</v>
      </c>
      <c r="G35" s="16">
        <f t="array" ref="G35">IFERROR(INDEX('Halo Reach Stats'!$1:$46,MATCH($B35,'Halo Reach Stats'!$A:$A,0),8),"")</f>
        <v>2</v>
      </c>
      <c r="H35" s="16">
        <f t="array" ref="H35">IFERROR(INDEX('Halo Reach Stats'!$1:$46,MATCH($B35,'Halo Reach Stats'!$A:$A,0),9),"")</f>
        <v>386</v>
      </c>
      <c r="I35" s="16">
        <f t="array" ref="I35">IFERROR(INDEX('Halo Reach Stats'!$1:$46,MATCH($B35,'Halo Reach Stats'!$A:$A,0),10),"")</f>
        <v>487</v>
      </c>
      <c r="J35" s="16">
        <f t="array" ref="J35">IFERROR(INDEX('Halo Reach Stats'!$1:$46,MATCH($B35,'Halo Reach Stats'!$A:$A,0),11),"")</f>
        <v>-101</v>
      </c>
      <c r="K35" s="312">
        <f t="shared" si="24"/>
        <v>0.7926078029</v>
      </c>
      <c r="L35" s="16">
        <f t="array" ref="L35">IFERROR(INDEX('Halo Reach Stats'!$1:$46,MATCH($B35,'Halo Reach Stats'!$A:$A,0),12),"")</f>
        <v>32</v>
      </c>
      <c r="M35" s="16">
        <f t="array" ref="M35">IFERROR(INDEX('Halo Reach Stats'!$1:$46,MATCH($B35,'Halo Reach Stats'!$A:$A,0),13),"")</f>
        <v>8</v>
      </c>
      <c r="N35" s="16">
        <f t="array" ref="N35">IFERROR(INDEX('Halo Reach Stats'!$1:$46,MATCH($B35,'Halo Reach Stats'!$A:$A,0),14),"")</f>
        <v>8</v>
      </c>
      <c r="O35" s="16">
        <f t="array" ref="O35">IFERROR(INDEX('Halo Reach Stats'!$1:$46,MATCH($B35,'Halo Reach Stats'!$A:$A,0),16),"")</f>
        <v>6903</v>
      </c>
      <c r="P35" s="16">
        <f t="array" ref="P35">IFERROR(INDEX('Halo Reach Stats'!$1:$46,MATCH($B35,'Halo Reach Stats'!$A:$A,0),17),"")</f>
        <v>10</v>
      </c>
      <c r="Q35" s="16">
        <f t="array" ref="Q35">IFERROR(INDEX('Halo Reach Stats'!$1:$46,MATCH($B35,'Halo Reach Stats'!$A:$A,0),18),"")</f>
        <v>9</v>
      </c>
      <c r="R35" s="16">
        <f t="array" ref="R35">IFERROR(INDEX('Halo Reach Stats'!$1:$46,MATCH($B35,'Halo Reach Stats'!$A:$A,0),19),"")</f>
        <v>0</v>
      </c>
      <c r="S35" s="16">
        <f t="array" ref="S35">IFERROR(INDEX('Halo Reach Stats'!$1:$46,MATCH($B35,'Halo Reach Stats'!$A:$A,0),20),"")</f>
        <v>0</v>
      </c>
      <c r="T35" s="16">
        <f t="array" ref="T35">IFERROR(INDEX('Halo Reach Stats'!$1:$46,MATCH($B35,'Halo Reach Stats'!$A:$A,0),21),"")</f>
        <v>0</v>
      </c>
      <c r="U35" s="16">
        <f t="array" ref="U35">IFERROR(INDEX('Halo Reach Stats'!$1:$46,MATCH($B35,'Halo Reach Stats'!$A:$A,0),22),"")</f>
        <v>0</v>
      </c>
      <c r="V35" s="16">
        <f t="array" ref="V35">IFERROR(INDEX('Halo Reach Stats'!$1:$46,MATCH($B35,'Halo Reach Stats'!$A:$A,0),23),"")</f>
        <v>65</v>
      </c>
      <c r="W35" s="16">
        <f t="array" ref="W35">IFERROR(INDEX('Halo Reach Stats'!$1:$46,MATCH($B35,'Halo Reach Stats'!$A:$A,0),24),"")</f>
        <v>14</v>
      </c>
      <c r="X35" s="16">
        <f t="array" ref="X35">IFERROR(INDEX('Halo Reach Stats'!$1:$46,MATCH($B35,'Halo Reach Stats'!$A:$A,0),25),"")</f>
        <v>5</v>
      </c>
      <c r="Y35" s="16">
        <f t="array" ref="Y35">IFERROR(INDEX('Halo Reach Stats'!$1:$46,MATCH($B35,'Halo Reach Stats'!$A:$A,0),26),"")</f>
        <v>0</v>
      </c>
      <c r="Z35" s="16">
        <f t="array" ref="Z35">IFERROR(INDEX('Halo Reach Stats'!$1:$46,MATCH($B35,'Halo Reach Stats'!$A:$A,0),27),"")</f>
        <v>0</v>
      </c>
      <c r="AA35" s="16">
        <f t="array" ref="AA35">IFERROR(INDEX('Halo Reach Stats'!$1:$46,MATCH($B35,'Halo Reach Stats'!$A:$A,0),28),"")</f>
        <v>0</v>
      </c>
      <c r="AB35" s="16">
        <f t="array" ref="AB35">IFERROR(INDEX('Halo Reach Stats'!$1:$46,MATCH($B35,'Halo Reach Stats'!$A:$A,0),29),"")</f>
        <v>0</v>
      </c>
      <c r="AC35" s="16">
        <f t="array" ref="AC35">IFERROR(INDEX('Halo Reach Stats'!$1:$46,MATCH($B35,'Halo Reach Stats'!$A:$A,0),30),"")</f>
        <v>0</v>
      </c>
      <c r="AD35" s="16">
        <f t="array" ref="AD35">IFERROR(INDEX('Halo Reach Stats'!$1:$46,MATCH($B35,'Halo Reach Stats'!$A:$A,0),31),"")</f>
        <v>0</v>
      </c>
      <c r="AE35" s="16">
        <f t="array" ref="AE35">IFERROR(INDEX('Halo Reach Stats'!$1:$46,MATCH($B35,'Halo Reach Stats'!$A:$A,0),32),"")</f>
        <v>0</v>
      </c>
      <c r="AF35" s="16">
        <f t="array" ref="AF35">IFERROR(INDEX('Halo Reach Stats'!$1:$46,MATCH($B35,'Halo Reach Stats'!$A:$A,0),33),"")</f>
        <v>23</v>
      </c>
      <c r="AG35" s="16">
        <f t="array" ref="AG35">IFERROR(INDEX('Halo Reach Stats'!$1:$46,MATCH($B35,'Halo Reach Stats'!$A:$A,0),34),"")</f>
        <v>0</v>
      </c>
      <c r="AH35" s="16">
        <f t="array" ref="AH35">IFERROR(INDEX('Halo Reach Stats'!$1:$46,MATCH($B35,'Halo Reach Stats'!$A:$A,0),35),"")</f>
        <v>9</v>
      </c>
    </row>
    <row r="36">
      <c r="A36" s="331"/>
      <c r="B36" s="317" t="s">
        <v>353</v>
      </c>
      <c r="C36" s="332">
        <f>SUM(C32:C35)/4</f>
        <v>0</v>
      </c>
      <c r="D36" s="325"/>
      <c r="E36" s="326">
        <f>SUM(E32:E35)/4</f>
        <v>13.15</v>
      </c>
      <c r="F36" s="321" t="s">
        <v>354</v>
      </c>
      <c r="G36" s="327">
        <f t="shared" ref="G36:J36" si="25">SUM(G32:G35)</f>
        <v>13</v>
      </c>
      <c r="H36" s="327">
        <f t="shared" si="25"/>
        <v>1472</v>
      </c>
      <c r="I36" s="327">
        <f t="shared" si="25"/>
        <v>1563</v>
      </c>
      <c r="J36" s="327">
        <f t="shared" si="25"/>
        <v>-91</v>
      </c>
      <c r="K36" s="328">
        <f>SUM(K32:K35)/4</f>
        <v>0.9782574363</v>
      </c>
      <c r="L36" s="327">
        <f t="shared" ref="L36:O36" si="26">SUM(L32:L35)</f>
        <v>102</v>
      </c>
      <c r="M36" s="327">
        <f t="shared" si="26"/>
        <v>29</v>
      </c>
      <c r="N36" s="327">
        <f t="shared" si="26"/>
        <v>24</v>
      </c>
      <c r="O36" s="327">
        <f t="shared" si="26"/>
        <v>26407</v>
      </c>
      <c r="P36" s="327">
        <f>SUM(P32:P35)/4</f>
        <v>14.75</v>
      </c>
      <c r="Q36" s="327">
        <f t="shared" ref="Q36:AH36" si="27">SUM(Q32:Q35)</f>
        <v>27</v>
      </c>
      <c r="R36" s="327">
        <f t="shared" si="27"/>
        <v>0</v>
      </c>
      <c r="S36" s="327">
        <f t="shared" si="27"/>
        <v>0</v>
      </c>
      <c r="T36" s="327">
        <f t="shared" si="27"/>
        <v>0</v>
      </c>
      <c r="U36" s="327">
        <f t="shared" si="27"/>
        <v>0</v>
      </c>
      <c r="V36" s="327">
        <f t="shared" si="27"/>
        <v>224</v>
      </c>
      <c r="W36" s="327">
        <f t="shared" si="27"/>
        <v>37</v>
      </c>
      <c r="X36" s="327">
        <f t="shared" si="27"/>
        <v>9</v>
      </c>
      <c r="Y36" s="327">
        <f t="shared" si="27"/>
        <v>1</v>
      </c>
      <c r="Z36" s="327">
        <f t="shared" si="27"/>
        <v>0</v>
      </c>
      <c r="AA36" s="327">
        <f t="shared" si="27"/>
        <v>0</v>
      </c>
      <c r="AB36" s="327">
        <f t="shared" si="27"/>
        <v>0</v>
      </c>
      <c r="AC36" s="327">
        <f t="shared" si="27"/>
        <v>0</v>
      </c>
      <c r="AD36" s="327">
        <f t="shared" si="27"/>
        <v>0</v>
      </c>
      <c r="AE36" s="327">
        <f t="shared" si="27"/>
        <v>0</v>
      </c>
      <c r="AF36" s="327">
        <f t="shared" si="27"/>
        <v>78</v>
      </c>
      <c r="AG36" s="327">
        <f t="shared" si="27"/>
        <v>0</v>
      </c>
      <c r="AH36" s="327">
        <f t="shared" si="27"/>
        <v>21</v>
      </c>
    </row>
    <row r="37">
      <c r="A37" s="333" t="s">
        <v>361</v>
      </c>
      <c r="B37" s="329" t="str">
        <f t="array" ref="B37">IFERROR(INDEX(TeamInfo!$C1:$C$45,MATCH($A$37,TeamInfo!A:A,0),0),"")</f>
        <v>Hells Angel cx</v>
      </c>
      <c r="C37" s="14" t="str">
        <f t="array" ref="C37">IFERROR(INDEX('Player Efficiency'!$1:$45,MATCH(B37,'Player Efficiency'!A:A,0),2),"")</f>
        <v/>
      </c>
      <c r="D37" s="310" t="str">
        <f t="array" ref="D37">IFERROR(INDEX(PlayerGrades!$1:$47,MATCH(B37,PlayerGrades!J:J,0),18),"")</f>
        <v>C</v>
      </c>
      <c r="E37" s="310">
        <f t="array" ref="E37">IFERROR(INDEX(PlayerGrades!$1:$47,MATCH(B37,PlayerGrades!J:J,0),19),"")</f>
        <v>10.8</v>
      </c>
      <c r="F37" s="311" t="str">
        <f t="array" ref="F37">IFERROR(INDEX(TeamInfo!$D1:$D$45,MATCH($A$37,TeamInfo!A:A,0),0),"")</f>
        <v>US EAST</v>
      </c>
      <c r="G37" s="16">
        <f t="array" ref="G37">IFERROR(INDEX('Halo Reach Stats'!$1:$46,MATCH($B37,'Halo Reach Stats'!$A:$A,0),8),"")</f>
        <v>9</v>
      </c>
      <c r="H37" s="16">
        <f t="array" ref="H37">IFERROR(INDEX('Halo Reach Stats'!$1:$46,MATCH($B37,'Halo Reach Stats'!$A:$A,0),9),"")</f>
        <v>308</v>
      </c>
      <c r="I37" s="16">
        <f t="array" ref="I37">IFERROR(INDEX('Halo Reach Stats'!$1:$46,MATCH($B37,'Halo Reach Stats'!$A:$A,0),10),"")</f>
        <v>310</v>
      </c>
      <c r="J37" s="16">
        <f t="array" ref="J37">IFERROR(INDEX('Halo Reach Stats'!$1:$46,MATCH($B37,'Halo Reach Stats'!$A:$A,0),11),"")</f>
        <v>-2</v>
      </c>
      <c r="K37" s="312">
        <f t="shared" ref="K37:K40" si="28">H37/I37</f>
        <v>0.9935483871</v>
      </c>
      <c r="L37" s="16">
        <f t="array" ref="L37">IFERROR(INDEX('Halo Reach Stats'!$1:$46,MATCH($B37,'Halo Reach Stats'!$A:$A,0),12),"")</f>
        <v>19</v>
      </c>
      <c r="M37" s="16">
        <f t="array" ref="M37">IFERROR(INDEX('Halo Reach Stats'!$1:$46,MATCH($B37,'Halo Reach Stats'!$A:$A,0),13),"")</f>
        <v>10</v>
      </c>
      <c r="N37" s="16">
        <f t="array" ref="N37">IFERROR(INDEX('Halo Reach Stats'!$1:$46,MATCH($B37,'Halo Reach Stats'!$A:$A,0),14),"")</f>
        <v>15</v>
      </c>
      <c r="O37" s="16">
        <f t="array" ref="O37">IFERROR(INDEX('Halo Reach Stats'!$1:$46,MATCH($B37,'Halo Reach Stats'!$A:$A,0),16),"")</f>
        <v>6176</v>
      </c>
      <c r="P37" s="16">
        <f t="array" ref="P37">IFERROR(INDEX('Halo Reach Stats'!$1:$46,MATCH($B37,'Halo Reach Stats'!$A:$A,0),17),"")</f>
        <v>15</v>
      </c>
      <c r="Q37" s="16">
        <f t="array" ref="Q37">IFERROR(INDEX('Halo Reach Stats'!$1:$46,MATCH($B37,'Halo Reach Stats'!$A:$A,0),18),"")</f>
        <v>2</v>
      </c>
      <c r="R37" s="16">
        <f t="array" ref="R37">IFERROR(INDEX('Halo Reach Stats'!$1:$46,MATCH($B37,'Halo Reach Stats'!$A:$A,0),19),"")</f>
        <v>1</v>
      </c>
      <c r="S37" s="16">
        <f t="array" ref="S37">IFERROR(INDEX('Halo Reach Stats'!$1:$46,MATCH($B37,'Halo Reach Stats'!$A:$A,0),20),"")</f>
        <v>0</v>
      </c>
      <c r="T37" s="16">
        <f t="array" ref="T37">IFERROR(INDEX('Halo Reach Stats'!$1:$46,MATCH($B37,'Halo Reach Stats'!$A:$A,0),21),"")</f>
        <v>0</v>
      </c>
      <c r="U37" s="16">
        <f t="array" ref="U37">IFERROR(INDEX('Halo Reach Stats'!$1:$46,MATCH($B37,'Halo Reach Stats'!$A:$A,0),22),"")</f>
        <v>0</v>
      </c>
      <c r="V37" s="16">
        <f t="array" ref="V37">IFERROR(INDEX('Halo Reach Stats'!$1:$46,MATCH($B37,'Halo Reach Stats'!$A:$A,0),23),"")</f>
        <v>39</v>
      </c>
      <c r="W37" s="16">
        <f t="array" ref="W37">IFERROR(INDEX('Halo Reach Stats'!$1:$46,MATCH($B37,'Halo Reach Stats'!$A:$A,0),24),"")</f>
        <v>5</v>
      </c>
      <c r="X37" s="16">
        <f t="array" ref="X37">IFERROR(INDEX('Halo Reach Stats'!$1:$46,MATCH($B37,'Halo Reach Stats'!$A:$A,0),25),"")</f>
        <v>0</v>
      </c>
      <c r="Y37" s="16">
        <f t="array" ref="Y37">IFERROR(INDEX('Halo Reach Stats'!$1:$46,MATCH($B37,'Halo Reach Stats'!$A:$A,0),26),"")</f>
        <v>0</v>
      </c>
      <c r="Z37" s="16">
        <f t="array" ref="Z37">IFERROR(INDEX('Halo Reach Stats'!$1:$46,MATCH($B37,'Halo Reach Stats'!$A:$A,0),27),"")</f>
        <v>0</v>
      </c>
      <c r="AA37" s="16">
        <f t="array" ref="AA37">IFERROR(INDEX('Halo Reach Stats'!$1:$46,MATCH($B37,'Halo Reach Stats'!$A:$A,0),28),"")</f>
        <v>0</v>
      </c>
      <c r="AB37" s="16">
        <f t="array" ref="AB37">IFERROR(INDEX('Halo Reach Stats'!$1:$46,MATCH($B37,'Halo Reach Stats'!$A:$A,0),29),"")</f>
        <v>0</v>
      </c>
      <c r="AC37" s="16">
        <f t="array" ref="AC37">IFERROR(INDEX('Halo Reach Stats'!$1:$46,MATCH($B37,'Halo Reach Stats'!$A:$A,0),30),"")</f>
        <v>0</v>
      </c>
      <c r="AD37" s="16">
        <f t="array" ref="AD37">IFERROR(INDEX('Halo Reach Stats'!$1:$46,MATCH($B37,'Halo Reach Stats'!$A:$A,0),31),"")</f>
        <v>0</v>
      </c>
      <c r="AE37" s="16">
        <f t="array" ref="AE37">IFERROR(INDEX('Halo Reach Stats'!$1:$46,MATCH($B37,'Halo Reach Stats'!$A:$A,0),32),"")</f>
        <v>0</v>
      </c>
      <c r="AF37" s="16">
        <f t="array" ref="AF37">IFERROR(INDEX('Halo Reach Stats'!$1:$46,MATCH($B37,'Halo Reach Stats'!$A:$A,0),33),"")</f>
        <v>7</v>
      </c>
      <c r="AG37" s="16">
        <f t="array" ref="AG37">IFERROR(INDEX('Halo Reach Stats'!$1:$46,MATCH($B37,'Halo Reach Stats'!$A:$A,0),34),"")</f>
        <v>0</v>
      </c>
      <c r="AH37" s="16">
        <f t="array" ref="AH37">IFERROR(INDEX('Halo Reach Stats'!$1:$46,MATCH($B37,'Halo Reach Stats'!$A:$A,0),35),"")</f>
        <v>0</v>
      </c>
    </row>
    <row r="38">
      <c r="A38" s="330" t="str">
        <f t="array" ref="A38">IFERROR(INDEX(TeamInfo!$1:$45,MATCH(A37,TeamInfo!A:A,0),2),"")</f>
        <v>Hammers &amp; Roses</v>
      </c>
      <c r="B38" s="1" t="str">
        <f t="array" ref="B38">IFERROR(INDEX(TeamInfo!$C2:$C$45,MATCH($A$37,TeamInfo!A:A,0),0),"")</f>
        <v>Genesiology</v>
      </c>
      <c r="C38" s="14" t="str">
        <f t="array" ref="C38">IFERROR(INDEX('Player Efficiency'!$1:$45,MATCH(B38,'Player Efficiency'!A:A,0),2),"")</f>
        <v/>
      </c>
      <c r="D38" s="310" t="str">
        <f t="array" ref="D38">IFERROR(INDEX(PlayerGrades!$1:$47,MATCH(B38,PlayerGrades!J:J,0),18),"")</f>
        <v>A</v>
      </c>
      <c r="E38" s="310">
        <f t="array" ref="E38">IFERROR(INDEX(PlayerGrades!$1:$47,MATCH(B38,PlayerGrades!J:J,0),19),"")</f>
        <v>17.8</v>
      </c>
      <c r="F38" s="16" t="str">
        <f t="array" ref="F38">IFERROR(INDEX(TeamInfo!$D2:$D$45,MATCH($A$37,TeamInfo!A:A,0),0),"")</f>
        <v>US EAST</v>
      </c>
      <c r="G38" s="16">
        <f t="array" ref="G38">IFERROR(INDEX('Halo Reach Stats'!$1:$46,MATCH($B38,'Halo Reach Stats'!$A:$A,0),8),"")</f>
        <v>1</v>
      </c>
      <c r="H38" s="16">
        <f t="array" ref="H38">IFERROR(INDEX('Halo Reach Stats'!$1:$46,MATCH($B38,'Halo Reach Stats'!$A:$A,0),9),"")</f>
        <v>419</v>
      </c>
      <c r="I38" s="16">
        <f t="array" ref="I38">IFERROR(INDEX('Halo Reach Stats'!$1:$46,MATCH($B38,'Halo Reach Stats'!$A:$A,0),10),"")</f>
        <v>282</v>
      </c>
      <c r="J38" s="16">
        <f t="array" ref="J38">IFERROR(INDEX('Halo Reach Stats'!$1:$46,MATCH($B38,'Halo Reach Stats'!$A:$A,0),11),"")</f>
        <v>137</v>
      </c>
      <c r="K38" s="312">
        <f t="shared" si="28"/>
        <v>1.485815603</v>
      </c>
      <c r="L38" s="16">
        <f t="array" ref="L38">IFERROR(INDEX('Halo Reach Stats'!$1:$46,MATCH($B38,'Halo Reach Stats'!$A:$A,0),12),"")</f>
        <v>36</v>
      </c>
      <c r="M38" s="16">
        <f t="array" ref="M38">IFERROR(INDEX('Halo Reach Stats'!$1:$46,MATCH($B38,'Halo Reach Stats'!$A:$A,0),13),"")</f>
        <v>8</v>
      </c>
      <c r="N38" s="16">
        <f t="array" ref="N38">IFERROR(INDEX('Halo Reach Stats'!$1:$46,MATCH($B38,'Halo Reach Stats'!$A:$A,0),14),"")</f>
        <v>14</v>
      </c>
      <c r="O38" s="16">
        <f t="array" ref="O38">IFERROR(INDEX('Halo Reach Stats'!$1:$46,MATCH($B38,'Halo Reach Stats'!$A:$A,0),16),"")</f>
        <v>6176</v>
      </c>
      <c r="P38" s="16">
        <f t="array" ref="P38">IFERROR(INDEX('Halo Reach Stats'!$1:$46,MATCH($B38,'Halo Reach Stats'!$A:$A,0),17),"")</f>
        <v>17</v>
      </c>
      <c r="Q38" s="16">
        <f t="array" ref="Q38">IFERROR(INDEX('Halo Reach Stats'!$1:$46,MATCH($B38,'Halo Reach Stats'!$A:$A,0),18),"")</f>
        <v>14</v>
      </c>
      <c r="R38" s="16">
        <f t="array" ref="R38">IFERROR(INDEX('Halo Reach Stats'!$1:$46,MATCH($B38,'Halo Reach Stats'!$A:$A,0),19),"")</f>
        <v>0</v>
      </c>
      <c r="S38" s="16">
        <f t="array" ref="S38">IFERROR(INDEX('Halo Reach Stats'!$1:$46,MATCH($B38,'Halo Reach Stats'!$A:$A,0),20),"")</f>
        <v>0</v>
      </c>
      <c r="T38" s="16">
        <f t="array" ref="T38">IFERROR(INDEX('Halo Reach Stats'!$1:$46,MATCH($B38,'Halo Reach Stats'!$A:$A,0),21),"")</f>
        <v>0</v>
      </c>
      <c r="U38" s="16">
        <f t="array" ref="U38">IFERROR(INDEX('Halo Reach Stats'!$1:$46,MATCH($B38,'Halo Reach Stats'!$A:$A,0),22),"")</f>
        <v>0</v>
      </c>
      <c r="V38" s="16">
        <f t="array" ref="V38">IFERROR(INDEX('Halo Reach Stats'!$1:$46,MATCH($B38,'Halo Reach Stats'!$A:$A,0),23),"")</f>
        <v>73</v>
      </c>
      <c r="W38" s="16">
        <f t="array" ref="W38">IFERROR(INDEX('Halo Reach Stats'!$1:$46,MATCH($B38,'Halo Reach Stats'!$A:$A,0),24),"")</f>
        <v>12</v>
      </c>
      <c r="X38" s="16">
        <f t="array" ref="X38">IFERROR(INDEX('Halo Reach Stats'!$1:$46,MATCH($B38,'Halo Reach Stats'!$A:$A,0),25),"")</f>
        <v>4</v>
      </c>
      <c r="Y38" s="16">
        <f t="array" ref="Y38">IFERROR(INDEX('Halo Reach Stats'!$1:$46,MATCH($B38,'Halo Reach Stats'!$A:$A,0),26),"")</f>
        <v>2</v>
      </c>
      <c r="Z38" s="16">
        <f t="array" ref="Z38">IFERROR(INDEX('Halo Reach Stats'!$1:$46,MATCH($B38,'Halo Reach Stats'!$A:$A,0),27),"")</f>
        <v>1</v>
      </c>
      <c r="AA38" s="16">
        <f t="array" ref="AA38">IFERROR(INDEX('Halo Reach Stats'!$1:$46,MATCH($B38,'Halo Reach Stats'!$A:$A,0),28),"")</f>
        <v>0</v>
      </c>
      <c r="AB38" s="16">
        <f t="array" ref="AB38">IFERROR(INDEX('Halo Reach Stats'!$1:$46,MATCH($B38,'Halo Reach Stats'!$A:$A,0),29),"")</f>
        <v>0</v>
      </c>
      <c r="AC38" s="16">
        <f t="array" ref="AC38">IFERROR(INDEX('Halo Reach Stats'!$1:$46,MATCH($B38,'Halo Reach Stats'!$A:$A,0),30),"")</f>
        <v>0</v>
      </c>
      <c r="AD38" s="16">
        <f t="array" ref="AD38">IFERROR(INDEX('Halo Reach Stats'!$1:$46,MATCH($B38,'Halo Reach Stats'!$A:$A,0),31),"")</f>
        <v>0</v>
      </c>
      <c r="AE38" s="16">
        <f t="array" ref="AE38">IFERROR(INDEX('Halo Reach Stats'!$1:$46,MATCH($B38,'Halo Reach Stats'!$A:$A,0),32),"")</f>
        <v>0</v>
      </c>
      <c r="AF38" s="16">
        <f t="array" ref="AF38">IFERROR(INDEX('Halo Reach Stats'!$1:$46,MATCH($B38,'Halo Reach Stats'!$A:$A,0),33),"")</f>
        <v>25</v>
      </c>
      <c r="AG38" s="16">
        <f t="array" ref="AG38">IFERROR(INDEX('Halo Reach Stats'!$1:$46,MATCH($B38,'Halo Reach Stats'!$A:$A,0),34),"")</f>
        <v>0</v>
      </c>
      <c r="AH38" s="16">
        <f t="array" ref="AH38">IFERROR(INDEX('Halo Reach Stats'!$1:$46,MATCH($B38,'Halo Reach Stats'!$A:$A,0),35),"")</f>
        <v>13</v>
      </c>
    </row>
    <row r="39">
      <c r="A39" s="12" t="str">
        <f t="array" ref="A39">IFERROR(INDEX(TeamInfo!$1:$45,MATCH(A37,TeamInfo!A:A,0),5),"")</f>
        <v/>
      </c>
      <c r="B39" s="1" t="str">
        <f t="array" ref="B39">IFERROR(INDEX(TeamInfo!$C3:$C$45,MATCH($A$37,TeamInfo!A:A,0),0),"")</f>
        <v>Scullen cx</v>
      </c>
      <c r="C39" s="14" t="str">
        <f t="array" ref="C39">IFERROR(INDEX('Player Efficiency'!$1:$45,MATCH(B39,'Player Efficiency'!A:A,0),2),"")</f>
        <v/>
      </c>
      <c r="D39" s="310" t="str">
        <f t="array" ref="D39">IFERROR(INDEX(PlayerGrades!$1:$47,MATCH(B39,PlayerGrades!J:J,0),18),"")</f>
        <v>C</v>
      </c>
      <c r="E39" s="310">
        <f t="array" ref="E39">IFERROR(INDEX(PlayerGrades!$1:$47,MATCH(B39,PlayerGrades!J:J,0),19),"")</f>
        <v>11.5</v>
      </c>
      <c r="F39" s="16" t="str">
        <f t="array" ref="F39">IFERROR(INDEX(TeamInfo!$D3:$D$45,MATCH($A$37,TeamInfo!A:A,0),0),"")</f>
        <v>US NORTH CENTRAL</v>
      </c>
      <c r="G39" s="16">
        <f t="array" ref="G39">IFERROR(INDEX('Halo Reach Stats'!$1:$46,MATCH($B39,'Halo Reach Stats'!$A:$A,0),8),"")</f>
        <v>3</v>
      </c>
      <c r="H39" s="16">
        <f t="array" ref="H39">IFERROR(INDEX('Halo Reach Stats'!$1:$46,MATCH($B39,'Halo Reach Stats'!$A:$A,0),9),"")</f>
        <v>320</v>
      </c>
      <c r="I39" s="16">
        <f t="array" ref="I39">IFERROR(INDEX('Halo Reach Stats'!$1:$46,MATCH($B39,'Halo Reach Stats'!$A:$A,0),10),"")</f>
        <v>402</v>
      </c>
      <c r="J39" s="16">
        <f t="array" ref="J39">IFERROR(INDEX('Halo Reach Stats'!$1:$46,MATCH($B39,'Halo Reach Stats'!$A:$A,0),11),"")</f>
        <v>-82</v>
      </c>
      <c r="K39" s="312">
        <f t="shared" si="28"/>
        <v>0.7960199005</v>
      </c>
      <c r="L39" s="16">
        <f t="array" ref="L39">IFERROR(INDEX('Halo Reach Stats'!$1:$46,MATCH($B39,'Halo Reach Stats'!$A:$A,0),12),"")</f>
        <v>22</v>
      </c>
      <c r="M39" s="16">
        <f t="array" ref="M39">IFERROR(INDEX('Halo Reach Stats'!$1:$46,MATCH($B39,'Halo Reach Stats'!$A:$A,0),13),"")</f>
        <v>5</v>
      </c>
      <c r="N39" s="16">
        <f t="array" ref="N39">IFERROR(INDEX('Halo Reach Stats'!$1:$46,MATCH($B39,'Halo Reach Stats'!$A:$A,0),14),"")</f>
        <v>13</v>
      </c>
      <c r="O39" s="16">
        <f t="array" ref="O39">IFERROR(INDEX('Halo Reach Stats'!$1:$46,MATCH($B39,'Halo Reach Stats'!$A:$A,0),16),"")</f>
        <v>6176</v>
      </c>
      <c r="P39" s="16">
        <f t="array" ref="P39">IFERROR(INDEX('Halo Reach Stats'!$1:$46,MATCH($B39,'Halo Reach Stats'!$A:$A,0),17),"")</f>
        <v>11</v>
      </c>
      <c r="Q39" s="16">
        <f t="array" ref="Q39">IFERROR(INDEX('Halo Reach Stats'!$1:$46,MATCH($B39,'Halo Reach Stats'!$A:$A,0),18),"")</f>
        <v>1</v>
      </c>
      <c r="R39" s="16">
        <f t="array" ref="R39">IFERROR(INDEX('Halo Reach Stats'!$1:$46,MATCH($B39,'Halo Reach Stats'!$A:$A,0),19),"")</f>
        <v>0</v>
      </c>
      <c r="S39" s="16">
        <f t="array" ref="S39">IFERROR(INDEX('Halo Reach Stats'!$1:$46,MATCH($B39,'Halo Reach Stats'!$A:$A,0),20),"")</f>
        <v>0</v>
      </c>
      <c r="T39" s="16">
        <f t="array" ref="T39">IFERROR(INDEX('Halo Reach Stats'!$1:$46,MATCH($B39,'Halo Reach Stats'!$A:$A,0),21),"")</f>
        <v>0</v>
      </c>
      <c r="U39" s="16">
        <f t="array" ref="U39">IFERROR(INDEX('Halo Reach Stats'!$1:$46,MATCH($B39,'Halo Reach Stats'!$A:$A,0),22),"")</f>
        <v>0</v>
      </c>
      <c r="V39" s="16">
        <f t="array" ref="V39">IFERROR(INDEX('Halo Reach Stats'!$1:$46,MATCH($B39,'Halo Reach Stats'!$A:$A,0),23),"")</f>
        <v>39</v>
      </c>
      <c r="W39" s="16">
        <f t="array" ref="W39">IFERROR(INDEX('Halo Reach Stats'!$1:$46,MATCH($B39,'Halo Reach Stats'!$A:$A,0),24),"")</f>
        <v>7</v>
      </c>
      <c r="X39" s="16">
        <f t="array" ref="X39">IFERROR(INDEX('Halo Reach Stats'!$1:$46,MATCH($B39,'Halo Reach Stats'!$A:$A,0),25),"")</f>
        <v>1</v>
      </c>
      <c r="Y39" s="16">
        <f t="array" ref="Y39">IFERROR(INDEX('Halo Reach Stats'!$1:$46,MATCH($B39,'Halo Reach Stats'!$A:$A,0),26),"")</f>
        <v>0</v>
      </c>
      <c r="Z39" s="16">
        <f t="array" ref="Z39">IFERROR(INDEX('Halo Reach Stats'!$1:$46,MATCH($B39,'Halo Reach Stats'!$A:$A,0),27),"")</f>
        <v>0</v>
      </c>
      <c r="AA39" s="16">
        <f t="array" ref="AA39">IFERROR(INDEX('Halo Reach Stats'!$1:$46,MATCH($B39,'Halo Reach Stats'!$A:$A,0),28),"")</f>
        <v>0</v>
      </c>
      <c r="AB39" s="16">
        <f t="array" ref="AB39">IFERROR(INDEX('Halo Reach Stats'!$1:$46,MATCH($B39,'Halo Reach Stats'!$A:$A,0),29),"")</f>
        <v>0</v>
      </c>
      <c r="AC39" s="16">
        <f t="array" ref="AC39">IFERROR(INDEX('Halo Reach Stats'!$1:$46,MATCH($B39,'Halo Reach Stats'!$A:$A,0),30),"")</f>
        <v>0</v>
      </c>
      <c r="AD39" s="16">
        <f t="array" ref="AD39">IFERROR(INDEX('Halo Reach Stats'!$1:$46,MATCH($B39,'Halo Reach Stats'!$A:$A,0),31),"")</f>
        <v>0</v>
      </c>
      <c r="AE39" s="16">
        <f t="array" ref="AE39">IFERROR(INDEX('Halo Reach Stats'!$1:$46,MATCH($B39,'Halo Reach Stats'!$A:$A,0),32),"")</f>
        <v>0</v>
      </c>
      <c r="AF39" s="16">
        <f t="array" ref="AF39">IFERROR(INDEX('Halo Reach Stats'!$1:$46,MATCH($B39,'Halo Reach Stats'!$A:$A,0),33),"")</f>
        <v>18</v>
      </c>
      <c r="AG39" s="16">
        <f t="array" ref="AG39">IFERROR(INDEX('Halo Reach Stats'!$1:$46,MATCH($B39,'Halo Reach Stats'!$A:$A,0),34),"")</f>
        <v>0</v>
      </c>
      <c r="AH39" s="16">
        <f t="array" ref="AH39">IFERROR(INDEX('Halo Reach Stats'!$1:$46,MATCH($B39,'Halo Reach Stats'!$A:$A,0),35),"")</f>
        <v>1</v>
      </c>
    </row>
    <row r="40">
      <c r="A40" s="315" t="str">
        <f>IF(((E37+E38+E39+E40)/4)&lt;=5.55,"F",IF(((E37+E38+E39+E40)/4)&lt;9.25,"E",IF(((E37+E38+E39+E40)/4)&lt;12.95,"D",IF(((E37+E38+E39+E40)/4)&lt;16.65,"C",IF(((E37+E38+E39+E40)/4)&lt;20.35,"B",IF(((E37+E38+E39+E40)/4)&lt;24.05,"A","S"))))))</f>
        <v>C</v>
      </c>
      <c r="B40" s="1" t="str">
        <f t="array" ref="B40">IFERROR(INDEX(TeamInfo!$C4:$C$45,MATCH($A$37,TeamInfo!A:A,0),0),"")</f>
        <v>Luner Panda</v>
      </c>
      <c r="C40" s="14" t="str">
        <f t="array" ref="C40">IFERROR(INDEX('Player Efficiency'!$1:$45,MATCH(B40,'Player Efficiency'!A:A,0),2),"")</f>
        <v/>
      </c>
      <c r="D40" s="310" t="str">
        <f t="array" ref="D40">IFERROR(INDEX(PlayerGrades!$1:$47,MATCH(B40,PlayerGrades!J:J,0),18),"")</f>
        <v>C</v>
      </c>
      <c r="E40" s="310">
        <f t="array" ref="E40">IFERROR(INDEX(PlayerGrades!$1:$47,MATCH(B40,PlayerGrades!J:J,0),19),"")</f>
        <v>12.2</v>
      </c>
      <c r="F40" s="16" t="str">
        <f t="array" ref="F40">IFERROR(INDEX(TeamInfo!$D4:$D$45,MATCH($A$37,TeamInfo!A:A,0),0),"")</f>
        <v>Canada</v>
      </c>
      <c r="G40" s="16">
        <f t="array" ref="G40">IFERROR(INDEX('Halo Reach Stats'!$1:$46,MATCH($B40,'Halo Reach Stats'!$A:$A,0),8),"")</f>
        <v>3</v>
      </c>
      <c r="H40" s="16">
        <f t="array" ref="H40">IFERROR(INDEX('Halo Reach Stats'!$1:$46,MATCH($B40,'Halo Reach Stats'!$A:$A,0),9),"")</f>
        <v>362</v>
      </c>
      <c r="I40" s="16">
        <f t="array" ref="I40">IFERROR(INDEX('Halo Reach Stats'!$1:$46,MATCH($B40,'Halo Reach Stats'!$A:$A,0),10),"")</f>
        <v>394</v>
      </c>
      <c r="J40" s="16">
        <f t="array" ref="J40">IFERROR(INDEX('Halo Reach Stats'!$1:$46,MATCH($B40,'Halo Reach Stats'!$A:$A,0),11),"")</f>
        <v>-32</v>
      </c>
      <c r="K40" s="312">
        <f t="shared" si="28"/>
        <v>0.9187817259</v>
      </c>
      <c r="L40" s="16">
        <f t="array" ref="L40">IFERROR(INDEX('Halo Reach Stats'!$1:$46,MATCH($B40,'Halo Reach Stats'!$A:$A,0),12),"")</f>
        <v>10</v>
      </c>
      <c r="M40" s="16">
        <f t="array" ref="M40">IFERROR(INDEX('Halo Reach Stats'!$1:$46,MATCH($B40,'Halo Reach Stats'!$A:$A,0),13),"")</f>
        <v>7</v>
      </c>
      <c r="N40" s="16">
        <f t="array" ref="N40">IFERROR(INDEX('Halo Reach Stats'!$1:$46,MATCH($B40,'Halo Reach Stats'!$A:$A,0),14),"")</f>
        <v>4</v>
      </c>
      <c r="O40" s="16">
        <f t="array" ref="O40">IFERROR(INDEX('Halo Reach Stats'!$1:$46,MATCH($B40,'Halo Reach Stats'!$A:$A,0),16),"")</f>
        <v>6176</v>
      </c>
      <c r="P40" s="16">
        <f t="array" ref="P40">IFERROR(INDEX('Halo Reach Stats'!$1:$46,MATCH($B40,'Halo Reach Stats'!$A:$A,0),17),"")</f>
        <v>11</v>
      </c>
      <c r="Q40" s="16">
        <f t="array" ref="Q40">IFERROR(INDEX('Halo Reach Stats'!$1:$46,MATCH($B40,'Halo Reach Stats'!$A:$A,0),18),"")</f>
        <v>2</v>
      </c>
      <c r="R40" s="16">
        <f t="array" ref="R40">IFERROR(INDEX('Halo Reach Stats'!$1:$46,MATCH($B40,'Halo Reach Stats'!$A:$A,0),19),"")</f>
        <v>0</v>
      </c>
      <c r="S40" s="16">
        <f t="array" ref="S40">IFERROR(INDEX('Halo Reach Stats'!$1:$46,MATCH($B40,'Halo Reach Stats'!$A:$A,0),20),"")</f>
        <v>0</v>
      </c>
      <c r="T40" s="16">
        <f t="array" ref="T40">IFERROR(INDEX('Halo Reach Stats'!$1:$46,MATCH($B40,'Halo Reach Stats'!$A:$A,0),21),"")</f>
        <v>0</v>
      </c>
      <c r="U40" s="16">
        <f t="array" ref="U40">IFERROR(INDEX('Halo Reach Stats'!$1:$46,MATCH($B40,'Halo Reach Stats'!$A:$A,0),22),"")</f>
        <v>0</v>
      </c>
      <c r="V40" s="16">
        <f t="array" ref="V40">IFERROR(INDEX('Halo Reach Stats'!$1:$46,MATCH($B40,'Halo Reach Stats'!$A:$A,0),23),"")</f>
        <v>49</v>
      </c>
      <c r="W40" s="16">
        <f t="array" ref="W40">IFERROR(INDEX('Halo Reach Stats'!$1:$46,MATCH($B40,'Halo Reach Stats'!$A:$A,0),24),"")</f>
        <v>9</v>
      </c>
      <c r="X40" s="16">
        <f t="array" ref="X40">IFERROR(INDEX('Halo Reach Stats'!$1:$46,MATCH($B40,'Halo Reach Stats'!$A:$A,0),25),"")</f>
        <v>0</v>
      </c>
      <c r="Y40" s="16">
        <f t="array" ref="Y40">IFERROR(INDEX('Halo Reach Stats'!$1:$46,MATCH($B40,'Halo Reach Stats'!$A:$A,0),26),"")</f>
        <v>0</v>
      </c>
      <c r="Z40" s="16">
        <f t="array" ref="Z40">IFERROR(INDEX('Halo Reach Stats'!$1:$46,MATCH($B40,'Halo Reach Stats'!$A:$A,0),27),"")</f>
        <v>0</v>
      </c>
      <c r="AA40" s="16">
        <f t="array" ref="AA40">IFERROR(INDEX('Halo Reach Stats'!$1:$46,MATCH($B40,'Halo Reach Stats'!$A:$A,0),28),"")</f>
        <v>0</v>
      </c>
      <c r="AB40" s="16">
        <f t="array" ref="AB40">IFERROR(INDEX('Halo Reach Stats'!$1:$46,MATCH($B40,'Halo Reach Stats'!$A:$A,0),29),"")</f>
        <v>0</v>
      </c>
      <c r="AC40" s="16">
        <f t="array" ref="AC40">IFERROR(INDEX('Halo Reach Stats'!$1:$46,MATCH($B40,'Halo Reach Stats'!$A:$A,0),30),"")</f>
        <v>0</v>
      </c>
      <c r="AD40" s="16">
        <f t="array" ref="AD40">IFERROR(INDEX('Halo Reach Stats'!$1:$46,MATCH($B40,'Halo Reach Stats'!$A:$A,0),31),"")</f>
        <v>0</v>
      </c>
      <c r="AE40" s="16">
        <f t="array" ref="AE40">IFERROR(INDEX('Halo Reach Stats'!$1:$46,MATCH($B40,'Halo Reach Stats'!$A:$A,0),32),"")</f>
        <v>0</v>
      </c>
      <c r="AF40" s="16">
        <f t="array" ref="AF40">IFERROR(INDEX('Halo Reach Stats'!$1:$46,MATCH($B40,'Halo Reach Stats'!$A:$A,0),33),"")</f>
        <v>11</v>
      </c>
      <c r="AG40" s="16">
        <f t="array" ref="AG40">IFERROR(INDEX('Halo Reach Stats'!$1:$46,MATCH($B40,'Halo Reach Stats'!$A:$A,0),34),"")</f>
        <v>0</v>
      </c>
      <c r="AH40" s="16">
        <f t="array" ref="AH40">IFERROR(INDEX('Halo Reach Stats'!$1:$46,MATCH($B40,'Halo Reach Stats'!$A:$A,0),35),"")</f>
        <v>1</v>
      </c>
    </row>
    <row r="41">
      <c r="A41" s="331"/>
      <c r="B41" s="317" t="s">
        <v>353</v>
      </c>
      <c r="C41" s="332">
        <f>SUM(C37:C40)/4</f>
        <v>0</v>
      </c>
      <c r="D41" s="325"/>
      <c r="E41" s="326">
        <f>SUM(E37:E40)/4</f>
        <v>13.075</v>
      </c>
      <c r="F41" s="321" t="s">
        <v>354</v>
      </c>
      <c r="G41" s="327">
        <f t="shared" ref="G41:J41" si="29">SUM(G37:G40)</f>
        <v>16</v>
      </c>
      <c r="H41" s="327">
        <f t="shared" si="29"/>
        <v>1409</v>
      </c>
      <c r="I41" s="327">
        <f t="shared" si="29"/>
        <v>1388</v>
      </c>
      <c r="J41" s="327">
        <f t="shared" si="29"/>
        <v>21</v>
      </c>
      <c r="K41" s="328">
        <f>SUM(K37:K40)/4</f>
        <v>1.048541404</v>
      </c>
      <c r="L41" s="327">
        <f t="shared" ref="L41:O41" si="30">SUM(L37:L40)</f>
        <v>87</v>
      </c>
      <c r="M41" s="327">
        <f t="shared" si="30"/>
        <v>30</v>
      </c>
      <c r="N41" s="327">
        <f t="shared" si="30"/>
        <v>46</v>
      </c>
      <c r="O41" s="327">
        <f t="shared" si="30"/>
        <v>24704</v>
      </c>
      <c r="P41" s="327">
        <f>SUM(P37:P40)/4</f>
        <v>13.5</v>
      </c>
      <c r="Q41" s="327">
        <f t="shared" ref="Q41:AH41" si="31">SUM(Q37:Q40)</f>
        <v>19</v>
      </c>
      <c r="R41" s="327">
        <f t="shared" si="31"/>
        <v>1</v>
      </c>
      <c r="S41" s="327">
        <f t="shared" si="31"/>
        <v>0</v>
      </c>
      <c r="T41" s="327">
        <f t="shared" si="31"/>
        <v>0</v>
      </c>
      <c r="U41" s="327">
        <f t="shared" si="31"/>
        <v>0</v>
      </c>
      <c r="V41" s="327">
        <f t="shared" si="31"/>
        <v>200</v>
      </c>
      <c r="W41" s="327">
        <f t="shared" si="31"/>
        <v>33</v>
      </c>
      <c r="X41" s="327">
        <f t="shared" si="31"/>
        <v>5</v>
      </c>
      <c r="Y41" s="327">
        <f t="shared" si="31"/>
        <v>2</v>
      </c>
      <c r="Z41" s="327">
        <f t="shared" si="31"/>
        <v>1</v>
      </c>
      <c r="AA41" s="327">
        <f t="shared" si="31"/>
        <v>0</v>
      </c>
      <c r="AB41" s="327">
        <f t="shared" si="31"/>
        <v>0</v>
      </c>
      <c r="AC41" s="327">
        <f t="shared" si="31"/>
        <v>0</v>
      </c>
      <c r="AD41" s="327">
        <f t="shared" si="31"/>
        <v>0</v>
      </c>
      <c r="AE41" s="327">
        <f t="shared" si="31"/>
        <v>0</v>
      </c>
      <c r="AF41" s="327">
        <f t="shared" si="31"/>
        <v>61</v>
      </c>
      <c r="AG41" s="327">
        <f t="shared" si="31"/>
        <v>0</v>
      </c>
      <c r="AH41" s="327">
        <f t="shared" si="31"/>
        <v>15</v>
      </c>
    </row>
    <row r="42">
      <c r="A42" s="333" t="s">
        <v>362</v>
      </c>
      <c r="B42" s="329" t="str">
        <f t="array" ref="B42">IFERROR(INDEX(TeamInfo!$C1:$C$45,MATCH($A$42,TeamInfo!A:A,0),0),"")</f>
        <v>Judasey</v>
      </c>
      <c r="C42" s="14" t="str">
        <f t="array" ref="C42">IFERROR(INDEX('Player Efficiency'!$1:$45,MATCH(B42,'Player Efficiency'!A:A,0),2),"")</f>
        <v/>
      </c>
      <c r="D42" s="337" t="str">
        <f t="array" ref="D42">IFERROR(INDEX(PlayerGrades!$1:$47,MATCH(B42,PlayerGrades!J:J,0),18),"")</f>
        <v>S</v>
      </c>
      <c r="E42" s="310">
        <f t="array" ref="E42">IFERROR(INDEX(PlayerGrades!$1:$47,MATCH(B42,PlayerGrades!J:J,0),19),"")</f>
        <v>18.6</v>
      </c>
      <c r="F42" s="311" t="str">
        <f t="array" ref="F42">IFERROR(INDEX(TeamInfo!$D1:$D$45,MATCH($A$42,TeamInfo!A:A,0),0),"")</f>
        <v>US EAST</v>
      </c>
      <c r="G42" s="16">
        <f t="array" ref="G42">IFERROR(INDEX('Halo Reach Stats'!$1:$46,MATCH($B42,'Halo Reach Stats'!$A:$A,0),8),"")</f>
        <v>4</v>
      </c>
      <c r="H42" s="16">
        <f t="array" ref="H42">IFERROR(INDEX('Halo Reach Stats'!$1:$46,MATCH($B42,'Halo Reach Stats'!$A:$A,0),9),"")</f>
        <v>247</v>
      </c>
      <c r="I42" s="16">
        <f t="array" ref="I42">IFERROR(INDEX('Halo Reach Stats'!$1:$46,MATCH($B42,'Halo Reach Stats'!$A:$A,0),10),"")</f>
        <v>196</v>
      </c>
      <c r="J42" s="16">
        <f t="array" ref="J42">IFERROR(INDEX('Halo Reach Stats'!$1:$46,MATCH($B42,'Halo Reach Stats'!$A:$A,0),11),"")</f>
        <v>51</v>
      </c>
      <c r="K42" s="312">
        <f t="shared" ref="K42:K45" si="32">H42/I42</f>
        <v>1.260204082</v>
      </c>
      <c r="L42" s="16">
        <f t="array" ref="L42">IFERROR(INDEX('Halo Reach Stats'!$1:$46,MATCH($B42,'Halo Reach Stats'!$A:$A,0),12),"")</f>
        <v>23</v>
      </c>
      <c r="M42" s="16">
        <f t="array" ref="M42">IFERROR(INDEX('Halo Reach Stats'!$1:$46,MATCH($B42,'Halo Reach Stats'!$A:$A,0),13),"")</f>
        <v>6</v>
      </c>
      <c r="N42" s="16">
        <f t="array" ref="N42">IFERROR(INDEX('Halo Reach Stats'!$1:$46,MATCH($B42,'Halo Reach Stats'!$A:$A,0),14),"")</f>
        <v>10</v>
      </c>
      <c r="O42" s="16">
        <f t="array" ref="O42">IFERROR(INDEX('Halo Reach Stats'!$1:$46,MATCH($B42,'Halo Reach Stats'!$A:$A,0),16),"")</f>
        <v>3598</v>
      </c>
      <c r="P42" s="16">
        <f t="array" ref="P42">IFERROR(INDEX('Halo Reach Stats'!$1:$46,MATCH($B42,'Halo Reach Stats'!$A:$A,0),17),"")</f>
        <v>13</v>
      </c>
      <c r="Q42" s="16">
        <f t="array" ref="Q42">IFERROR(INDEX('Halo Reach Stats'!$1:$46,MATCH($B42,'Halo Reach Stats'!$A:$A,0),18),"")</f>
        <v>3</v>
      </c>
      <c r="R42" s="16">
        <f t="array" ref="R42">IFERROR(INDEX('Halo Reach Stats'!$1:$46,MATCH($B42,'Halo Reach Stats'!$A:$A,0),19),"")</f>
        <v>0</v>
      </c>
      <c r="S42" s="16">
        <f t="array" ref="S42">IFERROR(INDEX('Halo Reach Stats'!$1:$46,MATCH($B42,'Halo Reach Stats'!$A:$A,0),20),"")</f>
        <v>0</v>
      </c>
      <c r="T42" s="16">
        <f t="array" ref="T42">IFERROR(INDEX('Halo Reach Stats'!$1:$46,MATCH($B42,'Halo Reach Stats'!$A:$A,0),21),"")</f>
        <v>0</v>
      </c>
      <c r="U42" s="16">
        <f t="array" ref="U42">IFERROR(INDEX('Halo Reach Stats'!$1:$46,MATCH($B42,'Halo Reach Stats'!$A:$A,0),22),"")</f>
        <v>0</v>
      </c>
      <c r="V42" s="16">
        <f t="array" ref="V42">IFERROR(INDEX('Halo Reach Stats'!$1:$46,MATCH($B42,'Halo Reach Stats'!$A:$A,0),23),"")</f>
        <v>48</v>
      </c>
      <c r="W42" s="16">
        <f t="array" ref="W42">IFERROR(INDEX('Halo Reach Stats'!$1:$46,MATCH($B42,'Halo Reach Stats'!$A:$A,0),24),"")</f>
        <v>15</v>
      </c>
      <c r="X42" s="16">
        <f t="array" ref="X42">IFERROR(INDEX('Halo Reach Stats'!$1:$46,MATCH($B42,'Halo Reach Stats'!$A:$A,0),25),"")</f>
        <v>3</v>
      </c>
      <c r="Y42" s="16">
        <f t="array" ref="Y42">IFERROR(INDEX('Halo Reach Stats'!$1:$46,MATCH($B42,'Halo Reach Stats'!$A:$A,0),26),"")</f>
        <v>1</v>
      </c>
      <c r="Z42" s="16">
        <f t="array" ref="Z42">IFERROR(INDEX('Halo Reach Stats'!$1:$46,MATCH($B42,'Halo Reach Stats'!$A:$A,0),27),"")</f>
        <v>0</v>
      </c>
      <c r="AA42" s="16">
        <f t="array" ref="AA42">IFERROR(INDEX('Halo Reach Stats'!$1:$46,MATCH($B42,'Halo Reach Stats'!$A:$A,0),28),"")</f>
        <v>0</v>
      </c>
      <c r="AB42" s="16">
        <f t="array" ref="AB42">IFERROR(INDEX('Halo Reach Stats'!$1:$46,MATCH($B42,'Halo Reach Stats'!$A:$A,0),29),"")</f>
        <v>0</v>
      </c>
      <c r="AC42" s="16">
        <f t="array" ref="AC42">IFERROR(INDEX('Halo Reach Stats'!$1:$46,MATCH($B42,'Halo Reach Stats'!$A:$A,0),30),"")</f>
        <v>0</v>
      </c>
      <c r="AD42" s="16">
        <f t="array" ref="AD42">IFERROR(INDEX('Halo Reach Stats'!$1:$46,MATCH($B42,'Halo Reach Stats'!$A:$A,0),31),"")</f>
        <v>0</v>
      </c>
      <c r="AE42" s="16">
        <f t="array" ref="AE42">IFERROR(INDEX('Halo Reach Stats'!$1:$46,MATCH($B42,'Halo Reach Stats'!$A:$A,0),32),"")</f>
        <v>0</v>
      </c>
      <c r="AF42" s="16">
        <f t="array" ref="AF42">IFERROR(INDEX('Halo Reach Stats'!$1:$46,MATCH($B42,'Halo Reach Stats'!$A:$A,0),33),"")</f>
        <v>20</v>
      </c>
      <c r="AG42" s="16">
        <f t="array" ref="AG42">IFERROR(INDEX('Halo Reach Stats'!$1:$46,MATCH($B42,'Halo Reach Stats'!$A:$A,0),34),"")</f>
        <v>0</v>
      </c>
      <c r="AH42" s="16">
        <f t="array" ref="AH42">IFERROR(INDEX('Halo Reach Stats'!$1:$46,MATCH($B42,'Halo Reach Stats'!$A:$A,0),35),"")</f>
        <v>3</v>
      </c>
    </row>
    <row r="43">
      <c r="A43" s="330" t="str">
        <f t="array" ref="A43">IFERROR(INDEX(TeamInfo!$1:$45,MATCH(A42,TeamInfo!A:A,0),2),"")</f>
        <v>Like Clockwork</v>
      </c>
      <c r="B43" s="1" t="str">
        <f t="array" ref="B43">IFERROR(INDEX(TeamInfo!$C2:$C$46,MATCH($A$42,TeamInfo!A:A,0),0),"")</f>
        <v>yLuxe</v>
      </c>
      <c r="C43" s="14" t="str">
        <f t="array" ref="C43">IFERROR(INDEX('Player Efficiency'!$1:$45,MATCH(B43,'Player Efficiency'!A:A,0),2),"")</f>
        <v/>
      </c>
      <c r="D43" s="310" t="str">
        <f t="array" ref="D43">IFERROR(INDEX(PlayerGrades!$1:$47,MATCH(B43,PlayerGrades!J:J,0),18),"")</f>
        <v>C</v>
      </c>
      <c r="E43" s="310">
        <f t="array" ref="E43">IFERROR(INDEX(PlayerGrades!$1:$47,MATCH(B43,PlayerGrades!J:J,0),19),"")</f>
        <v>12.5</v>
      </c>
      <c r="F43" s="16" t="str">
        <f t="array" ref="F43">IFERROR(INDEX(TeamInfo!$D2:$D$45,MATCH($A$42,TeamInfo!A:A,0),0),"")</f>
        <v>US EAST</v>
      </c>
      <c r="G43" s="16">
        <f t="array" ref="G43">IFERROR(INDEX('Halo Reach Stats'!$1:$46,MATCH($B43,'Halo Reach Stats'!$A:$A,0),8),"")</f>
        <v>14</v>
      </c>
      <c r="H43" s="16">
        <f t="array" ref="H43">IFERROR(INDEX('Halo Reach Stats'!$1:$46,MATCH($B43,'Halo Reach Stats'!$A:$A,0),9),"")</f>
        <v>166</v>
      </c>
      <c r="I43" s="16">
        <f t="array" ref="I43">IFERROR(INDEX('Halo Reach Stats'!$1:$46,MATCH($B43,'Halo Reach Stats'!$A:$A,0),10),"")</f>
        <v>97</v>
      </c>
      <c r="J43" s="16">
        <f t="array" ref="J43">IFERROR(INDEX('Halo Reach Stats'!$1:$46,MATCH($B43,'Halo Reach Stats'!$A:$A,0),11),"")</f>
        <v>69</v>
      </c>
      <c r="K43" s="312">
        <f t="shared" si="32"/>
        <v>1.711340206</v>
      </c>
      <c r="L43" s="16">
        <f t="array" ref="L43">IFERROR(INDEX('Halo Reach Stats'!$1:$46,MATCH($B43,'Halo Reach Stats'!$A:$A,0),12),"")</f>
        <v>5</v>
      </c>
      <c r="M43" s="16">
        <f t="array" ref="M43">IFERROR(INDEX('Halo Reach Stats'!$1:$46,MATCH($B43,'Halo Reach Stats'!$A:$A,0),13),"")</f>
        <v>16</v>
      </c>
      <c r="N43" s="16">
        <f t="array" ref="N43">IFERROR(INDEX('Halo Reach Stats'!$1:$46,MATCH($B43,'Halo Reach Stats'!$A:$A,0),14),"")</f>
        <v>2</v>
      </c>
      <c r="O43" s="16">
        <f t="array" ref="O43">IFERROR(INDEX('Halo Reach Stats'!$1:$46,MATCH($B43,'Halo Reach Stats'!$A:$A,0),16),"")</f>
        <v>3598</v>
      </c>
      <c r="P43" s="16">
        <f t="array" ref="P43">IFERROR(INDEX('Halo Reach Stats'!$1:$46,MATCH($B43,'Halo Reach Stats'!$A:$A,0),17),"")</f>
        <v>30</v>
      </c>
      <c r="Q43" s="16">
        <f t="array" ref="Q43">IFERROR(INDEX('Halo Reach Stats'!$1:$46,MATCH($B43,'Halo Reach Stats'!$A:$A,0),18),"")</f>
        <v>8</v>
      </c>
      <c r="R43" s="16">
        <f t="array" ref="R43">IFERROR(INDEX('Halo Reach Stats'!$1:$46,MATCH($B43,'Halo Reach Stats'!$A:$A,0),19),"")</f>
        <v>1</v>
      </c>
      <c r="S43" s="16">
        <f t="array" ref="S43">IFERROR(INDEX('Halo Reach Stats'!$1:$46,MATCH($B43,'Halo Reach Stats'!$A:$A,0),20),"")</f>
        <v>1</v>
      </c>
      <c r="T43" s="16">
        <f t="array" ref="T43">IFERROR(INDEX('Halo Reach Stats'!$1:$46,MATCH($B43,'Halo Reach Stats'!$A:$A,0),21),"")</f>
        <v>0</v>
      </c>
      <c r="U43" s="16">
        <f t="array" ref="U43">IFERROR(INDEX('Halo Reach Stats'!$1:$46,MATCH($B43,'Halo Reach Stats'!$A:$A,0),22),"")</f>
        <v>0</v>
      </c>
      <c r="V43" s="16">
        <f t="array" ref="V43">IFERROR(INDEX('Halo Reach Stats'!$1:$46,MATCH($B43,'Halo Reach Stats'!$A:$A,0),23),"")</f>
        <v>23</v>
      </c>
      <c r="W43" s="16">
        <f t="array" ref="W43">IFERROR(INDEX('Halo Reach Stats'!$1:$46,MATCH($B43,'Halo Reach Stats'!$A:$A,0),24),"")</f>
        <v>3</v>
      </c>
      <c r="X43" s="16">
        <f t="array" ref="X43">IFERROR(INDEX('Halo Reach Stats'!$1:$46,MATCH($B43,'Halo Reach Stats'!$A:$A,0),25),"")</f>
        <v>0</v>
      </c>
      <c r="Y43" s="16">
        <f t="array" ref="Y43">IFERROR(INDEX('Halo Reach Stats'!$1:$46,MATCH($B43,'Halo Reach Stats'!$A:$A,0),26),"")</f>
        <v>0</v>
      </c>
      <c r="Z43" s="16">
        <f t="array" ref="Z43">IFERROR(INDEX('Halo Reach Stats'!$1:$46,MATCH($B43,'Halo Reach Stats'!$A:$A,0),27),"")</f>
        <v>0</v>
      </c>
      <c r="AA43" s="16">
        <f t="array" ref="AA43">IFERROR(INDEX('Halo Reach Stats'!$1:$46,MATCH($B43,'Halo Reach Stats'!$A:$A,0),28),"")</f>
        <v>0</v>
      </c>
      <c r="AB43" s="16">
        <f t="array" ref="AB43">IFERROR(INDEX('Halo Reach Stats'!$1:$46,MATCH($B43,'Halo Reach Stats'!$A:$A,0),29),"")</f>
        <v>0</v>
      </c>
      <c r="AC43" s="16">
        <f t="array" ref="AC43">IFERROR(INDEX('Halo Reach Stats'!$1:$46,MATCH($B43,'Halo Reach Stats'!$A:$A,0),30),"")</f>
        <v>0</v>
      </c>
      <c r="AD43" s="16">
        <f t="array" ref="AD43">IFERROR(INDEX('Halo Reach Stats'!$1:$46,MATCH($B43,'Halo Reach Stats'!$A:$A,0),31),"")</f>
        <v>0</v>
      </c>
      <c r="AE43" s="16">
        <f t="array" ref="AE43">IFERROR(INDEX('Halo Reach Stats'!$1:$46,MATCH($B43,'Halo Reach Stats'!$A:$A,0),32),"")</f>
        <v>0</v>
      </c>
      <c r="AF43" s="16">
        <f t="array" ref="AF43">IFERROR(INDEX('Halo Reach Stats'!$1:$46,MATCH($B43,'Halo Reach Stats'!$A:$A,0),33),"")</f>
        <v>3</v>
      </c>
      <c r="AG43" s="16">
        <f t="array" ref="AG43">IFERROR(INDEX('Halo Reach Stats'!$1:$46,MATCH($B43,'Halo Reach Stats'!$A:$A,0),34),"")</f>
        <v>0</v>
      </c>
      <c r="AH43" s="16">
        <f t="array" ref="AH43">IFERROR(INDEX('Halo Reach Stats'!$1:$46,MATCH($B43,'Halo Reach Stats'!$A:$A,0),35),"")</f>
        <v>1</v>
      </c>
    </row>
    <row r="44">
      <c r="A44" s="12" t="str">
        <f t="array" ref="A44">IFERROR(INDEX(TeamInfo!$1:$45,MATCH(A42,TeamInfo!A:A,0),5),"")</f>
        <v/>
      </c>
      <c r="B44" s="1" t="str">
        <f t="array" ref="B44">IFERROR(INDEX(TeamInfo!$C3:$C$45,MATCH($A$42,TeamInfo!A:A,0),0),"")</f>
        <v>unbes</v>
      </c>
      <c r="C44" s="14" t="str">
        <f t="array" ref="C44">IFERROR(INDEX('Player Efficiency'!$1:$45,MATCH(B44,'Player Efficiency'!A:A,0),2),"")</f>
        <v/>
      </c>
      <c r="D44" s="310" t="str">
        <f t="array" ref="D44">IFERROR(INDEX(PlayerGrades!$1:$47,MATCH(B44,PlayerGrades!J:J,0),18),"")</f>
        <v>S</v>
      </c>
      <c r="E44" s="310">
        <f t="array" ref="E44">IFERROR(INDEX(PlayerGrades!$1:$47,MATCH(B44,PlayerGrades!J:J,0),19),"")</f>
        <v>18.6</v>
      </c>
      <c r="F44" s="16" t="str">
        <f t="array" ref="F44">IFERROR(INDEX(TeamInfo!$D3:$D$45,MATCH($A$42,TeamInfo!A:A,0),0),"")</f>
        <v>US EAST</v>
      </c>
      <c r="G44" s="16">
        <f t="array" ref="G44">IFERROR(INDEX('Halo Reach Stats'!$1:$46,MATCH($B44,'Halo Reach Stats'!$A:$A,0),8),"")</f>
        <v>1</v>
      </c>
      <c r="H44" s="16">
        <f t="array" ref="H44">IFERROR(INDEX('Halo Reach Stats'!$1:$46,MATCH($B44,'Halo Reach Stats'!$A:$A,0),9),"")</f>
        <v>248</v>
      </c>
      <c r="I44" s="16">
        <f t="array" ref="I44">IFERROR(INDEX('Halo Reach Stats'!$1:$46,MATCH($B44,'Halo Reach Stats'!$A:$A,0),10),"")</f>
        <v>193</v>
      </c>
      <c r="J44" s="16">
        <f t="array" ref="J44">IFERROR(INDEX('Halo Reach Stats'!$1:$46,MATCH($B44,'Halo Reach Stats'!$A:$A,0),11),"")</f>
        <v>55</v>
      </c>
      <c r="K44" s="312">
        <f t="shared" si="32"/>
        <v>1.284974093</v>
      </c>
      <c r="L44" s="16">
        <f t="array" ref="L44">IFERROR(INDEX('Halo Reach Stats'!$1:$46,MATCH($B44,'Halo Reach Stats'!$A:$A,0),12),"")</f>
        <v>15</v>
      </c>
      <c r="M44" s="16">
        <f t="array" ref="M44">IFERROR(INDEX('Halo Reach Stats'!$1:$46,MATCH($B44,'Halo Reach Stats'!$A:$A,0),13),"")</f>
        <v>7</v>
      </c>
      <c r="N44" s="16">
        <f t="array" ref="N44">IFERROR(INDEX('Halo Reach Stats'!$1:$46,MATCH($B44,'Halo Reach Stats'!$A:$A,0),14),"")</f>
        <v>7</v>
      </c>
      <c r="O44" s="16">
        <f t="array" ref="O44">IFERROR(INDEX('Halo Reach Stats'!$1:$46,MATCH($B44,'Halo Reach Stats'!$A:$A,0),16),"")</f>
        <v>3598</v>
      </c>
      <c r="P44" s="16">
        <f t="array" ref="P44">IFERROR(INDEX('Halo Reach Stats'!$1:$46,MATCH($B44,'Halo Reach Stats'!$A:$A,0),17),"")</f>
        <v>14</v>
      </c>
      <c r="Q44" s="16">
        <f t="array" ref="Q44">IFERROR(INDEX('Halo Reach Stats'!$1:$46,MATCH($B44,'Halo Reach Stats'!$A:$A,0),18),"")</f>
        <v>5</v>
      </c>
      <c r="R44" s="16">
        <f t="array" ref="R44">IFERROR(INDEX('Halo Reach Stats'!$1:$46,MATCH($B44,'Halo Reach Stats'!$A:$A,0),19),"")</f>
        <v>0</v>
      </c>
      <c r="S44" s="16">
        <f t="array" ref="S44">IFERROR(INDEX('Halo Reach Stats'!$1:$46,MATCH($B44,'Halo Reach Stats'!$A:$A,0),20),"")</f>
        <v>0</v>
      </c>
      <c r="T44" s="16">
        <f t="array" ref="T44">IFERROR(INDEX('Halo Reach Stats'!$1:$46,MATCH($B44,'Halo Reach Stats'!$A:$A,0),21),"")</f>
        <v>0</v>
      </c>
      <c r="U44" s="16">
        <f t="array" ref="U44">IFERROR(INDEX('Halo Reach Stats'!$1:$46,MATCH($B44,'Halo Reach Stats'!$A:$A,0),22),"")</f>
        <v>0</v>
      </c>
      <c r="V44" s="16">
        <f t="array" ref="V44">IFERROR(INDEX('Halo Reach Stats'!$1:$46,MATCH($B44,'Halo Reach Stats'!$A:$A,0),23),"")</f>
        <v>45</v>
      </c>
      <c r="W44" s="16">
        <f t="array" ref="W44">IFERROR(INDEX('Halo Reach Stats'!$1:$46,MATCH($B44,'Halo Reach Stats'!$A:$A,0),24),"")</f>
        <v>14</v>
      </c>
      <c r="X44" s="16">
        <f t="array" ref="X44">IFERROR(INDEX('Halo Reach Stats'!$1:$46,MATCH($B44,'Halo Reach Stats'!$A:$A,0),25),"")</f>
        <v>4</v>
      </c>
      <c r="Y44" s="16">
        <f t="array" ref="Y44">IFERROR(INDEX('Halo Reach Stats'!$1:$46,MATCH($B44,'Halo Reach Stats'!$A:$A,0),26),"")</f>
        <v>1</v>
      </c>
      <c r="Z44" s="16">
        <f t="array" ref="Z44">IFERROR(INDEX('Halo Reach Stats'!$1:$46,MATCH($B44,'Halo Reach Stats'!$A:$A,0),27),"")</f>
        <v>0</v>
      </c>
      <c r="AA44" s="16">
        <f t="array" ref="AA44">IFERROR(INDEX('Halo Reach Stats'!$1:$46,MATCH($B44,'Halo Reach Stats'!$A:$A,0),28),"")</f>
        <v>0</v>
      </c>
      <c r="AB44" s="16">
        <f t="array" ref="AB44">IFERROR(INDEX('Halo Reach Stats'!$1:$46,MATCH($B44,'Halo Reach Stats'!$A:$A,0),29),"")</f>
        <v>0</v>
      </c>
      <c r="AC44" s="16">
        <f t="array" ref="AC44">IFERROR(INDEX('Halo Reach Stats'!$1:$46,MATCH($B44,'Halo Reach Stats'!$A:$A,0),30),"")</f>
        <v>0</v>
      </c>
      <c r="AD44" s="16">
        <f t="array" ref="AD44">IFERROR(INDEX('Halo Reach Stats'!$1:$46,MATCH($B44,'Halo Reach Stats'!$A:$A,0),31),"")</f>
        <v>0</v>
      </c>
      <c r="AE44" s="16">
        <f t="array" ref="AE44">IFERROR(INDEX('Halo Reach Stats'!$1:$46,MATCH($B44,'Halo Reach Stats'!$A:$A,0),32),"")</f>
        <v>0</v>
      </c>
      <c r="AF44" s="16">
        <f t="array" ref="AF44">IFERROR(INDEX('Halo Reach Stats'!$1:$46,MATCH($B44,'Halo Reach Stats'!$A:$A,0),33),"")</f>
        <v>16</v>
      </c>
      <c r="AG44" s="16">
        <f t="array" ref="AG44">IFERROR(INDEX('Halo Reach Stats'!$1:$46,MATCH($B44,'Halo Reach Stats'!$A:$A,0),34),"")</f>
        <v>0</v>
      </c>
      <c r="AH44" s="16">
        <f t="array" ref="AH44">IFERROR(INDEX('Halo Reach Stats'!$1:$46,MATCH($B44,'Halo Reach Stats'!$A:$A,0),35),"")</f>
        <v>4</v>
      </c>
    </row>
    <row r="45">
      <c r="A45" s="315" t="str">
        <f>IF(((E42+E43+E44+E45)/4)&lt;=5.55,"F",IF(((E42+E43+E44+E45)/4)&lt;9.25,"E",IF(((E42+E43+E44+E45)/4)&lt;12.95,"D",IF(((E42+E43+E44+E45)/4)&lt;16.65,"C",IF(((E42+E43+E44+E45)/4)&lt;20.35,"B",IF(((E42+E43+E44+E45)/4)&lt;24.05,"A","S"))))))</f>
        <v>C</v>
      </c>
      <c r="B45" s="1" t="str">
        <f t="array" ref="B45">IFERROR(INDEX(TeamInfo!$C4:$C$45,MATCH($A$42,TeamInfo!A:A,0),0),"")</f>
        <v>Zelynthia</v>
      </c>
      <c r="C45" s="14" t="str">
        <f t="array" ref="C45">IFERROR(INDEX('Player Efficiency'!$1:$45,MATCH(B45,'Player Efficiency'!A:A,0),2),"")</f>
        <v/>
      </c>
      <c r="D45" s="310" t="str">
        <f t="array" ref="D45">IFERROR(INDEX(PlayerGrades!$1:$47,MATCH(B45,PlayerGrades!J:J,0),18),"")</f>
        <v>D</v>
      </c>
      <c r="E45" s="310">
        <f t="array" ref="E45">IFERROR(INDEX(PlayerGrades!$1:$47,MATCH(B45,PlayerGrades!J:J,0),19),"")</f>
        <v>9.6</v>
      </c>
      <c r="F45" s="16" t="str">
        <f t="array" ref="F45">IFERROR(INDEX(TeamInfo!$D4:$D$45,MATCH($A$42,TeamInfo!A:A,0),0),"")</f>
        <v>US WEST</v>
      </c>
      <c r="G45" s="16">
        <f t="array" ref="G45">IFERROR(INDEX('Halo Reach Stats'!$1:$47,MATCH($B45,'Halo Reach Stats'!$A:$A,0),8),"")</f>
        <v>1</v>
      </c>
      <c r="H45" s="16">
        <f t="array" ref="H45">IFERROR(INDEX('Halo Reach Stats'!$1:$47,MATCH($B45,'Halo Reach Stats'!$A:$A,0),9),"")</f>
        <v>178</v>
      </c>
      <c r="I45" s="16">
        <f t="array" ref="I45">IFERROR(INDEX('Halo Reach Stats'!$1:$47,MATCH($B45,'Halo Reach Stats'!$A:$A,0),10),"")</f>
        <v>237</v>
      </c>
      <c r="J45" s="16">
        <f t="array" ref="J45">IFERROR(INDEX('Halo Reach Stats'!$1:$47,MATCH($B45,'Halo Reach Stats'!$A:$A,0),11),"")</f>
        <v>-59</v>
      </c>
      <c r="K45" s="312">
        <f t="shared" si="32"/>
        <v>0.7510548523</v>
      </c>
      <c r="L45" s="16">
        <f t="array" ref="L45">IFERROR(INDEX('Halo Reach Stats'!$1:$47,MATCH($B45,'Halo Reach Stats'!$A:$A,0),12),"")</f>
        <v>15</v>
      </c>
      <c r="M45" s="16">
        <f t="array" ref="M45">IFERROR(INDEX('Halo Reach Stats'!$1:$47,MATCH($B45,'Halo Reach Stats'!$A:$A,0),13),"")</f>
        <v>5</v>
      </c>
      <c r="N45" s="16">
        <f t="array" ref="N45">IFERROR(INDEX('Halo Reach Stats'!$1:$47,MATCH($B45,'Halo Reach Stats'!$A:$A,0),14),"")</f>
        <v>5</v>
      </c>
      <c r="O45" s="16">
        <f t="array" ref="O45">IFERROR(INDEX('Halo Reach Stats'!$1:$47,MATCH($B45,'Halo Reach Stats'!$A:$A,0),16),"")</f>
        <v>3598</v>
      </c>
      <c r="P45" s="16">
        <f t="array" ref="P45">IFERROR(INDEX('Halo Reach Stats'!$1:$47,MATCH($B45,'Halo Reach Stats'!$A:$A,0),17),"")</f>
        <v>10</v>
      </c>
      <c r="Q45" s="16">
        <f t="array" ref="Q45">IFERROR(INDEX('Halo Reach Stats'!$1:$47,MATCH($B45,'Halo Reach Stats'!$A:$A,0),18),"")</f>
        <v>1</v>
      </c>
      <c r="R45" s="16">
        <f t="array" ref="R45">IFERROR(INDEX('Halo Reach Stats'!$1:$47,MATCH($B45,'Halo Reach Stats'!$A:$A,0),19),"")</f>
        <v>0</v>
      </c>
      <c r="S45" s="16">
        <f t="array" ref="S45">IFERROR(INDEX('Halo Reach Stats'!$1:$47,MATCH($B45,'Halo Reach Stats'!$A:$A,0),20),"")</f>
        <v>0</v>
      </c>
      <c r="T45" s="16">
        <f t="array" ref="T45">IFERROR(INDEX('Halo Reach Stats'!$1:$47,MATCH($B45,'Halo Reach Stats'!$A:$A,0),21),"")</f>
        <v>0</v>
      </c>
      <c r="U45" s="16">
        <f t="array" ref="U45">IFERROR(INDEX('Halo Reach Stats'!$1:$47,MATCH($B45,'Halo Reach Stats'!$A:$A,0),22),"")</f>
        <v>0</v>
      </c>
      <c r="V45" s="16">
        <f t="array" ref="V45">IFERROR(INDEX('Halo Reach Stats'!$1:$47,MATCH($B45,'Halo Reach Stats'!$A:$A,0),23),"")</f>
        <v>26</v>
      </c>
      <c r="W45" s="16">
        <f t="array" ref="W45">IFERROR(INDEX('Halo Reach Stats'!$1:$47,MATCH($B45,'Halo Reach Stats'!$A:$A,0),24),"")</f>
        <v>1</v>
      </c>
      <c r="X45" s="16">
        <f t="array" ref="X45">IFERROR(INDEX('Halo Reach Stats'!$1:$47,MATCH($B45,'Halo Reach Stats'!$A:$A,0),25),"")</f>
        <v>0</v>
      </c>
      <c r="Y45" s="16">
        <f t="array" ref="Y45">IFERROR(INDEX('Halo Reach Stats'!$1:$47,MATCH($B45,'Halo Reach Stats'!$A:$A,0),26),"")</f>
        <v>0</v>
      </c>
      <c r="Z45" s="16">
        <f t="array" ref="Z45">IFERROR(INDEX('Halo Reach Stats'!$1:$47,MATCH($B45,'Halo Reach Stats'!$A:$A,0),27),"")</f>
        <v>0</v>
      </c>
      <c r="AA45" s="16">
        <f t="array" ref="AA45">IFERROR(INDEX('Halo Reach Stats'!$1:$47,MATCH($B45,'Halo Reach Stats'!$A:$A,0),28),"")</f>
        <v>0</v>
      </c>
      <c r="AB45" s="16">
        <f t="array" ref="AB45">IFERROR(INDEX('Halo Reach Stats'!$1:$47,MATCH($B45,'Halo Reach Stats'!$A:$A,0),29),"")</f>
        <v>0</v>
      </c>
      <c r="AC45" s="16">
        <f t="array" ref="AC45">IFERROR(INDEX('Halo Reach Stats'!$1:$47,MATCH($B45,'Halo Reach Stats'!$A:$A,0),30),"")</f>
        <v>0</v>
      </c>
      <c r="AD45" s="16">
        <f t="array" ref="AD45">IFERROR(INDEX('Halo Reach Stats'!$1:$47,MATCH($B45,'Halo Reach Stats'!$A:$A,0),31),"")</f>
        <v>0</v>
      </c>
      <c r="AE45" s="16">
        <f t="array" ref="AE45">IFERROR(INDEX('Halo Reach Stats'!$1:$47,MATCH($B45,'Halo Reach Stats'!$A:$A,0),32),"")</f>
        <v>0</v>
      </c>
      <c r="AF45" s="16">
        <f t="array" ref="AF45">IFERROR(INDEX('Halo Reach Stats'!$1:$47,MATCH($B45,'Halo Reach Stats'!$A:$A,0),33),"")</f>
        <v>11</v>
      </c>
      <c r="AG45" s="16">
        <f t="array" ref="AG45">IFERROR(INDEX('Halo Reach Stats'!$1:$47,MATCH($B45,'Halo Reach Stats'!$A:$A,0),34),"")</f>
        <v>0</v>
      </c>
      <c r="AH45" s="16">
        <f t="array" ref="AH45">IFERROR(INDEX('Halo Reach Stats'!$1:$47,MATCH($B45,'Halo Reach Stats'!$A:$A,0),35),"")</f>
        <v>1</v>
      </c>
    </row>
    <row r="46">
      <c r="A46" s="331"/>
      <c r="B46" s="317" t="s">
        <v>353</v>
      </c>
      <c r="C46" s="332">
        <f>SUM(C42:C45)/4</f>
        <v>0</v>
      </c>
      <c r="D46" s="325"/>
      <c r="E46" s="326">
        <f>SUM(E42:E45)/4</f>
        <v>14.825</v>
      </c>
      <c r="F46" s="321" t="s">
        <v>354</v>
      </c>
      <c r="G46" s="327">
        <f t="shared" ref="G46:J46" si="33">SUM(G42:G45)</f>
        <v>20</v>
      </c>
      <c r="H46" s="327">
        <f t="shared" si="33"/>
        <v>839</v>
      </c>
      <c r="I46" s="327">
        <f t="shared" si="33"/>
        <v>723</v>
      </c>
      <c r="J46" s="327">
        <f t="shared" si="33"/>
        <v>116</v>
      </c>
      <c r="K46" s="328">
        <f>SUM(K42:K45)/4</f>
        <v>1.251893308</v>
      </c>
      <c r="L46" s="327">
        <f t="shared" ref="L46:O46" si="34">SUM(L42:L45)</f>
        <v>58</v>
      </c>
      <c r="M46" s="327">
        <f t="shared" si="34"/>
        <v>34</v>
      </c>
      <c r="N46" s="327">
        <f t="shared" si="34"/>
        <v>24</v>
      </c>
      <c r="O46" s="327">
        <f t="shared" si="34"/>
        <v>14392</v>
      </c>
      <c r="P46" s="327">
        <f>SUM(P42:P45)/4</f>
        <v>16.75</v>
      </c>
      <c r="Q46" s="327">
        <f t="shared" ref="Q46:AH46" si="35">SUM(Q42:Q45)</f>
        <v>17</v>
      </c>
      <c r="R46" s="327">
        <f t="shared" si="35"/>
        <v>1</v>
      </c>
      <c r="S46" s="327">
        <f t="shared" si="35"/>
        <v>1</v>
      </c>
      <c r="T46" s="327">
        <f t="shared" si="35"/>
        <v>0</v>
      </c>
      <c r="U46" s="327">
        <f t="shared" si="35"/>
        <v>0</v>
      </c>
      <c r="V46" s="327">
        <f t="shared" si="35"/>
        <v>142</v>
      </c>
      <c r="W46" s="327">
        <f t="shared" si="35"/>
        <v>33</v>
      </c>
      <c r="X46" s="327">
        <f t="shared" si="35"/>
        <v>7</v>
      </c>
      <c r="Y46" s="327">
        <f t="shared" si="35"/>
        <v>2</v>
      </c>
      <c r="Z46" s="327">
        <f t="shared" si="35"/>
        <v>0</v>
      </c>
      <c r="AA46" s="327">
        <f t="shared" si="35"/>
        <v>0</v>
      </c>
      <c r="AB46" s="327">
        <f t="shared" si="35"/>
        <v>0</v>
      </c>
      <c r="AC46" s="327">
        <f t="shared" si="35"/>
        <v>0</v>
      </c>
      <c r="AD46" s="327">
        <f t="shared" si="35"/>
        <v>0</v>
      </c>
      <c r="AE46" s="327">
        <f t="shared" si="35"/>
        <v>0</v>
      </c>
      <c r="AF46" s="327">
        <f t="shared" si="35"/>
        <v>50</v>
      </c>
      <c r="AG46" s="327">
        <f t="shared" si="35"/>
        <v>0</v>
      </c>
      <c r="AH46" s="327">
        <f t="shared" si="35"/>
        <v>9</v>
      </c>
    </row>
    <row r="47">
      <c r="A47" s="333" t="s">
        <v>363</v>
      </c>
      <c r="B47" s="329" t="str">
        <f t="array" ref="B47">IFERROR(INDEX(TeamInfo!$C1:$C$45,MATCH($A$47,TeamInfo!A:A,0),0),"")</f>
        <v>Vile</v>
      </c>
      <c r="C47" s="14" t="str">
        <f t="array" ref="C47">IFERROR(INDEX('Player Efficiency'!$1:$45,MATCH(B47,'Player Efficiency'!A:A,0),2),"")</f>
        <v/>
      </c>
      <c r="D47" s="310" t="str">
        <f t="array" ref="D47">IFERROR(INDEX(PlayerGrades!$1:$47,MATCH(B47,PlayerGrades!J:J,0),18),"")</f>
        <v>B</v>
      </c>
      <c r="E47" s="310">
        <f t="array" ref="E47">IFERROR(INDEX(PlayerGrades!$1:$47,MATCH(B47,PlayerGrades!J:J,0),19),"")</f>
        <v>15</v>
      </c>
      <c r="F47" s="311" t="str">
        <f t="array" ref="F47">IFERROR(INDEX(TeamInfo!$D1:$D$45,MATCH($A$47,TeamInfo!A:A,0),0),"")</f>
        <v>US WEST</v>
      </c>
      <c r="G47" s="16">
        <f t="array" ref="G47">IFERROR(INDEX('Halo Reach Stats'!$1:$46,MATCH($B47,'Halo Reach Stats'!$A:$A,0),8),"")</f>
        <v>8</v>
      </c>
      <c r="H47" s="16">
        <f t="array" ref="H47">IFERROR(INDEX('Halo Reach Stats'!$1:$46,MATCH($B47,'Halo Reach Stats'!$A:$A,0),9),"")</f>
        <v>312</v>
      </c>
      <c r="I47" s="16">
        <f t="array" ref="I47">IFERROR(INDEX('Halo Reach Stats'!$1:$46,MATCH($B47,'Halo Reach Stats'!$A:$A,0),10),"")</f>
        <v>228</v>
      </c>
      <c r="J47" s="16">
        <f t="array" ref="J47">IFERROR(INDEX('Halo Reach Stats'!$1:$46,MATCH($B47,'Halo Reach Stats'!$A:$A,0),11),"")</f>
        <v>84</v>
      </c>
      <c r="K47" s="312">
        <f t="shared" ref="K47:K50" si="36">H47/I47</f>
        <v>1.368421053</v>
      </c>
      <c r="L47" s="16">
        <f t="array" ref="L47">IFERROR(INDEX('Halo Reach Stats'!$1:$46,MATCH($B47,'Halo Reach Stats'!$A:$A,0),12),"")</f>
        <v>23</v>
      </c>
      <c r="M47" s="16">
        <f t="array" ref="M47">IFERROR(INDEX('Halo Reach Stats'!$1:$46,MATCH($B47,'Halo Reach Stats'!$A:$A,0),13),"")</f>
        <v>17</v>
      </c>
      <c r="N47" s="16">
        <f t="array" ref="N47">IFERROR(INDEX('Halo Reach Stats'!$1:$46,MATCH($B47,'Halo Reach Stats'!$A:$A,0),14),"")</f>
        <v>10</v>
      </c>
      <c r="O47" s="16">
        <f t="array" ref="O47">IFERROR(INDEX('Halo Reach Stats'!$1:$46,MATCH($B47,'Halo Reach Stats'!$A:$A,0),16),"")</f>
        <v>6163</v>
      </c>
      <c r="P47" s="16">
        <f t="array" ref="P47">IFERROR(INDEX('Halo Reach Stats'!$1:$46,MATCH($B47,'Halo Reach Stats'!$A:$A,0),17),"")</f>
        <v>22</v>
      </c>
      <c r="Q47" s="16">
        <f t="array" ref="Q47">IFERROR(INDEX('Halo Reach Stats'!$1:$46,MATCH($B47,'Halo Reach Stats'!$A:$A,0),18),"")</f>
        <v>11</v>
      </c>
      <c r="R47" s="16">
        <f t="array" ref="R47">IFERROR(INDEX('Halo Reach Stats'!$1:$46,MATCH($B47,'Halo Reach Stats'!$A:$A,0),19),"")</f>
        <v>3</v>
      </c>
      <c r="S47" s="16">
        <f t="array" ref="S47">IFERROR(INDEX('Halo Reach Stats'!$1:$46,MATCH($B47,'Halo Reach Stats'!$A:$A,0),20),"")</f>
        <v>1</v>
      </c>
      <c r="T47" s="16">
        <f t="array" ref="T47">IFERROR(INDEX('Halo Reach Stats'!$1:$46,MATCH($B47,'Halo Reach Stats'!$A:$A,0),21),"")</f>
        <v>0</v>
      </c>
      <c r="U47" s="16">
        <f t="array" ref="U47">IFERROR(INDEX('Halo Reach Stats'!$1:$46,MATCH($B47,'Halo Reach Stats'!$A:$A,0),22),"")</f>
        <v>0</v>
      </c>
      <c r="V47" s="16">
        <f t="array" ref="V47">IFERROR(INDEX('Halo Reach Stats'!$1:$46,MATCH($B47,'Halo Reach Stats'!$A:$A,0),23),"")</f>
        <v>50</v>
      </c>
      <c r="W47" s="16">
        <f t="array" ref="W47">IFERROR(INDEX('Halo Reach Stats'!$1:$46,MATCH($B47,'Halo Reach Stats'!$A:$A,0),24),"")</f>
        <v>9</v>
      </c>
      <c r="X47" s="16">
        <f t="array" ref="X47">IFERROR(INDEX('Halo Reach Stats'!$1:$46,MATCH($B47,'Halo Reach Stats'!$A:$A,0),25),"")</f>
        <v>4</v>
      </c>
      <c r="Y47" s="16">
        <f t="array" ref="Y47">IFERROR(INDEX('Halo Reach Stats'!$1:$46,MATCH($B47,'Halo Reach Stats'!$A:$A,0),26),"")</f>
        <v>3</v>
      </c>
      <c r="Z47" s="16">
        <f t="array" ref="Z47">IFERROR(INDEX('Halo Reach Stats'!$1:$46,MATCH($B47,'Halo Reach Stats'!$A:$A,0),27),"")</f>
        <v>1</v>
      </c>
      <c r="AA47" s="16">
        <f t="array" ref="AA47">IFERROR(INDEX('Halo Reach Stats'!$1:$46,MATCH($B47,'Halo Reach Stats'!$A:$A,0),28),"")</f>
        <v>1</v>
      </c>
      <c r="AB47" s="16">
        <f t="array" ref="AB47">IFERROR(INDEX('Halo Reach Stats'!$1:$46,MATCH($B47,'Halo Reach Stats'!$A:$A,0),29),"")</f>
        <v>0</v>
      </c>
      <c r="AC47" s="16">
        <f t="array" ref="AC47">IFERROR(INDEX('Halo Reach Stats'!$1:$46,MATCH($B47,'Halo Reach Stats'!$A:$A,0),30),"")</f>
        <v>0</v>
      </c>
      <c r="AD47" s="16">
        <f t="array" ref="AD47">IFERROR(INDEX('Halo Reach Stats'!$1:$46,MATCH($B47,'Halo Reach Stats'!$A:$A,0),31),"")</f>
        <v>0</v>
      </c>
      <c r="AE47" s="16">
        <f t="array" ref="AE47">IFERROR(INDEX('Halo Reach Stats'!$1:$46,MATCH($B47,'Halo Reach Stats'!$A:$A,0),32),"")</f>
        <v>0</v>
      </c>
      <c r="AF47" s="16">
        <f t="array" ref="AF47">IFERROR(INDEX('Halo Reach Stats'!$1:$46,MATCH($B47,'Halo Reach Stats'!$A:$A,0),33),"")</f>
        <v>8</v>
      </c>
      <c r="AG47" s="16">
        <f t="array" ref="AG47">IFERROR(INDEX('Halo Reach Stats'!$1:$46,MATCH($B47,'Halo Reach Stats'!$A:$A,0),34),"")</f>
        <v>0</v>
      </c>
      <c r="AH47" s="16">
        <f t="array" ref="AH47">IFERROR(INDEX('Halo Reach Stats'!$1:$46,MATCH($B47,'Halo Reach Stats'!$A:$A,0),35),"")</f>
        <v>5</v>
      </c>
    </row>
    <row r="48">
      <c r="A48" s="330" t="str">
        <f t="array" ref="A48">IFERROR(INDEX(TeamInfo!$1:$45,MATCH(A47,TeamInfo!A:A,0),2),"")</f>
        <v>Massive Betrayal</v>
      </c>
      <c r="B48" s="1" t="str">
        <f t="array" ref="B48">IFERROR(INDEX(TeamInfo!$C2:$C$45,MATCH($A$47,TeamInfo!A:A,0),0),"")</f>
        <v>Yejis Aegyo</v>
      </c>
      <c r="C48" s="14" t="str">
        <f t="array" ref="C48">IFERROR(INDEX('Player Efficiency'!$1:$45,MATCH(B48,'Player Efficiency'!A:A,0),2),"")</f>
        <v/>
      </c>
      <c r="D48" s="310" t="str">
        <f t="array" ref="D48">IFERROR(INDEX(PlayerGrades!$1:$47,MATCH(B48,PlayerGrades!J:J,0),18),"")</f>
        <v>C</v>
      </c>
      <c r="E48" s="310">
        <f t="array" ref="E48">IFERROR(INDEX(PlayerGrades!$1:$47,MATCH(B48,PlayerGrades!J:J,0),19),"")</f>
        <v>12.5</v>
      </c>
      <c r="F48" s="16" t="str">
        <f t="array" ref="F48">IFERROR(INDEX(TeamInfo!$D2:$D$45,MATCH($A$47,TeamInfo!A:A,0),0),"")</f>
        <v>US SOUTH CENTRAL</v>
      </c>
      <c r="G48" s="16">
        <f t="array" ref="G48">IFERROR(INDEX('Halo Reach Stats'!$1:$46,MATCH($B48,'Halo Reach Stats'!$A:$A,0),8),"")</f>
        <v>0</v>
      </c>
      <c r="H48" s="16">
        <f t="array" ref="H48">IFERROR(INDEX('Halo Reach Stats'!$1:$46,MATCH($B48,'Halo Reach Stats'!$A:$A,0),9),"")</f>
        <v>381</v>
      </c>
      <c r="I48" s="16">
        <f t="array" ref="I48">IFERROR(INDEX('Halo Reach Stats'!$1:$46,MATCH($B48,'Halo Reach Stats'!$A:$A,0),10),"")</f>
        <v>389</v>
      </c>
      <c r="J48" s="16">
        <f t="array" ref="J48">IFERROR(INDEX('Halo Reach Stats'!$1:$46,MATCH($B48,'Halo Reach Stats'!$A:$A,0),11),"")</f>
        <v>-8</v>
      </c>
      <c r="K48" s="312">
        <f t="shared" si="36"/>
        <v>0.9794344473</v>
      </c>
      <c r="L48" s="16">
        <f t="array" ref="L48">IFERROR(INDEX('Halo Reach Stats'!$1:$46,MATCH($B48,'Halo Reach Stats'!$A:$A,0),12),"")</f>
        <v>29</v>
      </c>
      <c r="M48" s="16">
        <f t="array" ref="M48">IFERROR(INDEX('Halo Reach Stats'!$1:$46,MATCH($B48,'Halo Reach Stats'!$A:$A,0),13),"")</f>
        <v>6</v>
      </c>
      <c r="N48" s="16">
        <f t="array" ref="N48">IFERROR(INDEX('Halo Reach Stats'!$1:$46,MATCH($B48,'Halo Reach Stats'!$A:$A,0),14),"")</f>
        <v>7</v>
      </c>
      <c r="O48" s="16">
        <f t="array" ref="O48">IFERROR(INDEX('Halo Reach Stats'!$1:$46,MATCH($B48,'Halo Reach Stats'!$A:$A,0),16),"")</f>
        <v>6333</v>
      </c>
      <c r="P48" s="16">
        <f t="array" ref="P48">IFERROR(INDEX('Halo Reach Stats'!$1:$46,MATCH($B48,'Halo Reach Stats'!$A:$A,0),17),"")</f>
        <v>12</v>
      </c>
      <c r="Q48" s="16">
        <f t="array" ref="Q48">IFERROR(INDEX('Halo Reach Stats'!$1:$46,MATCH($B48,'Halo Reach Stats'!$A:$A,0),18),"")</f>
        <v>6</v>
      </c>
      <c r="R48" s="16">
        <f t="array" ref="R48">IFERROR(INDEX('Halo Reach Stats'!$1:$46,MATCH($B48,'Halo Reach Stats'!$A:$A,0),19),"")</f>
        <v>0</v>
      </c>
      <c r="S48" s="16">
        <f t="array" ref="S48">IFERROR(INDEX('Halo Reach Stats'!$1:$46,MATCH($B48,'Halo Reach Stats'!$A:$A,0),20),"")</f>
        <v>0</v>
      </c>
      <c r="T48" s="16">
        <f t="array" ref="T48">IFERROR(INDEX('Halo Reach Stats'!$1:$46,MATCH($B48,'Halo Reach Stats'!$A:$A,0),21),"")</f>
        <v>0</v>
      </c>
      <c r="U48" s="16">
        <f t="array" ref="U48">IFERROR(INDEX('Halo Reach Stats'!$1:$46,MATCH($B48,'Halo Reach Stats'!$A:$A,0),22),"")</f>
        <v>0</v>
      </c>
      <c r="V48" s="16">
        <f t="array" ref="V48">IFERROR(INDEX('Halo Reach Stats'!$1:$46,MATCH($B48,'Halo Reach Stats'!$A:$A,0),23),"")</f>
        <v>68</v>
      </c>
      <c r="W48" s="16">
        <f t="array" ref="W48">IFERROR(INDEX('Halo Reach Stats'!$1:$46,MATCH($B48,'Halo Reach Stats'!$A:$A,0),24),"")</f>
        <v>11</v>
      </c>
      <c r="X48" s="16">
        <f t="array" ref="X48">IFERROR(INDEX('Halo Reach Stats'!$1:$46,MATCH($B48,'Halo Reach Stats'!$A:$A,0),25),"")</f>
        <v>4</v>
      </c>
      <c r="Y48" s="16">
        <f t="array" ref="Y48">IFERROR(INDEX('Halo Reach Stats'!$1:$46,MATCH($B48,'Halo Reach Stats'!$A:$A,0),26),"")</f>
        <v>0</v>
      </c>
      <c r="Z48" s="16">
        <f t="array" ref="Z48">IFERROR(INDEX('Halo Reach Stats'!$1:$46,MATCH($B48,'Halo Reach Stats'!$A:$A,0),27),"")</f>
        <v>0</v>
      </c>
      <c r="AA48" s="16">
        <f t="array" ref="AA48">IFERROR(INDEX('Halo Reach Stats'!$1:$46,MATCH($B48,'Halo Reach Stats'!$A:$A,0),28),"")</f>
        <v>0</v>
      </c>
      <c r="AB48" s="16">
        <f t="array" ref="AB48">IFERROR(INDEX('Halo Reach Stats'!$1:$46,MATCH($B48,'Halo Reach Stats'!$A:$A,0),29),"")</f>
        <v>0</v>
      </c>
      <c r="AC48" s="16">
        <f t="array" ref="AC48">IFERROR(INDEX('Halo Reach Stats'!$1:$46,MATCH($B48,'Halo Reach Stats'!$A:$A,0),30),"")</f>
        <v>0</v>
      </c>
      <c r="AD48" s="16">
        <f t="array" ref="AD48">IFERROR(INDEX('Halo Reach Stats'!$1:$46,MATCH($B48,'Halo Reach Stats'!$A:$A,0),31),"")</f>
        <v>0</v>
      </c>
      <c r="AE48" s="16">
        <f t="array" ref="AE48">IFERROR(INDEX('Halo Reach Stats'!$1:$46,MATCH($B48,'Halo Reach Stats'!$A:$A,0),32),"")</f>
        <v>0</v>
      </c>
      <c r="AF48" s="16">
        <f t="array" ref="AF48">IFERROR(INDEX('Halo Reach Stats'!$1:$46,MATCH($B48,'Halo Reach Stats'!$A:$A,0),33),"")</f>
        <v>5</v>
      </c>
      <c r="AG48" s="16">
        <f t="array" ref="AG48">IFERROR(INDEX('Halo Reach Stats'!$1:$46,MATCH($B48,'Halo Reach Stats'!$A:$A,0),34),"")</f>
        <v>0</v>
      </c>
      <c r="AH48" s="16">
        <f t="array" ref="AH48">IFERROR(INDEX('Halo Reach Stats'!$1:$46,MATCH($B48,'Halo Reach Stats'!$A:$A,0),35),"")</f>
        <v>5</v>
      </c>
    </row>
    <row r="49">
      <c r="A49" s="12" t="str">
        <f t="array" ref="A49">IFERROR(INDEX(TeamInfo!$1:$45,MATCH(A47,TeamInfo!A:A,0),5),"")</f>
        <v/>
      </c>
      <c r="B49" s="1" t="str">
        <f t="array" ref="B49">IFERROR(INDEX(TeamInfo!$C3:$C$45,MATCH($A$47,TeamInfo!A:A,0),0),"")</f>
        <v>ixjaga</v>
      </c>
      <c r="C49" s="14" t="str">
        <f t="array" ref="C49">IFERROR(INDEX('Player Efficiency'!$1:$45,MATCH(B49,'Player Efficiency'!A:A,0),2),"")</f>
        <v/>
      </c>
      <c r="D49" s="310" t="str">
        <f t="array" ref="D49">IFERROR(INDEX(PlayerGrades!$1:$47,MATCH(B49,PlayerGrades!J:J,0),18),"")</f>
        <v>C</v>
      </c>
      <c r="E49" s="310">
        <f t="array" ref="E49">IFERROR(INDEX(PlayerGrades!$1:$47,MATCH(B49,PlayerGrades!J:J,0),19),"")</f>
        <v>12.1</v>
      </c>
      <c r="F49" s="16" t="str">
        <f t="array" ref="F49">IFERROR(INDEX(TeamInfo!$D3:$D$45,MATCH($A$47,TeamInfo!A:A,0),0),"")</f>
        <v>US SOUTH CENTRAL</v>
      </c>
      <c r="G49" s="16">
        <f t="array" ref="G49">IFERROR(INDEX('Halo Reach Stats'!$1:$46,MATCH($B49,'Halo Reach Stats'!$A:$A,0),8),"")</f>
        <v>1</v>
      </c>
      <c r="H49" s="16">
        <f t="array" ref="H49">IFERROR(INDEX('Halo Reach Stats'!$1:$46,MATCH($B49,'Halo Reach Stats'!$A:$A,0),9),"")</f>
        <v>302</v>
      </c>
      <c r="I49" s="16">
        <f t="array" ref="I49">IFERROR(INDEX('Halo Reach Stats'!$1:$46,MATCH($B49,'Halo Reach Stats'!$A:$A,0),10),"")</f>
        <v>346</v>
      </c>
      <c r="J49" s="16">
        <f t="array" ref="J49">IFERROR(INDEX('Halo Reach Stats'!$1:$46,MATCH($B49,'Halo Reach Stats'!$A:$A,0),11),"")</f>
        <v>-44</v>
      </c>
      <c r="K49" s="312">
        <f t="shared" si="36"/>
        <v>0.8728323699</v>
      </c>
      <c r="L49" s="16">
        <f t="array" ref="L49">IFERROR(INDEX('Halo Reach Stats'!$1:$46,MATCH($B49,'Halo Reach Stats'!$A:$A,0),12),"")</f>
        <v>16</v>
      </c>
      <c r="M49" s="16">
        <f t="array" ref="M49">IFERROR(INDEX('Halo Reach Stats'!$1:$46,MATCH($B49,'Halo Reach Stats'!$A:$A,0),13),"")</f>
        <v>7</v>
      </c>
      <c r="N49" s="16">
        <f t="array" ref="N49">IFERROR(INDEX('Halo Reach Stats'!$1:$46,MATCH($B49,'Halo Reach Stats'!$A:$A,0),14),"")</f>
        <v>7</v>
      </c>
      <c r="O49" s="16">
        <f t="array" ref="O49">IFERROR(INDEX('Halo Reach Stats'!$1:$46,MATCH($B49,'Halo Reach Stats'!$A:$A,0),16),"")</f>
        <v>6333</v>
      </c>
      <c r="P49" s="16">
        <f t="array" ref="P49">IFERROR(INDEX('Halo Reach Stats'!$1:$46,MATCH($B49,'Halo Reach Stats'!$A:$A,0),17),"")</f>
        <v>14</v>
      </c>
      <c r="Q49" s="16">
        <f t="array" ref="Q49">IFERROR(INDEX('Halo Reach Stats'!$1:$46,MATCH($B49,'Halo Reach Stats'!$A:$A,0),18),"")</f>
        <v>4</v>
      </c>
      <c r="R49" s="16">
        <f t="array" ref="R49">IFERROR(INDEX('Halo Reach Stats'!$1:$46,MATCH($B49,'Halo Reach Stats'!$A:$A,0),19),"")</f>
        <v>0</v>
      </c>
      <c r="S49" s="16">
        <f t="array" ref="S49">IFERROR(INDEX('Halo Reach Stats'!$1:$46,MATCH($B49,'Halo Reach Stats'!$A:$A,0),20),"")</f>
        <v>0</v>
      </c>
      <c r="T49" s="16">
        <f t="array" ref="T49">IFERROR(INDEX('Halo Reach Stats'!$1:$46,MATCH($B49,'Halo Reach Stats'!$A:$A,0),21),"")</f>
        <v>0</v>
      </c>
      <c r="U49" s="16">
        <f t="array" ref="U49">IFERROR(INDEX('Halo Reach Stats'!$1:$46,MATCH($B49,'Halo Reach Stats'!$A:$A,0),22),"")</f>
        <v>0</v>
      </c>
      <c r="V49" s="16">
        <f t="array" ref="V49">IFERROR(INDEX('Halo Reach Stats'!$1:$46,MATCH($B49,'Halo Reach Stats'!$A:$A,0),23),"")</f>
        <v>42</v>
      </c>
      <c r="W49" s="16">
        <f t="array" ref="W49">IFERROR(INDEX('Halo Reach Stats'!$1:$46,MATCH($B49,'Halo Reach Stats'!$A:$A,0),24),"")</f>
        <v>10</v>
      </c>
      <c r="X49" s="16">
        <f t="array" ref="X49">IFERROR(INDEX('Halo Reach Stats'!$1:$46,MATCH($B49,'Halo Reach Stats'!$A:$A,0),25),"")</f>
        <v>0</v>
      </c>
      <c r="Y49" s="16">
        <f t="array" ref="Y49">IFERROR(INDEX('Halo Reach Stats'!$1:$46,MATCH($B49,'Halo Reach Stats'!$A:$A,0),26),"")</f>
        <v>0</v>
      </c>
      <c r="Z49" s="16">
        <f t="array" ref="Z49">IFERROR(INDEX('Halo Reach Stats'!$1:$46,MATCH($B49,'Halo Reach Stats'!$A:$A,0),27),"")</f>
        <v>0</v>
      </c>
      <c r="AA49" s="16">
        <f t="array" ref="AA49">IFERROR(INDEX('Halo Reach Stats'!$1:$46,MATCH($B49,'Halo Reach Stats'!$A:$A,0),28),"")</f>
        <v>0</v>
      </c>
      <c r="AB49" s="16">
        <f t="array" ref="AB49">IFERROR(INDEX('Halo Reach Stats'!$1:$46,MATCH($B49,'Halo Reach Stats'!$A:$A,0),29),"")</f>
        <v>0</v>
      </c>
      <c r="AC49" s="16">
        <f t="array" ref="AC49">IFERROR(INDEX('Halo Reach Stats'!$1:$46,MATCH($B49,'Halo Reach Stats'!$A:$A,0),30),"")</f>
        <v>0</v>
      </c>
      <c r="AD49" s="16">
        <f t="array" ref="AD49">IFERROR(INDEX('Halo Reach Stats'!$1:$46,MATCH($B49,'Halo Reach Stats'!$A:$A,0),31),"")</f>
        <v>0</v>
      </c>
      <c r="AE49" s="16">
        <f t="array" ref="AE49">IFERROR(INDEX('Halo Reach Stats'!$1:$46,MATCH($B49,'Halo Reach Stats'!$A:$A,0),32),"")</f>
        <v>0</v>
      </c>
      <c r="AF49" s="16">
        <f t="array" ref="AF49">IFERROR(INDEX('Halo Reach Stats'!$1:$46,MATCH($B49,'Halo Reach Stats'!$A:$A,0),33),"")</f>
        <v>12</v>
      </c>
      <c r="AG49" s="16">
        <f t="array" ref="AG49">IFERROR(INDEX('Halo Reach Stats'!$1:$46,MATCH($B49,'Halo Reach Stats'!$A:$A,0),34),"")</f>
        <v>0</v>
      </c>
      <c r="AH49" s="16">
        <f t="array" ref="AH49">IFERROR(INDEX('Halo Reach Stats'!$1:$46,MATCH($B49,'Halo Reach Stats'!$A:$A,0),35),"")</f>
        <v>3</v>
      </c>
    </row>
    <row r="50">
      <c r="A50" s="315" t="str">
        <f>IF(((E47+E48+E49+E50)/4)&lt;=5.55,"F",IF(((E47+E48+E49+E50)/4)&lt;9.25,"E",IF(((E47+E48+E49+E50)/4)&lt;12.95,"D",IF(((E47+E48+E49+E50)/4)&lt;16.65,"C",IF(((E47+E48+E49+E50)/4)&lt;20.35,"B",IF(((E47+E48+E49+E50)/4)&lt;24.05,"A","S"))))))</f>
        <v>D</v>
      </c>
      <c r="B50" s="1" t="str">
        <f t="array" ref="B50">IFERROR(INDEX(TeamInfo!$C4:$C$45,MATCH($A$47,TeamInfo!A:A,0),0),"")</f>
        <v>Mzzkc14</v>
      </c>
      <c r="C50" s="14" t="str">
        <f t="array" ref="C50">IFERROR(INDEX('Player Efficiency'!$1:$45,MATCH(B50,'Player Efficiency'!A:A,0),2),"")</f>
        <v/>
      </c>
      <c r="D50" s="334" t="str">
        <f t="array" ref="D50">IFERROR(INDEX(PlayerGrades!$1:$47,MATCH(B50,PlayerGrades!J:J,0),18),"")</f>
        <v/>
      </c>
      <c r="E50" s="334" t="str">
        <f t="array" ref="E50">IFERROR(INDEX(PlayerGrades!$1:$47,MATCH(B50,PlayerGrades!J:J,0),19),"")</f>
        <v/>
      </c>
      <c r="F50" s="335" t="str">
        <f t="array" ref="F50">IFERROR(INDEX(TeamInfo!$D4:$D$45,MATCH($A$47,TeamInfo!A:A,0),0),"")</f>
        <v>US EAST</v>
      </c>
      <c r="G50" s="335" t="str">
        <f t="array" ref="G50">IFERROR(INDEX('Halo Reach Stats'!$1:$46,MATCH($B50,'Halo Reach Stats'!$A:$A,0),8),"")</f>
        <v/>
      </c>
      <c r="H50" s="335" t="str">
        <f t="array" ref="H50">IFERROR(INDEX('Halo Reach Stats'!$1:$46,MATCH($B50,'Halo Reach Stats'!$A:$A,0),9),"")</f>
        <v/>
      </c>
      <c r="I50" s="335" t="str">
        <f t="array" ref="I50">IFERROR(INDEX('Halo Reach Stats'!$1:$46,MATCH($B50,'Halo Reach Stats'!$A:$A,0),10),"")</f>
        <v/>
      </c>
      <c r="J50" s="335" t="str">
        <f t="array" ref="J50">IFERROR(INDEX('Halo Reach Stats'!$1:$46,MATCH($B50,'Halo Reach Stats'!$A:$A,0),11),"")</f>
        <v/>
      </c>
      <c r="K50" s="336" t="str">
        <f t="shared" si="36"/>
        <v>#DIV/0!</v>
      </c>
      <c r="L50" s="335" t="str">
        <f t="array" ref="L50">IFERROR(INDEX('Halo Reach Stats'!$1:$46,MATCH($B50,'Halo Reach Stats'!$A:$A,0),12),"")</f>
        <v/>
      </c>
      <c r="M50" s="335" t="str">
        <f t="array" ref="M50">IFERROR(INDEX('Halo Reach Stats'!$1:$46,MATCH($B50,'Halo Reach Stats'!$A:$A,0),13),"")</f>
        <v/>
      </c>
      <c r="N50" s="335" t="str">
        <f t="array" ref="N50">IFERROR(INDEX('Halo Reach Stats'!$1:$46,MATCH($B50,'Halo Reach Stats'!$A:$A,0),14),"")</f>
        <v/>
      </c>
      <c r="O50" s="335" t="str">
        <f t="array" ref="O50">IFERROR(INDEX('Halo Reach Stats'!$1:$46,MATCH($B50,'Halo Reach Stats'!$A:$A,0),16),"")</f>
        <v/>
      </c>
      <c r="P50" s="335" t="str">
        <f t="array" ref="P50">IFERROR(INDEX('Halo Reach Stats'!$1:$46,MATCH($B50,'Halo Reach Stats'!$A:$A,0),17),"")</f>
        <v/>
      </c>
      <c r="Q50" s="335" t="str">
        <f t="array" ref="Q50">IFERROR(INDEX('Halo Reach Stats'!$1:$46,MATCH($B50,'Halo Reach Stats'!$A:$A,0),18),"")</f>
        <v/>
      </c>
      <c r="R50" s="335" t="str">
        <f t="array" ref="R50">IFERROR(INDEX('Halo Reach Stats'!$1:$46,MATCH($B50,'Halo Reach Stats'!$A:$A,0),19),"")</f>
        <v/>
      </c>
      <c r="S50" s="335" t="str">
        <f t="array" ref="S50">IFERROR(INDEX('Halo Reach Stats'!$1:$46,MATCH($B50,'Halo Reach Stats'!$A:$A,0),20),"")</f>
        <v/>
      </c>
      <c r="T50" s="335" t="str">
        <f t="array" ref="T50">IFERROR(INDEX('Halo Reach Stats'!$1:$46,MATCH($B50,'Halo Reach Stats'!$A:$A,0),21),"")</f>
        <v/>
      </c>
      <c r="U50" s="335" t="str">
        <f t="array" ref="U50">IFERROR(INDEX('Halo Reach Stats'!$1:$46,MATCH($B50,'Halo Reach Stats'!$A:$A,0),22),"")</f>
        <v/>
      </c>
      <c r="V50" s="335" t="str">
        <f t="array" ref="V50">IFERROR(INDEX('Halo Reach Stats'!$1:$46,MATCH($B50,'Halo Reach Stats'!$A:$A,0),23),"")</f>
        <v/>
      </c>
      <c r="W50" s="335" t="str">
        <f t="array" ref="W50">IFERROR(INDEX('Halo Reach Stats'!$1:$46,MATCH($B50,'Halo Reach Stats'!$A:$A,0),24),"")</f>
        <v/>
      </c>
      <c r="X50" s="335" t="str">
        <f t="array" ref="X50">IFERROR(INDEX('Halo Reach Stats'!$1:$46,MATCH($B50,'Halo Reach Stats'!$A:$A,0),25),"")</f>
        <v/>
      </c>
      <c r="Y50" s="335" t="str">
        <f t="array" ref="Y50">IFERROR(INDEX('Halo Reach Stats'!$1:$46,MATCH($B50,'Halo Reach Stats'!$A:$A,0),26),"")</f>
        <v/>
      </c>
      <c r="Z50" s="335" t="str">
        <f t="array" ref="Z50">IFERROR(INDEX('Halo Reach Stats'!$1:$46,MATCH($B50,'Halo Reach Stats'!$A:$A,0),27),"")</f>
        <v/>
      </c>
      <c r="AA50" s="335" t="str">
        <f t="array" ref="AA50">IFERROR(INDEX('Halo Reach Stats'!$1:$46,MATCH($B50,'Halo Reach Stats'!$A:$A,0),28),"")</f>
        <v/>
      </c>
      <c r="AB50" s="335" t="str">
        <f t="array" ref="AB50">IFERROR(INDEX('Halo Reach Stats'!$1:$46,MATCH($B50,'Halo Reach Stats'!$A:$A,0),29),"")</f>
        <v/>
      </c>
      <c r="AC50" s="335" t="str">
        <f t="array" ref="AC50">IFERROR(INDEX('Halo Reach Stats'!$1:$46,MATCH($B50,'Halo Reach Stats'!$A:$A,0),30),"")</f>
        <v/>
      </c>
      <c r="AD50" s="335" t="str">
        <f t="array" ref="AD50">IFERROR(INDEX('Halo Reach Stats'!$1:$46,MATCH($B50,'Halo Reach Stats'!$A:$A,0),31),"")</f>
        <v/>
      </c>
      <c r="AE50" s="335" t="str">
        <f t="array" ref="AE50">IFERROR(INDEX('Halo Reach Stats'!$1:$46,MATCH($B50,'Halo Reach Stats'!$A:$A,0),32),"")</f>
        <v/>
      </c>
      <c r="AF50" s="335" t="str">
        <f t="array" ref="AF50">IFERROR(INDEX('Halo Reach Stats'!$1:$46,MATCH($B50,'Halo Reach Stats'!$A:$A,0),33),"")</f>
        <v/>
      </c>
      <c r="AG50" s="335" t="str">
        <f t="array" ref="AG50">IFERROR(INDEX('Halo Reach Stats'!$1:$46,MATCH($B50,'Halo Reach Stats'!$A:$A,0),34),"")</f>
        <v/>
      </c>
      <c r="AH50" s="335" t="str">
        <f t="array" ref="AH50">IFERROR(INDEX('Halo Reach Stats'!$1:$46,MATCH($B50,'Halo Reach Stats'!$A:$A,0),35),"")</f>
        <v/>
      </c>
    </row>
    <row r="51">
      <c r="A51" s="331"/>
      <c r="B51" s="317" t="s">
        <v>353</v>
      </c>
      <c r="C51" s="332">
        <f>SUM(C47:C50)/4</f>
        <v>0</v>
      </c>
      <c r="D51" s="325"/>
      <c r="E51" s="326">
        <f>SUM(E47:E50)/4</f>
        <v>9.9</v>
      </c>
      <c r="F51" s="321" t="s">
        <v>354</v>
      </c>
      <c r="G51" s="327">
        <f t="shared" ref="G51:J51" si="37">SUM(G47:G50)</f>
        <v>9</v>
      </c>
      <c r="H51" s="327">
        <f t="shared" si="37"/>
        <v>995</v>
      </c>
      <c r="I51" s="327">
        <f t="shared" si="37"/>
        <v>963</v>
      </c>
      <c r="J51" s="327">
        <f t="shared" si="37"/>
        <v>32</v>
      </c>
      <c r="K51" s="328" t="str">
        <f>SUM(K47:K50)/4</f>
        <v>#DIV/0!</v>
      </c>
      <c r="L51" s="327">
        <f t="shared" ref="L51:O51" si="38">SUM(L47:L50)</f>
        <v>68</v>
      </c>
      <c r="M51" s="327">
        <f t="shared" si="38"/>
        <v>30</v>
      </c>
      <c r="N51" s="327">
        <f t="shared" si="38"/>
        <v>24</v>
      </c>
      <c r="O51" s="327">
        <f t="shared" si="38"/>
        <v>18829</v>
      </c>
      <c r="P51" s="327">
        <f>SUM(P47:P50)/4</f>
        <v>12</v>
      </c>
      <c r="Q51" s="327">
        <f t="shared" ref="Q51:AH51" si="39">SUM(Q47:Q50)</f>
        <v>21</v>
      </c>
      <c r="R51" s="327">
        <f t="shared" si="39"/>
        <v>3</v>
      </c>
      <c r="S51" s="327">
        <f t="shared" si="39"/>
        <v>1</v>
      </c>
      <c r="T51" s="327">
        <f t="shared" si="39"/>
        <v>0</v>
      </c>
      <c r="U51" s="327">
        <f t="shared" si="39"/>
        <v>0</v>
      </c>
      <c r="V51" s="327">
        <f t="shared" si="39"/>
        <v>160</v>
      </c>
      <c r="W51" s="327">
        <f t="shared" si="39"/>
        <v>30</v>
      </c>
      <c r="X51" s="327">
        <f t="shared" si="39"/>
        <v>8</v>
      </c>
      <c r="Y51" s="327">
        <f t="shared" si="39"/>
        <v>3</v>
      </c>
      <c r="Z51" s="327">
        <f t="shared" si="39"/>
        <v>1</v>
      </c>
      <c r="AA51" s="327">
        <f t="shared" si="39"/>
        <v>1</v>
      </c>
      <c r="AB51" s="327">
        <f t="shared" si="39"/>
        <v>0</v>
      </c>
      <c r="AC51" s="327">
        <f t="shared" si="39"/>
        <v>0</v>
      </c>
      <c r="AD51" s="327">
        <f t="shared" si="39"/>
        <v>0</v>
      </c>
      <c r="AE51" s="327">
        <f t="shared" si="39"/>
        <v>0</v>
      </c>
      <c r="AF51" s="327">
        <f t="shared" si="39"/>
        <v>25</v>
      </c>
      <c r="AG51" s="327">
        <f t="shared" si="39"/>
        <v>0</v>
      </c>
      <c r="AH51" s="327">
        <f t="shared" si="39"/>
        <v>13</v>
      </c>
    </row>
    <row r="52">
      <c r="A52" s="333" t="s">
        <v>364</v>
      </c>
      <c r="B52" s="329" t="str">
        <f t="array" ref="B52">IFERROR(INDEX(TeamInfo!$C1:$C$45,MATCH($A$52,TeamInfo!A:A,0),0),"")</f>
        <v>Galvann</v>
      </c>
      <c r="C52" s="14" t="str">
        <f t="array" ref="C52">IFERROR(INDEX('Player Efficiency'!$1:$45,MATCH(B52,'Player Efficiency'!A:A,0),2),"")</f>
        <v/>
      </c>
      <c r="D52" s="310" t="str">
        <f t="array" ref="D52">IFERROR(INDEX(PlayerGrades!$1:$47,MATCH(B52,PlayerGrades!J:J,0),18),"")</f>
        <v>A</v>
      </c>
      <c r="E52" s="310">
        <f t="array" ref="E52">IFERROR(INDEX(PlayerGrades!$1:$47,MATCH(B52,PlayerGrades!J:J,0),19),"")</f>
        <v>15.6</v>
      </c>
      <c r="F52" s="311" t="str">
        <f t="array" ref="F52">IFERROR(INDEX(TeamInfo!$D1:$D$45,MATCH($A$52,TeamInfo!A:A,0),0),"")</f>
        <v>US WEST</v>
      </c>
      <c r="G52" s="16">
        <f t="array" ref="G52">IFERROR(INDEX('Halo Reach Stats'!$1:$46,MATCH($B52,'Halo Reach Stats'!$A:$A,0),8),"")</f>
        <v>0</v>
      </c>
      <c r="H52" s="16">
        <f t="array" ref="H52">IFERROR(INDEX('Halo Reach Stats'!$1:$46,MATCH($B52,'Halo Reach Stats'!$A:$A,0),9),"")</f>
        <v>76</v>
      </c>
      <c r="I52" s="16">
        <f t="array" ref="I52">IFERROR(INDEX('Halo Reach Stats'!$1:$46,MATCH($B52,'Halo Reach Stats'!$A:$A,0),10),"")</f>
        <v>61</v>
      </c>
      <c r="J52" s="16">
        <f t="array" ref="J52">IFERROR(INDEX('Halo Reach Stats'!$1:$46,MATCH($B52,'Halo Reach Stats'!$A:$A,0),11),"")</f>
        <v>15</v>
      </c>
      <c r="K52" s="312">
        <f t="shared" ref="K52:K55" si="40">H52/I52</f>
        <v>1.245901639</v>
      </c>
      <c r="L52" s="16">
        <f t="array" ref="L52">IFERROR(INDEX('Halo Reach Stats'!$1:$46,MATCH($B52,'Halo Reach Stats'!$A:$A,0),12),"")</f>
        <v>8</v>
      </c>
      <c r="M52" s="16">
        <f t="array" ref="M52">IFERROR(INDEX('Halo Reach Stats'!$1:$46,MATCH($B52,'Halo Reach Stats'!$A:$A,0),13),"")</f>
        <v>5</v>
      </c>
      <c r="N52" s="16">
        <f t="array" ref="N52">IFERROR(INDEX('Halo Reach Stats'!$1:$46,MATCH($B52,'Halo Reach Stats'!$A:$A,0),14),"")</f>
        <v>2</v>
      </c>
      <c r="O52" s="16">
        <f t="array" ref="O52">IFERROR(INDEX('Halo Reach Stats'!$1:$46,MATCH($B52,'Halo Reach Stats'!$A:$A,0),16),"")</f>
        <v>933</v>
      </c>
      <c r="P52" s="16">
        <f t="array" ref="P52">IFERROR(INDEX('Halo Reach Stats'!$1:$46,MATCH($B52,'Halo Reach Stats'!$A:$A,0),17),"")</f>
        <v>11</v>
      </c>
      <c r="Q52" s="16">
        <f t="array" ref="Q52">IFERROR(INDEX('Halo Reach Stats'!$1:$46,MATCH($B52,'Halo Reach Stats'!$A:$A,0),18),"")</f>
        <v>1</v>
      </c>
      <c r="R52" s="16">
        <f t="array" ref="R52">IFERROR(INDEX('Halo Reach Stats'!$1:$46,MATCH($B52,'Halo Reach Stats'!$A:$A,0),19),"")</f>
        <v>0</v>
      </c>
      <c r="S52" s="16">
        <f t="array" ref="S52">IFERROR(INDEX('Halo Reach Stats'!$1:$46,MATCH($B52,'Halo Reach Stats'!$A:$A,0),20),"")</f>
        <v>0</v>
      </c>
      <c r="T52" s="16">
        <f t="array" ref="T52">IFERROR(INDEX('Halo Reach Stats'!$1:$46,MATCH($B52,'Halo Reach Stats'!$A:$A,0),21),"")</f>
        <v>0</v>
      </c>
      <c r="U52" s="16">
        <f t="array" ref="U52">IFERROR(INDEX('Halo Reach Stats'!$1:$46,MATCH($B52,'Halo Reach Stats'!$A:$A,0),22),"")</f>
        <v>0</v>
      </c>
      <c r="V52" s="16">
        <f t="array" ref="V52">IFERROR(INDEX('Halo Reach Stats'!$1:$46,MATCH($B52,'Halo Reach Stats'!$A:$A,0),23),"")</f>
        <v>12</v>
      </c>
      <c r="W52" s="16">
        <f t="array" ref="W52">IFERROR(INDEX('Halo Reach Stats'!$1:$46,MATCH($B52,'Halo Reach Stats'!$A:$A,0),24),"")</f>
        <v>6</v>
      </c>
      <c r="X52" s="16">
        <f t="array" ref="X52">IFERROR(INDEX('Halo Reach Stats'!$1:$46,MATCH($B52,'Halo Reach Stats'!$A:$A,0),25),"")</f>
        <v>1</v>
      </c>
      <c r="Y52" s="16">
        <f t="array" ref="Y52">IFERROR(INDEX('Halo Reach Stats'!$1:$46,MATCH($B52,'Halo Reach Stats'!$A:$A,0),26),"")</f>
        <v>0</v>
      </c>
      <c r="Z52" s="16">
        <f t="array" ref="Z52">IFERROR(INDEX('Halo Reach Stats'!$1:$46,MATCH($B52,'Halo Reach Stats'!$A:$A,0),27),"")</f>
        <v>0</v>
      </c>
      <c r="AA52" s="16">
        <f t="array" ref="AA52">IFERROR(INDEX('Halo Reach Stats'!$1:$46,MATCH($B52,'Halo Reach Stats'!$A:$A,0),28),"")</f>
        <v>0</v>
      </c>
      <c r="AB52" s="16">
        <f t="array" ref="AB52">IFERROR(INDEX('Halo Reach Stats'!$1:$46,MATCH($B52,'Halo Reach Stats'!$A:$A,0),29),"")</f>
        <v>0</v>
      </c>
      <c r="AC52" s="16">
        <f t="array" ref="AC52">IFERROR(INDEX('Halo Reach Stats'!$1:$46,MATCH($B52,'Halo Reach Stats'!$A:$A,0),30),"")</f>
        <v>0</v>
      </c>
      <c r="AD52" s="16">
        <f t="array" ref="AD52">IFERROR(INDEX('Halo Reach Stats'!$1:$46,MATCH($B52,'Halo Reach Stats'!$A:$A,0),31),"")</f>
        <v>0</v>
      </c>
      <c r="AE52" s="16">
        <f t="array" ref="AE52">IFERROR(INDEX('Halo Reach Stats'!$1:$46,MATCH($B52,'Halo Reach Stats'!$A:$A,0),32),"")</f>
        <v>0</v>
      </c>
      <c r="AF52" s="16">
        <f t="array" ref="AF52">IFERROR(INDEX('Halo Reach Stats'!$1:$46,MATCH($B52,'Halo Reach Stats'!$A:$A,0),33),"")</f>
        <v>4</v>
      </c>
      <c r="AG52" s="16">
        <f t="array" ref="AG52">IFERROR(INDEX('Halo Reach Stats'!$1:$46,MATCH($B52,'Halo Reach Stats'!$A:$A,0),34),"")</f>
        <v>0</v>
      </c>
      <c r="AH52" s="16">
        <f t="array" ref="AH52">IFERROR(INDEX('Halo Reach Stats'!$1:$46,MATCH($B52,'Halo Reach Stats'!$A:$A,0),35),"")</f>
        <v>0</v>
      </c>
    </row>
    <row r="53">
      <c r="A53" s="330" t="str">
        <f t="array" ref="A53">IFERROR(INDEX(TeamInfo!$1:$45,MATCH(A52,TeamInfo!A:A,0),2),"")</f>
        <v>Out Perform Us</v>
      </c>
      <c r="B53" s="1" t="str">
        <f t="array" ref="B53">IFERROR(INDEX(TeamInfo!$C2:$C$45,MATCH($A$52,TeamInfo!A:A,0),0),"")</f>
        <v>Rage More Nerd</v>
      </c>
      <c r="C53" s="14" t="str">
        <f t="array" ref="C53">IFERROR(INDEX('Player Efficiency'!$1:$45,MATCH(B53,'Player Efficiency'!A:A,0),2),"")</f>
        <v/>
      </c>
      <c r="D53" s="310" t="str">
        <f t="array" ref="D53">IFERROR(INDEX(PlayerGrades!$1:$47,MATCH(B53,PlayerGrades!J:J,0),18),"")</f>
        <v>B</v>
      </c>
      <c r="E53" s="310">
        <f t="array" ref="E53">IFERROR(INDEX(PlayerGrades!$1:$47,MATCH(B53,PlayerGrades!J:J,0),19),"")</f>
        <v>13.6</v>
      </c>
      <c r="F53" s="16" t="str">
        <f t="array" ref="F53">IFERROR(INDEX(TeamInfo!$D2:$D$45,MATCH($A$52,TeamInfo!A:A,0),0),"")</f>
        <v>US WEST</v>
      </c>
      <c r="G53" s="16">
        <f t="array" ref="G53">IFERROR(INDEX('Halo Reach Stats'!$1:$46,MATCH($B53,'Halo Reach Stats'!$A:$A,0),8),"")</f>
        <v>0</v>
      </c>
      <c r="H53" s="16">
        <f t="array" ref="H53">IFERROR(INDEX('Halo Reach Stats'!$1:$46,MATCH($B53,'Halo Reach Stats'!$A:$A,0),9),"")</f>
        <v>289</v>
      </c>
      <c r="I53" s="16">
        <f t="array" ref="I53">IFERROR(INDEX('Halo Reach Stats'!$1:$46,MATCH($B53,'Halo Reach Stats'!$A:$A,0),10),"")</f>
        <v>256</v>
      </c>
      <c r="J53" s="16">
        <f t="array" ref="J53">IFERROR(INDEX('Halo Reach Stats'!$1:$46,MATCH($B53,'Halo Reach Stats'!$A:$A,0),11),"")</f>
        <v>33</v>
      </c>
      <c r="K53" s="312">
        <f t="shared" si="40"/>
        <v>1.12890625</v>
      </c>
      <c r="L53" s="16">
        <f t="array" ref="L53">IFERROR(INDEX('Halo Reach Stats'!$1:$46,MATCH($B53,'Halo Reach Stats'!$A:$A,0),12),"")</f>
        <v>15</v>
      </c>
      <c r="M53" s="16">
        <f t="array" ref="M53">IFERROR(INDEX('Halo Reach Stats'!$1:$46,MATCH($B53,'Halo Reach Stats'!$A:$A,0),13),"")</f>
        <v>9</v>
      </c>
      <c r="N53" s="16">
        <f t="array" ref="N53">IFERROR(INDEX('Halo Reach Stats'!$1:$46,MATCH($B53,'Halo Reach Stats'!$A:$A,0),14),"")</f>
        <v>2</v>
      </c>
      <c r="O53" s="16">
        <f t="array" ref="O53">IFERROR(INDEX('Halo Reach Stats'!$1:$46,MATCH($B53,'Halo Reach Stats'!$A:$A,0),16),"")</f>
        <v>4724</v>
      </c>
      <c r="P53" s="16">
        <f t="array" ref="P53">IFERROR(INDEX('Halo Reach Stats'!$1:$46,MATCH($B53,'Halo Reach Stats'!$A:$A,0),17),"")</f>
        <v>14</v>
      </c>
      <c r="Q53" s="16">
        <f t="array" ref="Q53">IFERROR(INDEX('Halo Reach Stats'!$1:$46,MATCH($B53,'Halo Reach Stats'!$A:$A,0),18),"")</f>
        <v>4</v>
      </c>
      <c r="R53" s="16">
        <f t="array" ref="R53">IFERROR(INDEX('Halo Reach Stats'!$1:$46,MATCH($B53,'Halo Reach Stats'!$A:$A,0),19),"")</f>
        <v>0</v>
      </c>
      <c r="S53" s="16">
        <f t="array" ref="S53">IFERROR(INDEX('Halo Reach Stats'!$1:$46,MATCH($B53,'Halo Reach Stats'!$A:$A,0),20),"")</f>
        <v>0</v>
      </c>
      <c r="T53" s="16">
        <f t="array" ref="T53">IFERROR(INDEX('Halo Reach Stats'!$1:$46,MATCH($B53,'Halo Reach Stats'!$A:$A,0),21),"")</f>
        <v>0</v>
      </c>
      <c r="U53" s="16">
        <f t="array" ref="U53">IFERROR(INDEX('Halo Reach Stats'!$1:$46,MATCH($B53,'Halo Reach Stats'!$A:$A,0),22),"")</f>
        <v>0</v>
      </c>
      <c r="V53" s="16">
        <f t="array" ref="V53">IFERROR(INDEX('Halo Reach Stats'!$1:$46,MATCH($B53,'Halo Reach Stats'!$A:$A,0),23),"")</f>
        <v>40</v>
      </c>
      <c r="W53" s="16">
        <f t="array" ref="W53">IFERROR(INDEX('Halo Reach Stats'!$1:$46,MATCH($B53,'Halo Reach Stats'!$A:$A,0),24),"")</f>
        <v>11</v>
      </c>
      <c r="X53" s="16">
        <f t="array" ref="X53">IFERROR(INDEX('Halo Reach Stats'!$1:$46,MATCH($B53,'Halo Reach Stats'!$A:$A,0),25),"")</f>
        <v>0</v>
      </c>
      <c r="Y53" s="16">
        <f t="array" ref="Y53">IFERROR(INDEX('Halo Reach Stats'!$1:$46,MATCH($B53,'Halo Reach Stats'!$A:$A,0),26),"")</f>
        <v>0</v>
      </c>
      <c r="Z53" s="16">
        <f t="array" ref="Z53">IFERROR(INDEX('Halo Reach Stats'!$1:$46,MATCH($B53,'Halo Reach Stats'!$A:$A,0),27),"")</f>
        <v>0</v>
      </c>
      <c r="AA53" s="16">
        <f t="array" ref="AA53">IFERROR(INDEX('Halo Reach Stats'!$1:$46,MATCH($B53,'Halo Reach Stats'!$A:$A,0),28),"")</f>
        <v>0</v>
      </c>
      <c r="AB53" s="16">
        <f t="array" ref="AB53">IFERROR(INDEX('Halo Reach Stats'!$1:$46,MATCH($B53,'Halo Reach Stats'!$A:$A,0),29),"")</f>
        <v>0</v>
      </c>
      <c r="AC53" s="16">
        <f t="array" ref="AC53">IFERROR(INDEX('Halo Reach Stats'!$1:$46,MATCH($B53,'Halo Reach Stats'!$A:$A,0),30),"")</f>
        <v>0</v>
      </c>
      <c r="AD53" s="16">
        <f t="array" ref="AD53">IFERROR(INDEX('Halo Reach Stats'!$1:$46,MATCH($B53,'Halo Reach Stats'!$A:$A,0),31),"")</f>
        <v>0</v>
      </c>
      <c r="AE53" s="16">
        <f t="array" ref="AE53">IFERROR(INDEX('Halo Reach Stats'!$1:$46,MATCH($B53,'Halo Reach Stats'!$A:$A,0),32),"")</f>
        <v>0</v>
      </c>
      <c r="AF53" s="16">
        <f t="array" ref="AF53">IFERROR(INDEX('Halo Reach Stats'!$1:$46,MATCH($B53,'Halo Reach Stats'!$A:$A,0),33),"")</f>
        <v>7</v>
      </c>
      <c r="AG53" s="16">
        <f t="array" ref="AG53">IFERROR(INDEX('Halo Reach Stats'!$1:$46,MATCH($B53,'Halo Reach Stats'!$A:$A,0),34),"")</f>
        <v>0</v>
      </c>
      <c r="AH53" s="16">
        <f t="array" ref="AH53">IFERROR(INDEX('Halo Reach Stats'!$1:$46,MATCH($B53,'Halo Reach Stats'!$A:$A,0),35),"")</f>
        <v>2</v>
      </c>
    </row>
    <row r="54">
      <c r="A54" s="12" t="str">
        <f t="array" ref="A54">IFERROR(INDEX(TeamInfo!$1:$45,MATCH(A52,TeamInfo!A:A,0),5),"")</f>
        <v/>
      </c>
      <c r="B54" s="1" t="str">
        <f t="array" ref="B54">IFERROR(INDEX(TeamInfo!$C3:$C$45,MATCH($A$52,TeamInfo!A:A,0),0),"")</f>
        <v>Almighty Tycoon</v>
      </c>
      <c r="C54" s="14" t="str">
        <f t="array" ref="C54">IFERROR(INDEX('Player Efficiency'!$1:$45,MATCH(B54,'Player Efficiency'!A:A,0),2),"")</f>
        <v/>
      </c>
      <c r="D54" s="310" t="str">
        <f t="array" ref="D54">IFERROR(INDEX(PlayerGrades!$1:$47,MATCH(B54,PlayerGrades!J:J,0),18),"")</f>
        <v>E</v>
      </c>
      <c r="E54" s="310">
        <f t="array" ref="E54">IFERROR(INDEX(PlayerGrades!$1:$47,MATCH(B54,PlayerGrades!J:J,0),19),"")</f>
        <v>5.9</v>
      </c>
      <c r="F54" s="16" t="str">
        <f t="array" ref="F54">IFERROR(INDEX(TeamInfo!$D3:$D$45,MATCH($A$52,TeamInfo!A:A,0),0),"")</f>
        <v>US WEST</v>
      </c>
      <c r="G54" s="16">
        <f t="array" ref="G54">IFERROR(INDEX('Halo Reach Stats'!$1:$46,MATCH($B54,'Halo Reach Stats'!$A:$A,0),8),"")</f>
        <v>0</v>
      </c>
      <c r="H54" s="16">
        <f t="array" ref="H54">IFERROR(INDEX('Halo Reach Stats'!$1:$46,MATCH($B54,'Halo Reach Stats'!$A:$A,0),9),"")</f>
        <v>86</v>
      </c>
      <c r="I54" s="16">
        <f t="array" ref="I54">IFERROR(INDEX('Halo Reach Stats'!$1:$46,MATCH($B54,'Halo Reach Stats'!$A:$A,0),10),"")</f>
        <v>114</v>
      </c>
      <c r="J54" s="16">
        <f t="array" ref="J54">IFERROR(INDEX('Halo Reach Stats'!$1:$46,MATCH($B54,'Halo Reach Stats'!$A:$A,0),11),"")</f>
        <v>-28</v>
      </c>
      <c r="K54" s="312">
        <f t="shared" si="40"/>
        <v>0.7543859649</v>
      </c>
      <c r="L54" s="16">
        <f t="array" ref="L54">IFERROR(INDEX('Halo Reach Stats'!$1:$46,MATCH($B54,'Halo Reach Stats'!$A:$A,0),12),"")</f>
        <v>11</v>
      </c>
      <c r="M54" s="16">
        <f t="array" ref="M54">IFERROR(INDEX('Halo Reach Stats'!$1:$46,MATCH($B54,'Halo Reach Stats'!$A:$A,0),13),"")</f>
        <v>4</v>
      </c>
      <c r="N54" s="16">
        <f t="array" ref="N54">IFERROR(INDEX('Halo Reach Stats'!$1:$46,MATCH($B54,'Halo Reach Stats'!$A:$A,0),14),"")</f>
        <v>2</v>
      </c>
      <c r="O54" s="16">
        <f t="array" ref="O54">IFERROR(INDEX('Halo Reach Stats'!$1:$46,MATCH($B54,'Halo Reach Stats'!$A:$A,0),16),"")</f>
        <v>2002</v>
      </c>
      <c r="P54" s="16">
        <f t="array" ref="P54">IFERROR(INDEX('Halo Reach Stats'!$1:$46,MATCH($B54,'Halo Reach Stats'!$A:$A,0),17),"")</f>
        <v>13</v>
      </c>
      <c r="Q54" s="16">
        <f t="array" ref="Q54">IFERROR(INDEX('Halo Reach Stats'!$1:$46,MATCH($B54,'Halo Reach Stats'!$A:$A,0),18),"")</f>
        <v>0</v>
      </c>
      <c r="R54" s="16">
        <f t="array" ref="R54">IFERROR(INDEX('Halo Reach Stats'!$1:$46,MATCH($B54,'Halo Reach Stats'!$A:$A,0),19),"")</f>
        <v>0</v>
      </c>
      <c r="S54" s="16">
        <f t="array" ref="S54">IFERROR(INDEX('Halo Reach Stats'!$1:$46,MATCH($B54,'Halo Reach Stats'!$A:$A,0),20),"")</f>
        <v>0</v>
      </c>
      <c r="T54" s="16">
        <f t="array" ref="T54">IFERROR(INDEX('Halo Reach Stats'!$1:$46,MATCH($B54,'Halo Reach Stats'!$A:$A,0),21),"")</f>
        <v>0</v>
      </c>
      <c r="U54" s="16">
        <f t="array" ref="U54">IFERROR(INDEX('Halo Reach Stats'!$1:$46,MATCH($B54,'Halo Reach Stats'!$A:$A,0),22),"")</f>
        <v>0</v>
      </c>
      <c r="V54" s="16">
        <f t="array" ref="V54">IFERROR(INDEX('Halo Reach Stats'!$1:$46,MATCH($B54,'Halo Reach Stats'!$A:$A,0),23),"")</f>
        <v>10</v>
      </c>
      <c r="W54" s="16">
        <f t="array" ref="W54">IFERROR(INDEX('Halo Reach Stats'!$1:$46,MATCH($B54,'Halo Reach Stats'!$A:$A,0),24),"")</f>
        <v>1</v>
      </c>
      <c r="X54" s="16">
        <f t="array" ref="X54">IFERROR(INDEX('Halo Reach Stats'!$1:$46,MATCH($B54,'Halo Reach Stats'!$A:$A,0),25),"")</f>
        <v>0</v>
      </c>
      <c r="Y54" s="16">
        <f t="array" ref="Y54">IFERROR(INDEX('Halo Reach Stats'!$1:$46,MATCH($B54,'Halo Reach Stats'!$A:$A,0),26),"")</f>
        <v>0</v>
      </c>
      <c r="Z54" s="16">
        <f t="array" ref="Z54">IFERROR(INDEX('Halo Reach Stats'!$1:$46,MATCH($B54,'Halo Reach Stats'!$A:$A,0),27),"")</f>
        <v>0</v>
      </c>
      <c r="AA54" s="16">
        <f t="array" ref="AA54">IFERROR(INDEX('Halo Reach Stats'!$1:$46,MATCH($B54,'Halo Reach Stats'!$A:$A,0),28),"")</f>
        <v>0</v>
      </c>
      <c r="AB54" s="16">
        <f t="array" ref="AB54">IFERROR(INDEX('Halo Reach Stats'!$1:$46,MATCH($B54,'Halo Reach Stats'!$A:$A,0),29),"")</f>
        <v>0</v>
      </c>
      <c r="AC54" s="16">
        <f t="array" ref="AC54">IFERROR(INDEX('Halo Reach Stats'!$1:$46,MATCH($B54,'Halo Reach Stats'!$A:$A,0),30),"")</f>
        <v>0</v>
      </c>
      <c r="AD54" s="16">
        <f t="array" ref="AD54">IFERROR(INDEX('Halo Reach Stats'!$1:$46,MATCH($B54,'Halo Reach Stats'!$A:$A,0),31),"")</f>
        <v>0</v>
      </c>
      <c r="AE54" s="16">
        <f t="array" ref="AE54">IFERROR(INDEX('Halo Reach Stats'!$1:$46,MATCH($B54,'Halo Reach Stats'!$A:$A,0),32),"")</f>
        <v>0</v>
      </c>
      <c r="AF54" s="16">
        <f t="array" ref="AF54">IFERROR(INDEX('Halo Reach Stats'!$1:$46,MATCH($B54,'Halo Reach Stats'!$A:$A,0),33),"")</f>
        <v>3</v>
      </c>
      <c r="AG54" s="16">
        <f t="array" ref="AG54">IFERROR(INDEX('Halo Reach Stats'!$1:$46,MATCH($B54,'Halo Reach Stats'!$A:$A,0),34),"")</f>
        <v>0</v>
      </c>
      <c r="AH54" s="16">
        <f t="array" ref="AH54">IFERROR(INDEX('Halo Reach Stats'!$1:$46,MATCH($B54,'Halo Reach Stats'!$A:$A,0),35),"")</f>
        <v>0</v>
      </c>
    </row>
    <row r="55">
      <c r="A55" s="315" t="str">
        <f>IF(((E52+E53+E54+E55)/4)&lt;=5.55,"F",IF(((E52+E53+E54+E55)/4)&lt;9.25,"E",IF(((E52+E53+E54+E55)/4)&lt;12.95,"D",IF(((E52+E53+E54+E55)/4)&lt;16.65,"C",IF(((E52+E53+E54+E55)/4)&lt;20.35,"B",IF(((E52+E53+E54+E55)/4)&lt;24.05,"A","S"))))))</f>
        <v>D</v>
      </c>
      <c r="B55" s="1" t="str">
        <f t="array" ref="B55">IFERROR(INDEX(TeamInfo!$C4:$C$45,MATCH($A$52,TeamInfo!A:A,0),0),"")</f>
        <v>AwareMosquito</v>
      </c>
      <c r="C55" s="14" t="str">
        <f t="array" ref="C55">IFERROR(INDEX('Player Efficiency'!$1:$45,MATCH(B55,'Player Efficiency'!A:A,0),2),"")</f>
        <v/>
      </c>
      <c r="D55" s="310" t="str">
        <f t="array" ref="D55">IFERROR(INDEX(PlayerGrades!$1:$47,MATCH(B55,PlayerGrades!J:J,0),18),"")</f>
        <v>E</v>
      </c>
      <c r="E55" s="310">
        <f t="array" ref="E55">IFERROR(INDEX(PlayerGrades!$1:$47,MATCH(B55,PlayerGrades!J:J,0),19),"")</f>
        <v>5.4</v>
      </c>
      <c r="F55" s="16" t="str">
        <f t="array" ref="F55">IFERROR(INDEX(TeamInfo!$D4:$D$45,MATCH($A$52,TeamInfo!A:A,0),0),"")</f>
        <v>West Europe</v>
      </c>
      <c r="G55" s="16">
        <f t="array" ref="G55">IFERROR(INDEX('Halo Reach Stats'!$1:$46,MATCH($B55,'Halo Reach Stats'!$A:$A,0),8),"")</f>
        <v>0</v>
      </c>
      <c r="H55" s="16">
        <f t="array" ref="H55">IFERROR(INDEX('Halo Reach Stats'!$1:$46,MATCH($B55,'Halo Reach Stats'!$A:$A,0),9),"")</f>
        <v>298</v>
      </c>
      <c r="I55" s="16">
        <f t="array" ref="I55">IFERROR(INDEX('Halo Reach Stats'!$1:$46,MATCH($B55,'Halo Reach Stats'!$A:$A,0),10),"")</f>
        <v>408</v>
      </c>
      <c r="J55" s="16">
        <f t="array" ref="J55">IFERROR(INDEX('Halo Reach Stats'!$1:$46,MATCH($B55,'Halo Reach Stats'!$A:$A,0),11),"")</f>
        <v>-110</v>
      </c>
      <c r="K55" s="312">
        <f t="shared" si="40"/>
        <v>0.7303921569</v>
      </c>
      <c r="L55" s="16">
        <f t="array" ref="L55">IFERROR(INDEX('Halo Reach Stats'!$1:$46,MATCH($B55,'Halo Reach Stats'!$A:$A,0),12),"")</f>
        <v>8</v>
      </c>
      <c r="M55" s="16">
        <f t="array" ref="M55">IFERROR(INDEX('Halo Reach Stats'!$1:$46,MATCH($B55,'Halo Reach Stats'!$A:$A,0),13),"")</f>
        <v>5</v>
      </c>
      <c r="N55" s="16">
        <f t="array" ref="N55">IFERROR(INDEX('Halo Reach Stats'!$1:$46,MATCH($B55,'Halo Reach Stats'!$A:$A,0),14),"")</f>
        <v>2</v>
      </c>
      <c r="O55" s="16">
        <f t="array" ref="O55">IFERROR(INDEX('Halo Reach Stats'!$1:$46,MATCH($B55,'Halo Reach Stats'!$A:$A,0),16),"")</f>
        <v>6119</v>
      </c>
      <c r="P55" s="16">
        <f t="array" ref="P55">IFERROR(INDEX('Halo Reach Stats'!$1:$46,MATCH($B55,'Halo Reach Stats'!$A:$A,0),17),"")</f>
        <v>11</v>
      </c>
      <c r="Q55" s="16">
        <f t="array" ref="Q55">IFERROR(INDEX('Halo Reach Stats'!$1:$46,MATCH($B55,'Halo Reach Stats'!$A:$A,0),18),"")</f>
        <v>1</v>
      </c>
      <c r="R55" s="16">
        <f t="array" ref="R55">IFERROR(INDEX('Halo Reach Stats'!$1:$46,MATCH($B55,'Halo Reach Stats'!$A:$A,0),19),"")</f>
        <v>0</v>
      </c>
      <c r="S55" s="16">
        <f t="array" ref="S55">IFERROR(INDEX('Halo Reach Stats'!$1:$46,MATCH($B55,'Halo Reach Stats'!$A:$A,0),20),"")</f>
        <v>0</v>
      </c>
      <c r="T55" s="16">
        <f t="array" ref="T55">IFERROR(INDEX('Halo Reach Stats'!$1:$46,MATCH($B55,'Halo Reach Stats'!$A:$A,0),21),"")</f>
        <v>0</v>
      </c>
      <c r="U55" s="16">
        <f t="array" ref="U55">IFERROR(INDEX('Halo Reach Stats'!$1:$46,MATCH($B55,'Halo Reach Stats'!$A:$A,0),22),"")</f>
        <v>0</v>
      </c>
      <c r="V55" s="16">
        <f t="array" ref="V55">IFERROR(INDEX('Halo Reach Stats'!$1:$46,MATCH($B55,'Halo Reach Stats'!$A:$A,0),23),"")</f>
        <v>27</v>
      </c>
      <c r="W55" s="16">
        <f t="array" ref="W55">IFERROR(INDEX('Halo Reach Stats'!$1:$46,MATCH($B55,'Halo Reach Stats'!$A:$A,0),24),"")</f>
        <v>3</v>
      </c>
      <c r="X55" s="16">
        <f t="array" ref="X55">IFERROR(INDEX('Halo Reach Stats'!$1:$46,MATCH($B55,'Halo Reach Stats'!$A:$A,0),25),"")</f>
        <v>0</v>
      </c>
      <c r="Y55" s="16">
        <f t="array" ref="Y55">IFERROR(INDEX('Halo Reach Stats'!$1:$46,MATCH($B55,'Halo Reach Stats'!$A:$A,0),26),"")</f>
        <v>0</v>
      </c>
      <c r="Z55" s="16">
        <f t="array" ref="Z55">IFERROR(INDEX('Halo Reach Stats'!$1:$46,MATCH($B55,'Halo Reach Stats'!$A:$A,0),27),"")</f>
        <v>0</v>
      </c>
      <c r="AA55" s="16">
        <f t="array" ref="AA55">IFERROR(INDEX('Halo Reach Stats'!$1:$46,MATCH($B55,'Halo Reach Stats'!$A:$A,0),28),"")</f>
        <v>0</v>
      </c>
      <c r="AB55" s="16">
        <f t="array" ref="AB55">IFERROR(INDEX('Halo Reach Stats'!$1:$46,MATCH($B55,'Halo Reach Stats'!$A:$A,0),29),"")</f>
        <v>0</v>
      </c>
      <c r="AC55" s="16">
        <f t="array" ref="AC55">IFERROR(INDEX('Halo Reach Stats'!$1:$46,MATCH($B55,'Halo Reach Stats'!$A:$A,0),30),"")</f>
        <v>0</v>
      </c>
      <c r="AD55" s="16">
        <f t="array" ref="AD55">IFERROR(INDEX('Halo Reach Stats'!$1:$46,MATCH($B55,'Halo Reach Stats'!$A:$A,0),31),"")</f>
        <v>0</v>
      </c>
      <c r="AE55" s="16">
        <f t="array" ref="AE55">IFERROR(INDEX('Halo Reach Stats'!$1:$46,MATCH($B55,'Halo Reach Stats'!$A:$A,0),32),"")</f>
        <v>0</v>
      </c>
      <c r="AF55" s="16">
        <f t="array" ref="AF55">IFERROR(INDEX('Halo Reach Stats'!$1:$46,MATCH($B55,'Halo Reach Stats'!$A:$A,0),33),"")</f>
        <v>7</v>
      </c>
      <c r="AG55" s="16">
        <f t="array" ref="AG55">IFERROR(INDEX('Halo Reach Stats'!$1:$46,MATCH($B55,'Halo Reach Stats'!$A:$A,0),34),"")</f>
        <v>1</v>
      </c>
      <c r="AH55" s="16">
        <f t="array" ref="AH55">IFERROR(INDEX('Halo Reach Stats'!$1:$46,MATCH($B55,'Halo Reach Stats'!$A:$A,0),35),"")</f>
        <v>1</v>
      </c>
    </row>
    <row r="56">
      <c r="A56" s="338"/>
      <c r="B56" s="317" t="s">
        <v>353</v>
      </c>
      <c r="C56" s="339">
        <f>SUM(C52:C55)/4</f>
        <v>0</v>
      </c>
      <c r="D56" s="340"/>
      <c r="E56" s="341">
        <f>SUM(E52:E55)/4</f>
        <v>10.125</v>
      </c>
      <c r="F56" s="342" t="s">
        <v>354</v>
      </c>
      <c r="G56" s="343">
        <f t="shared" ref="G56:J56" si="41">SUM(G52:G55)</f>
        <v>0</v>
      </c>
      <c r="H56" s="343">
        <f t="shared" si="41"/>
        <v>749</v>
      </c>
      <c r="I56" s="343">
        <f t="shared" si="41"/>
        <v>839</v>
      </c>
      <c r="J56" s="343">
        <f t="shared" si="41"/>
        <v>-90</v>
      </c>
      <c r="K56" s="328">
        <f>SUM(K52:K55)/4</f>
        <v>0.9648965028</v>
      </c>
      <c r="L56" s="343">
        <f t="shared" ref="L56:O56" si="42">SUM(L52:L55)</f>
        <v>42</v>
      </c>
      <c r="M56" s="343">
        <f t="shared" si="42"/>
        <v>23</v>
      </c>
      <c r="N56" s="343">
        <f t="shared" si="42"/>
        <v>8</v>
      </c>
      <c r="O56" s="343">
        <f t="shared" si="42"/>
        <v>13778</v>
      </c>
      <c r="P56" s="327">
        <f>SUM(P52:P55)/4</f>
        <v>12.25</v>
      </c>
      <c r="Q56" s="343">
        <f t="shared" ref="Q56:AH56" si="43">SUM(Q52:Q55)</f>
        <v>6</v>
      </c>
      <c r="R56" s="343">
        <f t="shared" si="43"/>
        <v>0</v>
      </c>
      <c r="S56" s="343">
        <f t="shared" si="43"/>
        <v>0</v>
      </c>
      <c r="T56" s="343">
        <f t="shared" si="43"/>
        <v>0</v>
      </c>
      <c r="U56" s="343">
        <f t="shared" si="43"/>
        <v>0</v>
      </c>
      <c r="V56" s="343">
        <f t="shared" si="43"/>
        <v>89</v>
      </c>
      <c r="W56" s="343">
        <f t="shared" si="43"/>
        <v>21</v>
      </c>
      <c r="X56" s="343">
        <f t="shared" si="43"/>
        <v>1</v>
      </c>
      <c r="Y56" s="343">
        <f t="shared" si="43"/>
        <v>0</v>
      </c>
      <c r="Z56" s="343">
        <f t="shared" si="43"/>
        <v>0</v>
      </c>
      <c r="AA56" s="343">
        <f t="shared" si="43"/>
        <v>0</v>
      </c>
      <c r="AB56" s="343">
        <f t="shared" si="43"/>
        <v>0</v>
      </c>
      <c r="AC56" s="343">
        <f t="shared" si="43"/>
        <v>0</v>
      </c>
      <c r="AD56" s="343">
        <f t="shared" si="43"/>
        <v>0</v>
      </c>
      <c r="AE56" s="343">
        <f t="shared" si="43"/>
        <v>0</v>
      </c>
      <c r="AF56" s="343">
        <f t="shared" si="43"/>
        <v>21</v>
      </c>
      <c r="AG56" s="343">
        <f t="shared" si="43"/>
        <v>1</v>
      </c>
      <c r="AH56" s="343">
        <f t="shared" si="43"/>
        <v>3</v>
      </c>
    </row>
    <row r="57">
      <c r="A57" s="12" t="s">
        <v>365</v>
      </c>
      <c r="B57" s="329" t="str">
        <f t="array" ref="B57">IFERROR(INDEX(TeamInfo!$C1:$C$49,MATCH($A$57,TeamInfo!A:A,0),0),"")</f>
        <v>ACE B S1lentND1</v>
      </c>
      <c r="C57" s="344"/>
      <c r="D57" s="345" t="s">
        <v>366</v>
      </c>
      <c r="E57" s="310">
        <f t="array" ref="E57">IFERROR(INDEX(PlayerGrades!$1:$47,MATCH(B57,PlayerGrades!J:J,0),19),"")</f>
        <v>15.8</v>
      </c>
      <c r="F57" s="16" t="str">
        <f t="array" ref="F57">IFERROR(INDEX(TeamInfo!$D1:$D$49,MATCH($A$57,TeamInfo!A:A,0),0),"")</f>
        <v>US SOUTH CENTRAL</v>
      </c>
      <c r="G57" s="16">
        <f t="array" ref="G57">IFERROR(INDEX('Halo Reach Stats'!$1:$46,MATCH($B57,'Halo Reach Stats'!$A:$A,0),8),"")</f>
        <v>3</v>
      </c>
      <c r="H57" s="16">
        <f t="array" ref="H57">IFERROR(INDEX('Halo Reach Stats'!$1:$46,MATCH($B57,'Halo Reach Stats'!$A:$A,0),9),"")</f>
        <v>251</v>
      </c>
      <c r="I57" s="16">
        <f t="array" ref="I57">IFERROR(INDEX('Halo Reach Stats'!$1:$46,MATCH($B57,'Halo Reach Stats'!$A:$A,0),10),"")</f>
        <v>178</v>
      </c>
      <c r="J57" s="16">
        <f t="array" ref="J57">IFERROR(INDEX('Halo Reach Stats'!$1:$46,MATCH($B57,'Halo Reach Stats'!$A:$A,0),11),"")</f>
        <v>73</v>
      </c>
      <c r="K57" s="312">
        <f t="shared" ref="K57:K60" si="44">H57/I57</f>
        <v>1.41011236</v>
      </c>
      <c r="L57" s="16">
        <f t="array" ref="L57">IFERROR(INDEX('Halo Reach Stats'!$1:$46,MATCH($B57,'Halo Reach Stats'!$A:$A,0),12),"")</f>
        <v>15</v>
      </c>
      <c r="M57" s="16">
        <f t="array" ref="M57">IFERROR(INDEX('Halo Reach Stats'!$1:$46,MATCH($B57,'Halo Reach Stats'!$A:$A,0),13),"")</f>
        <v>12</v>
      </c>
      <c r="N57" s="16">
        <f t="array" ref="N57">IFERROR(INDEX('Halo Reach Stats'!$1:$46,MATCH($B57,'Halo Reach Stats'!$A:$A,0),14),"")</f>
        <v>1</v>
      </c>
      <c r="O57" s="16">
        <f t="array" ref="O57">IFERROR(INDEX('Halo Reach Stats'!$1:$46,MATCH($B57,'Halo Reach Stats'!$A:$A,0),16),"")</f>
        <v>4835</v>
      </c>
      <c r="P57" s="16">
        <f t="array" ref="P57">IFERROR(INDEX('Halo Reach Stats'!$1:$46,MATCH($B57,'Halo Reach Stats'!$A:$A,0),17),"")</f>
        <v>22</v>
      </c>
      <c r="Q57" s="16">
        <f t="array" ref="Q57">IFERROR(INDEX('Halo Reach Stats'!$1:$46,MATCH($B57,'Halo Reach Stats'!$A:$A,0),18),"")</f>
        <v>9</v>
      </c>
      <c r="R57" s="16">
        <f t="array" ref="R57">IFERROR(INDEX('Halo Reach Stats'!$1:$46,MATCH($B57,'Halo Reach Stats'!$A:$A,0),19),"")</f>
        <v>1</v>
      </c>
      <c r="S57" s="16">
        <f t="array" ref="S57">IFERROR(INDEX('Halo Reach Stats'!$1:$46,MATCH($B57,'Halo Reach Stats'!$A:$A,0),20),"")</f>
        <v>0</v>
      </c>
      <c r="T57" s="16">
        <f t="array" ref="T57">IFERROR(INDEX('Halo Reach Stats'!$1:$46,MATCH($B57,'Halo Reach Stats'!$A:$A,0),21),"")</f>
        <v>0</v>
      </c>
      <c r="U57" s="16">
        <f t="array" ref="U57">IFERROR(INDEX('Halo Reach Stats'!$1:$46,MATCH($B57,'Halo Reach Stats'!$A:$A,0),22),"")</f>
        <v>0</v>
      </c>
      <c r="V57" s="16">
        <f t="array" ref="V57">IFERROR(INDEX('Halo Reach Stats'!$1:$46,MATCH($B57,'Halo Reach Stats'!$A:$A,0),23),"")</f>
        <v>41</v>
      </c>
      <c r="W57" s="16">
        <f t="array" ref="W57">IFERROR(INDEX('Halo Reach Stats'!$1:$46,MATCH($B57,'Halo Reach Stats'!$A:$A,0),24),"")</f>
        <v>7</v>
      </c>
      <c r="X57" s="16">
        <f t="array" ref="X57">IFERROR(INDEX('Halo Reach Stats'!$1:$46,MATCH($B57,'Halo Reach Stats'!$A:$A,0),25),"")</f>
        <v>1</v>
      </c>
      <c r="Y57" s="16">
        <f t="array" ref="Y57">IFERROR(INDEX('Halo Reach Stats'!$1:$46,MATCH($B57,'Halo Reach Stats'!$A:$A,0),26),"")</f>
        <v>1</v>
      </c>
      <c r="Z57" s="16">
        <f t="array" ref="Z57">IFERROR(INDEX('Halo Reach Stats'!$1:$46,MATCH($B57,'Halo Reach Stats'!$A:$A,0),27),"")</f>
        <v>0</v>
      </c>
      <c r="AA57" s="16">
        <f t="array" ref="AA57">IFERROR(INDEX('Halo Reach Stats'!$1:$46,MATCH($B57,'Halo Reach Stats'!$A:$A,0),28),"")</f>
        <v>0</v>
      </c>
      <c r="AB57" s="16">
        <f t="array" ref="AB57">IFERROR(INDEX('Halo Reach Stats'!$1:$46,MATCH($B57,'Halo Reach Stats'!$A:$A,0),29),"")</f>
        <v>0</v>
      </c>
      <c r="AC57" s="16">
        <f t="array" ref="AC57">IFERROR(INDEX('Halo Reach Stats'!$1:$46,MATCH($B57,'Halo Reach Stats'!$A:$A,0),30),"")</f>
        <v>0</v>
      </c>
      <c r="AD57" s="16">
        <f t="array" ref="AD57">IFERROR(INDEX('Halo Reach Stats'!$1:$46,MATCH($B57,'Halo Reach Stats'!$A:$A,0),31),"")</f>
        <v>0</v>
      </c>
      <c r="AE57" s="16">
        <f t="array" ref="AE57">IFERROR(INDEX('Halo Reach Stats'!$1:$46,MATCH($B57,'Halo Reach Stats'!$A:$A,0),32),"")</f>
        <v>0</v>
      </c>
      <c r="AF57" s="16">
        <f t="array" ref="AF57">IFERROR(INDEX('Halo Reach Stats'!$1:$46,MATCH($B57,'Halo Reach Stats'!$A:$A,0),33),"")</f>
        <v>10</v>
      </c>
      <c r="AG57" s="16">
        <f t="array" ref="AG57">IFERROR(INDEX('Halo Reach Stats'!$1:$46,MATCH($B57,'Halo Reach Stats'!$A:$A,0),34),"")</f>
        <v>0</v>
      </c>
      <c r="AH57" s="16">
        <f t="array" ref="AH57">IFERROR(INDEX('Halo Reach Stats'!$1:$46,MATCH($B57,'Halo Reach Stats'!$A:$A,0),35),"")</f>
        <v>5</v>
      </c>
    </row>
    <row r="58">
      <c r="A58" s="346" t="str">
        <f t="array" ref="A58">IFERROR(INDEX(TeamInfo!$1:$49,MATCH(A57,TeamInfo!A:A,0),2),"")</f>
        <v>Costco Glizzy Combo</v>
      </c>
      <c r="B58" s="1" t="str">
        <f t="array" ref="B58">IFERROR(INDEX(TeamInfo!$C2:$C$49,MATCH($A$57,TeamInfo!A:A,0),0),"")</f>
        <v>oDhmon</v>
      </c>
      <c r="C58" s="344"/>
      <c r="D58" s="347" t="s">
        <v>367</v>
      </c>
      <c r="E58" s="310">
        <f t="array" ref="E58">IFERROR(INDEX(PlayerGrades!$1:$47,MATCH(B58,PlayerGrades!J:J,0),19),"")</f>
        <v>18.6</v>
      </c>
      <c r="F58" s="16" t="str">
        <f t="array" ref="F58">IFERROR(INDEX(TeamInfo!$D2:$D$49,MATCH($A$57,TeamInfo!A:A,0),0),"")</f>
        <v>US EAST</v>
      </c>
      <c r="G58" s="16">
        <f t="array" ref="G58">IFERROR(INDEX('Halo Reach Stats'!$1:$46,MATCH($B58,'Halo Reach Stats'!$A:$A,0),8),"")</f>
        <v>4</v>
      </c>
      <c r="H58" s="16">
        <f t="array" ref="H58">IFERROR(INDEX('Halo Reach Stats'!$1:$46,MATCH($B58,'Halo Reach Stats'!$A:$A,0),9),"")</f>
        <v>335</v>
      </c>
      <c r="I58" s="16">
        <f t="array" ref="I58">IFERROR(INDEX('Halo Reach Stats'!$1:$46,MATCH($B58,'Halo Reach Stats'!$A:$A,0),10),"")</f>
        <v>252</v>
      </c>
      <c r="J58" s="16">
        <f t="array" ref="J58">IFERROR(INDEX('Halo Reach Stats'!$1:$46,MATCH($B58,'Halo Reach Stats'!$A:$A,0),11),"")</f>
        <v>83</v>
      </c>
      <c r="K58" s="312">
        <f t="shared" si="44"/>
        <v>1.329365079</v>
      </c>
      <c r="L58" s="16">
        <f t="array" ref="L58">IFERROR(INDEX('Halo Reach Stats'!$1:$46,MATCH($B58,'Halo Reach Stats'!$A:$A,0),12),"")</f>
        <v>22</v>
      </c>
      <c r="M58" s="16">
        <f t="array" ref="M58">IFERROR(INDEX('Halo Reach Stats'!$1:$46,MATCH($B58,'Halo Reach Stats'!$A:$A,0),13),"")</f>
        <v>7</v>
      </c>
      <c r="N58" s="16">
        <f t="array" ref="N58">IFERROR(INDEX('Halo Reach Stats'!$1:$46,MATCH($B58,'Halo Reach Stats'!$A:$A,0),14),"")</f>
        <v>2</v>
      </c>
      <c r="O58" s="16">
        <f t="array" ref="O58">IFERROR(INDEX('Halo Reach Stats'!$1:$46,MATCH($B58,'Halo Reach Stats'!$A:$A,0),16),"")</f>
        <v>5904</v>
      </c>
      <c r="P58" s="16">
        <f t="array" ref="P58">IFERROR(INDEX('Halo Reach Stats'!$1:$46,MATCH($B58,'Halo Reach Stats'!$A:$A,0),17),"")</f>
        <v>19</v>
      </c>
      <c r="Q58" s="16">
        <f t="array" ref="Q58">IFERROR(INDEX('Halo Reach Stats'!$1:$46,MATCH($B58,'Halo Reach Stats'!$A:$A,0),18),"")</f>
        <v>10</v>
      </c>
      <c r="R58" s="16">
        <f t="array" ref="R58">IFERROR(INDEX('Halo Reach Stats'!$1:$46,MATCH($B58,'Halo Reach Stats'!$A:$A,0),19),"")</f>
        <v>0</v>
      </c>
      <c r="S58" s="16">
        <f t="array" ref="S58">IFERROR(INDEX('Halo Reach Stats'!$1:$46,MATCH($B58,'Halo Reach Stats'!$A:$A,0),20),"")</f>
        <v>0</v>
      </c>
      <c r="T58" s="16">
        <f t="array" ref="T58">IFERROR(INDEX('Halo Reach Stats'!$1:$46,MATCH($B58,'Halo Reach Stats'!$A:$A,0),21),"")</f>
        <v>0</v>
      </c>
      <c r="U58" s="16">
        <f t="array" ref="U58">IFERROR(INDEX('Halo Reach Stats'!$1:$46,MATCH($B58,'Halo Reach Stats'!$A:$A,0),22),"")</f>
        <v>0</v>
      </c>
      <c r="V58" s="16">
        <f t="array" ref="V58">IFERROR(INDEX('Halo Reach Stats'!$1:$46,MATCH($B58,'Halo Reach Stats'!$A:$A,0),23),"")</f>
        <v>54</v>
      </c>
      <c r="W58" s="16">
        <f t="array" ref="W58">IFERROR(INDEX('Halo Reach Stats'!$1:$46,MATCH($B58,'Halo Reach Stats'!$A:$A,0),24),"")</f>
        <v>13</v>
      </c>
      <c r="X58" s="16">
        <f t="array" ref="X58">IFERROR(INDEX('Halo Reach Stats'!$1:$46,MATCH($B58,'Halo Reach Stats'!$A:$A,0),25),"")</f>
        <v>2</v>
      </c>
      <c r="Y58" s="16">
        <f t="array" ref="Y58">IFERROR(INDEX('Halo Reach Stats'!$1:$46,MATCH($B58,'Halo Reach Stats'!$A:$A,0),26),"")</f>
        <v>0</v>
      </c>
      <c r="Z58" s="16">
        <f t="array" ref="Z58">IFERROR(INDEX('Halo Reach Stats'!$1:$46,MATCH($B58,'Halo Reach Stats'!$A:$A,0),27),"")</f>
        <v>0</v>
      </c>
      <c r="AA58" s="16">
        <f t="array" ref="AA58">IFERROR(INDEX('Halo Reach Stats'!$1:$46,MATCH($B58,'Halo Reach Stats'!$A:$A,0),28),"")</f>
        <v>0</v>
      </c>
      <c r="AB58" s="16">
        <f t="array" ref="AB58">IFERROR(INDEX('Halo Reach Stats'!$1:$46,MATCH($B58,'Halo Reach Stats'!$A:$A,0),29),"")</f>
        <v>0</v>
      </c>
      <c r="AC58" s="16">
        <f t="array" ref="AC58">IFERROR(INDEX('Halo Reach Stats'!$1:$46,MATCH($B58,'Halo Reach Stats'!$A:$A,0),30),"")</f>
        <v>0</v>
      </c>
      <c r="AD58" s="16">
        <f t="array" ref="AD58">IFERROR(INDEX('Halo Reach Stats'!$1:$46,MATCH($B58,'Halo Reach Stats'!$A:$A,0),31),"")</f>
        <v>0</v>
      </c>
      <c r="AE58" s="16">
        <f t="array" ref="AE58">IFERROR(INDEX('Halo Reach Stats'!$1:$46,MATCH($B58,'Halo Reach Stats'!$A:$A,0),32),"")</f>
        <v>0</v>
      </c>
      <c r="AF58" s="16">
        <f t="array" ref="AF58">IFERROR(INDEX('Halo Reach Stats'!$1:$46,MATCH($B58,'Halo Reach Stats'!$A:$A,0),33),"")</f>
        <v>22</v>
      </c>
      <c r="AG58" s="16">
        <f t="array" ref="AG58">IFERROR(INDEX('Halo Reach Stats'!$1:$46,MATCH($B58,'Halo Reach Stats'!$A:$A,0),34),"")</f>
        <v>0</v>
      </c>
      <c r="AH58" s="16">
        <f t="array" ref="AH58">IFERROR(INDEX('Halo Reach Stats'!$1:$46,MATCH($B58,'Halo Reach Stats'!$A:$A,0),35),"")</f>
        <v>8</v>
      </c>
    </row>
    <row r="59">
      <c r="A59" s="346"/>
      <c r="B59" s="1" t="str">
        <f t="array" ref="B59">IFERROR(INDEX(TeamInfo!$C3:$C$49,MATCH($A$57,TeamInfo!A:A,0),0),"")</f>
        <v>TommyWstSide</v>
      </c>
      <c r="C59" s="344"/>
      <c r="D59" s="348" t="s">
        <v>368</v>
      </c>
      <c r="E59" s="310">
        <f t="array" ref="E59">IFERROR(INDEX(PlayerGrades!$1:$47,MATCH(B59,PlayerGrades!J:J,0),19),"")</f>
        <v>13.1</v>
      </c>
      <c r="F59" s="16" t="str">
        <f t="array" ref="F59">IFERROR(INDEX(TeamInfo!$D3:$D$49,MATCH($A$57,TeamInfo!A:A,0),0),"")</f>
        <v>US NORTH CENTRAL</v>
      </c>
      <c r="G59" s="16">
        <f t="array" ref="G59">IFERROR(INDEX('Halo Reach Stats'!$1:$46,MATCH($B59,'Halo Reach Stats'!$A:$A,0),8),"")</f>
        <v>1</v>
      </c>
      <c r="H59" s="16">
        <f t="array" ref="H59">IFERROR(INDEX('Halo Reach Stats'!$1:$46,MATCH($B59,'Halo Reach Stats'!$A:$A,0),9),"")</f>
        <v>279</v>
      </c>
      <c r="I59" s="16">
        <f t="array" ref="I59">IFERROR(INDEX('Halo Reach Stats'!$1:$46,MATCH($B59,'Halo Reach Stats'!$A:$A,0),10),"")</f>
        <v>293</v>
      </c>
      <c r="J59" s="16">
        <f t="array" ref="J59">IFERROR(INDEX('Halo Reach Stats'!$1:$46,MATCH($B59,'Halo Reach Stats'!$A:$A,0),11),"")</f>
        <v>-14</v>
      </c>
      <c r="K59" s="312">
        <f t="shared" si="44"/>
        <v>0.95221843</v>
      </c>
      <c r="L59" s="16">
        <f t="array" ref="L59">IFERROR(INDEX('Halo Reach Stats'!$1:$46,MATCH($B59,'Halo Reach Stats'!$A:$A,0),12),"")</f>
        <v>18</v>
      </c>
      <c r="M59" s="16">
        <f t="array" ref="M59">IFERROR(INDEX('Halo Reach Stats'!$1:$46,MATCH($B59,'Halo Reach Stats'!$A:$A,0),13),"")</f>
        <v>5</v>
      </c>
      <c r="N59" s="16">
        <f t="array" ref="N59">IFERROR(INDEX('Halo Reach Stats'!$1:$46,MATCH($B59,'Halo Reach Stats'!$A:$A,0),14),"")</f>
        <v>0</v>
      </c>
      <c r="O59" s="16">
        <f t="array" ref="O59">IFERROR(INDEX('Halo Reach Stats'!$1:$46,MATCH($B59,'Halo Reach Stats'!$A:$A,0),16),"")</f>
        <v>4835</v>
      </c>
      <c r="P59" s="16">
        <f t="array" ref="P59">IFERROR(INDEX('Halo Reach Stats'!$1:$46,MATCH($B59,'Halo Reach Stats'!$A:$A,0),17),"")</f>
        <v>12</v>
      </c>
      <c r="Q59" s="16">
        <f t="array" ref="Q59">IFERROR(INDEX('Halo Reach Stats'!$1:$46,MATCH($B59,'Halo Reach Stats'!$A:$A,0),18),"")</f>
        <v>2</v>
      </c>
      <c r="R59" s="16">
        <f t="array" ref="R59">IFERROR(INDEX('Halo Reach Stats'!$1:$46,MATCH($B59,'Halo Reach Stats'!$A:$A,0),19),"")</f>
        <v>0</v>
      </c>
      <c r="S59" s="16">
        <f t="array" ref="S59">IFERROR(INDEX('Halo Reach Stats'!$1:$46,MATCH($B59,'Halo Reach Stats'!$A:$A,0),20),"")</f>
        <v>0</v>
      </c>
      <c r="T59" s="16">
        <f t="array" ref="T59">IFERROR(INDEX('Halo Reach Stats'!$1:$46,MATCH($B59,'Halo Reach Stats'!$A:$A,0),21),"")</f>
        <v>0</v>
      </c>
      <c r="U59" s="16">
        <f t="array" ref="U59">IFERROR(INDEX('Halo Reach Stats'!$1:$46,MATCH($B59,'Halo Reach Stats'!$A:$A,0),22),"")</f>
        <v>0</v>
      </c>
      <c r="V59" s="16">
        <f t="array" ref="V59">IFERROR(INDEX('Halo Reach Stats'!$1:$46,MATCH($B59,'Halo Reach Stats'!$A:$A,0),23),"")</f>
        <v>48</v>
      </c>
      <c r="W59" s="16">
        <f t="array" ref="W59">IFERROR(INDEX('Halo Reach Stats'!$1:$46,MATCH($B59,'Halo Reach Stats'!$A:$A,0),24),"")</f>
        <v>5</v>
      </c>
      <c r="X59" s="16">
        <f t="array" ref="X59">IFERROR(INDEX('Halo Reach Stats'!$1:$46,MATCH($B59,'Halo Reach Stats'!$A:$A,0),25),"")</f>
        <v>1</v>
      </c>
      <c r="Y59" s="16">
        <f t="array" ref="Y59">IFERROR(INDEX('Halo Reach Stats'!$1:$46,MATCH($B59,'Halo Reach Stats'!$A:$A,0),26),"")</f>
        <v>0</v>
      </c>
      <c r="Z59" s="16">
        <f t="array" ref="Z59">IFERROR(INDEX('Halo Reach Stats'!$1:$46,MATCH($B59,'Halo Reach Stats'!$A:$A,0),27),"")</f>
        <v>0</v>
      </c>
      <c r="AA59" s="16">
        <f t="array" ref="AA59">IFERROR(INDEX('Halo Reach Stats'!$1:$46,MATCH($B59,'Halo Reach Stats'!$A:$A,0),28),"")</f>
        <v>0</v>
      </c>
      <c r="AB59" s="16">
        <f t="array" ref="AB59">IFERROR(INDEX('Halo Reach Stats'!$1:$46,MATCH($B59,'Halo Reach Stats'!$A:$A,0),29),"")</f>
        <v>0</v>
      </c>
      <c r="AC59" s="16">
        <f t="array" ref="AC59">IFERROR(INDEX('Halo Reach Stats'!$1:$46,MATCH($B59,'Halo Reach Stats'!$A:$A,0),30),"")</f>
        <v>0</v>
      </c>
      <c r="AD59" s="16">
        <f t="array" ref="AD59">IFERROR(INDEX('Halo Reach Stats'!$1:$46,MATCH($B59,'Halo Reach Stats'!$A:$A,0),31),"")</f>
        <v>0</v>
      </c>
      <c r="AE59" s="16">
        <f t="array" ref="AE59">IFERROR(INDEX('Halo Reach Stats'!$1:$46,MATCH($B59,'Halo Reach Stats'!$A:$A,0),32),"")</f>
        <v>0</v>
      </c>
      <c r="AF59" s="16">
        <f t="array" ref="AF59">IFERROR(INDEX('Halo Reach Stats'!$1:$46,MATCH($B59,'Halo Reach Stats'!$A:$A,0),33),"")</f>
        <v>13</v>
      </c>
      <c r="AG59" s="16">
        <f t="array" ref="AG59">IFERROR(INDEX('Halo Reach Stats'!$1:$46,MATCH($B59,'Halo Reach Stats'!$A:$A,0),34),"")</f>
        <v>0</v>
      </c>
      <c r="AH59" s="16">
        <f t="array" ref="AH59">IFERROR(INDEX('Halo Reach Stats'!$1:$46,MATCH($B59,'Halo Reach Stats'!$A:$A,0),35),"")</f>
        <v>2</v>
      </c>
    </row>
    <row r="60">
      <c r="A60" s="349" t="str">
        <f>IF(((E57+E58+E59+E60)/4)&lt;=5.55,"F",IF(((E57+E58+E59+E60)/4)&lt;9.25,"E",IF(((E57+E58+E59+E60)/4)&lt;12.95,"D",IF(((E57+E58+E59+E60)/4)&lt;16.65,"C",IF(((E57+E58+E59+E60)/4)&lt;20.35,"B",IF(((E57+E58+E59+E60)/4)&lt;24.05,"A","S"))))))</f>
        <v>C</v>
      </c>
      <c r="B60" s="1" t="str">
        <f t="array" ref="B60">IFERROR(INDEX(TeamInfo!$C4:$C$49,MATCH($A$57,TeamInfo!A:A,0),0),"")</f>
        <v>e Jolts</v>
      </c>
      <c r="C60" s="344"/>
      <c r="D60" s="350" t="s">
        <v>369</v>
      </c>
      <c r="E60" s="310">
        <f t="array" ref="E60">IFERROR(INDEX(PlayerGrades!$1:$47,MATCH(B60,PlayerGrades!J:J,0),19),"")</f>
        <v>5.1</v>
      </c>
      <c r="F60" s="16" t="str">
        <f t="array" ref="F60">IFERROR(INDEX(TeamInfo!$D4:$D$49,MATCH($A$57,TeamInfo!A:A,0),0),"")</f>
        <v>US EAST</v>
      </c>
      <c r="G60" s="16">
        <f t="array" ref="G60">IFERROR(INDEX('Halo Reach Stats'!$1:$46,MATCH($B60,'Halo Reach Stats'!$A:$A,0),8),"")</f>
        <v>0</v>
      </c>
      <c r="H60" s="16">
        <f t="array" ref="H60">IFERROR(INDEX('Halo Reach Stats'!$1:$46,MATCH($B60,'Halo Reach Stats'!$A:$A,0),9),"")</f>
        <v>250</v>
      </c>
      <c r="I60" s="16">
        <f t="array" ref="I60">IFERROR(INDEX('Halo Reach Stats'!$1:$46,MATCH($B60,'Halo Reach Stats'!$A:$A,0),10),"")</f>
        <v>424</v>
      </c>
      <c r="J60" s="16">
        <f t="array" ref="J60">IFERROR(INDEX('Halo Reach Stats'!$1:$46,MATCH($B60,'Halo Reach Stats'!$A:$A,0),11),"")</f>
        <v>-174</v>
      </c>
      <c r="K60" s="312">
        <f t="shared" si="44"/>
        <v>0.5896226415</v>
      </c>
      <c r="L60" s="16">
        <f t="array" ref="L60">IFERROR(INDEX('Halo Reach Stats'!$1:$46,MATCH($B60,'Halo Reach Stats'!$A:$A,0),12),"")</f>
        <v>15</v>
      </c>
      <c r="M60" s="16">
        <f t="array" ref="M60">IFERROR(INDEX('Halo Reach Stats'!$1:$46,MATCH($B60,'Halo Reach Stats'!$A:$A,0),13),"")</f>
        <v>5</v>
      </c>
      <c r="N60" s="16">
        <f t="array" ref="N60">IFERROR(INDEX('Halo Reach Stats'!$1:$46,MATCH($B60,'Halo Reach Stats'!$A:$A,0),14),"")</f>
        <v>3</v>
      </c>
      <c r="O60" s="16">
        <f t="array" ref="O60">IFERROR(INDEX('Halo Reach Stats'!$1:$46,MATCH($B60,'Halo Reach Stats'!$A:$A,0),16),"")</f>
        <v>7051</v>
      </c>
      <c r="P60" s="16">
        <f t="array" ref="P60">IFERROR(INDEX('Halo Reach Stats'!$1:$46,MATCH($B60,'Halo Reach Stats'!$A:$A,0),17),"")</f>
        <v>12</v>
      </c>
      <c r="Q60" s="16">
        <f t="array" ref="Q60">IFERROR(INDEX('Halo Reach Stats'!$1:$46,MATCH($B60,'Halo Reach Stats'!$A:$A,0),18),"")</f>
        <v>1</v>
      </c>
      <c r="R60" s="16">
        <f t="array" ref="R60">IFERROR(INDEX('Halo Reach Stats'!$1:$46,MATCH($B60,'Halo Reach Stats'!$A:$A,0),19),"")</f>
        <v>0</v>
      </c>
      <c r="S60" s="16">
        <f t="array" ref="S60">IFERROR(INDEX('Halo Reach Stats'!$1:$46,MATCH($B60,'Halo Reach Stats'!$A:$A,0),20),"")</f>
        <v>0</v>
      </c>
      <c r="T60" s="16">
        <f t="array" ref="T60">IFERROR(INDEX('Halo Reach Stats'!$1:$46,MATCH($B60,'Halo Reach Stats'!$A:$A,0),21),"")</f>
        <v>0</v>
      </c>
      <c r="U60" s="16">
        <f t="array" ref="U60">IFERROR(INDEX('Halo Reach Stats'!$1:$46,MATCH($B60,'Halo Reach Stats'!$A:$A,0),22),"")</f>
        <v>0</v>
      </c>
      <c r="V60" s="16">
        <f t="array" ref="V60">IFERROR(INDEX('Halo Reach Stats'!$1:$46,MATCH($B60,'Halo Reach Stats'!$A:$A,0),23),"")</f>
        <v>17</v>
      </c>
      <c r="W60" s="16">
        <f t="array" ref="W60">IFERROR(INDEX('Halo Reach Stats'!$1:$46,MATCH($B60,'Halo Reach Stats'!$A:$A,0),24),"")</f>
        <v>3</v>
      </c>
      <c r="X60" s="16">
        <f t="array" ref="X60">IFERROR(INDEX('Halo Reach Stats'!$1:$46,MATCH($B60,'Halo Reach Stats'!$A:$A,0),25),"")</f>
        <v>1</v>
      </c>
      <c r="Y60" s="16">
        <f t="array" ref="Y60">IFERROR(INDEX('Halo Reach Stats'!$1:$46,MATCH($B60,'Halo Reach Stats'!$A:$A,0),26),"")</f>
        <v>0</v>
      </c>
      <c r="Z60" s="16">
        <f t="array" ref="Z60">IFERROR(INDEX('Halo Reach Stats'!$1:$46,MATCH($B60,'Halo Reach Stats'!$A:$A,0),27),"")</f>
        <v>0</v>
      </c>
      <c r="AA60" s="16">
        <f t="array" ref="AA60">IFERROR(INDEX('Halo Reach Stats'!$1:$46,MATCH($B60,'Halo Reach Stats'!$A:$A,0),28),"")</f>
        <v>0</v>
      </c>
      <c r="AB60" s="16">
        <f t="array" ref="AB60">IFERROR(INDEX('Halo Reach Stats'!$1:$46,MATCH($B60,'Halo Reach Stats'!$A:$A,0),29),"")</f>
        <v>0</v>
      </c>
      <c r="AC60" s="16">
        <f t="array" ref="AC60">IFERROR(INDEX('Halo Reach Stats'!$1:$46,MATCH($B60,'Halo Reach Stats'!$A:$A,0),30),"")</f>
        <v>0</v>
      </c>
      <c r="AD60" s="16">
        <f t="array" ref="AD60">IFERROR(INDEX('Halo Reach Stats'!$1:$46,MATCH($B60,'Halo Reach Stats'!$A:$A,0),31),"")</f>
        <v>0</v>
      </c>
      <c r="AE60" s="16">
        <f t="array" ref="AE60">IFERROR(INDEX('Halo Reach Stats'!$1:$46,MATCH($B60,'Halo Reach Stats'!$A:$A,0),32),"")</f>
        <v>0</v>
      </c>
      <c r="AF60" s="16">
        <f t="array" ref="AF60">IFERROR(INDEX('Halo Reach Stats'!$1:$46,MATCH($B60,'Halo Reach Stats'!$A:$A,0),33),"")</f>
        <v>13</v>
      </c>
      <c r="AG60" s="16">
        <f t="array" ref="AG60">IFERROR(INDEX('Halo Reach Stats'!$1:$46,MATCH($B60,'Halo Reach Stats'!$A:$A,0),34),"")</f>
        <v>0</v>
      </c>
      <c r="AH60" s="16">
        <f t="array" ref="AH60">IFERROR(INDEX('Halo Reach Stats'!$1:$46,MATCH($B60,'Halo Reach Stats'!$A:$A,0),35),"")</f>
        <v>1</v>
      </c>
    </row>
    <row r="61">
      <c r="A61" s="351"/>
      <c r="B61" s="352" t="s">
        <v>353</v>
      </c>
      <c r="C61" s="344"/>
      <c r="D61" s="353"/>
      <c r="E61" s="341">
        <f>SUM(E57:E60)/4</f>
        <v>13.15</v>
      </c>
      <c r="F61" s="301" t="s">
        <v>354</v>
      </c>
      <c r="G61" s="343">
        <f t="shared" ref="G61:J61" si="45">SUM(G57:G60)</f>
        <v>8</v>
      </c>
      <c r="H61" s="343">
        <f t="shared" si="45"/>
        <v>1115</v>
      </c>
      <c r="I61" s="343">
        <f t="shared" si="45"/>
        <v>1147</v>
      </c>
      <c r="J61" s="343">
        <f t="shared" si="45"/>
        <v>-32</v>
      </c>
      <c r="K61" s="328">
        <f>SUM(K57:K60)/4</f>
        <v>1.070329628</v>
      </c>
      <c r="L61" s="343">
        <f t="shared" ref="L61:O61" si="46">SUM(L57:L60)</f>
        <v>70</v>
      </c>
      <c r="M61" s="343">
        <f t="shared" si="46"/>
        <v>29</v>
      </c>
      <c r="N61" s="343">
        <f t="shared" si="46"/>
        <v>6</v>
      </c>
      <c r="O61" s="343">
        <f t="shared" si="46"/>
        <v>22625</v>
      </c>
      <c r="P61" s="327">
        <f>SUM(P57:P60)/4</f>
        <v>16.25</v>
      </c>
      <c r="Q61" s="343">
        <f t="shared" ref="Q61:AH61" si="47">SUM(Q57:Q60)</f>
        <v>22</v>
      </c>
      <c r="R61" s="343">
        <f t="shared" si="47"/>
        <v>1</v>
      </c>
      <c r="S61" s="343">
        <f t="shared" si="47"/>
        <v>0</v>
      </c>
      <c r="T61" s="343">
        <f t="shared" si="47"/>
        <v>0</v>
      </c>
      <c r="U61" s="343">
        <f t="shared" si="47"/>
        <v>0</v>
      </c>
      <c r="V61" s="343">
        <f t="shared" si="47"/>
        <v>160</v>
      </c>
      <c r="W61" s="343">
        <f t="shared" si="47"/>
        <v>28</v>
      </c>
      <c r="X61" s="343">
        <f t="shared" si="47"/>
        <v>5</v>
      </c>
      <c r="Y61" s="343">
        <f t="shared" si="47"/>
        <v>1</v>
      </c>
      <c r="Z61" s="343">
        <f t="shared" si="47"/>
        <v>0</v>
      </c>
      <c r="AA61" s="343">
        <f t="shared" si="47"/>
        <v>0</v>
      </c>
      <c r="AB61" s="343">
        <f t="shared" si="47"/>
        <v>0</v>
      </c>
      <c r="AC61" s="343">
        <f t="shared" si="47"/>
        <v>0</v>
      </c>
      <c r="AD61" s="343">
        <f t="shared" si="47"/>
        <v>0</v>
      </c>
      <c r="AE61" s="343">
        <f t="shared" si="47"/>
        <v>0</v>
      </c>
      <c r="AF61" s="343">
        <f t="shared" si="47"/>
        <v>58</v>
      </c>
      <c r="AG61" s="343">
        <f t="shared" si="47"/>
        <v>0</v>
      </c>
      <c r="AH61" s="343">
        <f t="shared" si="47"/>
        <v>16</v>
      </c>
    </row>
  </sheetData>
  <conditionalFormatting sqref="D2:E55 E57:E60">
    <cfRule type="containsText" dxfId="7" priority="1" operator="containsText" text="S">
      <formula>NOT(ISERROR(SEARCH(("S"),(D2))))</formula>
    </cfRule>
  </conditionalFormatting>
  <conditionalFormatting sqref="D2:E55 E57:E60">
    <cfRule type="containsText" dxfId="8" priority="2" operator="containsText" text="A">
      <formula>NOT(ISERROR(SEARCH(("A"),(D2))))</formula>
    </cfRule>
  </conditionalFormatting>
  <conditionalFormatting sqref="D2:E55 E57:E60">
    <cfRule type="containsText" dxfId="9" priority="3" operator="containsText" text="B">
      <formula>NOT(ISERROR(SEARCH(("B"),(D2))))</formula>
    </cfRule>
  </conditionalFormatting>
  <conditionalFormatting sqref="D2:E55 E57:E60">
    <cfRule type="containsText" dxfId="2" priority="4" operator="containsText" text="C">
      <formula>NOT(ISERROR(SEARCH(("C"),(D2))))</formula>
    </cfRule>
  </conditionalFormatting>
  <conditionalFormatting sqref="D2:E55 E57:E60">
    <cfRule type="containsText" dxfId="10" priority="5" operator="containsText" text="D">
      <formula>NOT(ISERROR(SEARCH(("D"),(D2))))</formula>
    </cfRule>
  </conditionalFormatting>
  <conditionalFormatting sqref="D2:E55 E57:E60">
    <cfRule type="containsText" dxfId="11" priority="6" operator="containsText" text="E">
      <formula>NOT(ISERROR(SEARCH(("E"),(D2))))</formula>
    </cfRule>
  </conditionalFormatting>
  <conditionalFormatting sqref="D2:E55 E57:E60">
    <cfRule type="containsText" dxfId="12" priority="7" operator="containsText" text="F">
      <formula>NOT(ISERROR(SEARCH(("F"),(D2))))</formula>
    </cfRule>
  </conditionalFormatting>
  <conditionalFormatting sqref="A5 A10 A15 A20 A25 A30 A35 A40 A45 A50 A55">
    <cfRule type="containsText" dxfId="7" priority="8" operator="containsText" text="S">
      <formula>NOT(ISERROR(SEARCH(("S"),(A5))))</formula>
    </cfRule>
  </conditionalFormatting>
  <conditionalFormatting sqref="A5 A10 A15 A20 A25 A30 A35 A40 A45 A50 A55">
    <cfRule type="containsText" dxfId="8" priority="9" operator="containsText" text="A">
      <formula>NOT(ISERROR(SEARCH(("A"),(A5))))</formula>
    </cfRule>
  </conditionalFormatting>
  <conditionalFormatting sqref="A5 A10 A15 A20 A25 A30 A35 A40 A45 A50 A55">
    <cfRule type="containsText" dxfId="9" priority="10" operator="containsText" text="B">
      <formula>NOT(ISERROR(SEARCH(("B"),(A5))))</formula>
    </cfRule>
  </conditionalFormatting>
  <conditionalFormatting sqref="A5 A10 A15 A20 A25 A30 A35 A40 A45 A50 A55">
    <cfRule type="containsText" dxfId="2" priority="11" operator="containsText" text="C">
      <formula>NOT(ISERROR(SEARCH(("C"),(A5))))</formula>
    </cfRule>
  </conditionalFormatting>
  <conditionalFormatting sqref="A5 A10 A15 A20 A25 A30 A35 A40 A45 A50 A55">
    <cfRule type="containsText" dxfId="10" priority="12" operator="containsText" text="D">
      <formula>NOT(ISERROR(SEARCH(("D"),(A5))))</formula>
    </cfRule>
  </conditionalFormatting>
  <conditionalFormatting sqref="A5 A10 A15 A20 A25 A30 A35 A40 A45 A50 A55">
    <cfRule type="containsText" dxfId="11" priority="13" operator="containsText" text="E">
      <formula>NOT(ISERROR(SEARCH(("E"),(A5))))</formula>
    </cfRule>
  </conditionalFormatting>
  <conditionalFormatting sqref="A5 A10 A15 A20 A25 A30 A35 A40 A45 A50 A55">
    <cfRule type="containsText" dxfId="13" priority="14" operator="containsText" text="F">
      <formula>NOT(ISERROR(SEARCH(("F"),(A5))))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3" max="3" width="14.63"/>
    <col customWidth="1" min="4" max="4" width="17.63"/>
  </cols>
  <sheetData>
    <row r="1">
      <c r="A1" s="12" t="s">
        <v>370</v>
      </c>
      <c r="B1" s="12" t="s">
        <v>149</v>
      </c>
      <c r="C1" s="12" t="s">
        <v>333</v>
      </c>
      <c r="D1" s="12" t="s">
        <v>337</v>
      </c>
      <c r="E1" s="12" t="s">
        <v>371</v>
      </c>
      <c r="F1" s="346"/>
      <c r="G1" s="346"/>
      <c r="H1" s="346"/>
      <c r="I1" s="346"/>
      <c r="J1" s="346"/>
    </row>
    <row r="2">
      <c r="A2" s="354" t="s">
        <v>352</v>
      </c>
      <c r="B2" s="311" t="s">
        <v>151</v>
      </c>
      <c r="C2" s="285" t="s">
        <v>98</v>
      </c>
      <c r="D2" s="285" t="s">
        <v>372</v>
      </c>
      <c r="E2" s="311"/>
      <c r="F2" s="355"/>
      <c r="G2" s="355"/>
      <c r="H2" s="355"/>
      <c r="I2" s="355"/>
      <c r="J2" s="355"/>
    </row>
    <row r="3">
      <c r="A3" s="356" t="s">
        <v>352</v>
      </c>
      <c r="B3" s="16" t="s">
        <v>151</v>
      </c>
      <c r="C3" s="1" t="s">
        <v>113</v>
      </c>
      <c r="D3" s="1" t="s">
        <v>372</v>
      </c>
      <c r="E3" s="357"/>
    </row>
    <row r="4">
      <c r="A4" s="356" t="s">
        <v>352</v>
      </c>
      <c r="B4" s="16" t="s">
        <v>151</v>
      </c>
      <c r="C4" s="1" t="s">
        <v>77</v>
      </c>
      <c r="D4" s="1" t="s">
        <v>373</v>
      </c>
      <c r="E4" s="357"/>
    </row>
    <row r="5">
      <c r="A5" s="358" t="s">
        <v>352</v>
      </c>
      <c r="B5" s="359" t="s">
        <v>151</v>
      </c>
      <c r="C5" s="290" t="s">
        <v>97</v>
      </c>
      <c r="D5" s="1" t="s">
        <v>372</v>
      </c>
      <c r="E5" s="360"/>
      <c r="F5" s="361"/>
      <c r="G5" s="361"/>
      <c r="H5" s="361"/>
      <c r="I5" s="361"/>
      <c r="J5" s="361"/>
    </row>
    <row r="6">
      <c r="A6" s="354" t="s">
        <v>355</v>
      </c>
      <c r="B6" s="16" t="s">
        <v>153</v>
      </c>
      <c r="C6" s="285" t="s">
        <v>76</v>
      </c>
      <c r="D6" s="285" t="s">
        <v>373</v>
      </c>
      <c r="E6" s="311"/>
      <c r="F6" s="355"/>
      <c r="G6" s="355"/>
      <c r="H6" s="355"/>
      <c r="I6" s="355"/>
      <c r="J6" s="355"/>
    </row>
    <row r="7">
      <c r="A7" s="356" t="s">
        <v>355</v>
      </c>
      <c r="B7" s="16" t="s">
        <v>153</v>
      </c>
      <c r="C7" s="1" t="s">
        <v>109</v>
      </c>
      <c r="D7" s="1" t="s">
        <v>374</v>
      </c>
      <c r="E7" s="357"/>
    </row>
    <row r="8">
      <c r="A8" s="356" t="s">
        <v>355</v>
      </c>
      <c r="B8" s="16" t="s">
        <v>153</v>
      </c>
      <c r="C8" s="1" t="s">
        <v>85</v>
      </c>
      <c r="D8" s="1" t="s">
        <v>375</v>
      </c>
      <c r="E8" s="357"/>
    </row>
    <row r="9">
      <c r="A9" s="358" t="s">
        <v>355</v>
      </c>
      <c r="B9" s="359" t="s">
        <v>153</v>
      </c>
      <c r="C9" s="290" t="s">
        <v>101</v>
      </c>
      <c r="D9" s="290" t="s">
        <v>372</v>
      </c>
      <c r="E9" s="360"/>
      <c r="F9" s="361"/>
      <c r="G9" s="361"/>
      <c r="H9" s="361"/>
      <c r="I9" s="361"/>
      <c r="J9" s="361"/>
    </row>
    <row r="10">
      <c r="A10" s="354" t="s">
        <v>356</v>
      </c>
      <c r="B10" s="16" t="s">
        <v>155</v>
      </c>
      <c r="C10" s="285" t="s">
        <v>95</v>
      </c>
      <c r="D10" s="285" t="s">
        <v>375</v>
      </c>
      <c r="E10" s="311"/>
      <c r="F10" s="355"/>
      <c r="G10" s="355"/>
      <c r="H10" s="355"/>
      <c r="I10" s="355"/>
      <c r="J10" s="355"/>
    </row>
    <row r="11">
      <c r="A11" s="356" t="s">
        <v>356</v>
      </c>
      <c r="B11" s="16" t="s">
        <v>155</v>
      </c>
      <c r="C11" s="1" t="s">
        <v>87</v>
      </c>
      <c r="D11" s="1" t="s">
        <v>375</v>
      </c>
      <c r="E11" s="357"/>
    </row>
    <row r="12">
      <c r="A12" s="356" t="s">
        <v>356</v>
      </c>
      <c r="B12" s="16" t="s">
        <v>155</v>
      </c>
      <c r="C12" s="1" t="s">
        <v>171</v>
      </c>
      <c r="D12" s="1" t="s">
        <v>373</v>
      </c>
      <c r="E12" s="357"/>
    </row>
    <row r="13">
      <c r="A13" s="358" t="s">
        <v>356</v>
      </c>
      <c r="B13" s="359" t="s">
        <v>155</v>
      </c>
      <c r="C13" s="290" t="s">
        <v>94</v>
      </c>
      <c r="D13" s="290" t="s">
        <v>372</v>
      </c>
      <c r="E13" s="360"/>
      <c r="F13" s="361"/>
      <c r="G13" s="361"/>
      <c r="H13" s="361"/>
      <c r="I13" s="361"/>
      <c r="J13" s="361"/>
    </row>
    <row r="14">
      <c r="A14" s="354" t="s">
        <v>357</v>
      </c>
      <c r="B14" s="16" t="s">
        <v>156</v>
      </c>
      <c r="C14" s="285" t="s">
        <v>88</v>
      </c>
      <c r="D14" s="285" t="s">
        <v>372</v>
      </c>
      <c r="E14" s="311"/>
      <c r="F14" s="355"/>
      <c r="G14" s="355"/>
      <c r="H14" s="355"/>
      <c r="I14" s="355"/>
      <c r="J14" s="355"/>
    </row>
    <row r="15">
      <c r="A15" s="356" t="s">
        <v>357</v>
      </c>
      <c r="B15" s="16" t="s">
        <v>156</v>
      </c>
      <c r="C15" s="1" t="s">
        <v>108</v>
      </c>
      <c r="D15" s="1" t="s">
        <v>374</v>
      </c>
      <c r="E15" s="357"/>
    </row>
    <row r="16">
      <c r="A16" s="356" t="s">
        <v>357</v>
      </c>
      <c r="B16" s="16" t="s">
        <v>156</v>
      </c>
      <c r="C16" s="1" t="s">
        <v>271</v>
      </c>
      <c r="D16" s="1" t="s">
        <v>372</v>
      </c>
      <c r="E16" s="357"/>
    </row>
    <row r="17">
      <c r="A17" s="358" t="s">
        <v>357</v>
      </c>
      <c r="B17" s="359" t="s">
        <v>156</v>
      </c>
      <c r="C17" s="290" t="s">
        <v>72</v>
      </c>
      <c r="D17" s="290" t="s">
        <v>185</v>
      </c>
      <c r="E17" s="360"/>
      <c r="F17" s="361"/>
      <c r="G17" s="361"/>
      <c r="H17" s="361"/>
      <c r="I17" s="361"/>
      <c r="J17" s="361"/>
    </row>
    <row r="18">
      <c r="A18" s="356" t="s">
        <v>358</v>
      </c>
      <c r="B18" s="16" t="s">
        <v>157</v>
      </c>
      <c r="C18" s="285" t="s">
        <v>75</v>
      </c>
      <c r="D18" s="285" t="s">
        <v>374</v>
      </c>
      <c r="E18" s="311"/>
      <c r="F18" s="355"/>
      <c r="G18" s="355"/>
      <c r="H18" s="355"/>
      <c r="I18" s="355"/>
      <c r="J18" s="355"/>
    </row>
    <row r="19">
      <c r="A19" s="356" t="s">
        <v>358</v>
      </c>
      <c r="B19" s="16" t="s">
        <v>157</v>
      </c>
      <c r="C19" s="1" t="s">
        <v>79</v>
      </c>
      <c r="D19" s="1" t="s">
        <v>373</v>
      </c>
      <c r="E19" s="357"/>
    </row>
    <row r="20">
      <c r="A20" s="356" t="s">
        <v>358</v>
      </c>
      <c r="B20" s="16" t="s">
        <v>157</v>
      </c>
      <c r="C20" s="1" t="s">
        <v>376</v>
      </c>
      <c r="D20" s="1" t="s">
        <v>373</v>
      </c>
      <c r="E20" s="357"/>
    </row>
    <row r="21">
      <c r="A21" s="356" t="s">
        <v>358</v>
      </c>
      <c r="B21" s="359" t="s">
        <v>157</v>
      </c>
      <c r="C21" s="290" t="s">
        <v>102</v>
      </c>
      <c r="D21" s="290" t="s">
        <v>373</v>
      </c>
      <c r="E21" s="360"/>
      <c r="F21" s="361"/>
      <c r="G21" s="361"/>
      <c r="H21" s="361"/>
      <c r="I21" s="361"/>
      <c r="J21" s="361"/>
    </row>
    <row r="22">
      <c r="A22" s="354" t="s">
        <v>359</v>
      </c>
      <c r="B22" s="311" t="s">
        <v>158</v>
      </c>
      <c r="C22" s="285" t="s">
        <v>86</v>
      </c>
      <c r="D22" s="285" t="s">
        <v>196</v>
      </c>
      <c r="E22" s="311"/>
      <c r="F22" s="355"/>
      <c r="G22" s="355"/>
      <c r="H22" s="355"/>
      <c r="I22" s="355"/>
      <c r="J22" s="355"/>
    </row>
    <row r="23">
      <c r="A23" s="356" t="s">
        <v>359</v>
      </c>
      <c r="B23" s="16" t="s">
        <v>158</v>
      </c>
      <c r="C23" s="1" t="s">
        <v>89</v>
      </c>
      <c r="D23" s="1" t="s">
        <v>372</v>
      </c>
      <c r="E23" s="357"/>
    </row>
    <row r="24">
      <c r="A24" s="356" t="s">
        <v>359</v>
      </c>
      <c r="B24" s="16" t="s">
        <v>158</v>
      </c>
      <c r="C24" s="1" t="s">
        <v>80</v>
      </c>
      <c r="D24" s="1" t="s">
        <v>373</v>
      </c>
      <c r="E24" s="357"/>
    </row>
    <row r="25">
      <c r="A25" s="358" t="s">
        <v>359</v>
      </c>
      <c r="B25" s="359" t="s">
        <v>158</v>
      </c>
      <c r="C25" s="290" t="s">
        <v>99</v>
      </c>
      <c r="D25" s="290" t="s">
        <v>373</v>
      </c>
      <c r="E25" s="360"/>
      <c r="F25" s="361"/>
      <c r="G25" s="361"/>
      <c r="H25" s="361"/>
      <c r="I25" s="361"/>
      <c r="J25" s="361"/>
    </row>
    <row r="26">
      <c r="A26" s="354" t="s">
        <v>360</v>
      </c>
      <c r="B26" s="311" t="s">
        <v>159</v>
      </c>
      <c r="C26" s="285" t="s">
        <v>105</v>
      </c>
      <c r="D26" s="285" t="s">
        <v>372</v>
      </c>
      <c r="E26" s="311"/>
      <c r="F26" s="355"/>
      <c r="G26" s="355"/>
      <c r="H26" s="355"/>
      <c r="I26" s="355"/>
      <c r="J26" s="355"/>
    </row>
    <row r="27">
      <c r="A27" s="356" t="s">
        <v>360</v>
      </c>
      <c r="B27" s="16" t="s">
        <v>159</v>
      </c>
      <c r="C27" s="1" t="s">
        <v>169</v>
      </c>
      <c r="D27" s="1" t="s">
        <v>374</v>
      </c>
      <c r="E27" s="357"/>
    </row>
    <row r="28">
      <c r="A28" s="356" t="s">
        <v>360</v>
      </c>
      <c r="B28" s="16" t="s">
        <v>159</v>
      </c>
      <c r="C28" s="1" t="s">
        <v>93</v>
      </c>
      <c r="D28" s="1" t="s">
        <v>375</v>
      </c>
      <c r="E28" s="357"/>
    </row>
    <row r="29">
      <c r="A29" s="358" t="s">
        <v>360</v>
      </c>
      <c r="B29" s="359" t="s">
        <v>159</v>
      </c>
      <c r="C29" s="290" t="s">
        <v>100</v>
      </c>
      <c r="D29" s="290" t="s">
        <v>374</v>
      </c>
      <c r="E29" s="360"/>
      <c r="F29" s="361"/>
      <c r="G29" s="361"/>
      <c r="H29" s="361"/>
      <c r="I29" s="361"/>
      <c r="J29" s="361"/>
    </row>
    <row r="30">
      <c r="A30" s="354" t="s">
        <v>361</v>
      </c>
      <c r="B30" s="311" t="s">
        <v>160</v>
      </c>
      <c r="C30" s="285" t="s">
        <v>84</v>
      </c>
      <c r="D30" s="285" t="s">
        <v>372</v>
      </c>
      <c r="E30" s="311"/>
      <c r="F30" s="355"/>
      <c r="G30" s="355"/>
      <c r="H30" s="355"/>
      <c r="I30" s="355"/>
      <c r="J30" s="355"/>
    </row>
    <row r="31">
      <c r="A31" s="356" t="s">
        <v>361</v>
      </c>
      <c r="B31" s="16" t="s">
        <v>160</v>
      </c>
      <c r="C31" s="1" t="s">
        <v>82</v>
      </c>
      <c r="D31" s="1" t="s">
        <v>372</v>
      </c>
      <c r="E31" s="357"/>
    </row>
    <row r="32">
      <c r="A32" s="356" t="s">
        <v>361</v>
      </c>
      <c r="B32" s="16" t="s">
        <v>160</v>
      </c>
      <c r="C32" s="1" t="s">
        <v>106</v>
      </c>
      <c r="D32" s="1" t="s">
        <v>374</v>
      </c>
      <c r="E32" s="357"/>
    </row>
    <row r="33">
      <c r="A33" s="358" t="s">
        <v>361</v>
      </c>
      <c r="B33" s="359" t="s">
        <v>160</v>
      </c>
      <c r="C33" s="290" t="s">
        <v>96</v>
      </c>
      <c r="D33" s="290" t="s">
        <v>185</v>
      </c>
      <c r="E33" s="360"/>
      <c r="F33" s="361"/>
      <c r="G33" s="361"/>
      <c r="H33" s="361"/>
      <c r="I33" s="361"/>
      <c r="J33" s="361"/>
    </row>
    <row r="34">
      <c r="A34" s="354" t="s">
        <v>362</v>
      </c>
      <c r="B34" s="16" t="s">
        <v>161</v>
      </c>
      <c r="C34" s="285" t="s">
        <v>91</v>
      </c>
      <c r="D34" s="285" t="s">
        <v>372</v>
      </c>
      <c r="E34" s="311"/>
      <c r="F34" s="355"/>
      <c r="G34" s="355"/>
      <c r="H34" s="355"/>
      <c r="I34" s="355"/>
      <c r="J34" s="355"/>
    </row>
    <row r="35">
      <c r="A35" s="356" t="s">
        <v>362</v>
      </c>
      <c r="B35" s="16" t="s">
        <v>161</v>
      </c>
      <c r="C35" s="1" t="s">
        <v>115</v>
      </c>
      <c r="D35" s="1" t="s">
        <v>372</v>
      </c>
      <c r="E35" s="357"/>
    </row>
    <row r="36">
      <c r="A36" s="356" t="s">
        <v>362</v>
      </c>
      <c r="B36" s="16" t="s">
        <v>161</v>
      </c>
      <c r="C36" s="1" t="s">
        <v>111</v>
      </c>
      <c r="D36" s="1" t="s">
        <v>372</v>
      </c>
      <c r="E36" s="357"/>
    </row>
    <row r="37">
      <c r="A37" s="358" t="s">
        <v>362</v>
      </c>
      <c r="B37" s="359" t="s">
        <v>161</v>
      </c>
      <c r="C37" s="290" t="s">
        <v>116</v>
      </c>
      <c r="D37" s="290" t="s">
        <v>375</v>
      </c>
      <c r="E37" s="360"/>
      <c r="F37" s="361"/>
      <c r="G37" s="361"/>
      <c r="H37" s="361"/>
      <c r="I37" s="361"/>
      <c r="J37" s="361"/>
    </row>
    <row r="38">
      <c r="A38" s="354" t="s">
        <v>363</v>
      </c>
      <c r="B38" s="16" t="s">
        <v>162</v>
      </c>
      <c r="C38" s="285" t="s">
        <v>112</v>
      </c>
      <c r="D38" s="285" t="s">
        <v>375</v>
      </c>
      <c r="E38" s="311"/>
      <c r="F38" s="355"/>
      <c r="G38" s="355"/>
      <c r="H38" s="355"/>
      <c r="I38" s="355"/>
      <c r="J38" s="355"/>
    </row>
    <row r="39">
      <c r="A39" s="356" t="s">
        <v>363</v>
      </c>
      <c r="B39" s="16" t="s">
        <v>162</v>
      </c>
      <c r="C39" s="1" t="s">
        <v>114</v>
      </c>
      <c r="D39" s="1" t="s">
        <v>373</v>
      </c>
      <c r="E39" s="357"/>
    </row>
    <row r="40">
      <c r="A40" s="356" t="s">
        <v>363</v>
      </c>
      <c r="B40" s="16" t="s">
        <v>162</v>
      </c>
      <c r="C40" s="1" t="s">
        <v>90</v>
      </c>
      <c r="D40" s="1" t="s">
        <v>373</v>
      </c>
      <c r="E40" s="357"/>
    </row>
    <row r="41">
      <c r="A41" s="358" t="s">
        <v>363</v>
      </c>
      <c r="B41" s="359" t="s">
        <v>162</v>
      </c>
      <c r="C41" s="290" t="s">
        <v>175</v>
      </c>
      <c r="D41" s="290" t="s">
        <v>372</v>
      </c>
      <c r="E41" s="360"/>
      <c r="F41" s="361"/>
      <c r="G41" s="361"/>
      <c r="H41" s="361"/>
      <c r="I41" s="361"/>
      <c r="J41" s="361"/>
    </row>
    <row r="42">
      <c r="A42" s="354" t="s">
        <v>364</v>
      </c>
      <c r="B42" s="16" t="s">
        <v>163</v>
      </c>
      <c r="C42" s="285" t="s">
        <v>81</v>
      </c>
      <c r="D42" s="285" t="s">
        <v>375</v>
      </c>
      <c r="E42" s="311"/>
      <c r="F42" s="355"/>
      <c r="G42" s="355"/>
      <c r="H42" s="355"/>
      <c r="I42" s="355"/>
      <c r="J42" s="355"/>
    </row>
    <row r="43">
      <c r="A43" s="356" t="s">
        <v>364</v>
      </c>
      <c r="B43" s="16" t="s">
        <v>163</v>
      </c>
      <c r="C43" s="1" t="s">
        <v>104</v>
      </c>
      <c r="D43" s="1" t="s">
        <v>375</v>
      </c>
      <c r="E43" s="357"/>
    </row>
    <row r="44">
      <c r="A44" s="356" t="s">
        <v>364</v>
      </c>
      <c r="B44" s="16" t="s">
        <v>163</v>
      </c>
      <c r="C44" s="1" t="s">
        <v>73</v>
      </c>
      <c r="D44" s="1" t="s">
        <v>375</v>
      </c>
      <c r="E44" s="357"/>
    </row>
    <row r="45">
      <c r="A45" s="358" t="s">
        <v>364</v>
      </c>
      <c r="B45" s="359" t="s">
        <v>163</v>
      </c>
      <c r="C45" s="290" t="s">
        <v>74</v>
      </c>
      <c r="D45" s="290" t="s">
        <v>196</v>
      </c>
      <c r="E45" s="360"/>
      <c r="F45" s="361"/>
      <c r="G45" s="361"/>
      <c r="H45" s="361"/>
      <c r="I45" s="361"/>
      <c r="J45" s="361"/>
    </row>
    <row r="46">
      <c r="A46" s="362" t="s">
        <v>365</v>
      </c>
      <c r="B46" s="16" t="s">
        <v>164</v>
      </c>
      <c r="C46" s="1" t="s">
        <v>71</v>
      </c>
      <c r="D46" s="1" t="s">
        <v>373</v>
      </c>
      <c r="E46" s="357"/>
    </row>
    <row r="47">
      <c r="A47" s="362" t="s">
        <v>365</v>
      </c>
      <c r="B47" s="16" t="s">
        <v>164</v>
      </c>
      <c r="C47" s="1" t="s">
        <v>103</v>
      </c>
      <c r="D47" s="1" t="s">
        <v>372</v>
      </c>
      <c r="E47" s="357"/>
    </row>
    <row r="48">
      <c r="A48" s="362" t="s">
        <v>365</v>
      </c>
      <c r="B48" s="16" t="s">
        <v>164</v>
      </c>
      <c r="C48" s="1" t="s">
        <v>110</v>
      </c>
      <c r="D48" s="1" t="s">
        <v>374</v>
      </c>
      <c r="E48" s="357"/>
    </row>
    <row r="49">
      <c r="A49" s="363" t="s">
        <v>365</v>
      </c>
      <c r="B49" s="359" t="s">
        <v>164</v>
      </c>
      <c r="C49" s="290" t="s">
        <v>78</v>
      </c>
      <c r="D49" s="290" t="s">
        <v>372</v>
      </c>
      <c r="E49" s="360"/>
      <c r="F49" s="361"/>
      <c r="G49" s="361"/>
      <c r="H49" s="361"/>
      <c r="I49" s="361"/>
      <c r="J49" s="36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3.88"/>
  </cols>
  <sheetData>
    <row r="1">
      <c r="A1" s="362" t="s">
        <v>377</v>
      </c>
    </row>
    <row r="3">
      <c r="A3" s="12" t="s">
        <v>378</v>
      </c>
      <c r="B3" s="362" t="s">
        <v>379</v>
      </c>
    </row>
    <row r="4">
      <c r="A4" s="364" t="s">
        <v>71</v>
      </c>
      <c r="B4" s="365">
        <f>('Halo Reach Stats'!I2/('Halo Reach Stats'!P2/60))</f>
        <v>3.114788004</v>
      </c>
    </row>
    <row r="5">
      <c r="A5" s="366" t="s">
        <v>380</v>
      </c>
      <c r="B5" s="367">
        <f>('Halo Reach Stats'!I18/('Halo Reach Stats'!P18/60))</f>
        <v>3.138686131</v>
      </c>
    </row>
    <row r="6">
      <c r="A6" s="364" t="s">
        <v>381</v>
      </c>
      <c r="B6" s="365">
        <f>('Halo Reach Stats'!I36/('Halo Reach Stats'!P36/60))</f>
        <v>2.155584528</v>
      </c>
    </row>
    <row r="7">
      <c r="A7" s="366" t="s">
        <v>115</v>
      </c>
      <c r="B7" s="367">
        <f>('Halo Reach Stats'!I45/('Halo Reach Stats'!P45/60))</f>
        <v>3.609663667</v>
      </c>
    </row>
    <row r="8">
      <c r="A8" s="364" t="s">
        <v>382</v>
      </c>
      <c r="B8" s="365">
        <f>('Halo Reach Stats'!I13/('Halo Reach Stats'!P13/60))</f>
        <v>4.070595855</v>
      </c>
    </row>
    <row r="9">
      <c r="A9" s="366" t="s">
        <v>383</v>
      </c>
      <c r="B9" s="367">
        <f>('Halo Reach Stats'!I33/('Halo Reach Stats'!P33/60))</f>
        <v>3.149958112</v>
      </c>
    </row>
    <row r="10">
      <c r="A10" s="364" t="s">
        <v>108</v>
      </c>
      <c r="B10" s="365">
        <f>('Halo Reach Stats'!I38/('Halo Reach Stats'!P38/60))</f>
        <v>3.618881119</v>
      </c>
    </row>
    <row r="11">
      <c r="A11" s="366" t="s">
        <v>384</v>
      </c>
      <c r="B11" s="367">
        <f>('Halo Reach Stats'!I11/('Halo Reach Stats'!P11/60))</f>
        <v>3.85443038</v>
      </c>
    </row>
    <row r="12">
      <c r="A12" s="364" t="s">
        <v>385</v>
      </c>
      <c r="B12" s="365">
        <f>('Halo Reach Stats'!I7/('Halo Reach Stats'!P7/60))</f>
        <v>3.296703297</v>
      </c>
    </row>
    <row r="13">
      <c r="A13" s="366" t="s">
        <v>83</v>
      </c>
      <c r="B13" s="367">
        <f>('Halo Reach Stats'!I16/('Halo Reach Stats'!P16/60))</f>
        <v>2.838983051</v>
      </c>
    </row>
    <row r="14">
      <c r="A14" s="364" t="s">
        <v>386</v>
      </c>
      <c r="B14" s="365">
        <f>('Halo Reach Stats'!I20/('Halo Reach Stats'!P20/60))</f>
        <v>3.512658228</v>
      </c>
    </row>
    <row r="15">
      <c r="A15" s="366" t="s">
        <v>105</v>
      </c>
      <c r="B15" s="367">
        <f>('Halo Reach Stats'!I35/('Halo Reach Stats'!P35/60))</f>
        <v>3.67061812</v>
      </c>
    </row>
    <row r="16">
      <c r="A16" s="364" t="s">
        <v>387</v>
      </c>
      <c r="B16" s="365">
        <f>('Halo Reach Stats'!I30/('Halo Reach Stats'!P30/60))</f>
        <v>3.455696203</v>
      </c>
    </row>
    <row r="17">
      <c r="A17" s="366" t="s">
        <v>75</v>
      </c>
      <c r="B17" s="367">
        <f>('Halo Reach Stats'!I10/('Halo Reach Stats'!P10/60))</f>
        <v>3.334264172</v>
      </c>
    </row>
    <row r="18">
      <c r="A18" s="364" t="s">
        <v>388</v>
      </c>
      <c r="B18" s="365">
        <f>('Halo Reach Stats'!I6/('Halo Reach Stats'!P6/60))</f>
        <v>2.831611282</v>
      </c>
    </row>
    <row r="19">
      <c r="A19" s="366" t="s">
        <v>389</v>
      </c>
      <c r="B19" s="367">
        <f>('Halo Reach Stats'!I17/('Halo Reach Stats'!P17/60))</f>
        <v>2.829113924</v>
      </c>
    </row>
    <row r="20">
      <c r="A20" s="364" t="s">
        <v>390</v>
      </c>
      <c r="B20" s="365">
        <f>('Halo Reach Stats'!I9/('Halo Reach Stats'!P9/60))</f>
        <v>2.127357822</v>
      </c>
    </row>
    <row r="21">
      <c r="A21" s="366" t="s">
        <v>73</v>
      </c>
      <c r="B21" s="367">
        <f>('Halo Reach Stats'!I3/('Halo Reach Stats'!P3/60))</f>
        <v>2.56993007</v>
      </c>
    </row>
    <row r="22">
      <c r="A22" s="364" t="s">
        <v>79</v>
      </c>
      <c r="B22" s="365">
        <f>('Halo Reach Stats'!I14/('Halo Reach Stats'!P14/60))</f>
        <v>4.311169057</v>
      </c>
    </row>
    <row r="23">
      <c r="A23" s="366" t="s">
        <v>391</v>
      </c>
      <c r="B23" s="367">
        <f>('Halo Reach Stats'!I44/('Halo Reach Stats'!P44/60))</f>
        <v>3.311036789</v>
      </c>
    </row>
    <row r="24">
      <c r="A24" s="364" t="s">
        <v>392</v>
      </c>
      <c r="B24" s="365">
        <f>('Halo Reach Stats'!I12/('Halo Reach Stats'!P12/60))</f>
        <v>4.887459807</v>
      </c>
    </row>
    <row r="25">
      <c r="A25" s="366" t="s">
        <v>173</v>
      </c>
      <c r="B25" s="367">
        <f>('Halo Reach Stats'!I29/('Halo Reach Stats'!P29/60))</f>
        <v>2.943143813</v>
      </c>
    </row>
    <row r="26">
      <c r="A26" s="364" t="s">
        <v>393</v>
      </c>
      <c r="B26" s="365">
        <f>('Halo Reach Stats'!I25/('Halo Reach Stats'!P25/60))</f>
        <v>2.627737226</v>
      </c>
    </row>
    <row r="27">
      <c r="A27" s="366" t="s">
        <v>394</v>
      </c>
      <c r="B27" s="367">
        <f>('Halo Reach Stats'!I23/('Halo Reach Stats'!P23/60))</f>
        <v>2.846715328</v>
      </c>
    </row>
    <row r="28">
      <c r="A28" s="364" t="s">
        <v>110</v>
      </c>
      <c r="B28" s="365">
        <f>('Halo Reach Stats'!I42/('Halo Reach Stats'!P42/60))</f>
        <v>4.135630906</v>
      </c>
    </row>
    <row r="29">
      <c r="A29" s="366" t="s">
        <v>395</v>
      </c>
      <c r="B29" s="367">
        <f>('Halo Reach Stats'!I15/('Halo Reach Stats'!P15/60))</f>
        <v>2.992227979</v>
      </c>
    </row>
    <row r="30">
      <c r="A30" s="364" t="s">
        <v>100</v>
      </c>
      <c r="B30" s="365">
        <f>('Halo Reach Stats'!I26/('Halo Reach Stats'!P26/60))</f>
        <v>2.262773723</v>
      </c>
    </row>
    <row r="31">
      <c r="A31" s="366" t="s">
        <v>396</v>
      </c>
      <c r="B31" s="367">
        <f>('Halo Reach Stats'!I31/('Halo Reach Stats'!P31/60))</f>
        <v>3.355063016</v>
      </c>
    </row>
    <row r="32">
      <c r="A32" s="364" t="s">
        <v>397</v>
      </c>
      <c r="B32" s="365">
        <f>('Halo Reach Stats'!I27/('Halo Reach Stats'!P27/60))</f>
        <v>3.516839378</v>
      </c>
    </row>
    <row r="33">
      <c r="A33" s="366" t="s">
        <v>398</v>
      </c>
      <c r="B33" s="367">
        <f>('Halo Reach Stats'!I22/('Halo Reach Stats'!P22/60))</f>
        <v>4.118954975</v>
      </c>
    </row>
    <row r="34">
      <c r="A34" s="364" t="s">
        <v>399</v>
      </c>
      <c r="B34" s="365">
        <f>('Halo Reach Stats'!I41/('Halo Reach Stats'!P41/60))</f>
        <v>3.462254395</v>
      </c>
    </row>
    <row r="35">
      <c r="A35" s="366" t="s">
        <v>88</v>
      </c>
      <c r="B35" s="367">
        <f>('Halo Reach Stats'!I21/('Halo Reach Stats'!P21/60))</f>
        <v>2.861203221</v>
      </c>
    </row>
    <row r="36">
      <c r="A36" s="364" t="s">
        <v>97</v>
      </c>
      <c r="B36" s="365">
        <f>('Halo Reach Stats'!I24/('Halo Reach Stats'!P24/60))</f>
        <v>3.601263601</v>
      </c>
    </row>
    <row r="37">
      <c r="A37" s="366" t="s">
        <v>400</v>
      </c>
      <c r="B37" s="367">
        <f>('Halo Reach Stats'!I8/('Halo Reach Stats'!P8/60))</f>
        <v>2.809364548</v>
      </c>
    </row>
    <row r="38">
      <c r="A38" s="364" t="s">
        <v>270</v>
      </c>
      <c r="B38" s="365">
        <f>('Halo Reach Stats'!I37/('Halo Reach Stats'!P37/60))</f>
        <v>3.10880829</v>
      </c>
    </row>
    <row r="39">
      <c r="A39" s="366" t="s">
        <v>74</v>
      </c>
      <c r="B39" s="367">
        <f>('Halo Reach Stats'!I5/('Halo Reach Stats'!P5/60))</f>
        <v>2.922046086</v>
      </c>
    </row>
    <row r="40">
      <c r="A40" s="364" t="s">
        <v>401</v>
      </c>
      <c r="B40" s="365">
        <f>('Halo Reach Stats'!I4/('Halo Reach Stats'!P4/60))</f>
        <v>2.577422577</v>
      </c>
    </row>
    <row r="41">
      <c r="A41" s="366" t="s">
        <v>402</v>
      </c>
      <c r="B41" s="367">
        <f>('Halo Reach Stats'!I28/('Halo Reach Stats'!P28/60))</f>
        <v>2.7090301</v>
      </c>
    </row>
    <row r="42">
      <c r="A42" s="364" t="s">
        <v>403</v>
      </c>
      <c r="B42" s="365">
        <f>('Halo Reach Stats'!I40/('Halo Reach Stats'!P40/60))</f>
        <v>3.940677966</v>
      </c>
    </row>
    <row r="43">
      <c r="A43" s="366" t="s">
        <v>218</v>
      </c>
      <c r="B43" s="367">
        <f>('Halo Reach Stats'!I19/('Halo Reach Stats'!P19/60))</f>
        <v>1.468531469</v>
      </c>
    </row>
    <row r="44">
      <c r="A44" s="364" t="s">
        <v>404</v>
      </c>
      <c r="B44" s="365">
        <f>('Halo Reach Stats'!I34/('Halo Reach Stats'!P34/60))</f>
        <v>3.404471545</v>
      </c>
    </row>
    <row r="45">
      <c r="A45" s="366" t="s">
        <v>405</v>
      </c>
      <c r="B45" s="367">
        <f>('Halo Reach Stats'!I32/('Halo Reach Stats'!P32/60))</f>
        <v>2.245762712</v>
      </c>
    </row>
    <row r="46">
      <c r="A46" s="364" t="s">
        <v>406</v>
      </c>
      <c r="B46" s="365">
        <f>('Halo Reach Stats'!I43/('Halo Reach Stats'!P43/60))</f>
        <v>3.037481746</v>
      </c>
    </row>
    <row r="47">
      <c r="A47" s="366" t="s">
        <v>407</v>
      </c>
      <c r="B47" s="368">
        <f>('Halo Reach Stats'!I39/('Halo Reach Stats'!P39/60))</f>
        <v>3.146853147</v>
      </c>
    </row>
  </sheetData>
  <autoFilter ref="$A$3:$Z$47">
    <sortState ref="A3:Z47">
      <sortCondition descending="1" ref="B3:B47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5"/>
    <col customWidth="1" min="2" max="2" width="9.0"/>
    <col customWidth="1" hidden="1" min="3" max="3" width="9.0"/>
    <col customWidth="1" min="4" max="5" width="6.63"/>
    <col customWidth="1" min="6" max="6" width="6.88"/>
    <col customWidth="1" min="7" max="9" width="6.63"/>
    <col customWidth="1" min="10" max="10" width="8.5"/>
    <col customWidth="1" min="11" max="11" width="8.88"/>
    <col customWidth="1" min="12" max="12" width="9.5"/>
    <col customWidth="1" min="13" max="13" width="10.5"/>
    <col customWidth="1" min="14" max="14" width="10.38"/>
    <col customWidth="1" min="15" max="15" width="11.63"/>
    <col customWidth="1" min="16" max="16" width="12.88"/>
    <col customWidth="1" min="17" max="17" width="10.13"/>
    <col customWidth="1" min="18" max="18" width="9.0"/>
    <col customWidth="1" min="19" max="19" width="8.0"/>
    <col customWidth="1" min="20" max="20" width="10.0"/>
    <col customWidth="1" min="21" max="21" width="10.13"/>
    <col customWidth="1" min="22" max="22" width="11.88"/>
    <col customWidth="1" min="23" max="23" width="11.13"/>
    <col customWidth="1" min="24" max="24" width="8.25"/>
    <col customWidth="1" min="25" max="25" width="8.5"/>
    <col customWidth="1" min="26" max="26" width="9.13"/>
    <col customWidth="1" min="27" max="27" width="15.0"/>
    <col customWidth="1" min="28" max="28" width="7.5"/>
    <col customWidth="1" min="29" max="29" width="10.0"/>
    <col customWidth="1" min="30" max="30" width="10.13"/>
    <col customWidth="1" min="31" max="31" width="11.38"/>
    <col customWidth="1" min="32" max="32" width="12.13"/>
    <col customWidth="1" min="33" max="33" width="11.25"/>
    <col customWidth="1" min="34" max="34" width="11.13"/>
    <col customWidth="1" min="35" max="35" width="11.5"/>
    <col customWidth="1" min="36" max="36" width="10.75"/>
    <col customWidth="1" min="37" max="37" width="11.0"/>
    <col customWidth="1" min="38" max="38" width="9.38"/>
    <col customWidth="1" min="39" max="39" width="9.75"/>
  </cols>
  <sheetData>
    <row r="1">
      <c r="A1" s="369" t="s">
        <v>62</v>
      </c>
      <c r="B1" s="370" t="s">
        <v>408</v>
      </c>
      <c r="C1" s="371" t="s">
        <v>409</v>
      </c>
      <c r="D1" s="372" t="s">
        <v>20</v>
      </c>
      <c r="E1" s="372" t="s">
        <v>21</v>
      </c>
      <c r="F1" s="372" t="s">
        <v>22</v>
      </c>
      <c r="G1" s="372" t="s">
        <v>23</v>
      </c>
      <c r="H1" s="372" t="s">
        <v>24</v>
      </c>
      <c r="I1" s="372" t="s">
        <v>25</v>
      </c>
      <c r="J1" s="372" t="s">
        <v>26</v>
      </c>
      <c r="K1" s="372" t="s">
        <v>27</v>
      </c>
      <c r="L1" s="372" t="s">
        <v>28</v>
      </c>
      <c r="M1" s="372" t="s">
        <v>29</v>
      </c>
      <c r="N1" s="372" t="s">
        <v>30</v>
      </c>
      <c r="O1" s="372" t="s">
        <v>31</v>
      </c>
      <c r="P1" s="372" t="s">
        <v>32</v>
      </c>
      <c r="Q1" s="372" t="s">
        <v>33</v>
      </c>
      <c r="R1" s="372" t="s">
        <v>34</v>
      </c>
      <c r="S1" s="372" t="s">
        <v>35</v>
      </c>
      <c r="T1" s="372" t="s">
        <v>36</v>
      </c>
      <c r="U1" s="372" t="s">
        <v>37</v>
      </c>
      <c r="V1" s="372" t="s">
        <v>38</v>
      </c>
      <c r="W1" s="372" t="s">
        <v>39</v>
      </c>
      <c r="X1" s="372" t="s">
        <v>40</v>
      </c>
      <c r="Y1" s="372" t="s">
        <v>41</v>
      </c>
      <c r="Z1" s="372" t="s">
        <v>42</v>
      </c>
      <c r="AA1" s="372" t="s">
        <v>43</v>
      </c>
      <c r="AB1" s="372" t="s">
        <v>44</v>
      </c>
      <c r="AC1" s="372" t="s">
        <v>45</v>
      </c>
      <c r="AD1" s="372" t="s">
        <v>46</v>
      </c>
      <c r="AE1" s="372" t="s">
        <v>47</v>
      </c>
      <c r="AF1" s="372" t="s">
        <v>48</v>
      </c>
      <c r="AG1" s="372" t="s">
        <v>49</v>
      </c>
      <c r="AH1" s="372" t="s">
        <v>50</v>
      </c>
      <c r="AI1" s="372" t="s">
        <v>51</v>
      </c>
      <c r="AJ1" s="372" t="s">
        <v>52</v>
      </c>
      <c r="AK1" s="372" t="s">
        <v>53</v>
      </c>
      <c r="AL1" s="372" t="s">
        <v>54</v>
      </c>
      <c r="AM1" s="373" t="s">
        <v>55</v>
      </c>
    </row>
    <row r="2">
      <c r="A2" s="72" t="str">
        <f>TotalTournamentAverages!A5</f>
        <v/>
      </c>
      <c r="B2" s="374" t="str">
        <f>MassFormulaTesting!D13</f>
        <v>#DIV/0!</v>
      </c>
      <c r="C2" s="375">
        <f>MassFormulaTesting!F13</f>
        <v>0.3</v>
      </c>
      <c r="D2" s="376">
        <f>(IFERROR(TotalTournamentAverages!D5/MassFormulaTesting!$B$16,"")*0.68)+0.3</f>
        <v>0.3</v>
      </c>
      <c r="E2" s="376">
        <f>(IFERROR(TotalTournamentAverages!E5/MassFormulaTesting!$B$18,"")*0.68)+0.3</f>
        <v>0.3</v>
      </c>
      <c r="F2" s="376">
        <f>(IFERROR(TotalTournamentAverages!F5/MassFormulaTesting!$B$20,"")*0.68)+0.3</f>
        <v>0.3</v>
      </c>
      <c r="G2" s="376">
        <f>(IFERROR(MassFormulaTesting!$C$22/TotalTournamentAverages!G5,"")*0.68)+0.3</f>
        <v>0.3</v>
      </c>
      <c r="H2" s="376">
        <f>(((TotalTournamentAverages!H5+118)/(MassFormulaTesting!$B$24+118))*0.68)+0.3</f>
        <v>0.8270279146</v>
      </c>
      <c r="I2" s="376">
        <f>(IFERROR(TotalTournamentAverages!I5/MassFormulaTesting!$B$26,"")*0.68)+0.3</f>
        <v>0.3</v>
      </c>
      <c r="J2" s="376">
        <f>((0.98-IFERROR(TotalTournamentAverages!J5/MassFormulaTesting!$B$28,"")*0.68))</f>
        <v>0.98</v>
      </c>
      <c r="K2" s="376">
        <f>(IFERROR(TotalTournamentAverages!K5/MassFormulaTesting!$B$30,"")*0.68)+0.3</f>
        <v>0.3</v>
      </c>
      <c r="L2" s="376">
        <f>(IFERROR(TotalTournamentAverages!L5/MassFormulaTesting!$B$32,"")*0.68)+0.3</f>
        <v>0.3</v>
      </c>
      <c r="M2" s="376">
        <f>(IFERROR(TotalTournamentAverages!M5/MassFormulaTesting!$B$34,"")*0.68)+0.3</f>
        <v>0.3</v>
      </c>
      <c r="N2" s="376">
        <f>(IFERROR(TotalTournamentAverages!N5/MassFormulaTesting!$B$36,"")*0.68)+0.3</f>
        <v>0.3</v>
      </c>
      <c r="O2" s="376">
        <f>(IFERROR(TotalTournamentAverages!O5/MassFormulaTesting!$B$38,"")*0.68)+0.3</f>
        <v>0.3</v>
      </c>
      <c r="P2" s="376">
        <f>(IFERROR(TotalTournamentAverages!P5/MassFormulaTesting!$B$40,"")*0.68)+0.3</f>
        <v>0.3</v>
      </c>
      <c r="Q2" s="376">
        <f>(IFERROR(TotalTournamentAverages!T5/MassFormulaTesting!$B$48,"")*0.68)+0.3</f>
        <v>0.3</v>
      </c>
      <c r="R2" s="376">
        <f>(IFERROR(TotalTournamentAverages!U5/MassFormulaTesting!$B$50,"")*0.68)+0.3</f>
        <v>0.3</v>
      </c>
      <c r="S2" s="376">
        <f>(IFERROR(TotalTournamentAverages!V5/MassFormulaTesting!$B$52,"")*0.68)+0.3</f>
        <v>0.3</v>
      </c>
      <c r="T2" s="376">
        <f>(IFERROR(TotalTournamentAverages!W5/MassFormulaTesting!$B$54,"")*0.68)+0.3</f>
        <v>0.3</v>
      </c>
      <c r="U2" s="376">
        <f>(IFERROR(TotalTournamentAverages!X5/MassFormulaTesting!$B$56,"")*0.68)+0.3</f>
        <v>0.3</v>
      </c>
      <c r="V2" s="376">
        <f>(IFERROR(TotalTournamentAverages!Y5/MassFormulaTesting!$B$58,"")*0.68)+0.3</f>
        <v>0.3</v>
      </c>
      <c r="W2" s="376">
        <f>(IFERROR(TotalTournamentAverages!Z5/MassFormulaTesting!$B$60,"")*0.68)+0.3</f>
        <v>0.3</v>
      </c>
      <c r="X2" s="376">
        <f>(IFERROR(TotalTournamentAverages!AD5/MassFormulaTesting!$B$68,"")*0.68)+0.3</f>
        <v>0.3</v>
      </c>
      <c r="Y2" s="376">
        <f>(IFERROR(TotalTournamentAverages!AG5/MassFormulaTesting!$B$74,"")*0.68)+0.3</f>
        <v>0.3</v>
      </c>
      <c r="Z2" s="376">
        <f>(IFERROR(TotalTournamentAverages!AH5/MassFormulaTesting!$B$76,"")*0.68)+0.3</f>
        <v>0.3</v>
      </c>
      <c r="AA2" s="376">
        <f>(IFERROR(TotalTournamentAverages!AJ5/MassFormulaTesting!$B$80,"")*0.68)+0.3</f>
        <v>0.3</v>
      </c>
      <c r="AB2" s="376">
        <f>(IFERROR(TotalTournamentAverages!AK5/MassFormulaTesting!$B$82,"")*0.68)+0.3</f>
        <v>0.3</v>
      </c>
      <c r="AC2" s="376">
        <f>(IFERROR(TotalTournamentAverages!AL5/MassFormulaTesting!$B$84,"")*0.68)+0.3</f>
        <v>0.3</v>
      </c>
      <c r="AD2" s="376">
        <f>(IFERROR(TotalTournamentAverages!AM5/MassFormulaTesting!$B$86,"")*0.68)+0.3</f>
        <v>0.3</v>
      </c>
      <c r="AE2" s="376">
        <f>(IFERROR(TotalTournamentAverages!AN5/MassFormulaTesting!$B$88,"")*0.68)+0.3</f>
        <v>0.3</v>
      </c>
      <c r="AF2" s="376">
        <f>(IFERROR(TotalTournamentAverages!AO5/MassFormulaTesting!$B$90,"")*0.68)+0.3</f>
        <v>0.3</v>
      </c>
      <c r="AG2" s="376">
        <f>(IFERROR(TotalTournamentAverages!AP5/MassFormulaTesting!$B$92,"")*0.68)+0.3</f>
        <v>0.3</v>
      </c>
      <c r="AH2" s="376">
        <f>(IFERROR(TotalTournamentAverages!AQ5/MassFormulaTesting!$B$94,"")*0.68)+0.3</f>
        <v>0.3</v>
      </c>
      <c r="AI2" s="376">
        <f>(IFERROR(TotalTournamentAverages!AR5/MassFormulaTesting!$B$96,"")*0.68)+0.3</f>
        <v>0.3</v>
      </c>
      <c r="AJ2" s="376">
        <f>(IFERROR(TotalTournamentAverages!AS5/MassFormulaTesting!$B$98,"")*0.68)+0.3</f>
        <v>0.3</v>
      </c>
      <c r="AK2" s="376">
        <f>(IFERROR(TotalTournamentAverages!AT5/MassFormulaTesting!$B$100,"")*0.68)+0.3</f>
        <v>0.3</v>
      </c>
      <c r="AL2" s="376">
        <f>(IFERROR(TotalTournamentAverages!AU5/MassFormulaTesting!$B$102,"")*0.68)+0.3</f>
        <v>0.3</v>
      </c>
      <c r="AM2" s="376">
        <f>(IFERROR(TotalTournamentAverages!AV5/MassFormulaTesting!$B$104,"")*0.68)+0.3</f>
        <v>0.3</v>
      </c>
    </row>
    <row r="3">
      <c r="B3" s="374" t="str">
        <f>MassFormulaTesting!D14</f>
        <v>#DIV/0!</v>
      </c>
      <c r="C3" s="375">
        <f>MassFormulaTesting!F14</f>
        <v>0.3</v>
      </c>
      <c r="D3" s="376">
        <f>(IFERROR(TotalTournamentAverages!D6/MassFormulaTesting!$B$16,"")*0.68)+0.3</f>
        <v>0.4942857143</v>
      </c>
      <c r="E3" s="376">
        <f>(IFERROR(TotalTournamentAverages!E6/MassFormulaTesting!$B$18,"")*0.68)+0.3</f>
        <v>0.7479790026</v>
      </c>
      <c r="F3" s="376">
        <f>(IFERROR(TotalTournamentAverages!F6/MassFormulaTesting!$B$20,"")*0.68)+0.3</f>
        <v>0.64</v>
      </c>
      <c r="G3" s="376">
        <f>(IFERROR(MassFormulaTesting!$C$22/TotalTournamentAverages!G6,"")*0.68)+0.3</f>
        <v>0.5865168539</v>
      </c>
      <c r="H3" s="376">
        <f>(((TotalTournamentAverages!H6+118)/(MassFormulaTesting!$B$24+118))*0.68)+0.3</f>
        <v>0.9357088123</v>
      </c>
      <c r="I3" s="376">
        <f>(IFERROR(TotalTournamentAverages!I6/MassFormulaTesting!$B$26,"")*0.68)+0.3</f>
        <v>0.74</v>
      </c>
      <c r="J3" s="376">
        <f>((0.98-IFERROR(TotalTournamentAverages!J6/MassFormulaTesting!$B$28,"")*0.68))</f>
        <v>0.9195555556</v>
      </c>
      <c r="K3" s="376">
        <f>(IFERROR(TotalTournamentAverages!K6/MassFormulaTesting!$B$30,"")*0.68)+0.3</f>
        <v>0.8342670258</v>
      </c>
      <c r="L3" s="376">
        <f>(IFERROR(TotalTournamentAverages!L6/MassFormulaTesting!$B$32,"")*0.68)+0.3</f>
        <v>0.8191536397</v>
      </c>
      <c r="M3" s="376">
        <f>(IFERROR(TotalTournamentAverages!M6/MassFormulaTesting!$B$34,"")*0.68)+0.3</f>
        <v>0.718989899</v>
      </c>
      <c r="N3" s="376">
        <f>(IFERROR(TotalTournamentAverages!N6/MassFormulaTesting!$B$36,"")*0.68)+0.3</f>
        <v>0.8563636364</v>
      </c>
      <c r="O3" s="376">
        <f>(IFERROR(TotalTournamentAverages!O6/MassFormulaTesting!$B$38,"")*0.68)+0.3</f>
        <v>0.5266666667</v>
      </c>
      <c r="P3" s="376">
        <f>(IFERROR(TotalTournamentAverages!P6/MassFormulaTesting!$B$40,"")*0.68)+0.3</f>
        <v>0.3</v>
      </c>
      <c r="Q3" s="376">
        <f>(IFERROR(TotalTournamentAverages!T6/MassFormulaTesting!$B$48,"")*0.68)+0.3</f>
        <v>0.5644444444</v>
      </c>
      <c r="R3" s="376">
        <f>(IFERROR(TotalTournamentAverages!U6/MassFormulaTesting!$B$50,"")*0.68)+0.3</f>
        <v>0.47</v>
      </c>
      <c r="S3" s="376">
        <f>(IFERROR(TotalTournamentAverages!V6/MassFormulaTesting!$B$52,"")*0.68)+0.3</f>
        <v>0.5266666667</v>
      </c>
      <c r="T3" s="376">
        <f>(IFERROR(TotalTournamentAverages!W6/MassFormulaTesting!$B$54,"")*0.68)+0.3</f>
        <v>0.3</v>
      </c>
      <c r="U3" s="376">
        <f>(IFERROR(TotalTournamentAverages!X6/MassFormulaTesting!$B$56,"")*0.68)+0.3</f>
        <v>0.3</v>
      </c>
      <c r="V3" s="376">
        <f>(IFERROR(TotalTournamentAverages!Y6/MassFormulaTesting!$B$58,"")*0.68)+0.3</f>
        <v>0.3</v>
      </c>
      <c r="W3" s="376">
        <f>(IFERROR(TotalTournamentAverages!Z6/MassFormulaTesting!$B$60,"")*0.68)+0.3</f>
        <v>0.3</v>
      </c>
      <c r="X3" s="376">
        <f>(IFERROR(TotalTournamentAverages!AD6/MassFormulaTesting!$B$68,"")*0.68)+0.3</f>
        <v>0.3</v>
      </c>
      <c r="Y3" s="376">
        <f>(IFERROR(TotalTournamentAverages!AG6/MassFormulaTesting!$B$74,"")*0.68)+0.3</f>
        <v>0.3</v>
      </c>
      <c r="Z3" s="376">
        <f>(IFERROR(TotalTournamentAverages!AH6/MassFormulaTesting!$B$76,"")*0.68)+0.3</f>
        <v>0.3</v>
      </c>
      <c r="AA3" s="376">
        <f>(IFERROR(TotalTournamentAverages!AJ6/MassFormulaTesting!$B$80,"")*0.68)+0.3</f>
        <v>0.3</v>
      </c>
      <c r="AB3" s="376">
        <f>(IFERROR(TotalTournamentAverages!AK6/MassFormulaTesting!$B$82,"")*0.68)+0.3</f>
        <v>0.3</v>
      </c>
      <c r="AC3" s="376">
        <f>(IFERROR(TotalTournamentAverages!AL6/MassFormulaTesting!$B$84,"")*0.68)+0.3</f>
        <v>0.3</v>
      </c>
      <c r="AD3" s="376">
        <f>(IFERROR(TotalTournamentAverages!AM6/MassFormulaTesting!$B$86,"")*0.68)+0.3</f>
        <v>0.3</v>
      </c>
      <c r="AE3" s="376">
        <f>(IFERROR(TotalTournamentAverages!AN6/MassFormulaTesting!$B$88,"")*0.68)+0.3</f>
        <v>0.3</v>
      </c>
      <c r="AF3" s="376">
        <f>(IFERROR(TotalTournamentAverages!AO6/MassFormulaTesting!$B$90,"")*0.68)+0.3</f>
        <v>0.3</v>
      </c>
      <c r="AG3" s="376">
        <f>(IFERROR(TotalTournamentAverages!AP6/MassFormulaTesting!$B$92,"")*0.68)+0.3</f>
        <v>0.3</v>
      </c>
      <c r="AH3" s="376">
        <f>(IFERROR(TotalTournamentAverages!AQ6/MassFormulaTesting!$B$94,"")*0.68)+0.3</f>
        <v>0.3</v>
      </c>
      <c r="AI3" s="376">
        <f>(IFERROR(TotalTournamentAverages!AR6/MassFormulaTesting!$B$96,"")*0.68)+0.3</f>
        <v>0.3</v>
      </c>
      <c r="AJ3" s="376">
        <f>(IFERROR(TotalTournamentAverages!AS6/MassFormulaTesting!$B$98,"")*0.68)+0.3</f>
        <v>0.3</v>
      </c>
      <c r="AK3" s="376">
        <f>(IFERROR(TotalTournamentAverages!AT6/MassFormulaTesting!$B$100,"")*0.68)+0.3</f>
        <v>0.3</v>
      </c>
      <c r="AL3" s="376">
        <f>(IFERROR(TotalTournamentAverages!AU6/MassFormulaTesting!$B$102,"")*0.68)+0.3</f>
        <v>0.3</v>
      </c>
      <c r="AM3" s="376">
        <f>(IFERROR(TotalTournamentAverages!AV6/MassFormulaTesting!$B$104,"")*0.68)+0.3</f>
        <v>0.3</v>
      </c>
    </row>
    <row r="4">
      <c r="B4" s="374" t="str">
        <f>MassFormulaTesting!D15</f>
        <v>#DIV/0!</v>
      </c>
      <c r="C4" s="375">
        <f>MassFormulaTesting!F15</f>
        <v>0.3</v>
      </c>
      <c r="D4" s="376">
        <f>(IFERROR(TotalTournamentAverages!D7/MassFormulaTesting!$B$16,"")*0.68)+0.3</f>
        <v>0.3</v>
      </c>
      <c r="E4" s="376">
        <f>(IFERROR(TotalTournamentAverages!E7/MassFormulaTesting!$B$18,"")*0.68)+0.3</f>
        <v>0.4311811024</v>
      </c>
      <c r="F4" s="376">
        <f>(IFERROR(TotalTournamentAverages!F7/MassFormulaTesting!$B$20,"")*0.68)+0.3</f>
        <v>0.368</v>
      </c>
      <c r="G4" s="376">
        <f>(IFERROR(MassFormulaTesting!$C$22/TotalTournamentAverages!G7,"")*0.68)+0.3</f>
        <v>0.7857142857</v>
      </c>
      <c r="H4" s="376">
        <f>(((TotalTournamentAverages!H7+118)/(MassFormulaTesting!$B$24+118))*0.68)+0.3</f>
        <v>0.7801313629</v>
      </c>
      <c r="I4" s="376">
        <f>(IFERROR(TotalTournamentAverages!I7/MassFormulaTesting!$B$26,"")*0.68)+0.3</f>
        <v>0.48</v>
      </c>
      <c r="J4" s="376">
        <f>((0.98-IFERROR(TotalTournamentAverages!J7/MassFormulaTesting!$B$28,"")*0.68))</f>
        <v>0.98</v>
      </c>
      <c r="K4" s="376">
        <f>(IFERROR(TotalTournamentAverages!K7/MassFormulaTesting!$B$30,"")*0.68)+0.3</f>
        <v>0.4569834552</v>
      </c>
      <c r="L4" s="376">
        <f>(IFERROR(TotalTournamentAverages!L7/MassFormulaTesting!$B$32,"")*0.68)+0.3</f>
        <v>0.4842539081</v>
      </c>
      <c r="M4" s="376">
        <f>(IFERROR(TotalTournamentAverages!M7/MassFormulaTesting!$B$34,"")*0.68)+0.3</f>
        <v>0.5163636364</v>
      </c>
      <c r="N4" s="376">
        <f>(IFERROR(TotalTournamentAverages!N7/MassFormulaTesting!$B$36,"")*0.68)+0.3</f>
        <v>0.3</v>
      </c>
      <c r="O4" s="376">
        <f>(IFERROR(TotalTournamentAverages!O7/MassFormulaTesting!$B$38,"")*0.68)+0.3</f>
        <v>0.3</v>
      </c>
      <c r="P4" s="376">
        <f>(IFERROR(TotalTournamentAverages!P7/MassFormulaTesting!$B$40,"")*0.68)+0.3</f>
        <v>0.3</v>
      </c>
      <c r="Q4" s="376">
        <f>(IFERROR(TotalTournamentAverages!T7/MassFormulaTesting!$B$48,"")*0.68)+0.3</f>
        <v>0.3566666667</v>
      </c>
      <c r="R4" s="376">
        <f>(IFERROR(TotalTournamentAverages!U7/MassFormulaTesting!$B$50,"")*0.68)+0.3</f>
        <v>0.3</v>
      </c>
      <c r="S4" s="376">
        <f>(IFERROR(TotalTournamentAverages!V7/MassFormulaTesting!$B$52,"")*0.68)+0.3</f>
        <v>0.3</v>
      </c>
      <c r="T4" s="376">
        <f>(IFERROR(TotalTournamentAverages!W7/MassFormulaTesting!$B$54,"")*0.68)+0.3</f>
        <v>0.3</v>
      </c>
      <c r="U4" s="376">
        <f>(IFERROR(TotalTournamentAverages!X7/MassFormulaTesting!$B$56,"")*0.68)+0.3</f>
        <v>0.3</v>
      </c>
      <c r="V4" s="376">
        <f>(IFERROR(TotalTournamentAverages!Y7/MassFormulaTesting!$B$58,"")*0.68)+0.3</f>
        <v>0.3</v>
      </c>
      <c r="W4" s="376">
        <f>(IFERROR(TotalTournamentAverages!Z7/MassFormulaTesting!$B$60,"")*0.68)+0.3</f>
        <v>0.3</v>
      </c>
      <c r="X4" s="376">
        <f>(IFERROR(TotalTournamentAverages!AD7/MassFormulaTesting!$B$68,"")*0.68)+0.3</f>
        <v>0.3</v>
      </c>
      <c r="Y4" s="376">
        <f>(IFERROR(TotalTournamentAverages!AG7/MassFormulaTesting!$B$74,"")*0.68)+0.3</f>
        <v>0.3</v>
      </c>
      <c r="Z4" s="376">
        <f>(IFERROR(TotalTournamentAverages!AH7/MassFormulaTesting!$B$76,"")*0.68)+0.3</f>
        <v>0.3</v>
      </c>
      <c r="AA4" s="376">
        <f>(IFERROR(TotalTournamentAverages!AJ7/MassFormulaTesting!$B$80,"")*0.68)+0.3</f>
        <v>0.3</v>
      </c>
      <c r="AB4" s="376">
        <f>(IFERROR(TotalTournamentAverages!AK7/MassFormulaTesting!$B$82,"")*0.68)+0.3</f>
        <v>0.3</v>
      </c>
      <c r="AC4" s="376">
        <f>(IFERROR(TotalTournamentAverages!AL7/MassFormulaTesting!$B$84,"")*0.68)+0.3</f>
        <v>0.3</v>
      </c>
      <c r="AD4" s="376">
        <f>(IFERROR(TotalTournamentAverages!AM7/MassFormulaTesting!$B$86,"")*0.68)+0.3</f>
        <v>0.3</v>
      </c>
      <c r="AE4" s="376">
        <f>(IFERROR(TotalTournamentAverages!AN7/MassFormulaTesting!$B$88,"")*0.68)+0.3</f>
        <v>0.3</v>
      </c>
      <c r="AF4" s="376">
        <f>(IFERROR(TotalTournamentAverages!AO7/MassFormulaTesting!$B$90,"")*0.68)+0.3</f>
        <v>0.3</v>
      </c>
      <c r="AG4" s="376">
        <f>(IFERROR(TotalTournamentAverages!AP7/MassFormulaTesting!$B$92,"")*0.68)+0.3</f>
        <v>0.3</v>
      </c>
      <c r="AH4" s="376">
        <f>(IFERROR(TotalTournamentAverages!AQ7/MassFormulaTesting!$B$94,"")*0.68)+0.3</f>
        <v>0.3</v>
      </c>
      <c r="AI4" s="376">
        <f>(IFERROR(TotalTournamentAverages!AR7/MassFormulaTesting!$B$96,"")*0.68)+0.3</f>
        <v>0.3</v>
      </c>
      <c r="AJ4" s="376">
        <f>(IFERROR(TotalTournamentAverages!AS7/MassFormulaTesting!$B$98,"")*0.68)+0.3</f>
        <v>0.3</v>
      </c>
      <c r="AK4" s="376">
        <f>(IFERROR(TotalTournamentAverages!AT7/MassFormulaTesting!$B$100,"")*0.68)+0.3</f>
        <v>0.3</v>
      </c>
      <c r="AL4" s="376">
        <f>(IFERROR(TotalTournamentAverages!AU7/MassFormulaTesting!$B$102,"")*0.68)+0.3</f>
        <v>0.3</v>
      </c>
      <c r="AM4" s="376">
        <f>(IFERROR(TotalTournamentAverages!AV7/MassFormulaTesting!$B$104,"")*0.68)+0.3</f>
        <v>0.3</v>
      </c>
    </row>
    <row r="5">
      <c r="B5" s="374" t="str">
        <f>MassFormulaTesting!D16</f>
        <v>#DIV/0!</v>
      </c>
      <c r="C5" s="375">
        <f>MassFormulaTesting!F16</f>
        <v>0.3</v>
      </c>
      <c r="D5" s="376">
        <f>(IFERROR(TotalTournamentAverages!D8/MassFormulaTesting!$B$16,"")*0.68)+0.3</f>
        <v>0.3</v>
      </c>
      <c r="E5" s="376">
        <f>(IFERROR(TotalTournamentAverages!E8/MassFormulaTesting!$B$18,"")*0.68)+0.3</f>
        <v>0.5302362205</v>
      </c>
      <c r="F5" s="376">
        <f>(IFERROR(TotalTournamentAverages!F8/MassFormulaTesting!$B$20,"")*0.68)+0.3</f>
        <v>0.674</v>
      </c>
      <c r="G5" s="376">
        <f>(IFERROR(MassFormulaTesting!$C$22/TotalTournamentAverages!G8,"")*0.68)+0.3</f>
        <v>0.598245614</v>
      </c>
      <c r="H5" s="376">
        <f>(((TotalTournamentAverages!H8+118)/(MassFormulaTesting!$B$24+118))*0.68)+0.3</f>
        <v>0.764499179</v>
      </c>
      <c r="I5" s="376">
        <f>(IFERROR(TotalTournamentAverages!I8/MassFormulaTesting!$B$26,"")*0.68)+0.3</f>
        <v>0.51</v>
      </c>
      <c r="J5" s="376">
        <f>((0.98-IFERROR(TotalTournamentAverages!J8/MassFormulaTesting!$B$28,"")*0.68))</f>
        <v>0.7986666667</v>
      </c>
      <c r="K5" s="376">
        <f>(IFERROR(TotalTournamentAverages!K8/MassFormulaTesting!$B$30,"")*0.68)+0.3</f>
        <v>0.5968949596</v>
      </c>
      <c r="L5" s="376">
        <f>(IFERROR(TotalTournamentAverages!L8/MassFormulaTesting!$B$32,"")*0.68)+0.3</f>
        <v>0.6224443392</v>
      </c>
      <c r="M5" s="376">
        <f>(IFERROR(TotalTournamentAverages!M8/MassFormulaTesting!$B$34,"")*0.68)+0.3</f>
        <v>0.5678787879</v>
      </c>
      <c r="N5" s="376">
        <f>(IFERROR(TotalTournamentAverages!N8/MassFormulaTesting!$B$36,"")*0.68)+0.3</f>
        <v>0.3</v>
      </c>
      <c r="O5" s="376">
        <f>(IFERROR(TotalTournamentAverages!O8/MassFormulaTesting!$B$38,"")*0.68)+0.3</f>
        <v>0.3</v>
      </c>
      <c r="P5" s="376">
        <f>(IFERROR(TotalTournamentAverages!P8/MassFormulaTesting!$B$40,"")*0.68)+0.3</f>
        <v>0.3</v>
      </c>
      <c r="Q5" s="376">
        <f>(IFERROR(TotalTournamentAverages!T8/MassFormulaTesting!$B$48,"")*0.68)+0.3</f>
        <v>0.3566666667</v>
      </c>
      <c r="R5" s="376">
        <f>(IFERROR(TotalTournamentAverages!U8/MassFormulaTesting!$B$50,"")*0.68)+0.3</f>
        <v>0.3</v>
      </c>
      <c r="S5" s="376">
        <f>(IFERROR(TotalTournamentAverages!V8/MassFormulaTesting!$B$52,"")*0.68)+0.3</f>
        <v>0.3</v>
      </c>
      <c r="T5" s="376">
        <f>(IFERROR(TotalTournamentAverages!W8/MassFormulaTesting!$B$54,"")*0.68)+0.3</f>
        <v>0.3</v>
      </c>
      <c r="U5" s="376">
        <f>(IFERROR(TotalTournamentAverages!X8/MassFormulaTesting!$B$56,"")*0.68)+0.3</f>
        <v>0.3</v>
      </c>
      <c r="V5" s="376">
        <f>(IFERROR(TotalTournamentAverages!Y8/MassFormulaTesting!$B$58,"")*0.68)+0.3</f>
        <v>0.3</v>
      </c>
      <c r="W5" s="376">
        <f>(IFERROR(TotalTournamentAverages!Z8/MassFormulaTesting!$B$60,"")*0.68)+0.3</f>
        <v>0.3</v>
      </c>
      <c r="X5" s="376">
        <f>(IFERROR(TotalTournamentAverages!AD8/MassFormulaTesting!$B$68,"")*0.68)+0.3</f>
        <v>0.3</v>
      </c>
      <c r="Y5" s="376">
        <f>(IFERROR(TotalTournamentAverages!AG8/MassFormulaTesting!$B$74,"")*0.68)+0.3</f>
        <v>0.3</v>
      </c>
      <c r="Z5" s="376">
        <f>(IFERROR(TotalTournamentAverages!AH8/MassFormulaTesting!$B$76,"")*0.68)+0.3</f>
        <v>0.3</v>
      </c>
      <c r="AA5" s="376">
        <f>(IFERROR(TotalTournamentAverages!AJ8/MassFormulaTesting!$B$80,"")*0.68)+0.3</f>
        <v>0.3</v>
      </c>
      <c r="AB5" s="376">
        <f>(IFERROR(TotalTournamentAverages!AK8/MassFormulaTesting!$B$82,"")*0.68)+0.3</f>
        <v>0.3</v>
      </c>
      <c r="AC5" s="376">
        <f>(IFERROR(TotalTournamentAverages!AL8/MassFormulaTesting!$B$84,"")*0.68)+0.3</f>
        <v>0.3</v>
      </c>
      <c r="AD5" s="376">
        <f>(IFERROR(TotalTournamentAverages!AM8/MassFormulaTesting!$B$86,"")*0.68)+0.3</f>
        <v>0.3</v>
      </c>
      <c r="AE5" s="376">
        <f>(IFERROR(TotalTournamentAverages!AN8/MassFormulaTesting!$B$88,"")*0.68)+0.3</f>
        <v>0.3</v>
      </c>
      <c r="AF5" s="376">
        <f>(IFERROR(TotalTournamentAverages!AO8/MassFormulaTesting!$B$90,"")*0.68)+0.3</f>
        <v>0.3</v>
      </c>
      <c r="AG5" s="376">
        <f>(IFERROR(TotalTournamentAverages!AP8/MassFormulaTesting!$B$92,"")*0.68)+0.3</f>
        <v>0.3</v>
      </c>
      <c r="AH5" s="376">
        <f>(IFERROR(TotalTournamentAverages!AQ8/MassFormulaTesting!$B$94,"")*0.68)+0.3</f>
        <v>0.3</v>
      </c>
      <c r="AI5" s="376">
        <f>(IFERROR(TotalTournamentAverages!AR8/MassFormulaTesting!$B$96,"")*0.68)+0.3</f>
        <v>0.3</v>
      </c>
      <c r="AJ5" s="376">
        <f>(IFERROR(TotalTournamentAverages!AS8/MassFormulaTesting!$B$98,"")*0.68)+0.3</f>
        <v>0.3</v>
      </c>
      <c r="AK5" s="376">
        <f>(IFERROR(TotalTournamentAverages!AT8/MassFormulaTesting!$B$100,"")*0.68)+0.3</f>
        <v>0.3</v>
      </c>
      <c r="AL5" s="376">
        <f>(IFERROR(TotalTournamentAverages!AU8/MassFormulaTesting!$B$102,"")*0.68)+0.3</f>
        <v>0.3</v>
      </c>
      <c r="AM5" s="376">
        <f>(IFERROR(TotalTournamentAverages!AV8/MassFormulaTesting!$B$104,"")*0.68)+0.3</f>
        <v>0.3</v>
      </c>
    </row>
    <row r="6">
      <c r="B6" s="374" t="str">
        <f>MassFormulaTesting!D17</f>
        <v>#DIV/0!</v>
      </c>
      <c r="C6" s="375">
        <f>MassFormulaTesting!F17</f>
        <v>0.3</v>
      </c>
      <c r="D6" s="376">
        <f>(IFERROR(TotalTournamentAverages!D9/MassFormulaTesting!$B$16,"")*0.68)+0.3</f>
        <v>0.3</v>
      </c>
      <c r="E6" s="376">
        <f>(IFERROR(TotalTournamentAverages!E9/MassFormulaTesting!$B$18,"")*0.68)+0.3</f>
        <v>0.6988976378</v>
      </c>
      <c r="F6" s="376">
        <f>(IFERROR(TotalTournamentAverages!F9/MassFormulaTesting!$B$20,"")*0.68)+0.3</f>
        <v>0.436</v>
      </c>
      <c r="G6" s="376">
        <f>(IFERROR(MassFormulaTesting!$C$22/TotalTournamentAverages!G9,"")*0.68)+0.3</f>
        <v>0.4666666667</v>
      </c>
      <c r="H6" s="376">
        <f>(((TotalTournamentAverages!H9+118)/(MassFormulaTesting!$B$24+118))*0.68)+0.3</f>
        <v>0.7042036125</v>
      </c>
      <c r="I6" s="376">
        <f>(IFERROR(TotalTournamentAverages!I9/MassFormulaTesting!$B$26,"")*0.68)+0.3</f>
        <v>0.525</v>
      </c>
      <c r="J6" s="376">
        <f>((0.98-IFERROR(TotalTournamentAverages!J9/MassFormulaTesting!$B$28,"")*0.68))</f>
        <v>0.8893333333</v>
      </c>
      <c r="K6" s="376">
        <f>(IFERROR(TotalTournamentAverages!K9/MassFormulaTesting!$B$30,"")*0.68)+0.3</f>
        <v>0.7510330896</v>
      </c>
      <c r="L6" s="376">
        <f>(IFERROR(TotalTournamentAverages!L9/MassFormulaTesting!$B$32,"")*0.68)+0.3</f>
        <v>0.7927664614</v>
      </c>
      <c r="M6" s="376">
        <f>(IFERROR(TotalTournamentAverages!M9/MassFormulaTesting!$B$34,"")*0.68)+0.3</f>
        <v>0.5112121212</v>
      </c>
      <c r="N6" s="376">
        <f>(IFERROR(TotalTournamentAverages!N9/MassFormulaTesting!$B$36,"")*0.68)+0.3</f>
        <v>0.3463636364</v>
      </c>
      <c r="O6" s="376">
        <f>(IFERROR(TotalTournamentAverages!O9/MassFormulaTesting!$B$38,"")*0.68)+0.3</f>
        <v>0.3</v>
      </c>
      <c r="P6" s="376">
        <f>(IFERROR(TotalTournamentAverages!P9/MassFormulaTesting!$B$40,"")*0.68)+0.3</f>
        <v>0.3</v>
      </c>
      <c r="Q6" s="376">
        <f>(IFERROR(TotalTournamentAverages!T9/MassFormulaTesting!$B$48,"")*0.68)+0.3</f>
        <v>0.385</v>
      </c>
      <c r="R6" s="376">
        <f>(IFERROR(TotalTournamentAverages!U9/MassFormulaTesting!$B$50,"")*0.68)+0.3</f>
        <v>0.3</v>
      </c>
      <c r="S6" s="376">
        <f>(IFERROR(TotalTournamentAverages!V9/MassFormulaTesting!$B$52,"")*0.68)+0.3</f>
        <v>0.3</v>
      </c>
      <c r="T6" s="376">
        <f>(IFERROR(TotalTournamentAverages!W9/MassFormulaTesting!$B$54,"")*0.68)+0.3</f>
        <v>0.3</v>
      </c>
      <c r="U6" s="376">
        <f>(IFERROR(TotalTournamentAverages!X9/MassFormulaTesting!$B$56,"")*0.68)+0.3</f>
        <v>0.3</v>
      </c>
      <c r="V6" s="376">
        <f>(IFERROR(TotalTournamentAverages!Y9/MassFormulaTesting!$B$58,"")*0.68)+0.3</f>
        <v>0.3</v>
      </c>
      <c r="W6" s="376">
        <f>(IFERROR(TotalTournamentAverages!Z9/MassFormulaTesting!$B$60,"")*0.68)+0.3</f>
        <v>0.3</v>
      </c>
      <c r="X6" s="376">
        <f>(IFERROR(TotalTournamentAverages!AD9/MassFormulaTesting!$B$68,"")*0.68)+0.3</f>
        <v>0.98</v>
      </c>
      <c r="Y6" s="376">
        <f>(IFERROR(TotalTournamentAverages!AG9/MassFormulaTesting!$B$74,"")*0.68)+0.3</f>
        <v>0.3</v>
      </c>
      <c r="Z6" s="376">
        <f>(IFERROR(TotalTournamentAverages!AH9/MassFormulaTesting!$B$76,"")*0.68)+0.3</f>
        <v>0.3</v>
      </c>
      <c r="AA6" s="376">
        <f>(IFERROR(TotalTournamentAverages!AJ9/MassFormulaTesting!$B$80,"")*0.68)+0.3</f>
        <v>0.3</v>
      </c>
      <c r="AB6" s="376">
        <f>(IFERROR(TotalTournamentAverages!AK9/MassFormulaTesting!$B$82,"")*0.68)+0.3</f>
        <v>0.3</v>
      </c>
      <c r="AC6" s="376">
        <f>(IFERROR(TotalTournamentAverages!AL9/MassFormulaTesting!$B$84,"")*0.68)+0.3</f>
        <v>0.3</v>
      </c>
      <c r="AD6" s="376">
        <f>(IFERROR(TotalTournamentAverages!AM9/MassFormulaTesting!$B$86,"")*0.68)+0.3</f>
        <v>0.3</v>
      </c>
      <c r="AE6" s="376">
        <f>(IFERROR(TotalTournamentAverages!AN9/MassFormulaTesting!$B$88,"")*0.68)+0.3</f>
        <v>0.3</v>
      </c>
      <c r="AF6" s="376">
        <f>(IFERROR(TotalTournamentAverages!AO9/MassFormulaTesting!$B$90,"")*0.68)+0.3</f>
        <v>0.3</v>
      </c>
      <c r="AG6" s="376">
        <f>(IFERROR(TotalTournamentAverages!AP9/MassFormulaTesting!$B$92,"")*0.68)+0.3</f>
        <v>0.3</v>
      </c>
      <c r="AH6" s="376">
        <f>(IFERROR(TotalTournamentAverages!AQ9/MassFormulaTesting!$B$94,"")*0.68)+0.3</f>
        <v>0.3</v>
      </c>
      <c r="AI6" s="376">
        <f>(IFERROR(TotalTournamentAverages!AR9/MassFormulaTesting!$B$96,"")*0.68)+0.3</f>
        <v>0.3</v>
      </c>
      <c r="AJ6" s="376">
        <f>(IFERROR(TotalTournamentAverages!AS9/MassFormulaTesting!$B$98,"")*0.68)+0.3</f>
        <v>0.3</v>
      </c>
      <c r="AK6" s="376">
        <f>(IFERROR(TotalTournamentAverages!AT9/MassFormulaTesting!$B$100,"")*0.68)+0.3</f>
        <v>0.3</v>
      </c>
      <c r="AL6" s="376">
        <f>(IFERROR(TotalTournamentAverages!AU9/MassFormulaTesting!$B$102,"")*0.68)+0.3</f>
        <v>0.3</v>
      </c>
      <c r="AM6" s="376">
        <f>(IFERROR(TotalTournamentAverages!AV9/MassFormulaTesting!$B$104,"")*0.68)+0.3</f>
        <v>0.3</v>
      </c>
    </row>
    <row r="7">
      <c r="B7" s="374" t="str">
        <f>MassFormulaTesting!D18</f>
        <v>#DIV/0!</v>
      </c>
      <c r="C7" s="375">
        <f>MassFormulaTesting!F18</f>
        <v>0.3</v>
      </c>
      <c r="D7" s="376">
        <f>(IFERROR(TotalTournamentAverages!D10/MassFormulaTesting!$B$16,"")*0.68)+0.3</f>
        <v>0.6885714286</v>
      </c>
      <c r="E7" s="376">
        <f>(IFERROR(TotalTournamentAverages!E10/MassFormulaTesting!$B$18,"")*0.68)+0.3</f>
        <v>0.6016272966</v>
      </c>
      <c r="F7" s="376">
        <f>(IFERROR(TotalTournamentAverages!F10/MassFormulaTesting!$B$20,"")*0.68)+0.3</f>
        <v>0.5266666667</v>
      </c>
      <c r="G7" s="376">
        <f>(IFERROR(MassFormulaTesting!$C$22/TotalTournamentAverages!G10,"")*0.68)+0.3</f>
        <v>0.6805970149</v>
      </c>
      <c r="H7" s="376">
        <f>(((TotalTournamentAverages!H10+118)/(MassFormulaTesting!$B$24+118))*0.68)+0.3</f>
        <v>0.8791351943</v>
      </c>
      <c r="I7" s="376">
        <f>(IFERROR(TotalTournamentAverages!I10/MassFormulaTesting!$B$26,"")*0.68)+0.3</f>
        <v>0.88</v>
      </c>
      <c r="J7" s="376">
        <f>((0.98-IFERROR(TotalTournamentAverages!J10/MassFormulaTesting!$B$28,"")*0.68))</f>
        <v>0.8591111111</v>
      </c>
      <c r="K7" s="376">
        <f>(IFERROR(TotalTournamentAverages!K10/MassFormulaTesting!$B$30,"")*0.68)+0.3</f>
        <v>0.6877491343</v>
      </c>
      <c r="L7" s="376">
        <f>(IFERROR(TotalTournamentAverages!L10/MassFormulaTesting!$B$32,"")*0.68)+0.3</f>
        <v>0.684506553</v>
      </c>
      <c r="M7" s="376">
        <f>(IFERROR(TotalTournamentAverages!M10/MassFormulaTesting!$B$34,"")*0.68)+0.3</f>
        <v>0.7602020202</v>
      </c>
      <c r="N7" s="376">
        <f>(IFERROR(TotalTournamentAverages!N10/MassFormulaTesting!$B$36,"")*0.68)+0.3</f>
        <v>0.7945454545</v>
      </c>
      <c r="O7" s="376">
        <f>(IFERROR(TotalTournamentAverages!O10/MassFormulaTesting!$B$38,"")*0.68)+0.3</f>
        <v>0.7533333333</v>
      </c>
      <c r="P7" s="376">
        <f>(IFERROR(TotalTournamentAverages!P10/MassFormulaTesting!$B$40,"")*0.68)+0.3</f>
        <v>0.3</v>
      </c>
      <c r="Q7" s="376">
        <f>(IFERROR(TotalTournamentAverages!T10/MassFormulaTesting!$B$48,"")*0.68)+0.3</f>
        <v>0.4511111111</v>
      </c>
      <c r="R7" s="376">
        <f>(IFERROR(TotalTournamentAverages!U10/MassFormulaTesting!$B$50,"")*0.68)+0.3</f>
        <v>0.3</v>
      </c>
      <c r="S7" s="376">
        <f>(IFERROR(TotalTournamentAverages!V10/MassFormulaTesting!$B$52,"")*0.68)+0.3</f>
        <v>0.3</v>
      </c>
      <c r="T7" s="376">
        <f>(IFERROR(TotalTournamentAverages!W10/MassFormulaTesting!$B$54,"")*0.68)+0.3</f>
        <v>0.3</v>
      </c>
      <c r="U7" s="376">
        <f>(IFERROR(TotalTournamentAverages!X10/MassFormulaTesting!$B$56,"")*0.68)+0.3</f>
        <v>0.3</v>
      </c>
      <c r="V7" s="376">
        <f>(IFERROR(TotalTournamentAverages!Y10/MassFormulaTesting!$B$58,"")*0.68)+0.3</f>
        <v>0.3</v>
      </c>
      <c r="W7" s="376">
        <f>(IFERROR(TotalTournamentAverages!Z10/MassFormulaTesting!$B$60,"")*0.68)+0.3</f>
        <v>0.3</v>
      </c>
      <c r="X7" s="376">
        <f>(IFERROR(TotalTournamentAverages!AD10/MassFormulaTesting!$B$68,"")*0.68)+0.3</f>
        <v>0.3</v>
      </c>
      <c r="Y7" s="376">
        <f>(IFERROR(TotalTournamentAverages!AG10/MassFormulaTesting!$B$74,"")*0.68)+0.3</f>
        <v>0.3</v>
      </c>
      <c r="Z7" s="376">
        <f>(IFERROR(TotalTournamentAverages!AH10/MassFormulaTesting!$B$76,"")*0.68)+0.3</f>
        <v>0.3</v>
      </c>
      <c r="AA7" s="376">
        <f>(IFERROR(TotalTournamentAverages!AJ10/MassFormulaTesting!$B$80,"")*0.68)+0.3</f>
        <v>0.3</v>
      </c>
      <c r="AB7" s="376">
        <f>(IFERROR(TotalTournamentAverages!AK10/MassFormulaTesting!$B$82,"")*0.68)+0.3</f>
        <v>0.3</v>
      </c>
      <c r="AC7" s="376">
        <f>(IFERROR(TotalTournamentAverages!AL10/MassFormulaTesting!$B$84,"")*0.68)+0.3</f>
        <v>0.3</v>
      </c>
      <c r="AD7" s="376">
        <f>(IFERROR(TotalTournamentAverages!AM10/MassFormulaTesting!$B$86,"")*0.68)+0.3</f>
        <v>0.3</v>
      </c>
      <c r="AE7" s="376">
        <f>(IFERROR(TotalTournamentAverages!AN10/MassFormulaTesting!$B$88,"")*0.68)+0.3</f>
        <v>0.3</v>
      </c>
      <c r="AF7" s="376">
        <f>(IFERROR(TotalTournamentAverages!AO10/MassFormulaTesting!$B$90,"")*0.68)+0.3</f>
        <v>0.3</v>
      </c>
      <c r="AG7" s="376">
        <f>(IFERROR(TotalTournamentAverages!AP10/MassFormulaTesting!$B$92,"")*0.68)+0.3</f>
        <v>0.3</v>
      </c>
      <c r="AH7" s="376">
        <f>(IFERROR(TotalTournamentAverages!AQ10/MassFormulaTesting!$B$94,"")*0.68)+0.3</f>
        <v>0.3</v>
      </c>
      <c r="AI7" s="376">
        <f>(IFERROR(TotalTournamentAverages!AR10/MassFormulaTesting!$B$96,"")*0.68)+0.3</f>
        <v>0.3</v>
      </c>
      <c r="AJ7" s="376">
        <f>(IFERROR(TotalTournamentAverages!AS10/MassFormulaTesting!$B$98,"")*0.68)+0.3</f>
        <v>0.3</v>
      </c>
      <c r="AK7" s="376">
        <f>(IFERROR(TotalTournamentAverages!AT10/MassFormulaTesting!$B$100,"")*0.68)+0.3</f>
        <v>0.3</v>
      </c>
      <c r="AL7" s="376">
        <f>(IFERROR(TotalTournamentAverages!AU10/MassFormulaTesting!$B$102,"")*0.68)+0.3</f>
        <v>0.3</v>
      </c>
      <c r="AM7" s="376">
        <f>(IFERROR(TotalTournamentAverages!AV10/MassFormulaTesting!$B$104,"")*0.68)+0.3</f>
        <v>0.3</v>
      </c>
    </row>
    <row r="8">
      <c r="B8" s="374" t="str">
        <f>MassFormulaTesting!D19</f>
        <v>#DIV/0!</v>
      </c>
      <c r="C8" s="375">
        <f>MassFormulaTesting!F19</f>
        <v>0.3</v>
      </c>
      <c r="D8" s="376">
        <f>(IFERROR(TotalTournamentAverages!D11/MassFormulaTesting!$B$16,"")*0.68)+0.3</f>
        <v>0.3</v>
      </c>
      <c r="E8" s="376">
        <f>(IFERROR(TotalTournamentAverages!E11/MassFormulaTesting!$B$18,"")*0.68)+0.3</f>
        <v>0.6346456693</v>
      </c>
      <c r="F8" s="376">
        <f>(IFERROR(TotalTournamentAverages!F11/MassFormulaTesting!$B$20,"")*0.68)+0.3</f>
        <v>0.436</v>
      </c>
      <c r="G8" s="376">
        <f>(IFERROR(MassFormulaTesting!$C$22/TotalTournamentAverages!G11,"")*0.68)+0.3</f>
        <v>0.5236842105</v>
      </c>
      <c r="H8" s="376">
        <f>(((TotalTournamentAverages!H11+118)/(MassFormulaTesting!$B$24+118))*0.68)+0.3</f>
        <v>0.7667323481</v>
      </c>
      <c r="I8" s="376">
        <f>(IFERROR(TotalTournamentAverages!I11/MassFormulaTesting!$B$26,"")*0.68)+0.3</f>
        <v>0.63</v>
      </c>
      <c r="J8" s="376">
        <f>((0.98-IFERROR(TotalTournamentAverages!J11/MassFormulaTesting!$B$28,"")*0.68))</f>
        <v>0.708</v>
      </c>
      <c r="K8" s="376">
        <f>(IFERROR(TotalTournamentAverages!K11/MassFormulaTesting!$B$30,"")*0.68)+0.3</f>
        <v>0.6300577145</v>
      </c>
      <c r="L8" s="376">
        <f>(IFERROR(TotalTournamentAverages!L11/MassFormulaTesting!$B$32,"")*0.68)+0.3</f>
        <v>0.6664140218</v>
      </c>
      <c r="M8" s="376">
        <f>(IFERROR(TotalTournamentAverages!M11/MassFormulaTesting!$B$34,"")*0.68)+0.3</f>
        <v>0.5163636364</v>
      </c>
      <c r="N8" s="376">
        <f>(IFERROR(TotalTournamentAverages!N11/MassFormulaTesting!$B$36,"")*0.68)+0.3</f>
        <v>0.7636363636</v>
      </c>
      <c r="O8" s="376">
        <f>(IFERROR(TotalTournamentAverages!O11/MassFormulaTesting!$B$38,"")*0.68)+0.3</f>
        <v>0.3</v>
      </c>
      <c r="P8" s="376">
        <f>(IFERROR(TotalTournamentAverages!P11/MassFormulaTesting!$B$40,"")*0.68)+0.3</f>
        <v>0.3</v>
      </c>
      <c r="Q8" s="376">
        <f>(IFERROR(TotalTournamentAverages!T11/MassFormulaTesting!$B$48,"")*0.68)+0.3</f>
        <v>0.5266666667</v>
      </c>
      <c r="R8" s="376">
        <f>(IFERROR(TotalTournamentAverages!U11/MassFormulaTesting!$B$50,"")*0.68)+0.3</f>
        <v>0.3</v>
      </c>
      <c r="S8" s="376">
        <f>(IFERROR(TotalTournamentAverages!V11/MassFormulaTesting!$B$52,"")*0.68)+0.3</f>
        <v>0.3</v>
      </c>
      <c r="T8" s="376">
        <f>(IFERROR(TotalTournamentAverages!W11/MassFormulaTesting!$B$54,"")*0.68)+0.3</f>
        <v>0.3</v>
      </c>
      <c r="U8" s="376">
        <f>(IFERROR(TotalTournamentAverages!X11/MassFormulaTesting!$B$56,"")*0.68)+0.3</f>
        <v>0.3</v>
      </c>
      <c r="V8" s="376">
        <f>(IFERROR(TotalTournamentAverages!Y11/MassFormulaTesting!$B$58,"")*0.68)+0.3</f>
        <v>0.3</v>
      </c>
      <c r="W8" s="376">
        <f>(IFERROR(TotalTournamentAverages!Z11/MassFormulaTesting!$B$60,"")*0.68)+0.3</f>
        <v>0.3</v>
      </c>
      <c r="X8" s="376">
        <f>(IFERROR(TotalTournamentAverages!AD11/MassFormulaTesting!$B$68,"")*0.68)+0.3</f>
        <v>0.3</v>
      </c>
      <c r="Y8" s="376">
        <f>(IFERROR(TotalTournamentAverages!AG11/MassFormulaTesting!$B$74,"")*0.68)+0.3</f>
        <v>0.3</v>
      </c>
      <c r="Z8" s="376">
        <f>(IFERROR(TotalTournamentAverages!AH11/MassFormulaTesting!$B$76,"")*0.68)+0.3</f>
        <v>0.3</v>
      </c>
      <c r="AA8" s="376">
        <f>(IFERROR(TotalTournamentAverages!AJ11/MassFormulaTesting!$B$80,"")*0.68)+0.3</f>
        <v>0.3</v>
      </c>
      <c r="AB8" s="376">
        <f>(IFERROR(TotalTournamentAverages!AK11/MassFormulaTesting!$B$82,"")*0.68)+0.3</f>
        <v>0.3</v>
      </c>
      <c r="AC8" s="376">
        <f>(IFERROR(TotalTournamentAverages!AL11/MassFormulaTesting!$B$84,"")*0.68)+0.3</f>
        <v>0.3</v>
      </c>
      <c r="AD8" s="376">
        <f>(IFERROR(TotalTournamentAverages!AM11/MassFormulaTesting!$B$86,"")*0.68)+0.3</f>
        <v>0.3</v>
      </c>
      <c r="AE8" s="376">
        <f>(IFERROR(TotalTournamentAverages!AN11/MassFormulaTesting!$B$88,"")*0.68)+0.3</f>
        <v>0.3</v>
      </c>
      <c r="AF8" s="376">
        <f>(IFERROR(TotalTournamentAverages!AO11/MassFormulaTesting!$B$90,"")*0.68)+0.3</f>
        <v>0.3</v>
      </c>
      <c r="AG8" s="376">
        <f>(IFERROR(TotalTournamentAverages!AP11/MassFormulaTesting!$B$92,"")*0.68)+0.3</f>
        <v>0.3</v>
      </c>
      <c r="AH8" s="376">
        <f>(IFERROR(TotalTournamentAverages!AQ11/MassFormulaTesting!$B$94,"")*0.68)+0.3</f>
        <v>0.3</v>
      </c>
      <c r="AI8" s="376">
        <f>(IFERROR(TotalTournamentAverages!AR11/MassFormulaTesting!$B$96,"")*0.68)+0.3</f>
        <v>0.3</v>
      </c>
      <c r="AJ8" s="376">
        <f>(IFERROR(TotalTournamentAverages!AS11/MassFormulaTesting!$B$98,"")*0.68)+0.3</f>
        <v>0.3</v>
      </c>
      <c r="AK8" s="376">
        <f>(IFERROR(TotalTournamentAverages!AT11/MassFormulaTesting!$B$100,"")*0.68)+0.3</f>
        <v>0.3</v>
      </c>
      <c r="AL8" s="376">
        <f>(IFERROR(TotalTournamentAverages!AU11/MassFormulaTesting!$B$102,"")*0.68)+0.3</f>
        <v>0.3</v>
      </c>
      <c r="AM8" s="376">
        <f>(IFERROR(TotalTournamentAverages!AV11/MassFormulaTesting!$B$104,"")*0.68)+0.3</f>
        <v>0.3</v>
      </c>
    </row>
    <row r="9">
      <c r="B9" s="374" t="str">
        <f>MassFormulaTesting!D20</f>
        <v>#DIV/0!</v>
      </c>
      <c r="C9" s="375">
        <f>MassFormulaTesting!F20</f>
        <v>0.3</v>
      </c>
      <c r="D9" s="376">
        <f>(IFERROR(TotalTournamentAverages!D12/MassFormulaTesting!$B$16,"")*0.68)+0.3</f>
        <v>0.3</v>
      </c>
      <c r="E9" s="376">
        <f>(IFERROR(TotalTournamentAverages!E12/MassFormulaTesting!$B$18,"")*0.68)+0.3</f>
        <v>0.5248818898</v>
      </c>
      <c r="F9" s="376">
        <f>(IFERROR(TotalTournamentAverages!F12/MassFormulaTesting!$B$20,"")*0.68)+0.3</f>
        <v>0.538</v>
      </c>
      <c r="G9" s="376">
        <f>(IFERROR(MassFormulaTesting!$C$22/TotalTournamentAverages!G12,"")*0.68)+0.3</f>
        <v>0.6063063063</v>
      </c>
      <c r="H9" s="376">
        <f>(((TotalTournamentAverages!H12+118)/(MassFormulaTesting!$B$24+118))*0.68)+0.3</f>
        <v>0.7667323481</v>
      </c>
      <c r="I9" s="376">
        <f>(IFERROR(TotalTournamentAverages!I12/MassFormulaTesting!$B$26,"")*0.68)+0.3</f>
        <v>0.51</v>
      </c>
      <c r="J9" s="376">
        <f>((0.98-IFERROR(TotalTournamentAverages!J12/MassFormulaTesting!$B$28,"")*0.68))</f>
        <v>0.8893333333</v>
      </c>
      <c r="K9" s="376">
        <f>(IFERROR(TotalTournamentAverages!K12/MassFormulaTesting!$B$30,"")*0.68)+0.3</f>
        <v>0.5619661408</v>
      </c>
      <c r="L9" s="376">
        <f>(IFERROR(TotalTournamentAverages!L12/MassFormulaTesting!$B$32,"")*0.68)+0.3</f>
        <v>0.5889436286</v>
      </c>
      <c r="M9" s="376">
        <f>(IFERROR(TotalTournamentAverages!M12/MassFormulaTesting!$B$34,"")*0.68)+0.3</f>
        <v>0.5472727273</v>
      </c>
      <c r="N9" s="376">
        <f>(IFERROR(TotalTournamentAverages!N12/MassFormulaTesting!$B$36,"")*0.68)+0.3</f>
        <v>0.3</v>
      </c>
      <c r="O9" s="376">
        <f>(IFERROR(TotalTournamentAverages!O12/MassFormulaTesting!$B$38,"")*0.68)+0.3</f>
        <v>0.3</v>
      </c>
      <c r="P9" s="376">
        <f>(IFERROR(TotalTournamentAverages!P12/MassFormulaTesting!$B$40,"")*0.68)+0.3</f>
        <v>0.3</v>
      </c>
      <c r="Q9" s="376">
        <f>(IFERROR(TotalTournamentAverages!T12/MassFormulaTesting!$B$48,"")*0.68)+0.3</f>
        <v>0.4133333333</v>
      </c>
      <c r="R9" s="376">
        <f>(IFERROR(TotalTournamentAverages!U12/MassFormulaTesting!$B$50,"")*0.68)+0.3</f>
        <v>0.81</v>
      </c>
      <c r="S9" s="376">
        <f>(IFERROR(TotalTournamentAverages!V12/MassFormulaTesting!$B$52,"")*0.68)+0.3</f>
        <v>0.3</v>
      </c>
      <c r="T9" s="376">
        <f>(IFERROR(TotalTournamentAverages!W12/MassFormulaTesting!$B$54,"")*0.68)+0.3</f>
        <v>0.3</v>
      </c>
      <c r="U9" s="376">
        <f>(IFERROR(TotalTournamentAverages!X12/MassFormulaTesting!$B$56,"")*0.68)+0.3</f>
        <v>0.3</v>
      </c>
      <c r="V9" s="376">
        <f>(IFERROR(TotalTournamentAverages!Y12/MassFormulaTesting!$B$58,"")*0.68)+0.3</f>
        <v>0.3</v>
      </c>
      <c r="W9" s="376">
        <f>(IFERROR(TotalTournamentAverages!Z12/MassFormulaTesting!$B$60,"")*0.68)+0.3</f>
        <v>0.3</v>
      </c>
      <c r="X9" s="376">
        <f>(IFERROR(TotalTournamentAverages!AD12/MassFormulaTesting!$B$68,"")*0.68)+0.3</f>
        <v>0.3</v>
      </c>
      <c r="Y9" s="376">
        <f>(IFERROR(TotalTournamentAverages!AG12/MassFormulaTesting!$B$74,"")*0.68)+0.3</f>
        <v>0.3</v>
      </c>
      <c r="Z9" s="376">
        <f>(IFERROR(TotalTournamentAverages!AH12/MassFormulaTesting!$B$76,"")*0.68)+0.3</f>
        <v>0.3</v>
      </c>
      <c r="AA9" s="376">
        <f>(IFERROR(TotalTournamentAverages!AJ12/MassFormulaTesting!$B$80,"")*0.68)+0.3</f>
        <v>0.3</v>
      </c>
      <c r="AB9" s="376">
        <f>(IFERROR(TotalTournamentAverages!AK12/MassFormulaTesting!$B$82,"")*0.68)+0.3</f>
        <v>0.3</v>
      </c>
      <c r="AC9" s="376">
        <f>(IFERROR(TotalTournamentAverages!AL12/MassFormulaTesting!$B$84,"")*0.68)+0.3</f>
        <v>0.3</v>
      </c>
      <c r="AD9" s="376">
        <f>(IFERROR(TotalTournamentAverages!AM12/MassFormulaTesting!$B$86,"")*0.68)+0.3</f>
        <v>0.3</v>
      </c>
      <c r="AE9" s="376">
        <f>(IFERROR(TotalTournamentAverages!AN12/MassFormulaTesting!$B$88,"")*0.68)+0.3</f>
        <v>0.3</v>
      </c>
      <c r="AF9" s="376">
        <f>(IFERROR(TotalTournamentAverages!AO12/MassFormulaTesting!$B$90,"")*0.68)+0.3</f>
        <v>0.3</v>
      </c>
      <c r="AG9" s="376">
        <f>(IFERROR(TotalTournamentAverages!AP12/MassFormulaTesting!$B$92,"")*0.68)+0.3</f>
        <v>0.3</v>
      </c>
      <c r="AH9" s="376">
        <f>(IFERROR(TotalTournamentAverages!AQ12/MassFormulaTesting!$B$94,"")*0.68)+0.3</f>
        <v>0.3</v>
      </c>
      <c r="AI9" s="376">
        <f>(IFERROR(TotalTournamentAverages!AR12/MassFormulaTesting!$B$96,"")*0.68)+0.3</f>
        <v>0.3</v>
      </c>
      <c r="AJ9" s="376">
        <f>(IFERROR(TotalTournamentAverages!AS12/MassFormulaTesting!$B$98,"")*0.68)+0.3</f>
        <v>0.3</v>
      </c>
      <c r="AK9" s="376">
        <f>(IFERROR(TotalTournamentAverages!AT12/MassFormulaTesting!$B$100,"")*0.68)+0.3</f>
        <v>0.3</v>
      </c>
      <c r="AL9" s="376">
        <f>(IFERROR(TotalTournamentAverages!AU12/MassFormulaTesting!$B$102,"")*0.68)+0.3</f>
        <v>0.3</v>
      </c>
      <c r="AM9" s="376">
        <f>(IFERROR(TotalTournamentAverages!AV12/MassFormulaTesting!$B$104,"")*0.68)+0.3</f>
        <v>0.3</v>
      </c>
    </row>
    <row r="10">
      <c r="B10" s="374" t="str">
        <f>MassFormulaTesting!D21</f>
        <v>#DIV/0!</v>
      </c>
      <c r="C10" s="375">
        <f>MassFormulaTesting!F21</f>
        <v>0.3</v>
      </c>
      <c r="D10" s="376">
        <f>(IFERROR(TotalTournamentAverages!D13/MassFormulaTesting!$B$16,"")*0.68)+0.3</f>
        <v>0.3</v>
      </c>
      <c r="E10" s="376">
        <f>(IFERROR(TotalTournamentAverages!E13/MassFormulaTesting!$B$18,"")*0.68)+0.3</f>
        <v>0.6551706037</v>
      </c>
      <c r="F10" s="376">
        <f>(IFERROR(TotalTournamentAverages!F13/MassFormulaTesting!$B$20,"")*0.68)+0.3</f>
        <v>0.6173333333</v>
      </c>
      <c r="G10" s="376">
        <f>(IFERROR(MassFormulaTesting!$C$22/TotalTournamentAverages!G13,"")*0.68)+0.3</f>
        <v>0.5073170732</v>
      </c>
      <c r="H10" s="376">
        <f>(((TotalTournamentAverages!H13+118)/(MassFormulaTesting!$B$24+118))*0.68)+0.3</f>
        <v>0.7570552819</v>
      </c>
      <c r="I10" s="376">
        <f>(IFERROR(TotalTournamentAverages!I13/MassFormulaTesting!$B$26,"")*0.68)+0.3</f>
        <v>0.52</v>
      </c>
      <c r="J10" s="376">
        <f>((0.98-IFERROR(TotalTournamentAverages!J13/MassFormulaTesting!$B$28,"")*0.68))</f>
        <v>0.7986666667</v>
      </c>
      <c r="K10" s="376">
        <f>(IFERROR(TotalTournamentAverages!K13/MassFormulaTesting!$B$30,"")*0.68)+0.3</f>
        <v>0.6419622932</v>
      </c>
      <c r="L10" s="376">
        <f>(IFERROR(TotalTournamentAverages!L13/MassFormulaTesting!$B$32,"")*0.68)+0.3</f>
        <v>0.684506553</v>
      </c>
      <c r="M10" s="376">
        <f>(IFERROR(TotalTournamentAverages!M13/MassFormulaTesting!$B$34,"")*0.68)+0.3</f>
        <v>0.5060606061</v>
      </c>
      <c r="N10" s="376">
        <f>(IFERROR(TotalTournamentAverages!N13/MassFormulaTesting!$B$36,"")*0.68)+0.3</f>
        <v>0.3</v>
      </c>
      <c r="O10" s="376">
        <f>(IFERROR(TotalTournamentAverages!O13/MassFormulaTesting!$B$38,"")*0.68)+0.3</f>
        <v>0.3</v>
      </c>
      <c r="P10" s="376">
        <f>(IFERROR(TotalTournamentAverages!P13/MassFormulaTesting!$B$40,"")*0.68)+0.3</f>
        <v>0.3</v>
      </c>
      <c r="Q10" s="376">
        <f>(IFERROR(TotalTournamentAverages!T13/MassFormulaTesting!$B$48,"")*0.68)+0.3</f>
        <v>0.3755555556</v>
      </c>
      <c r="R10" s="376">
        <f>(IFERROR(TotalTournamentAverages!U13/MassFormulaTesting!$B$50,"")*0.68)+0.3</f>
        <v>0.3</v>
      </c>
      <c r="S10" s="376">
        <f>(IFERROR(TotalTournamentAverages!V13/MassFormulaTesting!$B$52,"")*0.68)+0.3</f>
        <v>0.3</v>
      </c>
      <c r="T10" s="376">
        <f>(IFERROR(TotalTournamentAverages!W13/MassFormulaTesting!$B$54,"")*0.68)+0.3</f>
        <v>0.3</v>
      </c>
      <c r="U10" s="376">
        <f>(IFERROR(TotalTournamentAverages!X13/MassFormulaTesting!$B$56,"")*0.68)+0.3</f>
        <v>0.3</v>
      </c>
      <c r="V10" s="376">
        <f>(IFERROR(TotalTournamentAverages!Y13/MassFormulaTesting!$B$58,"")*0.68)+0.3</f>
        <v>0.3</v>
      </c>
      <c r="W10" s="376">
        <f>(IFERROR(TotalTournamentAverages!Z13/MassFormulaTesting!$B$60,"")*0.68)+0.3</f>
        <v>0.3</v>
      </c>
      <c r="X10" s="376">
        <f>(IFERROR(TotalTournamentAverages!AD13/MassFormulaTesting!$B$68,"")*0.68)+0.3</f>
        <v>0.3</v>
      </c>
      <c r="Y10" s="376">
        <f>(IFERROR(TotalTournamentAverages!AG13/MassFormulaTesting!$B$74,"")*0.68)+0.3</f>
        <v>0.3</v>
      </c>
      <c r="Z10" s="376">
        <f>(IFERROR(TotalTournamentAverages!AH13/MassFormulaTesting!$B$76,"")*0.68)+0.3</f>
        <v>0.3</v>
      </c>
      <c r="AA10" s="376">
        <f>(IFERROR(TotalTournamentAverages!AJ13/MassFormulaTesting!$B$80,"")*0.68)+0.3</f>
        <v>0.3</v>
      </c>
      <c r="AB10" s="376">
        <f>(IFERROR(TotalTournamentAverages!AK13/MassFormulaTesting!$B$82,"")*0.68)+0.3</f>
        <v>0.3</v>
      </c>
      <c r="AC10" s="376">
        <f>(IFERROR(TotalTournamentAverages!AL13/MassFormulaTesting!$B$84,"")*0.68)+0.3</f>
        <v>0.3</v>
      </c>
      <c r="AD10" s="376">
        <f>(IFERROR(TotalTournamentAverages!AM13/MassFormulaTesting!$B$86,"")*0.68)+0.3</f>
        <v>0.3</v>
      </c>
      <c r="AE10" s="376">
        <f>(IFERROR(TotalTournamentAverages!AN13/MassFormulaTesting!$B$88,"")*0.68)+0.3</f>
        <v>0.3</v>
      </c>
      <c r="AF10" s="376">
        <f>(IFERROR(TotalTournamentAverages!AO13/MassFormulaTesting!$B$90,"")*0.68)+0.3</f>
        <v>0.3</v>
      </c>
      <c r="AG10" s="376">
        <f>(IFERROR(TotalTournamentAverages!AP13/MassFormulaTesting!$B$92,"")*0.68)+0.3</f>
        <v>0.3</v>
      </c>
      <c r="AH10" s="376">
        <f>(IFERROR(TotalTournamentAverages!AQ13/MassFormulaTesting!$B$94,"")*0.68)+0.3</f>
        <v>0.3</v>
      </c>
      <c r="AI10" s="376">
        <f>(IFERROR(TotalTournamentAverages!AR13/MassFormulaTesting!$B$96,"")*0.68)+0.3</f>
        <v>0.3</v>
      </c>
      <c r="AJ10" s="376">
        <f>(IFERROR(TotalTournamentAverages!AS13/MassFormulaTesting!$B$98,"")*0.68)+0.3</f>
        <v>0.3</v>
      </c>
      <c r="AK10" s="376">
        <f>(IFERROR(TotalTournamentAverages!AT13/MassFormulaTesting!$B$100,"")*0.68)+0.3</f>
        <v>0.3</v>
      </c>
      <c r="AL10" s="376">
        <f>(IFERROR(TotalTournamentAverages!AU13/MassFormulaTesting!$B$102,"")*0.68)+0.3</f>
        <v>0.3</v>
      </c>
      <c r="AM10" s="376">
        <f>(IFERROR(TotalTournamentAverages!AV13/MassFormulaTesting!$B$104,"")*0.68)+0.3</f>
        <v>0.3</v>
      </c>
    </row>
    <row r="11">
      <c r="B11" s="374" t="str">
        <f>MassFormulaTesting!D22</f>
        <v>#DIV/0!</v>
      </c>
      <c r="C11" s="375">
        <f>MassFormulaTesting!F22</f>
        <v>0.3</v>
      </c>
      <c r="D11" s="376">
        <f>(IFERROR(TotalTournamentAverages!D14/MassFormulaTesting!$B$16,"")*0.68)+0.3</f>
        <v>0.3647619048</v>
      </c>
      <c r="E11" s="376">
        <f>(IFERROR(TotalTournamentAverages!E14/MassFormulaTesting!$B$18,"")*0.68)+0.3</f>
        <v>0.6623097113</v>
      </c>
      <c r="F11" s="376">
        <f>(IFERROR(TotalTournamentAverages!F14/MassFormulaTesting!$B$20,"")*0.68)+0.3</f>
        <v>0.6173333333</v>
      </c>
      <c r="G11" s="376">
        <f>(IFERROR(MassFormulaTesting!$C$22/TotalTournamentAverages!G14,"")*0.68)+0.3</f>
        <v>0.5394366197</v>
      </c>
      <c r="H11" s="376">
        <f>(((TotalTournamentAverages!H14+118)/(MassFormulaTesting!$B$24+118))*0.68)+0.3</f>
        <v>0.8121401204</v>
      </c>
      <c r="I11" s="376">
        <f>(IFERROR(TotalTournamentAverages!I14/MassFormulaTesting!$B$26,"")*0.68)+0.3</f>
        <v>0.56</v>
      </c>
      <c r="J11" s="376">
        <f>((0.98-IFERROR(TotalTournamentAverages!J14/MassFormulaTesting!$B$28,"")*0.68))</f>
        <v>0.98</v>
      </c>
      <c r="K11" s="376">
        <f>(IFERROR(TotalTournamentAverages!K14/MassFormulaTesting!$B$30,"")*0.68)+0.3</f>
        <v>0.5974836476</v>
      </c>
      <c r="L11" s="376">
        <f>(IFERROR(TotalTournamentAverages!L14/MassFormulaTesting!$B$32,"")*0.68)+0.3</f>
        <v>0.6393020685</v>
      </c>
      <c r="M11" s="376">
        <f>(IFERROR(TotalTournamentAverages!M14/MassFormulaTesting!$B$34,"")*0.68)+0.3</f>
        <v>0.5060606061</v>
      </c>
      <c r="N11" s="376">
        <f>(IFERROR(TotalTournamentAverages!N14/MassFormulaTesting!$B$36,"")*0.68)+0.3</f>
        <v>0.4236363636</v>
      </c>
      <c r="O11" s="376">
        <f>(IFERROR(TotalTournamentAverages!O14/MassFormulaTesting!$B$38,"")*0.68)+0.3</f>
        <v>0.3</v>
      </c>
      <c r="P11" s="376">
        <f>(IFERROR(TotalTournamentAverages!P14/MassFormulaTesting!$B$40,"")*0.68)+0.3</f>
        <v>0.3</v>
      </c>
      <c r="Q11" s="376">
        <f>(IFERROR(TotalTournamentAverages!T14/MassFormulaTesting!$B$48,"")*0.68)+0.3</f>
        <v>0.5266666667</v>
      </c>
      <c r="R11" s="376">
        <f>(IFERROR(TotalTournamentAverages!U14/MassFormulaTesting!$B$50,"")*0.68)+0.3</f>
        <v>0.3</v>
      </c>
      <c r="S11" s="376">
        <f>(IFERROR(TotalTournamentAverages!V14/MassFormulaTesting!$B$52,"")*0.68)+0.3</f>
        <v>0.3</v>
      </c>
      <c r="T11" s="376">
        <f>(IFERROR(TotalTournamentAverages!W14/MassFormulaTesting!$B$54,"")*0.68)+0.3</f>
        <v>0.3</v>
      </c>
      <c r="U11" s="376">
        <f>(IFERROR(TotalTournamentAverages!X14/MassFormulaTesting!$B$56,"")*0.68)+0.3</f>
        <v>0.3</v>
      </c>
      <c r="V11" s="376">
        <f>(IFERROR(TotalTournamentAverages!Y14/MassFormulaTesting!$B$58,"")*0.68)+0.3</f>
        <v>0.3</v>
      </c>
      <c r="W11" s="376">
        <f>(IFERROR(TotalTournamentAverages!Z14/MassFormulaTesting!$B$60,"")*0.68)+0.3</f>
        <v>0.3</v>
      </c>
      <c r="X11" s="376">
        <f>(IFERROR(TotalTournamentAverages!AD14/MassFormulaTesting!$B$68,"")*0.68)+0.3</f>
        <v>0.3</v>
      </c>
      <c r="Y11" s="376">
        <f>(IFERROR(TotalTournamentAverages!AG14/MassFormulaTesting!$B$74,"")*0.68)+0.3</f>
        <v>0.3</v>
      </c>
      <c r="Z11" s="376">
        <f>(IFERROR(TotalTournamentAverages!AH14/MassFormulaTesting!$B$76,"")*0.68)+0.3</f>
        <v>0.3</v>
      </c>
      <c r="AA11" s="376">
        <f>(IFERROR(TotalTournamentAverages!AJ14/MassFormulaTesting!$B$80,"")*0.68)+0.3</f>
        <v>0.3</v>
      </c>
      <c r="AB11" s="376">
        <f>(IFERROR(TotalTournamentAverages!AK14/MassFormulaTesting!$B$82,"")*0.68)+0.3</f>
        <v>0.3</v>
      </c>
      <c r="AC11" s="376">
        <f>(IFERROR(TotalTournamentAverages!AL14/MassFormulaTesting!$B$84,"")*0.68)+0.3</f>
        <v>0.3</v>
      </c>
      <c r="AD11" s="376">
        <f>(IFERROR(TotalTournamentAverages!AM14/MassFormulaTesting!$B$86,"")*0.68)+0.3</f>
        <v>0.3</v>
      </c>
      <c r="AE11" s="376">
        <f>(IFERROR(TotalTournamentAverages!AN14/MassFormulaTesting!$B$88,"")*0.68)+0.3</f>
        <v>0.3</v>
      </c>
      <c r="AF11" s="376">
        <f>(IFERROR(TotalTournamentAverages!AO14/MassFormulaTesting!$B$90,"")*0.68)+0.3</f>
        <v>0.3</v>
      </c>
      <c r="AG11" s="376">
        <f>(IFERROR(TotalTournamentAverages!AP14/MassFormulaTesting!$B$92,"")*0.68)+0.3</f>
        <v>0.3</v>
      </c>
      <c r="AH11" s="376">
        <f>(IFERROR(TotalTournamentAverages!AQ14/MassFormulaTesting!$B$94,"")*0.68)+0.3</f>
        <v>0.3</v>
      </c>
      <c r="AI11" s="376">
        <f>(IFERROR(TotalTournamentAverages!AR14/MassFormulaTesting!$B$96,"")*0.68)+0.3</f>
        <v>0.3</v>
      </c>
      <c r="AJ11" s="376">
        <f>(IFERROR(TotalTournamentAverages!AS14/MassFormulaTesting!$B$98,"")*0.68)+0.3</f>
        <v>0.3</v>
      </c>
      <c r="AK11" s="376">
        <f>(IFERROR(TotalTournamentAverages!AT14/MassFormulaTesting!$B$100,"")*0.68)+0.3</f>
        <v>0.3</v>
      </c>
      <c r="AL11" s="376">
        <f>(IFERROR(TotalTournamentAverages!AU14/MassFormulaTesting!$B$102,"")*0.68)+0.3</f>
        <v>0.3</v>
      </c>
      <c r="AM11" s="376">
        <f>(IFERROR(TotalTournamentAverages!AV14/MassFormulaTesting!$B$104,"")*0.68)+0.3</f>
        <v>0.3</v>
      </c>
    </row>
    <row r="12">
      <c r="B12" s="374" t="str">
        <f>MassFormulaTesting!D23</f>
        <v>#DIV/0!</v>
      </c>
      <c r="C12" s="375">
        <f>MassFormulaTesting!F23</f>
        <v>0.3</v>
      </c>
      <c r="D12" s="376">
        <f>(IFERROR(TotalTournamentAverages!D15/MassFormulaTesting!$B$16,"")*0.68)+0.3</f>
        <v>0.3</v>
      </c>
      <c r="E12" s="376">
        <f>(IFERROR(TotalTournamentAverages!E15/MassFormulaTesting!$B$18,"")*0.68)+0.3</f>
        <v>0.7069291339</v>
      </c>
      <c r="F12" s="376">
        <f>(IFERROR(TotalTournamentAverages!F15/MassFormulaTesting!$B$20,"")*0.68)+0.3</f>
        <v>0.844</v>
      </c>
      <c r="G12" s="376">
        <f>(IFERROR(MassFormulaTesting!$C$22/TotalTournamentAverages!G15,"")*0.68)+0.3</f>
        <v>0.5786885246</v>
      </c>
      <c r="H12" s="376">
        <f>(((TotalTournamentAverages!H15+118)/(MassFormulaTesting!$B$24+118))*0.68)+0.3</f>
        <v>0.8940229885</v>
      </c>
      <c r="I12" s="376">
        <f>(IFERROR(TotalTournamentAverages!I15/MassFormulaTesting!$B$26,"")*0.68)+0.3</f>
        <v>0.6</v>
      </c>
      <c r="J12" s="376">
        <f>((0.98-IFERROR(TotalTournamentAverages!J15/MassFormulaTesting!$B$28,"")*0.68))</f>
        <v>0.6173333333</v>
      </c>
      <c r="K12" s="376">
        <f>(IFERROR(TotalTournamentAverages!K15/MassFormulaTesting!$B$30,"")*0.68)+0.3</f>
        <v>0.5692266256</v>
      </c>
      <c r="L12" s="376">
        <f>(IFERROR(TotalTournamentAverages!L15/MassFormulaTesting!$B$32,"")*0.68)+0.3</f>
        <v>0.6005400284</v>
      </c>
      <c r="M12" s="376">
        <f>(IFERROR(TotalTournamentAverages!M15/MassFormulaTesting!$B$34,"")*0.68)+0.3</f>
        <v>0.5266666667</v>
      </c>
      <c r="N12" s="376">
        <f>(IFERROR(TotalTournamentAverages!N15/MassFormulaTesting!$B$36,"")*0.68)+0.3</f>
        <v>0.4854545455</v>
      </c>
      <c r="O12" s="376">
        <f>(IFERROR(TotalTournamentAverages!O15/MassFormulaTesting!$B$38,"")*0.68)+0.3</f>
        <v>0.3</v>
      </c>
      <c r="P12" s="376">
        <f>(IFERROR(TotalTournamentAverages!P15/MassFormulaTesting!$B$40,"")*0.68)+0.3</f>
        <v>0.3</v>
      </c>
      <c r="Q12" s="376">
        <f>(IFERROR(TotalTournamentAverages!T15/MassFormulaTesting!$B$48,"")*0.68)+0.3</f>
        <v>0.98</v>
      </c>
      <c r="R12" s="376">
        <f>(IFERROR(TotalTournamentAverages!U15/MassFormulaTesting!$B$50,"")*0.68)+0.3</f>
        <v>0.81</v>
      </c>
      <c r="S12" s="376">
        <f>(IFERROR(TotalTournamentAverages!V15/MassFormulaTesting!$B$52,"")*0.68)+0.3</f>
        <v>0.3</v>
      </c>
      <c r="T12" s="376">
        <f>(IFERROR(TotalTournamentAverages!W15/MassFormulaTesting!$B$54,"")*0.68)+0.3</f>
        <v>0.3</v>
      </c>
      <c r="U12" s="376">
        <f>(IFERROR(TotalTournamentAverages!X15/MassFormulaTesting!$B$56,"")*0.68)+0.3</f>
        <v>0.3</v>
      </c>
      <c r="V12" s="376">
        <f>(IFERROR(TotalTournamentAverages!Y15/MassFormulaTesting!$B$58,"")*0.68)+0.3</f>
        <v>0.3</v>
      </c>
      <c r="W12" s="376">
        <f>(IFERROR(TotalTournamentAverages!Z15/MassFormulaTesting!$B$60,"")*0.68)+0.3</f>
        <v>0.3</v>
      </c>
      <c r="X12" s="376">
        <f>(IFERROR(TotalTournamentAverages!AD15/MassFormulaTesting!$B$68,"")*0.68)+0.3</f>
        <v>0.3</v>
      </c>
      <c r="Y12" s="376">
        <f>(IFERROR(TotalTournamentAverages!AG15/MassFormulaTesting!$B$74,"")*0.68)+0.3</f>
        <v>0.3</v>
      </c>
      <c r="Z12" s="376">
        <f>(IFERROR(TotalTournamentAverages!AH15/MassFormulaTesting!$B$76,"")*0.68)+0.3</f>
        <v>0.3</v>
      </c>
      <c r="AA12" s="376">
        <f>(IFERROR(TotalTournamentAverages!AJ15/MassFormulaTesting!$B$80,"")*0.68)+0.3</f>
        <v>0.3</v>
      </c>
      <c r="AB12" s="376">
        <f>(IFERROR(TotalTournamentAverages!AK15/MassFormulaTesting!$B$82,"")*0.68)+0.3</f>
        <v>0.3</v>
      </c>
      <c r="AC12" s="376">
        <f>(IFERROR(TotalTournamentAverages!AL15/MassFormulaTesting!$B$84,"")*0.68)+0.3</f>
        <v>0.3</v>
      </c>
      <c r="AD12" s="376">
        <f>(IFERROR(TotalTournamentAverages!AM15/MassFormulaTesting!$B$86,"")*0.68)+0.3</f>
        <v>0.3</v>
      </c>
      <c r="AE12" s="376">
        <f>(IFERROR(TotalTournamentAverages!AN15/MassFormulaTesting!$B$88,"")*0.68)+0.3</f>
        <v>0.3</v>
      </c>
      <c r="AF12" s="376">
        <f>(IFERROR(TotalTournamentAverages!AO15/MassFormulaTesting!$B$90,"")*0.68)+0.3</f>
        <v>0.3</v>
      </c>
      <c r="AG12" s="376">
        <f>(IFERROR(TotalTournamentAverages!AP15/MassFormulaTesting!$B$92,"")*0.68)+0.3</f>
        <v>0.3</v>
      </c>
      <c r="AH12" s="376">
        <f>(IFERROR(TotalTournamentAverages!AQ15/MassFormulaTesting!$B$94,"")*0.68)+0.3</f>
        <v>0.3</v>
      </c>
      <c r="AI12" s="376">
        <f>(IFERROR(TotalTournamentAverages!AR15/MassFormulaTesting!$B$96,"")*0.68)+0.3</f>
        <v>0.3</v>
      </c>
      <c r="AJ12" s="376">
        <f>(IFERROR(TotalTournamentAverages!AS15/MassFormulaTesting!$B$98,"")*0.68)+0.3</f>
        <v>0.3</v>
      </c>
      <c r="AK12" s="376">
        <f>(IFERROR(TotalTournamentAverages!AT15/MassFormulaTesting!$B$100,"")*0.68)+0.3</f>
        <v>0.3</v>
      </c>
      <c r="AL12" s="376">
        <f>(IFERROR(TotalTournamentAverages!AU15/MassFormulaTesting!$B$102,"")*0.68)+0.3</f>
        <v>0.3</v>
      </c>
      <c r="AM12" s="376">
        <f>(IFERROR(TotalTournamentAverages!AV15/MassFormulaTesting!$B$104,"")*0.68)+0.3</f>
        <v>0.3</v>
      </c>
    </row>
    <row r="13">
      <c r="B13" s="374" t="str">
        <f>MassFormulaTesting!D24</f>
        <v>#DIV/0!</v>
      </c>
      <c r="C13" s="375">
        <f>MassFormulaTesting!F24</f>
        <v>0.3</v>
      </c>
      <c r="D13" s="376">
        <f>(IFERROR(TotalTournamentAverages!D16/MassFormulaTesting!$B$16,"")*0.68)+0.3</f>
        <v>0.3485714286</v>
      </c>
      <c r="E13" s="376">
        <f>(IFERROR(TotalTournamentAverages!E16/MassFormulaTesting!$B$18,"")*0.68)+0.3</f>
        <v>0.8608661417</v>
      </c>
      <c r="F13" s="376">
        <f>(IFERROR(TotalTournamentAverages!F16/MassFormulaTesting!$B$20,"")*0.68)+0.3</f>
        <v>0.912</v>
      </c>
      <c r="G13" s="376">
        <f>(IFERROR(MassFormulaTesting!$C$22/TotalTournamentAverages!G16,"")*0.68)+0.3</f>
        <v>0.5411347518</v>
      </c>
      <c r="H13" s="376">
        <f>(((TotalTournamentAverages!H16+118)/(MassFormulaTesting!$B$24+118))*0.68)+0.3</f>
        <v>0.98</v>
      </c>
      <c r="I13" s="376">
        <f>(IFERROR(TotalTournamentAverages!I16/MassFormulaTesting!$B$26,"")*0.68)+0.3</f>
        <v>0.675</v>
      </c>
      <c r="J13" s="376">
        <f>((0.98-IFERROR(TotalTournamentAverages!J16/MassFormulaTesting!$B$28,"")*0.68))</f>
        <v>0.3453333333</v>
      </c>
      <c r="K13" s="376">
        <f>(IFERROR(TotalTournamentAverages!K16/MassFormulaTesting!$B$30,"")*0.68)+0.3</f>
        <v>0.7913582147</v>
      </c>
      <c r="L13" s="376">
        <f>(IFERROR(TotalTournamentAverages!L16/MassFormulaTesting!$B$32,"")*0.68)+0.3</f>
        <v>0.797356703</v>
      </c>
      <c r="M13" s="376">
        <f>(IFERROR(TotalTournamentAverages!M16/MassFormulaTesting!$B$34,"")*0.68)+0.3</f>
        <v>0.6554545455</v>
      </c>
      <c r="N13" s="376">
        <f>(IFERROR(TotalTournamentAverages!N16/MassFormulaTesting!$B$36,"")*0.68)+0.3</f>
        <v>0.9490909091</v>
      </c>
      <c r="O13" s="376">
        <f>(IFERROR(TotalTournamentAverages!O16/MassFormulaTesting!$B$38,"")*0.68)+0.3</f>
        <v>0.3</v>
      </c>
      <c r="P13" s="376">
        <f>(IFERROR(TotalTournamentAverages!P16/MassFormulaTesting!$B$40,"")*0.68)+0.3</f>
        <v>0.3</v>
      </c>
      <c r="Q13" s="376">
        <f>(IFERROR(TotalTournamentAverages!T16/MassFormulaTesting!$B$48,"")*0.68)+0.3</f>
        <v>0.64</v>
      </c>
      <c r="R13" s="376">
        <f>(IFERROR(TotalTournamentAverages!U16/MassFormulaTesting!$B$50,"")*0.68)+0.3</f>
        <v>0.81</v>
      </c>
      <c r="S13" s="376">
        <f>(IFERROR(TotalTournamentAverages!V16/MassFormulaTesting!$B$52,"")*0.68)+0.3</f>
        <v>0.64</v>
      </c>
      <c r="T13" s="376">
        <f>(IFERROR(TotalTournamentAverages!W16/MassFormulaTesting!$B$54,"")*0.68)+0.3</f>
        <v>0.81</v>
      </c>
      <c r="U13" s="376">
        <f>(IFERROR(TotalTournamentAverages!X16/MassFormulaTesting!$B$56,"")*0.68)+0.3</f>
        <v>0.3</v>
      </c>
      <c r="V13" s="376">
        <f>(IFERROR(TotalTournamentAverages!Y16/MassFormulaTesting!$B$58,"")*0.68)+0.3</f>
        <v>0.3</v>
      </c>
      <c r="W13" s="376">
        <f>(IFERROR(TotalTournamentAverages!Z16/MassFormulaTesting!$B$60,"")*0.68)+0.3</f>
        <v>0.3</v>
      </c>
      <c r="X13" s="376">
        <f>(IFERROR(TotalTournamentAverages!AD16/MassFormulaTesting!$B$68,"")*0.68)+0.3</f>
        <v>0.3</v>
      </c>
      <c r="Y13" s="376">
        <f>(IFERROR(TotalTournamentAverages!AG16/MassFormulaTesting!$B$74,"")*0.68)+0.3</f>
        <v>0.3</v>
      </c>
      <c r="Z13" s="376">
        <f>(IFERROR(TotalTournamentAverages!AH16/MassFormulaTesting!$B$76,"")*0.68)+0.3</f>
        <v>0.3</v>
      </c>
      <c r="AA13" s="376">
        <f>(IFERROR(TotalTournamentAverages!AJ16/MassFormulaTesting!$B$80,"")*0.68)+0.3</f>
        <v>0.3</v>
      </c>
      <c r="AB13" s="376">
        <f>(IFERROR(TotalTournamentAverages!AK16/MassFormulaTesting!$B$82,"")*0.68)+0.3</f>
        <v>0.3</v>
      </c>
      <c r="AC13" s="376">
        <f>(IFERROR(TotalTournamentAverages!AL16/MassFormulaTesting!$B$84,"")*0.68)+0.3</f>
        <v>0.3</v>
      </c>
      <c r="AD13" s="376">
        <f>(IFERROR(TotalTournamentAverages!AM16/MassFormulaTesting!$B$86,"")*0.68)+0.3</f>
        <v>0.3</v>
      </c>
      <c r="AE13" s="376">
        <f>(IFERROR(TotalTournamentAverages!AN16/MassFormulaTesting!$B$88,"")*0.68)+0.3</f>
        <v>0.3</v>
      </c>
      <c r="AF13" s="376">
        <f>(IFERROR(TotalTournamentAverages!AO16/MassFormulaTesting!$B$90,"")*0.68)+0.3</f>
        <v>0.3</v>
      </c>
      <c r="AG13" s="376">
        <f>(IFERROR(TotalTournamentAverages!AP16/MassFormulaTesting!$B$92,"")*0.68)+0.3</f>
        <v>0.3</v>
      </c>
      <c r="AH13" s="376">
        <f>(IFERROR(TotalTournamentAverages!AQ16/MassFormulaTesting!$B$94,"")*0.68)+0.3</f>
        <v>0.3</v>
      </c>
      <c r="AI13" s="376">
        <f>(IFERROR(TotalTournamentAverages!AR16/MassFormulaTesting!$B$96,"")*0.68)+0.3</f>
        <v>0.3</v>
      </c>
      <c r="AJ13" s="376">
        <f>(IFERROR(TotalTournamentAverages!AS16/MassFormulaTesting!$B$98,"")*0.68)+0.3</f>
        <v>0.3</v>
      </c>
      <c r="AK13" s="376">
        <f>(IFERROR(TotalTournamentAverages!AT16/MassFormulaTesting!$B$100,"")*0.68)+0.3</f>
        <v>0.3</v>
      </c>
      <c r="AL13" s="376">
        <f>(IFERROR(TotalTournamentAverages!AU16/MassFormulaTesting!$B$102,"")*0.68)+0.3</f>
        <v>0.3</v>
      </c>
      <c r="AM13" s="376">
        <f>(IFERROR(TotalTournamentAverages!AV16/MassFormulaTesting!$B$104,"")*0.68)+0.3</f>
        <v>0.3</v>
      </c>
    </row>
    <row r="14">
      <c r="B14" s="374" t="str">
        <f>MassFormulaTesting!D25</f>
        <v>#DIV/0!</v>
      </c>
      <c r="C14" s="375">
        <f>MassFormulaTesting!F25</f>
        <v>0.3</v>
      </c>
      <c r="D14" s="376">
        <f>(IFERROR(TotalTournamentAverages!D17/MassFormulaTesting!$B$16,"")*0.68)+0.3</f>
        <v>0.3485714286</v>
      </c>
      <c r="E14" s="376">
        <f>(IFERROR(TotalTournamentAverages!E17/MassFormulaTesting!$B$18,"")*0.68)+0.3</f>
        <v>0.9639370079</v>
      </c>
      <c r="F14" s="376">
        <f>(IFERROR(TotalTournamentAverages!F17/MassFormulaTesting!$B$20,"")*0.68)+0.3</f>
        <v>0.81</v>
      </c>
      <c r="G14" s="376">
        <f>(IFERROR(MassFormulaTesting!$C$22/TotalTournamentAverages!G17,"")*0.68)+0.3</f>
        <v>0.4322957198</v>
      </c>
      <c r="H14" s="376">
        <f>(((TotalTournamentAverages!H17+118)/(MassFormulaTesting!$B$24+118))*0.68)+0.3</f>
        <v>0.8069293924</v>
      </c>
      <c r="I14" s="376">
        <f>(IFERROR(TotalTournamentAverages!I17/MassFormulaTesting!$B$26,"")*0.68)+0.3</f>
        <v>0.66</v>
      </c>
      <c r="J14" s="376">
        <f>((0.98-IFERROR(TotalTournamentAverages!J17/MassFormulaTesting!$B$28,"")*0.68))</f>
        <v>0.7533333333</v>
      </c>
      <c r="K14" s="376">
        <f>(IFERROR(TotalTournamentAverages!K17/MassFormulaTesting!$B$30,"")*0.68)+0.3</f>
        <v>0.7914563294</v>
      </c>
      <c r="L14" s="376">
        <f>(IFERROR(TotalTournamentAverages!L17/MassFormulaTesting!$B$32,"")*0.68)+0.3</f>
        <v>0.8559024159</v>
      </c>
      <c r="M14" s="376">
        <f>(IFERROR(TotalTournamentAverages!M17/MassFormulaTesting!$B$34,"")*0.68)+0.3</f>
        <v>0.5009090909</v>
      </c>
      <c r="N14" s="376">
        <f>(IFERROR(TotalTournamentAverages!N17/MassFormulaTesting!$B$36,"")*0.68)+0.3</f>
        <v>0.6709090909</v>
      </c>
      <c r="O14" s="376">
        <f>(IFERROR(TotalTournamentAverages!O17/MassFormulaTesting!$B$38,"")*0.68)+0.3</f>
        <v>0.3</v>
      </c>
      <c r="P14" s="376">
        <f>(IFERROR(TotalTournamentAverages!P17/MassFormulaTesting!$B$40,"")*0.68)+0.3</f>
        <v>0.3</v>
      </c>
      <c r="Q14" s="376">
        <f>(IFERROR(TotalTournamentAverages!T17/MassFormulaTesting!$B$48,"")*0.68)+0.3</f>
        <v>0.6683333333</v>
      </c>
      <c r="R14" s="376">
        <f>(IFERROR(TotalTournamentAverages!U17/MassFormulaTesting!$B$50,"")*0.68)+0.3</f>
        <v>0.555</v>
      </c>
      <c r="S14" s="376">
        <f>(IFERROR(TotalTournamentAverages!V17/MassFormulaTesting!$B$52,"")*0.68)+0.3</f>
        <v>0.3</v>
      </c>
      <c r="T14" s="376">
        <f>(IFERROR(TotalTournamentAverages!W17/MassFormulaTesting!$B$54,"")*0.68)+0.3</f>
        <v>0.3</v>
      </c>
      <c r="U14" s="376">
        <f>(IFERROR(TotalTournamentAverages!X17/MassFormulaTesting!$B$56,"")*0.68)+0.3</f>
        <v>0.3</v>
      </c>
      <c r="V14" s="376">
        <f>(IFERROR(TotalTournamentAverages!Y17/MassFormulaTesting!$B$58,"")*0.68)+0.3</f>
        <v>0.3</v>
      </c>
      <c r="W14" s="376">
        <f>(IFERROR(TotalTournamentAverages!Z17/MassFormulaTesting!$B$60,"")*0.68)+0.3</f>
        <v>0.3</v>
      </c>
      <c r="X14" s="376">
        <f>(IFERROR(TotalTournamentAverages!AD17/MassFormulaTesting!$B$68,"")*0.68)+0.3</f>
        <v>0.3</v>
      </c>
      <c r="Y14" s="376">
        <f>(IFERROR(TotalTournamentAverages!AG17/MassFormulaTesting!$B$74,"")*0.68)+0.3</f>
        <v>0.3</v>
      </c>
      <c r="Z14" s="376">
        <f>(IFERROR(TotalTournamentAverages!AH17/MassFormulaTesting!$B$76,"")*0.68)+0.3</f>
        <v>0.3</v>
      </c>
      <c r="AA14" s="376">
        <f>(IFERROR(TotalTournamentAverages!AJ17/MassFormulaTesting!$B$80,"")*0.68)+0.3</f>
        <v>0.3</v>
      </c>
      <c r="AB14" s="376">
        <f>(IFERROR(TotalTournamentAverages!AK17/MassFormulaTesting!$B$82,"")*0.68)+0.3</f>
        <v>0.3</v>
      </c>
      <c r="AC14" s="376">
        <f>(IFERROR(TotalTournamentAverages!AL17/MassFormulaTesting!$B$84,"")*0.68)+0.3</f>
        <v>0.3</v>
      </c>
      <c r="AD14" s="376">
        <f>(IFERROR(TotalTournamentAverages!AM17/MassFormulaTesting!$B$86,"")*0.68)+0.3</f>
        <v>0.3</v>
      </c>
      <c r="AE14" s="376">
        <f>(IFERROR(TotalTournamentAverages!AN17/MassFormulaTesting!$B$88,"")*0.68)+0.3</f>
        <v>0.3</v>
      </c>
      <c r="AF14" s="376">
        <f>(IFERROR(TotalTournamentAverages!AO17/MassFormulaTesting!$B$90,"")*0.68)+0.3</f>
        <v>0.3</v>
      </c>
      <c r="AG14" s="376">
        <f>(IFERROR(TotalTournamentAverages!AP17/MassFormulaTesting!$B$92,"")*0.68)+0.3</f>
        <v>0.3</v>
      </c>
      <c r="AH14" s="376">
        <f>(IFERROR(TotalTournamentAverages!AQ17/MassFormulaTesting!$B$94,"")*0.68)+0.3</f>
        <v>0.3</v>
      </c>
      <c r="AI14" s="376">
        <f>(IFERROR(TotalTournamentAverages!AR17/MassFormulaTesting!$B$96,"")*0.68)+0.3</f>
        <v>0.3</v>
      </c>
      <c r="AJ14" s="376">
        <f>(IFERROR(TotalTournamentAverages!AS17/MassFormulaTesting!$B$98,"")*0.68)+0.3</f>
        <v>0.3</v>
      </c>
      <c r="AK14" s="376">
        <f>(IFERROR(TotalTournamentAverages!AT17/MassFormulaTesting!$B$100,"")*0.68)+0.3</f>
        <v>0.3</v>
      </c>
      <c r="AL14" s="376">
        <f>(IFERROR(TotalTournamentAverages!AU17/MassFormulaTesting!$B$102,"")*0.68)+0.3</f>
        <v>0.3</v>
      </c>
      <c r="AM14" s="376">
        <f>(IFERROR(TotalTournamentAverages!AV17/MassFormulaTesting!$B$104,"")*0.68)+0.3</f>
        <v>0.3</v>
      </c>
    </row>
    <row r="15">
      <c r="B15" s="374" t="str">
        <f>MassFormulaTesting!D26</f>
        <v>#DIV/0!</v>
      </c>
      <c r="C15" s="375">
        <f>MassFormulaTesting!F26</f>
        <v>0.3</v>
      </c>
      <c r="D15" s="376">
        <f>(IFERROR(TotalTournamentAverages!D18/MassFormulaTesting!$B$16,"")*0.68)+0.3</f>
        <v>0.7371428571</v>
      </c>
      <c r="E15" s="376">
        <f>(IFERROR(TotalTournamentAverages!E18/MassFormulaTesting!$B$18,"")*0.68)+0.3</f>
        <v>0.7122834646</v>
      </c>
      <c r="F15" s="376">
        <f>(IFERROR(TotalTournamentAverages!F18/MassFormulaTesting!$B$20,"")*0.68)+0.3</f>
        <v>0.623</v>
      </c>
      <c r="G15" s="376">
        <f>(IFERROR(MassFormulaTesting!$C$22/TotalTournamentAverages!G18,"")*0.68)+0.3</f>
        <v>0.5193548387</v>
      </c>
      <c r="H15" s="376">
        <f>(((TotalTournamentAverages!H18+118)/(MassFormulaTesting!$B$24+118))*0.68)+0.3</f>
        <v>0.8247947455</v>
      </c>
      <c r="I15" s="376">
        <f>(IFERROR(TotalTournamentAverages!I18/MassFormulaTesting!$B$26,"")*0.68)+0.3</f>
        <v>0.645</v>
      </c>
      <c r="J15" s="376">
        <f>((0.98-IFERROR(TotalTournamentAverages!J18/MassFormulaTesting!$B$28,"")*0.68))</f>
        <v>0.3</v>
      </c>
      <c r="K15" s="376">
        <f>(IFERROR(TotalTournamentAverages!K18/MassFormulaTesting!$B$30,"")*0.68)+0.3</f>
        <v>0.7834109273</v>
      </c>
      <c r="L15" s="376">
        <f>(IFERROR(TotalTournamentAverages!L18/MassFormulaTesting!$B$32,"")*0.68)+0.3</f>
        <v>0.797356703</v>
      </c>
      <c r="M15" s="376">
        <f>(IFERROR(TotalTournamentAverages!M18/MassFormulaTesting!$B$34,"")*0.68)+0.3</f>
        <v>0.6090909091</v>
      </c>
      <c r="N15" s="376">
        <f>(IFERROR(TotalTournamentAverages!N18/MassFormulaTesting!$B$36,"")*0.68)+0.3</f>
        <v>0.3927272727</v>
      </c>
      <c r="O15" s="376">
        <f>(IFERROR(TotalTournamentAverages!O18/MassFormulaTesting!$B$38,"")*0.68)+0.3</f>
        <v>0.47</v>
      </c>
      <c r="P15" s="376">
        <f>(IFERROR(TotalTournamentAverages!P18/MassFormulaTesting!$B$40,"")*0.68)+0.3</f>
        <v>0.3</v>
      </c>
      <c r="Q15" s="376">
        <f>(IFERROR(TotalTournamentAverages!T18/MassFormulaTesting!$B$48,"")*0.68)+0.3</f>
        <v>0.4416666667</v>
      </c>
      <c r="R15" s="376">
        <f>(IFERROR(TotalTournamentAverages!U18/MassFormulaTesting!$B$50,"")*0.68)+0.3</f>
        <v>0.3</v>
      </c>
      <c r="S15" s="376">
        <f>(IFERROR(TotalTournamentAverages!V18/MassFormulaTesting!$B$52,"")*0.68)+0.3</f>
        <v>0.3</v>
      </c>
      <c r="T15" s="376">
        <f>(IFERROR(TotalTournamentAverages!W18/MassFormulaTesting!$B$54,"")*0.68)+0.3</f>
        <v>0.3</v>
      </c>
      <c r="U15" s="376">
        <f>(IFERROR(TotalTournamentAverages!X18/MassFormulaTesting!$B$56,"")*0.68)+0.3</f>
        <v>0.3</v>
      </c>
      <c r="V15" s="376">
        <f>(IFERROR(TotalTournamentAverages!Y18/MassFormulaTesting!$B$58,"")*0.68)+0.3</f>
        <v>0.3</v>
      </c>
      <c r="W15" s="376">
        <f>(IFERROR(TotalTournamentAverages!Z18/MassFormulaTesting!$B$60,"")*0.68)+0.3</f>
        <v>0.3</v>
      </c>
      <c r="X15" s="376">
        <f>(IFERROR(TotalTournamentAverages!AD18/MassFormulaTesting!$B$68,"")*0.68)+0.3</f>
        <v>0.3</v>
      </c>
      <c r="Y15" s="376">
        <f>(IFERROR(TotalTournamentAverages!AG18/MassFormulaTesting!$B$74,"")*0.68)+0.3</f>
        <v>0.3</v>
      </c>
      <c r="Z15" s="376">
        <f>(IFERROR(TotalTournamentAverages!AH18/MassFormulaTesting!$B$76,"")*0.68)+0.3</f>
        <v>0.3</v>
      </c>
      <c r="AA15" s="376">
        <f>(IFERROR(TotalTournamentAverages!AJ18/MassFormulaTesting!$B$80,"")*0.68)+0.3</f>
        <v>0.3</v>
      </c>
      <c r="AB15" s="376">
        <f>(IFERROR(TotalTournamentAverages!AK18/MassFormulaTesting!$B$82,"")*0.68)+0.3</f>
        <v>0.3</v>
      </c>
      <c r="AC15" s="376">
        <f>(IFERROR(TotalTournamentAverages!AL18/MassFormulaTesting!$B$84,"")*0.68)+0.3</f>
        <v>0.3</v>
      </c>
      <c r="AD15" s="376">
        <f>(IFERROR(TotalTournamentAverages!AM18/MassFormulaTesting!$B$86,"")*0.68)+0.3</f>
        <v>0.3</v>
      </c>
      <c r="AE15" s="376">
        <f>(IFERROR(TotalTournamentAverages!AN18/MassFormulaTesting!$B$88,"")*0.68)+0.3</f>
        <v>0.3</v>
      </c>
      <c r="AF15" s="376">
        <f>(IFERROR(TotalTournamentAverages!AO18/MassFormulaTesting!$B$90,"")*0.68)+0.3</f>
        <v>0.3</v>
      </c>
      <c r="AG15" s="376">
        <f>(IFERROR(TotalTournamentAverages!AP18/MassFormulaTesting!$B$92,"")*0.68)+0.3</f>
        <v>0.3</v>
      </c>
      <c r="AH15" s="376">
        <f>(IFERROR(TotalTournamentAverages!AQ18/MassFormulaTesting!$B$94,"")*0.68)+0.3</f>
        <v>0.3</v>
      </c>
      <c r="AI15" s="376">
        <f>(IFERROR(TotalTournamentAverages!AR18/MassFormulaTesting!$B$96,"")*0.68)+0.3</f>
        <v>0.3</v>
      </c>
      <c r="AJ15" s="376">
        <f>(IFERROR(TotalTournamentAverages!AS18/MassFormulaTesting!$B$98,"")*0.68)+0.3</f>
        <v>0.3</v>
      </c>
      <c r="AK15" s="376">
        <f>(IFERROR(TotalTournamentAverages!AT18/MassFormulaTesting!$B$100,"")*0.68)+0.3</f>
        <v>0.3</v>
      </c>
      <c r="AL15" s="376">
        <f>(IFERROR(TotalTournamentAverages!AU18/MassFormulaTesting!$B$102,"")*0.68)+0.3</f>
        <v>0.3</v>
      </c>
      <c r="AM15" s="376">
        <f>(IFERROR(TotalTournamentAverages!AV18/MassFormulaTesting!$B$104,"")*0.68)+0.3</f>
        <v>0.3</v>
      </c>
    </row>
    <row r="16">
      <c r="B16" s="374" t="str">
        <f>MassFormulaTesting!D27</f>
        <v>#DIV/0!</v>
      </c>
      <c r="C16" s="375">
        <f>MassFormulaTesting!F27</f>
        <v>0.3</v>
      </c>
      <c r="D16" s="376">
        <f>(IFERROR(TotalTournamentAverages!D19/MassFormulaTesting!$B$16,"")*0.68)+0.3</f>
        <v>0.4942857143</v>
      </c>
      <c r="E16" s="376">
        <f>(IFERROR(TotalTournamentAverages!E19/MassFormulaTesting!$B$18,"")*0.68)+0.3</f>
        <v>0.6587401575</v>
      </c>
      <c r="F16" s="376">
        <f>(IFERROR(TotalTournamentAverages!F19/MassFormulaTesting!$B$20,"")*0.68)+0.3</f>
        <v>0.708</v>
      </c>
      <c r="G16" s="376">
        <f>(IFERROR(MassFormulaTesting!$C$22/TotalTournamentAverages!G19,"")*0.68)+0.3</f>
        <v>0.55</v>
      </c>
      <c r="H16" s="376">
        <f>(((TotalTournamentAverages!H19+118)/(MassFormulaTesting!$B$24+118))*0.68)+0.3</f>
        <v>0.8225615764</v>
      </c>
      <c r="I16" s="376">
        <f>(IFERROR(TotalTournamentAverages!I19/MassFormulaTesting!$B$26,"")*0.68)+0.3</f>
        <v>0.72</v>
      </c>
      <c r="J16" s="376">
        <f>((0.98-IFERROR(TotalTournamentAverages!J19/MassFormulaTesting!$B$28,"")*0.68))</f>
        <v>0.98</v>
      </c>
      <c r="K16" s="376">
        <f>(IFERROR(TotalTournamentAverages!K19/MassFormulaTesting!$B$30,"")*0.68)+0.3</f>
        <v>0.7462254713</v>
      </c>
      <c r="L16" s="376">
        <f>(IFERROR(TotalTournamentAverages!L19/MassFormulaTesting!$B$32,"")*0.68)+0.3</f>
        <v>0.7561250592</v>
      </c>
      <c r="M16" s="376">
        <f>(IFERROR(TotalTournamentAverages!M19/MassFormulaTesting!$B$34,"")*0.68)+0.3</f>
        <v>0.6296969697</v>
      </c>
      <c r="N16" s="376">
        <f>(IFERROR(TotalTournamentAverages!N19/MassFormulaTesting!$B$36,"")*0.68)+0.3</f>
        <v>0.6709090909</v>
      </c>
      <c r="O16" s="376">
        <f>(IFERROR(TotalTournamentAverages!O19/MassFormulaTesting!$B$38,"")*0.68)+0.3</f>
        <v>0.3</v>
      </c>
      <c r="P16" s="376">
        <f>(IFERROR(TotalTournamentAverages!P19/MassFormulaTesting!$B$40,"")*0.68)+0.3</f>
        <v>0.3</v>
      </c>
      <c r="Q16" s="376">
        <f>(IFERROR(TotalTournamentAverages!T19/MassFormulaTesting!$B$48,"")*0.68)+0.3</f>
        <v>0.5266666667</v>
      </c>
      <c r="R16" s="376">
        <f>(IFERROR(TotalTournamentAverages!U19/MassFormulaTesting!$B$50,"")*0.68)+0.3</f>
        <v>0.3</v>
      </c>
      <c r="S16" s="376">
        <f>(IFERROR(TotalTournamentAverages!V19/MassFormulaTesting!$B$52,"")*0.68)+0.3</f>
        <v>0.3</v>
      </c>
      <c r="T16" s="376">
        <f>(IFERROR(TotalTournamentAverages!W19/MassFormulaTesting!$B$54,"")*0.68)+0.3</f>
        <v>0.3</v>
      </c>
      <c r="U16" s="376">
        <f>(IFERROR(TotalTournamentAverages!X19/MassFormulaTesting!$B$56,"")*0.68)+0.3</f>
        <v>0.3</v>
      </c>
      <c r="V16" s="376">
        <f>(IFERROR(TotalTournamentAverages!Y19/MassFormulaTesting!$B$58,"")*0.68)+0.3</f>
        <v>0.3</v>
      </c>
      <c r="W16" s="376">
        <f>(IFERROR(TotalTournamentAverages!Z19/MassFormulaTesting!$B$60,"")*0.68)+0.3</f>
        <v>0.3</v>
      </c>
      <c r="X16" s="376">
        <f>(IFERROR(TotalTournamentAverages!AD19/MassFormulaTesting!$B$68,"")*0.68)+0.3</f>
        <v>0.3</v>
      </c>
      <c r="Y16" s="376">
        <f>(IFERROR(TotalTournamentAverages!AG19/MassFormulaTesting!$B$74,"")*0.68)+0.3</f>
        <v>0.3</v>
      </c>
      <c r="Z16" s="376">
        <f>(IFERROR(TotalTournamentAverages!AH19/MassFormulaTesting!$B$76,"")*0.68)+0.3</f>
        <v>0.3</v>
      </c>
      <c r="AA16" s="376">
        <f>(IFERROR(TotalTournamentAverages!AJ19/MassFormulaTesting!$B$80,"")*0.68)+0.3</f>
        <v>0.3</v>
      </c>
      <c r="AB16" s="376">
        <f>(IFERROR(TotalTournamentAverages!AK19/MassFormulaTesting!$B$82,"")*0.68)+0.3</f>
        <v>0.3</v>
      </c>
      <c r="AC16" s="376">
        <f>(IFERROR(TotalTournamentAverages!AL19/MassFormulaTesting!$B$84,"")*0.68)+0.3</f>
        <v>0.3</v>
      </c>
      <c r="AD16" s="376">
        <f>(IFERROR(TotalTournamentAverages!AM19/MassFormulaTesting!$B$86,"")*0.68)+0.3</f>
        <v>0.3</v>
      </c>
      <c r="AE16" s="376">
        <f>(IFERROR(TotalTournamentAverages!AN19/MassFormulaTesting!$B$88,"")*0.68)+0.3</f>
        <v>0.3</v>
      </c>
      <c r="AF16" s="376">
        <f>(IFERROR(TotalTournamentAverages!AO19/MassFormulaTesting!$B$90,"")*0.68)+0.3</f>
        <v>0.3</v>
      </c>
      <c r="AG16" s="376">
        <f>(IFERROR(TotalTournamentAverages!AP19/MassFormulaTesting!$B$92,"")*0.68)+0.3</f>
        <v>0.3</v>
      </c>
      <c r="AH16" s="376">
        <f>(IFERROR(TotalTournamentAverages!AQ19/MassFormulaTesting!$B$94,"")*0.68)+0.3</f>
        <v>0.3</v>
      </c>
      <c r="AI16" s="376">
        <f>(IFERROR(TotalTournamentAverages!AR19/MassFormulaTesting!$B$96,"")*0.68)+0.3</f>
        <v>0.3</v>
      </c>
      <c r="AJ16" s="376">
        <f>(IFERROR(TotalTournamentAverages!AS19/MassFormulaTesting!$B$98,"")*0.68)+0.3</f>
        <v>0.3</v>
      </c>
      <c r="AK16" s="376">
        <f>(IFERROR(TotalTournamentAverages!AT19/MassFormulaTesting!$B$100,"")*0.68)+0.3</f>
        <v>0.3</v>
      </c>
      <c r="AL16" s="376">
        <f>(IFERROR(TotalTournamentAverages!AU19/MassFormulaTesting!$B$102,"")*0.68)+0.3</f>
        <v>0.3</v>
      </c>
      <c r="AM16" s="376">
        <f>(IFERROR(TotalTournamentAverages!AV19/MassFormulaTesting!$B$104,"")*0.68)+0.3</f>
        <v>0.3</v>
      </c>
    </row>
    <row r="17">
      <c r="B17" s="374" t="str">
        <f>MassFormulaTesting!D28</f>
        <v>#DIV/0!</v>
      </c>
      <c r="C17" s="375">
        <f>MassFormulaTesting!F28</f>
        <v>0.3</v>
      </c>
      <c r="D17" s="376">
        <f>(IFERROR(TotalTournamentAverages!D20/MassFormulaTesting!$B$16,"")*0.68)+0.3</f>
        <v>0.8180952381</v>
      </c>
      <c r="E17" s="376">
        <f>(IFERROR(TotalTournamentAverages!E20/MassFormulaTesting!$B$18,"")*0.68)+0.3</f>
        <v>0.5659317585</v>
      </c>
      <c r="F17" s="376">
        <f>(IFERROR(TotalTournamentAverages!F20/MassFormulaTesting!$B$20,"")*0.68)+0.3</f>
        <v>0.4133333333</v>
      </c>
      <c r="G17" s="376">
        <f>(IFERROR(MassFormulaTesting!$C$22/TotalTournamentAverages!G20,"")*0.68)+0.3</f>
        <v>0.6445945946</v>
      </c>
      <c r="H17" s="376">
        <f>(((TotalTournamentAverages!H20+118)/(MassFormulaTesting!$B$24+118))*0.68)+0.3</f>
        <v>0.828516694</v>
      </c>
      <c r="I17" s="376">
        <f>(IFERROR(TotalTournamentAverages!I20/MassFormulaTesting!$B$26,"")*0.68)+0.3</f>
        <v>0.6</v>
      </c>
      <c r="J17" s="376">
        <f>((0.98-IFERROR(TotalTournamentAverages!J20/MassFormulaTesting!$B$28,"")*0.68))</f>
        <v>0.7382222222</v>
      </c>
      <c r="K17" s="376">
        <f>(IFERROR(TotalTournamentAverages!K20/MassFormulaTesting!$B$30,"")*0.68)+0.3</f>
        <v>0.6219469027</v>
      </c>
      <c r="L17" s="376">
        <f>(IFERROR(TotalTournamentAverages!L20/MassFormulaTesting!$B$32,"")*0.68)+0.3</f>
        <v>0.6393020685</v>
      </c>
      <c r="M17" s="376">
        <f>(IFERROR(TotalTournamentAverages!M20/MassFormulaTesting!$B$34,"")*0.68)+0.3</f>
        <v>0.6503030303</v>
      </c>
      <c r="N17" s="376">
        <f>(IFERROR(TotalTournamentAverages!N20/MassFormulaTesting!$B$36,"")*0.68)+0.3</f>
        <v>0.6090909091</v>
      </c>
      <c r="O17" s="376">
        <f>(IFERROR(TotalTournamentAverages!O20/MassFormulaTesting!$B$38,"")*0.68)+0.3</f>
        <v>0.3</v>
      </c>
      <c r="P17" s="376">
        <f>(IFERROR(TotalTournamentAverages!P20/MassFormulaTesting!$B$40,"")*0.68)+0.3</f>
        <v>0.3</v>
      </c>
      <c r="Q17" s="376">
        <f>(IFERROR(TotalTournamentAverages!T20/MassFormulaTesting!$B$48,"")*0.68)+0.3</f>
        <v>0.4511111111</v>
      </c>
      <c r="R17" s="376">
        <f>(IFERROR(TotalTournamentAverages!U20/MassFormulaTesting!$B$50,"")*0.68)+0.3</f>
        <v>0.3</v>
      </c>
      <c r="S17" s="376">
        <f>(IFERROR(TotalTournamentAverages!V20/MassFormulaTesting!$B$52,"")*0.68)+0.3</f>
        <v>0.3</v>
      </c>
      <c r="T17" s="376">
        <f>(IFERROR(TotalTournamentAverages!W20/MassFormulaTesting!$B$54,"")*0.68)+0.3</f>
        <v>0.3</v>
      </c>
      <c r="U17" s="376">
        <f>(IFERROR(TotalTournamentAverages!X20/MassFormulaTesting!$B$56,"")*0.68)+0.3</f>
        <v>0.3</v>
      </c>
      <c r="V17" s="376">
        <f>(IFERROR(TotalTournamentAverages!Y20/MassFormulaTesting!$B$58,"")*0.68)+0.3</f>
        <v>0.3</v>
      </c>
      <c r="W17" s="376">
        <f>(IFERROR(TotalTournamentAverages!Z20/MassFormulaTesting!$B$60,"")*0.68)+0.3</f>
        <v>0.3</v>
      </c>
      <c r="X17" s="376">
        <f>(IFERROR(TotalTournamentAverages!AD20/MassFormulaTesting!$B$68,"")*0.68)+0.3</f>
        <v>0.3</v>
      </c>
      <c r="Y17" s="376">
        <f>(IFERROR(TotalTournamentAverages!AG20/MassFormulaTesting!$B$74,"")*0.68)+0.3</f>
        <v>0.3</v>
      </c>
      <c r="Z17" s="376">
        <f>(IFERROR(TotalTournamentAverages!AH20/MassFormulaTesting!$B$76,"")*0.68)+0.3</f>
        <v>0.3</v>
      </c>
      <c r="AA17" s="376">
        <f>(IFERROR(TotalTournamentAverages!AJ20/MassFormulaTesting!$B$80,"")*0.68)+0.3</f>
        <v>0.3</v>
      </c>
      <c r="AB17" s="376">
        <f>(IFERROR(TotalTournamentAverages!AK20/MassFormulaTesting!$B$82,"")*0.68)+0.3</f>
        <v>0.3</v>
      </c>
      <c r="AC17" s="376">
        <f>(IFERROR(TotalTournamentAverages!AL20/MassFormulaTesting!$B$84,"")*0.68)+0.3</f>
        <v>0.3</v>
      </c>
      <c r="AD17" s="376">
        <f>(IFERROR(TotalTournamentAverages!AM20/MassFormulaTesting!$B$86,"")*0.68)+0.3</f>
        <v>0.3</v>
      </c>
      <c r="AE17" s="376">
        <f>(IFERROR(TotalTournamentAverages!AN20/MassFormulaTesting!$B$88,"")*0.68)+0.3</f>
        <v>0.3</v>
      </c>
      <c r="AF17" s="376">
        <f>(IFERROR(TotalTournamentAverages!AO20/MassFormulaTesting!$B$90,"")*0.68)+0.3</f>
        <v>0.3</v>
      </c>
      <c r="AG17" s="376">
        <f>(IFERROR(TotalTournamentAverages!AP20/MassFormulaTesting!$B$92,"")*0.68)+0.3</f>
        <v>0.3</v>
      </c>
      <c r="AH17" s="376">
        <f>(IFERROR(TotalTournamentAverages!AQ20/MassFormulaTesting!$B$94,"")*0.68)+0.3</f>
        <v>0.3</v>
      </c>
      <c r="AI17" s="376">
        <f>(IFERROR(TotalTournamentAverages!AR20/MassFormulaTesting!$B$96,"")*0.68)+0.3</f>
        <v>0.3</v>
      </c>
      <c r="AJ17" s="376">
        <f>(IFERROR(TotalTournamentAverages!AS20/MassFormulaTesting!$B$98,"")*0.68)+0.3</f>
        <v>0.3</v>
      </c>
      <c r="AK17" s="376">
        <f>(IFERROR(TotalTournamentAverages!AT20/MassFormulaTesting!$B$100,"")*0.68)+0.3</f>
        <v>0.3</v>
      </c>
      <c r="AL17" s="376">
        <f>(IFERROR(TotalTournamentAverages!AU20/MassFormulaTesting!$B$102,"")*0.68)+0.3</f>
        <v>0.3</v>
      </c>
      <c r="AM17" s="376">
        <f>(IFERROR(TotalTournamentAverages!AV20/MassFormulaTesting!$B$104,"")*0.68)+0.3</f>
        <v>0.3</v>
      </c>
    </row>
    <row r="18">
      <c r="B18" s="374" t="str">
        <f>MassFormulaTesting!D29</f>
        <v>#DIV/0!</v>
      </c>
      <c r="C18" s="375">
        <f>MassFormulaTesting!F29</f>
        <v>0.3</v>
      </c>
      <c r="D18" s="376">
        <f>(IFERROR(TotalTournamentAverages!D21/MassFormulaTesting!$B$16,"")*0.68)+0.3</f>
        <v>0.4942857143</v>
      </c>
      <c r="E18" s="376">
        <f>(IFERROR(TotalTournamentAverages!E21/MassFormulaTesting!$B$18,"")*0.68)+0.3</f>
        <v>0.5302362205</v>
      </c>
      <c r="F18" s="376">
        <f>(IFERROR(TotalTournamentAverages!F21/MassFormulaTesting!$B$20,"")*0.68)+0.3</f>
        <v>0.572</v>
      </c>
      <c r="G18" s="376">
        <f>(IFERROR(MassFormulaTesting!$C$22/TotalTournamentAverages!G21,"")*0.68)+0.3</f>
        <v>0.7146341463</v>
      </c>
      <c r="H18" s="376">
        <f>(((TotalTournamentAverages!H21+118)/(MassFormulaTesting!$B$24+118))*0.68)+0.3</f>
        <v>0.8359605911</v>
      </c>
      <c r="I18" s="376">
        <f>(IFERROR(TotalTournamentAverages!I21/MassFormulaTesting!$B$26,"")*0.68)+0.3</f>
        <v>0.66</v>
      </c>
      <c r="J18" s="376">
        <f>((0.98-IFERROR(TotalTournamentAverages!J21/MassFormulaTesting!$B$28,"")*0.68))</f>
        <v>0.6173333333</v>
      </c>
      <c r="K18" s="376">
        <f>(IFERROR(TotalTournamentAverages!K21/MassFormulaTesting!$B$30,"")*0.68)+0.3</f>
        <v>0.5425394382</v>
      </c>
      <c r="L18" s="376">
        <f>(IFERROR(TotalTournamentAverages!L21/MassFormulaTesting!$B$32,"")*0.68)+0.3</f>
        <v>0.5647844623</v>
      </c>
      <c r="M18" s="376">
        <f>(IFERROR(TotalTournamentAverages!M21/MassFormulaTesting!$B$34,"")*0.68)+0.3</f>
        <v>0.6090909091</v>
      </c>
      <c r="N18" s="376">
        <f>(IFERROR(TotalTournamentAverages!N21/MassFormulaTesting!$B$36,"")*0.68)+0.3</f>
        <v>0.6709090909</v>
      </c>
      <c r="O18" s="376">
        <f>(IFERROR(TotalTournamentAverages!O21/MassFormulaTesting!$B$38,"")*0.68)+0.3</f>
        <v>0.3</v>
      </c>
      <c r="P18" s="376">
        <f>(IFERROR(TotalTournamentAverages!P21/MassFormulaTesting!$B$40,"")*0.68)+0.3</f>
        <v>0.3</v>
      </c>
      <c r="Q18" s="376">
        <f>(IFERROR(TotalTournamentAverages!T21/MassFormulaTesting!$B$48,"")*0.68)+0.3</f>
        <v>0.4133333333</v>
      </c>
      <c r="R18" s="376">
        <f>(IFERROR(TotalTournamentAverages!U21/MassFormulaTesting!$B$50,"")*0.68)+0.3</f>
        <v>0.3</v>
      </c>
      <c r="S18" s="376">
        <f>(IFERROR(TotalTournamentAverages!V21/MassFormulaTesting!$B$52,"")*0.68)+0.3</f>
        <v>0.3</v>
      </c>
      <c r="T18" s="376">
        <f>(IFERROR(TotalTournamentAverages!W21/MassFormulaTesting!$B$54,"")*0.68)+0.3</f>
        <v>0.3</v>
      </c>
      <c r="U18" s="376">
        <f>(IFERROR(TotalTournamentAverages!X21/MassFormulaTesting!$B$56,"")*0.68)+0.3</f>
        <v>0.3</v>
      </c>
      <c r="V18" s="376">
        <f>(IFERROR(TotalTournamentAverages!Y21/MassFormulaTesting!$B$58,"")*0.68)+0.3</f>
        <v>0.3</v>
      </c>
      <c r="W18" s="376">
        <f>(IFERROR(TotalTournamentAverages!Z21/MassFormulaTesting!$B$60,"")*0.68)+0.3</f>
        <v>0.3</v>
      </c>
      <c r="X18" s="376">
        <f>(IFERROR(TotalTournamentAverages!AD21/MassFormulaTesting!$B$68,"")*0.68)+0.3</f>
        <v>0.3</v>
      </c>
      <c r="Y18" s="376">
        <f>(IFERROR(TotalTournamentAverages!AG21/MassFormulaTesting!$B$74,"")*0.68)+0.3</f>
        <v>0.3</v>
      </c>
      <c r="Z18" s="376">
        <f>(IFERROR(TotalTournamentAverages!AH21/MassFormulaTesting!$B$76,"")*0.68)+0.3</f>
        <v>0.3</v>
      </c>
      <c r="AA18" s="376">
        <f>(IFERROR(TotalTournamentAverages!AJ21/MassFormulaTesting!$B$80,"")*0.68)+0.3</f>
        <v>0.3</v>
      </c>
      <c r="AB18" s="376">
        <f>(IFERROR(TotalTournamentAverages!AK21/MassFormulaTesting!$B$82,"")*0.68)+0.3</f>
        <v>0.3</v>
      </c>
      <c r="AC18" s="376">
        <f>(IFERROR(TotalTournamentAverages!AL21/MassFormulaTesting!$B$84,"")*0.68)+0.3</f>
        <v>0.3</v>
      </c>
      <c r="AD18" s="376">
        <f>(IFERROR(TotalTournamentAverages!AM21/MassFormulaTesting!$B$86,"")*0.68)+0.3</f>
        <v>0.3</v>
      </c>
      <c r="AE18" s="376">
        <f>(IFERROR(TotalTournamentAverages!AN21/MassFormulaTesting!$B$88,"")*0.68)+0.3</f>
        <v>0.3</v>
      </c>
      <c r="AF18" s="376">
        <f>(IFERROR(TotalTournamentAverages!AO21/MassFormulaTesting!$B$90,"")*0.68)+0.3</f>
        <v>0.3</v>
      </c>
      <c r="AG18" s="376">
        <f>(IFERROR(TotalTournamentAverages!AP21/MassFormulaTesting!$B$92,"")*0.68)+0.3</f>
        <v>0.3</v>
      </c>
      <c r="AH18" s="376">
        <f>(IFERROR(TotalTournamentAverages!AQ21/MassFormulaTesting!$B$94,"")*0.68)+0.3</f>
        <v>0.3</v>
      </c>
      <c r="AI18" s="376">
        <f>(IFERROR(TotalTournamentAverages!AR21/MassFormulaTesting!$B$96,"")*0.68)+0.3</f>
        <v>0.3</v>
      </c>
      <c r="AJ18" s="376">
        <f>(IFERROR(TotalTournamentAverages!AS21/MassFormulaTesting!$B$98,"")*0.68)+0.3</f>
        <v>0.3</v>
      </c>
      <c r="AK18" s="376">
        <f>(IFERROR(TotalTournamentAverages!AT21/MassFormulaTesting!$B$100,"")*0.68)+0.3</f>
        <v>0.3</v>
      </c>
      <c r="AL18" s="376">
        <f>(IFERROR(TotalTournamentAverages!AU21/MassFormulaTesting!$B$102,"")*0.68)+0.3</f>
        <v>0.3</v>
      </c>
      <c r="AM18" s="376">
        <f>(IFERROR(TotalTournamentAverages!AV21/MassFormulaTesting!$B$104,"")*0.68)+0.3</f>
        <v>0.3</v>
      </c>
    </row>
    <row r="19">
      <c r="B19" s="374" t="str">
        <f>MassFormulaTesting!D30</f>
        <v>#DIV/0!</v>
      </c>
      <c r="C19" s="375">
        <f>MassFormulaTesting!F30</f>
        <v>0.3</v>
      </c>
      <c r="D19" s="376">
        <f>(IFERROR(TotalTournamentAverages!D22/MassFormulaTesting!$B$16,"")*0.68)+0.3</f>
        <v>0.6885714286</v>
      </c>
      <c r="E19" s="376">
        <f>(IFERROR(TotalTournamentAverages!E22/MassFormulaTesting!$B$18,"")*0.68)+0.3</f>
        <v>0.3749606299</v>
      </c>
      <c r="F19" s="376">
        <f>(IFERROR(TotalTournamentAverages!F22/MassFormulaTesting!$B$20,"")*0.68)+0.3</f>
        <v>0.334</v>
      </c>
      <c r="G19" s="376">
        <f>(IFERROR(MassFormulaTesting!$C$22/TotalTournamentAverages!G22,"")*0.68)+0.3</f>
        <v>0.9666666667</v>
      </c>
      <c r="H19" s="376">
        <f>(((TotalTournamentAverages!H22+118)/(MassFormulaTesting!$B$24+118))*0.68)+0.3</f>
        <v>0.7756650246</v>
      </c>
      <c r="I19" s="376">
        <f>(IFERROR(TotalTournamentAverages!I22/MassFormulaTesting!$B$26,"")*0.68)+0.3</f>
        <v>0.45</v>
      </c>
      <c r="J19" s="376">
        <f>((0.98-IFERROR(TotalTournamentAverages!J22/MassFormulaTesting!$B$28,"")*0.68))</f>
        <v>0.8893333333</v>
      </c>
      <c r="K19" s="376">
        <f>(IFERROR(TotalTournamentAverages!K22/MassFormulaTesting!$B$30,"")*0.68)+0.3</f>
        <v>0.4675798384</v>
      </c>
      <c r="L19" s="376">
        <f>(IFERROR(TotalTournamentAverages!L22/MassFormulaTesting!$B$32,"")*0.68)+0.3</f>
        <v>0.4842539081</v>
      </c>
      <c r="M19" s="376">
        <f>(IFERROR(TotalTournamentAverages!M22/MassFormulaTesting!$B$34,"")*0.68)+0.3</f>
        <v>0.6090909091</v>
      </c>
      <c r="N19" s="376">
        <f>(IFERROR(TotalTournamentAverages!N22/MassFormulaTesting!$B$36,"")*0.68)+0.3</f>
        <v>0.3</v>
      </c>
      <c r="O19" s="376">
        <f>(IFERROR(TotalTournamentAverages!O22/MassFormulaTesting!$B$38,"")*0.68)+0.3</f>
        <v>0.3</v>
      </c>
      <c r="P19" s="376">
        <f>(IFERROR(TotalTournamentAverages!P22/MassFormulaTesting!$B$40,"")*0.68)+0.3</f>
        <v>0.3</v>
      </c>
      <c r="Q19" s="376">
        <f>(IFERROR(TotalTournamentAverages!T22/MassFormulaTesting!$B$48,"")*0.68)+0.3</f>
        <v>0.3</v>
      </c>
      <c r="R19" s="376">
        <f>(IFERROR(TotalTournamentAverages!U22/MassFormulaTesting!$B$50,"")*0.68)+0.3</f>
        <v>0.3</v>
      </c>
      <c r="S19" s="376">
        <f>(IFERROR(TotalTournamentAverages!V22/MassFormulaTesting!$B$52,"")*0.68)+0.3</f>
        <v>0.3</v>
      </c>
      <c r="T19" s="376">
        <f>(IFERROR(TotalTournamentAverages!W22/MassFormulaTesting!$B$54,"")*0.68)+0.3</f>
        <v>0.3</v>
      </c>
      <c r="U19" s="376">
        <f>(IFERROR(TotalTournamentAverages!X22/MassFormulaTesting!$B$56,"")*0.68)+0.3</f>
        <v>0.3</v>
      </c>
      <c r="V19" s="376">
        <f>(IFERROR(TotalTournamentAverages!Y22/MassFormulaTesting!$B$58,"")*0.68)+0.3</f>
        <v>0.3</v>
      </c>
      <c r="W19" s="376">
        <f>(IFERROR(TotalTournamentAverages!Z22/MassFormulaTesting!$B$60,"")*0.68)+0.3</f>
        <v>0.3</v>
      </c>
      <c r="X19" s="376">
        <f>(IFERROR(TotalTournamentAverages!AD22/MassFormulaTesting!$B$68,"")*0.68)+0.3</f>
        <v>0.3</v>
      </c>
      <c r="Y19" s="376">
        <f>(IFERROR(TotalTournamentAverages!AG22/MassFormulaTesting!$B$74,"")*0.68)+0.3</f>
        <v>0.3</v>
      </c>
      <c r="Z19" s="376">
        <f>(IFERROR(TotalTournamentAverages!AH22/MassFormulaTesting!$B$76,"")*0.68)+0.3</f>
        <v>0.3</v>
      </c>
      <c r="AA19" s="376">
        <f>(IFERROR(TotalTournamentAverages!AJ22/MassFormulaTesting!$B$80,"")*0.68)+0.3</f>
        <v>0.3</v>
      </c>
      <c r="AB19" s="376">
        <f>(IFERROR(TotalTournamentAverages!AK22/MassFormulaTesting!$B$82,"")*0.68)+0.3</f>
        <v>0.3</v>
      </c>
      <c r="AC19" s="376">
        <f>(IFERROR(TotalTournamentAverages!AL22/MassFormulaTesting!$B$84,"")*0.68)+0.3</f>
        <v>0.3</v>
      </c>
      <c r="AD19" s="376">
        <f>(IFERROR(TotalTournamentAverages!AM22/MassFormulaTesting!$B$86,"")*0.68)+0.3</f>
        <v>0.3</v>
      </c>
      <c r="AE19" s="376">
        <f>(IFERROR(TotalTournamentAverages!AN22/MassFormulaTesting!$B$88,"")*0.68)+0.3</f>
        <v>0.3</v>
      </c>
      <c r="AF19" s="376">
        <f>(IFERROR(TotalTournamentAverages!AO22/MassFormulaTesting!$B$90,"")*0.68)+0.3</f>
        <v>0.3</v>
      </c>
      <c r="AG19" s="376">
        <f>(IFERROR(TotalTournamentAverages!AP22/MassFormulaTesting!$B$92,"")*0.68)+0.3</f>
        <v>0.3</v>
      </c>
      <c r="AH19" s="376">
        <f>(IFERROR(TotalTournamentAverages!AQ22/MassFormulaTesting!$B$94,"")*0.68)+0.3</f>
        <v>0.3</v>
      </c>
      <c r="AI19" s="376">
        <f>(IFERROR(TotalTournamentAverages!AR22/MassFormulaTesting!$B$96,"")*0.68)+0.3</f>
        <v>0.3</v>
      </c>
      <c r="AJ19" s="376">
        <f>(IFERROR(TotalTournamentAverages!AS22/MassFormulaTesting!$B$98,"")*0.68)+0.3</f>
        <v>0.3</v>
      </c>
      <c r="AK19" s="376">
        <f>(IFERROR(TotalTournamentAverages!AT22/MassFormulaTesting!$B$100,"")*0.68)+0.3</f>
        <v>0.3</v>
      </c>
      <c r="AL19" s="376">
        <f>(IFERROR(TotalTournamentAverages!AU22/MassFormulaTesting!$B$102,"")*0.68)+0.3</f>
        <v>0.3</v>
      </c>
      <c r="AM19" s="376">
        <f>(IFERROR(TotalTournamentAverages!AV22/MassFormulaTesting!$B$104,"")*0.68)+0.3</f>
        <v>0.3</v>
      </c>
    </row>
    <row r="20">
      <c r="B20" s="374" t="str">
        <f>MassFormulaTesting!D31</f>
        <v>#DIV/0!</v>
      </c>
      <c r="C20" s="375">
        <f>MassFormulaTesting!F31</f>
        <v>0.3</v>
      </c>
      <c r="D20" s="376">
        <f>(IFERROR(TotalTournamentAverages!D23/MassFormulaTesting!$B$16,"")*0.68)+0.3</f>
        <v>0.4942857143</v>
      </c>
      <c r="E20" s="376">
        <f>(IFERROR(TotalTournamentAverages!E23/MassFormulaTesting!$B$18,"")*0.68)+0.3</f>
        <v>0.630183727</v>
      </c>
      <c r="F20" s="376">
        <f>(IFERROR(TotalTournamentAverages!F23/MassFormulaTesting!$B$20,"")*0.68)+0.3</f>
        <v>0.6853333333</v>
      </c>
      <c r="G20" s="376">
        <f>(IFERROR(MassFormulaTesting!$C$22/TotalTournamentAverages!G23,"")*0.68)+0.3</f>
        <v>0.5965116279</v>
      </c>
      <c r="H20" s="376">
        <f>(((TotalTournamentAverages!H23+118)/(MassFormulaTesting!$B$24+118))*0.68)+0.3</f>
        <v>0.8463820471</v>
      </c>
      <c r="I20" s="376">
        <f>(IFERROR(TotalTournamentAverages!I23/MassFormulaTesting!$B$26,"")*0.68)+0.3</f>
        <v>0.56</v>
      </c>
      <c r="J20" s="376">
        <f>((0.98-IFERROR(TotalTournamentAverages!J23/MassFormulaTesting!$B$28,"")*0.68))</f>
        <v>0.7382222222</v>
      </c>
      <c r="K20" s="376">
        <f>(IFERROR(TotalTournamentAverages!K23/MassFormulaTesting!$B$30,"")*0.68)+0.3</f>
        <v>0.6125278953</v>
      </c>
      <c r="L20" s="376">
        <f>(IFERROR(TotalTournamentAverages!L23/MassFormulaTesting!$B$32,"")*0.68)+0.3</f>
        <v>0.6393020685</v>
      </c>
      <c r="M20" s="376">
        <f>(IFERROR(TotalTournamentAverages!M23/MassFormulaTesting!$B$34,"")*0.68)+0.3</f>
        <v>0.5747474747</v>
      </c>
      <c r="N20" s="376">
        <f>(IFERROR(TotalTournamentAverages!N23/MassFormulaTesting!$B$36,"")*0.68)+0.3</f>
        <v>0.4236363636</v>
      </c>
      <c r="O20" s="376">
        <f>(IFERROR(TotalTournamentAverages!O23/MassFormulaTesting!$B$38,"")*0.68)+0.3</f>
        <v>0.3</v>
      </c>
      <c r="P20" s="376">
        <f>(IFERROR(TotalTournamentAverages!P23/MassFormulaTesting!$B$40,"")*0.68)+0.3</f>
        <v>0.3</v>
      </c>
      <c r="Q20" s="376">
        <f>(IFERROR(TotalTournamentAverages!T23/MassFormulaTesting!$B$48,"")*0.68)+0.3</f>
        <v>0.64</v>
      </c>
      <c r="R20" s="376">
        <f>(IFERROR(TotalTournamentAverages!U23/MassFormulaTesting!$B$50,"")*0.68)+0.3</f>
        <v>0.64</v>
      </c>
      <c r="S20" s="376">
        <f>(IFERROR(TotalTournamentAverages!V23/MassFormulaTesting!$B$52,"")*0.68)+0.3</f>
        <v>0.5266666667</v>
      </c>
      <c r="T20" s="376">
        <f>(IFERROR(TotalTournamentAverages!W23/MassFormulaTesting!$B$54,"")*0.68)+0.3</f>
        <v>0.3</v>
      </c>
      <c r="U20" s="376">
        <f>(IFERROR(TotalTournamentAverages!X23/MassFormulaTesting!$B$56,"")*0.68)+0.3</f>
        <v>0.3</v>
      </c>
      <c r="V20" s="376">
        <f>(IFERROR(TotalTournamentAverages!Y23/MassFormulaTesting!$B$58,"")*0.68)+0.3</f>
        <v>0.3</v>
      </c>
      <c r="W20" s="376">
        <f>(IFERROR(TotalTournamentAverages!Z23/MassFormulaTesting!$B$60,"")*0.68)+0.3</f>
        <v>0.3</v>
      </c>
      <c r="X20" s="376">
        <f>(IFERROR(TotalTournamentAverages!AD23/MassFormulaTesting!$B$68,"")*0.68)+0.3</f>
        <v>0.3</v>
      </c>
      <c r="Y20" s="376">
        <f>(IFERROR(TotalTournamentAverages!AG23/MassFormulaTesting!$B$74,"")*0.68)+0.3</f>
        <v>0.3</v>
      </c>
      <c r="Z20" s="376">
        <f>(IFERROR(TotalTournamentAverages!AH23/MassFormulaTesting!$B$76,"")*0.68)+0.3</f>
        <v>0.3</v>
      </c>
      <c r="AA20" s="376">
        <f>(IFERROR(TotalTournamentAverages!AJ23/MassFormulaTesting!$B$80,"")*0.68)+0.3</f>
        <v>0.3</v>
      </c>
      <c r="AB20" s="376">
        <f>(IFERROR(TotalTournamentAverages!AK23/MassFormulaTesting!$B$82,"")*0.68)+0.3</f>
        <v>0.3</v>
      </c>
      <c r="AC20" s="376">
        <f>(IFERROR(TotalTournamentAverages!AL23/MassFormulaTesting!$B$84,"")*0.68)+0.3</f>
        <v>0.3</v>
      </c>
      <c r="AD20" s="376">
        <f>(IFERROR(TotalTournamentAverages!AM23/MassFormulaTesting!$B$86,"")*0.68)+0.3</f>
        <v>0.3</v>
      </c>
      <c r="AE20" s="376">
        <f>(IFERROR(TotalTournamentAverages!AN23/MassFormulaTesting!$B$88,"")*0.68)+0.3</f>
        <v>0.3</v>
      </c>
      <c r="AF20" s="376">
        <f>(IFERROR(TotalTournamentAverages!AO23/MassFormulaTesting!$B$90,"")*0.68)+0.3</f>
        <v>0.3</v>
      </c>
      <c r="AG20" s="376">
        <f>(IFERROR(TotalTournamentAverages!AP23/MassFormulaTesting!$B$92,"")*0.68)+0.3</f>
        <v>0.3</v>
      </c>
      <c r="AH20" s="376">
        <f>(IFERROR(TotalTournamentAverages!AQ23/MassFormulaTesting!$B$94,"")*0.68)+0.3</f>
        <v>0.3</v>
      </c>
      <c r="AI20" s="376">
        <f>(IFERROR(TotalTournamentAverages!AR23/MassFormulaTesting!$B$96,"")*0.68)+0.3</f>
        <v>0.3</v>
      </c>
      <c r="AJ20" s="376">
        <f>(IFERROR(TotalTournamentAverages!AS23/MassFormulaTesting!$B$98,"")*0.68)+0.3</f>
        <v>0.3</v>
      </c>
      <c r="AK20" s="376">
        <f>(IFERROR(TotalTournamentAverages!AT23/MassFormulaTesting!$B$100,"")*0.68)+0.3</f>
        <v>0.3</v>
      </c>
      <c r="AL20" s="376">
        <f>(IFERROR(TotalTournamentAverages!AU23/MassFormulaTesting!$B$102,"")*0.68)+0.3</f>
        <v>0.3</v>
      </c>
      <c r="AM20" s="376">
        <f>(IFERROR(TotalTournamentAverages!AV23/MassFormulaTesting!$B$104,"")*0.68)+0.3</f>
        <v>0.3</v>
      </c>
    </row>
    <row r="21">
      <c r="B21" s="374" t="str">
        <f>MassFormulaTesting!D32</f>
        <v>#DIV/0!</v>
      </c>
      <c r="C21" s="375">
        <f>MassFormulaTesting!F32</f>
        <v>0.3</v>
      </c>
      <c r="D21" s="376">
        <f>(IFERROR(TotalTournamentAverages!D24/MassFormulaTesting!$B$16,"")*0.68)+0.3</f>
        <v>0.4942857143</v>
      </c>
      <c r="E21" s="376">
        <f>(IFERROR(TotalTournamentAverages!E24/MassFormulaTesting!$B$18,"")*0.68)+0.3</f>
        <v>0.6306299213</v>
      </c>
      <c r="F21" s="376">
        <f>(IFERROR(TotalTournamentAverages!F24/MassFormulaTesting!$B$20,"")*0.68)+0.3</f>
        <v>0.691</v>
      </c>
      <c r="G21" s="376">
        <f>(IFERROR(MassFormulaTesting!$C$22/TotalTournamentAverages!G24,"")*0.68)+0.3</f>
        <v>0.6469387755</v>
      </c>
      <c r="H21" s="376">
        <f>(((TotalTournamentAverages!H24+118)/(MassFormulaTesting!$B$24+118))*0.68)+0.3</f>
        <v>0.8839737274</v>
      </c>
      <c r="I21" s="376">
        <f>(IFERROR(TotalTournamentAverages!I24/MassFormulaTesting!$B$26,"")*0.68)+0.3</f>
        <v>0.57</v>
      </c>
      <c r="J21" s="376">
        <f>((0.98-IFERROR(TotalTournamentAverages!J24/MassFormulaTesting!$B$28,"")*0.68))</f>
        <v>0.5266666667</v>
      </c>
      <c r="K21" s="376">
        <f>(IFERROR(TotalTournamentAverages!K24/MassFormulaTesting!$B$30,"")*0.68)+0.3</f>
        <v>0.5648114659</v>
      </c>
      <c r="L21" s="376">
        <f>(IFERROR(TotalTournamentAverages!L24/MassFormulaTesting!$B$32,"")*0.68)+0.3</f>
        <v>0.5897489342</v>
      </c>
      <c r="M21" s="376">
        <f>(IFERROR(TotalTournamentAverages!M24/MassFormulaTesting!$B$34,"")*0.68)+0.3</f>
        <v>0.5678787879</v>
      </c>
      <c r="N21" s="376">
        <f>(IFERROR(TotalTournamentAverages!N24/MassFormulaTesting!$B$36,"")*0.68)+0.3</f>
        <v>0.4390909091</v>
      </c>
      <c r="O21" s="376">
        <f>(IFERROR(TotalTournamentAverages!O24/MassFormulaTesting!$B$38,"")*0.68)+0.3</f>
        <v>0.3</v>
      </c>
      <c r="P21" s="376">
        <f>(IFERROR(TotalTournamentAverages!P24/MassFormulaTesting!$B$40,"")*0.68)+0.3</f>
        <v>0.3</v>
      </c>
      <c r="Q21" s="376">
        <f>(IFERROR(TotalTournamentAverages!T24/MassFormulaTesting!$B$48,"")*0.68)+0.3</f>
        <v>0.725</v>
      </c>
      <c r="R21" s="376">
        <f>(IFERROR(TotalTournamentAverages!U24/MassFormulaTesting!$B$50,"")*0.68)+0.3</f>
        <v>0.6825</v>
      </c>
      <c r="S21" s="376">
        <f>(IFERROR(TotalTournamentAverages!V24/MassFormulaTesting!$B$52,"")*0.68)+0.3</f>
        <v>0.47</v>
      </c>
      <c r="T21" s="376">
        <f>(IFERROR(TotalTournamentAverages!W24/MassFormulaTesting!$B$54,"")*0.68)+0.3</f>
        <v>0.3</v>
      </c>
      <c r="U21" s="376">
        <f>(IFERROR(TotalTournamentAverages!X24/MassFormulaTesting!$B$56,"")*0.68)+0.3</f>
        <v>0.3</v>
      </c>
      <c r="V21" s="376">
        <f>(IFERROR(TotalTournamentAverages!Y24/MassFormulaTesting!$B$58,"")*0.68)+0.3</f>
        <v>0.3</v>
      </c>
      <c r="W21" s="376">
        <f>(IFERROR(TotalTournamentAverages!Z24/MassFormulaTesting!$B$60,"")*0.68)+0.3</f>
        <v>0.3</v>
      </c>
      <c r="X21" s="376">
        <f>(IFERROR(TotalTournamentAverages!AD24/MassFormulaTesting!$B$68,"")*0.68)+0.3</f>
        <v>0.3</v>
      </c>
      <c r="Y21" s="376">
        <f>(IFERROR(TotalTournamentAverages!AG24/MassFormulaTesting!$B$74,"")*0.68)+0.3</f>
        <v>0.3</v>
      </c>
      <c r="Z21" s="376">
        <f>(IFERROR(TotalTournamentAverages!AH24/MassFormulaTesting!$B$76,"")*0.68)+0.3</f>
        <v>0.3</v>
      </c>
      <c r="AA21" s="376">
        <f>(IFERROR(TotalTournamentAverages!AJ24/MassFormulaTesting!$B$80,"")*0.68)+0.3</f>
        <v>0.3</v>
      </c>
      <c r="AB21" s="376">
        <f>(IFERROR(TotalTournamentAverages!AK24/MassFormulaTesting!$B$82,"")*0.68)+0.3</f>
        <v>0.3</v>
      </c>
      <c r="AC21" s="376">
        <f>(IFERROR(TotalTournamentAverages!AL24/MassFormulaTesting!$B$84,"")*0.68)+0.3</f>
        <v>0.3</v>
      </c>
      <c r="AD21" s="376">
        <f>(IFERROR(TotalTournamentAverages!AM24/MassFormulaTesting!$B$86,"")*0.68)+0.3</f>
        <v>0.3</v>
      </c>
      <c r="AE21" s="376">
        <f>(IFERROR(TotalTournamentAverages!AN24/MassFormulaTesting!$B$88,"")*0.68)+0.3</f>
        <v>0.3</v>
      </c>
      <c r="AF21" s="376">
        <f>(IFERROR(TotalTournamentAverages!AO24/MassFormulaTesting!$B$90,"")*0.68)+0.3</f>
        <v>0.3</v>
      </c>
      <c r="AG21" s="376">
        <f>(IFERROR(TotalTournamentAverages!AP24/MassFormulaTesting!$B$92,"")*0.68)+0.3</f>
        <v>0.3</v>
      </c>
      <c r="AH21" s="376">
        <f>(IFERROR(TotalTournamentAverages!AQ24/MassFormulaTesting!$B$94,"")*0.68)+0.3</f>
        <v>0.3</v>
      </c>
      <c r="AI21" s="376">
        <f>(IFERROR(TotalTournamentAverages!AR24/MassFormulaTesting!$B$96,"")*0.68)+0.3</f>
        <v>0.3</v>
      </c>
      <c r="AJ21" s="376">
        <f>(IFERROR(TotalTournamentAverages!AS24/MassFormulaTesting!$B$98,"")*0.68)+0.3</f>
        <v>0.3</v>
      </c>
      <c r="AK21" s="376">
        <f>(IFERROR(TotalTournamentAverages!AT24/MassFormulaTesting!$B$100,"")*0.68)+0.3</f>
        <v>0.3</v>
      </c>
      <c r="AL21" s="376">
        <f>(IFERROR(TotalTournamentAverages!AU24/MassFormulaTesting!$B$102,"")*0.68)+0.3</f>
        <v>0.3</v>
      </c>
      <c r="AM21" s="376">
        <f>(IFERROR(TotalTournamentAverages!AV24/MassFormulaTesting!$B$104,"")*0.68)+0.3</f>
        <v>0.3</v>
      </c>
    </row>
    <row r="22">
      <c r="B22" s="374" t="str">
        <f>MassFormulaTesting!D33</f>
        <v>#DIV/0!</v>
      </c>
      <c r="C22" s="375">
        <f>MassFormulaTesting!F33</f>
        <v>0.3</v>
      </c>
      <c r="D22" s="376">
        <f>(IFERROR(TotalTournamentAverages!D25/MassFormulaTesting!$B$16,"")*0.68)+0.3</f>
        <v>0.3</v>
      </c>
      <c r="E22" s="376">
        <f>(IFERROR(TotalTournamentAverages!E25/MassFormulaTesting!$B$18,"")*0.68)+0.3</f>
        <v>0.5088188976</v>
      </c>
      <c r="F22" s="376">
        <f>(IFERROR(TotalTournamentAverages!F25/MassFormulaTesting!$B$20,"")*0.68)+0.3</f>
        <v>0.436</v>
      </c>
      <c r="G22" s="376">
        <f>(IFERROR(MassFormulaTesting!$C$22/TotalTournamentAverages!G25,"")*0.68)+0.3</f>
        <v>0.5328767123</v>
      </c>
      <c r="H22" s="376">
        <f>(((TotalTournamentAverages!H25+118)/(MassFormulaTesting!$B$24+118))*0.68)+0.3</f>
        <v>0.6751724138</v>
      </c>
      <c r="I22" s="376">
        <f>(IFERROR(TotalTournamentAverages!I25/MassFormulaTesting!$B$26,"")*0.68)+0.3</f>
        <v>0.48</v>
      </c>
      <c r="J22" s="376">
        <f>((0.98-IFERROR(TotalTournamentAverages!J25/MassFormulaTesting!$B$28,"")*0.68))</f>
        <v>0.6173333333</v>
      </c>
      <c r="K22" s="376">
        <f>(IFERROR(TotalTournamentAverages!K25/MassFormulaTesting!$B$30,"")*0.68)+0.3</f>
        <v>0.5060407849</v>
      </c>
      <c r="L22" s="376">
        <f>(IFERROR(TotalTournamentAverages!L25/MassFormulaTesting!$B$32,"")*0.68)+0.3</f>
        <v>0.5647844623</v>
      </c>
      <c r="M22" s="376">
        <f>(IFERROR(TotalTournamentAverages!M25/MassFormulaTesting!$B$34,"")*0.68)+0.3</f>
        <v>0.4442424242</v>
      </c>
      <c r="N22" s="376">
        <f>(IFERROR(TotalTournamentAverages!N25/MassFormulaTesting!$B$36,"")*0.68)+0.3</f>
        <v>0.3</v>
      </c>
      <c r="O22" s="376">
        <f>(IFERROR(TotalTournamentAverages!O25/MassFormulaTesting!$B$38,"")*0.68)+0.3</f>
        <v>0.3</v>
      </c>
      <c r="P22" s="376">
        <f>(IFERROR(TotalTournamentAverages!P25/MassFormulaTesting!$B$40,"")*0.68)+0.3</f>
        <v>0.3</v>
      </c>
      <c r="Q22" s="376">
        <f>(IFERROR(TotalTournamentAverages!T25/MassFormulaTesting!$B$48,"")*0.68)+0.3</f>
        <v>0.3</v>
      </c>
      <c r="R22" s="376">
        <f>(IFERROR(TotalTournamentAverages!U25/MassFormulaTesting!$B$50,"")*0.68)+0.3</f>
        <v>0.3</v>
      </c>
      <c r="S22" s="376">
        <f>(IFERROR(TotalTournamentAverages!V25/MassFormulaTesting!$B$52,"")*0.68)+0.3</f>
        <v>0.3</v>
      </c>
      <c r="T22" s="376">
        <f>(IFERROR(TotalTournamentAverages!W25/MassFormulaTesting!$B$54,"")*0.68)+0.3</f>
        <v>0.3</v>
      </c>
      <c r="U22" s="376">
        <f>(IFERROR(TotalTournamentAverages!X25/MassFormulaTesting!$B$56,"")*0.68)+0.3</f>
        <v>0.3</v>
      </c>
      <c r="V22" s="376">
        <f>(IFERROR(TotalTournamentAverages!Y25/MassFormulaTesting!$B$58,"")*0.68)+0.3</f>
        <v>0.3</v>
      </c>
      <c r="W22" s="376">
        <f>(IFERROR(TotalTournamentAverages!Z25/MassFormulaTesting!$B$60,"")*0.68)+0.3</f>
        <v>0.3</v>
      </c>
      <c r="X22" s="376">
        <f>(IFERROR(TotalTournamentAverages!AD25/MassFormulaTesting!$B$68,"")*0.68)+0.3</f>
        <v>0.3</v>
      </c>
      <c r="Y22" s="376">
        <f>(IFERROR(TotalTournamentAverages!AG25/MassFormulaTesting!$B$74,"")*0.68)+0.3</f>
        <v>0.3</v>
      </c>
      <c r="Z22" s="376">
        <f>(IFERROR(TotalTournamentAverages!AH25/MassFormulaTesting!$B$76,"")*0.68)+0.3</f>
        <v>0.3</v>
      </c>
      <c r="AA22" s="376">
        <f>(IFERROR(TotalTournamentAverages!AJ25/MassFormulaTesting!$B$80,"")*0.68)+0.3</f>
        <v>0.3</v>
      </c>
      <c r="AB22" s="376">
        <f>(IFERROR(TotalTournamentAverages!AK25/MassFormulaTesting!$B$82,"")*0.68)+0.3</f>
        <v>0.3</v>
      </c>
      <c r="AC22" s="376">
        <f>(IFERROR(TotalTournamentAverages!AL25/MassFormulaTesting!$B$84,"")*0.68)+0.3</f>
        <v>0.3</v>
      </c>
      <c r="AD22" s="376">
        <f>(IFERROR(TotalTournamentAverages!AM25/MassFormulaTesting!$B$86,"")*0.68)+0.3</f>
        <v>0.3</v>
      </c>
      <c r="AE22" s="376">
        <f>(IFERROR(TotalTournamentAverages!AN25/MassFormulaTesting!$B$88,"")*0.68)+0.3</f>
        <v>0.3</v>
      </c>
      <c r="AF22" s="376">
        <f>(IFERROR(TotalTournamentAverages!AO25/MassFormulaTesting!$B$90,"")*0.68)+0.3</f>
        <v>0.3</v>
      </c>
      <c r="AG22" s="376">
        <f>(IFERROR(TotalTournamentAverages!AP25/MassFormulaTesting!$B$92,"")*0.68)+0.3</f>
        <v>0.3</v>
      </c>
      <c r="AH22" s="376">
        <f>(IFERROR(TotalTournamentAverages!AQ25/MassFormulaTesting!$B$94,"")*0.68)+0.3</f>
        <v>0.3</v>
      </c>
      <c r="AI22" s="376">
        <f>(IFERROR(TotalTournamentAverages!AR25/MassFormulaTesting!$B$96,"")*0.68)+0.3</f>
        <v>0.3</v>
      </c>
      <c r="AJ22" s="376">
        <f>(IFERROR(TotalTournamentAverages!AS25/MassFormulaTesting!$B$98,"")*0.68)+0.3</f>
        <v>0.3</v>
      </c>
      <c r="AK22" s="376">
        <f>(IFERROR(TotalTournamentAverages!AT25/MassFormulaTesting!$B$100,"")*0.68)+0.3</f>
        <v>0.3</v>
      </c>
      <c r="AL22" s="376">
        <f>(IFERROR(TotalTournamentAverages!AU25/MassFormulaTesting!$B$102,"")*0.68)+0.3</f>
        <v>0.3</v>
      </c>
      <c r="AM22" s="376">
        <f>(IFERROR(TotalTournamentAverages!AV25/MassFormulaTesting!$B$104,"")*0.68)+0.3</f>
        <v>0.3</v>
      </c>
    </row>
    <row r="23">
      <c r="B23" s="374" t="str">
        <f>MassFormulaTesting!D34</f>
        <v>#DIV/0!</v>
      </c>
      <c r="C23" s="375">
        <f>MassFormulaTesting!F34</f>
        <v>0.3</v>
      </c>
      <c r="D23" s="376">
        <f>(IFERROR(TotalTournamentAverages!D26/MassFormulaTesting!$B$16,"")*0.68)+0.3</f>
        <v>0.3</v>
      </c>
      <c r="E23" s="376">
        <f>(IFERROR(TotalTournamentAverages!E26/MassFormulaTesting!$B$18,"")*0.68)+0.3</f>
        <v>0.9103937008</v>
      </c>
      <c r="F23" s="376">
        <f>(IFERROR(TotalTournamentAverages!F26/MassFormulaTesting!$B$20,"")*0.68)+0.3</f>
        <v>0.98</v>
      </c>
      <c r="G23" s="376">
        <f>(IFERROR(MassFormulaTesting!$C$22/TotalTournamentAverages!G26,"")*0.68)+0.3</f>
        <v>0.4444759207</v>
      </c>
      <c r="H23" s="376">
        <f>(((TotalTournamentAverages!H26+118)/(MassFormulaTesting!$B$24+118))*0.68)+0.3</f>
        <v>0.810651341</v>
      </c>
      <c r="I23" s="376">
        <f>(IFERROR(TotalTournamentAverages!I26/MassFormulaTesting!$B$26,"")*0.68)+0.3</f>
        <v>0.6</v>
      </c>
      <c r="J23" s="376">
        <f>((0.98-IFERROR(TotalTournamentAverages!J26/MassFormulaTesting!$B$28,"")*0.68))</f>
        <v>0.6173333333</v>
      </c>
      <c r="K23" s="376">
        <f>(IFERROR(TotalTournamentAverages!K26/MassFormulaTesting!$B$30,"")*0.68)+0.3</f>
        <v>0.8691958446</v>
      </c>
      <c r="L23" s="376">
        <f>(IFERROR(TotalTournamentAverages!L26/MassFormulaTesting!$B$32,"")*0.68)+0.3</f>
        <v>0.9118174641</v>
      </c>
      <c r="M23" s="376">
        <f>(IFERROR(TotalTournamentAverages!M26/MassFormulaTesting!$B$34,"")*0.68)+0.3</f>
        <v>0.5541414141</v>
      </c>
      <c r="N23" s="376">
        <f>(IFERROR(TotalTournamentAverages!N26/MassFormulaTesting!$B$36,"")*0.68)+0.3</f>
        <v>0.4236363636</v>
      </c>
      <c r="O23" s="376">
        <f>(IFERROR(TotalTournamentAverages!O26/MassFormulaTesting!$B$38,"")*0.68)+0.3</f>
        <v>0.3</v>
      </c>
      <c r="P23" s="376">
        <f>(IFERROR(TotalTournamentAverages!P26/MassFormulaTesting!$B$40,"")*0.68)+0.3</f>
        <v>0.3</v>
      </c>
      <c r="Q23" s="376">
        <f>(IFERROR(TotalTournamentAverages!T26/MassFormulaTesting!$B$48,"")*0.68)+0.3</f>
        <v>0.5266666667</v>
      </c>
      <c r="R23" s="376">
        <f>(IFERROR(TotalTournamentAverages!U26/MassFormulaTesting!$B$50,"")*0.68)+0.3</f>
        <v>0.3</v>
      </c>
      <c r="S23" s="376">
        <f>(IFERROR(TotalTournamentAverages!V26/MassFormulaTesting!$B$52,"")*0.68)+0.3</f>
        <v>0.3</v>
      </c>
      <c r="T23" s="376">
        <f>(IFERROR(TotalTournamentAverages!W26/MassFormulaTesting!$B$54,"")*0.68)+0.3</f>
        <v>0.3</v>
      </c>
      <c r="U23" s="376">
        <f>(IFERROR(TotalTournamentAverages!X26/MassFormulaTesting!$B$56,"")*0.68)+0.3</f>
        <v>0.3</v>
      </c>
      <c r="V23" s="376">
        <f>(IFERROR(TotalTournamentAverages!Y26/MassFormulaTesting!$B$58,"")*0.68)+0.3</f>
        <v>0.3</v>
      </c>
      <c r="W23" s="376">
        <f>(IFERROR(TotalTournamentAverages!Z26/MassFormulaTesting!$B$60,"")*0.68)+0.3</f>
        <v>0.3</v>
      </c>
      <c r="X23" s="376">
        <f>(IFERROR(TotalTournamentAverages!AD26/MassFormulaTesting!$B$68,"")*0.68)+0.3</f>
        <v>0.3</v>
      </c>
      <c r="Y23" s="376">
        <f>(IFERROR(TotalTournamentAverages!AG26/MassFormulaTesting!$B$74,"")*0.68)+0.3</f>
        <v>0.3</v>
      </c>
      <c r="Z23" s="376">
        <f>(IFERROR(TotalTournamentAverages!AH26/MassFormulaTesting!$B$76,"")*0.68)+0.3</f>
        <v>0.3</v>
      </c>
      <c r="AA23" s="376">
        <f>(IFERROR(TotalTournamentAverages!AJ26/MassFormulaTesting!$B$80,"")*0.68)+0.3</f>
        <v>0.3</v>
      </c>
      <c r="AB23" s="376">
        <f>(IFERROR(TotalTournamentAverages!AK26/MassFormulaTesting!$B$82,"")*0.68)+0.3</f>
        <v>0.3</v>
      </c>
      <c r="AC23" s="376">
        <f>(IFERROR(TotalTournamentAverages!AL26/MassFormulaTesting!$B$84,"")*0.68)+0.3</f>
        <v>0.3</v>
      </c>
      <c r="AD23" s="376">
        <f>(IFERROR(TotalTournamentAverages!AM26/MassFormulaTesting!$B$86,"")*0.68)+0.3</f>
        <v>0.3</v>
      </c>
      <c r="AE23" s="376">
        <f>(IFERROR(TotalTournamentAverages!AN26/MassFormulaTesting!$B$88,"")*0.68)+0.3</f>
        <v>0.3</v>
      </c>
      <c r="AF23" s="376">
        <f>(IFERROR(TotalTournamentAverages!AO26/MassFormulaTesting!$B$90,"")*0.68)+0.3</f>
        <v>0.3</v>
      </c>
      <c r="AG23" s="376">
        <f>(IFERROR(TotalTournamentAverages!AP26/MassFormulaTesting!$B$92,"")*0.68)+0.3</f>
        <v>0.3</v>
      </c>
      <c r="AH23" s="376">
        <f>(IFERROR(TotalTournamentAverages!AQ26/MassFormulaTesting!$B$94,"")*0.68)+0.3</f>
        <v>0.3</v>
      </c>
      <c r="AI23" s="376">
        <f>(IFERROR(TotalTournamentAverages!AR26/MassFormulaTesting!$B$96,"")*0.68)+0.3</f>
        <v>0.3</v>
      </c>
      <c r="AJ23" s="376">
        <f>(IFERROR(TotalTournamentAverages!AS26/MassFormulaTesting!$B$98,"")*0.68)+0.3</f>
        <v>0.3</v>
      </c>
      <c r="AK23" s="376">
        <f>(IFERROR(TotalTournamentAverages!AT26/MassFormulaTesting!$B$100,"")*0.68)+0.3</f>
        <v>0.3</v>
      </c>
      <c r="AL23" s="376">
        <f>(IFERROR(TotalTournamentAverages!AU26/MassFormulaTesting!$B$102,"")*0.68)+0.3</f>
        <v>0.3</v>
      </c>
      <c r="AM23" s="376">
        <f>(IFERROR(TotalTournamentAverages!AV26/MassFormulaTesting!$B$104,"")*0.68)+0.3</f>
        <v>0.3</v>
      </c>
    </row>
    <row r="24">
      <c r="B24" s="374" t="str">
        <f>MassFormulaTesting!D35</f>
        <v>#DIV/0!</v>
      </c>
      <c r="C24" s="375">
        <f>MassFormulaTesting!F35</f>
        <v>0.3</v>
      </c>
      <c r="D24" s="376">
        <f>(IFERROR(TotalTournamentAverages!D27/MassFormulaTesting!$B$16,"")*0.68)+0.3</f>
        <v>0.3</v>
      </c>
      <c r="E24" s="376">
        <f>(IFERROR(TotalTournamentAverages!E27/MassFormulaTesting!$B$18,"")*0.68)+0.3</f>
        <v>0.4927559055</v>
      </c>
      <c r="F24" s="376">
        <f>(IFERROR(TotalTournamentAverages!F27/MassFormulaTesting!$B$20,"")*0.68)+0.3</f>
        <v>0.368</v>
      </c>
      <c r="G24" s="376">
        <f>(IFERROR(MassFormulaTesting!$C$22/TotalTournamentAverages!G27,"")*0.68)+0.3</f>
        <v>0.7146341463</v>
      </c>
      <c r="H24" s="376">
        <f>(((TotalTournamentAverages!H27+118)/(MassFormulaTesting!$B$24+118))*0.68)+0.3</f>
        <v>0.8046962233</v>
      </c>
      <c r="I24" s="376">
        <f>(IFERROR(TotalTournamentAverages!I27/MassFormulaTesting!$B$26,"")*0.68)+0.3</f>
        <v>0.48</v>
      </c>
      <c r="J24" s="376">
        <f>((0.98-IFERROR(TotalTournamentAverages!J27/MassFormulaTesting!$B$28,"")*0.68))</f>
        <v>0.98</v>
      </c>
      <c r="K24" s="376">
        <f>(IFERROR(TotalTournamentAverages!K27/MassFormulaTesting!$B$30,"")*0.68)+0.3</f>
        <v>0.5413620623</v>
      </c>
      <c r="L24" s="376">
        <f>(IFERROR(TotalTournamentAverages!L27/MassFormulaTesting!$B$32,"")*0.68)+0.3</f>
        <v>0.5647844623</v>
      </c>
      <c r="M24" s="376">
        <f>(IFERROR(TotalTournamentAverages!M27/MassFormulaTesting!$B$34,"")*0.68)+0.3</f>
        <v>0.6090909091</v>
      </c>
      <c r="N24" s="376">
        <f>(IFERROR(TotalTournamentAverages!N27/MassFormulaTesting!$B$36,"")*0.68)+0.3</f>
        <v>0.3</v>
      </c>
      <c r="O24" s="376">
        <f>(IFERROR(TotalTournamentAverages!O27/MassFormulaTesting!$B$38,"")*0.68)+0.3</f>
        <v>0.3</v>
      </c>
      <c r="P24" s="376">
        <f>(IFERROR(TotalTournamentAverages!P27/MassFormulaTesting!$B$40,"")*0.68)+0.3</f>
        <v>0.3</v>
      </c>
      <c r="Q24" s="376">
        <f>(IFERROR(TotalTournamentAverages!T27/MassFormulaTesting!$B$48,"")*0.68)+0.3</f>
        <v>0.3</v>
      </c>
      <c r="R24" s="376">
        <f>(IFERROR(TotalTournamentAverages!U27/MassFormulaTesting!$B$50,"")*0.68)+0.3</f>
        <v>0.3</v>
      </c>
      <c r="S24" s="376">
        <f>(IFERROR(TotalTournamentAverages!V27/MassFormulaTesting!$B$52,"")*0.68)+0.3</f>
        <v>0.3</v>
      </c>
      <c r="T24" s="376">
        <f>(IFERROR(TotalTournamentAverages!W27/MassFormulaTesting!$B$54,"")*0.68)+0.3</f>
        <v>0.3</v>
      </c>
      <c r="U24" s="376">
        <f>(IFERROR(TotalTournamentAverages!X27/MassFormulaTesting!$B$56,"")*0.68)+0.3</f>
        <v>0.3</v>
      </c>
      <c r="V24" s="376">
        <f>(IFERROR(TotalTournamentAverages!Y27/MassFormulaTesting!$B$58,"")*0.68)+0.3</f>
        <v>0.3</v>
      </c>
      <c r="W24" s="376">
        <f>(IFERROR(TotalTournamentAverages!Z27/MassFormulaTesting!$B$60,"")*0.68)+0.3</f>
        <v>0.3</v>
      </c>
      <c r="X24" s="376">
        <f>(IFERROR(TotalTournamentAverages!AD27/MassFormulaTesting!$B$68,"")*0.68)+0.3</f>
        <v>0.3</v>
      </c>
      <c r="Y24" s="376">
        <f>(IFERROR(TotalTournamentAverages!AG27/MassFormulaTesting!$B$74,"")*0.68)+0.3</f>
        <v>0.3</v>
      </c>
      <c r="Z24" s="376">
        <f>(IFERROR(TotalTournamentAverages!AH27/MassFormulaTesting!$B$76,"")*0.68)+0.3</f>
        <v>0.3</v>
      </c>
      <c r="AA24" s="376">
        <f>(IFERROR(TotalTournamentAverages!AJ27/MassFormulaTesting!$B$80,"")*0.68)+0.3</f>
        <v>0.3</v>
      </c>
      <c r="AB24" s="376">
        <f>(IFERROR(TotalTournamentAverages!AK27/MassFormulaTesting!$B$82,"")*0.68)+0.3</f>
        <v>0.3</v>
      </c>
      <c r="AC24" s="376">
        <f>(IFERROR(TotalTournamentAverages!AL27/MassFormulaTesting!$B$84,"")*0.68)+0.3</f>
        <v>0.3</v>
      </c>
      <c r="AD24" s="376">
        <f>(IFERROR(TotalTournamentAverages!AM27/MassFormulaTesting!$B$86,"")*0.68)+0.3</f>
        <v>0.3</v>
      </c>
      <c r="AE24" s="376">
        <f>(IFERROR(TotalTournamentAverages!AN27/MassFormulaTesting!$B$88,"")*0.68)+0.3</f>
        <v>0.3</v>
      </c>
      <c r="AF24" s="376">
        <f>(IFERROR(TotalTournamentAverages!AO27/MassFormulaTesting!$B$90,"")*0.68)+0.3</f>
        <v>0.3</v>
      </c>
      <c r="AG24" s="376">
        <f>(IFERROR(TotalTournamentAverages!AP27/MassFormulaTesting!$B$92,"")*0.68)+0.3</f>
        <v>0.3</v>
      </c>
      <c r="AH24" s="376">
        <f>(IFERROR(TotalTournamentAverages!AQ27/MassFormulaTesting!$B$94,"")*0.68)+0.3</f>
        <v>0.3</v>
      </c>
      <c r="AI24" s="376">
        <f>(IFERROR(TotalTournamentAverages!AR27/MassFormulaTesting!$B$96,"")*0.68)+0.3</f>
        <v>0.3</v>
      </c>
      <c r="AJ24" s="376">
        <f>(IFERROR(TotalTournamentAverages!AS27/MassFormulaTesting!$B$98,"")*0.68)+0.3</f>
        <v>0.3</v>
      </c>
      <c r="AK24" s="376">
        <f>(IFERROR(TotalTournamentAverages!AT27/MassFormulaTesting!$B$100,"")*0.68)+0.3</f>
        <v>0.3</v>
      </c>
      <c r="AL24" s="376">
        <f>(IFERROR(TotalTournamentAverages!AU27/MassFormulaTesting!$B$102,"")*0.68)+0.3</f>
        <v>0.3</v>
      </c>
      <c r="AM24" s="376">
        <f>(IFERROR(TotalTournamentAverages!AV27/MassFormulaTesting!$B$104,"")*0.68)+0.3</f>
        <v>0.3</v>
      </c>
    </row>
    <row r="25">
      <c r="B25" s="374" t="str">
        <f>MassFormulaTesting!D36</f>
        <v>#DIV/0!</v>
      </c>
      <c r="C25" s="375">
        <f>MassFormulaTesting!F36</f>
        <v>0.3</v>
      </c>
      <c r="D25" s="376">
        <f>(IFERROR(TotalTournamentAverages!D28/MassFormulaTesting!$B$16,"")*0.68)+0.3</f>
        <v>0.3</v>
      </c>
      <c r="E25" s="376">
        <f>(IFERROR(TotalTournamentAverages!E28/MassFormulaTesting!$B$18,"")*0.68)+0.3</f>
        <v>0.465984252</v>
      </c>
      <c r="F25" s="376">
        <f>(IFERROR(TotalTournamentAverages!F28/MassFormulaTesting!$B$20,"")*0.68)+0.3</f>
        <v>0.368</v>
      </c>
      <c r="G25" s="376">
        <f>(IFERROR(MassFormulaTesting!$C$22/TotalTournamentAverages!G28,"")*0.68)+0.3</f>
        <v>0.64</v>
      </c>
      <c r="H25" s="376">
        <f>(((TotalTournamentAverages!H28+118)/(MassFormulaTesting!$B$24+118))*0.68)+0.3</f>
        <v>0.7421674877</v>
      </c>
      <c r="I25" s="376">
        <f>(IFERROR(TotalTournamentAverages!I28/MassFormulaTesting!$B$26,"")*0.68)+0.3</f>
        <v>0.54</v>
      </c>
      <c r="J25" s="376">
        <f>((0.98-IFERROR(TotalTournamentAverages!J28/MassFormulaTesting!$B$28,"")*0.68))</f>
        <v>0.7986666667</v>
      </c>
      <c r="K25" s="376">
        <f>(IFERROR(TotalTournamentAverages!K28/MassFormulaTesting!$B$30,"")*0.68)+0.3</f>
        <v>0.531943055</v>
      </c>
      <c r="L25" s="376">
        <f>(IFERROR(TotalTournamentAverages!L28/MassFormulaTesting!$B$32,"")*0.68)+0.3</f>
        <v>0.5647844623</v>
      </c>
      <c r="M25" s="376">
        <f>(IFERROR(TotalTournamentAverages!M28/MassFormulaTesting!$B$34,"")*0.68)+0.3</f>
        <v>0.5266666667</v>
      </c>
      <c r="N25" s="376">
        <f>(IFERROR(TotalTournamentAverages!N28/MassFormulaTesting!$B$36,"")*0.68)+0.3</f>
        <v>0.3</v>
      </c>
      <c r="O25" s="376">
        <f>(IFERROR(TotalTournamentAverages!O28/MassFormulaTesting!$B$38,"")*0.68)+0.3</f>
        <v>0.3</v>
      </c>
      <c r="P25" s="376">
        <f>(IFERROR(TotalTournamentAverages!P28/MassFormulaTesting!$B$40,"")*0.68)+0.3</f>
        <v>0.3</v>
      </c>
      <c r="Q25" s="376">
        <f>(IFERROR(TotalTournamentAverages!T28/MassFormulaTesting!$B$48,"")*0.68)+0.3</f>
        <v>0.3</v>
      </c>
      <c r="R25" s="376">
        <f>(IFERROR(TotalTournamentAverages!U28/MassFormulaTesting!$B$50,"")*0.68)+0.3</f>
        <v>0.3</v>
      </c>
      <c r="S25" s="376">
        <f>(IFERROR(TotalTournamentAverages!V28/MassFormulaTesting!$B$52,"")*0.68)+0.3</f>
        <v>0.3</v>
      </c>
      <c r="T25" s="376">
        <f>(IFERROR(TotalTournamentAverages!W28/MassFormulaTesting!$B$54,"")*0.68)+0.3</f>
        <v>0.3</v>
      </c>
      <c r="U25" s="376">
        <f>(IFERROR(TotalTournamentAverages!X28/MassFormulaTesting!$B$56,"")*0.68)+0.3</f>
        <v>0.3</v>
      </c>
      <c r="V25" s="376">
        <f>(IFERROR(TotalTournamentAverages!Y28/MassFormulaTesting!$B$58,"")*0.68)+0.3</f>
        <v>0.3</v>
      </c>
      <c r="W25" s="376">
        <f>(IFERROR(TotalTournamentAverages!Z28/MassFormulaTesting!$B$60,"")*0.68)+0.3</f>
        <v>0.3</v>
      </c>
      <c r="X25" s="376">
        <f>(IFERROR(TotalTournamentAverages!AD28/MassFormulaTesting!$B$68,"")*0.68)+0.3</f>
        <v>0.3</v>
      </c>
      <c r="Y25" s="376">
        <f>(IFERROR(TotalTournamentAverages!AG28/MassFormulaTesting!$B$74,"")*0.68)+0.3</f>
        <v>0.3</v>
      </c>
      <c r="Z25" s="376">
        <f>(IFERROR(TotalTournamentAverages!AH28/MassFormulaTesting!$B$76,"")*0.68)+0.3</f>
        <v>0.3</v>
      </c>
      <c r="AA25" s="376">
        <f>(IFERROR(TotalTournamentAverages!AJ28/MassFormulaTesting!$B$80,"")*0.68)+0.3</f>
        <v>0.3</v>
      </c>
      <c r="AB25" s="376">
        <f>(IFERROR(TotalTournamentAverages!AK28/MassFormulaTesting!$B$82,"")*0.68)+0.3</f>
        <v>0.3</v>
      </c>
      <c r="AC25" s="376">
        <f>(IFERROR(TotalTournamentAverages!AL28/MassFormulaTesting!$B$84,"")*0.68)+0.3</f>
        <v>0.3</v>
      </c>
      <c r="AD25" s="376">
        <f>(IFERROR(TotalTournamentAverages!AM28/MassFormulaTesting!$B$86,"")*0.68)+0.3</f>
        <v>0.3</v>
      </c>
      <c r="AE25" s="376">
        <f>(IFERROR(TotalTournamentAverages!AN28/MassFormulaTesting!$B$88,"")*0.68)+0.3</f>
        <v>0.3</v>
      </c>
      <c r="AF25" s="376">
        <f>(IFERROR(TotalTournamentAverages!AO28/MassFormulaTesting!$B$90,"")*0.68)+0.3</f>
        <v>0.3</v>
      </c>
      <c r="AG25" s="376">
        <f>(IFERROR(TotalTournamentAverages!AP28/MassFormulaTesting!$B$92,"")*0.68)+0.3</f>
        <v>0.3</v>
      </c>
      <c r="AH25" s="376">
        <f>(IFERROR(TotalTournamentAverages!AQ28/MassFormulaTesting!$B$94,"")*0.68)+0.3</f>
        <v>0.3</v>
      </c>
      <c r="AI25" s="376">
        <f>(IFERROR(TotalTournamentAverages!AR28/MassFormulaTesting!$B$96,"")*0.68)+0.3</f>
        <v>0.3</v>
      </c>
      <c r="AJ25" s="376">
        <f>(IFERROR(TotalTournamentAverages!AS28/MassFormulaTesting!$B$98,"")*0.68)+0.3</f>
        <v>0.3</v>
      </c>
      <c r="AK25" s="376">
        <f>(IFERROR(TotalTournamentAverages!AT28/MassFormulaTesting!$B$100,"")*0.68)+0.3</f>
        <v>0.3</v>
      </c>
      <c r="AL25" s="376">
        <f>(IFERROR(TotalTournamentAverages!AU28/MassFormulaTesting!$B$102,"")*0.68)+0.3</f>
        <v>0.3</v>
      </c>
      <c r="AM25" s="376">
        <f>(IFERROR(TotalTournamentAverages!AV28/MassFormulaTesting!$B$104,"")*0.68)+0.3</f>
        <v>0.3</v>
      </c>
    </row>
    <row r="26">
      <c r="B26" s="374" t="str">
        <f>MassFormulaTesting!D37</f>
        <v>#DIV/0!</v>
      </c>
      <c r="C26" s="375">
        <f>MassFormulaTesting!F37</f>
        <v>0.3</v>
      </c>
      <c r="D26" s="376">
        <f>(IFERROR(TotalTournamentAverages!D29/MassFormulaTesting!$B$16,"")*0.68)+0.3</f>
        <v>0.4457142857</v>
      </c>
      <c r="E26" s="376">
        <f>(IFERROR(TotalTournamentAverages!E29/MassFormulaTesting!$B$18,"")*0.68)+0.3</f>
        <v>0.7845669291</v>
      </c>
      <c r="F26" s="376">
        <f>(IFERROR(TotalTournamentAverages!F29/MassFormulaTesting!$B$20,"")*0.68)+0.3</f>
        <v>0.47</v>
      </c>
      <c r="G26" s="376">
        <f>(IFERROR(MassFormulaTesting!$C$22/TotalTournamentAverages!G29,"")*0.68)+0.3</f>
        <v>0.4725888325</v>
      </c>
      <c r="H26" s="376">
        <f>(((TotalTournamentAverages!H29+118)/(MassFormulaTesting!$B$24+118))*0.68)+0.3</f>
        <v>0.7912972085</v>
      </c>
      <c r="I26" s="376">
        <f>(IFERROR(TotalTournamentAverages!I29/MassFormulaTesting!$B$26,"")*0.68)+0.3</f>
        <v>0.6</v>
      </c>
      <c r="J26" s="376">
        <f>((0.98-IFERROR(TotalTournamentAverages!J29/MassFormulaTesting!$B$28,"")*0.68))</f>
        <v>0.7986666667</v>
      </c>
      <c r="K26" s="376">
        <f>(IFERROR(TotalTournamentAverages!K29/MassFormulaTesting!$B$30,"")*0.68)+0.3</f>
        <v>0.7562331666</v>
      </c>
      <c r="L26" s="376">
        <f>(IFERROR(TotalTournamentAverages!L29/MassFormulaTesting!$B$32,"")*0.68)+0.3</f>
        <v>0.797356703</v>
      </c>
      <c r="M26" s="376">
        <f>(IFERROR(TotalTournamentAverages!M29/MassFormulaTesting!$B$34,"")*0.68)+0.3</f>
        <v>0.573030303</v>
      </c>
      <c r="N26" s="376">
        <f>(IFERROR(TotalTournamentAverages!N29/MassFormulaTesting!$B$36,"")*0.68)+0.3</f>
        <v>0.3927272727</v>
      </c>
      <c r="O26" s="376">
        <f>(IFERROR(TotalTournamentAverages!O29/MassFormulaTesting!$B$38,"")*0.68)+0.3</f>
        <v>0.3</v>
      </c>
      <c r="P26" s="376">
        <f>(IFERROR(TotalTournamentAverages!P29/MassFormulaTesting!$B$40,"")*0.68)+0.3</f>
        <v>0.3</v>
      </c>
      <c r="Q26" s="376">
        <f>(IFERROR(TotalTournamentAverages!T29/MassFormulaTesting!$B$48,"")*0.68)+0.3</f>
        <v>0.555</v>
      </c>
      <c r="R26" s="376">
        <f>(IFERROR(TotalTournamentAverages!U29/MassFormulaTesting!$B$50,"")*0.68)+0.3</f>
        <v>0.3</v>
      </c>
      <c r="S26" s="376">
        <f>(IFERROR(TotalTournamentAverages!V29/MassFormulaTesting!$B$52,"")*0.68)+0.3</f>
        <v>0.3</v>
      </c>
      <c r="T26" s="376">
        <f>(IFERROR(TotalTournamentAverages!W29/MassFormulaTesting!$B$54,"")*0.68)+0.3</f>
        <v>0.3</v>
      </c>
      <c r="U26" s="376">
        <f>(IFERROR(TotalTournamentAverages!X29/MassFormulaTesting!$B$56,"")*0.68)+0.3</f>
        <v>0.3</v>
      </c>
      <c r="V26" s="376">
        <f>(IFERROR(TotalTournamentAverages!Y29/MassFormulaTesting!$B$58,"")*0.68)+0.3</f>
        <v>0.3</v>
      </c>
      <c r="W26" s="376">
        <f>(IFERROR(TotalTournamentAverages!Z29/MassFormulaTesting!$B$60,"")*0.68)+0.3</f>
        <v>0.3</v>
      </c>
      <c r="X26" s="376">
        <f>(IFERROR(TotalTournamentAverages!AD29/MassFormulaTesting!$B$68,"")*0.68)+0.3</f>
        <v>0.3</v>
      </c>
      <c r="Y26" s="376">
        <f>(IFERROR(TotalTournamentAverages!AG29/MassFormulaTesting!$B$74,"")*0.68)+0.3</f>
        <v>0.3</v>
      </c>
      <c r="Z26" s="376">
        <f>(IFERROR(TotalTournamentAverages!AH29/MassFormulaTesting!$B$76,"")*0.68)+0.3</f>
        <v>0.3</v>
      </c>
      <c r="AA26" s="376">
        <f>(IFERROR(TotalTournamentAverages!AJ29/MassFormulaTesting!$B$80,"")*0.68)+0.3</f>
        <v>0.3</v>
      </c>
      <c r="AB26" s="376">
        <f>(IFERROR(TotalTournamentAverages!AK29/MassFormulaTesting!$B$82,"")*0.68)+0.3</f>
        <v>0.3</v>
      </c>
      <c r="AC26" s="376">
        <f>(IFERROR(TotalTournamentAverages!AL29/MassFormulaTesting!$B$84,"")*0.68)+0.3</f>
        <v>0.3</v>
      </c>
      <c r="AD26" s="376">
        <f>(IFERROR(TotalTournamentAverages!AM29/MassFormulaTesting!$B$86,"")*0.68)+0.3</f>
        <v>0.3</v>
      </c>
      <c r="AE26" s="376">
        <f>(IFERROR(TotalTournamentAverages!AN29/MassFormulaTesting!$B$88,"")*0.68)+0.3</f>
        <v>0.3</v>
      </c>
      <c r="AF26" s="376">
        <f>(IFERROR(TotalTournamentAverages!AO29/MassFormulaTesting!$B$90,"")*0.68)+0.3</f>
        <v>0.3</v>
      </c>
      <c r="AG26" s="376">
        <f>(IFERROR(TotalTournamentAverages!AP29/MassFormulaTesting!$B$92,"")*0.68)+0.3</f>
        <v>0.3</v>
      </c>
      <c r="AH26" s="376">
        <f>(IFERROR(TotalTournamentAverages!AQ29/MassFormulaTesting!$B$94,"")*0.68)+0.3</f>
        <v>0.3</v>
      </c>
      <c r="AI26" s="376">
        <f>(IFERROR(TotalTournamentAverages!AR29/MassFormulaTesting!$B$96,"")*0.68)+0.3</f>
        <v>0.3</v>
      </c>
      <c r="AJ26" s="376">
        <f>(IFERROR(TotalTournamentAverages!AS29/MassFormulaTesting!$B$98,"")*0.68)+0.3</f>
        <v>0.3</v>
      </c>
      <c r="AK26" s="376">
        <f>(IFERROR(TotalTournamentAverages!AT29/MassFormulaTesting!$B$100,"")*0.68)+0.3</f>
        <v>0.3</v>
      </c>
      <c r="AL26" s="376">
        <f>(IFERROR(TotalTournamentAverages!AU29/MassFormulaTesting!$B$102,"")*0.68)+0.3</f>
        <v>0.3</v>
      </c>
      <c r="AM26" s="376">
        <f>(IFERROR(TotalTournamentAverages!AV29/MassFormulaTesting!$B$104,"")*0.68)+0.3</f>
        <v>0.3</v>
      </c>
    </row>
    <row r="27">
      <c r="B27" s="374" t="str">
        <f>MassFormulaTesting!D38</f>
        <v>#DIV/0!</v>
      </c>
      <c r="C27" s="375">
        <f>MassFormulaTesting!F38</f>
        <v>0.3</v>
      </c>
      <c r="D27" s="376">
        <f>(IFERROR(TotalTournamentAverages!D30/MassFormulaTesting!$B$16,"")*0.68)+0.3</f>
        <v>0.3</v>
      </c>
      <c r="E27" s="376">
        <f>(IFERROR(TotalTournamentAverages!E30/MassFormulaTesting!$B$18,"")*0.68)+0.3</f>
        <v>0.5168503937</v>
      </c>
      <c r="F27" s="376">
        <f>(IFERROR(TotalTournamentAverages!F30/MassFormulaTesting!$B$20,"")*0.68)+0.3</f>
        <v>0.47</v>
      </c>
      <c r="G27" s="376">
        <f>(IFERROR(MassFormulaTesting!$C$22/TotalTournamentAverages!G30,"")*0.68)+0.3</f>
        <v>0.6035714286</v>
      </c>
      <c r="H27" s="376">
        <f>(((TotalTournamentAverages!H30+118)/(MassFormulaTesting!$B$24+118))*0.68)+0.3</f>
        <v>0.7577996716</v>
      </c>
      <c r="I27" s="376">
        <f>(IFERROR(TotalTournamentAverages!I30/MassFormulaTesting!$B$26,"")*0.68)+0.3</f>
        <v>0.51</v>
      </c>
      <c r="J27" s="376">
        <f>((0.98-IFERROR(TotalTournamentAverages!J30/MassFormulaTesting!$B$28,"")*0.68))</f>
        <v>0.7986666667</v>
      </c>
      <c r="K27" s="376">
        <f>(IFERROR(TotalTournamentAverages!K30/MassFormulaTesting!$B$30,"")*0.68)+0.3</f>
        <v>0.559611389</v>
      </c>
      <c r="L27" s="376">
        <f>(IFERROR(TotalTournamentAverages!L30/MassFormulaTesting!$B$32,"")*0.68)+0.3</f>
        <v>0.5889436286</v>
      </c>
      <c r="M27" s="376">
        <f>(IFERROR(TotalTournamentAverages!M30/MassFormulaTesting!$B$34,"")*0.68)+0.3</f>
        <v>0.536969697</v>
      </c>
      <c r="N27" s="376">
        <f>(IFERROR(TotalTournamentAverages!N30/MassFormulaTesting!$B$36,"")*0.68)+0.3</f>
        <v>0.3</v>
      </c>
      <c r="O27" s="376">
        <f>(IFERROR(TotalTournamentAverages!O30/MassFormulaTesting!$B$38,"")*0.68)+0.3</f>
        <v>0.3</v>
      </c>
      <c r="P27" s="376">
        <f>(IFERROR(TotalTournamentAverages!P30/MassFormulaTesting!$B$40,"")*0.68)+0.3</f>
        <v>0.3</v>
      </c>
      <c r="Q27" s="376">
        <f>(IFERROR(TotalTournamentAverages!T30/MassFormulaTesting!$B$48,"")*0.68)+0.3</f>
        <v>0.3</v>
      </c>
      <c r="R27" s="376">
        <f>(IFERROR(TotalTournamentAverages!U30/MassFormulaTesting!$B$50,"")*0.68)+0.3</f>
        <v>0.3</v>
      </c>
      <c r="S27" s="376">
        <f>(IFERROR(TotalTournamentAverages!V30/MassFormulaTesting!$B$52,"")*0.68)+0.3</f>
        <v>0.3</v>
      </c>
      <c r="T27" s="376">
        <f>(IFERROR(TotalTournamentAverages!W30/MassFormulaTesting!$B$54,"")*0.68)+0.3</f>
        <v>0.3</v>
      </c>
      <c r="U27" s="376">
        <f>(IFERROR(TotalTournamentAverages!X30/MassFormulaTesting!$B$56,"")*0.68)+0.3</f>
        <v>0.3</v>
      </c>
      <c r="V27" s="376">
        <f>(IFERROR(TotalTournamentAverages!Y30/MassFormulaTesting!$B$58,"")*0.68)+0.3</f>
        <v>0.3</v>
      </c>
      <c r="W27" s="376">
        <f>(IFERROR(TotalTournamentAverages!Z30/MassFormulaTesting!$B$60,"")*0.68)+0.3</f>
        <v>0.3</v>
      </c>
      <c r="X27" s="376">
        <f>(IFERROR(TotalTournamentAverages!AD30/MassFormulaTesting!$B$68,"")*0.68)+0.3</f>
        <v>0.3</v>
      </c>
      <c r="Y27" s="376">
        <f>(IFERROR(TotalTournamentAverages!AG30/MassFormulaTesting!$B$74,"")*0.68)+0.3</f>
        <v>0.3</v>
      </c>
      <c r="Z27" s="376">
        <f>(IFERROR(TotalTournamentAverages!AH30/MassFormulaTesting!$B$76,"")*0.68)+0.3</f>
        <v>0.3</v>
      </c>
      <c r="AA27" s="376">
        <f>(IFERROR(TotalTournamentAverages!AJ30/MassFormulaTesting!$B$80,"")*0.68)+0.3</f>
        <v>0.3</v>
      </c>
      <c r="AB27" s="376">
        <f>(IFERROR(TotalTournamentAverages!AK30/MassFormulaTesting!$B$82,"")*0.68)+0.3</f>
        <v>0.3</v>
      </c>
      <c r="AC27" s="376">
        <f>(IFERROR(TotalTournamentAverages!AL30/MassFormulaTesting!$B$84,"")*0.68)+0.3</f>
        <v>0.3</v>
      </c>
      <c r="AD27" s="376">
        <f>(IFERROR(TotalTournamentAverages!AM30/MassFormulaTesting!$B$86,"")*0.68)+0.3</f>
        <v>0.3</v>
      </c>
      <c r="AE27" s="376">
        <f>(IFERROR(TotalTournamentAverages!AN30/MassFormulaTesting!$B$88,"")*0.68)+0.3</f>
        <v>0.3</v>
      </c>
      <c r="AF27" s="376">
        <f>(IFERROR(TotalTournamentAverages!AO30/MassFormulaTesting!$B$90,"")*0.68)+0.3</f>
        <v>0.3</v>
      </c>
      <c r="AG27" s="376">
        <f>(IFERROR(TotalTournamentAverages!AP30/MassFormulaTesting!$B$92,"")*0.68)+0.3</f>
        <v>0.3</v>
      </c>
      <c r="AH27" s="376">
        <f>(IFERROR(TotalTournamentAverages!AQ30/MassFormulaTesting!$B$94,"")*0.68)+0.3</f>
        <v>0.3</v>
      </c>
      <c r="AI27" s="376">
        <f>(IFERROR(TotalTournamentAverages!AR30/MassFormulaTesting!$B$96,"")*0.68)+0.3</f>
        <v>0.3</v>
      </c>
      <c r="AJ27" s="376">
        <f>(IFERROR(TotalTournamentAverages!AS30/MassFormulaTesting!$B$98,"")*0.68)+0.3</f>
        <v>0.3</v>
      </c>
      <c r="AK27" s="376">
        <f>(IFERROR(TotalTournamentAverages!AT30/MassFormulaTesting!$B$100,"")*0.68)+0.3</f>
        <v>0.3</v>
      </c>
      <c r="AL27" s="376">
        <f>(IFERROR(TotalTournamentAverages!AU30/MassFormulaTesting!$B$102,"")*0.68)+0.3</f>
        <v>0.3</v>
      </c>
      <c r="AM27" s="376">
        <f>(IFERROR(TotalTournamentAverages!AV30/MassFormulaTesting!$B$104,"")*0.68)+0.3</f>
        <v>0.3</v>
      </c>
    </row>
    <row r="28">
      <c r="B28" s="374" t="str">
        <f>MassFormulaTesting!D39</f>
        <v>#DIV/0!</v>
      </c>
      <c r="C28" s="375">
        <f>MassFormulaTesting!F39</f>
        <v>0.3</v>
      </c>
      <c r="D28" s="376">
        <f>(IFERROR(TotalTournamentAverages!D31/MassFormulaTesting!$B$16,"")*0.68)+0.3</f>
        <v>0.6885714286</v>
      </c>
      <c r="E28" s="376">
        <f>(IFERROR(TotalTournamentAverages!E31/MassFormulaTesting!$B$18,"")*0.68)+0.3</f>
        <v>0.5355905512</v>
      </c>
      <c r="F28" s="376">
        <f>(IFERROR(TotalTournamentAverages!F31/MassFormulaTesting!$B$20,"")*0.68)+0.3</f>
        <v>0.504</v>
      </c>
      <c r="G28" s="376">
        <f>(IFERROR(MassFormulaTesting!$C$22/TotalTournamentAverages!G31,"")*0.68)+0.3</f>
        <v>0.620754717</v>
      </c>
      <c r="H28" s="376">
        <f>(((TotalTournamentAverages!H31+118)/(MassFormulaTesting!$B$24+118))*0.68)+0.3</f>
        <v>0.7868308703</v>
      </c>
      <c r="I28" s="376">
        <f>(IFERROR(TotalTournamentAverages!I31/MassFormulaTesting!$B$26,"")*0.68)+0.3</f>
        <v>0.54</v>
      </c>
      <c r="J28" s="376">
        <f>((0.98-IFERROR(TotalTournamentAverages!J31/MassFormulaTesting!$B$28,"")*0.68))</f>
        <v>0.7986666667</v>
      </c>
      <c r="K28" s="376">
        <f>(IFERROR(TotalTournamentAverages!K31/MassFormulaTesting!$B$30,"")*0.68)+0.3</f>
        <v>0.5643208927</v>
      </c>
      <c r="L28" s="376">
        <f>(IFERROR(TotalTournamentAverages!L31/MassFormulaTesting!$B$32,"")*0.68)+0.3</f>
        <v>0.5889436286</v>
      </c>
      <c r="M28" s="376">
        <f>(IFERROR(TotalTournamentAverages!M31/MassFormulaTesting!$B$34,"")*0.68)+0.3</f>
        <v>0.5575757576</v>
      </c>
      <c r="N28" s="376">
        <f>(IFERROR(TotalTournamentAverages!N31/MassFormulaTesting!$B$36,"")*0.68)+0.3</f>
        <v>0.3927272727</v>
      </c>
      <c r="O28" s="376">
        <f>(IFERROR(TotalTournamentAverages!O31/MassFormulaTesting!$B$38,"")*0.68)+0.3</f>
        <v>0.3</v>
      </c>
      <c r="P28" s="376">
        <f>(IFERROR(TotalTournamentAverages!P31/MassFormulaTesting!$B$40,"")*0.68)+0.3</f>
        <v>0.3</v>
      </c>
      <c r="Q28" s="376">
        <f>(IFERROR(TotalTournamentAverages!T31/MassFormulaTesting!$B$48,"")*0.68)+0.3</f>
        <v>0.4133333333</v>
      </c>
      <c r="R28" s="376">
        <f>(IFERROR(TotalTournamentAverages!U31/MassFormulaTesting!$B$50,"")*0.68)+0.3</f>
        <v>0.3</v>
      </c>
      <c r="S28" s="376">
        <f>(IFERROR(TotalTournamentAverages!V31/MassFormulaTesting!$B$52,"")*0.68)+0.3</f>
        <v>0.3</v>
      </c>
      <c r="T28" s="376">
        <f>(IFERROR(TotalTournamentAverages!W31/MassFormulaTesting!$B$54,"")*0.68)+0.3</f>
        <v>0.3</v>
      </c>
      <c r="U28" s="376">
        <f>(IFERROR(TotalTournamentAverages!X31/MassFormulaTesting!$B$56,"")*0.68)+0.3</f>
        <v>0.3</v>
      </c>
      <c r="V28" s="376">
        <f>(IFERROR(TotalTournamentAverages!Y31/MassFormulaTesting!$B$58,"")*0.68)+0.3</f>
        <v>0.3</v>
      </c>
      <c r="W28" s="376">
        <f>(IFERROR(TotalTournamentAverages!Z31/MassFormulaTesting!$B$60,"")*0.68)+0.3</f>
        <v>0.3</v>
      </c>
      <c r="X28" s="376">
        <f>(IFERROR(TotalTournamentAverages!AD31/MassFormulaTesting!$B$68,"")*0.68)+0.3</f>
        <v>0.3</v>
      </c>
      <c r="Y28" s="376">
        <f>(IFERROR(TotalTournamentAverages!AG31/MassFormulaTesting!$B$74,"")*0.68)+0.3</f>
        <v>0.3</v>
      </c>
      <c r="Z28" s="376">
        <f>(IFERROR(TotalTournamentAverages!AH31/MassFormulaTesting!$B$76,"")*0.68)+0.3</f>
        <v>0.3</v>
      </c>
      <c r="AA28" s="376">
        <f>(IFERROR(TotalTournamentAverages!AJ31/MassFormulaTesting!$B$80,"")*0.68)+0.3</f>
        <v>0.3</v>
      </c>
      <c r="AB28" s="376">
        <f>(IFERROR(TotalTournamentAverages!AK31/MassFormulaTesting!$B$82,"")*0.68)+0.3</f>
        <v>0.3</v>
      </c>
      <c r="AC28" s="376">
        <f>(IFERROR(TotalTournamentAverages!AL31/MassFormulaTesting!$B$84,"")*0.68)+0.3</f>
        <v>0.3</v>
      </c>
      <c r="AD28" s="376">
        <f>(IFERROR(TotalTournamentAverages!AM31/MassFormulaTesting!$B$86,"")*0.68)+0.3</f>
        <v>0.3</v>
      </c>
      <c r="AE28" s="376">
        <f>(IFERROR(TotalTournamentAverages!AN31/MassFormulaTesting!$B$88,"")*0.68)+0.3</f>
        <v>0.3</v>
      </c>
      <c r="AF28" s="376">
        <f>(IFERROR(TotalTournamentAverages!AO31/MassFormulaTesting!$B$90,"")*0.68)+0.3</f>
        <v>0.3</v>
      </c>
      <c r="AG28" s="376">
        <f>(IFERROR(TotalTournamentAverages!AP31/MassFormulaTesting!$B$92,"")*0.68)+0.3</f>
        <v>0.3</v>
      </c>
      <c r="AH28" s="376">
        <f>(IFERROR(TotalTournamentAverages!AQ31/MassFormulaTesting!$B$94,"")*0.68)+0.3</f>
        <v>0.3</v>
      </c>
      <c r="AI28" s="376">
        <f>(IFERROR(TotalTournamentAverages!AR31/MassFormulaTesting!$B$96,"")*0.68)+0.3</f>
        <v>0.3</v>
      </c>
      <c r="AJ28" s="376">
        <f>(IFERROR(TotalTournamentAverages!AS31/MassFormulaTesting!$B$98,"")*0.68)+0.3</f>
        <v>0.3</v>
      </c>
      <c r="AK28" s="376">
        <f>(IFERROR(TotalTournamentAverages!AT31/MassFormulaTesting!$B$100,"")*0.68)+0.3</f>
        <v>0.3</v>
      </c>
      <c r="AL28" s="376">
        <f>(IFERROR(TotalTournamentAverages!AU31/MassFormulaTesting!$B$102,"")*0.68)+0.3</f>
        <v>0.3</v>
      </c>
      <c r="AM28" s="376">
        <f>(IFERROR(TotalTournamentAverages!AV31/MassFormulaTesting!$B$104,"")*0.68)+0.3</f>
        <v>0.3</v>
      </c>
    </row>
    <row r="29">
      <c r="B29" s="374" t="str">
        <f>MassFormulaTesting!D40</f>
        <v>#DIV/0!</v>
      </c>
      <c r="C29" s="375">
        <f>MassFormulaTesting!F40</f>
        <v>0.3</v>
      </c>
      <c r="D29" s="376">
        <f>(IFERROR(TotalTournamentAverages!D32/MassFormulaTesting!$B$16,"")*0.68)+0.3</f>
        <v>0.3</v>
      </c>
      <c r="E29" s="376">
        <f>(IFERROR(TotalTournamentAverages!E32/MassFormulaTesting!$B$18,"")*0.68)+0.3</f>
        <v>0.6248293963</v>
      </c>
      <c r="F29" s="376">
        <f>(IFERROR(TotalTournamentAverages!F32/MassFormulaTesting!$B$20,"")*0.68)+0.3</f>
        <v>0.5266666667</v>
      </c>
      <c r="G29" s="376">
        <f>(IFERROR(MassFormulaTesting!$C$22/TotalTournamentAverages!G32,"")*0.68)+0.3</f>
        <v>0.5417061611</v>
      </c>
      <c r="H29" s="376">
        <f>(((TotalTournamentAverages!H32+118)/(MassFormulaTesting!$B$24+118))*0.68)+0.3</f>
        <v>0.7838533114</v>
      </c>
      <c r="I29" s="376">
        <f>(IFERROR(TotalTournamentAverages!I32/MassFormulaTesting!$B$26,"")*0.68)+0.3</f>
        <v>0.56</v>
      </c>
      <c r="J29" s="376">
        <f>((0.98-IFERROR(TotalTournamentAverages!J32/MassFormulaTesting!$B$28,"")*0.68))</f>
        <v>0.6173333333</v>
      </c>
      <c r="K29" s="376">
        <f>(IFERROR(TotalTournamentAverages!K32/MassFormulaTesting!$B$30,"")*0.68)+0.3</f>
        <v>0.5972220085</v>
      </c>
      <c r="L29" s="376">
        <f>(IFERROR(TotalTournamentAverages!L32/MassFormulaTesting!$B$32,"")*0.68)+0.3</f>
        <v>0.6393020685</v>
      </c>
      <c r="M29" s="376">
        <f>(IFERROR(TotalTournamentAverages!M32/MassFormulaTesting!$B$34,"")*0.68)+0.3</f>
        <v>0.5060606061</v>
      </c>
      <c r="N29" s="376">
        <f>(IFERROR(TotalTournamentAverages!N32/MassFormulaTesting!$B$36,"")*0.68)+0.3</f>
        <v>0.4854545455</v>
      </c>
      <c r="O29" s="376">
        <f>(IFERROR(TotalTournamentAverages!O32/MassFormulaTesting!$B$38,"")*0.68)+0.3</f>
        <v>0.3</v>
      </c>
      <c r="P29" s="376">
        <f>(IFERROR(TotalTournamentAverages!P32/MassFormulaTesting!$B$40,"")*0.68)+0.3</f>
        <v>0.3</v>
      </c>
      <c r="Q29" s="376">
        <f>(IFERROR(TotalTournamentAverages!T32/MassFormulaTesting!$B$48,"")*0.68)+0.3</f>
        <v>0.4888888889</v>
      </c>
      <c r="R29" s="376">
        <f>(IFERROR(TotalTournamentAverages!U32/MassFormulaTesting!$B$50,"")*0.68)+0.3</f>
        <v>0.47</v>
      </c>
      <c r="S29" s="376">
        <f>(IFERROR(TotalTournamentAverages!V32/MassFormulaTesting!$B$52,"")*0.68)+0.3</f>
        <v>0.5266666667</v>
      </c>
      <c r="T29" s="376">
        <f>(IFERROR(TotalTournamentAverages!W32/MassFormulaTesting!$B$54,"")*0.68)+0.3</f>
        <v>0.3</v>
      </c>
      <c r="U29" s="376">
        <f>(IFERROR(TotalTournamentAverages!X32/MassFormulaTesting!$B$56,"")*0.68)+0.3</f>
        <v>0.3</v>
      </c>
      <c r="V29" s="376">
        <f>(IFERROR(TotalTournamentAverages!Y32/MassFormulaTesting!$B$58,"")*0.68)+0.3</f>
        <v>0.3</v>
      </c>
      <c r="W29" s="376">
        <f>(IFERROR(TotalTournamentAverages!Z32/MassFormulaTesting!$B$60,"")*0.68)+0.3</f>
        <v>0.3</v>
      </c>
      <c r="X29" s="376">
        <f>(IFERROR(TotalTournamentAverages!AD32/MassFormulaTesting!$B$68,"")*0.68)+0.3</f>
        <v>0.3</v>
      </c>
      <c r="Y29" s="376">
        <f>(IFERROR(TotalTournamentAverages!AG32/MassFormulaTesting!$B$74,"")*0.68)+0.3</f>
        <v>0.3</v>
      </c>
      <c r="Z29" s="376">
        <f>(IFERROR(TotalTournamentAverages!AH32/MassFormulaTesting!$B$76,"")*0.68)+0.3</f>
        <v>0.3</v>
      </c>
      <c r="AA29" s="376">
        <f>(IFERROR(TotalTournamentAverages!AJ32/MassFormulaTesting!$B$80,"")*0.68)+0.3</f>
        <v>0.3</v>
      </c>
      <c r="AB29" s="376">
        <f>(IFERROR(TotalTournamentAverages!AK32/MassFormulaTesting!$B$82,"")*0.68)+0.3</f>
        <v>0.3</v>
      </c>
      <c r="AC29" s="376">
        <f>(IFERROR(TotalTournamentAverages!AL32/MassFormulaTesting!$B$84,"")*0.68)+0.3</f>
        <v>0.3</v>
      </c>
      <c r="AD29" s="376">
        <f>(IFERROR(TotalTournamentAverages!AM32/MassFormulaTesting!$B$86,"")*0.68)+0.3</f>
        <v>0.3</v>
      </c>
      <c r="AE29" s="376">
        <f>(IFERROR(TotalTournamentAverages!AN32/MassFormulaTesting!$B$88,"")*0.68)+0.3</f>
        <v>0.3</v>
      </c>
      <c r="AF29" s="376">
        <f>(IFERROR(TotalTournamentAverages!AO32/MassFormulaTesting!$B$90,"")*0.68)+0.3</f>
        <v>0.3</v>
      </c>
      <c r="AG29" s="376">
        <f>(IFERROR(TotalTournamentAverages!AP32/MassFormulaTesting!$B$92,"")*0.68)+0.3</f>
        <v>0.3</v>
      </c>
      <c r="AH29" s="376">
        <f>(IFERROR(TotalTournamentAverages!AQ32/MassFormulaTesting!$B$94,"")*0.68)+0.3</f>
        <v>0.3</v>
      </c>
      <c r="AI29" s="376">
        <f>(IFERROR(TotalTournamentAverages!AR32/MassFormulaTesting!$B$96,"")*0.68)+0.3</f>
        <v>0.3</v>
      </c>
      <c r="AJ29" s="376">
        <f>(IFERROR(TotalTournamentAverages!AS32/MassFormulaTesting!$B$98,"")*0.68)+0.3</f>
        <v>0.3</v>
      </c>
      <c r="AK29" s="376">
        <f>(IFERROR(TotalTournamentAverages!AT32/MassFormulaTesting!$B$100,"")*0.68)+0.3</f>
        <v>0.3</v>
      </c>
      <c r="AL29" s="376">
        <f>(IFERROR(TotalTournamentAverages!AU32/MassFormulaTesting!$B$102,"")*0.68)+0.3</f>
        <v>0.3</v>
      </c>
      <c r="AM29" s="376">
        <f>(IFERROR(TotalTournamentAverages!AV32/MassFormulaTesting!$B$104,"")*0.68)+0.3</f>
        <v>0.3</v>
      </c>
    </row>
    <row r="30">
      <c r="B30" s="374" t="str">
        <f>MassFormulaTesting!D41</f>
        <v>#DIV/0!</v>
      </c>
      <c r="C30" s="375">
        <f>MassFormulaTesting!F41</f>
        <v>0.3</v>
      </c>
      <c r="D30" s="376">
        <f>(IFERROR(TotalTournamentAverages!D33/MassFormulaTesting!$B$16,"")*0.68)+0.3</f>
        <v>0.3971428571</v>
      </c>
      <c r="E30" s="376">
        <f>(IFERROR(TotalTournamentAverages!E33/MassFormulaTesting!$B$18,"")*0.68)+0.3</f>
        <v>0.8166929134</v>
      </c>
      <c r="F30" s="376">
        <f>(IFERROR(TotalTournamentAverages!F33/MassFormulaTesting!$B$20,"")*0.68)+0.3</f>
        <v>0.844</v>
      </c>
      <c r="G30" s="376">
        <f>(IFERROR(MassFormulaTesting!$C$22/TotalTournamentAverages!G33,"")*0.68)+0.3</f>
        <v>0.4396303901</v>
      </c>
      <c r="H30" s="376">
        <f>(((TotalTournamentAverages!H33+118)/(MassFormulaTesting!$B$24+118))*0.68)+0.3</f>
        <v>0.7142528736</v>
      </c>
      <c r="I30" s="376">
        <f>(IFERROR(TotalTournamentAverages!I33/MassFormulaTesting!$B$26,"")*0.68)+0.3</f>
        <v>0.645</v>
      </c>
      <c r="J30" s="376">
        <f>((0.98-IFERROR(TotalTournamentAverages!J33/MassFormulaTesting!$B$28,"")*0.68))</f>
        <v>0.6173333333</v>
      </c>
      <c r="K30" s="376">
        <f>(IFERROR(TotalTournamentAverages!K33/MassFormulaTesting!$B$30,"")*0.68)+0.3</f>
        <v>0.7990111581</v>
      </c>
      <c r="L30" s="376">
        <f>(IFERROR(TotalTournamentAverages!L33/MassFormulaTesting!$B$32,"")*0.68)+0.3</f>
        <v>0.8559024159</v>
      </c>
      <c r="M30" s="376">
        <f>(IFERROR(TotalTournamentAverages!M33/MassFormulaTesting!$B$34,"")*0.68)+0.3</f>
        <v>0.5112121212</v>
      </c>
      <c r="N30" s="376">
        <f>(IFERROR(TotalTournamentAverages!N33/MassFormulaTesting!$B$36,"")*0.68)+0.3</f>
        <v>0.7172727273</v>
      </c>
      <c r="O30" s="376">
        <f>(IFERROR(TotalTournamentAverages!O33/MassFormulaTesting!$B$38,"")*0.68)+0.3</f>
        <v>0.3</v>
      </c>
      <c r="P30" s="376">
        <f>(IFERROR(TotalTournamentAverages!P33/MassFormulaTesting!$B$40,"")*0.68)+0.3</f>
        <v>0.3</v>
      </c>
      <c r="Q30" s="376">
        <f>(IFERROR(TotalTournamentAverages!T33/MassFormulaTesting!$B$48,"")*0.68)+0.3</f>
        <v>0.6966666667</v>
      </c>
      <c r="R30" s="376">
        <f>(IFERROR(TotalTournamentAverages!U33/MassFormulaTesting!$B$50,"")*0.68)+0.3</f>
        <v>0.9375</v>
      </c>
      <c r="S30" s="376">
        <f>(IFERROR(TotalTournamentAverages!V33/MassFormulaTesting!$B$52,"")*0.68)+0.3</f>
        <v>0.3</v>
      </c>
      <c r="T30" s="376">
        <f>(IFERROR(TotalTournamentAverages!W33/MassFormulaTesting!$B$54,"")*0.68)+0.3</f>
        <v>0.3</v>
      </c>
      <c r="U30" s="376">
        <f>(IFERROR(TotalTournamentAverages!X33/MassFormulaTesting!$B$56,"")*0.68)+0.3</f>
        <v>0.3</v>
      </c>
      <c r="V30" s="376">
        <f>(IFERROR(TotalTournamentAverages!Y33/MassFormulaTesting!$B$58,"")*0.68)+0.3</f>
        <v>0.3</v>
      </c>
      <c r="W30" s="376">
        <f>(IFERROR(TotalTournamentAverages!Z33/MassFormulaTesting!$B$60,"")*0.68)+0.3</f>
        <v>0.3</v>
      </c>
      <c r="X30" s="376">
        <f>(IFERROR(TotalTournamentAverages!AD33/MassFormulaTesting!$B$68,"")*0.68)+0.3</f>
        <v>0.3</v>
      </c>
      <c r="Y30" s="376">
        <f>(IFERROR(TotalTournamentAverages!AG33/MassFormulaTesting!$B$74,"")*0.68)+0.3</f>
        <v>0.3</v>
      </c>
      <c r="Z30" s="376">
        <f>(IFERROR(TotalTournamentAverages!AH33/MassFormulaTesting!$B$76,"")*0.68)+0.3</f>
        <v>0.3</v>
      </c>
      <c r="AA30" s="376">
        <f>(IFERROR(TotalTournamentAverages!AJ33/MassFormulaTesting!$B$80,"")*0.68)+0.3</f>
        <v>0.3</v>
      </c>
      <c r="AB30" s="376">
        <f>(IFERROR(TotalTournamentAverages!AK33/MassFormulaTesting!$B$82,"")*0.68)+0.3</f>
        <v>0.3</v>
      </c>
      <c r="AC30" s="376">
        <f>(IFERROR(TotalTournamentAverages!AL33/MassFormulaTesting!$B$84,"")*0.68)+0.3</f>
        <v>0.3</v>
      </c>
      <c r="AD30" s="376">
        <f>(IFERROR(TotalTournamentAverages!AM33/MassFormulaTesting!$B$86,"")*0.68)+0.3</f>
        <v>0.3</v>
      </c>
      <c r="AE30" s="376">
        <f>(IFERROR(TotalTournamentAverages!AN33/MassFormulaTesting!$B$88,"")*0.68)+0.3</f>
        <v>0.3</v>
      </c>
      <c r="AF30" s="376">
        <f>(IFERROR(TotalTournamentAverages!AO33/MassFormulaTesting!$B$90,"")*0.68)+0.3</f>
        <v>0.3</v>
      </c>
      <c r="AG30" s="376">
        <f>(IFERROR(TotalTournamentAverages!AP33/MassFormulaTesting!$B$92,"")*0.68)+0.3</f>
        <v>0.3</v>
      </c>
      <c r="AH30" s="376">
        <f>(IFERROR(TotalTournamentAverages!AQ33/MassFormulaTesting!$B$94,"")*0.68)+0.3</f>
        <v>0.3</v>
      </c>
      <c r="AI30" s="376">
        <f>(IFERROR(TotalTournamentAverages!AR33/MassFormulaTesting!$B$96,"")*0.68)+0.3</f>
        <v>0.3</v>
      </c>
      <c r="AJ30" s="376">
        <f>(IFERROR(TotalTournamentAverages!AS33/MassFormulaTesting!$B$98,"")*0.68)+0.3</f>
        <v>0.3</v>
      </c>
      <c r="AK30" s="376">
        <f>(IFERROR(TotalTournamentAverages!AT33/MassFormulaTesting!$B$100,"")*0.68)+0.3</f>
        <v>0.3</v>
      </c>
      <c r="AL30" s="376">
        <f>(IFERROR(TotalTournamentAverages!AU33/MassFormulaTesting!$B$102,"")*0.68)+0.3</f>
        <v>0.3</v>
      </c>
      <c r="AM30" s="376">
        <f>(IFERROR(TotalTournamentAverages!AV33/MassFormulaTesting!$B$104,"")*0.68)+0.3</f>
        <v>0.3</v>
      </c>
    </row>
    <row r="31">
      <c r="B31" s="374" t="str">
        <f>MassFormulaTesting!D42</f>
        <v>#DIV/0!</v>
      </c>
      <c r="C31" s="375">
        <f>MassFormulaTesting!F42</f>
        <v>0.3</v>
      </c>
      <c r="D31" s="376">
        <f>(IFERROR(TotalTournamentAverages!D34/MassFormulaTesting!$B$16,"")*0.68)+0.3</f>
        <v>0.3</v>
      </c>
      <c r="E31" s="376">
        <f>(IFERROR(TotalTournamentAverages!E34/MassFormulaTesting!$B$18,"")*0.68)+0.3</f>
        <v>0.6355380577</v>
      </c>
      <c r="F31" s="376">
        <f>(IFERROR(TotalTournamentAverages!F34/MassFormulaTesting!$B$20,"")*0.68)+0.3</f>
        <v>0.6626666667</v>
      </c>
      <c r="G31" s="376">
        <f>(IFERROR(MassFormulaTesting!$C$22/TotalTournamentAverages!G34,"")*0.68)+0.3</f>
        <v>0.5090163934</v>
      </c>
      <c r="H31" s="376">
        <f>(((TotalTournamentAverages!H34+118)/(MassFormulaTesting!$B$24+118))*0.68)+0.3</f>
        <v>0.7436562671</v>
      </c>
      <c r="I31" s="376">
        <f>(IFERROR(TotalTournamentAverages!I34/MassFormulaTesting!$B$26,"")*0.68)+0.3</f>
        <v>0.54</v>
      </c>
      <c r="J31" s="376">
        <f>((0.98-IFERROR(TotalTournamentAverages!J34/MassFormulaTesting!$B$28,"")*0.68))</f>
        <v>0.7382222222</v>
      </c>
      <c r="K31" s="376">
        <f>(IFERROR(TotalTournamentAverages!K34/MassFormulaTesting!$B$30,"")*0.68)+0.3</f>
        <v>0.6441862255</v>
      </c>
      <c r="L31" s="376">
        <f>(IFERROR(TotalTournamentAverages!L34/MassFormulaTesting!$B$32,"")*0.68)+0.3</f>
        <v>0.684506553</v>
      </c>
      <c r="M31" s="376">
        <f>(IFERROR(TotalTournamentAverages!M34/MassFormulaTesting!$B$34,"")*0.68)+0.3</f>
        <v>0.5129292929</v>
      </c>
      <c r="N31" s="376">
        <f>(IFERROR(TotalTournamentAverages!N34/MassFormulaTesting!$B$36,"")*0.68)+0.3</f>
        <v>0.4236363636</v>
      </c>
      <c r="O31" s="376">
        <f>(IFERROR(TotalTournamentAverages!O34/MassFormulaTesting!$B$38,"")*0.68)+0.3</f>
        <v>0.3</v>
      </c>
      <c r="P31" s="376">
        <f>(IFERROR(TotalTournamentAverages!P34/MassFormulaTesting!$B$40,"")*0.68)+0.3</f>
        <v>0.3</v>
      </c>
      <c r="Q31" s="376">
        <f>(IFERROR(TotalTournamentAverages!T34/MassFormulaTesting!$B$48,"")*0.68)+0.3</f>
        <v>0.5266666667</v>
      </c>
      <c r="R31" s="376">
        <f>(IFERROR(TotalTournamentAverages!U34/MassFormulaTesting!$B$50,"")*0.68)+0.3</f>
        <v>0.47</v>
      </c>
      <c r="S31" s="376">
        <f>(IFERROR(TotalTournamentAverages!V34/MassFormulaTesting!$B$52,"")*0.68)+0.3</f>
        <v>0.5266666667</v>
      </c>
      <c r="T31" s="376">
        <f>(IFERROR(TotalTournamentAverages!W34/MassFormulaTesting!$B$54,"")*0.68)+0.3</f>
        <v>0.3</v>
      </c>
      <c r="U31" s="376">
        <f>(IFERROR(TotalTournamentAverages!X34/MassFormulaTesting!$B$56,"")*0.68)+0.3</f>
        <v>0.3</v>
      </c>
      <c r="V31" s="376">
        <f>(IFERROR(TotalTournamentAverages!Y34/MassFormulaTesting!$B$58,"")*0.68)+0.3</f>
        <v>0.3</v>
      </c>
      <c r="W31" s="376">
        <f>(IFERROR(TotalTournamentAverages!Z34/MassFormulaTesting!$B$60,"")*0.68)+0.3</f>
        <v>0.3</v>
      </c>
      <c r="X31" s="376">
        <f>(IFERROR(TotalTournamentAverages!AD34/MassFormulaTesting!$B$68,"")*0.68)+0.3</f>
        <v>0.3</v>
      </c>
      <c r="Y31" s="376">
        <f>(IFERROR(TotalTournamentAverages!AG34/MassFormulaTesting!$B$74,"")*0.68)+0.3</f>
        <v>0.3</v>
      </c>
      <c r="Z31" s="376">
        <f>(IFERROR(TotalTournamentAverages!AH34/MassFormulaTesting!$B$76,"")*0.68)+0.3</f>
        <v>0.3</v>
      </c>
      <c r="AA31" s="376">
        <f>(IFERROR(TotalTournamentAverages!AJ34/MassFormulaTesting!$B$80,"")*0.68)+0.3</f>
        <v>0.3</v>
      </c>
      <c r="AB31" s="376">
        <f>(IFERROR(TotalTournamentAverages!AK34/MassFormulaTesting!$B$82,"")*0.68)+0.3</f>
        <v>0.3</v>
      </c>
      <c r="AC31" s="376">
        <f>(IFERROR(TotalTournamentAverages!AL34/MassFormulaTesting!$B$84,"")*0.68)+0.3</f>
        <v>0.3</v>
      </c>
      <c r="AD31" s="376">
        <f>(IFERROR(TotalTournamentAverages!AM34/MassFormulaTesting!$B$86,"")*0.68)+0.3</f>
        <v>0.3</v>
      </c>
      <c r="AE31" s="376">
        <f>(IFERROR(TotalTournamentAverages!AN34/MassFormulaTesting!$B$88,"")*0.68)+0.3</f>
        <v>0.3</v>
      </c>
      <c r="AF31" s="376">
        <f>(IFERROR(TotalTournamentAverages!AO34/MassFormulaTesting!$B$90,"")*0.68)+0.3</f>
        <v>0.3</v>
      </c>
      <c r="AG31" s="376">
        <f>(IFERROR(TotalTournamentAverages!AP34/MassFormulaTesting!$B$92,"")*0.68)+0.3</f>
        <v>0.3</v>
      </c>
      <c r="AH31" s="376">
        <f>(IFERROR(TotalTournamentAverages!AQ34/MassFormulaTesting!$B$94,"")*0.68)+0.3</f>
        <v>0.3</v>
      </c>
      <c r="AI31" s="376">
        <f>(IFERROR(TotalTournamentAverages!AR34/MassFormulaTesting!$B$96,"")*0.68)+0.3</f>
        <v>0.3</v>
      </c>
      <c r="AJ31" s="376">
        <f>(IFERROR(TotalTournamentAverages!AS34/MassFormulaTesting!$B$98,"")*0.68)+0.3</f>
        <v>0.3</v>
      </c>
      <c r="AK31" s="376">
        <f>(IFERROR(TotalTournamentAverages!AT34/MassFormulaTesting!$B$100,"")*0.68)+0.3</f>
        <v>0.3</v>
      </c>
      <c r="AL31" s="376">
        <f>(IFERROR(TotalTournamentAverages!AU34/MassFormulaTesting!$B$102,"")*0.68)+0.3</f>
        <v>0.3</v>
      </c>
      <c r="AM31" s="376">
        <f>(IFERROR(TotalTournamentAverages!AV34/MassFormulaTesting!$B$104,"")*0.68)+0.3</f>
        <v>0.3</v>
      </c>
    </row>
    <row r="32">
      <c r="B32" s="374" t="str">
        <f>MassFormulaTesting!D43</f>
        <v>#DIV/0!</v>
      </c>
      <c r="C32" s="375">
        <f>MassFormulaTesting!F43</f>
        <v>0.3</v>
      </c>
      <c r="D32" s="376">
        <f>(IFERROR(TotalTournamentAverages!D35/MassFormulaTesting!$B$16,"")*0.68)+0.3</f>
        <v>0.3</v>
      </c>
      <c r="E32" s="376">
        <f>(IFERROR(TotalTournamentAverages!E35/MassFormulaTesting!$B$18,"")*0.68)+0.3</f>
        <v>0.6868503937</v>
      </c>
      <c r="F32" s="376">
        <f>(IFERROR(TotalTournamentAverages!F35/MassFormulaTesting!$B$20,"")*0.68)+0.3</f>
        <v>0.555</v>
      </c>
      <c r="G32" s="376">
        <f>(IFERROR(MassFormulaTesting!$C$22/TotalTournamentAverages!G35,"")*0.68)+0.3</f>
        <v>0.565625</v>
      </c>
      <c r="H32" s="376">
        <f>(((TotalTournamentAverages!H35+118)/(MassFormulaTesting!$B$24+118))*0.68)+0.3</f>
        <v>0.8638752053</v>
      </c>
      <c r="I32" s="376">
        <f>(IFERROR(TotalTournamentAverages!I35/MassFormulaTesting!$B$26,"")*0.68)+0.3</f>
        <v>0.705</v>
      </c>
      <c r="J32" s="376">
        <f>((0.98-IFERROR(TotalTournamentAverages!J35/MassFormulaTesting!$B$28,"")*0.68))</f>
        <v>0.8893333333</v>
      </c>
      <c r="K32" s="376">
        <f>(IFERROR(TotalTournamentAverages!K35/MassFormulaTesting!$B$30,"")*0.68)+0.3</f>
        <v>0.6587071951</v>
      </c>
      <c r="L32" s="376">
        <f>(IFERROR(TotalTournamentAverages!L35/MassFormulaTesting!$B$32,"")*0.68)+0.3</f>
        <v>0.6804263382</v>
      </c>
      <c r="M32" s="376">
        <f>(IFERROR(TotalTournamentAverages!M35/MassFormulaTesting!$B$34,"")*0.68)+0.3</f>
        <v>0.5884848485</v>
      </c>
      <c r="N32" s="376">
        <f>(IFERROR(TotalTournamentAverages!N35/MassFormulaTesting!$B$36,"")*0.68)+0.3</f>
        <v>0.4854545455</v>
      </c>
      <c r="O32" s="376">
        <f>(IFERROR(TotalTournamentAverages!O35/MassFormulaTesting!$B$38,"")*0.68)+0.3</f>
        <v>0.3</v>
      </c>
      <c r="P32" s="376">
        <f>(IFERROR(TotalTournamentAverages!P35/MassFormulaTesting!$B$40,"")*0.68)+0.3</f>
        <v>0.3</v>
      </c>
      <c r="Q32" s="376">
        <f>(IFERROR(TotalTournamentAverages!T35/MassFormulaTesting!$B$48,"")*0.68)+0.3</f>
        <v>0.6116666667</v>
      </c>
      <c r="R32" s="376">
        <f>(IFERROR(TotalTournamentAverages!U35/MassFormulaTesting!$B$50,"")*0.68)+0.3</f>
        <v>0.3</v>
      </c>
      <c r="S32" s="376">
        <f>(IFERROR(TotalTournamentAverages!V35/MassFormulaTesting!$B$52,"")*0.68)+0.3</f>
        <v>0.3</v>
      </c>
      <c r="T32" s="376">
        <f>(IFERROR(TotalTournamentAverages!W35/MassFormulaTesting!$B$54,"")*0.68)+0.3</f>
        <v>0.3</v>
      </c>
      <c r="U32" s="376">
        <f>(IFERROR(TotalTournamentAverages!X35/MassFormulaTesting!$B$56,"")*0.68)+0.3</f>
        <v>0.3</v>
      </c>
      <c r="V32" s="376">
        <f>(IFERROR(TotalTournamentAverages!Y35/MassFormulaTesting!$B$58,"")*0.68)+0.3</f>
        <v>0.3</v>
      </c>
      <c r="W32" s="376">
        <f>(IFERROR(TotalTournamentAverages!Z35/MassFormulaTesting!$B$60,"")*0.68)+0.3</f>
        <v>0.3</v>
      </c>
      <c r="X32" s="376">
        <f>(IFERROR(TotalTournamentAverages!AD35/MassFormulaTesting!$B$68,"")*0.68)+0.3</f>
        <v>0.3</v>
      </c>
      <c r="Y32" s="376">
        <f>(IFERROR(TotalTournamentAverages!AG35/MassFormulaTesting!$B$74,"")*0.68)+0.3</f>
        <v>0.3</v>
      </c>
      <c r="Z32" s="376">
        <f>(IFERROR(TotalTournamentAverages!AH35/MassFormulaTesting!$B$76,"")*0.68)+0.3</f>
        <v>0.3</v>
      </c>
      <c r="AA32" s="376">
        <f>(IFERROR(TotalTournamentAverages!AJ35/MassFormulaTesting!$B$80,"")*0.68)+0.3</f>
        <v>0.3</v>
      </c>
      <c r="AB32" s="376">
        <f>(IFERROR(TotalTournamentAverages!AK35/MassFormulaTesting!$B$82,"")*0.68)+0.3</f>
        <v>0.3</v>
      </c>
      <c r="AC32" s="376">
        <f>(IFERROR(TotalTournamentAverages!AL35/MassFormulaTesting!$B$84,"")*0.68)+0.3</f>
        <v>0.3</v>
      </c>
      <c r="AD32" s="376">
        <f>(IFERROR(TotalTournamentAverages!AM35/MassFormulaTesting!$B$86,"")*0.68)+0.3</f>
        <v>0.3</v>
      </c>
      <c r="AE32" s="376">
        <f>(IFERROR(TotalTournamentAverages!AN35/MassFormulaTesting!$B$88,"")*0.68)+0.3</f>
        <v>0.3</v>
      </c>
      <c r="AF32" s="376">
        <f>(IFERROR(TotalTournamentAverages!AO35/MassFormulaTesting!$B$90,"")*0.68)+0.3</f>
        <v>0.3</v>
      </c>
      <c r="AG32" s="376">
        <f>(IFERROR(TotalTournamentAverages!AP35/MassFormulaTesting!$B$92,"")*0.68)+0.3</f>
        <v>0.3</v>
      </c>
      <c r="AH32" s="376">
        <f>(IFERROR(TotalTournamentAverages!AQ35/MassFormulaTesting!$B$94,"")*0.68)+0.3</f>
        <v>0.3</v>
      </c>
      <c r="AI32" s="376">
        <f>(IFERROR(TotalTournamentAverages!AR35/MassFormulaTesting!$B$96,"")*0.68)+0.3</f>
        <v>0.3</v>
      </c>
      <c r="AJ32" s="376">
        <f>(IFERROR(TotalTournamentAverages!AS35/MassFormulaTesting!$B$98,"")*0.68)+0.3</f>
        <v>0.3</v>
      </c>
      <c r="AK32" s="376">
        <f>(IFERROR(TotalTournamentAverages!AT35/MassFormulaTesting!$B$100,"")*0.68)+0.3</f>
        <v>0.3</v>
      </c>
      <c r="AL32" s="376">
        <f>(IFERROR(TotalTournamentAverages!AU35/MassFormulaTesting!$B$102,"")*0.68)+0.3</f>
        <v>0.3</v>
      </c>
      <c r="AM32" s="376">
        <f>(IFERROR(TotalTournamentAverages!AV35/MassFormulaTesting!$B$104,"")*0.68)+0.3</f>
        <v>0.3</v>
      </c>
    </row>
    <row r="33">
      <c r="B33" s="374" t="str">
        <f>MassFormulaTesting!D44</f>
        <v>#DIV/0!</v>
      </c>
      <c r="C33" s="375">
        <f>MassFormulaTesting!F44</f>
        <v>0.3</v>
      </c>
      <c r="D33" s="376">
        <f>(IFERROR(TotalTournamentAverages!D36/MassFormulaTesting!$B$16,"")*0.68)+0.3</f>
        <v>0.3</v>
      </c>
      <c r="E33" s="376">
        <f>(IFERROR(TotalTournamentAverages!E36/MassFormulaTesting!$B$18,"")*0.68)+0.3</f>
        <v>0.7979527559</v>
      </c>
      <c r="F33" s="376">
        <f>(IFERROR(TotalTournamentAverages!F36/MassFormulaTesting!$B$20,"")*0.68)+0.3</f>
        <v>0.64</v>
      </c>
      <c r="G33" s="376">
        <f>(IFERROR(MassFormulaTesting!$C$22/TotalTournamentAverages!G36,"")*0.68)+0.3</f>
        <v>0.4734693878</v>
      </c>
      <c r="H33" s="376">
        <f>(((TotalTournamentAverages!H36+118)/(MassFormulaTesting!$B$24+118))*0.68)+0.3</f>
        <v>0.8046962233</v>
      </c>
      <c r="I33" s="376">
        <f>(IFERROR(TotalTournamentAverages!I36/MassFormulaTesting!$B$26,"")*0.68)+0.3</f>
        <v>0.54</v>
      </c>
      <c r="J33" s="376">
        <f>((0.98-IFERROR(TotalTournamentAverages!J36/MassFormulaTesting!$B$28,"")*0.68))</f>
        <v>0.6173333333</v>
      </c>
      <c r="K33" s="376">
        <f>(IFERROR(TotalTournamentAverages!K36/MassFormulaTesting!$B$30,"")*0.68)+0.3</f>
        <v>0.7120815698</v>
      </c>
      <c r="L33" s="376">
        <f>(IFERROR(TotalTournamentAverages!L36/MassFormulaTesting!$B$32,"")*0.68)+0.3</f>
        <v>0.7561250592</v>
      </c>
      <c r="M33" s="376">
        <f>(IFERROR(TotalTournamentAverages!M36/MassFormulaTesting!$B$34,"")*0.68)+0.3</f>
        <v>0.5060606061</v>
      </c>
      <c r="N33" s="376">
        <f>(IFERROR(TotalTournamentAverages!N36/MassFormulaTesting!$B$36,"")*0.68)+0.3</f>
        <v>0.3</v>
      </c>
      <c r="O33" s="376">
        <f>(IFERROR(TotalTournamentAverages!O36/MassFormulaTesting!$B$38,"")*0.68)+0.3</f>
        <v>0.3</v>
      </c>
      <c r="P33" s="376">
        <f>(IFERROR(TotalTournamentAverages!P36/MassFormulaTesting!$B$40,"")*0.68)+0.3</f>
        <v>0.3</v>
      </c>
      <c r="Q33" s="376">
        <f>(IFERROR(TotalTournamentAverages!T36/MassFormulaTesting!$B$48,"")*0.68)+0.3</f>
        <v>0.5266666667</v>
      </c>
      <c r="R33" s="376">
        <f>(IFERROR(TotalTournamentAverages!U36/MassFormulaTesting!$B$50,"")*0.68)+0.3</f>
        <v>0.3</v>
      </c>
      <c r="S33" s="376">
        <f>(IFERROR(TotalTournamentAverages!V36/MassFormulaTesting!$B$52,"")*0.68)+0.3</f>
        <v>0.3</v>
      </c>
      <c r="T33" s="376">
        <f>(IFERROR(TotalTournamentAverages!W36/MassFormulaTesting!$B$54,"")*0.68)+0.3</f>
        <v>0.3</v>
      </c>
      <c r="U33" s="376">
        <f>(IFERROR(TotalTournamentAverages!X36/MassFormulaTesting!$B$56,"")*0.68)+0.3</f>
        <v>0.3</v>
      </c>
      <c r="V33" s="376">
        <f>(IFERROR(TotalTournamentAverages!Y36/MassFormulaTesting!$B$58,"")*0.68)+0.3</f>
        <v>0.3</v>
      </c>
      <c r="W33" s="376">
        <f>(IFERROR(TotalTournamentAverages!Z36/MassFormulaTesting!$B$60,"")*0.68)+0.3</f>
        <v>0.3</v>
      </c>
      <c r="X33" s="376">
        <f>(IFERROR(TotalTournamentAverages!AD36/MassFormulaTesting!$B$68,"")*0.68)+0.3</f>
        <v>0.3</v>
      </c>
      <c r="Y33" s="376">
        <f>(IFERROR(TotalTournamentAverages!AG36/MassFormulaTesting!$B$74,"")*0.68)+0.3</f>
        <v>0.3</v>
      </c>
      <c r="Z33" s="376">
        <f>(IFERROR(TotalTournamentAverages!AH36/MassFormulaTesting!$B$76,"")*0.68)+0.3</f>
        <v>0.3</v>
      </c>
      <c r="AA33" s="376">
        <f>(IFERROR(TotalTournamentAverages!AJ36/MassFormulaTesting!$B$80,"")*0.68)+0.3</f>
        <v>0.3</v>
      </c>
      <c r="AB33" s="376">
        <f>(IFERROR(TotalTournamentAverages!AK36/MassFormulaTesting!$B$82,"")*0.68)+0.3</f>
        <v>0.3</v>
      </c>
      <c r="AC33" s="376">
        <f>(IFERROR(TotalTournamentAverages!AL36/MassFormulaTesting!$B$84,"")*0.68)+0.3</f>
        <v>0.3</v>
      </c>
      <c r="AD33" s="376">
        <f>(IFERROR(TotalTournamentAverages!AM36/MassFormulaTesting!$B$86,"")*0.68)+0.3</f>
        <v>0.3</v>
      </c>
      <c r="AE33" s="376">
        <f>(IFERROR(TotalTournamentAverages!AN36/MassFormulaTesting!$B$88,"")*0.68)+0.3</f>
        <v>0.3</v>
      </c>
      <c r="AF33" s="376">
        <f>(IFERROR(TotalTournamentAverages!AO36/MassFormulaTesting!$B$90,"")*0.68)+0.3</f>
        <v>0.3</v>
      </c>
      <c r="AG33" s="376">
        <f>(IFERROR(TotalTournamentAverages!AP36/MassFormulaTesting!$B$92,"")*0.68)+0.3</f>
        <v>0.3</v>
      </c>
      <c r="AH33" s="376">
        <f>(IFERROR(TotalTournamentAverages!AQ36/MassFormulaTesting!$B$94,"")*0.68)+0.3</f>
        <v>0.3</v>
      </c>
      <c r="AI33" s="376">
        <f>(IFERROR(TotalTournamentAverages!AR36/MassFormulaTesting!$B$96,"")*0.68)+0.3</f>
        <v>0.3</v>
      </c>
      <c r="AJ33" s="376">
        <f>(IFERROR(TotalTournamentAverages!AS36/MassFormulaTesting!$B$98,"")*0.68)+0.3</f>
        <v>0.3</v>
      </c>
      <c r="AK33" s="376">
        <f>(IFERROR(TotalTournamentAverages!AT36/MassFormulaTesting!$B$100,"")*0.68)+0.3</f>
        <v>0.3</v>
      </c>
      <c r="AL33" s="376">
        <f>(IFERROR(TotalTournamentAverages!AU36/MassFormulaTesting!$B$102,"")*0.68)+0.3</f>
        <v>0.3</v>
      </c>
      <c r="AM33" s="376">
        <f>(IFERROR(TotalTournamentAverages!AV36/MassFormulaTesting!$B$104,"")*0.68)+0.3</f>
        <v>0.3</v>
      </c>
    </row>
    <row r="34">
      <c r="B34" s="374" t="str">
        <f>MassFormulaTesting!D45</f>
        <v>#DIV/0!</v>
      </c>
      <c r="C34" s="375">
        <f>MassFormulaTesting!F45</f>
        <v>0.3</v>
      </c>
      <c r="D34" s="376">
        <f>(IFERROR(TotalTournamentAverages!D37/MassFormulaTesting!$B$16,"")*0.68)+0.3</f>
        <v>0.7857142857</v>
      </c>
      <c r="E34" s="376">
        <f>(IFERROR(TotalTournamentAverages!E37/MassFormulaTesting!$B$18,"")*0.68)+0.3</f>
        <v>0.6319685039</v>
      </c>
      <c r="F34" s="376">
        <f>(IFERROR(TotalTournamentAverages!F37/MassFormulaTesting!$B$20,"")*0.68)+0.3</f>
        <v>0.47</v>
      </c>
      <c r="G34" s="376">
        <f>(IFERROR(MassFormulaTesting!$C$22/TotalTournamentAverages!G37,"")*0.68)+0.3</f>
        <v>0.6253588517</v>
      </c>
      <c r="H34" s="376">
        <f>(((TotalTournamentAverages!H37+118)/(MassFormulaTesting!$B$24+118))*0.68)+0.3</f>
        <v>0.8705747126</v>
      </c>
      <c r="I34" s="376">
        <f>(IFERROR(TotalTournamentAverages!I37/MassFormulaTesting!$B$26,"")*0.68)+0.3</f>
        <v>0.69</v>
      </c>
      <c r="J34" s="376">
        <f>((0.98-IFERROR(TotalTournamentAverages!J37/MassFormulaTesting!$B$28,"")*0.68))</f>
        <v>0.7533333333</v>
      </c>
      <c r="K34" s="376">
        <f>(IFERROR(TotalTournamentAverages!K37/MassFormulaTesting!$B$30,"")*0.68)+0.3</f>
        <v>0.8811331281</v>
      </c>
      <c r="L34" s="376">
        <f>(IFERROR(TotalTournamentAverages!L37/MassFormulaTesting!$B$32,"")*0.68)+0.3</f>
        <v>0.8559024159</v>
      </c>
      <c r="M34" s="376">
        <f>(IFERROR(TotalTournamentAverages!M37/MassFormulaTesting!$B$34,"")*0.68)+0.3</f>
        <v>0.876969697</v>
      </c>
      <c r="N34" s="376">
        <f>(IFERROR(TotalTournamentAverages!N37/MassFormulaTesting!$B$36,"")*0.68)+0.3</f>
        <v>0.6709090909</v>
      </c>
      <c r="O34" s="376">
        <f>(IFERROR(TotalTournamentAverages!O37/MassFormulaTesting!$B$38,"")*0.68)+0.3</f>
        <v>0.3</v>
      </c>
      <c r="P34" s="376">
        <f>(IFERROR(TotalTournamentAverages!P37/MassFormulaTesting!$B$40,"")*0.68)+0.3</f>
        <v>0.3</v>
      </c>
      <c r="Q34" s="376">
        <f>(IFERROR(TotalTournamentAverages!T37/MassFormulaTesting!$B$48,"")*0.68)+0.3</f>
        <v>0.4133333333</v>
      </c>
      <c r="R34" s="376">
        <f>(IFERROR(TotalTournamentAverages!U37/MassFormulaTesting!$B$50,"")*0.68)+0.3</f>
        <v>0.555</v>
      </c>
      <c r="S34" s="376">
        <f>(IFERROR(TotalTournamentAverages!V37/MassFormulaTesting!$B$52,"")*0.68)+0.3</f>
        <v>0.47</v>
      </c>
      <c r="T34" s="376">
        <f>(IFERROR(TotalTournamentAverages!W37/MassFormulaTesting!$B$54,"")*0.68)+0.3</f>
        <v>0.3</v>
      </c>
      <c r="U34" s="376">
        <f>(IFERROR(TotalTournamentAverages!X37/MassFormulaTesting!$B$56,"")*0.68)+0.3</f>
        <v>0.3</v>
      </c>
      <c r="V34" s="376">
        <f>(IFERROR(TotalTournamentAverages!Y37/MassFormulaTesting!$B$58,"")*0.68)+0.3</f>
        <v>0.3</v>
      </c>
      <c r="W34" s="376">
        <f>(IFERROR(TotalTournamentAverages!Z37/MassFormulaTesting!$B$60,"")*0.68)+0.3</f>
        <v>0.3</v>
      </c>
      <c r="X34" s="376">
        <f>(IFERROR(TotalTournamentAverages!AD37/MassFormulaTesting!$B$68,"")*0.68)+0.3</f>
        <v>0.3</v>
      </c>
      <c r="Y34" s="376">
        <f>(IFERROR(TotalTournamentAverages!AG37/MassFormulaTesting!$B$74,"")*0.68)+0.3</f>
        <v>0.3</v>
      </c>
      <c r="Z34" s="376">
        <f>(IFERROR(TotalTournamentAverages!AH37/MassFormulaTesting!$B$76,"")*0.68)+0.3</f>
        <v>0.3</v>
      </c>
      <c r="AA34" s="376">
        <f>(IFERROR(TotalTournamentAverages!AJ37/MassFormulaTesting!$B$80,"")*0.68)+0.3</f>
        <v>0.3</v>
      </c>
      <c r="AB34" s="376">
        <f>(IFERROR(TotalTournamentAverages!AK37/MassFormulaTesting!$B$82,"")*0.68)+0.3</f>
        <v>0.3</v>
      </c>
      <c r="AC34" s="376">
        <f>(IFERROR(TotalTournamentAverages!AL37/MassFormulaTesting!$B$84,"")*0.68)+0.3</f>
        <v>0.3</v>
      </c>
      <c r="AD34" s="376">
        <f>(IFERROR(TotalTournamentAverages!AM37/MassFormulaTesting!$B$86,"")*0.68)+0.3</f>
        <v>0.3</v>
      </c>
      <c r="AE34" s="376">
        <f>(IFERROR(TotalTournamentAverages!AN37/MassFormulaTesting!$B$88,"")*0.68)+0.3</f>
        <v>0.3</v>
      </c>
      <c r="AF34" s="376">
        <f>(IFERROR(TotalTournamentAverages!AO37/MassFormulaTesting!$B$90,"")*0.68)+0.3</f>
        <v>0.3</v>
      </c>
      <c r="AG34" s="376">
        <f>(IFERROR(TotalTournamentAverages!AP37/MassFormulaTesting!$B$92,"")*0.68)+0.3</f>
        <v>0.3</v>
      </c>
      <c r="AH34" s="376">
        <f>(IFERROR(TotalTournamentAverages!AQ37/MassFormulaTesting!$B$94,"")*0.68)+0.3</f>
        <v>0.3</v>
      </c>
      <c r="AI34" s="376">
        <f>(IFERROR(TotalTournamentAverages!AR37/MassFormulaTesting!$B$96,"")*0.68)+0.3</f>
        <v>0.3</v>
      </c>
      <c r="AJ34" s="376">
        <f>(IFERROR(TotalTournamentAverages!AS37/MassFormulaTesting!$B$98,"")*0.68)+0.3</f>
        <v>0.3</v>
      </c>
      <c r="AK34" s="376">
        <f>(IFERROR(TotalTournamentAverages!AT37/MassFormulaTesting!$B$100,"")*0.68)+0.3</f>
        <v>0.3</v>
      </c>
      <c r="AL34" s="376">
        <f>(IFERROR(TotalTournamentAverages!AU37/MassFormulaTesting!$B$102,"")*0.68)+0.3</f>
        <v>0.3</v>
      </c>
      <c r="AM34" s="376">
        <f>(IFERROR(TotalTournamentAverages!AV37/MassFormulaTesting!$B$104,"")*0.68)+0.3</f>
        <v>0.3</v>
      </c>
    </row>
    <row r="35">
      <c r="B35" s="374" t="str">
        <f>MassFormulaTesting!D46</f>
        <v>#DIV/0!</v>
      </c>
      <c r="C35" s="375">
        <f>MassFormulaTesting!F46</f>
        <v>0.3</v>
      </c>
      <c r="D35" s="376">
        <f>(IFERROR(TotalTournamentAverages!D38/MassFormulaTesting!$B$16,"")*0.68)+0.3</f>
        <v>0.4457142857</v>
      </c>
      <c r="E35" s="376">
        <f>(IFERROR(TotalTournamentAverages!E38/MassFormulaTesting!$B$18,"")*0.68)+0.3</f>
        <v>0.7283464567</v>
      </c>
      <c r="F35" s="376">
        <f>(IFERROR(TotalTournamentAverages!F38/MassFormulaTesting!$B$20,"")*0.68)+0.3</f>
        <v>0.674</v>
      </c>
      <c r="G35" s="376">
        <f>(IFERROR(MassFormulaTesting!$C$22/TotalTournamentAverages!G38,"")*0.68)+0.3</f>
        <v>0.4691542289</v>
      </c>
      <c r="H35" s="376">
        <f>(((TotalTournamentAverages!H38+118)/(MassFormulaTesting!$B$24+118))*0.68)+0.3</f>
        <v>0.7354679803</v>
      </c>
      <c r="I35" s="376">
        <f>(IFERROR(TotalTournamentAverages!I38/MassFormulaTesting!$B$26,"")*0.68)+0.3</f>
        <v>0.54</v>
      </c>
      <c r="J35" s="376">
        <f>((0.98-IFERROR(TotalTournamentAverages!J38/MassFormulaTesting!$B$28,"")*0.68))</f>
        <v>0.3906666667</v>
      </c>
      <c r="K35" s="376">
        <f>(IFERROR(TotalTournamentAverages!K38/MassFormulaTesting!$B$30,"")*0.68)+0.3</f>
        <v>0.7565275106</v>
      </c>
      <c r="L35" s="376">
        <f>(IFERROR(TotalTournamentAverages!L38/MassFormulaTesting!$B$32,"")*0.68)+0.3</f>
        <v>0.797356703</v>
      </c>
      <c r="M35" s="376">
        <f>(IFERROR(TotalTournamentAverages!M38/MassFormulaTesting!$B$34,"")*0.68)+0.3</f>
        <v>0.5266666667</v>
      </c>
      <c r="N35" s="376">
        <f>(IFERROR(TotalTournamentAverages!N38/MassFormulaTesting!$B$36,"")*0.68)+0.3</f>
        <v>0.3463636364</v>
      </c>
      <c r="O35" s="376">
        <f>(IFERROR(TotalTournamentAverages!O38/MassFormulaTesting!$B$38,"")*0.68)+0.3</f>
        <v>0.3</v>
      </c>
      <c r="P35" s="376">
        <f>(IFERROR(TotalTournamentAverages!P38/MassFormulaTesting!$B$40,"")*0.68)+0.3</f>
        <v>0.3</v>
      </c>
      <c r="Q35" s="376">
        <f>(IFERROR(TotalTournamentAverages!T38/MassFormulaTesting!$B$48,"")*0.68)+0.3</f>
        <v>0.4983333333</v>
      </c>
      <c r="R35" s="376">
        <f>(IFERROR(TotalTournamentAverages!U38/MassFormulaTesting!$B$50,"")*0.68)+0.3</f>
        <v>0.4275</v>
      </c>
      <c r="S35" s="376">
        <f>(IFERROR(TotalTournamentAverages!V38/MassFormulaTesting!$B$52,"")*0.68)+0.3</f>
        <v>0.3</v>
      </c>
      <c r="T35" s="376">
        <f>(IFERROR(TotalTournamentAverages!W38/MassFormulaTesting!$B$54,"")*0.68)+0.3</f>
        <v>0.3</v>
      </c>
      <c r="U35" s="376">
        <f>(IFERROR(TotalTournamentAverages!X38/MassFormulaTesting!$B$56,"")*0.68)+0.3</f>
        <v>0.3</v>
      </c>
      <c r="V35" s="376">
        <f>(IFERROR(TotalTournamentAverages!Y38/MassFormulaTesting!$B$58,"")*0.68)+0.3</f>
        <v>0.3</v>
      </c>
      <c r="W35" s="376">
        <f>(IFERROR(TotalTournamentAverages!Z38/MassFormulaTesting!$B$60,"")*0.68)+0.3</f>
        <v>0.3</v>
      </c>
      <c r="X35" s="376">
        <f>(IFERROR(TotalTournamentAverages!AD38/MassFormulaTesting!$B$68,"")*0.68)+0.3</f>
        <v>0.3</v>
      </c>
      <c r="Y35" s="376">
        <f>(IFERROR(TotalTournamentAverages!AG38/MassFormulaTesting!$B$74,"")*0.68)+0.3</f>
        <v>0.3</v>
      </c>
      <c r="Z35" s="376">
        <f>(IFERROR(TotalTournamentAverages!AH38/MassFormulaTesting!$B$76,"")*0.68)+0.3</f>
        <v>0.3</v>
      </c>
      <c r="AA35" s="376">
        <f>(IFERROR(TotalTournamentAverages!AJ38/MassFormulaTesting!$B$80,"")*0.68)+0.3</f>
        <v>0.3</v>
      </c>
      <c r="AB35" s="376">
        <f>(IFERROR(TotalTournamentAverages!AK38/MassFormulaTesting!$B$82,"")*0.68)+0.3</f>
        <v>0.3</v>
      </c>
      <c r="AC35" s="376">
        <f>(IFERROR(TotalTournamentAverages!AL38/MassFormulaTesting!$B$84,"")*0.68)+0.3</f>
        <v>0.3</v>
      </c>
      <c r="AD35" s="376">
        <f>(IFERROR(TotalTournamentAverages!AM38/MassFormulaTesting!$B$86,"")*0.68)+0.3</f>
        <v>0.3</v>
      </c>
      <c r="AE35" s="376">
        <f>(IFERROR(TotalTournamentAverages!AN38/MassFormulaTesting!$B$88,"")*0.68)+0.3</f>
        <v>0.3</v>
      </c>
      <c r="AF35" s="376">
        <f>(IFERROR(TotalTournamentAverages!AO38/MassFormulaTesting!$B$90,"")*0.68)+0.3</f>
        <v>0.3</v>
      </c>
      <c r="AG35" s="376">
        <f>(IFERROR(TotalTournamentAverages!AP38/MassFormulaTesting!$B$92,"")*0.68)+0.3</f>
        <v>0.3</v>
      </c>
      <c r="AH35" s="376">
        <f>(IFERROR(TotalTournamentAverages!AQ38/MassFormulaTesting!$B$94,"")*0.68)+0.3</f>
        <v>0.3</v>
      </c>
      <c r="AI35" s="376">
        <f>(IFERROR(TotalTournamentAverages!AR38/MassFormulaTesting!$B$96,"")*0.68)+0.3</f>
        <v>0.3</v>
      </c>
      <c r="AJ35" s="376">
        <f>(IFERROR(TotalTournamentAverages!AS38/MassFormulaTesting!$B$98,"")*0.68)+0.3</f>
        <v>0.3</v>
      </c>
      <c r="AK35" s="376">
        <f>(IFERROR(TotalTournamentAverages!AT38/MassFormulaTesting!$B$100,"")*0.68)+0.3</f>
        <v>0.3</v>
      </c>
      <c r="AL35" s="376">
        <f>(IFERROR(TotalTournamentAverages!AU38/MassFormulaTesting!$B$102,"")*0.68)+0.3</f>
        <v>0.3</v>
      </c>
      <c r="AM35" s="376">
        <f>(IFERROR(TotalTournamentAverages!AV38/MassFormulaTesting!$B$104,"")*0.68)+0.3</f>
        <v>0.3</v>
      </c>
    </row>
    <row r="36">
      <c r="B36" s="374" t="str">
        <f>MassFormulaTesting!D47</f>
        <v>#DIV/0!</v>
      </c>
      <c r="C36" s="375">
        <f>MassFormulaTesting!F47</f>
        <v>0.3</v>
      </c>
      <c r="D36" s="376">
        <f>(IFERROR(TotalTournamentAverages!D39/MassFormulaTesting!$B$16,"")*0.68)+0.3</f>
        <v>0.3971428571</v>
      </c>
      <c r="E36" s="376">
        <f>(IFERROR(TotalTournamentAverages!E39/MassFormulaTesting!$B$18,"")*0.68)+0.3</f>
        <v>0.4606299213</v>
      </c>
      <c r="F36" s="376">
        <f>(IFERROR(TotalTournamentAverages!F39/MassFormulaTesting!$B$20,"")*0.68)+0.3</f>
        <v>0.436</v>
      </c>
      <c r="G36" s="376">
        <f>(IFERROR(MassFormulaTesting!$C$22/TotalTournamentAverages!G39,"")*0.68)+0.3</f>
        <v>0.8074626866</v>
      </c>
      <c r="H36" s="376">
        <f>(((TotalTournamentAverages!H39+118)/(MassFormulaTesting!$B$24+118))*0.68)+0.3</f>
        <v>0.8113957307</v>
      </c>
      <c r="I36" s="376">
        <f>(IFERROR(TotalTournamentAverages!I39/MassFormulaTesting!$B$26,"")*0.68)+0.3</f>
        <v>0.54</v>
      </c>
      <c r="J36" s="376">
        <f>((0.98-IFERROR(TotalTournamentAverages!J39/MassFormulaTesting!$B$28,"")*0.68))</f>
        <v>0.98</v>
      </c>
      <c r="K36" s="376">
        <f>(IFERROR(TotalTournamentAverages!K39/MassFormulaTesting!$B$30,"")*0.68)+0.3</f>
        <v>0.4589457484</v>
      </c>
      <c r="L36" s="376">
        <f>(IFERROR(TotalTournamentAverages!L39/MassFormulaTesting!$B$32,"")*0.68)+0.3</f>
        <v>0.4842539081</v>
      </c>
      <c r="M36" s="376">
        <f>(IFERROR(TotalTournamentAverages!M39/MassFormulaTesting!$B$34,"")*0.68)+0.3</f>
        <v>0.536969697</v>
      </c>
      <c r="N36" s="376">
        <f>(IFERROR(TotalTournamentAverages!N39/MassFormulaTesting!$B$36,"")*0.68)+0.3</f>
        <v>0.3</v>
      </c>
      <c r="O36" s="376">
        <f>(IFERROR(TotalTournamentAverages!O39/MassFormulaTesting!$B$38,"")*0.68)+0.3</f>
        <v>0.3</v>
      </c>
      <c r="P36" s="376">
        <f>(IFERROR(TotalTournamentAverages!P39/MassFormulaTesting!$B$40,"")*0.68)+0.3</f>
        <v>0.3</v>
      </c>
      <c r="Q36" s="376">
        <f>(IFERROR(TotalTournamentAverages!T39/MassFormulaTesting!$B$48,"")*0.68)+0.3</f>
        <v>0.47</v>
      </c>
      <c r="R36" s="376">
        <f>(IFERROR(TotalTournamentAverages!U39/MassFormulaTesting!$B$50,"")*0.68)+0.3</f>
        <v>0.3</v>
      </c>
      <c r="S36" s="376">
        <f>(IFERROR(TotalTournamentAverages!V39/MassFormulaTesting!$B$52,"")*0.68)+0.3</f>
        <v>0.3</v>
      </c>
      <c r="T36" s="376">
        <f>(IFERROR(TotalTournamentAverages!W39/MassFormulaTesting!$B$54,"")*0.68)+0.3</f>
        <v>0.3</v>
      </c>
      <c r="U36" s="376">
        <f>(IFERROR(TotalTournamentAverages!X39/MassFormulaTesting!$B$56,"")*0.68)+0.3</f>
        <v>0.3</v>
      </c>
      <c r="V36" s="376">
        <f>(IFERROR(TotalTournamentAverages!Y39/MassFormulaTesting!$B$58,"")*0.68)+0.3</f>
        <v>0.3</v>
      </c>
      <c r="W36" s="376">
        <f>(IFERROR(TotalTournamentAverages!Z39/MassFormulaTesting!$B$60,"")*0.68)+0.3</f>
        <v>0.3</v>
      </c>
      <c r="X36" s="376">
        <f>(IFERROR(TotalTournamentAverages!AD39/MassFormulaTesting!$B$68,"")*0.68)+0.3</f>
        <v>0.3</v>
      </c>
      <c r="Y36" s="376">
        <f>(IFERROR(TotalTournamentAverages!AG39/MassFormulaTesting!$B$74,"")*0.68)+0.3</f>
        <v>0.3</v>
      </c>
      <c r="Z36" s="376">
        <f>(IFERROR(TotalTournamentAverages!AH39/MassFormulaTesting!$B$76,"")*0.68)+0.3</f>
        <v>0.3</v>
      </c>
      <c r="AA36" s="376">
        <f>(IFERROR(TotalTournamentAverages!AJ39/MassFormulaTesting!$B$80,"")*0.68)+0.3</f>
        <v>0.3</v>
      </c>
      <c r="AB36" s="376">
        <f>(IFERROR(TotalTournamentAverages!AK39/MassFormulaTesting!$B$82,"")*0.68)+0.3</f>
        <v>0.3</v>
      </c>
      <c r="AC36" s="376">
        <f>(IFERROR(TotalTournamentAverages!AL39/MassFormulaTesting!$B$84,"")*0.68)+0.3</f>
        <v>0.3</v>
      </c>
      <c r="AD36" s="376">
        <f>(IFERROR(TotalTournamentAverages!AM39/MassFormulaTesting!$B$86,"")*0.68)+0.3</f>
        <v>0.3</v>
      </c>
      <c r="AE36" s="376">
        <f>(IFERROR(TotalTournamentAverages!AN39/MassFormulaTesting!$B$88,"")*0.68)+0.3</f>
        <v>0.3</v>
      </c>
      <c r="AF36" s="376">
        <f>(IFERROR(TotalTournamentAverages!AO39/MassFormulaTesting!$B$90,"")*0.68)+0.3</f>
        <v>0.3</v>
      </c>
      <c r="AG36" s="376">
        <f>(IFERROR(TotalTournamentAverages!AP39/MassFormulaTesting!$B$92,"")*0.68)+0.3</f>
        <v>0.3</v>
      </c>
      <c r="AH36" s="376">
        <f>(IFERROR(TotalTournamentAverages!AQ39/MassFormulaTesting!$B$94,"")*0.68)+0.3</f>
        <v>0.3</v>
      </c>
      <c r="AI36" s="376">
        <f>(IFERROR(TotalTournamentAverages!AR39/MassFormulaTesting!$B$96,"")*0.68)+0.3</f>
        <v>0.3</v>
      </c>
      <c r="AJ36" s="376">
        <f>(IFERROR(TotalTournamentAverages!AS39/MassFormulaTesting!$B$98,"")*0.68)+0.3</f>
        <v>0.3</v>
      </c>
      <c r="AK36" s="376">
        <f>(IFERROR(TotalTournamentAverages!AT39/MassFormulaTesting!$B$100,"")*0.68)+0.3</f>
        <v>0.3</v>
      </c>
      <c r="AL36" s="376">
        <f>(IFERROR(TotalTournamentAverages!AU39/MassFormulaTesting!$B$102,"")*0.68)+0.3</f>
        <v>0.3</v>
      </c>
      <c r="AM36" s="376">
        <f>(IFERROR(TotalTournamentAverages!AV39/MassFormulaTesting!$B$104,"")*0.68)+0.3</f>
        <v>0.3</v>
      </c>
    </row>
    <row r="37">
      <c r="B37" s="374" t="str">
        <f>MassFormulaTesting!D48</f>
        <v>#DIV/0!</v>
      </c>
      <c r="C37" s="375">
        <f>MassFormulaTesting!F48</f>
        <v>0.3</v>
      </c>
      <c r="D37" s="376">
        <f>(IFERROR(TotalTournamentAverages!D40/MassFormulaTesting!$B$16,"")*0.68)+0.3</f>
        <v>0.3647619048</v>
      </c>
      <c r="E37" s="376">
        <f>(IFERROR(TotalTournamentAverages!E40/MassFormulaTesting!$B$18,"")*0.68)+0.3</f>
        <v>0.7979527559</v>
      </c>
      <c r="F37" s="376">
        <f>(IFERROR(TotalTournamentAverages!F40/MassFormulaTesting!$B$20,"")*0.68)+0.3</f>
        <v>0.708</v>
      </c>
      <c r="G37" s="376">
        <f>(IFERROR(MassFormulaTesting!$C$22/TotalTournamentAverages!G40,"")*0.68)+0.3</f>
        <v>0.4740614334</v>
      </c>
      <c r="H37" s="376">
        <f>(((TotalTournamentAverages!H40+118)/(MassFormulaTesting!$B$24+118))*0.68)+0.3</f>
        <v>0.8061850027</v>
      </c>
      <c r="I37" s="376">
        <f>(IFERROR(TotalTournamentAverages!I40/MassFormulaTesting!$B$26,"")*0.68)+0.3</f>
        <v>0.54</v>
      </c>
      <c r="J37" s="376">
        <f>((0.98-IFERROR(TotalTournamentAverages!J40/MassFormulaTesting!$B$28,"")*0.68))</f>
        <v>0.98</v>
      </c>
      <c r="K37" s="376">
        <f>(IFERROR(TotalTournamentAverages!K40/MassFormulaTesting!$B$30,"")*0.68)+0.3</f>
        <v>0.7890034629</v>
      </c>
      <c r="L37" s="376">
        <f>(IFERROR(TotalTournamentAverages!L40/MassFormulaTesting!$B$32,"")*0.68)+0.3</f>
        <v>0.8191536397</v>
      </c>
      <c r="M37" s="376">
        <f>(IFERROR(TotalTournamentAverages!M40/MassFormulaTesting!$B$34,"")*0.68)+0.3</f>
        <v>0.5472727273</v>
      </c>
      <c r="N37" s="376">
        <f>(IFERROR(TotalTournamentAverages!N40/MassFormulaTesting!$B$36,"")*0.68)+0.3</f>
        <v>0.4236363636</v>
      </c>
      <c r="O37" s="376">
        <f>(IFERROR(TotalTournamentAverages!O40/MassFormulaTesting!$B$38,"")*0.68)+0.3</f>
        <v>0.3</v>
      </c>
      <c r="P37" s="376">
        <f>(IFERROR(TotalTournamentAverages!P40/MassFormulaTesting!$B$40,"")*0.68)+0.3</f>
        <v>0.3</v>
      </c>
      <c r="Q37" s="376">
        <f>(IFERROR(TotalTournamentAverages!T40/MassFormulaTesting!$B$48,"")*0.68)+0.3</f>
        <v>0.4888888889</v>
      </c>
      <c r="R37" s="376">
        <f>(IFERROR(TotalTournamentAverages!U40/MassFormulaTesting!$B$50,"")*0.68)+0.3</f>
        <v>0.47</v>
      </c>
      <c r="S37" s="376">
        <f>(IFERROR(TotalTournamentAverages!V40/MassFormulaTesting!$B$52,"")*0.68)+0.3</f>
        <v>0.3</v>
      </c>
      <c r="T37" s="376">
        <f>(IFERROR(TotalTournamentAverages!W40/MassFormulaTesting!$B$54,"")*0.68)+0.3</f>
        <v>0.3</v>
      </c>
      <c r="U37" s="376">
        <f>(IFERROR(TotalTournamentAverages!X40/MassFormulaTesting!$B$56,"")*0.68)+0.3</f>
        <v>0.3</v>
      </c>
      <c r="V37" s="376">
        <f>(IFERROR(TotalTournamentAverages!Y40/MassFormulaTesting!$B$58,"")*0.68)+0.3</f>
        <v>0.3</v>
      </c>
      <c r="W37" s="376">
        <f>(IFERROR(TotalTournamentAverages!Z40/MassFormulaTesting!$B$60,"")*0.68)+0.3</f>
        <v>0.3</v>
      </c>
      <c r="X37" s="376">
        <f>(IFERROR(TotalTournamentAverages!AD40/MassFormulaTesting!$B$68,"")*0.68)+0.3</f>
        <v>0.3</v>
      </c>
      <c r="Y37" s="376">
        <f>(IFERROR(TotalTournamentAverages!AG40/MassFormulaTesting!$B$74,"")*0.68)+0.3</f>
        <v>0.3</v>
      </c>
      <c r="Z37" s="376">
        <f>(IFERROR(TotalTournamentAverages!AH40/MassFormulaTesting!$B$76,"")*0.68)+0.3</f>
        <v>0.3</v>
      </c>
      <c r="AA37" s="376">
        <f>(IFERROR(TotalTournamentAverages!AJ40/MassFormulaTesting!$B$80,"")*0.68)+0.3</f>
        <v>0.3</v>
      </c>
      <c r="AB37" s="376">
        <f>(IFERROR(TotalTournamentAverages!AK40/MassFormulaTesting!$B$82,"")*0.68)+0.3</f>
        <v>0.3</v>
      </c>
      <c r="AC37" s="376">
        <f>(IFERROR(TotalTournamentAverages!AL40/MassFormulaTesting!$B$84,"")*0.68)+0.3</f>
        <v>0.3</v>
      </c>
      <c r="AD37" s="376">
        <f>(IFERROR(TotalTournamentAverages!AM40/MassFormulaTesting!$B$86,"")*0.68)+0.3</f>
        <v>0.3</v>
      </c>
      <c r="AE37" s="376">
        <f>(IFERROR(TotalTournamentAverages!AN40/MassFormulaTesting!$B$88,"")*0.68)+0.3</f>
        <v>0.3</v>
      </c>
      <c r="AF37" s="376">
        <f>(IFERROR(TotalTournamentAverages!AO40/MassFormulaTesting!$B$90,"")*0.68)+0.3</f>
        <v>0.3</v>
      </c>
      <c r="AG37" s="376">
        <f>(IFERROR(TotalTournamentAverages!AP40/MassFormulaTesting!$B$92,"")*0.68)+0.3</f>
        <v>0.3</v>
      </c>
      <c r="AH37" s="376">
        <f>(IFERROR(TotalTournamentAverages!AQ40/MassFormulaTesting!$B$94,"")*0.68)+0.3</f>
        <v>0.3</v>
      </c>
      <c r="AI37" s="376">
        <f>(IFERROR(TotalTournamentAverages!AR40/MassFormulaTesting!$B$96,"")*0.68)+0.3</f>
        <v>0.3</v>
      </c>
      <c r="AJ37" s="376">
        <f>(IFERROR(TotalTournamentAverages!AS40/MassFormulaTesting!$B$98,"")*0.68)+0.3</f>
        <v>0.3</v>
      </c>
      <c r="AK37" s="376">
        <f>(IFERROR(TotalTournamentAverages!AT40/MassFormulaTesting!$B$100,"")*0.68)+0.3</f>
        <v>0.3</v>
      </c>
      <c r="AL37" s="376">
        <f>(IFERROR(TotalTournamentAverages!AU40/MassFormulaTesting!$B$102,"")*0.68)+0.3</f>
        <v>0.3</v>
      </c>
      <c r="AM37" s="376">
        <f>(IFERROR(TotalTournamentAverages!AV40/MassFormulaTesting!$B$104,"")*0.68)+0.3</f>
        <v>0.3</v>
      </c>
    </row>
    <row r="38">
      <c r="B38" s="374" t="str">
        <f>MassFormulaTesting!D49</f>
        <v>#DIV/0!</v>
      </c>
      <c r="C38" s="375">
        <f>MassFormulaTesting!F49</f>
        <v>0.3</v>
      </c>
      <c r="D38" s="376">
        <f>(IFERROR(TotalTournamentAverages!D41/MassFormulaTesting!$B$16,"")*0.68)+0.3</f>
        <v>0.8180952381</v>
      </c>
      <c r="E38" s="376">
        <f>(IFERROR(TotalTournamentAverages!E41/MassFormulaTesting!$B$18,"")*0.68)+0.3</f>
        <v>0.8568503937</v>
      </c>
      <c r="F38" s="376">
        <f>(IFERROR(TotalTournamentAverages!F41/MassFormulaTesting!$B$20,"")*0.68)+0.3</f>
        <v>0.8213333333</v>
      </c>
      <c r="G38" s="376">
        <f>(IFERROR(MassFormulaTesting!$C$22/TotalTournamentAverages!G41,"")*0.68)+0.3</f>
        <v>0.5236842105</v>
      </c>
      <c r="H38" s="376">
        <f>(((TotalTournamentAverages!H41+118)/(MassFormulaTesting!$B$24+118))*0.68)+0.3</f>
        <v>0.9520853859</v>
      </c>
      <c r="I38" s="376">
        <f>(IFERROR(TotalTournamentAverages!I41/MassFormulaTesting!$B$26,"")*0.68)+0.3</f>
        <v>0.98</v>
      </c>
      <c r="J38" s="376">
        <f>((0.98-IFERROR(TotalTournamentAverages!J41/MassFormulaTesting!$B$28,"")*0.68))</f>
        <v>0.3755555556</v>
      </c>
      <c r="K38" s="376">
        <f>(IFERROR(TotalTournamentAverages!K41/MassFormulaTesting!$B$30,"")*0.68)+0.3</f>
        <v>0.98</v>
      </c>
      <c r="L38" s="376">
        <f>(IFERROR(TotalTournamentAverages!L41/MassFormulaTesting!$B$32,"")*0.68)+0.3</f>
        <v>0.9617464077</v>
      </c>
      <c r="M38" s="376">
        <f>(IFERROR(TotalTournamentAverages!M41/MassFormulaTesting!$B$34,"")*0.68)+0.3</f>
        <v>0.7464646465</v>
      </c>
      <c r="N38" s="376">
        <f>(IFERROR(TotalTournamentAverages!N41/MassFormulaTesting!$B$36,"")*0.68)+0.3</f>
        <v>0.98</v>
      </c>
      <c r="O38" s="376">
        <f>(IFERROR(TotalTournamentAverages!O41/MassFormulaTesting!$B$38,"")*0.68)+0.3</f>
        <v>0.98</v>
      </c>
      <c r="P38" s="376">
        <f>(IFERROR(TotalTournamentAverages!P41/MassFormulaTesting!$B$40,"")*0.68)+0.3</f>
        <v>0.98</v>
      </c>
      <c r="Q38" s="376">
        <f>(IFERROR(TotalTournamentAverages!T41/MassFormulaTesting!$B$48,"")*0.68)+0.3</f>
        <v>0.64</v>
      </c>
      <c r="R38" s="376">
        <f>(IFERROR(TotalTournamentAverages!U41/MassFormulaTesting!$B$50,"")*0.68)+0.3</f>
        <v>0.98</v>
      </c>
      <c r="S38" s="376">
        <f>(IFERROR(TotalTournamentAverages!V41/MassFormulaTesting!$B$52,"")*0.68)+0.3</f>
        <v>0.98</v>
      </c>
      <c r="T38" s="376">
        <f>(IFERROR(TotalTournamentAverages!W41/MassFormulaTesting!$B$54,"")*0.68)+0.3</f>
        <v>0.98</v>
      </c>
      <c r="U38" s="376">
        <f>(IFERROR(TotalTournamentAverages!X41/MassFormulaTesting!$B$56,"")*0.68)+0.3</f>
        <v>0.98</v>
      </c>
      <c r="V38" s="376">
        <f>(IFERROR(TotalTournamentAverages!Y41/MassFormulaTesting!$B$58,"")*0.68)+0.3</f>
        <v>0.3</v>
      </c>
      <c r="W38" s="376">
        <f>(IFERROR(TotalTournamentAverages!Z41/MassFormulaTesting!$B$60,"")*0.68)+0.3</f>
        <v>0.3</v>
      </c>
      <c r="X38" s="376">
        <f>(IFERROR(TotalTournamentAverages!AD41/MassFormulaTesting!$B$68,"")*0.68)+0.3</f>
        <v>0.3</v>
      </c>
      <c r="Y38" s="376">
        <f>(IFERROR(TotalTournamentAverages!AG41/MassFormulaTesting!$B$74,"")*0.68)+0.3</f>
        <v>0.3</v>
      </c>
      <c r="Z38" s="376">
        <f>(IFERROR(TotalTournamentAverages!AH41/MassFormulaTesting!$B$76,"")*0.68)+0.3</f>
        <v>0.3</v>
      </c>
      <c r="AA38" s="376">
        <f>(IFERROR(TotalTournamentAverages!AJ41/MassFormulaTesting!$B$80,"")*0.68)+0.3</f>
        <v>0.3</v>
      </c>
      <c r="AB38" s="376">
        <f>(IFERROR(TotalTournamentAverages!AK41/MassFormulaTesting!$B$82,"")*0.68)+0.3</f>
        <v>0.3</v>
      </c>
      <c r="AC38" s="376">
        <f>(IFERROR(TotalTournamentAverages!AL41/MassFormulaTesting!$B$84,"")*0.68)+0.3</f>
        <v>0.3</v>
      </c>
      <c r="AD38" s="376">
        <f>(IFERROR(TotalTournamentAverages!AM41/MassFormulaTesting!$B$86,"")*0.68)+0.3</f>
        <v>0.3</v>
      </c>
      <c r="AE38" s="376">
        <f>(IFERROR(TotalTournamentAverages!AN41/MassFormulaTesting!$B$88,"")*0.68)+0.3</f>
        <v>0.3</v>
      </c>
      <c r="AF38" s="376">
        <f>(IFERROR(TotalTournamentAverages!AO41/MassFormulaTesting!$B$90,"")*0.68)+0.3</f>
        <v>0.3</v>
      </c>
      <c r="AG38" s="376">
        <f>(IFERROR(TotalTournamentAverages!AP41/MassFormulaTesting!$B$92,"")*0.68)+0.3</f>
        <v>0.3</v>
      </c>
      <c r="AH38" s="376">
        <f>(IFERROR(TotalTournamentAverages!AQ41/MassFormulaTesting!$B$94,"")*0.68)+0.3</f>
        <v>0.3</v>
      </c>
      <c r="AI38" s="376">
        <f>(IFERROR(TotalTournamentAverages!AR41/MassFormulaTesting!$B$96,"")*0.68)+0.3</f>
        <v>0.3</v>
      </c>
      <c r="AJ38" s="376">
        <f>(IFERROR(TotalTournamentAverages!AS41/MassFormulaTesting!$B$98,"")*0.68)+0.3</f>
        <v>0.3</v>
      </c>
      <c r="AK38" s="376">
        <f>(IFERROR(TotalTournamentAverages!AT41/MassFormulaTesting!$B$100,"")*0.68)+0.3</f>
        <v>0.3</v>
      </c>
      <c r="AL38" s="376">
        <f>(IFERROR(TotalTournamentAverages!AU41/MassFormulaTesting!$B$102,"")*0.68)+0.3</f>
        <v>0.3</v>
      </c>
      <c r="AM38" s="376">
        <f>(IFERROR(TotalTournamentAverages!AV41/MassFormulaTesting!$B$104,"")*0.68)+0.3</f>
        <v>0.3</v>
      </c>
    </row>
    <row r="39">
      <c r="B39" s="374" t="str">
        <f>MassFormulaTesting!D50</f>
        <v>#DIV/0!</v>
      </c>
      <c r="C39" s="375">
        <f>MassFormulaTesting!F50</f>
        <v>0.3</v>
      </c>
      <c r="D39" s="376">
        <f>(IFERROR(TotalTournamentAverages!D42/MassFormulaTesting!$B$16,"")*0.68)+0.3</f>
        <v>0.3971428571</v>
      </c>
      <c r="E39" s="376">
        <f>(IFERROR(TotalTournamentAverages!E42/MassFormulaTesting!$B$18,"")*0.68)+0.3</f>
        <v>0.5650393701</v>
      </c>
      <c r="F39" s="376">
        <f>(IFERROR(TotalTournamentAverages!F42/MassFormulaTesting!$B$20,"")*0.68)+0.3</f>
        <v>0.436</v>
      </c>
      <c r="G39" s="376">
        <f>(IFERROR(MassFormulaTesting!$C$22/TotalTournamentAverages!G42,"")*0.68)+0.3</f>
        <v>0.6333333333</v>
      </c>
      <c r="H39" s="376">
        <f>(((TotalTournamentAverages!H42+118)/(MassFormulaTesting!$B$24+118))*0.68)+0.3</f>
        <v>0.8203284072</v>
      </c>
      <c r="I39" s="376">
        <f>(IFERROR(TotalTournamentAverages!I42/MassFormulaTesting!$B$26,"")*0.68)+0.3</f>
        <v>0.54</v>
      </c>
      <c r="J39" s="376">
        <f>((0.98-IFERROR(TotalTournamentAverages!J42/MassFormulaTesting!$B$28,"")*0.68))</f>
        <v>0.8893333333</v>
      </c>
      <c r="K39" s="376">
        <f>(IFERROR(TotalTournamentAverages!K42/MassFormulaTesting!$B$30,"")*0.68)+0.3</f>
        <v>0.5668718738</v>
      </c>
      <c r="L39" s="376">
        <f>(IFERROR(TotalTournamentAverages!L42/MassFormulaTesting!$B$32,"")*0.68)+0.3</f>
        <v>0.5889436286</v>
      </c>
      <c r="M39" s="376">
        <f>(IFERROR(TotalTournamentAverages!M42/MassFormulaTesting!$B$34,"")*0.68)+0.3</f>
        <v>0.5678787879</v>
      </c>
      <c r="N39" s="376">
        <f>(IFERROR(TotalTournamentAverages!N42/MassFormulaTesting!$B$36,"")*0.68)+0.3</f>
        <v>0.3</v>
      </c>
      <c r="O39" s="376">
        <f>(IFERROR(TotalTournamentAverages!O42/MassFormulaTesting!$B$38,"")*0.68)+0.3</f>
        <v>0.3</v>
      </c>
      <c r="P39" s="376">
        <f>(IFERROR(TotalTournamentAverages!P42/MassFormulaTesting!$B$40,"")*0.68)+0.3</f>
        <v>0.3</v>
      </c>
      <c r="Q39" s="376">
        <f>(IFERROR(TotalTournamentAverages!T42/MassFormulaTesting!$B$48,"")*0.68)+0.3</f>
        <v>0.4133333333</v>
      </c>
      <c r="R39" s="376">
        <f>(IFERROR(TotalTournamentAverages!U42/MassFormulaTesting!$B$50,"")*0.68)+0.3</f>
        <v>0.3</v>
      </c>
      <c r="S39" s="376">
        <f>(IFERROR(TotalTournamentAverages!V42/MassFormulaTesting!$B$52,"")*0.68)+0.3</f>
        <v>0.3</v>
      </c>
      <c r="T39" s="376">
        <f>(IFERROR(TotalTournamentAverages!W42/MassFormulaTesting!$B$54,"")*0.68)+0.3</f>
        <v>0.3</v>
      </c>
      <c r="U39" s="376">
        <f>(IFERROR(TotalTournamentAverages!X42/MassFormulaTesting!$B$56,"")*0.68)+0.3</f>
        <v>0.3</v>
      </c>
      <c r="V39" s="376">
        <f>(IFERROR(TotalTournamentAverages!Y42/MassFormulaTesting!$B$58,"")*0.68)+0.3</f>
        <v>0.3</v>
      </c>
      <c r="W39" s="376">
        <f>(IFERROR(TotalTournamentAverages!Z42/MassFormulaTesting!$B$60,"")*0.68)+0.3</f>
        <v>0.3</v>
      </c>
      <c r="X39" s="376">
        <f>(IFERROR(TotalTournamentAverages!AD42/MassFormulaTesting!$B$68,"")*0.68)+0.3</f>
        <v>0.3</v>
      </c>
      <c r="Y39" s="376">
        <f>(IFERROR(TotalTournamentAverages!AG42/MassFormulaTesting!$B$74,"")*0.68)+0.3</f>
        <v>0.3</v>
      </c>
      <c r="Z39" s="376">
        <f>(IFERROR(TotalTournamentAverages!AH42/MassFormulaTesting!$B$76,"")*0.68)+0.3</f>
        <v>0.3</v>
      </c>
      <c r="AA39" s="376">
        <f>(IFERROR(TotalTournamentAverages!AJ42/MassFormulaTesting!$B$80,"")*0.68)+0.3</f>
        <v>0.3</v>
      </c>
      <c r="AB39" s="376">
        <f>(IFERROR(TotalTournamentAverages!AK42/MassFormulaTesting!$B$82,"")*0.68)+0.3</f>
        <v>0.3</v>
      </c>
      <c r="AC39" s="376">
        <f>(IFERROR(TotalTournamentAverages!AL42/MassFormulaTesting!$B$84,"")*0.68)+0.3</f>
        <v>0.3</v>
      </c>
      <c r="AD39" s="376">
        <f>(IFERROR(TotalTournamentAverages!AM42/MassFormulaTesting!$B$86,"")*0.68)+0.3</f>
        <v>0.3</v>
      </c>
      <c r="AE39" s="376">
        <f>(IFERROR(TotalTournamentAverages!AN42/MassFormulaTesting!$B$88,"")*0.68)+0.3</f>
        <v>0.3</v>
      </c>
      <c r="AF39" s="376">
        <f>(IFERROR(TotalTournamentAverages!AO42/MassFormulaTesting!$B$90,"")*0.68)+0.3</f>
        <v>0.3</v>
      </c>
      <c r="AG39" s="376">
        <f>(IFERROR(TotalTournamentAverages!AP42/MassFormulaTesting!$B$92,"")*0.68)+0.3</f>
        <v>0.3</v>
      </c>
      <c r="AH39" s="376">
        <f>(IFERROR(TotalTournamentAverages!AQ42/MassFormulaTesting!$B$94,"")*0.68)+0.3</f>
        <v>0.3</v>
      </c>
      <c r="AI39" s="376">
        <f>(IFERROR(TotalTournamentAverages!AR42/MassFormulaTesting!$B$96,"")*0.68)+0.3</f>
        <v>0.3</v>
      </c>
      <c r="AJ39" s="376">
        <f>(IFERROR(TotalTournamentAverages!AS42/MassFormulaTesting!$B$98,"")*0.68)+0.3</f>
        <v>0.3</v>
      </c>
      <c r="AK39" s="376">
        <f>(IFERROR(TotalTournamentAverages!AT42/MassFormulaTesting!$B$100,"")*0.68)+0.3</f>
        <v>0.3</v>
      </c>
      <c r="AL39" s="376">
        <f>(IFERROR(TotalTournamentAverages!AU42/MassFormulaTesting!$B$102,"")*0.68)+0.3</f>
        <v>0.3</v>
      </c>
      <c r="AM39" s="376">
        <f>(IFERROR(TotalTournamentAverages!AV42/MassFormulaTesting!$B$104,"")*0.68)+0.3</f>
        <v>0.3</v>
      </c>
    </row>
    <row r="40">
      <c r="B40" s="374" t="str">
        <f>MassFormulaTesting!D51</f>
        <v>#DIV/0!</v>
      </c>
      <c r="C40" s="375">
        <f>MassFormulaTesting!F51</f>
        <v>0.3</v>
      </c>
      <c r="D40" s="376">
        <f>(IFERROR(TotalTournamentAverages!D43/MassFormulaTesting!$B$16,"")*0.68)+0.3</f>
        <v>0.3</v>
      </c>
      <c r="E40" s="376">
        <f>(IFERROR(TotalTournamentAverages!E43/MassFormulaTesting!$B$18,"")*0.68)+0.3</f>
        <v>0.98</v>
      </c>
      <c r="F40" s="376">
        <f>(IFERROR(TotalTournamentAverages!F43/MassFormulaTesting!$B$20,"")*0.68)+0.3</f>
        <v>0.9573333333</v>
      </c>
      <c r="G40" s="376">
        <f>(IFERROR(MassFormulaTesting!$C$22/TotalTournamentAverages!G43,"")*0.68)+0.3</f>
        <v>0.4311053985</v>
      </c>
      <c r="H40" s="376">
        <f>(((TotalTournamentAverages!H43+118)/(MassFormulaTesting!$B$24+118))*0.68)+0.3</f>
        <v>0.8151176793</v>
      </c>
      <c r="I40" s="376">
        <f>(IFERROR(TotalTournamentAverages!I43/MassFormulaTesting!$B$26,"")*0.68)+0.3</f>
        <v>0.6</v>
      </c>
      <c r="J40" s="376">
        <f>((0.98-IFERROR(TotalTournamentAverages!J43/MassFormulaTesting!$B$28,"")*0.68))</f>
        <v>0.5568888889</v>
      </c>
      <c r="K40" s="376">
        <f>(IFERROR(TotalTournamentAverages!K43/MassFormulaTesting!$B$30,"")*0.68)+0.3</f>
        <v>0.9391843017</v>
      </c>
      <c r="L40" s="376">
        <f>(IFERROR(TotalTournamentAverages!L43/MassFormulaTesting!$B$32,"")*0.68)+0.3</f>
        <v>0.98</v>
      </c>
      <c r="M40" s="376">
        <f>(IFERROR(TotalTournamentAverages!M43/MassFormulaTesting!$B$34,"")*0.68)+0.3</f>
        <v>0.5404040404</v>
      </c>
      <c r="N40" s="376">
        <f>(IFERROR(TotalTournamentAverages!N43/MassFormulaTesting!$B$36,"")*0.68)+0.3</f>
        <v>0.6709090909</v>
      </c>
      <c r="O40" s="376">
        <f>(IFERROR(TotalTournamentAverages!O43/MassFormulaTesting!$B$38,"")*0.68)+0.3</f>
        <v>0.3</v>
      </c>
      <c r="P40" s="376">
        <f>(IFERROR(TotalTournamentAverages!P43/MassFormulaTesting!$B$40,"")*0.68)+0.3</f>
        <v>0.3</v>
      </c>
      <c r="Q40" s="376">
        <f>(IFERROR(TotalTournamentAverages!T43/MassFormulaTesting!$B$48,"")*0.68)+0.3</f>
        <v>0.7155555556</v>
      </c>
      <c r="R40" s="376">
        <f>(IFERROR(TotalTournamentAverages!U43/MassFormulaTesting!$B$50,"")*0.68)+0.3</f>
        <v>0.98</v>
      </c>
      <c r="S40" s="376">
        <f>(IFERROR(TotalTournamentAverages!V43/MassFormulaTesting!$B$52,"")*0.68)+0.3</f>
        <v>0.3</v>
      </c>
      <c r="T40" s="376">
        <f>(IFERROR(TotalTournamentAverages!W43/MassFormulaTesting!$B$54,"")*0.68)+0.3</f>
        <v>0.3</v>
      </c>
      <c r="U40" s="376">
        <f>(IFERROR(TotalTournamentAverages!X43/MassFormulaTesting!$B$56,"")*0.68)+0.3</f>
        <v>0.3</v>
      </c>
      <c r="V40" s="376">
        <f>(IFERROR(TotalTournamentAverages!Y43/MassFormulaTesting!$B$58,"")*0.68)+0.3</f>
        <v>0.3</v>
      </c>
      <c r="W40" s="376">
        <f>(IFERROR(TotalTournamentAverages!Z43/MassFormulaTesting!$B$60,"")*0.68)+0.3</f>
        <v>0.3</v>
      </c>
      <c r="X40" s="376">
        <f>(IFERROR(TotalTournamentAverages!AD43/MassFormulaTesting!$B$68,"")*0.68)+0.3</f>
        <v>0.3</v>
      </c>
      <c r="Y40" s="376">
        <f>(IFERROR(TotalTournamentAverages!AG43/MassFormulaTesting!$B$74,"")*0.68)+0.3</f>
        <v>0.3</v>
      </c>
      <c r="Z40" s="376">
        <f>(IFERROR(TotalTournamentAverages!AH43/MassFormulaTesting!$B$76,"")*0.68)+0.3</f>
        <v>0.3</v>
      </c>
      <c r="AA40" s="376">
        <f>(IFERROR(TotalTournamentAverages!AJ43/MassFormulaTesting!$B$80,"")*0.68)+0.3</f>
        <v>0.3</v>
      </c>
      <c r="AB40" s="376">
        <f>(IFERROR(TotalTournamentAverages!AK43/MassFormulaTesting!$B$82,"")*0.68)+0.3</f>
        <v>0.3</v>
      </c>
      <c r="AC40" s="376">
        <f>(IFERROR(TotalTournamentAverages!AL43/MassFormulaTesting!$B$84,"")*0.68)+0.3</f>
        <v>0.3</v>
      </c>
      <c r="AD40" s="376">
        <f>(IFERROR(TotalTournamentAverages!AM43/MassFormulaTesting!$B$86,"")*0.68)+0.3</f>
        <v>0.3</v>
      </c>
      <c r="AE40" s="376">
        <f>(IFERROR(TotalTournamentAverages!AN43/MassFormulaTesting!$B$88,"")*0.68)+0.3</f>
        <v>0.3</v>
      </c>
      <c r="AF40" s="376">
        <f>(IFERROR(TotalTournamentAverages!AO43/MassFormulaTesting!$B$90,"")*0.68)+0.3</f>
        <v>0.3</v>
      </c>
      <c r="AG40" s="376">
        <f>(IFERROR(TotalTournamentAverages!AP43/MassFormulaTesting!$B$92,"")*0.68)+0.3</f>
        <v>0.3</v>
      </c>
      <c r="AH40" s="376">
        <f>(IFERROR(TotalTournamentAverages!AQ43/MassFormulaTesting!$B$94,"")*0.68)+0.3</f>
        <v>0.3</v>
      </c>
      <c r="AI40" s="376">
        <f>(IFERROR(TotalTournamentAverages!AR43/MassFormulaTesting!$B$96,"")*0.68)+0.3</f>
        <v>0.3</v>
      </c>
      <c r="AJ40" s="376">
        <f>(IFERROR(TotalTournamentAverages!AS43/MassFormulaTesting!$B$98,"")*0.68)+0.3</f>
        <v>0.3</v>
      </c>
      <c r="AK40" s="376">
        <f>(IFERROR(TotalTournamentAverages!AT43/MassFormulaTesting!$B$100,"")*0.68)+0.3</f>
        <v>0.3</v>
      </c>
      <c r="AL40" s="376">
        <f>(IFERROR(TotalTournamentAverages!AU43/MassFormulaTesting!$B$102,"")*0.68)+0.3</f>
        <v>0.3</v>
      </c>
      <c r="AM40" s="376">
        <f>(IFERROR(TotalTournamentAverages!AV43/MassFormulaTesting!$B$104,"")*0.68)+0.3</f>
        <v>0.3</v>
      </c>
    </row>
    <row r="41">
      <c r="B41" s="374" t="str">
        <f>MassFormulaTesting!D52</f>
        <v>#DIV/0!</v>
      </c>
      <c r="C41" s="375">
        <f>MassFormulaTesting!F52</f>
        <v>0.3</v>
      </c>
      <c r="D41" s="376">
        <f>(IFERROR(TotalTournamentAverages!D44/MassFormulaTesting!$B$16,"")*0.68)+0.3</f>
        <v>0.3485714286</v>
      </c>
      <c r="E41" s="376">
        <f>(IFERROR(TotalTournamentAverages!E44/MassFormulaTesting!$B$18,"")*0.68)+0.3</f>
        <v>0.5382677165</v>
      </c>
      <c r="F41" s="376">
        <f>(IFERROR(TotalTournamentAverages!F44/MassFormulaTesting!$B$20,"")*0.68)+0.3</f>
        <v>0.555</v>
      </c>
      <c r="G41" s="376">
        <f>(IFERROR(MassFormulaTesting!$C$22/TotalTournamentAverages!G44,"")*0.68)+0.3</f>
        <v>0.5869198312</v>
      </c>
      <c r="H41" s="376">
        <f>(((TotalTournamentAverages!H44+118)/(MassFormulaTesting!$B$24+118))*0.68)+0.3</f>
        <v>0.7611494253</v>
      </c>
      <c r="I41" s="376">
        <f>(IFERROR(TotalTournamentAverages!I44/MassFormulaTesting!$B$26,"")*0.68)+0.3</f>
        <v>0.51</v>
      </c>
      <c r="J41" s="376">
        <f>((0.98-IFERROR(TotalTournamentAverages!J44/MassFormulaTesting!$B$28,"")*0.68))</f>
        <v>0.7533333333</v>
      </c>
      <c r="K41" s="376">
        <f>(IFERROR(TotalTournamentAverages!K44/MassFormulaTesting!$B$30,"")*0.68)+0.3</f>
        <v>0.5538226241</v>
      </c>
      <c r="L41" s="376">
        <f>(IFERROR(TotalTournamentAverages!L44/MassFormulaTesting!$B$32,"")*0.68)+0.3</f>
        <v>0.5897489342</v>
      </c>
      <c r="M41" s="376">
        <f>(IFERROR(TotalTournamentAverages!M44/MassFormulaTesting!$B$34,"")*0.68)+0.3</f>
        <v>0.5163636364</v>
      </c>
      <c r="N41" s="376">
        <f>(IFERROR(TotalTournamentAverages!N44/MassFormulaTesting!$B$36,"")*0.68)+0.3</f>
        <v>0.3463636364</v>
      </c>
      <c r="O41" s="376">
        <f>(IFERROR(TotalTournamentAverages!O44/MassFormulaTesting!$B$38,"")*0.68)+0.3</f>
        <v>0.3</v>
      </c>
      <c r="P41" s="376">
        <f>(IFERROR(TotalTournamentAverages!P44/MassFormulaTesting!$B$40,"")*0.68)+0.3</f>
        <v>0.3</v>
      </c>
      <c r="Q41" s="376">
        <f>(IFERROR(TotalTournamentAverages!T44/MassFormulaTesting!$B$48,"")*0.68)+0.3</f>
        <v>0.3283333333</v>
      </c>
      <c r="R41" s="376">
        <f>(IFERROR(TotalTournamentAverages!U44/MassFormulaTesting!$B$50,"")*0.68)+0.3</f>
        <v>0.3</v>
      </c>
      <c r="S41" s="376">
        <f>(IFERROR(TotalTournamentAverages!V44/MassFormulaTesting!$B$52,"")*0.68)+0.3</f>
        <v>0.3</v>
      </c>
      <c r="T41" s="376">
        <f>(IFERROR(TotalTournamentAverages!W44/MassFormulaTesting!$B$54,"")*0.68)+0.3</f>
        <v>0.3</v>
      </c>
      <c r="U41" s="376">
        <f>(IFERROR(TotalTournamentAverages!X44/MassFormulaTesting!$B$56,"")*0.68)+0.3</f>
        <v>0.3</v>
      </c>
      <c r="V41" s="376">
        <f>(IFERROR(TotalTournamentAverages!Y44/MassFormulaTesting!$B$58,"")*0.68)+0.3</f>
        <v>0.3</v>
      </c>
      <c r="W41" s="376">
        <f>(IFERROR(TotalTournamentAverages!Z44/MassFormulaTesting!$B$60,"")*0.68)+0.3</f>
        <v>0.3</v>
      </c>
      <c r="X41" s="376">
        <f>(IFERROR(TotalTournamentAverages!AD44/MassFormulaTesting!$B$68,"")*0.68)+0.3</f>
        <v>0.3</v>
      </c>
      <c r="Y41" s="376">
        <f>(IFERROR(TotalTournamentAverages!AG44/MassFormulaTesting!$B$74,"")*0.68)+0.3</f>
        <v>0.3</v>
      </c>
      <c r="Z41" s="376">
        <f>(IFERROR(TotalTournamentAverages!AH44/MassFormulaTesting!$B$76,"")*0.68)+0.3</f>
        <v>0.3</v>
      </c>
      <c r="AA41" s="376">
        <f>(IFERROR(TotalTournamentAverages!AJ44/MassFormulaTesting!$B$80,"")*0.68)+0.3</f>
        <v>0.3</v>
      </c>
      <c r="AB41" s="376">
        <f>(IFERROR(TotalTournamentAverages!AK44/MassFormulaTesting!$B$82,"")*0.68)+0.3</f>
        <v>0.3</v>
      </c>
      <c r="AC41" s="376">
        <f>(IFERROR(TotalTournamentAverages!AL44/MassFormulaTesting!$B$84,"")*0.68)+0.3</f>
        <v>0.3</v>
      </c>
      <c r="AD41" s="376">
        <f>(IFERROR(TotalTournamentAverages!AM44/MassFormulaTesting!$B$86,"")*0.68)+0.3</f>
        <v>0.3</v>
      </c>
      <c r="AE41" s="376">
        <f>(IFERROR(TotalTournamentAverages!AN44/MassFormulaTesting!$B$88,"")*0.68)+0.3</f>
        <v>0.3</v>
      </c>
      <c r="AF41" s="376">
        <f>(IFERROR(TotalTournamentAverages!AO44/MassFormulaTesting!$B$90,"")*0.68)+0.3</f>
        <v>0.3</v>
      </c>
      <c r="AG41" s="376">
        <f>(IFERROR(TotalTournamentAverages!AP44/MassFormulaTesting!$B$92,"")*0.68)+0.3</f>
        <v>0.3</v>
      </c>
      <c r="AH41" s="376">
        <f>(IFERROR(TotalTournamentAverages!AQ44/MassFormulaTesting!$B$94,"")*0.68)+0.3</f>
        <v>0.3</v>
      </c>
      <c r="AI41" s="376">
        <f>(IFERROR(TotalTournamentAverages!AR44/MassFormulaTesting!$B$96,"")*0.68)+0.3</f>
        <v>0.3</v>
      </c>
      <c r="AJ41" s="376">
        <f>(IFERROR(TotalTournamentAverages!AS44/MassFormulaTesting!$B$98,"")*0.68)+0.3</f>
        <v>0.3</v>
      </c>
      <c r="AK41" s="376">
        <f>(IFERROR(TotalTournamentAverages!AT44/MassFormulaTesting!$B$100,"")*0.68)+0.3</f>
        <v>0.3</v>
      </c>
      <c r="AL41" s="376">
        <f>(IFERROR(TotalTournamentAverages!AU44/MassFormulaTesting!$B$102,"")*0.68)+0.3</f>
        <v>0.3</v>
      </c>
      <c r="AM41" s="376">
        <f>(IFERROR(TotalTournamentAverages!AV44/MassFormulaTesting!$B$104,"")*0.68)+0.3</f>
        <v>0.3</v>
      </c>
    </row>
    <row r="42">
      <c r="B42" s="374" t="str">
        <f>MassFormulaTesting!D53</f>
        <v>#DIV/0!</v>
      </c>
      <c r="C42" s="375">
        <f>MassFormulaTesting!F53</f>
        <v>0.3</v>
      </c>
      <c r="D42" s="376">
        <f>(IFERROR(TotalTournamentAverages!D45/MassFormulaTesting!$B$16,"")*0.68)+0.3</f>
        <v>0.3</v>
      </c>
      <c r="E42" s="376">
        <f>(IFERROR(TotalTournamentAverages!E45/MassFormulaTesting!$B$18,"")*0.68)+0.3</f>
        <v>0.6346456693</v>
      </c>
      <c r="F42" s="376">
        <f>(IFERROR(TotalTournamentAverages!F45/MassFormulaTesting!$B$20,"")*0.68)+0.3</f>
        <v>0.555</v>
      </c>
      <c r="G42" s="376">
        <f>(IFERROR(MassFormulaTesting!$C$22/TotalTournamentAverages!G45,"")*0.68)+0.3</f>
        <v>0.4603773585</v>
      </c>
      <c r="H42" s="376">
        <f>(((TotalTournamentAverages!H45+118)/(MassFormulaTesting!$B$24+118))*0.68)+0.3</f>
        <v>0.6327422003</v>
      </c>
      <c r="I42" s="376">
        <f>(IFERROR(TotalTournamentAverages!I45/MassFormulaTesting!$B$26,"")*0.68)+0.3</f>
        <v>0.495</v>
      </c>
      <c r="J42" s="376">
        <f>((0.98-IFERROR(TotalTournamentAverages!J45/MassFormulaTesting!$B$28,"")*0.68))</f>
        <v>0.844</v>
      </c>
      <c r="K42" s="376">
        <f>(IFERROR(TotalTournamentAverages!K45/MassFormulaTesting!$B$30,"")*0.68)+0.3</f>
        <v>0.832762601</v>
      </c>
      <c r="L42" s="376">
        <f>(IFERROR(TotalTournamentAverages!L45/MassFormulaTesting!$B$32,"")*0.68)+0.3</f>
        <v>0.8678209379</v>
      </c>
      <c r="M42" s="376">
        <f>(IFERROR(TotalTournamentAverages!M45/MassFormulaTesting!$B$34,"")*0.68)+0.3</f>
        <v>0.5575757576</v>
      </c>
      <c r="N42" s="376">
        <f>(IFERROR(TotalTournamentAverages!N45/MassFormulaTesting!$B$36,"")*0.68)+0.3</f>
        <v>0.3463636364</v>
      </c>
      <c r="O42" s="376">
        <f>(IFERROR(TotalTournamentAverages!O45/MassFormulaTesting!$B$38,"")*0.68)+0.3</f>
        <v>0.3</v>
      </c>
      <c r="P42" s="376">
        <f>(IFERROR(TotalTournamentAverages!P45/MassFormulaTesting!$B$40,"")*0.68)+0.3</f>
        <v>0.3</v>
      </c>
      <c r="Q42" s="376">
        <f>(IFERROR(TotalTournamentAverages!T45/MassFormulaTesting!$B$48,"")*0.68)+0.3</f>
        <v>0.385</v>
      </c>
      <c r="R42" s="376">
        <f>(IFERROR(TotalTournamentAverages!U45/MassFormulaTesting!$B$50,"")*0.68)+0.3</f>
        <v>0.4275</v>
      </c>
      <c r="S42" s="376">
        <f>(IFERROR(TotalTournamentAverages!V45/MassFormulaTesting!$B$52,"")*0.68)+0.3</f>
        <v>0.3</v>
      </c>
      <c r="T42" s="376">
        <f>(IFERROR(TotalTournamentAverages!W45/MassFormulaTesting!$B$54,"")*0.68)+0.3</f>
        <v>0.3</v>
      </c>
      <c r="U42" s="376">
        <f>(IFERROR(TotalTournamentAverages!X45/MassFormulaTesting!$B$56,"")*0.68)+0.3</f>
        <v>0.3</v>
      </c>
      <c r="V42" s="376">
        <f>(IFERROR(TotalTournamentAverages!Y45/MassFormulaTesting!$B$58,"")*0.68)+0.3</f>
        <v>0.3</v>
      </c>
      <c r="W42" s="376">
        <f>(IFERROR(TotalTournamentAverages!Z45/MassFormulaTesting!$B$60,"")*0.68)+0.3</f>
        <v>0.3</v>
      </c>
      <c r="X42" s="376">
        <f>(IFERROR(TotalTournamentAverages!AD45/MassFormulaTesting!$B$68,"")*0.68)+0.3</f>
        <v>0.3</v>
      </c>
      <c r="Y42" s="376">
        <f>(IFERROR(TotalTournamentAverages!AG45/MassFormulaTesting!$B$74,"")*0.68)+0.3</f>
        <v>0.3</v>
      </c>
      <c r="Z42" s="376">
        <f>(IFERROR(TotalTournamentAverages!AH45/MassFormulaTesting!$B$76,"")*0.68)+0.3</f>
        <v>0.3</v>
      </c>
      <c r="AA42" s="376">
        <f>(IFERROR(TotalTournamentAverages!AJ45/MassFormulaTesting!$B$80,"")*0.68)+0.3</f>
        <v>0.3</v>
      </c>
      <c r="AB42" s="376">
        <f>(IFERROR(TotalTournamentAverages!AK45/MassFormulaTesting!$B$82,"")*0.68)+0.3</f>
        <v>0.3</v>
      </c>
      <c r="AC42" s="376">
        <f>(IFERROR(TotalTournamentAverages!AL45/MassFormulaTesting!$B$84,"")*0.68)+0.3</f>
        <v>0.3</v>
      </c>
      <c r="AD42" s="376">
        <f>(IFERROR(TotalTournamentAverages!AM45/MassFormulaTesting!$B$86,"")*0.68)+0.3</f>
        <v>0.3</v>
      </c>
      <c r="AE42" s="376">
        <f>(IFERROR(TotalTournamentAverages!AN45/MassFormulaTesting!$B$88,"")*0.68)+0.3</f>
        <v>0.3</v>
      </c>
      <c r="AF42" s="376">
        <f>(IFERROR(TotalTournamentAverages!AO45/MassFormulaTesting!$B$90,"")*0.68)+0.3</f>
        <v>0.3</v>
      </c>
      <c r="AG42" s="376">
        <f>(IFERROR(TotalTournamentAverages!AP45/MassFormulaTesting!$B$92,"")*0.68)+0.3</f>
        <v>0.3</v>
      </c>
      <c r="AH42" s="376">
        <f>(IFERROR(TotalTournamentAverages!AQ45/MassFormulaTesting!$B$94,"")*0.68)+0.3</f>
        <v>0.3</v>
      </c>
      <c r="AI42" s="376">
        <f>(IFERROR(TotalTournamentAverages!AR45/MassFormulaTesting!$B$96,"")*0.68)+0.3</f>
        <v>0.3</v>
      </c>
      <c r="AJ42" s="376">
        <f>(IFERROR(TotalTournamentAverages!AS45/MassFormulaTesting!$B$98,"")*0.68)+0.3</f>
        <v>0.3</v>
      </c>
      <c r="AK42" s="376">
        <f>(IFERROR(TotalTournamentAverages!AT45/MassFormulaTesting!$B$100,"")*0.68)+0.3</f>
        <v>0.3</v>
      </c>
      <c r="AL42" s="376">
        <f>(IFERROR(TotalTournamentAverages!AU45/MassFormulaTesting!$B$102,"")*0.68)+0.3</f>
        <v>0.3</v>
      </c>
      <c r="AM42" s="376">
        <f>(IFERROR(TotalTournamentAverages!AV45/MassFormulaTesting!$B$104,"")*0.68)+0.3</f>
        <v>0.3</v>
      </c>
    </row>
    <row r="43">
      <c r="A43" s="72" t="str">
        <f>TotalTournamentAverages!A46</f>
        <v>ixjaga</v>
      </c>
      <c r="B43" s="377" t="str">
        <f>MassFormulaTesting!D54</f>
        <v>#DIV/0!</v>
      </c>
      <c r="C43" s="378">
        <f>MassFormulaTesting!F54</f>
        <v>0.3</v>
      </c>
      <c r="D43" s="13">
        <f>(IFERROR(TotalTournamentAverages!D46/MassFormulaTesting!$B$16,"")*0.68)+0.3</f>
        <v>0.3647619048</v>
      </c>
      <c r="E43" s="13">
        <f>(IFERROR(TotalTournamentAverages!E46/MassFormulaTesting!$B$18,"")*0.68)+0.3</f>
        <v>0.8390026247</v>
      </c>
      <c r="F43" s="13">
        <f>(IFERROR(TotalTournamentAverages!F46/MassFormulaTesting!$B$20,"")*0.68)+0.3</f>
        <v>0.6626666667</v>
      </c>
      <c r="G43" s="13">
        <f>(IFERROR(MassFormulaTesting!$C$22/TotalTournamentAverages!G46,"")*0.68)+0.3</f>
        <v>0.4473988439</v>
      </c>
      <c r="H43" s="13">
        <f>(((TotalTournamentAverages!H46+118)/(MassFormulaTesting!$B$24+118))*0.68)+0.3</f>
        <v>0.7615216201</v>
      </c>
      <c r="I43" s="13">
        <f>(IFERROR(TotalTournamentAverages!I46/MassFormulaTesting!$B$26,"")*0.68)+0.3</f>
        <v>0.6</v>
      </c>
      <c r="J43" s="13">
        <f>((0.98-IFERROR(TotalTournamentAverages!J46/MassFormulaTesting!$B$28,"")*0.68))</f>
        <v>0.5568888889</v>
      </c>
      <c r="K43" s="13">
        <f>(IFERROR(TotalTournamentAverages!K46/MassFormulaTesting!$B$30,"")*0.68)+0.3</f>
        <v>0.9556675644</v>
      </c>
      <c r="L43" s="13">
        <f>(IFERROR(TotalTournamentAverages!L46/MassFormulaTesting!$B$32,"")*0.68)+0.3</f>
        <v>0.98</v>
      </c>
      <c r="M43" s="13">
        <f>(IFERROR(TotalTournamentAverages!M46/MassFormulaTesting!$B$34,"")*0.68)+0.3</f>
        <v>0.5816161616</v>
      </c>
      <c r="N43" s="13">
        <f>(IFERROR(TotalTournamentAverages!N46/MassFormulaTesting!$B$36,"")*0.68)+0.3</f>
        <v>0.5472727273</v>
      </c>
      <c r="O43" s="13">
        <f>(IFERROR(TotalTournamentAverages!O46/MassFormulaTesting!$B$38,"")*0.68)+0.3</f>
        <v>0.3</v>
      </c>
      <c r="P43" s="13">
        <f>(IFERROR(TotalTournamentAverages!P46/MassFormulaTesting!$B$40,"")*0.68)+0.3</f>
        <v>0.3</v>
      </c>
      <c r="Q43" s="13">
        <f>(IFERROR(TotalTournamentAverages!T46/MassFormulaTesting!$B$48,"")*0.68)+0.3</f>
        <v>0.6777777778</v>
      </c>
      <c r="R43" s="13">
        <f>(IFERROR(TotalTournamentAverages!U46/MassFormulaTesting!$B$50,"")*0.68)+0.3</f>
        <v>0.3</v>
      </c>
      <c r="S43" s="13">
        <f>(IFERROR(TotalTournamentAverages!V46/MassFormulaTesting!$B$52,"")*0.68)+0.3</f>
        <v>0.3</v>
      </c>
      <c r="T43" s="13">
        <f>(IFERROR(TotalTournamentAverages!W46/MassFormulaTesting!$B$54,"")*0.68)+0.3</f>
        <v>0.3</v>
      </c>
      <c r="U43" s="13">
        <f>(IFERROR(TotalTournamentAverages!X46/MassFormulaTesting!$B$56,"")*0.68)+0.3</f>
        <v>0.3</v>
      </c>
      <c r="V43" s="13">
        <f>(IFERROR(TotalTournamentAverages!Y46/MassFormulaTesting!$B$58,"")*0.68)+0.3</f>
        <v>0.3</v>
      </c>
      <c r="W43" s="13">
        <f>(IFERROR(TotalTournamentAverages!Z46/MassFormulaTesting!$B$60,"")*0.68)+0.3</f>
        <v>0.3</v>
      </c>
      <c r="X43" s="13">
        <f>(IFERROR(TotalTournamentAverages!AD46/MassFormulaTesting!$B$68,"")*0.68)+0.3</f>
        <v>0.3</v>
      </c>
      <c r="Y43" s="13">
        <f>(IFERROR(TotalTournamentAverages!AG46/MassFormulaTesting!$B$74,"")*0.68)+0.3</f>
        <v>0.3</v>
      </c>
      <c r="Z43" s="13">
        <f>(IFERROR(TotalTournamentAverages!AH46/MassFormulaTesting!$B$76,"")*0.68)+0.3</f>
        <v>0.3</v>
      </c>
      <c r="AA43" s="13">
        <f>(IFERROR(TotalTournamentAverages!AJ46/MassFormulaTesting!$B$80,"")*0.68)+0.3</f>
        <v>0.3</v>
      </c>
      <c r="AB43" s="13">
        <f>(IFERROR(TotalTournamentAverages!AK46/MassFormulaTesting!$B$82,"")*0.68)+0.3</f>
        <v>0.3</v>
      </c>
      <c r="AC43" s="13">
        <f>(IFERROR(TotalTournamentAverages!AL46/MassFormulaTesting!$B$84,"")*0.68)+0.3</f>
        <v>0.3</v>
      </c>
      <c r="AD43" s="13">
        <f>(IFERROR(TotalTournamentAverages!AM46/MassFormulaTesting!$B$86,"")*0.68)+0.3</f>
        <v>0.3</v>
      </c>
      <c r="AE43" s="13">
        <f>(IFERROR(TotalTournamentAverages!AN46/MassFormulaTesting!$B$88,"")*0.68)+0.3</f>
        <v>0.3</v>
      </c>
      <c r="AF43" s="13">
        <f>(IFERROR(TotalTournamentAverages!AO46/MassFormulaTesting!$B$90,"")*0.68)+0.3</f>
        <v>0.3</v>
      </c>
      <c r="AG43" s="13">
        <f>(IFERROR(TotalTournamentAverages!AP46/MassFormulaTesting!$B$92,"")*0.68)+0.3</f>
        <v>0.3</v>
      </c>
      <c r="AH43" s="13">
        <f>(IFERROR(TotalTournamentAverages!AQ46/MassFormulaTesting!$B$94,"")*0.68)+0.3</f>
        <v>0.3</v>
      </c>
      <c r="AI43" s="13">
        <f>(IFERROR(TotalTournamentAverages!AR46/MassFormulaTesting!$B$96,"")*0.68)+0.3</f>
        <v>0.3</v>
      </c>
      <c r="AJ43" s="13">
        <f>(IFERROR(TotalTournamentAverages!AS46/MassFormulaTesting!$B$98,"")*0.68)+0.3</f>
        <v>0.3</v>
      </c>
      <c r="AK43" s="13">
        <f>(IFERROR(TotalTournamentAverages!AT46/MassFormulaTesting!$B$100,"")*0.68)+0.3</f>
        <v>0.3</v>
      </c>
      <c r="AL43" s="13">
        <f>(IFERROR(TotalTournamentAverages!AU46/MassFormulaTesting!$B$102,"")*0.68)+0.3</f>
        <v>0.3</v>
      </c>
      <c r="AM43" s="13">
        <f>(IFERROR(TotalTournamentAverages!AV46/MassFormulaTesting!$B$104,"")*0.68)+0.3</f>
        <v>0.3</v>
      </c>
    </row>
    <row r="44">
      <c r="A44" s="72" t="str">
        <f>TotalTournamentAverages!A47</f>
        <v>noketone</v>
      </c>
      <c r="B44" s="377" t="str">
        <f>MassFormulaTesting!D55</f>
        <v>#DIV/0!</v>
      </c>
      <c r="C44" s="378">
        <f>MassFormulaTesting!F55</f>
        <v>0.3</v>
      </c>
      <c r="D44" s="13">
        <f>(IFERROR(TotalTournamentAverages!D47/MassFormulaTesting!$B$16,"")*0.68)+0.3</f>
        <v>0.3</v>
      </c>
      <c r="E44" s="13">
        <f>(IFERROR(TotalTournamentAverages!E47/MassFormulaTesting!$B$18,"")*0.68)+0.3</f>
        <v>0.5837795276</v>
      </c>
      <c r="F44" s="13">
        <f>(IFERROR(TotalTournamentAverages!F47/MassFormulaTesting!$B$20,"")*0.68)+0.3</f>
        <v>0.708</v>
      </c>
      <c r="G44" s="13">
        <f>(IFERROR(MassFormulaTesting!$C$22/TotalTournamentAverages!G47,"")*0.68)+0.3</f>
        <v>0.5023809524</v>
      </c>
      <c r="H44" s="13">
        <f>(((TotalTournamentAverages!H47+118)/(MassFormulaTesting!$B$24+118))*0.68)+0.3</f>
        <v>0.6885714286</v>
      </c>
      <c r="I44" s="13">
        <f>(IFERROR(TotalTournamentAverages!I47/MassFormulaTesting!$B$26,"")*0.68)+0.3</f>
        <v>0.54</v>
      </c>
      <c r="J44" s="13">
        <f>((0.98-IFERROR(TotalTournamentAverages!J47/MassFormulaTesting!$B$28,"")*0.68))</f>
        <v>0.7986666667</v>
      </c>
      <c r="K44" s="13">
        <f>(IFERROR(TotalTournamentAverages!K47/MassFormulaTesting!$B$30,"")*0.68)+0.3</f>
        <v>0.7269949981</v>
      </c>
      <c r="L44" s="13">
        <f>(IFERROR(TotalTournamentAverages!L47/MassFormulaTesting!$B$32,"")*0.68)+0.3</f>
        <v>0.7561250592</v>
      </c>
      <c r="M44" s="13">
        <f>(IFERROR(TotalTournamentAverages!M47/MassFormulaTesting!$B$34,"")*0.68)+0.3</f>
        <v>0.5472727273</v>
      </c>
      <c r="N44" s="13">
        <f>(IFERROR(TotalTournamentAverages!N47/MassFormulaTesting!$B$36,"")*0.68)+0.3</f>
        <v>0.3</v>
      </c>
      <c r="O44" s="13">
        <f>(IFERROR(TotalTournamentAverages!O47/MassFormulaTesting!$B$38,"")*0.68)+0.3</f>
        <v>0.3</v>
      </c>
      <c r="P44" s="13">
        <f>(IFERROR(TotalTournamentAverages!P47/MassFormulaTesting!$B$40,"")*0.68)+0.3</f>
        <v>0.3</v>
      </c>
      <c r="Q44" s="13">
        <f>(IFERROR(TotalTournamentAverages!T47/MassFormulaTesting!$B$48,"")*0.68)+0.3</f>
        <v>0.4133333333</v>
      </c>
      <c r="R44" s="13">
        <f>(IFERROR(TotalTournamentAverages!U47/MassFormulaTesting!$B$50,"")*0.68)+0.3</f>
        <v>0.3</v>
      </c>
      <c r="S44" s="13">
        <f>(IFERROR(TotalTournamentAverages!V47/MassFormulaTesting!$B$52,"")*0.68)+0.3</f>
        <v>0.3</v>
      </c>
      <c r="T44" s="13">
        <f>(IFERROR(TotalTournamentAverages!W47/MassFormulaTesting!$B$54,"")*0.68)+0.3</f>
        <v>0.3</v>
      </c>
      <c r="U44" s="13">
        <f>(IFERROR(TotalTournamentAverages!X47/MassFormulaTesting!$B$56,"")*0.68)+0.3</f>
        <v>0.3</v>
      </c>
      <c r="V44" s="13">
        <f>(IFERROR(TotalTournamentAverages!Y47/MassFormulaTesting!$B$58,"")*0.68)+0.3</f>
        <v>0.3</v>
      </c>
      <c r="W44" s="13">
        <f>(IFERROR(TotalTournamentAverages!Z47/MassFormulaTesting!$B$60,"")*0.68)+0.3</f>
        <v>0.3</v>
      </c>
      <c r="X44" s="13">
        <f>(IFERROR(TotalTournamentAverages!AD47/MassFormulaTesting!$B$68,"")*0.68)+0.3</f>
        <v>0.3</v>
      </c>
      <c r="Y44" s="13">
        <f>(IFERROR(TotalTournamentAverages!AG47/MassFormulaTesting!$B$74,"")*0.68)+0.3</f>
        <v>0.3</v>
      </c>
      <c r="Z44" s="13">
        <f>(IFERROR(TotalTournamentAverages!AH47/MassFormulaTesting!$B$76,"")*0.68)+0.3</f>
        <v>0.3</v>
      </c>
      <c r="AA44" s="13">
        <f>(IFERROR(TotalTournamentAverages!AJ47/MassFormulaTesting!$B$80,"")*0.68)+0.3</f>
        <v>0.3</v>
      </c>
      <c r="AB44" s="13">
        <f>(IFERROR(TotalTournamentAverages!AK47/MassFormulaTesting!$B$82,"")*0.68)+0.3</f>
        <v>0.3</v>
      </c>
      <c r="AC44" s="13">
        <f>(IFERROR(TotalTournamentAverages!AL47/MassFormulaTesting!$B$84,"")*0.68)+0.3</f>
        <v>0.3</v>
      </c>
      <c r="AD44" s="13">
        <f>(IFERROR(TotalTournamentAverages!AM47/MassFormulaTesting!$B$86,"")*0.68)+0.3</f>
        <v>0.3</v>
      </c>
      <c r="AE44" s="13">
        <f>(IFERROR(TotalTournamentAverages!AN47/MassFormulaTesting!$B$88,"")*0.68)+0.3</f>
        <v>0.3</v>
      </c>
      <c r="AF44" s="13">
        <f>(IFERROR(TotalTournamentAverages!AO47/MassFormulaTesting!$B$90,"")*0.68)+0.3</f>
        <v>0.3</v>
      </c>
      <c r="AG44" s="13">
        <f>(IFERROR(TotalTournamentAverages!AP47/MassFormulaTesting!$B$92,"")*0.68)+0.3</f>
        <v>0.3</v>
      </c>
      <c r="AH44" s="13">
        <f>(IFERROR(TotalTournamentAverages!AQ47/MassFormulaTesting!$B$94,"")*0.68)+0.3</f>
        <v>0.3</v>
      </c>
      <c r="AI44" s="13">
        <f>(IFERROR(TotalTournamentAverages!AR47/MassFormulaTesting!$B$96,"")*0.68)+0.3</f>
        <v>0.3</v>
      </c>
      <c r="AJ44" s="13">
        <f>(IFERROR(TotalTournamentAverages!AS47/MassFormulaTesting!$B$98,"")*0.68)+0.3</f>
        <v>0.3</v>
      </c>
      <c r="AK44" s="13">
        <f>(IFERROR(TotalTournamentAverages!AT47/MassFormulaTesting!$B$100,"")*0.68)+0.3</f>
        <v>0.3</v>
      </c>
      <c r="AL44" s="13">
        <f>(IFERROR(TotalTournamentAverages!AU47/MassFormulaTesting!$B$102,"")*0.68)+0.3</f>
        <v>0.3</v>
      </c>
      <c r="AM44" s="13">
        <f>(IFERROR(TotalTournamentAverages!AV47/MassFormulaTesting!$B$104,"")*0.68)+0.3</f>
        <v>0.3</v>
      </c>
    </row>
    <row r="45">
      <c r="A45" s="72" t="str">
        <f>TotalTournamentAverages!A48</f>
        <v>oDhmon</v>
      </c>
      <c r="B45" s="377" t="str">
        <f>MassFormulaTesting!D56</f>
        <v>#DIV/0!</v>
      </c>
      <c r="C45" s="378">
        <f>MassFormulaTesting!F56</f>
        <v>0.3</v>
      </c>
      <c r="D45" s="13">
        <f>(IFERROR(TotalTournamentAverages!D48/MassFormulaTesting!$B$16,"")*0.68)+0.3</f>
        <v>0.4942857143</v>
      </c>
      <c r="E45" s="13">
        <f>(IFERROR(TotalTournamentAverages!E48/MassFormulaTesting!$B$18,"")*0.68)+0.3</f>
        <v>0.7484251969</v>
      </c>
      <c r="F45" s="13">
        <f>(IFERROR(TotalTournamentAverages!F48/MassFormulaTesting!$B$20,"")*0.68)+0.3</f>
        <v>0.674</v>
      </c>
      <c r="G45" s="13">
        <f>(IFERROR(MassFormulaTesting!$C$22/TotalTournamentAverages!G48,"")*0.68)+0.3</f>
        <v>0.5698412698</v>
      </c>
      <c r="H45" s="13">
        <f>(((TotalTournamentAverages!H48+118)/(MassFormulaTesting!$B$24+118))*0.68)+0.3</f>
        <v>0.9197044335</v>
      </c>
      <c r="I45" s="13">
        <f>(IFERROR(TotalTournamentAverages!I48/MassFormulaTesting!$B$26,"")*0.68)+0.3</f>
        <v>0.675</v>
      </c>
      <c r="J45" s="13">
        <f>((0.98-IFERROR(TotalTournamentAverages!J48/MassFormulaTesting!$B$28,"")*0.68))</f>
        <v>0.8893333333</v>
      </c>
      <c r="K45" s="13">
        <f>(IFERROR(TotalTournamentAverages!K48/MassFormulaTesting!$B$30,"")*0.68)+0.3</f>
        <v>0.7756598692</v>
      </c>
      <c r="L45" s="13">
        <f>(IFERROR(TotalTournamentAverages!L48/MassFormulaTesting!$B$32,"")*0.68)+0.3</f>
        <v>0.7754523922</v>
      </c>
      <c r="M45" s="13">
        <f>(IFERROR(TotalTournamentAverages!M48/MassFormulaTesting!$B$34,"")*0.68)+0.3</f>
        <v>0.6966666667</v>
      </c>
      <c r="N45" s="13">
        <f>(IFERROR(TotalTournamentAverages!N48/MassFormulaTesting!$B$36,"")*0.68)+0.3</f>
        <v>0.7636363636</v>
      </c>
      <c r="O45" s="13">
        <f>(IFERROR(TotalTournamentAverages!O48/MassFormulaTesting!$B$38,"")*0.68)+0.3</f>
        <v>0.3</v>
      </c>
      <c r="P45" s="13">
        <f>(IFERROR(TotalTournamentAverages!P48/MassFormulaTesting!$B$40,"")*0.68)+0.3</f>
        <v>0.3</v>
      </c>
      <c r="Q45" s="13">
        <f>(IFERROR(TotalTournamentAverages!T48/MassFormulaTesting!$B$48,"")*0.68)+0.3</f>
        <v>0.6683333333</v>
      </c>
      <c r="R45" s="13">
        <f>(IFERROR(TotalTournamentAverages!U48/MassFormulaTesting!$B$50,"")*0.68)+0.3</f>
        <v>0.555</v>
      </c>
      <c r="S45" s="13">
        <f>(IFERROR(TotalTournamentAverages!V48/MassFormulaTesting!$B$52,"")*0.68)+0.3</f>
        <v>0.3</v>
      </c>
      <c r="T45" s="13">
        <f>(IFERROR(TotalTournamentAverages!W48/MassFormulaTesting!$B$54,"")*0.68)+0.3</f>
        <v>0.3</v>
      </c>
      <c r="U45" s="13">
        <f>(IFERROR(TotalTournamentAverages!X48/MassFormulaTesting!$B$56,"")*0.68)+0.3</f>
        <v>0.3</v>
      </c>
      <c r="V45" s="13">
        <f>(IFERROR(TotalTournamentAverages!Y48/MassFormulaTesting!$B$58,"")*0.68)+0.3</f>
        <v>0.3</v>
      </c>
      <c r="W45" s="13">
        <f>(IFERROR(TotalTournamentAverages!Z48/MassFormulaTesting!$B$60,"")*0.68)+0.3</f>
        <v>0.3</v>
      </c>
      <c r="X45" s="13">
        <f>(IFERROR(TotalTournamentAverages!AD48/MassFormulaTesting!$B$68,"")*0.68)+0.3</f>
        <v>0.3</v>
      </c>
      <c r="Y45" s="13">
        <f>(IFERROR(TotalTournamentAverages!AG48/MassFormulaTesting!$B$74,"")*0.68)+0.3</f>
        <v>0.3</v>
      </c>
      <c r="Z45" s="13">
        <f>(IFERROR(TotalTournamentAverages!AH48/MassFormulaTesting!$B$76,"")*0.68)+0.3</f>
        <v>0.3</v>
      </c>
      <c r="AA45" s="13">
        <f>(IFERROR(TotalTournamentAverages!AJ48/MassFormulaTesting!$B$80,"")*0.68)+0.3</f>
        <v>0.3</v>
      </c>
      <c r="AB45" s="13">
        <f>(IFERROR(TotalTournamentAverages!AK48/MassFormulaTesting!$B$82,"")*0.68)+0.3</f>
        <v>0.3</v>
      </c>
      <c r="AC45" s="13">
        <f>(IFERROR(TotalTournamentAverages!AL48/MassFormulaTesting!$B$84,"")*0.68)+0.3</f>
        <v>0.3</v>
      </c>
      <c r="AD45" s="13">
        <f>(IFERROR(TotalTournamentAverages!AM48/MassFormulaTesting!$B$86,"")*0.68)+0.3</f>
        <v>0.3</v>
      </c>
      <c r="AE45" s="13">
        <f>(IFERROR(TotalTournamentAverages!AN48/MassFormulaTesting!$B$88,"")*0.68)+0.3</f>
        <v>0.3</v>
      </c>
      <c r="AF45" s="13">
        <f>(IFERROR(TotalTournamentAverages!AO48/MassFormulaTesting!$B$90,"")*0.68)+0.3</f>
        <v>0.3</v>
      </c>
      <c r="AG45" s="13">
        <f>(IFERROR(TotalTournamentAverages!AP48/MassFormulaTesting!$B$92,"")*0.68)+0.3</f>
        <v>0.3</v>
      </c>
      <c r="AH45" s="13">
        <f>(IFERROR(TotalTournamentAverages!AQ48/MassFormulaTesting!$B$94,"")*0.68)+0.3</f>
        <v>0.3</v>
      </c>
      <c r="AI45" s="13">
        <f>(IFERROR(TotalTournamentAverages!AR48/MassFormulaTesting!$B$96,"")*0.68)+0.3</f>
        <v>0.3</v>
      </c>
      <c r="AJ45" s="13">
        <f>(IFERROR(TotalTournamentAverages!AS48/MassFormulaTesting!$B$98,"")*0.68)+0.3</f>
        <v>0.3</v>
      </c>
      <c r="AK45" s="13">
        <f>(IFERROR(TotalTournamentAverages!AT48/MassFormulaTesting!$B$100,"")*0.68)+0.3</f>
        <v>0.3</v>
      </c>
      <c r="AL45" s="13">
        <f>(IFERROR(TotalTournamentAverages!AU48/MassFormulaTesting!$B$102,"")*0.68)+0.3</f>
        <v>0.3</v>
      </c>
      <c r="AM45" s="13">
        <f>(IFERROR(TotalTournamentAverages!AV48/MassFormulaTesting!$B$104,"")*0.68)+0.3</f>
        <v>0.3</v>
      </c>
    </row>
  </sheetData>
  <conditionalFormatting sqref="B2:AM45">
    <cfRule type="cellIs" dxfId="6" priority="1" operator="greaterThanOrEqual">
      <formula>"30%"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4.5"/>
    <col customWidth="1" min="2" max="2" width="8.13"/>
    <col customWidth="1" min="3" max="3" width="6.13"/>
    <col customWidth="1" min="4" max="4" width="10.25"/>
    <col customWidth="1" min="5" max="5" width="9.13"/>
    <col customWidth="1" min="6" max="6" width="10.0"/>
    <col customWidth="1" min="7" max="7" width="9.13"/>
    <col customWidth="1" min="8" max="8" width="6.25"/>
    <col customWidth="1" min="9" max="9" width="1.25"/>
    <col customWidth="1" min="10" max="10" width="14.5"/>
    <col customWidth="1" min="11" max="11" width="8.63"/>
    <col customWidth="1" min="12" max="12" width="6.38"/>
    <col customWidth="1" min="13" max="13" width="10.25"/>
    <col customWidth="1" min="14" max="14" width="9.5"/>
    <col customWidth="1" min="15" max="15" width="10.5"/>
    <col customWidth="1" min="16" max="16" width="9.38"/>
    <col customWidth="1" min="17" max="17" width="6.25"/>
    <col customWidth="1" min="18" max="18" width="9.75"/>
    <col customWidth="1" min="19" max="19" width="9.5"/>
    <col customWidth="1" min="20" max="20" width="7.88"/>
    <col customWidth="1" min="21" max="21" width="5.63"/>
    <col customWidth="1" min="22" max="22" width="9.75" outlineLevel="1"/>
    <col customWidth="1" min="23" max="23" width="8.63" outlineLevel="1"/>
    <col customWidth="1" min="24" max="24" width="7.88" outlineLevel="1"/>
    <col customWidth="1" min="25" max="25" width="10.25" outlineLevel="1"/>
    <col customWidth="1" min="26" max="26" width="9.5" outlineLevel="1"/>
    <col customWidth="1" min="27" max="27" width="10.5" outlineLevel="1"/>
    <col customWidth="1" min="28" max="29" width="9.38" outlineLevel="1"/>
  </cols>
  <sheetData>
    <row r="1">
      <c r="A1" s="379" t="s">
        <v>378</v>
      </c>
      <c r="B1" s="380" t="s">
        <v>410</v>
      </c>
      <c r="C1" s="380" t="s">
        <v>411</v>
      </c>
      <c r="D1" s="380" t="s">
        <v>412</v>
      </c>
      <c r="E1" s="380" t="s">
        <v>413</v>
      </c>
      <c r="F1" s="380" t="s">
        <v>414</v>
      </c>
      <c r="G1" s="380" t="s">
        <v>415</v>
      </c>
      <c r="H1" s="381" t="s">
        <v>416</v>
      </c>
      <c r="I1" s="17"/>
      <c r="J1" s="379" t="s">
        <v>378</v>
      </c>
      <c r="K1" s="382" t="s">
        <v>410</v>
      </c>
      <c r="L1" s="382" t="s">
        <v>411</v>
      </c>
      <c r="M1" s="382" t="s">
        <v>412</v>
      </c>
      <c r="N1" s="382" t="s">
        <v>413</v>
      </c>
      <c r="O1" s="382" t="s">
        <v>414</v>
      </c>
      <c r="P1" s="382" t="s">
        <v>415</v>
      </c>
      <c r="Q1" s="383" t="s">
        <v>416</v>
      </c>
      <c r="R1" s="362" t="s">
        <v>417</v>
      </c>
      <c r="S1" s="384" t="s">
        <v>418</v>
      </c>
      <c r="V1" s="385"/>
      <c r="W1" s="386" t="s">
        <v>410</v>
      </c>
      <c r="X1" s="387" t="s">
        <v>411</v>
      </c>
      <c r="Y1" s="387" t="s">
        <v>412</v>
      </c>
      <c r="Z1" s="387" t="s">
        <v>413</v>
      </c>
      <c r="AA1" s="387" t="s">
        <v>414</v>
      </c>
      <c r="AB1" s="387" t="s">
        <v>415</v>
      </c>
      <c r="AC1" s="381" t="s">
        <v>416</v>
      </c>
    </row>
    <row r="2">
      <c r="A2" s="388" t="str">
        <f>'Halo Reach Stats'!A2</f>
        <v>ACE B S1lentND1</v>
      </c>
      <c r="B2" s="389">
        <f>IFERROR(VLOOKUP(A2,'PG Stats'!A:Q,11,0),)</f>
        <v>0.03722854188</v>
      </c>
      <c r="C2" s="389">
        <f>IFERROR(VLOOKUP(A2,'PG Stats'!A:Q,12,0),)</f>
        <v>0.9058945191</v>
      </c>
      <c r="D2" s="390">
        <f>IFERROR(VLOOKUP(A2,'PG Stats'!A:Q,13,0),)</f>
        <v>0.1240951396</v>
      </c>
      <c r="E2" s="390">
        <f>IFERROR(VLOOKUP(A2,'PG Stats'!A:Q,14,0),)</f>
        <v>0.1116856256</v>
      </c>
      <c r="F2" s="390">
        <f>IFERROR(VLOOKUP(A2,'PG Stats'!A:Q,15,0),)</f>
        <v>0.5087900724</v>
      </c>
      <c r="G2" s="391">
        <f>IFERROR(VLOOKUP(A2,'PG Stats'!A:Q,16,0),)</f>
        <v>0.08686659772</v>
      </c>
      <c r="H2" s="391">
        <f>IFERROR(VLOOKUP(A2,'PG Stats'!A:Q,17,0),)</f>
        <v>0.0620475698</v>
      </c>
      <c r="I2" s="17"/>
      <c r="J2" s="388" t="str">
        <f>'Halo Reach Stats'!A2</f>
        <v>ACE B S1lentND1</v>
      </c>
      <c r="K2" s="392" t="str">
        <f t="shared" ref="K2:K61" si="2">IF(B2&lt;=$W$17,"F",IF(B2&lt;$W$15,"E",IF(B2&lt;$W$12,"D",IF(B2&lt;$W$9,"C",IF(B2&lt;$W$6,"B",IF(B2&lt;$W$3,"A","S"))))))</f>
        <v>B</v>
      </c>
      <c r="L2" s="392" t="str">
        <f t="shared" ref="L2:L61" si="3">IF(C2&lt;=$X$17,"F",IF(C2&lt;$X$15,"E",IF(C2&lt;$X$12,"D",IF(C2&lt;$X$9,"C",IF(C2&lt;$X$6,"B",IF(C2&lt;$X$3,"A","S"))))))</f>
        <v>S</v>
      </c>
      <c r="M2" s="392" t="str">
        <f t="shared" ref="M2:M61" si="4">IF(D2&lt;=$Y$17,"F",IF(D2&lt;$Y$15,"E",IF(D2&lt;$Y$12,"D",IF(D2&lt;$Y$9,"C",IF(D2&lt;$Y$6,"B",IF(D2&lt;$Y$3,"A","S"))))))</f>
        <v>B</v>
      </c>
      <c r="N2" s="392" t="str">
        <f t="shared" ref="N2:N61" si="5">IF(E2&lt;=$Z$17,"F",IF(E2&lt;$Z$15,"E",IF(E2&lt;$Z$12,"D",IF(E2&lt;$Z$9,"C",IF(E2&lt;$Z$6,"B",IF(E2&lt;$Z$3,"A","S"))))))</f>
        <v>S</v>
      </c>
      <c r="O2" s="392" t="str">
        <f t="shared" ref="O2:O61" si="6">IF(F2&lt;=$AA$17,"F",IF(F2&lt;$AA$15,"E",IF(F2&lt;$AA$12,"D",IF(F2&lt;$AA$9,"C",IF(F2&lt;$AA$6,"B",IF(F2&lt;$AA$3,"A","S"))))))</f>
        <v>B</v>
      </c>
      <c r="P2" s="392" t="str">
        <f t="shared" ref="P2:P61" si="7">IF(G2&lt;=$AB$17,"F",IF(G2&lt;$AB$15,"E",IF(G2&lt;$AB$12,"D",IF(G2&lt;$AB$9,"C",IF(G2&lt;$AB$6,"B",IF(G2&lt;$AB$3,"A","S"))))))</f>
        <v>B</v>
      </c>
      <c r="Q2" s="392" t="str">
        <f t="shared" ref="Q2:Q61" si="8">IF(H2&lt;=$AC$17,"F",IF(H2&lt;$AC$15,"E",IF(H2&lt;$AC$12,"D",IF(H2&lt;$AC$9,"C",IF(H2&lt;$AC$6,"B",IF(H2&lt;$AC$3,"A","S"))))))</f>
        <v>S</v>
      </c>
      <c r="R2" s="393" t="str">
        <f t="shared" ref="R2:R61" si="9">IF(S2&lt;=$U$23,"F",IF(S2&lt;$U$21,"E",IF(S2&lt;$U$19,"D",IF(S2&lt;$U$17,"C",IF(S2&lt;$U$15,"B",IF(S2&lt;$U$13,"A","S"))))))</f>
        <v>A</v>
      </c>
      <c r="S2" s="346">
        <f t="shared" ref="S2:S61" si="10">($U$26*(VLOOKUP(K2, $T$3:$U$9, 2, FALSE)))+($U$27*(VLOOKUP(L2, $T$3:$U$9, 2, FALSE)))+($U$28*(VLOOKUP(M2, $T$3:$U$9, 2, FALSE)))+($U$29*(VLOOKUP(N2, $T$3:$U$9, 2, FALSE)))+($U$30*(VLOOKUP(O2, $T$3:$U$9, 2, FALSE)))+($U$31*(VLOOKUP(P2, $T$3:$U$9, 2, FALSE)))+($U$32*(VLOOKUP(Q2, $T$3:$U$9, 2, FALSE)))</f>
        <v>15.8</v>
      </c>
      <c r="T2" s="394" t="s">
        <v>335</v>
      </c>
      <c r="U2" s="395" t="s">
        <v>419</v>
      </c>
      <c r="V2" s="396" t="s">
        <v>367</v>
      </c>
      <c r="W2" s="397">
        <f t="shared" ref="W2:AC2" si="1">PERCENTILE(B2:B80,0.9)</f>
        <v>0.09398290561</v>
      </c>
      <c r="X2" s="397">
        <f t="shared" si="1"/>
        <v>0.8781835019</v>
      </c>
      <c r="Y2" s="397">
        <f t="shared" si="1"/>
        <v>0.2332264417</v>
      </c>
      <c r="Z2" s="397">
        <f t="shared" si="1"/>
        <v>0.1217768788</v>
      </c>
      <c r="AA2" s="397">
        <f t="shared" si="1"/>
        <v>0.6524133947</v>
      </c>
      <c r="AB2" s="397">
        <f t="shared" si="1"/>
        <v>0.1485273829</v>
      </c>
      <c r="AC2" s="397">
        <f t="shared" si="1"/>
        <v>0.06984821251</v>
      </c>
    </row>
    <row r="3">
      <c r="A3" s="388" t="str">
        <f>'Halo Reach Stats'!A3</f>
        <v>ADhillyy</v>
      </c>
      <c r="B3" s="389">
        <f>IFERROR(VLOOKUP(A3,'PG Stats'!A:Q,11,0),)</f>
        <v>0</v>
      </c>
      <c r="C3" s="389">
        <f>IFERROR(VLOOKUP(A3,'PG Stats'!A:Q,12,0),)</f>
        <v>-1.101398601</v>
      </c>
      <c r="D3" s="390">
        <f>IFERROR(VLOOKUP(A3,'PG Stats'!A:Q,13,0),)</f>
        <v>0.05244755245</v>
      </c>
      <c r="E3" s="390">
        <f>IFERROR(VLOOKUP(A3,'PG Stats'!A:Q,14,0),)</f>
        <v>0</v>
      </c>
      <c r="F3" s="390">
        <f>IFERROR(VLOOKUP(A3,'PG Stats'!A:Q,15,0),)</f>
        <v>0.3671328671</v>
      </c>
      <c r="G3" s="391">
        <f>IFERROR(VLOOKUP(A3,'PG Stats'!A:Q,16,0),)</f>
        <v>0.05244755245</v>
      </c>
      <c r="H3" s="391">
        <f>IFERROR(VLOOKUP(A3,'PG Stats'!A:Q,17,0),)</f>
        <v>0</v>
      </c>
      <c r="I3" s="17"/>
      <c r="J3" s="388" t="str">
        <f>'Halo Reach Stats'!A3</f>
        <v>ADhillyy</v>
      </c>
      <c r="K3" s="392" t="str">
        <f t="shared" si="2"/>
        <v>F</v>
      </c>
      <c r="L3" s="392" t="str">
        <f t="shared" si="3"/>
        <v>F</v>
      </c>
      <c r="M3" s="392" t="str">
        <f t="shared" si="4"/>
        <v>E</v>
      </c>
      <c r="N3" s="392" t="str">
        <f t="shared" si="5"/>
        <v>F</v>
      </c>
      <c r="O3" s="392" t="str">
        <f t="shared" si="6"/>
        <v>E</v>
      </c>
      <c r="P3" s="392" t="str">
        <f t="shared" si="7"/>
        <v>D</v>
      </c>
      <c r="Q3" s="392" t="str">
        <f t="shared" si="8"/>
        <v>F</v>
      </c>
      <c r="R3" s="398" t="str">
        <f t="shared" si="9"/>
        <v>E</v>
      </c>
      <c r="S3" s="346">
        <f t="shared" si="10"/>
        <v>4.9</v>
      </c>
      <c r="T3" s="399" t="s">
        <v>367</v>
      </c>
      <c r="U3" s="400">
        <v>7.0</v>
      </c>
      <c r="V3" s="401" t="s">
        <v>420</v>
      </c>
      <c r="W3" s="402">
        <f t="shared" ref="W3:AC3" si="11">PERCENTILE(B2:B80,0.85)</f>
        <v>0.08014279324</v>
      </c>
      <c r="X3" s="402">
        <f t="shared" si="11"/>
        <v>0.824211644</v>
      </c>
      <c r="Y3" s="402">
        <f t="shared" si="11"/>
        <v>0.2021500008</v>
      </c>
      <c r="Z3" s="402">
        <f t="shared" si="11"/>
        <v>0.1029921878</v>
      </c>
      <c r="AA3" s="402">
        <f t="shared" si="11"/>
        <v>0.6033880722</v>
      </c>
      <c r="AB3" s="402">
        <f t="shared" si="11"/>
        <v>0.1242931228</v>
      </c>
      <c r="AC3" s="402">
        <f t="shared" si="11"/>
        <v>0.06114422622</v>
      </c>
    </row>
    <row r="4">
      <c r="A4" s="388" t="str">
        <f>'Halo Reach Stats'!A4</f>
        <v>Almighty Tycoon</v>
      </c>
      <c r="B4" s="389">
        <f>IFERROR(VLOOKUP(A4,'PG Stats'!A:Q,11,0),)</f>
        <v>0</v>
      </c>
      <c r="C4" s="389">
        <f>IFERROR(VLOOKUP(A4,'PG Stats'!A:Q,12,0),)</f>
        <v>-0.8391608392</v>
      </c>
      <c r="D4" s="390">
        <f>IFERROR(VLOOKUP(A4,'PG Stats'!A:Q,13,0),)</f>
        <v>0.08991008991</v>
      </c>
      <c r="E4" s="390">
        <f>IFERROR(VLOOKUP(A4,'PG Stats'!A:Q,14,0),)</f>
        <v>0</v>
      </c>
      <c r="F4" s="390">
        <f>IFERROR(VLOOKUP(A4,'PG Stats'!A:Q,15,0),)</f>
        <v>0.2997002997</v>
      </c>
      <c r="G4" s="391">
        <f>IFERROR(VLOOKUP(A4,'PG Stats'!A:Q,16,0),)</f>
        <v>0.02997002997</v>
      </c>
      <c r="H4" s="391">
        <f>IFERROR(VLOOKUP(A4,'PG Stats'!A:Q,17,0),)</f>
        <v>0</v>
      </c>
      <c r="I4" s="17"/>
      <c r="J4" s="388" t="str">
        <f>'Halo Reach Stats'!A4</f>
        <v>Almighty Tycoon</v>
      </c>
      <c r="K4" s="392" t="str">
        <f t="shared" si="2"/>
        <v>F</v>
      </c>
      <c r="L4" s="392" t="str">
        <f t="shared" si="3"/>
        <v>D</v>
      </c>
      <c r="M4" s="392" t="str">
        <f t="shared" si="4"/>
        <v>C</v>
      </c>
      <c r="N4" s="392" t="str">
        <f t="shared" si="5"/>
        <v>F</v>
      </c>
      <c r="O4" s="392" t="str">
        <f t="shared" si="6"/>
        <v>F</v>
      </c>
      <c r="P4" s="392" t="str">
        <f t="shared" si="7"/>
        <v>E</v>
      </c>
      <c r="Q4" s="392" t="str">
        <f t="shared" si="8"/>
        <v>F</v>
      </c>
      <c r="R4" s="398" t="str">
        <f t="shared" si="9"/>
        <v>E</v>
      </c>
      <c r="S4" s="346">
        <f t="shared" si="10"/>
        <v>5.9</v>
      </c>
      <c r="T4" s="403" t="s">
        <v>366</v>
      </c>
      <c r="U4" s="404">
        <v>6.0</v>
      </c>
      <c r="V4" s="405" t="s">
        <v>421</v>
      </c>
      <c r="W4" s="406">
        <f t="shared" ref="W4:AC4" si="12">PERCENTILE(B2:B80,0.8)</f>
        <v>0.06670372429</v>
      </c>
      <c r="X4" s="406">
        <f t="shared" si="12"/>
        <v>0.4191363251</v>
      </c>
      <c r="Y4" s="406">
        <f t="shared" si="12"/>
        <v>0.1748704663</v>
      </c>
      <c r="Z4" s="406">
        <f t="shared" si="12"/>
        <v>0.08474576271</v>
      </c>
      <c r="AA4" s="406">
        <f t="shared" si="12"/>
        <v>0.5769230769</v>
      </c>
      <c r="AB4" s="406">
        <f t="shared" si="12"/>
        <v>0.1139240506</v>
      </c>
      <c r="AC4" s="406">
        <f t="shared" si="12"/>
        <v>0.05244755245</v>
      </c>
    </row>
    <row r="5">
      <c r="A5" s="388" t="str">
        <f>'Halo Reach Stats'!A5</f>
        <v>AwareMosquito</v>
      </c>
      <c r="B5" s="389">
        <f>IFERROR(VLOOKUP(A5,'PG Stats'!A:Q,11,0),)</f>
        <v>0</v>
      </c>
      <c r="C5" s="389">
        <f>IFERROR(VLOOKUP(A5,'PG Stats'!A:Q,12,0),)</f>
        <v>-1.078607616</v>
      </c>
      <c r="D5" s="390">
        <f>IFERROR(VLOOKUP(A5,'PG Stats'!A:Q,13,0),)</f>
        <v>0.06863866645</v>
      </c>
      <c r="E5" s="390">
        <f>IFERROR(VLOOKUP(A5,'PG Stats'!A:Q,14,0),)</f>
        <v>0.009805523778</v>
      </c>
      <c r="F5" s="390">
        <f>IFERROR(VLOOKUP(A5,'PG Stats'!A:Q,15,0),)</f>
        <v>0.264749142</v>
      </c>
      <c r="G5" s="391">
        <f>IFERROR(VLOOKUP(A5,'PG Stats'!A:Q,16,0),)</f>
        <v>0.02941657134</v>
      </c>
      <c r="H5" s="391">
        <f>IFERROR(VLOOKUP(A5,'PG Stats'!A:Q,17,0),)</f>
        <v>0.009805523778</v>
      </c>
      <c r="I5" s="17"/>
      <c r="J5" s="388" t="str">
        <f>'Halo Reach Stats'!A5</f>
        <v>AwareMosquito</v>
      </c>
      <c r="K5" s="392" t="str">
        <f t="shared" si="2"/>
        <v>F</v>
      </c>
      <c r="L5" s="392" t="str">
        <f t="shared" si="3"/>
        <v>F</v>
      </c>
      <c r="M5" s="392" t="str">
        <f t="shared" si="4"/>
        <v>D</v>
      </c>
      <c r="N5" s="392" t="str">
        <f t="shared" si="5"/>
        <v>D</v>
      </c>
      <c r="O5" s="392" t="str">
        <f t="shared" si="6"/>
        <v>F</v>
      </c>
      <c r="P5" s="392" t="str">
        <f t="shared" si="7"/>
        <v>E</v>
      </c>
      <c r="Q5" s="392" t="str">
        <f t="shared" si="8"/>
        <v>C</v>
      </c>
      <c r="R5" s="398" t="str">
        <f t="shared" si="9"/>
        <v>E</v>
      </c>
      <c r="S5" s="346">
        <f t="shared" si="10"/>
        <v>5.4</v>
      </c>
      <c r="T5" s="407" t="s">
        <v>368</v>
      </c>
      <c r="U5" s="408">
        <v>5.0</v>
      </c>
      <c r="V5" s="409" t="s">
        <v>422</v>
      </c>
      <c r="W5" s="410">
        <f t="shared" ref="W5:AC5" si="13">PERCENTILE(B2:B80,0.75)</f>
        <v>0.04992888467</v>
      </c>
      <c r="X5" s="410">
        <f t="shared" si="13"/>
        <v>0.2216229326</v>
      </c>
      <c r="Y5" s="410">
        <f t="shared" si="13"/>
        <v>0.1672240803</v>
      </c>
      <c r="Z5" s="410">
        <f t="shared" si="13"/>
        <v>0.07605388961</v>
      </c>
      <c r="AA5" s="410">
        <f t="shared" si="13"/>
        <v>0.5453646301</v>
      </c>
      <c r="AB5" s="410">
        <f t="shared" si="13"/>
        <v>0.1053446553</v>
      </c>
      <c r="AC5" s="410">
        <f t="shared" si="13"/>
        <v>0.04835092263</v>
      </c>
    </row>
    <row r="6">
      <c r="A6" s="388" t="str">
        <f>'Halo Reach Stats'!A6</f>
        <v>Dabb</v>
      </c>
      <c r="B6" s="389">
        <f>IFERROR(VLOOKUP(A6,'PG Stats'!A:Q,11,0),)</f>
        <v>0.1005305781</v>
      </c>
      <c r="C6" s="389">
        <f>IFERROR(VLOOKUP(A6,'PG Stats'!A:Q,12,0),)</f>
        <v>0.586428372</v>
      </c>
      <c r="D6" s="390">
        <f>IFERROR(VLOOKUP(A6,'PG Stats'!A:Q,13,0),)</f>
        <v>0.01675509634</v>
      </c>
      <c r="E6" s="390">
        <f>IFERROR(VLOOKUP(A6,'PG Stats'!A:Q,14,0),)</f>
        <v>0.1340407707</v>
      </c>
      <c r="F6" s="390">
        <f>IFERROR(VLOOKUP(A6,'PG Stats'!A:Q,15,0),)</f>
        <v>0.3853672159</v>
      </c>
      <c r="G6" s="391">
        <f>IFERROR(VLOOKUP(A6,'PG Stats'!A:Q,16,0),)</f>
        <v>0.06702038537</v>
      </c>
      <c r="H6" s="391">
        <f>IFERROR(VLOOKUP(A6,'PG Stats'!A:Q,17,0),)</f>
        <v>0.03351019268</v>
      </c>
      <c r="I6" s="17"/>
      <c r="J6" s="388" t="str">
        <f>'Halo Reach Stats'!A6</f>
        <v>Dabb</v>
      </c>
      <c r="K6" s="392" t="str">
        <f t="shared" si="2"/>
        <v>S</v>
      </c>
      <c r="L6" s="392" t="str">
        <f t="shared" si="3"/>
        <v>A</v>
      </c>
      <c r="M6" s="392" t="str">
        <f t="shared" si="4"/>
        <v>F</v>
      </c>
      <c r="N6" s="392" t="str">
        <f t="shared" si="5"/>
        <v>S</v>
      </c>
      <c r="O6" s="392" t="str">
        <f t="shared" si="6"/>
        <v>D</v>
      </c>
      <c r="P6" s="392" t="str">
        <f t="shared" si="7"/>
        <v>C</v>
      </c>
      <c r="Q6" s="392" t="str">
        <f t="shared" si="8"/>
        <v>B</v>
      </c>
      <c r="R6" s="398" t="str">
        <f t="shared" si="9"/>
        <v>C</v>
      </c>
      <c r="S6" s="346">
        <f t="shared" si="10"/>
        <v>12.3</v>
      </c>
      <c r="T6" s="411" t="s">
        <v>423</v>
      </c>
      <c r="U6" s="412">
        <v>4.0</v>
      </c>
      <c r="V6" s="413" t="s">
        <v>424</v>
      </c>
      <c r="W6" s="414">
        <f t="shared" ref="W6:AC6" si="14">PERCENTILE(B2:B80,0.7)</f>
        <v>0.03893947419</v>
      </c>
      <c r="X6" s="414">
        <f t="shared" si="14"/>
        <v>-0.0002213550207</v>
      </c>
      <c r="Y6" s="414">
        <f t="shared" si="14"/>
        <v>0.1593331694</v>
      </c>
      <c r="Z6" s="414">
        <f t="shared" si="14"/>
        <v>0.06692183323</v>
      </c>
      <c r="AA6" s="414">
        <f t="shared" si="14"/>
        <v>0.5290730481</v>
      </c>
      <c r="AB6" s="414">
        <f t="shared" si="14"/>
        <v>0.1023732947</v>
      </c>
      <c r="AC6" s="414">
        <f t="shared" si="14"/>
        <v>0.04017378245</v>
      </c>
    </row>
    <row r="7">
      <c r="A7" s="388" t="str">
        <f>'Halo Reach Stats'!A7</f>
        <v>Dat Twinkie</v>
      </c>
      <c r="B7" s="389">
        <f>IFERROR(VLOOKUP(A7,'PG Stats'!A:Q,11,0),)</f>
        <v>0</v>
      </c>
      <c r="C7" s="389">
        <f>IFERROR(VLOOKUP(A7,'PG Stats'!A:Q,12,0),)</f>
        <v>-0.7120879121</v>
      </c>
      <c r="D7" s="390">
        <f>IFERROR(VLOOKUP(A7,'PG Stats'!A:Q,13,0),)</f>
        <v>0.02637362637</v>
      </c>
      <c r="E7" s="390">
        <f>IFERROR(VLOOKUP(A7,'PG Stats'!A:Q,14,0),)</f>
        <v>0.1318681319</v>
      </c>
      <c r="F7" s="390">
        <f>IFERROR(VLOOKUP(A7,'PG Stats'!A:Q,15,0),)</f>
        <v>0.4483516484</v>
      </c>
      <c r="G7" s="391">
        <f>IFERROR(VLOOKUP(A7,'PG Stats'!A:Q,16,0),)</f>
        <v>0.1054945055</v>
      </c>
      <c r="H7" s="391">
        <f>IFERROR(VLOOKUP(A7,'PG Stats'!A:Q,17,0),)</f>
        <v>0.07912087912</v>
      </c>
      <c r="I7" s="17"/>
      <c r="J7" s="388" t="str">
        <f>'Halo Reach Stats'!A7</f>
        <v>Dat Twinkie</v>
      </c>
      <c r="K7" s="392" t="str">
        <f t="shared" si="2"/>
        <v>F</v>
      </c>
      <c r="L7" s="392" t="str">
        <f t="shared" si="3"/>
        <v>D</v>
      </c>
      <c r="M7" s="392" t="str">
        <f t="shared" si="4"/>
        <v>F</v>
      </c>
      <c r="N7" s="392" t="str">
        <f t="shared" si="5"/>
        <v>S</v>
      </c>
      <c r="O7" s="392" t="str">
        <f t="shared" si="6"/>
        <v>C</v>
      </c>
      <c r="P7" s="392" t="str">
        <f t="shared" si="7"/>
        <v>A</v>
      </c>
      <c r="Q7" s="392" t="str">
        <f t="shared" si="8"/>
        <v>S</v>
      </c>
      <c r="R7" s="398" t="str">
        <f t="shared" si="9"/>
        <v>C</v>
      </c>
      <c r="S7" s="346">
        <f t="shared" si="10"/>
        <v>10.4</v>
      </c>
      <c r="T7" s="415" t="s">
        <v>425</v>
      </c>
      <c r="U7" s="416">
        <v>3.0</v>
      </c>
      <c r="V7" s="417" t="s">
        <v>426</v>
      </c>
      <c r="W7" s="418">
        <f t="shared" ref="W7:AC7" si="15">PERCENTILE(B2:B80,0.65)</f>
        <v>0.0302200123</v>
      </c>
      <c r="X7" s="418">
        <f t="shared" si="15"/>
        <v>-0.06743831745</v>
      </c>
      <c r="Y7" s="418">
        <f t="shared" si="15"/>
        <v>0.1510715839</v>
      </c>
      <c r="Z7" s="418">
        <f t="shared" si="15"/>
        <v>0.05687432916</v>
      </c>
      <c r="AA7" s="418">
        <f t="shared" si="15"/>
        <v>0.5113762358</v>
      </c>
      <c r="AB7" s="418">
        <f t="shared" si="15"/>
        <v>0.0947905486</v>
      </c>
      <c r="AC7" s="418">
        <f t="shared" si="15"/>
        <v>0.02969445959</v>
      </c>
    </row>
    <row r="8">
      <c r="A8" s="388" t="str">
        <f>'Halo Reach Stats'!A8</f>
        <v>Dhlyn</v>
      </c>
      <c r="B8" s="389">
        <f>IFERROR(VLOOKUP(A8,'PG Stats'!A:Q,11,0),)</f>
        <v>0</v>
      </c>
      <c r="C8" s="389">
        <f>IFERROR(VLOOKUP(A8,'PG Stats'!A:Q,12,0),)</f>
        <v>-0.9030100334</v>
      </c>
      <c r="D8" s="390">
        <f>IFERROR(VLOOKUP(A8,'PG Stats'!A:Q,13,0),)</f>
        <v>0.06688963211</v>
      </c>
      <c r="E8" s="390">
        <f>IFERROR(VLOOKUP(A8,'PG Stats'!A:Q,14,0),)</f>
        <v>0</v>
      </c>
      <c r="F8" s="390">
        <f>IFERROR(VLOOKUP(A8,'PG Stats'!A:Q,15,0),)</f>
        <v>0.5016722408</v>
      </c>
      <c r="G8" s="391">
        <f>IFERROR(VLOOKUP(A8,'PG Stats'!A:Q,16,0),)</f>
        <v>0.06688963211</v>
      </c>
      <c r="H8" s="391">
        <f>IFERROR(VLOOKUP(A8,'PG Stats'!A:Q,17,0),)</f>
        <v>0</v>
      </c>
      <c r="I8" s="17"/>
      <c r="J8" s="388" t="str">
        <f>'Halo Reach Stats'!A8</f>
        <v>Dhlyn</v>
      </c>
      <c r="K8" s="392" t="str">
        <f t="shared" si="2"/>
        <v>F</v>
      </c>
      <c r="L8" s="392" t="str">
        <f t="shared" si="3"/>
        <v>E</v>
      </c>
      <c r="M8" s="392" t="str">
        <f t="shared" si="4"/>
        <v>D</v>
      </c>
      <c r="N8" s="392" t="str">
        <f t="shared" si="5"/>
        <v>F</v>
      </c>
      <c r="O8" s="392" t="str">
        <f t="shared" si="6"/>
        <v>B</v>
      </c>
      <c r="P8" s="392" t="str">
        <f t="shared" si="7"/>
        <v>C</v>
      </c>
      <c r="Q8" s="392" t="str">
        <f t="shared" si="8"/>
        <v>F</v>
      </c>
      <c r="R8" s="398" t="str">
        <f t="shared" si="9"/>
        <v>D</v>
      </c>
      <c r="S8" s="346">
        <f t="shared" si="10"/>
        <v>7.7</v>
      </c>
      <c r="T8" s="419" t="s">
        <v>369</v>
      </c>
      <c r="U8" s="420">
        <v>2.0</v>
      </c>
      <c r="V8" s="413" t="s">
        <v>427</v>
      </c>
      <c r="W8" s="414">
        <f t="shared" ref="W8:AC8" si="16">PERCENTILE(B2:B80,0.6)</f>
        <v>0.01898734177</v>
      </c>
      <c r="X8" s="414">
        <f t="shared" si="16"/>
        <v>-0.1158301158</v>
      </c>
      <c r="Y8" s="414">
        <f t="shared" si="16"/>
        <v>0.1329113924</v>
      </c>
      <c r="Z8" s="414">
        <f t="shared" si="16"/>
        <v>0.05080440305</v>
      </c>
      <c r="AA8" s="414">
        <f t="shared" si="16"/>
        <v>0.5080440305</v>
      </c>
      <c r="AB8" s="414">
        <f t="shared" si="16"/>
        <v>0.08743523316</v>
      </c>
      <c r="AC8" s="414">
        <f t="shared" si="16"/>
        <v>0.02540220152</v>
      </c>
    </row>
    <row r="9">
      <c r="A9" s="388" t="str">
        <f>'Halo Reach Stats'!A9</f>
        <v>e Jolts</v>
      </c>
      <c r="B9" s="389">
        <f>IFERROR(VLOOKUP(A9,'PG Stats'!A:Q,11,0),)</f>
        <v>0</v>
      </c>
      <c r="C9" s="389">
        <f>IFERROR(VLOOKUP(A9,'PG Stats'!A:Q,12,0),)</f>
        <v>-1.480641044</v>
      </c>
      <c r="D9" s="390">
        <f>IFERROR(VLOOKUP(A9,'PG Stats'!A:Q,13,0),)</f>
        <v>0.1106226067</v>
      </c>
      <c r="E9" s="390">
        <f>IFERROR(VLOOKUP(A9,'PG Stats'!A:Q,14,0),)</f>
        <v>0.008509431286</v>
      </c>
      <c r="F9" s="390">
        <f>IFERROR(VLOOKUP(A9,'PG Stats'!A:Q,15,0),)</f>
        <v>0.1446603319</v>
      </c>
      <c r="G9" s="391">
        <f>IFERROR(VLOOKUP(A9,'PG Stats'!A:Q,16,0),)</f>
        <v>0.02552829386</v>
      </c>
      <c r="H9" s="391">
        <f>IFERROR(VLOOKUP(A9,'PG Stats'!A:Q,17,0),)</f>
        <v>0.008509431286</v>
      </c>
      <c r="I9" s="17"/>
      <c r="J9" s="388" t="str">
        <f>'Halo Reach Stats'!A9</f>
        <v>e Jolts</v>
      </c>
      <c r="K9" s="392" t="str">
        <f t="shared" si="2"/>
        <v>F</v>
      </c>
      <c r="L9" s="392" t="str">
        <f t="shared" si="3"/>
        <v>F</v>
      </c>
      <c r="M9" s="392" t="str">
        <f t="shared" si="4"/>
        <v>C</v>
      </c>
      <c r="N9" s="392" t="str">
        <f t="shared" si="5"/>
        <v>D</v>
      </c>
      <c r="O9" s="392" t="str">
        <f t="shared" si="6"/>
        <v>F</v>
      </c>
      <c r="P9" s="392" t="str">
        <f t="shared" si="7"/>
        <v>F</v>
      </c>
      <c r="Q9" s="392" t="str">
        <f t="shared" si="8"/>
        <v>D</v>
      </c>
      <c r="R9" s="398" t="str">
        <f t="shared" si="9"/>
        <v>E</v>
      </c>
      <c r="S9" s="346">
        <f t="shared" si="10"/>
        <v>5.1</v>
      </c>
      <c r="T9" s="421" t="s">
        <v>428</v>
      </c>
      <c r="U9" s="422">
        <v>1.0</v>
      </c>
      <c r="V9" s="423" t="s">
        <v>429</v>
      </c>
      <c r="W9" s="424">
        <f t="shared" ref="W9:AC9" si="17">PERCENTILE(B2:B80,0.55)</f>
        <v>0.01667593107</v>
      </c>
      <c r="X9" s="424">
        <f t="shared" si="17"/>
        <v>-0.177768251</v>
      </c>
      <c r="Y9" s="424">
        <f t="shared" si="17"/>
        <v>0.1129232973</v>
      </c>
      <c r="Z9" s="424">
        <f t="shared" si="17"/>
        <v>0.03797468354</v>
      </c>
      <c r="AA9" s="424">
        <f t="shared" si="17"/>
        <v>0.484091008</v>
      </c>
      <c r="AB9" s="424">
        <f t="shared" si="17"/>
        <v>0.08474576271</v>
      </c>
      <c r="AC9" s="424">
        <f t="shared" si="17"/>
        <v>0.02054185124</v>
      </c>
    </row>
    <row r="10">
      <c r="A10" s="388" t="str">
        <f>'Halo Reach Stats'!A10</f>
        <v>Fanciest Pants</v>
      </c>
      <c r="B10" s="389">
        <f>IFERROR(VLOOKUP(A10,'PG Stats'!A:Q,11,0),)</f>
        <v>0</v>
      </c>
      <c r="C10" s="389">
        <f>IFERROR(VLOOKUP(A10,'PG Stats'!A:Q,12,0),)</f>
        <v>-0.7874895281</v>
      </c>
      <c r="D10" s="390">
        <f>IFERROR(VLOOKUP(A10,'PG Stats'!A:Q,13,0),)</f>
        <v>0.1507958671</v>
      </c>
      <c r="E10" s="390">
        <f>IFERROR(VLOOKUP(A10,'PG Stats'!A:Q,14,0),)</f>
        <v>0</v>
      </c>
      <c r="F10" s="390">
        <f>IFERROR(VLOOKUP(A10,'PG Stats'!A:Q,15,0),)</f>
        <v>0.4691426976</v>
      </c>
      <c r="G10" s="391">
        <f>IFERROR(VLOOKUP(A10,'PG Stats'!A:Q,16,0),)</f>
        <v>0.03351019268</v>
      </c>
      <c r="H10" s="391">
        <f>IFERROR(VLOOKUP(A10,'PG Stats'!A:Q,17,0),)</f>
        <v>0</v>
      </c>
      <c r="I10" s="17"/>
      <c r="J10" s="388" t="str">
        <f>'Halo Reach Stats'!A10</f>
        <v>Fanciest Pants</v>
      </c>
      <c r="K10" s="392" t="str">
        <f t="shared" si="2"/>
        <v>F</v>
      </c>
      <c r="L10" s="392" t="str">
        <f t="shared" si="3"/>
        <v>D</v>
      </c>
      <c r="M10" s="392" t="str">
        <f t="shared" si="4"/>
        <v>B</v>
      </c>
      <c r="N10" s="392" t="str">
        <f t="shared" si="5"/>
        <v>F</v>
      </c>
      <c r="O10" s="392" t="str">
        <f t="shared" si="6"/>
        <v>C</v>
      </c>
      <c r="P10" s="392" t="str">
        <f t="shared" si="7"/>
        <v>E</v>
      </c>
      <c r="Q10" s="392" t="str">
        <f t="shared" si="8"/>
        <v>F</v>
      </c>
      <c r="R10" s="398" t="str">
        <f t="shared" si="9"/>
        <v>D</v>
      </c>
      <c r="S10" s="346">
        <f t="shared" si="10"/>
        <v>7.6</v>
      </c>
      <c r="T10" s="17"/>
      <c r="U10" s="17"/>
      <c r="V10" s="425" t="s">
        <v>430</v>
      </c>
      <c r="W10" s="426">
        <f t="shared" ref="W10:AC10" si="18">PERCENTILE(B2:B80,0.5)</f>
        <v>0.01106226993</v>
      </c>
      <c r="X10" s="426">
        <f t="shared" si="18"/>
        <v>-0.2613726179</v>
      </c>
      <c r="Y10" s="426">
        <f t="shared" si="18"/>
        <v>0.09838768744</v>
      </c>
      <c r="Z10" s="426">
        <f t="shared" si="18"/>
        <v>0.03570346205</v>
      </c>
      <c r="AA10" s="426">
        <f t="shared" si="18"/>
        <v>0.4705853348</v>
      </c>
      <c r="AB10" s="426">
        <f t="shared" si="18"/>
        <v>0.07447103391</v>
      </c>
      <c r="AC10" s="426">
        <f t="shared" si="18"/>
        <v>0.01787121906</v>
      </c>
    </row>
    <row r="11">
      <c r="A11" s="388" t="str">
        <f>'Halo Reach Stats'!A11</f>
        <v>Finesse God24</v>
      </c>
      <c r="B11" s="389">
        <f>IFERROR(VLOOKUP(A11,'PG Stats'!A:Q,11,0),)</f>
        <v>0.01898734177</v>
      </c>
      <c r="C11" s="389">
        <f>IFERROR(VLOOKUP(A11,'PG Stats'!A:Q,12,0),)</f>
        <v>-0.1898734177</v>
      </c>
      <c r="D11" s="390">
        <f>IFERROR(VLOOKUP(A11,'PG Stats'!A:Q,13,0),)</f>
        <v>0.1329113924</v>
      </c>
      <c r="E11" s="390">
        <f>IFERROR(VLOOKUP(A11,'PG Stats'!A:Q,14,0),)</f>
        <v>0.03797468354</v>
      </c>
      <c r="F11" s="390">
        <f>IFERROR(VLOOKUP(A11,'PG Stats'!A:Q,15,0),)</f>
        <v>0.6265822785</v>
      </c>
      <c r="G11" s="391">
        <f>IFERROR(VLOOKUP(A11,'PG Stats'!A:Q,16,0),)</f>
        <v>0.1139240506</v>
      </c>
      <c r="H11" s="391">
        <f>IFERROR(VLOOKUP(A11,'PG Stats'!A:Q,17,0),)</f>
        <v>0.03797468354</v>
      </c>
      <c r="I11" s="17"/>
      <c r="J11" s="388" t="str">
        <f>'Halo Reach Stats'!A11</f>
        <v>Finesse God24</v>
      </c>
      <c r="K11" s="392" t="str">
        <f t="shared" si="2"/>
        <v>B</v>
      </c>
      <c r="L11" s="392" t="str">
        <f t="shared" si="3"/>
        <v>C</v>
      </c>
      <c r="M11" s="392" t="str">
        <f t="shared" si="4"/>
        <v>B</v>
      </c>
      <c r="N11" s="392" t="str">
        <f t="shared" si="5"/>
        <v>B</v>
      </c>
      <c r="O11" s="392" t="str">
        <f t="shared" si="6"/>
        <v>S</v>
      </c>
      <c r="P11" s="392" t="str">
        <f t="shared" si="7"/>
        <v>A</v>
      </c>
      <c r="Q11" s="392" t="str">
        <f t="shared" si="8"/>
        <v>B</v>
      </c>
      <c r="R11" s="398" t="str">
        <f t="shared" si="9"/>
        <v>B</v>
      </c>
      <c r="S11" s="346">
        <f t="shared" si="10"/>
        <v>14.9</v>
      </c>
      <c r="T11" s="17"/>
      <c r="U11" s="17"/>
      <c r="V11" s="427" t="s">
        <v>431</v>
      </c>
      <c r="W11" s="428">
        <f t="shared" ref="W11:AC11" si="19">PERCENTILE(B2:B80,0.45)</f>
        <v>0.008887450537</v>
      </c>
      <c r="X11" s="428">
        <f t="shared" si="19"/>
        <v>-0.3665905263</v>
      </c>
      <c r="Y11" s="428">
        <f t="shared" si="19"/>
        <v>0.08578624837</v>
      </c>
      <c r="Z11" s="428">
        <f t="shared" si="19"/>
        <v>0.02697547495</v>
      </c>
      <c r="AA11" s="428">
        <f t="shared" si="19"/>
        <v>0.45278916</v>
      </c>
      <c r="AB11" s="428">
        <f t="shared" si="19"/>
        <v>0.06726658436</v>
      </c>
      <c r="AC11" s="428">
        <f t="shared" si="19"/>
        <v>0.01667593107</v>
      </c>
    </row>
    <row r="12">
      <c r="A12" s="388" t="str">
        <f>'Halo Reach Stats'!A12</f>
        <v>Galvann</v>
      </c>
      <c r="B12" s="389">
        <f>IFERROR(VLOOKUP(A12,'PG Stats'!A:Q,11,0),)</f>
        <v>0</v>
      </c>
      <c r="C12" s="389">
        <f>IFERROR(VLOOKUP(A12,'PG Stats'!A:Q,12,0),)</f>
        <v>0.9646302251</v>
      </c>
      <c r="D12" s="390">
        <f>IFERROR(VLOOKUP(A12,'PG Stats'!A:Q,13,0),)</f>
        <v>0.2572347267</v>
      </c>
      <c r="E12" s="390">
        <f>IFERROR(VLOOKUP(A12,'PG Stats'!A:Q,14,0),)</f>
        <v>0.06430868167</v>
      </c>
      <c r="F12" s="390">
        <f>IFERROR(VLOOKUP(A12,'PG Stats'!A:Q,15,0),)</f>
        <v>0.7717041801</v>
      </c>
      <c r="G12" s="391">
        <f>IFERROR(VLOOKUP(A12,'PG Stats'!A:Q,16,0),)</f>
        <v>0.38585209</v>
      </c>
      <c r="H12" s="391">
        <f>IFERROR(VLOOKUP(A12,'PG Stats'!A:Q,17,0),)</f>
        <v>0</v>
      </c>
      <c r="I12" s="17"/>
      <c r="J12" s="388" t="str">
        <f>'Halo Reach Stats'!A12</f>
        <v>Galvann</v>
      </c>
      <c r="K12" s="392" t="str">
        <f t="shared" si="2"/>
        <v>F</v>
      </c>
      <c r="L12" s="392" t="str">
        <f t="shared" si="3"/>
        <v>S</v>
      </c>
      <c r="M12" s="392" t="str">
        <f t="shared" si="4"/>
        <v>S</v>
      </c>
      <c r="N12" s="392" t="str">
        <f t="shared" si="5"/>
        <v>B</v>
      </c>
      <c r="O12" s="392" t="str">
        <f t="shared" si="6"/>
        <v>S</v>
      </c>
      <c r="P12" s="392" t="str">
        <f t="shared" si="7"/>
        <v>S</v>
      </c>
      <c r="Q12" s="392" t="str">
        <f t="shared" si="8"/>
        <v>F</v>
      </c>
      <c r="R12" s="398" t="str">
        <f t="shared" si="9"/>
        <v>A</v>
      </c>
      <c r="S12" s="346">
        <f t="shared" si="10"/>
        <v>15.6</v>
      </c>
      <c r="T12" s="396" t="s">
        <v>367</v>
      </c>
      <c r="U12" s="429">
        <f>(U26*7)+(U27*7)+(U28*7)+(U29*7)+(U30*7)+(U31*7)+(U32*7)</f>
        <v>19.6</v>
      </c>
      <c r="V12" s="430" t="s">
        <v>432</v>
      </c>
      <c r="W12" s="431">
        <f t="shared" ref="W12:AC12" si="20">PERCENTILE(B2:B80,0.4)</f>
        <v>0</v>
      </c>
      <c r="X12" s="431">
        <f t="shared" si="20"/>
        <v>-0.472027972</v>
      </c>
      <c r="Y12" s="431">
        <f t="shared" si="20"/>
        <v>0.07788414733</v>
      </c>
      <c r="Z12" s="431">
        <f t="shared" si="20"/>
        <v>0.01943005181</v>
      </c>
      <c r="AA12" s="431">
        <f t="shared" si="20"/>
        <v>0.4335742079</v>
      </c>
      <c r="AB12" s="431">
        <f t="shared" si="20"/>
        <v>0.06688963211</v>
      </c>
      <c r="AC12" s="431">
        <f t="shared" si="20"/>
        <v>0.009715025907</v>
      </c>
    </row>
    <row r="13">
      <c r="A13" s="388" t="str">
        <f>'Halo Reach Stats'!A13</f>
        <v>Genesiology</v>
      </c>
      <c r="B13" s="389">
        <f>IFERROR(VLOOKUP(A13,'PG Stats'!A:Q,11,0),)</f>
        <v>0.009715025907</v>
      </c>
      <c r="C13" s="389">
        <f>IFERROR(VLOOKUP(A13,'PG Stats'!A:Q,12,0),)</f>
        <v>1.330958549</v>
      </c>
      <c r="D13" s="390">
        <f>IFERROR(VLOOKUP(A13,'PG Stats'!A:Q,13,0),)</f>
        <v>0.2428756477</v>
      </c>
      <c r="E13" s="390">
        <f>IFERROR(VLOOKUP(A13,'PG Stats'!A:Q,14,0),)</f>
        <v>0.1360103627</v>
      </c>
      <c r="F13" s="390">
        <f>IFERROR(VLOOKUP(A13,'PG Stats'!A:Q,15,0),)</f>
        <v>0.7091968912</v>
      </c>
      <c r="G13" s="391">
        <f>IFERROR(VLOOKUP(A13,'PG Stats'!A:Q,16,0),)</f>
        <v>0.1165803109</v>
      </c>
      <c r="H13" s="391">
        <f>IFERROR(VLOOKUP(A13,'PG Stats'!A:Q,17,0),)</f>
        <v>0.1262953368</v>
      </c>
      <c r="I13" s="17"/>
      <c r="J13" s="388" t="str">
        <f>'Halo Reach Stats'!A13</f>
        <v>Genesiology</v>
      </c>
      <c r="K13" s="392" t="str">
        <f t="shared" si="2"/>
        <v>C</v>
      </c>
      <c r="L13" s="392" t="str">
        <f t="shared" si="3"/>
        <v>S</v>
      </c>
      <c r="M13" s="392" t="str">
        <f t="shared" si="4"/>
        <v>S</v>
      </c>
      <c r="N13" s="392" t="str">
        <f t="shared" si="5"/>
        <v>S</v>
      </c>
      <c r="O13" s="392" t="str">
        <f t="shared" si="6"/>
        <v>S</v>
      </c>
      <c r="P13" s="392" t="str">
        <f t="shared" si="7"/>
        <v>A</v>
      </c>
      <c r="Q13" s="392" t="str">
        <f t="shared" si="8"/>
        <v>S</v>
      </c>
      <c r="R13" s="398" t="str">
        <f t="shared" si="9"/>
        <v>A</v>
      </c>
      <c r="S13" s="346">
        <f t="shared" si="10"/>
        <v>17.8</v>
      </c>
      <c r="T13" s="401" t="s">
        <v>433</v>
      </c>
      <c r="U13" s="432">
        <f>MEDIAN(U12,U14)</f>
        <v>18.2</v>
      </c>
      <c r="V13" s="433" t="s">
        <v>434</v>
      </c>
      <c r="W13" s="434">
        <f t="shared" ref="W13:AC13" si="21">PERCENTILE(B2:B80,0.35)</f>
        <v>0</v>
      </c>
      <c r="X13" s="434">
        <f t="shared" si="21"/>
        <v>-0.6295269947</v>
      </c>
      <c r="Y13" s="434">
        <f t="shared" si="21"/>
        <v>0.07299270073</v>
      </c>
      <c r="Z13" s="434">
        <f t="shared" si="21"/>
        <v>0.01495832925</v>
      </c>
      <c r="AA13" s="434">
        <f t="shared" si="21"/>
        <v>0.3947785638</v>
      </c>
      <c r="AB13" s="434">
        <f t="shared" si="21"/>
        <v>0.06289693984</v>
      </c>
      <c r="AC13" s="434">
        <f t="shared" si="21"/>
        <v>0.006382073465</v>
      </c>
    </row>
    <row r="14">
      <c r="A14" s="388" t="str">
        <f>'Halo Reach Stats'!A14</f>
        <v>GodSnipezX</v>
      </c>
      <c r="B14" s="389">
        <f>IFERROR(VLOOKUP(A14,'PG Stats'!A:Q,11,0),)</f>
        <v>0.008691873099</v>
      </c>
      <c r="C14" s="389">
        <f>IFERROR(VLOOKUP(A14,'PG Stats'!A:Q,12,0),)</f>
        <v>-0.1564537158</v>
      </c>
      <c r="D14" s="390">
        <f>IFERROR(VLOOKUP(A14,'PG Stats'!A:Q,13,0),)</f>
        <v>0.3302911777</v>
      </c>
      <c r="E14" s="390">
        <f>IFERROR(VLOOKUP(A14,'PG Stats'!A:Q,14,0),)</f>
        <v>0.06953498479</v>
      </c>
      <c r="F14" s="390">
        <f>IFERROR(VLOOKUP(A14,'PG Stats'!A:Q,15,0),)</f>
        <v>0.6605823555</v>
      </c>
      <c r="G14" s="391">
        <f>IFERROR(VLOOKUP(A14,'PG Stats'!A:Q,16,0),)</f>
        <v>0.1129943503</v>
      </c>
      <c r="H14" s="391">
        <f>IFERROR(VLOOKUP(A14,'PG Stats'!A:Q,17,0),)</f>
        <v>0.06084311169</v>
      </c>
      <c r="I14" s="17"/>
      <c r="J14" s="388" t="str">
        <f>'Halo Reach Stats'!A14</f>
        <v>GodSnipezX</v>
      </c>
      <c r="K14" s="392" t="str">
        <f t="shared" si="2"/>
        <v>C</v>
      </c>
      <c r="L14" s="392" t="str">
        <f t="shared" si="3"/>
        <v>B</v>
      </c>
      <c r="M14" s="392" t="str">
        <f t="shared" si="4"/>
        <v>S</v>
      </c>
      <c r="N14" s="392" t="str">
        <f t="shared" si="5"/>
        <v>A</v>
      </c>
      <c r="O14" s="392" t="str">
        <f t="shared" si="6"/>
        <v>S</v>
      </c>
      <c r="P14" s="392" t="str">
        <f t="shared" si="7"/>
        <v>A</v>
      </c>
      <c r="Q14" s="392" t="str">
        <f t="shared" si="8"/>
        <v>A</v>
      </c>
      <c r="R14" s="398" t="str">
        <f t="shared" si="9"/>
        <v>A</v>
      </c>
      <c r="S14" s="346">
        <f t="shared" si="10"/>
        <v>16.4</v>
      </c>
      <c r="T14" s="405" t="s">
        <v>366</v>
      </c>
      <c r="U14" s="435">
        <f>(U26*6)+(U27*6)+(U28*6)+(U29*6)+(U30*6)+(U31*6)+(U32*6)</f>
        <v>16.8</v>
      </c>
      <c r="V14" s="436" t="s">
        <v>435</v>
      </c>
      <c r="W14" s="431">
        <f t="shared" ref="W14:AC14" si="22">PERCENTILE(B2:B80,0.3)</f>
        <v>0</v>
      </c>
      <c r="X14" s="431">
        <f t="shared" si="22"/>
        <v>-0.7920608262</v>
      </c>
      <c r="Y14" s="431">
        <f t="shared" si="22"/>
        <v>0.0683219239</v>
      </c>
      <c r="Z14" s="431">
        <f t="shared" si="22"/>
        <v>0.009112228597</v>
      </c>
      <c r="AA14" s="431">
        <f t="shared" si="22"/>
        <v>0.3812162125</v>
      </c>
      <c r="AB14" s="431">
        <f t="shared" si="22"/>
        <v>0.05123767283</v>
      </c>
      <c r="AC14" s="431">
        <f t="shared" si="22"/>
        <v>0</v>
      </c>
    </row>
    <row r="15">
      <c r="A15" s="388" t="str">
        <f>'Halo Reach Stats'!A15</f>
        <v>Hells Angel cx</v>
      </c>
      <c r="B15" s="389">
        <f>IFERROR(VLOOKUP(A15,'PG Stats'!A:Q,11,0),)</f>
        <v>0.08743523316</v>
      </c>
      <c r="C15" s="389">
        <f>IFERROR(VLOOKUP(A15,'PG Stats'!A:Q,12,0),)</f>
        <v>-0.01943005181</v>
      </c>
      <c r="D15" s="390">
        <f>IFERROR(VLOOKUP(A15,'PG Stats'!A:Q,13,0),)</f>
        <v>0.06800518135</v>
      </c>
      <c r="E15" s="390">
        <f>IFERROR(VLOOKUP(A15,'PG Stats'!A:Q,14,0),)</f>
        <v>0.01943005181</v>
      </c>
      <c r="F15" s="390">
        <f>IFERROR(VLOOKUP(A15,'PG Stats'!A:Q,15,0),)</f>
        <v>0.3788860104</v>
      </c>
      <c r="G15" s="391">
        <f>IFERROR(VLOOKUP(A15,'PG Stats'!A:Q,16,0),)</f>
        <v>0.04857512953</v>
      </c>
      <c r="H15" s="391">
        <f>IFERROR(VLOOKUP(A15,'PG Stats'!A:Q,17,0),)</f>
        <v>0</v>
      </c>
      <c r="I15" s="17"/>
      <c r="J15" s="388" t="str">
        <f>'Halo Reach Stats'!A15</f>
        <v>Hells Angel cx</v>
      </c>
      <c r="K15" s="392" t="str">
        <f t="shared" si="2"/>
        <v>S</v>
      </c>
      <c r="L15" s="392" t="str">
        <f t="shared" si="3"/>
        <v>B</v>
      </c>
      <c r="M15" s="392" t="str">
        <f t="shared" si="4"/>
        <v>D</v>
      </c>
      <c r="N15" s="392" t="str">
        <f t="shared" si="5"/>
        <v>C</v>
      </c>
      <c r="O15" s="392" t="str">
        <f t="shared" si="6"/>
        <v>D</v>
      </c>
      <c r="P15" s="392" t="str">
        <f t="shared" si="7"/>
        <v>D</v>
      </c>
      <c r="Q15" s="392" t="str">
        <f t="shared" si="8"/>
        <v>F</v>
      </c>
      <c r="R15" s="398" t="str">
        <f t="shared" si="9"/>
        <v>C</v>
      </c>
      <c r="S15" s="346">
        <f t="shared" si="10"/>
        <v>10.8</v>
      </c>
      <c r="T15" s="409" t="s">
        <v>436</v>
      </c>
      <c r="U15" s="437">
        <f>MEDIAN(U14,U16)</f>
        <v>15.4</v>
      </c>
      <c r="V15" s="438" t="s">
        <v>437</v>
      </c>
      <c r="W15" s="439">
        <f t="shared" ref="W15:AC15" si="23">PERCENTILE(B2:B80,0.25)</f>
        <v>0</v>
      </c>
      <c r="X15" s="439">
        <f t="shared" si="23"/>
        <v>-0.868199597</v>
      </c>
      <c r="Y15" s="439">
        <f t="shared" si="23"/>
        <v>0.05605807236</v>
      </c>
      <c r="Z15" s="439">
        <f t="shared" si="23"/>
        <v>0</v>
      </c>
      <c r="AA15" s="439">
        <f t="shared" si="23"/>
        <v>0.370641235</v>
      </c>
      <c r="AB15" s="439">
        <f t="shared" si="23"/>
        <v>0.0439234434</v>
      </c>
      <c r="AC15" s="439">
        <f t="shared" si="23"/>
        <v>0</v>
      </c>
    </row>
    <row r="16">
      <c r="A16" s="388" t="str">
        <f>'Halo Reach Stats'!A16</f>
        <v>HumanKite187</v>
      </c>
      <c r="B16" s="389">
        <f>IFERROR(VLOOKUP(A16,'PG Stats'!A:Q,11,0),)</f>
        <v>0.04237288136</v>
      </c>
      <c r="C16" s="389">
        <f>IFERROR(VLOOKUP(A16,'PG Stats'!A:Q,12,0),)</f>
        <v>-0.04237288136</v>
      </c>
      <c r="D16" s="390">
        <f>IFERROR(VLOOKUP(A16,'PG Stats'!A:Q,13,0),)</f>
        <v>0.1694915254</v>
      </c>
      <c r="E16" s="390">
        <f>IFERROR(VLOOKUP(A16,'PG Stats'!A:Q,14,0),)</f>
        <v>0.08474576271</v>
      </c>
      <c r="F16" s="390">
        <f>IFERROR(VLOOKUP(A16,'PG Stats'!A:Q,15,0),)</f>
        <v>0.4661016949</v>
      </c>
      <c r="G16" s="391">
        <f>IFERROR(VLOOKUP(A16,'PG Stats'!A:Q,16,0),)</f>
        <v>0.08474576271</v>
      </c>
      <c r="H16" s="391">
        <f>IFERROR(VLOOKUP(A16,'PG Stats'!A:Q,17,0),)</f>
        <v>0.04237288136</v>
      </c>
      <c r="I16" s="17"/>
      <c r="J16" s="388" t="str">
        <f>'Halo Reach Stats'!A16</f>
        <v>HumanKite187</v>
      </c>
      <c r="K16" s="392" t="str">
        <f t="shared" si="2"/>
        <v>A</v>
      </c>
      <c r="L16" s="392" t="str">
        <f t="shared" si="3"/>
        <v>B</v>
      </c>
      <c r="M16" s="392" t="str">
        <f t="shared" si="4"/>
        <v>A</v>
      </c>
      <c r="N16" s="392" t="str">
        <f t="shared" si="5"/>
        <v>A</v>
      </c>
      <c r="O16" s="392" t="str">
        <f t="shared" si="6"/>
        <v>C</v>
      </c>
      <c r="P16" s="392" t="str">
        <f t="shared" si="7"/>
        <v>B</v>
      </c>
      <c r="Q16" s="392" t="str">
        <f t="shared" si="8"/>
        <v>A</v>
      </c>
      <c r="R16" s="398" t="str">
        <f t="shared" si="9"/>
        <v>B</v>
      </c>
      <c r="S16" s="346">
        <f t="shared" si="10"/>
        <v>14.9</v>
      </c>
      <c r="T16" s="417" t="s">
        <v>368</v>
      </c>
      <c r="U16" s="440">
        <f>(U26*5)+(U27*5)+(U28*5)+(U29*5)+(U30*5)+(U31*5)+(U32*5)</f>
        <v>14</v>
      </c>
      <c r="V16" s="441" t="s">
        <v>438</v>
      </c>
      <c r="W16" s="442">
        <f t="shared" ref="W16:AC16" si="24">PERCENTILE(B2:B80,0.2)</f>
        <v>0</v>
      </c>
      <c r="X16" s="442">
        <f t="shared" si="24"/>
        <v>-0.9382853951</v>
      </c>
      <c r="Y16" s="442">
        <f t="shared" si="24"/>
        <v>0.05002779322</v>
      </c>
      <c r="Z16" s="442">
        <f t="shared" si="24"/>
        <v>0</v>
      </c>
      <c r="AA16" s="442">
        <f t="shared" si="24"/>
        <v>0.3649635036</v>
      </c>
      <c r="AB16" s="442">
        <f t="shared" si="24"/>
        <v>0.03351019268</v>
      </c>
      <c r="AC16" s="442">
        <f t="shared" si="24"/>
        <v>0</v>
      </c>
    </row>
    <row r="17">
      <c r="A17" s="388" t="str">
        <f>'Halo Reach Stats'!A17</f>
        <v>Impuritive</v>
      </c>
      <c r="B17" s="389">
        <f>IFERROR(VLOOKUP(A17,'PG Stats'!A:Q,11,0),)</f>
        <v>0.1518987342</v>
      </c>
      <c r="C17" s="389">
        <f>IFERROR(VLOOKUP(A17,'PG Stats'!A:Q,12,0),)</f>
        <v>0.01898734177</v>
      </c>
      <c r="D17" s="390">
        <f>IFERROR(VLOOKUP(A17,'PG Stats'!A:Q,13,0),)</f>
        <v>0.01898734177</v>
      </c>
      <c r="E17" s="390">
        <f>IFERROR(VLOOKUP(A17,'PG Stats'!A:Q,14,0),)</f>
        <v>0.09493670886</v>
      </c>
      <c r="F17" s="390">
        <f>IFERROR(VLOOKUP(A17,'PG Stats'!A:Q,15,0),)</f>
        <v>0.3607594937</v>
      </c>
      <c r="G17" s="391">
        <f>IFERROR(VLOOKUP(A17,'PG Stats'!A:Q,16,0),)</f>
        <v>0.07594936709</v>
      </c>
      <c r="H17" s="391">
        <f>IFERROR(VLOOKUP(A17,'PG Stats'!A:Q,17,0),)</f>
        <v>0.01898734177</v>
      </c>
      <c r="I17" s="17"/>
      <c r="J17" s="388" t="str">
        <f>'Halo Reach Stats'!A17</f>
        <v>Impuritive</v>
      </c>
      <c r="K17" s="392" t="str">
        <f t="shared" si="2"/>
        <v>S</v>
      </c>
      <c r="L17" s="392" t="str">
        <f t="shared" si="3"/>
        <v>A</v>
      </c>
      <c r="M17" s="392" t="str">
        <f t="shared" si="4"/>
        <v>F</v>
      </c>
      <c r="N17" s="392" t="str">
        <f t="shared" si="5"/>
        <v>A</v>
      </c>
      <c r="O17" s="392" t="str">
        <f t="shared" si="6"/>
        <v>F</v>
      </c>
      <c r="P17" s="392" t="str">
        <f t="shared" si="7"/>
        <v>C</v>
      </c>
      <c r="Q17" s="392" t="str">
        <f t="shared" si="8"/>
        <v>C</v>
      </c>
      <c r="R17" s="398" t="str">
        <f t="shared" si="9"/>
        <v>C</v>
      </c>
      <c r="S17" s="346">
        <f t="shared" si="10"/>
        <v>11.1</v>
      </c>
      <c r="T17" s="413" t="s">
        <v>439</v>
      </c>
      <c r="U17" s="443">
        <f>MEDIAN(U16,U18)</f>
        <v>12.6</v>
      </c>
      <c r="V17" s="444" t="s">
        <v>440</v>
      </c>
      <c r="W17" s="445">
        <f t="shared" ref="W17:AC17" si="25">PERCENTILE(B2:B80,0.15)</f>
        <v>0</v>
      </c>
      <c r="X17" s="445">
        <f t="shared" si="25"/>
        <v>-1.047243877</v>
      </c>
      <c r="Y17" s="445">
        <f t="shared" si="25"/>
        <v>0.03443682331</v>
      </c>
      <c r="Z17" s="445">
        <f t="shared" si="25"/>
        <v>0</v>
      </c>
      <c r="AA17" s="445">
        <f t="shared" si="25"/>
        <v>0.3639125012</v>
      </c>
      <c r="AB17" s="445">
        <f t="shared" si="25"/>
        <v>0.02844450197</v>
      </c>
      <c r="AC17" s="445">
        <f t="shared" si="25"/>
        <v>0</v>
      </c>
    </row>
    <row r="18">
      <c r="A18" s="388" t="str">
        <f>'Halo Reach Stats'!A18</f>
        <v>InfiniteRainge</v>
      </c>
      <c r="B18" s="389">
        <f>IFERROR(VLOOKUP(A18,'PG Stats'!A:Q,11,0),)</f>
        <v>0.07299270073</v>
      </c>
      <c r="C18" s="389">
        <f>IFERROR(VLOOKUP(A18,'PG Stats'!A:Q,12,0),)</f>
        <v>0.1459854015</v>
      </c>
      <c r="D18" s="390">
        <f>IFERROR(VLOOKUP(A18,'PG Stats'!A:Q,13,0),)</f>
        <v>0.07299270073</v>
      </c>
      <c r="E18" s="390">
        <f>IFERROR(VLOOKUP(A18,'PG Stats'!A:Q,14,0),)</f>
        <v>0.1459854015</v>
      </c>
      <c r="F18" s="390">
        <f>IFERROR(VLOOKUP(A18,'PG Stats'!A:Q,15,0),)</f>
        <v>0.5109489051</v>
      </c>
      <c r="G18" s="391">
        <f>IFERROR(VLOOKUP(A18,'PG Stats'!A:Q,16,0),)</f>
        <v>0.07299270073</v>
      </c>
      <c r="H18" s="391">
        <f>IFERROR(VLOOKUP(A18,'PG Stats'!A:Q,17,0),)</f>
        <v>0.07299270073</v>
      </c>
      <c r="I18" s="17"/>
      <c r="J18" s="388" t="str">
        <f>'Halo Reach Stats'!A18</f>
        <v>InfiniteRainge</v>
      </c>
      <c r="K18" s="392" t="str">
        <f t="shared" si="2"/>
        <v>A</v>
      </c>
      <c r="L18" s="392" t="str">
        <f t="shared" si="3"/>
        <v>A</v>
      </c>
      <c r="M18" s="392" t="str">
        <f t="shared" si="4"/>
        <v>D</v>
      </c>
      <c r="N18" s="392" t="str">
        <f t="shared" si="5"/>
        <v>S</v>
      </c>
      <c r="O18" s="392" t="str">
        <f t="shared" si="6"/>
        <v>B</v>
      </c>
      <c r="P18" s="392" t="str">
        <f t="shared" si="7"/>
        <v>C</v>
      </c>
      <c r="Q18" s="392" t="str">
        <f t="shared" si="8"/>
        <v>S</v>
      </c>
      <c r="R18" s="398" t="str">
        <f t="shared" si="9"/>
        <v>B</v>
      </c>
      <c r="S18" s="346">
        <f t="shared" si="10"/>
        <v>14.1</v>
      </c>
      <c r="T18" s="425" t="s">
        <v>423</v>
      </c>
      <c r="U18" s="446">
        <f>(U26*4)+(U27*4)+(U28*4)+(U29*4)+(U30*4)+(U31*4)+(U32*4)</f>
        <v>11.2</v>
      </c>
      <c r="V18" s="447" t="s">
        <v>428</v>
      </c>
      <c r="W18" s="448">
        <f t="shared" ref="W18:AC18" si="26">PERCENTILE(B2:B80,0.1)</f>
        <v>0</v>
      </c>
      <c r="X18" s="448">
        <f t="shared" si="26"/>
        <v>-1.153846154</v>
      </c>
      <c r="Y18" s="448">
        <f t="shared" si="26"/>
        <v>0.02268048407</v>
      </c>
      <c r="Z18" s="448">
        <f t="shared" si="26"/>
        <v>0</v>
      </c>
      <c r="AA18" s="448">
        <f t="shared" si="26"/>
        <v>0.2981552346</v>
      </c>
      <c r="AB18" s="448">
        <f t="shared" si="26"/>
        <v>0.008337965536</v>
      </c>
      <c r="AC18" s="448">
        <f t="shared" si="26"/>
        <v>0</v>
      </c>
    </row>
    <row r="19">
      <c r="A19" s="388" t="str">
        <f>'Halo Reach Stats'!A19</f>
        <v>Into Sublime</v>
      </c>
      <c r="B19" s="389">
        <f>IFERROR(VLOOKUP(A19,'PG Stats'!A:Q,11,0),)</f>
        <v>0.2097902098</v>
      </c>
      <c r="C19" s="389">
        <f>IFERROR(VLOOKUP(A19,'PG Stats'!A:Q,12,0),)</f>
        <v>-1.206293706</v>
      </c>
      <c r="D19" s="390">
        <f>IFERROR(VLOOKUP(A19,'PG Stats'!A:Q,13,0),)</f>
        <v>0</v>
      </c>
      <c r="E19" s="390">
        <f>IFERROR(VLOOKUP(A19,'PG Stats'!A:Q,14,0),)</f>
        <v>0</v>
      </c>
      <c r="F19" s="390">
        <f>IFERROR(VLOOKUP(A19,'PG Stats'!A:Q,15,0),)</f>
        <v>0.2097902098</v>
      </c>
      <c r="G19" s="391">
        <f>IFERROR(VLOOKUP(A19,'PG Stats'!A:Q,16,0),)</f>
        <v>0</v>
      </c>
      <c r="H19" s="391">
        <f>IFERROR(VLOOKUP(A19,'PG Stats'!A:Q,17,0),)</f>
        <v>0</v>
      </c>
      <c r="I19" s="17"/>
      <c r="J19" s="388" t="str">
        <f>'Halo Reach Stats'!A19</f>
        <v>Into Sublime</v>
      </c>
      <c r="K19" s="392" t="str">
        <f t="shared" si="2"/>
        <v>S</v>
      </c>
      <c r="L19" s="392" t="str">
        <f t="shared" si="3"/>
        <v>F</v>
      </c>
      <c r="M19" s="392" t="str">
        <f t="shared" si="4"/>
        <v>F</v>
      </c>
      <c r="N19" s="392" t="str">
        <f t="shared" si="5"/>
        <v>F</v>
      </c>
      <c r="O19" s="392" t="str">
        <f t="shared" si="6"/>
        <v>F</v>
      </c>
      <c r="P19" s="392" t="str">
        <f t="shared" si="7"/>
        <v>F</v>
      </c>
      <c r="Q19" s="392" t="str">
        <f t="shared" si="8"/>
        <v>F</v>
      </c>
      <c r="R19" s="398" t="str">
        <f t="shared" si="9"/>
        <v>E</v>
      </c>
      <c r="S19" s="346">
        <f t="shared" si="10"/>
        <v>5.2</v>
      </c>
      <c r="T19" s="427" t="s">
        <v>441</v>
      </c>
      <c r="U19" s="449">
        <f>MEDIAN(U18,U20)</f>
        <v>9.8</v>
      </c>
      <c r="V19" s="205"/>
      <c r="W19" s="450"/>
      <c r="X19" s="451" t="s">
        <v>442</v>
      </c>
      <c r="Y19" s="17"/>
      <c r="Z19" s="17"/>
      <c r="AA19" s="17"/>
      <c r="AB19" s="17"/>
      <c r="AC19" s="17"/>
    </row>
    <row r="20">
      <c r="A20" s="388" t="str">
        <f>'Halo Reach Stats'!A20</f>
        <v>Itzreelz</v>
      </c>
      <c r="B20" s="389">
        <f>IFERROR(VLOOKUP(A20,'PG Stats'!A:Q,11,0),)</f>
        <v>0.05696202532</v>
      </c>
      <c r="C20" s="389">
        <f>IFERROR(VLOOKUP(A20,'PG Stats'!A:Q,12,0),)</f>
        <v>0.246835443</v>
      </c>
      <c r="D20" s="390">
        <f>IFERROR(VLOOKUP(A20,'PG Stats'!A:Q,13,0),)</f>
        <v>0.1518987342</v>
      </c>
      <c r="E20" s="390">
        <f>IFERROR(VLOOKUP(A20,'PG Stats'!A:Q,14,0),)</f>
        <v>0.03797468354</v>
      </c>
      <c r="F20" s="390">
        <f>IFERROR(VLOOKUP(A20,'PG Stats'!A:Q,15,0),)</f>
        <v>0.5126582278</v>
      </c>
      <c r="G20" s="391">
        <f>IFERROR(VLOOKUP(A20,'PG Stats'!A:Q,16,0),)</f>
        <v>0.1708860759</v>
      </c>
      <c r="H20" s="391">
        <f>IFERROR(VLOOKUP(A20,'PG Stats'!A:Q,17,0),)</f>
        <v>0.01898734177</v>
      </c>
      <c r="I20" s="17"/>
      <c r="J20" s="388" t="str">
        <f>'Halo Reach Stats'!A20</f>
        <v>Itzreelz</v>
      </c>
      <c r="K20" s="392" t="str">
        <f t="shared" si="2"/>
        <v>A</v>
      </c>
      <c r="L20" s="392" t="str">
        <f t="shared" si="3"/>
        <v>A</v>
      </c>
      <c r="M20" s="392" t="str">
        <f t="shared" si="4"/>
        <v>B</v>
      </c>
      <c r="N20" s="392" t="str">
        <f t="shared" si="5"/>
        <v>B</v>
      </c>
      <c r="O20" s="392" t="str">
        <f t="shared" si="6"/>
        <v>B</v>
      </c>
      <c r="P20" s="392" t="str">
        <f t="shared" si="7"/>
        <v>S</v>
      </c>
      <c r="Q20" s="392" t="str">
        <f t="shared" si="8"/>
        <v>C</v>
      </c>
      <c r="R20" s="398" t="str">
        <f t="shared" si="9"/>
        <v>A</v>
      </c>
      <c r="S20" s="346">
        <f t="shared" si="10"/>
        <v>15.9</v>
      </c>
      <c r="T20" s="433" t="s">
        <v>425</v>
      </c>
      <c r="U20" s="452">
        <f>(U26*3)+(U27*3)+(U28*3)+(U29*3)+(U30*3)+(U31*3)+(U32*3)</f>
        <v>8.4</v>
      </c>
      <c r="V20" s="205"/>
      <c r="W20" s="450"/>
      <c r="X20" s="17"/>
      <c r="Y20" s="17"/>
      <c r="Z20" s="17"/>
      <c r="AA20" s="17"/>
      <c r="AB20" s="17"/>
      <c r="AC20" s="17"/>
    </row>
    <row r="21">
      <c r="A21" s="388" t="str">
        <f>'Halo Reach Stats'!A21</f>
        <v>ixjaga</v>
      </c>
      <c r="B21" s="389">
        <f>IFERROR(VLOOKUP(A21,'PG Stats'!A:Q,11,0),)</f>
        <v>0.009474182852</v>
      </c>
      <c r="C21" s="389">
        <f>IFERROR(VLOOKUP(A21,'PG Stats'!A:Q,12,0),)</f>
        <v>-0.4168640455</v>
      </c>
      <c r="D21" s="390">
        <f>IFERROR(VLOOKUP(A21,'PG Stats'!A:Q,13,0),)</f>
        <v>0.1136901942</v>
      </c>
      <c r="E21" s="390">
        <f>IFERROR(VLOOKUP(A21,'PG Stats'!A:Q,14,0),)</f>
        <v>0.03789673141</v>
      </c>
      <c r="F21" s="390">
        <f>IFERROR(VLOOKUP(A21,'PG Stats'!A:Q,15,0),)</f>
        <v>0.3979156798</v>
      </c>
      <c r="G21" s="391">
        <f>IFERROR(VLOOKUP(A21,'PG Stats'!A:Q,16,0),)</f>
        <v>0.09474182852</v>
      </c>
      <c r="H21" s="391">
        <f>IFERROR(VLOOKUP(A21,'PG Stats'!A:Q,17,0),)</f>
        <v>0.02842254856</v>
      </c>
      <c r="I21" s="17"/>
      <c r="J21" s="388" t="str">
        <f>'Halo Reach Stats'!A21</f>
        <v>ixjaga</v>
      </c>
      <c r="K21" s="392" t="str">
        <f t="shared" si="2"/>
        <v>C</v>
      </c>
      <c r="L21" s="392" t="str">
        <f t="shared" si="3"/>
        <v>C</v>
      </c>
      <c r="M21" s="392" t="str">
        <f t="shared" si="4"/>
        <v>B</v>
      </c>
      <c r="N21" s="392" t="str">
        <f t="shared" si="5"/>
        <v>C</v>
      </c>
      <c r="O21" s="392" t="str">
        <f t="shared" si="6"/>
        <v>D</v>
      </c>
      <c r="P21" s="392" t="str">
        <f t="shared" si="7"/>
        <v>B</v>
      </c>
      <c r="Q21" s="392" t="str">
        <f t="shared" si="8"/>
        <v>B</v>
      </c>
      <c r="R21" s="398" t="str">
        <f t="shared" si="9"/>
        <v>C</v>
      </c>
      <c r="S21" s="346">
        <f t="shared" si="10"/>
        <v>12.1</v>
      </c>
      <c r="T21" s="436" t="s">
        <v>443</v>
      </c>
      <c r="U21" s="453">
        <f>MEDIAN(U20,U22)</f>
        <v>7</v>
      </c>
      <c r="V21" s="205"/>
      <c r="W21" s="450"/>
      <c r="X21" s="17"/>
      <c r="Y21" s="17"/>
      <c r="Z21" s="17"/>
      <c r="AA21" s="17"/>
      <c r="AB21" s="17"/>
      <c r="AC21" s="17"/>
    </row>
    <row r="22">
      <c r="A22" s="388" t="str">
        <f>'Halo Reach Stats'!A22</f>
        <v>Judasey</v>
      </c>
      <c r="B22" s="389">
        <f>IFERROR(VLOOKUP(A22,'PG Stats'!A:Q,11,0),)</f>
        <v>0.06670372429</v>
      </c>
      <c r="C22" s="389">
        <f>IFERROR(VLOOKUP(A22,'PG Stats'!A:Q,12,0),)</f>
        <v>0.8504724847</v>
      </c>
      <c r="D22" s="390">
        <f>IFERROR(VLOOKUP(A22,'PG Stats'!A:Q,13,0),)</f>
        <v>0.3335186215</v>
      </c>
      <c r="E22" s="390">
        <f>IFERROR(VLOOKUP(A22,'PG Stats'!A:Q,14,0),)</f>
        <v>0.05002779322</v>
      </c>
      <c r="F22" s="390">
        <f>IFERROR(VLOOKUP(A22,'PG Stats'!A:Q,15,0),)</f>
        <v>0.8004446915</v>
      </c>
      <c r="G22" s="391">
        <f>IFERROR(VLOOKUP(A22,'PG Stats'!A:Q,16,0),)</f>
        <v>0.2501389661</v>
      </c>
      <c r="H22" s="391">
        <f>IFERROR(VLOOKUP(A22,'PG Stats'!A:Q,17,0),)</f>
        <v>0.05002779322</v>
      </c>
      <c r="I22" s="17"/>
      <c r="J22" s="388" t="str">
        <f>'Halo Reach Stats'!A22</f>
        <v>Judasey</v>
      </c>
      <c r="K22" s="392" t="str">
        <f t="shared" si="2"/>
        <v>A</v>
      </c>
      <c r="L22" s="392" t="str">
        <f t="shared" si="3"/>
        <v>S</v>
      </c>
      <c r="M22" s="392" t="str">
        <f t="shared" si="4"/>
        <v>S</v>
      </c>
      <c r="N22" s="392" t="str">
        <f t="shared" si="5"/>
        <v>B</v>
      </c>
      <c r="O22" s="392" t="str">
        <f t="shared" si="6"/>
        <v>S</v>
      </c>
      <c r="P22" s="392" t="str">
        <f t="shared" si="7"/>
        <v>S</v>
      </c>
      <c r="Q22" s="392" t="str">
        <f t="shared" si="8"/>
        <v>A</v>
      </c>
      <c r="R22" s="398" t="str">
        <f t="shared" si="9"/>
        <v>S</v>
      </c>
      <c r="S22" s="346">
        <f t="shared" si="10"/>
        <v>18.6</v>
      </c>
      <c r="T22" s="441" t="s">
        <v>369</v>
      </c>
      <c r="U22" s="454">
        <f>(U26*2)+(U27*2)+(U28*2)+(U29*2)+(U30*2)+(U31*2)+(U32*2)</f>
        <v>5.6</v>
      </c>
      <c r="V22" s="205"/>
      <c r="W22" s="450"/>
      <c r="X22" s="17"/>
      <c r="Y22" s="17"/>
      <c r="Z22" s="17"/>
      <c r="AA22" s="17"/>
      <c r="AB22" s="17"/>
      <c r="AC22" s="17"/>
    </row>
    <row r="23">
      <c r="A23" s="388" t="str">
        <f>'Halo Reach Stats'!A23</f>
        <v>Kgod Online</v>
      </c>
      <c r="B23" s="389">
        <f>IFERROR(VLOOKUP(A23,'PG Stats'!A:Q,11,0),)</f>
        <v>0</v>
      </c>
      <c r="C23" s="389">
        <f>IFERROR(VLOOKUP(A23,'PG Stats'!A:Q,12,0),)</f>
        <v>-2.481751825</v>
      </c>
      <c r="D23" s="390">
        <f>IFERROR(VLOOKUP(A23,'PG Stats'!A:Q,13,0),)</f>
        <v>0.07299270073</v>
      </c>
      <c r="E23" s="390">
        <f>IFERROR(VLOOKUP(A23,'PG Stats'!A:Q,14,0),)</f>
        <v>0</v>
      </c>
      <c r="F23" s="390">
        <f>IFERROR(VLOOKUP(A23,'PG Stats'!A:Q,15,0),)</f>
        <v>0.3649635036</v>
      </c>
      <c r="G23" s="391">
        <f>IFERROR(VLOOKUP(A23,'PG Stats'!A:Q,16,0),)</f>
        <v>0</v>
      </c>
      <c r="H23" s="391">
        <f>IFERROR(VLOOKUP(A23,'PG Stats'!A:Q,17,0),)</f>
        <v>0</v>
      </c>
      <c r="I23" s="17"/>
      <c r="J23" s="388" t="str">
        <f>'Halo Reach Stats'!A23</f>
        <v>Kgod Online</v>
      </c>
      <c r="K23" s="392" t="str">
        <f t="shared" si="2"/>
        <v>F</v>
      </c>
      <c r="L23" s="392" t="str">
        <f t="shared" si="3"/>
        <v>F</v>
      </c>
      <c r="M23" s="392" t="str">
        <f t="shared" si="4"/>
        <v>D</v>
      </c>
      <c r="N23" s="392" t="str">
        <f t="shared" si="5"/>
        <v>F</v>
      </c>
      <c r="O23" s="392" t="str">
        <f t="shared" si="6"/>
        <v>E</v>
      </c>
      <c r="P23" s="392" t="str">
        <f t="shared" si="7"/>
        <v>F</v>
      </c>
      <c r="Q23" s="392" t="str">
        <f t="shared" si="8"/>
        <v>F</v>
      </c>
      <c r="R23" s="398" t="str">
        <f t="shared" si="9"/>
        <v>F</v>
      </c>
      <c r="S23" s="346">
        <f t="shared" si="10"/>
        <v>4.2</v>
      </c>
      <c r="T23" s="444" t="s">
        <v>444</v>
      </c>
      <c r="U23" s="455">
        <f>MEDIAN(U22,U24)</f>
        <v>4.2</v>
      </c>
      <c r="V23" s="205"/>
      <c r="W23" s="450"/>
      <c r="X23" s="17"/>
      <c r="Y23" s="17"/>
      <c r="Z23" s="17"/>
      <c r="AA23" s="17"/>
      <c r="AB23" s="17"/>
      <c r="AC23" s="17"/>
    </row>
    <row r="24">
      <c r="A24" s="388" t="str">
        <f>'Halo Reach Stats'!A24</f>
        <v>L1ght5aber</v>
      </c>
      <c r="B24" s="389">
        <f>IFERROR(VLOOKUP(A24,'PG Stats'!A:Q,11,0),)</f>
        <v>0</v>
      </c>
      <c r="C24" s="389">
        <f>IFERROR(VLOOKUP(A24,'PG Stats'!A:Q,12,0),)</f>
        <v>-0.1158301158</v>
      </c>
      <c r="D24" s="390">
        <f>IFERROR(VLOOKUP(A24,'PG Stats'!A:Q,13,0),)</f>
        <v>0.1368901369</v>
      </c>
      <c r="E24" s="390">
        <f>IFERROR(VLOOKUP(A24,'PG Stats'!A:Q,14,0),)</f>
        <v>0.02106002106</v>
      </c>
      <c r="F24" s="390">
        <f>IFERROR(VLOOKUP(A24,'PG Stats'!A:Q,15,0),)</f>
        <v>0.5265005265</v>
      </c>
      <c r="G24" s="391">
        <f>IFERROR(VLOOKUP(A24,'PG Stats'!A:Q,16,0),)</f>
        <v>0.06318006318</v>
      </c>
      <c r="H24" s="391">
        <f>IFERROR(VLOOKUP(A24,'PG Stats'!A:Q,17,0),)</f>
        <v>0.02106002106</v>
      </c>
      <c r="I24" s="17"/>
      <c r="J24" s="388" t="str">
        <f>'Halo Reach Stats'!A24</f>
        <v>L1ght5aber</v>
      </c>
      <c r="K24" s="392" t="str">
        <f t="shared" si="2"/>
        <v>F</v>
      </c>
      <c r="L24" s="392" t="str">
        <f t="shared" si="3"/>
        <v>B</v>
      </c>
      <c r="M24" s="392" t="str">
        <f t="shared" si="4"/>
        <v>B</v>
      </c>
      <c r="N24" s="392" t="str">
        <f t="shared" si="5"/>
        <v>C</v>
      </c>
      <c r="O24" s="392" t="str">
        <f t="shared" si="6"/>
        <v>B</v>
      </c>
      <c r="P24" s="392" t="str">
        <f t="shared" si="7"/>
        <v>D</v>
      </c>
      <c r="Q24" s="392" t="str">
        <f t="shared" si="8"/>
        <v>B</v>
      </c>
      <c r="R24" s="398" t="str">
        <f t="shared" si="9"/>
        <v>C</v>
      </c>
      <c r="S24" s="346">
        <f t="shared" si="10"/>
        <v>11</v>
      </c>
      <c r="T24" s="447" t="s">
        <v>428</v>
      </c>
      <c r="U24" s="456">
        <f>(U26*1)+(U27*1)+(U28*1)+(U29*1)+(U30*1)+(U31*1)+(U32*1)</f>
        <v>2.8</v>
      </c>
      <c r="V24" s="205"/>
      <c r="W24" s="450"/>
      <c r="X24" s="17"/>
      <c r="Y24" s="17"/>
      <c r="Z24" s="17"/>
      <c r="AA24" s="17"/>
      <c r="AB24" s="17"/>
      <c r="AC24" s="17"/>
    </row>
    <row r="25">
      <c r="A25" s="388" t="str">
        <f>'Halo Reach Stats'!A25</f>
        <v>Lane Uppy</v>
      </c>
      <c r="B25" s="389">
        <f>IFERROR(VLOOKUP(A25,'PG Stats'!A:Q,11,0),)</f>
        <v>0</v>
      </c>
      <c r="C25" s="389">
        <f>IFERROR(VLOOKUP(A25,'PG Stats'!A:Q,12,0),)</f>
        <v>-0.3649635036</v>
      </c>
      <c r="D25" s="390">
        <f>IFERROR(VLOOKUP(A25,'PG Stats'!A:Q,13,0),)</f>
        <v>0.07299270073</v>
      </c>
      <c r="E25" s="390">
        <f>IFERROR(VLOOKUP(A25,'PG Stats'!A:Q,14,0),)</f>
        <v>0</v>
      </c>
      <c r="F25" s="390">
        <f>IFERROR(VLOOKUP(A25,'PG Stats'!A:Q,15,0),)</f>
        <v>0.3649635036</v>
      </c>
      <c r="G25" s="391">
        <f>IFERROR(VLOOKUP(A25,'PG Stats'!A:Q,16,0),)</f>
        <v>0</v>
      </c>
      <c r="H25" s="391">
        <f>IFERROR(VLOOKUP(A25,'PG Stats'!A:Q,17,0),)</f>
        <v>0</v>
      </c>
      <c r="I25" s="17"/>
      <c r="J25" s="388" t="str">
        <f>'Halo Reach Stats'!A25</f>
        <v>Lane Uppy</v>
      </c>
      <c r="K25" s="392" t="str">
        <f t="shared" si="2"/>
        <v>F</v>
      </c>
      <c r="L25" s="392" t="str">
        <f t="shared" si="3"/>
        <v>C</v>
      </c>
      <c r="M25" s="392" t="str">
        <f t="shared" si="4"/>
        <v>D</v>
      </c>
      <c r="N25" s="392" t="str">
        <f t="shared" si="5"/>
        <v>F</v>
      </c>
      <c r="O25" s="392" t="str">
        <f t="shared" si="6"/>
        <v>E</v>
      </c>
      <c r="P25" s="392" t="str">
        <f t="shared" si="7"/>
        <v>F</v>
      </c>
      <c r="Q25" s="392" t="str">
        <f t="shared" si="8"/>
        <v>F</v>
      </c>
      <c r="R25" s="398" t="str">
        <f t="shared" si="9"/>
        <v>E</v>
      </c>
      <c r="S25" s="346">
        <f t="shared" si="10"/>
        <v>5.7</v>
      </c>
      <c r="T25" s="17"/>
      <c r="U25" s="17"/>
      <c r="V25" s="205"/>
      <c r="W25" s="450"/>
      <c r="X25" s="17"/>
      <c r="Y25" s="17"/>
      <c r="Z25" s="17"/>
      <c r="AA25" s="17"/>
      <c r="AB25" s="17"/>
      <c r="AC25" s="17"/>
    </row>
    <row r="26">
      <c r="A26" s="388" t="str">
        <f>'Halo Reach Stats'!A26</f>
        <v>Laser Wins</v>
      </c>
      <c r="B26" s="389">
        <f>IFERROR(VLOOKUP(A26,'PG Stats'!A:Q,11,0),)</f>
        <v>0</v>
      </c>
      <c r="C26" s="389">
        <f>IFERROR(VLOOKUP(A26,'PG Stats'!A:Q,12,0),)</f>
        <v>-1.386861314</v>
      </c>
      <c r="D26" s="390">
        <f>IFERROR(VLOOKUP(A26,'PG Stats'!A:Q,13,0),)</f>
        <v>0</v>
      </c>
      <c r="E26" s="390">
        <f>IFERROR(VLOOKUP(A26,'PG Stats'!A:Q,14,0),)</f>
        <v>0</v>
      </c>
      <c r="F26" s="390">
        <f>IFERROR(VLOOKUP(A26,'PG Stats'!A:Q,15,0),)</f>
        <v>0.3649635036</v>
      </c>
      <c r="G26" s="391">
        <f>IFERROR(VLOOKUP(A26,'PG Stats'!A:Q,16,0),)</f>
        <v>0</v>
      </c>
      <c r="H26" s="391">
        <f>IFERROR(VLOOKUP(A26,'PG Stats'!A:Q,17,0),)</f>
        <v>0</v>
      </c>
      <c r="I26" s="17"/>
      <c r="J26" s="388" t="str">
        <f>'Halo Reach Stats'!A26</f>
        <v>Laser Wins</v>
      </c>
      <c r="K26" s="392" t="str">
        <f t="shared" si="2"/>
        <v>F</v>
      </c>
      <c r="L26" s="392" t="str">
        <f t="shared" si="3"/>
        <v>F</v>
      </c>
      <c r="M26" s="392" t="str">
        <f t="shared" si="4"/>
        <v>F</v>
      </c>
      <c r="N26" s="392" t="str">
        <f t="shared" si="5"/>
        <v>F</v>
      </c>
      <c r="O26" s="392" t="str">
        <f t="shared" si="6"/>
        <v>E</v>
      </c>
      <c r="P26" s="392" t="str">
        <f t="shared" si="7"/>
        <v>F</v>
      </c>
      <c r="Q26" s="392" t="str">
        <f t="shared" si="8"/>
        <v>F</v>
      </c>
      <c r="R26" s="398" t="str">
        <f t="shared" si="9"/>
        <v>F</v>
      </c>
      <c r="S26" s="346">
        <f t="shared" si="10"/>
        <v>3.2</v>
      </c>
      <c r="T26" s="457" t="s">
        <v>63</v>
      </c>
      <c r="U26" s="458">
        <v>0.4</v>
      </c>
      <c r="V26" s="205"/>
      <c r="W26" s="450"/>
      <c r="X26" s="17"/>
      <c r="Y26" s="17"/>
      <c r="Z26" s="17"/>
      <c r="AA26" s="17"/>
      <c r="AB26" s="17"/>
      <c r="AC26" s="17"/>
    </row>
    <row r="27">
      <c r="A27" s="388" t="str">
        <f>'Halo Reach Stats'!A27</f>
        <v>Luner Panda</v>
      </c>
      <c r="B27" s="389">
        <f>IFERROR(VLOOKUP(A27,'PG Stats'!A:Q,11,0),)</f>
        <v>0.02914507772</v>
      </c>
      <c r="C27" s="389">
        <f>IFERROR(VLOOKUP(A27,'PG Stats'!A:Q,12,0),)</f>
        <v>-0.310880829</v>
      </c>
      <c r="D27" s="390">
        <f>IFERROR(VLOOKUP(A27,'PG Stats'!A:Q,13,0),)</f>
        <v>0.106865285</v>
      </c>
      <c r="E27" s="390">
        <f>IFERROR(VLOOKUP(A27,'PG Stats'!A:Q,14,0),)</f>
        <v>0.01943005181</v>
      </c>
      <c r="F27" s="390">
        <f>IFERROR(VLOOKUP(A27,'PG Stats'!A:Q,15,0),)</f>
        <v>0.4760362694</v>
      </c>
      <c r="G27" s="391">
        <f>IFERROR(VLOOKUP(A27,'PG Stats'!A:Q,16,0),)</f>
        <v>0.08743523316</v>
      </c>
      <c r="H27" s="391">
        <f>IFERROR(VLOOKUP(A27,'PG Stats'!A:Q,17,0),)</f>
        <v>0.009715025907</v>
      </c>
      <c r="I27" s="17"/>
      <c r="J27" s="388" t="str">
        <f>'Halo Reach Stats'!A27</f>
        <v>Luner Panda</v>
      </c>
      <c r="K27" s="392" t="str">
        <f t="shared" si="2"/>
        <v>B</v>
      </c>
      <c r="L27" s="392" t="str">
        <f t="shared" si="3"/>
        <v>C</v>
      </c>
      <c r="M27" s="392" t="str">
        <f t="shared" si="4"/>
        <v>C</v>
      </c>
      <c r="N27" s="392" t="str">
        <f t="shared" si="5"/>
        <v>C</v>
      </c>
      <c r="O27" s="392" t="str">
        <f t="shared" si="6"/>
        <v>C</v>
      </c>
      <c r="P27" s="392" t="str">
        <f t="shared" si="7"/>
        <v>B</v>
      </c>
      <c r="Q27" s="392" t="str">
        <f t="shared" si="8"/>
        <v>C</v>
      </c>
      <c r="R27" s="398" t="str">
        <f t="shared" si="9"/>
        <v>C</v>
      </c>
      <c r="S27" s="346">
        <f t="shared" si="10"/>
        <v>12.2</v>
      </c>
      <c r="T27" s="459" t="s">
        <v>64</v>
      </c>
      <c r="U27" s="460">
        <v>0.5</v>
      </c>
      <c r="V27" s="205"/>
      <c r="W27" s="450"/>
      <c r="X27" s="17"/>
      <c r="Y27" s="17"/>
      <c r="Z27" s="17"/>
      <c r="AA27" s="17"/>
      <c r="AB27" s="17"/>
      <c r="AC27" s="17"/>
    </row>
    <row r="28">
      <c r="A28" s="388" t="str">
        <f>'Halo Reach Stats'!A28</f>
        <v>Mavbrid</v>
      </c>
      <c r="B28" s="389">
        <f>IFERROR(VLOOKUP(A28,'PG Stats'!A:Q,11,0),)</f>
        <v>0</v>
      </c>
      <c r="C28" s="389">
        <f>IFERROR(VLOOKUP(A28,'PG Stats'!A:Q,12,0),)</f>
        <v>-1.036789298</v>
      </c>
      <c r="D28" s="390">
        <f>IFERROR(VLOOKUP(A28,'PG Stats'!A:Q,13,0),)</f>
        <v>0.1672240803</v>
      </c>
      <c r="E28" s="390">
        <f>IFERROR(VLOOKUP(A28,'PG Stats'!A:Q,14,0),)</f>
        <v>0</v>
      </c>
      <c r="F28" s="390">
        <f>IFERROR(VLOOKUP(A28,'PG Stats'!A:Q,15,0),)</f>
        <v>0.3678929766</v>
      </c>
      <c r="G28" s="391">
        <f>IFERROR(VLOOKUP(A28,'PG Stats'!A:Q,16,0),)</f>
        <v>0</v>
      </c>
      <c r="H28" s="391">
        <f>IFERROR(VLOOKUP(A28,'PG Stats'!A:Q,17,0),)</f>
        <v>0</v>
      </c>
      <c r="I28" s="17"/>
      <c r="J28" s="388" t="str">
        <f>'Halo Reach Stats'!A28</f>
        <v>Mavbrid</v>
      </c>
      <c r="K28" s="392" t="str">
        <f t="shared" si="2"/>
        <v>F</v>
      </c>
      <c r="L28" s="392" t="str">
        <f t="shared" si="3"/>
        <v>E</v>
      </c>
      <c r="M28" s="392" t="str">
        <f t="shared" si="4"/>
        <v>A</v>
      </c>
      <c r="N28" s="392" t="str">
        <f t="shared" si="5"/>
        <v>F</v>
      </c>
      <c r="O28" s="392" t="str">
        <f t="shared" si="6"/>
        <v>E</v>
      </c>
      <c r="P28" s="392" t="str">
        <f t="shared" si="7"/>
        <v>F</v>
      </c>
      <c r="Q28" s="392" t="str">
        <f t="shared" si="8"/>
        <v>F</v>
      </c>
      <c r="R28" s="398" t="str">
        <f t="shared" si="9"/>
        <v>E</v>
      </c>
      <c r="S28" s="346">
        <f t="shared" si="10"/>
        <v>6.2</v>
      </c>
      <c r="T28" s="459" t="s">
        <v>445</v>
      </c>
      <c r="U28" s="460">
        <v>0.5</v>
      </c>
      <c r="V28" s="205"/>
      <c r="W28" s="450"/>
      <c r="X28" s="17"/>
      <c r="Y28" s="17"/>
      <c r="Z28" s="17"/>
      <c r="AA28" s="17"/>
      <c r="AB28" s="17"/>
      <c r="AC28" s="17"/>
    </row>
    <row r="29">
      <c r="A29" s="388" t="str">
        <f>'Halo Reach Stats'!A29</f>
        <v>MealyKitten0</v>
      </c>
      <c r="B29" s="389">
        <f>IFERROR(VLOOKUP(A29,'PG Stats'!A:Q,11,0),)</f>
        <v>0.1337792642</v>
      </c>
      <c r="C29" s="389">
        <f>IFERROR(VLOOKUP(A29,'PG Stats'!A:Q,12,0),)</f>
        <v>-0.602006689</v>
      </c>
      <c r="D29" s="390">
        <f>IFERROR(VLOOKUP(A29,'PG Stats'!A:Q,13,0),)</f>
        <v>0.03344481605</v>
      </c>
      <c r="E29" s="390">
        <f>IFERROR(VLOOKUP(A29,'PG Stats'!A:Q,14,0),)</f>
        <v>0.03344481605</v>
      </c>
      <c r="F29" s="390">
        <f>IFERROR(VLOOKUP(A29,'PG Stats'!A:Q,15,0),)</f>
        <v>0.5351170569</v>
      </c>
      <c r="G29" s="391">
        <f>IFERROR(VLOOKUP(A29,'PG Stats'!A:Q,16,0),)</f>
        <v>0.06688963211</v>
      </c>
      <c r="H29" s="391">
        <f>IFERROR(VLOOKUP(A29,'PG Stats'!A:Q,17,0),)</f>
        <v>0</v>
      </c>
      <c r="I29" s="17"/>
      <c r="J29" s="388" t="str">
        <f>'Halo Reach Stats'!A29</f>
        <v>MealyKitten0</v>
      </c>
      <c r="K29" s="392" t="str">
        <f t="shared" si="2"/>
        <v>S</v>
      </c>
      <c r="L29" s="392" t="str">
        <f t="shared" si="3"/>
        <v>D</v>
      </c>
      <c r="M29" s="392" t="str">
        <f t="shared" si="4"/>
        <v>F</v>
      </c>
      <c r="N29" s="392" t="str">
        <f t="shared" si="5"/>
        <v>C</v>
      </c>
      <c r="O29" s="392" t="str">
        <f t="shared" si="6"/>
        <v>A</v>
      </c>
      <c r="P29" s="392" t="str">
        <f t="shared" si="7"/>
        <v>C</v>
      </c>
      <c r="Q29" s="392" t="str">
        <f t="shared" si="8"/>
        <v>F</v>
      </c>
      <c r="R29" s="398" t="str">
        <f t="shared" si="9"/>
        <v>C</v>
      </c>
      <c r="S29" s="346">
        <f t="shared" si="10"/>
        <v>10.6</v>
      </c>
      <c r="T29" s="459" t="s">
        <v>66</v>
      </c>
      <c r="U29" s="460">
        <v>0.2</v>
      </c>
      <c r="V29" s="205"/>
      <c r="W29" s="450"/>
      <c r="X29" s="17"/>
      <c r="Y29" s="17"/>
      <c r="Z29" s="17"/>
      <c r="AA29" s="17"/>
      <c r="AB29" s="17"/>
      <c r="AC29" s="17"/>
    </row>
    <row r="30">
      <c r="A30" s="388" t="str">
        <f>'Halo Reach Stats'!A30</f>
        <v>Mhurcy</v>
      </c>
      <c r="B30" s="389">
        <f>IFERROR(VLOOKUP(A30,'PG Stats'!A:Q,11,0),)</f>
        <v>0</v>
      </c>
      <c r="C30" s="389">
        <f>IFERROR(VLOOKUP(A30,'PG Stats'!A:Q,12,0),)</f>
        <v>-0.5506329114</v>
      </c>
      <c r="D30" s="390">
        <f>IFERROR(VLOOKUP(A30,'PG Stats'!A:Q,13,0),)</f>
        <v>0.2088607595</v>
      </c>
      <c r="E30" s="390">
        <f>IFERROR(VLOOKUP(A30,'PG Stats'!A:Q,14,0),)</f>
        <v>0.05696202532</v>
      </c>
      <c r="F30" s="390">
        <f>IFERROR(VLOOKUP(A30,'PG Stats'!A:Q,15,0),)</f>
        <v>0.5316455696</v>
      </c>
      <c r="G30" s="391">
        <f>IFERROR(VLOOKUP(A30,'PG Stats'!A:Q,16,0),)</f>
        <v>0.09493670886</v>
      </c>
      <c r="H30" s="391">
        <f>IFERROR(VLOOKUP(A30,'PG Stats'!A:Q,17,0),)</f>
        <v>0.05696202532</v>
      </c>
      <c r="I30" s="17"/>
      <c r="J30" s="388" t="str">
        <f>'Halo Reach Stats'!A30</f>
        <v>Mhurcy</v>
      </c>
      <c r="K30" s="392" t="str">
        <f t="shared" si="2"/>
        <v>F</v>
      </c>
      <c r="L30" s="392" t="str">
        <f t="shared" si="3"/>
        <v>D</v>
      </c>
      <c r="M30" s="392" t="str">
        <f t="shared" si="4"/>
        <v>S</v>
      </c>
      <c r="N30" s="392" t="str">
        <f t="shared" si="5"/>
        <v>B</v>
      </c>
      <c r="O30" s="392" t="str">
        <f t="shared" si="6"/>
        <v>A</v>
      </c>
      <c r="P30" s="392" t="str">
        <f t="shared" si="7"/>
        <v>B</v>
      </c>
      <c r="Q30" s="392" t="str">
        <f t="shared" si="8"/>
        <v>A</v>
      </c>
      <c r="R30" s="398" t="str">
        <f t="shared" si="9"/>
        <v>B</v>
      </c>
      <c r="S30" s="346">
        <f t="shared" si="10"/>
        <v>13</v>
      </c>
      <c r="T30" s="459" t="s">
        <v>67</v>
      </c>
      <c r="U30" s="460">
        <v>0.4</v>
      </c>
      <c r="V30" s="205"/>
      <c r="W30" s="450"/>
      <c r="X30" s="17"/>
      <c r="Y30" s="17"/>
      <c r="Z30" s="17"/>
      <c r="AA30" s="17"/>
      <c r="AB30" s="17"/>
      <c r="AC30" s="17"/>
    </row>
    <row r="31">
      <c r="A31" s="388" t="str">
        <f>'Halo Reach Stats'!A31</f>
        <v>MoldyVolts</v>
      </c>
      <c r="B31" s="389">
        <f>IFERROR(VLOOKUP(A31,'PG Stats'!A:Q,11,0),)</f>
        <v>0.0173837462</v>
      </c>
      <c r="C31" s="389">
        <f>IFERROR(VLOOKUP(A31,'PG Stats'!A:Q,12,0),)</f>
        <v>-0.877879183</v>
      </c>
      <c r="D31" s="390">
        <f>IFERROR(VLOOKUP(A31,'PG Stats'!A:Q,13,0),)</f>
        <v>0.1999130813</v>
      </c>
      <c r="E31" s="390">
        <f>IFERROR(VLOOKUP(A31,'PG Stats'!A:Q,14,0),)</f>
        <v>0.07822685789</v>
      </c>
      <c r="F31" s="390">
        <f>IFERROR(VLOOKUP(A31,'PG Stats'!A:Q,15,0),)</f>
        <v>0.5649717514</v>
      </c>
      <c r="G31" s="391">
        <f>IFERROR(VLOOKUP(A31,'PG Stats'!A:Q,16,0),)</f>
        <v>0.1216862234</v>
      </c>
      <c r="H31" s="391">
        <f>IFERROR(VLOOKUP(A31,'PG Stats'!A:Q,17,0),)</f>
        <v>0.07822685789</v>
      </c>
      <c r="I31" s="17"/>
      <c r="J31" s="388" t="str">
        <f>'Halo Reach Stats'!A31</f>
        <v>MoldyVolts</v>
      </c>
      <c r="K31" s="392" t="str">
        <f t="shared" si="2"/>
        <v>B</v>
      </c>
      <c r="L31" s="392" t="str">
        <f t="shared" si="3"/>
        <v>E</v>
      </c>
      <c r="M31" s="392" t="str">
        <f t="shared" si="4"/>
        <v>A</v>
      </c>
      <c r="N31" s="392" t="str">
        <f t="shared" si="5"/>
        <v>A</v>
      </c>
      <c r="O31" s="392" t="str">
        <f t="shared" si="6"/>
        <v>A</v>
      </c>
      <c r="P31" s="392" t="str">
        <f t="shared" si="7"/>
        <v>A</v>
      </c>
      <c r="Q31" s="392" t="str">
        <f t="shared" si="8"/>
        <v>S</v>
      </c>
      <c r="R31" s="398" t="str">
        <f t="shared" si="9"/>
        <v>B</v>
      </c>
      <c r="S31" s="346">
        <f t="shared" si="10"/>
        <v>14.6</v>
      </c>
      <c r="T31" s="459" t="s">
        <v>68</v>
      </c>
      <c r="U31" s="460">
        <v>0.6</v>
      </c>
      <c r="V31" s="205"/>
      <c r="W31" s="450"/>
      <c r="X31" s="17"/>
      <c r="Y31" s="17"/>
      <c r="Z31" s="17"/>
      <c r="AA31" s="17"/>
      <c r="AB31" s="17"/>
      <c r="AC31" s="17"/>
    </row>
    <row r="32">
      <c r="A32" s="388" t="str">
        <f>'Halo Reach Stats'!A32</f>
        <v>noketone</v>
      </c>
      <c r="B32" s="389">
        <f>IFERROR(VLOOKUP(A32,'PG Stats'!A:Q,11,0),)</f>
        <v>0</v>
      </c>
      <c r="C32" s="389">
        <f>IFERROR(VLOOKUP(A32,'PG Stats'!A:Q,12,0),)</f>
        <v>-1.313559322</v>
      </c>
      <c r="D32" s="390">
        <f>IFERROR(VLOOKUP(A32,'PG Stats'!A:Q,13,0),)</f>
        <v>0.08474576271</v>
      </c>
      <c r="E32" s="390">
        <f>IFERROR(VLOOKUP(A32,'PG Stats'!A:Q,14,0),)</f>
        <v>0</v>
      </c>
      <c r="F32" s="390">
        <f>IFERROR(VLOOKUP(A32,'PG Stats'!A:Q,15,0),)</f>
        <v>0.2966101695</v>
      </c>
      <c r="G32" s="391">
        <f>IFERROR(VLOOKUP(A32,'PG Stats'!A:Q,16,0),)</f>
        <v>0.04237288136</v>
      </c>
      <c r="H32" s="391">
        <f>IFERROR(VLOOKUP(A32,'PG Stats'!A:Q,17,0),)</f>
        <v>0</v>
      </c>
      <c r="I32" s="17"/>
      <c r="J32" s="388" t="str">
        <f>'Halo Reach Stats'!A32</f>
        <v>noketone</v>
      </c>
      <c r="K32" s="392" t="str">
        <f t="shared" si="2"/>
        <v>F</v>
      </c>
      <c r="L32" s="392" t="str">
        <f t="shared" si="3"/>
        <v>F</v>
      </c>
      <c r="M32" s="392" t="str">
        <f t="shared" si="4"/>
        <v>C</v>
      </c>
      <c r="N32" s="392" t="str">
        <f t="shared" si="5"/>
        <v>F</v>
      </c>
      <c r="O32" s="392" t="str">
        <f t="shared" si="6"/>
        <v>F</v>
      </c>
      <c r="P32" s="392" t="str">
        <f t="shared" si="7"/>
        <v>E</v>
      </c>
      <c r="Q32" s="392" t="str">
        <f t="shared" si="8"/>
        <v>F</v>
      </c>
      <c r="R32" s="398" t="str">
        <f t="shared" si="9"/>
        <v>E</v>
      </c>
      <c r="S32" s="346">
        <f t="shared" si="10"/>
        <v>4.9</v>
      </c>
      <c r="T32" s="461" t="s">
        <v>446</v>
      </c>
      <c r="U32" s="462">
        <v>0.2</v>
      </c>
      <c r="V32" s="205"/>
      <c r="W32" s="450"/>
      <c r="X32" s="17"/>
      <c r="Y32" s="17"/>
      <c r="Z32" s="17"/>
      <c r="AA32" s="17"/>
      <c r="AB32" s="17"/>
      <c r="AC32" s="17"/>
    </row>
    <row r="33">
      <c r="A33" s="388" t="str">
        <f>'Halo Reach Stats'!A33</f>
        <v>NOPLEX</v>
      </c>
      <c r="B33" s="389">
        <f>IFERROR(VLOOKUP(A33,'PG Stats'!A:Q,11,0),)</f>
        <v>0</v>
      </c>
      <c r="C33" s="389">
        <f>IFERROR(VLOOKUP(A33,'PG Stats'!A:Q,12,0),)</f>
        <v>-0.9382853951</v>
      </c>
      <c r="D33" s="390">
        <f>IFERROR(VLOOKUP(A33,'PG Stats'!A:Q,13,0),)</f>
        <v>0.05026528903</v>
      </c>
      <c r="E33" s="390">
        <f>IFERROR(VLOOKUP(A33,'PG Stats'!A:Q,14,0),)</f>
        <v>0.03351019268</v>
      </c>
      <c r="F33" s="390">
        <f>IFERROR(VLOOKUP(A33,'PG Stats'!A:Q,15,0),)</f>
        <v>0.4188774085</v>
      </c>
      <c r="G33" s="391">
        <f>IFERROR(VLOOKUP(A33,'PG Stats'!A:Q,16,0),)</f>
        <v>0.1005305781</v>
      </c>
      <c r="H33" s="391">
        <f>IFERROR(VLOOKUP(A33,'PG Stats'!A:Q,17,0),)</f>
        <v>0.01675509634</v>
      </c>
      <c r="I33" s="17"/>
      <c r="J33" s="388" t="str">
        <f>'Halo Reach Stats'!A33</f>
        <v>NOPLEX</v>
      </c>
      <c r="K33" s="392" t="str">
        <f t="shared" si="2"/>
        <v>F</v>
      </c>
      <c r="L33" s="392" t="str">
        <f t="shared" si="3"/>
        <v>E</v>
      </c>
      <c r="M33" s="392" t="str">
        <f t="shared" si="4"/>
        <v>E</v>
      </c>
      <c r="N33" s="392" t="str">
        <f t="shared" si="5"/>
        <v>C</v>
      </c>
      <c r="O33" s="392" t="str">
        <f t="shared" si="6"/>
        <v>D</v>
      </c>
      <c r="P33" s="392" t="str">
        <f t="shared" si="7"/>
        <v>B</v>
      </c>
      <c r="Q33" s="392" t="str">
        <f t="shared" si="8"/>
        <v>C</v>
      </c>
      <c r="R33" s="398" t="str">
        <f t="shared" si="9"/>
        <v>D</v>
      </c>
      <c r="S33" s="346">
        <f t="shared" si="10"/>
        <v>8.2</v>
      </c>
      <c r="T33" s="17"/>
      <c r="U33" s="17"/>
      <c r="V33" s="205"/>
      <c r="W33" s="450"/>
      <c r="X33" s="17"/>
      <c r="Y33" s="17"/>
      <c r="Z33" s="17"/>
      <c r="AA33" s="17"/>
      <c r="AB33" s="17"/>
      <c r="AC33" s="17"/>
    </row>
    <row r="34">
      <c r="A34" s="388" t="str">
        <f>'Halo Reach Stats'!A34</f>
        <v>oDhmon</v>
      </c>
      <c r="B34" s="389">
        <f>IFERROR(VLOOKUP(A34,'PG Stats'!A:Q,11,0),)</f>
        <v>0.0406504065</v>
      </c>
      <c r="C34" s="389">
        <f>IFERROR(VLOOKUP(A34,'PG Stats'!A:Q,12,0),)</f>
        <v>0.843495935</v>
      </c>
      <c r="D34" s="390">
        <f>IFERROR(VLOOKUP(A34,'PG Stats'!A:Q,13,0),)</f>
        <v>0.2235772358</v>
      </c>
      <c r="E34" s="390">
        <f>IFERROR(VLOOKUP(A34,'PG Stats'!A:Q,14,0),)</f>
        <v>0.1016260163</v>
      </c>
      <c r="F34" s="390">
        <f>IFERROR(VLOOKUP(A34,'PG Stats'!A:Q,15,0),)</f>
        <v>0.5487804878</v>
      </c>
      <c r="G34" s="391">
        <f>IFERROR(VLOOKUP(A34,'PG Stats'!A:Q,16,0),)</f>
        <v>0.1321138211</v>
      </c>
      <c r="H34" s="391">
        <f>IFERROR(VLOOKUP(A34,'PG Stats'!A:Q,17,0),)</f>
        <v>0.08130081301</v>
      </c>
      <c r="I34" s="17"/>
      <c r="J34" s="388" t="str">
        <f>'Halo Reach Stats'!A34</f>
        <v>oDhmon</v>
      </c>
      <c r="K34" s="392" t="str">
        <f t="shared" si="2"/>
        <v>A</v>
      </c>
      <c r="L34" s="392" t="str">
        <f t="shared" si="3"/>
        <v>S</v>
      </c>
      <c r="M34" s="392" t="str">
        <f t="shared" si="4"/>
        <v>S</v>
      </c>
      <c r="N34" s="392" t="str">
        <f t="shared" si="5"/>
        <v>A</v>
      </c>
      <c r="O34" s="392" t="str">
        <f t="shared" si="6"/>
        <v>A</v>
      </c>
      <c r="P34" s="392" t="str">
        <f t="shared" si="7"/>
        <v>S</v>
      </c>
      <c r="Q34" s="392" t="str">
        <f t="shared" si="8"/>
        <v>S</v>
      </c>
      <c r="R34" s="398" t="str">
        <f t="shared" si="9"/>
        <v>S</v>
      </c>
      <c r="S34" s="346">
        <f t="shared" si="10"/>
        <v>18.6</v>
      </c>
      <c r="T34" s="17"/>
      <c r="U34" s="17"/>
      <c r="V34" s="205"/>
      <c r="W34" s="450"/>
      <c r="X34" s="17"/>
      <c r="Y34" s="17"/>
      <c r="Z34" s="17"/>
      <c r="AA34" s="17"/>
      <c r="AB34" s="17"/>
      <c r="AC34" s="17"/>
    </row>
    <row r="35">
      <c r="A35" s="388" t="str">
        <f>'Halo Reach Stats'!A35</f>
        <v>Rage More Nerd</v>
      </c>
      <c r="B35" s="389">
        <f>IFERROR(VLOOKUP(A35,'PG Stats'!A:Q,11,0),)</f>
        <v>0</v>
      </c>
      <c r="C35" s="389">
        <f>IFERROR(VLOOKUP(A35,'PG Stats'!A:Q,12,0),)</f>
        <v>0.4191363251</v>
      </c>
      <c r="D35" s="390">
        <f>IFERROR(VLOOKUP(A35,'PG Stats'!A:Q,13,0),)</f>
        <v>0.08890770533</v>
      </c>
      <c r="E35" s="390">
        <f>IFERROR(VLOOKUP(A35,'PG Stats'!A:Q,14,0),)</f>
        <v>0.05080440305</v>
      </c>
      <c r="F35" s="390">
        <f>IFERROR(VLOOKUP(A35,'PG Stats'!A:Q,15,0),)</f>
        <v>0.5080440305</v>
      </c>
      <c r="G35" s="391">
        <f>IFERROR(VLOOKUP(A35,'PG Stats'!A:Q,16,0),)</f>
        <v>0.1397121084</v>
      </c>
      <c r="H35" s="391">
        <f>IFERROR(VLOOKUP(A35,'PG Stats'!A:Q,17,0),)</f>
        <v>0.02540220152</v>
      </c>
      <c r="I35" s="17"/>
      <c r="J35" s="388" t="str">
        <f>'Halo Reach Stats'!A35</f>
        <v>Rage More Nerd</v>
      </c>
      <c r="K35" s="392" t="str">
        <f t="shared" si="2"/>
        <v>F</v>
      </c>
      <c r="L35" s="392" t="str">
        <f t="shared" si="3"/>
        <v>A</v>
      </c>
      <c r="M35" s="392" t="str">
        <f t="shared" si="4"/>
        <v>C</v>
      </c>
      <c r="N35" s="392" t="str">
        <f t="shared" si="5"/>
        <v>B</v>
      </c>
      <c r="O35" s="392" t="str">
        <f t="shared" si="6"/>
        <v>B</v>
      </c>
      <c r="P35" s="392" t="str">
        <f t="shared" si="7"/>
        <v>S</v>
      </c>
      <c r="Q35" s="392" t="str">
        <f t="shared" si="8"/>
        <v>B</v>
      </c>
      <c r="R35" s="398" t="str">
        <f t="shared" si="9"/>
        <v>B</v>
      </c>
      <c r="S35" s="346">
        <f t="shared" si="10"/>
        <v>13.6</v>
      </c>
      <c r="T35" s="17"/>
      <c r="U35" s="17"/>
      <c r="V35" s="205"/>
      <c r="W35" s="450"/>
      <c r="X35" s="17"/>
      <c r="Y35" s="17"/>
      <c r="Z35" s="17"/>
      <c r="AA35" s="17"/>
      <c r="AB35" s="17"/>
      <c r="AC35" s="17"/>
    </row>
    <row r="36">
      <c r="A36" s="388" t="str">
        <f>'Halo Reach Stats'!A36</f>
        <v>Sabasauros rex</v>
      </c>
      <c r="B36" s="389">
        <f>IFERROR(VLOOKUP(A36,'PG Stats'!A:Q,11,0),)</f>
        <v>0.08691873099</v>
      </c>
      <c r="C36" s="389">
        <f>IFERROR(VLOOKUP(A36,'PG Stats'!A:Q,12,0),)</f>
        <v>0.3389830508</v>
      </c>
      <c r="D36" s="390">
        <f>IFERROR(VLOOKUP(A36,'PG Stats'!A:Q,13,0),)</f>
        <v>0.03476749239</v>
      </c>
      <c r="E36" s="390">
        <f>IFERROR(VLOOKUP(A36,'PG Stats'!A:Q,14,0),)</f>
        <v>0.06953498479</v>
      </c>
      <c r="F36" s="390">
        <f>IFERROR(VLOOKUP(A36,'PG Stats'!A:Q,15,0),)</f>
        <v>0.2868318123</v>
      </c>
      <c r="G36" s="391">
        <f>IFERROR(VLOOKUP(A36,'PG Stats'!A:Q,16,0),)</f>
        <v>0.03476749239</v>
      </c>
      <c r="H36" s="391">
        <f>IFERROR(VLOOKUP(A36,'PG Stats'!A:Q,17,0),)</f>
        <v>0.0260756193</v>
      </c>
      <c r="I36" s="17"/>
      <c r="J36" s="388" t="str">
        <f>'Halo Reach Stats'!A36</f>
        <v>Sabasauros rex</v>
      </c>
      <c r="K36" s="392" t="str">
        <f t="shared" si="2"/>
        <v>S</v>
      </c>
      <c r="L36" s="392" t="str">
        <f t="shared" si="3"/>
        <v>A</v>
      </c>
      <c r="M36" s="392" t="str">
        <f t="shared" si="4"/>
        <v>E</v>
      </c>
      <c r="N36" s="392" t="str">
        <f t="shared" si="5"/>
        <v>A</v>
      </c>
      <c r="O36" s="392" t="str">
        <f t="shared" si="6"/>
        <v>F</v>
      </c>
      <c r="P36" s="392" t="str">
        <f t="shared" si="7"/>
        <v>E</v>
      </c>
      <c r="Q36" s="392" t="str">
        <f t="shared" si="8"/>
        <v>B</v>
      </c>
      <c r="R36" s="398" t="str">
        <f t="shared" si="9"/>
        <v>C</v>
      </c>
      <c r="S36" s="346">
        <f t="shared" si="10"/>
        <v>10.6</v>
      </c>
      <c r="T36" s="17"/>
      <c r="U36" s="17"/>
      <c r="V36" s="205"/>
      <c r="W36" s="450"/>
      <c r="X36" s="17"/>
      <c r="Y36" s="17"/>
      <c r="Z36" s="17"/>
      <c r="AA36" s="17"/>
      <c r="AB36" s="17"/>
      <c r="AC36" s="17"/>
    </row>
    <row r="37">
      <c r="A37" s="388" t="str">
        <f>'Halo Reach Stats'!A37</f>
        <v>Scullen cx</v>
      </c>
      <c r="B37" s="389">
        <f>IFERROR(VLOOKUP(A37,'PG Stats'!A:Q,11,0),)</f>
        <v>0.02914507772</v>
      </c>
      <c r="C37" s="389">
        <f>IFERROR(VLOOKUP(A37,'PG Stats'!A:Q,12,0),)</f>
        <v>-0.7966321244</v>
      </c>
      <c r="D37" s="390">
        <f>IFERROR(VLOOKUP(A37,'PG Stats'!A:Q,13,0),)</f>
        <v>0.1748704663</v>
      </c>
      <c r="E37" s="390">
        <f>IFERROR(VLOOKUP(A37,'PG Stats'!A:Q,14,0),)</f>
        <v>0.009715025907</v>
      </c>
      <c r="F37" s="390">
        <f>IFERROR(VLOOKUP(A37,'PG Stats'!A:Q,15,0),)</f>
        <v>0.3788860104</v>
      </c>
      <c r="G37" s="391">
        <f>IFERROR(VLOOKUP(A37,'PG Stats'!A:Q,16,0),)</f>
        <v>0.06800518135</v>
      </c>
      <c r="H37" s="391">
        <f>IFERROR(VLOOKUP(A37,'PG Stats'!A:Q,17,0),)</f>
        <v>0.009715025907</v>
      </c>
      <c r="I37" s="17"/>
      <c r="J37" s="388" t="str">
        <f>'Halo Reach Stats'!A37</f>
        <v>Scullen cx</v>
      </c>
      <c r="K37" s="392" t="str">
        <f t="shared" si="2"/>
        <v>B</v>
      </c>
      <c r="L37" s="392" t="str">
        <f t="shared" si="3"/>
        <v>D</v>
      </c>
      <c r="M37" s="392" t="str">
        <f t="shared" si="4"/>
        <v>A</v>
      </c>
      <c r="N37" s="392" t="str">
        <f t="shared" si="5"/>
        <v>D</v>
      </c>
      <c r="O37" s="392" t="str">
        <f t="shared" si="6"/>
        <v>D</v>
      </c>
      <c r="P37" s="392" t="str">
        <f t="shared" si="7"/>
        <v>C</v>
      </c>
      <c r="Q37" s="392" t="str">
        <f t="shared" si="8"/>
        <v>C</v>
      </c>
      <c r="R37" s="398" t="str">
        <f t="shared" si="9"/>
        <v>C</v>
      </c>
      <c r="S37" s="346">
        <f t="shared" si="10"/>
        <v>11.5</v>
      </c>
      <c r="T37" s="17"/>
      <c r="U37" s="17"/>
      <c r="V37" s="205"/>
      <c r="W37" s="450"/>
      <c r="X37" s="17"/>
      <c r="Y37" s="17"/>
      <c r="Z37" s="17"/>
      <c r="AA37" s="17"/>
      <c r="AB37" s="17"/>
      <c r="AC37" s="17"/>
    </row>
    <row r="38">
      <c r="A38" s="388" t="str">
        <f>'Halo Reach Stats'!A38</f>
        <v>siIIy kids</v>
      </c>
      <c r="B38" s="389">
        <f>IFERROR(VLOOKUP(A38,'PG Stats'!A:Q,11,0),)</f>
        <v>0</v>
      </c>
      <c r="C38" s="389">
        <f>IFERROR(VLOOKUP(A38,'PG Stats'!A:Q,12,0),)</f>
        <v>-0.472027972</v>
      </c>
      <c r="D38" s="390">
        <f>IFERROR(VLOOKUP(A38,'PG Stats'!A:Q,13,0),)</f>
        <v>0</v>
      </c>
      <c r="E38" s="390">
        <f>IFERROR(VLOOKUP(A38,'PG Stats'!A:Q,14,0),)</f>
        <v>0.05244755245</v>
      </c>
      <c r="F38" s="390">
        <f>IFERROR(VLOOKUP(A38,'PG Stats'!A:Q,15,0),)</f>
        <v>0.5769230769</v>
      </c>
      <c r="G38" s="391">
        <f>IFERROR(VLOOKUP(A38,'PG Stats'!A:Q,16,0),)</f>
        <v>0.1048951049</v>
      </c>
      <c r="H38" s="391">
        <f>IFERROR(VLOOKUP(A38,'PG Stats'!A:Q,17,0),)</f>
        <v>0.05244755245</v>
      </c>
      <c r="I38" s="17"/>
      <c r="J38" s="388" t="str">
        <f>'Halo Reach Stats'!A38</f>
        <v>siIIy kids</v>
      </c>
      <c r="K38" s="392" t="str">
        <f t="shared" si="2"/>
        <v>F</v>
      </c>
      <c r="L38" s="392" t="str">
        <f t="shared" si="3"/>
        <v>C</v>
      </c>
      <c r="M38" s="392" t="str">
        <f t="shared" si="4"/>
        <v>F</v>
      </c>
      <c r="N38" s="392" t="str">
        <f t="shared" si="5"/>
        <v>B</v>
      </c>
      <c r="O38" s="392" t="str">
        <f t="shared" si="6"/>
        <v>A</v>
      </c>
      <c r="P38" s="392" t="str">
        <f t="shared" si="7"/>
        <v>A</v>
      </c>
      <c r="Q38" s="392" t="str">
        <f t="shared" si="8"/>
        <v>A</v>
      </c>
      <c r="R38" s="398" t="str">
        <f t="shared" si="9"/>
        <v>C</v>
      </c>
      <c r="S38" s="346">
        <f t="shared" si="10"/>
        <v>11.1</v>
      </c>
      <c r="T38" s="17"/>
      <c r="U38" s="17"/>
      <c r="V38" s="205"/>
      <c r="W38" s="450"/>
      <c r="X38" s="17"/>
      <c r="Y38" s="17"/>
      <c r="Z38" s="17"/>
      <c r="AA38" s="17"/>
      <c r="AB38" s="17"/>
      <c r="AC38" s="17"/>
    </row>
    <row r="39">
      <c r="A39" s="388" t="str">
        <f>'Halo Reach Stats'!A39</f>
        <v>Solace VIII</v>
      </c>
      <c r="B39" s="389">
        <f>IFERROR(VLOOKUP(A39,'PG Stats'!A:Q,11,0),)</f>
        <v>0.05244755245</v>
      </c>
      <c r="C39" s="389">
        <f>IFERROR(VLOOKUP(A39,'PG Stats'!A:Q,12,0),)</f>
        <v>-0.3671328671</v>
      </c>
      <c r="D39" s="390">
        <f>IFERROR(VLOOKUP(A39,'PG Stats'!A:Q,13,0),)</f>
        <v>0.1573426573</v>
      </c>
      <c r="E39" s="390">
        <f>IFERROR(VLOOKUP(A39,'PG Stats'!A:Q,14,0),)</f>
        <v>0</v>
      </c>
      <c r="F39" s="390">
        <f>IFERROR(VLOOKUP(A39,'PG Stats'!A:Q,15,0),)</f>
        <v>0.472027972</v>
      </c>
      <c r="G39" s="391">
        <f>IFERROR(VLOOKUP(A39,'PG Stats'!A:Q,16,0),)</f>
        <v>0.1573426573</v>
      </c>
      <c r="H39" s="391">
        <f>IFERROR(VLOOKUP(A39,'PG Stats'!A:Q,17,0),)</f>
        <v>0</v>
      </c>
      <c r="I39" s="17"/>
      <c r="J39" s="388" t="str">
        <f>'Halo Reach Stats'!A39</f>
        <v>Solace VIII</v>
      </c>
      <c r="K39" s="392" t="str">
        <f t="shared" si="2"/>
        <v>A</v>
      </c>
      <c r="L39" s="392" t="str">
        <f t="shared" si="3"/>
        <v>C</v>
      </c>
      <c r="M39" s="392" t="str">
        <f t="shared" si="4"/>
        <v>B</v>
      </c>
      <c r="N39" s="392" t="str">
        <f t="shared" si="5"/>
        <v>F</v>
      </c>
      <c r="O39" s="392" t="str">
        <f t="shared" si="6"/>
        <v>C</v>
      </c>
      <c r="P39" s="392" t="str">
        <f t="shared" si="7"/>
        <v>S</v>
      </c>
      <c r="Q39" s="392" t="str">
        <f t="shared" si="8"/>
        <v>F</v>
      </c>
      <c r="R39" s="398" t="str">
        <f t="shared" si="9"/>
        <v>B</v>
      </c>
      <c r="S39" s="346">
        <f t="shared" si="10"/>
        <v>13.1</v>
      </c>
      <c r="T39" s="17"/>
      <c r="U39" s="17"/>
      <c r="V39" s="205"/>
      <c r="W39" s="450"/>
      <c r="X39" s="17"/>
      <c r="Y39" s="17"/>
      <c r="Z39" s="17"/>
      <c r="AA39" s="17"/>
      <c r="AB39" s="17"/>
      <c r="AC39" s="17"/>
    </row>
    <row r="40">
      <c r="A40" s="388" t="str">
        <f>'Halo Reach Stats'!A40</f>
        <v>SOULBENDERs</v>
      </c>
      <c r="B40" s="389">
        <f>IFERROR(VLOOKUP(A40,'PG Stats'!A:Q,11,0),)</f>
        <v>0</v>
      </c>
      <c r="C40" s="389">
        <f>IFERROR(VLOOKUP(A40,'PG Stats'!A:Q,12,0),)</f>
        <v>-0.2118644068</v>
      </c>
      <c r="D40" s="390">
        <f>IFERROR(VLOOKUP(A40,'PG Stats'!A:Q,13,0),)</f>
        <v>0.08474576271</v>
      </c>
      <c r="E40" s="390">
        <f>IFERROR(VLOOKUP(A40,'PG Stats'!A:Q,14,0),)</f>
        <v>0</v>
      </c>
      <c r="F40" s="390">
        <f>IFERROR(VLOOKUP(A40,'PG Stats'!A:Q,15,0),)</f>
        <v>0.593220339</v>
      </c>
      <c r="G40" s="391">
        <f>IFERROR(VLOOKUP(A40,'PG Stats'!A:Q,16,0),)</f>
        <v>0.08474576271</v>
      </c>
      <c r="H40" s="391">
        <f>IFERROR(VLOOKUP(A40,'PG Stats'!A:Q,17,0),)</f>
        <v>0</v>
      </c>
      <c r="I40" s="17"/>
      <c r="J40" s="388" t="str">
        <f>'Halo Reach Stats'!A40</f>
        <v>SOULBENDERs</v>
      </c>
      <c r="K40" s="392" t="str">
        <f t="shared" si="2"/>
        <v>F</v>
      </c>
      <c r="L40" s="392" t="str">
        <f t="shared" si="3"/>
        <v>C</v>
      </c>
      <c r="M40" s="392" t="str">
        <f t="shared" si="4"/>
        <v>C</v>
      </c>
      <c r="N40" s="392" t="str">
        <f t="shared" si="5"/>
        <v>F</v>
      </c>
      <c r="O40" s="392" t="str">
        <f t="shared" si="6"/>
        <v>A</v>
      </c>
      <c r="P40" s="392" t="str">
        <f t="shared" si="7"/>
        <v>B</v>
      </c>
      <c r="Q40" s="392" t="str">
        <f t="shared" si="8"/>
        <v>F</v>
      </c>
      <c r="R40" s="398" t="str">
        <f t="shared" si="9"/>
        <v>C</v>
      </c>
      <c r="S40" s="346">
        <f t="shared" si="10"/>
        <v>10.2</v>
      </c>
      <c r="T40" s="17"/>
      <c r="U40" s="17"/>
      <c r="V40" s="205"/>
      <c r="W40" s="450"/>
      <c r="X40" s="17"/>
      <c r="Y40" s="17"/>
      <c r="Z40" s="17"/>
      <c r="AA40" s="17"/>
      <c r="AB40" s="17"/>
      <c r="AC40" s="17"/>
    </row>
    <row r="41">
      <c r="A41" s="388" t="str">
        <f>'Halo Reach Stats'!A41</f>
        <v>TommyWstSide</v>
      </c>
      <c r="B41" s="389">
        <f>IFERROR(VLOOKUP(A41,'PG Stats'!A:Q,11,0),)</f>
        <v>0.01240951396</v>
      </c>
      <c r="C41" s="389">
        <f>IFERROR(VLOOKUP(A41,'PG Stats'!A:Q,12,0),)</f>
        <v>-0.1737331954</v>
      </c>
      <c r="D41" s="390">
        <f>IFERROR(VLOOKUP(A41,'PG Stats'!A:Q,13,0),)</f>
        <v>0.1613236815</v>
      </c>
      <c r="E41" s="390">
        <f>IFERROR(VLOOKUP(A41,'PG Stats'!A:Q,14,0),)</f>
        <v>0.02481902792</v>
      </c>
      <c r="F41" s="390">
        <f>IFERROR(VLOOKUP(A41,'PG Stats'!A:Q,15,0),)</f>
        <v>0.5956566701</v>
      </c>
      <c r="G41" s="391">
        <f>IFERROR(VLOOKUP(A41,'PG Stats'!A:Q,16,0),)</f>
        <v>0.0620475698</v>
      </c>
      <c r="H41" s="391">
        <f>IFERROR(VLOOKUP(A41,'PG Stats'!A:Q,17,0),)</f>
        <v>0.02481902792</v>
      </c>
      <c r="I41" s="17"/>
      <c r="J41" s="388" t="str">
        <f>'Halo Reach Stats'!A41</f>
        <v>TommyWstSide</v>
      </c>
      <c r="K41" s="392" t="str">
        <f t="shared" si="2"/>
        <v>C</v>
      </c>
      <c r="L41" s="392" t="str">
        <f t="shared" si="3"/>
        <v>B</v>
      </c>
      <c r="M41" s="392" t="str">
        <f t="shared" si="4"/>
        <v>A</v>
      </c>
      <c r="N41" s="392" t="str">
        <f t="shared" si="5"/>
        <v>C</v>
      </c>
      <c r="O41" s="392" t="str">
        <f t="shared" si="6"/>
        <v>A</v>
      </c>
      <c r="P41" s="392" t="str">
        <f t="shared" si="7"/>
        <v>D</v>
      </c>
      <c r="Q41" s="392" t="str">
        <f t="shared" si="8"/>
        <v>B</v>
      </c>
      <c r="R41" s="398" t="str">
        <f t="shared" si="9"/>
        <v>B</v>
      </c>
      <c r="S41" s="346">
        <f t="shared" si="10"/>
        <v>13.1</v>
      </c>
      <c r="T41" s="17"/>
      <c r="U41" s="17"/>
      <c r="V41" s="205"/>
      <c r="W41" s="450"/>
      <c r="X41" s="17"/>
      <c r="Y41" s="17"/>
      <c r="Z41" s="17"/>
      <c r="AA41" s="17"/>
      <c r="AB41" s="17"/>
      <c r="AC41" s="17"/>
    </row>
    <row r="42">
      <c r="A42" s="388" t="str">
        <f>'Halo Reach Stats'!A42</f>
        <v>unbes</v>
      </c>
      <c r="B42" s="389">
        <f>IFERROR(VLOOKUP(A42,'PG Stats'!A:Q,11,0),)</f>
        <v>0.01667593107</v>
      </c>
      <c r="C42" s="389">
        <f>IFERROR(VLOOKUP(A42,'PG Stats'!A:Q,12,0),)</f>
        <v>0.917176209</v>
      </c>
      <c r="D42" s="390">
        <f>IFERROR(VLOOKUP(A42,'PG Stats'!A:Q,13,0),)</f>
        <v>0.2668148972</v>
      </c>
      <c r="E42" s="390">
        <f>IFERROR(VLOOKUP(A42,'PG Stats'!A:Q,14,0),)</f>
        <v>0.08337965536</v>
      </c>
      <c r="F42" s="390">
        <f>IFERROR(VLOOKUP(A42,'PG Stats'!A:Q,15,0),)</f>
        <v>0.7504168983</v>
      </c>
      <c r="G42" s="391">
        <f>IFERROR(VLOOKUP(A42,'PG Stats'!A:Q,16,0),)</f>
        <v>0.233463035</v>
      </c>
      <c r="H42" s="391">
        <f>IFERROR(VLOOKUP(A42,'PG Stats'!A:Q,17,0),)</f>
        <v>0.06670372429</v>
      </c>
      <c r="I42" s="17"/>
      <c r="J42" s="388" t="str">
        <f>'Halo Reach Stats'!A42</f>
        <v>unbes</v>
      </c>
      <c r="K42" s="392" t="str">
        <f t="shared" si="2"/>
        <v>B</v>
      </c>
      <c r="L42" s="392" t="str">
        <f t="shared" si="3"/>
        <v>S</v>
      </c>
      <c r="M42" s="392" t="str">
        <f t="shared" si="4"/>
        <v>S</v>
      </c>
      <c r="N42" s="392" t="str">
        <f t="shared" si="5"/>
        <v>A</v>
      </c>
      <c r="O42" s="392" t="str">
        <f t="shared" si="6"/>
        <v>S</v>
      </c>
      <c r="P42" s="392" t="str">
        <f t="shared" si="7"/>
        <v>S</v>
      </c>
      <c r="Q42" s="392" t="str">
        <f t="shared" si="8"/>
        <v>S</v>
      </c>
      <c r="R42" s="398" t="str">
        <f t="shared" si="9"/>
        <v>S</v>
      </c>
      <c r="S42" s="346">
        <f t="shared" si="10"/>
        <v>18.6</v>
      </c>
      <c r="T42" s="17"/>
      <c r="U42" s="17"/>
      <c r="V42" s="205"/>
      <c r="W42" s="450"/>
      <c r="X42" s="17"/>
      <c r="Y42" s="17"/>
      <c r="Z42" s="17"/>
      <c r="AA42" s="17"/>
      <c r="AB42" s="17"/>
      <c r="AC42" s="17"/>
    </row>
    <row r="43">
      <c r="A43" s="388" t="str">
        <f>'Halo Reach Stats'!A43</f>
        <v>Vile</v>
      </c>
      <c r="B43" s="389">
        <f>IFERROR(VLOOKUP(A43,'PG Stats'!A:Q,11,0),)</f>
        <v>0.07788414733</v>
      </c>
      <c r="C43" s="389">
        <f>IFERROR(VLOOKUP(A43,'PG Stats'!A:Q,12,0),)</f>
        <v>0.817783547</v>
      </c>
      <c r="D43" s="390">
        <f>IFERROR(VLOOKUP(A43,'PG Stats'!A:Q,13,0),)</f>
        <v>0.07788414733</v>
      </c>
      <c r="E43" s="390">
        <f>IFERROR(VLOOKUP(A43,'PG Stats'!A:Q,14,0),)</f>
        <v>0.1070907026</v>
      </c>
      <c r="F43" s="390">
        <f>IFERROR(VLOOKUP(A43,'PG Stats'!A:Q,15,0),)</f>
        <v>0.4867759208</v>
      </c>
      <c r="G43" s="391">
        <f>IFERROR(VLOOKUP(A43,'PG Stats'!A:Q,16,0),)</f>
        <v>0.08761966575</v>
      </c>
      <c r="H43" s="391">
        <f>IFERROR(VLOOKUP(A43,'PG Stats'!A:Q,17,0),)</f>
        <v>0.04867759208</v>
      </c>
      <c r="I43" s="17"/>
      <c r="J43" s="388" t="str">
        <f>'Halo Reach Stats'!A43</f>
        <v>Vile</v>
      </c>
      <c r="K43" s="392" t="str">
        <f t="shared" si="2"/>
        <v>A</v>
      </c>
      <c r="L43" s="392" t="str">
        <f t="shared" si="3"/>
        <v>A</v>
      </c>
      <c r="M43" s="392" t="str">
        <f t="shared" si="4"/>
        <v>C</v>
      </c>
      <c r="N43" s="392" t="str">
        <f t="shared" si="5"/>
        <v>S</v>
      </c>
      <c r="O43" s="392" t="str">
        <f t="shared" si="6"/>
        <v>B</v>
      </c>
      <c r="P43" s="392" t="str">
        <f t="shared" si="7"/>
        <v>B</v>
      </c>
      <c r="Q43" s="392" t="str">
        <f t="shared" si="8"/>
        <v>A</v>
      </c>
      <c r="R43" s="398" t="str">
        <f t="shared" si="9"/>
        <v>B</v>
      </c>
      <c r="S43" s="346">
        <f t="shared" si="10"/>
        <v>15</v>
      </c>
      <c r="T43" s="17"/>
      <c r="U43" s="17"/>
      <c r="V43" s="205"/>
      <c r="W43" s="450"/>
      <c r="X43" s="17"/>
      <c r="Y43" s="17"/>
      <c r="Z43" s="17"/>
      <c r="AA43" s="17"/>
      <c r="AB43" s="17"/>
      <c r="AC43" s="17"/>
    </row>
    <row r="44">
      <c r="A44" s="388" t="str">
        <f>'Halo Reach Stats'!A44</f>
        <v>Yaeqin</v>
      </c>
      <c r="B44" s="389">
        <f>IFERROR(VLOOKUP(A44,'PG Stats'!A:Q,11,0),)</f>
        <v>0.03344481605</v>
      </c>
      <c r="C44" s="389">
        <f>IFERROR(VLOOKUP(A44,'PG Stats'!A:Q,12,0),)</f>
        <v>-0.1003344482</v>
      </c>
      <c r="D44" s="390">
        <f>IFERROR(VLOOKUP(A44,'PG Stats'!A:Q,13,0),)</f>
        <v>0.1672240803</v>
      </c>
      <c r="E44" s="390">
        <f>IFERROR(VLOOKUP(A44,'PG Stats'!A:Q,14,0),)</f>
        <v>0</v>
      </c>
      <c r="F44" s="390">
        <f>IFERROR(VLOOKUP(A44,'PG Stats'!A:Q,15,0),)</f>
        <v>0.4347826087</v>
      </c>
      <c r="G44" s="391">
        <f>IFERROR(VLOOKUP(A44,'PG Stats'!A:Q,16,0),)</f>
        <v>0.06688963211</v>
      </c>
      <c r="H44" s="391">
        <f>IFERROR(VLOOKUP(A44,'PG Stats'!A:Q,17,0),)</f>
        <v>0</v>
      </c>
      <c r="I44" s="17"/>
      <c r="J44" s="388" t="str">
        <f>'Halo Reach Stats'!A44</f>
        <v>Yaeqin</v>
      </c>
      <c r="K44" s="392" t="str">
        <f t="shared" si="2"/>
        <v>B</v>
      </c>
      <c r="L44" s="392" t="str">
        <f t="shared" si="3"/>
        <v>B</v>
      </c>
      <c r="M44" s="392" t="str">
        <f t="shared" si="4"/>
        <v>A</v>
      </c>
      <c r="N44" s="392" t="str">
        <f t="shared" si="5"/>
        <v>F</v>
      </c>
      <c r="O44" s="392" t="str">
        <f t="shared" si="6"/>
        <v>C</v>
      </c>
      <c r="P44" s="392" t="str">
        <f t="shared" si="7"/>
        <v>C</v>
      </c>
      <c r="Q44" s="392" t="str">
        <f t="shared" si="8"/>
        <v>F</v>
      </c>
      <c r="R44" s="398" t="str">
        <f t="shared" si="9"/>
        <v>C</v>
      </c>
      <c r="S44" s="346">
        <f t="shared" si="10"/>
        <v>11.9</v>
      </c>
      <c r="T44" s="17"/>
      <c r="U44" s="17"/>
      <c r="V44" s="205"/>
      <c r="W44" s="450"/>
      <c r="X44" s="17"/>
      <c r="Y44" s="17"/>
      <c r="Z44" s="17"/>
      <c r="AA44" s="17"/>
      <c r="AB44" s="17"/>
      <c r="AC44" s="17"/>
    </row>
    <row r="45">
      <c r="A45" s="388" t="str">
        <f>'Halo Reach Stats'!A45</f>
        <v>Yejis Aegyo</v>
      </c>
      <c r="B45" s="389">
        <f>IFERROR(VLOOKUP(A45,'PG Stats'!A:Q,11,0),)</f>
        <v>0</v>
      </c>
      <c r="C45" s="389">
        <f>IFERROR(VLOOKUP(A45,'PG Stats'!A:Q,12,0),)</f>
        <v>-0.07579346281</v>
      </c>
      <c r="D45" s="390">
        <f>IFERROR(VLOOKUP(A45,'PG Stats'!A:Q,13,0),)</f>
        <v>0.04737091426</v>
      </c>
      <c r="E45" s="390">
        <f>IFERROR(VLOOKUP(A45,'PG Stats'!A:Q,14,0),)</f>
        <v>0.05684509711</v>
      </c>
      <c r="F45" s="390">
        <f>IFERROR(VLOOKUP(A45,'PG Stats'!A:Q,15,0),)</f>
        <v>0.6442444339</v>
      </c>
      <c r="G45" s="391">
        <f>IFERROR(VLOOKUP(A45,'PG Stats'!A:Q,16,0),)</f>
        <v>0.1042160114</v>
      </c>
      <c r="H45" s="391">
        <f>IFERROR(VLOOKUP(A45,'PG Stats'!A:Q,17,0),)</f>
        <v>0.04737091426</v>
      </c>
      <c r="I45" s="17"/>
      <c r="J45" s="388" t="str">
        <f>'Halo Reach Stats'!A45</f>
        <v>Yejis Aegyo</v>
      </c>
      <c r="K45" s="392" t="str">
        <f t="shared" si="2"/>
        <v>F</v>
      </c>
      <c r="L45" s="392" t="str">
        <f t="shared" si="3"/>
        <v>B</v>
      </c>
      <c r="M45" s="392" t="str">
        <f t="shared" si="4"/>
        <v>E</v>
      </c>
      <c r="N45" s="392" t="str">
        <f t="shared" si="5"/>
        <v>B</v>
      </c>
      <c r="O45" s="392" t="str">
        <f t="shared" si="6"/>
        <v>S</v>
      </c>
      <c r="P45" s="392" t="str">
        <f t="shared" si="7"/>
        <v>A</v>
      </c>
      <c r="Q45" s="392" t="str">
        <f t="shared" si="8"/>
        <v>A</v>
      </c>
      <c r="R45" s="398" t="str">
        <f t="shared" si="9"/>
        <v>C</v>
      </c>
      <c r="S45" s="346">
        <f t="shared" si="10"/>
        <v>12.5</v>
      </c>
      <c r="T45" s="17"/>
      <c r="U45" s="17"/>
      <c r="V45" s="205"/>
      <c r="W45" s="450"/>
      <c r="X45" s="17"/>
      <c r="Y45" s="17"/>
      <c r="Z45" s="17"/>
      <c r="AA45" s="17"/>
      <c r="AB45" s="17"/>
      <c r="AC45" s="17"/>
    </row>
    <row r="46">
      <c r="A46" s="388" t="str">
        <f>'Halo Reach Stats'!A46</f>
        <v>yLuxe</v>
      </c>
      <c r="B46" s="389">
        <f>IFERROR(VLOOKUP(A46,'PG Stats'!A:Q,11,0),)</f>
        <v>0.233463035</v>
      </c>
      <c r="C46" s="389">
        <f>IFERROR(VLOOKUP(A46,'PG Stats'!A:Q,12,0),)</f>
        <v>1.150639244</v>
      </c>
      <c r="D46" s="390">
        <f>IFERROR(VLOOKUP(A46,'PG Stats'!A:Q,13,0),)</f>
        <v>0.05002779322</v>
      </c>
      <c r="E46" s="390">
        <f>IFERROR(VLOOKUP(A46,'PG Stats'!A:Q,14,0),)</f>
        <v>0.1334074486</v>
      </c>
      <c r="F46" s="390">
        <f>IFERROR(VLOOKUP(A46,'PG Stats'!A:Q,15,0),)</f>
        <v>0.3835464147</v>
      </c>
      <c r="G46" s="391">
        <f>IFERROR(VLOOKUP(A46,'PG Stats'!A:Q,16,0),)</f>
        <v>0.05002779322</v>
      </c>
      <c r="H46" s="391">
        <f>IFERROR(VLOOKUP(A46,'PG Stats'!A:Q,17,0),)</f>
        <v>0.01667593107</v>
      </c>
      <c r="I46" s="17"/>
      <c r="J46" s="388" t="str">
        <f>'Halo Reach Stats'!A46</f>
        <v>yLuxe</v>
      </c>
      <c r="K46" s="392" t="str">
        <f t="shared" si="2"/>
        <v>S</v>
      </c>
      <c r="L46" s="392" t="str">
        <f t="shared" si="3"/>
        <v>S</v>
      </c>
      <c r="M46" s="392" t="str">
        <f t="shared" si="4"/>
        <v>E</v>
      </c>
      <c r="N46" s="392" t="str">
        <f t="shared" si="5"/>
        <v>S</v>
      </c>
      <c r="O46" s="392" t="str">
        <f t="shared" si="6"/>
        <v>D</v>
      </c>
      <c r="P46" s="392" t="str">
        <f t="shared" si="7"/>
        <v>D</v>
      </c>
      <c r="Q46" s="392" t="str">
        <f t="shared" si="8"/>
        <v>C</v>
      </c>
      <c r="R46" s="398" t="str">
        <f t="shared" si="9"/>
        <v>C</v>
      </c>
      <c r="S46" s="346">
        <f t="shared" si="10"/>
        <v>12.5</v>
      </c>
      <c r="T46" s="17"/>
      <c r="U46" s="17"/>
      <c r="V46" s="205"/>
      <c r="W46" s="450"/>
      <c r="X46" s="17"/>
      <c r="Y46" s="17"/>
      <c r="Z46" s="17"/>
      <c r="AA46" s="17"/>
      <c r="AB46" s="17"/>
      <c r="AC46" s="17"/>
    </row>
    <row r="47">
      <c r="A47" s="388" t="str">
        <f>'Halo Reach Stats'!A47</f>
        <v>Zelynthia</v>
      </c>
      <c r="B47" s="389">
        <f>IFERROR(VLOOKUP(A47,'PG Stats'!A:Q,11,0),)</f>
        <v>0.01667593107</v>
      </c>
      <c r="C47" s="389">
        <f>IFERROR(VLOOKUP(A47,'PG Stats'!A:Q,12,0),)</f>
        <v>-0.9838799333</v>
      </c>
      <c r="D47" s="390">
        <f>IFERROR(VLOOKUP(A47,'PG Stats'!A:Q,13,0),)</f>
        <v>0.1834352418</v>
      </c>
      <c r="E47" s="390">
        <f>IFERROR(VLOOKUP(A47,'PG Stats'!A:Q,14,0),)</f>
        <v>0.01667593107</v>
      </c>
      <c r="F47" s="390">
        <f>IFERROR(VLOOKUP(A47,'PG Stats'!A:Q,15,0),)</f>
        <v>0.4335742079</v>
      </c>
      <c r="G47" s="391">
        <f>IFERROR(VLOOKUP(A47,'PG Stats'!A:Q,16,0),)</f>
        <v>0.01667593107</v>
      </c>
      <c r="H47" s="391">
        <f>IFERROR(VLOOKUP(A47,'PG Stats'!A:Q,17,0),)</f>
        <v>0.01667593107</v>
      </c>
      <c r="I47" s="17"/>
      <c r="J47" s="388" t="str">
        <f>'Halo Reach Stats'!A47</f>
        <v>Zelynthia</v>
      </c>
      <c r="K47" s="392" t="str">
        <f t="shared" si="2"/>
        <v>B</v>
      </c>
      <c r="L47" s="392" t="str">
        <f t="shared" si="3"/>
        <v>E</v>
      </c>
      <c r="M47" s="392" t="str">
        <f t="shared" si="4"/>
        <v>A</v>
      </c>
      <c r="N47" s="392" t="str">
        <f t="shared" si="5"/>
        <v>D</v>
      </c>
      <c r="O47" s="392" t="str">
        <f t="shared" si="6"/>
        <v>C</v>
      </c>
      <c r="P47" s="392" t="str">
        <f t="shared" si="7"/>
        <v>F</v>
      </c>
      <c r="Q47" s="392" t="str">
        <f t="shared" si="8"/>
        <v>C</v>
      </c>
      <c r="R47" s="463" t="str">
        <f t="shared" si="9"/>
        <v>D</v>
      </c>
      <c r="S47" s="346">
        <f t="shared" si="10"/>
        <v>9.6</v>
      </c>
      <c r="T47" s="17"/>
      <c r="U47" s="17"/>
      <c r="V47" s="205"/>
      <c r="W47" s="450"/>
      <c r="X47" s="17"/>
      <c r="Y47" s="17"/>
      <c r="Z47" s="17"/>
      <c r="AA47" s="17"/>
      <c r="AB47" s="17"/>
      <c r="AC47" s="17"/>
    </row>
    <row r="48" hidden="1">
      <c r="A48" s="388" t="str">
        <f>'Halo Reach Stats'!A48</f>
        <v/>
      </c>
      <c r="B48" s="389" t="str">
        <f>IFERROR(VLOOKUP(A48,'PG Stats'!A:Q,11,0),)</f>
        <v/>
      </c>
      <c r="C48" s="389" t="str">
        <f>IFERROR(VLOOKUP(A48,'PG Stats'!A:Q,12,0),)</f>
        <v/>
      </c>
      <c r="D48" s="390" t="str">
        <f>IFERROR(VLOOKUP(A48,'PG Stats'!A:Q,13,0),)</f>
        <v/>
      </c>
      <c r="E48" s="390" t="str">
        <f>IFERROR(VLOOKUP(A48,'PG Stats'!A:Q,14,0),)</f>
        <v/>
      </c>
      <c r="F48" s="390" t="str">
        <f>IFERROR(VLOOKUP(A48,'PG Stats'!A:Q,15,0),)</f>
        <v/>
      </c>
      <c r="G48" s="391" t="str">
        <f>IFERROR(VLOOKUP(A48,'PG Stats'!A:Q,16,0),)</f>
        <v/>
      </c>
      <c r="H48" s="391" t="str">
        <f>IFERROR(VLOOKUP(A48,'PG Stats'!A:Q,17,0),)</f>
        <v/>
      </c>
      <c r="I48" s="17"/>
      <c r="J48" s="388" t="str">
        <f>'Halo Reach Stats'!A48</f>
        <v/>
      </c>
      <c r="K48" s="392" t="str">
        <f t="shared" si="2"/>
        <v>F</v>
      </c>
      <c r="L48" s="392" t="str">
        <f t="shared" si="3"/>
        <v>A</v>
      </c>
      <c r="M48" s="392" t="str">
        <f t="shared" si="4"/>
        <v>F</v>
      </c>
      <c r="N48" s="392" t="str">
        <f t="shared" si="5"/>
        <v>F</v>
      </c>
      <c r="O48" s="392" t="str">
        <f t="shared" si="6"/>
        <v>F</v>
      </c>
      <c r="P48" s="392" t="str">
        <f t="shared" si="7"/>
        <v>F</v>
      </c>
      <c r="Q48" s="392" t="str">
        <f t="shared" si="8"/>
        <v>F</v>
      </c>
      <c r="R48" s="463" t="str">
        <f t="shared" si="9"/>
        <v>E</v>
      </c>
      <c r="S48" s="346">
        <f t="shared" si="10"/>
        <v>5.3</v>
      </c>
      <c r="T48" s="17"/>
      <c r="U48" s="17"/>
      <c r="V48" s="205"/>
      <c r="W48" s="450"/>
      <c r="X48" s="17"/>
      <c r="Y48" s="17"/>
      <c r="Z48" s="17"/>
      <c r="AA48" s="17"/>
      <c r="AB48" s="17"/>
      <c r="AC48" s="17"/>
    </row>
    <row r="49" hidden="1">
      <c r="A49" s="388" t="str">
        <f>'Halo Reach Stats'!A49</f>
        <v/>
      </c>
      <c r="B49" s="389" t="str">
        <f>IFERROR(VLOOKUP(A49,'PG Stats'!A:Q,11,0),)</f>
        <v/>
      </c>
      <c r="C49" s="389" t="str">
        <f>IFERROR(VLOOKUP(A49,'PG Stats'!A:Q,12,0),)</f>
        <v/>
      </c>
      <c r="D49" s="390" t="str">
        <f>IFERROR(VLOOKUP(A49,'PG Stats'!A:Q,13,0),)</f>
        <v/>
      </c>
      <c r="E49" s="390" t="str">
        <f>IFERROR(VLOOKUP(A49,'PG Stats'!A:Q,14,0),)</f>
        <v/>
      </c>
      <c r="F49" s="390" t="str">
        <f>IFERROR(VLOOKUP(A49,'PG Stats'!A:Q,15,0),)</f>
        <v/>
      </c>
      <c r="G49" s="391" t="str">
        <f>IFERROR(VLOOKUP(A49,'PG Stats'!A:Q,16,0),)</f>
        <v/>
      </c>
      <c r="H49" s="391" t="str">
        <f>IFERROR(VLOOKUP(A49,'PG Stats'!A:Q,17,0),)</f>
        <v/>
      </c>
      <c r="I49" s="17"/>
      <c r="J49" s="388" t="str">
        <f>'Halo Reach Stats'!A49</f>
        <v/>
      </c>
      <c r="K49" s="392" t="str">
        <f t="shared" si="2"/>
        <v>F</v>
      </c>
      <c r="L49" s="392" t="str">
        <f t="shared" si="3"/>
        <v>A</v>
      </c>
      <c r="M49" s="392" t="str">
        <f t="shared" si="4"/>
        <v>F</v>
      </c>
      <c r="N49" s="392" t="str">
        <f t="shared" si="5"/>
        <v>F</v>
      </c>
      <c r="O49" s="392" t="str">
        <f t="shared" si="6"/>
        <v>F</v>
      </c>
      <c r="P49" s="392" t="str">
        <f t="shared" si="7"/>
        <v>F</v>
      </c>
      <c r="Q49" s="392" t="str">
        <f t="shared" si="8"/>
        <v>F</v>
      </c>
      <c r="R49" s="463" t="str">
        <f t="shared" si="9"/>
        <v>E</v>
      </c>
      <c r="S49" s="346">
        <f t="shared" si="10"/>
        <v>5.3</v>
      </c>
      <c r="T49" s="17"/>
      <c r="U49" s="17"/>
      <c r="V49" s="205"/>
      <c r="W49" s="450"/>
      <c r="X49" s="17"/>
      <c r="Y49" s="17"/>
      <c r="Z49" s="17"/>
      <c r="AA49" s="17"/>
      <c r="AB49" s="17"/>
      <c r="AC49" s="17"/>
    </row>
    <row r="50" hidden="1">
      <c r="A50" s="388" t="str">
        <f>'Halo Reach Stats'!A50</f>
        <v/>
      </c>
      <c r="B50" s="389" t="str">
        <f>IFERROR(VLOOKUP(A50,'PG Stats'!A:Q,11,0),)</f>
        <v/>
      </c>
      <c r="C50" s="389" t="str">
        <f>IFERROR(VLOOKUP(A50,'PG Stats'!A:Q,12,0),)</f>
        <v/>
      </c>
      <c r="D50" s="390" t="str">
        <f>IFERROR(VLOOKUP(A50,'PG Stats'!A:Q,13,0),)</f>
        <v/>
      </c>
      <c r="E50" s="390" t="str">
        <f>IFERROR(VLOOKUP(A50,'PG Stats'!A:Q,14,0),)</f>
        <v/>
      </c>
      <c r="F50" s="390" t="str">
        <f>IFERROR(VLOOKUP(A50,'PG Stats'!A:Q,15,0),)</f>
        <v/>
      </c>
      <c r="G50" s="391" t="str">
        <f>IFERROR(VLOOKUP(A50,'PG Stats'!A:Q,16,0),)</f>
        <v/>
      </c>
      <c r="H50" s="391" t="str">
        <f>IFERROR(VLOOKUP(A50,'PG Stats'!A:Q,17,0),)</f>
        <v/>
      </c>
      <c r="I50" s="17"/>
      <c r="J50" s="388" t="str">
        <f>'Halo Reach Stats'!A50</f>
        <v/>
      </c>
      <c r="K50" s="392" t="str">
        <f t="shared" si="2"/>
        <v>F</v>
      </c>
      <c r="L50" s="392" t="str">
        <f t="shared" si="3"/>
        <v>A</v>
      </c>
      <c r="M50" s="392" t="str">
        <f t="shared" si="4"/>
        <v>F</v>
      </c>
      <c r="N50" s="392" t="str">
        <f t="shared" si="5"/>
        <v>F</v>
      </c>
      <c r="O50" s="392" t="str">
        <f t="shared" si="6"/>
        <v>F</v>
      </c>
      <c r="P50" s="392" t="str">
        <f t="shared" si="7"/>
        <v>F</v>
      </c>
      <c r="Q50" s="392" t="str">
        <f t="shared" si="8"/>
        <v>F</v>
      </c>
      <c r="R50" s="463" t="str">
        <f t="shared" si="9"/>
        <v>E</v>
      </c>
      <c r="S50" s="346">
        <f t="shared" si="10"/>
        <v>5.3</v>
      </c>
      <c r="T50" s="17"/>
      <c r="U50" s="17"/>
      <c r="V50" s="205"/>
      <c r="W50" s="450"/>
      <c r="X50" s="17"/>
      <c r="Y50" s="17"/>
      <c r="Z50" s="17"/>
      <c r="AA50" s="17"/>
      <c r="AB50" s="17"/>
      <c r="AC50" s="17"/>
    </row>
    <row r="51" hidden="1">
      <c r="A51" s="388" t="str">
        <f>'Halo Reach Stats'!A51</f>
        <v/>
      </c>
      <c r="B51" s="389" t="str">
        <f>IFERROR(VLOOKUP(A51,'PG Stats'!A:Q,11,0),)</f>
        <v/>
      </c>
      <c r="C51" s="389" t="str">
        <f>IFERROR(VLOOKUP(A51,'PG Stats'!A:Q,12,0),)</f>
        <v/>
      </c>
      <c r="D51" s="390" t="str">
        <f>IFERROR(VLOOKUP(A51,'PG Stats'!A:Q,13,0),)</f>
        <v/>
      </c>
      <c r="E51" s="390" t="str">
        <f>IFERROR(VLOOKUP(A51,'PG Stats'!A:Q,14,0),)</f>
        <v/>
      </c>
      <c r="F51" s="390" t="str">
        <f>IFERROR(VLOOKUP(A51,'PG Stats'!A:Q,15,0),)</f>
        <v/>
      </c>
      <c r="G51" s="391" t="str">
        <f>IFERROR(VLOOKUP(A51,'PG Stats'!A:Q,16,0),)</f>
        <v/>
      </c>
      <c r="H51" s="391" t="str">
        <f>IFERROR(VLOOKUP(A51,'PG Stats'!A:Q,17,0),)</f>
        <v/>
      </c>
      <c r="I51" s="17"/>
      <c r="J51" s="388" t="str">
        <f>'Halo Reach Stats'!A51</f>
        <v/>
      </c>
      <c r="K51" s="392" t="str">
        <f t="shared" si="2"/>
        <v>F</v>
      </c>
      <c r="L51" s="392" t="str">
        <f t="shared" si="3"/>
        <v>A</v>
      </c>
      <c r="M51" s="392" t="str">
        <f t="shared" si="4"/>
        <v>F</v>
      </c>
      <c r="N51" s="392" t="str">
        <f t="shared" si="5"/>
        <v>F</v>
      </c>
      <c r="O51" s="392" t="str">
        <f t="shared" si="6"/>
        <v>F</v>
      </c>
      <c r="P51" s="392" t="str">
        <f t="shared" si="7"/>
        <v>F</v>
      </c>
      <c r="Q51" s="392" t="str">
        <f t="shared" si="8"/>
        <v>F</v>
      </c>
      <c r="R51" s="463" t="str">
        <f t="shared" si="9"/>
        <v>E</v>
      </c>
      <c r="S51" s="346">
        <f t="shared" si="10"/>
        <v>5.3</v>
      </c>
      <c r="T51" s="17"/>
      <c r="U51" s="17"/>
      <c r="V51" s="205"/>
      <c r="W51" s="450"/>
      <c r="X51" s="17"/>
      <c r="Y51" s="17"/>
      <c r="Z51" s="17"/>
      <c r="AA51" s="17"/>
      <c r="AB51" s="17"/>
      <c r="AC51" s="17"/>
    </row>
    <row r="52" hidden="1">
      <c r="A52" s="388" t="str">
        <f>'Halo Reach Stats'!A52</f>
        <v/>
      </c>
      <c r="B52" s="389" t="str">
        <f>IFERROR(VLOOKUP(A52,'PG Stats'!A:Q,11,0),)</f>
        <v/>
      </c>
      <c r="C52" s="389" t="str">
        <f>IFERROR(VLOOKUP(A52,'PG Stats'!A:Q,12,0),)</f>
        <v/>
      </c>
      <c r="D52" s="390" t="str">
        <f>IFERROR(VLOOKUP(A52,'PG Stats'!A:Q,13,0),)</f>
        <v/>
      </c>
      <c r="E52" s="390" t="str">
        <f>IFERROR(VLOOKUP(A52,'PG Stats'!A:Q,14,0),)</f>
        <v/>
      </c>
      <c r="F52" s="390" t="str">
        <f>IFERROR(VLOOKUP(A52,'PG Stats'!A:Q,15,0),)</f>
        <v/>
      </c>
      <c r="G52" s="391" t="str">
        <f>IFERROR(VLOOKUP(A52,'PG Stats'!A:Q,16,0),)</f>
        <v/>
      </c>
      <c r="H52" s="391" t="str">
        <f>IFERROR(VLOOKUP(A52,'PG Stats'!A:Q,17,0),)</f>
        <v/>
      </c>
      <c r="I52" s="17"/>
      <c r="J52" s="388" t="str">
        <f>'Halo Reach Stats'!A52</f>
        <v/>
      </c>
      <c r="K52" s="392" t="str">
        <f t="shared" si="2"/>
        <v>F</v>
      </c>
      <c r="L52" s="392" t="str">
        <f t="shared" si="3"/>
        <v>A</v>
      </c>
      <c r="M52" s="392" t="str">
        <f t="shared" si="4"/>
        <v>F</v>
      </c>
      <c r="N52" s="392" t="str">
        <f t="shared" si="5"/>
        <v>F</v>
      </c>
      <c r="O52" s="392" t="str">
        <f t="shared" si="6"/>
        <v>F</v>
      </c>
      <c r="P52" s="392" t="str">
        <f t="shared" si="7"/>
        <v>F</v>
      </c>
      <c r="Q52" s="392" t="str">
        <f t="shared" si="8"/>
        <v>F</v>
      </c>
      <c r="R52" s="463" t="str">
        <f t="shared" si="9"/>
        <v>E</v>
      </c>
      <c r="S52" s="346">
        <f t="shared" si="10"/>
        <v>5.3</v>
      </c>
      <c r="T52" s="17"/>
      <c r="U52" s="17"/>
      <c r="V52" s="205"/>
      <c r="W52" s="450"/>
      <c r="X52" s="17"/>
      <c r="Y52" s="17"/>
      <c r="Z52" s="17"/>
      <c r="AA52" s="17"/>
      <c r="AB52" s="17"/>
      <c r="AC52" s="17"/>
    </row>
    <row r="53" hidden="1">
      <c r="A53" s="388" t="str">
        <f>'Halo Reach Stats'!A53</f>
        <v/>
      </c>
      <c r="B53" s="389" t="str">
        <f>IFERROR(VLOOKUP(A53,'PG Stats'!A:Q,11,0),)</f>
        <v/>
      </c>
      <c r="C53" s="389" t="str">
        <f>IFERROR(VLOOKUP(A53,'PG Stats'!A:Q,12,0),)</f>
        <v/>
      </c>
      <c r="D53" s="390" t="str">
        <f>IFERROR(VLOOKUP(A53,'PG Stats'!A:Q,13,0),)</f>
        <v/>
      </c>
      <c r="E53" s="390" t="str">
        <f>IFERROR(VLOOKUP(A53,'PG Stats'!A:Q,14,0),)</f>
        <v/>
      </c>
      <c r="F53" s="390" t="str">
        <f>IFERROR(VLOOKUP(A53,'PG Stats'!A:Q,15,0),)</f>
        <v/>
      </c>
      <c r="G53" s="391" t="str">
        <f>IFERROR(VLOOKUP(A53,'PG Stats'!A:Q,16,0),)</f>
        <v/>
      </c>
      <c r="H53" s="391" t="str">
        <f>IFERROR(VLOOKUP(A53,'PG Stats'!A:Q,17,0),)</f>
        <v/>
      </c>
      <c r="I53" s="17"/>
      <c r="J53" s="388" t="str">
        <f>'Halo Reach Stats'!A53</f>
        <v/>
      </c>
      <c r="K53" s="392" t="str">
        <f t="shared" si="2"/>
        <v>F</v>
      </c>
      <c r="L53" s="392" t="str">
        <f t="shared" si="3"/>
        <v>A</v>
      </c>
      <c r="M53" s="392" t="str">
        <f t="shared" si="4"/>
        <v>F</v>
      </c>
      <c r="N53" s="392" t="str">
        <f t="shared" si="5"/>
        <v>F</v>
      </c>
      <c r="O53" s="392" t="str">
        <f t="shared" si="6"/>
        <v>F</v>
      </c>
      <c r="P53" s="392" t="str">
        <f t="shared" si="7"/>
        <v>F</v>
      </c>
      <c r="Q53" s="392" t="str">
        <f t="shared" si="8"/>
        <v>F</v>
      </c>
      <c r="R53" s="463" t="str">
        <f t="shared" si="9"/>
        <v>E</v>
      </c>
      <c r="S53" s="346">
        <f t="shared" si="10"/>
        <v>5.3</v>
      </c>
      <c r="T53" s="17"/>
      <c r="U53" s="17"/>
      <c r="V53" s="205"/>
      <c r="W53" s="450"/>
      <c r="X53" s="17"/>
      <c r="Y53" s="17"/>
      <c r="Z53" s="17"/>
      <c r="AA53" s="17"/>
      <c r="AB53" s="17"/>
      <c r="AC53" s="17"/>
    </row>
    <row r="54" hidden="1">
      <c r="A54" s="388" t="str">
        <f>'Halo Reach Stats'!A54</f>
        <v/>
      </c>
      <c r="B54" s="389" t="str">
        <f>IFERROR(VLOOKUP(A54,'PG Stats'!A:Q,11,0),)</f>
        <v/>
      </c>
      <c r="C54" s="389" t="str">
        <f>IFERROR(VLOOKUP(A54,'PG Stats'!A:Q,12,0),)</f>
        <v/>
      </c>
      <c r="D54" s="390" t="str">
        <f>IFERROR(VLOOKUP(A54,'PG Stats'!A:Q,13,0),)</f>
        <v/>
      </c>
      <c r="E54" s="390" t="str">
        <f>IFERROR(VLOOKUP(A54,'PG Stats'!A:Q,14,0),)</f>
        <v/>
      </c>
      <c r="F54" s="390" t="str">
        <f>IFERROR(VLOOKUP(A54,'PG Stats'!A:Q,15,0),)</f>
        <v/>
      </c>
      <c r="G54" s="391" t="str">
        <f>IFERROR(VLOOKUP(A54,'PG Stats'!A:Q,16,0),)</f>
        <v/>
      </c>
      <c r="H54" s="391" t="str">
        <f>IFERROR(VLOOKUP(A54,'PG Stats'!A:Q,17,0),)</f>
        <v/>
      </c>
      <c r="I54" s="17"/>
      <c r="J54" s="388" t="str">
        <f>'Halo Reach Stats'!A54</f>
        <v/>
      </c>
      <c r="K54" s="392" t="str">
        <f t="shared" si="2"/>
        <v>F</v>
      </c>
      <c r="L54" s="392" t="str">
        <f t="shared" si="3"/>
        <v>A</v>
      </c>
      <c r="M54" s="392" t="str">
        <f t="shared" si="4"/>
        <v>F</v>
      </c>
      <c r="N54" s="392" t="str">
        <f t="shared" si="5"/>
        <v>F</v>
      </c>
      <c r="O54" s="392" t="str">
        <f t="shared" si="6"/>
        <v>F</v>
      </c>
      <c r="P54" s="392" t="str">
        <f t="shared" si="7"/>
        <v>F</v>
      </c>
      <c r="Q54" s="392" t="str">
        <f t="shared" si="8"/>
        <v>F</v>
      </c>
      <c r="R54" s="463" t="str">
        <f t="shared" si="9"/>
        <v>E</v>
      </c>
      <c r="S54" s="346">
        <f t="shared" si="10"/>
        <v>5.3</v>
      </c>
      <c r="T54" s="17"/>
      <c r="U54" s="17"/>
      <c r="V54" s="205"/>
      <c r="W54" s="450"/>
      <c r="X54" s="17"/>
      <c r="Y54" s="17"/>
      <c r="Z54" s="17"/>
      <c r="AA54" s="17"/>
      <c r="AB54" s="17"/>
      <c r="AC54" s="17"/>
    </row>
    <row r="55" hidden="1">
      <c r="A55" s="388" t="str">
        <f>'Halo Reach Stats'!A55</f>
        <v/>
      </c>
      <c r="B55" s="389" t="str">
        <f>IFERROR(VLOOKUP(A55,'PG Stats'!A:Q,11,0),)</f>
        <v/>
      </c>
      <c r="C55" s="389" t="str">
        <f>IFERROR(VLOOKUP(A55,'PG Stats'!A:Q,12,0),)</f>
        <v/>
      </c>
      <c r="D55" s="390" t="str">
        <f>IFERROR(VLOOKUP(A55,'PG Stats'!A:Q,13,0),)</f>
        <v/>
      </c>
      <c r="E55" s="390" t="str">
        <f>IFERROR(VLOOKUP(A55,'PG Stats'!A:Q,14,0),)</f>
        <v/>
      </c>
      <c r="F55" s="390" t="str">
        <f>IFERROR(VLOOKUP(A55,'PG Stats'!A:Q,15,0),)</f>
        <v/>
      </c>
      <c r="G55" s="391" t="str">
        <f>IFERROR(VLOOKUP(A55,'PG Stats'!A:Q,16,0),)</f>
        <v/>
      </c>
      <c r="H55" s="391" t="str">
        <f>IFERROR(VLOOKUP(A55,'PG Stats'!A:Q,17,0),)</f>
        <v/>
      </c>
      <c r="I55" s="17"/>
      <c r="J55" s="388" t="str">
        <f>'Halo Reach Stats'!A55</f>
        <v/>
      </c>
      <c r="K55" s="392" t="str">
        <f t="shared" si="2"/>
        <v>F</v>
      </c>
      <c r="L55" s="392" t="str">
        <f t="shared" si="3"/>
        <v>A</v>
      </c>
      <c r="M55" s="392" t="str">
        <f t="shared" si="4"/>
        <v>F</v>
      </c>
      <c r="N55" s="392" t="str">
        <f t="shared" si="5"/>
        <v>F</v>
      </c>
      <c r="O55" s="392" t="str">
        <f t="shared" si="6"/>
        <v>F</v>
      </c>
      <c r="P55" s="392" t="str">
        <f t="shared" si="7"/>
        <v>F</v>
      </c>
      <c r="Q55" s="392" t="str">
        <f t="shared" si="8"/>
        <v>F</v>
      </c>
      <c r="R55" s="463" t="str">
        <f t="shared" si="9"/>
        <v>E</v>
      </c>
      <c r="S55" s="346">
        <f t="shared" si="10"/>
        <v>5.3</v>
      </c>
      <c r="T55" s="17"/>
      <c r="U55" s="17"/>
      <c r="V55" s="205"/>
      <c r="W55" s="450"/>
      <c r="X55" s="17"/>
      <c r="Y55" s="17"/>
      <c r="Z55" s="17"/>
      <c r="AA55" s="17"/>
      <c r="AB55" s="17"/>
      <c r="AC55" s="17"/>
    </row>
    <row r="56" hidden="1">
      <c r="A56" s="388" t="str">
        <f>'Halo Reach Stats'!A56</f>
        <v/>
      </c>
      <c r="B56" s="389" t="str">
        <f>IFERROR(VLOOKUP(A56,'PG Stats'!A:Q,11,0),)</f>
        <v/>
      </c>
      <c r="C56" s="389" t="str">
        <f>IFERROR(VLOOKUP(A56,'PG Stats'!A:Q,12,0),)</f>
        <v/>
      </c>
      <c r="D56" s="390" t="str">
        <f>IFERROR(VLOOKUP(A56,'PG Stats'!A:Q,13,0),)</f>
        <v/>
      </c>
      <c r="E56" s="390" t="str">
        <f>IFERROR(VLOOKUP(A56,'PG Stats'!A:Q,14,0),)</f>
        <v/>
      </c>
      <c r="F56" s="390" t="str">
        <f>IFERROR(VLOOKUP(A56,'PG Stats'!A:Q,15,0),)</f>
        <v/>
      </c>
      <c r="G56" s="391" t="str">
        <f>IFERROR(VLOOKUP(A56,'PG Stats'!A:Q,16,0),)</f>
        <v/>
      </c>
      <c r="H56" s="391" t="str">
        <f>IFERROR(VLOOKUP(A56,'PG Stats'!A:Q,17,0),)</f>
        <v/>
      </c>
      <c r="I56" s="17"/>
      <c r="J56" s="388" t="str">
        <f>'Halo Reach Stats'!A56</f>
        <v/>
      </c>
      <c r="K56" s="392" t="str">
        <f t="shared" si="2"/>
        <v>F</v>
      </c>
      <c r="L56" s="392" t="str">
        <f t="shared" si="3"/>
        <v>A</v>
      </c>
      <c r="M56" s="392" t="str">
        <f t="shared" si="4"/>
        <v>F</v>
      </c>
      <c r="N56" s="392" t="str">
        <f t="shared" si="5"/>
        <v>F</v>
      </c>
      <c r="O56" s="392" t="str">
        <f t="shared" si="6"/>
        <v>F</v>
      </c>
      <c r="P56" s="392" t="str">
        <f t="shared" si="7"/>
        <v>F</v>
      </c>
      <c r="Q56" s="392" t="str">
        <f t="shared" si="8"/>
        <v>F</v>
      </c>
      <c r="R56" s="463" t="str">
        <f t="shared" si="9"/>
        <v>E</v>
      </c>
      <c r="S56" s="346">
        <f t="shared" si="10"/>
        <v>5.3</v>
      </c>
      <c r="T56" s="17"/>
      <c r="U56" s="17"/>
      <c r="V56" s="205"/>
      <c r="W56" s="450"/>
      <c r="X56" s="17"/>
      <c r="Y56" s="17"/>
      <c r="Z56" s="17"/>
      <c r="AA56" s="17"/>
      <c r="AB56" s="17"/>
      <c r="AC56" s="17"/>
    </row>
    <row r="57" hidden="1">
      <c r="A57" s="388" t="str">
        <f>'Halo Reach Stats'!A57</f>
        <v/>
      </c>
      <c r="B57" s="389" t="str">
        <f>IFERROR(VLOOKUP(A57,'PG Stats'!A:Q,11,0),)</f>
        <v/>
      </c>
      <c r="C57" s="389" t="str">
        <f>IFERROR(VLOOKUP(A57,'PG Stats'!A:Q,12,0),)</f>
        <v/>
      </c>
      <c r="D57" s="390" t="str">
        <f>IFERROR(VLOOKUP(A57,'PG Stats'!A:Q,13,0),)</f>
        <v/>
      </c>
      <c r="E57" s="390" t="str">
        <f>IFERROR(VLOOKUP(A57,'PG Stats'!A:Q,14,0),)</f>
        <v/>
      </c>
      <c r="F57" s="390" t="str">
        <f>IFERROR(VLOOKUP(A57,'PG Stats'!A:Q,15,0),)</f>
        <v/>
      </c>
      <c r="G57" s="391" t="str">
        <f>IFERROR(VLOOKUP(A57,'PG Stats'!A:Q,16,0),)</f>
        <v/>
      </c>
      <c r="H57" s="391" t="str">
        <f>IFERROR(VLOOKUP(A57,'PG Stats'!A:Q,17,0),)</f>
        <v/>
      </c>
      <c r="I57" s="17"/>
      <c r="J57" s="388" t="str">
        <f>'Halo Reach Stats'!A57</f>
        <v/>
      </c>
      <c r="K57" s="392" t="str">
        <f t="shared" si="2"/>
        <v>F</v>
      </c>
      <c r="L57" s="392" t="str">
        <f t="shared" si="3"/>
        <v>A</v>
      </c>
      <c r="M57" s="392" t="str">
        <f t="shared" si="4"/>
        <v>F</v>
      </c>
      <c r="N57" s="392" t="str">
        <f t="shared" si="5"/>
        <v>F</v>
      </c>
      <c r="O57" s="392" t="str">
        <f t="shared" si="6"/>
        <v>F</v>
      </c>
      <c r="P57" s="392" t="str">
        <f t="shared" si="7"/>
        <v>F</v>
      </c>
      <c r="Q57" s="392" t="str">
        <f t="shared" si="8"/>
        <v>F</v>
      </c>
      <c r="R57" s="463" t="str">
        <f t="shared" si="9"/>
        <v>E</v>
      </c>
      <c r="S57" s="346">
        <f t="shared" si="10"/>
        <v>5.3</v>
      </c>
      <c r="T57" s="17"/>
      <c r="U57" s="17"/>
      <c r="V57" s="205"/>
      <c r="W57" s="450"/>
      <c r="X57" s="17"/>
      <c r="Y57" s="17"/>
      <c r="Z57" s="17"/>
      <c r="AA57" s="17"/>
      <c r="AB57" s="17"/>
      <c r="AC57" s="17"/>
    </row>
    <row r="58" hidden="1">
      <c r="A58" s="388" t="str">
        <f>'Halo Reach Stats'!A58</f>
        <v/>
      </c>
      <c r="B58" s="389" t="str">
        <f>IFERROR(VLOOKUP(A58,'PG Stats'!A:Q,11,0),)</f>
        <v/>
      </c>
      <c r="C58" s="389" t="str">
        <f>IFERROR(VLOOKUP(A58,'PG Stats'!A:Q,12,0),)</f>
        <v/>
      </c>
      <c r="D58" s="390" t="str">
        <f>IFERROR(VLOOKUP(A58,'PG Stats'!A:Q,13,0),)</f>
        <v/>
      </c>
      <c r="E58" s="390" t="str">
        <f>IFERROR(VLOOKUP(A58,'PG Stats'!A:Q,14,0),)</f>
        <v/>
      </c>
      <c r="F58" s="390" t="str">
        <f>IFERROR(VLOOKUP(A58,'PG Stats'!A:Q,15,0),)</f>
        <v/>
      </c>
      <c r="G58" s="391" t="str">
        <f>IFERROR(VLOOKUP(A58,'PG Stats'!A:Q,16,0),)</f>
        <v/>
      </c>
      <c r="H58" s="391" t="str">
        <f>IFERROR(VLOOKUP(A58,'PG Stats'!A:Q,17,0),)</f>
        <v/>
      </c>
      <c r="I58" s="17"/>
      <c r="J58" s="388" t="str">
        <f>'Halo Reach Stats'!A58</f>
        <v/>
      </c>
      <c r="K58" s="392" t="str">
        <f t="shared" si="2"/>
        <v>F</v>
      </c>
      <c r="L58" s="392" t="str">
        <f t="shared" si="3"/>
        <v>A</v>
      </c>
      <c r="M58" s="392" t="str">
        <f t="shared" si="4"/>
        <v>F</v>
      </c>
      <c r="N58" s="392" t="str">
        <f t="shared" si="5"/>
        <v>F</v>
      </c>
      <c r="O58" s="392" t="str">
        <f t="shared" si="6"/>
        <v>F</v>
      </c>
      <c r="P58" s="392" t="str">
        <f t="shared" si="7"/>
        <v>F</v>
      </c>
      <c r="Q58" s="392" t="str">
        <f t="shared" si="8"/>
        <v>F</v>
      </c>
      <c r="R58" s="463" t="str">
        <f t="shared" si="9"/>
        <v>E</v>
      </c>
      <c r="S58" s="346">
        <f t="shared" si="10"/>
        <v>5.3</v>
      </c>
      <c r="T58" s="17"/>
      <c r="U58" s="17"/>
      <c r="V58" s="205"/>
      <c r="W58" s="450"/>
      <c r="X58" s="17"/>
      <c r="Y58" s="17"/>
      <c r="Z58" s="17"/>
      <c r="AA58" s="17"/>
      <c r="AB58" s="17"/>
      <c r="AC58" s="17"/>
    </row>
    <row r="59" hidden="1">
      <c r="A59" s="388" t="str">
        <f>'Halo Reach Stats'!A59</f>
        <v/>
      </c>
      <c r="B59" s="389" t="str">
        <f>IFERROR(VLOOKUP(A59,'PG Stats'!A:Q,11,0),)</f>
        <v/>
      </c>
      <c r="C59" s="389" t="str">
        <f>IFERROR(VLOOKUP(A59,'PG Stats'!A:Q,12,0),)</f>
        <v/>
      </c>
      <c r="D59" s="390" t="str">
        <f>IFERROR(VLOOKUP(A59,'PG Stats'!A:Q,13,0),)</f>
        <v/>
      </c>
      <c r="E59" s="390" t="str">
        <f>IFERROR(VLOOKUP(A59,'PG Stats'!A:Q,14,0),)</f>
        <v/>
      </c>
      <c r="F59" s="390" t="str">
        <f>IFERROR(VLOOKUP(A59,'PG Stats'!A:Q,15,0),)</f>
        <v/>
      </c>
      <c r="G59" s="391" t="str">
        <f>IFERROR(VLOOKUP(A59,'PG Stats'!A:Q,16,0),)</f>
        <v/>
      </c>
      <c r="H59" s="391" t="str">
        <f>IFERROR(VLOOKUP(A59,'PG Stats'!A:Q,17,0),)</f>
        <v/>
      </c>
      <c r="I59" s="17"/>
      <c r="J59" s="388" t="str">
        <f>'Halo Reach Stats'!A59</f>
        <v/>
      </c>
      <c r="K59" s="392" t="str">
        <f t="shared" si="2"/>
        <v>F</v>
      </c>
      <c r="L59" s="392" t="str">
        <f t="shared" si="3"/>
        <v>A</v>
      </c>
      <c r="M59" s="392" t="str">
        <f t="shared" si="4"/>
        <v>F</v>
      </c>
      <c r="N59" s="392" t="str">
        <f t="shared" si="5"/>
        <v>F</v>
      </c>
      <c r="O59" s="392" t="str">
        <f t="shared" si="6"/>
        <v>F</v>
      </c>
      <c r="P59" s="392" t="str">
        <f t="shared" si="7"/>
        <v>F</v>
      </c>
      <c r="Q59" s="392" t="str">
        <f t="shared" si="8"/>
        <v>F</v>
      </c>
      <c r="R59" s="463" t="str">
        <f t="shared" si="9"/>
        <v>E</v>
      </c>
      <c r="S59" s="346">
        <f t="shared" si="10"/>
        <v>5.3</v>
      </c>
      <c r="T59" s="17"/>
      <c r="U59" s="17"/>
      <c r="V59" s="205"/>
      <c r="W59" s="450"/>
      <c r="X59" s="17"/>
      <c r="Y59" s="17"/>
      <c r="Z59" s="17"/>
      <c r="AA59" s="17"/>
      <c r="AB59" s="17"/>
      <c r="AC59" s="17"/>
    </row>
    <row r="60" hidden="1">
      <c r="A60" s="388" t="str">
        <f>'Halo Reach Stats'!A60</f>
        <v/>
      </c>
      <c r="B60" s="389" t="str">
        <f>IFERROR(VLOOKUP(A60,'PG Stats'!A:Q,11,0),)</f>
        <v/>
      </c>
      <c r="C60" s="389" t="str">
        <f>IFERROR(VLOOKUP(A60,'PG Stats'!A:Q,12,0),)</f>
        <v/>
      </c>
      <c r="D60" s="390" t="str">
        <f>IFERROR(VLOOKUP(A60,'PG Stats'!A:Q,13,0),)</f>
        <v/>
      </c>
      <c r="E60" s="390" t="str">
        <f>IFERROR(VLOOKUP(A60,'PG Stats'!A:Q,14,0),)</f>
        <v/>
      </c>
      <c r="F60" s="390" t="str">
        <f>IFERROR(VLOOKUP(A60,'PG Stats'!A:Q,15,0),)</f>
        <v/>
      </c>
      <c r="G60" s="391" t="str">
        <f>IFERROR(VLOOKUP(A60,'PG Stats'!A:Q,16,0),)</f>
        <v/>
      </c>
      <c r="H60" s="391" t="str">
        <f>IFERROR(VLOOKUP(A60,'PG Stats'!A:Q,17,0),)</f>
        <v/>
      </c>
      <c r="I60" s="17"/>
      <c r="J60" s="388" t="str">
        <f>'Halo Reach Stats'!A60</f>
        <v/>
      </c>
      <c r="K60" s="392" t="str">
        <f t="shared" si="2"/>
        <v>F</v>
      </c>
      <c r="L60" s="392" t="str">
        <f t="shared" si="3"/>
        <v>A</v>
      </c>
      <c r="M60" s="392" t="str">
        <f t="shared" si="4"/>
        <v>F</v>
      </c>
      <c r="N60" s="392" t="str">
        <f t="shared" si="5"/>
        <v>F</v>
      </c>
      <c r="O60" s="392" t="str">
        <f t="shared" si="6"/>
        <v>F</v>
      </c>
      <c r="P60" s="392" t="str">
        <f t="shared" si="7"/>
        <v>F</v>
      </c>
      <c r="Q60" s="392" t="str">
        <f t="shared" si="8"/>
        <v>F</v>
      </c>
      <c r="R60" s="463" t="str">
        <f t="shared" si="9"/>
        <v>E</v>
      </c>
      <c r="S60" s="346">
        <f t="shared" si="10"/>
        <v>5.3</v>
      </c>
      <c r="T60" s="17"/>
      <c r="U60" s="17"/>
      <c r="V60" s="205"/>
      <c r="W60" s="450"/>
      <c r="X60" s="17"/>
      <c r="Y60" s="17"/>
      <c r="Z60" s="17"/>
      <c r="AA60" s="17"/>
      <c r="AB60" s="17"/>
      <c r="AC60" s="17"/>
    </row>
    <row r="61" hidden="1">
      <c r="A61" s="388" t="str">
        <f>'Halo Reach Stats'!A61</f>
        <v/>
      </c>
      <c r="B61" s="389" t="str">
        <f>IFERROR(VLOOKUP(A61,'PG Stats'!A:Q,11,0),)</f>
        <v/>
      </c>
      <c r="C61" s="389" t="str">
        <f>IFERROR(VLOOKUP(A61,'PG Stats'!A:Q,12,0),)</f>
        <v/>
      </c>
      <c r="D61" s="390" t="str">
        <f>IFERROR(VLOOKUP(A61,'PG Stats'!A:Q,13,0),)</f>
        <v/>
      </c>
      <c r="E61" s="390" t="str">
        <f>IFERROR(VLOOKUP(A61,'PG Stats'!A:Q,14,0),)</f>
        <v/>
      </c>
      <c r="F61" s="390" t="str">
        <f>IFERROR(VLOOKUP(A61,'PG Stats'!A:Q,15,0),)</f>
        <v/>
      </c>
      <c r="G61" s="391" t="str">
        <f>IFERROR(VLOOKUP(A61,'PG Stats'!A:Q,16,0),)</f>
        <v/>
      </c>
      <c r="H61" s="391" t="str">
        <f>IFERROR(VLOOKUP(A61,'PG Stats'!A:Q,17,0),)</f>
        <v/>
      </c>
      <c r="I61" s="17"/>
      <c r="J61" s="388" t="str">
        <f>'Halo Reach Stats'!A61</f>
        <v/>
      </c>
      <c r="K61" s="392" t="str">
        <f t="shared" si="2"/>
        <v>F</v>
      </c>
      <c r="L61" s="392" t="str">
        <f t="shared" si="3"/>
        <v>A</v>
      </c>
      <c r="M61" s="392" t="str">
        <f t="shared" si="4"/>
        <v>F</v>
      </c>
      <c r="N61" s="392" t="str">
        <f t="shared" si="5"/>
        <v>F</v>
      </c>
      <c r="O61" s="392" t="str">
        <f t="shared" si="6"/>
        <v>F</v>
      </c>
      <c r="P61" s="392" t="str">
        <f t="shared" si="7"/>
        <v>F</v>
      </c>
      <c r="Q61" s="392" t="str">
        <f t="shared" si="8"/>
        <v>F</v>
      </c>
      <c r="R61" s="463" t="str">
        <f t="shared" si="9"/>
        <v>E</v>
      </c>
      <c r="S61" s="346">
        <f t="shared" si="10"/>
        <v>5.3</v>
      </c>
      <c r="T61" s="17"/>
      <c r="U61" s="17"/>
      <c r="V61" s="205"/>
      <c r="W61" s="450"/>
      <c r="X61" s="17"/>
      <c r="Y61" s="17"/>
      <c r="Z61" s="17"/>
      <c r="AA61" s="17"/>
      <c r="AB61" s="17"/>
      <c r="AC61" s="17"/>
    </row>
    <row r="62" hidden="1">
      <c r="A62" s="388" t="str">
        <f>'Halo Reach Stats'!A62</f>
        <v/>
      </c>
      <c r="B62" s="389" t="str">
        <f>IFERROR(VLOOKUP(A62,HRS8_PG_Stats!A:Q,11,0),)</f>
        <v/>
      </c>
      <c r="C62" s="389" t="str">
        <f>IFERROR(VLOOKUP(A62,HRS8_PG_Stats!A:Q,12,0),)</f>
        <v/>
      </c>
      <c r="D62" s="390" t="str">
        <f>IFERROR(VLOOKUP(A62,HRS8_PG_Stats!A:Q,13,0),)</f>
        <v/>
      </c>
      <c r="E62" s="390" t="str">
        <f>IFERROR(VLOOKUP(A62,HRS8_PG_Stats!A:Q,14,0),)</f>
        <v/>
      </c>
      <c r="F62" s="390" t="str">
        <f>IFERROR(VLOOKUP(A62,HRS8_PG_Stats!A:Q,15,0),)</f>
        <v/>
      </c>
      <c r="G62" s="391" t="str">
        <f>IFERROR(VLOOKUP(A62,HRS8_PG_Stats!A:Q,16,0),)</f>
        <v/>
      </c>
      <c r="H62" s="391" t="str">
        <f>IFERROR(VLOOKUP(A62,HRS8_PG_Stats!A:Q,17,0),)</f>
        <v/>
      </c>
      <c r="I62" s="17"/>
      <c r="J62" s="388" t="str">
        <f>'Halo Reach Stats'!A62</f>
        <v/>
      </c>
      <c r="M62" s="357"/>
      <c r="T62" s="17"/>
      <c r="U62" s="17"/>
      <c r="V62" s="205"/>
      <c r="W62" s="450"/>
      <c r="X62" s="17"/>
      <c r="Y62" s="17"/>
      <c r="Z62" s="17"/>
      <c r="AA62" s="17"/>
      <c r="AB62" s="17"/>
      <c r="AC62" s="17"/>
    </row>
    <row r="63" hidden="1">
      <c r="A63" s="388" t="str">
        <f>'Halo Reach Stats'!A63</f>
        <v/>
      </c>
      <c r="B63" s="72"/>
      <c r="C63" s="389" t="str">
        <f t="shared" ref="C63:C66" si="27">IFERROR(VLOOKUP(A63,HRS7_PG_Stats!A:Q,12,0),)</f>
        <v/>
      </c>
      <c r="D63" s="72"/>
      <c r="E63" s="72"/>
      <c r="F63" s="390" t="str">
        <f t="shared" ref="F63:F68" si="28">IFERROR(VLOOKUP(A63,HRS7_PG_Stats!A:Q,15,0),)</f>
        <v/>
      </c>
      <c r="G63" s="391" t="str">
        <f t="shared" ref="G63:G74" si="29">IFERROR(VLOOKUP(A63,HRS7_PG_Stats!A:Q,16,0),)</f>
        <v/>
      </c>
      <c r="H63" s="72"/>
      <c r="I63" s="17"/>
      <c r="J63" s="388" t="str">
        <f>'Halo Reach Stats'!A63</f>
        <v/>
      </c>
      <c r="M63" s="357"/>
      <c r="T63" s="17"/>
      <c r="U63" s="17"/>
      <c r="V63" s="205"/>
      <c r="W63" s="450"/>
      <c r="X63" s="17"/>
      <c r="Y63" s="17"/>
      <c r="Z63" s="17"/>
      <c r="AA63" s="17"/>
      <c r="AB63" s="17"/>
      <c r="AC63" s="17"/>
    </row>
    <row r="64" hidden="1">
      <c r="A64" s="388" t="str">
        <f>'Halo Reach Stats'!A64</f>
        <v/>
      </c>
      <c r="B64" s="72"/>
      <c r="C64" s="389" t="str">
        <f t="shared" si="27"/>
        <v/>
      </c>
      <c r="D64" s="72"/>
      <c r="E64" s="72"/>
      <c r="F64" s="390" t="str">
        <f t="shared" si="28"/>
        <v/>
      </c>
      <c r="G64" s="391" t="str">
        <f t="shared" si="29"/>
        <v/>
      </c>
      <c r="H64" s="72"/>
      <c r="I64" s="17"/>
      <c r="J64" s="388" t="str">
        <f>'Halo Reach Stats'!A64</f>
        <v/>
      </c>
      <c r="M64" s="357"/>
      <c r="T64" s="17"/>
      <c r="U64" s="17"/>
      <c r="V64" s="205"/>
      <c r="W64" s="450"/>
      <c r="X64" s="17"/>
      <c r="Y64" s="17"/>
      <c r="Z64" s="17"/>
      <c r="AA64" s="17"/>
      <c r="AB64" s="17"/>
      <c r="AC64" s="17"/>
    </row>
    <row r="65" hidden="1">
      <c r="A65" s="388" t="str">
        <f>'Halo Reach Stats'!A65</f>
        <v/>
      </c>
      <c r="B65" s="72"/>
      <c r="C65" s="389" t="str">
        <f t="shared" si="27"/>
        <v/>
      </c>
      <c r="D65" s="72"/>
      <c r="E65" s="72"/>
      <c r="F65" s="390" t="str">
        <f t="shared" si="28"/>
        <v/>
      </c>
      <c r="G65" s="391" t="str">
        <f t="shared" si="29"/>
        <v/>
      </c>
      <c r="H65" s="72"/>
      <c r="I65" s="17"/>
      <c r="J65" s="388" t="str">
        <f>'Halo Reach Stats'!A65</f>
        <v/>
      </c>
      <c r="M65" s="357"/>
      <c r="T65" s="17"/>
      <c r="U65" s="17"/>
      <c r="V65" s="205"/>
      <c r="W65" s="450"/>
      <c r="X65" s="17"/>
      <c r="Y65" s="17"/>
      <c r="Z65" s="17"/>
      <c r="AA65" s="17"/>
      <c r="AB65" s="17"/>
      <c r="AC65" s="17"/>
    </row>
    <row r="66" hidden="1">
      <c r="A66" s="388" t="str">
        <f>'Halo Reach Stats'!A66</f>
        <v/>
      </c>
      <c r="B66" s="72"/>
      <c r="C66" s="389" t="str">
        <f t="shared" si="27"/>
        <v/>
      </c>
      <c r="D66" s="72"/>
      <c r="E66" s="72"/>
      <c r="F66" s="390" t="str">
        <f t="shared" si="28"/>
        <v/>
      </c>
      <c r="G66" s="391" t="str">
        <f t="shared" si="29"/>
        <v/>
      </c>
      <c r="H66" s="72"/>
      <c r="I66" s="17"/>
      <c r="J66" s="388" t="str">
        <f>'Halo Reach Stats'!A66</f>
        <v/>
      </c>
      <c r="M66" s="357"/>
      <c r="T66" s="17"/>
      <c r="U66" s="17"/>
      <c r="V66" s="205"/>
      <c r="W66" s="450"/>
      <c r="X66" s="17"/>
      <c r="Y66" s="17"/>
      <c r="Z66" s="17"/>
      <c r="AA66" s="17"/>
      <c r="AB66" s="17"/>
      <c r="AC66" s="17"/>
    </row>
    <row r="67" hidden="1">
      <c r="A67" s="388" t="str">
        <f>'Halo Reach Stats'!A67</f>
        <v/>
      </c>
      <c r="B67" s="72"/>
      <c r="C67" s="72"/>
      <c r="D67" s="72"/>
      <c r="E67" s="72"/>
      <c r="F67" s="390" t="str">
        <f t="shared" si="28"/>
        <v/>
      </c>
      <c r="G67" s="391" t="str">
        <f t="shared" si="29"/>
        <v/>
      </c>
      <c r="H67" s="72"/>
      <c r="I67" s="17"/>
      <c r="J67" s="388" t="str">
        <f>'Halo Reach Stats'!A67</f>
        <v/>
      </c>
      <c r="M67" s="357"/>
      <c r="T67" s="17"/>
      <c r="U67" s="17"/>
      <c r="V67" s="205"/>
      <c r="W67" s="450"/>
      <c r="X67" s="17"/>
      <c r="Y67" s="17"/>
      <c r="Z67" s="17"/>
      <c r="AA67" s="17"/>
      <c r="AB67" s="17"/>
      <c r="AC67" s="17"/>
    </row>
    <row r="68" hidden="1">
      <c r="A68" s="388" t="str">
        <f>'Halo Reach Stats'!A68</f>
        <v/>
      </c>
      <c r="B68" s="72"/>
      <c r="C68" s="72"/>
      <c r="D68" s="72"/>
      <c r="E68" s="72"/>
      <c r="F68" s="390" t="str">
        <f t="shared" si="28"/>
        <v/>
      </c>
      <c r="G68" s="391" t="str">
        <f t="shared" si="29"/>
        <v/>
      </c>
      <c r="H68" s="72"/>
      <c r="I68" s="17"/>
      <c r="J68" s="388" t="str">
        <f>'Halo Reach Stats'!A68</f>
        <v/>
      </c>
      <c r="M68" s="357"/>
      <c r="T68" s="17"/>
      <c r="U68" s="17"/>
      <c r="V68" s="205"/>
      <c r="W68" s="450"/>
      <c r="X68" s="17"/>
      <c r="Y68" s="17"/>
      <c r="Z68" s="17"/>
      <c r="AA68" s="17"/>
      <c r="AB68" s="17"/>
      <c r="AC68" s="17"/>
    </row>
    <row r="69" hidden="1">
      <c r="A69" s="388" t="str">
        <f>'Halo Reach Stats'!A69</f>
        <v/>
      </c>
      <c r="B69" s="72"/>
      <c r="C69" s="72"/>
      <c r="D69" s="72"/>
      <c r="E69" s="72"/>
      <c r="F69" s="72"/>
      <c r="G69" s="391" t="str">
        <f t="shared" si="29"/>
        <v/>
      </c>
      <c r="H69" s="72"/>
      <c r="I69" s="17"/>
      <c r="J69" s="388" t="str">
        <f>'Halo Reach Stats'!A69</f>
        <v/>
      </c>
      <c r="M69" s="357"/>
      <c r="T69" s="17"/>
      <c r="U69" s="17"/>
      <c r="V69" s="205"/>
      <c r="W69" s="450"/>
      <c r="X69" s="17"/>
      <c r="Y69" s="17"/>
      <c r="Z69" s="17"/>
      <c r="AA69" s="17"/>
      <c r="AB69" s="17"/>
      <c r="AC69" s="17"/>
    </row>
    <row r="70" hidden="1">
      <c r="A70" s="388" t="str">
        <f>'Halo Reach Stats'!A70</f>
        <v/>
      </c>
      <c r="B70" s="72"/>
      <c r="C70" s="72"/>
      <c r="D70" s="72"/>
      <c r="E70" s="72"/>
      <c r="F70" s="72"/>
      <c r="G70" s="391" t="str">
        <f t="shared" si="29"/>
        <v/>
      </c>
      <c r="H70" s="72"/>
      <c r="I70" s="17"/>
      <c r="J70" s="388" t="str">
        <f>'Halo Reach Stats'!A70</f>
        <v/>
      </c>
      <c r="M70" s="357"/>
      <c r="T70" s="17"/>
      <c r="U70" s="17"/>
      <c r="V70" s="205"/>
      <c r="W70" s="450"/>
      <c r="X70" s="17"/>
      <c r="Y70" s="17"/>
      <c r="Z70" s="17"/>
      <c r="AA70" s="17"/>
      <c r="AB70" s="17"/>
      <c r="AC70" s="17"/>
    </row>
    <row r="71" hidden="1">
      <c r="A71" s="388" t="str">
        <f>'Halo Reach Stats'!A71</f>
        <v/>
      </c>
      <c r="B71" s="72"/>
      <c r="C71" s="72"/>
      <c r="D71" s="72"/>
      <c r="E71" s="72"/>
      <c r="F71" s="72"/>
      <c r="G71" s="391" t="str">
        <f t="shared" si="29"/>
        <v/>
      </c>
      <c r="H71" s="72"/>
      <c r="I71" s="17"/>
      <c r="J71" s="388" t="str">
        <f>'Halo Reach Stats'!A71</f>
        <v/>
      </c>
      <c r="M71" s="357"/>
      <c r="T71" s="17"/>
      <c r="U71" s="17"/>
      <c r="V71" s="205"/>
      <c r="W71" s="450"/>
      <c r="X71" s="17"/>
      <c r="Y71" s="17"/>
      <c r="Z71" s="17"/>
      <c r="AA71" s="17"/>
      <c r="AB71" s="17"/>
      <c r="AC71" s="17"/>
    </row>
    <row r="72" hidden="1">
      <c r="A72" s="388" t="str">
        <f>'Halo Reach Stats'!A72</f>
        <v/>
      </c>
      <c r="B72" s="72"/>
      <c r="C72" s="72"/>
      <c r="D72" s="72"/>
      <c r="E72" s="72"/>
      <c r="F72" s="72"/>
      <c r="G72" s="391" t="str">
        <f t="shared" si="29"/>
        <v/>
      </c>
      <c r="H72" s="72"/>
      <c r="I72" s="17"/>
      <c r="J72" s="388" t="str">
        <f>'Halo Reach Stats'!A72</f>
        <v/>
      </c>
      <c r="M72" s="357"/>
      <c r="T72" s="17"/>
      <c r="U72" s="17"/>
      <c r="V72" s="205"/>
      <c r="W72" s="450"/>
      <c r="X72" s="17"/>
      <c r="Y72" s="17"/>
      <c r="Z72" s="17"/>
      <c r="AA72" s="17"/>
      <c r="AB72" s="17"/>
      <c r="AC72" s="17"/>
    </row>
    <row r="73" hidden="1">
      <c r="A73" s="388" t="str">
        <f>'Halo Reach Stats'!A73</f>
        <v/>
      </c>
      <c r="B73" s="72"/>
      <c r="C73" s="72"/>
      <c r="D73" s="72"/>
      <c r="E73" s="72"/>
      <c r="F73" s="72"/>
      <c r="G73" s="391" t="str">
        <f t="shared" si="29"/>
        <v/>
      </c>
      <c r="H73" s="72"/>
      <c r="I73" s="17"/>
      <c r="J73" s="388" t="str">
        <f>'Halo Reach Stats'!A73</f>
        <v/>
      </c>
      <c r="M73" s="357"/>
      <c r="T73" s="17"/>
      <c r="U73" s="17"/>
      <c r="V73" s="205"/>
      <c r="W73" s="450"/>
      <c r="X73" s="17"/>
      <c r="Y73" s="17"/>
      <c r="Z73" s="17"/>
      <c r="AA73" s="17"/>
      <c r="AB73" s="17"/>
      <c r="AC73" s="17"/>
    </row>
    <row r="74" hidden="1">
      <c r="A74" s="388" t="str">
        <f>'Halo Reach Stats'!A74</f>
        <v/>
      </c>
      <c r="B74" s="72"/>
      <c r="C74" s="72"/>
      <c r="D74" s="72"/>
      <c r="E74" s="72"/>
      <c r="F74" s="72"/>
      <c r="G74" s="391" t="str">
        <f t="shared" si="29"/>
        <v/>
      </c>
      <c r="H74" s="72"/>
      <c r="I74" s="17"/>
      <c r="J74" s="388" t="str">
        <f>'Halo Reach Stats'!A74</f>
        <v/>
      </c>
      <c r="M74" s="357"/>
      <c r="V74" s="385"/>
      <c r="W74" s="464"/>
    </row>
    <row r="75" hidden="1">
      <c r="A75" s="388" t="str">
        <f>'Halo Reach Stats'!A75</f>
        <v/>
      </c>
      <c r="B75" s="72"/>
      <c r="C75" s="72"/>
      <c r="D75" s="72"/>
      <c r="E75" s="72"/>
      <c r="F75" s="72"/>
      <c r="G75" s="72"/>
      <c r="H75" s="72"/>
      <c r="I75" s="17"/>
      <c r="J75" s="388" t="str">
        <f>'Halo Reach Stats'!A75</f>
        <v/>
      </c>
      <c r="M75" s="357"/>
      <c r="V75" s="385"/>
      <c r="W75" s="464"/>
    </row>
    <row r="76" hidden="1">
      <c r="A76" s="388" t="str">
        <f>'Halo Reach Stats'!A76</f>
        <v/>
      </c>
      <c r="B76" s="72"/>
      <c r="C76" s="72"/>
      <c r="D76" s="72"/>
      <c r="E76" s="72"/>
      <c r="F76" s="72"/>
      <c r="G76" s="72"/>
      <c r="H76" s="72"/>
      <c r="I76" s="17"/>
      <c r="J76" s="388" t="str">
        <f>'Halo Reach Stats'!A76</f>
        <v/>
      </c>
      <c r="M76" s="357"/>
      <c r="V76" s="385"/>
      <c r="W76" s="464"/>
    </row>
    <row r="77" hidden="1">
      <c r="A77" s="388" t="str">
        <f>'Halo Reach Stats'!A77</f>
        <v/>
      </c>
      <c r="B77" s="72"/>
      <c r="C77" s="72"/>
      <c r="D77" s="72"/>
      <c r="E77" s="72"/>
      <c r="F77" s="72"/>
      <c r="G77" s="72"/>
      <c r="H77" s="72"/>
      <c r="I77" s="17"/>
      <c r="J77" s="388" t="str">
        <f>'Halo Reach Stats'!A77</f>
        <v/>
      </c>
      <c r="M77" s="357"/>
      <c r="V77" s="385"/>
      <c r="W77" s="464"/>
    </row>
    <row r="78" hidden="1">
      <c r="A78" s="388" t="str">
        <f>'Halo Reach Stats'!A78</f>
        <v/>
      </c>
      <c r="B78" s="72"/>
      <c r="C78" s="72"/>
      <c r="D78" s="72"/>
      <c r="E78" s="72"/>
      <c r="F78" s="72"/>
      <c r="G78" s="72"/>
      <c r="H78" s="72"/>
      <c r="I78" s="17"/>
      <c r="J78" s="388" t="str">
        <f>'Halo Reach Stats'!A78</f>
        <v/>
      </c>
      <c r="M78" s="357"/>
      <c r="V78" s="385"/>
      <c r="W78" s="464"/>
    </row>
    <row r="79" hidden="1">
      <c r="A79" s="388" t="str">
        <f>'Halo Reach Stats'!A79</f>
        <v/>
      </c>
      <c r="B79" s="72"/>
      <c r="C79" s="72"/>
      <c r="D79" s="72"/>
      <c r="E79" s="72"/>
      <c r="F79" s="72"/>
      <c r="G79" s="72"/>
      <c r="H79" s="72"/>
      <c r="I79" s="17"/>
      <c r="J79" s="388" t="str">
        <f>'Halo Reach Stats'!A79</f>
        <v/>
      </c>
      <c r="M79" s="357"/>
      <c r="V79" s="385"/>
      <c r="W79" s="464"/>
    </row>
    <row r="80" hidden="1">
      <c r="A80" s="388" t="str">
        <f>'Halo Reach Stats'!A80</f>
        <v/>
      </c>
      <c r="B80" s="72"/>
      <c r="C80" s="72"/>
      <c r="D80" s="72"/>
      <c r="E80" s="72"/>
      <c r="F80" s="72"/>
      <c r="G80" s="72"/>
      <c r="H80" s="72"/>
      <c r="I80" s="17"/>
      <c r="J80" s="388" t="str">
        <f>'Halo Reach Stats'!A80</f>
        <v/>
      </c>
      <c r="M80" s="357"/>
      <c r="V80" s="385"/>
      <c r="W80" s="464"/>
    </row>
  </sheetData>
  <conditionalFormatting sqref="K2:S61">
    <cfRule type="cellIs" dxfId="7" priority="1" operator="equal">
      <formula>"S"</formula>
    </cfRule>
  </conditionalFormatting>
  <conditionalFormatting sqref="K2:S61">
    <cfRule type="cellIs" dxfId="15" priority="2" operator="equal">
      <formula>"A"</formula>
    </cfRule>
  </conditionalFormatting>
  <conditionalFormatting sqref="K2:S61">
    <cfRule type="cellIs" dxfId="9" priority="3" operator="equal">
      <formula>"B"</formula>
    </cfRule>
  </conditionalFormatting>
  <conditionalFormatting sqref="K2:S61">
    <cfRule type="cellIs" dxfId="2" priority="4" operator="equal">
      <formula>"C"</formula>
    </cfRule>
  </conditionalFormatting>
  <conditionalFormatting sqref="K2:S61">
    <cfRule type="cellIs" dxfId="10" priority="5" operator="equal">
      <formula>"D"</formula>
    </cfRule>
  </conditionalFormatting>
  <conditionalFormatting sqref="K2:S61">
    <cfRule type="cellIs" dxfId="11" priority="6" operator="equal">
      <formula>"E"</formula>
    </cfRule>
  </conditionalFormatting>
  <conditionalFormatting sqref="K2:S61">
    <cfRule type="cellIs" dxfId="12" priority="7" operator="equal">
      <formula>"F"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38"/>
    <col customWidth="1" min="2" max="2" width="9.13"/>
    <col customWidth="1" min="3" max="3" width="5.38"/>
    <col customWidth="1" min="4" max="4" width="4.0"/>
    <col customWidth="1" min="5" max="5" width="6.38"/>
    <col customWidth="1" min="6" max="6" width="7.5"/>
    <col customWidth="1" min="7" max="7" width="10.75"/>
    <col customWidth="1" min="8" max="8" width="9.38"/>
    <col customWidth="1" min="9" max="9" width="8.13"/>
    <col customWidth="1" min="10" max="10" width="8.63"/>
    <col customWidth="1" min="11" max="13" width="6.5"/>
    <col customWidth="1" min="14" max="15" width="7.63"/>
    <col customWidth="1" min="16" max="17" width="6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I49" s="73"/>
      <c r="J49" s="467"/>
      <c r="K49" s="467"/>
      <c r="L49" s="467"/>
      <c r="M49" s="467"/>
      <c r="N49" s="467"/>
      <c r="O49" s="467"/>
      <c r="P49" s="468"/>
      <c r="Q49" s="468"/>
    </row>
    <row r="50">
      <c r="I50" s="73"/>
      <c r="J50" s="467"/>
      <c r="K50" s="467"/>
      <c r="L50" s="467"/>
      <c r="M50" s="467"/>
      <c r="N50" s="467"/>
      <c r="O50" s="467"/>
      <c r="P50" s="468"/>
      <c r="Q50" s="468"/>
    </row>
    <row r="51">
      <c r="I51" s="73"/>
      <c r="J51" s="467"/>
      <c r="K51" s="467"/>
      <c r="L51" s="467"/>
      <c r="M51" s="467"/>
      <c r="N51" s="467"/>
      <c r="O51" s="467"/>
      <c r="P51" s="468"/>
      <c r="Q51" s="468"/>
    </row>
    <row r="52">
      <c r="I52" s="73"/>
      <c r="J52" s="467"/>
      <c r="K52" s="467"/>
      <c r="L52" s="467"/>
      <c r="M52" s="467"/>
      <c r="N52" s="467"/>
      <c r="O52" s="467"/>
      <c r="P52" s="468"/>
      <c r="Q52" s="468"/>
    </row>
    <row r="53">
      <c r="I53" s="73"/>
      <c r="J53" s="467"/>
      <c r="K53" s="467"/>
      <c r="L53" s="467"/>
      <c r="M53" s="467"/>
      <c r="N53" s="467"/>
      <c r="O53" s="467"/>
      <c r="P53" s="468"/>
      <c r="Q53" s="468"/>
    </row>
    <row r="54">
      <c r="I54" s="73"/>
      <c r="J54" s="467"/>
      <c r="K54" s="467"/>
      <c r="L54" s="467"/>
      <c r="M54" s="467"/>
      <c r="N54" s="467"/>
      <c r="O54" s="467"/>
      <c r="P54" s="468"/>
      <c r="Q54" s="468"/>
    </row>
    <row r="55">
      <c r="I55" s="73"/>
      <c r="J55" s="467"/>
      <c r="K55" s="467"/>
      <c r="L55" s="467"/>
      <c r="M55" s="467"/>
      <c r="N55" s="467"/>
      <c r="O55" s="467"/>
      <c r="P55" s="468"/>
      <c r="Q55" s="468"/>
    </row>
    <row r="56">
      <c r="I56" s="73"/>
      <c r="J56" s="467"/>
      <c r="K56" s="467"/>
      <c r="L56" s="467"/>
      <c r="M56" s="467"/>
      <c r="N56" s="467"/>
      <c r="O56" s="467"/>
      <c r="P56" s="468"/>
      <c r="Q56" s="468"/>
    </row>
    <row r="57">
      <c r="I57" s="73"/>
      <c r="J57" s="467"/>
      <c r="K57" s="467"/>
      <c r="L57" s="467"/>
      <c r="M57" s="467"/>
      <c r="N57" s="467"/>
      <c r="O57" s="467"/>
      <c r="P57" s="468"/>
      <c r="Q57" s="468"/>
    </row>
    <row r="58">
      <c r="I58" s="73"/>
      <c r="J58" s="467"/>
      <c r="K58" s="467"/>
      <c r="L58" s="467"/>
      <c r="M58" s="467"/>
      <c r="N58" s="467"/>
      <c r="O58" s="467"/>
      <c r="P58" s="468"/>
      <c r="Q58" s="468"/>
    </row>
    <row r="59">
      <c r="I59" s="73"/>
      <c r="J59" s="467"/>
      <c r="K59" s="467"/>
      <c r="L59" s="467"/>
      <c r="M59" s="467"/>
      <c r="N59" s="467"/>
      <c r="O59" s="467"/>
      <c r="P59" s="468"/>
      <c r="Q59" s="468"/>
    </row>
    <row r="60">
      <c r="I60" s="73"/>
      <c r="J60" s="467"/>
      <c r="K60" s="467"/>
      <c r="L60" s="467"/>
      <c r="M60" s="467"/>
      <c r="N60" s="467"/>
      <c r="O60" s="467"/>
      <c r="P60" s="468"/>
      <c r="Q60" s="468"/>
    </row>
    <row r="61">
      <c r="I61" s="73"/>
      <c r="J61" s="467"/>
      <c r="K61" s="467"/>
      <c r="L61" s="467"/>
      <c r="M61" s="467"/>
      <c r="N61" s="467"/>
      <c r="O61" s="467"/>
      <c r="P61" s="468"/>
      <c r="Q61" s="468"/>
    </row>
    <row r="62">
      <c r="I62" s="73"/>
      <c r="J62" s="467"/>
      <c r="K62" s="467"/>
      <c r="L62" s="467"/>
      <c r="M62" s="467"/>
      <c r="N62" s="467"/>
      <c r="O62" s="467"/>
      <c r="P62" s="468"/>
      <c r="Q62" s="468"/>
    </row>
    <row r="63">
      <c r="I63" s="73"/>
      <c r="J63" s="467"/>
      <c r="K63" s="467"/>
      <c r="L63" s="467"/>
      <c r="M63" s="467"/>
      <c r="N63" s="467"/>
      <c r="O63" s="467"/>
      <c r="P63" s="468"/>
      <c r="Q63" s="468"/>
    </row>
    <row r="64">
      <c r="I64" s="73"/>
      <c r="J64" s="467"/>
      <c r="K64" s="467"/>
      <c r="L64" s="467"/>
      <c r="M64" s="467"/>
      <c r="N64" s="467"/>
      <c r="O64" s="467"/>
      <c r="P64" s="468"/>
      <c r="Q64" s="468"/>
    </row>
    <row r="65">
      <c r="I65" s="73"/>
      <c r="J65" s="467"/>
      <c r="K65" s="467"/>
      <c r="L65" s="467"/>
      <c r="M65" s="467"/>
      <c r="N65" s="467"/>
      <c r="O65" s="467"/>
      <c r="P65" s="468"/>
      <c r="Q65" s="468"/>
    </row>
    <row r="66">
      <c r="I66" s="73"/>
      <c r="J66" s="467"/>
      <c r="K66" s="467"/>
      <c r="L66" s="467"/>
      <c r="M66" s="467"/>
      <c r="N66" s="467"/>
      <c r="O66" s="467"/>
      <c r="P66" s="468"/>
      <c r="Q66" s="468"/>
    </row>
    <row r="67">
      <c r="I67" s="73"/>
      <c r="J67" s="467"/>
      <c r="K67" s="467"/>
      <c r="L67" s="467"/>
      <c r="M67" s="467"/>
      <c r="N67" s="467"/>
      <c r="O67" s="467"/>
      <c r="P67" s="468"/>
      <c r="Q67" s="468"/>
    </row>
    <row r="68">
      <c r="I68" s="73"/>
      <c r="J68" s="467"/>
      <c r="K68" s="467"/>
      <c r="L68" s="467"/>
      <c r="M68" s="467"/>
      <c r="N68" s="467"/>
      <c r="O68" s="467"/>
      <c r="P68" s="468"/>
      <c r="Q68" s="468"/>
    </row>
    <row r="69">
      <c r="I69" s="73"/>
      <c r="J69" s="467"/>
      <c r="K69" s="467"/>
      <c r="L69" s="467"/>
      <c r="M69" s="467"/>
      <c r="N69" s="467"/>
      <c r="O69" s="467"/>
      <c r="P69" s="468"/>
      <c r="Q69" s="468"/>
    </row>
    <row r="70">
      <c r="I70" s="73"/>
      <c r="J70" s="467"/>
      <c r="K70" s="467"/>
      <c r="L70" s="467"/>
      <c r="M70" s="467"/>
      <c r="N70" s="467"/>
      <c r="O70" s="467"/>
      <c r="P70" s="468"/>
      <c r="Q70" s="468"/>
    </row>
    <row r="71">
      <c r="I71" s="73"/>
      <c r="J71" s="467"/>
      <c r="K71" s="467"/>
      <c r="L71" s="467"/>
      <c r="M71" s="467"/>
      <c r="N71" s="467"/>
      <c r="O71" s="467"/>
      <c r="P71" s="468"/>
      <c r="Q71" s="468"/>
    </row>
    <row r="72">
      <c r="I72" s="73"/>
      <c r="J72" s="467"/>
      <c r="K72" s="467"/>
      <c r="L72" s="467"/>
      <c r="M72" s="467"/>
      <c r="N72" s="467"/>
      <c r="O72" s="467"/>
      <c r="P72" s="468"/>
      <c r="Q72" s="468"/>
    </row>
    <row r="73">
      <c r="I73" s="73"/>
      <c r="J73" s="467"/>
      <c r="K73" s="467"/>
      <c r="L73" s="467"/>
      <c r="M73" s="467"/>
      <c r="N73" s="467"/>
      <c r="O73" s="467"/>
      <c r="P73" s="468"/>
      <c r="Q73" s="468"/>
    </row>
    <row r="74">
      <c r="I74" s="73"/>
      <c r="J74" s="467"/>
      <c r="K74" s="467"/>
      <c r="L74" s="467"/>
      <c r="M74" s="467"/>
      <c r="N74" s="467"/>
      <c r="O74" s="467"/>
      <c r="P74" s="468"/>
      <c r="Q74" s="468"/>
    </row>
    <row r="75">
      <c r="I75" s="73"/>
      <c r="J75" s="467"/>
      <c r="K75" s="467"/>
      <c r="L75" s="467"/>
      <c r="M75" s="467"/>
      <c r="N75" s="467"/>
      <c r="O75" s="467"/>
      <c r="P75" s="468"/>
      <c r="Q75" s="468"/>
    </row>
    <row r="76">
      <c r="I76" s="73"/>
      <c r="J76" s="467"/>
      <c r="K76" s="467"/>
      <c r="L76" s="467"/>
      <c r="M76" s="467"/>
      <c r="N76" s="467"/>
      <c r="O76" s="467"/>
      <c r="P76" s="468"/>
      <c r="Q76" s="468"/>
    </row>
    <row r="77">
      <c r="I77" s="73"/>
      <c r="J77" s="467"/>
      <c r="K77" s="467"/>
      <c r="L77" s="467"/>
      <c r="M77" s="467"/>
      <c r="N77" s="467"/>
      <c r="O77" s="467"/>
      <c r="P77" s="468"/>
      <c r="Q77" s="468"/>
    </row>
    <row r="78">
      <c r="I78" s="73"/>
      <c r="J78" s="467"/>
      <c r="K78" s="467"/>
      <c r="L78" s="467"/>
      <c r="M78" s="467"/>
      <c r="N78" s="467"/>
      <c r="O78" s="467"/>
      <c r="P78" s="468"/>
      <c r="Q78" s="468"/>
    </row>
    <row r="79">
      <c r="I79" s="73"/>
      <c r="J79" s="467"/>
      <c r="K79" s="467"/>
      <c r="L79" s="467"/>
      <c r="M79" s="467"/>
      <c r="N79" s="467"/>
      <c r="O79" s="467"/>
      <c r="P79" s="468"/>
      <c r="Q79" s="468"/>
    </row>
    <row r="80">
      <c r="I80" s="73"/>
      <c r="J80" s="467"/>
      <c r="K80" s="467"/>
      <c r="L80" s="467"/>
      <c r="M80" s="467"/>
      <c r="N80" s="467"/>
      <c r="O80" s="467"/>
      <c r="P80" s="468"/>
      <c r="Q80" s="468"/>
    </row>
    <row r="81">
      <c r="I81" s="73"/>
      <c r="J81" s="467"/>
      <c r="K81" s="467"/>
      <c r="L81" s="467"/>
      <c r="M81" s="467"/>
      <c r="N81" s="467"/>
      <c r="O81" s="467"/>
      <c r="P81" s="468"/>
      <c r="Q81" s="468"/>
    </row>
    <row r="82">
      <c r="I82" s="73"/>
      <c r="J82" s="467"/>
      <c r="K82" s="467"/>
      <c r="L82" s="467"/>
      <c r="M82" s="467"/>
      <c r="N82" s="467"/>
      <c r="O82" s="467"/>
      <c r="P82" s="468"/>
      <c r="Q82" s="468"/>
    </row>
    <row r="83">
      <c r="I83" s="73"/>
      <c r="J83" s="467"/>
      <c r="K83" s="467"/>
      <c r="L83" s="467"/>
      <c r="M83" s="467"/>
      <c r="N83" s="467"/>
      <c r="O83" s="467"/>
      <c r="P83" s="468"/>
      <c r="Q83" s="468"/>
    </row>
    <row r="84">
      <c r="I84" s="73"/>
      <c r="J84" s="467"/>
      <c r="K84" s="467"/>
      <c r="L84" s="467"/>
      <c r="M84" s="467"/>
      <c r="N84" s="467"/>
      <c r="O84" s="467"/>
      <c r="P84" s="468"/>
      <c r="Q84" s="468"/>
    </row>
    <row r="85">
      <c r="I85" s="73"/>
      <c r="J85" s="467"/>
      <c r="K85" s="467"/>
      <c r="L85" s="467"/>
      <c r="M85" s="467"/>
      <c r="N85" s="467"/>
      <c r="O85" s="467"/>
      <c r="P85" s="468"/>
      <c r="Q85" s="468"/>
    </row>
    <row r="86">
      <c r="I86" s="73"/>
      <c r="J86" s="467"/>
      <c r="K86" s="467"/>
      <c r="L86" s="467"/>
      <c r="M86" s="467"/>
      <c r="N86" s="467"/>
      <c r="O86" s="467"/>
      <c r="P86" s="468"/>
      <c r="Q86" s="468"/>
    </row>
    <row r="87">
      <c r="I87" s="73"/>
      <c r="J87" s="467"/>
      <c r="K87" s="467"/>
      <c r="L87" s="467"/>
      <c r="M87" s="467"/>
      <c r="N87" s="467"/>
      <c r="O87" s="467"/>
      <c r="P87" s="468"/>
      <c r="Q87" s="468"/>
    </row>
    <row r="88">
      <c r="I88" s="73"/>
      <c r="J88" s="467"/>
      <c r="K88" s="467"/>
      <c r="L88" s="467"/>
      <c r="M88" s="467"/>
      <c r="N88" s="467"/>
      <c r="O88" s="467"/>
      <c r="P88" s="468"/>
      <c r="Q88" s="468"/>
    </row>
    <row r="89">
      <c r="I89" s="73"/>
      <c r="J89" s="467"/>
      <c r="K89" s="467"/>
      <c r="L89" s="467"/>
      <c r="M89" s="467"/>
      <c r="N89" s="467"/>
      <c r="O89" s="467"/>
      <c r="P89" s="468"/>
      <c r="Q89" s="468"/>
    </row>
    <row r="90">
      <c r="I90" s="73"/>
      <c r="J90" s="467"/>
      <c r="K90" s="467"/>
      <c r="L90" s="467"/>
      <c r="M90" s="467"/>
      <c r="N90" s="467"/>
      <c r="O90" s="467"/>
      <c r="P90" s="468"/>
      <c r="Q90" s="468"/>
    </row>
    <row r="91">
      <c r="I91" s="73"/>
      <c r="J91" s="467"/>
      <c r="K91" s="467"/>
      <c r="L91" s="467"/>
      <c r="M91" s="467"/>
      <c r="N91" s="467"/>
      <c r="O91" s="467"/>
      <c r="P91" s="468"/>
      <c r="Q91" s="468"/>
    </row>
    <row r="92">
      <c r="I92" s="73"/>
      <c r="J92" s="467"/>
      <c r="K92" s="467"/>
      <c r="L92" s="467"/>
      <c r="M92" s="467"/>
      <c r="N92" s="467"/>
      <c r="O92" s="467"/>
      <c r="P92" s="468"/>
      <c r="Q92" s="468"/>
    </row>
    <row r="93">
      <c r="I93" s="73"/>
      <c r="J93" s="467"/>
      <c r="K93" s="467"/>
      <c r="L93" s="467"/>
      <c r="M93" s="467"/>
      <c r="N93" s="467"/>
      <c r="O93" s="467"/>
      <c r="P93" s="468"/>
      <c r="Q93" s="468"/>
    </row>
    <row r="94">
      <c r="I94" s="73"/>
      <c r="J94" s="467"/>
      <c r="K94" s="467"/>
      <c r="L94" s="467"/>
      <c r="M94" s="467"/>
      <c r="N94" s="467"/>
      <c r="O94" s="467"/>
      <c r="P94" s="468"/>
      <c r="Q94" s="468"/>
    </row>
    <row r="95">
      <c r="I95" s="73"/>
      <c r="J95" s="467"/>
      <c r="K95" s="467"/>
      <c r="L95" s="467"/>
      <c r="M95" s="467"/>
      <c r="N95" s="467"/>
      <c r="O95" s="467"/>
      <c r="P95" s="468"/>
      <c r="Q95" s="468"/>
    </row>
    <row r="96">
      <c r="I96" s="73"/>
      <c r="J96" s="467"/>
      <c r="K96" s="467"/>
      <c r="L96" s="467"/>
      <c r="M96" s="467"/>
      <c r="N96" s="467"/>
      <c r="O96" s="467"/>
      <c r="P96" s="468"/>
      <c r="Q96" s="468"/>
    </row>
    <row r="97">
      <c r="I97" s="73"/>
      <c r="J97" s="467"/>
      <c r="K97" s="467"/>
      <c r="L97" s="467"/>
      <c r="M97" s="467"/>
      <c r="N97" s="467"/>
      <c r="O97" s="467"/>
      <c r="P97" s="468"/>
      <c r="Q97" s="468"/>
    </row>
    <row r="98">
      <c r="I98" s="73"/>
      <c r="J98" s="467"/>
      <c r="K98" s="467"/>
      <c r="L98" s="467"/>
      <c r="M98" s="467"/>
      <c r="N98" s="467"/>
      <c r="O98" s="467"/>
      <c r="P98" s="468"/>
      <c r="Q98" s="468"/>
    </row>
    <row r="99">
      <c r="I99" s="73"/>
      <c r="J99" s="467"/>
      <c r="K99" s="467"/>
      <c r="L99" s="467"/>
      <c r="M99" s="467"/>
      <c r="N99" s="467"/>
      <c r="O99" s="467"/>
      <c r="P99" s="468"/>
      <c r="Q99" s="468"/>
    </row>
    <row r="100">
      <c r="I100" s="73"/>
      <c r="J100" s="467"/>
      <c r="K100" s="467"/>
      <c r="L100" s="467"/>
      <c r="M100" s="467"/>
      <c r="N100" s="467"/>
      <c r="O100" s="467"/>
      <c r="P100" s="468"/>
      <c r="Q100" s="468"/>
    </row>
    <row r="101">
      <c r="I101" s="73"/>
      <c r="J101" s="467"/>
      <c r="K101" s="467"/>
      <c r="L101" s="467"/>
      <c r="M101" s="467"/>
      <c r="N101" s="467"/>
      <c r="O101" s="467"/>
      <c r="P101" s="468"/>
      <c r="Q101" s="468"/>
    </row>
    <row r="102">
      <c r="I102" s="73"/>
      <c r="J102" s="467"/>
      <c r="K102" s="467"/>
      <c r="L102" s="467"/>
      <c r="M102" s="467"/>
      <c r="N102" s="467"/>
      <c r="O102" s="467"/>
      <c r="P102" s="468"/>
      <c r="Q102" s="468"/>
    </row>
    <row r="103">
      <c r="I103" s="73"/>
      <c r="J103" s="467"/>
      <c r="K103" s="467"/>
      <c r="L103" s="467"/>
      <c r="M103" s="467"/>
      <c r="N103" s="467"/>
      <c r="O103" s="467"/>
      <c r="P103" s="468"/>
      <c r="Q103" s="468"/>
    </row>
    <row r="104">
      <c r="I104" s="73"/>
      <c r="J104" s="467"/>
      <c r="K104" s="467"/>
      <c r="L104" s="467"/>
      <c r="M104" s="467"/>
      <c r="N104" s="467"/>
      <c r="O104" s="467"/>
      <c r="P104" s="468"/>
      <c r="Q104" s="468"/>
    </row>
    <row r="105">
      <c r="I105" s="73"/>
      <c r="J105" s="467"/>
      <c r="K105" s="467"/>
      <c r="L105" s="467"/>
      <c r="M105" s="467"/>
      <c r="N105" s="467"/>
      <c r="O105" s="467"/>
      <c r="P105" s="468"/>
      <c r="Q105" s="468"/>
    </row>
    <row r="106">
      <c r="I106" s="73"/>
      <c r="J106" s="467"/>
      <c r="K106" s="467"/>
      <c r="L106" s="467"/>
      <c r="M106" s="467"/>
      <c r="N106" s="467"/>
      <c r="O106" s="467"/>
      <c r="P106" s="468"/>
      <c r="Q106" s="468"/>
    </row>
    <row r="107">
      <c r="I107" s="73"/>
      <c r="J107" s="467"/>
      <c r="K107" s="467"/>
      <c r="L107" s="467"/>
      <c r="M107" s="467"/>
      <c r="N107" s="467"/>
      <c r="O107" s="467"/>
      <c r="P107" s="468"/>
      <c r="Q107" s="468"/>
    </row>
    <row r="108">
      <c r="I108" s="73"/>
      <c r="J108" s="467"/>
      <c r="K108" s="467"/>
      <c r="L108" s="467"/>
      <c r="M108" s="467"/>
      <c r="N108" s="467"/>
      <c r="O108" s="467"/>
      <c r="P108" s="468"/>
      <c r="Q108" s="468"/>
    </row>
    <row r="109">
      <c r="I109" s="73"/>
      <c r="J109" s="467"/>
      <c r="K109" s="467"/>
      <c r="L109" s="467"/>
      <c r="M109" s="467"/>
      <c r="N109" s="467"/>
      <c r="O109" s="467"/>
      <c r="P109" s="468"/>
      <c r="Q109" s="468"/>
    </row>
    <row r="110">
      <c r="I110" s="73"/>
      <c r="J110" s="467"/>
      <c r="K110" s="467"/>
      <c r="L110" s="467"/>
      <c r="M110" s="467"/>
      <c r="N110" s="467"/>
      <c r="O110" s="467"/>
      <c r="P110" s="468"/>
      <c r="Q110" s="468"/>
    </row>
    <row r="111">
      <c r="I111" s="73"/>
      <c r="J111" s="467"/>
      <c r="K111" s="467"/>
      <c r="L111" s="467"/>
      <c r="M111" s="467"/>
      <c r="N111" s="467"/>
      <c r="O111" s="467"/>
      <c r="P111" s="468"/>
      <c r="Q111" s="468"/>
    </row>
    <row r="112">
      <c r="I112" s="73"/>
      <c r="J112" s="467"/>
      <c r="K112" s="467"/>
      <c r="L112" s="467"/>
      <c r="M112" s="467"/>
      <c r="N112" s="467"/>
      <c r="O112" s="467"/>
      <c r="P112" s="468"/>
      <c r="Q112" s="468"/>
    </row>
    <row r="113">
      <c r="I113" s="73"/>
      <c r="J113" s="467"/>
      <c r="K113" s="467"/>
      <c r="L113" s="467"/>
      <c r="M113" s="467"/>
      <c r="N113" s="467"/>
      <c r="O113" s="467"/>
      <c r="P113" s="468"/>
      <c r="Q113" s="468"/>
    </row>
    <row r="114">
      <c r="I114" s="73"/>
      <c r="J114" s="467"/>
      <c r="K114" s="467"/>
      <c r="L114" s="467"/>
      <c r="M114" s="467"/>
      <c r="N114" s="467"/>
      <c r="O114" s="467"/>
      <c r="P114" s="468"/>
      <c r="Q114" s="468"/>
    </row>
    <row r="115">
      <c r="I115" s="73"/>
      <c r="J115" s="467"/>
      <c r="K115" s="467"/>
      <c r="L115" s="467"/>
      <c r="M115" s="467"/>
      <c r="N115" s="467"/>
      <c r="O115" s="467"/>
      <c r="P115" s="468"/>
      <c r="Q115" s="468"/>
    </row>
    <row r="116">
      <c r="I116" s="73"/>
      <c r="J116" s="467"/>
      <c r="K116" s="467"/>
      <c r="L116" s="467"/>
      <c r="M116" s="467"/>
      <c r="N116" s="467"/>
      <c r="O116" s="467"/>
      <c r="P116" s="468"/>
      <c r="Q116" s="468"/>
    </row>
    <row r="117">
      <c r="I117" s="73"/>
      <c r="J117" s="467"/>
      <c r="K117" s="467"/>
      <c r="L117" s="467"/>
      <c r="M117" s="467"/>
      <c r="N117" s="467"/>
      <c r="O117" s="467"/>
      <c r="P117" s="468"/>
      <c r="Q117" s="468"/>
    </row>
    <row r="118">
      <c r="I118" s="73"/>
      <c r="J118" s="467"/>
      <c r="K118" s="467"/>
      <c r="L118" s="467"/>
      <c r="M118" s="467"/>
      <c r="N118" s="467"/>
      <c r="O118" s="467"/>
      <c r="P118" s="468"/>
      <c r="Q118" s="468"/>
    </row>
    <row r="119">
      <c r="I119" s="73"/>
      <c r="J119" s="467"/>
      <c r="K119" s="467"/>
      <c r="L119" s="467"/>
      <c r="M119" s="467"/>
      <c r="N119" s="467"/>
      <c r="O119" s="467"/>
      <c r="P119" s="468"/>
      <c r="Q119" s="468"/>
    </row>
    <row r="120">
      <c r="I120" s="73"/>
      <c r="J120" s="467"/>
      <c r="K120" s="467"/>
      <c r="L120" s="467"/>
      <c r="M120" s="467"/>
      <c r="N120" s="467"/>
      <c r="O120" s="467"/>
      <c r="P120" s="468"/>
      <c r="Q120" s="468"/>
    </row>
    <row r="121">
      <c r="I121" s="73"/>
      <c r="J121" s="467"/>
      <c r="K121" s="467"/>
      <c r="L121" s="467"/>
      <c r="M121" s="467"/>
      <c r="N121" s="467"/>
      <c r="O121" s="467"/>
      <c r="P121" s="468"/>
      <c r="Q121" s="468"/>
    </row>
    <row r="122">
      <c r="I122" s="73"/>
      <c r="J122" s="467"/>
      <c r="K122" s="467"/>
      <c r="L122" s="467"/>
      <c r="M122" s="467"/>
      <c r="N122" s="467"/>
      <c r="O122" s="467"/>
      <c r="P122" s="468"/>
      <c r="Q122" s="468"/>
    </row>
    <row r="123">
      <c r="I123" s="73"/>
      <c r="J123" s="467"/>
      <c r="K123" s="467"/>
      <c r="L123" s="467"/>
      <c r="M123" s="467"/>
      <c r="N123" s="467"/>
      <c r="O123" s="467"/>
      <c r="P123" s="468"/>
      <c r="Q123" s="468"/>
    </row>
    <row r="124">
      <c r="I124" s="73"/>
      <c r="J124" s="467"/>
      <c r="K124" s="467"/>
      <c r="L124" s="467"/>
      <c r="M124" s="467"/>
      <c r="N124" s="467"/>
      <c r="O124" s="467"/>
      <c r="P124" s="468"/>
      <c r="Q124" s="468"/>
    </row>
    <row r="125">
      <c r="I125" s="73"/>
      <c r="J125" s="467"/>
      <c r="K125" s="467"/>
      <c r="L125" s="467"/>
      <c r="M125" s="467"/>
      <c r="N125" s="467"/>
      <c r="O125" s="467"/>
      <c r="P125" s="468"/>
      <c r="Q125" s="468"/>
    </row>
    <row r="126">
      <c r="I126" s="73"/>
      <c r="J126" s="467"/>
      <c r="K126" s="467"/>
      <c r="L126" s="467"/>
      <c r="M126" s="467"/>
      <c r="N126" s="467"/>
      <c r="O126" s="467"/>
      <c r="P126" s="468"/>
      <c r="Q126" s="468"/>
    </row>
    <row r="127">
      <c r="I127" s="73"/>
      <c r="J127" s="467"/>
      <c r="K127" s="467"/>
      <c r="L127" s="467"/>
      <c r="M127" s="467"/>
      <c r="N127" s="467"/>
      <c r="O127" s="467"/>
      <c r="P127" s="468"/>
      <c r="Q127" s="468"/>
    </row>
    <row r="128">
      <c r="I128" s="73"/>
      <c r="J128" s="467"/>
      <c r="K128" s="467"/>
      <c r="L128" s="467"/>
      <c r="M128" s="467"/>
      <c r="N128" s="467"/>
      <c r="O128" s="467"/>
      <c r="P128" s="468"/>
      <c r="Q128" s="468"/>
    </row>
    <row r="129">
      <c r="I129" s="73"/>
      <c r="J129" s="467"/>
      <c r="K129" s="467"/>
      <c r="L129" s="467"/>
      <c r="M129" s="467"/>
      <c r="N129" s="467"/>
      <c r="O129" s="467"/>
      <c r="P129" s="468"/>
      <c r="Q129" s="468"/>
    </row>
    <row r="130">
      <c r="I130" s="73"/>
      <c r="J130" s="467"/>
      <c r="K130" s="467"/>
      <c r="L130" s="467"/>
      <c r="M130" s="467"/>
      <c r="N130" s="467"/>
      <c r="O130" s="467"/>
      <c r="P130" s="468"/>
      <c r="Q130" s="468"/>
    </row>
    <row r="131">
      <c r="I131" s="73"/>
      <c r="J131" s="467"/>
      <c r="K131" s="467"/>
      <c r="L131" s="467"/>
      <c r="M131" s="467"/>
      <c r="N131" s="467"/>
      <c r="O131" s="467"/>
      <c r="P131" s="468"/>
      <c r="Q131" s="468"/>
    </row>
    <row r="132">
      <c r="I132" s="73"/>
      <c r="J132" s="467"/>
      <c r="K132" s="467"/>
      <c r="L132" s="467"/>
      <c r="M132" s="467"/>
      <c r="N132" s="467"/>
      <c r="O132" s="467"/>
      <c r="P132" s="468"/>
      <c r="Q132" s="468"/>
    </row>
    <row r="133">
      <c r="I133" s="73"/>
      <c r="J133" s="467"/>
      <c r="K133" s="467"/>
      <c r="L133" s="467"/>
      <c r="M133" s="467"/>
      <c r="N133" s="467"/>
      <c r="O133" s="467"/>
      <c r="P133" s="468"/>
      <c r="Q133" s="468"/>
    </row>
    <row r="134">
      <c r="I134" s="73"/>
      <c r="J134" s="467"/>
      <c r="K134" s="467"/>
      <c r="L134" s="467"/>
      <c r="M134" s="467"/>
      <c r="N134" s="467"/>
      <c r="O134" s="467"/>
      <c r="P134" s="468"/>
      <c r="Q134" s="468"/>
    </row>
    <row r="135">
      <c r="I135" s="73"/>
      <c r="J135" s="467"/>
      <c r="K135" s="467"/>
      <c r="L135" s="467"/>
      <c r="M135" s="467"/>
      <c r="N135" s="467"/>
      <c r="O135" s="467"/>
      <c r="P135" s="468"/>
      <c r="Q135" s="468"/>
    </row>
    <row r="136">
      <c r="I136" s="73"/>
      <c r="J136" s="467"/>
      <c r="K136" s="467"/>
      <c r="L136" s="467"/>
      <c r="M136" s="467"/>
      <c r="N136" s="467"/>
      <c r="O136" s="467"/>
      <c r="P136" s="468"/>
      <c r="Q136" s="468"/>
    </row>
    <row r="137">
      <c r="I137" s="73"/>
      <c r="J137" s="467"/>
      <c r="K137" s="467"/>
      <c r="L137" s="467"/>
      <c r="M137" s="467"/>
      <c r="N137" s="467"/>
      <c r="O137" s="467"/>
      <c r="P137" s="468"/>
      <c r="Q137" s="468"/>
    </row>
    <row r="138">
      <c r="I138" s="73"/>
      <c r="J138" s="467"/>
      <c r="K138" s="467"/>
      <c r="L138" s="467"/>
      <c r="M138" s="467"/>
      <c r="N138" s="467"/>
      <c r="O138" s="467"/>
      <c r="P138" s="468"/>
      <c r="Q138" s="468"/>
    </row>
    <row r="139">
      <c r="I139" s="73"/>
      <c r="J139" s="467"/>
      <c r="K139" s="467"/>
      <c r="L139" s="467"/>
      <c r="M139" s="467"/>
      <c r="N139" s="467"/>
      <c r="O139" s="467"/>
      <c r="P139" s="468"/>
      <c r="Q139" s="468"/>
    </row>
    <row r="140">
      <c r="I140" s="73"/>
      <c r="J140" s="467"/>
      <c r="K140" s="467"/>
      <c r="L140" s="467"/>
      <c r="M140" s="467"/>
      <c r="N140" s="467"/>
      <c r="O140" s="467"/>
      <c r="P140" s="468"/>
      <c r="Q140" s="468"/>
    </row>
    <row r="141">
      <c r="I141" s="73"/>
      <c r="J141" s="467"/>
      <c r="K141" s="467"/>
      <c r="L141" s="467"/>
      <c r="M141" s="467"/>
      <c r="N141" s="467"/>
      <c r="O141" s="467"/>
      <c r="P141" s="468"/>
      <c r="Q141" s="468"/>
    </row>
    <row r="142">
      <c r="I142" s="73"/>
      <c r="J142" s="467"/>
      <c r="K142" s="467"/>
      <c r="L142" s="467"/>
      <c r="M142" s="467"/>
      <c r="N142" s="467"/>
      <c r="O142" s="467"/>
      <c r="P142" s="468"/>
      <c r="Q142" s="468"/>
    </row>
    <row r="143">
      <c r="I143" s="73"/>
      <c r="J143" s="467"/>
      <c r="K143" s="467"/>
      <c r="L143" s="467"/>
      <c r="M143" s="467"/>
      <c r="N143" s="467"/>
      <c r="O143" s="467"/>
      <c r="P143" s="468"/>
      <c r="Q143" s="468"/>
    </row>
    <row r="144">
      <c r="I144" s="73"/>
      <c r="J144" s="467"/>
      <c r="K144" s="467"/>
      <c r="L144" s="467"/>
      <c r="M144" s="467"/>
      <c r="N144" s="467"/>
      <c r="O144" s="467"/>
      <c r="P144" s="468"/>
      <c r="Q144" s="468"/>
    </row>
    <row r="145">
      <c r="I145" s="73"/>
      <c r="J145" s="467"/>
      <c r="K145" s="467"/>
      <c r="L145" s="467"/>
      <c r="M145" s="467"/>
      <c r="N145" s="467"/>
      <c r="O145" s="467"/>
      <c r="P145" s="468"/>
      <c r="Q145" s="468"/>
    </row>
    <row r="146">
      <c r="I146" s="73"/>
      <c r="J146" s="467"/>
      <c r="K146" s="467"/>
      <c r="L146" s="467"/>
      <c r="M146" s="467"/>
      <c r="N146" s="467"/>
      <c r="O146" s="467"/>
      <c r="P146" s="468"/>
      <c r="Q146" s="468"/>
    </row>
    <row r="147">
      <c r="I147" s="73"/>
      <c r="J147" s="467"/>
      <c r="K147" s="467"/>
      <c r="L147" s="467"/>
      <c r="M147" s="467"/>
      <c r="N147" s="467"/>
      <c r="O147" s="467"/>
      <c r="P147" s="468"/>
      <c r="Q147" s="468"/>
    </row>
    <row r="148">
      <c r="I148" s="73"/>
      <c r="J148" s="467"/>
      <c r="K148" s="467"/>
      <c r="L148" s="467"/>
      <c r="M148" s="467"/>
      <c r="N148" s="467"/>
      <c r="O148" s="467"/>
      <c r="P148" s="468"/>
      <c r="Q148" s="468"/>
    </row>
    <row r="149">
      <c r="I149" s="73"/>
      <c r="J149" s="467"/>
      <c r="K149" s="467"/>
      <c r="L149" s="467"/>
      <c r="M149" s="467"/>
      <c r="N149" s="467"/>
      <c r="O149" s="467"/>
      <c r="P149" s="468"/>
      <c r="Q149" s="468"/>
    </row>
    <row r="150">
      <c r="I150" s="73"/>
      <c r="J150" s="467"/>
      <c r="K150" s="467"/>
      <c r="L150" s="467"/>
      <c r="M150" s="467"/>
      <c r="N150" s="467"/>
      <c r="O150" s="467"/>
      <c r="P150" s="468"/>
      <c r="Q150" s="468"/>
    </row>
    <row r="151">
      <c r="I151" s="73"/>
      <c r="J151" s="467"/>
      <c r="K151" s="467"/>
      <c r="L151" s="467"/>
      <c r="M151" s="467"/>
      <c r="N151" s="467"/>
      <c r="O151" s="467"/>
      <c r="P151" s="468"/>
      <c r="Q151" s="468"/>
    </row>
    <row r="152">
      <c r="I152" s="73"/>
      <c r="J152" s="467"/>
      <c r="K152" s="467"/>
      <c r="L152" s="467"/>
      <c r="M152" s="467"/>
      <c r="N152" s="467"/>
      <c r="O152" s="467"/>
      <c r="P152" s="468"/>
      <c r="Q152" s="468"/>
    </row>
    <row r="153">
      <c r="I153" s="73"/>
      <c r="J153" s="467"/>
      <c r="K153" s="467"/>
      <c r="L153" s="467"/>
      <c r="M153" s="467"/>
      <c r="N153" s="467"/>
      <c r="O153" s="467"/>
      <c r="P153" s="468"/>
      <c r="Q153" s="468"/>
    </row>
    <row r="154">
      <c r="I154" s="73"/>
      <c r="J154" s="467"/>
      <c r="K154" s="467"/>
      <c r="L154" s="467"/>
      <c r="M154" s="467"/>
      <c r="N154" s="467"/>
      <c r="O154" s="467"/>
      <c r="P154" s="468"/>
      <c r="Q154" s="468"/>
    </row>
    <row r="155">
      <c r="I155" s="73"/>
      <c r="J155" s="467"/>
      <c r="K155" s="467"/>
      <c r="L155" s="467"/>
      <c r="M155" s="467"/>
      <c r="N155" s="467"/>
      <c r="O155" s="467"/>
      <c r="P155" s="468"/>
      <c r="Q155" s="468"/>
    </row>
    <row r="156">
      <c r="I156" s="73"/>
      <c r="J156" s="467"/>
      <c r="K156" s="467"/>
      <c r="L156" s="467"/>
      <c r="M156" s="467"/>
      <c r="N156" s="467"/>
      <c r="O156" s="467"/>
      <c r="P156" s="468"/>
      <c r="Q156" s="468"/>
    </row>
    <row r="157">
      <c r="I157" s="73"/>
      <c r="J157" s="467"/>
      <c r="K157" s="467"/>
      <c r="L157" s="467"/>
      <c r="M157" s="467"/>
      <c r="N157" s="467"/>
      <c r="O157" s="467"/>
      <c r="P157" s="468"/>
      <c r="Q157" s="468"/>
    </row>
    <row r="158">
      <c r="I158" s="73"/>
      <c r="J158" s="467"/>
      <c r="K158" s="467"/>
      <c r="L158" s="467"/>
      <c r="M158" s="467"/>
      <c r="N158" s="467"/>
      <c r="O158" s="467"/>
      <c r="P158" s="468"/>
      <c r="Q158" s="468"/>
    </row>
    <row r="159">
      <c r="I159" s="73"/>
      <c r="J159" s="467"/>
      <c r="K159" s="467"/>
      <c r="L159" s="467"/>
      <c r="M159" s="467"/>
      <c r="N159" s="467"/>
      <c r="O159" s="467"/>
      <c r="P159" s="468"/>
      <c r="Q159" s="468"/>
    </row>
    <row r="160">
      <c r="I160" s="73"/>
      <c r="J160" s="467"/>
      <c r="K160" s="467"/>
      <c r="L160" s="467"/>
      <c r="M160" s="467"/>
      <c r="N160" s="467"/>
      <c r="O160" s="467"/>
      <c r="P160" s="468"/>
      <c r="Q160" s="468"/>
    </row>
    <row r="161">
      <c r="I161" s="73"/>
      <c r="J161" s="467"/>
      <c r="K161" s="467"/>
      <c r="L161" s="467"/>
      <c r="M161" s="467"/>
      <c r="N161" s="467"/>
      <c r="O161" s="467"/>
      <c r="P161" s="468"/>
      <c r="Q161" s="468"/>
    </row>
    <row r="162">
      <c r="I162" s="73"/>
      <c r="J162" s="467"/>
      <c r="K162" s="467"/>
      <c r="L162" s="467"/>
      <c r="M162" s="467"/>
      <c r="N162" s="467"/>
      <c r="O162" s="467"/>
      <c r="P162" s="468"/>
      <c r="Q162" s="468"/>
    </row>
    <row r="163">
      <c r="I163" s="73"/>
      <c r="J163" s="467"/>
      <c r="K163" s="467"/>
      <c r="L163" s="467"/>
      <c r="M163" s="467"/>
      <c r="N163" s="467"/>
      <c r="O163" s="467"/>
      <c r="P163" s="468"/>
      <c r="Q163" s="468"/>
    </row>
    <row r="164">
      <c r="I164" s="73"/>
      <c r="J164" s="467"/>
      <c r="K164" s="467"/>
      <c r="L164" s="467"/>
      <c r="M164" s="467"/>
      <c r="N164" s="467"/>
      <c r="O164" s="467"/>
      <c r="P164" s="468"/>
      <c r="Q164" s="468"/>
    </row>
    <row r="165">
      <c r="I165" s="73"/>
      <c r="J165" s="467"/>
      <c r="K165" s="467"/>
      <c r="L165" s="467"/>
      <c r="M165" s="467"/>
      <c r="N165" s="467"/>
      <c r="O165" s="467"/>
      <c r="P165" s="468"/>
      <c r="Q165" s="468"/>
    </row>
    <row r="166">
      <c r="I166" s="73"/>
      <c r="J166" s="467"/>
      <c r="K166" s="467"/>
      <c r="L166" s="467"/>
      <c r="M166" s="467"/>
      <c r="N166" s="467"/>
      <c r="O166" s="467"/>
      <c r="P166" s="468"/>
      <c r="Q166" s="468"/>
    </row>
    <row r="167">
      <c r="I167" s="73"/>
      <c r="J167" s="467"/>
      <c r="K167" s="467"/>
      <c r="L167" s="467"/>
      <c r="M167" s="467"/>
      <c r="N167" s="467"/>
      <c r="O167" s="467"/>
      <c r="P167" s="468"/>
      <c r="Q167" s="468"/>
    </row>
    <row r="168">
      <c r="I168" s="73"/>
      <c r="J168" s="467"/>
      <c r="K168" s="467"/>
      <c r="L168" s="467"/>
      <c r="M168" s="467"/>
      <c r="N168" s="467"/>
      <c r="O168" s="467"/>
      <c r="P168" s="468"/>
      <c r="Q168" s="468"/>
    </row>
    <row r="169">
      <c r="I169" s="73"/>
      <c r="J169" s="467"/>
      <c r="K169" s="467"/>
      <c r="L169" s="467"/>
      <c r="M169" s="467"/>
      <c r="N169" s="467"/>
      <c r="O169" s="467"/>
      <c r="P169" s="468"/>
      <c r="Q169" s="468"/>
    </row>
    <row r="170">
      <c r="I170" s="73"/>
      <c r="J170" s="467"/>
      <c r="K170" s="467"/>
      <c r="L170" s="467"/>
      <c r="M170" s="467"/>
      <c r="N170" s="467"/>
      <c r="O170" s="467"/>
      <c r="P170" s="468"/>
      <c r="Q170" s="468"/>
    </row>
    <row r="171">
      <c r="I171" s="73"/>
      <c r="J171" s="467"/>
      <c r="K171" s="467"/>
      <c r="L171" s="467"/>
      <c r="M171" s="467"/>
      <c r="N171" s="467"/>
      <c r="O171" s="467"/>
      <c r="P171" s="468"/>
      <c r="Q171" s="468"/>
    </row>
    <row r="172">
      <c r="I172" s="73"/>
      <c r="J172" s="467"/>
      <c r="K172" s="467"/>
      <c r="L172" s="467"/>
      <c r="M172" s="467"/>
      <c r="N172" s="467"/>
      <c r="O172" s="467"/>
      <c r="P172" s="468"/>
      <c r="Q172" s="468"/>
    </row>
    <row r="173">
      <c r="I173" s="73"/>
      <c r="J173" s="467"/>
      <c r="K173" s="467"/>
      <c r="L173" s="467"/>
      <c r="M173" s="467"/>
      <c r="N173" s="467"/>
      <c r="O173" s="467"/>
      <c r="P173" s="468"/>
      <c r="Q173" s="468"/>
    </row>
    <row r="174">
      <c r="I174" s="73"/>
      <c r="J174" s="467"/>
      <c r="K174" s="467"/>
      <c r="L174" s="467"/>
      <c r="M174" s="467"/>
      <c r="N174" s="467"/>
      <c r="O174" s="467"/>
      <c r="P174" s="468"/>
      <c r="Q174" s="468"/>
    </row>
    <row r="175">
      <c r="I175" s="73"/>
      <c r="J175" s="467"/>
      <c r="K175" s="467"/>
      <c r="L175" s="467"/>
      <c r="M175" s="467"/>
      <c r="N175" s="467"/>
      <c r="O175" s="467"/>
      <c r="P175" s="468"/>
      <c r="Q175" s="468"/>
    </row>
    <row r="176">
      <c r="I176" s="73"/>
      <c r="J176" s="467"/>
      <c r="K176" s="467"/>
      <c r="L176" s="467"/>
      <c r="M176" s="467"/>
      <c r="N176" s="467"/>
      <c r="O176" s="467"/>
      <c r="P176" s="468"/>
      <c r="Q176" s="468"/>
    </row>
    <row r="177">
      <c r="I177" s="73"/>
      <c r="J177" s="467"/>
      <c r="K177" s="467"/>
      <c r="L177" s="467"/>
      <c r="M177" s="467"/>
      <c r="N177" s="467"/>
      <c r="O177" s="467"/>
      <c r="P177" s="468"/>
      <c r="Q177" s="468"/>
    </row>
    <row r="178">
      <c r="I178" s="73"/>
      <c r="J178" s="467"/>
      <c r="K178" s="467"/>
      <c r="L178" s="467"/>
      <c r="M178" s="467"/>
      <c r="N178" s="467"/>
      <c r="O178" s="467"/>
      <c r="P178" s="468"/>
      <c r="Q178" s="468"/>
    </row>
    <row r="179">
      <c r="I179" s="73"/>
      <c r="J179" s="467"/>
      <c r="K179" s="467"/>
      <c r="L179" s="467"/>
      <c r="M179" s="467"/>
      <c r="N179" s="467"/>
      <c r="O179" s="467"/>
      <c r="P179" s="468"/>
      <c r="Q179" s="468"/>
    </row>
    <row r="180">
      <c r="I180" s="73"/>
      <c r="J180" s="467"/>
      <c r="K180" s="467"/>
      <c r="L180" s="467"/>
      <c r="M180" s="467"/>
      <c r="N180" s="467"/>
      <c r="O180" s="467"/>
      <c r="P180" s="468"/>
      <c r="Q180" s="468"/>
    </row>
    <row r="181">
      <c r="I181" s="73"/>
      <c r="J181" s="467"/>
      <c r="K181" s="467"/>
      <c r="L181" s="467"/>
      <c r="M181" s="467"/>
      <c r="N181" s="467"/>
      <c r="O181" s="467"/>
      <c r="P181" s="468"/>
      <c r="Q181" s="468"/>
    </row>
    <row r="182">
      <c r="I182" s="73"/>
      <c r="J182" s="467"/>
      <c r="K182" s="467"/>
      <c r="L182" s="467"/>
      <c r="M182" s="467"/>
      <c r="N182" s="467"/>
      <c r="O182" s="467"/>
      <c r="P182" s="468"/>
      <c r="Q182" s="468"/>
    </row>
    <row r="183">
      <c r="I183" s="73"/>
      <c r="J183" s="467"/>
      <c r="K183" s="467"/>
      <c r="L183" s="467"/>
      <c r="M183" s="467"/>
      <c r="N183" s="467"/>
      <c r="O183" s="467"/>
      <c r="P183" s="468"/>
      <c r="Q183" s="468"/>
    </row>
    <row r="184">
      <c r="I184" s="73"/>
      <c r="J184" s="467"/>
      <c r="K184" s="467"/>
      <c r="L184" s="467"/>
      <c r="M184" s="467"/>
      <c r="N184" s="467"/>
      <c r="O184" s="467"/>
      <c r="P184" s="468"/>
      <c r="Q184" s="468"/>
    </row>
    <row r="185">
      <c r="I185" s="73"/>
      <c r="J185" s="467"/>
      <c r="K185" s="467"/>
      <c r="L185" s="467"/>
      <c r="M185" s="467"/>
      <c r="N185" s="467"/>
      <c r="O185" s="467"/>
      <c r="P185" s="468"/>
      <c r="Q185" s="468"/>
    </row>
    <row r="186">
      <c r="I186" s="73"/>
      <c r="J186" s="467"/>
      <c r="K186" s="467"/>
      <c r="L186" s="467"/>
      <c r="M186" s="467"/>
      <c r="N186" s="467"/>
      <c r="O186" s="467"/>
      <c r="P186" s="468"/>
      <c r="Q186" s="468"/>
    </row>
    <row r="187">
      <c r="I187" s="73"/>
      <c r="J187" s="467"/>
      <c r="K187" s="467"/>
      <c r="L187" s="467"/>
      <c r="M187" s="467"/>
      <c r="N187" s="467"/>
      <c r="O187" s="467"/>
      <c r="P187" s="468"/>
      <c r="Q187" s="468"/>
    </row>
    <row r="188">
      <c r="I188" s="73"/>
      <c r="J188" s="467"/>
      <c r="K188" s="467"/>
      <c r="L188" s="467"/>
      <c r="M188" s="467"/>
      <c r="N188" s="467"/>
      <c r="O188" s="467"/>
      <c r="P188" s="468"/>
      <c r="Q188" s="468"/>
    </row>
    <row r="189">
      <c r="I189" s="73"/>
      <c r="J189" s="467"/>
      <c r="K189" s="467"/>
      <c r="L189" s="467"/>
      <c r="M189" s="467"/>
      <c r="N189" s="467"/>
      <c r="O189" s="467"/>
      <c r="P189" s="468"/>
      <c r="Q189" s="468"/>
    </row>
    <row r="190">
      <c r="I190" s="73"/>
      <c r="J190" s="467"/>
      <c r="K190" s="467"/>
      <c r="L190" s="467"/>
      <c r="M190" s="467"/>
      <c r="N190" s="467"/>
      <c r="O190" s="467"/>
      <c r="P190" s="468"/>
      <c r="Q190" s="468"/>
    </row>
    <row r="191">
      <c r="I191" s="73"/>
      <c r="J191" s="467"/>
      <c r="K191" s="467"/>
      <c r="L191" s="467"/>
      <c r="M191" s="467"/>
      <c r="N191" s="467"/>
      <c r="O191" s="467"/>
      <c r="P191" s="468"/>
      <c r="Q191" s="468"/>
    </row>
    <row r="192">
      <c r="I192" s="73"/>
      <c r="J192" s="467"/>
      <c r="K192" s="467"/>
      <c r="L192" s="467"/>
      <c r="M192" s="467"/>
      <c r="N192" s="467"/>
      <c r="O192" s="467"/>
      <c r="P192" s="468"/>
      <c r="Q192" s="468"/>
    </row>
    <row r="193">
      <c r="I193" s="73"/>
      <c r="J193" s="467"/>
      <c r="K193" s="467"/>
      <c r="L193" s="467"/>
      <c r="M193" s="467"/>
      <c r="N193" s="467"/>
      <c r="O193" s="467"/>
      <c r="P193" s="468"/>
      <c r="Q193" s="468"/>
    </row>
    <row r="194">
      <c r="I194" s="73"/>
      <c r="J194" s="467"/>
      <c r="K194" s="467"/>
      <c r="L194" s="467"/>
      <c r="M194" s="467"/>
      <c r="N194" s="467"/>
      <c r="O194" s="467"/>
      <c r="P194" s="468"/>
      <c r="Q194" s="468"/>
    </row>
    <row r="195">
      <c r="I195" s="73"/>
      <c r="J195" s="467"/>
      <c r="K195" s="467"/>
      <c r="L195" s="467"/>
      <c r="M195" s="467"/>
      <c r="N195" s="467"/>
      <c r="O195" s="467"/>
      <c r="P195" s="468"/>
      <c r="Q195" s="468"/>
    </row>
    <row r="196">
      <c r="I196" s="73"/>
      <c r="J196" s="467"/>
      <c r="K196" s="467"/>
      <c r="L196" s="467"/>
      <c r="M196" s="467"/>
      <c r="N196" s="467"/>
      <c r="O196" s="467"/>
      <c r="P196" s="468"/>
      <c r="Q196" s="468"/>
    </row>
    <row r="197">
      <c r="I197" s="73"/>
      <c r="J197" s="467"/>
      <c r="K197" s="467"/>
      <c r="L197" s="467"/>
      <c r="M197" s="467"/>
      <c r="N197" s="467"/>
      <c r="O197" s="467"/>
      <c r="P197" s="468"/>
      <c r="Q197" s="468"/>
    </row>
    <row r="198">
      <c r="I198" s="73"/>
      <c r="J198" s="467"/>
      <c r="K198" s="467"/>
      <c r="L198" s="467"/>
      <c r="M198" s="467"/>
      <c r="N198" s="467"/>
      <c r="O198" s="467"/>
      <c r="P198" s="468"/>
      <c r="Q198" s="468"/>
    </row>
    <row r="199">
      <c r="I199" s="73"/>
      <c r="J199" s="467"/>
      <c r="K199" s="467"/>
      <c r="L199" s="467"/>
      <c r="M199" s="467"/>
      <c r="N199" s="467"/>
      <c r="O199" s="467"/>
      <c r="P199" s="468"/>
      <c r="Q199" s="468"/>
    </row>
    <row r="200">
      <c r="I200" s="73"/>
      <c r="J200" s="467"/>
      <c r="K200" s="467"/>
      <c r="L200" s="467"/>
      <c r="M200" s="467"/>
      <c r="N200" s="467"/>
      <c r="O200" s="467"/>
      <c r="P200" s="468"/>
      <c r="Q200" s="468"/>
    </row>
    <row r="201">
      <c r="I201" s="73"/>
      <c r="J201" s="467"/>
      <c r="K201" s="467"/>
      <c r="L201" s="467"/>
      <c r="M201" s="467"/>
      <c r="N201" s="467"/>
      <c r="O201" s="467"/>
      <c r="P201" s="468"/>
      <c r="Q201" s="468"/>
    </row>
    <row r="202">
      <c r="I202" s="73"/>
      <c r="J202" s="467"/>
      <c r="K202" s="467"/>
      <c r="L202" s="467"/>
      <c r="M202" s="467"/>
      <c r="N202" s="467"/>
      <c r="O202" s="467"/>
      <c r="P202" s="468"/>
      <c r="Q202" s="468"/>
    </row>
    <row r="203">
      <c r="I203" s="73"/>
      <c r="J203" s="467"/>
      <c r="K203" s="467"/>
      <c r="L203" s="467"/>
      <c r="M203" s="467"/>
      <c r="N203" s="467"/>
      <c r="O203" s="467"/>
      <c r="P203" s="468"/>
      <c r="Q203" s="468"/>
    </row>
    <row r="204">
      <c r="I204" s="73"/>
      <c r="J204" s="467"/>
      <c r="K204" s="467"/>
      <c r="L204" s="467"/>
      <c r="M204" s="467"/>
      <c r="N204" s="467"/>
      <c r="O204" s="467"/>
      <c r="P204" s="468"/>
      <c r="Q204" s="468"/>
    </row>
    <row r="205">
      <c r="I205" s="73"/>
      <c r="J205" s="467"/>
      <c r="K205" s="467"/>
      <c r="L205" s="467"/>
      <c r="M205" s="467"/>
      <c r="N205" s="467"/>
      <c r="O205" s="467"/>
      <c r="P205" s="468"/>
      <c r="Q205" s="468"/>
    </row>
    <row r="206">
      <c r="I206" s="73"/>
      <c r="J206" s="467"/>
      <c r="K206" s="467"/>
      <c r="L206" s="467"/>
      <c r="M206" s="467"/>
      <c r="N206" s="467"/>
      <c r="O206" s="467"/>
      <c r="P206" s="468"/>
      <c r="Q206" s="468"/>
    </row>
    <row r="207">
      <c r="I207" s="73"/>
      <c r="J207" s="467"/>
      <c r="K207" s="467"/>
      <c r="L207" s="467"/>
      <c r="M207" s="467"/>
      <c r="N207" s="467"/>
      <c r="O207" s="467"/>
      <c r="P207" s="468"/>
      <c r="Q207" s="468"/>
    </row>
    <row r="208">
      <c r="I208" s="73"/>
      <c r="J208" s="467"/>
      <c r="K208" s="467"/>
      <c r="L208" s="467"/>
      <c r="M208" s="467"/>
      <c r="N208" s="467"/>
      <c r="O208" s="467"/>
      <c r="P208" s="468"/>
      <c r="Q208" s="468"/>
    </row>
    <row r="209">
      <c r="I209" s="73"/>
      <c r="J209" s="467"/>
      <c r="K209" s="467"/>
      <c r="L209" s="467"/>
      <c r="M209" s="467"/>
      <c r="N209" s="467"/>
      <c r="O209" s="467"/>
      <c r="P209" s="468"/>
      <c r="Q209" s="468"/>
    </row>
    <row r="210">
      <c r="I210" s="73"/>
      <c r="J210" s="467"/>
      <c r="K210" s="467"/>
      <c r="L210" s="467"/>
      <c r="M210" s="467"/>
      <c r="N210" s="467"/>
      <c r="O210" s="467"/>
      <c r="P210" s="468"/>
      <c r="Q210" s="468"/>
    </row>
    <row r="211">
      <c r="I211" s="73"/>
      <c r="J211" s="467"/>
      <c r="K211" s="467"/>
      <c r="L211" s="467"/>
      <c r="M211" s="467"/>
      <c r="N211" s="467"/>
      <c r="O211" s="467"/>
      <c r="P211" s="468"/>
      <c r="Q211" s="468"/>
    </row>
    <row r="212">
      <c r="I212" s="73"/>
      <c r="J212" s="467"/>
      <c r="K212" s="467"/>
      <c r="L212" s="467"/>
      <c r="M212" s="467"/>
      <c r="N212" s="467"/>
      <c r="O212" s="467"/>
      <c r="P212" s="468"/>
      <c r="Q212" s="468"/>
    </row>
    <row r="213">
      <c r="I213" s="73"/>
      <c r="J213" s="467"/>
      <c r="K213" s="467"/>
      <c r="L213" s="467"/>
      <c r="M213" s="467"/>
      <c r="N213" s="467"/>
      <c r="O213" s="467"/>
      <c r="P213" s="468"/>
      <c r="Q213" s="468"/>
    </row>
    <row r="214">
      <c r="I214" s="73"/>
      <c r="J214" s="467"/>
      <c r="K214" s="467"/>
      <c r="L214" s="467"/>
      <c r="M214" s="467"/>
      <c r="N214" s="467"/>
      <c r="O214" s="467"/>
      <c r="P214" s="468"/>
      <c r="Q214" s="468"/>
    </row>
    <row r="215">
      <c r="I215" s="73"/>
      <c r="J215" s="467"/>
      <c r="K215" s="467"/>
      <c r="L215" s="467"/>
      <c r="M215" s="467"/>
      <c r="N215" s="467"/>
      <c r="O215" s="467"/>
      <c r="P215" s="468"/>
      <c r="Q215" s="468"/>
    </row>
    <row r="216">
      <c r="I216" s="73"/>
      <c r="J216" s="467"/>
      <c r="K216" s="467"/>
      <c r="L216" s="467"/>
      <c r="M216" s="467"/>
      <c r="N216" s="467"/>
      <c r="O216" s="467"/>
      <c r="P216" s="468"/>
      <c r="Q216" s="468"/>
    </row>
    <row r="217">
      <c r="I217" s="73"/>
      <c r="J217" s="467"/>
      <c r="K217" s="467"/>
      <c r="L217" s="467"/>
      <c r="M217" s="467"/>
      <c r="N217" s="467"/>
      <c r="O217" s="467"/>
      <c r="P217" s="468"/>
      <c r="Q217" s="468"/>
    </row>
    <row r="218">
      <c r="I218" s="73"/>
      <c r="J218" s="467"/>
      <c r="K218" s="467"/>
      <c r="L218" s="467"/>
      <c r="M218" s="467"/>
      <c r="N218" s="467"/>
      <c r="O218" s="467"/>
      <c r="P218" s="468"/>
      <c r="Q218" s="468"/>
    </row>
    <row r="219">
      <c r="I219" s="73"/>
      <c r="J219" s="467"/>
      <c r="K219" s="467"/>
      <c r="L219" s="467"/>
      <c r="M219" s="467"/>
      <c r="N219" s="467"/>
      <c r="O219" s="467"/>
      <c r="P219" s="468"/>
      <c r="Q219" s="468"/>
    </row>
    <row r="220">
      <c r="I220" s="73"/>
      <c r="J220" s="467"/>
      <c r="K220" s="467"/>
      <c r="L220" s="467"/>
      <c r="M220" s="467"/>
      <c r="N220" s="467"/>
      <c r="O220" s="467"/>
      <c r="P220" s="468"/>
      <c r="Q220" s="468"/>
    </row>
    <row r="221">
      <c r="I221" s="73"/>
      <c r="J221" s="467"/>
      <c r="K221" s="467"/>
      <c r="L221" s="467"/>
      <c r="M221" s="467"/>
      <c r="N221" s="467"/>
      <c r="O221" s="467"/>
      <c r="P221" s="468"/>
      <c r="Q221" s="468"/>
    </row>
    <row r="222">
      <c r="I222" s="73"/>
      <c r="J222" s="467"/>
      <c r="K222" s="467"/>
      <c r="L222" s="467"/>
      <c r="M222" s="467"/>
      <c r="N222" s="467"/>
      <c r="O222" s="467"/>
      <c r="P222" s="468"/>
      <c r="Q222" s="468"/>
    </row>
    <row r="223">
      <c r="I223" s="73"/>
      <c r="J223" s="467"/>
      <c r="K223" s="467"/>
      <c r="L223" s="467"/>
      <c r="M223" s="467"/>
      <c r="N223" s="467"/>
      <c r="O223" s="467"/>
      <c r="P223" s="468"/>
      <c r="Q223" s="468"/>
    </row>
    <row r="224">
      <c r="I224" s="73"/>
      <c r="J224" s="467"/>
      <c r="K224" s="467"/>
      <c r="L224" s="467"/>
      <c r="M224" s="467"/>
      <c r="N224" s="467"/>
      <c r="O224" s="467"/>
      <c r="P224" s="468"/>
      <c r="Q224" s="468"/>
    </row>
    <row r="225">
      <c r="I225" s="73"/>
      <c r="J225" s="467"/>
      <c r="K225" s="467"/>
      <c r="L225" s="467"/>
      <c r="M225" s="467"/>
      <c r="N225" s="467"/>
      <c r="O225" s="467"/>
      <c r="P225" s="468"/>
      <c r="Q225" s="468"/>
    </row>
    <row r="226">
      <c r="I226" s="73"/>
      <c r="J226" s="467"/>
      <c r="K226" s="467"/>
      <c r="L226" s="467"/>
      <c r="M226" s="467"/>
      <c r="N226" s="467"/>
      <c r="O226" s="467"/>
      <c r="P226" s="468"/>
      <c r="Q226" s="468"/>
    </row>
    <row r="227">
      <c r="I227" s="73"/>
      <c r="J227" s="467"/>
      <c r="K227" s="467"/>
      <c r="L227" s="467"/>
      <c r="M227" s="467"/>
      <c r="N227" s="467"/>
      <c r="O227" s="467"/>
      <c r="P227" s="468"/>
      <c r="Q227" s="468"/>
    </row>
    <row r="228">
      <c r="I228" s="73"/>
      <c r="J228" s="467"/>
      <c r="K228" s="467"/>
      <c r="L228" s="467"/>
      <c r="M228" s="467"/>
      <c r="N228" s="467"/>
      <c r="O228" s="467"/>
      <c r="P228" s="468"/>
      <c r="Q228" s="468"/>
    </row>
    <row r="229">
      <c r="I229" s="73"/>
      <c r="J229" s="467"/>
      <c r="K229" s="467"/>
      <c r="L229" s="467"/>
      <c r="M229" s="467"/>
      <c r="N229" s="467"/>
      <c r="O229" s="467"/>
      <c r="P229" s="468"/>
      <c r="Q229" s="468"/>
    </row>
    <row r="230">
      <c r="I230" s="73"/>
      <c r="J230" s="467"/>
      <c r="K230" s="467"/>
      <c r="L230" s="467"/>
      <c r="M230" s="467"/>
      <c r="N230" s="467"/>
      <c r="O230" s="467"/>
      <c r="P230" s="468"/>
      <c r="Q230" s="468"/>
    </row>
    <row r="231">
      <c r="I231" s="73"/>
      <c r="J231" s="467"/>
      <c r="K231" s="467"/>
      <c r="L231" s="467"/>
      <c r="M231" s="467"/>
      <c r="N231" s="467"/>
      <c r="O231" s="467"/>
      <c r="P231" s="468"/>
      <c r="Q231" s="468"/>
    </row>
    <row r="232">
      <c r="I232" s="73"/>
      <c r="J232" s="467"/>
      <c r="K232" s="467"/>
      <c r="L232" s="467"/>
      <c r="M232" s="467"/>
      <c r="N232" s="467"/>
      <c r="O232" s="467"/>
      <c r="P232" s="468"/>
      <c r="Q232" s="468"/>
    </row>
    <row r="233">
      <c r="I233" s="73"/>
      <c r="J233" s="467"/>
      <c r="K233" s="467"/>
      <c r="L233" s="467"/>
      <c r="M233" s="467"/>
      <c r="N233" s="467"/>
      <c r="O233" s="467"/>
      <c r="P233" s="468"/>
      <c r="Q233" s="468"/>
    </row>
    <row r="234">
      <c r="I234" s="73"/>
      <c r="J234" s="467"/>
      <c r="K234" s="467"/>
      <c r="L234" s="467"/>
      <c r="M234" s="467"/>
      <c r="N234" s="467"/>
      <c r="O234" s="467"/>
      <c r="P234" s="468"/>
      <c r="Q234" s="468"/>
    </row>
    <row r="235">
      <c r="I235" s="73"/>
      <c r="J235" s="467"/>
      <c r="K235" s="467"/>
      <c r="L235" s="467"/>
      <c r="M235" s="467"/>
      <c r="N235" s="467"/>
      <c r="O235" s="467"/>
      <c r="P235" s="468"/>
      <c r="Q235" s="468"/>
    </row>
    <row r="236">
      <c r="I236" s="73"/>
      <c r="J236" s="467"/>
      <c r="K236" s="467"/>
      <c r="L236" s="467"/>
      <c r="M236" s="467"/>
      <c r="N236" s="467"/>
      <c r="O236" s="467"/>
      <c r="P236" s="468"/>
      <c r="Q236" s="468"/>
    </row>
    <row r="237">
      <c r="I237" s="73"/>
      <c r="J237" s="467"/>
      <c r="K237" s="467"/>
      <c r="L237" s="467"/>
      <c r="M237" s="467"/>
      <c r="N237" s="467"/>
      <c r="O237" s="467"/>
      <c r="P237" s="468"/>
      <c r="Q237" s="468"/>
    </row>
    <row r="238">
      <c r="I238" s="73"/>
      <c r="J238" s="467"/>
      <c r="K238" s="467"/>
      <c r="L238" s="467"/>
      <c r="M238" s="467"/>
      <c r="N238" s="467"/>
      <c r="O238" s="467"/>
      <c r="P238" s="468"/>
      <c r="Q238" s="468"/>
    </row>
    <row r="239">
      <c r="I239" s="73"/>
      <c r="J239" s="467"/>
      <c r="K239" s="467"/>
      <c r="L239" s="467"/>
      <c r="M239" s="467"/>
      <c r="N239" s="467"/>
      <c r="O239" s="467"/>
      <c r="P239" s="468"/>
      <c r="Q239" s="468"/>
    </row>
    <row r="240">
      <c r="I240" s="73"/>
      <c r="J240" s="467"/>
      <c r="K240" s="467"/>
      <c r="L240" s="467"/>
      <c r="M240" s="467"/>
      <c r="N240" s="467"/>
      <c r="O240" s="467"/>
      <c r="P240" s="468"/>
      <c r="Q240" s="468"/>
    </row>
    <row r="241">
      <c r="I241" s="73"/>
      <c r="J241" s="467"/>
      <c r="K241" s="467"/>
      <c r="L241" s="467"/>
      <c r="M241" s="467"/>
      <c r="N241" s="467"/>
      <c r="O241" s="467"/>
      <c r="P241" s="468"/>
      <c r="Q241" s="468"/>
    </row>
    <row r="242">
      <c r="I242" s="73"/>
      <c r="J242" s="467"/>
      <c r="K242" s="467"/>
      <c r="L242" s="467"/>
      <c r="M242" s="467"/>
      <c r="N242" s="467"/>
      <c r="O242" s="467"/>
      <c r="P242" s="468"/>
      <c r="Q242" s="468"/>
    </row>
    <row r="243">
      <c r="I243" s="73"/>
      <c r="J243" s="467"/>
      <c r="K243" s="467"/>
      <c r="L243" s="467"/>
      <c r="M243" s="467"/>
      <c r="N243" s="467"/>
      <c r="O243" s="467"/>
      <c r="P243" s="468"/>
      <c r="Q243" s="468"/>
    </row>
    <row r="244">
      <c r="I244" s="73"/>
      <c r="J244" s="467"/>
      <c r="K244" s="467"/>
      <c r="L244" s="467"/>
      <c r="M244" s="467"/>
      <c r="N244" s="467"/>
      <c r="O244" s="467"/>
      <c r="P244" s="468"/>
      <c r="Q244" s="468"/>
    </row>
    <row r="245">
      <c r="I245" s="73"/>
      <c r="J245" s="467"/>
      <c r="K245" s="467"/>
      <c r="L245" s="467"/>
      <c r="M245" s="467"/>
      <c r="N245" s="467"/>
      <c r="O245" s="467"/>
      <c r="P245" s="468"/>
      <c r="Q245" s="468"/>
    </row>
    <row r="246">
      <c r="I246" s="73"/>
      <c r="J246" s="467"/>
      <c r="K246" s="467"/>
      <c r="L246" s="467"/>
      <c r="M246" s="467"/>
      <c r="N246" s="467"/>
      <c r="O246" s="467"/>
      <c r="P246" s="468"/>
      <c r="Q246" s="468"/>
    </row>
    <row r="247">
      <c r="I247" s="73"/>
      <c r="J247" s="467"/>
      <c r="K247" s="467"/>
      <c r="L247" s="467"/>
      <c r="M247" s="467"/>
      <c r="N247" s="467"/>
      <c r="O247" s="467"/>
      <c r="P247" s="468"/>
      <c r="Q247" s="468"/>
    </row>
    <row r="248">
      <c r="I248" s="73"/>
      <c r="J248" s="467"/>
      <c r="K248" s="467"/>
      <c r="L248" s="467"/>
      <c r="M248" s="467"/>
      <c r="N248" s="467"/>
      <c r="O248" s="467"/>
      <c r="P248" s="468"/>
      <c r="Q248" s="468"/>
    </row>
    <row r="249">
      <c r="I249" s="73"/>
      <c r="J249" s="467"/>
      <c r="K249" s="467"/>
      <c r="L249" s="467"/>
      <c r="M249" s="467"/>
      <c r="N249" s="467"/>
      <c r="O249" s="467"/>
      <c r="P249" s="468"/>
      <c r="Q249" s="468"/>
    </row>
    <row r="250">
      <c r="I250" s="73"/>
      <c r="J250" s="467"/>
      <c r="K250" s="467"/>
      <c r="L250" s="467"/>
      <c r="M250" s="467"/>
      <c r="N250" s="467"/>
      <c r="O250" s="467"/>
      <c r="P250" s="468"/>
      <c r="Q250" s="468"/>
    </row>
    <row r="251">
      <c r="I251" s="73"/>
      <c r="J251" s="467"/>
      <c r="K251" s="467"/>
      <c r="L251" s="467"/>
      <c r="M251" s="467"/>
      <c r="N251" s="467"/>
      <c r="O251" s="467"/>
      <c r="P251" s="468"/>
      <c r="Q251" s="468"/>
    </row>
    <row r="252">
      <c r="I252" s="73"/>
      <c r="J252" s="467"/>
      <c r="K252" s="467"/>
      <c r="L252" s="467"/>
      <c r="M252" s="467"/>
      <c r="N252" s="467"/>
      <c r="O252" s="467"/>
      <c r="P252" s="468"/>
      <c r="Q252" s="468"/>
    </row>
    <row r="253">
      <c r="I253" s="73"/>
      <c r="J253" s="467"/>
      <c r="K253" s="467"/>
      <c r="L253" s="467"/>
      <c r="M253" s="467"/>
      <c r="N253" s="467"/>
      <c r="O253" s="467"/>
      <c r="P253" s="468"/>
      <c r="Q253" s="468"/>
    </row>
    <row r="254">
      <c r="I254" s="73"/>
      <c r="J254" s="467"/>
      <c r="K254" s="467"/>
      <c r="L254" s="467"/>
      <c r="M254" s="467"/>
      <c r="N254" s="467"/>
      <c r="O254" s="467"/>
      <c r="P254" s="468"/>
      <c r="Q254" s="468"/>
    </row>
    <row r="255">
      <c r="I255" s="73"/>
      <c r="J255" s="467"/>
      <c r="K255" s="467"/>
      <c r="L255" s="467"/>
      <c r="M255" s="467"/>
      <c r="N255" s="467"/>
      <c r="O255" s="467"/>
      <c r="P255" s="468"/>
      <c r="Q255" s="468"/>
    </row>
    <row r="256">
      <c r="I256" s="73"/>
      <c r="J256" s="467"/>
      <c r="K256" s="467"/>
      <c r="L256" s="467"/>
      <c r="M256" s="467"/>
      <c r="N256" s="467"/>
      <c r="O256" s="467"/>
      <c r="P256" s="468"/>
      <c r="Q256" s="468"/>
    </row>
    <row r="257">
      <c r="I257" s="73"/>
      <c r="J257" s="467"/>
      <c r="K257" s="467"/>
      <c r="L257" s="467"/>
      <c r="M257" s="467"/>
      <c r="N257" s="467"/>
      <c r="O257" s="467"/>
      <c r="P257" s="468"/>
      <c r="Q257" s="468"/>
    </row>
    <row r="258">
      <c r="I258" s="73"/>
      <c r="J258" s="467"/>
      <c r="K258" s="467"/>
      <c r="L258" s="467"/>
      <c r="M258" s="467"/>
      <c r="N258" s="467"/>
      <c r="O258" s="467"/>
      <c r="P258" s="468"/>
      <c r="Q258" s="468"/>
    </row>
    <row r="259">
      <c r="I259" s="73"/>
      <c r="J259" s="467"/>
      <c r="K259" s="467"/>
      <c r="L259" s="467"/>
      <c r="M259" s="467"/>
      <c r="N259" s="467"/>
      <c r="O259" s="467"/>
      <c r="P259" s="468"/>
      <c r="Q259" s="468"/>
    </row>
    <row r="260">
      <c r="I260" s="73"/>
      <c r="J260" s="467"/>
      <c r="K260" s="467"/>
      <c r="L260" s="467"/>
      <c r="M260" s="467"/>
      <c r="N260" s="467"/>
      <c r="O260" s="467"/>
      <c r="P260" s="468"/>
      <c r="Q260" s="468"/>
    </row>
    <row r="261">
      <c r="I261" s="73"/>
      <c r="J261" s="467"/>
      <c r="K261" s="467"/>
      <c r="L261" s="467"/>
      <c r="M261" s="467"/>
      <c r="N261" s="467"/>
      <c r="O261" s="467"/>
      <c r="P261" s="468"/>
      <c r="Q261" s="468"/>
    </row>
    <row r="262">
      <c r="I262" s="73"/>
      <c r="J262" s="467"/>
      <c r="K262" s="467"/>
      <c r="L262" s="467"/>
      <c r="M262" s="467"/>
      <c r="N262" s="467"/>
      <c r="O262" s="467"/>
      <c r="P262" s="468"/>
      <c r="Q262" s="468"/>
    </row>
    <row r="263">
      <c r="I263" s="73"/>
      <c r="J263" s="467"/>
      <c r="K263" s="467"/>
      <c r="L263" s="467"/>
      <c r="M263" s="467"/>
      <c r="N263" s="467"/>
      <c r="O263" s="467"/>
      <c r="P263" s="468"/>
      <c r="Q263" s="468"/>
    </row>
    <row r="264">
      <c r="I264" s="73"/>
      <c r="J264" s="467"/>
      <c r="K264" s="467"/>
      <c r="L264" s="467"/>
      <c r="M264" s="467"/>
      <c r="N264" s="467"/>
      <c r="O264" s="467"/>
      <c r="P264" s="468"/>
      <c r="Q264" s="468"/>
    </row>
    <row r="265">
      <c r="I265" s="73"/>
      <c r="J265" s="467"/>
      <c r="K265" s="467"/>
      <c r="L265" s="467"/>
      <c r="M265" s="467"/>
      <c r="N265" s="467"/>
      <c r="O265" s="467"/>
      <c r="P265" s="468"/>
      <c r="Q265" s="468"/>
    </row>
    <row r="266">
      <c r="I266" s="73"/>
      <c r="J266" s="467"/>
      <c r="K266" s="467"/>
      <c r="L266" s="467"/>
      <c r="M266" s="467"/>
      <c r="N266" s="467"/>
      <c r="O266" s="467"/>
      <c r="P266" s="468"/>
      <c r="Q266" s="468"/>
    </row>
    <row r="267">
      <c r="I267" s="73"/>
      <c r="J267" s="467"/>
      <c r="K267" s="467"/>
      <c r="L267" s="467"/>
      <c r="M267" s="467"/>
      <c r="N267" s="467"/>
      <c r="O267" s="467"/>
      <c r="P267" s="468"/>
      <c r="Q267" s="468"/>
    </row>
    <row r="268">
      <c r="I268" s="73"/>
      <c r="J268" s="467"/>
      <c r="K268" s="467"/>
      <c r="L268" s="467"/>
      <c r="M268" s="467"/>
      <c r="N268" s="467"/>
      <c r="O268" s="467"/>
      <c r="P268" s="468"/>
      <c r="Q268" s="468"/>
    </row>
    <row r="269">
      <c r="I269" s="73"/>
      <c r="J269" s="467"/>
      <c r="K269" s="467"/>
      <c r="L269" s="467"/>
      <c r="M269" s="467"/>
      <c r="N269" s="467"/>
      <c r="O269" s="467"/>
      <c r="P269" s="468"/>
      <c r="Q269" s="468"/>
    </row>
    <row r="270">
      <c r="I270" s="73"/>
      <c r="J270" s="467"/>
      <c r="K270" s="467"/>
      <c r="L270" s="467"/>
      <c r="M270" s="467"/>
      <c r="N270" s="467"/>
      <c r="O270" s="467"/>
      <c r="P270" s="468"/>
      <c r="Q270" s="468"/>
    </row>
    <row r="271">
      <c r="I271" s="73"/>
      <c r="J271" s="467"/>
      <c r="K271" s="467"/>
      <c r="L271" s="467"/>
      <c r="M271" s="467"/>
      <c r="N271" s="467"/>
      <c r="O271" s="467"/>
      <c r="P271" s="468"/>
      <c r="Q271" s="468"/>
    </row>
    <row r="272">
      <c r="I272" s="73"/>
      <c r="J272" s="467"/>
      <c r="K272" s="467"/>
      <c r="L272" s="467"/>
      <c r="M272" s="467"/>
      <c r="N272" s="467"/>
      <c r="O272" s="467"/>
      <c r="P272" s="468"/>
      <c r="Q272" s="468"/>
    </row>
    <row r="273">
      <c r="I273" s="73"/>
      <c r="J273" s="467"/>
      <c r="K273" s="467"/>
      <c r="L273" s="467"/>
      <c r="M273" s="467"/>
      <c r="N273" s="467"/>
      <c r="O273" s="467"/>
      <c r="P273" s="468"/>
      <c r="Q273" s="468"/>
    </row>
    <row r="274">
      <c r="I274" s="73"/>
      <c r="J274" s="467"/>
      <c r="K274" s="467"/>
      <c r="L274" s="467"/>
      <c r="M274" s="467"/>
      <c r="N274" s="467"/>
      <c r="O274" s="467"/>
      <c r="P274" s="468"/>
      <c r="Q274" s="468"/>
    </row>
    <row r="275">
      <c r="I275" s="73"/>
      <c r="J275" s="467"/>
      <c r="K275" s="467"/>
      <c r="L275" s="467"/>
      <c r="M275" s="467"/>
      <c r="N275" s="467"/>
      <c r="O275" s="467"/>
      <c r="P275" s="468"/>
      <c r="Q275" s="468"/>
    </row>
    <row r="276">
      <c r="I276" s="73"/>
      <c r="J276" s="467"/>
      <c r="K276" s="467"/>
      <c r="L276" s="467"/>
      <c r="M276" s="467"/>
      <c r="N276" s="467"/>
      <c r="O276" s="467"/>
      <c r="P276" s="468"/>
      <c r="Q276" s="468"/>
    </row>
    <row r="277">
      <c r="I277" s="73"/>
      <c r="J277" s="467"/>
      <c r="K277" s="467"/>
      <c r="L277" s="467"/>
      <c r="M277" s="467"/>
      <c r="N277" s="467"/>
      <c r="O277" s="467"/>
      <c r="P277" s="468"/>
      <c r="Q277" s="468"/>
    </row>
    <row r="278">
      <c r="I278" s="73"/>
      <c r="J278" s="467"/>
      <c r="K278" s="467"/>
      <c r="L278" s="467"/>
      <c r="M278" s="467"/>
      <c r="N278" s="467"/>
      <c r="O278" s="467"/>
      <c r="P278" s="468"/>
      <c r="Q278" s="468"/>
    </row>
    <row r="279">
      <c r="I279" s="73"/>
      <c r="J279" s="467"/>
      <c r="K279" s="467"/>
      <c r="L279" s="467"/>
      <c r="M279" s="467"/>
      <c r="N279" s="467"/>
      <c r="O279" s="467"/>
      <c r="P279" s="468"/>
      <c r="Q279" s="468"/>
    </row>
    <row r="280">
      <c r="I280" s="73"/>
      <c r="J280" s="467"/>
      <c r="K280" s="467"/>
      <c r="L280" s="467"/>
      <c r="M280" s="467"/>
      <c r="N280" s="467"/>
      <c r="O280" s="467"/>
      <c r="P280" s="468"/>
      <c r="Q280" s="468"/>
    </row>
    <row r="281">
      <c r="I281" s="73"/>
      <c r="J281" s="467"/>
      <c r="K281" s="467"/>
      <c r="L281" s="467"/>
      <c r="M281" s="467"/>
      <c r="N281" s="467"/>
      <c r="O281" s="467"/>
      <c r="P281" s="468"/>
      <c r="Q281" s="468"/>
    </row>
    <row r="282">
      <c r="I282" s="73"/>
      <c r="J282" s="467"/>
      <c r="K282" s="467"/>
      <c r="L282" s="467"/>
      <c r="M282" s="467"/>
      <c r="N282" s="467"/>
      <c r="O282" s="467"/>
      <c r="P282" s="468"/>
      <c r="Q282" s="468"/>
    </row>
    <row r="283">
      <c r="I283" s="73"/>
      <c r="J283" s="467"/>
      <c r="K283" s="467"/>
      <c r="L283" s="467"/>
      <c r="M283" s="467"/>
      <c r="N283" s="467"/>
      <c r="O283" s="467"/>
      <c r="P283" s="468"/>
      <c r="Q283" s="468"/>
    </row>
    <row r="284">
      <c r="I284" s="73"/>
      <c r="J284" s="467"/>
      <c r="K284" s="467"/>
      <c r="L284" s="467"/>
      <c r="M284" s="467"/>
      <c r="N284" s="467"/>
      <c r="O284" s="467"/>
      <c r="P284" s="468"/>
      <c r="Q284" s="468"/>
    </row>
    <row r="285">
      <c r="I285" s="73"/>
      <c r="J285" s="467"/>
      <c r="K285" s="467"/>
      <c r="L285" s="467"/>
      <c r="M285" s="467"/>
      <c r="N285" s="467"/>
      <c r="O285" s="467"/>
      <c r="P285" s="468"/>
      <c r="Q285" s="468"/>
    </row>
    <row r="286">
      <c r="I286" s="73"/>
      <c r="J286" s="467"/>
      <c r="K286" s="467"/>
      <c r="L286" s="467"/>
      <c r="M286" s="467"/>
      <c r="N286" s="467"/>
      <c r="O286" s="467"/>
      <c r="P286" s="468"/>
      <c r="Q286" s="468"/>
    </row>
    <row r="287">
      <c r="I287" s="73"/>
      <c r="J287" s="467"/>
      <c r="K287" s="467"/>
      <c r="L287" s="467"/>
      <c r="M287" s="467"/>
      <c r="N287" s="467"/>
      <c r="O287" s="467"/>
      <c r="P287" s="468"/>
      <c r="Q287" s="468"/>
    </row>
    <row r="288">
      <c r="I288" s="73"/>
      <c r="J288" s="467"/>
      <c r="K288" s="467"/>
      <c r="L288" s="467"/>
      <c r="M288" s="467"/>
      <c r="N288" s="467"/>
      <c r="O288" s="467"/>
      <c r="P288" s="468"/>
      <c r="Q288" s="468"/>
    </row>
    <row r="289">
      <c r="I289" s="73"/>
      <c r="J289" s="467"/>
      <c r="K289" s="467"/>
      <c r="L289" s="467"/>
      <c r="M289" s="467"/>
      <c r="N289" s="467"/>
      <c r="O289" s="467"/>
      <c r="P289" s="468"/>
      <c r="Q289" s="468"/>
    </row>
    <row r="290">
      <c r="I290" s="73"/>
      <c r="J290" s="467"/>
      <c r="K290" s="467"/>
      <c r="L290" s="467"/>
      <c r="M290" s="467"/>
      <c r="N290" s="467"/>
      <c r="O290" s="467"/>
      <c r="P290" s="468"/>
      <c r="Q290" s="468"/>
    </row>
    <row r="291">
      <c r="I291" s="73"/>
      <c r="J291" s="467"/>
      <c r="K291" s="467"/>
      <c r="L291" s="467"/>
      <c r="M291" s="467"/>
      <c r="N291" s="467"/>
      <c r="O291" s="467"/>
      <c r="P291" s="468"/>
      <c r="Q291" s="468"/>
    </row>
    <row r="292">
      <c r="I292" s="73"/>
      <c r="J292" s="467"/>
      <c r="K292" s="467"/>
      <c r="L292" s="467"/>
      <c r="M292" s="467"/>
      <c r="N292" s="467"/>
      <c r="O292" s="467"/>
      <c r="P292" s="468"/>
      <c r="Q292" s="468"/>
    </row>
    <row r="293">
      <c r="I293" s="73"/>
      <c r="J293" s="467"/>
      <c r="K293" s="467"/>
      <c r="L293" s="467"/>
      <c r="M293" s="467"/>
      <c r="N293" s="467"/>
      <c r="O293" s="467"/>
      <c r="P293" s="468"/>
      <c r="Q293" s="468"/>
    </row>
    <row r="294">
      <c r="I294" s="73"/>
      <c r="J294" s="467"/>
      <c r="K294" s="467"/>
      <c r="L294" s="467"/>
      <c r="M294" s="467"/>
      <c r="N294" s="467"/>
      <c r="O294" s="467"/>
      <c r="P294" s="468"/>
      <c r="Q294" s="468"/>
    </row>
    <row r="295">
      <c r="I295" s="73"/>
      <c r="J295" s="467"/>
      <c r="K295" s="467"/>
      <c r="L295" s="467"/>
      <c r="M295" s="467"/>
      <c r="N295" s="467"/>
      <c r="O295" s="467"/>
      <c r="P295" s="468"/>
      <c r="Q295" s="468"/>
    </row>
    <row r="296">
      <c r="I296" s="73"/>
      <c r="J296" s="467"/>
      <c r="K296" s="467"/>
      <c r="L296" s="467"/>
      <c r="M296" s="467"/>
      <c r="N296" s="467"/>
      <c r="O296" s="467"/>
      <c r="P296" s="468"/>
      <c r="Q296" s="468"/>
    </row>
    <row r="297">
      <c r="I297" s="73"/>
      <c r="J297" s="467"/>
      <c r="K297" s="467"/>
      <c r="L297" s="467"/>
      <c r="M297" s="467"/>
      <c r="N297" s="467"/>
      <c r="O297" s="467"/>
      <c r="P297" s="468"/>
      <c r="Q297" s="468"/>
    </row>
    <row r="298">
      <c r="I298" s="73"/>
      <c r="J298" s="467"/>
      <c r="K298" s="467"/>
      <c r="L298" s="467"/>
      <c r="M298" s="467"/>
      <c r="N298" s="467"/>
      <c r="O298" s="467"/>
      <c r="P298" s="468"/>
      <c r="Q298" s="468"/>
    </row>
    <row r="299">
      <c r="I299" s="73"/>
      <c r="J299" s="467"/>
      <c r="K299" s="467"/>
      <c r="L299" s="467"/>
      <c r="M299" s="467"/>
      <c r="N299" s="467"/>
      <c r="O299" s="467"/>
      <c r="P299" s="468"/>
      <c r="Q299" s="468"/>
    </row>
    <row r="300">
      <c r="I300" s="73"/>
      <c r="J300" s="467"/>
      <c r="K300" s="467"/>
      <c r="L300" s="467"/>
      <c r="M300" s="467"/>
      <c r="N300" s="467"/>
      <c r="O300" s="467"/>
      <c r="P300" s="468"/>
      <c r="Q300" s="468"/>
    </row>
    <row r="301">
      <c r="I301" s="73"/>
      <c r="J301" s="467"/>
      <c r="K301" s="467"/>
      <c r="L301" s="467"/>
      <c r="M301" s="467"/>
      <c r="N301" s="467"/>
      <c r="O301" s="467"/>
      <c r="P301" s="468"/>
      <c r="Q301" s="468"/>
    </row>
    <row r="302">
      <c r="I302" s="73"/>
      <c r="J302" s="467"/>
      <c r="K302" s="467"/>
      <c r="L302" s="467"/>
      <c r="M302" s="467"/>
      <c r="N302" s="467"/>
      <c r="O302" s="467"/>
      <c r="P302" s="468"/>
      <c r="Q302" s="468"/>
    </row>
    <row r="303">
      <c r="I303" s="73"/>
      <c r="J303" s="467"/>
      <c r="K303" s="467"/>
      <c r="L303" s="467"/>
      <c r="M303" s="467"/>
      <c r="N303" s="467"/>
      <c r="O303" s="467"/>
      <c r="P303" s="468"/>
      <c r="Q303" s="468"/>
    </row>
    <row r="304">
      <c r="I304" s="73"/>
      <c r="J304" s="467"/>
      <c r="K304" s="467"/>
      <c r="L304" s="467"/>
      <c r="M304" s="467"/>
      <c r="N304" s="467"/>
      <c r="O304" s="467"/>
      <c r="P304" s="468"/>
      <c r="Q304" s="468"/>
    </row>
    <row r="305">
      <c r="I305" s="73"/>
      <c r="J305" s="467"/>
      <c r="K305" s="467"/>
      <c r="L305" s="467"/>
      <c r="M305" s="467"/>
      <c r="N305" s="467"/>
      <c r="O305" s="467"/>
      <c r="P305" s="468"/>
      <c r="Q305" s="468"/>
    </row>
    <row r="306">
      <c r="I306" s="73"/>
      <c r="J306" s="467"/>
      <c r="K306" s="467"/>
      <c r="L306" s="467"/>
      <c r="M306" s="467"/>
      <c r="N306" s="467"/>
      <c r="O306" s="467"/>
      <c r="P306" s="468"/>
      <c r="Q306" s="468"/>
    </row>
    <row r="307">
      <c r="I307" s="73"/>
      <c r="J307" s="467"/>
      <c r="K307" s="467"/>
      <c r="L307" s="467"/>
      <c r="M307" s="467"/>
      <c r="N307" s="467"/>
      <c r="O307" s="467"/>
      <c r="P307" s="468"/>
      <c r="Q307" s="468"/>
    </row>
    <row r="308">
      <c r="I308" s="73"/>
      <c r="J308" s="467"/>
      <c r="K308" s="467"/>
      <c r="L308" s="467"/>
      <c r="M308" s="467"/>
      <c r="N308" s="467"/>
      <c r="O308" s="467"/>
      <c r="P308" s="468"/>
      <c r="Q308" s="468"/>
    </row>
    <row r="309">
      <c r="I309" s="73"/>
      <c r="J309" s="467"/>
      <c r="K309" s="467"/>
      <c r="L309" s="467"/>
      <c r="M309" s="467"/>
      <c r="N309" s="467"/>
      <c r="O309" s="467"/>
      <c r="P309" s="468"/>
      <c r="Q309" s="468"/>
    </row>
    <row r="310">
      <c r="I310" s="73"/>
      <c r="J310" s="467"/>
      <c r="K310" s="467"/>
      <c r="L310" s="467"/>
      <c r="M310" s="467"/>
      <c r="N310" s="467"/>
      <c r="O310" s="467"/>
      <c r="P310" s="468"/>
      <c r="Q310" s="468"/>
    </row>
    <row r="311">
      <c r="I311" s="73"/>
      <c r="J311" s="467"/>
      <c r="K311" s="467"/>
      <c r="L311" s="467"/>
      <c r="M311" s="467"/>
      <c r="N311" s="467"/>
      <c r="O311" s="467"/>
      <c r="P311" s="468"/>
      <c r="Q311" s="468"/>
    </row>
    <row r="312">
      <c r="I312" s="73"/>
      <c r="J312" s="467"/>
      <c r="K312" s="467"/>
      <c r="L312" s="467"/>
      <c r="M312" s="467"/>
      <c r="N312" s="467"/>
      <c r="O312" s="467"/>
      <c r="P312" s="468"/>
      <c r="Q312" s="468"/>
    </row>
    <row r="313">
      <c r="I313" s="73"/>
      <c r="J313" s="467"/>
      <c r="K313" s="467"/>
      <c r="L313" s="467"/>
      <c r="M313" s="467"/>
      <c r="N313" s="467"/>
      <c r="O313" s="467"/>
      <c r="P313" s="468"/>
      <c r="Q313" s="468"/>
    </row>
    <row r="314">
      <c r="I314" s="73"/>
      <c r="J314" s="467"/>
      <c r="K314" s="467"/>
      <c r="L314" s="467"/>
      <c r="M314" s="467"/>
      <c r="N314" s="467"/>
      <c r="O314" s="467"/>
      <c r="P314" s="468"/>
      <c r="Q314" s="468"/>
    </row>
    <row r="315">
      <c r="I315" s="73"/>
      <c r="J315" s="467"/>
      <c r="K315" s="467"/>
      <c r="L315" s="467"/>
      <c r="M315" s="467"/>
      <c r="N315" s="467"/>
      <c r="O315" s="467"/>
      <c r="P315" s="468"/>
      <c r="Q315" s="468"/>
    </row>
    <row r="316">
      <c r="I316" s="73"/>
      <c r="J316" s="467"/>
      <c r="K316" s="467"/>
      <c r="L316" s="467"/>
      <c r="M316" s="467"/>
      <c r="N316" s="467"/>
      <c r="O316" s="467"/>
      <c r="P316" s="468"/>
      <c r="Q316" s="468"/>
    </row>
    <row r="317">
      <c r="I317" s="73"/>
      <c r="J317" s="467"/>
      <c r="K317" s="467"/>
      <c r="L317" s="467"/>
      <c r="M317" s="467"/>
      <c r="N317" s="467"/>
      <c r="O317" s="467"/>
      <c r="P317" s="468"/>
      <c r="Q317" s="468"/>
    </row>
    <row r="318">
      <c r="I318" s="73"/>
      <c r="J318" s="467"/>
      <c r="K318" s="467"/>
      <c r="L318" s="467"/>
      <c r="M318" s="467"/>
      <c r="N318" s="467"/>
      <c r="O318" s="467"/>
      <c r="P318" s="468"/>
      <c r="Q318" s="468"/>
    </row>
    <row r="319">
      <c r="I319" s="73"/>
      <c r="J319" s="467"/>
      <c r="K319" s="467"/>
      <c r="L319" s="467"/>
      <c r="M319" s="467"/>
      <c r="N319" s="467"/>
      <c r="O319" s="467"/>
      <c r="P319" s="468"/>
      <c r="Q319" s="468"/>
    </row>
    <row r="320">
      <c r="I320" s="73"/>
      <c r="J320" s="467"/>
      <c r="K320" s="467"/>
      <c r="L320" s="467"/>
      <c r="M320" s="467"/>
      <c r="N320" s="467"/>
      <c r="O320" s="467"/>
      <c r="P320" s="468"/>
      <c r="Q320" s="468"/>
    </row>
    <row r="321">
      <c r="I321" s="73"/>
      <c r="J321" s="467"/>
      <c r="K321" s="467"/>
      <c r="L321" s="467"/>
      <c r="M321" s="467"/>
      <c r="N321" s="467"/>
      <c r="O321" s="467"/>
      <c r="P321" s="468"/>
      <c r="Q321" s="468"/>
    </row>
    <row r="322">
      <c r="I322" s="73"/>
      <c r="J322" s="467"/>
      <c r="K322" s="467"/>
      <c r="L322" s="467"/>
      <c r="M322" s="467"/>
      <c r="N322" s="467"/>
      <c r="O322" s="467"/>
      <c r="P322" s="468"/>
      <c r="Q322" s="468"/>
    </row>
    <row r="323">
      <c r="I323" s="73"/>
      <c r="J323" s="467"/>
      <c r="K323" s="467"/>
      <c r="L323" s="467"/>
      <c r="M323" s="467"/>
      <c r="N323" s="467"/>
      <c r="O323" s="467"/>
      <c r="P323" s="468"/>
      <c r="Q323" s="468"/>
    </row>
    <row r="324">
      <c r="I324" s="73"/>
      <c r="J324" s="467"/>
      <c r="K324" s="467"/>
      <c r="L324" s="467"/>
      <c r="M324" s="467"/>
      <c r="N324" s="467"/>
      <c r="O324" s="467"/>
      <c r="P324" s="468"/>
      <c r="Q324" s="468"/>
    </row>
    <row r="325">
      <c r="I325" s="73"/>
      <c r="J325" s="467"/>
      <c r="K325" s="467"/>
      <c r="L325" s="467"/>
      <c r="M325" s="467"/>
      <c r="N325" s="467"/>
      <c r="O325" s="467"/>
      <c r="P325" s="468"/>
      <c r="Q325" s="468"/>
    </row>
    <row r="326">
      <c r="I326" s="73"/>
      <c r="J326" s="467"/>
      <c r="K326" s="467"/>
      <c r="L326" s="467"/>
      <c r="M326" s="467"/>
      <c r="N326" s="467"/>
      <c r="O326" s="467"/>
      <c r="P326" s="468"/>
      <c r="Q326" s="468"/>
    </row>
    <row r="327">
      <c r="I327" s="73"/>
      <c r="J327" s="467"/>
      <c r="K327" s="467"/>
      <c r="L327" s="467"/>
      <c r="M327" s="467"/>
      <c r="N327" s="467"/>
      <c r="O327" s="467"/>
      <c r="P327" s="468"/>
      <c r="Q327" s="468"/>
    </row>
    <row r="328">
      <c r="I328" s="73"/>
      <c r="J328" s="467"/>
      <c r="K328" s="467"/>
      <c r="L328" s="467"/>
      <c r="M328" s="467"/>
      <c r="N328" s="467"/>
      <c r="O328" s="467"/>
      <c r="P328" s="468"/>
      <c r="Q328" s="468"/>
    </row>
    <row r="329">
      <c r="I329" s="73"/>
      <c r="J329" s="467"/>
      <c r="K329" s="467"/>
      <c r="L329" s="467"/>
      <c r="M329" s="467"/>
      <c r="N329" s="467"/>
      <c r="O329" s="467"/>
      <c r="P329" s="468"/>
      <c r="Q329" s="468"/>
    </row>
    <row r="330">
      <c r="I330" s="73"/>
      <c r="J330" s="467"/>
      <c r="K330" s="467"/>
      <c r="L330" s="467"/>
      <c r="M330" s="467"/>
      <c r="N330" s="467"/>
      <c r="O330" s="467"/>
      <c r="P330" s="468"/>
      <c r="Q330" s="468"/>
    </row>
    <row r="331">
      <c r="I331" s="73"/>
      <c r="J331" s="467"/>
      <c r="K331" s="467"/>
      <c r="L331" s="467"/>
      <c r="M331" s="467"/>
      <c r="N331" s="467"/>
      <c r="O331" s="467"/>
      <c r="P331" s="468"/>
      <c r="Q331" s="468"/>
    </row>
    <row r="332">
      <c r="I332" s="73"/>
      <c r="J332" s="467"/>
      <c r="K332" s="467"/>
      <c r="L332" s="467"/>
      <c r="M332" s="467"/>
      <c r="N332" s="467"/>
      <c r="O332" s="467"/>
      <c r="P332" s="468"/>
      <c r="Q332" s="468"/>
    </row>
    <row r="333">
      <c r="I333" s="73"/>
      <c r="J333" s="467"/>
      <c r="K333" s="467"/>
      <c r="L333" s="467"/>
      <c r="M333" s="467"/>
      <c r="N333" s="467"/>
      <c r="O333" s="467"/>
      <c r="P333" s="468"/>
      <c r="Q333" s="468"/>
    </row>
    <row r="334">
      <c r="I334" s="73"/>
      <c r="J334" s="467"/>
      <c r="K334" s="467"/>
      <c r="L334" s="467"/>
      <c r="M334" s="467"/>
      <c r="N334" s="467"/>
      <c r="O334" s="467"/>
      <c r="P334" s="468"/>
      <c r="Q334" s="468"/>
    </row>
    <row r="335">
      <c r="I335" s="73"/>
      <c r="J335" s="467"/>
      <c r="K335" s="467"/>
      <c r="L335" s="467"/>
      <c r="M335" s="467"/>
      <c r="N335" s="467"/>
      <c r="O335" s="467"/>
      <c r="P335" s="468"/>
      <c r="Q335" s="468"/>
    </row>
    <row r="336">
      <c r="I336" s="73"/>
      <c r="J336" s="467"/>
      <c r="K336" s="467"/>
      <c r="L336" s="467"/>
      <c r="M336" s="467"/>
      <c r="N336" s="467"/>
      <c r="O336" s="467"/>
      <c r="P336" s="468"/>
      <c r="Q336" s="468"/>
    </row>
    <row r="337">
      <c r="I337" s="73"/>
      <c r="J337" s="467"/>
      <c r="K337" s="467"/>
      <c r="L337" s="467"/>
      <c r="M337" s="467"/>
      <c r="N337" s="467"/>
      <c r="O337" s="467"/>
      <c r="P337" s="468"/>
      <c r="Q337" s="468"/>
    </row>
    <row r="338">
      <c r="I338" s="73"/>
      <c r="J338" s="467"/>
      <c r="K338" s="467"/>
      <c r="L338" s="467"/>
      <c r="M338" s="467"/>
      <c r="N338" s="467"/>
      <c r="O338" s="467"/>
      <c r="P338" s="468"/>
      <c r="Q338" s="468"/>
    </row>
    <row r="339">
      <c r="I339" s="73"/>
      <c r="J339" s="467"/>
      <c r="K339" s="467"/>
      <c r="L339" s="467"/>
      <c r="M339" s="467"/>
      <c r="N339" s="467"/>
      <c r="O339" s="467"/>
      <c r="P339" s="468"/>
      <c r="Q339" s="468"/>
    </row>
    <row r="340">
      <c r="I340" s="73"/>
      <c r="J340" s="467"/>
      <c r="K340" s="467"/>
      <c r="L340" s="467"/>
      <c r="M340" s="467"/>
      <c r="N340" s="467"/>
      <c r="O340" s="467"/>
      <c r="P340" s="468"/>
      <c r="Q340" s="468"/>
    </row>
    <row r="341">
      <c r="I341" s="73"/>
      <c r="J341" s="467"/>
      <c r="K341" s="467"/>
      <c r="L341" s="467"/>
      <c r="M341" s="467"/>
      <c r="N341" s="467"/>
      <c r="O341" s="467"/>
      <c r="P341" s="468"/>
      <c r="Q341" s="468"/>
    </row>
    <row r="342">
      <c r="I342" s="73"/>
      <c r="J342" s="467"/>
      <c r="K342" s="467"/>
      <c r="L342" s="467"/>
      <c r="M342" s="467"/>
      <c r="N342" s="467"/>
      <c r="O342" s="467"/>
      <c r="P342" s="468"/>
      <c r="Q342" s="468"/>
    </row>
    <row r="343">
      <c r="I343" s="73"/>
      <c r="J343" s="467"/>
      <c r="K343" s="467"/>
      <c r="L343" s="467"/>
      <c r="M343" s="467"/>
      <c r="N343" s="467"/>
      <c r="O343" s="467"/>
      <c r="P343" s="468"/>
      <c r="Q343" s="468"/>
    </row>
    <row r="344">
      <c r="I344" s="73"/>
      <c r="J344" s="467"/>
      <c r="K344" s="467"/>
      <c r="L344" s="467"/>
      <c r="M344" s="467"/>
      <c r="N344" s="467"/>
      <c r="O344" s="467"/>
      <c r="P344" s="468"/>
      <c r="Q344" s="468"/>
    </row>
    <row r="345">
      <c r="I345" s="73"/>
      <c r="J345" s="467"/>
      <c r="K345" s="467"/>
      <c r="L345" s="467"/>
      <c r="M345" s="467"/>
      <c r="N345" s="467"/>
      <c r="O345" s="467"/>
      <c r="P345" s="468"/>
      <c r="Q345" s="468"/>
    </row>
    <row r="346">
      <c r="I346" s="73"/>
      <c r="J346" s="467"/>
      <c r="K346" s="467"/>
      <c r="L346" s="467"/>
      <c r="M346" s="467"/>
      <c r="N346" s="467"/>
      <c r="O346" s="467"/>
      <c r="P346" s="468"/>
      <c r="Q346" s="468"/>
    </row>
    <row r="347">
      <c r="I347" s="73"/>
      <c r="J347" s="467"/>
      <c r="K347" s="467"/>
      <c r="L347" s="467"/>
      <c r="M347" s="467"/>
      <c r="N347" s="467"/>
      <c r="O347" s="467"/>
      <c r="P347" s="468"/>
      <c r="Q347" s="468"/>
    </row>
    <row r="348">
      <c r="I348" s="73"/>
      <c r="J348" s="467"/>
      <c r="K348" s="467"/>
      <c r="L348" s="467"/>
      <c r="M348" s="467"/>
      <c r="N348" s="467"/>
      <c r="O348" s="467"/>
      <c r="P348" s="468"/>
      <c r="Q348" s="468"/>
    </row>
    <row r="349">
      <c r="I349" s="73"/>
      <c r="J349" s="467"/>
      <c r="K349" s="467"/>
      <c r="L349" s="467"/>
      <c r="M349" s="467"/>
      <c r="N349" s="467"/>
      <c r="O349" s="467"/>
      <c r="P349" s="468"/>
      <c r="Q349" s="468"/>
    </row>
    <row r="350">
      <c r="I350" s="73"/>
      <c r="J350" s="467"/>
      <c r="K350" s="467"/>
      <c r="L350" s="467"/>
      <c r="M350" s="467"/>
      <c r="N350" s="467"/>
      <c r="O350" s="467"/>
      <c r="P350" s="468"/>
      <c r="Q350" s="468"/>
    </row>
    <row r="351">
      <c r="I351" s="73"/>
      <c r="J351" s="467"/>
      <c r="K351" s="467"/>
      <c r="L351" s="467"/>
      <c r="M351" s="467"/>
      <c r="N351" s="467"/>
      <c r="O351" s="467"/>
      <c r="P351" s="468"/>
      <c r="Q351" s="468"/>
    </row>
    <row r="352">
      <c r="I352" s="73"/>
      <c r="J352" s="467"/>
      <c r="K352" s="467"/>
      <c r="L352" s="467"/>
      <c r="M352" s="467"/>
      <c r="N352" s="467"/>
      <c r="O352" s="467"/>
      <c r="P352" s="468"/>
      <c r="Q352" s="468"/>
    </row>
    <row r="353">
      <c r="I353" s="73"/>
      <c r="J353" s="467"/>
      <c r="K353" s="467"/>
      <c r="L353" s="467"/>
      <c r="M353" s="467"/>
      <c r="N353" s="467"/>
      <c r="O353" s="467"/>
      <c r="P353" s="468"/>
      <c r="Q353" s="468"/>
    </row>
    <row r="354">
      <c r="I354" s="73"/>
      <c r="J354" s="467"/>
      <c r="K354" s="467"/>
      <c r="L354" s="467"/>
      <c r="M354" s="467"/>
      <c r="N354" s="467"/>
      <c r="O354" s="467"/>
      <c r="P354" s="468"/>
      <c r="Q354" s="468"/>
    </row>
    <row r="355">
      <c r="I355" s="73"/>
      <c r="J355" s="467"/>
      <c r="K355" s="467"/>
      <c r="L355" s="467"/>
      <c r="M355" s="467"/>
      <c r="N355" s="467"/>
      <c r="O355" s="467"/>
      <c r="P355" s="468"/>
      <c r="Q355" s="468"/>
    </row>
    <row r="356">
      <c r="I356" s="73"/>
      <c r="J356" s="467"/>
      <c r="K356" s="467"/>
      <c r="L356" s="467"/>
      <c r="M356" s="467"/>
      <c r="N356" s="467"/>
      <c r="O356" s="467"/>
      <c r="P356" s="468"/>
      <c r="Q356" s="468"/>
    </row>
    <row r="357">
      <c r="I357" s="73"/>
      <c r="J357" s="467"/>
      <c r="K357" s="467"/>
      <c r="L357" s="467"/>
      <c r="M357" s="467"/>
      <c r="N357" s="467"/>
      <c r="O357" s="467"/>
      <c r="P357" s="468"/>
      <c r="Q357" s="468"/>
    </row>
    <row r="358">
      <c r="I358" s="73"/>
      <c r="J358" s="467"/>
      <c r="K358" s="467"/>
      <c r="L358" s="467"/>
      <c r="M358" s="467"/>
      <c r="N358" s="467"/>
      <c r="O358" s="467"/>
      <c r="P358" s="468"/>
      <c r="Q358" s="468"/>
    </row>
    <row r="359">
      <c r="I359" s="73"/>
      <c r="J359" s="467"/>
      <c r="K359" s="467"/>
      <c r="L359" s="467"/>
      <c r="M359" s="467"/>
      <c r="N359" s="467"/>
      <c r="O359" s="467"/>
      <c r="P359" s="468"/>
      <c r="Q359" s="468"/>
    </row>
    <row r="360">
      <c r="I360" s="73"/>
      <c r="J360" s="467"/>
      <c r="K360" s="467"/>
      <c r="L360" s="467"/>
      <c r="M360" s="467"/>
      <c r="N360" s="467"/>
      <c r="O360" s="467"/>
      <c r="P360" s="468"/>
      <c r="Q360" s="468"/>
    </row>
    <row r="361">
      <c r="I361" s="73"/>
      <c r="J361" s="467"/>
      <c r="K361" s="467"/>
      <c r="L361" s="467"/>
      <c r="M361" s="467"/>
      <c r="N361" s="467"/>
      <c r="O361" s="467"/>
      <c r="P361" s="468"/>
      <c r="Q361" s="468"/>
    </row>
    <row r="362">
      <c r="I362" s="73"/>
      <c r="J362" s="467"/>
      <c r="K362" s="467"/>
      <c r="L362" s="467"/>
      <c r="M362" s="467"/>
      <c r="N362" s="467"/>
      <c r="O362" s="467"/>
      <c r="P362" s="468"/>
      <c r="Q362" s="468"/>
    </row>
    <row r="363">
      <c r="I363" s="73"/>
      <c r="J363" s="467"/>
      <c r="K363" s="467"/>
      <c r="L363" s="467"/>
      <c r="M363" s="467"/>
      <c r="N363" s="467"/>
      <c r="O363" s="467"/>
      <c r="P363" s="468"/>
      <c r="Q363" s="468"/>
    </row>
    <row r="364">
      <c r="I364" s="73"/>
      <c r="J364" s="467"/>
      <c r="K364" s="467"/>
      <c r="L364" s="467"/>
      <c r="M364" s="467"/>
      <c r="N364" s="467"/>
      <c r="O364" s="467"/>
      <c r="P364" s="468"/>
      <c r="Q364" s="468"/>
    </row>
    <row r="365">
      <c r="I365" s="73"/>
      <c r="J365" s="467"/>
      <c r="K365" s="467"/>
      <c r="L365" s="467"/>
      <c r="M365" s="467"/>
      <c r="N365" s="467"/>
      <c r="O365" s="467"/>
      <c r="P365" s="468"/>
      <c r="Q365" s="468"/>
    </row>
    <row r="366">
      <c r="I366" s="73"/>
      <c r="J366" s="467"/>
      <c r="K366" s="467"/>
      <c r="L366" s="467"/>
      <c r="M366" s="467"/>
      <c r="N366" s="467"/>
      <c r="O366" s="467"/>
      <c r="P366" s="468"/>
      <c r="Q366" s="468"/>
    </row>
    <row r="367">
      <c r="I367" s="73"/>
      <c r="J367" s="467"/>
      <c r="K367" s="467"/>
      <c r="L367" s="467"/>
      <c r="M367" s="467"/>
      <c r="N367" s="467"/>
      <c r="O367" s="467"/>
      <c r="P367" s="468"/>
      <c r="Q367" s="468"/>
    </row>
    <row r="368">
      <c r="I368" s="73"/>
      <c r="J368" s="467"/>
      <c r="K368" s="467"/>
      <c r="L368" s="467"/>
      <c r="M368" s="467"/>
      <c r="N368" s="467"/>
      <c r="O368" s="467"/>
      <c r="P368" s="468"/>
      <c r="Q368" s="468"/>
    </row>
    <row r="369">
      <c r="I369" s="73"/>
      <c r="J369" s="467"/>
      <c r="K369" s="467"/>
      <c r="L369" s="467"/>
      <c r="M369" s="467"/>
      <c r="N369" s="467"/>
      <c r="O369" s="467"/>
      <c r="P369" s="468"/>
      <c r="Q369" s="468"/>
    </row>
    <row r="370">
      <c r="I370" s="73"/>
      <c r="J370" s="467"/>
      <c r="K370" s="467"/>
      <c r="L370" s="467"/>
      <c r="M370" s="467"/>
      <c r="N370" s="467"/>
      <c r="O370" s="467"/>
      <c r="P370" s="468"/>
      <c r="Q370" s="468"/>
    </row>
    <row r="371">
      <c r="I371" s="73"/>
      <c r="J371" s="467"/>
      <c r="K371" s="467"/>
      <c r="L371" s="467"/>
      <c r="M371" s="467"/>
      <c r="N371" s="467"/>
      <c r="O371" s="467"/>
      <c r="P371" s="468"/>
      <c r="Q371" s="468"/>
    </row>
    <row r="372">
      <c r="I372" s="73"/>
      <c r="J372" s="467"/>
      <c r="K372" s="467"/>
      <c r="L372" s="467"/>
      <c r="M372" s="467"/>
      <c r="N372" s="467"/>
      <c r="O372" s="467"/>
      <c r="P372" s="468"/>
      <c r="Q372" s="468"/>
    </row>
    <row r="373">
      <c r="I373" s="73"/>
      <c r="J373" s="467"/>
      <c r="K373" s="467"/>
      <c r="L373" s="467"/>
      <c r="M373" s="467"/>
      <c r="N373" s="467"/>
      <c r="O373" s="467"/>
      <c r="P373" s="468"/>
      <c r="Q373" s="468"/>
    </row>
    <row r="374">
      <c r="I374" s="73"/>
      <c r="J374" s="467"/>
      <c r="K374" s="467"/>
      <c r="L374" s="467"/>
      <c r="M374" s="467"/>
      <c r="N374" s="467"/>
      <c r="O374" s="467"/>
      <c r="P374" s="468"/>
      <c r="Q374" s="468"/>
    </row>
    <row r="375">
      <c r="I375" s="73"/>
      <c r="J375" s="467"/>
      <c r="K375" s="467"/>
      <c r="L375" s="467"/>
      <c r="M375" s="467"/>
      <c r="N375" s="467"/>
      <c r="O375" s="467"/>
      <c r="P375" s="468"/>
      <c r="Q375" s="468"/>
    </row>
    <row r="376">
      <c r="I376" s="73"/>
      <c r="J376" s="467"/>
      <c r="K376" s="467"/>
      <c r="L376" s="467"/>
      <c r="M376" s="467"/>
      <c r="N376" s="467"/>
      <c r="O376" s="467"/>
      <c r="P376" s="468"/>
      <c r="Q376" s="468"/>
    </row>
    <row r="377">
      <c r="I377" s="73"/>
      <c r="J377" s="467"/>
      <c r="K377" s="467"/>
      <c r="L377" s="467"/>
      <c r="M377" s="467"/>
      <c r="N377" s="467"/>
      <c r="O377" s="467"/>
      <c r="P377" s="468"/>
      <c r="Q377" s="468"/>
    </row>
    <row r="378">
      <c r="I378" s="73"/>
      <c r="J378" s="467"/>
      <c r="K378" s="467"/>
      <c r="L378" s="467"/>
      <c r="M378" s="467"/>
      <c r="N378" s="467"/>
      <c r="O378" s="467"/>
      <c r="P378" s="468"/>
      <c r="Q378" s="468"/>
    </row>
    <row r="379">
      <c r="I379" s="73"/>
      <c r="J379" s="467"/>
      <c r="K379" s="467"/>
      <c r="L379" s="467"/>
      <c r="M379" s="467"/>
      <c r="N379" s="467"/>
      <c r="O379" s="467"/>
      <c r="P379" s="468"/>
      <c r="Q379" s="468"/>
    </row>
    <row r="380">
      <c r="I380" s="73"/>
      <c r="J380" s="467"/>
      <c r="K380" s="467"/>
      <c r="L380" s="467"/>
      <c r="M380" s="467"/>
      <c r="N380" s="467"/>
      <c r="O380" s="467"/>
      <c r="P380" s="468"/>
      <c r="Q380" s="468"/>
    </row>
    <row r="381">
      <c r="I381" s="73"/>
      <c r="J381" s="467"/>
      <c r="K381" s="467"/>
      <c r="L381" s="467"/>
      <c r="M381" s="467"/>
      <c r="N381" s="467"/>
      <c r="O381" s="467"/>
      <c r="P381" s="468"/>
      <c r="Q381" s="468"/>
    </row>
    <row r="382">
      <c r="I382" s="73"/>
      <c r="J382" s="467"/>
      <c r="K382" s="467"/>
      <c r="L382" s="467"/>
      <c r="M382" s="467"/>
      <c r="N382" s="467"/>
      <c r="O382" s="467"/>
      <c r="P382" s="468"/>
      <c r="Q382" s="468"/>
    </row>
    <row r="383">
      <c r="I383" s="73"/>
      <c r="J383" s="467"/>
      <c r="K383" s="467"/>
      <c r="L383" s="467"/>
      <c r="M383" s="467"/>
      <c r="N383" s="467"/>
      <c r="O383" s="467"/>
      <c r="P383" s="468"/>
      <c r="Q383" s="468"/>
    </row>
    <row r="384">
      <c r="I384" s="73"/>
      <c r="J384" s="467"/>
      <c r="K384" s="467"/>
      <c r="L384" s="467"/>
      <c r="M384" s="467"/>
      <c r="N384" s="467"/>
      <c r="O384" s="467"/>
      <c r="P384" s="468"/>
      <c r="Q384" s="468"/>
    </row>
    <row r="385">
      <c r="I385" s="73"/>
      <c r="J385" s="467"/>
      <c r="K385" s="467"/>
      <c r="L385" s="467"/>
      <c r="M385" s="467"/>
      <c r="N385" s="467"/>
      <c r="O385" s="467"/>
      <c r="P385" s="468"/>
      <c r="Q385" s="468"/>
    </row>
    <row r="386">
      <c r="I386" s="73"/>
      <c r="J386" s="467"/>
      <c r="K386" s="467"/>
      <c r="L386" s="467"/>
      <c r="M386" s="467"/>
      <c r="N386" s="467"/>
      <c r="O386" s="467"/>
      <c r="P386" s="468"/>
      <c r="Q386" s="468"/>
    </row>
    <row r="387">
      <c r="I387" s="73"/>
      <c r="J387" s="467"/>
      <c r="K387" s="467"/>
      <c r="L387" s="467"/>
      <c r="M387" s="467"/>
      <c r="N387" s="467"/>
      <c r="O387" s="467"/>
      <c r="P387" s="468"/>
      <c r="Q387" s="468"/>
    </row>
    <row r="388">
      <c r="I388" s="73"/>
      <c r="J388" s="467"/>
      <c r="K388" s="467"/>
      <c r="L388" s="467"/>
      <c r="M388" s="467"/>
      <c r="N388" s="467"/>
      <c r="O388" s="467"/>
      <c r="P388" s="468"/>
      <c r="Q388" s="468"/>
    </row>
    <row r="389">
      <c r="I389" s="73"/>
      <c r="J389" s="467"/>
      <c r="K389" s="467"/>
      <c r="L389" s="467"/>
      <c r="M389" s="467"/>
      <c r="N389" s="467"/>
      <c r="O389" s="467"/>
      <c r="P389" s="468"/>
      <c r="Q389" s="468"/>
    </row>
    <row r="390">
      <c r="I390" s="73"/>
      <c r="J390" s="467"/>
      <c r="K390" s="467"/>
      <c r="L390" s="467"/>
      <c r="M390" s="467"/>
      <c r="N390" s="467"/>
      <c r="O390" s="467"/>
      <c r="P390" s="468"/>
      <c r="Q390" s="468"/>
    </row>
    <row r="391">
      <c r="I391" s="73"/>
      <c r="J391" s="467"/>
      <c r="K391" s="467"/>
      <c r="L391" s="467"/>
      <c r="M391" s="467"/>
      <c r="N391" s="467"/>
      <c r="O391" s="467"/>
      <c r="P391" s="468"/>
      <c r="Q391" s="468"/>
    </row>
    <row r="392">
      <c r="I392" s="73"/>
      <c r="J392" s="467"/>
      <c r="K392" s="467"/>
      <c r="L392" s="467"/>
      <c r="M392" s="467"/>
      <c r="N392" s="467"/>
      <c r="O392" s="467"/>
      <c r="P392" s="468"/>
      <c r="Q392" s="468"/>
    </row>
    <row r="393">
      <c r="I393" s="73"/>
      <c r="J393" s="467"/>
      <c r="K393" s="467"/>
      <c r="L393" s="467"/>
      <c r="M393" s="467"/>
      <c r="N393" s="467"/>
      <c r="O393" s="467"/>
      <c r="P393" s="468"/>
      <c r="Q393" s="468"/>
    </row>
    <row r="394">
      <c r="I394" s="73"/>
      <c r="J394" s="467"/>
      <c r="K394" s="467"/>
      <c r="L394" s="467"/>
      <c r="M394" s="467"/>
      <c r="N394" s="467"/>
      <c r="O394" s="467"/>
      <c r="P394" s="468"/>
      <c r="Q394" s="468"/>
    </row>
    <row r="395">
      <c r="I395" s="73"/>
      <c r="J395" s="467"/>
      <c r="K395" s="467"/>
      <c r="L395" s="467"/>
      <c r="M395" s="467"/>
      <c r="N395" s="467"/>
      <c r="O395" s="467"/>
      <c r="P395" s="468"/>
      <c r="Q395" s="468"/>
    </row>
    <row r="396">
      <c r="I396" s="73"/>
      <c r="J396" s="467"/>
      <c r="K396" s="467"/>
      <c r="L396" s="467"/>
      <c r="M396" s="467"/>
      <c r="N396" s="467"/>
      <c r="O396" s="467"/>
      <c r="P396" s="468"/>
      <c r="Q396" s="468"/>
    </row>
    <row r="397">
      <c r="I397" s="73"/>
      <c r="J397" s="467"/>
      <c r="K397" s="467"/>
      <c r="L397" s="467"/>
      <c r="M397" s="467"/>
      <c r="N397" s="467"/>
      <c r="O397" s="467"/>
      <c r="P397" s="468"/>
      <c r="Q397" s="468"/>
    </row>
    <row r="398">
      <c r="I398" s="73"/>
      <c r="J398" s="467"/>
      <c r="K398" s="467"/>
      <c r="L398" s="467"/>
      <c r="M398" s="467"/>
      <c r="N398" s="467"/>
      <c r="O398" s="467"/>
      <c r="P398" s="468"/>
      <c r="Q398" s="468"/>
    </row>
    <row r="399">
      <c r="I399" s="73"/>
      <c r="J399" s="467"/>
      <c r="K399" s="467"/>
      <c r="L399" s="467"/>
      <c r="M399" s="467"/>
      <c r="N399" s="467"/>
      <c r="O399" s="467"/>
      <c r="P399" s="468"/>
      <c r="Q399" s="468"/>
    </row>
    <row r="400">
      <c r="I400" s="73"/>
      <c r="J400" s="467"/>
      <c r="K400" s="467"/>
      <c r="L400" s="467"/>
      <c r="M400" s="467"/>
      <c r="N400" s="467"/>
      <c r="O400" s="467"/>
      <c r="P400" s="468"/>
      <c r="Q400" s="468"/>
    </row>
    <row r="401">
      <c r="I401" s="73"/>
      <c r="J401" s="467"/>
      <c r="K401" s="467"/>
      <c r="L401" s="467"/>
      <c r="M401" s="467"/>
      <c r="N401" s="467"/>
      <c r="O401" s="467"/>
      <c r="P401" s="468"/>
      <c r="Q401" s="468"/>
    </row>
    <row r="402">
      <c r="I402" s="73"/>
      <c r="J402" s="467"/>
      <c r="K402" s="467"/>
      <c r="L402" s="467"/>
      <c r="M402" s="467"/>
      <c r="N402" s="467"/>
      <c r="O402" s="467"/>
      <c r="P402" s="468"/>
      <c r="Q402" s="468"/>
    </row>
    <row r="403">
      <c r="I403" s="73"/>
      <c r="J403" s="467"/>
      <c r="K403" s="467"/>
      <c r="L403" s="467"/>
      <c r="M403" s="467"/>
      <c r="N403" s="467"/>
      <c r="O403" s="467"/>
      <c r="P403" s="468"/>
      <c r="Q403" s="468"/>
    </row>
    <row r="404">
      <c r="I404" s="73"/>
      <c r="J404" s="467"/>
      <c r="K404" s="467"/>
      <c r="L404" s="467"/>
      <c r="M404" s="467"/>
      <c r="N404" s="467"/>
      <c r="O404" s="467"/>
      <c r="P404" s="468"/>
      <c r="Q404" s="468"/>
    </row>
    <row r="405">
      <c r="I405" s="73"/>
      <c r="J405" s="467"/>
      <c r="K405" s="467"/>
      <c r="L405" s="467"/>
      <c r="M405" s="467"/>
      <c r="N405" s="467"/>
      <c r="O405" s="467"/>
      <c r="P405" s="468"/>
      <c r="Q405" s="468"/>
    </row>
    <row r="406">
      <c r="I406" s="73"/>
      <c r="J406" s="467"/>
      <c r="K406" s="467"/>
      <c r="L406" s="467"/>
      <c r="M406" s="467"/>
      <c r="N406" s="467"/>
      <c r="O406" s="467"/>
      <c r="P406" s="468"/>
      <c r="Q406" s="468"/>
    </row>
    <row r="407">
      <c r="I407" s="73"/>
      <c r="J407" s="467"/>
      <c r="K407" s="467"/>
      <c r="L407" s="467"/>
      <c r="M407" s="467"/>
      <c r="N407" s="467"/>
      <c r="O407" s="467"/>
      <c r="P407" s="468"/>
      <c r="Q407" s="468"/>
    </row>
    <row r="408">
      <c r="I408" s="73"/>
      <c r="J408" s="467"/>
      <c r="K408" s="467"/>
      <c r="L408" s="467"/>
      <c r="M408" s="467"/>
      <c r="N408" s="467"/>
      <c r="O408" s="467"/>
      <c r="P408" s="468"/>
      <c r="Q408" s="468"/>
    </row>
    <row r="409">
      <c r="I409" s="73"/>
      <c r="J409" s="467"/>
      <c r="K409" s="467"/>
      <c r="L409" s="467"/>
      <c r="M409" s="467"/>
      <c r="N409" s="467"/>
      <c r="O409" s="467"/>
      <c r="P409" s="468"/>
      <c r="Q409" s="468"/>
    </row>
    <row r="410">
      <c r="I410" s="73"/>
      <c r="J410" s="467"/>
      <c r="K410" s="467"/>
      <c r="L410" s="467"/>
      <c r="M410" s="467"/>
      <c r="N410" s="467"/>
      <c r="O410" s="467"/>
      <c r="P410" s="468"/>
      <c r="Q410" s="468"/>
    </row>
    <row r="411">
      <c r="I411" s="73"/>
      <c r="J411" s="467"/>
      <c r="K411" s="467"/>
      <c r="L411" s="467"/>
      <c r="M411" s="467"/>
      <c r="N411" s="467"/>
      <c r="O411" s="467"/>
      <c r="P411" s="468"/>
      <c r="Q411" s="468"/>
    </row>
    <row r="412">
      <c r="I412" s="73"/>
      <c r="J412" s="467"/>
      <c r="K412" s="467"/>
      <c r="L412" s="467"/>
      <c r="M412" s="467"/>
      <c r="N412" s="467"/>
      <c r="O412" s="467"/>
      <c r="P412" s="468"/>
      <c r="Q412" s="468"/>
    </row>
    <row r="413">
      <c r="I413" s="73"/>
      <c r="J413" s="467"/>
      <c r="K413" s="467"/>
      <c r="L413" s="467"/>
      <c r="M413" s="467"/>
      <c r="N413" s="467"/>
      <c r="O413" s="467"/>
      <c r="P413" s="468"/>
      <c r="Q413" s="468"/>
    </row>
    <row r="414">
      <c r="I414" s="73"/>
      <c r="J414" s="467"/>
      <c r="K414" s="467"/>
      <c r="L414" s="467"/>
      <c r="M414" s="467"/>
      <c r="N414" s="467"/>
      <c r="O414" s="467"/>
      <c r="P414" s="468"/>
      <c r="Q414" s="468"/>
    </row>
    <row r="415">
      <c r="I415" s="73"/>
      <c r="J415" s="467"/>
      <c r="K415" s="467"/>
      <c r="L415" s="467"/>
      <c r="M415" s="467"/>
      <c r="N415" s="467"/>
      <c r="O415" s="467"/>
      <c r="P415" s="468"/>
      <c r="Q415" s="468"/>
    </row>
    <row r="416">
      <c r="I416" s="73"/>
      <c r="J416" s="467"/>
      <c r="K416" s="467"/>
      <c r="L416" s="467"/>
      <c r="M416" s="467"/>
      <c r="N416" s="467"/>
      <c r="O416" s="467"/>
      <c r="P416" s="468"/>
      <c r="Q416" s="468"/>
    </row>
    <row r="417">
      <c r="I417" s="73"/>
      <c r="J417" s="467"/>
      <c r="K417" s="467"/>
      <c r="L417" s="467"/>
      <c r="M417" s="467"/>
      <c r="N417" s="467"/>
      <c r="O417" s="467"/>
      <c r="P417" s="468"/>
      <c r="Q417" s="468"/>
    </row>
    <row r="418">
      <c r="I418" s="73"/>
      <c r="J418" s="467"/>
      <c r="K418" s="467"/>
      <c r="L418" s="467"/>
      <c r="M418" s="467"/>
      <c r="N418" s="467"/>
      <c r="O418" s="467"/>
      <c r="P418" s="468"/>
      <c r="Q418" s="468"/>
    </row>
    <row r="419">
      <c r="I419" s="73"/>
      <c r="J419" s="467"/>
      <c r="K419" s="467"/>
      <c r="L419" s="467"/>
      <c r="M419" s="467"/>
      <c r="N419" s="467"/>
      <c r="O419" s="467"/>
      <c r="P419" s="468"/>
      <c r="Q419" s="468"/>
    </row>
    <row r="420">
      <c r="I420" s="73"/>
      <c r="J420" s="467"/>
      <c r="K420" s="467"/>
      <c r="L420" s="467"/>
      <c r="M420" s="467"/>
      <c r="N420" s="467"/>
      <c r="O420" s="467"/>
      <c r="P420" s="468"/>
      <c r="Q420" s="468"/>
    </row>
    <row r="421">
      <c r="I421" s="73"/>
      <c r="J421" s="467"/>
      <c r="K421" s="467"/>
      <c r="L421" s="467"/>
      <c r="M421" s="467"/>
      <c r="N421" s="467"/>
      <c r="O421" s="467"/>
      <c r="P421" s="468"/>
      <c r="Q421" s="468"/>
    </row>
    <row r="422">
      <c r="I422" s="73"/>
      <c r="J422" s="467"/>
      <c r="K422" s="467"/>
      <c r="L422" s="467"/>
      <c r="M422" s="467"/>
      <c r="N422" s="467"/>
      <c r="O422" s="467"/>
      <c r="P422" s="468"/>
      <c r="Q422" s="468"/>
    </row>
    <row r="423">
      <c r="I423" s="73"/>
      <c r="J423" s="467"/>
      <c r="K423" s="467"/>
      <c r="L423" s="467"/>
      <c r="M423" s="467"/>
      <c r="N423" s="467"/>
      <c r="O423" s="467"/>
      <c r="P423" s="468"/>
      <c r="Q423" s="468"/>
    </row>
    <row r="424">
      <c r="I424" s="73"/>
      <c r="J424" s="467"/>
      <c r="K424" s="467"/>
      <c r="L424" s="467"/>
      <c r="M424" s="467"/>
      <c r="N424" s="467"/>
      <c r="O424" s="467"/>
      <c r="P424" s="468"/>
      <c r="Q424" s="468"/>
    </row>
    <row r="425">
      <c r="I425" s="73"/>
      <c r="J425" s="467"/>
      <c r="K425" s="467"/>
      <c r="L425" s="467"/>
      <c r="M425" s="467"/>
      <c r="N425" s="467"/>
      <c r="O425" s="467"/>
      <c r="P425" s="468"/>
      <c r="Q425" s="468"/>
    </row>
    <row r="426">
      <c r="I426" s="73"/>
      <c r="J426" s="467"/>
      <c r="K426" s="467"/>
      <c r="L426" s="467"/>
      <c r="M426" s="467"/>
      <c r="N426" s="467"/>
      <c r="O426" s="467"/>
      <c r="P426" s="468"/>
      <c r="Q426" s="468"/>
    </row>
    <row r="427">
      <c r="I427" s="73"/>
      <c r="J427" s="467"/>
      <c r="K427" s="467"/>
      <c r="L427" s="467"/>
      <c r="M427" s="467"/>
      <c r="N427" s="467"/>
      <c r="O427" s="467"/>
      <c r="P427" s="468"/>
      <c r="Q427" s="468"/>
    </row>
    <row r="428">
      <c r="I428" s="73"/>
      <c r="J428" s="467"/>
      <c r="K428" s="467"/>
      <c r="L428" s="467"/>
      <c r="M428" s="467"/>
      <c r="N428" s="467"/>
      <c r="O428" s="467"/>
      <c r="P428" s="468"/>
      <c r="Q428" s="468"/>
    </row>
    <row r="429">
      <c r="I429" s="73"/>
      <c r="J429" s="467"/>
      <c r="K429" s="467"/>
      <c r="L429" s="467"/>
      <c r="M429" s="467"/>
      <c r="N429" s="467"/>
      <c r="O429" s="467"/>
      <c r="P429" s="468"/>
      <c r="Q429" s="468"/>
    </row>
    <row r="430">
      <c r="I430" s="73"/>
      <c r="J430" s="467"/>
      <c r="K430" s="467"/>
      <c r="L430" s="467"/>
      <c r="M430" s="467"/>
      <c r="N430" s="467"/>
      <c r="O430" s="467"/>
      <c r="P430" s="468"/>
      <c r="Q430" s="468"/>
    </row>
    <row r="431">
      <c r="I431" s="73"/>
      <c r="J431" s="467"/>
      <c r="K431" s="467"/>
      <c r="L431" s="467"/>
      <c r="M431" s="467"/>
      <c r="N431" s="467"/>
      <c r="O431" s="467"/>
      <c r="P431" s="468"/>
      <c r="Q431" s="468"/>
    </row>
    <row r="432">
      <c r="I432" s="73"/>
      <c r="J432" s="467"/>
      <c r="K432" s="467"/>
      <c r="L432" s="467"/>
      <c r="M432" s="467"/>
      <c r="N432" s="467"/>
      <c r="O432" s="467"/>
      <c r="P432" s="468"/>
      <c r="Q432" s="468"/>
    </row>
    <row r="433">
      <c r="I433" s="73"/>
      <c r="J433" s="467"/>
      <c r="K433" s="467"/>
      <c r="L433" s="467"/>
      <c r="M433" s="467"/>
      <c r="N433" s="467"/>
      <c r="O433" s="467"/>
      <c r="P433" s="468"/>
      <c r="Q433" s="468"/>
    </row>
    <row r="434">
      <c r="I434" s="73"/>
      <c r="J434" s="467"/>
      <c r="K434" s="467"/>
      <c r="L434" s="467"/>
      <c r="M434" s="467"/>
      <c r="N434" s="467"/>
      <c r="O434" s="467"/>
      <c r="P434" s="468"/>
      <c r="Q434" s="468"/>
    </row>
    <row r="435">
      <c r="I435" s="73"/>
      <c r="J435" s="467"/>
      <c r="K435" s="467"/>
      <c r="L435" s="467"/>
      <c r="M435" s="467"/>
      <c r="N435" s="467"/>
      <c r="O435" s="467"/>
      <c r="P435" s="468"/>
      <c r="Q435" s="468"/>
    </row>
    <row r="436">
      <c r="I436" s="73"/>
      <c r="J436" s="467"/>
      <c r="K436" s="467"/>
      <c r="L436" s="467"/>
      <c r="M436" s="467"/>
      <c r="N436" s="467"/>
      <c r="O436" s="467"/>
      <c r="P436" s="468"/>
      <c r="Q436" s="468"/>
    </row>
    <row r="437">
      <c r="I437" s="73"/>
      <c r="J437" s="467"/>
      <c r="K437" s="467"/>
      <c r="L437" s="467"/>
      <c r="M437" s="467"/>
      <c r="N437" s="467"/>
      <c r="O437" s="467"/>
      <c r="P437" s="468"/>
      <c r="Q437" s="468"/>
    </row>
    <row r="438">
      <c r="I438" s="73"/>
      <c r="J438" s="467"/>
      <c r="K438" s="467"/>
      <c r="L438" s="467"/>
      <c r="M438" s="467"/>
      <c r="N438" s="467"/>
      <c r="O438" s="467"/>
      <c r="P438" s="468"/>
      <c r="Q438" s="468"/>
    </row>
    <row r="439">
      <c r="I439" s="73"/>
      <c r="J439" s="467"/>
      <c r="K439" s="467"/>
      <c r="L439" s="467"/>
      <c r="M439" s="467"/>
      <c r="N439" s="467"/>
      <c r="O439" s="467"/>
      <c r="P439" s="468"/>
      <c r="Q439" s="468"/>
    </row>
    <row r="440">
      <c r="I440" s="73"/>
      <c r="J440" s="467"/>
      <c r="K440" s="467"/>
      <c r="L440" s="467"/>
      <c r="M440" s="467"/>
      <c r="N440" s="467"/>
      <c r="O440" s="467"/>
      <c r="P440" s="468"/>
      <c r="Q440" s="468"/>
    </row>
    <row r="441">
      <c r="I441" s="73"/>
      <c r="J441" s="467"/>
      <c r="K441" s="467"/>
      <c r="L441" s="467"/>
      <c r="M441" s="467"/>
      <c r="N441" s="467"/>
      <c r="O441" s="467"/>
      <c r="P441" s="468"/>
      <c r="Q441" s="468"/>
    </row>
    <row r="442">
      <c r="I442" s="73"/>
      <c r="J442" s="467"/>
      <c r="K442" s="467"/>
      <c r="L442" s="467"/>
      <c r="M442" s="467"/>
      <c r="N442" s="467"/>
      <c r="O442" s="467"/>
      <c r="P442" s="468"/>
      <c r="Q442" s="468"/>
    </row>
    <row r="443">
      <c r="I443" s="73"/>
      <c r="J443" s="467"/>
      <c r="K443" s="467"/>
      <c r="L443" s="467"/>
      <c r="M443" s="467"/>
      <c r="N443" s="467"/>
      <c r="O443" s="467"/>
      <c r="P443" s="468"/>
      <c r="Q443" s="468"/>
    </row>
    <row r="444">
      <c r="I444" s="73"/>
      <c r="J444" s="467"/>
      <c r="K444" s="467"/>
      <c r="L444" s="467"/>
      <c r="M444" s="467"/>
      <c r="N444" s="467"/>
      <c r="O444" s="467"/>
      <c r="P444" s="468"/>
      <c r="Q444" s="468"/>
    </row>
    <row r="445">
      <c r="I445" s="73"/>
      <c r="J445" s="467"/>
      <c r="K445" s="467"/>
      <c r="L445" s="467"/>
      <c r="M445" s="467"/>
      <c r="N445" s="467"/>
      <c r="O445" s="467"/>
      <c r="P445" s="468"/>
      <c r="Q445" s="468"/>
    </row>
    <row r="446">
      <c r="I446" s="73"/>
      <c r="J446" s="467"/>
      <c r="K446" s="467"/>
      <c r="L446" s="467"/>
      <c r="M446" s="467"/>
      <c r="N446" s="467"/>
      <c r="O446" s="467"/>
      <c r="P446" s="468"/>
      <c r="Q446" s="468"/>
    </row>
    <row r="447">
      <c r="I447" s="73"/>
      <c r="J447" s="467"/>
      <c r="K447" s="467"/>
      <c r="L447" s="467"/>
      <c r="M447" s="467"/>
      <c r="N447" s="467"/>
      <c r="O447" s="467"/>
      <c r="P447" s="468"/>
      <c r="Q447" s="468"/>
    </row>
    <row r="448">
      <c r="I448" s="73"/>
      <c r="J448" s="467"/>
      <c r="K448" s="467"/>
      <c r="L448" s="467"/>
      <c r="M448" s="467"/>
      <c r="N448" s="467"/>
      <c r="O448" s="467"/>
      <c r="P448" s="468"/>
      <c r="Q448" s="468"/>
    </row>
    <row r="449">
      <c r="I449" s="73"/>
      <c r="J449" s="467"/>
      <c r="K449" s="467"/>
      <c r="L449" s="467"/>
      <c r="M449" s="467"/>
      <c r="N449" s="467"/>
      <c r="O449" s="467"/>
      <c r="P449" s="468"/>
      <c r="Q449" s="468"/>
    </row>
    <row r="450">
      <c r="I450" s="73"/>
      <c r="J450" s="467"/>
      <c r="K450" s="467"/>
      <c r="L450" s="467"/>
      <c r="M450" s="467"/>
      <c r="N450" s="467"/>
      <c r="O450" s="467"/>
      <c r="P450" s="468"/>
      <c r="Q450" s="468"/>
    </row>
    <row r="451">
      <c r="I451" s="73"/>
      <c r="J451" s="467"/>
      <c r="K451" s="467"/>
      <c r="L451" s="467"/>
      <c r="M451" s="467"/>
      <c r="N451" s="467"/>
      <c r="O451" s="467"/>
      <c r="P451" s="468"/>
      <c r="Q451" s="468"/>
    </row>
    <row r="452">
      <c r="I452" s="73"/>
      <c r="J452" s="467"/>
      <c r="K452" s="467"/>
      <c r="L452" s="467"/>
      <c r="M452" s="467"/>
      <c r="N452" s="467"/>
      <c r="O452" s="467"/>
      <c r="P452" s="468"/>
      <c r="Q452" s="468"/>
    </row>
    <row r="453">
      <c r="I453" s="73"/>
      <c r="J453" s="467"/>
      <c r="K453" s="467"/>
      <c r="L453" s="467"/>
      <c r="M453" s="467"/>
      <c r="N453" s="467"/>
      <c r="O453" s="467"/>
      <c r="P453" s="468"/>
      <c r="Q453" s="468"/>
    </row>
    <row r="454">
      <c r="I454" s="73"/>
      <c r="J454" s="467"/>
      <c r="K454" s="467"/>
      <c r="L454" s="467"/>
      <c r="M454" s="467"/>
      <c r="N454" s="467"/>
      <c r="O454" s="467"/>
      <c r="P454" s="468"/>
      <c r="Q454" s="468"/>
    </row>
    <row r="455">
      <c r="I455" s="73"/>
      <c r="J455" s="467"/>
      <c r="K455" s="467"/>
      <c r="L455" s="467"/>
      <c r="M455" s="467"/>
      <c r="N455" s="467"/>
      <c r="O455" s="467"/>
      <c r="P455" s="468"/>
      <c r="Q455" s="468"/>
    </row>
    <row r="456">
      <c r="I456" s="73"/>
      <c r="J456" s="467"/>
      <c r="K456" s="467"/>
      <c r="L456" s="467"/>
      <c r="M456" s="467"/>
      <c r="N456" s="467"/>
      <c r="O456" s="467"/>
      <c r="P456" s="468"/>
      <c r="Q456" s="468"/>
    </row>
    <row r="457">
      <c r="I457" s="73"/>
      <c r="J457" s="467"/>
      <c r="K457" s="467"/>
      <c r="L457" s="467"/>
      <c r="M457" s="467"/>
      <c r="N457" s="467"/>
      <c r="O457" s="467"/>
      <c r="P457" s="468"/>
      <c r="Q457" s="468"/>
    </row>
    <row r="458">
      <c r="I458" s="73"/>
      <c r="J458" s="467"/>
      <c r="K458" s="467"/>
      <c r="L458" s="467"/>
      <c r="M458" s="467"/>
      <c r="N458" s="467"/>
      <c r="O458" s="467"/>
      <c r="P458" s="468"/>
      <c r="Q458" s="468"/>
    </row>
    <row r="459">
      <c r="I459" s="73"/>
      <c r="J459" s="467"/>
      <c r="K459" s="467"/>
      <c r="L459" s="467"/>
      <c r="M459" s="467"/>
      <c r="N459" s="467"/>
      <c r="O459" s="467"/>
      <c r="P459" s="468"/>
      <c r="Q459" s="468"/>
    </row>
    <row r="460">
      <c r="I460" s="73"/>
      <c r="J460" s="467"/>
      <c r="K460" s="467"/>
      <c r="L460" s="467"/>
      <c r="M460" s="467"/>
      <c r="N460" s="467"/>
      <c r="O460" s="467"/>
      <c r="P460" s="468"/>
      <c r="Q460" s="468"/>
    </row>
    <row r="461">
      <c r="I461" s="73"/>
      <c r="J461" s="467"/>
      <c r="K461" s="467"/>
      <c r="L461" s="467"/>
      <c r="M461" s="467"/>
      <c r="N461" s="467"/>
      <c r="O461" s="467"/>
      <c r="P461" s="468"/>
      <c r="Q461" s="468"/>
    </row>
    <row r="462">
      <c r="I462" s="73"/>
      <c r="J462" s="467"/>
      <c r="K462" s="467"/>
      <c r="L462" s="467"/>
      <c r="M462" s="467"/>
      <c r="N462" s="467"/>
      <c r="O462" s="467"/>
      <c r="P462" s="468"/>
      <c r="Q462" s="468"/>
    </row>
    <row r="463">
      <c r="I463" s="73"/>
      <c r="J463" s="467"/>
      <c r="K463" s="467"/>
      <c r="L463" s="467"/>
      <c r="M463" s="467"/>
      <c r="N463" s="467"/>
      <c r="O463" s="467"/>
      <c r="P463" s="468"/>
      <c r="Q463" s="468"/>
    </row>
    <row r="464">
      <c r="I464" s="73"/>
      <c r="J464" s="467"/>
      <c r="K464" s="467"/>
      <c r="L464" s="467"/>
      <c r="M464" s="467"/>
      <c r="N464" s="467"/>
      <c r="O464" s="467"/>
      <c r="P464" s="468"/>
      <c r="Q464" s="468"/>
    </row>
    <row r="465">
      <c r="I465" s="73"/>
      <c r="J465" s="467"/>
      <c r="K465" s="467"/>
      <c r="L465" s="467"/>
      <c r="M465" s="467"/>
      <c r="N465" s="467"/>
      <c r="O465" s="467"/>
      <c r="P465" s="468"/>
      <c r="Q465" s="468"/>
    </row>
    <row r="466">
      <c r="I466" s="73"/>
      <c r="J466" s="467"/>
      <c r="K466" s="467"/>
      <c r="L466" s="467"/>
      <c r="M466" s="467"/>
      <c r="N466" s="467"/>
      <c r="O466" s="467"/>
      <c r="P466" s="468"/>
      <c r="Q466" s="468"/>
    </row>
    <row r="467">
      <c r="I467" s="73"/>
      <c r="J467" s="467"/>
      <c r="K467" s="467"/>
      <c r="L467" s="467"/>
      <c r="M467" s="467"/>
      <c r="N467" s="467"/>
      <c r="O467" s="467"/>
      <c r="P467" s="468"/>
      <c r="Q467" s="468"/>
    </row>
    <row r="468">
      <c r="I468" s="73"/>
      <c r="J468" s="467"/>
      <c r="K468" s="467"/>
      <c r="L468" s="467"/>
      <c r="M468" s="467"/>
      <c r="N468" s="467"/>
      <c r="O468" s="467"/>
      <c r="P468" s="468"/>
      <c r="Q468" s="468"/>
    </row>
    <row r="469">
      <c r="I469" s="73"/>
      <c r="J469" s="467"/>
      <c r="K469" s="467"/>
      <c r="L469" s="467"/>
      <c r="M469" s="467"/>
      <c r="N469" s="467"/>
      <c r="O469" s="467"/>
      <c r="P469" s="468"/>
      <c r="Q469" s="468"/>
    </row>
    <row r="470">
      <c r="I470" s="73"/>
      <c r="J470" s="467"/>
      <c r="K470" s="467"/>
      <c r="L470" s="467"/>
      <c r="M470" s="467"/>
      <c r="N470" s="467"/>
      <c r="O470" s="467"/>
      <c r="P470" s="468"/>
      <c r="Q470" s="468"/>
    </row>
    <row r="471">
      <c r="I471" s="73"/>
      <c r="J471" s="467"/>
      <c r="K471" s="467"/>
      <c r="L471" s="467"/>
      <c r="M471" s="467"/>
      <c r="N471" s="467"/>
      <c r="O471" s="467"/>
      <c r="P471" s="468"/>
      <c r="Q471" s="468"/>
    </row>
    <row r="472">
      <c r="I472" s="73"/>
      <c r="J472" s="467"/>
      <c r="K472" s="467"/>
      <c r="L472" s="467"/>
      <c r="M472" s="467"/>
      <c r="N472" s="467"/>
      <c r="O472" s="467"/>
      <c r="P472" s="468"/>
      <c r="Q472" s="468"/>
    </row>
    <row r="473">
      <c r="I473" s="73"/>
      <c r="J473" s="467"/>
      <c r="K473" s="467"/>
      <c r="L473" s="467"/>
      <c r="M473" s="467"/>
      <c r="N473" s="467"/>
      <c r="O473" s="467"/>
      <c r="P473" s="468"/>
      <c r="Q473" s="468"/>
    </row>
    <row r="474">
      <c r="I474" s="73"/>
      <c r="J474" s="467"/>
      <c r="K474" s="467"/>
      <c r="L474" s="467"/>
      <c r="M474" s="467"/>
      <c r="N474" s="467"/>
      <c r="O474" s="467"/>
      <c r="P474" s="468"/>
      <c r="Q474" s="468"/>
    </row>
    <row r="475">
      <c r="I475" s="73"/>
      <c r="J475" s="467"/>
      <c r="K475" s="467"/>
      <c r="L475" s="467"/>
      <c r="M475" s="467"/>
      <c r="N475" s="467"/>
      <c r="O475" s="467"/>
      <c r="P475" s="468"/>
      <c r="Q475" s="468"/>
    </row>
    <row r="476">
      <c r="I476" s="73"/>
      <c r="J476" s="467"/>
      <c r="K476" s="467"/>
      <c r="L476" s="467"/>
      <c r="M476" s="467"/>
      <c r="N476" s="467"/>
      <c r="O476" s="467"/>
      <c r="P476" s="468"/>
      <c r="Q476" s="468"/>
    </row>
    <row r="477">
      <c r="I477" s="73"/>
      <c r="J477" s="467"/>
      <c r="K477" s="467"/>
      <c r="L477" s="467"/>
      <c r="M477" s="467"/>
      <c r="N477" s="467"/>
      <c r="O477" s="467"/>
      <c r="P477" s="468"/>
      <c r="Q477" s="468"/>
    </row>
    <row r="478">
      <c r="I478" s="73"/>
      <c r="J478" s="467"/>
      <c r="K478" s="467"/>
      <c r="L478" s="467"/>
      <c r="M478" s="467"/>
      <c r="N478" s="467"/>
      <c r="O478" s="467"/>
      <c r="P478" s="468"/>
      <c r="Q478" s="468"/>
    </row>
    <row r="479">
      <c r="I479" s="73"/>
      <c r="J479" s="467"/>
      <c r="K479" s="467"/>
      <c r="L479" s="467"/>
      <c r="M479" s="467"/>
      <c r="N479" s="467"/>
      <c r="O479" s="467"/>
      <c r="P479" s="468"/>
      <c r="Q479" s="468"/>
    </row>
    <row r="480">
      <c r="I480" s="73"/>
      <c r="J480" s="467"/>
      <c r="K480" s="467"/>
      <c r="L480" s="467"/>
      <c r="M480" s="467"/>
      <c r="N480" s="467"/>
      <c r="O480" s="467"/>
      <c r="P480" s="468"/>
      <c r="Q480" s="468"/>
    </row>
    <row r="481">
      <c r="I481" s="73"/>
      <c r="J481" s="467"/>
      <c r="K481" s="467"/>
      <c r="L481" s="467"/>
      <c r="M481" s="467"/>
      <c r="N481" s="467"/>
      <c r="O481" s="467"/>
      <c r="P481" s="468"/>
      <c r="Q481" s="468"/>
    </row>
    <row r="482">
      <c r="I482" s="73"/>
      <c r="J482" s="467"/>
      <c r="K482" s="467"/>
      <c r="L482" s="467"/>
      <c r="M482" s="467"/>
      <c r="N482" s="467"/>
      <c r="O482" s="467"/>
      <c r="P482" s="468"/>
      <c r="Q482" s="468"/>
    </row>
    <row r="483">
      <c r="I483" s="73"/>
      <c r="J483" s="467"/>
      <c r="K483" s="467"/>
      <c r="L483" s="467"/>
      <c r="M483" s="467"/>
      <c r="N483" s="467"/>
      <c r="O483" s="467"/>
      <c r="P483" s="468"/>
      <c r="Q483" s="468"/>
    </row>
    <row r="484">
      <c r="I484" s="73"/>
      <c r="J484" s="467"/>
      <c r="K484" s="467"/>
      <c r="L484" s="467"/>
      <c r="M484" s="467"/>
      <c r="N484" s="467"/>
      <c r="O484" s="467"/>
      <c r="P484" s="468"/>
      <c r="Q484" s="468"/>
    </row>
    <row r="485">
      <c r="I485" s="73"/>
      <c r="J485" s="467"/>
      <c r="K485" s="467"/>
      <c r="L485" s="467"/>
      <c r="M485" s="467"/>
      <c r="N485" s="467"/>
      <c r="O485" s="467"/>
      <c r="P485" s="468"/>
      <c r="Q485" s="468"/>
    </row>
    <row r="486">
      <c r="I486" s="73"/>
      <c r="J486" s="467"/>
      <c r="K486" s="467"/>
      <c r="L486" s="467"/>
      <c r="M486" s="467"/>
      <c r="N486" s="467"/>
      <c r="O486" s="467"/>
      <c r="P486" s="468"/>
      <c r="Q486" s="468"/>
    </row>
    <row r="487">
      <c r="I487" s="73"/>
      <c r="J487" s="467"/>
      <c r="K487" s="467"/>
      <c r="L487" s="467"/>
      <c r="M487" s="467"/>
      <c r="N487" s="467"/>
      <c r="O487" s="467"/>
      <c r="P487" s="468"/>
      <c r="Q487" s="468"/>
    </row>
    <row r="488">
      <c r="I488" s="73"/>
      <c r="J488" s="467"/>
      <c r="K488" s="467"/>
      <c r="L488" s="467"/>
      <c r="M488" s="467"/>
      <c r="N488" s="467"/>
      <c r="O488" s="467"/>
      <c r="P488" s="468"/>
      <c r="Q488" s="468"/>
    </row>
    <row r="489">
      <c r="I489" s="73"/>
      <c r="J489" s="467"/>
      <c r="K489" s="467"/>
      <c r="L489" s="467"/>
      <c r="M489" s="467"/>
      <c r="N489" s="467"/>
      <c r="O489" s="467"/>
      <c r="P489" s="468"/>
      <c r="Q489" s="468"/>
    </row>
    <row r="490">
      <c r="I490" s="73"/>
      <c r="J490" s="467"/>
      <c r="K490" s="467"/>
      <c r="L490" s="467"/>
      <c r="M490" s="467"/>
      <c r="N490" s="467"/>
      <c r="O490" s="467"/>
      <c r="P490" s="468"/>
      <c r="Q490" s="468"/>
    </row>
    <row r="491">
      <c r="I491" s="73"/>
      <c r="J491" s="467"/>
      <c r="K491" s="467"/>
      <c r="L491" s="467"/>
      <c r="M491" s="467"/>
      <c r="N491" s="467"/>
      <c r="O491" s="467"/>
      <c r="P491" s="468"/>
      <c r="Q491" s="468"/>
    </row>
    <row r="492">
      <c r="I492" s="73"/>
      <c r="J492" s="467"/>
      <c r="K492" s="467"/>
      <c r="L492" s="467"/>
      <c r="M492" s="467"/>
      <c r="N492" s="467"/>
      <c r="O492" s="467"/>
      <c r="P492" s="468"/>
      <c r="Q492" s="468"/>
    </row>
    <row r="493">
      <c r="I493" s="73"/>
      <c r="J493" s="467"/>
      <c r="K493" s="467"/>
      <c r="L493" s="467"/>
      <c r="M493" s="467"/>
      <c r="N493" s="467"/>
      <c r="O493" s="467"/>
      <c r="P493" s="468"/>
      <c r="Q493" s="468"/>
    </row>
    <row r="494">
      <c r="I494" s="73"/>
      <c r="J494" s="467"/>
      <c r="K494" s="467"/>
      <c r="L494" s="467"/>
      <c r="M494" s="467"/>
      <c r="N494" s="467"/>
      <c r="O494" s="467"/>
      <c r="P494" s="468"/>
      <c r="Q494" s="468"/>
    </row>
    <row r="495">
      <c r="I495" s="73"/>
      <c r="J495" s="467"/>
      <c r="K495" s="467"/>
      <c r="L495" s="467"/>
      <c r="M495" s="467"/>
      <c r="N495" s="467"/>
      <c r="O495" s="467"/>
      <c r="P495" s="468"/>
      <c r="Q495" s="468"/>
    </row>
    <row r="496">
      <c r="I496" s="73"/>
      <c r="J496" s="467"/>
      <c r="K496" s="467"/>
      <c r="L496" s="467"/>
      <c r="M496" s="467"/>
      <c r="N496" s="467"/>
      <c r="O496" s="467"/>
      <c r="P496" s="468"/>
      <c r="Q496" s="468"/>
    </row>
    <row r="497">
      <c r="I497" s="73"/>
      <c r="J497" s="467"/>
      <c r="K497" s="467"/>
      <c r="L497" s="467"/>
      <c r="M497" s="467"/>
      <c r="N497" s="467"/>
      <c r="O497" s="467"/>
      <c r="P497" s="468"/>
      <c r="Q497" s="468"/>
    </row>
    <row r="498">
      <c r="I498" s="73"/>
      <c r="J498" s="467"/>
      <c r="K498" s="467"/>
      <c r="L498" s="467"/>
      <c r="M498" s="467"/>
      <c r="N498" s="467"/>
      <c r="O498" s="467"/>
      <c r="P498" s="468"/>
      <c r="Q498" s="468"/>
    </row>
    <row r="499">
      <c r="I499" s="73"/>
      <c r="J499" s="467"/>
      <c r="K499" s="467"/>
      <c r="L499" s="467"/>
      <c r="M499" s="467"/>
      <c r="N499" s="467"/>
      <c r="O499" s="467"/>
      <c r="P499" s="468"/>
      <c r="Q499" s="468"/>
    </row>
    <row r="500">
      <c r="I500" s="73"/>
      <c r="J500" s="467"/>
      <c r="K500" s="467"/>
      <c r="L500" s="467"/>
      <c r="M500" s="467"/>
      <c r="N500" s="467"/>
      <c r="O500" s="467"/>
      <c r="P500" s="468"/>
      <c r="Q500" s="468"/>
    </row>
    <row r="501">
      <c r="I501" s="73"/>
      <c r="J501" s="467"/>
      <c r="K501" s="467"/>
      <c r="L501" s="467"/>
      <c r="M501" s="467"/>
      <c r="N501" s="467"/>
      <c r="O501" s="467"/>
      <c r="P501" s="468"/>
      <c r="Q501" s="468"/>
    </row>
    <row r="502">
      <c r="I502" s="73"/>
      <c r="J502" s="467"/>
      <c r="K502" s="467"/>
      <c r="L502" s="467"/>
      <c r="M502" s="467"/>
      <c r="N502" s="467"/>
      <c r="O502" s="467"/>
      <c r="P502" s="468"/>
      <c r="Q502" s="468"/>
    </row>
    <row r="503">
      <c r="I503" s="73"/>
      <c r="J503" s="467"/>
      <c r="K503" s="467"/>
      <c r="L503" s="467"/>
      <c r="M503" s="467"/>
      <c r="N503" s="467"/>
      <c r="O503" s="467"/>
      <c r="P503" s="468"/>
      <c r="Q503" s="468"/>
    </row>
    <row r="504">
      <c r="I504" s="73"/>
      <c r="J504" s="467"/>
      <c r="K504" s="467"/>
      <c r="L504" s="467"/>
      <c r="M504" s="467"/>
      <c r="N504" s="467"/>
      <c r="O504" s="467"/>
      <c r="P504" s="468"/>
      <c r="Q504" s="468"/>
    </row>
    <row r="505">
      <c r="I505" s="73"/>
      <c r="J505" s="467"/>
      <c r="K505" s="467"/>
      <c r="L505" s="467"/>
      <c r="M505" s="467"/>
      <c r="N505" s="467"/>
      <c r="O505" s="467"/>
      <c r="P505" s="468"/>
      <c r="Q505" s="468"/>
    </row>
    <row r="506">
      <c r="I506" s="73"/>
      <c r="J506" s="467"/>
      <c r="K506" s="467"/>
      <c r="L506" s="467"/>
      <c r="M506" s="467"/>
      <c r="N506" s="467"/>
      <c r="O506" s="467"/>
      <c r="P506" s="468"/>
      <c r="Q506" s="468"/>
    </row>
    <row r="507">
      <c r="I507" s="73"/>
      <c r="J507" s="467"/>
      <c r="K507" s="467"/>
      <c r="L507" s="467"/>
      <c r="M507" s="467"/>
      <c r="N507" s="467"/>
      <c r="O507" s="467"/>
      <c r="P507" s="468"/>
      <c r="Q507" s="468"/>
    </row>
    <row r="508">
      <c r="I508" s="73"/>
      <c r="J508" s="467"/>
      <c r="K508" s="467"/>
      <c r="L508" s="467"/>
      <c r="M508" s="467"/>
      <c r="N508" s="467"/>
      <c r="O508" s="467"/>
      <c r="P508" s="468"/>
      <c r="Q508" s="468"/>
    </row>
    <row r="509">
      <c r="I509" s="73"/>
      <c r="J509" s="467"/>
      <c r="K509" s="467"/>
      <c r="L509" s="467"/>
      <c r="M509" s="467"/>
      <c r="N509" s="467"/>
      <c r="O509" s="467"/>
      <c r="P509" s="468"/>
      <c r="Q509" s="468"/>
    </row>
    <row r="510">
      <c r="I510" s="73"/>
      <c r="J510" s="467"/>
      <c r="K510" s="467"/>
      <c r="L510" s="467"/>
      <c r="M510" s="467"/>
      <c r="N510" s="467"/>
      <c r="O510" s="467"/>
      <c r="P510" s="468"/>
      <c r="Q510" s="468"/>
    </row>
    <row r="511">
      <c r="I511" s="73"/>
      <c r="J511" s="467"/>
      <c r="K511" s="467"/>
      <c r="L511" s="467"/>
      <c r="M511" s="467"/>
      <c r="N511" s="467"/>
      <c r="O511" s="467"/>
      <c r="P511" s="468"/>
      <c r="Q511" s="468"/>
    </row>
    <row r="512">
      <c r="I512" s="73"/>
      <c r="J512" s="467"/>
      <c r="K512" s="467"/>
      <c r="L512" s="467"/>
      <c r="M512" s="467"/>
      <c r="N512" s="467"/>
      <c r="O512" s="467"/>
      <c r="P512" s="468"/>
      <c r="Q512" s="468"/>
    </row>
    <row r="513">
      <c r="I513" s="73"/>
      <c r="J513" s="467"/>
      <c r="K513" s="467"/>
      <c r="L513" s="467"/>
      <c r="M513" s="467"/>
      <c r="N513" s="467"/>
      <c r="O513" s="467"/>
      <c r="P513" s="468"/>
      <c r="Q513" s="468"/>
    </row>
    <row r="514">
      <c r="I514" s="73"/>
      <c r="J514" s="467"/>
      <c r="K514" s="467"/>
      <c r="L514" s="467"/>
      <c r="M514" s="467"/>
      <c r="N514" s="467"/>
      <c r="O514" s="467"/>
      <c r="P514" s="468"/>
      <c r="Q514" s="468"/>
    </row>
    <row r="515">
      <c r="I515" s="73"/>
      <c r="J515" s="467"/>
      <c r="K515" s="467"/>
      <c r="L515" s="467"/>
      <c r="M515" s="467"/>
      <c r="N515" s="467"/>
      <c r="O515" s="467"/>
      <c r="P515" s="468"/>
      <c r="Q515" s="468"/>
    </row>
    <row r="516">
      <c r="I516" s="73"/>
      <c r="J516" s="467"/>
      <c r="K516" s="467"/>
      <c r="L516" s="467"/>
      <c r="M516" s="467"/>
      <c r="N516" s="467"/>
      <c r="O516" s="467"/>
      <c r="P516" s="468"/>
      <c r="Q516" s="468"/>
    </row>
    <row r="517">
      <c r="I517" s="73"/>
      <c r="J517" s="467"/>
      <c r="K517" s="467"/>
      <c r="L517" s="467"/>
      <c r="M517" s="467"/>
      <c r="N517" s="467"/>
      <c r="O517" s="467"/>
      <c r="P517" s="468"/>
      <c r="Q517" s="468"/>
    </row>
    <row r="518">
      <c r="I518" s="73"/>
      <c r="J518" s="467"/>
      <c r="K518" s="467"/>
      <c r="L518" s="467"/>
      <c r="M518" s="467"/>
      <c r="N518" s="467"/>
      <c r="O518" s="467"/>
      <c r="P518" s="468"/>
      <c r="Q518" s="468"/>
    </row>
    <row r="519">
      <c r="I519" s="73"/>
      <c r="J519" s="467"/>
      <c r="K519" s="467"/>
      <c r="L519" s="467"/>
      <c r="M519" s="467"/>
      <c r="N519" s="467"/>
      <c r="O519" s="467"/>
      <c r="P519" s="468"/>
      <c r="Q519" s="468"/>
    </row>
    <row r="520">
      <c r="I520" s="73"/>
      <c r="J520" s="467"/>
      <c r="K520" s="467"/>
      <c r="L520" s="467"/>
      <c r="M520" s="467"/>
      <c r="N520" s="467"/>
      <c r="O520" s="467"/>
      <c r="P520" s="468"/>
      <c r="Q520" s="468"/>
    </row>
    <row r="521">
      <c r="I521" s="73"/>
      <c r="J521" s="467"/>
      <c r="K521" s="467"/>
      <c r="L521" s="467"/>
      <c r="M521" s="467"/>
      <c r="N521" s="467"/>
      <c r="O521" s="467"/>
      <c r="P521" s="468"/>
      <c r="Q521" s="468"/>
    </row>
    <row r="522">
      <c r="I522" s="73"/>
      <c r="J522" s="467"/>
      <c r="K522" s="467"/>
      <c r="L522" s="467"/>
      <c r="M522" s="467"/>
      <c r="N522" s="467"/>
      <c r="O522" s="467"/>
      <c r="P522" s="468"/>
      <c r="Q522" s="468"/>
    </row>
    <row r="523">
      <c r="I523" s="73"/>
      <c r="J523" s="467"/>
      <c r="K523" s="467"/>
      <c r="L523" s="467"/>
      <c r="M523" s="467"/>
      <c r="N523" s="467"/>
      <c r="O523" s="467"/>
      <c r="P523" s="468"/>
      <c r="Q523" s="468"/>
    </row>
    <row r="524">
      <c r="I524" s="73"/>
      <c r="J524" s="467"/>
      <c r="K524" s="467"/>
      <c r="L524" s="467"/>
      <c r="M524" s="467"/>
      <c r="N524" s="467"/>
      <c r="O524" s="467"/>
      <c r="P524" s="468"/>
      <c r="Q524" s="468"/>
    </row>
    <row r="525">
      <c r="I525" s="73"/>
      <c r="J525" s="467"/>
      <c r="K525" s="467"/>
      <c r="L525" s="467"/>
      <c r="M525" s="467"/>
      <c r="N525" s="467"/>
      <c r="O525" s="467"/>
      <c r="P525" s="468"/>
      <c r="Q525" s="468"/>
    </row>
    <row r="526">
      <c r="I526" s="73"/>
      <c r="J526" s="467"/>
      <c r="K526" s="467"/>
      <c r="L526" s="467"/>
      <c r="M526" s="467"/>
      <c r="N526" s="467"/>
      <c r="O526" s="467"/>
      <c r="P526" s="468"/>
      <c r="Q526" s="468"/>
    </row>
    <row r="527">
      <c r="I527" s="73"/>
      <c r="J527" s="467"/>
      <c r="K527" s="467"/>
      <c r="L527" s="467"/>
      <c r="M527" s="467"/>
      <c r="N527" s="467"/>
      <c r="O527" s="467"/>
      <c r="P527" s="468"/>
      <c r="Q527" s="468"/>
    </row>
    <row r="528">
      <c r="I528" s="73"/>
      <c r="J528" s="467"/>
      <c r="K528" s="467"/>
      <c r="L528" s="467"/>
      <c r="M528" s="467"/>
      <c r="N528" s="467"/>
      <c r="O528" s="467"/>
      <c r="P528" s="468"/>
      <c r="Q528" s="468"/>
    </row>
    <row r="529">
      <c r="I529" s="73"/>
      <c r="J529" s="467"/>
      <c r="K529" s="467"/>
      <c r="L529" s="467"/>
      <c r="M529" s="467"/>
      <c r="N529" s="467"/>
      <c r="O529" s="467"/>
      <c r="P529" s="468"/>
      <c r="Q529" s="468"/>
    </row>
    <row r="530">
      <c r="I530" s="73"/>
      <c r="J530" s="467"/>
      <c r="K530" s="467"/>
      <c r="L530" s="467"/>
      <c r="M530" s="467"/>
      <c r="N530" s="467"/>
      <c r="O530" s="467"/>
      <c r="P530" s="468"/>
      <c r="Q530" s="468"/>
    </row>
    <row r="531">
      <c r="I531" s="73"/>
      <c r="J531" s="467"/>
      <c r="K531" s="467"/>
      <c r="L531" s="467"/>
      <c r="M531" s="467"/>
      <c r="N531" s="467"/>
      <c r="O531" s="467"/>
      <c r="P531" s="468"/>
      <c r="Q531" s="468"/>
    </row>
    <row r="532">
      <c r="I532" s="73"/>
      <c r="J532" s="467"/>
      <c r="K532" s="467"/>
      <c r="L532" s="467"/>
      <c r="M532" s="467"/>
      <c r="N532" s="467"/>
      <c r="O532" s="467"/>
      <c r="P532" s="468"/>
      <c r="Q532" s="468"/>
    </row>
    <row r="533">
      <c r="I533" s="73"/>
      <c r="J533" s="467"/>
      <c r="K533" s="467"/>
      <c r="L533" s="467"/>
      <c r="M533" s="467"/>
      <c r="N533" s="467"/>
      <c r="O533" s="467"/>
      <c r="P533" s="468"/>
      <c r="Q533" s="468"/>
    </row>
    <row r="534">
      <c r="I534" s="73"/>
      <c r="J534" s="467"/>
      <c r="K534" s="467"/>
      <c r="L534" s="467"/>
      <c r="M534" s="467"/>
      <c r="N534" s="467"/>
      <c r="O534" s="467"/>
      <c r="P534" s="468"/>
      <c r="Q534" s="468"/>
    </row>
    <row r="535">
      <c r="I535" s="73"/>
      <c r="J535" s="467"/>
      <c r="K535" s="467"/>
      <c r="L535" s="467"/>
      <c r="M535" s="467"/>
      <c r="N535" s="467"/>
      <c r="O535" s="467"/>
      <c r="P535" s="468"/>
      <c r="Q535" s="468"/>
    </row>
    <row r="536">
      <c r="I536" s="73"/>
      <c r="J536" s="467"/>
      <c r="K536" s="467"/>
      <c r="L536" s="467"/>
      <c r="M536" s="467"/>
      <c r="N536" s="467"/>
      <c r="O536" s="467"/>
      <c r="P536" s="468"/>
      <c r="Q536" s="468"/>
    </row>
    <row r="537">
      <c r="I537" s="73"/>
      <c r="J537" s="467"/>
      <c r="K537" s="467"/>
      <c r="L537" s="467"/>
      <c r="M537" s="467"/>
      <c r="N537" s="467"/>
      <c r="O537" s="467"/>
      <c r="P537" s="468"/>
      <c r="Q537" s="468"/>
    </row>
    <row r="538">
      <c r="I538" s="73"/>
      <c r="J538" s="467"/>
      <c r="K538" s="467"/>
      <c r="L538" s="467"/>
      <c r="M538" s="467"/>
      <c r="N538" s="467"/>
      <c r="O538" s="467"/>
      <c r="P538" s="468"/>
      <c r="Q538" s="468"/>
    </row>
    <row r="539">
      <c r="I539" s="73"/>
      <c r="J539" s="467"/>
      <c r="K539" s="467"/>
      <c r="L539" s="467"/>
      <c r="M539" s="467"/>
      <c r="N539" s="467"/>
      <c r="O539" s="467"/>
      <c r="P539" s="468"/>
      <c r="Q539" s="468"/>
    </row>
    <row r="540">
      <c r="I540" s="73"/>
      <c r="J540" s="467"/>
      <c r="K540" s="467"/>
      <c r="L540" s="467"/>
      <c r="M540" s="467"/>
      <c r="N540" s="467"/>
      <c r="O540" s="467"/>
      <c r="P540" s="468"/>
      <c r="Q540" s="468"/>
    </row>
    <row r="541">
      <c r="I541" s="73"/>
      <c r="J541" s="467"/>
      <c r="K541" s="467"/>
      <c r="L541" s="467"/>
      <c r="M541" s="467"/>
      <c r="N541" s="467"/>
      <c r="O541" s="467"/>
      <c r="P541" s="468"/>
      <c r="Q541" s="468"/>
    </row>
    <row r="542">
      <c r="I542" s="73"/>
      <c r="J542" s="467"/>
      <c r="K542" s="467"/>
      <c r="L542" s="467"/>
      <c r="M542" s="467"/>
      <c r="N542" s="467"/>
      <c r="O542" s="467"/>
      <c r="P542" s="468"/>
      <c r="Q542" s="468"/>
    </row>
    <row r="543">
      <c r="I543" s="73"/>
      <c r="J543" s="467"/>
      <c r="K543" s="467"/>
      <c r="L543" s="467"/>
      <c r="M543" s="467"/>
      <c r="N543" s="467"/>
      <c r="O543" s="467"/>
      <c r="P543" s="468"/>
      <c r="Q543" s="468"/>
    </row>
    <row r="544">
      <c r="I544" s="73"/>
      <c r="J544" s="467"/>
      <c r="K544" s="467"/>
      <c r="L544" s="467"/>
      <c r="M544" s="467"/>
      <c r="N544" s="467"/>
      <c r="O544" s="467"/>
      <c r="P544" s="468"/>
      <c r="Q544" s="468"/>
    </row>
    <row r="545">
      <c r="I545" s="73"/>
      <c r="J545" s="467"/>
      <c r="K545" s="467"/>
      <c r="L545" s="467"/>
      <c r="M545" s="467"/>
      <c r="N545" s="467"/>
      <c r="O545" s="467"/>
      <c r="P545" s="468"/>
      <c r="Q545" s="468"/>
    </row>
    <row r="546">
      <c r="I546" s="73"/>
      <c r="J546" s="467"/>
      <c r="K546" s="467"/>
      <c r="L546" s="467"/>
      <c r="M546" s="467"/>
      <c r="N546" s="467"/>
      <c r="O546" s="467"/>
      <c r="P546" s="468"/>
      <c r="Q546" s="468"/>
    </row>
    <row r="547">
      <c r="I547" s="73"/>
      <c r="J547" s="467"/>
      <c r="K547" s="467"/>
      <c r="L547" s="467"/>
      <c r="M547" s="467"/>
      <c r="N547" s="467"/>
      <c r="O547" s="467"/>
      <c r="P547" s="468"/>
      <c r="Q547" s="468"/>
    </row>
    <row r="548">
      <c r="I548" s="73"/>
      <c r="J548" s="467"/>
      <c r="K548" s="467"/>
      <c r="L548" s="467"/>
      <c r="M548" s="467"/>
      <c r="N548" s="467"/>
      <c r="O548" s="467"/>
      <c r="P548" s="468"/>
      <c r="Q548" s="468"/>
    </row>
    <row r="549">
      <c r="I549" s="73"/>
      <c r="J549" s="467"/>
      <c r="K549" s="467"/>
      <c r="L549" s="467"/>
      <c r="M549" s="467"/>
      <c r="N549" s="467"/>
      <c r="O549" s="467"/>
      <c r="P549" s="468"/>
      <c r="Q549" s="468"/>
    </row>
    <row r="550">
      <c r="I550" s="73"/>
      <c r="J550" s="467"/>
      <c r="K550" s="467"/>
      <c r="L550" s="467"/>
      <c r="M550" s="467"/>
      <c r="N550" s="467"/>
      <c r="O550" s="467"/>
      <c r="P550" s="468"/>
      <c r="Q550" s="468"/>
    </row>
    <row r="551">
      <c r="I551" s="73"/>
      <c r="J551" s="467"/>
      <c r="K551" s="467"/>
      <c r="L551" s="467"/>
      <c r="M551" s="467"/>
      <c r="N551" s="467"/>
      <c r="O551" s="467"/>
      <c r="P551" s="468"/>
      <c r="Q551" s="468"/>
    </row>
    <row r="552">
      <c r="I552" s="73"/>
      <c r="J552" s="467"/>
      <c r="K552" s="467"/>
      <c r="L552" s="467"/>
      <c r="M552" s="467"/>
      <c r="N552" s="467"/>
      <c r="O552" s="467"/>
      <c r="P552" s="468"/>
      <c r="Q552" s="468"/>
    </row>
    <row r="553">
      <c r="I553" s="73"/>
      <c r="J553" s="467"/>
      <c r="K553" s="467"/>
      <c r="L553" s="467"/>
      <c r="M553" s="467"/>
      <c r="N553" s="467"/>
      <c r="O553" s="467"/>
      <c r="P553" s="468"/>
      <c r="Q553" s="468"/>
    </row>
    <row r="554">
      <c r="I554" s="73"/>
      <c r="J554" s="467"/>
      <c r="K554" s="467"/>
      <c r="L554" s="467"/>
      <c r="M554" s="467"/>
      <c r="N554" s="467"/>
      <c r="O554" s="467"/>
      <c r="P554" s="468"/>
      <c r="Q554" s="468"/>
    </row>
    <row r="555">
      <c r="I555" s="73"/>
      <c r="J555" s="467"/>
      <c r="K555" s="467"/>
      <c r="L555" s="467"/>
      <c r="M555" s="467"/>
      <c r="N555" s="467"/>
      <c r="O555" s="467"/>
      <c r="P555" s="468"/>
      <c r="Q555" s="468"/>
    </row>
    <row r="556">
      <c r="I556" s="73"/>
      <c r="J556" s="467"/>
      <c r="K556" s="467"/>
      <c r="L556" s="467"/>
      <c r="M556" s="467"/>
      <c r="N556" s="467"/>
      <c r="O556" s="467"/>
      <c r="P556" s="468"/>
      <c r="Q556" s="468"/>
    </row>
    <row r="557">
      <c r="I557" s="73"/>
      <c r="J557" s="467"/>
      <c r="K557" s="467"/>
      <c r="L557" s="467"/>
      <c r="M557" s="467"/>
      <c r="N557" s="467"/>
      <c r="O557" s="467"/>
      <c r="P557" s="468"/>
      <c r="Q557" s="468"/>
    </row>
    <row r="558">
      <c r="I558" s="73"/>
      <c r="J558" s="467"/>
      <c r="K558" s="467"/>
      <c r="L558" s="467"/>
      <c r="M558" s="467"/>
      <c r="N558" s="467"/>
      <c r="O558" s="467"/>
      <c r="P558" s="468"/>
      <c r="Q558" s="468"/>
    </row>
    <row r="559">
      <c r="I559" s="73"/>
      <c r="J559" s="467"/>
      <c r="K559" s="467"/>
      <c r="L559" s="467"/>
      <c r="M559" s="467"/>
      <c r="N559" s="467"/>
      <c r="O559" s="467"/>
      <c r="P559" s="468"/>
      <c r="Q559" s="468"/>
    </row>
    <row r="560">
      <c r="I560" s="73"/>
      <c r="J560" s="467"/>
      <c r="K560" s="467"/>
      <c r="L560" s="467"/>
      <c r="M560" s="467"/>
      <c r="N560" s="467"/>
      <c r="O560" s="467"/>
      <c r="P560" s="468"/>
      <c r="Q560" s="468"/>
    </row>
    <row r="561">
      <c r="I561" s="73"/>
      <c r="J561" s="467"/>
      <c r="K561" s="467"/>
      <c r="L561" s="467"/>
      <c r="M561" s="467"/>
      <c r="N561" s="467"/>
      <c r="O561" s="467"/>
      <c r="P561" s="468"/>
      <c r="Q561" s="468"/>
    </row>
    <row r="562">
      <c r="I562" s="73"/>
      <c r="J562" s="467"/>
      <c r="K562" s="467"/>
      <c r="L562" s="467"/>
      <c r="M562" s="467"/>
      <c r="N562" s="467"/>
      <c r="O562" s="467"/>
      <c r="P562" s="468"/>
      <c r="Q562" s="468"/>
    </row>
    <row r="563">
      <c r="I563" s="73"/>
      <c r="J563" s="467"/>
      <c r="K563" s="467"/>
      <c r="L563" s="467"/>
      <c r="M563" s="467"/>
      <c r="N563" s="467"/>
      <c r="O563" s="467"/>
      <c r="P563" s="468"/>
      <c r="Q563" s="468"/>
    </row>
    <row r="564">
      <c r="I564" s="73"/>
      <c r="J564" s="467"/>
      <c r="K564" s="467"/>
      <c r="L564" s="467"/>
      <c r="M564" s="467"/>
      <c r="N564" s="467"/>
      <c r="O564" s="467"/>
      <c r="P564" s="468"/>
      <c r="Q564" s="468"/>
    </row>
    <row r="565">
      <c r="I565" s="73"/>
      <c r="J565" s="467"/>
      <c r="K565" s="467"/>
      <c r="L565" s="467"/>
      <c r="M565" s="467"/>
      <c r="N565" s="467"/>
      <c r="O565" s="467"/>
      <c r="P565" s="468"/>
      <c r="Q565" s="468"/>
    </row>
    <row r="566">
      <c r="I566" s="73"/>
      <c r="J566" s="467"/>
      <c r="K566" s="467"/>
      <c r="L566" s="467"/>
      <c r="M566" s="467"/>
      <c r="N566" s="467"/>
      <c r="O566" s="467"/>
      <c r="P566" s="468"/>
      <c r="Q566" s="468"/>
    </row>
    <row r="567">
      <c r="I567" s="73"/>
      <c r="J567" s="467"/>
      <c r="K567" s="467"/>
      <c r="L567" s="467"/>
      <c r="M567" s="467"/>
      <c r="N567" s="467"/>
      <c r="O567" s="467"/>
      <c r="P567" s="468"/>
      <c r="Q567" s="468"/>
    </row>
    <row r="568">
      <c r="I568" s="73"/>
      <c r="J568" s="467"/>
      <c r="K568" s="467"/>
      <c r="L568" s="467"/>
      <c r="M568" s="467"/>
      <c r="N568" s="467"/>
      <c r="O568" s="467"/>
      <c r="P568" s="468"/>
      <c r="Q568" s="468"/>
    </row>
    <row r="569">
      <c r="I569" s="73"/>
      <c r="J569" s="467"/>
      <c r="K569" s="467"/>
      <c r="L569" s="467"/>
      <c r="M569" s="467"/>
      <c r="N569" s="467"/>
      <c r="O569" s="467"/>
      <c r="P569" s="468"/>
      <c r="Q569" s="468"/>
    </row>
    <row r="570">
      <c r="I570" s="73"/>
      <c r="J570" s="467"/>
      <c r="K570" s="467"/>
      <c r="L570" s="467"/>
      <c r="M570" s="467"/>
      <c r="N570" s="467"/>
      <c r="O570" s="467"/>
      <c r="P570" s="468"/>
      <c r="Q570" s="468"/>
    </row>
    <row r="571">
      <c r="I571" s="73"/>
      <c r="J571" s="467"/>
      <c r="K571" s="467"/>
      <c r="L571" s="467"/>
      <c r="M571" s="467"/>
      <c r="N571" s="467"/>
      <c r="O571" s="467"/>
      <c r="P571" s="468"/>
      <c r="Q571" s="468"/>
    </row>
    <row r="572">
      <c r="I572" s="73"/>
      <c r="J572" s="467"/>
      <c r="K572" s="467"/>
      <c r="L572" s="467"/>
      <c r="M572" s="467"/>
      <c r="N572" s="467"/>
      <c r="O572" s="467"/>
      <c r="P572" s="468"/>
      <c r="Q572" s="468"/>
    </row>
    <row r="573">
      <c r="I573" s="73"/>
      <c r="J573" s="467"/>
      <c r="K573" s="467"/>
      <c r="L573" s="467"/>
      <c r="M573" s="467"/>
      <c r="N573" s="467"/>
      <c r="O573" s="467"/>
      <c r="P573" s="468"/>
      <c r="Q573" s="468"/>
    </row>
    <row r="574">
      <c r="I574" s="73"/>
      <c r="J574" s="467"/>
      <c r="K574" s="467"/>
      <c r="L574" s="467"/>
      <c r="M574" s="467"/>
      <c r="N574" s="467"/>
      <c r="O574" s="467"/>
      <c r="P574" s="468"/>
      <c r="Q574" s="468"/>
    </row>
    <row r="575">
      <c r="I575" s="73"/>
      <c r="J575" s="467"/>
      <c r="K575" s="467"/>
      <c r="L575" s="467"/>
      <c r="M575" s="467"/>
      <c r="N575" s="467"/>
      <c r="O575" s="467"/>
      <c r="P575" s="468"/>
      <c r="Q575" s="468"/>
    </row>
    <row r="576">
      <c r="I576" s="73"/>
      <c r="J576" s="467"/>
      <c r="K576" s="467"/>
      <c r="L576" s="467"/>
      <c r="M576" s="467"/>
      <c r="N576" s="467"/>
      <c r="O576" s="467"/>
      <c r="P576" s="468"/>
      <c r="Q576" s="468"/>
    </row>
    <row r="577">
      <c r="I577" s="73"/>
      <c r="J577" s="467"/>
      <c r="K577" s="467"/>
      <c r="L577" s="467"/>
      <c r="M577" s="467"/>
      <c r="N577" s="467"/>
      <c r="O577" s="467"/>
      <c r="P577" s="468"/>
      <c r="Q577" s="468"/>
    </row>
    <row r="578">
      <c r="I578" s="73"/>
      <c r="J578" s="467"/>
      <c r="K578" s="467"/>
      <c r="L578" s="467"/>
      <c r="M578" s="467"/>
      <c r="N578" s="467"/>
      <c r="O578" s="467"/>
      <c r="P578" s="468"/>
      <c r="Q578" s="468"/>
    </row>
    <row r="579">
      <c r="I579" s="73"/>
      <c r="J579" s="467"/>
      <c r="K579" s="467"/>
      <c r="L579" s="467"/>
      <c r="M579" s="467"/>
      <c r="N579" s="467"/>
      <c r="O579" s="467"/>
      <c r="P579" s="468"/>
      <c r="Q579" s="468"/>
    </row>
    <row r="580">
      <c r="I580" s="73"/>
      <c r="J580" s="467"/>
      <c r="K580" s="467"/>
      <c r="L580" s="467"/>
      <c r="M580" s="467"/>
      <c r="N580" s="467"/>
      <c r="O580" s="467"/>
      <c r="P580" s="468"/>
      <c r="Q580" s="468"/>
    </row>
    <row r="581">
      <c r="I581" s="73"/>
      <c r="J581" s="467"/>
      <c r="K581" s="467"/>
      <c r="L581" s="467"/>
      <c r="M581" s="467"/>
      <c r="N581" s="467"/>
      <c r="O581" s="467"/>
      <c r="P581" s="468"/>
      <c r="Q581" s="468"/>
    </row>
    <row r="582">
      <c r="I582" s="73"/>
      <c r="J582" s="467"/>
      <c r="K582" s="467"/>
      <c r="L582" s="467"/>
      <c r="M582" s="467"/>
      <c r="N582" s="467"/>
      <c r="O582" s="467"/>
      <c r="P582" s="468"/>
      <c r="Q582" s="468"/>
    </row>
    <row r="583">
      <c r="I583" s="73"/>
      <c r="J583" s="467"/>
      <c r="K583" s="467"/>
      <c r="L583" s="467"/>
      <c r="M583" s="467"/>
      <c r="N583" s="467"/>
      <c r="O583" s="467"/>
      <c r="P583" s="468"/>
      <c r="Q583" s="468"/>
    </row>
    <row r="584">
      <c r="I584" s="73"/>
      <c r="J584" s="467"/>
      <c r="K584" s="467"/>
      <c r="L584" s="467"/>
      <c r="M584" s="467"/>
      <c r="N584" s="467"/>
      <c r="O584" s="467"/>
      <c r="P584" s="468"/>
      <c r="Q584" s="468"/>
    </row>
    <row r="585">
      <c r="I585" s="73"/>
      <c r="J585" s="467"/>
      <c r="K585" s="467"/>
      <c r="L585" s="467"/>
      <c r="M585" s="467"/>
      <c r="N585" s="467"/>
      <c r="O585" s="467"/>
      <c r="P585" s="468"/>
      <c r="Q585" s="468"/>
    </row>
    <row r="586">
      <c r="I586" s="73"/>
      <c r="J586" s="467"/>
      <c r="K586" s="467"/>
      <c r="L586" s="467"/>
      <c r="M586" s="467"/>
      <c r="N586" s="467"/>
      <c r="O586" s="467"/>
      <c r="P586" s="468"/>
      <c r="Q586" s="468"/>
    </row>
    <row r="587">
      <c r="I587" s="73"/>
      <c r="J587" s="467"/>
      <c r="K587" s="467"/>
      <c r="L587" s="467"/>
      <c r="M587" s="467"/>
      <c r="N587" s="467"/>
      <c r="O587" s="467"/>
      <c r="P587" s="468"/>
      <c r="Q587" s="468"/>
    </row>
    <row r="588">
      <c r="I588" s="73"/>
      <c r="J588" s="467"/>
      <c r="K588" s="467"/>
      <c r="L588" s="467"/>
      <c r="M588" s="467"/>
      <c r="N588" s="467"/>
      <c r="O588" s="467"/>
      <c r="P588" s="468"/>
      <c r="Q588" s="468"/>
    </row>
    <row r="589">
      <c r="I589" s="73"/>
      <c r="J589" s="467"/>
      <c r="K589" s="467"/>
      <c r="L589" s="467"/>
      <c r="M589" s="467"/>
      <c r="N589" s="467"/>
      <c r="O589" s="467"/>
      <c r="P589" s="468"/>
      <c r="Q589" s="468"/>
    </row>
    <row r="590">
      <c r="I590" s="73"/>
      <c r="J590" s="467"/>
      <c r="K590" s="467"/>
      <c r="L590" s="467"/>
      <c r="M590" s="467"/>
      <c r="N590" s="467"/>
      <c r="O590" s="467"/>
      <c r="P590" s="468"/>
      <c r="Q590" s="468"/>
    </row>
    <row r="591">
      <c r="I591" s="73"/>
      <c r="J591" s="467"/>
      <c r="K591" s="467"/>
      <c r="L591" s="467"/>
      <c r="M591" s="467"/>
      <c r="N591" s="467"/>
      <c r="O591" s="467"/>
      <c r="P591" s="468"/>
      <c r="Q591" s="468"/>
    </row>
    <row r="592">
      <c r="I592" s="73"/>
      <c r="J592" s="467"/>
      <c r="K592" s="467"/>
      <c r="L592" s="467"/>
      <c r="M592" s="467"/>
      <c r="N592" s="467"/>
      <c r="O592" s="467"/>
      <c r="P592" s="468"/>
      <c r="Q592" s="468"/>
    </row>
    <row r="593">
      <c r="I593" s="73"/>
      <c r="J593" s="467"/>
      <c r="K593" s="467"/>
      <c r="L593" s="467"/>
      <c r="M593" s="467"/>
      <c r="N593" s="467"/>
      <c r="O593" s="467"/>
      <c r="P593" s="468"/>
      <c r="Q593" s="468"/>
    </row>
    <row r="594">
      <c r="I594" s="73"/>
      <c r="J594" s="467"/>
      <c r="K594" s="467"/>
      <c r="L594" s="467"/>
      <c r="M594" s="467"/>
      <c r="N594" s="467"/>
      <c r="O594" s="467"/>
      <c r="P594" s="468"/>
      <c r="Q594" s="468"/>
    </row>
    <row r="595">
      <c r="I595" s="73"/>
      <c r="J595" s="467"/>
      <c r="K595" s="467"/>
      <c r="L595" s="467"/>
      <c r="M595" s="467"/>
      <c r="N595" s="467"/>
      <c r="O595" s="467"/>
      <c r="P595" s="468"/>
      <c r="Q595" s="468"/>
    </row>
    <row r="596">
      <c r="I596" s="73"/>
      <c r="J596" s="467"/>
      <c r="K596" s="467"/>
      <c r="L596" s="467"/>
      <c r="M596" s="467"/>
      <c r="N596" s="467"/>
      <c r="O596" s="467"/>
      <c r="P596" s="468"/>
      <c r="Q596" s="468"/>
    </row>
    <row r="597">
      <c r="I597" s="73"/>
      <c r="J597" s="467"/>
      <c r="K597" s="467"/>
      <c r="L597" s="467"/>
      <c r="M597" s="467"/>
      <c r="N597" s="467"/>
      <c r="O597" s="467"/>
      <c r="P597" s="468"/>
      <c r="Q597" s="468"/>
    </row>
    <row r="598">
      <c r="I598" s="73"/>
      <c r="J598" s="467"/>
      <c r="K598" s="467"/>
      <c r="L598" s="467"/>
      <c r="M598" s="467"/>
      <c r="N598" s="467"/>
      <c r="O598" s="467"/>
      <c r="P598" s="468"/>
      <c r="Q598" s="468"/>
    </row>
    <row r="599">
      <c r="I599" s="73"/>
      <c r="J599" s="467"/>
      <c r="K599" s="467"/>
      <c r="L599" s="467"/>
      <c r="M599" s="467"/>
      <c r="N599" s="467"/>
      <c r="O599" s="467"/>
      <c r="P599" s="468"/>
      <c r="Q599" s="468"/>
    </row>
    <row r="600">
      <c r="I600" s="73"/>
      <c r="J600" s="467"/>
      <c r="K600" s="467"/>
      <c r="L600" s="467"/>
      <c r="M600" s="467"/>
      <c r="N600" s="467"/>
      <c r="O600" s="467"/>
      <c r="P600" s="468"/>
      <c r="Q600" s="468"/>
    </row>
    <row r="601">
      <c r="I601" s="73"/>
      <c r="J601" s="467"/>
      <c r="K601" s="467"/>
      <c r="L601" s="467"/>
      <c r="M601" s="467"/>
      <c r="N601" s="467"/>
      <c r="O601" s="467"/>
      <c r="P601" s="468"/>
      <c r="Q601" s="468"/>
    </row>
    <row r="602">
      <c r="I602" s="73"/>
      <c r="J602" s="467"/>
      <c r="K602" s="467"/>
      <c r="L602" s="467"/>
      <c r="M602" s="467"/>
      <c r="N602" s="467"/>
      <c r="O602" s="467"/>
      <c r="P602" s="468"/>
      <c r="Q602" s="468"/>
    </row>
    <row r="603">
      <c r="I603" s="73"/>
      <c r="J603" s="467"/>
      <c r="K603" s="467"/>
      <c r="L603" s="467"/>
      <c r="M603" s="467"/>
      <c r="N603" s="467"/>
      <c r="O603" s="467"/>
      <c r="P603" s="468"/>
      <c r="Q603" s="468"/>
    </row>
    <row r="604">
      <c r="I604" s="73"/>
      <c r="J604" s="467"/>
      <c r="K604" s="467"/>
      <c r="L604" s="467"/>
      <c r="M604" s="467"/>
      <c r="N604" s="467"/>
      <c r="O604" s="467"/>
      <c r="P604" s="468"/>
      <c r="Q604" s="468"/>
    </row>
    <row r="605">
      <c r="I605" s="73"/>
      <c r="J605" s="467"/>
      <c r="K605" s="467"/>
      <c r="L605" s="467"/>
      <c r="M605" s="467"/>
      <c r="N605" s="467"/>
      <c r="O605" s="467"/>
      <c r="P605" s="468"/>
      <c r="Q605" s="468"/>
    </row>
    <row r="606">
      <c r="I606" s="73"/>
      <c r="J606" s="467"/>
      <c r="K606" s="467"/>
      <c r="L606" s="467"/>
      <c r="M606" s="467"/>
      <c r="N606" s="467"/>
      <c r="O606" s="467"/>
      <c r="P606" s="468"/>
      <c r="Q606" s="468"/>
    </row>
    <row r="607">
      <c r="I607" s="73"/>
      <c r="J607" s="467"/>
      <c r="K607" s="467"/>
      <c r="L607" s="467"/>
      <c r="M607" s="467"/>
      <c r="N607" s="467"/>
      <c r="O607" s="467"/>
      <c r="P607" s="468"/>
      <c r="Q607" s="468"/>
    </row>
    <row r="608">
      <c r="I608" s="73"/>
      <c r="J608" s="467"/>
      <c r="K608" s="467"/>
      <c r="L608" s="467"/>
      <c r="M608" s="467"/>
      <c r="N608" s="467"/>
      <c r="O608" s="467"/>
      <c r="P608" s="468"/>
      <c r="Q608" s="468"/>
    </row>
    <row r="609">
      <c r="I609" s="73"/>
      <c r="J609" s="467"/>
      <c r="K609" s="467"/>
      <c r="L609" s="467"/>
      <c r="M609" s="467"/>
      <c r="N609" s="467"/>
      <c r="O609" s="467"/>
      <c r="P609" s="468"/>
      <c r="Q609" s="468"/>
    </row>
    <row r="610">
      <c r="I610" s="73"/>
      <c r="J610" s="467"/>
      <c r="K610" s="467"/>
      <c r="L610" s="467"/>
      <c r="M610" s="467"/>
      <c r="N610" s="467"/>
      <c r="O610" s="467"/>
      <c r="P610" s="468"/>
      <c r="Q610" s="468"/>
    </row>
    <row r="611">
      <c r="I611" s="73"/>
      <c r="J611" s="467"/>
      <c r="K611" s="467"/>
      <c r="L611" s="467"/>
      <c r="M611" s="467"/>
      <c r="N611" s="467"/>
      <c r="O611" s="467"/>
      <c r="P611" s="468"/>
      <c r="Q611" s="468"/>
    </row>
    <row r="612">
      <c r="I612" s="73"/>
      <c r="J612" s="467"/>
      <c r="K612" s="467"/>
      <c r="L612" s="467"/>
      <c r="M612" s="467"/>
      <c r="N612" s="467"/>
      <c r="O612" s="467"/>
      <c r="P612" s="468"/>
      <c r="Q612" s="468"/>
    </row>
    <row r="613">
      <c r="I613" s="73"/>
      <c r="J613" s="467"/>
      <c r="K613" s="467"/>
      <c r="L613" s="467"/>
      <c r="M613" s="467"/>
      <c r="N613" s="467"/>
      <c r="O613" s="467"/>
      <c r="P613" s="468"/>
      <c r="Q613" s="468"/>
    </row>
    <row r="614">
      <c r="I614" s="73"/>
      <c r="J614" s="467"/>
      <c r="K614" s="467"/>
      <c r="L614" s="467"/>
      <c r="M614" s="467"/>
      <c r="N614" s="467"/>
      <c r="O614" s="467"/>
      <c r="P614" s="468"/>
      <c r="Q614" s="468"/>
    </row>
    <row r="615">
      <c r="I615" s="73"/>
      <c r="J615" s="467"/>
      <c r="K615" s="467"/>
      <c r="L615" s="467"/>
      <c r="M615" s="467"/>
      <c r="N615" s="467"/>
      <c r="O615" s="467"/>
      <c r="P615" s="468"/>
      <c r="Q615" s="468"/>
    </row>
    <row r="616">
      <c r="I616" s="73"/>
      <c r="J616" s="467"/>
      <c r="K616" s="467"/>
      <c r="L616" s="467"/>
      <c r="M616" s="467"/>
      <c r="N616" s="467"/>
      <c r="O616" s="467"/>
      <c r="P616" s="468"/>
      <c r="Q616" s="468"/>
    </row>
    <row r="617">
      <c r="I617" s="73"/>
      <c r="J617" s="467"/>
      <c r="K617" s="467"/>
      <c r="L617" s="467"/>
      <c r="M617" s="467"/>
      <c r="N617" s="467"/>
      <c r="O617" s="467"/>
      <c r="P617" s="468"/>
      <c r="Q617" s="468"/>
    </row>
    <row r="618">
      <c r="I618" s="73"/>
      <c r="J618" s="467"/>
      <c r="K618" s="467"/>
      <c r="L618" s="467"/>
      <c r="M618" s="467"/>
      <c r="N618" s="467"/>
      <c r="O618" s="467"/>
      <c r="P618" s="468"/>
      <c r="Q618" s="468"/>
    </row>
    <row r="619">
      <c r="I619" s="73"/>
      <c r="J619" s="467"/>
      <c r="K619" s="467"/>
      <c r="L619" s="467"/>
      <c r="M619" s="467"/>
      <c r="N619" s="467"/>
      <c r="O619" s="467"/>
      <c r="P619" s="468"/>
      <c r="Q619" s="468"/>
    </row>
    <row r="620">
      <c r="I620" s="73"/>
      <c r="J620" s="467"/>
      <c r="K620" s="467"/>
      <c r="L620" s="467"/>
      <c r="M620" s="467"/>
      <c r="N620" s="467"/>
      <c r="O620" s="467"/>
      <c r="P620" s="468"/>
      <c r="Q620" s="468"/>
    </row>
    <row r="621">
      <c r="I621" s="73"/>
      <c r="J621" s="467"/>
      <c r="K621" s="467"/>
      <c r="L621" s="467"/>
      <c r="M621" s="467"/>
      <c r="N621" s="467"/>
      <c r="O621" s="467"/>
      <c r="P621" s="468"/>
      <c r="Q621" s="468"/>
    </row>
    <row r="622">
      <c r="I622" s="73"/>
      <c r="J622" s="467"/>
      <c r="K622" s="467"/>
      <c r="L622" s="467"/>
      <c r="M622" s="467"/>
      <c r="N622" s="467"/>
      <c r="O622" s="467"/>
      <c r="P622" s="468"/>
      <c r="Q622" s="468"/>
    </row>
    <row r="623">
      <c r="I623" s="73"/>
      <c r="J623" s="467"/>
      <c r="K623" s="467"/>
      <c r="L623" s="467"/>
      <c r="M623" s="467"/>
      <c r="N623" s="467"/>
      <c r="O623" s="467"/>
      <c r="P623" s="468"/>
      <c r="Q623" s="468"/>
    </row>
    <row r="624">
      <c r="I624" s="73"/>
      <c r="J624" s="467"/>
      <c r="K624" s="467"/>
      <c r="L624" s="467"/>
      <c r="M624" s="467"/>
      <c r="N624" s="467"/>
      <c r="O624" s="467"/>
      <c r="P624" s="468"/>
      <c r="Q624" s="468"/>
    </row>
    <row r="625">
      <c r="I625" s="73"/>
      <c r="J625" s="467"/>
      <c r="K625" s="467"/>
      <c r="L625" s="467"/>
      <c r="M625" s="467"/>
      <c r="N625" s="467"/>
      <c r="O625" s="467"/>
      <c r="P625" s="468"/>
      <c r="Q625" s="468"/>
    </row>
    <row r="626">
      <c r="I626" s="73"/>
      <c r="J626" s="467"/>
      <c r="K626" s="467"/>
      <c r="L626" s="467"/>
      <c r="M626" s="467"/>
      <c r="N626" s="467"/>
      <c r="O626" s="467"/>
      <c r="P626" s="468"/>
      <c r="Q626" s="468"/>
    </row>
    <row r="627">
      <c r="I627" s="73"/>
      <c r="J627" s="467"/>
      <c r="K627" s="467"/>
      <c r="L627" s="467"/>
      <c r="M627" s="467"/>
      <c r="N627" s="467"/>
      <c r="O627" s="467"/>
      <c r="P627" s="468"/>
      <c r="Q627" s="468"/>
    </row>
    <row r="628">
      <c r="I628" s="73"/>
      <c r="J628" s="467"/>
      <c r="K628" s="467"/>
      <c r="L628" s="467"/>
      <c r="M628" s="467"/>
      <c r="N628" s="467"/>
      <c r="O628" s="467"/>
      <c r="P628" s="468"/>
      <c r="Q628" s="468"/>
    </row>
    <row r="629">
      <c r="I629" s="73"/>
      <c r="J629" s="467"/>
      <c r="K629" s="467"/>
      <c r="L629" s="467"/>
      <c r="M629" s="467"/>
      <c r="N629" s="467"/>
      <c r="O629" s="467"/>
      <c r="P629" s="468"/>
      <c r="Q629" s="468"/>
    </row>
    <row r="630">
      <c r="I630" s="73"/>
      <c r="J630" s="467"/>
      <c r="K630" s="467"/>
      <c r="L630" s="467"/>
      <c r="M630" s="467"/>
      <c r="N630" s="467"/>
      <c r="O630" s="467"/>
      <c r="P630" s="468"/>
      <c r="Q630" s="468"/>
    </row>
    <row r="631">
      <c r="I631" s="73"/>
      <c r="J631" s="467"/>
      <c r="K631" s="467"/>
      <c r="L631" s="467"/>
      <c r="M631" s="467"/>
      <c r="N631" s="467"/>
      <c r="O631" s="467"/>
      <c r="P631" s="468"/>
      <c r="Q631" s="468"/>
    </row>
    <row r="632">
      <c r="I632" s="73"/>
      <c r="J632" s="467"/>
      <c r="K632" s="467"/>
      <c r="L632" s="467"/>
      <c r="M632" s="467"/>
      <c r="N632" s="467"/>
      <c r="O632" s="467"/>
      <c r="P632" s="468"/>
      <c r="Q632" s="468"/>
    </row>
    <row r="633">
      <c r="I633" s="73"/>
      <c r="J633" s="467"/>
      <c r="K633" s="467"/>
      <c r="L633" s="467"/>
      <c r="M633" s="467"/>
      <c r="N633" s="467"/>
      <c r="O633" s="467"/>
      <c r="P633" s="468"/>
      <c r="Q633" s="468"/>
    </row>
    <row r="634">
      <c r="I634" s="73"/>
      <c r="J634" s="467"/>
      <c r="K634" s="467"/>
      <c r="L634" s="467"/>
      <c r="M634" s="467"/>
      <c r="N634" s="467"/>
      <c r="O634" s="467"/>
      <c r="P634" s="468"/>
      <c r="Q634" s="468"/>
    </row>
    <row r="635">
      <c r="I635" s="73"/>
      <c r="J635" s="467"/>
      <c r="K635" s="467"/>
      <c r="L635" s="467"/>
      <c r="M635" s="467"/>
      <c r="N635" s="467"/>
      <c r="O635" s="467"/>
      <c r="P635" s="468"/>
      <c r="Q635" s="468"/>
    </row>
    <row r="636">
      <c r="I636" s="73"/>
      <c r="J636" s="467"/>
      <c r="K636" s="467"/>
      <c r="L636" s="467"/>
      <c r="M636" s="467"/>
      <c r="N636" s="467"/>
      <c r="O636" s="467"/>
      <c r="P636" s="468"/>
      <c r="Q636" s="468"/>
    </row>
    <row r="637">
      <c r="I637" s="73"/>
      <c r="J637" s="467"/>
      <c r="K637" s="467"/>
      <c r="L637" s="467"/>
      <c r="M637" s="467"/>
      <c r="N637" s="467"/>
      <c r="O637" s="467"/>
      <c r="P637" s="468"/>
      <c r="Q637" s="468"/>
    </row>
    <row r="638">
      <c r="I638" s="73"/>
      <c r="J638" s="467"/>
      <c r="K638" s="467"/>
      <c r="L638" s="467"/>
      <c r="M638" s="467"/>
      <c r="N638" s="467"/>
      <c r="O638" s="467"/>
      <c r="P638" s="468"/>
      <c r="Q638" s="468"/>
    </row>
    <row r="639">
      <c r="I639" s="73"/>
      <c r="J639" s="467"/>
      <c r="K639" s="467"/>
      <c r="L639" s="467"/>
      <c r="M639" s="467"/>
      <c r="N639" s="467"/>
      <c r="O639" s="467"/>
      <c r="P639" s="468"/>
      <c r="Q639" s="468"/>
    </row>
    <row r="640">
      <c r="I640" s="73"/>
      <c r="J640" s="467"/>
      <c r="K640" s="467"/>
      <c r="L640" s="467"/>
      <c r="M640" s="467"/>
      <c r="N640" s="467"/>
      <c r="O640" s="467"/>
      <c r="P640" s="468"/>
      <c r="Q640" s="468"/>
    </row>
    <row r="641">
      <c r="I641" s="73"/>
      <c r="J641" s="467"/>
      <c r="K641" s="467"/>
      <c r="L641" s="467"/>
      <c r="M641" s="467"/>
      <c r="N641" s="467"/>
      <c r="O641" s="467"/>
      <c r="P641" s="468"/>
      <c r="Q641" s="468"/>
    </row>
    <row r="642">
      <c r="I642" s="73"/>
      <c r="J642" s="467"/>
      <c r="K642" s="467"/>
      <c r="L642" s="467"/>
      <c r="M642" s="467"/>
      <c r="N642" s="467"/>
      <c r="O642" s="467"/>
      <c r="P642" s="468"/>
      <c r="Q642" s="468"/>
    </row>
    <row r="643">
      <c r="I643" s="73"/>
      <c r="J643" s="467"/>
      <c r="K643" s="467"/>
      <c r="L643" s="467"/>
      <c r="M643" s="467"/>
      <c r="N643" s="467"/>
      <c r="O643" s="467"/>
      <c r="P643" s="468"/>
      <c r="Q643" s="468"/>
    </row>
    <row r="644">
      <c r="I644" s="73"/>
      <c r="J644" s="467"/>
      <c r="K644" s="467"/>
      <c r="L644" s="467"/>
      <c r="M644" s="467"/>
      <c r="N644" s="467"/>
      <c r="O644" s="467"/>
      <c r="P644" s="468"/>
      <c r="Q644" s="468"/>
    </row>
    <row r="645">
      <c r="I645" s="73"/>
      <c r="J645" s="467"/>
      <c r="K645" s="467"/>
      <c r="L645" s="467"/>
      <c r="M645" s="467"/>
      <c r="N645" s="467"/>
      <c r="O645" s="467"/>
      <c r="P645" s="468"/>
      <c r="Q645" s="468"/>
    </row>
    <row r="646">
      <c r="I646" s="73"/>
      <c r="J646" s="467"/>
      <c r="K646" s="467"/>
      <c r="L646" s="467"/>
      <c r="M646" s="467"/>
      <c r="N646" s="467"/>
      <c r="O646" s="467"/>
      <c r="P646" s="468"/>
      <c r="Q646" s="468"/>
    </row>
    <row r="647">
      <c r="I647" s="73"/>
      <c r="J647" s="467"/>
      <c r="K647" s="467"/>
      <c r="L647" s="467"/>
      <c r="M647" s="467"/>
      <c r="N647" s="467"/>
      <c r="O647" s="467"/>
      <c r="P647" s="468"/>
      <c r="Q647" s="468"/>
    </row>
    <row r="648">
      <c r="I648" s="73"/>
      <c r="J648" s="467"/>
      <c r="K648" s="467"/>
      <c r="L648" s="467"/>
      <c r="M648" s="467"/>
      <c r="N648" s="467"/>
      <c r="O648" s="467"/>
      <c r="P648" s="468"/>
      <c r="Q648" s="468"/>
    </row>
    <row r="649">
      <c r="I649" s="73"/>
      <c r="J649" s="467"/>
      <c r="K649" s="467"/>
      <c r="L649" s="467"/>
      <c r="M649" s="467"/>
      <c r="N649" s="467"/>
      <c r="O649" s="467"/>
      <c r="P649" s="468"/>
      <c r="Q649" s="468"/>
    </row>
    <row r="650">
      <c r="I650" s="73"/>
      <c r="J650" s="467"/>
      <c r="K650" s="467"/>
      <c r="L650" s="467"/>
      <c r="M650" s="467"/>
      <c r="N650" s="467"/>
      <c r="O650" s="467"/>
      <c r="P650" s="468"/>
      <c r="Q650" s="468"/>
    </row>
    <row r="651">
      <c r="I651" s="73"/>
      <c r="J651" s="467"/>
      <c r="K651" s="467"/>
      <c r="L651" s="467"/>
      <c r="M651" s="467"/>
      <c r="N651" s="467"/>
      <c r="O651" s="467"/>
      <c r="P651" s="468"/>
      <c r="Q651" s="468"/>
    </row>
    <row r="652">
      <c r="I652" s="73"/>
      <c r="J652" s="467"/>
      <c r="K652" s="467"/>
      <c r="L652" s="467"/>
      <c r="M652" s="467"/>
      <c r="N652" s="467"/>
      <c r="O652" s="467"/>
      <c r="P652" s="468"/>
      <c r="Q652" s="468"/>
    </row>
    <row r="653">
      <c r="I653" s="73"/>
      <c r="J653" s="467"/>
      <c r="K653" s="467"/>
      <c r="L653" s="467"/>
      <c r="M653" s="467"/>
      <c r="N653" s="467"/>
      <c r="O653" s="467"/>
      <c r="P653" s="468"/>
      <c r="Q653" s="468"/>
    </row>
    <row r="654">
      <c r="I654" s="73"/>
      <c r="J654" s="467"/>
      <c r="K654" s="467"/>
      <c r="L654" s="467"/>
      <c r="M654" s="467"/>
      <c r="N654" s="467"/>
      <c r="O654" s="467"/>
      <c r="P654" s="468"/>
      <c r="Q654" s="468"/>
    </row>
    <row r="655">
      <c r="I655" s="73"/>
      <c r="J655" s="467"/>
      <c r="K655" s="467"/>
      <c r="L655" s="467"/>
      <c r="M655" s="467"/>
      <c r="N655" s="467"/>
      <c r="O655" s="467"/>
      <c r="P655" s="468"/>
      <c r="Q655" s="468"/>
    </row>
    <row r="656">
      <c r="I656" s="73"/>
      <c r="J656" s="467"/>
      <c r="K656" s="467"/>
      <c r="L656" s="467"/>
      <c r="M656" s="467"/>
      <c r="N656" s="467"/>
      <c r="O656" s="467"/>
      <c r="P656" s="468"/>
      <c r="Q656" s="468"/>
    </row>
    <row r="657">
      <c r="I657" s="73"/>
      <c r="J657" s="467"/>
      <c r="K657" s="467"/>
      <c r="L657" s="467"/>
      <c r="M657" s="467"/>
      <c r="N657" s="467"/>
      <c r="O657" s="467"/>
      <c r="P657" s="468"/>
      <c r="Q657" s="468"/>
    </row>
    <row r="658">
      <c r="I658" s="73"/>
      <c r="J658" s="467"/>
      <c r="K658" s="467"/>
      <c r="L658" s="467"/>
      <c r="M658" s="467"/>
      <c r="N658" s="467"/>
      <c r="O658" s="467"/>
      <c r="P658" s="468"/>
      <c r="Q658" s="468"/>
    </row>
    <row r="659">
      <c r="I659" s="73"/>
      <c r="J659" s="467"/>
      <c r="K659" s="467"/>
      <c r="L659" s="467"/>
      <c r="M659" s="467"/>
      <c r="N659" s="467"/>
      <c r="O659" s="467"/>
      <c r="P659" s="468"/>
      <c r="Q659" s="468"/>
    </row>
    <row r="660">
      <c r="I660" s="73"/>
      <c r="J660" s="467"/>
      <c r="K660" s="467"/>
      <c r="L660" s="467"/>
      <c r="M660" s="467"/>
      <c r="N660" s="467"/>
      <c r="O660" s="467"/>
      <c r="P660" s="468"/>
      <c r="Q660" s="468"/>
    </row>
    <row r="661">
      <c r="I661" s="73"/>
      <c r="J661" s="467"/>
      <c r="K661" s="467"/>
      <c r="L661" s="467"/>
      <c r="M661" s="467"/>
      <c r="N661" s="467"/>
      <c r="O661" s="467"/>
      <c r="P661" s="468"/>
      <c r="Q661" s="468"/>
    </row>
    <row r="662">
      <c r="I662" s="73"/>
      <c r="J662" s="467"/>
      <c r="K662" s="467"/>
      <c r="L662" s="467"/>
      <c r="M662" s="467"/>
      <c r="N662" s="467"/>
      <c r="O662" s="467"/>
      <c r="P662" s="468"/>
      <c r="Q662" s="468"/>
    </row>
    <row r="663">
      <c r="I663" s="73"/>
      <c r="J663" s="467"/>
      <c r="K663" s="467"/>
      <c r="L663" s="467"/>
      <c r="M663" s="467"/>
      <c r="N663" s="467"/>
      <c r="O663" s="467"/>
      <c r="P663" s="468"/>
      <c r="Q663" s="468"/>
    </row>
    <row r="664">
      <c r="I664" s="73"/>
      <c r="J664" s="467"/>
      <c r="K664" s="467"/>
      <c r="L664" s="467"/>
      <c r="M664" s="467"/>
      <c r="N664" s="467"/>
      <c r="O664" s="467"/>
      <c r="P664" s="468"/>
      <c r="Q664" s="468"/>
    </row>
    <row r="665">
      <c r="I665" s="73"/>
      <c r="J665" s="467"/>
      <c r="K665" s="467"/>
      <c r="L665" s="467"/>
      <c r="M665" s="467"/>
      <c r="N665" s="467"/>
      <c r="O665" s="467"/>
      <c r="P665" s="468"/>
      <c r="Q665" s="468"/>
    </row>
    <row r="666">
      <c r="I666" s="73"/>
      <c r="J666" s="467"/>
      <c r="K666" s="467"/>
      <c r="L666" s="467"/>
      <c r="M666" s="467"/>
      <c r="N666" s="467"/>
      <c r="O666" s="467"/>
      <c r="P666" s="468"/>
      <c r="Q666" s="468"/>
    </row>
    <row r="667">
      <c r="I667" s="73"/>
      <c r="J667" s="467"/>
      <c r="K667" s="467"/>
      <c r="L667" s="467"/>
      <c r="M667" s="467"/>
      <c r="N667" s="467"/>
      <c r="O667" s="467"/>
      <c r="P667" s="468"/>
      <c r="Q667" s="468"/>
    </row>
    <row r="668">
      <c r="I668" s="73"/>
      <c r="J668" s="467"/>
      <c r="K668" s="467"/>
      <c r="L668" s="467"/>
      <c r="M668" s="467"/>
      <c r="N668" s="467"/>
      <c r="O668" s="467"/>
      <c r="P668" s="468"/>
      <c r="Q668" s="468"/>
    </row>
    <row r="669">
      <c r="I669" s="73"/>
      <c r="J669" s="467"/>
      <c r="K669" s="467"/>
      <c r="L669" s="467"/>
      <c r="M669" s="467"/>
      <c r="N669" s="467"/>
      <c r="O669" s="467"/>
      <c r="P669" s="468"/>
      <c r="Q669" s="468"/>
    </row>
    <row r="670">
      <c r="I670" s="73"/>
      <c r="J670" s="467"/>
      <c r="K670" s="467"/>
      <c r="L670" s="467"/>
      <c r="M670" s="467"/>
      <c r="N670" s="467"/>
      <c r="O670" s="467"/>
      <c r="P670" s="468"/>
      <c r="Q670" s="468"/>
    </row>
    <row r="671">
      <c r="I671" s="73"/>
      <c r="J671" s="467"/>
      <c r="K671" s="467"/>
      <c r="L671" s="467"/>
      <c r="M671" s="467"/>
      <c r="N671" s="467"/>
      <c r="O671" s="467"/>
      <c r="P671" s="468"/>
      <c r="Q671" s="468"/>
    </row>
    <row r="672">
      <c r="I672" s="73"/>
      <c r="J672" s="467"/>
      <c r="K672" s="467"/>
      <c r="L672" s="467"/>
      <c r="M672" s="467"/>
      <c r="N672" s="467"/>
      <c r="O672" s="467"/>
      <c r="P672" s="468"/>
      <c r="Q672" s="468"/>
    </row>
    <row r="673">
      <c r="I673" s="73"/>
      <c r="J673" s="467"/>
      <c r="K673" s="467"/>
      <c r="L673" s="467"/>
      <c r="M673" s="467"/>
      <c r="N673" s="467"/>
      <c r="O673" s="467"/>
      <c r="P673" s="468"/>
      <c r="Q673" s="468"/>
    </row>
    <row r="674">
      <c r="I674" s="73"/>
      <c r="J674" s="467"/>
      <c r="K674" s="467"/>
      <c r="L674" s="467"/>
      <c r="M674" s="467"/>
      <c r="N674" s="467"/>
      <c r="O674" s="467"/>
      <c r="P674" s="468"/>
      <c r="Q674" s="468"/>
    </row>
    <row r="675">
      <c r="I675" s="73"/>
      <c r="J675" s="467"/>
      <c r="K675" s="467"/>
      <c r="L675" s="467"/>
      <c r="M675" s="467"/>
      <c r="N675" s="467"/>
      <c r="O675" s="467"/>
      <c r="P675" s="468"/>
      <c r="Q675" s="468"/>
    </row>
    <row r="676">
      <c r="I676" s="73"/>
      <c r="J676" s="467"/>
      <c r="K676" s="467"/>
      <c r="L676" s="467"/>
      <c r="M676" s="467"/>
      <c r="N676" s="467"/>
      <c r="O676" s="467"/>
      <c r="P676" s="468"/>
      <c r="Q676" s="468"/>
    </row>
    <row r="677">
      <c r="I677" s="73"/>
      <c r="J677" s="467"/>
      <c r="K677" s="467"/>
      <c r="L677" s="467"/>
      <c r="M677" s="467"/>
      <c r="N677" s="467"/>
      <c r="O677" s="467"/>
      <c r="P677" s="468"/>
      <c r="Q677" s="468"/>
    </row>
    <row r="678">
      <c r="I678" s="73"/>
      <c r="J678" s="467"/>
      <c r="K678" s="467"/>
      <c r="L678" s="467"/>
      <c r="M678" s="467"/>
      <c r="N678" s="467"/>
      <c r="O678" s="467"/>
      <c r="P678" s="468"/>
      <c r="Q678" s="468"/>
    </row>
    <row r="679">
      <c r="I679" s="73"/>
      <c r="J679" s="467"/>
      <c r="K679" s="467"/>
      <c r="L679" s="467"/>
      <c r="M679" s="467"/>
      <c r="N679" s="467"/>
      <c r="O679" s="467"/>
      <c r="P679" s="468"/>
      <c r="Q679" s="468"/>
    </row>
    <row r="680">
      <c r="I680" s="73"/>
      <c r="J680" s="467"/>
      <c r="K680" s="467"/>
      <c r="L680" s="467"/>
      <c r="M680" s="467"/>
      <c r="N680" s="467"/>
      <c r="O680" s="467"/>
      <c r="P680" s="468"/>
      <c r="Q680" s="468"/>
    </row>
    <row r="681">
      <c r="I681" s="73"/>
      <c r="J681" s="467"/>
      <c r="K681" s="467"/>
      <c r="L681" s="467"/>
      <c r="M681" s="467"/>
      <c r="N681" s="467"/>
      <c r="O681" s="467"/>
      <c r="P681" s="468"/>
      <c r="Q681" s="468"/>
    </row>
    <row r="682">
      <c r="I682" s="73"/>
      <c r="J682" s="467"/>
      <c r="K682" s="467"/>
      <c r="L682" s="467"/>
      <c r="M682" s="467"/>
      <c r="N682" s="467"/>
      <c r="O682" s="467"/>
      <c r="P682" s="468"/>
      <c r="Q682" s="468"/>
    </row>
    <row r="683">
      <c r="I683" s="73"/>
      <c r="J683" s="467"/>
      <c r="K683" s="467"/>
      <c r="L683" s="467"/>
      <c r="M683" s="467"/>
      <c r="N683" s="467"/>
      <c r="O683" s="467"/>
      <c r="P683" s="468"/>
      <c r="Q683" s="468"/>
    </row>
    <row r="684">
      <c r="I684" s="73"/>
      <c r="J684" s="467"/>
      <c r="K684" s="467"/>
      <c r="L684" s="467"/>
      <c r="M684" s="467"/>
      <c r="N684" s="467"/>
      <c r="O684" s="467"/>
      <c r="P684" s="468"/>
      <c r="Q684" s="468"/>
    </row>
    <row r="685">
      <c r="I685" s="73"/>
      <c r="J685" s="467"/>
      <c r="K685" s="467"/>
      <c r="L685" s="467"/>
      <c r="M685" s="467"/>
      <c r="N685" s="467"/>
      <c r="O685" s="467"/>
      <c r="P685" s="468"/>
      <c r="Q685" s="468"/>
    </row>
    <row r="686">
      <c r="I686" s="73"/>
      <c r="J686" s="467"/>
      <c r="K686" s="467"/>
      <c r="L686" s="467"/>
      <c r="M686" s="467"/>
      <c r="N686" s="467"/>
      <c r="O686" s="467"/>
      <c r="P686" s="468"/>
      <c r="Q686" s="468"/>
    </row>
    <row r="687">
      <c r="I687" s="73"/>
      <c r="J687" s="467"/>
      <c r="K687" s="467"/>
      <c r="L687" s="467"/>
      <c r="M687" s="467"/>
      <c r="N687" s="467"/>
      <c r="O687" s="467"/>
      <c r="P687" s="468"/>
      <c r="Q687" s="468"/>
    </row>
    <row r="688">
      <c r="I688" s="73"/>
      <c r="J688" s="467"/>
      <c r="K688" s="467"/>
      <c r="L688" s="467"/>
      <c r="M688" s="467"/>
      <c r="N688" s="467"/>
      <c r="O688" s="467"/>
      <c r="P688" s="468"/>
      <c r="Q688" s="468"/>
    </row>
    <row r="689">
      <c r="I689" s="73"/>
      <c r="J689" s="467"/>
      <c r="K689" s="467"/>
      <c r="L689" s="467"/>
      <c r="M689" s="467"/>
      <c r="N689" s="467"/>
      <c r="O689" s="467"/>
      <c r="P689" s="468"/>
      <c r="Q689" s="468"/>
    </row>
    <row r="690">
      <c r="I690" s="73"/>
      <c r="J690" s="467"/>
      <c r="K690" s="467"/>
      <c r="L690" s="467"/>
      <c r="M690" s="467"/>
      <c r="N690" s="467"/>
      <c r="O690" s="467"/>
      <c r="P690" s="468"/>
      <c r="Q690" s="468"/>
    </row>
    <row r="691">
      <c r="I691" s="73"/>
      <c r="J691" s="467"/>
      <c r="K691" s="467"/>
      <c r="L691" s="467"/>
      <c r="M691" s="467"/>
      <c r="N691" s="467"/>
      <c r="O691" s="467"/>
      <c r="P691" s="468"/>
      <c r="Q691" s="468"/>
    </row>
    <row r="692">
      <c r="I692" s="73"/>
      <c r="J692" s="467"/>
      <c r="K692" s="467"/>
      <c r="L692" s="467"/>
      <c r="M692" s="467"/>
      <c r="N692" s="467"/>
      <c r="O692" s="467"/>
      <c r="P692" s="468"/>
      <c r="Q692" s="468"/>
    </row>
    <row r="693">
      <c r="I693" s="73"/>
      <c r="J693" s="467"/>
      <c r="K693" s="467"/>
      <c r="L693" s="467"/>
      <c r="M693" s="467"/>
      <c r="N693" s="467"/>
      <c r="O693" s="467"/>
      <c r="P693" s="468"/>
      <c r="Q693" s="468"/>
    </row>
    <row r="694">
      <c r="I694" s="73"/>
      <c r="J694" s="467"/>
      <c r="K694" s="467"/>
      <c r="L694" s="467"/>
      <c r="M694" s="467"/>
      <c r="N694" s="467"/>
      <c r="O694" s="467"/>
      <c r="P694" s="468"/>
      <c r="Q694" s="468"/>
    </row>
    <row r="695">
      <c r="I695" s="73"/>
      <c r="J695" s="467"/>
      <c r="K695" s="467"/>
      <c r="L695" s="467"/>
      <c r="M695" s="467"/>
      <c r="N695" s="467"/>
      <c r="O695" s="467"/>
      <c r="P695" s="468"/>
      <c r="Q695" s="468"/>
    </row>
    <row r="696">
      <c r="I696" s="73"/>
      <c r="J696" s="467"/>
      <c r="K696" s="467"/>
      <c r="L696" s="467"/>
      <c r="M696" s="467"/>
      <c r="N696" s="467"/>
      <c r="O696" s="467"/>
      <c r="P696" s="468"/>
      <c r="Q696" s="468"/>
    </row>
    <row r="697">
      <c r="I697" s="73"/>
      <c r="J697" s="467"/>
      <c r="K697" s="467"/>
      <c r="L697" s="467"/>
      <c r="M697" s="467"/>
      <c r="N697" s="467"/>
      <c r="O697" s="467"/>
      <c r="P697" s="468"/>
      <c r="Q697" s="468"/>
    </row>
    <row r="698">
      <c r="I698" s="73"/>
      <c r="J698" s="467"/>
      <c r="K698" s="467"/>
      <c r="L698" s="467"/>
      <c r="M698" s="467"/>
      <c r="N698" s="467"/>
      <c r="O698" s="467"/>
      <c r="P698" s="468"/>
      <c r="Q698" s="468"/>
    </row>
    <row r="699">
      <c r="I699" s="73"/>
      <c r="J699" s="467"/>
      <c r="K699" s="467"/>
      <c r="L699" s="467"/>
      <c r="M699" s="467"/>
      <c r="N699" s="467"/>
      <c r="O699" s="467"/>
      <c r="P699" s="468"/>
      <c r="Q699" s="468"/>
    </row>
    <row r="700">
      <c r="I700" s="73"/>
      <c r="J700" s="467"/>
      <c r="K700" s="467"/>
      <c r="L700" s="467"/>
      <c r="M700" s="467"/>
      <c r="N700" s="467"/>
      <c r="O700" s="467"/>
      <c r="P700" s="468"/>
      <c r="Q700" s="468"/>
    </row>
    <row r="701">
      <c r="I701" s="73"/>
      <c r="J701" s="467"/>
      <c r="K701" s="467"/>
      <c r="L701" s="467"/>
      <c r="M701" s="467"/>
      <c r="N701" s="467"/>
      <c r="O701" s="467"/>
      <c r="P701" s="468"/>
      <c r="Q701" s="468"/>
    </row>
    <row r="702">
      <c r="I702" s="73"/>
      <c r="J702" s="467"/>
      <c r="K702" s="467"/>
      <c r="L702" s="467"/>
      <c r="M702" s="467"/>
      <c r="N702" s="467"/>
      <c r="O702" s="467"/>
      <c r="P702" s="468"/>
      <c r="Q702" s="468"/>
    </row>
    <row r="703">
      <c r="I703" s="73"/>
      <c r="J703" s="467"/>
      <c r="K703" s="467"/>
      <c r="L703" s="467"/>
      <c r="M703" s="467"/>
      <c r="N703" s="467"/>
      <c r="O703" s="467"/>
      <c r="P703" s="468"/>
      <c r="Q703" s="468"/>
    </row>
    <row r="704">
      <c r="I704" s="73"/>
      <c r="J704" s="467"/>
      <c r="K704" s="467"/>
      <c r="L704" s="467"/>
      <c r="M704" s="467"/>
      <c r="N704" s="467"/>
      <c r="O704" s="467"/>
      <c r="P704" s="468"/>
      <c r="Q704" s="468"/>
    </row>
    <row r="705">
      <c r="I705" s="73"/>
      <c r="J705" s="467"/>
      <c r="K705" s="467"/>
      <c r="L705" s="467"/>
      <c r="M705" s="467"/>
      <c r="N705" s="467"/>
      <c r="O705" s="467"/>
      <c r="P705" s="468"/>
      <c r="Q705" s="468"/>
    </row>
    <row r="706">
      <c r="I706" s="73"/>
      <c r="J706" s="467"/>
      <c r="K706" s="467"/>
      <c r="L706" s="467"/>
      <c r="M706" s="467"/>
      <c r="N706" s="467"/>
      <c r="O706" s="467"/>
      <c r="P706" s="468"/>
      <c r="Q706" s="468"/>
    </row>
    <row r="707">
      <c r="I707" s="73"/>
      <c r="J707" s="467"/>
      <c r="K707" s="467"/>
      <c r="L707" s="467"/>
      <c r="M707" s="467"/>
      <c r="N707" s="467"/>
      <c r="O707" s="467"/>
      <c r="P707" s="468"/>
      <c r="Q707" s="468"/>
    </row>
    <row r="708">
      <c r="I708" s="73"/>
      <c r="J708" s="467"/>
      <c r="K708" s="467"/>
      <c r="L708" s="467"/>
      <c r="M708" s="467"/>
      <c r="N708" s="467"/>
      <c r="O708" s="467"/>
      <c r="P708" s="468"/>
      <c r="Q708" s="468"/>
    </row>
    <row r="709">
      <c r="I709" s="73"/>
      <c r="J709" s="467"/>
      <c r="K709" s="467"/>
      <c r="L709" s="467"/>
      <c r="M709" s="467"/>
      <c r="N709" s="467"/>
      <c r="O709" s="467"/>
      <c r="P709" s="468"/>
      <c r="Q709" s="468"/>
    </row>
    <row r="710">
      <c r="I710" s="73"/>
      <c r="J710" s="467"/>
      <c r="K710" s="467"/>
      <c r="L710" s="467"/>
      <c r="M710" s="467"/>
      <c r="N710" s="467"/>
      <c r="O710" s="467"/>
      <c r="P710" s="468"/>
      <c r="Q710" s="468"/>
    </row>
    <row r="711">
      <c r="I711" s="73"/>
      <c r="J711" s="467"/>
      <c r="K711" s="467"/>
      <c r="L711" s="467"/>
      <c r="M711" s="467"/>
      <c r="N711" s="467"/>
      <c r="O711" s="467"/>
      <c r="P711" s="468"/>
      <c r="Q711" s="468"/>
    </row>
    <row r="712">
      <c r="I712" s="73"/>
      <c r="J712" s="467"/>
      <c r="K712" s="467"/>
      <c r="L712" s="467"/>
      <c r="M712" s="467"/>
      <c r="N712" s="467"/>
      <c r="O712" s="467"/>
      <c r="P712" s="468"/>
      <c r="Q712" s="468"/>
    </row>
    <row r="713">
      <c r="I713" s="73"/>
      <c r="J713" s="467"/>
      <c r="K713" s="467"/>
      <c r="L713" s="467"/>
      <c r="M713" s="467"/>
      <c r="N713" s="467"/>
      <c r="O713" s="467"/>
      <c r="P713" s="468"/>
      <c r="Q713" s="468"/>
    </row>
    <row r="714">
      <c r="I714" s="73"/>
      <c r="J714" s="467"/>
      <c r="K714" s="467"/>
      <c r="L714" s="467"/>
      <c r="M714" s="467"/>
      <c r="N714" s="467"/>
      <c r="O714" s="467"/>
      <c r="P714" s="468"/>
      <c r="Q714" s="468"/>
    </row>
    <row r="715">
      <c r="I715" s="73"/>
      <c r="J715" s="467"/>
      <c r="K715" s="467"/>
      <c r="L715" s="467"/>
      <c r="M715" s="467"/>
      <c r="N715" s="467"/>
      <c r="O715" s="467"/>
      <c r="P715" s="468"/>
      <c r="Q715" s="468"/>
    </row>
    <row r="716">
      <c r="I716" s="73"/>
      <c r="J716" s="467"/>
      <c r="K716" s="467"/>
      <c r="L716" s="467"/>
      <c r="M716" s="467"/>
      <c r="N716" s="467"/>
      <c r="O716" s="467"/>
      <c r="P716" s="468"/>
      <c r="Q716" s="468"/>
    </row>
    <row r="717">
      <c r="I717" s="73"/>
      <c r="J717" s="467"/>
      <c r="K717" s="467"/>
      <c r="L717" s="467"/>
      <c r="M717" s="467"/>
      <c r="N717" s="467"/>
      <c r="O717" s="467"/>
      <c r="P717" s="468"/>
      <c r="Q717" s="468"/>
    </row>
    <row r="718">
      <c r="I718" s="73"/>
      <c r="J718" s="467"/>
      <c r="K718" s="467"/>
      <c r="L718" s="467"/>
      <c r="M718" s="467"/>
      <c r="N718" s="467"/>
      <c r="O718" s="467"/>
      <c r="P718" s="468"/>
      <c r="Q718" s="468"/>
    </row>
    <row r="719">
      <c r="I719" s="73"/>
      <c r="J719" s="467"/>
      <c r="K719" s="467"/>
      <c r="L719" s="467"/>
      <c r="M719" s="467"/>
      <c r="N719" s="467"/>
      <c r="O719" s="467"/>
      <c r="P719" s="468"/>
      <c r="Q719" s="468"/>
    </row>
    <row r="720">
      <c r="I720" s="73"/>
      <c r="J720" s="467"/>
      <c r="K720" s="467"/>
      <c r="L720" s="467"/>
      <c r="M720" s="467"/>
      <c r="N720" s="467"/>
      <c r="O720" s="467"/>
      <c r="P720" s="468"/>
      <c r="Q720" s="468"/>
    </row>
    <row r="721">
      <c r="I721" s="73"/>
      <c r="J721" s="467"/>
      <c r="K721" s="467"/>
      <c r="L721" s="467"/>
      <c r="M721" s="467"/>
      <c r="N721" s="467"/>
      <c r="O721" s="467"/>
      <c r="P721" s="468"/>
      <c r="Q721" s="468"/>
    </row>
    <row r="722">
      <c r="I722" s="73"/>
      <c r="J722" s="467"/>
      <c r="K722" s="467"/>
      <c r="L722" s="467"/>
      <c r="M722" s="467"/>
      <c r="N722" s="467"/>
      <c r="O722" s="467"/>
      <c r="P722" s="468"/>
      <c r="Q722" s="468"/>
    </row>
    <row r="723">
      <c r="I723" s="73"/>
      <c r="J723" s="467"/>
      <c r="K723" s="467"/>
      <c r="L723" s="467"/>
      <c r="M723" s="467"/>
      <c r="N723" s="467"/>
      <c r="O723" s="467"/>
      <c r="P723" s="468"/>
      <c r="Q723" s="468"/>
    </row>
    <row r="724">
      <c r="I724" s="73"/>
      <c r="J724" s="467"/>
      <c r="K724" s="467"/>
      <c r="L724" s="467"/>
      <c r="M724" s="467"/>
      <c r="N724" s="467"/>
      <c r="O724" s="467"/>
      <c r="P724" s="468"/>
      <c r="Q724" s="468"/>
    </row>
    <row r="725">
      <c r="I725" s="73"/>
      <c r="J725" s="467"/>
      <c r="K725" s="467"/>
      <c r="L725" s="467"/>
      <c r="M725" s="467"/>
      <c r="N725" s="467"/>
      <c r="O725" s="467"/>
      <c r="P725" s="468"/>
      <c r="Q725" s="468"/>
    </row>
    <row r="726">
      <c r="I726" s="73"/>
      <c r="J726" s="467"/>
      <c r="K726" s="467"/>
      <c r="L726" s="467"/>
      <c r="M726" s="467"/>
      <c r="N726" s="467"/>
      <c r="O726" s="467"/>
      <c r="P726" s="468"/>
      <c r="Q726" s="468"/>
    </row>
    <row r="727">
      <c r="I727" s="73"/>
      <c r="J727" s="467"/>
      <c r="K727" s="467"/>
      <c r="L727" s="467"/>
      <c r="M727" s="467"/>
      <c r="N727" s="467"/>
      <c r="O727" s="467"/>
      <c r="P727" s="468"/>
      <c r="Q727" s="468"/>
    </row>
    <row r="728">
      <c r="I728" s="73"/>
      <c r="J728" s="467"/>
      <c r="K728" s="467"/>
      <c r="L728" s="467"/>
      <c r="M728" s="467"/>
      <c r="N728" s="467"/>
      <c r="O728" s="467"/>
      <c r="P728" s="468"/>
      <c r="Q728" s="468"/>
    </row>
    <row r="729">
      <c r="I729" s="73"/>
      <c r="J729" s="467"/>
      <c r="K729" s="467"/>
      <c r="L729" s="467"/>
      <c r="M729" s="467"/>
      <c r="N729" s="467"/>
      <c r="O729" s="467"/>
      <c r="P729" s="468"/>
      <c r="Q729" s="468"/>
    </row>
    <row r="730">
      <c r="I730" s="73"/>
      <c r="J730" s="467"/>
      <c r="K730" s="467"/>
      <c r="L730" s="467"/>
      <c r="M730" s="467"/>
      <c r="N730" s="467"/>
      <c r="O730" s="467"/>
      <c r="P730" s="468"/>
      <c r="Q730" s="468"/>
    </row>
    <row r="731">
      <c r="I731" s="73"/>
      <c r="J731" s="467"/>
      <c r="K731" s="467"/>
      <c r="L731" s="467"/>
      <c r="M731" s="467"/>
      <c r="N731" s="467"/>
      <c r="O731" s="467"/>
      <c r="P731" s="468"/>
      <c r="Q731" s="468"/>
    </row>
    <row r="732">
      <c r="I732" s="73"/>
      <c r="J732" s="467"/>
      <c r="K732" s="467"/>
      <c r="L732" s="467"/>
      <c r="M732" s="467"/>
      <c r="N732" s="467"/>
      <c r="O732" s="467"/>
      <c r="P732" s="468"/>
      <c r="Q732" s="468"/>
    </row>
    <row r="733">
      <c r="I733" s="73"/>
      <c r="J733" s="467"/>
      <c r="K733" s="467"/>
      <c r="L733" s="467"/>
      <c r="M733" s="467"/>
      <c r="N733" s="467"/>
      <c r="O733" s="467"/>
      <c r="P733" s="468"/>
      <c r="Q733" s="468"/>
    </row>
    <row r="734">
      <c r="I734" s="73"/>
      <c r="J734" s="467"/>
      <c r="K734" s="467"/>
      <c r="L734" s="467"/>
      <c r="M734" s="467"/>
      <c r="N734" s="467"/>
      <c r="O734" s="467"/>
      <c r="P734" s="468"/>
      <c r="Q734" s="468"/>
    </row>
    <row r="735">
      <c r="I735" s="73"/>
      <c r="J735" s="467"/>
      <c r="K735" s="467"/>
      <c r="L735" s="467"/>
      <c r="M735" s="467"/>
      <c r="N735" s="467"/>
      <c r="O735" s="467"/>
      <c r="P735" s="468"/>
      <c r="Q735" s="468"/>
    </row>
    <row r="736">
      <c r="I736" s="73"/>
      <c r="J736" s="467"/>
      <c r="K736" s="467"/>
      <c r="L736" s="467"/>
      <c r="M736" s="467"/>
      <c r="N736" s="467"/>
      <c r="O736" s="467"/>
      <c r="P736" s="468"/>
      <c r="Q736" s="468"/>
    </row>
    <row r="737">
      <c r="I737" s="73"/>
      <c r="J737" s="467"/>
      <c r="K737" s="467"/>
      <c r="L737" s="467"/>
      <c r="M737" s="467"/>
      <c r="N737" s="467"/>
      <c r="O737" s="467"/>
      <c r="P737" s="468"/>
      <c r="Q737" s="468"/>
    </row>
    <row r="738">
      <c r="I738" s="73"/>
      <c r="J738" s="467"/>
      <c r="K738" s="467"/>
      <c r="L738" s="467"/>
      <c r="M738" s="467"/>
      <c r="N738" s="467"/>
      <c r="O738" s="467"/>
      <c r="P738" s="468"/>
      <c r="Q738" s="468"/>
    </row>
    <row r="739">
      <c r="I739" s="73"/>
      <c r="J739" s="467"/>
      <c r="K739" s="467"/>
      <c r="L739" s="467"/>
      <c r="M739" s="467"/>
      <c r="N739" s="467"/>
      <c r="O739" s="467"/>
      <c r="P739" s="468"/>
      <c r="Q739" s="468"/>
    </row>
    <row r="740">
      <c r="I740" s="73"/>
      <c r="J740" s="467"/>
      <c r="K740" s="467"/>
      <c r="L740" s="467"/>
      <c r="M740" s="467"/>
      <c r="N740" s="467"/>
      <c r="O740" s="467"/>
      <c r="P740" s="468"/>
      <c r="Q740" s="468"/>
    </row>
    <row r="741">
      <c r="I741" s="73"/>
      <c r="J741" s="467"/>
      <c r="K741" s="467"/>
      <c r="L741" s="467"/>
      <c r="M741" s="467"/>
      <c r="N741" s="467"/>
      <c r="O741" s="467"/>
      <c r="P741" s="468"/>
      <c r="Q741" s="468"/>
    </row>
    <row r="742">
      <c r="I742" s="73"/>
      <c r="J742" s="467"/>
      <c r="K742" s="467"/>
      <c r="L742" s="467"/>
      <c r="M742" s="467"/>
      <c r="N742" s="467"/>
      <c r="O742" s="467"/>
      <c r="P742" s="468"/>
      <c r="Q742" s="468"/>
    </row>
    <row r="743">
      <c r="I743" s="73"/>
      <c r="J743" s="467"/>
      <c r="K743" s="467"/>
      <c r="L743" s="467"/>
      <c r="M743" s="467"/>
      <c r="N743" s="467"/>
      <c r="O743" s="467"/>
      <c r="P743" s="468"/>
      <c r="Q743" s="468"/>
    </row>
    <row r="744">
      <c r="I744" s="73"/>
      <c r="J744" s="467"/>
      <c r="K744" s="467"/>
      <c r="L744" s="467"/>
      <c r="M744" s="467"/>
      <c r="N744" s="467"/>
      <c r="O744" s="467"/>
      <c r="P744" s="468"/>
      <c r="Q744" s="468"/>
    </row>
    <row r="745">
      <c r="I745" s="73"/>
      <c r="J745" s="467"/>
      <c r="K745" s="467"/>
      <c r="L745" s="467"/>
      <c r="M745" s="467"/>
      <c r="N745" s="467"/>
      <c r="O745" s="467"/>
      <c r="P745" s="468"/>
      <c r="Q745" s="468"/>
    </row>
    <row r="746">
      <c r="I746" s="73"/>
      <c r="J746" s="467"/>
      <c r="K746" s="467"/>
      <c r="L746" s="467"/>
      <c r="M746" s="467"/>
      <c r="N746" s="467"/>
      <c r="O746" s="467"/>
      <c r="P746" s="468"/>
      <c r="Q746" s="468"/>
    </row>
    <row r="747">
      <c r="I747" s="73"/>
      <c r="J747" s="467"/>
      <c r="K747" s="467"/>
      <c r="L747" s="467"/>
      <c r="M747" s="467"/>
      <c r="N747" s="467"/>
      <c r="O747" s="467"/>
      <c r="P747" s="468"/>
      <c r="Q747" s="468"/>
    </row>
    <row r="748">
      <c r="I748" s="73"/>
      <c r="J748" s="467"/>
      <c r="K748" s="467"/>
      <c r="L748" s="467"/>
      <c r="M748" s="467"/>
      <c r="N748" s="467"/>
      <c r="O748" s="467"/>
      <c r="P748" s="468"/>
      <c r="Q748" s="468"/>
    </row>
    <row r="749">
      <c r="I749" s="73"/>
      <c r="J749" s="467"/>
      <c r="K749" s="467"/>
      <c r="L749" s="467"/>
      <c r="M749" s="467"/>
      <c r="N749" s="467"/>
      <c r="O749" s="467"/>
      <c r="P749" s="468"/>
      <c r="Q749" s="468"/>
    </row>
    <row r="750">
      <c r="I750" s="73"/>
      <c r="J750" s="467"/>
      <c r="K750" s="467"/>
      <c r="L750" s="467"/>
      <c r="M750" s="467"/>
      <c r="N750" s="467"/>
      <c r="O750" s="467"/>
      <c r="P750" s="468"/>
      <c r="Q750" s="468"/>
    </row>
    <row r="751">
      <c r="I751" s="73"/>
      <c r="J751" s="467"/>
      <c r="K751" s="467"/>
      <c r="L751" s="467"/>
      <c r="M751" s="467"/>
      <c r="N751" s="467"/>
      <c r="O751" s="467"/>
      <c r="P751" s="468"/>
      <c r="Q751" s="468"/>
    </row>
    <row r="752">
      <c r="I752" s="73"/>
      <c r="J752" s="467"/>
      <c r="K752" s="467"/>
      <c r="L752" s="467"/>
      <c r="M752" s="467"/>
      <c r="N752" s="467"/>
      <c r="O752" s="467"/>
      <c r="P752" s="468"/>
      <c r="Q752" s="468"/>
    </row>
    <row r="753">
      <c r="I753" s="73"/>
      <c r="J753" s="467"/>
      <c r="K753" s="467"/>
      <c r="L753" s="467"/>
      <c r="M753" s="467"/>
      <c r="N753" s="467"/>
      <c r="O753" s="467"/>
      <c r="P753" s="468"/>
      <c r="Q753" s="468"/>
    </row>
    <row r="754">
      <c r="I754" s="73"/>
      <c r="J754" s="467"/>
      <c r="K754" s="467"/>
      <c r="L754" s="467"/>
      <c r="M754" s="467"/>
      <c r="N754" s="467"/>
      <c r="O754" s="467"/>
      <c r="P754" s="468"/>
      <c r="Q754" s="468"/>
    </row>
    <row r="755">
      <c r="I755" s="73"/>
      <c r="J755" s="467"/>
      <c r="K755" s="467"/>
      <c r="L755" s="467"/>
      <c r="M755" s="467"/>
      <c r="N755" s="467"/>
      <c r="O755" s="467"/>
      <c r="P755" s="468"/>
      <c r="Q755" s="468"/>
    </row>
    <row r="756">
      <c r="I756" s="73"/>
      <c r="J756" s="467"/>
      <c r="K756" s="467"/>
      <c r="L756" s="467"/>
      <c r="M756" s="467"/>
      <c r="N756" s="467"/>
      <c r="O756" s="467"/>
      <c r="P756" s="468"/>
      <c r="Q756" s="468"/>
    </row>
    <row r="757">
      <c r="I757" s="73"/>
      <c r="J757" s="467"/>
      <c r="K757" s="467"/>
      <c r="L757" s="467"/>
      <c r="M757" s="467"/>
      <c r="N757" s="467"/>
      <c r="O757" s="467"/>
      <c r="P757" s="468"/>
      <c r="Q757" s="468"/>
    </row>
    <row r="758">
      <c r="I758" s="73"/>
      <c r="J758" s="467"/>
      <c r="K758" s="467"/>
      <c r="L758" s="467"/>
      <c r="M758" s="467"/>
      <c r="N758" s="467"/>
      <c r="O758" s="467"/>
      <c r="P758" s="468"/>
      <c r="Q758" s="468"/>
    </row>
    <row r="759">
      <c r="I759" s="73"/>
      <c r="J759" s="467"/>
      <c r="K759" s="467"/>
      <c r="L759" s="467"/>
      <c r="M759" s="467"/>
      <c r="N759" s="467"/>
      <c r="O759" s="467"/>
      <c r="P759" s="468"/>
      <c r="Q759" s="468"/>
    </row>
    <row r="760">
      <c r="I760" s="73"/>
      <c r="J760" s="467"/>
      <c r="K760" s="467"/>
      <c r="L760" s="467"/>
      <c r="M760" s="467"/>
      <c r="N760" s="467"/>
      <c r="O760" s="467"/>
      <c r="P760" s="468"/>
      <c r="Q760" s="468"/>
    </row>
    <row r="761">
      <c r="I761" s="73"/>
      <c r="J761" s="467"/>
      <c r="K761" s="467"/>
      <c r="L761" s="467"/>
      <c r="M761" s="467"/>
      <c r="N761" s="467"/>
      <c r="O761" s="467"/>
      <c r="P761" s="468"/>
      <c r="Q761" s="468"/>
    </row>
    <row r="762">
      <c r="I762" s="73"/>
      <c r="J762" s="467"/>
      <c r="K762" s="467"/>
      <c r="L762" s="467"/>
      <c r="M762" s="467"/>
      <c r="N762" s="467"/>
      <c r="O762" s="467"/>
      <c r="P762" s="468"/>
      <c r="Q762" s="468"/>
    </row>
    <row r="763">
      <c r="I763" s="73"/>
      <c r="J763" s="467"/>
      <c r="K763" s="467"/>
      <c r="L763" s="467"/>
      <c r="M763" s="467"/>
      <c r="N763" s="467"/>
      <c r="O763" s="467"/>
      <c r="P763" s="468"/>
      <c r="Q763" s="468"/>
    </row>
    <row r="764">
      <c r="I764" s="73"/>
      <c r="J764" s="467"/>
      <c r="K764" s="467"/>
      <c r="L764" s="467"/>
      <c r="M764" s="467"/>
      <c r="N764" s="467"/>
      <c r="O764" s="467"/>
      <c r="P764" s="468"/>
      <c r="Q764" s="468"/>
    </row>
    <row r="765">
      <c r="I765" s="73"/>
      <c r="J765" s="467"/>
      <c r="K765" s="467"/>
      <c r="L765" s="467"/>
      <c r="M765" s="467"/>
      <c r="N765" s="467"/>
      <c r="O765" s="467"/>
      <c r="P765" s="468"/>
      <c r="Q765" s="468"/>
    </row>
    <row r="766">
      <c r="I766" s="73"/>
      <c r="J766" s="467"/>
      <c r="K766" s="467"/>
      <c r="L766" s="467"/>
      <c r="M766" s="467"/>
      <c r="N766" s="467"/>
      <c r="O766" s="467"/>
      <c r="P766" s="468"/>
      <c r="Q766" s="468"/>
    </row>
    <row r="767">
      <c r="I767" s="73"/>
      <c r="J767" s="467"/>
      <c r="K767" s="467"/>
      <c r="L767" s="467"/>
      <c r="M767" s="467"/>
      <c r="N767" s="467"/>
      <c r="O767" s="467"/>
      <c r="P767" s="468"/>
      <c r="Q767" s="468"/>
    </row>
    <row r="768">
      <c r="I768" s="73"/>
      <c r="J768" s="467"/>
      <c r="K768" s="467"/>
      <c r="L768" s="467"/>
      <c r="M768" s="467"/>
      <c r="N768" s="467"/>
      <c r="O768" s="467"/>
      <c r="P768" s="468"/>
      <c r="Q768" s="468"/>
    </row>
    <row r="769">
      <c r="I769" s="73"/>
      <c r="J769" s="467"/>
      <c r="K769" s="467"/>
      <c r="L769" s="467"/>
      <c r="M769" s="467"/>
      <c r="N769" s="467"/>
      <c r="O769" s="467"/>
      <c r="P769" s="468"/>
      <c r="Q769" s="468"/>
    </row>
    <row r="770">
      <c r="I770" s="73"/>
      <c r="J770" s="467"/>
      <c r="K770" s="467"/>
      <c r="L770" s="467"/>
      <c r="M770" s="467"/>
      <c r="N770" s="467"/>
      <c r="O770" s="467"/>
      <c r="P770" s="468"/>
      <c r="Q770" s="468"/>
    </row>
    <row r="771">
      <c r="I771" s="73"/>
      <c r="J771" s="467"/>
      <c r="K771" s="467"/>
      <c r="L771" s="467"/>
      <c r="M771" s="467"/>
      <c r="N771" s="467"/>
      <c r="O771" s="467"/>
      <c r="P771" s="468"/>
      <c r="Q771" s="468"/>
    </row>
    <row r="772">
      <c r="I772" s="73"/>
      <c r="J772" s="467"/>
      <c r="K772" s="467"/>
      <c r="L772" s="467"/>
      <c r="M772" s="467"/>
      <c r="N772" s="467"/>
      <c r="O772" s="467"/>
      <c r="P772" s="468"/>
      <c r="Q772" s="468"/>
    </row>
    <row r="773">
      <c r="I773" s="73"/>
      <c r="J773" s="467"/>
      <c r="K773" s="467"/>
      <c r="L773" s="467"/>
      <c r="M773" s="467"/>
      <c r="N773" s="467"/>
      <c r="O773" s="467"/>
      <c r="P773" s="468"/>
      <c r="Q773" s="468"/>
    </row>
    <row r="774">
      <c r="I774" s="73"/>
      <c r="J774" s="467"/>
      <c r="K774" s="467"/>
      <c r="L774" s="467"/>
      <c r="M774" s="467"/>
      <c r="N774" s="467"/>
      <c r="O774" s="467"/>
      <c r="P774" s="468"/>
      <c r="Q774" s="468"/>
    </row>
    <row r="775">
      <c r="I775" s="73"/>
      <c r="J775" s="467"/>
      <c r="K775" s="467"/>
      <c r="L775" s="467"/>
      <c r="M775" s="467"/>
      <c r="N775" s="467"/>
      <c r="O775" s="467"/>
      <c r="P775" s="468"/>
      <c r="Q775" s="468"/>
    </row>
    <row r="776">
      <c r="I776" s="73"/>
      <c r="J776" s="467"/>
      <c r="K776" s="467"/>
      <c r="L776" s="467"/>
      <c r="M776" s="467"/>
      <c r="N776" s="467"/>
      <c r="O776" s="467"/>
      <c r="P776" s="468"/>
      <c r="Q776" s="468"/>
    </row>
    <row r="777">
      <c r="I777" s="73"/>
      <c r="J777" s="467"/>
      <c r="K777" s="467"/>
      <c r="L777" s="467"/>
      <c r="M777" s="467"/>
      <c r="N777" s="467"/>
      <c r="O777" s="467"/>
      <c r="P777" s="468"/>
      <c r="Q777" s="468"/>
    </row>
    <row r="778">
      <c r="I778" s="73"/>
      <c r="J778" s="467"/>
      <c r="K778" s="467"/>
      <c r="L778" s="467"/>
      <c r="M778" s="467"/>
      <c r="N778" s="467"/>
      <c r="O778" s="467"/>
      <c r="P778" s="468"/>
      <c r="Q778" s="468"/>
    </row>
    <row r="779">
      <c r="I779" s="73"/>
      <c r="J779" s="467"/>
      <c r="K779" s="467"/>
      <c r="L779" s="467"/>
      <c r="M779" s="467"/>
      <c r="N779" s="467"/>
      <c r="O779" s="467"/>
      <c r="P779" s="468"/>
      <c r="Q779" s="468"/>
    </row>
    <row r="780">
      <c r="I780" s="73"/>
      <c r="J780" s="467"/>
      <c r="K780" s="467"/>
      <c r="L780" s="467"/>
      <c r="M780" s="467"/>
      <c r="N780" s="467"/>
      <c r="O780" s="467"/>
      <c r="P780" s="468"/>
      <c r="Q780" s="468"/>
    </row>
    <row r="781">
      <c r="I781" s="73"/>
      <c r="J781" s="467"/>
      <c r="K781" s="467"/>
      <c r="L781" s="467"/>
      <c r="M781" s="467"/>
      <c r="N781" s="467"/>
      <c r="O781" s="467"/>
      <c r="P781" s="468"/>
      <c r="Q781" s="468"/>
    </row>
    <row r="782">
      <c r="I782" s="73"/>
      <c r="J782" s="467"/>
      <c r="K782" s="467"/>
      <c r="L782" s="467"/>
      <c r="M782" s="467"/>
      <c r="N782" s="467"/>
      <c r="O782" s="467"/>
      <c r="P782" s="468"/>
      <c r="Q782" s="468"/>
    </row>
    <row r="783">
      <c r="I783" s="73"/>
      <c r="J783" s="467"/>
      <c r="K783" s="467"/>
      <c r="L783" s="467"/>
      <c r="M783" s="467"/>
      <c r="N783" s="467"/>
      <c r="O783" s="467"/>
      <c r="P783" s="468"/>
      <c r="Q783" s="468"/>
    </row>
    <row r="784">
      <c r="I784" s="73"/>
      <c r="J784" s="467"/>
      <c r="K784" s="467"/>
      <c r="L784" s="467"/>
      <c r="M784" s="467"/>
      <c r="N784" s="467"/>
      <c r="O784" s="467"/>
      <c r="P784" s="468"/>
      <c r="Q784" s="468"/>
    </row>
    <row r="785">
      <c r="I785" s="73"/>
      <c r="J785" s="467"/>
      <c r="K785" s="467"/>
      <c r="L785" s="467"/>
      <c r="M785" s="467"/>
      <c r="N785" s="467"/>
      <c r="O785" s="467"/>
      <c r="P785" s="468"/>
      <c r="Q785" s="468"/>
    </row>
    <row r="786">
      <c r="I786" s="73"/>
      <c r="J786" s="467"/>
      <c r="K786" s="467"/>
      <c r="L786" s="467"/>
      <c r="M786" s="467"/>
      <c r="N786" s="467"/>
      <c r="O786" s="467"/>
      <c r="P786" s="468"/>
      <c r="Q786" s="468"/>
    </row>
    <row r="787">
      <c r="I787" s="73"/>
      <c r="J787" s="467"/>
      <c r="K787" s="467"/>
      <c r="L787" s="467"/>
      <c r="M787" s="467"/>
      <c r="N787" s="467"/>
      <c r="O787" s="467"/>
      <c r="P787" s="468"/>
      <c r="Q787" s="468"/>
    </row>
    <row r="788">
      <c r="I788" s="73"/>
      <c r="J788" s="467"/>
      <c r="K788" s="467"/>
      <c r="L788" s="467"/>
      <c r="M788" s="467"/>
      <c r="N788" s="467"/>
      <c r="O788" s="467"/>
      <c r="P788" s="468"/>
      <c r="Q788" s="468"/>
    </row>
    <row r="789">
      <c r="I789" s="73"/>
      <c r="J789" s="467"/>
      <c r="K789" s="467"/>
      <c r="L789" s="467"/>
      <c r="M789" s="467"/>
      <c r="N789" s="467"/>
      <c r="O789" s="467"/>
      <c r="P789" s="468"/>
      <c r="Q789" s="468"/>
    </row>
    <row r="790">
      <c r="I790" s="73"/>
      <c r="J790" s="467"/>
      <c r="K790" s="467"/>
      <c r="L790" s="467"/>
      <c r="M790" s="467"/>
      <c r="N790" s="467"/>
      <c r="O790" s="467"/>
      <c r="P790" s="468"/>
      <c r="Q790" s="468"/>
    </row>
    <row r="791">
      <c r="I791" s="73"/>
      <c r="J791" s="467"/>
      <c r="K791" s="467"/>
      <c r="L791" s="467"/>
      <c r="M791" s="467"/>
      <c r="N791" s="467"/>
      <c r="O791" s="467"/>
      <c r="P791" s="468"/>
      <c r="Q791" s="468"/>
    </row>
    <row r="792">
      <c r="I792" s="73"/>
      <c r="J792" s="467"/>
      <c r="K792" s="467"/>
      <c r="L792" s="467"/>
      <c r="M792" s="467"/>
      <c r="N792" s="467"/>
      <c r="O792" s="467"/>
      <c r="P792" s="468"/>
      <c r="Q792" s="468"/>
    </row>
    <row r="793">
      <c r="I793" s="73"/>
      <c r="J793" s="467"/>
      <c r="K793" s="467"/>
      <c r="L793" s="467"/>
      <c r="M793" s="467"/>
      <c r="N793" s="467"/>
      <c r="O793" s="467"/>
      <c r="P793" s="468"/>
      <c r="Q793" s="468"/>
    </row>
    <row r="794">
      <c r="I794" s="73"/>
      <c r="J794" s="467"/>
      <c r="K794" s="467"/>
      <c r="L794" s="467"/>
      <c r="M794" s="467"/>
      <c r="N794" s="467"/>
      <c r="O794" s="467"/>
      <c r="P794" s="468"/>
      <c r="Q794" s="468"/>
    </row>
    <row r="795">
      <c r="I795" s="73"/>
      <c r="J795" s="467"/>
      <c r="K795" s="467"/>
      <c r="L795" s="467"/>
      <c r="M795" s="467"/>
      <c r="N795" s="467"/>
      <c r="O795" s="467"/>
      <c r="P795" s="468"/>
      <c r="Q795" s="468"/>
    </row>
    <row r="796">
      <c r="I796" s="73"/>
      <c r="J796" s="467"/>
      <c r="K796" s="467"/>
      <c r="L796" s="467"/>
      <c r="M796" s="467"/>
      <c r="N796" s="467"/>
      <c r="O796" s="467"/>
      <c r="P796" s="468"/>
      <c r="Q796" s="468"/>
    </row>
    <row r="797">
      <c r="I797" s="73"/>
      <c r="J797" s="467"/>
      <c r="K797" s="467"/>
      <c r="L797" s="467"/>
      <c r="M797" s="467"/>
      <c r="N797" s="467"/>
      <c r="O797" s="467"/>
      <c r="P797" s="468"/>
      <c r="Q797" s="468"/>
    </row>
    <row r="798">
      <c r="I798" s="73"/>
      <c r="J798" s="467"/>
      <c r="K798" s="467"/>
      <c r="L798" s="467"/>
      <c r="M798" s="467"/>
      <c r="N798" s="467"/>
      <c r="O798" s="467"/>
      <c r="P798" s="468"/>
      <c r="Q798" s="468"/>
    </row>
    <row r="799">
      <c r="I799" s="73"/>
      <c r="J799" s="467"/>
      <c r="K799" s="467"/>
      <c r="L799" s="467"/>
      <c r="M799" s="467"/>
      <c r="N799" s="467"/>
      <c r="O799" s="467"/>
      <c r="P799" s="468"/>
      <c r="Q799" s="468"/>
    </row>
    <row r="800">
      <c r="I800" s="73"/>
      <c r="J800" s="467"/>
      <c r="K800" s="467"/>
      <c r="L800" s="467"/>
      <c r="M800" s="467"/>
      <c r="N800" s="467"/>
      <c r="O800" s="467"/>
      <c r="P800" s="468"/>
      <c r="Q800" s="468"/>
    </row>
    <row r="801">
      <c r="I801" s="73"/>
      <c r="J801" s="467"/>
      <c r="K801" s="467"/>
      <c r="L801" s="467"/>
      <c r="M801" s="467"/>
      <c r="N801" s="467"/>
      <c r="O801" s="467"/>
      <c r="P801" s="468"/>
      <c r="Q801" s="468"/>
    </row>
    <row r="802">
      <c r="I802" s="73"/>
      <c r="J802" s="467"/>
      <c r="K802" s="467"/>
      <c r="L802" s="467"/>
      <c r="M802" s="467"/>
      <c r="N802" s="467"/>
      <c r="O802" s="467"/>
      <c r="P802" s="468"/>
      <c r="Q802" s="468"/>
    </row>
    <row r="803">
      <c r="I803" s="73"/>
      <c r="J803" s="467"/>
      <c r="K803" s="467"/>
      <c r="L803" s="467"/>
      <c r="M803" s="467"/>
      <c r="N803" s="467"/>
      <c r="O803" s="467"/>
      <c r="P803" s="468"/>
      <c r="Q803" s="468"/>
    </row>
    <row r="804">
      <c r="I804" s="73"/>
      <c r="J804" s="467"/>
      <c r="K804" s="467"/>
      <c r="L804" s="467"/>
      <c r="M804" s="467"/>
      <c r="N804" s="467"/>
      <c r="O804" s="467"/>
      <c r="P804" s="468"/>
      <c r="Q804" s="468"/>
    </row>
    <row r="805">
      <c r="I805" s="73"/>
      <c r="J805" s="467"/>
      <c r="K805" s="467"/>
      <c r="L805" s="467"/>
      <c r="M805" s="467"/>
      <c r="N805" s="467"/>
      <c r="O805" s="467"/>
      <c r="P805" s="468"/>
      <c r="Q805" s="468"/>
    </row>
    <row r="806">
      <c r="I806" s="73"/>
      <c r="J806" s="467"/>
      <c r="K806" s="467"/>
      <c r="L806" s="467"/>
      <c r="M806" s="467"/>
      <c r="N806" s="467"/>
      <c r="O806" s="467"/>
      <c r="P806" s="468"/>
      <c r="Q806" s="468"/>
    </row>
    <row r="807">
      <c r="I807" s="73"/>
      <c r="J807" s="467"/>
      <c r="K807" s="467"/>
      <c r="L807" s="467"/>
      <c r="M807" s="467"/>
      <c r="N807" s="467"/>
      <c r="O807" s="467"/>
      <c r="P807" s="468"/>
      <c r="Q807" s="468"/>
    </row>
    <row r="808">
      <c r="I808" s="73"/>
      <c r="J808" s="467"/>
      <c r="K808" s="467"/>
      <c r="L808" s="467"/>
      <c r="M808" s="467"/>
      <c r="N808" s="467"/>
      <c r="O808" s="467"/>
      <c r="P808" s="468"/>
      <c r="Q808" s="468"/>
    </row>
    <row r="809">
      <c r="I809" s="73"/>
      <c r="J809" s="467"/>
      <c r="K809" s="467"/>
      <c r="L809" s="467"/>
      <c r="M809" s="467"/>
      <c r="N809" s="467"/>
      <c r="O809" s="467"/>
      <c r="P809" s="468"/>
      <c r="Q809" s="468"/>
    </row>
    <row r="810">
      <c r="I810" s="73"/>
      <c r="J810" s="467"/>
      <c r="K810" s="467"/>
      <c r="L810" s="467"/>
      <c r="M810" s="467"/>
      <c r="N810" s="467"/>
      <c r="O810" s="467"/>
      <c r="P810" s="468"/>
      <c r="Q810" s="468"/>
    </row>
    <row r="811">
      <c r="I811" s="73"/>
      <c r="J811" s="467"/>
      <c r="K811" s="467"/>
      <c r="L811" s="467"/>
      <c r="M811" s="467"/>
      <c r="N811" s="467"/>
      <c r="O811" s="467"/>
      <c r="P811" s="468"/>
      <c r="Q811" s="468"/>
    </row>
    <row r="812">
      <c r="I812" s="73"/>
      <c r="J812" s="467"/>
      <c r="K812" s="467"/>
      <c r="L812" s="467"/>
      <c r="M812" s="467"/>
      <c r="N812" s="467"/>
      <c r="O812" s="467"/>
      <c r="P812" s="468"/>
      <c r="Q812" s="468"/>
    </row>
    <row r="813">
      <c r="I813" s="73"/>
      <c r="J813" s="467"/>
      <c r="K813" s="467"/>
      <c r="L813" s="467"/>
      <c r="M813" s="467"/>
      <c r="N813" s="467"/>
      <c r="O813" s="467"/>
      <c r="P813" s="468"/>
      <c r="Q813" s="468"/>
    </row>
    <row r="814">
      <c r="I814" s="73"/>
      <c r="J814" s="467"/>
      <c r="K814" s="467"/>
      <c r="L814" s="467"/>
      <c r="M814" s="467"/>
      <c r="N814" s="467"/>
      <c r="O814" s="467"/>
      <c r="P814" s="468"/>
      <c r="Q814" s="468"/>
    </row>
    <row r="815">
      <c r="I815" s="73"/>
      <c r="J815" s="467"/>
      <c r="K815" s="467"/>
      <c r="L815" s="467"/>
      <c r="M815" s="467"/>
      <c r="N815" s="467"/>
      <c r="O815" s="467"/>
      <c r="P815" s="468"/>
      <c r="Q815" s="468"/>
    </row>
    <row r="816">
      <c r="I816" s="73"/>
      <c r="J816" s="467"/>
      <c r="K816" s="467"/>
      <c r="L816" s="467"/>
      <c r="M816" s="467"/>
      <c r="N816" s="467"/>
      <c r="O816" s="467"/>
      <c r="P816" s="468"/>
      <c r="Q816" s="468"/>
    </row>
    <row r="817">
      <c r="I817" s="73"/>
      <c r="J817" s="467"/>
      <c r="K817" s="467"/>
      <c r="L817" s="467"/>
      <c r="M817" s="467"/>
      <c r="N817" s="467"/>
      <c r="O817" s="467"/>
      <c r="P817" s="468"/>
      <c r="Q817" s="468"/>
    </row>
    <row r="818">
      <c r="I818" s="73"/>
      <c r="J818" s="467"/>
      <c r="K818" s="467"/>
      <c r="L818" s="467"/>
      <c r="M818" s="467"/>
      <c r="N818" s="467"/>
      <c r="O818" s="467"/>
      <c r="P818" s="468"/>
      <c r="Q818" s="468"/>
    </row>
    <row r="819">
      <c r="I819" s="73"/>
      <c r="J819" s="467"/>
      <c r="K819" s="467"/>
      <c r="L819" s="467"/>
      <c r="M819" s="467"/>
      <c r="N819" s="467"/>
      <c r="O819" s="467"/>
      <c r="P819" s="468"/>
      <c r="Q819" s="468"/>
    </row>
    <row r="820">
      <c r="I820" s="73"/>
      <c r="J820" s="467"/>
      <c r="K820" s="467"/>
      <c r="L820" s="467"/>
      <c r="M820" s="467"/>
      <c r="N820" s="467"/>
      <c r="O820" s="467"/>
      <c r="P820" s="468"/>
      <c r="Q820" s="468"/>
    </row>
    <row r="821">
      <c r="I821" s="73"/>
      <c r="J821" s="467"/>
      <c r="K821" s="467"/>
      <c r="L821" s="467"/>
      <c r="M821" s="467"/>
      <c r="N821" s="467"/>
      <c r="O821" s="467"/>
      <c r="P821" s="468"/>
      <c r="Q821" s="468"/>
    </row>
    <row r="822">
      <c r="I822" s="73"/>
      <c r="J822" s="467"/>
      <c r="K822" s="467"/>
      <c r="L822" s="467"/>
      <c r="M822" s="467"/>
      <c r="N822" s="467"/>
      <c r="O822" s="467"/>
      <c r="P822" s="468"/>
      <c r="Q822" s="468"/>
    </row>
    <row r="823">
      <c r="I823" s="73"/>
      <c r="J823" s="467"/>
      <c r="K823" s="467"/>
      <c r="L823" s="467"/>
      <c r="M823" s="467"/>
      <c r="N823" s="467"/>
      <c r="O823" s="467"/>
      <c r="P823" s="468"/>
      <c r="Q823" s="468"/>
    </row>
    <row r="824">
      <c r="I824" s="73"/>
      <c r="J824" s="467"/>
      <c r="K824" s="467"/>
      <c r="L824" s="467"/>
      <c r="M824" s="467"/>
      <c r="N824" s="467"/>
      <c r="O824" s="467"/>
      <c r="P824" s="468"/>
      <c r="Q824" s="468"/>
    </row>
    <row r="825">
      <c r="I825" s="73"/>
      <c r="J825" s="467"/>
      <c r="K825" s="467"/>
      <c r="L825" s="467"/>
      <c r="M825" s="467"/>
      <c r="N825" s="467"/>
      <c r="O825" s="467"/>
      <c r="P825" s="468"/>
      <c r="Q825" s="468"/>
    </row>
    <row r="826">
      <c r="I826" s="73"/>
      <c r="J826" s="467"/>
      <c r="K826" s="467"/>
      <c r="L826" s="467"/>
      <c r="M826" s="467"/>
      <c r="N826" s="467"/>
      <c r="O826" s="467"/>
      <c r="P826" s="468"/>
      <c r="Q826" s="468"/>
    </row>
    <row r="827">
      <c r="I827" s="73"/>
      <c r="J827" s="467"/>
      <c r="K827" s="467"/>
      <c r="L827" s="467"/>
      <c r="M827" s="467"/>
      <c r="N827" s="467"/>
      <c r="O827" s="467"/>
      <c r="P827" s="468"/>
      <c r="Q827" s="468"/>
    </row>
    <row r="828">
      <c r="I828" s="73"/>
      <c r="J828" s="467"/>
      <c r="K828" s="467"/>
      <c r="L828" s="467"/>
      <c r="M828" s="467"/>
      <c r="N828" s="467"/>
      <c r="O828" s="467"/>
      <c r="P828" s="468"/>
      <c r="Q828" s="468"/>
    </row>
    <row r="829">
      <c r="I829" s="73"/>
      <c r="J829" s="467"/>
      <c r="K829" s="467"/>
      <c r="L829" s="467"/>
      <c r="M829" s="467"/>
      <c r="N829" s="467"/>
      <c r="O829" s="467"/>
      <c r="P829" s="468"/>
      <c r="Q829" s="468"/>
    </row>
    <row r="830">
      <c r="I830" s="73"/>
      <c r="J830" s="467"/>
      <c r="K830" s="467"/>
      <c r="L830" s="467"/>
      <c r="M830" s="467"/>
      <c r="N830" s="467"/>
      <c r="O830" s="467"/>
      <c r="P830" s="468"/>
      <c r="Q830" s="468"/>
    </row>
    <row r="831">
      <c r="I831" s="73"/>
      <c r="J831" s="467"/>
      <c r="K831" s="467"/>
      <c r="L831" s="467"/>
      <c r="M831" s="467"/>
      <c r="N831" s="467"/>
      <c r="O831" s="467"/>
      <c r="P831" s="468"/>
      <c r="Q831" s="468"/>
    </row>
    <row r="832">
      <c r="I832" s="73"/>
      <c r="J832" s="467"/>
      <c r="K832" s="467"/>
      <c r="L832" s="467"/>
      <c r="M832" s="467"/>
      <c r="N832" s="467"/>
      <c r="O832" s="467"/>
      <c r="P832" s="468"/>
      <c r="Q832" s="468"/>
    </row>
    <row r="833">
      <c r="I833" s="73"/>
      <c r="J833" s="467"/>
      <c r="K833" s="467"/>
      <c r="L833" s="467"/>
      <c r="M833" s="467"/>
      <c r="N833" s="467"/>
      <c r="O833" s="467"/>
      <c r="P833" s="468"/>
      <c r="Q833" s="468"/>
    </row>
    <row r="834">
      <c r="I834" s="73"/>
      <c r="J834" s="467"/>
      <c r="K834" s="467"/>
      <c r="L834" s="467"/>
      <c r="M834" s="467"/>
      <c r="N834" s="467"/>
      <c r="O834" s="467"/>
      <c r="P834" s="468"/>
      <c r="Q834" s="468"/>
    </row>
    <row r="835">
      <c r="I835" s="73"/>
      <c r="J835" s="467"/>
      <c r="K835" s="467"/>
      <c r="L835" s="467"/>
      <c r="M835" s="467"/>
      <c r="N835" s="467"/>
      <c r="O835" s="467"/>
      <c r="P835" s="468"/>
      <c r="Q835" s="468"/>
    </row>
    <row r="836">
      <c r="I836" s="73"/>
      <c r="J836" s="467"/>
      <c r="K836" s="467"/>
      <c r="L836" s="467"/>
      <c r="M836" s="467"/>
      <c r="N836" s="467"/>
      <c r="O836" s="467"/>
      <c r="P836" s="468"/>
      <c r="Q836" s="468"/>
    </row>
    <row r="837">
      <c r="I837" s="73"/>
      <c r="J837" s="467"/>
      <c r="K837" s="467"/>
      <c r="L837" s="467"/>
      <c r="M837" s="467"/>
      <c r="N837" s="467"/>
      <c r="O837" s="467"/>
      <c r="P837" s="468"/>
      <c r="Q837" s="468"/>
    </row>
    <row r="838">
      <c r="I838" s="73"/>
      <c r="J838" s="467"/>
      <c r="K838" s="467"/>
      <c r="L838" s="467"/>
      <c r="M838" s="467"/>
      <c r="N838" s="467"/>
      <c r="O838" s="467"/>
      <c r="P838" s="468"/>
      <c r="Q838" s="468"/>
    </row>
    <row r="839">
      <c r="I839" s="73"/>
      <c r="J839" s="467"/>
      <c r="K839" s="467"/>
      <c r="L839" s="467"/>
      <c r="M839" s="467"/>
      <c r="N839" s="467"/>
      <c r="O839" s="467"/>
      <c r="P839" s="468"/>
      <c r="Q839" s="468"/>
    </row>
    <row r="840">
      <c r="I840" s="73"/>
      <c r="J840" s="467"/>
      <c r="K840" s="467"/>
      <c r="L840" s="467"/>
      <c r="M840" s="467"/>
      <c r="N840" s="467"/>
      <c r="O840" s="467"/>
      <c r="P840" s="468"/>
      <c r="Q840" s="468"/>
    </row>
    <row r="841">
      <c r="I841" s="73"/>
      <c r="J841" s="467"/>
      <c r="K841" s="467"/>
      <c r="L841" s="467"/>
      <c r="M841" s="467"/>
      <c r="N841" s="467"/>
      <c r="O841" s="467"/>
      <c r="P841" s="468"/>
      <c r="Q841" s="468"/>
    </row>
    <row r="842">
      <c r="I842" s="73"/>
      <c r="J842" s="467"/>
      <c r="K842" s="467"/>
      <c r="L842" s="467"/>
      <c r="M842" s="467"/>
      <c r="N842" s="467"/>
      <c r="O842" s="467"/>
      <c r="P842" s="468"/>
      <c r="Q842" s="468"/>
    </row>
    <row r="843">
      <c r="I843" s="73"/>
      <c r="J843" s="467"/>
      <c r="K843" s="467"/>
      <c r="L843" s="467"/>
      <c r="M843" s="467"/>
      <c r="N843" s="467"/>
      <c r="O843" s="467"/>
      <c r="P843" s="468"/>
      <c r="Q843" s="468"/>
    </row>
    <row r="844">
      <c r="I844" s="73"/>
      <c r="J844" s="467"/>
      <c r="K844" s="467"/>
      <c r="L844" s="467"/>
      <c r="M844" s="467"/>
      <c r="N844" s="467"/>
      <c r="O844" s="467"/>
      <c r="P844" s="468"/>
      <c r="Q844" s="468"/>
    </row>
    <row r="845">
      <c r="I845" s="73"/>
      <c r="J845" s="467"/>
      <c r="K845" s="467"/>
      <c r="L845" s="467"/>
      <c r="M845" s="467"/>
      <c r="N845" s="467"/>
      <c r="O845" s="467"/>
      <c r="P845" s="468"/>
      <c r="Q845" s="468"/>
    </row>
    <row r="846">
      <c r="I846" s="73"/>
      <c r="J846" s="467"/>
      <c r="K846" s="467"/>
      <c r="L846" s="467"/>
      <c r="M846" s="467"/>
      <c r="N846" s="467"/>
      <c r="O846" s="467"/>
      <c r="P846" s="468"/>
      <c r="Q846" s="468"/>
    </row>
    <row r="847">
      <c r="I847" s="73"/>
      <c r="J847" s="467"/>
      <c r="K847" s="467"/>
      <c r="L847" s="467"/>
      <c r="M847" s="467"/>
      <c r="N847" s="467"/>
      <c r="O847" s="467"/>
      <c r="P847" s="468"/>
      <c r="Q847" s="468"/>
    </row>
    <row r="848">
      <c r="I848" s="73"/>
      <c r="J848" s="467"/>
      <c r="K848" s="467"/>
      <c r="L848" s="467"/>
      <c r="M848" s="467"/>
      <c r="N848" s="467"/>
      <c r="O848" s="467"/>
      <c r="P848" s="468"/>
      <c r="Q848" s="468"/>
    </row>
    <row r="849">
      <c r="I849" s="73"/>
      <c r="J849" s="467"/>
      <c r="K849" s="467"/>
      <c r="L849" s="467"/>
      <c r="M849" s="467"/>
      <c r="N849" s="467"/>
      <c r="O849" s="467"/>
      <c r="P849" s="468"/>
      <c r="Q849" s="468"/>
    </row>
    <row r="850">
      <c r="I850" s="73"/>
      <c r="J850" s="467"/>
      <c r="K850" s="467"/>
      <c r="L850" s="467"/>
      <c r="M850" s="467"/>
      <c r="N850" s="467"/>
      <c r="O850" s="467"/>
      <c r="P850" s="468"/>
      <c r="Q850" s="468"/>
    </row>
    <row r="851">
      <c r="I851" s="73"/>
      <c r="J851" s="467"/>
      <c r="K851" s="467"/>
      <c r="L851" s="467"/>
      <c r="M851" s="467"/>
      <c r="N851" s="467"/>
      <c r="O851" s="467"/>
      <c r="P851" s="468"/>
      <c r="Q851" s="468"/>
    </row>
    <row r="852">
      <c r="I852" s="73"/>
      <c r="J852" s="467"/>
      <c r="K852" s="467"/>
      <c r="L852" s="467"/>
      <c r="M852" s="467"/>
      <c r="N852" s="467"/>
      <c r="O852" s="467"/>
      <c r="P852" s="468"/>
      <c r="Q852" s="468"/>
    </row>
    <row r="853">
      <c r="I853" s="73"/>
      <c r="J853" s="467"/>
      <c r="K853" s="467"/>
      <c r="L853" s="467"/>
      <c r="M853" s="467"/>
      <c r="N853" s="467"/>
      <c r="O853" s="467"/>
      <c r="P853" s="468"/>
      <c r="Q853" s="468"/>
    </row>
    <row r="854">
      <c r="I854" s="73"/>
      <c r="J854" s="467"/>
      <c r="K854" s="467"/>
      <c r="L854" s="467"/>
      <c r="M854" s="467"/>
      <c r="N854" s="467"/>
      <c r="O854" s="467"/>
      <c r="P854" s="468"/>
      <c r="Q854" s="468"/>
    </row>
    <row r="855">
      <c r="I855" s="73"/>
      <c r="J855" s="467"/>
      <c r="K855" s="467"/>
      <c r="L855" s="467"/>
      <c r="M855" s="467"/>
      <c r="N855" s="467"/>
      <c r="O855" s="467"/>
      <c r="P855" s="468"/>
      <c r="Q855" s="468"/>
    </row>
    <row r="856">
      <c r="I856" s="73"/>
      <c r="J856" s="467"/>
      <c r="K856" s="467"/>
      <c r="L856" s="467"/>
      <c r="M856" s="467"/>
      <c r="N856" s="467"/>
      <c r="O856" s="467"/>
      <c r="P856" s="468"/>
      <c r="Q856" s="468"/>
    </row>
    <row r="857">
      <c r="I857" s="73"/>
      <c r="J857" s="467"/>
      <c r="K857" s="467"/>
      <c r="L857" s="467"/>
      <c r="M857" s="467"/>
      <c r="N857" s="467"/>
      <c r="O857" s="467"/>
      <c r="P857" s="468"/>
      <c r="Q857" s="468"/>
    </row>
    <row r="858">
      <c r="I858" s="73"/>
      <c r="J858" s="467"/>
      <c r="K858" s="467"/>
      <c r="L858" s="467"/>
      <c r="M858" s="467"/>
      <c r="N858" s="467"/>
      <c r="O858" s="467"/>
      <c r="P858" s="468"/>
      <c r="Q858" s="468"/>
    </row>
    <row r="859">
      <c r="I859" s="73"/>
      <c r="J859" s="467"/>
      <c r="K859" s="467"/>
      <c r="L859" s="467"/>
      <c r="M859" s="467"/>
      <c r="N859" s="467"/>
      <c r="O859" s="467"/>
      <c r="P859" s="468"/>
      <c r="Q859" s="468"/>
    </row>
    <row r="860">
      <c r="I860" s="73"/>
      <c r="J860" s="467"/>
      <c r="K860" s="467"/>
      <c r="L860" s="467"/>
      <c r="M860" s="467"/>
      <c r="N860" s="467"/>
      <c r="O860" s="467"/>
      <c r="P860" s="468"/>
      <c r="Q860" s="468"/>
    </row>
    <row r="861">
      <c r="I861" s="73"/>
      <c r="J861" s="467"/>
      <c r="K861" s="467"/>
      <c r="L861" s="467"/>
      <c r="M861" s="467"/>
      <c r="N861" s="467"/>
      <c r="O861" s="467"/>
      <c r="P861" s="468"/>
      <c r="Q861" s="468"/>
    </row>
    <row r="862">
      <c r="I862" s="73"/>
      <c r="J862" s="467"/>
      <c r="K862" s="467"/>
      <c r="L862" s="467"/>
      <c r="M862" s="467"/>
      <c r="N862" s="467"/>
      <c r="O862" s="467"/>
      <c r="P862" s="468"/>
      <c r="Q862" s="468"/>
    </row>
    <row r="863">
      <c r="I863" s="73"/>
      <c r="J863" s="467"/>
      <c r="K863" s="467"/>
      <c r="L863" s="467"/>
      <c r="M863" s="467"/>
      <c r="N863" s="467"/>
      <c r="O863" s="467"/>
      <c r="P863" s="468"/>
      <c r="Q863" s="468"/>
    </row>
    <row r="864">
      <c r="I864" s="73"/>
      <c r="J864" s="467"/>
      <c r="K864" s="467"/>
      <c r="L864" s="467"/>
      <c r="M864" s="467"/>
      <c r="N864" s="467"/>
      <c r="O864" s="467"/>
      <c r="P864" s="468"/>
      <c r="Q864" s="468"/>
    </row>
    <row r="865">
      <c r="I865" s="73"/>
      <c r="J865" s="467"/>
      <c r="K865" s="467"/>
      <c r="L865" s="467"/>
      <c r="M865" s="467"/>
      <c r="N865" s="467"/>
      <c r="O865" s="467"/>
      <c r="P865" s="468"/>
      <c r="Q865" s="468"/>
    </row>
    <row r="866">
      <c r="I866" s="73"/>
      <c r="J866" s="467"/>
      <c r="K866" s="467"/>
      <c r="L866" s="467"/>
      <c r="M866" s="467"/>
      <c r="N866" s="467"/>
      <c r="O866" s="467"/>
      <c r="P866" s="468"/>
      <c r="Q866" s="468"/>
    </row>
    <row r="867">
      <c r="I867" s="73"/>
      <c r="J867" s="467"/>
      <c r="K867" s="467"/>
      <c r="L867" s="467"/>
      <c r="M867" s="467"/>
      <c r="N867" s="467"/>
      <c r="O867" s="467"/>
      <c r="P867" s="468"/>
      <c r="Q867" s="468"/>
    </row>
    <row r="868">
      <c r="I868" s="73"/>
      <c r="J868" s="467"/>
      <c r="K868" s="467"/>
      <c r="L868" s="467"/>
      <c r="M868" s="467"/>
      <c r="N868" s="467"/>
      <c r="O868" s="467"/>
      <c r="P868" s="468"/>
      <c r="Q868" s="468"/>
    </row>
    <row r="869">
      <c r="I869" s="73"/>
      <c r="J869" s="467"/>
      <c r="K869" s="467"/>
      <c r="L869" s="467"/>
      <c r="M869" s="467"/>
      <c r="N869" s="467"/>
      <c r="O869" s="467"/>
      <c r="P869" s="468"/>
      <c r="Q869" s="468"/>
    </row>
    <row r="870">
      <c r="I870" s="73"/>
      <c r="J870" s="467"/>
      <c r="K870" s="467"/>
      <c r="L870" s="467"/>
      <c r="M870" s="467"/>
      <c r="N870" s="467"/>
      <c r="O870" s="467"/>
      <c r="P870" s="468"/>
      <c r="Q870" s="468"/>
    </row>
    <row r="871">
      <c r="I871" s="73"/>
      <c r="J871" s="467"/>
      <c r="K871" s="467"/>
      <c r="L871" s="467"/>
      <c r="M871" s="467"/>
      <c r="N871" s="467"/>
      <c r="O871" s="467"/>
      <c r="P871" s="468"/>
      <c r="Q871" s="468"/>
    </row>
    <row r="872">
      <c r="I872" s="73"/>
      <c r="J872" s="467"/>
      <c r="K872" s="467"/>
      <c r="L872" s="467"/>
      <c r="M872" s="467"/>
      <c r="N872" s="467"/>
      <c r="O872" s="467"/>
      <c r="P872" s="468"/>
      <c r="Q872" s="468"/>
    </row>
    <row r="873">
      <c r="I873" s="73"/>
      <c r="J873" s="467"/>
      <c r="K873" s="467"/>
      <c r="L873" s="467"/>
      <c r="M873" s="467"/>
      <c r="N873" s="467"/>
      <c r="O873" s="467"/>
      <c r="P873" s="468"/>
      <c r="Q873" s="468"/>
    </row>
    <row r="874">
      <c r="I874" s="73"/>
      <c r="J874" s="467"/>
      <c r="K874" s="467"/>
      <c r="L874" s="467"/>
      <c r="M874" s="467"/>
      <c r="N874" s="467"/>
      <c r="O874" s="467"/>
      <c r="P874" s="468"/>
      <c r="Q874" s="468"/>
    </row>
    <row r="875">
      <c r="I875" s="73"/>
      <c r="J875" s="467"/>
      <c r="K875" s="467"/>
      <c r="L875" s="467"/>
      <c r="M875" s="467"/>
      <c r="N875" s="467"/>
      <c r="O875" s="467"/>
      <c r="P875" s="468"/>
      <c r="Q875" s="468"/>
    </row>
    <row r="876">
      <c r="I876" s="73"/>
      <c r="J876" s="467"/>
      <c r="K876" s="467"/>
      <c r="L876" s="467"/>
      <c r="M876" s="467"/>
      <c r="N876" s="467"/>
      <c r="O876" s="467"/>
      <c r="P876" s="468"/>
      <c r="Q876" s="468"/>
    </row>
    <row r="877">
      <c r="I877" s="73"/>
      <c r="J877" s="467"/>
      <c r="K877" s="467"/>
      <c r="L877" s="467"/>
      <c r="M877" s="467"/>
      <c r="N877" s="467"/>
      <c r="O877" s="467"/>
      <c r="P877" s="468"/>
      <c r="Q877" s="468"/>
    </row>
    <row r="878">
      <c r="I878" s="73"/>
      <c r="J878" s="467"/>
      <c r="K878" s="467"/>
      <c r="L878" s="467"/>
      <c r="M878" s="467"/>
      <c r="N878" s="467"/>
      <c r="O878" s="467"/>
      <c r="P878" s="468"/>
      <c r="Q878" s="468"/>
    </row>
    <row r="879">
      <c r="I879" s="73"/>
      <c r="J879" s="467"/>
      <c r="K879" s="467"/>
      <c r="L879" s="467"/>
      <c r="M879" s="467"/>
      <c r="N879" s="467"/>
      <c r="O879" s="467"/>
      <c r="P879" s="468"/>
      <c r="Q879" s="468"/>
    </row>
    <row r="880">
      <c r="I880" s="73"/>
      <c r="J880" s="467"/>
      <c r="K880" s="467"/>
      <c r="L880" s="467"/>
      <c r="M880" s="467"/>
      <c r="N880" s="467"/>
      <c r="O880" s="467"/>
      <c r="P880" s="468"/>
      <c r="Q880" s="468"/>
    </row>
    <row r="881">
      <c r="I881" s="73"/>
      <c r="J881" s="467"/>
      <c r="K881" s="467"/>
      <c r="L881" s="467"/>
      <c r="M881" s="467"/>
      <c r="N881" s="467"/>
      <c r="O881" s="467"/>
      <c r="P881" s="468"/>
      <c r="Q881" s="468"/>
    </row>
    <row r="882">
      <c r="I882" s="73"/>
      <c r="J882" s="467"/>
      <c r="K882" s="467"/>
      <c r="L882" s="467"/>
      <c r="M882" s="467"/>
      <c r="N882" s="467"/>
      <c r="O882" s="467"/>
      <c r="P882" s="468"/>
      <c r="Q882" s="468"/>
    </row>
    <row r="883">
      <c r="I883" s="73"/>
      <c r="J883" s="467"/>
      <c r="K883" s="467"/>
      <c r="L883" s="467"/>
      <c r="M883" s="467"/>
      <c r="N883" s="467"/>
      <c r="O883" s="467"/>
      <c r="P883" s="468"/>
      <c r="Q883" s="468"/>
    </row>
    <row r="884">
      <c r="I884" s="73"/>
      <c r="J884" s="467"/>
      <c r="K884" s="467"/>
      <c r="L884" s="467"/>
      <c r="M884" s="467"/>
      <c r="N884" s="467"/>
      <c r="O884" s="467"/>
      <c r="P884" s="468"/>
      <c r="Q884" s="468"/>
    </row>
    <row r="885">
      <c r="I885" s="73"/>
      <c r="J885" s="467"/>
      <c r="K885" s="467"/>
      <c r="L885" s="467"/>
      <c r="M885" s="467"/>
      <c r="N885" s="467"/>
      <c r="O885" s="467"/>
      <c r="P885" s="468"/>
      <c r="Q885" s="468"/>
    </row>
    <row r="886">
      <c r="I886" s="73"/>
      <c r="J886" s="467"/>
      <c r="K886" s="467"/>
      <c r="L886" s="467"/>
      <c r="M886" s="467"/>
      <c r="N886" s="467"/>
      <c r="O886" s="467"/>
      <c r="P886" s="468"/>
      <c r="Q886" s="468"/>
    </row>
    <row r="887">
      <c r="I887" s="73"/>
      <c r="J887" s="467"/>
      <c r="K887" s="467"/>
      <c r="L887" s="467"/>
      <c r="M887" s="467"/>
      <c r="N887" s="467"/>
      <c r="O887" s="467"/>
      <c r="P887" s="468"/>
      <c r="Q887" s="468"/>
    </row>
    <row r="888">
      <c r="I888" s="73"/>
      <c r="J888" s="467"/>
      <c r="K888" s="467"/>
      <c r="L888" s="467"/>
      <c r="M888" s="467"/>
      <c r="N888" s="467"/>
      <c r="O888" s="467"/>
      <c r="P888" s="468"/>
      <c r="Q888" s="468"/>
    </row>
    <row r="889">
      <c r="I889" s="73"/>
      <c r="J889" s="467"/>
      <c r="K889" s="467"/>
      <c r="L889" s="467"/>
      <c r="M889" s="467"/>
      <c r="N889" s="467"/>
      <c r="O889" s="467"/>
      <c r="P889" s="468"/>
      <c r="Q889" s="468"/>
    </row>
    <row r="890">
      <c r="I890" s="73"/>
      <c r="J890" s="467"/>
      <c r="K890" s="467"/>
      <c r="L890" s="467"/>
      <c r="M890" s="467"/>
      <c r="N890" s="467"/>
      <c r="O890" s="467"/>
      <c r="P890" s="468"/>
      <c r="Q890" s="468"/>
    </row>
    <row r="891">
      <c r="I891" s="73"/>
      <c r="J891" s="467"/>
      <c r="K891" s="467"/>
      <c r="L891" s="467"/>
      <c r="M891" s="467"/>
      <c r="N891" s="467"/>
      <c r="O891" s="467"/>
      <c r="P891" s="468"/>
      <c r="Q891" s="468"/>
    </row>
    <row r="892">
      <c r="I892" s="73"/>
      <c r="J892" s="467"/>
      <c r="K892" s="467"/>
      <c r="L892" s="467"/>
      <c r="M892" s="467"/>
      <c r="N892" s="467"/>
      <c r="O892" s="467"/>
      <c r="P892" s="468"/>
      <c r="Q892" s="468"/>
    </row>
    <row r="893">
      <c r="I893" s="73"/>
      <c r="J893" s="467"/>
      <c r="K893" s="467"/>
      <c r="L893" s="467"/>
      <c r="M893" s="467"/>
      <c r="N893" s="467"/>
      <c r="O893" s="467"/>
      <c r="P893" s="468"/>
      <c r="Q893" s="468"/>
    </row>
    <row r="894">
      <c r="I894" s="73"/>
      <c r="J894" s="467"/>
      <c r="K894" s="467"/>
      <c r="L894" s="467"/>
      <c r="M894" s="467"/>
      <c r="N894" s="467"/>
      <c r="O894" s="467"/>
      <c r="P894" s="468"/>
      <c r="Q894" s="468"/>
    </row>
    <row r="895">
      <c r="I895" s="73"/>
      <c r="J895" s="467"/>
      <c r="K895" s="467"/>
      <c r="L895" s="467"/>
      <c r="M895" s="467"/>
      <c r="N895" s="467"/>
      <c r="O895" s="467"/>
      <c r="P895" s="468"/>
      <c r="Q895" s="468"/>
    </row>
    <row r="896">
      <c r="I896" s="73"/>
      <c r="J896" s="467"/>
      <c r="K896" s="467"/>
      <c r="L896" s="467"/>
      <c r="M896" s="467"/>
      <c r="N896" s="467"/>
      <c r="O896" s="467"/>
      <c r="P896" s="468"/>
      <c r="Q896" s="468"/>
    </row>
    <row r="897">
      <c r="I897" s="73"/>
      <c r="J897" s="467"/>
      <c r="K897" s="467"/>
      <c r="L897" s="467"/>
      <c r="M897" s="467"/>
      <c r="N897" s="467"/>
      <c r="O897" s="467"/>
      <c r="P897" s="468"/>
      <c r="Q897" s="468"/>
    </row>
    <row r="898">
      <c r="I898" s="73"/>
      <c r="J898" s="467"/>
      <c r="K898" s="467"/>
      <c r="L898" s="467"/>
      <c r="M898" s="467"/>
      <c r="N898" s="467"/>
      <c r="O898" s="467"/>
      <c r="P898" s="468"/>
      <c r="Q898" s="468"/>
    </row>
    <row r="899">
      <c r="I899" s="73"/>
      <c r="J899" s="467"/>
      <c r="K899" s="467"/>
      <c r="L899" s="467"/>
      <c r="M899" s="467"/>
      <c r="N899" s="467"/>
      <c r="O899" s="467"/>
      <c r="P899" s="468"/>
      <c r="Q899" s="468"/>
    </row>
    <row r="900">
      <c r="I900" s="73"/>
      <c r="J900" s="467"/>
      <c r="K900" s="467"/>
      <c r="L900" s="467"/>
      <c r="M900" s="467"/>
      <c r="N900" s="467"/>
      <c r="O900" s="467"/>
      <c r="P900" s="468"/>
      <c r="Q900" s="468"/>
    </row>
    <row r="901">
      <c r="I901" s="73"/>
      <c r="J901" s="467"/>
      <c r="K901" s="467"/>
      <c r="L901" s="467"/>
      <c r="M901" s="467"/>
      <c r="N901" s="467"/>
      <c r="O901" s="467"/>
      <c r="P901" s="468"/>
      <c r="Q901" s="468"/>
    </row>
    <row r="902">
      <c r="I902" s="73"/>
      <c r="J902" s="467"/>
      <c r="K902" s="467"/>
      <c r="L902" s="467"/>
      <c r="M902" s="467"/>
      <c r="N902" s="467"/>
      <c r="O902" s="467"/>
      <c r="P902" s="468"/>
      <c r="Q902" s="468"/>
    </row>
    <row r="903">
      <c r="I903" s="73"/>
      <c r="J903" s="467"/>
      <c r="K903" s="467"/>
      <c r="L903" s="467"/>
      <c r="M903" s="467"/>
      <c r="N903" s="467"/>
      <c r="O903" s="467"/>
      <c r="P903" s="468"/>
      <c r="Q903" s="468"/>
    </row>
    <row r="904">
      <c r="I904" s="73"/>
      <c r="J904" s="467"/>
      <c r="K904" s="467"/>
      <c r="L904" s="467"/>
      <c r="M904" s="467"/>
      <c r="N904" s="467"/>
      <c r="O904" s="467"/>
      <c r="P904" s="468"/>
      <c r="Q904" s="468"/>
    </row>
    <row r="905">
      <c r="I905" s="73"/>
      <c r="J905" s="467"/>
      <c r="K905" s="467"/>
      <c r="L905" s="467"/>
      <c r="M905" s="467"/>
      <c r="N905" s="467"/>
      <c r="O905" s="467"/>
      <c r="P905" s="468"/>
      <c r="Q905" s="468"/>
    </row>
    <row r="906">
      <c r="I906" s="73"/>
      <c r="J906" s="467"/>
      <c r="K906" s="467"/>
      <c r="L906" s="467"/>
      <c r="M906" s="467"/>
      <c r="N906" s="467"/>
      <c r="O906" s="467"/>
      <c r="P906" s="468"/>
      <c r="Q906" s="468"/>
    </row>
    <row r="907">
      <c r="I907" s="73"/>
      <c r="J907" s="467"/>
      <c r="K907" s="467"/>
      <c r="L907" s="467"/>
      <c r="M907" s="467"/>
      <c r="N907" s="467"/>
      <c r="O907" s="467"/>
      <c r="P907" s="468"/>
      <c r="Q907" s="468"/>
    </row>
    <row r="908">
      <c r="I908" s="73"/>
      <c r="J908" s="467"/>
      <c r="K908" s="467"/>
      <c r="L908" s="467"/>
      <c r="M908" s="467"/>
      <c r="N908" s="467"/>
      <c r="O908" s="467"/>
      <c r="P908" s="468"/>
      <c r="Q908" s="468"/>
    </row>
    <row r="909">
      <c r="I909" s="73"/>
      <c r="J909" s="467"/>
      <c r="K909" s="467"/>
      <c r="L909" s="467"/>
      <c r="M909" s="467"/>
      <c r="N909" s="467"/>
      <c r="O909" s="467"/>
      <c r="P909" s="468"/>
      <c r="Q909" s="468"/>
    </row>
    <row r="910">
      <c r="I910" s="73"/>
      <c r="J910" s="467"/>
      <c r="K910" s="467"/>
      <c r="L910" s="467"/>
      <c r="M910" s="467"/>
      <c r="N910" s="467"/>
      <c r="O910" s="467"/>
      <c r="P910" s="468"/>
      <c r="Q910" s="468"/>
    </row>
    <row r="911">
      <c r="I911" s="73"/>
      <c r="J911" s="467"/>
      <c r="K911" s="467"/>
      <c r="L911" s="467"/>
      <c r="M911" s="467"/>
      <c r="N911" s="467"/>
      <c r="O911" s="467"/>
      <c r="P911" s="468"/>
      <c r="Q911" s="468"/>
    </row>
    <row r="912">
      <c r="I912" s="73"/>
      <c r="J912" s="467"/>
      <c r="K912" s="467"/>
      <c r="L912" s="467"/>
      <c r="M912" s="467"/>
      <c r="N912" s="467"/>
      <c r="O912" s="467"/>
      <c r="P912" s="468"/>
      <c r="Q912" s="468"/>
    </row>
    <row r="913">
      <c r="I913" s="73"/>
      <c r="J913" s="467"/>
      <c r="K913" s="467"/>
      <c r="L913" s="467"/>
      <c r="M913" s="467"/>
      <c r="N913" s="467"/>
      <c r="O913" s="467"/>
      <c r="P913" s="468"/>
      <c r="Q913" s="468"/>
    </row>
    <row r="914">
      <c r="I914" s="73"/>
      <c r="J914" s="467"/>
      <c r="K914" s="467"/>
      <c r="L914" s="467"/>
      <c r="M914" s="467"/>
      <c r="N914" s="467"/>
      <c r="O914" s="467"/>
      <c r="P914" s="468"/>
      <c r="Q914" s="468"/>
    </row>
    <row r="915">
      <c r="I915" s="73"/>
      <c r="J915" s="467"/>
      <c r="K915" s="467"/>
      <c r="L915" s="467"/>
      <c r="M915" s="467"/>
      <c r="N915" s="467"/>
      <c r="O915" s="467"/>
      <c r="P915" s="468"/>
      <c r="Q915" s="468"/>
    </row>
    <row r="916">
      <c r="I916" s="73"/>
      <c r="J916" s="467"/>
      <c r="K916" s="467"/>
      <c r="L916" s="467"/>
      <c r="M916" s="467"/>
      <c r="N916" s="467"/>
      <c r="O916" s="467"/>
      <c r="P916" s="468"/>
      <c r="Q916" s="468"/>
    </row>
    <row r="917">
      <c r="I917" s="73"/>
      <c r="J917" s="467"/>
      <c r="K917" s="467"/>
      <c r="L917" s="467"/>
      <c r="M917" s="467"/>
      <c r="N917" s="467"/>
      <c r="O917" s="467"/>
      <c r="P917" s="468"/>
      <c r="Q917" s="468"/>
    </row>
    <row r="918">
      <c r="I918" s="73"/>
      <c r="J918" s="467"/>
      <c r="K918" s="467"/>
      <c r="L918" s="467"/>
      <c r="M918" s="467"/>
      <c r="N918" s="467"/>
      <c r="O918" s="467"/>
      <c r="P918" s="468"/>
      <c r="Q918" s="468"/>
    </row>
    <row r="919">
      <c r="I919" s="73"/>
      <c r="J919" s="467"/>
      <c r="K919" s="467"/>
      <c r="L919" s="467"/>
      <c r="M919" s="467"/>
      <c r="N919" s="467"/>
      <c r="O919" s="467"/>
      <c r="P919" s="468"/>
      <c r="Q919" s="468"/>
    </row>
    <row r="920">
      <c r="I920" s="73"/>
      <c r="J920" s="467"/>
      <c r="K920" s="467"/>
      <c r="L920" s="467"/>
      <c r="M920" s="467"/>
      <c r="N920" s="467"/>
      <c r="O920" s="467"/>
      <c r="P920" s="468"/>
      <c r="Q920" s="468"/>
    </row>
    <row r="921">
      <c r="I921" s="73"/>
      <c r="J921" s="467"/>
      <c r="K921" s="467"/>
      <c r="L921" s="467"/>
      <c r="M921" s="467"/>
      <c r="N921" s="467"/>
      <c r="O921" s="467"/>
      <c r="P921" s="468"/>
      <c r="Q921" s="468"/>
    </row>
    <row r="922">
      <c r="I922" s="73"/>
      <c r="J922" s="467"/>
      <c r="K922" s="467"/>
      <c r="L922" s="467"/>
      <c r="M922" s="467"/>
      <c r="N922" s="467"/>
      <c r="O922" s="467"/>
      <c r="P922" s="468"/>
      <c r="Q922" s="468"/>
    </row>
    <row r="923">
      <c r="I923" s="73"/>
      <c r="J923" s="467"/>
      <c r="K923" s="467"/>
      <c r="L923" s="467"/>
      <c r="M923" s="467"/>
      <c r="N923" s="467"/>
      <c r="O923" s="467"/>
      <c r="P923" s="468"/>
      <c r="Q923" s="468"/>
    </row>
    <row r="924">
      <c r="I924" s="73"/>
      <c r="J924" s="467"/>
      <c r="K924" s="467"/>
      <c r="L924" s="467"/>
      <c r="M924" s="467"/>
      <c r="N924" s="467"/>
      <c r="O924" s="467"/>
      <c r="P924" s="468"/>
      <c r="Q924" s="468"/>
    </row>
    <row r="925">
      <c r="I925" s="73"/>
      <c r="J925" s="467"/>
      <c r="K925" s="467"/>
      <c r="L925" s="467"/>
      <c r="M925" s="467"/>
      <c r="N925" s="467"/>
      <c r="O925" s="467"/>
      <c r="P925" s="468"/>
      <c r="Q925" s="468"/>
    </row>
    <row r="926">
      <c r="I926" s="73"/>
      <c r="J926" s="467"/>
      <c r="K926" s="467"/>
      <c r="L926" s="467"/>
      <c r="M926" s="467"/>
      <c r="N926" s="467"/>
      <c r="O926" s="467"/>
      <c r="P926" s="468"/>
      <c r="Q926" s="468"/>
    </row>
    <row r="927">
      <c r="I927" s="73"/>
      <c r="J927" s="467"/>
      <c r="K927" s="467"/>
      <c r="L927" s="467"/>
      <c r="M927" s="467"/>
      <c r="N927" s="467"/>
      <c r="O927" s="467"/>
      <c r="P927" s="468"/>
      <c r="Q927" s="468"/>
    </row>
    <row r="928">
      <c r="I928" s="73"/>
      <c r="J928" s="467"/>
      <c r="K928" s="467"/>
      <c r="L928" s="467"/>
      <c r="M928" s="467"/>
      <c r="N928" s="467"/>
      <c r="O928" s="467"/>
      <c r="P928" s="468"/>
      <c r="Q928" s="468"/>
    </row>
    <row r="929">
      <c r="I929" s="73"/>
      <c r="J929" s="467"/>
      <c r="K929" s="467"/>
      <c r="L929" s="467"/>
      <c r="M929" s="467"/>
      <c r="N929" s="467"/>
      <c r="O929" s="467"/>
      <c r="P929" s="468"/>
      <c r="Q929" s="468"/>
    </row>
    <row r="930">
      <c r="I930" s="73"/>
      <c r="J930" s="467"/>
      <c r="K930" s="467"/>
      <c r="L930" s="467"/>
      <c r="M930" s="467"/>
      <c r="N930" s="467"/>
      <c r="O930" s="467"/>
      <c r="P930" s="468"/>
      <c r="Q930" s="468"/>
    </row>
    <row r="931">
      <c r="I931" s="73"/>
      <c r="J931" s="467"/>
      <c r="K931" s="467"/>
      <c r="L931" s="467"/>
      <c r="M931" s="467"/>
      <c r="N931" s="467"/>
      <c r="O931" s="467"/>
      <c r="P931" s="468"/>
      <c r="Q931" s="468"/>
    </row>
    <row r="932">
      <c r="I932" s="73"/>
      <c r="J932" s="467"/>
      <c r="K932" s="467"/>
      <c r="L932" s="467"/>
      <c r="M932" s="467"/>
      <c r="N932" s="467"/>
      <c r="O932" s="467"/>
      <c r="P932" s="468"/>
      <c r="Q932" s="468"/>
    </row>
    <row r="933">
      <c r="I933" s="73"/>
      <c r="J933" s="467"/>
      <c r="K933" s="467"/>
      <c r="L933" s="467"/>
      <c r="M933" s="467"/>
      <c r="N933" s="467"/>
      <c r="O933" s="467"/>
      <c r="P933" s="468"/>
      <c r="Q933" s="468"/>
    </row>
    <row r="934">
      <c r="I934" s="73"/>
      <c r="J934" s="467"/>
      <c r="K934" s="467"/>
      <c r="L934" s="467"/>
      <c r="M934" s="467"/>
      <c r="N934" s="467"/>
      <c r="O934" s="467"/>
      <c r="P934" s="468"/>
      <c r="Q934" s="468"/>
    </row>
    <row r="935">
      <c r="I935" s="73"/>
      <c r="J935" s="467"/>
      <c r="K935" s="467"/>
      <c r="L935" s="467"/>
      <c r="M935" s="467"/>
      <c r="N935" s="467"/>
      <c r="O935" s="467"/>
      <c r="P935" s="468"/>
      <c r="Q935" s="468"/>
    </row>
    <row r="936">
      <c r="I936" s="73"/>
      <c r="J936" s="467"/>
      <c r="K936" s="467"/>
      <c r="L936" s="467"/>
      <c r="M936" s="467"/>
      <c r="N936" s="467"/>
      <c r="O936" s="467"/>
      <c r="P936" s="468"/>
      <c r="Q936" s="468"/>
    </row>
    <row r="937">
      <c r="I937" s="73"/>
      <c r="J937" s="467"/>
      <c r="K937" s="467"/>
      <c r="L937" s="467"/>
      <c r="M937" s="467"/>
      <c r="N937" s="467"/>
      <c r="O937" s="467"/>
      <c r="P937" s="468"/>
      <c r="Q937" s="468"/>
    </row>
    <row r="938">
      <c r="I938" s="73"/>
      <c r="J938" s="467"/>
      <c r="K938" s="467"/>
      <c r="L938" s="467"/>
      <c r="M938" s="467"/>
      <c r="N938" s="467"/>
      <c r="O938" s="467"/>
      <c r="P938" s="468"/>
      <c r="Q938" s="468"/>
    </row>
    <row r="939">
      <c r="I939" s="73"/>
      <c r="J939" s="467"/>
      <c r="K939" s="467"/>
      <c r="L939" s="467"/>
      <c r="M939" s="467"/>
      <c r="N939" s="467"/>
      <c r="O939" s="467"/>
      <c r="P939" s="468"/>
      <c r="Q939" s="468"/>
    </row>
    <row r="940">
      <c r="I940" s="73"/>
      <c r="J940" s="467"/>
      <c r="K940" s="467"/>
      <c r="L940" s="467"/>
      <c r="M940" s="467"/>
      <c r="N940" s="467"/>
      <c r="O940" s="467"/>
      <c r="P940" s="468"/>
      <c r="Q940" s="468"/>
    </row>
    <row r="941">
      <c r="I941" s="73"/>
      <c r="J941" s="467"/>
      <c r="K941" s="467"/>
      <c r="L941" s="467"/>
      <c r="M941" s="467"/>
      <c r="N941" s="467"/>
      <c r="O941" s="467"/>
      <c r="P941" s="468"/>
      <c r="Q941" s="468"/>
    </row>
    <row r="942">
      <c r="I942" s="73"/>
      <c r="J942" s="467"/>
      <c r="K942" s="467"/>
      <c r="L942" s="467"/>
      <c r="M942" s="467"/>
      <c r="N942" s="467"/>
      <c r="O942" s="467"/>
      <c r="P942" s="468"/>
      <c r="Q942" s="468"/>
    </row>
    <row r="943">
      <c r="I943" s="73"/>
      <c r="J943" s="467"/>
      <c r="K943" s="467"/>
      <c r="L943" s="467"/>
      <c r="M943" s="467"/>
      <c r="N943" s="467"/>
      <c r="O943" s="467"/>
      <c r="P943" s="468"/>
      <c r="Q943" s="468"/>
    </row>
    <row r="944">
      <c r="I944" s="73"/>
      <c r="J944" s="467"/>
      <c r="K944" s="467"/>
      <c r="L944" s="467"/>
      <c r="M944" s="467"/>
      <c r="N944" s="467"/>
      <c r="O944" s="467"/>
      <c r="P944" s="468"/>
      <c r="Q944" s="468"/>
    </row>
    <row r="945">
      <c r="I945" s="73"/>
      <c r="J945" s="467"/>
      <c r="K945" s="467"/>
      <c r="L945" s="467"/>
      <c r="M945" s="467"/>
      <c r="N945" s="467"/>
      <c r="O945" s="467"/>
      <c r="P945" s="468"/>
      <c r="Q945" s="468"/>
    </row>
    <row r="946">
      <c r="I946" s="73"/>
      <c r="J946" s="467"/>
      <c r="K946" s="467"/>
      <c r="L946" s="467"/>
      <c r="M946" s="467"/>
      <c r="N946" s="467"/>
      <c r="O946" s="467"/>
      <c r="P946" s="468"/>
      <c r="Q946" s="468"/>
    </row>
    <row r="947">
      <c r="I947" s="73"/>
      <c r="J947" s="467"/>
      <c r="K947" s="467"/>
      <c r="L947" s="467"/>
      <c r="M947" s="467"/>
      <c r="N947" s="467"/>
      <c r="O947" s="467"/>
      <c r="P947" s="468"/>
      <c r="Q947" s="468"/>
    </row>
    <row r="948">
      <c r="I948" s="73"/>
      <c r="J948" s="467"/>
      <c r="K948" s="467"/>
      <c r="L948" s="467"/>
      <c r="M948" s="467"/>
      <c r="N948" s="467"/>
      <c r="O948" s="467"/>
      <c r="P948" s="468"/>
      <c r="Q948" s="468"/>
    </row>
    <row r="949">
      <c r="I949" s="73"/>
      <c r="J949" s="467"/>
      <c r="K949" s="467"/>
      <c r="L949" s="467"/>
      <c r="M949" s="467"/>
      <c r="N949" s="467"/>
      <c r="O949" s="467"/>
      <c r="P949" s="468"/>
      <c r="Q949" s="468"/>
    </row>
    <row r="950">
      <c r="I950" s="73"/>
      <c r="J950" s="467"/>
      <c r="K950" s="467"/>
      <c r="L950" s="467"/>
      <c r="M950" s="467"/>
      <c r="N950" s="467"/>
      <c r="O950" s="467"/>
      <c r="P950" s="468"/>
      <c r="Q950" s="468"/>
    </row>
    <row r="951">
      <c r="I951" s="73"/>
      <c r="J951" s="467"/>
      <c r="K951" s="467"/>
      <c r="L951" s="467"/>
      <c r="M951" s="467"/>
      <c r="N951" s="467"/>
      <c r="O951" s="467"/>
      <c r="P951" s="468"/>
      <c r="Q951" s="468"/>
    </row>
    <row r="952">
      <c r="I952" s="73"/>
      <c r="J952" s="467"/>
      <c r="K952" s="467"/>
      <c r="L952" s="467"/>
      <c r="M952" s="467"/>
      <c r="N952" s="467"/>
      <c r="O952" s="467"/>
      <c r="P952" s="468"/>
      <c r="Q952" s="468"/>
    </row>
    <row r="953">
      <c r="I953" s="73"/>
      <c r="J953" s="467"/>
      <c r="K953" s="467"/>
      <c r="L953" s="467"/>
      <c r="M953" s="467"/>
      <c r="N953" s="467"/>
      <c r="O953" s="467"/>
      <c r="P953" s="468"/>
      <c r="Q953" s="468"/>
    </row>
    <row r="954">
      <c r="I954" s="73"/>
      <c r="J954" s="467"/>
      <c r="K954" s="467"/>
      <c r="L954" s="467"/>
      <c r="M954" s="467"/>
      <c r="N954" s="467"/>
      <c r="O954" s="467"/>
      <c r="P954" s="468"/>
      <c r="Q954" s="468"/>
    </row>
    <row r="955">
      <c r="I955" s="73"/>
      <c r="J955" s="467"/>
      <c r="K955" s="467"/>
      <c r="L955" s="467"/>
      <c r="M955" s="467"/>
      <c r="N955" s="467"/>
      <c r="O955" s="467"/>
      <c r="P955" s="468"/>
      <c r="Q955" s="468"/>
    </row>
    <row r="956">
      <c r="I956" s="73"/>
      <c r="J956" s="467"/>
      <c r="K956" s="467"/>
      <c r="L956" s="467"/>
      <c r="M956" s="467"/>
      <c r="N956" s="467"/>
      <c r="O956" s="467"/>
      <c r="P956" s="468"/>
      <c r="Q956" s="468"/>
    </row>
    <row r="957">
      <c r="I957" s="73"/>
      <c r="J957" s="467"/>
      <c r="K957" s="467"/>
      <c r="L957" s="467"/>
      <c r="M957" s="467"/>
      <c r="N957" s="467"/>
      <c r="O957" s="467"/>
      <c r="P957" s="468"/>
      <c r="Q957" s="468"/>
    </row>
    <row r="958">
      <c r="I958" s="73"/>
      <c r="J958" s="467"/>
      <c r="K958" s="467"/>
      <c r="L958" s="467"/>
      <c r="M958" s="467"/>
      <c r="N958" s="467"/>
      <c r="O958" s="467"/>
      <c r="P958" s="468"/>
      <c r="Q958" s="468"/>
    </row>
    <row r="959">
      <c r="I959" s="73"/>
      <c r="J959" s="467"/>
      <c r="K959" s="467"/>
      <c r="L959" s="467"/>
      <c r="M959" s="467"/>
      <c r="N959" s="467"/>
      <c r="O959" s="467"/>
      <c r="P959" s="468"/>
      <c r="Q959" s="468"/>
    </row>
    <row r="960">
      <c r="I960" s="73"/>
      <c r="J960" s="467"/>
      <c r="K960" s="467"/>
      <c r="L960" s="467"/>
      <c r="M960" s="467"/>
      <c r="N960" s="467"/>
      <c r="O960" s="467"/>
      <c r="P960" s="468"/>
      <c r="Q960" s="468"/>
    </row>
    <row r="961">
      <c r="I961" s="73"/>
      <c r="J961" s="467"/>
      <c r="K961" s="467"/>
      <c r="L961" s="467"/>
      <c r="M961" s="467"/>
      <c r="N961" s="467"/>
      <c r="O961" s="467"/>
      <c r="P961" s="468"/>
      <c r="Q961" s="468"/>
    </row>
    <row r="962">
      <c r="I962" s="73"/>
      <c r="J962" s="467"/>
      <c r="K962" s="467"/>
      <c r="L962" s="467"/>
      <c r="M962" s="467"/>
      <c r="N962" s="467"/>
      <c r="O962" s="467"/>
      <c r="P962" s="468"/>
      <c r="Q962" s="468"/>
    </row>
    <row r="963">
      <c r="I963" s="73"/>
      <c r="J963" s="467"/>
      <c r="K963" s="467"/>
      <c r="L963" s="467"/>
      <c r="M963" s="467"/>
      <c r="N963" s="467"/>
      <c r="O963" s="467"/>
      <c r="P963" s="468"/>
      <c r="Q963" s="468"/>
    </row>
    <row r="964">
      <c r="I964" s="73"/>
      <c r="J964" s="467"/>
      <c r="K964" s="467"/>
      <c r="L964" s="467"/>
      <c r="M964" s="467"/>
      <c r="N964" s="467"/>
      <c r="O964" s="467"/>
      <c r="P964" s="468"/>
      <c r="Q964" s="468"/>
    </row>
    <row r="965">
      <c r="I965" s="73"/>
      <c r="J965" s="467"/>
      <c r="K965" s="467"/>
      <c r="L965" s="467"/>
      <c r="M965" s="467"/>
      <c r="N965" s="467"/>
      <c r="O965" s="467"/>
      <c r="P965" s="468"/>
      <c r="Q965" s="468"/>
    </row>
    <row r="966">
      <c r="I966" s="73"/>
      <c r="J966" s="467"/>
      <c r="K966" s="467"/>
      <c r="L966" s="467"/>
      <c r="M966" s="467"/>
      <c r="N966" s="467"/>
      <c r="O966" s="467"/>
      <c r="P966" s="468"/>
      <c r="Q966" s="468"/>
    </row>
    <row r="967">
      <c r="I967" s="73"/>
      <c r="J967" s="467"/>
      <c r="K967" s="467"/>
      <c r="L967" s="467"/>
      <c r="M967" s="467"/>
      <c r="N967" s="467"/>
      <c r="O967" s="467"/>
      <c r="P967" s="468"/>
      <c r="Q967" s="468"/>
    </row>
    <row r="968">
      <c r="I968" s="73"/>
      <c r="J968" s="467"/>
      <c r="K968" s="467"/>
      <c r="L968" s="467"/>
      <c r="M968" s="467"/>
      <c r="N968" s="467"/>
      <c r="O968" s="467"/>
      <c r="P968" s="468"/>
      <c r="Q968" s="468"/>
    </row>
    <row r="969">
      <c r="I969" s="73"/>
      <c r="J969" s="467"/>
      <c r="K969" s="467"/>
      <c r="L969" s="467"/>
      <c r="M969" s="467"/>
      <c r="N969" s="467"/>
      <c r="O969" s="467"/>
      <c r="P969" s="468"/>
      <c r="Q969" s="468"/>
    </row>
    <row r="970">
      <c r="I970" s="73"/>
      <c r="J970" s="467"/>
      <c r="K970" s="467"/>
      <c r="L970" s="467"/>
      <c r="M970" s="467"/>
      <c r="N970" s="467"/>
      <c r="O970" s="467"/>
      <c r="P970" s="468"/>
      <c r="Q970" s="468"/>
    </row>
    <row r="971">
      <c r="I971" s="73"/>
      <c r="J971" s="467"/>
      <c r="K971" s="467"/>
      <c r="L971" s="467"/>
      <c r="M971" s="467"/>
      <c r="N971" s="467"/>
      <c r="O971" s="467"/>
      <c r="P971" s="468"/>
      <c r="Q971" s="468"/>
    </row>
    <row r="972">
      <c r="I972" s="73"/>
      <c r="J972" s="467"/>
      <c r="K972" s="467"/>
      <c r="L972" s="467"/>
      <c r="M972" s="467"/>
      <c r="N972" s="467"/>
      <c r="O972" s="467"/>
      <c r="P972" s="468"/>
      <c r="Q972" s="468"/>
    </row>
    <row r="973">
      <c r="I973" s="73"/>
      <c r="J973" s="467"/>
      <c r="K973" s="467"/>
      <c r="L973" s="467"/>
      <c r="M973" s="467"/>
      <c r="N973" s="467"/>
      <c r="O973" s="467"/>
      <c r="P973" s="468"/>
      <c r="Q973" s="468"/>
    </row>
    <row r="974">
      <c r="I974" s="73"/>
      <c r="J974" s="467"/>
      <c r="K974" s="467"/>
      <c r="L974" s="467"/>
      <c r="M974" s="467"/>
      <c r="N974" s="467"/>
      <c r="O974" s="467"/>
      <c r="P974" s="468"/>
      <c r="Q974" s="468"/>
    </row>
    <row r="975">
      <c r="I975" s="73"/>
      <c r="J975" s="467"/>
      <c r="K975" s="467"/>
      <c r="L975" s="467"/>
      <c r="M975" s="467"/>
      <c r="N975" s="467"/>
      <c r="O975" s="467"/>
      <c r="P975" s="468"/>
      <c r="Q975" s="468"/>
    </row>
    <row r="976">
      <c r="I976" s="73"/>
      <c r="J976" s="467"/>
      <c r="K976" s="467"/>
      <c r="L976" s="467"/>
      <c r="M976" s="467"/>
      <c r="N976" s="467"/>
      <c r="O976" s="467"/>
      <c r="P976" s="468"/>
      <c r="Q976" s="468"/>
    </row>
    <row r="977">
      <c r="I977" s="73"/>
      <c r="J977" s="467"/>
      <c r="K977" s="467"/>
      <c r="L977" s="467"/>
      <c r="M977" s="467"/>
      <c r="N977" s="467"/>
      <c r="O977" s="467"/>
      <c r="P977" s="468"/>
      <c r="Q977" s="468"/>
    </row>
    <row r="978">
      <c r="I978" s="73"/>
      <c r="J978" s="467"/>
      <c r="K978" s="467"/>
      <c r="L978" s="467"/>
      <c r="M978" s="467"/>
      <c r="N978" s="467"/>
      <c r="O978" s="467"/>
      <c r="P978" s="468"/>
      <c r="Q978" s="468"/>
    </row>
    <row r="979">
      <c r="I979" s="73"/>
      <c r="J979" s="467"/>
      <c r="K979" s="467"/>
      <c r="L979" s="467"/>
      <c r="M979" s="467"/>
      <c r="N979" s="467"/>
      <c r="O979" s="467"/>
      <c r="P979" s="468"/>
      <c r="Q979" s="468"/>
    </row>
    <row r="980">
      <c r="I980" s="73"/>
      <c r="J980" s="467"/>
      <c r="K980" s="467"/>
      <c r="L980" s="467"/>
      <c r="M980" s="467"/>
      <c r="N980" s="467"/>
      <c r="O980" s="467"/>
      <c r="P980" s="468"/>
      <c r="Q980" s="468"/>
    </row>
    <row r="981">
      <c r="I981" s="73"/>
      <c r="J981" s="467"/>
      <c r="K981" s="467"/>
      <c r="L981" s="467"/>
      <c r="M981" s="467"/>
      <c r="N981" s="467"/>
      <c r="O981" s="467"/>
      <c r="P981" s="468"/>
      <c r="Q981" s="468"/>
    </row>
    <row r="982">
      <c r="I982" s="73"/>
      <c r="J982" s="467"/>
      <c r="K982" s="467"/>
      <c r="L982" s="467"/>
      <c r="M982" s="467"/>
      <c r="N982" s="467"/>
      <c r="O982" s="467"/>
      <c r="P982" s="468"/>
      <c r="Q982" s="468"/>
    </row>
    <row r="983">
      <c r="I983" s="73"/>
      <c r="J983" s="467"/>
      <c r="K983" s="467"/>
      <c r="L983" s="467"/>
      <c r="M983" s="467"/>
      <c r="N983" s="467"/>
      <c r="O983" s="467"/>
      <c r="P983" s="468"/>
      <c r="Q983" s="468"/>
    </row>
    <row r="984">
      <c r="I984" s="73"/>
      <c r="J984" s="467"/>
      <c r="K984" s="467"/>
      <c r="L984" s="467"/>
      <c r="M984" s="467"/>
      <c r="N984" s="467"/>
      <c r="O984" s="467"/>
      <c r="P984" s="468"/>
      <c r="Q984" s="468"/>
    </row>
    <row r="985">
      <c r="I985" s="73"/>
      <c r="J985" s="467"/>
      <c r="K985" s="467"/>
      <c r="L985" s="467"/>
      <c r="M985" s="467"/>
      <c r="N985" s="467"/>
      <c r="O985" s="467"/>
      <c r="P985" s="468"/>
      <c r="Q985" s="468"/>
    </row>
    <row r="986">
      <c r="I986" s="73"/>
      <c r="J986" s="467"/>
      <c r="K986" s="467"/>
      <c r="L986" s="467"/>
      <c r="M986" s="467"/>
      <c r="N986" s="467"/>
      <c r="O986" s="467"/>
      <c r="P986" s="468"/>
      <c r="Q986" s="468"/>
    </row>
    <row r="987">
      <c r="I987" s="73"/>
      <c r="J987" s="467"/>
      <c r="K987" s="467"/>
      <c r="L987" s="467"/>
      <c r="M987" s="467"/>
      <c r="N987" s="467"/>
      <c r="O987" s="467"/>
      <c r="P987" s="468"/>
      <c r="Q987" s="468"/>
    </row>
    <row r="988">
      <c r="I988" s="73"/>
      <c r="J988" s="467"/>
      <c r="K988" s="467"/>
      <c r="L988" s="467"/>
      <c r="M988" s="467"/>
      <c r="N988" s="467"/>
      <c r="O988" s="467"/>
      <c r="P988" s="468"/>
      <c r="Q988" s="468"/>
    </row>
    <row r="989">
      <c r="I989" s="73"/>
      <c r="J989" s="467"/>
      <c r="K989" s="467"/>
      <c r="L989" s="467"/>
      <c r="M989" s="467"/>
      <c r="N989" s="467"/>
      <c r="O989" s="467"/>
      <c r="P989" s="468"/>
      <c r="Q989" s="468"/>
    </row>
    <row r="990">
      <c r="I990" s="73"/>
      <c r="J990" s="467"/>
      <c r="K990" s="467"/>
      <c r="L990" s="467"/>
      <c r="M990" s="467"/>
      <c r="N990" s="467"/>
      <c r="O990" s="467"/>
      <c r="P990" s="468"/>
      <c r="Q990" s="468"/>
    </row>
    <row r="991">
      <c r="I991" s="73"/>
      <c r="J991" s="467"/>
      <c r="K991" s="467"/>
      <c r="L991" s="467"/>
      <c r="M991" s="467"/>
      <c r="N991" s="467"/>
      <c r="O991" s="467"/>
      <c r="P991" s="468"/>
      <c r="Q991" s="468"/>
    </row>
    <row r="992">
      <c r="I992" s="73"/>
      <c r="J992" s="467"/>
      <c r="K992" s="467"/>
      <c r="L992" s="467"/>
      <c r="M992" s="467"/>
      <c r="N992" s="467"/>
      <c r="O992" s="467"/>
      <c r="P992" s="468"/>
      <c r="Q992" s="468"/>
    </row>
    <row r="993">
      <c r="I993" s="73"/>
      <c r="J993" s="467"/>
      <c r="K993" s="467"/>
      <c r="L993" s="467"/>
      <c r="M993" s="467"/>
      <c r="N993" s="467"/>
      <c r="O993" s="467"/>
      <c r="P993" s="468"/>
      <c r="Q993" s="468"/>
    </row>
    <row r="994">
      <c r="I994" s="73"/>
      <c r="J994" s="467"/>
      <c r="K994" s="467"/>
      <c r="L994" s="467"/>
      <c r="M994" s="467"/>
      <c r="N994" s="467"/>
      <c r="O994" s="467"/>
      <c r="P994" s="468"/>
      <c r="Q994" s="468"/>
    </row>
    <row r="995">
      <c r="I995" s="73"/>
      <c r="J995" s="467"/>
      <c r="K995" s="467"/>
      <c r="L995" s="467"/>
      <c r="M995" s="467"/>
      <c r="N995" s="467"/>
      <c r="O995" s="467"/>
      <c r="P995" s="468"/>
      <c r="Q995" s="468"/>
    </row>
    <row r="996">
      <c r="I996" s="73"/>
      <c r="J996" s="467"/>
      <c r="K996" s="467"/>
      <c r="L996" s="467"/>
      <c r="M996" s="467"/>
      <c r="N996" s="467"/>
      <c r="O996" s="467"/>
      <c r="P996" s="468"/>
      <c r="Q996" s="468"/>
    </row>
    <row r="997">
      <c r="I997" s="73"/>
      <c r="J997" s="467"/>
      <c r="K997" s="467"/>
      <c r="L997" s="467"/>
      <c r="M997" s="467"/>
      <c r="N997" s="467"/>
      <c r="O997" s="467"/>
      <c r="P997" s="468"/>
      <c r="Q997" s="468"/>
    </row>
    <row r="998">
      <c r="I998" s="73"/>
      <c r="J998" s="467"/>
      <c r="K998" s="467"/>
      <c r="L998" s="467"/>
      <c r="M998" s="467"/>
      <c r="N998" s="467"/>
      <c r="O998" s="467"/>
      <c r="P998" s="468"/>
      <c r="Q998" s="468"/>
    </row>
    <row r="999">
      <c r="I999" s="73"/>
      <c r="J999" s="467"/>
      <c r="K999" s="467"/>
      <c r="L999" s="467"/>
      <c r="M999" s="467"/>
      <c r="N999" s="467"/>
      <c r="O999" s="467"/>
      <c r="P999" s="468"/>
      <c r="Q999" s="468"/>
    </row>
    <row r="1000">
      <c r="I1000" s="73"/>
      <c r="J1000" s="467"/>
      <c r="K1000" s="467"/>
      <c r="L1000" s="467"/>
      <c r="M1000" s="467"/>
      <c r="N1000" s="467"/>
      <c r="O1000" s="467"/>
      <c r="P1000" s="468"/>
      <c r="Q1000" s="468"/>
    </row>
  </sheetData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hidden="1" min="2" max="2" width="5.13"/>
    <col customWidth="1" min="3" max="3" width="11.5"/>
    <col customWidth="1" hidden="1" min="4" max="4" width="11.63"/>
    <col customWidth="1" min="5" max="5" width="4.75"/>
    <col customWidth="1" min="6" max="6" width="5.5"/>
    <col customWidth="1" min="7" max="7" width="9.63"/>
    <col customWidth="1" min="8" max="8" width="5.38"/>
    <col customWidth="1" min="9" max="9" width="4.0"/>
    <col customWidth="1" min="10" max="10" width="6.25"/>
    <col customWidth="1" min="11" max="11" width="6.38"/>
    <col customWidth="1" min="12" max="12" width="6.25"/>
    <col customWidth="1" min="13" max="13" width="5.88"/>
    <col customWidth="1" min="14" max="14" width="8.0"/>
    <col customWidth="1" min="15" max="15" width="8.25"/>
    <col customWidth="1" min="16" max="16" width="9.13"/>
    <col customWidth="1" min="17" max="17" width="9.88"/>
    <col customWidth="1" min="18" max="18" width="10.75"/>
    <col customWidth="1" min="19" max="19" width="11.88"/>
    <col customWidth="1" min="20" max="20" width="11.0"/>
    <col customWidth="1" min="21" max="21" width="9.0"/>
    <col customWidth="1" min="22" max="22" width="11.0"/>
    <col customWidth="1" min="23" max="23" width="9.38"/>
    <col customWidth="1" min="24" max="24" width="8.13"/>
    <col customWidth="1" min="25" max="25" width="7.38"/>
    <col customWidth="1" min="26" max="27" width="9.0"/>
    <col customWidth="1" min="28" max="28" width="11.0"/>
    <col customWidth="1" min="29" max="29" width="10.13"/>
    <col customWidth="1" min="30" max="30" width="11.5"/>
    <col customWidth="1" min="31" max="31" width="8.25"/>
    <col customWidth="1" min="32" max="32" width="7.13"/>
    <col customWidth="1" min="33" max="33" width="7.5"/>
    <col customWidth="1" min="34" max="34" width="12.13"/>
    <col customWidth="1" min="35" max="35" width="12.63"/>
    <col customWidth="1" min="36" max="36" width="20.25"/>
    <col customWidth="1" min="37" max="37" width="8.0"/>
  </cols>
  <sheetData>
    <row r="1">
      <c r="A1" s="469" t="s">
        <v>62</v>
      </c>
      <c r="B1" s="469" t="s">
        <v>305</v>
      </c>
      <c r="C1" s="469" t="s">
        <v>117</v>
      </c>
      <c r="D1" s="469" t="s">
        <v>306</v>
      </c>
      <c r="E1" s="469" t="s">
        <v>307</v>
      </c>
      <c r="F1" s="469" t="s">
        <v>308</v>
      </c>
      <c r="G1" s="469" t="s">
        <v>447</v>
      </c>
      <c r="H1" s="469" t="s">
        <v>20</v>
      </c>
      <c r="I1" s="469" t="s">
        <v>21</v>
      </c>
      <c r="J1" s="469" t="s">
        <v>23</v>
      </c>
      <c r="K1" s="469" t="s">
        <v>24</v>
      </c>
      <c r="L1" s="469" t="s">
        <v>22</v>
      </c>
      <c r="M1" s="469" t="s">
        <v>25</v>
      </c>
      <c r="N1" s="469" t="s">
        <v>26</v>
      </c>
      <c r="O1" s="469" t="s">
        <v>27</v>
      </c>
      <c r="P1" s="469" t="s">
        <v>28</v>
      </c>
      <c r="Q1" s="469" t="s">
        <v>29</v>
      </c>
      <c r="R1" s="469" t="s">
        <v>31</v>
      </c>
      <c r="S1" s="469" t="s">
        <v>32</v>
      </c>
      <c r="T1" s="469" t="s">
        <v>118</v>
      </c>
      <c r="U1" s="469" t="s">
        <v>309</v>
      </c>
      <c r="V1" s="469" t="s">
        <v>310</v>
      </c>
      <c r="W1" s="469" t="s">
        <v>33</v>
      </c>
      <c r="X1" s="469" t="s">
        <v>34</v>
      </c>
      <c r="Y1" s="469" t="s">
        <v>35</v>
      </c>
      <c r="Z1" s="469" t="s">
        <v>36</v>
      </c>
      <c r="AA1" s="469" t="s">
        <v>37</v>
      </c>
      <c r="AB1" s="469" t="s">
        <v>38</v>
      </c>
      <c r="AC1" s="469" t="s">
        <v>39</v>
      </c>
      <c r="AD1" s="469" t="s">
        <v>311</v>
      </c>
      <c r="AE1" s="469" t="s">
        <v>312</v>
      </c>
      <c r="AF1" s="469" t="s">
        <v>313</v>
      </c>
      <c r="AG1" s="469" t="s">
        <v>40</v>
      </c>
      <c r="AH1" s="469" t="s">
        <v>314</v>
      </c>
      <c r="AI1" s="469" t="s">
        <v>315</v>
      </c>
      <c r="AJ1" s="469" t="s">
        <v>316</v>
      </c>
      <c r="AK1" s="470" t="s">
        <v>448</v>
      </c>
    </row>
    <row r="2">
      <c r="A2" s="1" t="s">
        <v>71</v>
      </c>
      <c r="B2" s="287">
        <v>0.0</v>
      </c>
      <c r="C2" s="287">
        <v>3.0</v>
      </c>
      <c r="D2" s="287">
        <v>0.0</v>
      </c>
      <c r="E2" s="287">
        <v>1.0</v>
      </c>
      <c r="F2" s="287">
        <v>2.0</v>
      </c>
      <c r="G2" s="471">
        <v>33.33</v>
      </c>
      <c r="H2" s="287">
        <v>3.0</v>
      </c>
      <c r="I2" s="287">
        <v>251.0</v>
      </c>
      <c r="J2" s="287">
        <v>178.0</v>
      </c>
      <c r="K2" s="287">
        <v>73.0</v>
      </c>
      <c r="L2" s="287">
        <v>15.0</v>
      </c>
      <c r="M2" s="287">
        <v>12.0</v>
      </c>
      <c r="N2" s="287">
        <v>1.0</v>
      </c>
      <c r="O2" s="287">
        <v>4084.0</v>
      </c>
      <c r="P2" s="287">
        <v>4835.0</v>
      </c>
      <c r="Q2" s="287">
        <v>22.0</v>
      </c>
      <c r="R2" s="287">
        <v>9.0</v>
      </c>
      <c r="S2" s="287">
        <v>1.0</v>
      </c>
      <c r="T2" s="287">
        <v>0.0</v>
      </c>
      <c r="U2" s="287">
        <v>0.0</v>
      </c>
      <c r="V2" s="287">
        <v>0.0</v>
      </c>
      <c r="W2" s="287">
        <v>41.0</v>
      </c>
      <c r="X2" s="287">
        <v>7.0</v>
      </c>
      <c r="Y2" s="287">
        <v>1.0</v>
      </c>
      <c r="Z2" s="287">
        <v>1.0</v>
      </c>
      <c r="AA2" s="287">
        <v>0.0</v>
      </c>
      <c r="AB2" s="287">
        <v>0.0</v>
      </c>
      <c r="AC2" s="287">
        <v>0.0</v>
      </c>
      <c r="AD2" s="287">
        <v>0.0</v>
      </c>
      <c r="AE2" s="287">
        <v>0.0</v>
      </c>
      <c r="AF2" s="287">
        <v>0.0</v>
      </c>
      <c r="AG2" s="287">
        <v>10.0</v>
      </c>
      <c r="AH2" s="287">
        <v>0.0</v>
      </c>
      <c r="AI2" s="287">
        <v>5.0</v>
      </c>
      <c r="AJ2" s="1" t="s">
        <v>328</v>
      </c>
    </row>
    <row r="3">
      <c r="A3" s="1" t="s">
        <v>72</v>
      </c>
      <c r="B3" s="287">
        <v>1.0</v>
      </c>
      <c r="C3" s="287">
        <v>2.0</v>
      </c>
      <c r="D3" s="287">
        <v>0.0</v>
      </c>
      <c r="E3" s="287">
        <v>1.0</v>
      </c>
      <c r="F3" s="287">
        <v>1.0</v>
      </c>
      <c r="G3" s="471">
        <v>50.0</v>
      </c>
      <c r="H3" s="287">
        <v>0.0</v>
      </c>
      <c r="I3" s="287">
        <v>49.0</v>
      </c>
      <c r="J3" s="287">
        <v>70.0</v>
      </c>
      <c r="K3" s="287">
        <v>-21.0</v>
      </c>
      <c r="L3" s="287">
        <v>2.0</v>
      </c>
      <c r="M3" s="287">
        <v>4.0</v>
      </c>
      <c r="N3" s="287">
        <v>0.0</v>
      </c>
      <c r="O3" s="287">
        <v>800.0</v>
      </c>
      <c r="P3" s="287">
        <v>1144.0</v>
      </c>
      <c r="Q3" s="287">
        <v>11.0</v>
      </c>
      <c r="R3" s="287">
        <v>0.0</v>
      </c>
      <c r="S3" s="287">
        <v>0.0</v>
      </c>
      <c r="T3" s="287">
        <v>0.0</v>
      </c>
      <c r="U3" s="287">
        <v>0.0</v>
      </c>
      <c r="V3" s="287">
        <v>0.0</v>
      </c>
      <c r="W3" s="287">
        <v>7.0</v>
      </c>
      <c r="X3" s="287">
        <v>1.0</v>
      </c>
      <c r="Y3" s="287">
        <v>0.0</v>
      </c>
      <c r="Z3" s="287">
        <v>0.0</v>
      </c>
      <c r="AA3" s="287">
        <v>0.0</v>
      </c>
      <c r="AB3" s="287">
        <v>0.0</v>
      </c>
      <c r="AC3" s="287">
        <v>0.0</v>
      </c>
      <c r="AD3" s="287">
        <v>0.0</v>
      </c>
      <c r="AE3" s="287">
        <v>0.0</v>
      </c>
      <c r="AF3" s="287">
        <v>0.0</v>
      </c>
      <c r="AG3" s="287">
        <v>1.0</v>
      </c>
      <c r="AH3" s="287">
        <v>0.0</v>
      </c>
      <c r="AI3" s="287">
        <v>0.0</v>
      </c>
      <c r="AJ3" s="1" t="s">
        <v>325</v>
      </c>
    </row>
    <row r="4">
      <c r="A4" s="1" t="s">
        <v>73</v>
      </c>
      <c r="B4" s="287">
        <v>0.0</v>
      </c>
      <c r="C4" s="287">
        <v>2.0</v>
      </c>
      <c r="D4" s="287">
        <v>0.0</v>
      </c>
      <c r="E4" s="287">
        <v>0.0</v>
      </c>
      <c r="F4" s="287">
        <v>2.0</v>
      </c>
      <c r="G4" s="471">
        <v>0.0</v>
      </c>
      <c r="H4" s="287">
        <v>0.0</v>
      </c>
      <c r="I4" s="287">
        <v>86.0</v>
      </c>
      <c r="J4" s="287">
        <v>114.0</v>
      </c>
      <c r="K4" s="287">
        <v>-28.0</v>
      </c>
      <c r="L4" s="287">
        <v>11.0</v>
      </c>
      <c r="M4" s="287">
        <v>4.0</v>
      </c>
      <c r="N4" s="287">
        <v>2.0</v>
      </c>
      <c r="O4" s="287">
        <v>1513.0</v>
      </c>
      <c r="P4" s="287">
        <v>2002.0</v>
      </c>
      <c r="Q4" s="287">
        <v>13.0</v>
      </c>
      <c r="R4" s="287">
        <v>0.0</v>
      </c>
      <c r="S4" s="287">
        <v>0.0</v>
      </c>
      <c r="T4" s="287">
        <v>0.0</v>
      </c>
      <c r="U4" s="287">
        <v>0.0</v>
      </c>
      <c r="V4" s="287">
        <v>0.0</v>
      </c>
      <c r="W4" s="287">
        <v>10.0</v>
      </c>
      <c r="X4" s="287">
        <v>1.0</v>
      </c>
      <c r="Y4" s="287">
        <v>0.0</v>
      </c>
      <c r="Z4" s="287">
        <v>0.0</v>
      </c>
      <c r="AA4" s="287">
        <v>0.0</v>
      </c>
      <c r="AB4" s="287">
        <v>0.0</v>
      </c>
      <c r="AC4" s="287">
        <v>0.0</v>
      </c>
      <c r="AD4" s="287">
        <v>0.0</v>
      </c>
      <c r="AE4" s="287">
        <v>0.0</v>
      </c>
      <c r="AF4" s="287">
        <v>0.0</v>
      </c>
      <c r="AG4" s="287">
        <v>3.0</v>
      </c>
      <c r="AH4" s="287">
        <v>0.0</v>
      </c>
      <c r="AI4" s="287">
        <v>0.0</v>
      </c>
      <c r="AJ4" s="1" t="s">
        <v>322</v>
      </c>
    </row>
    <row r="5">
      <c r="A5" s="1" t="s">
        <v>74</v>
      </c>
      <c r="B5" s="287">
        <v>0.0</v>
      </c>
      <c r="C5" s="287">
        <v>4.0</v>
      </c>
      <c r="D5" s="287">
        <v>0.0</v>
      </c>
      <c r="E5" s="287">
        <v>1.0</v>
      </c>
      <c r="F5" s="287">
        <v>3.0</v>
      </c>
      <c r="G5" s="471">
        <v>25.0</v>
      </c>
      <c r="H5" s="287">
        <v>0.0</v>
      </c>
      <c r="I5" s="287">
        <v>298.0</v>
      </c>
      <c r="J5" s="287">
        <v>408.0</v>
      </c>
      <c r="K5" s="287">
        <v>-110.0</v>
      </c>
      <c r="L5" s="287">
        <v>8.0</v>
      </c>
      <c r="M5" s="287">
        <v>5.0</v>
      </c>
      <c r="N5" s="287">
        <v>2.0</v>
      </c>
      <c r="O5" s="287">
        <v>4597.0</v>
      </c>
      <c r="P5" s="287">
        <v>6119.0</v>
      </c>
      <c r="Q5" s="287">
        <v>11.0</v>
      </c>
      <c r="R5" s="287">
        <v>1.0</v>
      </c>
      <c r="S5" s="287">
        <v>0.0</v>
      </c>
      <c r="T5" s="287">
        <v>0.0</v>
      </c>
      <c r="U5" s="287">
        <v>0.0</v>
      </c>
      <c r="V5" s="287">
        <v>0.0</v>
      </c>
      <c r="W5" s="287">
        <v>27.0</v>
      </c>
      <c r="X5" s="287">
        <v>3.0</v>
      </c>
      <c r="Y5" s="287">
        <v>0.0</v>
      </c>
      <c r="Z5" s="287">
        <v>0.0</v>
      </c>
      <c r="AA5" s="287">
        <v>0.0</v>
      </c>
      <c r="AB5" s="287">
        <v>0.0</v>
      </c>
      <c r="AC5" s="287">
        <v>0.0</v>
      </c>
      <c r="AD5" s="287">
        <v>0.0</v>
      </c>
      <c r="AE5" s="287">
        <v>0.0</v>
      </c>
      <c r="AF5" s="287">
        <v>0.0</v>
      </c>
      <c r="AG5" s="287">
        <v>7.0</v>
      </c>
      <c r="AH5" s="287">
        <v>1.0</v>
      </c>
      <c r="AI5" s="287">
        <v>1.0</v>
      </c>
      <c r="AJ5" s="1" t="s">
        <v>330</v>
      </c>
    </row>
    <row r="6">
      <c r="A6" s="1" t="s">
        <v>75</v>
      </c>
      <c r="B6" s="287">
        <v>1.0</v>
      </c>
      <c r="C6" s="287">
        <v>3.0</v>
      </c>
      <c r="D6" s="287">
        <v>0.0</v>
      </c>
      <c r="E6" s="287">
        <v>1.0</v>
      </c>
      <c r="F6" s="287">
        <v>2.0</v>
      </c>
      <c r="G6" s="471">
        <v>33.33</v>
      </c>
      <c r="H6" s="287">
        <v>6.0</v>
      </c>
      <c r="I6" s="287">
        <v>169.0</v>
      </c>
      <c r="J6" s="287">
        <v>134.0</v>
      </c>
      <c r="K6" s="287">
        <v>35.0</v>
      </c>
      <c r="L6" s="287">
        <v>10.0</v>
      </c>
      <c r="M6" s="287">
        <v>11.0</v>
      </c>
      <c r="N6" s="287">
        <v>2.0</v>
      </c>
      <c r="O6" s="287">
        <v>2964.0</v>
      </c>
      <c r="P6" s="287">
        <v>3581.0</v>
      </c>
      <c r="Q6" s="287">
        <v>22.0</v>
      </c>
      <c r="R6" s="287">
        <v>8.0</v>
      </c>
      <c r="S6" s="287">
        <v>2.0</v>
      </c>
      <c r="T6" s="287">
        <v>0.0</v>
      </c>
      <c r="U6" s="287">
        <v>0.0</v>
      </c>
      <c r="V6" s="287">
        <v>0.0</v>
      </c>
      <c r="W6" s="287">
        <v>23.0</v>
      </c>
      <c r="X6" s="287">
        <v>4.0</v>
      </c>
      <c r="Y6" s="287">
        <v>0.0</v>
      </c>
      <c r="Z6" s="287">
        <v>0.0</v>
      </c>
      <c r="AA6" s="287">
        <v>0.0</v>
      </c>
      <c r="AB6" s="287">
        <v>0.0</v>
      </c>
      <c r="AC6" s="287">
        <v>0.0</v>
      </c>
      <c r="AD6" s="287">
        <v>0.0</v>
      </c>
      <c r="AE6" s="287">
        <v>0.0</v>
      </c>
      <c r="AF6" s="287">
        <v>0.0</v>
      </c>
      <c r="AG6" s="287">
        <v>1.0</v>
      </c>
      <c r="AH6" s="287">
        <v>0.0</v>
      </c>
      <c r="AI6" s="287">
        <v>2.0</v>
      </c>
      <c r="AJ6" s="1" t="s">
        <v>329</v>
      </c>
    </row>
    <row r="7">
      <c r="A7" s="1" t="s">
        <v>76</v>
      </c>
      <c r="B7" s="287">
        <v>1.0</v>
      </c>
      <c r="C7" s="287">
        <v>2.0</v>
      </c>
      <c r="D7" s="287">
        <v>0.0</v>
      </c>
      <c r="E7" s="287">
        <v>0.0</v>
      </c>
      <c r="F7" s="287">
        <v>2.0</v>
      </c>
      <c r="G7" s="471">
        <v>0.0</v>
      </c>
      <c r="H7" s="287">
        <v>0.0</v>
      </c>
      <c r="I7" s="287">
        <v>125.0</v>
      </c>
      <c r="J7" s="287">
        <v>152.0</v>
      </c>
      <c r="K7" s="287">
        <v>-27.0</v>
      </c>
      <c r="L7" s="287">
        <v>4.0</v>
      </c>
      <c r="M7" s="287">
        <v>6.0</v>
      </c>
      <c r="N7" s="287">
        <v>3.0</v>
      </c>
      <c r="O7" s="287">
        <v>1682.0</v>
      </c>
      <c r="P7" s="287">
        <v>2275.0</v>
      </c>
      <c r="Q7" s="287">
        <v>11.0</v>
      </c>
      <c r="R7" s="287">
        <v>5.0</v>
      </c>
      <c r="S7" s="287">
        <v>0.0</v>
      </c>
      <c r="T7" s="287">
        <v>0.0</v>
      </c>
      <c r="U7" s="287">
        <v>0.0</v>
      </c>
      <c r="V7" s="287">
        <v>0.0</v>
      </c>
      <c r="W7" s="287">
        <v>17.0</v>
      </c>
      <c r="X7" s="287">
        <v>4.0</v>
      </c>
      <c r="Y7" s="287">
        <v>0.0</v>
      </c>
      <c r="Z7" s="287">
        <v>0.0</v>
      </c>
      <c r="AA7" s="287">
        <v>0.0</v>
      </c>
      <c r="AB7" s="287">
        <v>0.0</v>
      </c>
      <c r="AC7" s="287">
        <v>0.0</v>
      </c>
      <c r="AD7" s="287">
        <v>0.0</v>
      </c>
      <c r="AE7" s="287">
        <v>0.0</v>
      </c>
      <c r="AF7" s="287">
        <v>0.0</v>
      </c>
      <c r="AG7" s="287">
        <v>1.0</v>
      </c>
      <c r="AH7" s="287">
        <v>0.0</v>
      </c>
      <c r="AI7" s="287">
        <v>3.0</v>
      </c>
      <c r="AJ7" s="1" t="s">
        <v>326</v>
      </c>
    </row>
    <row r="8">
      <c r="A8" s="1" t="s">
        <v>77</v>
      </c>
      <c r="B8" s="287">
        <v>1.0</v>
      </c>
      <c r="C8" s="287">
        <v>2.0</v>
      </c>
      <c r="D8" s="287">
        <v>0.0</v>
      </c>
      <c r="E8" s="287">
        <v>1.0</v>
      </c>
      <c r="F8" s="287">
        <v>1.0</v>
      </c>
      <c r="G8" s="471">
        <v>50.0</v>
      </c>
      <c r="H8" s="287">
        <v>0.0</v>
      </c>
      <c r="I8" s="287">
        <v>84.0</v>
      </c>
      <c r="J8" s="287">
        <v>111.0</v>
      </c>
      <c r="K8" s="287">
        <v>-27.0</v>
      </c>
      <c r="L8" s="287">
        <v>7.0</v>
      </c>
      <c r="M8" s="287">
        <v>4.0</v>
      </c>
      <c r="N8" s="287">
        <v>1.0</v>
      </c>
      <c r="O8" s="287">
        <v>1335.0</v>
      </c>
      <c r="P8" s="287">
        <v>1794.0</v>
      </c>
      <c r="Q8" s="287">
        <v>12.0</v>
      </c>
      <c r="R8" s="287">
        <v>0.0</v>
      </c>
      <c r="S8" s="287">
        <v>0.0</v>
      </c>
      <c r="T8" s="287">
        <v>0.0</v>
      </c>
      <c r="U8" s="287">
        <v>0.0</v>
      </c>
      <c r="V8" s="287">
        <v>0.0</v>
      </c>
      <c r="W8" s="287">
        <v>15.0</v>
      </c>
      <c r="X8" s="287">
        <v>2.0</v>
      </c>
      <c r="Y8" s="287">
        <v>2.0</v>
      </c>
      <c r="Z8" s="287">
        <v>0.0</v>
      </c>
      <c r="AA8" s="287">
        <v>0.0</v>
      </c>
      <c r="AB8" s="287">
        <v>0.0</v>
      </c>
      <c r="AC8" s="287">
        <v>0.0</v>
      </c>
      <c r="AD8" s="287">
        <v>0.0</v>
      </c>
      <c r="AE8" s="287">
        <v>0.0</v>
      </c>
      <c r="AF8" s="287">
        <v>0.0</v>
      </c>
      <c r="AG8" s="287">
        <v>2.0</v>
      </c>
      <c r="AH8" s="287">
        <v>0.0</v>
      </c>
      <c r="AI8" s="287">
        <v>0.0</v>
      </c>
      <c r="AJ8" s="1" t="s">
        <v>322</v>
      </c>
    </row>
    <row r="9">
      <c r="A9" s="1" t="s">
        <v>78</v>
      </c>
      <c r="B9" s="287">
        <v>0.0</v>
      </c>
      <c r="C9" s="287">
        <v>4.0</v>
      </c>
      <c r="D9" s="287">
        <v>0.0</v>
      </c>
      <c r="E9" s="287">
        <v>1.0</v>
      </c>
      <c r="F9" s="287">
        <v>3.0</v>
      </c>
      <c r="G9" s="471">
        <v>25.0</v>
      </c>
      <c r="H9" s="287">
        <v>0.0</v>
      </c>
      <c r="I9" s="287">
        <v>250.0</v>
      </c>
      <c r="J9" s="287">
        <v>424.0</v>
      </c>
      <c r="K9" s="287">
        <v>-174.0</v>
      </c>
      <c r="L9" s="287">
        <v>15.0</v>
      </c>
      <c r="M9" s="287">
        <v>5.0</v>
      </c>
      <c r="N9" s="287">
        <v>3.0</v>
      </c>
      <c r="O9" s="287">
        <v>5430.0</v>
      </c>
      <c r="P9" s="287">
        <v>7051.0</v>
      </c>
      <c r="Q9" s="287">
        <v>12.0</v>
      </c>
      <c r="R9" s="287">
        <v>1.0</v>
      </c>
      <c r="S9" s="287">
        <v>0.0</v>
      </c>
      <c r="T9" s="287">
        <v>0.0</v>
      </c>
      <c r="U9" s="287">
        <v>0.0</v>
      </c>
      <c r="V9" s="287">
        <v>0.0</v>
      </c>
      <c r="W9" s="287">
        <v>17.0</v>
      </c>
      <c r="X9" s="287">
        <v>3.0</v>
      </c>
      <c r="Y9" s="287">
        <v>1.0</v>
      </c>
      <c r="Z9" s="287">
        <v>0.0</v>
      </c>
      <c r="AA9" s="287">
        <v>0.0</v>
      </c>
      <c r="AB9" s="287">
        <v>0.0</v>
      </c>
      <c r="AC9" s="287">
        <v>0.0</v>
      </c>
      <c r="AD9" s="287">
        <v>0.0</v>
      </c>
      <c r="AE9" s="287">
        <v>0.0</v>
      </c>
      <c r="AF9" s="287">
        <v>0.0</v>
      </c>
      <c r="AG9" s="287">
        <v>13.0</v>
      </c>
      <c r="AH9" s="287">
        <v>0.0</v>
      </c>
      <c r="AI9" s="287">
        <v>1.0</v>
      </c>
      <c r="AJ9" s="1" t="s">
        <v>328</v>
      </c>
    </row>
    <row r="10">
      <c r="A10" s="1" t="s">
        <v>79</v>
      </c>
      <c r="B10" s="287">
        <v>1.0</v>
      </c>
      <c r="C10" s="287">
        <v>3.0</v>
      </c>
      <c r="D10" s="287">
        <v>0.0</v>
      </c>
      <c r="E10" s="287">
        <v>1.0</v>
      </c>
      <c r="F10" s="287">
        <v>2.0</v>
      </c>
      <c r="G10" s="471">
        <v>33.33</v>
      </c>
      <c r="H10" s="287">
        <v>0.0</v>
      </c>
      <c r="I10" s="287">
        <v>199.0</v>
      </c>
      <c r="J10" s="287">
        <v>246.0</v>
      </c>
      <c r="K10" s="287">
        <v>-47.0</v>
      </c>
      <c r="L10" s="287">
        <v>14.0</v>
      </c>
      <c r="M10" s="287">
        <v>4.0</v>
      </c>
      <c r="N10" s="287">
        <v>3.0</v>
      </c>
      <c r="O10" s="287">
        <v>2614.0</v>
      </c>
      <c r="P10" s="287">
        <v>3581.0</v>
      </c>
      <c r="Q10" s="287">
        <v>10.0</v>
      </c>
      <c r="R10" s="287">
        <v>0.0</v>
      </c>
      <c r="S10" s="287">
        <v>0.0</v>
      </c>
      <c r="T10" s="287">
        <v>0.0</v>
      </c>
      <c r="U10" s="287">
        <v>0.0</v>
      </c>
      <c r="V10" s="287">
        <v>0.0</v>
      </c>
      <c r="W10" s="287">
        <v>28.0</v>
      </c>
      <c r="X10" s="287">
        <v>2.0</v>
      </c>
      <c r="Y10" s="287">
        <v>0.0</v>
      </c>
      <c r="Z10" s="287">
        <v>0.0</v>
      </c>
      <c r="AA10" s="287">
        <v>0.0</v>
      </c>
      <c r="AB10" s="287">
        <v>0.0</v>
      </c>
      <c r="AC10" s="287">
        <v>0.0</v>
      </c>
      <c r="AD10" s="287">
        <v>0.0</v>
      </c>
      <c r="AE10" s="287">
        <v>0.0</v>
      </c>
      <c r="AF10" s="287">
        <v>0.0</v>
      </c>
      <c r="AG10" s="287">
        <v>9.0</v>
      </c>
      <c r="AH10" s="287">
        <v>0.0</v>
      </c>
      <c r="AI10" s="287">
        <v>0.0</v>
      </c>
      <c r="AJ10" s="1" t="s">
        <v>329</v>
      </c>
    </row>
    <row r="11">
      <c r="A11" s="1" t="s">
        <v>80</v>
      </c>
      <c r="B11" s="287">
        <v>1.0</v>
      </c>
      <c r="C11" s="287">
        <v>3.0</v>
      </c>
      <c r="D11" s="287">
        <v>0.0</v>
      </c>
      <c r="E11" s="287">
        <v>2.0</v>
      </c>
      <c r="F11" s="287">
        <v>1.0</v>
      </c>
      <c r="G11" s="471">
        <v>66.66666666666666</v>
      </c>
      <c r="H11" s="287">
        <v>1.0</v>
      </c>
      <c r="I11" s="287">
        <v>203.0</v>
      </c>
      <c r="J11" s="287">
        <v>213.0</v>
      </c>
      <c r="K11" s="287">
        <v>-10.0</v>
      </c>
      <c r="L11" s="287">
        <v>14.0</v>
      </c>
      <c r="M11" s="287">
        <v>6.0</v>
      </c>
      <c r="N11" s="287">
        <v>0.0</v>
      </c>
      <c r="O11" s="287">
        <v>2274.0</v>
      </c>
      <c r="P11" s="287">
        <v>3160.0</v>
      </c>
      <c r="Q11" s="287">
        <v>10.0</v>
      </c>
      <c r="R11" s="287">
        <v>2.0</v>
      </c>
      <c r="S11" s="287">
        <v>0.0</v>
      </c>
      <c r="T11" s="287">
        <v>0.0</v>
      </c>
      <c r="U11" s="287">
        <v>0.0</v>
      </c>
      <c r="V11" s="287">
        <v>0.0</v>
      </c>
      <c r="W11" s="287">
        <v>33.0</v>
      </c>
      <c r="X11" s="287">
        <v>6.0</v>
      </c>
      <c r="Y11" s="287">
        <v>0.0</v>
      </c>
      <c r="Z11" s="287">
        <v>0.0</v>
      </c>
      <c r="AA11" s="287">
        <v>0.0</v>
      </c>
      <c r="AB11" s="287">
        <v>0.0</v>
      </c>
      <c r="AC11" s="287">
        <v>0.0</v>
      </c>
      <c r="AD11" s="287">
        <v>0.0</v>
      </c>
      <c r="AE11" s="287">
        <v>0.0</v>
      </c>
      <c r="AF11" s="287">
        <v>0.0</v>
      </c>
      <c r="AG11" s="287">
        <v>7.0</v>
      </c>
      <c r="AH11" s="287">
        <v>0.0</v>
      </c>
      <c r="AI11" s="287">
        <v>2.0</v>
      </c>
      <c r="AJ11" s="1" t="s">
        <v>332</v>
      </c>
    </row>
    <row r="12">
      <c r="A12" s="1" t="s">
        <v>81</v>
      </c>
      <c r="B12" s="287">
        <v>0.0</v>
      </c>
      <c r="C12" s="287">
        <v>1.0</v>
      </c>
      <c r="D12" s="287">
        <v>0.0</v>
      </c>
      <c r="E12" s="287">
        <v>0.0</v>
      </c>
      <c r="F12" s="287">
        <v>1.0</v>
      </c>
      <c r="G12" s="471">
        <v>0.0</v>
      </c>
      <c r="H12" s="287">
        <v>0.0</v>
      </c>
      <c r="I12" s="287">
        <v>76.0</v>
      </c>
      <c r="J12" s="287">
        <v>61.0</v>
      </c>
      <c r="K12" s="287">
        <v>15.0</v>
      </c>
      <c r="L12" s="287">
        <v>8.0</v>
      </c>
      <c r="M12" s="287">
        <v>5.0</v>
      </c>
      <c r="N12" s="287">
        <v>2.0</v>
      </c>
      <c r="O12" s="287">
        <v>686.0</v>
      </c>
      <c r="P12" s="287">
        <v>933.0</v>
      </c>
      <c r="Q12" s="287">
        <v>11.0</v>
      </c>
      <c r="R12" s="287">
        <v>1.0</v>
      </c>
      <c r="S12" s="287">
        <v>0.0</v>
      </c>
      <c r="T12" s="287">
        <v>0.0</v>
      </c>
      <c r="U12" s="287">
        <v>0.0</v>
      </c>
      <c r="V12" s="287">
        <v>0.0</v>
      </c>
      <c r="W12" s="287">
        <v>12.0</v>
      </c>
      <c r="X12" s="287">
        <v>6.0</v>
      </c>
      <c r="Y12" s="287">
        <v>1.0</v>
      </c>
      <c r="Z12" s="287">
        <v>0.0</v>
      </c>
      <c r="AA12" s="287">
        <v>0.0</v>
      </c>
      <c r="AB12" s="287">
        <v>0.0</v>
      </c>
      <c r="AC12" s="287">
        <v>0.0</v>
      </c>
      <c r="AD12" s="287">
        <v>0.0</v>
      </c>
      <c r="AE12" s="287">
        <v>0.0</v>
      </c>
      <c r="AF12" s="287">
        <v>0.0</v>
      </c>
      <c r="AG12" s="287">
        <v>4.0</v>
      </c>
      <c r="AH12" s="287">
        <v>0.0</v>
      </c>
      <c r="AI12" s="287">
        <v>0.0</v>
      </c>
      <c r="AJ12" s="1" t="s">
        <v>322</v>
      </c>
    </row>
    <row r="13">
      <c r="A13" s="1" t="s">
        <v>82</v>
      </c>
      <c r="B13" s="287">
        <v>1.0</v>
      </c>
      <c r="C13" s="287">
        <v>4.0</v>
      </c>
      <c r="D13" s="287">
        <v>0.0</v>
      </c>
      <c r="E13" s="287">
        <v>3.0</v>
      </c>
      <c r="F13" s="287">
        <v>1.0</v>
      </c>
      <c r="G13" s="471">
        <v>75.0</v>
      </c>
      <c r="H13" s="287">
        <v>1.0</v>
      </c>
      <c r="I13" s="287">
        <v>419.0</v>
      </c>
      <c r="J13" s="287">
        <v>282.0</v>
      </c>
      <c r="K13" s="287">
        <v>137.0</v>
      </c>
      <c r="L13" s="287">
        <v>36.0</v>
      </c>
      <c r="M13" s="287">
        <v>8.0</v>
      </c>
      <c r="N13" s="287">
        <v>14.0</v>
      </c>
      <c r="O13" s="287">
        <v>5008.0</v>
      </c>
      <c r="P13" s="287">
        <v>6176.0</v>
      </c>
      <c r="Q13" s="287">
        <v>17.0</v>
      </c>
      <c r="R13" s="287">
        <v>14.0</v>
      </c>
      <c r="S13" s="287">
        <v>0.0</v>
      </c>
      <c r="T13" s="287">
        <v>0.0</v>
      </c>
      <c r="U13" s="287">
        <v>0.0</v>
      </c>
      <c r="V13" s="287">
        <v>0.0</v>
      </c>
      <c r="W13" s="287">
        <v>73.0</v>
      </c>
      <c r="X13" s="287">
        <v>12.0</v>
      </c>
      <c r="Y13" s="287">
        <v>4.0</v>
      </c>
      <c r="Z13" s="287">
        <v>2.0</v>
      </c>
      <c r="AA13" s="287">
        <v>1.0</v>
      </c>
      <c r="AB13" s="287">
        <v>0.0</v>
      </c>
      <c r="AC13" s="287">
        <v>0.0</v>
      </c>
      <c r="AD13" s="287">
        <v>0.0</v>
      </c>
      <c r="AE13" s="287">
        <v>0.0</v>
      </c>
      <c r="AF13" s="287">
        <v>0.0</v>
      </c>
      <c r="AG13" s="287">
        <v>25.0</v>
      </c>
      <c r="AH13" s="287">
        <v>0.0</v>
      </c>
      <c r="AI13" s="287">
        <v>13.0</v>
      </c>
      <c r="AJ13" s="1" t="s">
        <v>331</v>
      </c>
    </row>
    <row r="14">
      <c r="A14" s="1" t="s">
        <v>83</v>
      </c>
      <c r="B14" s="287">
        <v>1.0</v>
      </c>
      <c r="C14" s="287">
        <v>4.0</v>
      </c>
      <c r="D14" s="287">
        <v>0.0</v>
      </c>
      <c r="E14" s="287">
        <v>2.0</v>
      </c>
      <c r="F14" s="287">
        <v>2.0</v>
      </c>
      <c r="G14" s="471">
        <v>50.0</v>
      </c>
      <c r="H14" s="287">
        <v>1.0</v>
      </c>
      <c r="I14" s="287">
        <v>496.0</v>
      </c>
      <c r="J14" s="287">
        <v>514.0</v>
      </c>
      <c r="K14" s="287">
        <v>-18.0</v>
      </c>
      <c r="L14" s="287">
        <v>30.0</v>
      </c>
      <c r="M14" s="287">
        <v>7.0</v>
      </c>
      <c r="N14" s="287">
        <v>5.0</v>
      </c>
      <c r="O14" s="287">
        <v>5009.0</v>
      </c>
      <c r="P14" s="287">
        <v>6903.0</v>
      </c>
      <c r="Q14" s="287">
        <v>9.0</v>
      </c>
      <c r="R14" s="287">
        <v>8.0</v>
      </c>
      <c r="S14" s="287">
        <v>0.0</v>
      </c>
      <c r="T14" s="287">
        <v>0.0</v>
      </c>
      <c r="U14" s="287">
        <v>0.0</v>
      </c>
      <c r="V14" s="287">
        <v>0.0</v>
      </c>
      <c r="W14" s="287">
        <v>76.0</v>
      </c>
      <c r="X14" s="287">
        <v>13.0</v>
      </c>
      <c r="Y14" s="287">
        <v>2.0</v>
      </c>
      <c r="Z14" s="287">
        <v>0.0</v>
      </c>
      <c r="AA14" s="287">
        <v>0.0</v>
      </c>
      <c r="AB14" s="287">
        <v>0.0</v>
      </c>
      <c r="AC14" s="287">
        <v>0.0</v>
      </c>
      <c r="AD14" s="287">
        <v>0.0</v>
      </c>
      <c r="AE14" s="287">
        <v>0.0</v>
      </c>
      <c r="AF14" s="287">
        <v>0.0</v>
      </c>
      <c r="AG14" s="287">
        <v>38.0</v>
      </c>
      <c r="AH14" s="287">
        <v>0.0</v>
      </c>
      <c r="AI14" s="287">
        <v>7.0</v>
      </c>
      <c r="AJ14" s="1" t="s">
        <v>331</v>
      </c>
    </row>
    <row r="15">
      <c r="A15" s="472" t="s">
        <v>84</v>
      </c>
      <c r="B15" s="472">
        <v>1.0</v>
      </c>
      <c r="C15" s="472">
        <v>4.0</v>
      </c>
      <c r="D15" s="472">
        <v>0.0</v>
      </c>
      <c r="E15" s="472">
        <v>3.0</v>
      </c>
      <c r="F15" s="472">
        <v>1.0</v>
      </c>
      <c r="G15" s="473">
        <v>75.0</v>
      </c>
      <c r="H15" s="472">
        <v>9.0</v>
      </c>
      <c r="I15" s="472">
        <v>308.0</v>
      </c>
      <c r="J15" s="472">
        <v>310.0</v>
      </c>
      <c r="K15" s="472">
        <v>-2.0</v>
      </c>
      <c r="L15" s="472">
        <v>19.0</v>
      </c>
      <c r="M15" s="472">
        <v>10.0</v>
      </c>
      <c r="N15" s="472">
        <v>15.0</v>
      </c>
      <c r="O15" s="472">
        <v>4927.0</v>
      </c>
      <c r="P15" s="472">
        <v>6176.0</v>
      </c>
      <c r="Q15" s="472">
        <v>15.0</v>
      </c>
      <c r="R15" s="472">
        <v>2.0</v>
      </c>
      <c r="S15" s="472">
        <v>1.0</v>
      </c>
      <c r="T15" s="472">
        <v>0.0</v>
      </c>
      <c r="U15" s="472">
        <v>0.0</v>
      </c>
      <c r="V15" s="472">
        <v>0.0</v>
      </c>
      <c r="W15" s="472">
        <v>39.0</v>
      </c>
      <c r="X15" s="472">
        <v>5.0</v>
      </c>
      <c r="Y15" s="472">
        <v>0.0</v>
      </c>
      <c r="Z15" s="472">
        <v>0.0</v>
      </c>
      <c r="AA15" s="472">
        <v>0.0</v>
      </c>
      <c r="AB15" s="472">
        <v>0.0</v>
      </c>
      <c r="AC15" s="472">
        <v>0.0</v>
      </c>
      <c r="AD15" s="472">
        <v>0.0</v>
      </c>
      <c r="AE15" s="472">
        <v>0.0</v>
      </c>
      <c r="AF15" s="472">
        <v>0.0</v>
      </c>
      <c r="AG15" s="472">
        <v>7.0</v>
      </c>
      <c r="AH15" s="472">
        <v>0.0</v>
      </c>
      <c r="AI15" s="472">
        <v>0.0</v>
      </c>
      <c r="AJ15" s="472" t="s">
        <v>331</v>
      </c>
      <c r="AK15" s="472"/>
    </row>
    <row r="16">
      <c r="A16" s="1" t="s">
        <v>85</v>
      </c>
      <c r="B16" s="287">
        <v>0.0</v>
      </c>
      <c r="C16" s="287">
        <v>1.0</v>
      </c>
      <c r="D16" s="287">
        <v>0.0</v>
      </c>
      <c r="E16" s="287">
        <v>0.0</v>
      </c>
      <c r="F16" s="287">
        <v>1.0</v>
      </c>
      <c r="G16" s="471">
        <v>0.0</v>
      </c>
      <c r="H16" s="287">
        <v>1.0</v>
      </c>
      <c r="I16" s="287">
        <v>67.0</v>
      </c>
      <c r="J16" s="287">
        <v>68.0</v>
      </c>
      <c r="K16" s="287">
        <v>-1.0</v>
      </c>
      <c r="L16" s="287">
        <v>6.0</v>
      </c>
      <c r="M16" s="287">
        <v>7.0</v>
      </c>
      <c r="N16" s="287">
        <v>0.0</v>
      </c>
      <c r="O16" s="287">
        <v>1137.0</v>
      </c>
      <c r="P16" s="287">
        <v>1416.0</v>
      </c>
      <c r="Q16" s="287">
        <v>16.0</v>
      </c>
      <c r="R16" s="287">
        <v>2.0</v>
      </c>
      <c r="S16" s="287">
        <v>0.0</v>
      </c>
      <c r="T16" s="287">
        <v>0.0</v>
      </c>
      <c r="U16" s="287">
        <v>0.0</v>
      </c>
      <c r="V16" s="287">
        <v>0.0</v>
      </c>
      <c r="W16" s="287">
        <v>11.0</v>
      </c>
      <c r="X16" s="287">
        <v>2.0</v>
      </c>
      <c r="Y16" s="287">
        <v>0.0</v>
      </c>
      <c r="Z16" s="287">
        <v>0.0</v>
      </c>
      <c r="AA16" s="287">
        <v>0.0</v>
      </c>
      <c r="AB16" s="287">
        <v>0.0</v>
      </c>
      <c r="AC16" s="287">
        <v>0.0</v>
      </c>
      <c r="AD16" s="287">
        <v>0.0</v>
      </c>
      <c r="AE16" s="287">
        <v>0.0</v>
      </c>
      <c r="AF16" s="287">
        <v>0.0</v>
      </c>
      <c r="AG16" s="287">
        <v>4.0</v>
      </c>
      <c r="AH16" s="287">
        <v>0.0</v>
      </c>
      <c r="AI16" s="287">
        <v>1.0</v>
      </c>
      <c r="AJ16" s="1" t="s">
        <v>326</v>
      </c>
    </row>
    <row r="17">
      <c r="A17" s="1" t="s">
        <v>86</v>
      </c>
      <c r="B17" s="287">
        <v>1.0</v>
      </c>
      <c r="C17" s="287">
        <v>3.0</v>
      </c>
      <c r="D17" s="287">
        <v>0.0</v>
      </c>
      <c r="E17" s="287">
        <v>2.0</v>
      </c>
      <c r="F17" s="287">
        <v>1.0</v>
      </c>
      <c r="G17" s="471">
        <v>66.66666666666666</v>
      </c>
      <c r="H17" s="287">
        <v>8.0</v>
      </c>
      <c r="I17" s="287">
        <v>149.0</v>
      </c>
      <c r="J17" s="287">
        <v>148.0</v>
      </c>
      <c r="K17" s="287">
        <v>1.0</v>
      </c>
      <c r="L17" s="287">
        <v>5.0</v>
      </c>
      <c r="M17" s="287">
        <v>6.0</v>
      </c>
      <c r="N17" s="287">
        <v>4.0</v>
      </c>
      <c r="O17" s="287">
        <v>2461.0</v>
      </c>
      <c r="P17" s="287">
        <v>3160.0</v>
      </c>
      <c r="Q17" s="287">
        <v>16.0</v>
      </c>
      <c r="R17" s="287">
        <v>5.0</v>
      </c>
      <c r="S17" s="287">
        <v>0.0</v>
      </c>
      <c r="T17" s="287">
        <v>0.0</v>
      </c>
      <c r="U17" s="287">
        <v>0.0</v>
      </c>
      <c r="V17" s="287">
        <v>0.0</v>
      </c>
      <c r="W17" s="287">
        <v>19.0</v>
      </c>
      <c r="X17" s="287">
        <v>4.0</v>
      </c>
      <c r="Y17" s="287">
        <v>0.0</v>
      </c>
      <c r="Z17" s="287">
        <v>0.0</v>
      </c>
      <c r="AA17" s="287">
        <v>0.0</v>
      </c>
      <c r="AB17" s="287">
        <v>0.0</v>
      </c>
      <c r="AC17" s="287">
        <v>0.0</v>
      </c>
      <c r="AD17" s="287">
        <v>0.0</v>
      </c>
      <c r="AE17" s="287">
        <v>0.0</v>
      </c>
      <c r="AF17" s="287">
        <v>0.0</v>
      </c>
      <c r="AG17" s="287">
        <v>1.0</v>
      </c>
      <c r="AH17" s="287">
        <v>0.0</v>
      </c>
      <c r="AI17" s="287">
        <v>1.0</v>
      </c>
      <c r="AJ17" s="1" t="s">
        <v>332</v>
      </c>
    </row>
    <row r="18">
      <c r="A18" s="1" t="s">
        <v>87</v>
      </c>
      <c r="B18" s="287">
        <v>0.0</v>
      </c>
      <c r="C18" s="287">
        <v>1.0</v>
      </c>
      <c r="D18" s="287">
        <v>0.0</v>
      </c>
      <c r="E18" s="287">
        <v>0.0</v>
      </c>
      <c r="F18" s="287">
        <v>1.0</v>
      </c>
      <c r="G18" s="471">
        <v>0.0</v>
      </c>
      <c r="H18" s="287">
        <v>1.0</v>
      </c>
      <c r="I18" s="287">
        <v>43.0</v>
      </c>
      <c r="J18" s="287">
        <v>41.0</v>
      </c>
      <c r="K18" s="287">
        <v>2.0</v>
      </c>
      <c r="L18" s="287">
        <v>4.0</v>
      </c>
      <c r="M18" s="287">
        <v>6.0</v>
      </c>
      <c r="N18" s="287">
        <v>2.0</v>
      </c>
      <c r="O18" s="287">
        <v>618.0</v>
      </c>
      <c r="P18" s="287">
        <v>822.0</v>
      </c>
      <c r="Q18" s="287">
        <v>15.0</v>
      </c>
      <c r="R18" s="287">
        <v>2.0</v>
      </c>
      <c r="S18" s="287">
        <v>0.0</v>
      </c>
      <c r="T18" s="287">
        <v>0.0</v>
      </c>
      <c r="U18" s="287">
        <v>0.0</v>
      </c>
      <c r="V18" s="287">
        <v>0.0</v>
      </c>
      <c r="W18" s="287">
        <v>7.0</v>
      </c>
      <c r="X18" s="287">
        <v>1.0</v>
      </c>
      <c r="Y18" s="287">
        <v>0.0</v>
      </c>
      <c r="Z18" s="287">
        <v>0.0</v>
      </c>
      <c r="AA18" s="287">
        <v>0.0</v>
      </c>
      <c r="AB18" s="287">
        <v>0.0</v>
      </c>
      <c r="AC18" s="287">
        <v>0.0</v>
      </c>
      <c r="AD18" s="287">
        <v>0.0</v>
      </c>
      <c r="AE18" s="287">
        <v>0.0</v>
      </c>
      <c r="AF18" s="287">
        <v>0.0</v>
      </c>
      <c r="AG18" s="287">
        <v>1.0</v>
      </c>
      <c r="AH18" s="287">
        <v>0.0</v>
      </c>
      <c r="AI18" s="287">
        <v>1.0</v>
      </c>
      <c r="AJ18" s="1" t="s">
        <v>324</v>
      </c>
    </row>
    <row r="19">
      <c r="A19" s="1" t="s">
        <v>88</v>
      </c>
      <c r="B19" s="287">
        <v>1.0</v>
      </c>
      <c r="C19" s="287">
        <v>2.0</v>
      </c>
      <c r="D19" s="287">
        <v>0.0</v>
      </c>
      <c r="E19" s="287">
        <v>1.0</v>
      </c>
      <c r="F19" s="287">
        <v>1.0</v>
      </c>
      <c r="G19" s="471">
        <v>50.0</v>
      </c>
      <c r="H19" s="287">
        <v>4.0</v>
      </c>
      <c r="I19" s="287">
        <v>28.0</v>
      </c>
      <c r="J19" s="287">
        <v>51.0</v>
      </c>
      <c r="K19" s="287">
        <v>-23.0</v>
      </c>
      <c r="L19" s="287">
        <v>1.0</v>
      </c>
      <c r="M19" s="287">
        <v>3.0</v>
      </c>
      <c r="N19" s="287">
        <v>1.0</v>
      </c>
      <c r="O19" s="287">
        <v>854.0</v>
      </c>
      <c r="P19" s="287">
        <v>1144.0</v>
      </c>
      <c r="Q19" s="287">
        <v>16.0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  <c r="W19" s="287">
        <v>4.0</v>
      </c>
      <c r="X19" s="287">
        <v>0.0</v>
      </c>
      <c r="Y19" s="287">
        <v>0.0</v>
      </c>
      <c r="Z19" s="287">
        <v>0.0</v>
      </c>
      <c r="AA19" s="287">
        <v>0.0</v>
      </c>
      <c r="AB19" s="287">
        <v>0.0</v>
      </c>
      <c r="AC19" s="287">
        <v>0.0</v>
      </c>
      <c r="AD19" s="287">
        <v>0.0</v>
      </c>
      <c r="AE19" s="287">
        <v>0.0</v>
      </c>
      <c r="AF19" s="287">
        <v>0.0</v>
      </c>
      <c r="AG19" s="287">
        <v>0.0</v>
      </c>
      <c r="AH19" s="287">
        <v>0.0</v>
      </c>
      <c r="AI19" s="287">
        <v>0.0</v>
      </c>
      <c r="AJ19" s="1" t="s">
        <v>325</v>
      </c>
    </row>
    <row r="20">
      <c r="A20" s="1" t="s">
        <v>89</v>
      </c>
      <c r="B20" s="287">
        <v>1.0</v>
      </c>
      <c r="C20" s="287">
        <v>3.0</v>
      </c>
      <c r="D20" s="287">
        <v>0.0</v>
      </c>
      <c r="E20" s="287">
        <v>2.0</v>
      </c>
      <c r="F20" s="287">
        <v>1.0</v>
      </c>
      <c r="G20" s="471">
        <v>66.66666666666666</v>
      </c>
      <c r="H20" s="287">
        <v>3.0</v>
      </c>
      <c r="I20" s="287">
        <v>185.0</v>
      </c>
      <c r="J20" s="287">
        <v>172.0</v>
      </c>
      <c r="K20" s="287">
        <v>13.0</v>
      </c>
      <c r="L20" s="287">
        <v>17.0</v>
      </c>
      <c r="M20" s="287">
        <v>5.0</v>
      </c>
      <c r="N20" s="287">
        <v>4.0</v>
      </c>
      <c r="O20" s="287">
        <v>2389.0</v>
      </c>
      <c r="P20" s="287">
        <v>3160.0</v>
      </c>
      <c r="Q20" s="287">
        <v>13.0</v>
      </c>
      <c r="R20" s="287">
        <v>2.0</v>
      </c>
      <c r="S20" s="287">
        <v>0.0</v>
      </c>
      <c r="T20" s="287">
        <v>0.0</v>
      </c>
      <c r="U20" s="287">
        <v>0.0</v>
      </c>
      <c r="V20" s="287">
        <v>0.0</v>
      </c>
      <c r="W20" s="287">
        <v>27.0</v>
      </c>
      <c r="X20" s="287">
        <v>9.0</v>
      </c>
      <c r="Y20" s="287">
        <v>2.0</v>
      </c>
      <c r="Z20" s="287">
        <v>1.0</v>
      </c>
      <c r="AA20" s="287">
        <v>0.0</v>
      </c>
      <c r="AB20" s="287">
        <v>0.0</v>
      </c>
      <c r="AC20" s="287">
        <v>0.0</v>
      </c>
      <c r="AD20" s="287">
        <v>0.0</v>
      </c>
      <c r="AE20" s="287">
        <v>0.0</v>
      </c>
      <c r="AF20" s="287">
        <v>0.0</v>
      </c>
      <c r="AG20" s="287">
        <v>8.0</v>
      </c>
      <c r="AH20" s="287">
        <v>0.0</v>
      </c>
      <c r="AI20" s="287">
        <v>1.0</v>
      </c>
      <c r="AJ20" s="1" t="s">
        <v>332</v>
      </c>
    </row>
    <row r="21">
      <c r="A21" s="1" t="s">
        <v>90</v>
      </c>
      <c r="B21" s="287">
        <v>0.0</v>
      </c>
      <c r="C21" s="287">
        <v>3.0</v>
      </c>
      <c r="D21" s="287">
        <v>0.0</v>
      </c>
      <c r="E21" s="287">
        <v>1.0</v>
      </c>
      <c r="F21" s="287">
        <v>2.0</v>
      </c>
      <c r="G21" s="471">
        <v>33.33</v>
      </c>
      <c r="H21" s="287">
        <v>1.0</v>
      </c>
      <c r="I21" s="287">
        <v>302.0</v>
      </c>
      <c r="J21" s="287">
        <v>346.0</v>
      </c>
      <c r="K21" s="287">
        <v>-44.0</v>
      </c>
      <c r="L21" s="287">
        <v>16.0</v>
      </c>
      <c r="M21" s="287">
        <v>7.0</v>
      </c>
      <c r="N21" s="287">
        <v>7.0</v>
      </c>
      <c r="O21" s="287">
        <v>5012.0</v>
      </c>
      <c r="P21" s="287">
        <v>6333.0</v>
      </c>
      <c r="Q21" s="287">
        <v>14.0</v>
      </c>
      <c r="R21" s="287">
        <v>4.0</v>
      </c>
      <c r="S21" s="287">
        <v>0.0</v>
      </c>
      <c r="T21" s="287">
        <v>0.0</v>
      </c>
      <c r="U21" s="287">
        <v>0.0</v>
      </c>
      <c r="V21" s="287">
        <v>0.0</v>
      </c>
      <c r="W21" s="287">
        <v>42.0</v>
      </c>
      <c r="X21" s="287">
        <v>10.0</v>
      </c>
      <c r="Y21" s="287">
        <v>0.0</v>
      </c>
      <c r="Z21" s="287">
        <v>0.0</v>
      </c>
      <c r="AA21" s="287">
        <v>0.0</v>
      </c>
      <c r="AB21" s="287">
        <v>0.0</v>
      </c>
      <c r="AC21" s="287">
        <v>0.0</v>
      </c>
      <c r="AD21" s="287">
        <v>0.0</v>
      </c>
      <c r="AE21" s="287">
        <v>0.0</v>
      </c>
      <c r="AF21" s="287">
        <v>0.0</v>
      </c>
      <c r="AG21" s="287">
        <v>12.0</v>
      </c>
      <c r="AH21" s="287">
        <v>0.0</v>
      </c>
      <c r="AI21" s="287">
        <v>3.0</v>
      </c>
      <c r="AJ21" s="1" t="s">
        <v>330</v>
      </c>
    </row>
    <row r="22">
      <c r="A22" s="1" t="s">
        <v>91</v>
      </c>
      <c r="B22" s="287">
        <v>0.0</v>
      </c>
      <c r="C22" s="287">
        <v>4.0</v>
      </c>
      <c r="D22" s="287">
        <v>0.0</v>
      </c>
      <c r="E22" s="287">
        <v>4.0</v>
      </c>
      <c r="F22" s="287">
        <v>0.0</v>
      </c>
      <c r="G22" s="471">
        <v>100.0</v>
      </c>
      <c r="H22" s="287">
        <v>4.0</v>
      </c>
      <c r="I22" s="287">
        <v>247.0</v>
      </c>
      <c r="J22" s="287">
        <v>196.0</v>
      </c>
      <c r="K22" s="287">
        <v>51.0</v>
      </c>
      <c r="L22" s="287">
        <v>23.0</v>
      </c>
      <c r="M22" s="287">
        <v>6.0</v>
      </c>
      <c r="N22" s="287">
        <v>10.0</v>
      </c>
      <c r="O22" s="287">
        <v>2699.0</v>
      </c>
      <c r="P22" s="287">
        <v>3598.0</v>
      </c>
      <c r="Q22" s="287">
        <v>13.0</v>
      </c>
      <c r="R22" s="287">
        <v>3.0</v>
      </c>
      <c r="S22" s="287">
        <v>0.0</v>
      </c>
      <c r="T22" s="287">
        <v>0.0</v>
      </c>
      <c r="U22" s="287">
        <v>0.0</v>
      </c>
      <c r="V22" s="287">
        <v>0.0</v>
      </c>
      <c r="W22" s="287">
        <v>48.0</v>
      </c>
      <c r="X22" s="287">
        <v>15.0</v>
      </c>
      <c r="Y22" s="287">
        <v>3.0</v>
      </c>
      <c r="Z22" s="287">
        <v>1.0</v>
      </c>
      <c r="AA22" s="287">
        <v>0.0</v>
      </c>
      <c r="AB22" s="287">
        <v>0.0</v>
      </c>
      <c r="AC22" s="287">
        <v>0.0</v>
      </c>
      <c r="AD22" s="287">
        <v>0.0</v>
      </c>
      <c r="AE22" s="287">
        <v>0.0</v>
      </c>
      <c r="AF22" s="287">
        <v>0.0</v>
      </c>
      <c r="AG22" s="287">
        <v>20.0</v>
      </c>
      <c r="AH22" s="287">
        <v>0.0</v>
      </c>
      <c r="AI22" s="287">
        <v>3.0</v>
      </c>
      <c r="AJ22" s="1" t="s">
        <v>332</v>
      </c>
    </row>
    <row r="23">
      <c r="A23" s="1" t="s">
        <v>92</v>
      </c>
      <c r="B23" s="287">
        <v>0.0</v>
      </c>
      <c r="C23" s="287">
        <v>1.0</v>
      </c>
      <c r="D23" s="287">
        <v>0.0</v>
      </c>
      <c r="E23" s="287">
        <v>0.0</v>
      </c>
      <c r="F23" s="287">
        <v>1.0</v>
      </c>
      <c r="G23" s="471">
        <v>0.0</v>
      </c>
      <c r="H23" s="287">
        <v>0.0</v>
      </c>
      <c r="I23" s="287">
        <v>39.0</v>
      </c>
      <c r="J23" s="287">
        <v>73.0</v>
      </c>
      <c r="K23" s="287">
        <v>-34.0</v>
      </c>
      <c r="L23" s="287">
        <v>2.0</v>
      </c>
      <c r="M23" s="287">
        <v>3.0</v>
      </c>
      <c r="N23" s="287">
        <v>2.0</v>
      </c>
      <c r="O23" s="287">
        <v>525.0</v>
      </c>
      <c r="P23" s="287">
        <v>822.0</v>
      </c>
      <c r="Q23" s="287">
        <v>7.0</v>
      </c>
      <c r="R23" s="287">
        <v>0.0</v>
      </c>
      <c r="S23" s="287">
        <v>0.0</v>
      </c>
      <c r="T23" s="287">
        <v>0.0</v>
      </c>
      <c r="U23" s="287">
        <v>0.0</v>
      </c>
      <c r="V23" s="287">
        <v>0.0</v>
      </c>
      <c r="W23" s="287">
        <v>5.0</v>
      </c>
      <c r="X23" s="287">
        <v>0.0</v>
      </c>
      <c r="Y23" s="287">
        <v>0.0</v>
      </c>
      <c r="Z23" s="287">
        <v>0.0</v>
      </c>
      <c r="AA23" s="287">
        <v>0.0</v>
      </c>
      <c r="AB23" s="287">
        <v>0.0</v>
      </c>
      <c r="AC23" s="287">
        <v>0.0</v>
      </c>
      <c r="AD23" s="287">
        <v>0.0</v>
      </c>
      <c r="AE23" s="287">
        <v>0.0</v>
      </c>
      <c r="AF23" s="287">
        <v>0.0</v>
      </c>
      <c r="AG23" s="287">
        <v>1.0</v>
      </c>
      <c r="AH23" s="287">
        <v>0.0</v>
      </c>
      <c r="AI23" s="287">
        <v>0.0</v>
      </c>
      <c r="AJ23" s="1" t="s">
        <v>324</v>
      </c>
    </row>
    <row r="24">
      <c r="A24" s="474" t="s">
        <v>93</v>
      </c>
      <c r="B24" s="475">
        <v>1.0</v>
      </c>
      <c r="C24" s="475">
        <v>3.0</v>
      </c>
      <c r="D24" s="475">
        <v>0.0</v>
      </c>
      <c r="E24" s="475">
        <v>2.0</v>
      </c>
      <c r="F24" s="475">
        <v>1.0</v>
      </c>
      <c r="G24" s="476">
        <v>66.67</v>
      </c>
      <c r="H24" s="475">
        <v>0.0</v>
      </c>
      <c r="I24" s="475">
        <v>342.0</v>
      </c>
      <c r="J24" s="475">
        <v>353.0</v>
      </c>
      <c r="K24" s="475">
        <v>-11.0</v>
      </c>
      <c r="L24" s="475">
        <v>30.0</v>
      </c>
      <c r="M24" s="475">
        <v>6.0</v>
      </c>
      <c r="N24" s="475">
        <v>6.0</v>
      </c>
      <c r="O24" s="475">
        <v>4351.0</v>
      </c>
      <c r="P24" s="475">
        <v>5698.0</v>
      </c>
      <c r="Q24" s="475">
        <v>12.0</v>
      </c>
      <c r="R24" s="475">
        <v>2.0</v>
      </c>
      <c r="S24" s="475">
        <v>0.0</v>
      </c>
      <c r="T24" s="475">
        <v>0.0</v>
      </c>
      <c r="U24" s="475">
        <v>0.0</v>
      </c>
      <c r="V24" s="475">
        <v>0.0</v>
      </c>
      <c r="W24" s="475">
        <v>50.0</v>
      </c>
      <c r="X24" s="475">
        <v>6.0</v>
      </c>
      <c r="Y24" s="475">
        <v>0.0</v>
      </c>
      <c r="Z24" s="475">
        <v>0.0</v>
      </c>
      <c r="AA24" s="475">
        <v>0.0</v>
      </c>
      <c r="AB24" s="475">
        <v>0.0</v>
      </c>
      <c r="AC24" s="475">
        <v>0.0</v>
      </c>
      <c r="AD24" s="475">
        <v>0.0</v>
      </c>
      <c r="AE24" s="475">
        <v>0.0</v>
      </c>
      <c r="AF24" s="475">
        <v>0.0</v>
      </c>
      <c r="AG24" s="475">
        <v>13.0</v>
      </c>
      <c r="AH24" s="475">
        <v>0.0</v>
      </c>
      <c r="AI24" s="475">
        <v>2.0</v>
      </c>
      <c r="AJ24" s="474" t="s">
        <v>331</v>
      </c>
      <c r="AK24" s="477"/>
    </row>
    <row r="25">
      <c r="A25" s="1" t="s">
        <v>94</v>
      </c>
      <c r="B25" s="287">
        <v>0.0</v>
      </c>
      <c r="C25" s="287">
        <v>1.0</v>
      </c>
      <c r="D25" s="287">
        <v>0.0</v>
      </c>
      <c r="E25" s="287">
        <v>0.0</v>
      </c>
      <c r="F25" s="287">
        <v>1.0</v>
      </c>
      <c r="G25" s="471">
        <v>0.0</v>
      </c>
      <c r="H25" s="287">
        <v>0.0</v>
      </c>
      <c r="I25" s="287">
        <v>36.0</v>
      </c>
      <c r="J25" s="287">
        <v>41.0</v>
      </c>
      <c r="K25" s="287">
        <v>-5.0</v>
      </c>
      <c r="L25" s="287">
        <v>1.0</v>
      </c>
      <c r="M25" s="287">
        <v>3.0</v>
      </c>
      <c r="N25" s="287">
        <v>0.0</v>
      </c>
      <c r="O25" s="287">
        <v>615.0</v>
      </c>
      <c r="P25" s="287">
        <v>822.0</v>
      </c>
      <c r="Q25" s="287">
        <v>15.0</v>
      </c>
      <c r="R25" s="287">
        <v>0.0</v>
      </c>
      <c r="S25" s="287">
        <v>0.0</v>
      </c>
      <c r="T25" s="287">
        <v>0.0</v>
      </c>
      <c r="U25" s="287">
        <v>0.0</v>
      </c>
      <c r="V25" s="287">
        <v>0.0</v>
      </c>
      <c r="W25" s="287">
        <v>5.0</v>
      </c>
      <c r="X25" s="287">
        <v>0.0</v>
      </c>
      <c r="Y25" s="287">
        <v>0.0</v>
      </c>
      <c r="Z25" s="287">
        <v>0.0</v>
      </c>
      <c r="AA25" s="287">
        <v>0.0</v>
      </c>
      <c r="AB25" s="287">
        <v>0.0</v>
      </c>
      <c r="AC25" s="287">
        <v>0.0</v>
      </c>
      <c r="AD25" s="287">
        <v>0.0</v>
      </c>
      <c r="AE25" s="287">
        <v>0.0</v>
      </c>
      <c r="AF25" s="287">
        <v>0.0</v>
      </c>
      <c r="AG25" s="287">
        <v>1.0</v>
      </c>
      <c r="AH25" s="287">
        <v>0.0</v>
      </c>
      <c r="AI25" s="287">
        <v>0.0</v>
      </c>
      <c r="AJ25" s="1" t="s">
        <v>324</v>
      </c>
    </row>
    <row r="26">
      <c r="A26" s="1" t="s">
        <v>95</v>
      </c>
      <c r="B26" s="287">
        <v>0.0</v>
      </c>
      <c r="C26" s="287">
        <v>1.0</v>
      </c>
      <c r="D26" s="287">
        <v>0.0</v>
      </c>
      <c r="E26" s="287">
        <v>0.0</v>
      </c>
      <c r="F26" s="287">
        <v>1.0</v>
      </c>
      <c r="G26" s="471">
        <v>0.0</v>
      </c>
      <c r="H26" s="287">
        <v>0.0</v>
      </c>
      <c r="I26" s="287">
        <v>31.0</v>
      </c>
      <c r="J26" s="287">
        <v>50.0</v>
      </c>
      <c r="K26" s="287">
        <v>-19.0</v>
      </c>
      <c r="L26" s="287">
        <v>1.0</v>
      </c>
      <c r="M26" s="287">
        <v>4.0</v>
      </c>
      <c r="N26" s="287">
        <v>1.0</v>
      </c>
      <c r="O26" s="287">
        <v>591.0</v>
      </c>
      <c r="P26" s="287">
        <v>822.0</v>
      </c>
      <c r="Q26" s="287">
        <v>11.0</v>
      </c>
      <c r="R26" s="287">
        <v>0.0</v>
      </c>
      <c r="S26" s="287">
        <v>0.0</v>
      </c>
      <c r="T26" s="287">
        <v>0.0</v>
      </c>
      <c r="U26" s="287">
        <v>0.0</v>
      </c>
      <c r="V26" s="287">
        <v>0.0</v>
      </c>
      <c r="W26" s="287">
        <v>5.0</v>
      </c>
      <c r="X26" s="287">
        <v>0.0</v>
      </c>
      <c r="Y26" s="287">
        <v>0.0</v>
      </c>
      <c r="Z26" s="287">
        <v>0.0</v>
      </c>
      <c r="AA26" s="287">
        <v>0.0</v>
      </c>
      <c r="AB26" s="287">
        <v>0.0</v>
      </c>
      <c r="AC26" s="287">
        <v>0.0</v>
      </c>
      <c r="AD26" s="287">
        <v>0.0</v>
      </c>
      <c r="AE26" s="287">
        <v>0.0</v>
      </c>
      <c r="AF26" s="287">
        <v>0.0</v>
      </c>
      <c r="AG26" s="287">
        <v>0.0</v>
      </c>
      <c r="AH26" s="287">
        <v>0.0</v>
      </c>
      <c r="AI26" s="287">
        <v>0.0</v>
      </c>
      <c r="AJ26" s="1" t="s">
        <v>324</v>
      </c>
    </row>
    <row r="27">
      <c r="A27" s="1" t="s">
        <v>96</v>
      </c>
      <c r="B27" s="287">
        <v>1.0</v>
      </c>
      <c r="C27" s="287">
        <v>4.0</v>
      </c>
      <c r="D27" s="287">
        <v>0.0</v>
      </c>
      <c r="E27" s="287">
        <v>3.0</v>
      </c>
      <c r="F27" s="287">
        <v>1.0</v>
      </c>
      <c r="G27" s="471">
        <v>75.0</v>
      </c>
      <c r="H27" s="287">
        <v>3.0</v>
      </c>
      <c r="I27" s="287">
        <v>362.0</v>
      </c>
      <c r="J27" s="287">
        <v>394.0</v>
      </c>
      <c r="K27" s="287">
        <v>-32.0</v>
      </c>
      <c r="L27" s="287">
        <v>10.0</v>
      </c>
      <c r="M27" s="287">
        <v>7.0</v>
      </c>
      <c r="N27" s="287">
        <v>4.0</v>
      </c>
      <c r="O27" s="287">
        <v>4650.0</v>
      </c>
      <c r="P27" s="287">
        <v>6176.0</v>
      </c>
      <c r="Q27" s="287">
        <v>11.0</v>
      </c>
      <c r="R27" s="287">
        <v>2.0</v>
      </c>
      <c r="S27" s="287">
        <v>0.0</v>
      </c>
      <c r="T27" s="287">
        <v>0.0</v>
      </c>
      <c r="U27" s="287">
        <v>0.0</v>
      </c>
      <c r="V27" s="287">
        <v>0.0</v>
      </c>
      <c r="W27" s="287">
        <v>49.0</v>
      </c>
      <c r="X27" s="287">
        <v>9.0</v>
      </c>
      <c r="Y27" s="287">
        <v>0.0</v>
      </c>
      <c r="Z27" s="287">
        <v>0.0</v>
      </c>
      <c r="AA27" s="287">
        <v>0.0</v>
      </c>
      <c r="AB27" s="287">
        <v>0.0</v>
      </c>
      <c r="AC27" s="287">
        <v>0.0</v>
      </c>
      <c r="AD27" s="287">
        <v>0.0</v>
      </c>
      <c r="AE27" s="287">
        <v>0.0</v>
      </c>
      <c r="AF27" s="287">
        <v>0.0</v>
      </c>
      <c r="AG27" s="287">
        <v>11.0</v>
      </c>
      <c r="AH27" s="287">
        <v>0.0</v>
      </c>
      <c r="AI27" s="287">
        <v>1.0</v>
      </c>
      <c r="AJ27" s="1" t="s">
        <v>331</v>
      </c>
    </row>
    <row r="28">
      <c r="A28" s="1" t="s">
        <v>97</v>
      </c>
      <c r="B28" s="287">
        <v>1.0</v>
      </c>
      <c r="C28" s="287">
        <v>2.0</v>
      </c>
      <c r="D28" s="287">
        <v>0.0</v>
      </c>
      <c r="E28" s="287">
        <v>1.0</v>
      </c>
      <c r="F28" s="287">
        <v>1.0</v>
      </c>
      <c r="G28" s="471">
        <v>50.0</v>
      </c>
      <c r="H28" s="287">
        <v>0.0</v>
      </c>
      <c r="I28" s="287">
        <v>81.0</v>
      </c>
      <c r="J28" s="287">
        <v>112.0</v>
      </c>
      <c r="K28" s="287">
        <v>-31.0</v>
      </c>
      <c r="L28" s="287">
        <v>5.0</v>
      </c>
      <c r="M28" s="287">
        <v>4.0</v>
      </c>
      <c r="N28" s="287">
        <v>2.0</v>
      </c>
      <c r="O28" s="287">
        <v>1323.0</v>
      </c>
      <c r="P28" s="287">
        <v>1794.0</v>
      </c>
      <c r="Q28" s="287">
        <v>11.0</v>
      </c>
      <c r="R28" s="287">
        <v>0.0</v>
      </c>
      <c r="S28" s="287">
        <v>0.0</v>
      </c>
      <c r="T28" s="287">
        <v>0.0</v>
      </c>
      <c r="U28" s="287">
        <v>0.0</v>
      </c>
      <c r="V28" s="287">
        <v>0.0</v>
      </c>
      <c r="W28" s="287">
        <v>11.0</v>
      </c>
      <c r="X28" s="287">
        <v>0.0</v>
      </c>
      <c r="Y28" s="287">
        <v>0.0</v>
      </c>
      <c r="Z28" s="287">
        <v>0.0</v>
      </c>
      <c r="AA28" s="287">
        <v>0.0</v>
      </c>
      <c r="AB28" s="287">
        <v>0.0</v>
      </c>
      <c r="AC28" s="287">
        <v>0.0</v>
      </c>
      <c r="AD28" s="287">
        <v>0.0</v>
      </c>
      <c r="AE28" s="287">
        <v>0.0</v>
      </c>
      <c r="AF28" s="287">
        <v>0.0</v>
      </c>
      <c r="AG28" s="287">
        <v>5.0</v>
      </c>
      <c r="AH28" s="287">
        <v>0.0</v>
      </c>
      <c r="AI28" s="287">
        <v>0.0</v>
      </c>
      <c r="AJ28" s="1" t="s">
        <v>322</v>
      </c>
    </row>
    <row r="29">
      <c r="A29" s="1" t="s">
        <v>98</v>
      </c>
      <c r="B29" s="287">
        <v>1.0</v>
      </c>
      <c r="C29" s="287">
        <v>2.0</v>
      </c>
      <c r="D29" s="287">
        <v>0.0</v>
      </c>
      <c r="E29" s="287">
        <v>1.0</v>
      </c>
      <c r="F29" s="287">
        <v>1.0</v>
      </c>
      <c r="G29" s="471">
        <v>50.0</v>
      </c>
      <c r="H29" s="287">
        <v>4.0</v>
      </c>
      <c r="I29" s="287">
        <v>88.0</v>
      </c>
      <c r="J29" s="287">
        <v>106.0</v>
      </c>
      <c r="K29" s="287">
        <v>-18.0</v>
      </c>
      <c r="L29" s="287">
        <v>6.0</v>
      </c>
      <c r="M29" s="287">
        <v>5.0</v>
      </c>
      <c r="N29" s="287">
        <v>2.0</v>
      </c>
      <c r="O29" s="287">
        <v>1347.0</v>
      </c>
      <c r="P29" s="287">
        <v>1794.0</v>
      </c>
      <c r="Q29" s="287">
        <v>12.0</v>
      </c>
      <c r="R29" s="287">
        <v>1.0</v>
      </c>
      <c r="S29" s="287">
        <v>0.0</v>
      </c>
      <c r="T29" s="287">
        <v>0.0</v>
      </c>
      <c r="U29" s="287">
        <v>0.0</v>
      </c>
      <c r="V29" s="287">
        <v>0.0</v>
      </c>
      <c r="W29" s="287">
        <v>16.0</v>
      </c>
      <c r="X29" s="287">
        <v>2.0</v>
      </c>
      <c r="Y29" s="287">
        <v>0.0</v>
      </c>
      <c r="Z29" s="287">
        <v>0.0</v>
      </c>
      <c r="AA29" s="287">
        <v>0.0</v>
      </c>
      <c r="AB29" s="287">
        <v>0.0</v>
      </c>
      <c r="AC29" s="287">
        <v>0.0</v>
      </c>
      <c r="AD29" s="287">
        <v>0.0</v>
      </c>
      <c r="AE29" s="287">
        <v>0.0</v>
      </c>
      <c r="AF29" s="287">
        <v>0.0</v>
      </c>
      <c r="AG29" s="287">
        <v>1.0</v>
      </c>
      <c r="AH29" s="287">
        <v>0.0</v>
      </c>
      <c r="AI29" s="287">
        <v>0.0</v>
      </c>
      <c r="AJ29" s="1" t="s">
        <v>322</v>
      </c>
    </row>
    <row r="30">
      <c r="A30" s="1" t="s">
        <v>99</v>
      </c>
      <c r="B30" s="287">
        <v>1.0</v>
      </c>
      <c r="C30" s="287">
        <v>3.0</v>
      </c>
      <c r="D30" s="287">
        <v>0.0</v>
      </c>
      <c r="E30" s="287">
        <v>2.0</v>
      </c>
      <c r="F30" s="287">
        <v>1.0</v>
      </c>
      <c r="G30" s="471">
        <v>66.66666666666666</v>
      </c>
      <c r="H30" s="287">
        <v>0.0</v>
      </c>
      <c r="I30" s="287">
        <v>182.0</v>
      </c>
      <c r="J30" s="287">
        <v>211.0</v>
      </c>
      <c r="K30" s="287">
        <v>-29.0</v>
      </c>
      <c r="L30" s="287">
        <v>10.0</v>
      </c>
      <c r="M30" s="287">
        <v>5.0</v>
      </c>
      <c r="N30" s="287">
        <v>6.0</v>
      </c>
      <c r="O30" s="287">
        <v>2272.0</v>
      </c>
      <c r="P30" s="287">
        <v>3160.0</v>
      </c>
      <c r="Q30" s="287">
        <v>10.0</v>
      </c>
      <c r="R30" s="287">
        <v>3.0</v>
      </c>
      <c r="S30" s="287">
        <v>0.0</v>
      </c>
      <c r="T30" s="287">
        <v>0.0</v>
      </c>
      <c r="U30" s="287">
        <v>0.0</v>
      </c>
      <c r="V30" s="287">
        <v>0.0</v>
      </c>
      <c r="W30" s="287">
        <v>28.0</v>
      </c>
      <c r="X30" s="287">
        <v>5.0</v>
      </c>
      <c r="Y30" s="287">
        <v>1.0</v>
      </c>
      <c r="Z30" s="287">
        <v>1.0</v>
      </c>
      <c r="AA30" s="287">
        <v>0.0</v>
      </c>
      <c r="AB30" s="287">
        <v>0.0</v>
      </c>
      <c r="AC30" s="287">
        <v>0.0</v>
      </c>
      <c r="AD30" s="287">
        <v>0.0</v>
      </c>
      <c r="AE30" s="287">
        <v>0.0</v>
      </c>
      <c r="AF30" s="287">
        <v>0.0</v>
      </c>
      <c r="AG30" s="287">
        <v>11.0</v>
      </c>
      <c r="AH30" s="287">
        <v>0.0</v>
      </c>
      <c r="AI30" s="287">
        <v>3.0</v>
      </c>
      <c r="AJ30" s="1" t="s">
        <v>332</v>
      </c>
    </row>
    <row r="31">
      <c r="A31" s="1" t="s">
        <v>100</v>
      </c>
      <c r="B31" s="287">
        <v>1.0</v>
      </c>
      <c r="C31" s="287">
        <v>4.0</v>
      </c>
      <c r="D31" s="287">
        <v>0.0</v>
      </c>
      <c r="E31" s="287">
        <v>2.0</v>
      </c>
      <c r="F31" s="287">
        <v>2.0</v>
      </c>
      <c r="G31" s="471">
        <v>50.0</v>
      </c>
      <c r="H31" s="287">
        <v>2.0</v>
      </c>
      <c r="I31" s="287">
        <v>386.0</v>
      </c>
      <c r="J31" s="287">
        <v>487.0</v>
      </c>
      <c r="K31" s="287">
        <v>-101.0</v>
      </c>
      <c r="L31" s="287">
        <v>32.0</v>
      </c>
      <c r="M31" s="287">
        <v>8.0</v>
      </c>
      <c r="N31" s="287">
        <v>8.0</v>
      </c>
      <c r="O31" s="287">
        <v>5086.0</v>
      </c>
      <c r="P31" s="287">
        <v>6903.0</v>
      </c>
      <c r="Q31" s="287">
        <v>10.0</v>
      </c>
      <c r="R31" s="287">
        <v>9.0</v>
      </c>
      <c r="S31" s="287">
        <v>0.0</v>
      </c>
      <c r="T31" s="287">
        <v>0.0</v>
      </c>
      <c r="U31" s="287">
        <v>0.0</v>
      </c>
      <c r="V31" s="287">
        <v>0.0</v>
      </c>
      <c r="W31" s="287">
        <v>65.0</v>
      </c>
      <c r="X31" s="287">
        <v>14.0</v>
      </c>
      <c r="Y31" s="287">
        <v>5.0</v>
      </c>
      <c r="Z31" s="287">
        <v>0.0</v>
      </c>
      <c r="AA31" s="287">
        <v>0.0</v>
      </c>
      <c r="AB31" s="287">
        <v>0.0</v>
      </c>
      <c r="AC31" s="287">
        <v>0.0</v>
      </c>
      <c r="AD31" s="287">
        <v>0.0</v>
      </c>
      <c r="AE31" s="287">
        <v>0.0</v>
      </c>
      <c r="AF31" s="287">
        <v>0.0</v>
      </c>
      <c r="AG31" s="287">
        <v>23.0</v>
      </c>
      <c r="AH31" s="287">
        <v>0.0</v>
      </c>
      <c r="AI31" s="287">
        <v>9.0</v>
      </c>
      <c r="AJ31" s="1" t="s">
        <v>331</v>
      </c>
    </row>
    <row r="32">
      <c r="A32" s="1" t="s">
        <v>101</v>
      </c>
      <c r="B32" s="287">
        <v>0.0</v>
      </c>
      <c r="C32" s="287">
        <v>1.0</v>
      </c>
      <c r="D32" s="287">
        <v>0.0</v>
      </c>
      <c r="E32" s="287">
        <v>0.0</v>
      </c>
      <c r="F32" s="287">
        <v>1.0</v>
      </c>
      <c r="G32" s="471">
        <v>0.0</v>
      </c>
      <c r="H32" s="287">
        <v>0.0</v>
      </c>
      <c r="I32" s="287">
        <v>53.0</v>
      </c>
      <c r="J32" s="287">
        <v>84.0</v>
      </c>
      <c r="K32" s="287">
        <v>-31.0</v>
      </c>
      <c r="L32" s="287">
        <v>6.0</v>
      </c>
      <c r="M32" s="287">
        <v>4.0</v>
      </c>
      <c r="N32" s="287">
        <v>1.0</v>
      </c>
      <c r="O32" s="287">
        <v>1088.0</v>
      </c>
      <c r="P32" s="287">
        <v>1416.0</v>
      </c>
      <c r="Q32" s="287">
        <v>12.0</v>
      </c>
      <c r="R32" s="287">
        <v>0.0</v>
      </c>
      <c r="S32" s="287">
        <v>0.0</v>
      </c>
      <c r="T32" s="287">
        <v>0.0</v>
      </c>
      <c r="U32" s="287">
        <v>0.0</v>
      </c>
      <c r="V32" s="287">
        <v>0.0</v>
      </c>
      <c r="W32" s="287">
        <v>7.0</v>
      </c>
      <c r="X32" s="287">
        <v>1.0</v>
      </c>
      <c r="Y32" s="287">
        <v>0.0</v>
      </c>
      <c r="Z32" s="287">
        <v>0.0</v>
      </c>
      <c r="AA32" s="287">
        <v>0.0</v>
      </c>
      <c r="AB32" s="287">
        <v>0.0</v>
      </c>
      <c r="AC32" s="287">
        <v>0.0</v>
      </c>
      <c r="AD32" s="287">
        <v>0.0</v>
      </c>
      <c r="AE32" s="287">
        <v>0.0</v>
      </c>
      <c r="AF32" s="287">
        <v>0.0</v>
      </c>
      <c r="AG32" s="287">
        <v>2.0</v>
      </c>
      <c r="AH32" s="287">
        <v>0.0</v>
      </c>
      <c r="AI32" s="287">
        <v>0.0</v>
      </c>
      <c r="AJ32" s="1" t="s">
        <v>326</v>
      </c>
    </row>
    <row r="33">
      <c r="A33" s="1" t="s">
        <v>102</v>
      </c>
      <c r="B33" s="287">
        <v>1.0</v>
      </c>
      <c r="C33" s="287">
        <v>3.0</v>
      </c>
      <c r="D33" s="287">
        <v>0.0</v>
      </c>
      <c r="E33" s="287">
        <v>1.0</v>
      </c>
      <c r="F33" s="287">
        <v>2.0</v>
      </c>
      <c r="G33" s="471">
        <v>33.33</v>
      </c>
      <c r="H33" s="287">
        <v>0.0</v>
      </c>
      <c r="I33" s="287">
        <v>188.0</v>
      </c>
      <c r="J33" s="287">
        <v>244.0</v>
      </c>
      <c r="K33" s="287">
        <v>-56.0</v>
      </c>
      <c r="L33" s="287">
        <v>16.0</v>
      </c>
      <c r="M33" s="287">
        <v>7.0</v>
      </c>
      <c r="N33" s="287">
        <v>4.0</v>
      </c>
      <c r="O33" s="287">
        <v>2631.0</v>
      </c>
      <c r="P33" s="287">
        <v>3581.0</v>
      </c>
      <c r="Q33" s="287">
        <v>10.0</v>
      </c>
      <c r="R33" s="287">
        <v>2.0</v>
      </c>
      <c r="S33" s="287">
        <v>0.0</v>
      </c>
      <c r="T33" s="287">
        <v>0.0</v>
      </c>
      <c r="U33" s="287">
        <v>0.0</v>
      </c>
      <c r="V33" s="287">
        <v>0.0</v>
      </c>
      <c r="W33" s="287">
        <v>25.0</v>
      </c>
      <c r="X33" s="287">
        <v>6.0</v>
      </c>
      <c r="Y33" s="287">
        <v>1.0</v>
      </c>
      <c r="Z33" s="287">
        <v>1.0</v>
      </c>
      <c r="AA33" s="287">
        <v>0.0</v>
      </c>
      <c r="AB33" s="287">
        <v>0.0</v>
      </c>
      <c r="AC33" s="287">
        <v>0.0</v>
      </c>
      <c r="AD33" s="287">
        <v>0.0</v>
      </c>
      <c r="AE33" s="287">
        <v>0.0</v>
      </c>
      <c r="AF33" s="287">
        <v>0.0</v>
      </c>
      <c r="AG33" s="287">
        <v>3.0</v>
      </c>
      <c r="AH33" s="287">
        <v>0.0</v>
      </c>
      <c r="AI33" s="287">
        <v>1.0</v>
      </c>
      <c r="AJ33" s="1" t="s">
        <v>329</v>
      </c>
    </row>
    <row r="34">
      <c r="A34" s="1" t="s">
        <v>103</v>
      </c>
      <c r="B34" s="287">
        <v>0.0</v>
      </c>
      <c r="C34" s="287">
        <v>4.0</v>
      </c>
      <c r="D34" s="287">
        <v>0.0</v>
      </c>
      <c r="E34" s="287">
        <v>1.0</v>
      </c>
      <c r="F34" s="287">
        <v>3.0</v>
      </c>
      <c r="G34" s="471">
        <v>25.0</v>
      </c>
      <c r="H34" s="287">
        <v>4.0</v>
      </c>
      <c r="I34" s="287">
        <v>335.0</v>
      </c>
      <c r="J34" s="287">
        <v>252.0</v>
      </c>
      <c r="K34" s="287">
        <v>83.0</v>
      </c>
      <c r="L34" s="287">
        <v>22.0</v>
      </c>
      <c r="M34" s="287">
        <v>7.0</v>
      </c>
      <c r="N34" s="287">
        <v>2.0</v>
      </c>
      <c r="O34" s="287">
        <v>4848.0</v>
      </c>
      <c r="P34" s="287">
        <v>5904.0</v>
      </c>
      <c r="Q34" s="287">
        <v>19.0</v>
      </c>
      <c r="R34" s="287">
        <v>10.0</v>
      </c>
      <c r="S34" s="287">
        <v>0.0</v>
      </c>
      <c r="T34" s="287">
        <v>0.0</v>
      </c>
      <c r="U34" s="287">
        <v>0.0</v>
      </c>
      <c r="V34" s="287">
        <v>0.0</v>
      </c>
      <c r="W34" s="287">
        <v>54.0</v>
      </c>
      <c r="X34" s="287">
        <v>13.0</v>
      </c>
      <c r="Y34" s="287">
        <v>2.0</v>
      </c>
      <c r="Z34" s="287">
        <v>0.0</v>
      </c>
      <c r="AA34" s="287">
        <v>0.0</v>
      </c>
      <c r="AB34" s="287">
        <v>0.0</v>
      </c>
      <c r="AC34" s="287">
        <v>0.0</v>
      </c>
      <c r="AD34" s="287">
        <v>0.0</v>
      </c>
      <c r="AE34" s="287">
        <v>0.0</v>
      </c>
      <c r="AF34" s="287">
        <v>0.0</v>
      </c>
      <c r="AG34" s="287">
        <v>22.0</v>
      </c>
      <c r="AH34" s="287">
        <v>0.0</v>
      </c>
      <c r="AI34" s="287">
        <v>8.0</v>
      </c>
      <c r="AJ34" s="1" t="s">
        <v>328</v>
      </c>
    </row>
    <row r="35">
      <c r="A35" s="1" t="s">
        <v>104</v>
      </c>
      <c r="B35" s="287">
        <v>0.0</v>
      </c>
      <c r="C35" s="287">
        <v>4.0</v>
      </c>
      <c r="D35" s="287">
        <v>0.0</v>
      </c>
      <c r="E35" s="287">
        <v>1.0</v>
      </c>
      <c r="F35" s="287">
        <v>3.0</v>
      </c>
      <c r="G35" s="471">
        <v>25.0</v>
      </c>
      <c r="H35" s="287">
        <v>0.0</v>
      </c>
      <c r="I35" s="287">
        <v>289.0</v>
      </c>
      <c r="J35" s="287">
        <v>256.0</v>
      </c>
      <c r="K35" s="287">
        <v>33.0</v>
      </c>
      <c r="L35" s="287">
        <v>15.0</v>
      </c>
      <c r="M35" s="287">
        <v>9.0</v>
      </c>
      <c r="N35" s="287">
        <v>2.0</v>
      </c>
      <c r="O35" s="287">
        <v>3656.0</v>
      </c>
      <c r="P35" s="287">
        <v>4724.0</v>
      </c>
      <c r="Q35" s="287">
        <v>14.0</v>
      </c>
      <c r="R35" s="287">
        <v>4.0</v>
      </c>
      <c r="S35" s="287">
        <v>0.0</v>
      </c>
      <c r="T35" s="287">
        <v>0.0</v>
      </c>
      <c r="U35" s="287">
        <v>0.0</v>
      </c>
      <c r="V35" s="287">
        <v>0.0</v>
      </c>
      <c r="W35" s="287">
        <v>40.0</v>
      </c>
      <c r="X35" s="287">
        <v>11.0</v>
      </c>
      <c r="Y35" s="287">
        <v>0.0</v>
      </c>
      <c r="Z35" s="287">
        <v>0.0</v>
      </c>
      <c r="AA35" s="287">
        <v>0.0</v>
      </c>
      <c r="AB35" s="287">
        <v>0.0</v>
      </c>
      <c r="AC35" s="287">
        <v>0.0</v>
      </c>
      <c r="AD35" s="287">
        <v>0.0</v>
      </c>
      <c r="AE35" s="287">
        <v>0.0</v>
      </c>
      <c r="AF35" s="287">
        <v>0.0</v>
      </c>
      <c r="AG35" s="287">
        <v>7.0</v>
      </c>
      <c r="AH35" s="287">
        <v>0.0</v>
      </c>
      <c r="AI35" s="287">
        <v>2.0</v>
      </c>
      <c r="AJ35" s="1" t="s">
        <v>329</v>
      </c>
    </row>
    <row r="36">
      <c r="A36" s="1" t="s">
        <v>105</v>
      </c>
      <c r="B36" s="287">
        <v>1.0</v>
      </c>
      <c r="C36" s="287">
        <v>4.0</v>
      </c>
      <c r="D36" s="287">
        <v>0.0</v>
      </c>
      <c r="E36" s="287">
        <v>2.0</v>
      </c>
      <c r="F36" s="287">
        <v>2.0</v>
      </c>
      <c r="G36" s="471">
        <v>50.0</v>
      </c>
      <c r="H36" s="287">
        <v>10.0</v>
      </c>
      <c r="I36" s="287">
        <v>248.0</v>
      </c>
      <c r="J36" s="287">
        <v>209.0</v>
      </c>
      <c r="K36" s="287">
        <v>39.0</v>
      </c>
      <c r="L36" s="287">
        <v>10.0</v>
      </c>
      <c r="M36" s="287">
        <v>8.0</v>
      </c>
      <c r="N36" s="287">
        <v>5.0</v>
      </c>
      <c r="O36" s="287">
        <v>5923.0</v>
      </c>
      <c r="P36" s="287">
        <v>6903.0</v>
      </c>
      <c r="Q36" s="287">
        <v>28.0</v>
      </c>
      <c r="R36" s="287">
        <v>8.0</v>
      </c>
      <c r="S36" s="287">
        <v>0.0</v>
      </c>
      <c r="T36" s="287">
        <v>0.0</v>
      </c>
      <c r="U36" s="287">
        <v>0.0</v>
      </c>
      <c r="V36" s="287">
        <v>0.0</v>
      </c>
      <c r="W36" s="287">
        <v>33.0</v>
      </c>
      <c r="X36" s="287">
        <v>4.0</v>
      </c>
      <c r="Y36" s="287">
        <v>2.0</v>
      </c>
      <c r="Z36" s="287">
        <v>1.0</v>
      </c>
      <c r="AA36" s="287">
        <v>0.0</v>
      </c>
      <c r="AB36" s="287">
        <v>0.0</v>
      </c>
      <c r="AC36" s="287">
        <v>0.0</v>
      </c>
      <c r="AD36" s="287">
        <v>0.0</v>
      </c>
      <c r="AE36" s="287">
        <v>0.0</v>
      </c>
      <c r="AF36" s="287">
        <v>0.0</v>
      </c>
      <c r="AG36" s="287">
        <v>4.0</v>
      </c>
      <c r="AH36" s="287">
        <v>0.0</v>
      </c>
      <c r="AI36" s="287">
        <v>3.0</v>
      </c>
      <c r="AJ36" s="1" t="s">
        <v>331</v>
      </c>
    </row>
    <row r="37">
      <c r="A37" s="1" t="s">
        <v>106</v>
      </c>
      <c r="B37" s="287">
        <v>1.0</v>
      </c>
      <c r="C37" s="287">
        <v>4.0</v>
      </c>
      <c r="D37" s="287">
        <v>0.0</v>
      </c>
      <c r="E37" s="287">
        <v>3.0</v>
      </c>
      <c r="F37" s="287">
        <v>1.0</v>
      </c>
      <c r="G37" s="471">
        <v>75.0</v>
      </c>
      <c r="H37" s="287">
        <v>3.0</v>
      </c>
      <c r="I37" s="287">
        <v>320.0</v>
      </c>
      <c r="J37" s="287">
        <v>402.0</v>
      </c>
      <c r="K37" s="287">
        <v>-82.0</v>
      </c>
      <c r="L37" s="287">
        <v>22.0</v>
      </c>
      <c r="M37" s="287">
        <v>5.0</v>
      </c>
      <c r="N37" s="287">
        <v>13.0</v>
      </c>
      <c r="O37" s="287">
        <v>4653.0</v>
      </c>
      <c r="P37" s="287">
        <v>6176.0</v>
      </c>
      <c r="Q37" s="287">
        <v>11.0</v>
      </c>
      <c r="R37" s="287">
        <v>1.0</v>
      </c>
      <c r="S37" s="287">
        <v>0.0</v>
      </c>
      <c r="T37" s="287">
        <v>0.0</v>
      </c>
      <c r="U37" s="287">
        <v>0.0</v>
      </c>
      <c r="V37" s="287">
        <v>0.0</v>
      </c>
      <c r="W37" s="287">
        <v>39.0</v>
      </c>
      <c r="X37" s="287">
        <v>7.0</v>
      </c>
      <c r="Y37" s="287">
        <v>1.0</v>
      </c>
      <c r="Z37" s="287">
        <v>0.0</v>
      </c>
      <c r="AA37" s="287">
        <v>0.0</v>
      </c>
      <c r="AB37" s="287">
        <v>0.0</v>
      </c>
      <c r="AC37" s="287">
        <v>0.0</v>
      </c>
      <c r="AD37" s="287">
        <v>0.0</v>
      </c>
      <c r="AE37" s="287">
        <v>0.0</v>
      </c>
      <c r="AF37" s="287">
        <v>0.0</v>
      </c>
      <c r="AG37" s="287">
        <v>18.0</v>
      </c>
      <c r="AH37" s="287">
        <v>0.0</v>
      </c>
      <c r="AI37" s="287">
        <v>1.0</v>
      </c>
      <c r="AJ37" s="1" t="s">
        <v>331</v>
      </c>
    </row>
    <row r="38">
      <c r="A38" s="478" t="s">
        <v>107</v>
      </c>
      <c r="B38" s="479">
        <v>1.0</v>
      </c>
      <c r="C38" s="479">
        <v>2.0</v>
      </c>
      <c r="D38" s="479">
        <v>0.0</v>
      </c>
      <c r="E38" s="479">
        <v>1.0</v>
      </c>
      <c r="F38" s="479">
        <v>1.0</v>
      </c>
      <c r="G38" s="480">
        <v>50.0</v>
      </c>
      <c r="H38" s="479">
        <v>0.0</v>
      </c>
      <c r="I38" s="479">
        <v>69.0</v>
      </c>
      <c r="J38" s="479">
        <v>78.0</v>
      </c>
      <c r="K38" s="479">
        <v>-9.0</v>
      </c>
      <c r="L38" s="479">
        <v>5.0</v>
      </c>
      <c r="M38" s="479">
        <v>5.0</v>
      </c>
      <c r="N38" s="479">
        <v>3.0</v>
      </c>
      <c r="O38" s="479">
        <v>780.0</v>
      </c>
      <c r="P38" s="479">
        <v>1144.0</v>
      </c>
      <c r="Q38" s="479">
        <v>10.0</v>
      </c>
      <c r="R38" s="479">
        <v>1.0</v>
      </c>
      <c r="S38" s="479">
        <v>0.0</v>
      </c>
      <c r="T38" s="479">
        <v>0.0</v>
      </c>
      <c r="U38" s="479">
        <v>0.0</v>
      </c>
      <c r="V38" s="479">
        <v>0.0</v>
      </c>
      <c r="W38" s="479">
        <v>11.0</v>
      </c>
      <c r="X38" s="479">
        <v>2.0</v>
      </c>
      <c r="Y38" s="479">
        <v>0.0</v>
      </c>
      <c r="Z38" s="479">
        <v>0.0</v>
      </c>
      <c r="AA38" s="479">
        <v>0.0</v>
      </c>
      <c r="AB38" s="479">
        <v>0.0</v>
      </c>
      <c r="AC38" s="479">
        <v>0.0</v>
      </c>
      <c r="AD38" s="479">
        <v>0.0</v>
      </c>
      <c r="AE38" s="479">
        <v>0.0</v>
      </c>
      <c r="AF38" s="479">
        <v>0.0</v>
      </c>
      <c r="AG38" s="479">
        <v>0.0</v>
      </c>
      <c r="AH38" s="479">
        <v>0.0</v>
      </c>
      <c r="AI38" s="479">
        <v>1.0</v>
      </c>
      <c r="AJ38" s="364" t="s">
        <v>325</v>
      </c>
      <c r="AK38" s="481"/>
    </row>
    <row r="39">
      <c r="A39" s="1" t="s">
        <v>108</v>
      </c>
      <c r="B39" s="287">
        <v>1.0</v>
      </c>
      <c r="C39" s="287">
        <v>2.0</v>
      </c>
      <c r="D39" s="287">
        <v>0.0</v>
      </c>
      <c r="E39" s="287">
        <v>1.0</v>
      </c>
      <c r="F39" s="287">
        <v>1.0</v>
      </c>
      <c r="G39" s="471">
        <v>50.0</v>
      </c>
      <c r="H39" s="287">
        <v>1.0</v>
      </c>
      <c r="I39" s="287">
        <v>60.0</v>
      </c>
      <c r="J39" s="287">
        <v>67.0</v>
      </c>
      <c r="K39" s="287">
        <v>-7.0</v>
      </c>
      <c r="L39" s="287">
        <v>4.0</v>
      </c>
      <c r="M39" s="287">
        <v>4.0</v>
      </c>
      <c r="N39" s="287">
        <v>0.0</v>
      </c>
      <c r="O39" s="287">
        <v>810.0</v>
      </c>
      <c r="P39" s="287">
        <v>1144.0</v>
      </c>
      <c r="Q39" s="287">
        <v>12.0</v>
      </c>
      <c r="R39" s="287">
        <v>0.0</v>
      </c>
      <c r="S39" s="287">
        <v>0.0</v>
      </c>
      <c r="T39" s="287">
        <v>0.0</v>
      </c>
      <c r="U39" s="287">
        <v>0.0</v>
      </c>
      <c r="V39" s="287">
        <v>0.0</v>
      </c>
      <c r="W39" s="287">
        <v>9.0</v>
      </c>
      <c r="X39" s="287">
        <v>3.0</v>
      </c>
      <c r="Y39" s="287">
        <v>0.0</v>
      </c>
      <c r="Z39" s="287">
        <v>0.0</v>
      </c>
      <c r="AA39" s="287">
        <v>0.0</v>
      </c>
      <c r="AB39" s="287">
        <v>0.0</v>
      </c>
      <c r="AC39" s="287">
        <v>0.0</v>
      </c>
      <c r="AD39" s="287">
        <v>0.0</v>
      </c>
      <c r="AE39" s="287">
        <v>0.0</v>
      </c>
      <c r="AF39" s="287">
        <v>0.0</v>
      </c>
      <c r="AG39" s="287">
        <v>3.0</v>
      </c>
      <c r="AH39" s="287">
        <v>0.0</v>
      </c>
      <c r="AI39" s="287">
        <v>0.0</v>
      </c>
      <c r="AJ39" s="1" t="s">
        <v>325</v>
      </c>
    </row>
    <row r="40">
      <c r="A40" s="1" t="s">
        <v>109</v>
      </c>
      <c r="B40" s="287">
        <v>0.0</v>
      </c>
      <c r="C40" s="287">
        <v>1.0</v>
      </c>
      <c r="D40" s="287">
        <v>0.0</v>
      </c>
      <c r="E40" s="287">
        <v>0.0</v>
      </c>
      <c r="F40" s="287">
        <v>1.0</v>
      </c>
      <c r="G40" s="471">
        <v>0.0</v>
      </c>
      <c r="H40" s="287">
        <v>0.0</v>
      </c>
      <c r="I40" s="287">
        <v>93.0</v>
      </c>
      <c r="J40" s="287">
        <v>98.0</v>
      </c>
      <c r="K40" s="287">
        <v>-5.0</v>
      </c>
      <c r="L40" s="287">
        <v>5.0</v>
      </c>
      <c r="M40" s="287">
        <v>4.0</v>
      </c>
      <c r="N40" s="287">
        <v>2.0</v>
      </c>
      <c r="O40" s="287">
        <v>1050.0</v>
      </c>
      <c r="P40" s="287">
        <v>1416.0</v>
      </c>
      <c r="Q40" s="287">
        <v>10.0</v>
      </c>
      <c r="R40" s="287">
        <v>0.0</v>
      </c>
      <c r="S40" s="287">
        <v>0.0</v>
      </c>
      <c r="T40" s="287">
        <v>0.0</v>
      </c>
      <c r="U40" s="287">
        <v>0.0</v>
      </c>
      <c r="V40" s="287">
        <v>0.0</v>
      </c>
      <c r="W40" s="287">
        <v>14.0</v>
      </c>
      <c r="X40" s="287">
        <v>2.0</v>
      </c>
      <c r="Y40" s="287">
        <v>0.0</v>
      </c>
      <c r="Z40" s="287">
        <v>0.0</v>
      </c>
      <c r="AA40" s="287">
        <v>0.0</v>
      </c>
      <c r="AB40" s="287">
        <v>0.0</v>
      </c>
      <c r="AC40" s="287">
        <v>0.0</v>
      </c>
      <c r="AD40" s="287">
        <v>0.0</v>
      </c>
      <c r="AE40" s="287">
        <v>0.0</v>
      </c>
      <c r="AF40" s="287">
        <v>0.0</v>
      </c>
      <c r="AG40" s="287">
        <v>2.0</v>
      </c>
      <c r="AH40" s="287">
        <v>0.0</v>
      </c>
      <c r="AI40" s="287">
        <v>0.0</v>
      </c>
      <c r="AJ40" s="1" t="s">
        <v>326</v>
      </c>
    </row>
    <row r="41">
      <c r="A41" s="1" t="s">
        <v>110</v>
      </c>
      <c r="B41" s="287">
        <v>0.0</v>
      </c>
      <c r="C41" s="287">
        <v>3.0</v>
      </c>
      <c r="D41" s="287">
        <v>0.0</v>
      </c>
      <c r="E41" s="287">
        <v>1.0</v>
      </c>
      <c r="F41" s="287">
        <v>2.0</v>
      </c>
      <c r="G41" s="471">
        <v>33.33</v>
      </c>
      <c r="H41" s="287">
        <v>1.0</v>
      </c>
      <c r="I41" s="287">
        <v>279.0</v>
      </c>
      <c r="J41" s="287">
        <v>293.0</v>
      </c>
      <c r="K41" s="287">
        <v>-14.0</v>
      </c>
      <c r="L41" s="287">
        <v>18.0</v>
      </c>
      <c r="M41" s="287">
        <v>5.0</v>
      </c>
      <c r="N41" s="287">
        <v>0.0</v>
      </c>
      <c r="O41" s="287">
        <v>3738.0</v>
      </c>
      <c r="P41" s="287">
        <v>4835.0</v>
      </c>
      <c r="Q41" s="287">
        <v>12.0</v>
      </c>
      <c r="R41" s="287">
        <v>2.0</v>
      </c>
      <c r="S41" s="287">
        <v>0.0</v>
      </c>
      <c r="T41" s="287">
        <v>0.0</v>
      </c>
      <c r="U41" s="287">
        <v>0.0</v>
      </c>
      <c r="V41" s="287">
        <v>0.0</v>
      </c>
      <c r="W41" s="287">
        <v>48.0</v>
      </c>
      <c r="X41" s="287">
        <v>5.0</v>
      </c>
      <c r="Y41" s="287">
        <v>1.0</v>
      </c>
      <c r="Z41" s="287">
        <v>0.0</v>
      </c>
      <c r="AA41" s="287">
        <v>0.0</v>
      </c>
      <c r="AB41" s="287">
        <v>0.0</v>
      </c>
      <c r="AC41" s="287">
        <v>0.0</v>
      </c>
      <c r="AD41" s="287">
        <v>0.0</v>
      </c>
      <c r="AE41" s="287">
        <v>0.0</v>
      </c>
      <c r="AF41" s="287">
        <v>0.0</v>
      </c>
      <c r="AG41" s="287">
        <v>13.0</v>
      </c>
      <c r="AH41" s="287">
        <v>0.0</v>
      </c>
      <c r="AI41" s="287">
        <v>2.0</v>
      </c>
      <c r="AJ41" s="1" t="s">
        <v>328</v>
      </c>
    </row>
    <row r="42">
      <c r="A42" s="1" t="s">
        <v>111</v>
      </c>
      <c r="B42" s="287">
        <v>0.0</v>
      </c>
      <c r="C42" s="287">
        <v>4.0</v>
      </c>
      <c r="D42" s="287">
        <v>0.0</v>
      </c>
      <c r="E42" s="287">
        <v>4.0</v>
      </c>
      <c r="F42" s="287">
        <v>0.0</v>
      </c>
      <c r="G42" s="471">
        <v>100.0</v>
      </c>
      <c r="H42" s="287">
        <v>1.0</v>
      </c>
      <c r="I42" s="287">
        <v>248.0</v>
      </c>
      <c r="J42" s="287">
        <v>193.0</v>
      </c>
      <c r="K42" s="287">
        <v>55.0</v>
      </c>
      <c r="L42" s="287">
        <v>15.0</v>
      </c>
      <c r="M42" s="287">
        <v>7.0</v>
      </c>
      <c r="N42" s="287">
        <v>7.0</v>
      </c>
      <c r="O42" s="287">
        <v>2712.0</v>
      </c>
      <c r="P42" s="287">
        <v>3598.0</v>
      </c>
      <c r="Q42" s="287">
        <v>14.0</v>
      </c>
      <c r="R42" s="287">
        <v>5.0</v>
      </c>
      <c r="S42" s="287">
        <v>0.0</v>
      </c>
      <c r="T42" s="287">
        <v>0.0</v>
      </c>
      <c r="U42" s="287">
        <v>0.0</v>
      </c>
      <c r="V42" s="287">
        <v>0.0</v>
      </c>
      <c r="W42" s="287">
        <v>45.0</v>
      </c>
      <c r="X42" s="287">
        <v>14.0</v>
      </c>
      <c r="Y42" s="287">
        <v>4.0</v>
      </c>
      <c r="Z42" s="287">
        <v>1.0</v>
      </c>
      <c r="AA42" s="287">
        <v>0.0</v>
      </c>
      <c r="AB42" s="287">
        <v>0.0</v>
      </c>
      <c r="AC42" s="287">
        <v>0.0</v>
      </c>
      <c r="AD42" s="287">
        <v>0.0</v>
      </c>
      <c r="AE42" s="287">
        <v>0.0</v>
      </c>
      <c r="AF42" s="287">
        <v>0.0</v>
      </c>
      <c r="AG42" s="287">
        <v>16.0</v>
      </c>
      <c r="AH42" s="287">
        <v>0.0</v>
      </c>
      <c r="AI42" s="287">
        <v>4.0</v>
      </c>
      <c r="AJ42" s="1" t="s">
        <v>332</v>
      </c>
    </row>
    <row r="43">
      <c r="A43" s="1" t="s">
        <v>112</v>
      </c>
      <c r="B43" s="287">
        <v>0.0</v>
      </c>
      <c r="C43" s="287">
        <v>3.0</v>
      </c>
      <c r="D43" s="287">
        <v>0.0</v>
      </c>
      <c r="E43" s="287">
        <v>1.0</v>
      </c>
      <c r="F43" s="287">
        <v>2.0</v>
      </c>
      <c r="G43" s="471">
        <v>33.33</v>
      </c>
      <c r="H43" s="287">
        <v>8.0</v>
      </c>
      <c r="I43" s="287">
        <v>312.0</v>
      </c>
      <c r="J43" s="287">
        <v>228.0</v>
      </c>
      <c r="K43" s="287">
        <v>84.0</v>
      </c>
      <c r="L43" s="287">
        <v>23.0</v>
      </c>
      <c r="M43" s="287">
        <v>17.0</v>
      </c>
      <c r="N43" s="287">
        <v>10.0</v>
      </c>
      <c r="O43" s="287">
        <v>5198.0</v>
      </c>
      <c r="P43" s="287">
        <v>6163.0</v>
      </c>
      <c r="Q43" s="287">
        <v>22.0</v>
      </c>
      <c r="R43" s="287">
        <v>11.0</v>
      </c>
      <c r="S43" s="287">
        <v>3.0</v>
      </c>
      <c r="T43" s="287">
        <v>1.0</v>
      </c>
      <c r="U43" s="287">
        <v>0.0</v>
      </c>
      <c r="V43" s="287">
        <v>0.0</v>
      </c>
      <c r="W43" s="287">
        <v>50.0</v>
      </c>
      <c r="X43" s="287">
        <v>9.0</v>
      </c>
      <c r="Y43" s="287">
        <v>4.0</v>
      </c>
      <c r="Z43" s="287">
        <v>3.0</v>
      </c>
      <c r="AA43" s="287">
        <v>1.0</v>
      </c>
      <c r="AB43" s="287">
        <v>1.0</v>
      </c>
      <c r="AC43" s="287">
        <v>0.0</v>
      </c>
      <c r="AD43" s="287">
        <v>0.0</v>
      </c>
      <c r="AE43" s="287">
        <v>0.0</v>
      </c>
      <c r="AF43" s="287">
        <v>0.0</v>
      </c>
      <c r="AG43" s="287">
        <v>8.0</v>
      </c>
      <c r="AH43" s="287">
        <v>0.0</v>
      </c>
      <c r="AI43" s="287">
        <v>5.0</v>
      </c>
      <c r="AJ43" s="1" t="s">
        <v>330</v>
      </c>
    </row>
    <row r="44">
      <c r="A44" s="1" t="s">
        <v>113</v>
      </c>
      <c r="B44" s="287">
        <v>1.0</v>
      </c>
      <c r="C44" s="287">
        <v>2.0</v>
      </c>
      <c r="D44" s="287">
        <v>0.0</v>
      </c>
      <c r="E44" s="287">
        <v>1.0</v>
      </c>
      <c r="F44" s="287">
        <v>1.0</v>
      </c>
      <c r="G44" s="471">
        <v>50.0</v>
      </c>
      <c r="H44" s="287">
        <v>1.0</v>
      </c>
      <c r="I44" s="287">
        <v>99.0</v>
      </c>
      <c r="J44" s="1">
        <v>130.0</v>
      </c>
      <c r="K44" s="1">
        <v>-31.0</v>
      </c>
      <c r="L44" s="287">
        <v>4.0</v>
      </c>
      <c r="M44" s="287">
        <v>4.0</v>
      </c>
      <c r="N44" s="287">
        <v>1.0</v>
      </c>
      <c r="O44" s="287">
        <v>1360.0</v>
      </c>
      <c r="P44" s="287">
        <v>1794.0</v>
      </c>
      <c r="Q44" s="287">
        <v>13.0</v>
      </c>
      <c r="R44" s="287">
        <v>0.0</v>
      </c>
      <c r="S44" s="287">
        <v>0.0</v>
      </c>
      <c r="T44" s="287">
        <v>0.0</v>
      </c>
      <c r="U44" s="287">
        <v>0.0</v>
      </c>
      <c r="V44" s="287">
        <v>0.0</v>
      </c>
      <c r="W44" s="287">
        <v>13.0</v>
      </c>
      <c r="X44" s="287">
        <v>2.0</v>
      </c>
      <c r="Y44" s="287">
        <v>0.0</v>
      </c>
      <c r="Z44" s="287">
        <v>0.0</v>
      </c>
      <c r="AA44" s="287">
        <v>0.0</v>
      </c>
      <c r="AB44" s="287">
        <v>0.0</v>
      </c>
      <c r="AC44" s="287">
        <v>0.0</v>
      </c>
      <c r="AD44" s="287">
        <v>0.0</v>
      </c>
      <c r="AE44" s="287">
        <v>0.0</v>
      </c>
      <c r="AF44" s="287">
        <v>0.0</v>
      </c>
      <c r="AG44" s="287">
        <v>5.0</v>
      </c>
      <c r="AH44" s="287">
        <v>0.0</v>
      </c>
      <c r="AI44" s="287">
        <v>0.0</v>
      </c>
      <c r="AJ44" s="1" t="s">
        <v>322</v>
      </c>
    </row>
    <row r="45">
      <c r="A45" s="1" t="s">
        <v>114</v>
      </c>
      <c r="B45" s="287">
        <v>0.0</v>
      </c>
      <c r="C45" s="287">
        <v>3.0</v>
      </c>
      <c r="D45" s="287">
        <v>0.0</v>
      </c>
      <c r="E45" s="287">
        <v>1.0</v>
      </c>
      <c r="F45" s="287">
        <v>2.0</v>
      </c>
      <c r="G45" s="471">
        <v>33.33</v>
      </c>
      <c r="H45" s="287">
        <v>0.0</v>
      </c>
      <c r="I45" s="287">
        <v>381.0</v>
      </c>
      <c r="J45" s="287">
        <v>389.0</v>
      </c>
      <c r="K45" s="287">
        <v>-8.0</v>
      </c>
      <c r="L45" s="287">
        <v>29.0</v>
      </c>
      <c r="M45" s="287">
        <v>6.0</v>
      </c>
      <c r="N45" s="287">
        <v>7.0</v>
      </c>
      <c r="O45" s="287">
        <v>4886.0</v>
      </c>
      <c r="P45" s="287">
        <v>6333.0</v>
      </c>
      <c r="Q45" s="287">
        <v>12.0</v>
      </c>
      <c r="R45" s="287">
        <v>6.0</v>
      </c>
      <c r="S45" s="287">
        <v>0.0</v>
      </c>
      <c r="T45" s="287">
        <v>0.0</v>
      </c>
      <c r="U45" s="287">
        <v>0.0</v>
      </c>
      <c r="V45" s="287">
        <v>0.0</v>
      </c>
      <c r="W45" s="287">
        <v>68.0</v>
      </c>
      <c r="X45" s="287">
        <v>11.0</v>
      </c>
      <c r="Y45" s="287">
        <v>4.0</v>
      </c>
      <c r="Z45" s="287">
        <v>0.0</v>
      </c>
      <c r="AA45" s="287">
        <v>0.0</v>
      </c>
      <c r="AB45" s="287">
        <v>0.0</v>
      </c>
      <c r="AC45" s="287">
        <v>0.0</v>
      </c>
      <c r="AD45" s="287">
        <v>0.0</v>
      </c>
      <c r="AE45" s="287">
        <v>0.0</v>
      </c>
      <c r="AF45" s="287">
        <v>0.0</v>
      </c>
      <c r="AG45" s="287">
        <v>5.0</v>
      </c>
      <c r="AH45" s="287">
        <v>0.0</v>
      </c>
      <c r="AI45" s="287">
        <v>5.0</v>
      </c>
      <c r="AJ45" s="1" t="s">
        <v>330</v>
      </c>
    </row>
    <row r="46">
      <c r="A46" s="1" t="s">
        <v>115</v>
      </c>
      <c r="B46" s="287">
        <v>0.0</v>
      </c>
      <c r="C46" s="287">
        <v>4.0</v>
      </c>
      <c r="D46" s="287">
        <v>0.0</v>
      </c>
      <c r="E46" s="287">
        <v>4.0</v>
      </c>
      <c r="F46" s="287">
        <v>0.0</v>
      </c>
      <c r="G46" s="471">
        <v>100.0</v>
      </c>
      <c r="H46" s="287">
        <v>14.0</v>
      </c>
      <c r="I46" s="287">
        <v>166.0</v>
      </c>
      <c r="J46" s="287">
        <v>97.0</v>
      </c>
      <c r="K46" s="287">
        <v>69.0</v>
      </c>
      <c r="L46" s="287">
        <v>5.0</v>
      </c>
      <c r="M46" s="287">
        <v>16.0</v>
      </c>
      <c r="N46" s="287">
        <v>2.0</v>
      </c>
      <c r="O46" s="287">
        <v>2987.0</v>
      </c>
      <c r="P46" s="287">
        <v>3598.0</v>
      </c>
      <c r="Q46" s="287">
        <v>30.0</v>
      </c>
      <c r="R46" s="287">
        <v>8.0</v>
      </c>
      <c r="S46" s="287">
        <v>1.0</v>
      </c>
      <c r="T46" s="287">
        <v>1.0</v>
      </c>
      <c r="U46" s="287">
        <v>0.0</v>
      </c>
      <c r="V46" s="287">
        <v>0.0</v>
      </c>
      <c r="W46" s="287">
        <v>23.0</v>
      </c>
      <c r="X46" s="287">
        <v>3.0</v>
      </c>
      <c r="Y46" s="287">
        <v>0.0</v>
      </c>
      <c r="Z46" s="287">
        <v>0.0</v>
      </c>
      <c r="AA46" s="287">
        <v>0.0</v>
      </c>
      <c r="AB46" s="287">
        <v>0.0</v>
      </c>
      <c r="AC46" s="287">
        <v>0.0</v>
      </c>
      <c r="AD46" s="287">
        <v>0.0</v>
      </c>
      <c r="AE46" s="287">
        <v>0.0</v>
      </c>
      <c r="AF46" s="287">
        <v>0.0</v>
      </c>
      <c r="AG46" s="287">
        <v>3.0</v>
      </c>
      <c r="AH46" s="287">
        <v>0.0</v>
      </c>
      <c r="AI46" s="287">
        <v>1.0</v>
      </c>
      <c r="AJ46" s="1" t="s">
        <v>332</v>
      </c>
    </row>
    <row r="47">
      <c r="A47" s="1" t="s">
        <v>116</v>
      </c>
      <c r="B47" s="287">
        <v>0.0</v>
      </c>
      <c r="C47" s="287">
        <v>4.0</v>
      </c>
      <c r="D47" s="287">
        <v>0.0</v>
      </c>
      <c r="E47" s="287">
        <v>4.0</v>
      </c>
      <c r="F47" s="287">
        <v>0.0</v>
      </c>
      <c r="G47" s="471">
        <v>100.0</v>
      </c>
      <c r="H47" s="287">
        <v>1.0</v>
      </c>
      <c r="I47" s="287">
        <v>178.0</v>
      </c>
      <c r="J47" s="287">
        <v>237.0</v>
      </c>
      <c r="K47" s="287">
        <v>-59.0</v>
      </c>
      <c r="L47" s="287">
        <v>15.0</v>
      </c>
      <c r="M47" s="287">
        <v>5.0</v>
      </c>
      <c r="N47" s="287">
        <v>5.0</v>
      </c>
      <c r="O47" s="287">
        <v>2587.0</v>
      </c>
      <c r="P47" s="287">
        <v>3598.0</v>
      </c>
      <c r="Q47" s="287">
        <v>10.0</v>
      </c>
      <c r="R47" s="287">
        <v>1.0</v>
      </c>
      <c r="S47" s="287">
        <v>0.0</v>
      </c>
      <c r="T47" s="287">
        <v>0.0</v>
      </c>
      <c r="U47" s="287">
        <v>0.0</v>
      </c>
      <c r="V47" s="287">
        <v>0.0</v>
      </c>
      <c r="W47" s="287">
        <v>26.0</v>
      </c>
      <c r="X47" s="287">
        <v>1.0</v>
      </c>
      <c r="Y47" s="287">
        <v>0.0</v>
      </c>
      <c r="Z47" s="287">
        <v>0.0</v>
      </c>
      <c r="AA47" s="287">
        <v>0.0</v>
      </c>
      <c r="AB47" s="287">
        <v>0.0</v>
      </c>
      <c r="AC47" s="287">
        <v>0.0</v>
      </c>
      <c r="AD47" s="287">
        <v>0.0</v>
      </c>
      <c r="AE47" s="287">
        <v>0.0</v>
      </c>
      <c r="AF47" s="287">
        <v>0.0</v>
      </c>
      <c r="AG47" s="287">
        <v>11.0</v>
      </c>
      <c r="AH47" s="287">
        <v>0.0</v>
      </c>
      <c r="AI47" s="287">
        <v>1.0</v>
      </c>
      <c r="AJ47" s="1" t="s">
        <v>332</v>
      </c>
    </row>
  </sheetData>
  <drawing r:id="rId1"/>
  <tableParts count="3">
    <tablePart r:id="rId5"/>
    <tablePart r:id="rId6"/>
    <tablePart r:id="rId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5"/>
    <col customWidth="1" min="2" max="2" width="8.38"/>
    <col customWidth="1" min="3" max="3" width="9.13"/>
    <col customWidth="1" min="4" max="4" width="9.0"/>
    <col customWidth="1" min="5" max="5" width="7.88"/>
    <col customWidth="1" min="6" max="6" width="10.25"/>
    <col customWidth="1" min="7" max="7" width="9.88"/>
    <col customWidth="1" min="8" max="8" width="10.0"/>
    <col customWidth="1" min="9" max="9" width="9.38"/>
    <col customWidth="1" min="10" max="10" width="11.88"/>
    <col customWidth="1" min="11" max="11" width="12.13"/>
    <col customWidth="1" min="12" max="12" width="12.88"/>
    <col customWidth="1" min="13" max="13" width="13.75"/>
    <col customWidth="1" min="14" max="14" width="13.63"/>
    <col customWidth="1" min="15" max="15" width="15.0"/>
    <col customWidth="1" min="16" max="16" width="16.13"/>
    <col customWidth="1" min="17" max="17" width="15.25"/>
    <col customWidth="1" min="18" max="18" width="12.75"/>
    <col customWidth="1" min="19" max="19" width="15.0"/>
    <col customWidth="1" min="20" max="20" width="13.5"/>
    <col customWidth="1" min="21" max="21" width="12.25"/>
    <col customWidth="1" min="22" max="22" width="11.38"/>
    <col customWidth="1" min="23" max="24" width="13.38"/>
    <col customWidth="1" min="25" max="25" width="15.25"/>
    <col customWidth="1" min="26" max="26" width="14.5"/>
    <col customWidth="1" min="27" max="27" width="16.0"/>
    <col customWidth="1" min="28" max="28" width="12.38"/>
    <col customWidth="1" min="29" max="29" width="10.88"/>
    <col customWidth="1" min="30" max="30" width="11.5"/>
    <col customWidth="1" min="31" max="31" width="15.88"/>
    <col customWidth="1" min="32" max="32" width="16.5"/>
    <col customWidth="1" min="33" max="33" width="11.88"/>
    <col customWidth="1" min="34" max="34" width="12.5"/>
    <col customWidth="1" min="35" max="35" width="16.5"/>
    <col customWidth="1" min="36" max="37" width="18.38"/>
    <col customWidth="1" min="38" max="38" width="13.38"/>
    <col customWidth="1" min="39" max="39" width="13.5"/>
    <col customWidth="1" min="40" max="40" width="14.63"/>
    <col customWidth="1" min="41" max="41" width="15.5"/>
    <col customWidth="1" min="42" max="42" width="14.63"/>
    <col customWidth="1" min="43" max="43" width="14.5"/>
    <col customWidth="1" min="44" max="44" width="14.75"/>
    <col customWidth="1" min="45" max="45" width="14.0"/>
    <col customWidth="1" min="46" max="46" width="14.38"/>
    <col customWidth="1" min="47" max="47" width="12.75"/>
    <col customWidth="1" min="48" max="48" width="14.38"/>
  </cols>
  <sheetData>
    <row r="1">
      <c r="A1" s="482" t="s">
        <v>449</v>
      </c>
      <c r="B1" s="483" t="str">
        <f>IFERROR(__xludf.DUMMYFUNCTION("QUERY(HR_MatchH!A:AI, ""select Avg(E),Avg(F),Avg(G),Avg(H),Avg(I),Avg(J),Avg(K),Avg(L),Avg(M),Avg(N),Avg(O),Avg(P),Avg(Q),Avg(R),Avg(S),Avg(T),Avg(U),Avg(V),Avg(W),Avg(X),Avg(Y),Avg(Z),Avg(AA),Avg(AB),Avg(AC),Avg(AD),Avg(AE),Avg(AF),Avg(AG),Avg(AH)"",1)"),"avg Wins")</f>
        <v>avg Wins</v>
      </c>
      <c r="C1" s="484" t="str">
        <f>IFERROR(__xludf.DUMMYFUNCTION("""COMPUTED_VALUE"""),"avg Loses")</f>
        <v>avg Loses</v>
      </c>
      <c r="D1" s="484" t="str">
        <f>IFERROR(__xludf.DUMMYFUNCTION("""COMPUTED_VALUE"""),"avg Goals")</f>
        <v>avg Goals</v>
      </c>
      <c r="E1" s="484" t="str">
        <f>IFERROR(__xludf.DUMMYFUNCTION("""COMPUTED_VALUE"""),"avg Kills")</f>
        <v>avg Kills</v>
      </c>
      <c r="F1" s="484" t="str">
        <f>IFERROR(__xludf.DUMMYFUNCTION("""COMPUTED_VALUE"""),"avg Assists")</f>
        <v>avg Assists</v>
      </c>
      <c r="G1" s="484" t="str">
        <f>IFERROR(__xludf.DUMMYFUNCTION("""COMPUTED_VALUE"""),"avg Deaths")</f>
        <v>avg Deaths</v>
      </c>
      <c r="H1" s="484" t="str">
        <f>IFERROR(__xludf.DUMMYFUNCTION("""COMPUTED_VALUE"""),"avg Spread")</f>
        <v>avg Spread</v>
      </c>
      <c r="I1" s="484" t="str">
        <f>IFERROR(__xludf.DUMMYFUNCTION("""COMPUTED_VALUE"""),"avg Streak")</f>
        <v>avg Streak</v>
      </c>
      <c r="J1" s="484" t="str">
        <f>IFERROR(__xludf.DUMMYFUNCTION("""COMPUTED_VALUE"""),"avg Betrayals")</f>
        <v>avg Betrayals</v>
      </c>
      <c r="K1" s="484" t="str">
        <f>IFERROR(__xludf.DUMMYFUNCTION("""COMPUTED_VALUE"""),"avg TimeAlive")</f>
        <v>avg TimeAlive</v>
      </c>
      <c r="L1" s="484" t="str">
        <f>IFERROR(__xludf.DUMMYFUNCTION("""COMPUTED_VALUE"""),"avg GameTime")</f>
        <v>avg GameTime</v>
      </c>
      <c r="M1" s="484" t="str">
        <f>IFERROR(__xludf.DUMMYFUNCTION("""COMPUTED_VALUE"""),"avg AverageLife")</f>
        <v>avg AverageLife</v>
      </c>
      <c r="N1" s="484" t="str">
        <f>IFERROR(__xludf.DUMMYFUNCTION("""COMPUTED_VALUE"""),"avg KillingSprees")</f>
        <v>avg KillingSprees</v>
      </c>
      <c r="O1" s="484" t="str">
        <f>IFERROR(__xludf.DUMMYFUNCTION("""COMPUTED_VALUE"""),"avg KillingFrenzies")</f>
        <v>avg KillingFrenzies</v>
      </c>
      <c r="P1" s="484" t="str">
        <f>IFERROR(__xludf.DUMMYFUNCTION("""COMPUTED_VALUE"""),"avg RunningRiots")</f>
        <v>avg RunningRiots</v>
      </c>
      <c r="Q1" s="484" t="str">
        <f>IFERROR(__xludf.DUMMYFUNCTION("""COMPUTED_VALUE"""),"avg Rampages")</f>
        <v>avg Rampages</v>
      </c>
      <c r="R1" s="484" t="str">
        <f>IFERROR(__xludf.DUMMYFUNCTION("""COMPUTED_VALUE"""),"avg SwordSprees")</f>
        <v>avg SwordSprees</v>
      </c>
      <c r="S1" s="484" t="str">
        <f>IFERROR(__xludf.DUMMYFUNCTION("""COMPUTED_VALUE"""),"avg DoubleKills")</f>
        <v>avg DoubleKills</v>
      </c>
      <c r="T1" s="484" t="str">
        <f>IFERROR(__xludf.DUMMYFUNCTION("""COMPUTED_VALUE"""),"avg TripleKills")</f>
        <v>avg TripleKills</v>
      </c>
      <c r="U1" s="484" t="str">
        <f>IFERROR(__xludf.DUMMYFUNCTION("""COMPUTED_VALUE"""),"avg Overkills")</f>
        <v>avg Overkills</v>
      </c>
      <c r="V1" s="484" t="str">
        <f>IFERROR(__xludf.DUMMYFUNCTION("""COMPUTED_VALUE"""),"avg Killtaculars")</f>
        <v>avg Killtaculars</v>
      </c>
      <c r="W1" s="484" t="str">
        <f>IFERROR(__xludf.DUMMYFUNCTION("""COMPUTED_VALUE"""),"avg Killtrocities")</f>
        <v>avg Killtrocities</v>
      </c>
      <c r="X1" s="484" t="str">
        <f>IFERROR(__xludf.DUMMYFUNCTION("""COMPUTED_VALUE"""),"avg Killamanjaros")</f>
        <v>avg Killamanjaros</v>
      </c>
      <c r="Y1" s="484" t="str">
        <f>IFERROR(__xludf.DUMMYFUNCTION("""COMPUTED_VALUE"""),"avg Killtastrophe")</f>
        <v>avg Killtastrophe</v>
      </c>
      <c r="Z1" s="484" t="str">
        <f>IFERROR(__xludf.DUMMYFUNCTION("""COMPUTED_VALUE"""),"avg Killpocalypses")</f>
        <v>avg Killpocalypses</v>
      </c>
      <c r="AA1" s="484" t="str">
        <f>IFERROR(__xludf.DUMMYFUNCTION("""COMPUTED_VALUE"""),"avg Killionaire")</f>
        <v>avg Killionaire</v>
      </c>
      <c r="AB1" s="484" t="str">
        <f>IFERROR(__xludf.DUMMYFUNCTION("""COMPUTED_VALUE"""),"avg Exterms")</f>
        <v>avg Exterms</v>
      </c>
      <c r="AC1" s="484" t="str">
        <f>IFERROR(__xludf.DUMMYFUNCTION("""COMPUTED_VALUE"""),"avg Bulltrues")</f>
        <v>avg Bulltrues</v>
      </c>
      <c r="AD1" s="484" t="str">
        <f>IFERROR(__xludf.DUMMYFUNCTION("""COMPUTED_VALUE"""),"avg Assassinations")</f>
        <v>avg Assassinations</v>
      </c>
      <c r="AE1" s="484" t="str">
        <f>IFERROR(__xludf.DUMMYFUNCTION("""COMPUTED_VALUE"""),"avg HammerSprees")</f>
        <v>avg HammerSprees</v>
      </c>
      <c r="AF1" s="484"/>
      <c r="AG1" s="484"/>
      <c r="AH1" s="484"/>
      <c r="AI1" s="484"/>
      <c r="AJ1" s="484"/>
      <c r="AK1" s="484"/>
      <c r="AL1" s="484"/>
      <c r="AM1" s="484"/>
      <c r="AN1" s="484"/>
      <c r="AO1" s="484"/>
      <c r="AP1" s="484"/>
      <c r="AQ1" s="484"/>
      <c r="AR1" s="484"/>
      <c r="AS1" s="484"/>
      <c r="AT1" s="484"/>
      <c r="AU1" s="484"/>
      <c r="AV1" s="484"/>
      <c r="AW1" s="485"/>
      <c r="AX1" s="485"/>
    </row>
    <row r="2">
      <c r="A2" s="486" t="s">
        <v>450</v>
      </c>
      <c r="B2" s="487">
        <f>IFERROR(__xludf.DUMMYFUNCTION("""COMPUTED_VALUE"""),0.5039370078740157)</f>
        <v>0.5039370079</v>
      </c>
      <c r="C2" s="487">
        <f>IFERROR(__xludf.DUMMYFUNCTION("""COMPUTED_VALUE"""),0.49606299212598426)</f>
        <v>0.4960629921</v>
      </c>
      <c r="D2" s="487">
        <f>IFERROR(__xludf.DUMMYFUNCTION("""COMPUTED_VALUE"""),0.7559055118110236)</f>
        <v>0.7559055118</v>
      </c>
      <c r="E2" s="487">
        <f>IFERROR(__xludf.DUMMYFUNCTION("""COMPUTED_VALUE"""),70.07086614173228)</f>
        <v>70.07086614</v>
      </c>
      <c r="F2" s="487">
        <f>IFERROR(__xludf.DUMMYFUNCTION("""COMPUTED_VALUE"""),4.535433070866142)</f>
        <v>4.535433071</v>
      </c>
      <c r="G2" s="487">
        <f>IFERROR(__xludf.DUMMYFUNCTION("""COMPUTED_VALUE"""),73.18897637795276)</f>
        <v>73.18897638</v>
      </c>
      <c r="H2" s="487">
        <f>IFERROR(__xludf.DUMMYFUNCTION("""COMPUTED_VALUE"""),-3.1181102362204722)</f>
        <v>-3.118110236</v>
      </c>
      <c r="I2" s="487">
        <f>IFERROR(__xludf.DUMMYFUNCTION("""COMPUTED_VALUE"""),5.165354330708661)</f>
        <v>5.165354331</v>
      </c>
      <c r="J2" s="487">
        <f>IFERROR(__xludf.DUMMYFUNCTION("""COMPUTED_VALUE"""),1.3858267716535433)</f>
        <v>1.385826772</v>
      </c>
      <c r="K2" s="487">
        <f>IFERROR(__xludf.DUMMYFUNCTION("""COMPUTED_VALUE"""),1005.9842519685039)</f>
        <v>1005.984252</v>
      </c>
      <c r="L2" s="487">
        <f>IFERROR(__xludf.DUMMYFUNCTION("""COMPUTED_VALUE"""),1304.5748031496064)</f>
        <v>1304.574803</v>
      </c>
      <c r="M2" s="487">
        <f>IFERROR(__xludf.DUMMYFUNCTION("""COMPUTED_VALUE"""),14.26771653543307)</f>
        <v>14.26771654</v>
      </c>
      <c r="N2" s="487">
        <f>IFERROR(__xludf.DUMMYFUNCTION("""COMPUTED_VALUE"""),1.141732283464567)</f>
        <v>1.141732283</v>
      </c>
      <c r="O2" s="487">
        <f>IFERROR(__xludf.DUMMYFUNCTION("""COMPUTED_VALUE"""),0.06299212598425197)</f>
        <v>0.06299212598</v>
      </c>
      <c r="P2" s="487">
        <f>IFERROR(__xludf.DUMMYFUNCTION("""COMPUTED_VALUE"""),0.015748031496062992)</f>
        <v>0.0157480315</v>
      </c>
      <c r="Q2" s="487">
        <f>IFERROR(__xludf.DUMMYFUNCTION("""COMPUTED_VALUE"""),0.0)</f>
        <v>0</v>
      </c>
      <c r="R2" s="487">
        <f>IFERROR(__xludf.DUMMYFUNCTION("""COMPUTED_VALUE"""),0.0)</f>
        <v>0</v>
      </c>
      <c r="S2" s="487">
        <f>IFERROR(__xludf.DUMMYFUNCTION("""COMPUTED_VALUE"""),10.354330708661417)</f>
        <v>10.35433071</v>
      </c>
      <c r="T2" s="487">
        <f>IFERROR(__xludf.DUMMYFUNCTION("""COMPUTED_VALUE"""),1.889763779527559)</f>
        <v>1.88976378</v>
      </c>
      <c r="U2" s="487">
        <f>IFERROR(__xludf.DUMMYFUNCTION("""COMPUTED_VALUE"""),0.3228346456692913)</f>
        <v>0.3228346457</v>
      </c>
      <c r="V2" s="487">
        <f>IFERROR(__xludf.DUMMYFUNCTION("""COMPUTED_VALUE"""),0.09448818897637795)</f>
        <v>0.09448818898</v>
      </c>
      <c r="W2" s="487">
        <f>IFERROR(__xludf.DUMMYFUNCTION("""COMPUTED_VALUE"""),0.015748031496062992)</f>
        <v>0.0157480315</v>
      </c>
      <c r="X2" s="487">
        <f>IFERROR(__xludf.DUMMYFUNCTION("""COMPUTED_VALUE"""),0.007874015748031496)</f>
        <v>0.007874015748</v>
      </c>
      <c r="Y2" s="487">
        <f>IFERROR(__xludf.DUMMYFUNCTION("""COMPUTED_VALUE"""),0.0)</f>
        <v>0</v>
      </c>
      <c r="Z2" s="487">
        <f>IFERROR(__xludf.DUMMYFUNCTION("""COMPUTED_VALUE"""),0.0)</f>
        <v>0</v>
      </c>
      <c r="AA2" s="487">
        <f>IFERROR(__xludf.DUMMYFUNCTION("""COMPUTED_VALUE"""),0.0)</f>
        <v>0</v>
      </c>
      <c r="AB2" s="487">
        <f>IFERROR(__xludf.DUMMYFUNCTION("""COMPUTED_VALUE"""),0.0)</f>
        <v>0</v>
      </c>
      <c r="AC2" s="487">
        <f>IFERROR(__xludf.DUMMYFUNCTION("""COMPUTED_VALUE"""),2.8503937007874014)</f>
        <v>2.850393701</v>
      </c>
      <c r="AD2" s="487">
        <f>IFERROR(__xludf.DUMMYFUNCTION("""COMPUTED_VALUE"""),0.007874015748031496)</f>
        <v>0.007874015748</v>
      </c>
      <c r="AE2" s="487">
        <f>IFERROR(__xludf.DUMMYFUNCTION("""COMPUTED_VALUE"""),0.7322834645669292)</f>
        <v>0.7322834646</v>
      </c>
      <c r="AF2" s="487"/>
      <c r="AG2" s="487"/>
      <c r="AH2" s="487"/>
      <c r="AI2" s="487"/>
      <c r="AJ2" s="487"/>
      <c r="AK2" s="487"/>
      <c r="AL2" s="487"/>
      <c r="AM2" s="487"/>
      <c r="AN2" s="487"/>
      <c r="AO2" s="487"/>
      <c r="AP2" s="487"/>
      <c r="AQ2" s="487"/>
      <c r="AR2" s="487"/>
      <c r="AS2" s="487"/>
      <c r="AT2" s="487"/>
      <c r="AU2" s="487"/>
      <c r="AV2" s="487"/>
      <c r="AW2" s="487"/>
      <c r="AX2" s="487"/>
    </row>
    <row r="3">
      <c r="A3" s="488"/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90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89"/>
      <c r="AA3" s="489"/>
      <c r="AB3" s="489"/>
      <c r="AC3" s="489"/>
      <c r="AD3" s="489"/>
      <c r="AE3" s="489"/>
      <c r="AF3" s="489"/>
      <c r="AG3" s="489"/>
      <c r="AH3" s="489"/>
      <c r="AI3" s="489"/>
      <c r="AJ3" s="489"/>
      <c r="AK3" s="489"/>
      <c r="AL3" s="489"/>
      <c r="AM3" s="489"/>
      <c r="AN3" s="489"/>
      <c r="AO3" s="489"/>
      <c r="AP3" s="489"/>
      <c r="AQ3" s="489"/>
      <c r="AR3" s="489"/>
      <c r="AS3" s="489"/>
      <c r="AT3" s="489"/>
      <c r="AU3" s="489"/>
      <c r="AV3" s="489"/>
      <c r="AW3" s="489"/>
      <c r="AX3" s="489"/>
    </row>
    <row r="4">
      <c r="A4" s="486" t="str">
        <f>IFERROR(__xludf.DUMMYFUNCTION("QUERY(HR_MatchH!A:AI, ""select A, Avg(E),Avg(F),Avg(G),Avg(H),Avg(I),Avg(J),Avg(K),Avg(L),Avg(M),Avg(N),Avg(O),Avg(P),Avg(Q),Avg(R),Avg(S),Avg(T),Avg(U),Avg(V),Avg(W),Avg(X),Avg(Y),Avg(Z),Avg(AA),Avg(AB),Avg(AC),Avg(AD),Avg(AE),Avg(AF),Avg(AG),Avg(AH) gro"&amp;"up by A"",1)"),"Player")</f>
        <v>Player</v>
      </c>
      <c r="B4" s="491" t="str">
        <f>IFERROR(__xludf.DUMMYFUNCTION("""COMPUTED_VALUE"""),"avg Wins")</f>
        <v>avg Wins</v>
      </c>
      <c r="C4" s="491" t="str">
        <f>IFERROR(__xludf.DUMMYFUNCTION("""COMPUTED_VALUE"""),"avg Loses")</f>
        <v>avg Loses</v>
      </c>
      <c r="D4" s="491" t="str">
        <f>IFERROR(__xludf.DUMMYFUNCTION("""COMPUTED_VALUE"""),"avg Goals")</f>
        <v>avg Goals</v>
      </c>
      <c r="E4" s="491" t="str">
        <f>IFERROR(__xludf.DUMMYFUNCTION("""COMPUTED_VALUE"""),"avg Kills")</f>
        <v>avg Kills</v>
      </c>
      <c r="F4" s="491" t="str">
        <f>IFERROR(__xludf.DUMMYFUNCTION("""COMPUTED_VALUE"""),"avg Assists")</f>
        <v>avg Assists</v>
      </c>
      <c r="G4" s="491" t="str">
        <f>IFERROR(__xludf.DUMMYFUNCTION("""COMPUTED_VALUE"""),"avg Deaths")</f>
        <v>avg Deaths</v>
      </c>
      <c r="H4" s="491" t="str">
        <f>IFERROR(__xludf.DUMMYFUNCTION("""COMPUTED_VALUE"""),"avg Spread")</f>
        <v>avg Spread</v>
      </c>
      <c r="I4" s="491" t="str">
        <f>IFERROR(__xludf.DUMMYFUNCTION("""COMPUTED_VALUE"""),"avg Streak")</f>
        <v>avg Streak</v>
      </c>
      <c r="J4" s="491" t="str">
        <f>IFERROR(__xludf.DUMMYFUNCTION("""COMPUTED_VALUE"""),"avg Betrayals")</f>
        <v>avg Betrayals</v>
      </c>
      <c r="K4" s="491" t="str">
        <f>IFERROR(__xludf.DUMMYFUNCTION("""COMPUTED_VALUE"""),"avg TimeAlive")</f>
        <v>avg TimeAlive</v>
      </c>
      <c r="L4" s="491" t="str">
        <f>IFERROR(__xludf.DUMMYFUNCTION("""COMPUTED_VALUE"""),"avg GameTime")</f>
        <v>avg GameTime</v>
      </c>
      <c r="M4" s="491" t="str">
        <f>IFERROR(__xludf.DUMMYFUNCTION("""COMPUTED_VALUE"""),"avg AverageLife")</f>
        <v>avg AverageLife</v>
      </c>
      <c r="N4" s="491" t="str">
        <f>IFERROR(__xludf.DUMMYFUNCTION("""COMPUTED_VALUE"""),"avg KillingSprees")</f>
        <v>avg KillingSprees</v>
      </c>
      <c r="O4" s="491" t="str">
        <f>IFERROR(__xludf.DUMMYFUNCTION("""COMPUTED_VALUE"""),"avg KillingFrenzies")</f>
        <v>avg KillingFrenzies</v>
      </c>
      <c r="P4" s="491" t="str">
        <f>IFERROR(__xludf.DUMMYFUNCTION("""COMPUTED_VALUE"""),"avg RunningRiots")</f>
        <v>avg RunningRiots</v>
      </c>
      <c r="Q4" s="491" t="str">
        <f>IFERROR(__xludf.DUMMYFUNCTION("""COMPUTED_VALUE"""),"avg Rampages")</f>
        <v>avg Rampages</v>
      </c>
      <c r="R4" s="491" t="str">
        <f>IFERROR(__xludf.DUMMYFUNCTION("""COMPUTED_VALUE"""),"avg SwordSprees")</f>
        <v>avg SwordSprees</v>
      </c>
      <c r="S4" s="491" t="str">
        <f>IFERROR(__xludf.DUMMYFUNCTION("""COMPUTED_VALUE"""),"avg DoubleKills")</f>
        <v>avg DoubleKills</v>
      </c>
      <c r="T4" s="491" t="str">
        <f>IFERROR(__xludf.DUMMYFUNCTION("""COMPUTED_VALUE"""),"avg TripleKills")</f>
        <v>avg TripleKills</v>
      </c>
      <c r="U4" s="491" t="str">
        <f>IFERROR(__xludf.DUMMYFUNCTION("""COMPUTED_VALUE"""),"avg Overkills")</f>
        <v>avg Overkills</v>
      </c>
      <c r="V4" s="491" t="str">
        <f>IFERROR(__xludf.DUMMYFUNCTION("""COMPUTED_VALUE"""),"avg Killtaculars")</f>
        <v>avg Killtaculars</v>
      </c>
      <c r="W4" s="491" t="str">
        <f>IFERROR(__xludf.DUMMYFUNCTION("""COMPUTED_VALUE"""),"avg Killtrocities")</f>
        <v>avg Killtrocities</v>
      </c>
      <c r="X4" s="491" t="str">
        <f>IFERROR(__xludf.DUMMYFUNCTION("""COMPUTED_VALUE"""),"avg Killamanjaros")</f>
        <v>avg Killamanjaros</v>
      </c>
      <c r="Y4" s="491" t="str">
        <f>IFERROR(__xludf.DUMMYFUNCTION("""COMPUTED_VALUE"""),"avg Killtastrophe")</f>
        <v>avg Killtastrophe</v>
      </c>
      <c r="Z4" s="491" t="str">
        <f>IFERROR(__xludf.DUMMYFUNCTION("""COMPUTED_VALUE"""),"avg Killpocalypses")</f>
        <v>avg Killpocalypses</v>
      </c>
      <c r="AA4" s="491" t="str">
        <f>IFERROR(__xludf.DUMMYFUNCTION("""COMPUTED_VALUE"""),"avg Killionaire")</f>
        <v>avg Killionaire</v>
      </c>
      <c r="AB4" s="491" t="str">
        <f>IFERROR(__xludf.DUMMYFUNCTION("""COMPUTED_VALUE"""),"avg Exterms")</f>
        <v>avg Exterms</v>
      </c>
      <c r="AC4" s="491" t="str">
        <f>IFERROR(__xludf.DUMMYFUNCTION("""COMPUTED_VALUE"""),"avg Bulltrues")</f>
        <v>avg Bulltrues</v>
      </c>
      <c r="AD4" s="491" t="str">
        <f>IFERROR(__xludf.DUMMYFUNCTION("""COMPUTED_VALUE"""),"avg Assassinations")</f>
        <v>avg Assassinations</v>
      </c>
      <c r="AE4" s="491" t="str">
        <f>IFERROR(__xludf.DUMMYFUNCTION("""COMPUTED_VALUE"""),"avg HammerSprees")</f>
        <v>avg HammerSprees</v>
      </c>
      <c r="AF4" s="491"/>
      <c r="AG4" s="491"/>
      <c r="AH4" s="491"/>
      <c r="AI4" s="491"/>
      <c r="AJ4" s="491"/>
      <c r="AK4" s="491"/>
      <c r="AL4" s="491"/>
      <c r="AM4" s="491"/>
      <c r="AN4" s="491"/>
      <c r="AO4" s="491"/>
      <c r="AP4" s="491"/>
      <c r="AQ4" s="491"/>
      <c r="AR4" s="491"/>
      <c r="AS4" s="491"/>
      <c r="AT4" s="491"/>
      <c r="AU4" s="491"/>
      <c r="AV4" s="491"/>
      <c r="AW4" s="491"/>
      <c r="AX4" s="491"/>
    </row>
    <row r="5">
      <c r="A5" s="492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2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</row>
    <row r="6">
      <c r="A6" s="492" t="str">
        <f>IFERROR(__xludf.DUMMYFUNCTION("""COMPUTED_VALUE"""),"ACE B S1lentND1")</f>
        <v>ACE B S1lentND1</v>
      </c>
      <c r="B6" s="492">
        <f>IFERROR(__xludf.DUMMYFUNCTION("""COMPUTED_VALUE"""),0.3333333333333333)</f>
        <v>0.3333333333</v>
      </c>
      <c r="C6" s="492">
        <f>IFERROR(__xludf.DUMMYFUNCTION("""COMPUTED_VALUE"""),0.6666666666666666)</f>
        <v>0.6666666667</v>
      </c>
      <c r="D6" s="492">
        <f>IFERROR(__xludf.DUMMYFUNCTION("""COMPUTED_VALUE"""),1.0)</f>
        <v>1</v>
      </c>
      <c r="E6" s="492">
        <f>IFERROR(__xludf.DUMMYFUNCTION("""COMPUTED_VALUE"""),83.66666666666667)</f>
        <v>83.66666667</v>
      </c>
      <c r="F6" s="492">
        <f>IFERROR(__xludf.DUMMYFUNCTION("""COMPUTED_VALUE"""),5.0)</f>
        <v>5</v>
      </c>
      <c r="G6" s="492">
        <f>IFERROR(__xludf.DUMMYFUNCTION("""COMPUTED_VALUE"""),59.333333333333336)</f>
        <v>59.33333333</v>
      </c>
      <c r="H6" s="492">
        <f>IFERROR(__xludf.DUMMYFUNCTION("""COMPUTED_VALUE"""),24.333333333333332)</f>
        <v>24.33333333</v>
      </c>
      <c r="I6" s="492">
        <f>IFERROR(__xludf.DUMMYFUNCTION("""COMPUTED_VALUE"""),7.333333333333333)</f>
        <v>7.333333333</v>
      </c>
      <c r="J6" s="492">
        <f>IFERROR(__xludf.DUMMYFUNCTION("""COMPUTED_VALUE"""),0.3333333333333333)</f>
        <v>0.3333333333</v>
      </c>
      <c r="K6" s="492">
        <f>IFERROR(__xludf.DUMMYFUNCTION("""COMPUTED_VALUE"""),1361.3333333333333)</f>
        <v>1361.333333</v>
      </c>
      <c r="L6" s="492">
        <f>IFERROR(__xludf.DUMMYFUNCTION("""COMPUTED_VALUE"""),1611.6666666666667)</f>
        <v>1611.666667</v>
      </c>
      <c r="M6" s="492">
        <f>IFERROR(__xludf.DUMMYFUNCTION("""COMPUTED_VALUE"""),20.333333333333332)</f>
        <v>20.33333333</v>
      </c>
      <c r="N6" s="492">
        <f>IFERROR(__xludf.DUMMYFUNCTION("""COMPUTED_VALUE"""),3.0)</f>
        <v>3</v>
      </c>
      <c r="O6" s="492">
        <f>IFERROR(__xludf.DUMMYFUNCTION("""COMPUTED_VALUE"""),0.3333333333333333)</f>
        <v>0.3333333333</v>
      </c>
      <c r="P6" s="492">
        <f>IFERROR(__xludf.DUMMYFUNCTION("""COMPUTED_VALUE"""),0.0)</f>
        <v>0</v>
      </c>
      <c r="Q6" s="492">
        <f>IFERROR(__xludf.DUMMYFUNCTION("""COMPUTED_VALUE"""),0.0)</f>
        <v>0</v>
      </c>
      <c r="R6" s="492">
        <f>IFERROR(__xludf.DUMMYFUNCTION("""COMPUTED_VALUE"""),0.0)</f>
        <v>0</v>
      </c>
      <c r="S6" s="492">
        <f>IFERROR(__xludf.DUMMYFUNCTION("""COMPUTED_VALUE"""),13.666666666666666)</f>
        <v>13.66666667</v>
      </c>
      <c r="T6" s="492">
        <f>IFERROR(__xludf.DUMMYFUNCTION("""COMPUTED_VALUE"""),2.3333333333333335)</f>
        <v>2.333333333</v>
      </c>
      <c r="U6" s="492">
        <f>IFERROR(__xludf.DUMMYFUNCTION("""COMPUTED_VALUE"""),0.3333333333333333)</f>
        <v>0.3333333333</v>
      </c>
      <c r="V6" s="492">
        <f>IFERROR(__xludf.DUMMYFUNCTION("""COMPUTED_VALUE"""),0.3333333333333333)</f>
        <v>0.3333333333</v>
      </c>
      <c r="W6" s="492">
        <f>IFERROR(__xludf.DUMMYFUNCTION("""COMPUTED_VALUE"""),0.0)</f>
        <v>0</v>
      </c>
      <c r="X6" s="492">
        <f>IFERROR(__xludf.DUMMYFUNCTION("""COMPUTED_VALUE"""),0.0)</f>
        <v>0</v>
      </c>
      <c r="Y6" s="492">
        <f>IFERROR(__xludf.DUMMYFUNCTION("""COMPUTED_VALUE"""),0.0)</f>
        <v>0</v>
      </c>
      <c r="Z6" s="492">
        <f>IFERROR(__xludf.DUMMYFUNCTION("""COMPUTED_VALUE"""),0.0)</f>
        <v>0</v>
      </c>
      <c r="AA6" s="492">
        <f>IFERROR(__xludf.DUMMYFUNCTION("""COMPUTED_VALUE"""),0.0)</f>
        <v>0</v>
      </c>
      <c r="AB6" s="492">
        <f>IFERROR(__xludf.DUMMYFUNCTION("""COMPUTED_VALUE"""),0.0)</f>
        <v>0</v>
      </c>
      <c r="AC6" s="492">
        <f>IFERROR(__xludf.DUMMYFUNCTION("""COMPUTED_VALUE"""),3.3333333333333335)</f>
        <v>3.333333333</v>
      </c>
      <c r="AD6" s="492">
        <f>IFERROR(__xludf.DUMMYFUNCTION("""COMPUTED_VALUE"""),0.0)</f>
        <v>0</v>
      </c>
      <c r="AE6" s="492">
        <f>IFERROR(__xludf.DUMMYFUNCTION("""COMPUTED_VALUE"""),1.6666666666666667)</f>
        <v>1.666666667</v>
      </c>
      <c r="AF6" s="492"/>
      <c r="AG6" s="492"/>
      <c r="AH6" s="492"/>
      <c r="AI6" s="492"/>
      <c r="AJ6" s="492"/>
      <c r="AK6" s="492"/>
      <c r="AL6" s="492"/>
      <c r="AM6" s="492"/>
      <c r="AN6" s="492"/>
      <c r="AO6" s="492"/>
      <c r="AP6" s="492"/>
      <c r="AQ6" s="492"/>
      <c r="AR6" s="492"/>
      <c r="AS6" s="492"/>
      <c r="AT6" s="492"/>
      <c r="AU6" s="492"/>
      <c r="AV6" s="492"/>
      <c r="AW6" s="492"/>
      <c r="AX6" s="492"/>
    </row>
    <row r="7">
      <c r="A7" s="492" t="str">
        <f>IFERROR(__xludf.DUMMYFUNCTION("""COMPUTED_VALUE"""),"ADhillyy")</f>
        <v>ADhillyy</v>
      </c>
      <c r="B7" s="492">
        <f>IFERROR(__xludf.DUMMYFUNCTION("""COMPUTED_VALUE"""),0.5)</f>
        <v>0.5</v>
      </c>
      <c r="C7" s="492">
        <f>IFERROR(__xludf.DUMMYFUNCTION("""COMPUTED_VALUE"""),0.5)</f>
        <v>0.5</v>
      </c>
      <c r="D7" s="492">
        <f>IFERROR(__xludf.DUMMYFUNCTION("""COMPUTED_VALUE"""),0.0)</f>
        <v>0</v>
      </c>
      <c r="E7" s="492">
        <f>IFERROR(__xludf.DUMMYFUNCTION("""COMPUTED_VALUE"""),24.5)</f>
        <v>24.5</v>
      </c>
      <c r="F7" s="492">
        <f>IFERROR(__xludf.DUMMYFUNCTION("""COMPUTED_VALUE"""),1.0)</f>
        <v>1</v>
      </c>
      <c r="G7" s="492">
        <f>IFERROR(__xludf.DUMMYFUNCTION("""COMPUTED_VALUE"""),35.0)</f>
        <v>35</v>
      </c>
      <c r="H7" s="492">
        <f>IFERROR(__xludf.DUMMYFUNCTION("""COMPUTED_VALUE"""),-10.5)</f>
        <v>-10.5</v>
      </c>
      <c r="I7" s="492">
        <f>IFERROR(__xludf.DUMMYFUNCTION("""COMPUTED_VALUE"""),3.0)</f>
        <v>3</v>
      </c>
      <c r="J7" s="492">
        <f>IFERROR(__xludf.DUMMYFUNCTION("""COMPUTED_VALUE"""),0.0)</f>
        <v>0</v>
      </c>
      <c r="K7" s="492">
        <f>IFERROR(__xludf.DUMMYFUNCTION("""COMPUTED_VALUE"""),400.0)</f>
        <v>400</v>
      </c>
      <c r="L7" s="492">
        <f>IFERROR(__xludf.DUMMYFUNCTION("""COMPUTED_VALUE"""),572.0)</f>
        <v>572</v>
      </c>
      <c r="M7" s="492">
        <f>IFERROR(__xludf.DUMMYFUNCTION("""COMPUTED_VALUE"""),10.5)</f>
        <v>10.5</v>
      </c>
      <c r="N7" s="492">
        <f>IFERROR(__xludf.DUMMYFUNCTION("""COMPUTED_VALUE"""),0.0)</f>
        <v>0</v>
      </c>
      <c r="O7" s="492">
        <f>IFERROR(__xludf.DUMMYFUNCTION("""COMPUTED_VALUE"""),0.0)</f>
        <v>0</v>
      </c>
      <c r="P7" s="492">
        <f>IFERROR(__xludf.DUMMYFUNCTION("""COMPUTED_VALUE"""),0.0)</f>
        <v>0</v>
      </c>
      <c r="Q7" s="492">
        <f>IFERROR(__xludf.DUMMYFUNCTION("""COMPUTED_VALUE"""),0.0)</f>
        <v>0</v>
      </c>
      <c r="R7" s="492">
        <f>IFERROR(__xludf.DUMMYFUNCTION("""COMPUTED_VALUE"""),0.0)</f>
        <v>0</v>
      </c>
      <c r="S7" s="492">
        <f>IFERROR(__xludf.DUMMYFUNCTION("""COMPUTED_VALUE"""),3.5)</f>
        <v>3.5</v>
      </c>
      <c r="T7" s="492">
        <f>IFERROR(__xludf.DUMMYFUNCTION("""COMPUTED_VALUE"""),0.5)</f>
        <v>0.5</v>
      </c>
      <c r="U7" s="492">
        <f>IFERROR(__xludf.DUMMYFUNCTION("""COMPUTED_VALUE"""),0.0)</f>
        <v>0</v>
      </c>
      <c r="V7" s="492">
        <f>IFERROR(__xludf.DUMMYFUNCTION("""COMPUTED_VALUE"""),0.0)</f>
        <v>0</v>
      </c>
      <c r="W7" s="492">
        <f>IFERROR(__xludf.DUMMYFUNCTION("""COMPUTED_VALUE"""),0.0)</f>
        <v>0</v>
      </c>
      <c r="X7" s="492">
        <f>IFERROR(__xludf.DUMMYFUNCTION("""COMPUTED_VALUE"""),0.0)</f>
        <v>0</v>
      </c>
      <c r="Y7" s="492">
        <f>IFERROR(__xludf.DUMMYFUNCTION("""COMPUTED_VALUE"""),0.0)</f>
        <v>0</v>
      </c>
      <c r="Z7" s="492">
        <f>IFERROR(__xludf.DUMMYFUNCTION("""COMPUTED_VALUE"""),0.0)</f>
        <v>0</v>
      </c>
      <c r="AA7" s="492">
        <f>IFERROR(__xludf.DUMMYFUNCTION("""COMPUTED_VALUE"""),0.0)</f>
        <v>0</v>
      </c>
      <c r="AB7" s="492">
        <f>IFERROR(__xludf.DUMMYFUNCTION("""COMPUTED_VALUE"""),0.0)</f>
        <v>0</v>
      </c>
      <c r="AC7" s="492">
        <f>IFERROR(__xludf.DUMMYFUNCTION("""COMPUTED_VALUE"""),0.5)</f>
        <v>0.5</v>
      </c>
      <c r="AD7" s="492">
        <f>IFERROR(__xludf.DUMMYFUNCTION("""COMPUTED_VALUE"""),0.0)</f>
        <v>0</v>
      </c>
      <c r="AE7" s="492">
        <f>IFERROR(__xludf.DUMMYFUNCTION("""COMPUTED_VALUE"""),0.0)</f>
        <v>0</v>
      </c>
      <c r="AF7" s="492"/>
      <c r="AG7" s="492"/>
      <c r="AH7" s="492"/>
      <c r="AI7" s="492"/>
      <c r="AJ7" s="492"/>
      <c r="AK7" s="492"/>
      <c r="AL7" s="492"/>
      <c r="AM7" s="492"/>
      <c r="AN7" s="492"/>
      <c r="AO7" s="492"/>
      <c r="AP7" s="492"/>
      <c r="AQ7" s="492"/>
      <c r="AR7" s="492"/>
      <c r="AS7" s="492"/>
      <c r="AT7" s="492"/>
      <c r="AU7" s="492"/>
      <c r="AV7" s="492"/>
      <c r="AW7" s="492"/>
      <c r="AX7" s="492"/>
    </row>
    <row r="8">
      <c r="A8" s="492" t="str">
        <f>IFERROR(__xludf.DUMMYFUNCTION("""COMPUTED_VALUE"""),"Almighty Tycoon")</f>
        <v>Almighty Tycoon</v>
      </c>
      <c r="B8" s="492">
        <f>IFERROR(__xludf.DUMMYFUNCTION("""COMPUTED_VALUE"""),0.0)</f>
        <v>0</v>
      </c>
      <c r="C8" s="492">
        <f>IFERROR(__xludf.DUMMYFUNCTION("""COMPUTED_VALUE"""),1.0)</f>
        <v>1</v>
      </c>
      <c r="D8" s="492">
        <f>IFERROR(__xludf.DUMMYFUNCTION("""COMPUTED_VALUE"""),0.0)</f>
        <v>0</v>
      </c>
      <c r="E8" s="492">
        <f>IFERROR(__xludf.DUMMYFUNCTION("""COMPUTED_VALUE"""),43.0)</f>
        <v>43</v>
      </c>
      <c r="F8" s="492">
        <f>IFERROR(__xludf.DUMMYFUNCTION("""COMPUTED_VALUE"""),5.5)</f>
        <v>5.5</v>
      </c>
      <c r="G8" s="492">
        <f>IFERROR(__xludf.DUMMYFUNCTION("""COMPUTED_VALUE"""),57.0)</f>
        <v>57</v>
      </c>
      <c r="H8" s="492">
        <f>IFERROR(__xludf.DUMMYFUNCTION("""COMPUTED_VALUE"""),-14.0)</f>
        <v>-14</v>
      </c>
      <c r="I8" s="492">
        <f>IFERROR(__xludf.DUMMYFUNCTION("""COMPUTED_VALUE"""),3.5)</f>
        <v>3.5</v>
      </c>
      <c r="J8" s="492">
        <f>IFERROR(__xludf.DUMMYFUNCTION("""COMPUTED_VALUE"""),1.0)</f>
        <v>1</v>
      </c>
      <c r="K8" s="492">
        <f>IFERROR(__xludf.DUMMYFUNCTION("""COMPUTED_VALUE"""),756.5)</f>
        <v>756.5</v>
      </c>
      <c r="L8" s="492">
        <f>IFERROR(__xludf.DUMMYFUNCTION("""COMPUTED_VALUE"""),1001.0)</f>
        <v>1001</v>
      </c>
      <c r="M8" s="492">
        <f>IFERROR(__xludf.DUMMYFUNCTION("""COMPUTED_VALUE"""),13.0)</f>
        <v>13</v>
      </c>
      <c r="N8" s="492">
        <f>IFERROR(__xludf.DUMMYFUNCTION("""COMPUTED_VALUE"""),0.0)</f>
        <v>0</v>
      </c>
      <c r="O8" s="492">
        <f>IFERROR(__xludf.DUMMYFUNCTION("""COMPUTED_VALUE"""),0.0)</f>
        <v>0</v>
      </c>
      <c r="P8" s="492">
        <f>IFERROR(__xludf.DUMMYFUNCTION("""COMPUTED_VALUE"""),0.0)</f>
        <v>0</v>
      </c>
      <c r="Q8" s="492">
        <f>IFERROR(__xludf.DUMMYFUNCTION("""COMPUTED_VALUE"""),0.0)</f>
        <v>0</v>
      </c>
      <c r="R8" s="492">
        <f>IFERROR(__xludf.DUMMYFUNCTION("""COMPUTED_VALUE"""),0.0)</f>
        <v>0</v>
      </c>
      <c r="S8" s="492">
        <f>IFERROR(__xludf.DUMMYFUNCTION("""COMPUTED_VALUE"""),5.0)</f>
        <v>5</v>
      </c>
      <c r="T8" s="492">
        <f>IFERROR(__xludf.DUMMYFUNCTION("""COMPUTED_VALUE"""),0.5)</f>
        <v>0.5</v>
      </c>
      <c r="U8" s="492">
        <f>IFERROR(__xludf.DUMMYFUNCTION("""COMPUTED_VALUE"""),0.0)</f>
        <v>0</v>
      </c>
      <c r="V8" s="492">
        <f>IFERROR(__xludf.DUMMYFUNCTION("""COMPUTED_VALUE"""),0.0)</f>
        <v>0</v>
      </c>
      <c r="W8" s="492">
        <f>IFERROR(__xludf.DUMMYFUNCTION("""COMPUTED_VALUE"""),0.0)</f>
        <v>0</v>
      </c>
      <c r="X8" s="492">
        <f>IFERROR(__xludf.DUMMYFUNCTION("""COMPUTED_VALUE"""),0.0)</f>
        <v>0</v>
      </c>
      <c r="Y8" s="492">
        <f>IFERROR(__xludf.DUMMYFUNCTION("""COMPUTED_VALUE"""),0.0)</f>
        <v>0</v>
      </c>
      <c r="Z8" s="492">
        <f>IFERROR(__xludf.DUMMYFUNCTION("""COMPUTED_VALUE"""),0.0)</f>
        <v>0</v>
      </c>
      <c r="AA8" s="492">
        <f>IFERROR(__xludf.DUMMYFUNCTION("""COMPUTED_VALUE"""),0.0)</f>
        <v>0</v>
      </c>
      <c r="AB8" s="492">
        <f>IFERROR(__xludf.DUMMYFUNCTION("""COMPUTED_VALUE"""),0.0)</f>
        <v>0</v>
      </c>
      <c r="AC8" s="492">
        <f>IFERROR(__xludf.DUMMYFUNCTION("""COMPUTED_VALUE"""),1.5)</f>
        <v>1.5</v>
      </c>
      <c r="AD8" s="492">
        <f>IFERROR(__xludf.DUMMYFUNCTION("""COMPUTED_VALUE"""),0.0)</f>
        <v>0</v>
      </c>
      <c r="AE8" s="492">
        <f>IFERROR(__xludf.DUMMYFUNCTION("""COMPUTED_VALUE"""),0.0)</f>
        <v>0</v>
      </c>
      <c r="AF8" s="492"/>
      <c r="AG8" s="492"/>
      <c r="AH8" s="492"/>
      <c r="AI8" s="492"/>
      <c r="AJ8" s="492"/>
      <c r="AK8" s="492"/>
      <c r="AL8" s="492"/>
      <c r="AM8" s="492"/>
      <c r="AN8" s="492"/>
      <c r="AO8" s="492"/>
      <c r="AP8" s="492"/>
      <c r="AQ8" s="492"/>
      <c r="AR8" s="492"/>
      <c r="AS8" s="492"/>
      <c r="AT8" s="492"/>
      <c r="AU8" s="492"/>
      <c r="AV8" s="492"/>
      <c r="AW8" s="492"/>
      <c r="AX8" s="492"/>
    </row>
    <row r="9">
      <c r="A9" s="492" t="str">
        <f>IFERROR(__xludf.DUMMYFUNCTION("""COMPUTED_VALUE"""),"AwareMosquito")</f>
        <v>AwareMosquito</v>
      </c>
      <c r="B9" s="492">
        <f>IFERROR(__xludf.DUMMYFUNCTION("""COMPUTED_VALUE"""),0.25)</f>
        <v>0.25</v>
      </c>
      <c r="C9" s="492">
        <f>IFERROR(__xludf.DUMMYFUNCTION("""COMPUTED_VALUE"""),0.75)</f>
        <v>0.75</v>
      </c>
      <c r="D9" s="492">
        <f>IFERROR(__xludf.DUMMYFUNCTION("""COMPUTED_VALUE"""),0.0)</f>
        <v>0</v>
      </c>
      <c r="E9" s="492">
        <f>IFERROR(__xludf.DUMMYFUNCTION("""COMPUTED_VALUE"""),74.5)</f>
        <v>74.5</v>
      </c>
      <c r="F9" s="492">
        <f>IFERROR(__xludf.DUMMYFUNCTION("""COMPUTED_VALUE"""),2.0)</f>
        <v>2</v>
      </c>
      <c r="G9" s="492">
        <f>IFERROR(__xludf.DUMMYFUNCTION("""COMPUTED_VALUE"""),102.0)</f>
        <v>102</v>
      </c>
      <c r="H9" s="492">
        <f>IFERROR(__xludf.DUMMYFUNCTION("""COMPUTED_VALUE"""),-27.5)</f>
        <v>-27.5</v>
      </c>
      <c r="I9" s="492">
        <f>IFERROR(__xludf.DUMMYFUNCTION("""COMPUTED_VALUE"""),3.75)</f>
        <v>3.75</v>
      </c>
      <c r="J9" s="492">
        <f>IFERROR(__xludf.DUMMYFUNCTION("""COMPUTED_VALUE"""),0.5)</f>
        <v>0.5</v>
      </c>
      <c r="K9" s="492">
        <f>IFERROR(__xludf.DUMMYFUNCTION("""COMPUTED_VALUE"""),1149.25)</f>
        <v>1149.25</v>
      </c>
      <c r="L9" s="492">
        <f>IFERROR(__xludf.DUMMYFUNCTION("""COMPUTED_VALUE"""),1529.75)</f>
        <v>1529.75</v>
      </c>
      <c r="M9" s="492">
        <f>IFERROR(__xludf.DUMMYFUNCTION("""COMPUTED_VALUE"""),10.25)</f>
        <v>10.25</v>
      </c>
      <c r="N9" s="492">
        <f>IFERROR(__xludf.DUMMYFUNCTION("""COMPUTED_VALUE"""),0.25)</f>
        <v>0.25</v>
      </c>
      <c r="O9" s="492">
        <f>IFERROR(__xludf.DUMMYFUNCTION("""COMPUTED_VALUE"""),0.0)</f>
        <v>0</v>
      </c>
      <c r="P9" s="492">
        <f>IFERROR(__xludf.DUMMYFUNCTION("""COMPUTED_VALUE"""),0.0)</f>
        <v>0</v>
      </c>
      <c r="Q9" s="492">
        <f>IFERROR(__xludf.DUMMYFUNCTION("""COMPUTED_VALUE"""),0.0)</f>
        <v>0</v>
      </c>
      <c r="R9" s="492">
        <f>IFERROR(__xludf.DUMMYFUNCTION("""COMPUTED_VALUE"""),0.0)</f>
        <v>0</v>
      </c>
      <c r="S9" s="492">
        <f>IFERROR(__xludf.DUMMYFUNCTION("""COMPUTED_VALUE"""),6.75)</f>
        <v>6.75</v>
      </c>
      <c r="T9" s="492">
        <f>IFERROR(__xludf.DUMMYFUNCTION("""COMPUTED_VALUE"""),0.75)</f>
        <v>0.75</v>
      </c>
      <c r="U9" s="492">
        <f>IFERROR(__xludf.DUMMYFUNCTION("""COMPUTED_VALUE"""),0.0)</f>
        <v>0</v>
      </c>
      <c r="V9" s="492">
        <f>IFERROR(__xludf.DUMMYFUNCTION("""COMPUTED_VALUE"""),0.0)</f>
        <v>0</v>
      </c>
      <c r="W9" s="492">
        <f>IFERROR(__xludf.DUMMYFUNCTION("""COMPUTED_VALUE"""),0.0)</f>
        <v>0</v>
      </c>
      <c r="X9" s="492">
        <f>IFERROR(__xludf.DUMMYFUNCTION("""COMPUTED_VALUE"""),0.0)</f>
        <v>0</v>
      </c>
      <c r="Y9" s="492">
        <f>IFERROR(__xludf.DUMMYFUNCTION("""COMPUTED_VALUE"""),0.0)</f>
        <v>0</v>
      </c>
      <c r="Z9" s="492">
        <f>IFERROR(__xludf.DUMMYFUNCTION("""COMPUTED_VALUE"""),0.0)</f>
        <v>0</v>
      </c>
      <c r="AA9" s="492">
        <f>IFERROR(__xludf.DUMMYFUNCTION("""COMPUTED_VALUE"""),0.0)</f>
        <v>0</v>
      </c>
      <c r="AB9" s="492">
        <f>IFERROR(__xludf.DUMMYFUNCTION("""COMPUTED_VALUE"""),0.0)</f>
        <v>0</v>
      </c>
      <c r="AC9" s="492">
        <f>IFERROR(__xludf.DUMMYFUNCTION("""COMPUTED_VALUE"""),1.75)</f>
        <v>1.75</v>
      </c>
      <c r="AD9" s="492">
        <f>IFERROR(__xludf.DUMMYFUNCTION("""COMPUTED_VALUE"""),0.25)</f>
        <v>0.25</v>
      </c>
      <c r="AE9" s="492">
        <f>IFERROR(__xludf.DUMMYFUNCTION("""COMPUTED_VALUE"""),0.25)</f>
        <v>0.25</v>
      </c>
      <c r="AF9" s="492"/>
      <c r="AG9" s="492"/>
      <c r="AH9" s="492"/>
      <c r="AI9" s="492"/>
      <c r="AJ9" s="492"/>
      <c r="AK9" s="492"/>
      <c r="AL9" s="492"/>
      <c r="AM9" s="492"/>
      <c r="AN9" s="492"/>
      <c r="AO9" s="492"/>
      <c r="AP9" s="492"/>
      <c r="AQ9" s="492"/>
      <c r="AR9" s="492"/>
      <c r="AS9" s="492"/>
      <c r="AT9" s="492"/>
      <c r="AU9" s="492"/>
      <c r="AV9" s="492"/>
      <c r="AW9" s="492"/>
      <c r="AX9" s="492"/>
    </row>
    <row r="10">
      <c r="A10" s="492" t="str">
        <f>IFERROR(__xludf.DUMMYFUNCTION("""COMPUTED_VALUE"""),"Dabb")</f>
        <v>Dabb</v>
      </c>
      <c r="B10" s="492">
        <f>IFERROR(__xludf.DUMMYFUNCTION("""COMPUTED_VALUE"""),0.3333333333333333)</f>
        <v>0.3333333333</v>
      </c>
      <c r="C10" s="492">
        <f>IFERROR(__xludf.DUMMYFUNCTION("""COMPUTED_VALUE"""),0.6666666666666666)</f>
        <v>0.6666666667</v>
      </c>
      <c r="D10" s="492">
        <f>IFERROR(__xludf.DUMMYFUNCTION("""COMPUTED_VALUE"""),2.0)</f>
        <v>2</v>
      </c>
      <c r="E10" s="492">
        <f>IFERROR(__xludf.DUMMYFUNCTION("""COMPUTED_VALUE"""),56.333333333333336)</f>
        <v>56.33333333</v>
      </c>
      <c r="F10" s="492">
        <f>IFERROR(__xludf.DUMMYFUNCTION("""COMPUTED_VALUE"""),3.3333333333333335)</f>
        <v>3.333333333</v>
      </c>
      <c r="G10" s="492">
        <f>IFERROR(__xludf.DUMMYFUNCTION("""COMPUTED_VALUE"""),44.666666666666664)</f>
        <v>44.66666667</v>
      </c>
      <c r="H10" s="492">
        <f>IFERROR(__xludf.DUMMYFUNCTION("""COMPUTED_VALUE"""),11.666666666666666)</f>
        <v>11.66666667</v>
      </c>
      <c r="I10" s="492">
        <f>IFERROR(__xludf.DUMMYFUNCTION("""COMPUTED_VALUE"""),9.666666666666666)</f>
        <v>9.666666667</v>
      </c>
      <c r="J10" s="492">
        <f>IFERROR(__xludf.DUMMYFUNCTION("""COMPUTED_VALUE"""),0.6666666666666666)</f>
        <v>0.6666666667</v>
      </c>
      <c r="K10" s="492">
        <f>IFERROR(__xludf.DUMMYFUNCTION("""COMPUTED_VALUE"""),988.0)</f>
        <v>988</v>
      </c>
      <c r="L10" s="492">
        <f>IFERROR(__xludf.DUMMYFUNCTION("""COMPUTED_VALUE"""),1193.6666666666667)</f>
        <v>1193.666667</v>
      </c>
      <c r="M10" s="492">
        <f>IFERROR(__xludf.DUMMYFUNCTION("""COMPUTED_VALUE"""),22.333333333333332)</f>
        <v>22.33333333</v>
      </c>
      <c r="N10" s="492">
        <f>IFERROR(__xludf.DUMMYFUNCTION("""COMPUTED_VALUE"""),2.6666666666666665)</f>
        <v>2.666666667</v>
      </c>
      <c r="O10" s="492">
        <f>IFERROR(__xludf.DUMMYFUNCTION("""COMPUTED_VALUE"""),0.6666666666666666)</f>
        <v>0.6666666667</v>
      </c>
      <c r="P10" s="492">
        <f>IFERROR(__xludf.DUMMYFUNCTION("""COMPUTED_VALUE"""),0.0)</f>
        <v>0</v>
      </c>
      <c r="Q10" s="492">
        <f>IFERROR(__xludf.DUMMYFUNCTION("""COMPUTED_VALUE"""),0.0)</f>
        <v>0</v>
      </c>
      <c r="R10" s="492">
        <f>IFERROR(__xludf.DUMMYFUNCTION("""COMPUTED_VALUE"""),0.0)</f>
        <v>0</v>
      </c>
      <c r="S10" s="492">
        <f>IFERROR(__xludf.DUMMYFUNCTION("""COMPUTED_VALUE"""),7.666666666666667)</f>
        <v>7.666666667</v>
      </c>
      <c r="T10" s="492">
        <f>IFERROR(__xludf.DUMMYFUNCTION("""COMPUTED_VALUE"""),1.3333333333333333)</f>
        <v>1.333333333</v>
      </c>
      <c r="U10" s="492">
        <f>IFERROR(__xludf.DUMMYFUNCTION("""COMPUTED_VALUE"""),0.0)</f>
        <v>0</v>
      </c>
      <c r="V10" s="492">
        <f>IFERROR(__xludf.DUMMYFUNCTION("""COMPUTED_VALUE"""),0.0)</f>
        <v>0</v>
      </c>
      <c r="W10" s="492">
        <f>IFERROR(__xludf.DUMMYFUNCTION("""COMPUTED_VALUE"""),0.0)</f>
        <v>0</v>
      </c>
      <c r="X10" s="492">
        <f>IFERROR(__xludf.DUMMYFUNCTION("""COMPUTED_VALUE"""),0.0)</f>
        <v>0</v>
      </c>
      <c r="Y10" s="492">
        <f>IFERROR(__xludf.DUMMYFUNCTION("""COMPUTED_VALUE"""),0.0)</f>
        <v>0</v>
      </c>
      <c r="Z10" s="492">
        <f>IFERROR(__xludf.DUMMYFUNCTION("""COMPUTED_VALUE"""),0.0)</f>
        <v>0</v>
      </c>
      <c r="AA10" s="492">
        <f>IFERROR(__xludf.DUMMYFUNCTION("""COMPUTED_VALUE"""),0.0)</f>
        <v>0</v>
      </c>
      <c r="AB10" s="492">
        <f>IFERROR(__xludf.DUMMYFUNCTION("""COMPUTED_VALUE"""),0.0)</f>
        <v>0</v>
      </c>
      <c r="AC10" s="492">
        <f>IFERROR(__xludf.DUMMYFUNCTION("""COMPUTED_VALUE"""),0.3333333333333333)</f>
        <v>0.3333333333</v>
      </c>
      <c r="AD10" s="492">
        <f>IFERROR(__xludf.DUMMYFUNCTION("""COMPUTED_VALUE"""),0.0)</f>
        <v>0</v>
      </c>
      <c r="AE10" s="492">
        <f>IFERROR(__xludf.DUMMYFUNCTION("""COMPUTED_VALUE"""),0.6666666666666666)</f>
        <v>0.6666666667</v>
      </c>
      <c r="AF10" s="492"/>
      <c r="AG10" s="492"/>
      <c r="AH10" s="492"/>
      <c r="AI10" s="492"/>
      <c r="AJ10" s="492"/>
      <c r="AK10" s="492"/>
      <c r="AL10" s="492"/>
      <c r="AM10" s="492"/>
      <c r="AN10" s="492"/>
      <c r="AO10" s="492"/>
      <c r="AP10" s="492"/>
      <c r="AQ10" s="492"/>
      <c r="AR10" s="492"/>
      <c r="AS10" s="492"/>
      <c r="AT10" s="492"/>
      <c r="AU10" s="492"/>
      <c r="AV10" s="492"/>
      <c r="AW10" s="492"/>
      <c r="AX10" s="492"/>
    </row>
    <row r="11">
      <c r="A11" s="492" t="str">
        <f>IFERROR(__xludf.DUMMYFUNCTION("""COMPUTED_VALUE"""),"Dat Twinkie")</f>
        <v>Dat Twinkie</v>
      </c>
      <c r="B11" s="492">
        <f>IFERROR(__xludf.DUMMYFUNCTION("""COMPUTED_VALUE"""),0.0)</f>
        <v>0</v>
      </c>
      <c r="C11" s="492">
        <f>IFERROR(__xludf.DUMMYFUNCTION("""COMPUTED_VALUE"""),1.0)</f>
        <v>1</v>
      </c>
      <c r="D11" s="492">
        <f>IFERROR(__xludf.DUMMYFUNCTION("""COMPUTED_VALUE"""),0.0)</f>
        <v>0</v>
      </c>
      <c r="E11" s="492">
        <f>IFERROR(__xludf.DUMMYFUNCTION("""COMPUTED_VALUE"""),62.5)</f>
        <v>62.5</v>
      </c>
      <c r="F11" s="492">
        <f>IFERROR(__xludf.DUMMYFUNCTION("""COMPUTED_VALUE"""),2.0)</f>
        <v>2</v>
      </c>
      <c r="G11" s="492">
        <f>IFERROR(__xludf.DUMMYFUNCTION("""COMPUTED_VALUE"""),76.0)</f>
        <v>76</v>
      </c>
      <c r="H11" s="492">
        <f>IFERROR(__xludf.DUMMYFUNCTION("""COMPUTED_VALUE"""),-13.5)</f>
        <v>-13.5</v>
      </c>
      <c r="I11" s="492">
        <f>IFERROR(__xludf.DUMMYFUNCTION("""COMPUTED_VALUE"""),5.5)</f>
        <v>5.5</v>
      </c>
      <c r="J11" s="492">
        <f>IFERROR(__xludf.DUMMYFUNCTION("""COMPUTED_VALUE"""),1.5)</f>
        <v>1.5</v>
      </c>
      <c r="K11" s="492">
        <f>IFERROR(__xludf.DUMMYFUNCTION("""COMPUTED_VALUE"""),841.0)</f>
        <v>841</v>
      </c>
      <c r="L11" s="492">
        <f>IFERROR(__xludf.DUMMYFUNCTION("""COMPUTED_VALUE"""),1137.5)</f>
        <v>1137.5</v>
      </c>
      <c r="M11" s="492">
        <f>IFERROR(__xludf.DUMMYFUNCTION("""COMPUTED_VALUE"""),10.5)</f>
        <v>10.5</v>
      </c>
      <c r="N11" s="492">
        <f>IFERROR(__xludf.DUMMYFUNCTION("""COMPUTED_VALUE"""),2.5)</f>
        <v>2.5</v>
      </c>
      <c r="O11" s="492">
        <f>IFERROR(__xludf.DUMMYFUNCTION("""COMPUTED_VALUE"""),0.0)</f>
        <v>0</v>
      </c>
      <c r="P11" s="492">
        <f>IFERROR(__xludf.DUMMYFUNCTION("""COMPUTED_VALUE"""),0.0)</f>
        <v>0</v>
      </c>
      <c r="Q11" s="492">
        <f>IFERROR(__xludf.DUMMYFUNCTION("""COMPUTED_VALUE"""),0.0)</f>
        <v>0</v>
      </c>
      <c r="R11" s="492">
        <f>IFERROR(__xludf.DUMMYFUNCTION("""COMPUTED_VALUE"""),0.0)</f>
        <v>0</v>
      </c>
      <c r="S11" s="492">
        <f>IFERROR(__xludf.DUMMYFUNCTION("""COMPUTED_VALUE"""),8.5)</f>
        <v>8.5</v>
      </c>
      <c r="T11" s="492">
        <f>IFERROR(__xludf.DUMMYFUNCTION("""COMPUTED_VALUE"""),2.0)</f>
        <v>2</v>
      </c>
      <c r="U11" s="492">
        <f>IFERROR(__xludf.DUMMYFUNCTION("""COMPUTED_VALUE"""),0.0)</f>
        <v>0</v>
      </c>
      <c r="V11" s="492">
        <f>IFERROR(__xludf.DUMMYFUNCTION("""COMPUTED_VALUE"""),0.0)</f>
        <v>0</v>
      </c>
      <c r="W11" s="492">
        <f>IFERROR(__xludf.DUMMYFUNCTION("""COMPUTED_VALUE"""),0.0)</f>
        <v>0</v>
      </c>
      <c r="X11" s="492">
        <f>IFERROR(__xludf.DUMMYFUNCTION("""COMPUTED_VALUE"""),0.0)</f>
        <v>0</v>
      </c>
      <c r="Y11" s="492">
        <f>IFERROR(__xludf.DUMMYFUNCTION("""COMPUTED_VALUE"""),0.0)</f>
        <v>0</v>
      </c>
      <c r="Z11" s="492">
        <f>IFERROR(__xludf.DUMMYFUNCTION("""COMPUTED_VALUE"""),0.0)</f>
        <v>0</v>
      </c>
      <c r="AA11" s="492">
        <f>IFERROR(__xludf.DUMMYFUNCTION("""COMPUTED_VALUE"""),0.0)</f>
        <v>0</v>
      </c>
      <c r="AB11" s="492">
        <f>IFERROR(__xludf.DUMMYFUNCTION("""COMPUTED_VALUE"""),0.0)</f>
        <v>0</v>
      </c>
      <c r="AC11" s="492">
        <f>IFERROR(__xludf.DUMMYFUNCTION("""COMPUTED_VALUE"""),0.5)</f>
        <v>0.5</v>
      </c>
      <c r="AD11" s="492">
        <f>IFERROR(__xludf.DUMMYFUNCTION("""COMPUTED_VALUE"""),0.0)</f>
        <v>0</v>
      </c>
      <c r="AE11" s="492">
        <f>IFERROR(__xludf.DUMMYFUNCTION("""COMPUTED_VALUE"""),1.5)</f>
        <v>1.5</v>
      </c>
      <c r="AF11" s="492"/>
      <c r="AG11" s="492"/>
      <c r="AH11" s="492"/>
      <c r="AI11" s="492"/>
      <c r="AJ11" s="492"/>
      <c r="AK11" s="492"/>
      <c r="AL11" s="492"/>
      <c r="AM11" s="492"/>
      <c r="AN11" s="492"/>
      <c r="AO11" s="492"/>
      <c r="AP11" s="492"/>
      <c r="AQ11" s="492"/>
      <c r="AR11" s="492"/>
      <c r="AS11" s="492"/>
      <c r="AT11" s="492"/>
      <c r="AU11" s="492"/>
      <c r="AV11" s="492"/>
      <c r="AW11" s="492"/>
      <c r="AX11" s="492"/>
    </row>
    <row r="12">
      <c r="A12" s="492" t="str">
        <f>IFERROR(__xludf.DUMMYFUNCTION("""COMPUTED_VALUE"""),"Dhlyn")</f>
        <v>Dhlyn</v>
      </c>
      <c r="B12" s="492">
        <f>IFERROR(__xludf.DUMMYFUNCTION("""COMPUTED_VALUE"""),0.5)</f>
        <v>0.5</v>
      </c>
      <c r="C12" s="492">
        <f>IFERROR(__xludf.DUMMYFUNCTION("""COMPUTED_VALUE"""),0.5)</f>
        <v>0.5</v>
      </c>
      <c r="D12" s="492">
        <f>IFERROR(__xludf.DUMMYFUNCTION("""COMPUTED_VALUE"""),0.0)</f>
        <v>0</v>
      </c>
      <c r="E12" s="492">
        <f>IFERROR(__xludf.DUMMYFUNCTION("""COMPUTED_VALUE"""),42.0)</f>
        <v>42</v>
      </c>
      <c r="F12" s="492">
        <f>IFERROR(__xludf.DUMMYFUNCTION("""COMPUTED_VALUE"""),3.5)</f>
        <v>3.5</v>
      </c>
      <c r="G12" s="492">
        <f>IFERROR(__xludf.DUMMYFUNCTION("""COMPUTED_VALUE"""),55.5)</f>
        <v>55.5</v>
      </c>
      <c r="H12" s="492">
        <f>IFERROR(__xludf.DUMMYFUNCTION("""COMPUTED_VALUE"""),-13.5)</f>
        <v>-13.5</v>
      </c>
      <c r="I12" s="492">
        <f>IFERROR(__xludf.DUMMYFUNCTION("""COMPUTED_VALUE"""),3.5)</f>
        <v>3.5</v>
      </c>
      <c r="J12" s="492">
        <f>IFERROR(__xludf.DUMMYFUNCTION("""COMPUTED_VALUE"""),0.5)</f>
        <v>0.5</v>
      </c>
      <c r="K12" s="492">
        <f>IFERROR(__xludf.DUMMYFUNCTION("""COMPUTED_VALUE"""),667.5)</f>
        <v>667.5</v>
      </c>
      <c r="L12" s="492">
        <f>IFERROR(__xludf.DUMMYFUNCTION("""COMPUTED_VALUE"""),897.0)</f>
        <v>897</v>
      </c>
      <c r="M12" s="492">
        <f>IFERROR(__xludf.DUMMYFUNCTION("""COMPUTED_VALUE"""),12.0)</f>
        <v>12</v>
      </c>
      <c r="N12" s="492">
        <f>IFERROR(__xludf.DUMMYFUNCTION("""COMPUTED_VALUE"""),0.0)</f>
        <v>0</v>
      </c>
      <c r="O12" s="492">
        <f>IFERROR(__xludf.DUMMYFUNCTION("""COMPUTED_VALUE"""),0.0)</f>
        <v>0</v>
      </c>
      <c r="P12" s="492">
        <f>IFERROR(__xludf.DUMMYFUNCTION("""COMPUTED_VALUE"""),0.0)</f>
        <v>0</v>
      </c>
      <c r="Q12" s="492">
        <f>IFERROR(__xludf.DUMMYFUNCTION("""COMPUTED_VALUE"""),0.0)</f>
        <v>0</v>
      </c>
      <c r="R12" s="492">
        <f>IFERROR(__xludf.DUMMYFUNCTION("""COMPUTED_VALUE"""),0.0)</f>
        <v>0</v>
      </c>
      <c r="S12" s="492">
        <f>IFERROR(__xludf.DUMMYFUNCTION("""COMPUTED_VALUE"""),7.5)</f>
        <v>7.5</v>
      </c>
      <c r="T12" s="492">
        <f>IFERROR(__xludf.DUMMYFUNCTION("""COMPUTED_VALUE"""),1.0)</f>
        <v>1</v>
      </c>
      <c r="U12" s="492">
        <f>IFERROR(__xludf.DUMMYFUNCTION("""COMPUTED_VALUE"""),1.0)</f>
        <v>1</v>
      </c>
      <c r="V12" s="492">
        <f>IFERROR(__xludf.DUMMYFUNCTION("""COMPUTED_VALUE"""),0.0)</f>
        <v>0</v>
      </c>
      <c r="W12" s="492">
        <f>IFERROR(__xludf.DUMMYFUNCTION("""COMPUTED_VALUE"""),0.0)</f>
        <v>0</v>
      </c>
      <c r="X12" s="492">
        <f>IFERROR(__xludf.DUMMYFUNCTION("""COMPUTED_VALUE"""),0.0)</f>
        <v>0</v>
      </c>
      <c r="Y12" s="492">
        <f>IFERROR(__xludf.DUMMYFUNCTION("""COMPUTED_VALUE"""),0.0)</f>
        <v>0</v>
      </c>
      <c r="Z12" s="492">
        <f>IFERROR(__xludf.DUMMYFUNCTION("""COMPUTED_VALUE"""),0.0)</f>
        <v>0</v>
      </c>
      <c r="AA12" s="492">
        <f>IFERROR(__xludf.DUMMYFUNCTION("""COMPUTED_VALUE"""),0.0)</f>
        <v>0</v>
      </c>
      <c r="AB12" s="492">
        <f>IFERROR(__xludf.DUMMYFUNCTION("""COMPUTED_VALUE"""),0.0)</f>
        <v>0</v>
      </c>
      <c r="AC12" s="492">
        <f>IFERROR(__xludf.DUMMYFUNCTION("""COMPUTED_VALUE"""),1.0)</f>
        <v>1</v>
      </c>
      <c r="AD12" s="492">
        <f>IFERROR(__xludf.DUMMYFUNCTION("""COMPUTED_VALUE"""),0.0)</f>
        <v>0</v>
      </c>
      <c r="AE12" s="492">
        <f>IFERROR(__xludf.DUMMYFUNCTION("""COMPUTED_VALUE"""),0.0)</f>
        <v>0</v>
      </c>
      <c r="AF12" s="492"/>
      <c r="AG12" s="492"/>
      <c r="AH12" s="492"/>
      <c r="AI12" s="492"/>
      <c r="AJ12" s="492"/>
      <c r="AK12" s="492"/>
      <c r="AL12" s="492"/>
      <c r="AM12" s="492"/>
      <c r="AN12" s="492"/>
      <c r="AO12" s="492"/>
      <c r="AP12" s="492"/>
      <c r="AQ12" s="492"/>
      <c r="AR12" s="492"/>
      <c r="AS12" s="492"/>
      <c r="AT12" s="492"/>
      <c r="AU12" s="492"/>
      <c r="AV12" s="492"/>
      <c r="AW12" s="492"/>
      <c r="AX12" s="492"/>
    </row>
    <row r="13">
      <c r="A13" s="492" t="str">
        <f>IFERROR(__xludf.DUMMYFUNCTION("""COMPUTED_VALUE"""),"Fanciest Pants")</f>
        <v>Fanciest Pants</v>
      </c>
      <c r="B13" s="492">
        <f>IFERROR(__xludf.DUMMYFUNCTION("""COMPUTED_VALUE"""),0.3333333333333333)</f>
        <v>0.3333333333</v>
      </c>
      <c r="C13" s="492">
        <f>IFERROR(__xludf.DUMMYFUNCTION("""COMPUTED_VALUE"""),0.6666666666666666)</f>
        <v>0.6666666667</v>
      </c>
      <c r="D13" s="492">
        <f>IFERROR(__xludf.DUMMYFUNCTION("""COMPUTED_VALUE"""),0.0)</f>
        <v>0</v>
      </c>
      <c r="E13" s="492">
        <f>IFERROR(__xludf.DUMMYFUNCTION("""COMPUTED_VALUE"""),66.33333333333333)</f>
        <v>66.33333333</v>
      </c>
      <c r="F13" s="492">
        <f>IFERROR(__xludf.DUMMYFUNCTION("""COMPUTED_VALUE"""),4.666666666666667)</f>
        <v>4.666666667</v>
      </c>
      <c r="G13" s="492">
        <f>IFERROR(__xludf.DUMMYFUNCTION("""COMPUTED_VALUE"""),82.0)</f>
        <v>82</v>
      </c>
      <c r="H13" s="492">
        <f>IFERROR(__xludf.DUMMYFUNCTION("""COMPUTED_VALUE"""),-15.666666666666666)</f>
        <v>-15.66666667</v>
      </c>
      <c r="I13" s="492">
        <f>IFERROR(__xludf.DUMMYFUNCTION("""COMPUTED_VALUE"""),3.6666666666666665)</f>
        <v>3.666666667</v>
      </c>
      <c r="J13" s="492">
        <f>IFERROR(__xludf.DUMMYFUNCTION("""COMPUTED_VALUE"""),1.0)</f>
        <v>1</v>
      </c>
      <c r="K13" s="492">
        <f>IFERROR(__xludf.DUMMYFUNCTION("""COMPUTED_VALUE"""),871.3333333333334)</f>
        <v>871.3333333</v>
      </c>
      <c r="L13" s="492">
        <f>IFERROR(__xludf.DUMMYFUNCTION("""COMPUTED_VALUE"""),1193.6666666666667)</f>
        <v>1193.666667</v>
      </c>
      <c r="M13" s="492">
        <f>IFERROR(__xludf.DUMMYFUNCTION("""COMPUTED_VALUE"""),10.0)</f>
        <v>10</v>
      </c>
      <c r="N13" s="492">
        <f>IFERROR(__xludf.DUMMYFUNCTION("""COMPUTED_VALUE"""),0.0)</f>
        <v>0</v>
      </c>
      <c r="O13" s="492">
        <f>IFERROR(__xludf.DUMMYFUNCTION("""COMPUTED_VALUE"""),0.0)</f>
        <v>0</v>
      </c>
      <c r="P13" s="492">
        <f>IFERROR(__xludf.DUMMYFUNCTION("""COMPUTED_VALUE"""),0.0)</f>
        <v>0</v>
      </c>
      <c r="Q13" s="492">
        <f>IFERROR(__xludf.DUMMYFUNCTION("""COMPUTED_VALUE"""),0.0)</f>
        <v>0</v>
      </c>
      <c r="R13" s="492">
        <f>IFERROR(__xludf.DUMMYFUNCTION("""COMPUTED_VALUE"""),0.0)</f>
        <v>0</v>
      </c>
      <c r="S13" s="492">
        <f>IFERROR(__xludf.DUMMYFUNCTION("""COMPUTED_VALUE"""),9.333333333333334)</f>
        <v>9.333333333</v>
      </c>
      <c r="T13" s="492">
        <f>IFERROR(__xludf.DUMMYFUNCTION("""COMPUTED_VALUE"""),0.6666666666666666)</f>
        <v>0.6666666667</v>
      </c>
      <c r="U13" s="492">
        <f>IFERROR(__xludf.DUMMYFUNCTION("""COMPUTED_VALUE"""),0.0)</f>
        <v>0</v>
      </c>
      <c r="V13" s="492">
        <f>IFERROR(__xludf.DUMMYFUNCTION("""COMPUTED_VALUE"""),0.0)</f>
        <v>0</v>
      </c>
      <c r="W13" s="492">
        <f>IFERROR(__xludf.DUMMYFUNCTION("""COMPUTED_VALUE"""),0.0)</f>
        <v>0</v>
      </c>
      <c r="X13" s="492">
        <f>IFERROR(__xludf.DUMMYFUNCTION("""COMPUTED_VALUE"""),0.0)</f>
        <v>0</v>
      </c>
      <c r="Y13" s="492">
        <f>IFERROR(__xludf.DUMMYFUNCTION("""COMPUTED_VALUE"""),0.0)</f>
        <v>0</v>
      </c>
      <c r="Z13" s="492">
        <f>IFERROR(__xludf.DUMMYFUNCTION("""COMPUTED_VALUE"""),0.0)</f>
        <v>0</v>
      </c>
      <c r="AA13" s="492">
        <f>IFERROR(__xludf.DUMMYFUNCTION("""COMPUTED_VALUE"""),0.0)</f>
        <v>0</v>
      </c>
      <c r="AB13" s="492">
        <f>IFERROR(__xludf.DUMMYFUNCTION("""COMPUTED_VALUE"""),0.0)</f>
        <v>0</v>
      </c>
      <c r="AC13" s="492">
        <f>IFERROR(__xludf.DUMMYFUNCTION("""COMPUTED_VALUE"""),3.0)</f>
        <v>3</v>
      </c>
      <c r="AD13" s="492">
        <f>IFERROR(__xludf.DUMMYFUNCTION("""COMPUTED_VALUE"""),0.0)</f>
        <v>0</v>
      </c>
      <c r="AE13" s="492">
        <f>IFERROR(__xludf.DUMMYFUNCTION("""COMPUTED_VALUE"""),0.0)</f>
        <v>0</v>
      </c>
      <c r="AF13" s="492"/>
      <c r="AG13" s="492"/>
      <c r="AH13" s="492"/>
      <c r="AI13" s="492"/>
      <c r="AJ13" s="492"/>
      <c r="AK13" s="492"/>
      <c r="AL13" s="492"/>
      <c r="AM13" s="492"/>
      <c r="AN13" s="492"/>
      <c r="AO13" s="492"/>
      <c r="AP13" s="492"/>
      <c r="AQ13" s="492"/>
      <c r="AR13" s="492"/>
      <c r="AS13" s="492"/>
      <c r="AT13" s="492"/>
      <c r="AU13" s="492"/>
      <c r="AV13" s="492"/>
      <c r="AW13" s="492"/>
      <c r="AX13" s="492"/>
    </row>
    <row r="14">
      <c r="A14" s="492" t="str">
        <f>IFERROR(__xludf.DUMMYFUNCTION("""COMPUTED_VALUE"""),"Finesse God24")</f>
        <v>Finesse God24</v>
      </c>
      <c r="B14" s="492">
        <f>IFERROR(__xludf.DUMMYFUNCTION("""COMPUTED_VALUE"""),0.6666666666666666)</f>
        <v>0.6666666667</v>
      </c>
      <c r="C14" s="492">
        <f>IFERROR(__xludf.DUMMYFUNCTION("""COMPUTED_VALUE"""),0.3333333333333333)</f>
        <v>0.3333333333</v>
      </c>
      <c r="D14" s="492">
        <f>IFERROR(__xludf.DUMMYFUNCTION("""COMPUTED_VALUE"""),0.3333333333333333)</f>
        <v>0.3333333333</v>
      </c>
      <c r="E14" s="492">
        <f>IFERROR(__xludf.DUMMYFUNCTION("""COMPUTED_VALUE"""),67.66666666666667)</f>
        <v>67.66666667</v>
      </c>
      <c r="F14" s="492">
        <f>IFERROR(__xludf.DUMMYFUNCTION("""COMPUTED_VALUE"""),4.666666666666667)</f>
        <v>4.666666667</v>
      </c>
      <c r="G14" s="492">
        <f>IFERROR(__xludf.DUMMYFUNCTION("""COMPUTED_VALUE"""),71.0)</f>
        <v>71</v>
      </c>
      <c r="H14" s="492">
        <f>IFERROR(__xludf.DUMMYFUNCTION("""COMPUTED_VALUE"""),-3.3333333333333335)</f>
        <v>-3.333333333</v>
      </c>
      <c r="I14" s="492">
        <f>IFERROR(__xludf.DUMMYFUNCTION("""COMPUTED_VALUE"""),4.333333333333333)</f>
        <v>4.333333333</v>
      </c>
      <c r="J14" s="492">
        <f>IFERROR(__xludf.DUMMYFUNCTION("""COMPUTED_VALUE"""),0.0)</f>
        <v>0</v>
      </c>
      <c r="K14" s="492">
        <f>IFERROR(__xludf.DUMMYFUNCTION("""COMPUTED_VALUE"""),758.0)</f>
        <v>758</v>
      </c>
      <c r="L14" s="492">
        <f>IFERROR(__xludf.DUMMYFUNCTION("""COMPUTED_VALUE"""),1053.3333333333333)</f>
        <v>1053.333333</v>
      </c>
      <c r="M14" s="492">
        <f>IFERROR(__xludf.DUMMYFUNCTION("""COMPUTED_VALUE"""),10.0)</f>
        <v>10</v>
      </c>
      <c r="N14" s="492">
        <f>IFERROR(__xludf.DUMMYFUNCTION("""COMPUTED_VALUE"""),0.6666666666666666)</f>
        <v>0.6666666667</v>
      </c>
      <c r="O14" s="492">
        <f>IFERROR(__xludf.DUMMYFUNCTION("""COMPUTED_VALUE"""),0.0)</f>
        <v>0</v>
      </c>
      <c r="P14" s="492">
        <f>IFERROR(__xludf.DUMMYFUNCTION("""COMPUTED_VALUE"""),0.0)</f>
        <v>0</v>
      </c>
      <c r="Q14" s="492">
        <f>IFERROR(__xludf.DUMMYFUNCTION("""COMPUTED_VALUE"""),0.0)</f>
        <v>0</v>
      </c>
      <c r="R14" s="492">
        <f>IFERROR(__xludf.DUMMYFUNCTION("""COMPUTED_VALUE"""),0.0)</f>
        <v>0</v>
      </c>
      <c r="S14" s="492">
        <f>IFERROR(__xludf.DUMMYFUNCTION("""COMPUTED_VALUE"""),11.0)</f>
        <v>11</v>
      </c>
      <c r="T14" s="492">
        <f>IFERROR(__xludf.DUMMYFUNCTION("""COMPUTED_VALUE"""),2.0)</f>
        <v>2</v>
      </c>
      <c r="U14" s="492">
        <f>IFERROR(__xludf.DUMMYFUNCTION("""COMPUTED_VALUE"""),0.0)</f>
        <v>0</v>
      </c>
      <c r="V14" s="492">
        <f>IFERROR(__xludf.DUMMYFUNCTION("""COMPUTED_VALUE"""),0.0)</f>
        <v>0</v>
      </c>
      <c r="W14" s="492">
        <f>IFERROR(__xludf.DUMMYFUNCTION("""COMPUTED_VALUE"""),0.0)</f>
        <v>0</v>
      </c>
      <c r="X14" s="492">
        <f>IFERROR(__xludf.DUMMYFUNCTION("""COMPUTED_VALUE"""),0.0)</f>
        <v>0</v>
      </c>
      <c r="Y14" s="492">
        <f>IFERROR(__xludf.DUMMYFUNCTION("""COMPUTED_VALUE"""),0.0)</f>
        <v>0</v>
      </c>
      <c r="Z14" s="492">
        <f>IFERROR(__xludf.DUMMYFUNCTION("""COMPUTED_VALUE"""),0.0)</f>
        <v>0</v>
      </c>
      <c r="AA14" s="492">
        <f>IFERROR(__xludf.DUMMYFUNCTION("""COMPUTED_VALUE"""),0.0)</f>
        <v>0</v>
      </c>
      <c r="AB14" s="492">
        <f>IFERROR(__xludf.DUMMYFUNCTION("""COMPUTED_VALUE"""),0.0)</f>
        <v>0</v>
      </c>
      <c r="AC14" s="492">
        <f>IFERROR(__xludf.DUMMYFUNCTION("""COMPUTED_VALUE"""),2.3333333333333335)</f>
        <v>2.333333333</v>
      </c>
      <c r="AD14" s="492">
        <f>IFERROR(__xludf.DUMMYFUNCTION("""COMPUTED_VALUE"""),0.0)</f>
        <v>0</v>
      </c>
      <c r="AE14" s="492">
        <f>IFERROR(__xludf.DUMMYFUNCTION("""COMPUTED_VALUE"""),0.6666666666666666)</f>
        <v>0.6666666667</v>
      </c>
      <c r="AF14" s="492"/>
      <c r="AG14" s="492"/>
      <c r="AH14" s="492"/>
      <c r="AI14" s="492"/>
      <c r="AJ14" s="492"/>
      <c r="AK14" s="492"/>
      <c r="AL14" s="492"/>
      <c r="AM14" s="492"/>
      <c r="AN14" s="492"/>
      <c r="AO14" s="492"/>
      <c r="AP14" s="492"/>
      <c r="AQ14" s="492"/>
      <c r="AR14" s="492"/>
      <c r="AS14" s="492"/>
      <c r="AT14" s="492"/>
      <c r="AU14" s="492"/>
      <c r="AV14" s="492"/>
      <c r="AW14" s="492"/>
      <c r="AX14" s="492"/>
    </row>
    <row r="15">
      <c r="A15" s="492" t="str">
        <f>IFERROR(__xludf.DUMMYFUNCTION("""COMPUTED_VALUE"""),"Galvann")</f>
        <v>Galvann</v>
      </c>
      <c r="B15" s="492">
        <f>IFERROR(__xludf.DUMMYFUNCTION("""COMPUTED_VALUE"""),0.0)</f>
        <v>0</v>
      </c>
      <c r="C15" s="492">
        <f>IFERROR(__xludf.DUMMYFUNCTION("""COMPUTED_VALUE"""),1.0)</f>
        <v>1</v>
      </c>
      <c r="D15" s="492">
        <f>IFERROR(__xludf.DUMMYFUNCTION("""COMPUTED_VALUE"""),0.0)</f>
        <v>0</v>
      </c>
      <c r="E15" s="492">
        <f>IFERROR(__xludf.DUMMYFUNCTION("""COMPUTED_VALUE"""),76.0)</f>
        <v>76</v>
      </c>
      <c r="F15" s="492">
        <f>IFERROR(__xludf.DUMMYFUNCTION("""COMPUTED_VALUE"""),8.0)</f>
        <v>8</v>
      </c>
      <c r="G15" s="492">
        <f>IFERROR(__xludf.DUMMYFUNCTION("""COMPUTED_VALUE"""),61.0)</f>
        <v>61</v>
      </c>
      <c r="H15" s="492">
        <f>IFERROR(__xludf.DUMMYFUNCTION("""COMPUTED_VALUE"""),15.0)</f>
        <v>15</v>
      </c>
      <c r="I15" s="492">
        <f>IFERROR(__xludf.DUMMYFUNCTION("""COMPUTED_VALUE"""),5.0)</f>
        <v>5</v>
      </c>
      <c r="J15" s="492">
        <f>IFERROR(__xludf.DUMMYFUNCTION("""COMPUTED_VALUE"""),2.0)</f>
        <v>2</v>
      </c>
      <c r="K15" s="492">
        <f>IFERROR(__xludf.DUMMYFUNCTION("""COMPUTED_VALUE"""),686.0)</f>
        <v>686</v>
      </c>
      <c r="L15" s="492">
        <f>IFERROR(__xludf.DUMMYFUNCTION("""COMPUTED_VALUE"""),933.0)</f>
        <v>933</v>
      </c>
      <c r="M15" s="492">
        <f>IFERROR(__xludf.DUMMYFUNCTION("""COMPUTED_VALUE"""),11.0)</f>
        <v>11</v>
      </c>
      <c r="N15" s="492">
        <f>IFERROR(__xludf.DUMMYFUNCTION("""COMPUTED_VALUE"""),1.0)</f>
        <v>1</v>
      </c>
      <c r="O15" s="492">
        <f>IFERROR(__xludf.DUMMYFUNCTION("""COMPUTED_VALUE"""),0.0)</f>
        <v>0</v>
      </c>
      <c r="P15" s="492">
        <f>IFERROR(__xludf.DUMMYFUNCTION("""COMPUTED_VALUE"""),0.0)</f>
        <v>0</v>
      </c>
      <c r="Q15" s="492">
        <f>IFERROR(__xludf.DUMMYFUNCTION("""COMPUTED_VALUE"""),0.0)</f>
        <v>0</v>
      </c>
      <c r="R15" s="492">
        <f>IFERROR(__xludf.DUMMYFUNCTION("""COMPUTED_VALUE"""),0.0)</f>
        <v>0</v>
      </c>
      <c r="S15" s="492">
        <f>IFERROR(__xludf.DUMMYFUNCTION("""COMPUTED_VALUE"""),12.0)</f>
        <v>12</v>
      </c>
      <c r="T15" s="492">
        <f>IFERROR(__xludf.DUMMYFUNCTION("""COMPUTED_VALUE"""),6.0)</f>
        <v>6</v>
      </c>
      <c r="U15" s="492">
        <f>IFERROR(__xludf.DUMMYFUNCTION("""COMPUTED_VALUE"""),1.0)</f>
        <v>1</v>
      </c>
      <c r="V15" s="492">
        <f>IFERROR(__xludf.DUMMYFUNCTION("""COMPUTED_VALUE"""),0.0)</f>
        <v>0</v>
      </c>
      <c r="W15" s="492">
        <f>IFERROR(__xludf.DUMMYFUNCTION("""COMPUTED_VALUE"""),0.0)</f>
        <v>0</v>
      </c>
      <c r="X15" s="492">
        <f>IFERROR(__xludf.DUMMYFUNCTION("""COMPUTED_VALUE"""),0.0)</f>
        <v>0</v>
      </c>
      <c r="Y15" s="492">
        <f>IFERROR(__xludf.DUMMYFUNCTION("""COMPUTED_VALUE"""),0.0)</f>
        <v>0</v>
      </c>
      <c r="Z15" s="492">
        <f>IFERROR(__xludf.DUMMYFUNCTION("""COMPUTED_VALUE"""),0.0)</f>
        <v>0</v>
      </c>
      <c r="AA15" s="492">
        <f>IFERROR(__xludf.DUMMYFUNCTION("""COMPUTED_VALUE"""),0.0)</f>
        <v>0</v>
      </c>
      <c r="AB15" s="492">
        <f>IFERROR(__xludf.DUMMYFUNCTION("""COMPUTED_VALUE"""),0.0)</f>
        <v>0</v>
      </c>
      <c r="AC15" s="492">
        <f>IFERROR(__xludf.DUMMYFUNCTION("""COMPUTED_VALUE"""),4.0)</f>
        <v>4</v>
      </c>
      <c r="AD15" s="492">
        <f>IFERROR(__xludf.DUMMYFUNCTION("""COMPUTED_VALUE"""),0.0)</f>
        <v>0</v>
      </c>
      <c r="AE15" s="492">
        <f>IFERROR(__xludf.DUMMYFUNCTION("""COMPUTED_VALUE"""),0.0)</f>
        <v>0</v>
      </c>
      <c r="AF15" s="492"/>
      <c r="AG15" s="492"/>
      <c r="AH15" s="492"/>
      <c r="AI15" s="492"/>
      <c r="AJ15" s="492"/>
      <c r="AK15" s="492"/>
      <c r="AL15" s="492"/>
      <c r="AM15" s="492"/>
      <c r="AN15" s="492"/>
      <c r="AO15" s="492"/>
      <c r="AP15" s="492"/>
      <c r="AQ15" s="492"/>
      <c r="AR15" s="492"/>
      <c r="AS15" s="492"/>
      <c r="AT15" s="492"/>
      <c r="AU15" s="492"/>
      <c r="AV15" s="492"/>
      <c r="AW15" s="492"/>
      <c r="AX15" s="492"/>
    </row>
    <row r="16">
      <c r="A16" s="492" t="str">
        <f>IFERROR(__xludf.DUMMYFUNCTION("""COMPUTED_VALUE"""),"Genesiology")</f>
        <v>Genesiology</v>
      </c>
      <c r="B16" s="492">
        <f>IFERROR(__xludf.DUMMYFUNCTION("""COMPUTED_VALUE"""),0.75)</f>
        <v>0.75</v>
      </c>
      <c r="C16" s="492">
        <f>IFERROR(__xludf.DUMMYFUNCTION("""COMPUTED_VALUE"""),0.25)</f>
        <v>0.25</v>
      </c>
      <c r="D16" s="492">
        <f>IFERROR(__xludf.DUMMYFUNCTION("""COMPUTED_VALUE"""),0.25)</f>
        <v>0.25</v>
      </c>
      <c r="E16" s="492">
        <f>IFERROR(__xludf.DUMMYFUNCTION("""COMPUTED_VALUE"""),104.75)</f>
        <v>104.75</v>
      </c>
      <c r="F16" s="492">
        <f>IFERROR(__xludf.DUMMYFUNCTION("""COMPUTED_VALUE"""),9.0)</f>
        <v>9</v>
      </c>
      <c r="G16" s="492">
        <f>IFERROR(__xludf.DUMMYFUNCTION("""COMPUTED_VALUE"""),70.5)</f>
        <v>70.5</v>
      </c>
      <c r="H16" s="492">
        <f>IFERROR(__xludf.DUMMYFUNCTION("""COMPUTED_VALUE"""),34.25)</f>
        <v>34.25</v>
      </c>
      <c r="I16" s="492">
        <f>IFERROR(__xludf.DUMMYFUNCTION("""COMPUTED_VALUE"""),6.25)</f>
        <v>6.25</v>
      </c>
      <c r="J16" s="492">
        <f>IFERROR(__xludf.DUMMYFUNCTION("""COMPUTED_VALUE"""),3.5)</f>
        <v>3.5</v>
      </c>
      <c r="K16" s="492">
        <f>IFERROR(__xludf.DUMMYFUNCTION("""COMPUTED_VALUE"""),1252.0)</f>
        <v>1252</v>
      </c>
      <c r="L16" s="492">
        <f>IFERROR(__xludf.DUMMYFUNCTION("""COMPUTED_VALUE"""),1544.0)</f>
        <v>1544</v>
      </c>
      <c r="M16" s="492">
        <f>IFERROR(__xludf.DUMMYFUNCTION("""COMPUTED_VALUE"""),17.25)</f>
        <v>17.25</v>
      </c>
      <c r="N16" s="492">
        <f>IFERROR(__xludf.DUMMYFUNCTION("""COMPUTED_VALUE"""),3.5)</f>
        <v>3.5</v>
      </c>
      <c r="O16" s="492">
        <f>IFERROR(__xludf.DUMMYFUNCTION("""COMPUTED_VALUE"""),0.0)</f>
        <v>0</v>
      </c>
      <c r="P16" s="492">
        <f>IFERROR(__xludf.DUMMYFUNCTION("""COMPUTED_VALUE"""),0.0)</f>
        <v>0</v>
      </c>
      <c r="Q16" s="492">
        <f>IFERROR(__xludf.DUMMYFUNCTION("""COMPUTED_VALUE"""),0.0)</f>
        <v>0</v>
      </c>
      <c r="R16" s="492">
        <f>IFERROR(__xludf.DUMMYFUNCTION("""COMPUTED_VALUE"""),0.0)</f>
        <v>0</v>
      </c>
      <c r="S16" s="492">
        <f>IFERROR(__xludf.DUMMYFUNCTION("""COMPUTED_VALUE"""),18.25)</f>
        <v>18.25</v>
      </c>
      <c r="T16" s="492">
        <f>IFERROR(__xludf.DUMMYFUNCTION("""COMPUTED_VALUE"""),3.0)</f>
        <v>3</v>
      </c>
      <c r="U16" s="492">
        <f>IFERROR(__xludf.DUMMYFUNCTION("""COMPUTED_VALUE"""),1.0)</f>
        <v>1</v>
      </c>
      <c r="V16" s="492">
        <f>IFERROR(__xludf.DUMMYFUNCTION("""COMPUTED_VALUE"""),0.5)</f>
        <v>0.5</v>
      </c>
      <c r="W16" s="492">
        <f>IFERROR(__xludf.DUMMYFUNCTION("""COMPUTED_VALUE"""),0.25)</f>
        <v>0.25</v>
      </c>
      <c r="X16" s="492">
        <f>IFERROR(__xludf.DUMMYFUNCTION("""COMPUTED_VALUE"""),0.0)</f>
        <v>0</v>
      </c>
      <c r="Y16" s="492">
        <f>IFERROR(__xludf.DUMMYFUNCTION("""COMPUTED_VALUE"""),0.0)</f>
        <v>0</v>
      </c>
      <c r="Z16" s="492">
        <f>IFERROR(__xludf.DUMMYFUNCTION("""COMPUTED_VALUE"""),0.0)</f>
        <v>0</v>
      </c>
      <c r="AA16" s="492">
        <f>IFERROR(__xludf.DUMMYFUNCTION("""COMPUTED_VALUE"""),0.0)</f>
        <v>0</v>
      </c>
      <c r="AB16" s="492">
        <f>IFERROR(__xludf.DUMMYFUNCTION("""COMPUTED_VALUE"""),0.0)</f>
        <v>0</v>
      </c>
      <c r="AC16" s="492">
        <f>IFERROR(__xludf.DUMMYFUNCTION("""COMPUTED_VALUE"""),6.25)</f>
        <v>6.25</v>
      </c>
      <c r="AD16" s="492">
        <f>IFERROR(__xludf.DUMMYFUNCTION("""COMPUTED_VALUE"""),0.0)</f>
        <v>0</v>
      </c>
      <c r="AE16" s="492">
        <f>IFERROR(__xludf.DUMMYFUNCTION("""COMPUTED_VALUE"""),3.25)</f>
        <v>3.25</v>
      </c>
      <c r="AF16" s="492"/>
      <c r="AG16" s="492"/>
      <c r="AH16" s="492"/>
      <c r="AI16" s="492"/>
      <c r="AJ16" s="492"/>
      <c r="AK16" s="492"/>
      <c r="AL16" s="492"/>
      <c r="AM16" s="492"/>
      <c r="AN16" s="492"/>
      <c r="AO16" s="492"/>
      <c r="AP16" s="492"/>
      <c r="AQ16" s="492"/>
      <c r="AR16" s="492"/>
      <c r="AS16" s="492"/>
      <c r="AT16" s="492"/>
      <c r="AU16" s="492"/>
      <c r="AV16" s="492"/>
      <c r="AW16" s="492"/>
      <c r="AX16" s="492"/>
    </row>
    <row r="17">
      <c r="A17" s="492" t="str">
        <f>IFERROR(__xludf.DUMMYFUNCTION("""COMPUTED_VALUE"""),"GodSnipezX")</f>
        <v>GodSnipezX</v>
      </c>
      <c r="B17" s="492">
        <f>IFERROR(__xludf.DUMMYFUNCTION("""COMPUTED_VALUE"""),0.5)</f>
        <v>0.5</v>
      </c>
      <c r="C17" s="492">
        <f>IFERROR(__xludf.DUMMYFUNCTION("""COMPUTED_VALUE"""),0.5)</f>
        <v>0.5</v>
      </c>
      <c r="D17" s="492">
        <f>IFERROR(__xludf.DUMMYFUNCTION("""COMPUTED_VALUE"""),0.25)</f>
        <v>0.25</v>
      </c>
      <c r="E17" s="492">
        <f>IFERROR(__xludf.DUMMYFUNCTION("""COMPUTED_VALUE"""),124.0)</f>
        <v>124</v>
      </c>
      <c r="F17" s="492">
        <f>IFERROR(__xludf.DUMMYFUNCTION("""COMPUTED_VALUE"""),7.5)</f>
        <v>7.5</v>
      </c>
      <c r="G17" s="492">
        <f>IFERROR(__xludf.DUMMYFUNCTION("""COMPUTED_VALUE"""),128.5)</f>
        <v>128.5</v>
      </c>
      <c r="H17" s="492">
        <f>IFERROR(__xludf.DUMMYFUNCTION("""COMPUTED_VALUE"""),-4.5)</f>
        <v>-4.5</v>
      </c>
      <c r="I17" s="492">
        <f>IFERROR(__xludf.DUMMYFUNCTION("""COMPUTED_VALUE"""),6.0)</f>
        <v>6</v>
      </c>
      <c r="J17" s="492">
        <f>IFERROR(__xludf.DUMMYFUNCTION("""COMPUTED_VALUE"""),1.25)</f>
        <v>1.25</v>
      </c>
      <c r="K17" s="492">
        <f>IFERROR(__xludf.DUMMYFUNCTION("""COMPUTED_VALUE"""),1252.25)</f>
        <v>1252.25</v>
      </c>
      <c r="L17" s="492">
        <f>IFERROR(__xludf.DUMMYFUNCTION("""COMPUTED_VALUE"""),1725.75)</f>
        <v>1725.75</v>
      </c>
      <c r="M17" s="492">
        <f>IFERROR(__xludf.DUMMYFUNCTION("""COMPUTED_VALUE"""),9.75)</f>
        <v>9.75</v>
      </c>
      <c r="N17" s="492">
        <f>IFERROR(__xludf.DUMMYFUNCTION("""COMPUTED_VALUE"""),2.0)</f>
        <v>2</v>
      </c>
      <c r="O17" s="492">
        <f>IFERROR(__xludf.DUMMYFUNCTION("""COMPUTED_VALUE"""),0.0)</f>
        <v>0</v>
      </c>
      <c r="P17" s="492">
        <f>IFERROR(__xludf.DUMMYFUNCTION("""COMPUTED_VALUE"""),0.0)</f>
        <v>0</v>
      </c>
      <c r="Q17" s="492">
        <f>IFERROR(__xludf.DUMMYFUNCTION("""COMPUTED_VALUE"""),0.0)</f>
        <v>0</v>
      </c>
      <c r="R17" s="492">
        <f>IFERROR(__xludf.DUMMYFUNCTION("""COMPUTED_VALUE"""),0.0)</f>
        <v>0</v>
      </c>
      <c r="S17" s="492">
        <f>IFERROR(__xludf.DUMMYFUNCTION("""COMPUTED_VALUE"""),19.0)</f>
        <v>19</v>
      </c>
      <c r="T17" s="492">
        <f>IFERROR(__xludf.DUMMYFUNCTION("""COMPUTED_VALUE"""),3.25)</f>
        <v>3.25</v>
      </c>
      <c r="U17" s="492">
        <f>IFERROR(__xludf.DUMMYFUNCTION("""COMPUTED_VALUE"""),0.5)</f>
        <v>0.5</v>
      </c>
      <c r="V17" s="492">
        <f>IFERROR(__xludf.DUMMYFUNCTION("""COMPUTED_VALUE"""),0.0)</f>
        <v>0</v>
      </c>
      <c r="W17" s="492">
        <f>IFERROR(__xludf.DUMMYFUNCTION("""COMPUTED_VALUE"""),0.0)</f>
        <v>0</v>
      </c>
      <c r="X17" s="492">
        <f>IFERROR(__xludf.DUMMYFUNCTION("""COMPUTED_VALUE"""),0.0)</f>
        <v>0</v>
      </c>
      <c r="Y17" s="492">
        <f>IFERROR(__xludf.DUMMYFUNCTION("""COMPUTED_VALUE"""),0.0)</f>
        <v>0</v>
      </c>
      <c r="Z17" s="492">
        <f>IFERROR(__xludf.DUMMYFUNCTION("""COMPUTED_VALUE"""),0.0)</f>
        <v>0</v>
      </c>
      <c r="AA17" s="492">
        <f>IFERROR(__xludf.DUMMYFUNCTION("""COMPUTED_VALUE"""),0.0)</f>
        <v>0</v>
      </c>
      <c r="AB17" s="492">
        <f>IFERROR(__xludf.DUMMYFUNCTION("""COMPUTED_VALUE"""),0.0)</f>
        <v>0</v>
      </c>
      <c r="AC17" s="492">
        <f>IFERROR(__xludf.DUMMYFUNCTION("""COMPUTED_VALUE"""),9.5)</f>
        <v>9.5</v>
      </c>
      <c r="AD17" s="492">
        <f>IFERROR(__xludf.DUMMYFUNCTION("""COMPUTED_VALUE"""),0.0)</f>
        <v>0</v>
      </c>
      <c r="AE17" s="492">
        <f>IFERROR(__xludf.DUMMYFUNCTION("""COMPUTED_VALUE"""),1.75)</f>
        <v>1.75</v>
      </c>
      <c r="AF17" s="492"/>
      <c r="AG17" s="492"/>
      <c r="AH17" s="492"/>
      <c r="AI17" s="492"/>
      <c r="AJ17" s="492"/>
      <c r="AK17" s="492"/>
      <c r="AL17" s="492"/>
      <c r="AM17" s="492"/>
      <c r="AN17" s="492"/>
      <c r="AO17" s="492"/>
      <c r="AP17" s="492"/>
      <c r="AQ17" s="492"/>
      <c r="AR17" s="492"/>
      <c r="AS17" s="492"/>
      <c r="AT17" s="492"/>
      <c r="AU17" s="492"/>
      <c r="AV17" s="492"/>
      <c r="AW17" s="492"/>
      <c r="AX17" s="492"/>
    </row>
    <row r="18">
      <c r="A18" s="492" t="str">
        <f>IFERROR(__xludf.DUMMYFUNCTION("""COMPUTED_VALUE"""),"Hells Angel cx")</f>
        <v>Hells Angel cx</v>
      </c>
      <c r="B18" s="492">
        <f>IFERROR(__xludf.DUMMYFUNCTION("""COMPUTED_VALUE"""),0.75)</f>
        <v>0.75</v>
      </c>
      <c r="C18" s="492">
        <f>IFERROR(__xludf.DUMMYFUNCTION("""COMPUTED_VALUE"""),0.25)</f>
        <v>0.25</v>
      </c>
      <c r="D18" s="492">
        <f>IFERROR(__xludf.DUMMYFUNCTION("""COMPUTED_VALUE"""),2.25)</f>
        <v>2.25</v>
      </c>
      <c r="E18" s="492">
        <f>IFERROR(__xludf.DUMMYFUNCTION("""COMPUTED_VALUE"""),77.0)</f>
        <v>77</v>
      </c>
      <c r="F18" s="492">
        <f>IFERROR(__xludf.DUMMYFUNCTION("""COMPUTED_VALUE"""),4.75)</f>
        <v>4.75</v>
      </c>
      <c r="G18" s="492">
        <f>IFERROR(__xludf.DUMMYFUNCTION("""COMPUTED_VALUE"""),77.5)</f>
        <v>77.5</v>
      </c>
      <c r="H18" s="492">
        <f>IFERROR(__xludf.DUMMYFUNCTION("""COMPUTED_VALUE"""),-0.5)</f>
        <v>-0.5</v>
      </c>
      <c r="I18" s="492">
        <f>IFERROR(__xludf.DUMMYFUNCTION("""COMPUTED_VALUE"""),5.75)</f>
        <v>5.75</v>
      </c>
      <c r="J18" s="492">
        <f>IFERROR(__xludf.DUMMYFUNCTION("""COMPUTED_VALUE"""),3.75)</f>
        <v>3.75</v>
      </c>
      <c r="K18" s="492">
        <f>IFERROR(__xludf.DUMMYFUNCTION("""COMPUTED_VALUE"""),1231.75)</f>
        <v>1231.75</v>
      </c>
      <c r="L18" s="492">
        <f>IFERROR(__xludf.DUMMYFUNCTION("""COMPUTED_VALUE"""),1544.0)</f>
        <v>1544</v>
      </c>
      <c r="M18" s="492">
        <f>IFERROR(__xludf.DUMMYFUNCTION("""COMPUTED_VALUE"""),15.0)</f>
        <v>15</v>
      </c>
      <c r="N18" s="492">
        <f>IFERROR(__xludf.DUMMYFUNCTION("""COMPUTED_VALUE"""),0.5)</f>
        <v>0.5</v>
      </c>
      <c r="O18" s="492">
        <f>IFERROR(__xludf.DUMMYFUNCTION("""COMPUTED_VALUE"""),0.25)</f>
        <v>0.25</v>
      </c>
      <c r="P18" s="492">
        <f>IFERROR(__xludf.DUMMYFUNCTION("""COMPUTED_VALUE"""),0.0)</f>
        <v>0</v>
      </c>
      <c r="Q18" s="492">
        <f>IFERROR(__xludf.DUMMYFUNCTION("""COMPUTED_VALUE"""),0.0)</f>
        <v>0</v>
      </c>
      <c r="R18" s="492">
        <f>IFERROR(__xludf.DUMMYFUNCTION("""COMPUTED_VALUE"""),0.0)</f>
        <v>0</v>
      </c>
      <c r="S18" s="492">
        <f>IFERROR(__xludf.DUMMYFUNCTION("""COMPUTED_VALUE"""),9.75)</f>
        <v>9.75</v>
      </c>
      <c r="T18" s="492">
        <f>IFERROR(__xludf.DUMMYFUNCTION("""COMPUTED_VALUE"""),1.25)</f>
        <v>1.25</v>
      </c>
      <c r="U18" s="492">
        <f>IFERROR(__xludf.DUMMYFUNCTION("""COMPUTED_VALUE"""),0.0)</f>
        <v>0</v>
      </c>
      <c r="V18" s="492">
        <f>IFERROR(__xludf.DUMMYFUNCTION("""COMPUTED_VALUE"""),0.0)</f>
        <v>0</v>
      </c>
      <c r="W18" s="492">
        <f>IFERROR(__xludf.DUMMYFUNCTION("""COMPUTED_VALUE"""),0.0)</f>
        <v>0</v>
      </c>
      <c r="X18" s="492">
        <f>IFERROR(__xludf.DUMMYFUNCTION("""COMPUTED_VALUE"""),0.0)</f>
        <v>0</v>
      </c>
      <c r="Y18" s="492">
        <f>IFERROR(__xludf.DUMMYFUNCTION("""COMPUTED_VALUE"""),0.0)</f>
        <v>0</v>
      </c>
      <c r="Z18" s="492">
        <f>IFERROR(__xludf.DUMMYFUNCTION("""COMPUTED_VALUE"""),0.0)</f>
        <v>0</v>
      </c>
      <c r="AA18" s="492">
        <f>IFERROR(__xludf.DUMMYFUNCTION("""COMPUTED_VALUE"""),0.0)</f>
        <v>0</v>
      </c>
      <c r="AB18" s="492">
        <f>IFERROR(__xludf.DUMMYFUNCTION("""COMPUTED_VALUE"""),0.0)</f>
        <v>0</v>
      </c>
      <c r="AC18" s="492">
        <f>IFERROR(__xludf.DUMMYFUNCTION("""COMPUTED_VALUE"""),1.75)</f>
        <v>1.75</v>
      </c>
      <c r="AD18" s="492">
        <f>IFERROR(__xludf.DUMMYFUNCTION("""COMPUTED_VALUE"""),0.0)</f>
        <v>0</v>
      </c>
      <c r="AE18" s="492">
        <f>IFERROR(__xludf.DUMMYFUNCTION("""COMPUTED_VALUE"""),0.0)</f>
        <v>0</v>
      </c>
      <c r="AF18" s="492"/>
      <c r="AG18" s="492"/>
      <c r="AH18" s="492"/>
      <c r="AI18" s="492"/>
      <c r="AJ18" s="492"/>
      <c r="AK18" s="492"/>
      <c r="AL18" s="492"/>
      <c r="AM18" s="492"/>
      <c r="AN18" s="492"/>
      <c r="AO18" s="492"/>
      <c r="AP18" s="492"/>
      <c r="AQ18" s="492"/>
      <c r="AR18" s="492"/>
      <c r="AS18" s="492"/>
      <c r="AT18" s="492"/>
      <c r="AU18" s="492"/>
      <c r="AV18" s="492"/>
      <c r="AW18" s="492"/>
      <c r="AX18" s="492"/>
    </row>
    <row r="19">
      <c r="A19" s="492" t="str">
        <f>IFERROR(__xludf.DUMMYFUNCTION("""COMPUTED_VALUE"""),"HumanKite187")</f>
        <v>HumanKite187</v>
      </c>
      <c r="B19" s="492">
        <f>IFERROR(__xludf.DUMMYFUNCTION("""COMPUTED_VALUE"""),0.0)</f>
        <v>0</v>
      </c>
      <c r="C19" s="492">
        <f>IFERROR(__xludf.DUMMYFUNCTION("""COMPUTED_VALUE"""),1.0)</f>
        <v>1</v>
      </c>
      <c r="D19" s="492">
        <f>IFERROR(__xludf.DUMMYFUNCTION("""COMPUTED_VALUE"""),1.0)</f>
        <v>1</v>
      </c>
      <c r="E19" s="492">
        <f>IFERROR(__xludf.DUMMYFUNCTION("""COMPUTED_VALUE"""),67.0)</f>
        <v>67</v>
      </c>
      <c r="F19" s="492">
        <f>IFERROR(__xludf.DUMMYFUNCTION("""COMPUTED_VALUE"""),6.0)</f>
        <v>6</v>
      </c>
      <c r="G19" s="492">
        <f>IFERROR(__xludf.DUMMYFUNCTION("""COMPUTED_VALUE"""),68.0)</f>
        <v>68</v>
      </c>
      <c r="H19" s="492">
        <f>IFERROR(__xludf.DUMMYFUNCTION("""COMPUTED_VALUE"""),-1.0)</f>
        <v>-1</v>
      </c>
      <c r="I19" s="492">
        <f>IFERROR(__xludf.DUMMYFUNCTION("""COMPUTED_VALUE"""),7.0)</f>
        <v>7</v>
      </c>
      <c r="J19" s="492">
        <f>IFERROR(__xludf.DUMMYFUNCTION("""COMPUTED_VALUE"""),0.0)</f>
        <v>0</v>
      </c>
      <c r="K19" s="492">
        <f>IFERROR(__xludf.DUMMYFUNCTION("""COMPUTED_VALUE"""),1137.0)</f>
        <v>1137</v>
      </c>
      <c r="L19" s="492">
        <f>IFERROR(__xludf.DUMMYFUNCTION("""COMPUTED_VALUE"""),1416.0)</f>
        <v>1416</v>
      </c>
      <c r="M19" s="492">
        <f>IFERROR(__xludf.DUMMYFUNCTION("""COMPUTED_VALUE"""),16.0)</f>
        <v>16</v>
      </c>
      <c r="N19" s="492">
        <f>IFERROR(__xludf.DUMMYFUNCTION("""COMPUTED_VALUE"""),2.0)</f>
        <v>2</v>
      </c>
      <c r="O19" s="492">
        <f>IFERROR(__xludf.DUMMYFUNCTION("""COMPUTED_VALUE"""),0.0)</f>
        <v>0</v>
      </c>
      <c r="P19" s="492">
        <f>IFERROR(__xludf.DUMMYFUNCTION("""COMPUTED_VALUE"""),0.0)</f>
        <v>0</v>
      </c>
      <c r="Q19" s="492">
        <f>IFERROR(__xludf.DUMMYFUNCTION("""COMPUTED_VALUE"""),0.0)</f>
        <v>0</v>
      </c>
      <c r="R19" s="492">
        <f>IFERROR(__xludf.DUMMYFUNCTION("""COMPUTED_VALUE"""),0.0)</f>
        <v>0</v>
      </c>
      <c r="S19" s="492">
        <f>IFERROR(__xludf.DUMMYFUNCTION("""COMPUTED_VALUE"""),11.0)</f>
        <v>11</v>
      </c>
      <c r="T19" s="492">
        <f>IFERROR(__xludf.DUMMYFUNCTION("""COMPUTED_VALUE"""),2.0)</f>
        <v>2</v>
      </c>
      <c r="U19" s="492">
        <f>IFERROR(__xludf.DUMMYFUNCTION("""COMPUTED_VALUE"""),0.0)</f>
        <v>0</v>
      </c>
      <c r="V19" s="492">
        <f>IFERROR(__xludf.DUMMYFUNCTION("""COMPUTED_VALUE"""),0.0)</f>
        <v>0</v>
      </c>
      <c r="W19" s="492">
        <f>IFERROR(__xludf.DUMMYFUNCTION("""COMPUTED_VALUE"""),0.0)</f>
        <v>0</v>
      </c>
      <c r="X19" s="492">
        <f>IFERROR(__xludf.DUMMYFUNCTION("""COMPUTED_VALUE"""),0.0)</f>
        <v>0</v>
      </c>
      <c r="Y19" s="492">
        <f>IFERROR(__xludf.DUMMYFUNCTION("""COMPUTED_VALUE"""),0.0)</f>
        <v>0</v>
      </c>
      <c r="Z19" s="492">
        <f>IFERROR(__xludf.DUMMYFUNCTION("""COMPUTED_VALUE"""),0.0)</f>
        <v>0</v>
      </c>
      <c r="AA19" s="492">
        <f>IFERROR(__xludf.DUMMYFUNCTION("""COMPUTED_VALUE"""),0.0)</f>
        <v>0</v>
      </c>
      <c r="AB19" s="492">
        <f>IFERROR(__xludf.DUMMYFUNCTION("""COMPUTED_VALUE"""),0.0)</f>
        <v>0</v>
      </c>
      <c r="AC19" s="492">
        <f>IFERROR(__xludf.DUMMYFUNCTION("""COMPUTED_VALUE"""),4.0)</f>
        <v>4</v>
      </c>
      <c r="AD19" s="492">
        <f>IFERROR(__xludf.DUMMYFUNCTION("""COMPUTED_VALUE"""),0.0)</f>
        <v>0</v>
      </c>
      <c r="AE19" s="492">
        <f>IFERROR(__xludf.DUMMYFUNCTION("""COMPUTED_VALUE"""),1.0)</f>
        <v>1</v>
      </c>
      <c r="AF19" s="492"/>
      <c r="AG19" s="492"/>
      <c r="AH19" s="492"/>
      <c r="AI19" s="492"/>
      <c r="AJ19" s="492"/>
      <c r="AK19" s="492"/>
      <c r="AL19" s="492"/>
      <c r="AM19" s="492"/>
      <c r="AN19" s="492"/>
      <c r="AO19" s="492"/>
      <c r="AP19" s="492"/>
      <c r="AQ19" s="492"/>
      <c r="AR19" s="492"/>
      <c r="AS19" s="492"/>
      <c r="AT19" s="492"/>
      <c r="AU19" s="492"/>
      <c r="AV19" s="492"/>
      <c r="AW19" s="492"/>
      <c r="AX19" s="492"/>
    </row>
    <row r="20">
      <c r="A20" s="492" t="str">
        <f>IFERROR(__xludf.DUMMYFUNCTION("""COMPUTED_VALUE"""),"Impuritive")</f>
        <v>Impuritive</v>
      </c>
      <c r="B20" s="492">
        <f>IFERROR(__xludf.DUMMYFUNCTION("""COMPUTED_VALUE"""),0.6666666666666666)</f>
        <v>0.6666666667</v>
      </c>
      <c r="C20" s="492">
        <f>IFERROR(__xludf.DUMMYFUNCTION("""COMPUTED_VALUE"""),0.3333333333333333)</f>
        <v>0.3333333333</v>
      </c>
      <c r="D20" s="492">
        <f>IFERROR(__xludf.DUMMYFUNCTION("""COMPUTED_VALUE"""),2.6666666666666665)</f>
        <v>2.666666667</v>
      </c>
      <c r="E20" s="492">
        <f>IFERROR(__xludf.DUMMYFUNCTION("""COMPUTED_VALUE"""),49.666666666666664)</f>
        <v>49.66666667</v>
      </c>
      <c r="F20" s="492">
        <f>IFERROR(__xludf.DUMMYFUNCTION("""COMPUTED_VALUE"""),1.6666666666666667)</f>
        <v>1.666666667</v>
      </c>
      <c r="G20" s="492">
        <f>IFERROR(__xludf.DUMMYFUNCTION("""COMPUTED_VALUE"""),49.333333333333336)</f>
        <v>49.33333333</v>
      </c>
      <c r="H20" s="492">
        <f>IFERROR(__xludf.DUMMYFUNCTION("""COMPUTED_VALUE"""),0.3333333333333333)</f>
        <v>0.3333333333</v>
      </c>
      <c r="I20" s="492">
        <f>IFERROR(__xludf.DUMMYFUNCTION("""COMPUTED_VALUE"""),5.0)</f>
        <v>5</v>
      </c>
      <c r="J20" s="492">
        <f>IFERROR(__xludf.DUMMYFUNCTION("""COMPUTED_VALUE"""),1.3333333333333333)</f>
        <v>1.333333333</v>
      </c>
      <c r="K20" s="492">
        <f>IFERROR(__xludf.DUMMYFUNCTION("""COMPUTED_VALUE"""),820.3333333333334)</f>
        <v>820.3333333</v>
      </c>
      <c r="L20" s="492">
        <f>IFERROR(__xludf.DUMMYFUNCTION("""COMPUTED_VALUE"""),1053.3333333333333)</f>
        <v>1053.333333</v>
      </c>
      <c r="M20" s="492">
        <f>IFERROR(__xludf.DUMMYFUNCTION("""COMPUTED_VALUE"""),17.0)</f>
        <v>17</v>
      </c>
      <c r="N20" s="492">
        <f>IFERROR(__xludf.DUMMYFUNCTION("""COMPUTED_VALUE"""),1.6666666666666667)</f>
        <v>1.666666667</v>
      </c>
      <c r="O20" s="492">
        <f>IFERROR(__xludf.DUMMYFUNCTION("""COMPUTED_VALUE"""),0.0)</f>
        <v>0</v>
      </c>
      <c r="P20" s="492">
        <f>IFERROR(__xludf.DUMMYFUNCTION("""COMPUTED_VALUE"""),0.0)</f>
        <v>0</v>
      </c>
      <c r="Q20" s="492">
        <f>IFERROR(__xludf.DUMMYFUNCTION("""COMPUTED_VALUE"""),0.0)</f>
        <v>0</v>
      </c>
      <c r="R20" s="492">
        <f>IFERROR(__xludf.DUMMYFUNCTION("""COMPUTED_VALUE"""),0.0)</f>
        <v>0</v>
      </c>
      <c r="S20" s="492">
        <f>IFERROR(__xludf.DUMMYFUNCTION("""COMPUTED_VALUE"""),6.333333333333333)</f>
        <v>6.333333333</v>
      </c>
      <c r="T20" s="492">
        <f>IFERROR(__xludf.DUMMYFUNCTION("""COMPUTED_VALUE"""),1.3333333333333333)</f>
        <v>1.333333333</v>
      </c>
      <c r="U20" s="492">
        <f>IFERROR(__xludf.DUMMYFUNCTION("""COMPUTED_VALUE"""),0.0)</f>
        <v>0</v>
      </c>
      <c r="V20" s="492">
        <f>IFERROR(__xludf.DUMMYFUNCTION("""COMPUTED_VALUE"""),0.0)</f>
        <v>0</v>
      </c>
      <c r="W20" s="492">
        <f>IFERROR(__xludf.DUMMYFUNCTION("""COMPUTED_VALUE"""),0.0)</f>
        <v>0</v>
      </c>
      <c r="X20" s="492">
        <f>IFERROR(__xludf.DUMMYFUNCTION("""COMPUTED_VALUE"""),0.0)</f>
        <v>0</v>
      </c>
      <c r="Y20" s="492">
        <f>IFERROR(__xludf.DUMMYFUNCTION("""COMPUTED_VALUE"""),0.0)</f>
        <v>0</v>
      </c>
      <c r="Z20" s="492">
        <f>IFERROR(__xludf.DUMMYFUNCTION("""COMPUTED_VALUE"""),0.0)</f>
        <v>0</v>
      </c>
      <c r="AA20" s="492">
        <f>IFERROR(__xludf.DUMMYFUNCTION("""COMPUTED_VALUE"""),0.0)</f>
        <v>0</v>
      </c>
      <c r="AB20" s="492">
        <f>IFERROR(__xludf.DUMMYFUNCTION("""COMPUTED_VALUE"""),0.0)</f>
        <v>0</v>
      </c>
      <c r="AC20" s="492">
        <f>IFERROR(__xludf.DUMMYFUNCTION("""COMPUTED_VALUE"""),0.3333333333333333)</f>
        <v>0.3333333333</v>
      </c>
      <c r="AD20" s="492">
        <f>IFERROR(__xludf.DUMMYFUNCTION("""COMPUTED_VALUE"""),0.0)</f>
        <v>0</v>
      </c>
      <c r="AE20" s="492">
        <f>IFERROR(__xludf.DUMMYFUNCTION("""COMPUTED_VALUE"""),0.3333333333333333)</f>
        <v>0.3333333333</v>
      </c>
      <c r="AF20" s="492"/>
      <c r="AG20" s="492"/>
      <c r="AH20" s="492"/>
      <c r="AI20" s="492"/>
      <c r="AJ20" s="492"/>
      <c r="AK20" s="492"/>
      <c r="AL20" s="492"/>
      <c r="AM20" s="492"/>
      <c r="AN20" s="492"/>
      <c r="AO20" s="492"/>
      <c r="AP20" s="492"/>
      <c r="AQ20" s="492"/>
      <c r="AR20" s="492"/>
      <c r="AS20" s="492"/>
      <c r="AT20" s="492"/>
      <c r="AU20" s="492"/>
      <c r="AV20" s="492"/>
      <c r="AW20" s="492"/>
      <c r="AX20" s="492"/>
    </row>
    <row r="21">
      <c r="A21" s="492" t="str">
        <f>IFERROR(__xludf.DUMMYFUNCTION("""COMPUTED_VALUE"""),"InfiniteRainge")</f>
        <v>InfiniteRainge</v>
      </c>
      <c r="B21" s="492">
        <f>IFERROR(__xludf.DUMMYFUNCTION("""COMPUTED_VALUE"""),0.0)</f>
        <v>0</v>
      </c>
      <c r="C21" s="492">
        <f>IFERROR(__xludf.DUMMYFUNCTION("""COMPUTED_VALUE"""),1.0)</f>
        <v>1</v>
      </c>
      <c r="D21" s="492">
        <f>IFERROR(__xludf.DUMMYFUNCTION("""COMPUTED_VALUE"""),1.0)</f>
        <v>1</v>
      </c>
      <c r="E21" s="492">
        <f>IFERROR(__xludf.DUMMYFUNCTION("""COMPUTED_VALUE"""),43.0)</f>
        <v>43</v>
      </c>
      <c r="F21" s="492">
        <f>IFERROR(__xludf.DUMMYFUNCTION("""COMPUTED_VALUE"""),4.0)</f>
        <v>4</v>
      </c>
      <c r="G21" s="492">
        <f>IFERROR(__xludf.DUMMYFUNCTION("""COMPUTED_VALUE"""),41.0)</f>
        <v>41</v>
      </c>
      <c r="H21" s="492">
        <f>IFERROR(__xludf.DUMMYFUNCTION("""COMPUTED_VALUE"""),2.0)</f>
        <v>2</v>
      </c>
      <c r="I21" s="492">
        <f>IFERROR(__xludf.DUMMYFUNCTION("""COMPUTED_VALUE"""),6.0)</f>
        <v>6</v>
      </c>
      <c r="J21" s="492">
        <f>IFERROR(__xludf.DUMMYFUNCTION("""COMPUTED_VALUE"""),2.0)</f>
        <v>2</v>
      </c>
      <c r="K21" s="492">
        <f>IFERROR(__xludf.DUMMYFUNCTION("""COMPUTED_VALUE"""),618.0)</f>
        <v>618</v>
      </c>
      <c r="L21" s="492">
        <f>IFERROR(__xludf.DUMMYFUNCTION("""COMPUTED_VALUE"""),822.0)</f>
        <v>822</v>
      </c>
      <c r="M21" s="492">
        <f>IFERROR(__xludf.DUMMYFUNCTION("""COMPUTED_VALUE"""),15.0)</f>
        <v>15</v>
      </c>
      <c r="N21" s="492">
        <f>IFERROR(__xludf.DUMMYFUNCTION("""COMPUTED_VALUE"""),2.0)</f>
        <v>2</v>
      </c>
      <c r="O21" s="492">
        <f>IFERROR(__xludf.DUMMYFUNCTION("""COMPUTED_VALUE"""),0.0)</f>
        <v>0</v>
      </c>
      <c r="P21" s="492">
        <f>IFERROR(__xludf.DUMMYFUNCTION("""COMPUTED_VALUE"""),0.0)</f>
        <v>0</v>
      </c>
      <c r="Q21" s="492">
        <f>IFERROR(__xludf.DUMMYFUNCTION("""COMPUTED_VALUE"""),0.0)</f>
        <v>0</v>
      </c>
      <c r="R21" s="492">
        <f>IFERROR(__xludf.DUMMYFUNCTION("""COMPUTED_VALUE"""),0.0)</f>
        <v>0</v>
      </c>
      <c r="S21" s="492">
        <f>IFERROR(__xludf.DUMMYFUNCTION("""COMPUTED_VALUE"""),7.0)</f>
        <v>7</v>
      </c>
      <c r="T21" s="492">
        <f>IFERROR(__xludf.DUMMYFUNCTION("""COMPUTED_VALUE"""),1.0)</f>
        <v>1</v>
      </c>
      <c r="U21" s="492">
        <f>IFERROR(__xludf.DUMMYFUNCTION("""COMPUTED_VALUE"""),0.0)</f>
        <v>0</v>
      </c>
      <c r="V21" s="492">
        <f>IFERROR(__xludf.DUMMYFUNCTION("""COMPUTED_VALUE"""),0.0)</f>
        <v>0</v>
      </c>
      <c r="W21" s="492">
        <f>IFERROR(__xludf.DUMMYFUNCTION("""COMPUTED_VALUE"""),0.0)</f>
        <v>0</v>
      </c>
      <c r="X21" s="492">
        <f>IFERROR(__xludf.DUMMYFUNCTION("""COMPUTED_VALUE"""),0.0)</f>
        <v>0</v>
      </c>
      <c r="Y21" s="492">
        <f>IFERROR(__xludf.DUMMYFUNCTION("""COMPUTED_VALUE"""),0.0)</f>
        <v>0</v>
      </c>
      <c r="Z21" s="492">
        <f>IFERROR(__xludf.DUMMYFUNCTION("""COMPUTED_VALUE"""),0.0)</f>
        <v>0</v>
      </c>
      <c r="AA21" s="492">
        <f>IFERROR(__xludf.DUMMYFUNCTION("""COMPUTED_VALUE"""),0.0)</f>
        <v>0</v>
      </c>
      <c r="AB21" s="492">
        <f>IFERROR(__xludf.DUMMYFUNCTION("""COMPUTED_VALUE"""),0.0)</f>
        <v>0</v>
      </c>
      <c r="AC21" s="492">
        <f>IFERROR(__xludf.DUMMYFUNCTION("""COMPUTED_VALUE"""),1.0)</f>
        <v>1</v>
      </c>
      <c r="AD21" s="492">
        <f>IFERROR(__xludf.DUMMYFUNCTION("""COMPUTED_VALUE"""),0.0)</f>
        <v>0</v>
      </c>
      <c r="AE21" s="492">
        <f>IFERROR(__xludf.DUMMYFUNCTION("""COMPUTED_VALUE"""),1.0)</f>
        <v>1</v>
      </c>
      <c r="AF21" s="492"/>
      <c r="AG21" s="492"/>
      <c r="AH21" s="492"/>
      <c r="AI21" s="492"/>
      <c r="AJ21" s="492"/>
      <c r="AK21" s="492"/>
      <c r="AL21" s="492"/>
      <c r="AM21" s="492"/>
      <c r="AN21" s="492"/>
      <c r="AO21" s="492"/>
      <c r="AP21" s="492"/>
      <c r="AQ21" s="492"/>
      <c r="AR21" s="492"/>
      <c r="AS21" s="492"/>
      <c r="AT21" s="492"/>
      <c r="AU21" s="492"/>
      <c r="AV21" s="492"/>
      <c r="AW21" s="492"/>
      <c r="AX21" s="492"/>
    </row>
    <row r="22">
      <c r="A22" s="492" t="str">
        <f>IFERROR(__xludf.DUMMYFUNCTION("""COMPUTED_VALUE"""),"Into Sublime")</f>
        <v>Into Sublime</v>
      </c>
      <c r="B22" s="492">
        <f>IFERROR(__xludf.DUMMYFUNCTION("""COMPUTED_VALUE"""),0.5)</f>
        <v>0.5</v>
      </c>
      <c r="C22" s="492">
        <f>IFERROR(__xludf.DUMMYFUNCTION("""COMPUTED_VALUE"""),0.5)</f>
        <v>0.5</v>
      </c>
      <c r="D22" s="492">
        <f>IFERROR(__xludf.DUMMYFUNCTION("""COMPUTED_VALUE"""),2.0)</f>
        <v>2</v>
      </c>
      <c r="E22" s="492">
        <f>IFERROR(__xludf.DUMMYFUNCTION("""COMPUTED_VALUE"""),14.0)</f>
        <v>14</v>
      </c>
      <c r="F22" s="492">
        <f>IFERROR(__xludf.DUMMYFUNCTION("""COMPUTED_VALUE"""),0.5)</f>
        <v>0.5</v>
      </c>
      <c r="G22" s="492">
        <f>IFERROR(__xludf.DUMMYFUNCTION("""COMPUTED_VALUE"""),25.5)</f>
        <v>25.5</v>
      </c>
      <c r="H22" s="492">
        <f>IFERROR(__xludf.DUMMYFUNCTION("""COMPUTED_VALUE"""),-11.5)</f>
        <v>-11.5</v>
      </c>
      <c r="I22" s="492">
        <f>IFERROR(__xludf.DUMMYFUNCTION("""COMPUTED_VALUE"""),2.5)</f>
        <v>2.5</v>
      </c>
      <c r="J22" s="492">
        <f>IFERROR(__xludf.DUMMYFUNCTION("""COMPUTED_VALUE"""),0.5)</f>
        <v>0.5</v>
      </c>
      <c r="K22" s="492">
        <f>IFERROR(__xludf.DUMMYFUNCTION("""COMPUTED_VALUE"""),427.0)</f>
        <v>427</v>
      </c>
      <c r="L22" s="492">
        <f>IFERROR(__xludf.DUMMYFUNCTION("""COMPUTED_VALUE"""),572.0)</f>
        <v>572</v>
      </c>
      <c r="M22" s="492">
        <f>IFERROR(__xludf.DUMMYFUNCTION("""COMPUTED_VALUE"""),15.0)</f>
        <v>15</v>
      </c>
      <c r="N22" s="492">
        <f>IFERROR(__xludf.DUMMYFUNCTION("""COMPUTED_VALUE"""),0.0)</f>
        <v>0</v>
      </c>
      <c r="O22" s="492">
        <f>IFERROR(__xludf.DUMMYFUNCTION("""COMPUTED_VALUE"""),0.0)</f>
        <v>0</v>
      </c>
      <c r="P22" s="492">
        <f>IFERROR(__xludf.DUMMYFUNCTION("""COMPUTED_VALUE"""),0.0)</f>
        <v>0</v>
      </c>
      <c r="Q22" s="492">
        <f>IFERROR(__xludf.DUMMYFUNCTION("""COMPUTED_VALUE"""),0.0)</f>
        <v>0</v>
      </c>
      <c r="R22" s="492">
        <f>IFERROR(__xludf.DUMMYFUNCTION("""COMPUTED_VALUE"""),0.0)</f>
        <v>0</v>
      </c>
      <c r="S22" s="492">
        <f>IFERROR(__xludf.DUMMYFUNCTION("""COMPUTED_VALUE"""),2.0)</f>
        <v>2</v>
      </c>
      <c r="T22" s="492">
        <f>IFERROR(__xludf.DUMMYFUNCTION("""COMPUTED_VALUE"""),0.0)</f>
        <v>0</v>
      </c>
      <c r="U22" s="492">
        <f>IFERROR(__xludf.DUMMYFUNCTION("""COMPUTED_VALUE"""),0.0)</f>
        <v>0</v>
      </c>
      <c r="V22" s="492">
        <f>IFERROR(__xludf.DUMMYFUNCTION("""COMPUTED_VALUE"""),0.0)</f>
        <v>0</v>
      </c>
      <c r="W22" s="492">
        <f>IFERROR(__xludf.DUMMYFUNCTION("""COMPUTED_VALUE"""),0.0)</f>
        <v>0</v>
      </c>
      <c r="X22" s="492">
        <f>IFERROR(__xludf.DUMMYFUNCTION("""COMPUTED_VALUE"""),0.0)</f>
        <v>0</v>
      </c>
      <c r="Y22" s="492">
        <f>IFERROR(__xludf.DUMMYFUNCTION("""COMPUTED_VALUE"""),0.0)</f>
        <v>0</v>
      </c>
      <c r="Z22" s="492">
        <f>IFERROR(__xludf.DUMMYFUNCTION("""COMPUTED_VALUE"""),0.0)</f>
        <v>0</v>
      </c>
      <c r="AA22" s="492">
        <f>IFERROR(__xludf.DUMMYFUNCTION("""COMPUTED_VALUE"""),0.0)</f>
        <v>0</v>
      </c>
      <c r="AB22" s="492">
        <f>IFERROR(__xludf.DUMMYFUNCTION("""COMPUTED_VALUE"""),0.0)</f>
        <v>0</v>
      </c>
      <c r="AC22" s="492">
        <f>IFERROR(__xludf.DUMMYFUNCTION("""COMPUTED_VALUE"""),0.0)</f>
        <v>0</v>
      </c>
      <c r="AD22" s="492">
        <f>IFERROR(__xludf.DUMMYFUNCTION("""COMPUTED_VALUE"""),0.0)</f>
        <v>0</v>
      </c>
      <c r="AE22" s="492">
        <f>IFERROR(__xludf.DUMMYFUNCTION("""COMPUTED_VALUE"""),0.0)</f>
        <v>0</v>
      </c>
      <c r="AF22" s="492"/>
      <c r="AG22" s="492"/>
      <c r="AH22" s="492"/>
      <c r="AI22" s="492"/>
      <c r="AJ22" s="492"/>
      <c r="AK22" s="492"/>
      <c r="AL22" s="492"/>
      <c r="AM22" s="492"/>
      <c r="AN22" s="492"/>
      <c r="AO22" s="492"/>
      <c r="AP22" s="492"/>
      <c r="AQ22" s="492"/>
      <c r="AR22" s="492"/>
      <c r="AS22" s="492"/>
      <c r="AT22" s="492"/>
      <c r="AU22" s="492"/>
      <c r="AV22" s="492"/>
      <c r="AW22" s="492"/>
      <c r="AX22" s="492"/>
    </row>
    <row r="23">
      <c r="A23" s="492" t="str">
        <f>IFERROR(__xludf.DUMMYFUNCTION("""COMPUTED_VALUE"""),"Itzreelz")</f>
        <v>Itzreelz</v>
      </c>
      <c r="B23" s="492">
        <f>IFERROR(__xludf.DUMMYFUNCTION("""COMPUTED_VALUE"""),0.6666666666666666)</f>
        <v>0.6666666667</v>
      </c>
      <c r="C23" s="492">
        <f>IFERROR(__xludf.DUMMYFUNCTION("""COMPUTED_VALUE"""),0.3333333333333333)</f>
        <v>0.3333333333</v>
      </c>
      <c r="D23" s="492">
        <f>IFERROR(__xludf.DUMMYFUNCTION("""COMPUTED_VALUE"""),1.0)</f>
        <v>1</v>
      </c>
      <c r="E23" s="492">
        <f>IFERROR(__xludf.DUMMYFUNCTION("""COMPUTED_VALUE"""),61.666666666666664)</f>
        <v>61.66666667</v>
      </c>
      <c r="F23" s="492">
        <f>IFERROR(__xludf.DUMMYFUNCTION("""COMPUTED_VALUE"""),5.666666666666667)</f>
        <v>5.666666667</v>
      </c>
      <c r="G23" s="492">
        <f>IFERROR(__xludf.DUMMYFUNCTION("""COMPUTED_VALUE"""),57.333333333333336)</f>
        <v>57.33333333</v>
      </c>
      <c r="H23" s="492">
        <f>IFERROR(__xludf.DUMMYFUNCTION("""COMPUTED_VALUE"""),4.333333333333333)</f>
        <v>4.333333333</v>
      </c>
      <c r="I23" s="492">
        <f>IFERROR(__xludf.DUMMYFUNCTION("""COMPUTED_VALUE"""),4.333333333333333)</f>
        <v>4.333333333</v>
      </c>
      <c r="J23" s="492">
        <f>IFERROR(__xludf.DUMMYFUNCTION("""COMPUTED_VALUE"""),1.3333333333333333)</f>
        <v>1.333333333</v>
      </c>
      <c r="K23" s="492">
        <f>IFERROR(__xludf.DUMMYFUNCTION("""COMPUTED_VALUE"""),796.3333333333334)</f>
        <v>796.3333333</v>
      </c>
      <c r="L23" s="492">
        <f>IFERROR(__xludf.DUMMYFUNCTION("""COMPUTED_VALUE"""),1053.3333333333333)</f>
        <v>1053.333333</v>
      </c>
      <c r="M23" s="492">
        <f>IFERROR(__xludf.DUMMYFUNCTION("""COMPUTED_VALUE"""),13.333333333333334)</f>
        <v>13.33333333</v>
      </c>
      <c r="N23" s="492">
        <f>IFERROR(__xludf.DUMMYFUNCTION("""COMPUTED_VALUE"""),0.6666666666666666)</f>
        <v>0.6666666667</v>
      </c>
      <c r="O23" s="492">
        <f>IFERROR(__xludf.DUMMYFUNCTION("""COMPUTED_VALUE"""),0.0)</f>
        <v>0</v>
      </c>
      <c r="P23" s="492">
        <f>IFERROR(__xludf.DUMMYFUNCTION("""COMPUTED_VALUE"""),0.0)</f>
        <v>0</v>
      </c>
      <c r="Q23" s="492">
        <f>IFERROR(__xludf.DUMMYFUNCTION("""COMPUTED_VALUE"""),0.0)</f>
        <v>0</v>
      </c>
      <c r="R23" s="492">
        <f>IFERROR(__xludf.DUMMYFUNCTION("""COMPUTED_VALUE"""),0.0)</f>
        <v>0</v>
      </c>
      <c r="S23" s="492">
        <f>IFERROR(__xludf.DUMMYFUNCTION("""COMPUTED_VALUE"""),9.0)</f>
        <v>9</v>
      </c>
      <c r="T23" s="492">
        <f>IFERROR(__xludf.DUMMYFUNCTION("""COMPUTED_VALUE"""),3.0)</f>
        <v>3</v>
      </c>
      <c r="U23" s="492">
        <f>IFERROR(__xludf.DUMMYFUNCTION("""COMPUTED_VALUE"""),0.6666666666666666)</f>
        <v>0.6666666667</v>
      </c>
      <c r="V23" s="492">
        <f>IFERROR(__xludf.DUMMYFUNCTION("""COMPUTED_VALUE"""),0.3333333333333333)</f>
        <v>0.3333333333</v>
      </c>
      <c r="W23" s="492">
        <f>IFERROR(__xludf.DUMMYFUNCTION("""COMPUTED_VALUE"""),0.0)</f>
        <v>0</v>
      </c>
      <c r="X23" s="492">
        <f>IFERROR(__xludf.DUMMYFUNCTION("""COMPUTED_VALUE"""),0.0)</f>
        <v>0</v>
      </c>
      <c r="Y23" s="492">
        <f>IFERROR(__xludf.DUMMYFUNCTION("""COMPUTED_VALUE"""),0.0)</f>
        <v>0</v>
      </c>
      <c r="Z23" s="492">
        <f>IFERROR(__xludf.DUMMYFUNCTION("""COMPUTED_VALUE"""),0.0)</f>
        <v>0</v>
      </c>
      <c r="AA23" s="492">
        <f>IFERROR(__xludf.DUMMYFUNCTION("""COMPUTED_VALUE"""),0.0)</f>
        <v>0</v>
      </c>
      <c r="AB23" s="492">
        <f>IFERROR(__xludf.DUMMYFUNCTION("""COMPUTED_VALUE"""),0.0)</f>
        <v>0</v>
      </c>
      <c r="AC23" s="492">
        <f>IFERROR(__xludf.DUMMYFUNCTION("""COMPUTED_VALUE"""),2.6666666666666665)</f>
        <v>2.666666667</v>
      </c>
      <c r="AD23" s="492">
        <f>IFERROR(__xludf.DUMMYFUNCTION("""COMPUTED_VALUE"""),0.0)</f>
        <v>0</v>
      </c>
      <c r="AE23" s="492">
        <f>IFERROR(__xludf.DUMMYFUNCTION("""COMPUTED_VALUE"""),0.3333333333333333)</f>
        <v>0.3333333333</v>
      </c>
      <c r="AF23" s="492"/>
      <c r="AG23" s="492"/>
      <c r="AH23" s="492"/>
      <c r="AI23" s="492"/>
      <c r="AJ23" s="492"/>
      <c r="AK23" s="492"/>
      <c r="AL23" s="492"/>
      <c r="AM23" s="492"/>
      <c r="AN23" s="492"/>
      <c r="AO23" s="492"/>
      <c r="AP23" s="492"/>
      <c r="AQ23" s="492"/>
      <c r="AR23" s="492"/>
      <c r="AS23" s="492"/>
      <c r="AT23" s="492"/>
      <c r="AU23" s="492"/>
      <c r="AV23" s="492"/>
      <c r="AW23" s="492"/>
      <c r="AX23" s="492"/>
    </row>
    <row r="24">
      <c r="A24" s="492" t="str">
        <f>IFERROR(__xludf.DUMMYFUNCTION("""COMPUTED_VALUE"""),"Judasey")</f>
        <v>Judasey</v>
      </c>
      <c r="B24" s="492">
        <f>IFERROR(__xludf.DUMMYFUNCTION("""COMPUTED_VALUE"""),1.0)</f>
        <v>1</v>
      </c>
      <c r="C24" s="492">
        <f>IFERROR(__xludf.DUMMYFUNCTION("""COMPUTED_VALUE"""),0.0)</f>
        <v>0</v>
      </c>
      <c r="D24" s="492">
        <f>IFERROR(__xludf.DUMMYFUNCTION("""COMPUTED_VALUE"""),1.0)</f>
        <v>1</v>
      </c>
      <c r="E24" s="492">
        <f>IFERROR(__xludf.DUMMYFUNCTION("""COMPUTED_VALUE"""),61.75)</f>
        <v>61.75</v>
      </c>
      <c r="F24" s="492">
        <f>IFERROR(__xludf.DUMMYFUNCTION("""COMPUTED_VALUE"""),5.75)</f>
        <v>5.75</v>
      </c>
      <c r="G24" s="492">
        <f>IFERROR(__xludf.DUMMYFUNCTION("""COMPUTED_VALUE"""),49.0)</f>
        <v>49</v>
      </c>
      <c r="H24" s="492">
        <f>IFERROR(__xludf.DUMMYFUNCTION("""COMPUTED_VALUE"""),12.75)</f>
        <v>12.75</v>
      </c>
      <c r="I24" s="492">
        <f>IFERROR(__xludf.DUMMYFUNCTION("""COMPUTED_VALUE"""),4.5)</f>
        <v>4.5</v>
      </c>
      <c r="J24" s="492">
        <f>IFERROR(__xludf.DUMMYFUNCTION("""COMPUTED_VALUE"""),2.5)</f>
        <v>2.5</v>
      </c>
      <c r="K24" s="492">
        <f>IFERROR(__xludf.DUMMYFUNCTION("""COMPUTED_VALUE"""),674.75)</f>
        <v>674.75</v>
      </c>
      <c r="L24" s="492">
        <f>IFERROR(__xludf.DUMMYFUNCTION("""COMPUTED_VALUE"""),899.5)</f>
        <v>899.5</v>
      </c>
      <c r="M24" s="492">
        <f>IFERROR(__xludf.DUMMYFUNCTION("""COMPUTED_VALUE"""),13.0)</f>
        <v>13</v>
      </c>
      <c r="N24" s="492">
        <f>IFERROR(__xludf.DUMMYFUNCTION("""COMPUTED_VALUE"""),0.75)</f>
        <v>0.75</v>
      </c>
      <c r="O24" s="492">
        <f>IFERROR(__xludf.DUMMYFUNCTION("""COMPUTED_VALUE"""),0.0)</f>
        <v>0</v>
      </c>
      <c r="P24" s="492">
        <f>IFERROR(__xludf.DUMMYFUNCTION("""COMPUTED_VALUE"""),0.0)</f>
        <v>0</v>
      </c>
      <c r="Q24" s="492">
        <f>IFERROR(__xludf.DUMMYFUNCTION("""COMPUTED_VALUE"""),0.0)</f>
        <v>0</v>
      </c>
      <c r="R24" s="492">
        <f>IFERROR(__xludf.DUMMYFUNCTION("""COMPUTED_VALUE"""),0.0)</f>
        <v>0</v>
      </c>
      <c r="S24" s="492">
        <f>IFERROR(__xludf.DUMMYFUNCTION("""COMPUTED_VALUE"""),12.0)</f>
        <v>12</v>
      </c>
      <c r="T24" s="492">
        <f>IFERROR(__xludf.DUMMYFUNCTION("""COMPUTED_VALUE"""),3.75)</f>
        <v>3.75</v>
      </c>
      <c r="U24" s="492">
        <f>IFERROR(__xludf.DUMMYFUNCTION("""COMPUTED_VALUE"""),0.75)</f>
        <v>0.75</v>
      </c>
      <c r="V24" s="492">
        <f>IFERROR(__xludf.DUMMYFUNCTION("""COMPUTED_VALUE"""),0.25)</f>
        <v>0.25</v>
      </c>
      <c r="W24" s="492">
        <f>IFERROR(__xludf.DUMMYFUNCTION("""COMPUTED_VALUE"""),0.0)</f>
        <v>0</v>
      </c>
      <c r="X24" s="492">
        <f>IFERROR(__xludf.DUMMYFUNCTION("""COMPUTED_VALUE"""),0.0)</f>
        <v>0</v>
      </c>
      <c r="Y24" s="492">
        <f>IFERROR(__xludf.DUMMYFUNCTION("""COMPUTED_VALUE"""),0.0)</f>
        <v>0</v>
      </c>
      <c r="Z24" s="492">
        <f>IFERROR(__xludf.DUMMYFUNCTION("""COMPUTED_VALUE"""),0.0)</f>
        <v>0</v>
      </c>
      <c r="AA24" s="492">
        <f>IFERROR(__xludf.DUMMYFUNCTION("""COMPUTED_VALUE"""),0.0)</f>
        <v>0</v>
      </c>
      <c r="AB24" s="492">
        <f>IFERROR(__xludf.DUMMYFUNCTION("""COMPUTED_VALUE"""),0.0)</f>
        <v>0</v>
      </c>
      <c r="AC24" s="492">
        <f>IFERROR(__xludf.DUMMYFUNCTION("""COMPUTED_VALUE"""),5.0)</f>
        <v>5</v>
      </c>
      <c r="AD24" s="492">
        <f>IFERROR(__xludf.DUMMYFUNCTION("""COMPUTED_VALUE"""),0.0)</f>
        <v>0</v>
      </c>
      <c r="AE24" s="492">
        <f>IFERROR(__xludf.DUMMYFUNCTION("""COMPUTED_VALUE"""),0.75)</f>
        <v>0.75</v>
      </c>
      <c r="AF24" s="492"/>
      <c r="AG24" s="492"/>
      <c r="AH24" s="492"/>
      <c r="AI24" s="492"/>
      <c r="AJ24" s="492"/>
      <c r="AK24" s="492"/>
      <c r="AL24" s="492"/>
      <c r="AM24" s="492"/>
      <c r="AN24" s="492"/>
      <c r="AO24" s="492"/>
      <c r="AP24" s="492"/>
      <c r="AQ24" s="492"/>
      <c r="AR24" s="492"/>
      <c r="AS24" s="492"/>
      <c r="AT24" s="492"/>
      <c r="AU24" s="492"/>
      <c r="AV24" s="492"/>
      <c r="AW24" s="492"/>
      <c r="AX24" s="492"/>
    </row>
    <row r="25">
      <c r="A25" s="492" t="str">
        <f>IFERROR(__xludf.DUMMYFUNCTION("""COMPUTED_VALUE"""),"Kgod Online")</f>
        <v>Kgod Online</v>
      </c>
      <c r="B25" s="492">
        <f>IFERROR(__xludf.DUMMYFUNCTION("""COMPUTED_VALUE"""),0.0)</f>
        <v>0</v>
      </c>
      <c r="C25" s="492">
        <f>IFERROR(__xludf.DUMMYFUNCTION("""COMPUTED_VALUE"""),1.0)</f>
        <v>1</v>
      </c>
      <c r="D25" s="492">
        <f>IFERROR(__xludf.DUMMYFUNCTION("""COMPUTED_VALUE"""),0.0)</f>
        <v>0</v>
      </c>
      <c r="E25" s="492">
        <f>IFERROR(__xludf.DUMMYFUNCTION("""COMPUTED_VALUE"""),39.0)</f>
        <v>39</v>
      </c>
      <c r="F25" s="492">
        <f>IFERROR(__xludf.DUMMYFUNCTION("""COMPUTED_VALUE"""),2.0)</f>
        <v>2</v>
      </c>
      <c r="G25" s="492">
        <f>IFERROR(__xludf.DUMMYFUNCTION("""COMPUTED_VALUE"""),73.0)</f>
        <v>73</v>
      </c>
      <c r="H25" s="492">
        <f>IFERROR(__xludf.DUMMYFUNCTION("""COMPUTED_VALUE"""),-34.0)</f>
        <v>-34</v>
      </c>
      <c r="I25" s="492">
        <f>IFERROR(__xludf.DUMMYFUNCTION("""COMPUTED_VALUE"""),3.0)</f>
        <v>3</v>
      </c>
      <c r="J25" s="492">
        <f>IFERROR(__xludf.DUMMYFUNCTION("""COMPUTED_VALUE"""),2.0)</f>
        <v>2</v>
      </c>
      <c r="K25" s="492">
        <f>IFERROR(__xludf.DUMMYFUNCTION("""COMPUTED_VALUE"""),525.0)</f>
        <v>525</v>
      </c>
      <c r="L25" s="492">
        <f>IFERROR(__xludf.DUMMYFUNCTION("""COMPUTED_VALUE"""),822.0)</f>
        <v>822</v>
      </c>
      <c r="M25" s="492">
        <f>IFERROR(__xludf.DUMMYFUNCTION("""COMPUTED_VALUE"""),7.0)</f>
        <v>7</v>
      </c>
      <c r="N25" s="492">
        <f>IFERROR(__xludf.DUMMYFUNCTION("""COMPUTED_VALUE"""),0.0)</f>
        <v>0</v>
      </c>
      <c r="O25" s="492">
        <f>IFERROR(__xludf.DUMMYFUNCTION("""COMPUTED_VALUE"""),0.0)</f>
        <v>0</v>
      </c>
      <c r="P25" s="492">
        <f>IFERROR(__xludf.DUMMYFUNCTION("""COMPUTED_VALUE"""),0.0)</f>
        <v>0</v>
      </c>
      <c r="Q25" s="492">
        <f>IFERROR(__xludf.DUMMYFUNCTION("""COMPUTED_VALUE"""),0.0)</f>
        <v>0</v>
      </c>
      <c r="R25" s="492">
        <f>IFERROR(__xludf.DUMMYFUNCTION("""COMPUTED_VALUE"""),0.0)</f>
        <v>0</v>
      </c>
      <c r="S25" s="492">
        <f>IFERROR(__xludf.DUMMYFUNCTION("""COMPUTED_VALUE"""),5.0)</f>
        <v>5</v>
      </c>
      <c r="T25" s="492">
        <f>IFERROR(__xludf.DUMMYFUNCTION("""COMPUTED_VALUE"""),0.0)</f>
        <v>0</v>
      </c>
      <c r="U25" s="492">
        <f>IFERROR(__xludf.DUMMYFUNCTION("""COMPUTED_VALUE"""),0.0)</f>
        <v>0</v>
      </c>
      <c r="V25" s="492">
        <f>IFERROR(__xludf.DUMMYFUNCTION("""COMPUTED_VALUE"""),0.0)</f>
        <v>0</v>
      </c>
      <c r="W25" s="492">
        <f>IFERROR(__xludf.DUMMYFUNCTION("""COMPUTED_VALUE"""),0.0)</f>
        <v>0</v>
      </c>
      <c r="X25" s="492">
        <f>IFERROR(__xludf.DUMMYFUNCTION("""COMPUTED_VALUE"""),0.0)</f>
        <v>0</v>
      </c>
      <c r="Y25" s="492">
        <f>IFERROR(__xludf.DUMMYFUNCTION("""COMPUTED_VALUE"""),0.0)</f>
        <v>0</v>
      </c>
      <c r="Z25" s="492">
        <f>IFERROR(__xludf.DUMMYFUNCTION("""COMPUTED_VALUE"""),0.0)</f>
        <v>0</v>
      </c>
      <c r="AA25" s="492">
        <f>IFERROR(__xludf.DUMMYFUNCTION("""COMPUTED_VALUE"""),0.0)</f>
        <v>0</v>
      </c>
      <c r="AB25" s="492">
        <f>IFERROR(__xludf.DUMMYFUNCTION("""COMPUTED_VALUE"""),0.0)</f>
        <v>0</v>
      </c>
      <c r="AC25" s="492">
        <f>IFERROR(__xludf.DUMMYFUNCTION("""COMPUTED_VALUE"""),1.0)</f>
        <v>1</v>
      </c>
      <c r="AD25" s="492">
        <f>IFERROR(__xludf.DUMMYFUNCTION("""COMPUTED_VALUE"""),0.0)</f>
        <v>0</v>
      </c>
      <c r="AE25" s="492">
        <f>IFERROR(__xludf.DUMMYFUNCTION("""COMPUTED_VALUE"""),0.0)</f>
        <v>0</v>
      </c>
      <c r="AF25" s="492"/>
      <c r="AG25" s="492"/>
      <c r="AH25" s="492"/>
      <c r="AI25" s="492"/>
      <c r="AJ25" s="492"/>
      <c r="AK25" s="492"/>
      <c r="AL25" s="492"/>
      <c r="AM25" s="492"/>
      <c r="AN25" s="492"/>
      <c r="AO25" s="492"/>
      <c r="AP25" s="492"/>
      <c r="AQ25" s="492"/>
      <c r="AR25" s="492"/>
      <c r="AS25" s="492"/>
      <c r="AT25" s="492"/>
      <c r="AU25" s="492"/>
      <c r="AV25" s="492"/>
      <c r="AW25" s="492"/>
      <c r="AX25" s="492"/>
    </row>
    <row r="26">
      <c r="A26" s="492" t="str">
        <f>IFERROR(__xludf.DUMMYFUNCTION("""COMPUTED_VALUE"""),"L1ght5aber")</f>
        <v>L1ght5aber</v>
      </c>
      <c r="B26" s="492">
        <f>IFERROR(__xludf.DUMMYFUNCTION("""COMPUTED_VALUE"""),0.6666666666666666)</f>
        <v>0.6666666667</v>
      </c>
      <c r="C26" s="492">
        <f>IFERROR(__xludf.DUMMYFUNCTION("""COMPUTED_VALUE"""),0.3333333333333333)</f>
        <v>0.3333333333</v>
      </c>
      <c r="D26" s="492">
        <f>IFERROR(__xludf.DUMMYFUNCTION("""COMPUTED_VALUE"""),0.0)</f>
        <v>0</v>
      </c>
      <c r="E26" s="492">
        <f>IFERROR(__xludf.DUMMYFUNCTION("""COMPUTED_VALUE"""),114.0)</f>
        <v>114</v>
      </c>
      <c r="F26" s="492">
        <f>IFERROR(__xludf.DUMMYFUNCTION("""COMPUTED_VALUE"""),10.0)</f>
        <v>10</v>
      </c>
      <c r="G26" s="492">
        <f>IFERROR(__xludf.DUMMYFUNCTION("""COMPUTED_VALUE"""),117.66666666666667)</f>
        <v>117.6666667</v>
      </c>
      <c r="H26" s="492">
        <f>IFERROR(__xludf.DUMMYFUNCTION("""COMPUTED_VALUE"""),-3.6666666666666665)</f>
        <v>-3.666666667</v>
      </c>
      <c r="I26" s="492">
        <f>IFERROR(__xludf.DUMMYFUNCTION("""COMPUTED_VALUE"""),5.0)</f>
        <v>5</v>
      </c>
      <c r="J26" s="492">
        <f>IFERROR(__xludf.DUMMYFUNCTION("""COMPUTED_VALUE"""),2.0)</f>
        <v>2</v>
      </c>
      <c r="K26" s="492">
        <f>IFERROR(__xludf.DUMMYFUNCTION("""COMPUTED_VALUE"""),1450.3333333333333)</f>
        <v>1450.333333</v>
      </c>
      <c r="L26" s="492">
        <f>IFERROR(__xludf.DUMMYFUNCTION("""COMPUTED_VALUE"""),1899.3333333333333)</f>
        <v>1899.333333</v>
      </c>
      <c r="M26" s="492">
        <f>IFERROR(__xludf.DUMMYFUNCTION("""COMPUTED_VALUE"""),12.333333333333334)</f>
        <v>12.33333333</v>
      </c>
      <c r="N26" s="492">
        <f>IFERROR(__xludf.DUMMYFUNCTION("""COMPUTED_VALUE"""),0.6666666666666666)</f>
        <v>0.6666666667</v>
      </c>
      <c r="O26" s="492">
        <f>IFERROR(__xludf.DUMMYFUNCTION("""COMPUTED_VALUE"""),0.0)</f>
        <v>0</v>
      </c>
      <c r="P26" s="492">
        <f>IFERROR(__xludf.DUMMYFUNCTION("""COMPUTED_VALUE"""),0.0)</f>
        <v>0</v>
      </c>
      <c r="Q26" s="492">
        <f>IFERROR(__xludf.DUMMYFUNCTION("""COMPUTED_VALUE"""),0.0)</f>
        <v>0</v>
      </c>
      <c r="R26" s="492">
        <f>IFERROR(__xludf.DUMMYFUNCTION("""COMPUTED_VALUE"""),0.0)</f>
        <v>0</v>
      </c>
      <c r="S26" s="492">
        <f>IFERROR(__xludf.DUMMYFUNCTION("""COMPUTED_VALUE"""),16.666666666666668)</f>
        <v>16.66666667</v>
      </c>
      <c r="T26" s="492">
        <f>IFERROR(__xludf.DUMMYFUNCTION("""COMPUTED_VALUE"""),2.0)</f>
        <v>2</v>
      </c>
      <c r="U26" s="492">
        <f>IFERROR(__xludf.DUMMYFUNCTION("""COMPUTED_VALUE"""),0.0)</f>
        <v>0</v>
      </c>
      <c r="V26" s="492">
        <f>IFERROR(__xludf.DUMMYFUNCTION("""COMPUTED_VALUE"""),0.0)</f>
        <v>0</v>
      </c>
      <c r="W26" s="492">
        <f>IFERROR(__xludf.DUMMYFUNCTION("""COMPUTED_VALUE"""),0.0)</f>
        <v>0</v>
      </c>
      <c r="X26" s="492">
        <f>IFERROR(__xludf.DUMMYFUNCTION("""COMPUTED_VALUE"""),0.0)</f>
        <v>0</v>
      </c>
      <c r="Y26" s="492">
        <f>IFERROR(__xludf.DUMMYFUNCTION("""COMPUTED_VALUE"""),0.0)</f>
        <v>0</v>
      </c>
      <c r="Z26" s="492">
        <f>IFERROR(__xludf.DUMMYFUNCTION("""COMPUTED_VALUE"""),0.0)</f>
        <v>0</v>
      </c>
      <c r="AA26" s="492">
        <f>IFERROR(__xludf.DUMMYFUNCTION("""COMPUTED_VALUE"""),0.0)</f>
        <v>0</v>
      </c>
      <c r="AB26" s="492">
        <f>IFERROR(__xludf.DUMMYFUNCTION("""COMPUTED_VALUE"""),0.0)</f>
        <v>0</v>
      </c>
      <c r="AC26" s="492">
        <f>IFERROR(__xludf.DUMMYFUNCTION("""COMPUTED_VALUE"""),4.333333333333333)</f>
        <v>4.333333333</v>
      </c>
      <c r="AD26" s="492">
        <f>IFERROR(__xludf.DUMMYFUNCTION("""COMPUTED_VALUE"""),0.0)</f>
        <v>0</v>
      </c>
      <c r="AE26" s="492">
        <f>IFERROR(__xludf.DUMMYFUNCTION("""COMPUTED_VALUE"""),0.6666666666666666)</f>
        <v>0.6666666667</v>
      </c>
      <c r="AF26" s="492"/>
      <c r="AG26" s="492"/>
      <c r="AH26" s="492"/>
      <c r="AI26" s="492"/>
      <c r="AJ26" s="492"/>
      <c r="AK26" s="492"/>
      <c r="AL26" s="492"/>
      <c r="AM26" s="492"/>
      <c r="AN26" s="492"/>
      <c r="AO26" s="492"/>
      <c r="AP26" s="492"/>
      <c r="AQ26" s="492"/>
      <c r="AR26" s="492"/>
      <c r="AS26" s="492"/>
      <c r="AT26" s="492"/>
      <c r="AU26" s="492"/>
      <c r="AV26" s="492"/>
      <c r="AW26" s="492"/>
      <c r="AX26" s="492"/>
    </row>
    <row r="27">
      <c r="A27" s="492" t="str">
        <f>IFERROR(__xludf.DUMMYFUNCTION("""COMPUTED_VALUE"""),"Lane Uppy")</f>
        <v>Lane Uppy</v>
      </c>
      <c r="B27" s="492">
        <f>IFERROR(__xludf.DUMMYFUNCTION("""COMPUTED_VALUE"""),0.0)</f>
        <v>0</v>
      </c>
      <c r="C27" s="492">
        <f>IFERROR(__xludf.DUMMYFUNCTION("""COMPUTED_VALUE"""),1.0)</f>
        <v>1</v>
      </c>
      <c r="D27" s="492">
        <f>IFERROR(__xludf.DUMMYFUNCTION("""COMPUTED_VALUE"""),0.0)</f>
        <v>0</v>
      </c>
      <c r="E27" s="492">
        <f>IFERROR(__xludf.DUMMYFUNCTION("""COMPUTED_VALUE"""),36.0)</f>
        <v>36</v>
      </c>
      <c r="F27" s="492">
        <f>IFERROR(__xludf.DUMMYFUNCTION("""COMPUTED_VALUE"""),1.0)</f>
        <v>1</v>
      </c>
      <c r="G27" s="492">
        <f>IFERROR(__xludf.DUMMYFUNCTION("""COMPUTED_VALUE"""),41.0)</f>
        <v>41</v>
      </c>
      <c r="H27" s="492">
        <f>IFERROR(__xludf.DUMMYFUNCTION("""COMPUTED_VALUE"""),-5.0)</f>
        <v>-5</v>
      </c>
      <c r="I27" s="492">
        <f>IFERROR(__xludf.DUMMYFUNCTION("""COMPUTED_VALUE"""),3.0)</f>
        <v>3</v>
      </c>
      <c r="J27" s="492">
        <f>IFERROR(__xludf.DUMMYFUNCTION("""COMPUTED_VALUE"""),0.0)</f>
        <v>0</v>
      </c>
      <c r="K27" s="492">
        <f>IFERROR(__xludf.DUMMYFUNCTION("""COMPUTED_VALUE"""),615.0)</f>
        <v>615</v>
      </c>
      <c r="L27" s="492">
        <f>IFERROR(__xludf.DUMMYFUNCTION("""COMPUTED_VALUE"""),822.0)</f>
        <v>822</v>
      </c>
      <c r="M27" s="492">
        <f>IFERROR(__xludf.DUMMYFUNCTION("""COMPUTED_VALUE"""),15.0)</f>
        <v>15</v>
      </c>
      <c r="N27" s="492">
        <f>IFERROR(__xludf.DUMMYFUNCTION("""COMPUTED_VALUE"""),0.0)</f>
        <v>0</v>
      </c>
      <c r="O27" s="492">
        <f>IFERROR(__xludf.DUMMYFUNCTION("""COMPUTED_VALUE"""),0.0)</f>
        <v>0</v>
      </c>
      <c r="P27" s="492">
        <f>IFERROR(__xludf.DUMMYFUNCTION("""COMPUTED_VALUE"""),0.0)</f>
        <v>0</v>
      </c>
      <c r="Q27" s="492">
        <f>IFERROR(__xludf.DUMMYFUNCTION("""COMPUTED_VALUE"""),0.0)</f>
        <v>0</v>
      </c>
      <c r="R27" s="492">
        <f>IFERROR(__xludf.DUMMYFUNCTION("""COMPUTED_VALUE"""),0.0)</f>
        <v>0</v>
      </c>
      <c r="S27" s="492">
        <f>IFERROR(__xludf.DUMMYFUNCTION("""COMPUTED_VALUE"""),5.0)</f>
        <v>5</v>
      </c>
      <c r="T27" s="492">
        <f>IFERROR(__xludf.DUMMYFUNCTION("""COMPUTED_VALUE"""),0.0)</f>
        <v>0</v>
      </c>
      <c r="U27" s="492">
        <f>IFERROR(__xludf.DUMMYFUNCTION("""COMPUTED_VALUE"""),0.0)</f>
        <v>0</v>
      </c>
      <c r="V27" s="492">
        <f>IFERROR(__xludf.DUMMYFUNCTION("""COMPUTED_VALUE"""),0.0)</f>
        <v>0</v>
      </c>
      <c r="W27" s="492">
        <f>IFERROR(__xludf.DUMMYFUNCTION("""COMPUTED_VALUE"""),0.0)</f>
        <v>0</v>
      </c>
      <c r="X27" s="492">
        <f>IFERROR(__xludf.DUMMYFUNCTION("""COMPUTED_VALUE"""),0.0)</f>
        <v>0</v>
      </c>
      <c r="Y27" s="492">
        <f>IFERROR(__xludf.DUMMYFUNCTION("""COMPUTED_VALUE"""),0.0)</f>
        <v>0</v>
      </c>
      <c r="Z27" s="492">
        <f>IFERROR(__xludf.DUMMYFUNCTION("""COMPUTED_VALUE"""),0.0)</f>
        <v>0</v>
      </c>
      <c r="AA27" s="492">
        <f>IFERROR(__xludf.DUMMYFUNCTION("""COMPUTED_VALUE"""),0.0)</f>
        <v>0</v>
      </c>
      <c r="AB27" s="492">
        <f>IFERROR(__xludf.DUMMYFUNCTION("""COMPUTED_VALUE"""),0.0)</f>
        <v>0</v>
      </c>
      <c r="AC27" s="492">
        <f>IFERROR(__xludf.DUMMYFUNCTION("""COMPUTED_VALUE"""),1.0)</f>
        <v>1</v>
      </c>
      <c r="AD27" s="492">
        <f>IFERROR(__xludf.DUMMYFUNCTION("""COMPUTED_VALUE"""),0.0)</f>
        <v>0</v>
      </c>
      <c r="AE27" s="492">
        <f>IFERROR(__xludf.DUMMYFUNCTION("""COMPUTED_VALUE"""),0.0)</f>
        <v>0</v>
      </c>
      <c r="AF27" s="492"/>
      <c r="AG27" s="492"/>
      <c r="AH27" s="492"/>
      <c r="AI27" s="492"/>
      <c r="AJ27" s="492"/>
      <c r="AK27" s="492"/>
      <c r="AL27" s="492"/>
      <c r="AM27" s="492"/>
      <c r="AN27" s="492"/>
      <c r="AO27" s="492"/>
      <c r="AP27" s="492"/>
      <c r="AQ27" s="492"/>
      <c r="AR27" s="492"/>
      <c r="AS27" s="492"/>
      <c r="AT27" s="492"/>
      <c r="AU27" s="492"/>
      <c r="AV27" s="492"/>
      <c r="AW27" s="492"/>
      <c r="AX27" s="492"/>
    </row>
    <row r="28">
      <c r="A28" s="492" t="str">
        <f>IFERROR(__xludf.DUMMYFUNCTION("""COMPUTED_VALUE"""),"Laser Wins")</f>
        <v>Laser Wins</v>
      </c>
      <c r="B28" s="492">
        <f>IFERROR(__xludf.DUMMYFUNCTION("""COMPUTED_VALUE"""),0.0)</f>
        <v>0</v>
      </c>
      <c r="C28" s="492">
        <f>IFERROR(__xludf.DUMMYFUNCTION("""COMPUTED_VALUE"""),1.0)</f>
        <v>1</v>
      </c>
      <c r="D28" s="492">
        <f>IFERROR(__xludf.DUMMYFUNCTION("""COMPUTED_VALUE"""),0.0)</f>
        <v>0</v>
      </c>
      <c r="E28" s="492">
        <f>IFERROR(__xludf.DUMMYFUNCTION("""COMPUTED_VALUE"""),31.0)</f>
        <v>31</v>
      </c>
      <c r="F28" s="492">
        <f>IFERROR(__xludf.DUMMYFUNCTION("""COMPUTED_VALUE"""),1.0)</f>
        <v>1</v>
      </c>
      <c r="G28" s="492">
        <f>IFERROR(__xludf.DUMMYFUNCTION("""COMPUTED_VALUE"""),50.0)</f>
        <v>50</v>
      </c>
      <c r="H28" s="492">
        <f>IFERROR(__xludf.DUMMYFUNCTION("""COMPUTED_VALUE"""),-19.0)</f>
        <v>-19</v>
      </c>
      <c r="I28" s="492">
        <f>IFERROR(__xludf.DUMMYFUNCTION("""COMPUTED_VALUE"""),4.0)</f>
        <v>4</v>
      </c>
      <c r="J28" s="492">
        <f>IFERROR(__xludf.DUMMYFUNCTION("""COMPUTED_VALUE"""),1.0)</f>
        <v>1</v>
      </c>
      <c r="K28" s="492">
        <f>IFERROR(__xludf.DUMMYFUNCTION("""COMPUTED_VALUE"""),591.0)</f>
        <v>591</v>
      </c>
      <c r="L28" s="492">
        <f>IFERROR(__xludf.DUMMYFUNCTION("""COMPUTED_VALUE"""),822.0)</f>
        <v>822</v>
      </c>
      <c r="M28" s="492">
        <f>IFERROR(__xludf.DUMMYFUNCTION("""COMPUTED_VALUE"""),11.0)</f>
        <v>11</v>
      </c>
      <c r="N28" s="492">
        <f>IFERROR(__xludf.DUMMYFUNCTION("""COMPUTED_VALUE"""),0.0)</f>
        <v>0</v>
      </c>
      <c r="O28" s="492">
        <f>IFERROR(__xludf.DUMMYFUNCTION("""COMPUTED_VALUE"""),0.0)</f>
        <v>0</v>
      </c>
      <c r="P28" s="492">
        <f>IFERROR(__xludf.DUMMYFUNCTION("""COMPUTED_VALUE"""),0.0)</f>
        <v>0</v>
      </c>
      <c r="Q28" s="492">
        <f>IFERROR(__xludf.DUMMYFUNCTION("""COMPUTED_VALUE"""),0.0)</f>
        <v>0</v>
      </c>
      <c r="R28" s="492">
        <f>IFERROR(__xludf.DUMMYFUNCTION("""COMPUTED_VALUE"""),0.0)</f>
        <v>0</v>
      </c>
      <c r="S28" s="492">
        <f>IFERROR(__xludf.DUMMYFUNCTION("""COMPUTED_VALUE"""),5.0)</f>
        <v>5</v>
      </c>
      <c r="T28" s="492">
        <f>IFERROR(__xludf.DUMMYFUNCTION("""COMPUTED_VALUE"""),0.0)</f>
        <v>0</v>
      </c>
      <c r="U28" s="492">
        <f>IFERROR(__xludf.DUMMYFUNCTION("""COMPUTED_VALUE"""),0.0)</f>
        <v>0</v>
      </c>
      <c r="V28" s="492">
        <f>IFERROR(__xludf.DUMMYFUNCTION("""COMPUTED_VALUE"""),0.0)</f>
        <v>0</v>
      </c>
      <c r="W28" s="492">
        <f>IFERROR(__xludf.DUMMYFUNCTION("""COMPUTED_VALUE"""),0.0)</f>
        <v>0</v>
      </c>
      <c r="X28" s="492">
        <f>IFERROR(__xludf.DUMMYFUNCTION("""COMPUTED_VALUE"""),0.0)</f>
        <v>0</v>
      </c>
      <c r="Y28" s="492">
        <f>IFERROR(__xludf.DUMMYFUNCTION("""COMPUTED_VALUE"""),0.0)</f>
        <v>0</v>
      </c>
      <c r="Z28" s="492">
        <f>IFERROR(__xludf.DUMMYFUNCTION("""COMPUTED_VALUE"""),0.0)</f>
        <v>0</v>
      </c>
      <c r="AA28" s="492">
        <f>IFERROR(__xludf.DUMMYFUNCTION("""COMPUTED_VALUE"""),0.0)</f>
        <v>0</v>
      </c>
      <c r="AB28" s="492">
        <f>IFERROR(__xludf.DUMMYFUNCTION("""COMPUTED_VALUE"""),0.0)</f>
        <v>0</v>
      </c>
      <c r="AC28" s="492">
        <f>IFERROR(__xludf.DUMMYFUNCTION("""COMPUTED_VALUE"""),0.0)</f>
        <v>0</v>
      </c>
      <c r="AD28" s="492">
        <f>IFERROR(__xludf.DUMMYFUNCTION("""COMPUTED_VALUE"""),0.0)</f>
        <v>0</v>
      </c>
      <c r="AE28" s="492">
        <f>IFERROR(__xludf.DUMMYFUNCTION("""COMPUTED_VALUE"""),0.0)</f>
        <v>0</v>
      </c>
      <c r="AF28" s="492"/>
      <c r="AG28" s="492"/>
      <c r="AH28" s="492"/>
      <c r="AI28" s="492"/>
      <c r="AJ28" s="492"/>
      <c r="AK28" s="492"/>
      <c r="AL28" s="492"/>
      <c r="AM28" s="492"/>
      <c r="AN28" s="492"/>
      <c r="AO28" s="492"/>
      <c r="AP28" s="492"/>
      <c r="AQ28" s="492"/>
      <c r="AR28" s="492"/>
      <c r="AS28" s="492"/>
      <c r="AT28" s="492"/>
      <c r="AU28" s="492"/>
      <c r="AV28" s="492"/>
      <c r="AW28" s="492"/>
      <c r="AX28" s="492"/>
    </row>
    <row r="29">
      <c r="A29" s="492" t="str">
        <f>IFERROR(__xludf.DUMMYFUNCTION("""COMPUTED_VALUE"""),"Luner Panda")</f>
        <v>Luner Panda</v>
      </c>
      <c r="B29" s="492">
        <f>IFERROR(__xludf.DUMMYFUNCTION("""COMPUTED_VALUE"""),0.75)</f>
        <v>0.75</v>
      </c>
      <c r="C29" s="492">
        <f>IFERROR(__xludf.DUMMYFUNCTION("""COMPUTED_VALUE"""),0.25)</f>
        <v>0.25</v>
      </c>
      <c r="D29" s="492">
        <f>IFERROR(__xludf.DUMMYFUNCTION("""COMPUTED_VALUE"""),0.75)</f>
        <v>0.75</v>
      </c>
      <c r="E29" s="492">
        <f>IFERROR(__xludf.DUMMYFUNCTION("""COMPUTED_VALUE"""),90.5)</f>
        <v>90.5</v>
      </c>
      <c r="F29" s="492">
        <f>IFERROR(__xludf.DUMMYFUNCTION("""COMPUTED_VALUE"""),2.5)</f>
        <v>2.5</v>
      </c>
      <c r="G29" s="492">
        <f>IFERROR(__xludf.DUMMYFUNCTION("""COMPUTED_VALUE"""),98.5)</f>
        <v>98.5</v>
      </c>
      <c r="H29" s="492">
        <f>IFERROR(__xludf.DUMMYFUNCTION("""COMPUTED_VALUE"""),-8.0)</f>
        <v>-8</v>
      </c>
      <c r="I29" s="492">
        <f>IFERROR(__xludf.DUMMYFUNCTION("""COMPUTED_VALUE"""),5.0)</f>
        <v>5</v>
      </c>
      <c r="J29" s="492">
        <f>IFERROR(__xludf.DUMMYFUNCTION("""COMPUTED_VALUE"""),1.0)</f>
        <v>1</v>
      </c>
      <c r="K29" s="492">
        <f>IFERROR(__xludf.DUMMYFUNCTION("""COMPUTED_VALUE"""),1162.5)</f>
        <v>1162.5</v>
      </c>
      <c r="L29" s="492">
        <f>IFERROR(__xludf.DUMMYFUNCTION("""COMPUTED_VALUE"""),1544.0)</f>
        <v>1544</v>
      </c>
      <c r="M29" s="492">
        <f>IFERROR(__xludf.DUMMYFUNCTION("""COMPUTED_VALUE"""),13.25)</f>
        <v>13.25</v>
      </c>
      <c r="N29" s="492">
        <f>IFERROR(__xludf.DUMMYFUNCTION("""COMPUTED_VALUE"""),0.5)</f>
        <v>0.5</v>
      </c>
      <c r="O29" s="492">
        <f>IFERROR(__xludf.DUMMYFUNCTION("""COMPUTED_VALUE"""),0.0)</f>
        <v>0</v>
      </c>
      <c r="P29" s="492">
        <f>IFERROR(__xludf.DUMMYFUNCTION("""COMPUTED_VALUE"""),0.0)</f>
        <v>0</v>
      </c>
      <c r="Q29" s="492">
        <f>IFERROR(__xludf.DUMMYFUNCTION("""COMPUTED_VALUE"""),0.0)</f>
        <v>0</v>
      </c>
      <c r="R29" s="492">
        <f>IFERROR(__xludf.DUMMYFUNCTION("""COMPUTED_VALUE"""),0.0)</f>
        <v>0</v>
      </c>
      <c r="S29" s="492">
        <f>IFERROR(__xludf.DUMMYFUNCTION("""COMPUTED_VALUE"""),12.25)</f>
        <v>12.25</v>
      </c>
      <c r="T29" s="492">
        <f>IFERROR(__xludf.DUMMYFUNCTION("""COMPUTED_VALUE"""),2.25)</f>
        <v>2.25</v>
      </c>
      <c r="U29" s="492">
        <f>IFERROR(__xludf.DUMMYFUNCTION("""COMPUTED_VALUE"""),0.0)</f>
        <v>0</v>
      </c>
      <c r="V29" s="492">
        <f>IFERROR(__xludf.DUMMYFUNCTION("""COMPUTED_VALUE"""),0.0)</f>
        <v>0</v>
      </c>
      <c r="W29" s="492">
        <f>IFERROR(__xludf.DUMMYFUNCTION("""COMPUTED_VALUE"""),0.0)</f>
        <v>0</v>
      </c>
      <c r="X29" s="492">
        <f>IFERROR(__xludf.DUMMYFUNCTION("""COMPUTED_VALUE"""),0.0)</f>
        <v>0</v>
      </c>
      <c r="Y29" s="492">
        <f>IFERROR(__xludf.DUMMYFUNCTION("""COMPUTED_VALUE"""),0.0)</f>
        <v>0</v>
      </c>
      <c r="Z29" s="492">
        <f>IFERROR(__xludf.DUMMYFUNCTION("""COMPUTED_VALUE"""),0.0)</f>
        <v>0</v>
      </c>
      <c r="AA29" s="492">
        <f>IFERROR(__xludf.DUMMYFUNCTION("""COMPUTED_VALUE"""),0.0)</f>
        <v>0</v>
      </c>
      <c r="AB29" s="492">
        <f>IFERROR(__xludf.DUMMYFUNCTION("""COMPUTED_VALUE"""),0.0)</f>
        <v>0</v>
      </c>
      <c r="AC29" s="492">
        <f>IFERROR(__xludf.DUMMYFUNCTION("""COMPUTED_VALUE"""),2.75)</f>
        <v>2.75</v>
      </c>
      <c r="AD29" s="492">
        <f>IFERROR(__xludf.DUMMYFUNCTION("""COMPUTED_VALUE"""),0.0)</f>
        <v>0</v>
      </c>
      <c r="AE29" s="492">
        <f>IFERROR(__xludf.DUMMYFUNCTION("""COMPUTED_VALUE"""),0.25)</f>
        <v>0.25</v>
      </c>
      <c r="AF29" s="492"/>
      <c r="AG29" s="492"/>
      <c r="AH29" s="492"/>
      <c r="AI29" s="492"/>
      <c r="AJ29" s="492"/>
      <c r="AK29" s="492"/>
      <c r="AL29" s="492"/>
      <c r="AM29" s="492"/>
      <c r="AN29" s="492"/>
      <c r="AO29" s="492"/>
      <c r="AP29" s="492"/>
      <c r="AQ29" s="492"/>
      <c r="AR29" s="492"/>
      <c r="AS29" s="492"/>
      <c r="AT29" s="492"/>
      <c r="AU29" s="492"/>
      <c r="AV29" s="492"/>
      <c r="AW29" s="492"/>
      <c r="AX29" s="492"/>
    </row>
    <row r="30">
      <c r="A30" s="492" t="str">
        <f>IFERROR(__xludf.DUMMYFUNCTION("""COMPUTED_VALUE"""),"Mavbrid")</f>
        <v>Mavbrid</v>
      </c>
      <c r="B30" s="492">
        <f>IFERROR(__xludf.DUMMYFUNCTION("""COMPUTED_VALUE"""),0.5)</f>
        <v>0.5</v>
      </c>
      <c r="C30" s="492">
        <f>IFERROR(__xludf.DUMMYFUNCTION("""COMPUTED_VALUE"""),0.5)</f>
        <v>0.5</v>
      </c>
      <c r="D30" s="492">
        <f>IFERROR(__xludf.DUMMYFUNCTION("""COMPUTED_VALUE"""),0.0)</f>
        <v>0</v>
      </c>
      <c r="E30" s="492">
        <f>IFERROR(__xludf.DUMMYFUNCTION("""COMPUTED_VALUE"""),40.5)</f>
        <v>40.5</v>
      </c>
      <c r="F30" s="492">
        <f>IFERROR(__xludf.DUMMYFUNCTION("""COMPUTED_VALUE"""),2.5)</f>
        <v>2.5</v>
      </c>
      <c r="G30" s="492">
        <f>IFERROR(__xludf.DUMMYFUNCTION("""COMPUTED_VALUE"""),56.0)</f>
        <v>56</v>
      </c>
      <c r="H30" s="492">
        <f>IFERROR(__xludf.DUMMYFUNCTION("""COMPUTED_VALUE"""),-15.5)</f>
        <v>-15.5</v>
      </c>
      <c r="I30" s="492">
        <f>IFERROR(__xludf.DUMMYFUNCTION("""COMPUTED_VALUE"""),3.5)</f>
        <v>3.5</v>
      </c>
      <c r="J30" s="492">
        <f>IFERROR(__xludf.DUMMYFUNCTION("""COMPUTED_VALUE"""),1.0)</f>
        <v>1</v>
      </c>
      <c r="K30" s="492">
        <f>IFERROR(__xludf.DUMMYFUNCTION("""COMPUTED_VALUE"""),661.5)</f>
        <v>661.5</v>
      </c>
      <c r="L30" s="492">
        <f>IFERROR(__xludf.DUMMYFUNCTION("""COMPUTED_VALUE"""),897.0)</f>
        <v>897</v>
      </c>
      <c r="M30" s="492">
        <f>IFERROR(__xludf.DUMMYFUNCTION("""COMPUTED_VALUE"""),11.5)</f>
        <v>11.5</v>
      </c>
      <c r="N30" s="492">
        <f>IFERROR(__xludf.DUMMYFUNCTION("""COMPUTED_VALUE"""),0.0)</f>
        <v>0</v>
      </c>
      <c r="O30" s="492">
        <f>IFERROR(__xludf.DUMMYFUNCTION("""COMPUTED_VALUE"""),0.0)</f>
        <v>0</v>
      </c>
      <c r="P30" s="492">
        <f>IFERROR(__xludf.DUMMYFUNCTION("""COMPUTED_VALUE"""),0.0)</f>
        <v>0</v>
      </c>
      <c r="Q30" s="492">
        <f>IFERROR(__xludf.DUMMYFUNCTION("""COMPUTED_VALUE"""),0.0)</f>
        <v>0</v>
      </c>
      <c r="R30" s="492">
        <f>IFERROR(__xludf.DUMMYFUNCTION("""COMPUTED_VALUE"""),0.0)</f>
        <v>0</v>
      </c>
      <c r="S30" s="492">
        <f>IFERROR(__xludf.DUMMYFUNCTION("""COMPUTED_VALUE"""),5.5)</f>
        <v>5.5</v>
      </c>
      <c r="T30" s="492">
        <f>IFERROR(__xludf.DUMMYFUNCTION("""COMPUTED_VALUE"""),0.0)</f>
        <v>0</v>
      </c>
      <c r="U30" s="492">
        <f>IFERROR(__xludf.DUMMYFUNCTION("""COMPUTED_VALUE"""),0.0)</f>
        <v>0</v>
      </c>
      <c r="V30" s="492">
        <f>IFERROR(__xludf.DUMMYFUNCTION("""COMPUTED_VALUE"""),0.0)</f>
        <v>0</v>
      </c>
      <c r="W30" s="492">
        <f>IFERROR(__xludf.DUMMYFUNCTION("""COMPUTED_VALUE"""),0.0)</f>
        <v>0</v>
      </c>
      <c r="X30" s="492">
        <f>IFERROR(__xludf.DUMMYFUNCTION("""COMPUTED_VALUE"""),0.0)</f>
        <v>0</v>
      </c>
      <c r="Y30" s="492">
        <f>IFERROR(__xludf.DUMMYFUNCTION("""COMPUTED_VALUE"""),0.0)</f>
        <v>0</v>
      </c>
      <c r="Z30" s="492">
        <f>IFERROR(__xludf.DUMMYFUNCTION("""COMPUTED_VALUE"""),0.0)</f>
        <v>0</v>
      </c>
      <c r="AA30" s="492">
        <f>IFERROR(__xludf.DUMMYFUNCTION("""COMPUTED_VALUE"""),0.0)</f>
        <v>0</v>
      </c>
      <c r="AB30" s="492">
        <f>IFERROR(__xludf.DUMMYFUNCTION("""COMPUTED_VALUE"""),0.0)</f>
        <v>0</v>
      </c>
      <c r="AC30" s="492">
        <f>IFERROR(__xludf.DUMMYFUNCTION("""COMPUTED_VALUE"""),2.5)</f>
        <v>2.5</v>
      </c>
      <c r="AD30" s="492">
        <f>IFERROR(__xludf.DUMMYFUNCTION("""COMPUTED_VALUE"""),0.0)</f>
        <v>0</v>
      </c>
      <c r="AE30" s="492">
        <f>IFERROR(__xludf.DUMMYFUNCTION("""COMPUTED_VALUE"""),0.0)</f>
        <v>0</v>
      </c>
      <c r="AF30" s="492"/>
      <c r="AG30" s="492"/>
      <c r="AH30" s="492"/>
      <c r="AI30" s="492"/>
      <c r="AJ30" s="492"/>
      <c r="AK30" s="492"/>
      <c r="AL30" s="492"/>
      <c r="AM30" s="492"/>
      <c r="AN30" s="492"/>
      <c r="AO30" s="492"/>
      <c r="AP30" s="492"/>
      <c r="AQ30" s="492"/>
      <c r="AR30" s="492"/>
      <c r="AS30" s="492"/>
      <c r="AT30" s="492"/>
      <c r="AU30" s="492"/>
      <c r="AV30" s="492"/>
      <c r="AW30" s="492"/>
      <c r="AX30" s="492"/>
    </row>
    <row r="31">
      <c r="A31" s="492" t="str">
        <f>IFERROR(__xludf.DUMMYFUNCTION("""COMPUTED_VALUE"""),"MealyKitten0")</f>
        <v>MealyKitten0</v>
      </c>
      <c r="B31" s="492">
        <f>IFERROR(__xludf.DUMMYFUNCTION("""COMPUTED_VALUE"""),0.5)</f>
        <v>0.5</v>
      </c>
      <c r="C31" s="492">
        <f>IFERROR(__xludf.DUMMYFUNCTION("""COMPUTED_VALUE"""),0.5)</f>
        <v>0.5</v>
      </c>
      <c r="D31" s="492">
        <f>IFERROR(__xludf.DUMMYFUNCTION("""COMPUTED_VALUE"""),2.0)</f>
        <v>2</v>
      </c>
      <c r="E31" s="492">
        <f>IFERROR(__xludf.DUMMYFUNCTION("""COMPUTED_VALUE"""),44.0)</f>
        <v>44</v>
      </c>
      <c r="F31" s="492">
        <f>IFERROR(__xludf.DUMMYFUNCTION("""COMPUTED_VALUE"""),3.0)</f>
        <v>3</v>
      </c>
      <c r="G31" s="492">
        <f>IFERROR(__xludf.DUMMYFUNCTION("""COMPUTED_VALUE"""),53.0)</f>
        <v>53</v>
      </c>
      <c r="H31" s="492">
        <f>IFERROR(__xludf.DUMMYFUNCTION("""COMPUTED_VALUE"""),-9.0)</f>
        <v>-9</v>
      </c>
      <c r="I31" s="492">
        <f>IFERROR(__xludf.DUMMYFUNCTION("""COMPUTED_VALUE"""),4.0)</f>
        <v>4</v>
      </c>
      <c r="J31" s="492">
        <f>IFERROR(__xludf.DUMMYFUNCTION("""COMPUTED_VALUE"""),1.0)</f>
        <v>1</v>
      </c>
      <c r="K31" s="492">
        <f>IFERROR(__xludf.DUMMYFUNCTION("""COMPUTED_VALUE"""),673.5)</f>
        <v>673.5</v>
      </c>
      <c r="L31" s="492">
        <f>IFERROR(__xludf.DUMMYFUNCTION("""COMPUTED_VALUE"""),897.0)</f>
        <v>897</v>
      </c>
      <c r="M31" s="492">
        <f>IFERROR(__xludf.DUMMYFUNCTION("""COMPUTED_VALUE"""),12.5)</f>
        <v>12.5</v>
      </c>
      <c r="N31" s="492">
        <f>IFERROR(__xludf.DUMMYFUNCTION("""COMPUTED_VALUE"""),0.5)</f>
        <v>0.5</v>
      </c>
      <c r="O31" s="492">
        <f>IFERROR(__xludf.DUMMYFUNCTION("""COMPUTED_VALUE"""),0.0)</f>
        <v>0</v>
      </c>
      <c r="P31" s="492">
        <f>IFERROR(__xludf.DUMMYFUNCTION("""COMPUTED_VALUE"""),0.0)</f>
        <v>0</v>
      </c>
      <c r="Q31" s="492">
        <f>IFERROR(__xludf.DUMMYFUNCTION("""COMPUTED_VALUE"""),0.0)</f>
        <v>0</v>
      </c>
      <c r="R31" s="492">
        <f>IFERROR(__xludf.DUMMYFUNCTION("""COMPUTED_VALUE"""),0.0)</f>
        <v>0</v>
      </c>
      <c r="S31" s="492">
        <f>IFERROR(__xludf.DUMMYFUNCTION("""COMPUTED_VALUE"""),8.0)</f>
        <v>8</v>
      </c>
      <c r="T31" s="492">
        <f>IFERROR(__xludf.DUMMYFUNCTION("""COMPUTED_VALUE"""),1.0)</f>
        <v>1</v>
      </c>
      <c r="U31" s="492">
        <f>IFERROR(__xludf.DUMMYFUNCTION("""COMPUTED_VALUE"""),0.0)</f>
        <v>0</v>
      </c>
      <c r="V31" s="492">
        <f>IFERROR(__xludf.DUMMYFUNCTION("""COMPUTED_VALUE"""),0.0)</f>
        <v>0</v>
      </c>
      <c r="W31" s="492">
        <f>IFERROR(__xludf.DUMMYFUNCTION("""COMPUTED_VALUE"""),0.0)</f>
        <v>0</v>
      </c>
      <c r="X31" s="492">
        <f>IFERROR(__xludf.DUMMYFUNCTION("""COMPUTED_VALUE"""),0.0)</f>
        <v>0</v>
      </c>
      <c r="Y31" s="492">
        <f>IFERROR(__xludf.DUMMYFUNCTION("""COMPUTED_VALUE"""),0.0)</f>
        <v>0</v>
      </c>
      <c r="Z31" s="492">
        <f>IFERROR(__xludf.DUMMYFUNCTION("""COMPUTED_VALUE"""),0.0)</f>
        <v>0</v>
      </c>
      <c r="AA31" s="492">
        <f>IFERROR(__xludf.DUMMYFUNCTION("""COMPUTED_VALUE"""),0.0)</f>
        <v>0</v>
      </c>
      <c r="AB31" s="492">
        <f>IFERROR(__xludf.DUMMYFUNCTION("""COMPUTED_VALUE"""),0.0)</f>
        <v>0</v>
      </c>
      <c r="AC31" s="492">
        <f>IFERROR(__xludf.DUMMYFUNCTION("""COMPUTED_VALUE"""),0.5)</f>
        <v>0.5</v>
      </c>
      <c r="AD31" s="492">
        <f>IFERROR(__xludf.DUMMYFUNCTION("""COMPUTED_VALUE"""),0.0)</f>
        <v>0</v>
      </c>
      <c r="AE31" s="492">
        <f>IFERROR(__xludf.DUMMYFUNCTION("""COMPUTED_VALUE"""),0.0)</f>
        <v>0</v>
      </c>
      <c r="AF31" s="492"/>
      <c r="AG31" s="492"/>
      <c r="AH31" s="492"/>
      <c r="AI31" s="492"/>
      <c r="AJ31" s="492"/>
      <c r="AK31" s="492"/>
      <c r="AL31" s="492"/>
      <c r="AM31" s="492"/>
      <c r="AN31" s="492"/>
      <c r="AO31" s="492"/>
      <c r="AP31" s="492"/>
      <c r="AQ31" s="492"/>
      <c r="AR31" s="492"/>
      <c r="AS31" s="492"/>
      <c r="AT31" s="492"/>
      <c r="AU31" s="492"/>
      <c r="AV31" s="492"/>
      <c r="AW31" s="492"/>
      <c r="AX31" s="492"/>
    </row>
    <row r="32">
      <c r="A32" s="492" t="str">
        <f>IFERROR(__xludf.DUMMYFUNCTION("""COMPUTED_VALUE"""),"Mhurcy")</f>
        <v>Mhurcy</v>
      </c>
      <c r="B32" s="492">
        <f>IFERROR(__xludf.DUMMYFUNCTION("""COMPUTED_VALUE"""),0.6666666666666666)</f>
        <v>0.6666666667</v>
      </c>
      <c r="C32" s="492">
        <f>IFERROR(__xludf.DUMMYFUNCTION("""COMPUTED_VALUE"""),0.3333333333333333)</f>
        <v>0.3333333333</v>
      </c>
      <c r="D32" s="492">
        <f>IFERROR(__xludf.DUMMYFUNCTION("""COMPUTED_VALUE"""),0.0)</f>
        <v>0</v>
      </c>
      <c r="E32" s="492">
        <f>IFERROR(__xludf.DUMMYFUNCTION("""COMPUTED_VALUE"""),60.666666666666664)</f>
        <v>60.66666667</v>
      </c>
      <c r="F32" s="492">
        <f>IFERROR(__xludf.DUMMYFUNCTION("""COMPUTED_VALUE"""),3.3333333333333335)</f>
        <v>3.333333333</v>
      </c>
      <c r="G32" s="492">
        <f>IFERROR(__xludf.DUMMYFUNCTION("""COMPUTED_VALUE"""),70.33333333333333)</f>
        <v>70.33333333</v>
      </c>
      <c r="H32" s="492">
        <f>IFERROR(__xludf.DUMMYFUNCTION("""COMPUTED_VALUE"""),-9.666666666666666)</f>
        <v>-9.666666667</v>
      </c>
      <c r="I32" s="492">
        <f>IFERROR(__xludf.DUMMYFUNCTION("""COMPUTED_VALUE"""),4.333333333333333)</f>
        <v>4.333333333</v>
      </c>
      <c r="J32" s="492">
        <f>IFERROR(__xludf.DUMMYFUNCTION("""COMPUTED_VALUE"""),2.0)</f>
        <v>2</v>
      </c>
      <c r="K32" s="492">
        <f>IFERROR(__xludf.DUMMYFUNCTION("""COMPUTED_VALUE"""),757.3333333333334)</f>
        <v>757.3333333</v>
      </c>
      <c r="L32" s="492">
        <f>IFERROR(__xludf.DUMMYFUNCTION("""COMPUTED_VALUE"""),1053.3333333333333)</f>
        <v>1053.333333</v>
      </c>
      <c r="M32" s="492">
        <f>IFERROR(__xludf.DUMMYFUNCTION("""COMPUTED_VALUE"""),10.0)</f>
        <v>10</v>
      </c>
      <c r="N32" s="492">
        <f>IFERROR(__xludf.DUMMYFUNCTION("""COMPUTED_VALUE"""),1.0)</f>
        <v>1</v>
      </c>
      <c r="O32" s="492">
        <f>IFERROR(__xludf.DUMMYFUNCTION("""COMPUTED_VALUE"""),0.0)</f>
        <v>0</v>
      </c>
      <c r="P32" s="492">
        <f>IFERROR(__xludf.DUMMYFUNCTION("""COMPUTED_VALUE"""),0.0)</f>
        <v>0</v>
      </c>
      <c r="Q32" s="492">
        <f>IFERROR(__xludf.DUMMYFUNCTION("""COMPUTED_VALUE"""),0.0)</f>
        <v>0</v>
      </c>
      <c r="R32" s="492">
        <f>IFERROR(__xludf.DUMMYFUNCTION("""COMPUTED_VALUE"""),0.0)</f>
        <v>0</v>
      </c>
      <c r="S32" s="492">
        <f>IFERROR(__xludf.DUMMYFUNCTION("""COMPUTED_VALUE"""),9.333333333333334)</f>
        <v>9.333333333</v>
      </c>
      <c r="T32" s="492">
        <f>IFERROR(__xludf.DUMMYFUNCTION("""COMPUTED_VALUE"""),1.6666666666666667)</f>
        <v>1.666666667</v>
      </c>
      <c r="U32" s="492">
        <f>IFERROR(__xludf.DUMMYFUNCTION("""COMPUTED_VALUE"""),0.3333333333333333)</f>
        <v>0.3333333333</v>
      </c>
      <c r="V32" s="492">
        <f>IFERROR(__xludf.DUMMYFUNCTION("""COMPUTED_VALUE"""),0.3333333333333333)</f>
        <v>0.3333333333</v>
      </c>
      <c r="W32" s="492">
        <f>IFERROR(__xludf.DUMMYFUNCTION("""COMPUTED_VALUE"""),0.0)</f>
        <v>0</v>
      </c>
      <c r="X32" s="492">
        <f>IFERROR(__xludf.DUMMYFUNCTION("""COMPUTED_VALUE"""),0.0)</f>
        <v>0</v>
      </c>
      <c r="Y32" s="492">
        <f>IFERROR(__xludf.DUMMYFUNCTION("""COMPUTED_VALUE"""),0.0)</f>
        <v>0</v>
      </c>
      <c r="Z32" s="492">
        <f>IFERROR(__xludf.DUMMYFUNCTION("""COMPUTED_VALUE"""),0.0)</f>
        <v>0</v>
      </c>
      <c r="AA32" s="492">
        <f>IFERROR(__xludf.DUMMYFUNCTION("""COMPUTED_VALUE"""),0.0)</f>
        <v>0</v>
      </c>
      <c r="AB32" s="492">
        <f>IFERROR(__xludf.DUMMYFUNCTION("""COMPUTED_VALUE"""),0.0)</f>
        <v>0</v>
      </c>
      <c r="AC32" s="492">
        <f>IFERROR(__xludf.DUMMYFUNCTION("""COMPUTED_VALUE"""),3.6666666666666665)</f>
        <v>3.666666667</v>
      </c>
      <c r="AD32" s="492">
        <f>IFERROR(__xludf.DUMMYFUNCTION("""COMPUTED_VALUE"""),0.0)</f>
        <v>0</v>
      </c>
      <c r="AE32" s="492">
        <f>IFERROR(__xludf.DUMMYFUNCTION("""COMPUTED_VALUE"""),1.0)</f>
        <v>1</v>
      </c>
      <c r="AF32" s="492"/>
      <c r="AG32" s="492"/>
      <c r="AH32" s="492"/>
      <c r="AI32" s="492"/>
      <c r="AJ32" s="492"/>
      <c r="AK32" s="492"/>
      <c r="AL32" s="492"/>
      <c r="AM32" s="492"/>
      <c r="AN32" s="492"/>
      <c r="AO32" s="492"/>
      <c r="AP32" s="492"/>
      <c r="AQ32" s="492"/>
      <c r="AR32" s="492"/>
      <c r="AS32" s="492"/>
      <c r="AT32" s="492"/>
      <c r="AU32" s="492"/>
      <c r="AV32" s="492"/>
      <c r="AW32" s="492"/>
      <c r="AX32" s="492"/>
    </row>
    <row r="33">
      <c r="A33" s="492" t="str">
        <f>IFERROR(__xludf.DUMMYFUNCTION("""COMPUTED_VALUE"""),"MoldyVolts")</f>
        <v>MoldyVolts</v>
      </c>
      <c r="B33" s="492">
        <f>IFERROR(__xludf.DUMMYFUNCTION("""COMPUTED_VALUE"""),0.5)</f>
        <v>0.5</v>
      </c>
      <c r="C33" s="492">
        <f>IFERROR(__xludf.DUMMYFUNCTION("""COMPUTED_VALUE"""),0.5)</f>
        <v>0.5</v>
      </c>
      <c r="D33" s="492">
        <f>IFERROR(__xludf.DUMMYFUNCTION("""COMPUTED_VALUE"""),0.5)</f>
        <v>0.5</v>
      </c>
      <c r="E33" s="492">
        <f>IFERROR(__xludf.DUMMYFUNCTION("""COMPUTED_VALUE"""),96.5)</f>
        <v>96.5</v>
      </c>
      <c r="F33" s="492">
        <f>IFERROR(__xludf.DUMMYFUNCTION("""COMPUTED_VALUE"""),8.0)</f>
        <v>8</v>
      </c>
      <c r="G33" s="492">
        <f>IFERROR(__xludf.DUMMYFUNCTION("""COMPUTED_VALUE"""),121.75)</f>
        <v>121.75</v>
      </c>
      <c r="H33" s="492">
        <f>IFERROR(__xludf.DUMMYFUNCTION("""COMPUTED_VALUE"""),-25.25)</f>
        <v>-25.25</v>
      </c>
      <c r="I33" s="492">
        <f>IFERROR(__xludf.DUMMYFUNCTION("""COMPUTED_VALUE"""),5.75)</f>
        <v>5.75</v>
      </c>
      <c r="J33" s="492">
        <f>IFERROR(__xludf.DUMMYFUNCTION("""COMPUTED_VALUE"""),2.0)</f>
        <v>2</v>
      </c>
      <c r="K33" s="492">
        <f>IFERROR(__xludf.DUMMYFUNCTION("""COMPUTED_VALUE"""),1271.5)</f>
        <v>1271.5</v>
      </c>
      <c r="L33" s="492">
        <f>IFERROR(__xludf.DUMMYFUNCTION("""COMPUTED_VALUE"""),1725.75)</f>
        <v>1725.75</v>
      </c>
      <c r="M33" s="492">
        <f>IFERROR(__xludf.DUMMYFUNCTION("""COMPUTED_VALUE"""),10.25)</f>
        <v>10.25</v>
      </c>
      <c r="N33" s="492">
        <f>IFERROR(__xludf.DUMMYFUNCTION("""COMPUTED_VALUE"""),2.25)</f>
        <v>2.25</v>
      </c>
      <c r="O33" s="492">
        <f>IFERROR(__xludf.DUMMYFUNCTION("""COMPUTED_VALUE"""),0.0)</f>
        <v>0</v>
      </c>
      <c r="P33" s="492">
        <f>IFERROR(__xludf.DUMMYFUNCTION("""COMPUTED_VALUE"""),0.0)</f>
        <v>0</v>
      </c>
      <c r="Q33" s="492">
        <f>IFERROR(__xludf.DUMMYFUNCTION("""COMPUTED_VALUE"""),0.0)</f>
        <v>0</v>
      </c>
      <c r="R33" s="492">
        <f>IFERROR(__xludf.DUMMYFUNCTION("""COMPUTED_VALUE"""),0.0)</f>
        <v>0</v>
      </c>
      <c r="S33" s="492">
        <f>IFERROR(__xludf.DUMMYFUNCTION("""COMPUTED_VALUE"""),16.25)</f>
        <v>16.25</v>
      </c>
      <c r="T33" s="492">
        <f>IFERROR(__xludf.DUMMYFUNCTION("""COMPUTED_VALUE"""),3.5)</f>
        <v>3.5</v>
      </c>
      <c r="U33" s="492">
        <f>IFERROR(__xludf.DUMMYFUNCTION("""COMPUTED_VALUE"""),1.25)</f>
        <v>1.25</v>
      </c>
      <c r="V33" s="492">
        <f>IFERROR(__xludf.DUMMYFUNCTION("""COMPUTED_VALUE"""),0.0)</f>
        <v>0</v>
      </c>
      <c r="W33" s="492">
        <f>IFERROR(__xludf.DUMMYFUNCTION("""COMPUTED_VALUE"""),0.0)</f>
        <v>0</v>
      </c>
      <c r="X33" s="492">
        <f>IFERROR(__xludf.DUMMYFUNCTION("""COMPUTED_VALUE"""),0.0)</f>
        <v>0</v>
      </c>
      <c r="Y33" s="492">
        <f>IFERROR(__xludf.DUMMYFUNCTION("""COMPUTED_VALUE"""),0.0)</f>
        <v>0</v>
      </c>
      <c r="Z33" s="492">
        <f>IFERROR(__xludf.DUMMYFUNCTION("""COMPUTED_VALUE"""),0.0)</f>
        <v>0</v>
      </c>
      <c r="AA33" s="492">
        <f>IFERROR(__xludf.DUMMYFUNCTION("""COMPUTED_VALUE"""),0.0)</f>
        <v>0</v>
      </c>
      <c r="AB33" s="492">
        <f>IFERROR(__xludf.DUMMYFUNCTION("""COMPUTED_VALUE"""),0.0)</f>
        <v>0</v>
      </c>
      <c r="AC33" s="492">
        <f>IFERROR(__xludf.DUMMYFUNCTION("""COMPUTED_VALUE"""),5.75)</f>
        <v>5.75</v>
      </c>
      <c r="AD33" s="492">
        <f>IFERROR(__xludf.DUMMYFUNCTION("""COMPUTED_VALUE"""),0.0)</f>
        <v>0</v>
      </c>
      <c r="AE33" s="492">
        <f>IFERROR(__xludf.DUMMYFUNCTION("""COMPUTED_VALUE"""),2.25)</f>
        <v>2.25</v>
      </c>
      <c r="AF33" s="492"/>
      <c r="AG33" s="492"/>
      <c r="AH33" s="492"/>
      <c r="AI33" s="492"/>
      <c r="AJ33" s="492"/>
      <c r="AK33" s="492"/>
      <c r="AL33" s="492"/>
      <c r="AM33" s="492"/>
      <c r="AN33" s="492"/>
      <c r="AO33" s="492"/>
      <c r="AP33" s="492"/>
      <c r="AQ33" s="492"/>
      <c r="AR33" s="492"/>
      <c r="AS33" s="492"/>
      <c r="AT33" s="492"/>
      <c r="AU33" s="492"/>
      <c r="AV33" s="492"/>
      <c r="AW33" s="492"/>
      <c r="AX33" s="492"/>
    </row>
    <row r="34">
      <c r="A34" s="492" t="str">
        <f>IFERROR(__xludf.DUMMYFUNCTION("""COMPUTED_VALUE"""),"NOPLEX")</f>
        <v>NOPLEX</v>
      </c>
      <c r="B34" s="492">
        <f>IFERROR(__xludf.DUMMYFUNCTION("""COMPUTED_VALUE"""),0.3333333333333333)</f>
        <v>0.3333333333</v>
      </c>
      <c r="C34" s="492">
        <f>IFERROR(__xludf.DUMMYFUNCTION("""COMPUTED_VALUE"""),0.6666666666666666)</f>
        <v>0.6666666667</v>
      </c>
      <c r="D34" s="492">
        <f>IFERROR(__xludf.DUMMYFUNCTION("""COMPUTED_VALUE"""),0.0)</f>
        <v>0</v>
      </c>
      <c r="E34" s="492">
        <f>IFERROR(__xludf.DUMMYFUNCTION("""COMPUTED_VALUE"""),62.666666666666664)</f>
        <v>62.66666667</v>
      </c>
      <c r="F34" s="492">
        <f>IFERROR(__xludf.DUMMYFUNCTION("""COMPUTED_VALUE"""),5.333333333333333)</f>
        <v>5.333333333</v>
      </c>
      <c r="G34" s="492">
        <f>IFERROR(__xludf.DUMMYFUNCTION("""COMPUTED_VALUE"""),81.33333333333333)</f>
        <v>81.33333333</v>
      </c>
      <c r="H34" s="492">
        <f>IFERROR(__xludf.DUMMYFUNCTION("""COMPUTED_VALUE"""),-18.666666666666668)</f>
        <v>-18.66666667</v>
      </c>
      <c r="I34" s="492">
        <f>IFERROR(__xludf.DUMMYFUNCTION("""COMPUTED_VALUE"""),4.0)</f>
        <v>4</v>
      </c>
      <c r="J34" s="492">
        <f>IFERROR(__xludf.DUMMYFUNCTION("""COMPUTED_VALUE"""),1.3333333333333333)</f>
        <v>1.333333333</v>
      </c>
      <c r="K34" s="492">
        <f>IFERROR(__xludf.DUMMYFUNCTION("""COMPUTED_VALUE"""),877.0)</f>
        <v>877</v>
      </c>
      <c r="L34" s="492">
        <f>IFERROR(__xludf.DUMMYFUNCTION("""COMPUTED_VALUE"""),1193.6666666666667)</f>
        <v>1193.666667</v>
      </c>
      <c r="M34" s="492">
        <f>IFERROR(__xludf.DUMMYFUNCTION("""COMPUTED_VALUE"""),10.333333333333334)</f>
        <v>10.33333333</v>
      </c>
      <c r="N34" s="492">
        <f>IFERROR(__xludf.DUMMYFUNCTION("""COMPUTED_VALUE"""),0.6666666666666666)</f>
        <v>0.6666666667</v>
      </c>
      <c r="O34" s="492">
        <f>IFERROR(__xludf.DUMMYFUNCTION("""COMPUTED_VALUE"""),0.0)</f>
        <v>0</v>
      </c>
      <c r="P34" s="492">
        <f>IFERROR(__xludf.DUMMYFUNCTION("""COMPUTED_VALUE"""),0.0)</f>
        <v>0</v>
      </c>
      <c r="Q34" s="492">
        <f>IFERROR(__xludf.DUMMYFUNCTION("""COMPUTED_VALUE"""),0.0)</f>
        <v>0</v>
      </c>
      <c r="R34" s="492">
        <f>IFERROR(__xludf.DUMMYFUNCTION("""COMPUTED_VALUE"""),0.0)</f>
        <v>0</v>
      </c>
      <c r="S34" s="492">
        <f>IFERROR(__xludf.DUMMYFUNCTION("""COMPUTED_VALUE"""),8.333333333333334)</f>
        <v>8.333333333</v>
      </c>
      <c r="T34" s="492">
        <f>IFERROR(__xludf.DUMMYFUNCTION("""COMPUTED_VALUE"""),2.0)</f>
        <v>2</v>
      </c>
      <c r="U34" s="492">
        <f>IFERROR(__xludf.DUMMYFUNCTION("""COMPUTED_VALUE"""),0.3333333333333333)</f>
        <v>0.3333333333</v>
      </c>
      <c r="V34" s="492">
        <f>IFERROR(__xludf.DUMMYFUNCTION("""COMPUTED_VALUE"""),0.3333333333333333)</f>
        <v>0.3333333333</v>
      </c>
      <c r="W34" s="492">
        <f>IFERROR(__xludf.DUMMYFUNCTION("""COMPUTED_VALUE"""),0.0)</f>
        <v>0</v>
      </c>
      <c r="X34" s="492">
        <f>IFERROR(__xludf.DUMMYFUNCTION("""COMPUTED_VALUE"""),0.0)</f>
        <v>0</v>
      </c>
      <c r="Y34" s="492">
        <f>IFERROR(__xludf.DUMMYFUNCTION("""COMPUTED_VALUE"""),0.0)</f>
        <v>0</v>
      </c>
      <c r="Z34" s="492">
        <f>IFERROR(__xludf.DUMMYFUNCTION("""COMPUTED_VALUE"""),0.0)</f>
        <v>0</v>
      </c>
      <c r="AA34" s="492">
        <f>IFERROR(__xludf.DUMMYFUNCTION("""COMPUTED_VALUE"""),0.0)</f>
        <v>0</v>
      </c>
      <c r="AB34" s="492">
        <f>IFERROR(__xludf.DUMMYFUNCTION("""COMPUTED_VALUE"""),0.0)</f>
        <v>0</v>
      </c>
      <c r="AC34" s="492">
        <f>IFERROR(__xludf.DUMMYFUNCTION("""COMPUTED_VALUE"""),1.0)</f>
        <v>1</v>
      </c>
      <c r="AD34" s="492">
        <f>IFERROR(__xludf.DUMMYFUNCTION("""COMPUTED_VALUE"""),0.0)</f>
        <v>0</v>
      </c>
      <c r="AE34" s="492">
        <f>IFERROR(__xludf.DUMMYFUNCTION("""COMPUTED_VALUE"""),0.3333333333333333)</f>
        <v>0.3333333333</v>
      </c>
      <c r="AF34" s="492"/>
      <c r="AG34" s="492"/>
      <c r="AH34" s="492"/>
      <c r="AI34" s="492"/>
      <c r="AJ34" s="492"/>
      <c r="AK34" s="492"/>
      <c r="AL34" s="492"/>
      <c r="AM34" s="492"/>
      <c r="AN34" s="492"/>
      <c r="AO34" s="492"/>
      <c r="AP34" s="492"/>
      <c r="AQ34" s="492"/>
      <c r="AR34" s="492"/>
      <c r="AS34" s="492"/>
      <c r="AT34" s="492"/>
      <c r="AU34" s="492"/>
      <c r="AV34" s="492"/>
      <c r="AW34" s="492"/>
      <c r="AX34" s="492"/>
    </row>
    <row r="35">
      <c r="A35" s="492" t="str">
        <f>IFERROR(__xludf.DUMMYFUNCTION("""COMPUTED_VALUE"""),"Rage More Nerd")</f>
        <v>Rage More Nerd</v>
      </c>
      <c r="B35" s="492">
        <f>IFERROR(__xludf.DUMMYFUNCTION("""COMPUTED_VALUE"""),0.25)</f>
        <v>0.25</v>
      </c>
      <c r="C35" s="492">
        <f>IFERROR(__xludf.DUMMYFUNCTION("""COMPUTED_VALUE"""),0.75)</f>
        <v>0.75</v>
      </c>
      <c r="D35" s="492">
        <f>IFERROR(__xludf.DUMMYFUNCTION("""COMPUTED_VALUE"""),0.0)</f>
        <v>0</v>
      </c>
      <c r="E35" s="492">
        <f>IFERROR(__xludf.DUMMYFUNCTION("""COMPUTED_VALUE"""),72.25)</f>
        <v>72.25</v>
      </c>
      <c r="F35" s="492">
        <f>IFERROR(__xludf.DUMMYFUNCTION("""COMPUTED_VALUE"""),3.75)</f>
        <v>3.75</v>
      </c>
      <c r="G35" s="492">
        <f>IFERROR(__xludf.DUMMYFUNCTION("""COMPUTED_VALUE"""),64.0)</f>
        <v>64</v>
      </c>
      <c r="H35" s="492">
        <f>IFERROR(__xludf.DUMMYFUNCTION("""COMPUTED_VALUE"""),8.25)</f>
        <v>8.25</v>
      </c>
      <c r="I35" s="492">
        <f>IFERROR(__xludf.DUMMYFUNCTION("""COMPUTED_VALUE"""),6.75)</f>
        <v>6.75</v>
      </c>
      <c r="J35" s="492">
        <f>IFERROR(__xludf.DUMMYFUNCTION("""COMPUTED_VALUE"""),0.5)</f>
        <v>0.5</v>
      </c>
      <c r="K35" s="492">
        <f>IFERROR(__xludf.DUMMYFUNCTION("""COMPUTED_VALUE"""),914.0)</f>
        <v>914</v>
      </c>
      <c r="L35" s="492">
        <f>IFERROR(__xludf.DUMMYFUNCTION("""COMPUTED_VALUE"""),1181.0)</f>
        <v>1181</v>
      </c>
      <c r="M35" s="492">
        <f>IFERROR(__xludf.DUMMYFUNCTION("""COMPUTED_VALUE"""),14.0)</f>
        <v>14</v>
      </c>
      <c r="N35" s="492">
        <f>IFERROR(__xludf.DUMMYFUNCTION("""COMPUTED_VALUE"""),1.0)</f>
        <v>1</v>
      </c>
      <c r="O35" s="492">
        <f>IFERROR(__xludf.DUMMYFUNCTION("""COMPUTED_VALUE"""),0.0)</f>
        <v>0</v>
      </c>
      <c r="P35" s="492">
        <f>IFERROR(__xludf.DUMMYFUNCTION("""COMPUTED_VALUE"""),0.0)</f>
        <v>0</v>
      </c>
      <c r="Q35" s="492">
        <f>IFERROR(__xludf.DUMMYFUNCTION("""COMPUTED_VALUE"""),0.0)</f>
        <v>0</v>
      </c>
      <c r="R35" s="492">
        <f>IFERROR(__xludf.DUMMYFUNCTION("""COMPUTED_VALUE"""),0.0)</f>
        <v>0</v>
      </c>
      <c r="S35" s="492">
        <f>IFERROR(__xludf.DUMMYFUNCTION("""COMPUTED_VALUE"""),10.0)</f>
        <v>10</v>
      </c>
      <c r="T35" s="492">
        <f>IFERROR(__xludf.DUMMYFUNCTION("""COMPUTED_VALUE"""),2.75)</f>
        <v>2.75</v>
      </c>
      <c r="U35" s="492">
        <f>IFERROR(__xludf.DUMMYFUNCTION("""COMPUTED_VALUE"""),0.0)</f>
        <v>0</v>
      </c>
      <c r="V35" s="492">
        <f>IFERROR(__xludf.DUMMYFUNCTION("""COMPUTED_VALUE"""),0.0)</f>
        <v>0</v>
      </c>
      <c r="W35" s="492">
        <f>IFERROR(__xludf.DUMMYFUNCTION("""COMPUTED_VALUE"""),0.0)</f>
        <v>0</v>
      </c>
      <c r="X35" s="492">
        <f>IFERROR(__xludf.DUMMYFUNCTION("""COMPUTED_VALUE"""),0.0)</f>
        <v>0</v>
      </c>
      <c r="Y35" s="492">
        <f>IFERROR(__xludf.DUMMYFUNCTION("""COMPUTED_VALUE"""),0.0)</f>
        <v>0</v>
      </c>
      <c r="Z35" s="492">
        <f>IFERROR(__xludf.DUMMYFUNCTION("""COMPUTED_VALUE"""),0.0)</f>
        <v>0</v>
      </c>
      <c r="AA35" s="492">
        <f>IFERROR(__xludf.DUMMYFUNCTION("""COMPUTED_VALUE"""),0.0)</f>
        <v>0</v>
      </c>
      <c r="AB35" s="492">
        <f>IFERROR(__xludf.DUMMYFUNCTION("""COMPUTED_VALUE"""),0.0)</f>
        <v>0</v>
      </c>
      <c r="AC35" s="492">
        <f>IFERROR(__xludf.DUMMYFUNCTION("""COMPUTED_VALUE"""),1.75)</f>
        <v>1.75</v>
      </c>
      <c r="AD35" s="492">
        <f>IFERROR(__xludf.DUMMYFUNCTION("""COMPUTED_VALUE"""),0.0)</f>
        <v>0</v>
      </c>
      <c r="AE35" s="492">
        <f>IFERROR(__xludf.DUMMYFUNCTION("""COMPUTED_VALUE"""),0.5)</f>
        <v>0.5</v>
      </c>
      <c r="AF35" s="492"/>
      <c r="AG35" s="492"/>
      <c r="AH35" s="492"/>
      <c r="AI35" s="492"/>
      <c r="AJ35" s="492"/>
      <c r="AK35" s="492"/>
      <c r="AL35" s="492"/>
      <c r="AM35" s="492"/>
      <c r="AN35" s="492"/>
      <c r="AO35" s="492"/>
      <c r="AP35" s="492"/>
      <c r="AQ35" s="492"/>
      <c r="AR35" s="492"/>
      <c r="AS35" s="492"/>
      <c r="AT35" s="492"/>
      <c r="AU35" s="492"/>
      <c r="AV35" s="492"/>
      <c r="AW35" s="492"/>
      <c r="AX35" s="492"/>
    </row>
    <row r="36">
      <c r="A36" s="492" t="str">
        <f>IFERROR(__xludf.DUMMYFUNCTION("""COMPUTED_VALUE"""),"SOULBENDERs")</f>
        <v>SOULBENDERs</v>
      </c>
      <c r="B36" s="492">
        <f>IFERROR(__xludf.DUMMYFUNCTION("""COMPUTED_VALUE"""),0.0)</f>
        <v>0</v>
      </c>
      <c r="C36" s="492">
        <f>IFERROR(__xludf.DUMMYFUNCTION("""COMPUTED_VALUE"""),1.0)</f>
        <v>1</v>
      </c>
      <c r="D36" s="492">
        <f>IFERROR(__xludf.DUMMYFUNCTION("""COMPUTED_VALUE"""),0.0)</f>
        <v>0</v>
      </c>
      <c r="E36" s="492">
        <f>IFERROR(__xludf.DUMMYFUNCTION("""COMPUTED_VALUE"""),93.0)</f>
        <v>93</v>
      </c>
      <c r="F36" s="492">
        <f>IFERROR(__xludf.DUMMYFUNCTION("""COMPUTED_VALUE"""),5.0)</f>
        <v>5</v>
      </c>
      <c r="G36" s="492">
        <f>IFERROR(__xludf.DUMMYFUNCTION("""COMPUTED_VALUE"""),98.0)</f>
        <v>98</v>
      </c>
      <c r="H36" s="492">
        <f>IFERROR(__xludf.DUMMYFUNCTION("""COMPUTED_VALUE"""),-5.0)</f>
        <v>-5</v>
      </c>
      <c r="I36" s="492">
        <f>IFERROR(__xludf.DUMMYFUNCTION("""COMPUTED_VALUE"""),4.0)</f>
        <v>4</v>
      </c>
      <c r="J36" s="492">
        <f>IFERROR(__xludf.DUMMYFUNCTION("""COMPUTED_VALUE"""),2.0)</f>
        <v>2</v>
      </c>
      <c r="K36" s="492">
        <f>IFERROR(__xludf.DUMMYFUNCTION("""COMPUTED_VALUE"""),1050.0)</f>
        <v>1050</v>
      </c>
      <c r="L36" s="492">
        <f>IFERROR(__xludf.DUMMYFUNCTION("""COMPUTED_VALUE"""),1416.0)</f>
        <v>1416</v>
      </c>
      <c r="M36" s="492">
        <f>IFERROR(__xludf.DUMMYFUNCTION("""COMPUTED_VALUE"""),10.0)</f>
        <v>10</v>
      </c>
      <c r="N36" s="492">
        <f>IFERROR(__xludf.DUMMYFUNCTION("""COMPUTED_VALUE"""),0.0)</f>
        <v>0</v>
      </c>
      <c r="O36" s="492">
        <f>IFERROR(__xludf.DUMMYFUNCTION("""COMPUTED_VALUE"""),0.0)</f>
        <v>0</v>
      </c>
      <c r="P36" s="492">
        <f>IFERROR(__xludf.DUMMYFUNCTION("""COMPUTED_VALUE"""),0.0)</f>
        <v>0</v>
      </c>
      <c r="Q36" s="492">
        <f>IFERROR(__xludf.DUMMYFUNCTION("""COMPUTED_VALUE"""),0.0)</f>
        <v>0</v>
      </c>
      <c r="R36" s="492">
        <f>IFERROR(__xludf.DUMMYFUNCTION("""COMPUTED_VALUE"""),0.0)</f>
        <v>0</v>
      </c>
      <c r="S36" s="492">
        <f>IFERROR(__xludf.DUMMYFUNCTION("""COMPUTED_VALUE"""),14.0)</f>
        <v>14</v>
      </c>
      <c r="T36" s="492">
        <f>IFERROR(__xludf.DUMMYFUNCTION("""COMPUTED_VALUE"""),2.0)</f>
        <v>2</v>
      </c>
      <c r="U36" s="492">
        <f>IFERROR(__xludf.DUMMYFUNCTION("""COMPUTED_VALUE"""),0.0)</f>
        <v>0</v>
      </c>
      <c r="V36" s="492">
        <f>IFERROR(__xludf.DUMMYFUNCTION("""COMPUTED_VALUE"""),0.0)</f>
        <v>0</v>
      </c>
      <c r="W36" s="492">
        <f>IFERROR(__xludf.DUMMYFUNCTION("""COMPUTED_VALUE"""),0.0)</f>
        <v>0</v>
      </c>
      <c r="X36" s="492">
        <f>IFERROR(__xludf.DUMMYFUNCTION("""COMPUTED_VALUE"""),0.0)</f>
        <v>0</v>
      </c>
      <c r="Y36" s="492">
        <f>IFERROR(__xludf.DUMMYFUNCTION("""COMPUTED_VALUE"""),0.0)</f>
        <v>0</v>
      </c>
      <c r="Z36" s="492">
        <f>IFERROR(__xludf.DUMMYFUNCTION("""COMPUTED_VALUE"""),0.0)</f>
        <v>0</v>
      </c>
      <c r="AA36" s="492">
        <f>IFERROR(__xludf.DUMMYFUNCTION("""COMPUTED_VALUE"""),0.0)</f>
        <v>0</v>
      </c>
      <c r="AB36" s="492">
        <f>IFERROR(__xludf.DUMMYFUNCTION("""COMPUTED_VALUE"""),0.0)</f>
        <v>0</v>
      </c>
      <c r="AC36" s="492">
        <f>IFERROR(__xludf.DUMMYFUNCTION("""COMPUTED_VALUE"""),2.0)</f>
        <v>2</v>
      </c>
      <c r="AD36" s="492">
        <f>IFERROR(__xludf.DUMMYFUNCTION("""COMPUTED_VALUE"""),0.0)</f>
        <v>0</v>
      </c>
      <c r="AE36" s="492">
        <f>IFERROR(__xludf.DUMMYFUNCTION("""COMPUTED_VALUE"""),0.0)</f>
        <v>0</v>
      </c>
      <c r="AF36" s="492"/>
      <c r="AG36" s="492"/>
      <c r="AH36" s="492"/>
      <c r="AI36" s="492"/>
      <c r="AJ36" s="492"/>
      <c r="AK36" s="492"/>
      <c r="AL36" s="492"/>
      <c r="AM36" s="492"/>
      <c r="AN36" s="492"/>
      <c r="AO36" s="492"/>
      <c r="AP36" s="492"/>
      <c r="AQ36" s="492"/>
      <c r="AR36" s="492"/>
      <c r="AS36" s="492"/>
      <c r="AT36" s="492"/>
      <c r="AU36" s="492"/>
      <c r="AV36" s="492"/>
      <c r="AW36" s="492"/>
      <c r="AX36" s="492"/>
    </row>
    <row r="37">
      <c r="A37" s="492" t="str">
        <f>IFERROR(__xludf.DUMMYFUNCTION("""COMPUTED_VALUE"""),"Sabasauros rex")</f>
        <v>Sabasauros rex</v>
      </c>
      <c r="B37" s="492">
        <f>IFERROR(__xludf.DUMMYFUNCTION("""COMPUTED_VALUE"""),0.5)</f>
        <v>0.5</v>
      </c>
      <c r="C37" s="492">
        <f>IFERROR(__xludf.DUMMYFUNCTION("""COMPUTED_VALUE"""),0.5)</f>
        <v>0.5</v>
      </c>
      <c r="D37" s="492">
        <f>IFERROR(__xludf.DUMMYFUNCTION("""COMPUTED_VALUE"""),2.5)</f>
        <v>2.5</v>
      </c>
      <c r="E37" s="492">
        <f>IFERROR(__xludf.DUMMYFUNCTION("""COMPUTED_VALUE"""),62.0)</f>
        <v>62</v>
      </c>
      <c r="F37" s="492">
        <f>IFERROR(__xludf.DUMMYFUNCTION("""COMPUTED_VALUE"""),2.5)</f>
        <v>2.5</v>
      </c>
      <c r="G37" s="492">
        <f>IFERROR(__xludf.DUMMYFUNCTION("""COMPUTED_VALUE"""),52.25)</f>
        <v>52.25</v>
      </c>
      <c r="H37" s="492">
        <f>IFERROR(__xludf.DUMMYFUNCTION("""COMPUTED_VALUE"""),9.75)</f>
        <v>9.75</v>
      </c>
      <c r="I37" s="492">
        <f>IFERROR(__xludf.DUMMYFUNCTION("""COMPUTED_VALUE"""),6.5)</f>
        <v>6.5</v>
      </c>
      <c r="J37" s="492">
        <f>IFERROR(__xludf.DUMMYFUNCTION("""COMPUTED_VALUE"""),1.25)</f>
        <v>1.25</v>
      </c>
      <c r="K37" s="492">
        <f>IFERROR(__xludf.DUMMYFUNCTION("""COMPUTED_VALUE"""),1480.75)</f>
        <v>1480.75</v>
      </c>
      <c r="L37" s="492">
        <f>IFERROR(__xludf.DUMMYFUNCTION("""COMPUTED_VALUE"""),1725.75)</f>
        <v>1725.75</v>
      </c>
      <c r="M37" s="492">
        <f>IFERROR(__xludf.DUMMYFUNCTION("""COMPUTED_VALUE"""),28.0)</f>
        <v>28</v>
      </c>
      <c r="N37" s="492">
        <f>IFERROR(__xludf.DUMMYFUNCTION("""COMPUTED_VALUE"""),2.0)</f>
        <v>2</v>
      </c>
      <c r="O37" s="492">
        <f>IFERROR(__xludf.DUMMYFUNCTION("""COMPUTED_VALUE"""),0.0)</f>
        <v>0</v>
      </c>
      <c r="P37" s="492">
        <f>IFERROR(__xludf.DUMMYFUNCTION("""COMPUTED_VALUE"""),0.0)</f>
        <v>0</v>
      </c>
      <c r="Q37" s="492">
        <f>IFERROR(__xludf.DUMMYFUNCTION("""COMPUTED_VALUE"""),0.0)</f>
        <v>0</v>
      </c>
      <c r="R37" s="492">
        <f>IFERROR(__xludf.DUMMYFUNCTION("""COMPUTED_VALUE"""),0.0)</f>
        <v>0</v>
      </c>
      <c r="S37" s="492">
        <f>IFERROR(__xludf.DUMMYFUNCTION("""COMPUTED_VALUE"""),8.25)</f>
        <v>8.25</v>
      </c>
      <c r="T37" s="492">
        <f>IFERROR(__xludf.DUMMYFUNCTION("""COMPUTED_VALUE"""),1.0)</f>
        <v>1</v>
      </c>
      <c r="U37" s="492">
        <f>IFERROR(__xludf.DUMMYFUNCTION("""COMPUTED_VALUE"""),0.5)</f>
        <v>0.5</v>
      </c>
      <c r="V37" s="492">
        <f>IFERROR(__xludf.DUMMYFUNCTION("""COMPUTED_VALUE"""),0.25)</f>
        <v>0.25</v>
      </c>
      <c r="W37" s="492">
        <f>IFERROR(__xludf.DUMMYFUNCTION("""COMPUTED_VALUE"""),0.0)</f>
        <v>0</v>
      </c>
      <c r="X37" s="492">
        <f>IFERROR(__xludf.DUMMYFUNCTION("""COMPUTED_VALUE"""),0.0)</f>
        <v>0</v>
      </c>
      <c r="Y37" s="492">
        <f>IFERROR(__xludf.DUMMYFUNCTION("""COMPUTED_VALUE"""),0.0)</f>
        <v>0</v>
      </c>
      <c r="Z37" s="492">
        <f>IFERROR(__xludf.DUMMYFUNCTION("""COMPUTED_VALUE"""),0.0)</f>
        <v>0</v>
      </c>
      <c r="AA37" s="492">
        <f>IFERROR(__xludf.DUMMYFUNCTION("""COMPUTED_VALUE"""),0.0)</f>
        <v>0</v>
      </c>
      <c r="AB37" s="492">
        <f>IFERROR(__xludf.DUMMYFUNCTION("""COMPUTED_VALUE"""),0.0)</f>
        <v>0</v>
      </c>
      <c r="AC37" s="492">
        <f>IFERROR(__xludf.DUMMYFUNCTION("""COMPUTED_VALUE"""),1.0)</f>
        <v>1</v>
      </c>
      <c r="AD37" s="492">
        <f>IFERROR(__xludf.DUMMYFUNCTION("""COMPUTED_VALUE"""),0.0)</f>
        <v>0</v>
      </c>
      <c r="AE37" s="492">
        <f>IFERROR(__xludf.DUMMYFUNCTION("""COMPUTED_VALUE"""),0.75)</f>
        <v>0.75</v>
      </c>
      <c r="AF37" s="492"/>
      <c r="AG37" s="492"/>
      <c r="AH37" s="492"/>
      <c r="AI37" s="492"/>
      <c r="AJ37" s="492"/>
      <c r="AK37" s="492"/>
      <c r="AL37" s="492"/>
      <c r="AM37" s="492"/>
      <c r="AN37" s="492"/>
      <c r="AO37" s="492"/>
      <c r="AP37" s="492"/>
      <c r="AQ37" s="492"/>
      <c r="AR37" s="492"/>
      <c r="AS37" s="492"/>
      <c r="AT37" s="492"/>
      <c r="AU37" s="492"/>
      <c r="AV37" s="492"/>
      <c r="AW37" s="492"/>
      <c r="AX37" s="492"/>
    </row>
    <row r="38">
      <c r="A38" s="492" t="str">
        <f>IFERROR(__xludf.DUMMYFUNCTION("""COMPUTED_VALUE"""),"Scullen cx")</f>
        <v>Scullen cx</v>
      </c>
      <c r="B38" s="492">
        <f>IFERROR(__xludf.DUMMYFUNCTION("""COMPUTED_VALUE"""),0.75)</f>
        <v>0.75</v>
      </c>
      <c r="C38" s="492">
        <f>IFERROR(__xludf.DUMMYFUNCTION("""COMPUTED_VALUE"""),0.25)</f>
        <v>0.25</v>
      </c>
      <c r="D38" s="492">
        <f>IFERROR(__xludf.DUMMYFUNCTION("""COMPUTED_VALUE"""),0.75)</f>
        <v>0.75</v>
      </c>
      <c r="E38" s="492">
        <f>IFERROR(__xludf.DUMMYFUNCTION("""COMPUTED_VALUE"""),80.0)</f>
        <v>80</v>
      </c>
      <c r="F38" s="492">
        <f>IFERROR(__xludf.DUMMYFUNCTION("""COMPUTED_VALUE"""),5.5)</f>
        <v>5.5</v>
      </c>
      <c r="G38" s="492">
        <f>IFERROR(__xludf.DUMMYFUNCTION("""COMPUTED_VALUE"""),100.5)</f>
        <v>100.5</v>
      </c>
      <c r="H38" s="492">
        <f>IFERROR(__xludf.DUMMYFUNCTION("""COMPUTED_VALUE"""),-20.5)</f>
        <v>-20.5</v>
      </c>
      <c r="I38" s="492">
        <f>IFERROR(__xludf.DUMMYFUNCTION("""COMPUTED_VALUE"""),4.0)</f>
        <v>4</v>
      </c>
      <c r="J38" s="492">
        <f>IFERROR(__xludf.DUMMYFUNCTION("""COMPUTED_VALUE"""),3.25)</f>
        <v>3.25</v>
      </c>
      <c r="K38" s="492">
        <f>IFERROR(__xludf.DUMMYFUNCTION("""COMPUTED_VALUE"""),1163.25)</f>
        <v>1163.25</v>
      </c>
      <c r="L38" s="492">
        <f>IFERROR(__xludf.DUMMYFUNCTION("""COMPUTED_VALUE"""),1544.0)</f>
        <v>1544</v>
      </c>
      <c r="M38" s="492">
        <f>IFERROR(__xludf.DUMMYFUNCTION("""COMPUTED_VALUE"""),11.0)</f>
        <v>11</v>
      </c>
      <c r="N38" s="492">
        <f>IFERROR(__xludf.DUMMYFUNCTION("""COMPUTED_VALUE"""),0.25)</f>
        <v>0.25</v>
      </c>
      <c r="O38" s="492">
        <f>IFERROR(__xludf.DUMMYFUNCTION("""COMPUTED_VALUE"""),0.0)</f>
        <v>0</v>
      </c>
      <c r="P38" s="492">
        <f>IFERROR(__xludf.DUMMYFUNCTION("""COMPUTED_VALUE"""),0.0)</f>
        <v>0</v>
      </c>
      <c r="Q38" s="492">
        <f>IFERROR(__xludf.DUMMYFUNCTION("""COMPUTED_VALUE"""),0.0)</f>
        <v>0</v>
      </c>
      <c r="R38" s="492">
        <f>IFERROR(__xludf.DUMMYFUNCTION("""COMPUTED_VALUE"""),0.0)</f>
        <v>0</v>
      </c>
      <c r="S38" s="492">
        <f>IFERROR(__xludf.DUMMYFUNCTION("""COMPUTED_VALUE"""),9.75)</f>
        <v>9.75</v>
      </c>
      <c r="T38" s="492">
        <f>IFERROR(__xludf.DUMMYFUNCTION("""COMPUTED_VALUE"""),1.75)</f>
        <v>1.75</v>
      </c>
      <c r="U38" s="492">
        <f>IFERROR(__xludf.DUMMYFUNCTION("""COMPUTED_VALUE"""),0.25)</f>
        <v>0.25</v>
      </c>
      <c r="V38" s="492">
        <f>IFERROR(__xludf.DUMMYFUNCTION("""COMPUTED_VALUE"""),0.0)</f>
        <v>0</v>
      </c>
      <c r="W38" s="492">
        <f>IFERROR(__xludf.DUMMYFUNCTION("""COMPUTED_VALUE"""),0.0)</f>
        <v>0</v>
      </c>
      <c r="X38" s="492">
        <f>IFERROR(__xludf.DUMMYFUNCTION("""COMPUTED_VALUE"""),0.0)</f>
        <v>0</v>
      </c>
      <c r="Y38" s="492">
        <f>IFERROR(__xludf.DUMMYFUNCTION("""COMPUTED_VALUE"""),0.0)</f>
        <v>0</v>
      </c>
      <c r="Z38" s="492">
        <f>IFERROR(__xludf.DUMMYFUNCTION("""COMPUTED_VALUE"""),0.0)</f>
        <v>0</v>
      </c>
      <c r="AA38" s="492">
        <f>IFERROR(__xludf.DUMMYFUNCTION("""COMPUTED_VALUE"""),0.0)</f>
        <v>0</v>
      </c>
      <c r="AB38" s="492">
        <f>IFERROR(__xludf.DUMMYFUNCTION("""COMPUTED_VALUE"""),0.0)</f>
        <v>0</v>
      </c>
      <c r="AC38" s="492">
        <f>IFERROR(__xludf.DUMMYFUNCTION("""COMPUTED_VALUE"""),4.5)</f>
        <v>4.5</v>
      </c>
      <c r="AD38" s="492">
        <f>IFERROR(__xludf.DUMMYFUNCTION("""COMPUTED_VALUE"""),0.0)</f>
        <v>0</v>
      </c>
      <c r="AE38" s="492">
        <f>IFERROR(__xludf.DUMMYFUNCTION("""COMPUTED_VALUE"""),0.25)</f>
        <v>0.25</v>
      </c>
      <c r="AF38" s="492"/>
      <c r="AG38" s="492"/>
      <c r="AH38" s="492"/>
      <c r="AI38" s="492"/>
      <c r="AJ38" s="492"/>
      <c r="AK38" s="492"/>
      <c r="AL38" s="492"/>
      <c r="AM38" s="492"/>
      <c r="AN38" s="492"/>
      <c r="AO38" s="492"/>
      <c r="AP38" s="492"/>
      <c r="AQ38" s="492"/>
      <c r="AR38" s="492"/>
      <c r="AS38" s="492"/>
      <c r="AT38" s="492"/>
      <c r="AU38" s="492"/>
      <c r="AV38" s="492"/>
      <c r="AW38" s="492"/>
      <c r="AX38" s="492"/>
    </row>
    <row r="39">
      <c r="A39" s="492" t="str">
        <f>IFERROR(__xludf.DUMMYFUNCTION("""COMPUTED_VALUE"""),"Solace VIII")</f>
        <v>Solace VIII</v>
      </c>
      <c r="B39" s="492">
        <f>IFERROR(__xludf.DUMMYFUNCTION("""COMPUTED_VALUE"""),0.5)</f>
        <v>0.5</v>
      </c>
      <c r="C39" s="492">
        <f>IFERROR(__xludf.DUMMYFUNCTION("""COMPUTED_VALUE"""),0.5)</f>
        <v>0.5</v>
      </c>
      <c r="D39" s="492">
        <f>IFERROR(__xludf.DUMMYFUNCTION("""COMPUTED_VALUE"""),0.5)</f>
        <v>0.5</v>
      </c>
      <c r="E39" s="492">
        <f>IFERROR(__xludf.DUMMYFUNCTION("""COMPUTED_VALUE"""),30.0)</f>
        <v>30</v>
      </c>
      <c r="F39" s="492">
        <f>IFERROR(__xludf.DUMMYFUNCTION("""COMPUTED_VALUE"""),2.0)</f>
        <v>2</v>
      </c>
      <c r="G39" s="492">
        <f>IFERROR(__xludf.DUMMYFUNCTION("""COMPUTED_VALUE"""),33.5)</f>
        <v>33.5</v>
      </c>
      <c r="H39" s="492">
        <f>IFERROR(__xludf.DUMMYFUNCTION("""COMPUTED_VALUE"""),-3.5)</f>
        <v>-3.5</v>
      </c>
      <c r="I39" s="492">
        <f>IFERROR(__xludf.DUMMYFUNCTION("""COMPUTED_VALUE"""),4.0)</f>
        <v>4</v>
      </c>
      <c r="J39" s="492">
        <f>IFERROR(__xludf.DUMMYFUNCTION("""COMPUTED_VALUE"""),0.0)</f>
        <v>0</v>
      </c>
      <c r="K39" s="492">
        <f>IFERROR(__xludf.DUMMYFUNCTION("""COMPUTED_VALUE"""),405.0)</f>
        <v>405</v>
      </c>
      <c r="L39" s="492">
        <f>IFERROR(__xludf.DUMMYFUNCTION("""COMPUTED_VALUE"""),572.0)</f>
        <v>572</v>
      </c>
      <c r="M39" s="492">
        <f>IFERROR(__xludf.DUMMYFUNCTION("""COMPUTED_VALUE"""),11.5)</f>
        <v>11.5</v>
      </c>
      <c r="N39" s="492">
        <f>IFERROR(__xludf.DUMMYFUNCTION("""COMPUTED_VALUE"""),0.0)</f>
        <v>0</v>
      </c>
      <c r="O39" s="492">
        <f>IFERROR(__xludf.DUMMYFUNCTION("""COMPUTED_VALUE"""),0.0)</f>
        <v>0</v>
      </c>
      <c r="P39" s="492">
        <f>IFERROR(__xludf.DUMMYFUNCTION("""COMPUTED_VALUE"""),0.0)</f>
        <v>0</v>
      </c>
      <c r="Q39" s="492">
        <f>IFERROR(__xludf.DUMMYFUNCTION("""COMPUTED_VALUE"""),0.0)</f>
        <v>0</v>
      </c>
      <c r="R39" s="492">
        <f>IFERROR(__xludf.DUMMYFUNCTION("""COMPUTED_VALUE"""),0.0)</f>
        <v>0</v>
      </c>
      <c r="S39" s="492">
        <f>IFERROR(__xludf.DUMMYFUNCTION("""COMPUTED_VALUE"""),4.5)</f>
        <v>4.5</v>
      </c>
      <c r="T39" s="492">
        <f>IFERROR(__xludf.DUMMYFUNCTION("""COMPUTED_VALUE"""),1.5)</f>
        <v>1.5</v>
      </c>
      <c r="U39" s="492">
        <f>IFERROR(__xludf.DUMMYFUNCTION("""COMPUTED_VALUE"""),0.0)</f>
        <v>0</v>
      </c>
      <c r="V39" s="492">
        <f>IFERROR(__xludf.DUMMYFUNCTION("""COMPUTED_VALUE"""),0.0)</f>
        <v>0</v>
      </c>
      <c r="W39" s="492">
        <f>IFERROR(__xludf.DUMMYFUNCTION("""COMPUTED_VALUE"""),0.0)</f>
        <v>0</v>
      </c>
      <c r="X39" s="492">
        <f>IFERROR(__xludf.DUMMYFUNCTION("""COMPUTED_VALUE"""),0.0)</f>
        <v>0</v>
      </c>
      <c r="Y39" s="492">
        <f>IFERROR(__xludf.DUMMYFUNCTION("""COMPUTED_VALUE"""),0.0)</f>
        <v>0</v>
      </c>
      <c r="Z39" s="492">
        <f>IFERROR(__xludf.DUMMYFUNCTION("""COMPUTED_VALUE"""),0.0)</f>
        <v>0</v>
      </c>
      <c r="AA39" s="492">
        <f>IFERROR(__xludf.DUMMYFUNCTION("""COMPUTED_VALUE"""),0.0)</f>
        <v>0</v>
      </c>
      <c r="AB39" s="492">
        <f>IFERROR(__xludf.DUMMYFUNCTION("""COMPUTED_VALUE"""),0.0)</f>
        <v>0</v>
      </c>
      <c r="AC39" s="492">
        <f>IFERROR(__xludf.DUMMYFUNCTION("""COMPUTED_VALUE"""),1.5)</f>
        <v>1.5</v>
      </c>
      <c r="AD39" s="492">
        <f>IFERROR(__xludf.DUMMYFUNCTION("""COMPUTED_VALUE"""),0.0)</f>
        <v>0</v>
      </c>
      <c r="AE39" s="492">
        <f>IFERROR(__xludf.DUMMYFUNCTION("""COMPUTED_VALUE"""),0.0)</f>
        <v>0</v>
      </c>
      <c r="AF39" s="492"/>
      <c r="AG39" s="492"/>
      <c r="AH39" s="492"/>
      <c r="AI39" s="492"/>
      <c r="AJ39" s="492"/>
      <c r="AK39" s="492"/>
      <c r="AL39" s="492"/>
      <c r="AM39" s="492"/>
      <c r="AN39" s="492"/>
      <c r="AO39" s="492"/>
      <c r="AP39" s="492"/>
      <c r="AQ39" s="492"/>
      <c r="AR39" s="492"/>
      <c r="AS39" s="492"/>
      <c r="AT39" s="492"/>
      <c r="AU39" s="492"/>
      <c r="AV39" s="492"/>
      <c r="AW39" s="492"/>
      <c r="AX39" s="492"/>
    </row>
    <row r="40">
      <c r="A40" s="492" t="str">
        <f>IFERROR(__xludf.DUMMYFUNCTION("""COMPUTED_VALUE"""),"TommyWstSide")</f>
        <v>TommyWstSide</v>
      </c>
      <c r="B40" s="492">
        <f>IFERROR(__xludf.DUMMYFUNCTION("""COMPUTED_VALUE"""),0.3333333333333333)</f>
        <v>0.3333333333</v>
      </c>
      <c r="C40" s="492">
        <f>IFERROR(__xludf.DUMMYFUNCTION("""COMPUTED_VALUE"""),0.6666666666666666)</f>
        <v>0.6666666667</v>
      </c>
      <c r="D40" s="492">
        <f>IFERROR(__xludf.DUMMYFUNCTION("""COMPUTED_VALUE"""),0.3333333333333333)</f>
        <v>0.3333333333</v>
      </c>
      <c r="E40" s="492">
        <f>IFERROR(__xludf.DUMMYFUNCTION("""COMPUTED_VALUE"""),93.0)</f>
        <v>93</v>
      </c>
      <c r="F40" s="492">
        <f>IFERROR(__xludf.DUMMYFUNCTION("""COMPUTED_VALUE"""),6.0)</f>
        <v>6</v>
      </c>
      <c r="G40" s="492">
        <f>IFERROR(__xludf.DUMMYFUNCTION("""COMPUTED_VALUE"""),97.66666666666667)</f>
        <v>97.66666667</v>
      </c>
      <c r="H40" s="492">
        <f>IFERROR(__xludf.DUMMYFUNCTION("""COMPUTED_VALUE"""),-4.666666666666667)</f>
        <v>-4.666666667</v>
      </c>
      <c r="I40" s="492">
        <f>IFERROR(__xludf.DUMMYFUNCTION("""COMPUTED_VALUE"""),4.0)</f>
        <v>4</v>
      </c>
      <c r="J40" s="492">
        <f>IFERROR(__xludf.DUMMYFUNCTION("""COMPUTED_VALUE"""),0.0)</f>
        <v>0</v>
      </c>
      <c r="K40" s="492">
        <f>IFERROR(__xludf.DUMMYFUNCTION("""COMPUTED_VALUE"""),1246.0)</f>
        <v>1246</v>
      </c>
      <c r="L40" s="492">
        <f>IFERROR(__xludf.DUMMYFUNCTION("""COMPUTED_VALUE"""),1611.6666666666667)</f>
        <v>1611.666667</v>
      </c>
      <c r="M40" s="492">
        <f>IFERROR(__xludf.DUMMYFUNCTION("""COMPUTED_VALUE"""),12.0)</f>
        <v>12</v>
      </c>
      <c r="N40" s="492">
        <f>IFERROR(__xludf.DUMMYFUNCTION("""COMPUTED_VALUE"""),0.6666666666666666)</f>
        <v>0.6666666667</v>
      </c>
      <c r="O40" s="492">
        <f>IFERROR(__xludf.DUMMYFUNCTION("""COMPUTED_VALUE"""),0.0)</f>
        <v>0</v>
      </c>
      <c r="P40" s="492">
        <f>IFERROR(__xludf.DUMMYFUNCTION("""COMPUTED_VALUE"""),0.0)</f>
        <v>0</v>
      </c>
      <c r="Q40" s="492">
        <f>IFERROR(__xludf.DUMMYFUNCTION("""COMPUTED_VALUE"""),0.0)</f>
        <v>0</v>
      </c>
      <c r="R40" s="492">
        <f>IFERROR(__xludf.DUMMYFUNCTION("""COMPUTED_VALUE"""),0.0)</f>
        <v>0</v>
      </c>
      <c r="S40" s="492">
        <f>IFERROR(__xludf.DUMMYFUNCTION("""COMPUTED_VALUE"""),16.0)</f>
        <v>16</v>
      </c>
      <c r="T40" s="492">
        <f>IFERROR(__xludf.DUMMYFUNCTION("""COMPUTED_VALUE"""),1.6666666666666667)</f>
        <v>1.666666667</v>
      </c>
      <c r="U40" s="492">
        <f>IFERROR(__xludf.DUMMYFUNCTION("""COMPUTED_VALUE"""),0.3333333333333333)</f>
        <v>0.3333333333</v>
      </c>
      <c r="V40" s="492">
        <f>IFERROR(__xludf.DUMMYFUNCTION("""COMPUTED_VALUE"""),0.0)</f>
        <v>0</v>
      </c>
      <c r="W40" s="492">
        <f>IFERROR(__xludf.DUMMYFUNCTION("""COMPUTED_VALUE"""),0.0)</f>
        <v>0</v>
      </c>
      <c r="X40" s="492">
        <f>IFERROR(__xludf.DUMMYFUNCTION("""COMPUTED_VALUE"""),0.0)</f>
        <v>0</v>
      </c>
      <c r="Y40" s="492">
        <f>IFERROR(__xludf.DUMMYFUNCTION("""COMPUTED_VALUE"""),0.0)</f>
        <v>0</v>
      </c>
      <c r="Z40" s="492">
        <f>IFERROR(__xludf.DUMMYFUNCTION("""COMPUTED_VALUE"""),0.0)</f>
        <v>0</v>
      </c>
      <c r="AA40" s="492">
        <f>IFERROR(__xludf.DUMMYFUNCTION("""COMPUTED_VALUE"""),0.0)</f>
        <v>0</v>
      </c>
      <c r="AB40" s="492">
        <f>IFERROR(__xludf.DUMMYFUNCTION("""COMPUTED_VALUE"""),0.0)</f>
        <v>0</v>
      </c>
      <c r="AC40" s="492">
        <f>IFERROR(__xludf.DUMMYFUNCTION("""COMPUTED_VALUE"""),4.333333333333333)</f>
        <v>4.333333333</v>
      </c>
      <c r="AD40" s="492">
        <f>IFERROR(__xludf.DUMMYFUNCTION("""COMPUTED_VALUE"""),0.0)</f>
        <v>0</v>
      </c>
      <c r="AE40" s="492">
        <f>IFERROR(__xludf.DUMMYFUNCTION("""COMPUTED_VALUE"""),0.6666666666666666)</f>
        <v>0.6666666667</v>
      </c>
      <c r="AF40" s="492"/>
      <c r="AG40" s="492"/>
      <c r="AH40" s="492"/>
      <c r="AI40" s="492"/>
      <c r="AJ40" s="492"/>
      <c r="AK40" s="492"/>
      <c r="AL40" s="492"/>
      <c r="AM40" s="492"/>
      <c r="AN40" s="492"/>
      <c r="AO40" s="492"/>
      <c r="AP40" s="492"/>
      <c r="AQ40" s="492"/>
      <c r="AR40" s="492"/>
      <c r="AS40" s="492"/>
      <c r="AT40" s="492"/>
      <c r="AU40" s="492"/>
      <c r="AV40" s="492"/>
      <c r="AW40" s="492"/>
      <c r="AX40" s="492"/>
    </row>
    <row r="41">
      <c r="A41" s="492" t="str">
        <f>IFERROR(__xludf.DUMMYFUNCTION("""COMPUTED_VALUE"""),"Vile")</f>
        <v>Vile</v>
      </c>
      <c r="B41" s="492">
        <f>IFERROR(__xludf.DUMMYFUNCTION("""COMPUTED_VALUE"""),0.3333333333333333)</f>
        <v>0.3333333333</v>
      </c>
      <c r="C41" s="492">
        <f>IFERROR(__xludf.DUMMYFUNCTION("""COMPUTED_VALUE"""),0.6666666666666666)</f>
        <v>0.6666666667</v>
      </c>
      <c r="D41" s="492">
        <f>IFERROR(__xludf.DUMMYFUNCTION("""COMPUTED_VALUE"""),2.6666666666666665)</f>
        <v>2.666666667</v>
      </c>
      <c r="E41" s="492">
        <f>IFERROR(__xludf.DUMMYFUNCTION("""COMPUTED_VALUE"""),104.0)</f>
        <v>104</v>
      </c>
      <c r="F41" s="492">
        <f>IFERROR(__xludf.DUMMYFUNCTION("""COMPUTED_VALUE"""),7.666666666666667)</f>
        <v>7.666666667</v>
      </c>
      <c r="G41" s="492">
        <f>IFERROR(__xludf.DUMMYFUNCTION("""COMPUTED_VALUE"""),76.0)</f>
        <v>76</v>
      </c>
      <c r="H41" s="492">
        <f>IFERROR(__xludf.DUMMYFUNCTION("""COMPUTED_VALUE"""),28.0)</f>
        <v>28</v>
      </c>
      <c r="I41" s="492">
        <f>IFERROR(__xludf.DUMMYFUNCTION("""COMPUTED_VALUE"""),11.333333333333334)</f>
        <v>11.33333333</v>
      </c>
      <c r="J41" s="492">
        <f>IFERROR(__xludf.DUMMYFUNCTION("""COMPUTED_VALUE"""),3.3333333333333335)</f>
        <v>3.333333333</v>
      </c>
      <c r="K41" s="492">
        <f>IFERROR(__xludf.DUMMYFUNCTION("""COMPUTED_VALUE"""),1732.6666666666667)</f>
        <v>1732.666667</v>
      </c>
      <c r="L41" s="492">
        <f>IFERROR(__xludf.DUMMYFUNCTION("""COMPUTED_VALUE"""),2054.3333333333335)</f>
        <v>2054.333333</v>
      </c>
      <c r="M41" s="492">
        <f>IFERROR(__xludf.DUMMYFUNCTION("""COMPUTED_VALUE"""),21.666666666666668)</f>
        <v>21.66666667</v>
      </c>
      <c r="N41" s="492">
        <f>IFERROR(__xludf.DUMMYFUNCTION("""COMPUTED_VALUE"""),3.6666666666666665)</f>
        <v>3.666666667</v>
      </c>
      <c r="O41" s="492">
        <f>IFERROR(__xludf.DUMMYFUNCTION("""COMPUTED_VALUE"""),1.0)</f>
        <v>1</v>
      </c>
      <c r="P41" s="492">
        <f>IFERROR(__xludf.DUMMYFUNCTION("""COMPUTED_VALUE"""),0.3333333333333333)</f>
        <v>0.3333333333</v>
      </c>
      <c r="Q41" s="492">
        <f>IFERROR(__xludf.DUMMYFUNCTION("""COMPUTED_VALUE"""),0.0)</f>
        <v>0</v>
      </c>
      <c r="R41" s="492">
        <f>IFERROR(__xludf.DUMMYFUNCTION("""COMPUTED_VALUE"""),0.0)</f>
        <v>0</v>
      </c>
      <c r="S41" s="492">
        <f>IFERROR(__xludf.DUMMYFUNCTION("""COMPUTED_VALUE"""),16.666666666666668)</f>
        <v>16.66666667</v>
      </c>
      <c r="T41" s="492">
        <f>IFERROR(__xludf.DUMMYFUNCTION("""COMPUTED_VALUE"""),3.0)</f>
        <v>3</v>
      </c>
      <c r="U41" s="492">
        <f>IFERROR(__xludf.DUMMYFUNCTION("""COMPUTED_VALUE"""),1.3333333333333333)</f>
        <v>1.333333333</v>
      </c>
      <c r="V41" s="492">
        <f>IFERROR(__xludf.DUMMYFUNCTION("""COMPUTED_VALUE"""),1.0)</f>
        <v>1</v>
      </c>
      <c r="W41" s="492">
        <f>IFERROR(__xludf.DUMMYFUNCTION("""COMPUTED_VALUE"""),0.3333333333333333)</f>
        <v>0.3333333333</v>
      </c>
      <c r="X41" s="492">
        <f>IFERROR(__xludf.DUMMYFUNCTION("""COMPUTED_VALUE"""),0.3333333333333333)</f>
        <v>0.3333333333</v>
      </c>
      <c r="Y41" s="492">
        <f>IFERROR(__xludf.DUMMYFUNCTION("""COMPUTED_VALUE"""),0.0)</f>
        <v>0</v>
      </c>
      <c r="Z41" s="492">
        <f>IFERROR(__xludf.DUMMYFUNCTION("""COMPUTED_VALUE"""),0.0)</f>
        <v>0</v>
      </c>
      <c r="AA41" s="492">
        <f>IFERROR(__xludf.DUMMYFUNCTION("""COMPUTED_VALUE"""),0.0)</f>
        <v>0</v>
      </c>
      <c r="AB41" s="492">
        <f>IFERROR(__xludf.DUMMYFUNCTION("""COMPUTED_VALUE"""),0.0)</f>
        <v>0</v>
      </c>
      <c r="AC41" s="492">
        <f>IFERROR(__xludf.DUMMYFUNCTION("""COMPUTED_VALUE"""),2.6666666666666665)</f>
        <v>2.666666667</v>
      </c>
      <c r="AD41" s="492">
        <f>IFERROR(__xludf.DUMMYFUNCTION("""COMPUTED_VALUE"""),0.0)</f>
        <v>0</v>
      </c>
      <c r="AE41" s="492">
        <f>IFERROR(__xludf.DUMMYFUNCTION("""COMPUTED_VALUE"""),1.6666666666666667)</f>
        <v>1.666666667</v>
      </c>
      <c r="AF41" s="492"/>
      <c r="AG41" s="492"/>
      <c r="AH41" s="492"/>
      <c r="AI41" s="492"/>
      <c r="AJ41" s="492"/>
      <c r="AK41" s="492"/>
      <c r="AL41" s="492"/>
      <c r="AM41" s="492"/>
      <c r="AN41" s="492"/>
      <c r="AO41" s="492"/>
      <c r="AP41" s="492"/>
      <c r="AQ41" s="492"/>
      <c r="AR41" s="492"/>
      <c r="AS41" s="492"/>
      <c r="AT41" s="492"/>
      <c r="AU41" s="492"/>
      <c r="AV41" s="492"/>
      <c r="AW41" s="492"/>
      <c r="AX41" s="492"/>
    </row>
    <row r="42">
      <c r="A42" s="492" t="str">
        <f>IFERROR(__xludf.DUMMYFUNCTION("""COMPUTED_VALUE"""),"Yaeqin")</f>
        <v>Yaeqin</v>
      </c>
      <c r="B42" s="492">
        <f>IFERROR(__xludf.DUMMYFUNCTION("""COMPUTED_VALUE"""),0.5)</f>
        <v>0.5</v>
      </c>
      <c r="C42" s="492">
        <f>IFERROR(__xludf.DUMMYFUNCTION("""COMPUTED_VALUE"""),0.5)</f>
        <v>0.5</v>
      </c>
      <c r="D42" s="492">
        <f>IFERROR(__xludf.DUMMYFUNCTION("""COMPUTED_VALUE"""),0.5)</f>
        <v>0.5</v>
      </c>
      <c r="E42" s="492">
        <f>IFERROR(__xludf.DUMMYFUNCTION("""COMPUTED_VALUE"""),49.5)</f>
        <v>49.5</v>
      </c>
      <c r="F42" s="492">
        <f>IFERROR(__xludf.DUMMYFUNCTION("""COMPUTED_VALUE"""),2.0)</f>
        <v>2</v>
      </c>
      <c r="G42" s="492">
        <f>IFERROR(__xludf.DUMMYFUNCTION("""COMPUTED_VALUE"""),51.0)</f>
        <v>51</v>
      </c>
      <c r="H42" s="492">
        <f>IFERROR(__xludf.DUMMYFUNCTION("""COMPUTED_VALUE"""),-1.5)</f>
        <v>-1.5</v>
      </c>
      <c r="I42" s="492">
        <f>IFERROR(__xludf.DUMMYFUNCTION("""COMPUTED_VALUE"""),4.0)</f>
        <v>4</v>
      </c>
      <c r="J42" s="492">
        <f>IFERROR(__xludf.DUMMYFUNCTION("""COMPUTED_VALUE"""),0.5)</f>
        <v>0.5</v>
      </c>
      <c r="K42" s="492">
        <f>IFERROR(__xludf.DUMMYFUNCTION("""COMPUTED_VALUE"""),680.0)</f>
        <v>680</v>
      </c>
      <c r="L42" s="492">
        <f>IFERROR(__xludf.DUMMYFUNCTION("""COMPUTED_VALUE"""),897.0)</f>
        <v>897</v>
      </c>
      <c r="M42" s="492">
        <f>IFERROR(__xludf.DUMMYFUNCTION("""COMPUTED_VALUE"""),13.0)</f>
        <v>13</v>
      </c>
      <c r="N42" s="492">
        <f>IFERROR(__xludf.DUMMYFUNCTION("""COMPUTED_VALUE"""),0.0)</f>
        <v>0</v>
      </c>
      <c r="O42" s="492">
        <f>IFERROR(__xludf.DUMMYFUNCTION("""COMPUTED_VALUE"""),0.0)</f>
        <v>0</v>
      </c>
      <c r="P42" s="492">
        <f>IFERROR(__xludf.DUMMYFUNCTION("""COMPUTED_VALUE"""),0.0)</f>
        <v>0</v>
      </c>
      <c r="Q42" s="492">
        <f>IFERROR(__xludf.DUMMYFUNCTION("""COMPUTED_VALUE"""),0.0)</f>
        <v>0</v>
      </c>
      <c r="R42" s="492">
        <f>IFERROR(__xludf.DUMMYFUNCTION("""COMPUTED_VALUE"""),0.0)</f>
        <v>0</v>
      </c>
      <c r="S42" s="492">
        <f>IFERROR(__xludf.DUMMYFUNCTION("""COMPUTED_VALUE"""),6.5)</f>
        <v>6.5</v>
      </c>
      <c r="T42" s="492">
        <f>IFERROR(__xludf.DUMMYFUNCTION("""COMPUTED_VALUE"""),1.0)</f>
        <v>1</v>
      </c>
      <c r="U42" s="492">
        <f>IFERROR(__xludf.DUMMYFUNCTION("""COMPUTED_VALUE"""),0.0)</f>
        <v>0</v>
      </c>
      <c r="V42" s="492">
        <f>IFERROR(__xludf.DUMMYFUNCTION("""COMPUTED_VALUE"""),0.0)</f>
        <v>0</v>
      </c>
      <c r="W42" s="492">
        <f>IFERROR(__xludf.DUMMYFUNCTION("""COMPUTED_VALUE"""),0.0)</f>
        <v>0</v>
      </c>
      <c r="X42" s="492">
        <f>IFERROR(__xludf.DUMMYFUNCTION("""COMPUTED_VALUE"""),0.0)</f>
        <v>0</v>
      </c>
      <c r="Y42" s="492">
        <f>IFERROR(__xludf.DUMMYFUNCTION("""COMPUTED_VALUE"""),0.0)</f>
        <v>0</v>
      </c>
      <c r="Z42" s="492">
        <f>IFERROR(__xludf.DUMMYFUNCTION("""COMPUTED_VALUE"""),0.0)</f>
        <v>0</v>
      </c>
      <c r="AA42" s="492">
        <f>IFERROR(__xludf.DUMMYFUNCTION("""COMPUTED_VALUE"""),0.0)</f>
        <v>0</v>
      </c>
      <c r="AB42" s="492">
        <f>IFERROR(__xludf.DUMMYFUNCTION("""COMPUTED_VALUE"""),0.0)</f>
        <v>0</v>
      </c>
      <c r="AC42" s="492">
        <f>IFERROR(__xludf.DUMMYFUNCTION("""COMPUTED_VALUE"""),2.5)</f>
        <v>2.5</v>
      </c>
      <c r="AD42" s="492">
        <f>IFERROR(__xludf.DUMMYFUNCTION("""COMPUTED_VALUE"""),0.0)</f>
        <v>0</v>
      </c>
      <c r="AE42" s="492">
        <f>IFERROR(__xludf.DUMMYFUNCTION("""COMPUTED_VALUE"""),0.0)</f>
        <v>0</v>
      </c>
      <c r="AF42" s="492"/>
      <c r="AG42" s="492"/>
      <c r="AH42" s="492"/>
      <c r="AI42" s="492"/>
      <c r="AJ42" s="492"/>
      <c r="AK42" s="492"/>
      <c r="AL42" s="492"/>
      <c r="AM42" s="492"/>
      <c r="AN42" s="492"/>
      <c r="AO42" s="492"/>
      <c r="AP42" s="492"/>
      <c r="AQ42" s="492"/>
      <c r="AR42" s="492"/>
      <c r="AS42" s="492"/>
      <c r="AT42" s="492"/>
      <c r="AU42" s="492"/>
      <c r="AV42" s="492"/>
      <c r="AW42" s="492"/>
      <c r="AX42" s="492"/>
    </row>
    <row r="43">
      <c r="A43" s="492" t="str">
        <f>IFERROR(__xludf.DUMMYFUNCTION("""COMPUTED_VALUE"""),"Yejis Aegyo")</f>
        <v>Yejis Aegyo</v>
      </c>
      <c r="B43" s="492">
        <f>IFERROR(__xludf.DUMMYFUNCTION("""COMPUTED_VALUE"""),0.3333333333333333)</f>
        <v>0.3333333333</v>
      </c>
      <c r="C43" s="492">
        <f>IFERROR(__xludf.DUMMYFUNCTION("""COMPUTED_VALUE"""),0.6666666666666666)</f>
        <v>0.6666666667</v>
      </c>
      <c r="D43" s="492">
        <f>IFERROR(__xludf.DUMMYFUNCTION("""COMPUTED_VALUE"""),0.0)</f>
        <v>0</v>
      </c>
      <c r="E43" s="492">
        <f>IFERROR(__xludf.DUMMYFUNCTION("""COMPUTED_VALUE"""),127.0)</f>
        <v>127</v>
      </c>
      <c r="F43" s="492">
        <f>IFERROR(__xludf.DUMMYFUNCTION("""COMPUTED_VALUE"""),9.666666666666666)</f>
        <v>9.666666667</v>
      </c>
      <c r="G43" s="492">
        <f>IFERROR(__xludf.DUMMYFUNCTION("""COMPUTED_VALUE"""),129.66666666666666)</f>
        <v>129.6666667</v>
      </c>
      <c r="H43" s="492">
        <f>IFERROR(__xludf.DUMMYFUNCTION("""COMPUTED_VALUE"""),-2.6666666666666665)</f>
        <v>-2.666666667</v>
      </c>
      <c r="I43" s="492">
        <f>IFERROR(__xludf.DUMMYFUNCTION("""COMPUTED_VALUE"""),5.0)</f>
        <v>5</v>
      </c>
      <c r="J43" s="492">
        <f>IFERROR(__xludf.DUMMYFUNCTION("""COMPUTED_VALUE"""),2.3333333333333335)</f>
        <v>2.333333333</v>
      </c>
      <c r="K43" s="492">
        <f>IFERROR(__xludf.DUMMYFUNCTION("""COMPUTED_VALUE"""),1628.6666666666667)</f>
        <v>1628.666667</v>
      </c>
      <c r="L43" s="492">
        <f>IFERROR(__xludf.DUMMYFUNCTION("""COMPUTED_VALUE"""),2111.0)</f>
        <v>2111</v>
      </c>
      <c r="M43" s="492">
        <f>IFERROR(__xludf.DUMMYFUNCTION("""COMPUTED_VALUE"""),11.666666666666666)</f>
        <v>11.66666667</v>
      </c>
      <c r="N43" s="492">
        <f>IFERROR(__xludf.DUMMYFUNCTION("""COMPUTED_VALUE"""),2.0)</f>
        <v>2</v>
      </c>
      <c r="O43" s="492">
        <f>IFERROR(__xludf.DUMMYFUNCTION("""COMPUTED_VALUE"""),0.0)</f>
        <v>0</v>
      </c>
      <c r="P43" s="492">
        <f>IFERROR(__xludf.DUMMYFUNCTION("""COMPUTED_VALUE"""),0.0)</f>
        <v>0</v>
      </c>
      <c r="Q43" s="492">
        <f>IFERROR(__xludf.DUMMYFUNCTION("""COMPUTED_VALUE"""),0.0)</f>
        <v>0</v>
      </c>
      <c r="R43" s="492">
        <f>IFERROR(__xludf.DUMMYFUNCTION("""COMPUTED_VALUE"""),0.0)</f>
        <v>0</v>
      </c>
      <c r="S43" s="492">
        <f>IFERROR(__xludf.DUMMYFUNCTION("""COMPUTED_VALUE"""),22.666666666666668)</f>
        <v>22.66666667</v>
      </c>
      <c r="T43" s="492">
        <f>IFERROR(__xludf.DUMMYFUNCTION("""COMPUTED_VALUE"""),3.6666666666666665)</f>
        <v>3.666666667</v>
      </c>
      <c r="U43" s="492">
        <f>IFERROR(__xludf.DUMMYFUNCTION("""COMPUTED_VALUE"""),1.3333333333333333)</f>
        <v>1.333333333</v>
      </c>
      <c r="V43" s="492">
        <f>IFERROR(__xludf.DUMMYFUNCTION("""COMPUTED_VALUE"""),0.0)</f>
        <v>0</v>
      </c>
      <c r="W43" s="492">
        <f>IFERROR(__xludf.DUMMYFUNCTION("""COMPUTED_VALUE"""),0.0)</f>
        <v>0</v>
      </c>
      <c r="X43" s="492">
        <f>IFERROR(__xludf.DUMMYFUNCTION("""COMPUTED_VALUE"""),0.0)</f>
        <v>0</v>
      </c>
      <c r="Y43" s="492">
        <f>IFERROR(__xludf.DUMMYFUNCTION("""COMPUTED_VALUE"""),0.0)</f>
        <v>0</v>
      </c>
      <c r="Z43" s="492">
        <f>IFERROR(__xludf.DUMMYFUNCTION("""COMPUTED_VALUE"""),0.0)</f>
        <v>0</v>
      </c>
      <c r="AA43" s="492">
        <f>IFERROR(__xludf.DUMMYFUNCTION("""COMPUTED_VALUE"""),0.0)</f>
        <v>0</v>
      </c>
      <c r="AB43" s="492">
        <f>IFERROR(__xludf.DUMMYFUNCTION("""COMPUTED_VALUE"""),0.0)</f>
        <v>0</v>
      </c>
      <c r="AC43" s="492">
        <f>IFERROR(__xludf.DUMMYFUNCTION("""COMPUTED_VALUE"""),1.6666666666666667)</f>
        <v>1.666666667</v>
      </c>
      <c r="AD43" s="492">
        <f>IFERROR(__xludf.DUMMYFUNCTION("""COMPUTED_VALUE"""),0.0)</f>
        <v>0</v>
      </c>
      <c r="AE43" s="492">
        <f>IFERROR(__xludf.DUMMYFUNCTION("""COMPUTED_VALUE"""),1.6666666666666667)</f>
        <v>1.666666667</v>
      </c>
      <c r="AF43" s="492"/>
      <c r="AG43" s="492"/>
      <c r="AH43" s="492"/>
      <c r="AI43" s="492"/>
      <c r="AJ43" s="492"/>
      <c r="AK43" s="492"/>
      <c r="AL43" s="492"/>
      <c r="AM43" s="492"/>
      <c r="AN43" s="492"/>
      <c r="AO43" s="492"/>
      <c r="AP43" s="492"/>
      <c r="AQ43" s="492"/>
      <c r="AR43" s="492"/>
      <c r="AS43" s="492"/>
      <c r="AT43" s="492"/>
      <c r="AU43" s="492"/>
      <c r="AV43" s="492"/>
      <c r="AW43" s="492"/>
      <c r="AX43" s="492"/>
    </row>
    <row r="44">
      <c r="A44" s="492" t="str">
        <f>IFERROR(__xludf.DUMMYFUNCTION("""COMPUTED_VALUE"""),"Zelynthia")</f>
        <v>Zelynthia</v>
      </c>
      <c r="B44" s="492">
        <f>IFERROR(__xludf.DUMMYFUNCTION("""COMPUTED_VALUE"""),1.0)</f>
        <v>1</v>
      </c>
      <c r="C44" s="492">
        <f>IFERROR(__xludf.DUMMYFUNCTION("""COMPUTED_VALUE"""),0.0)</f>
        <v>0</v>
      </c>
      <c r="D44" s="492">
        <f>IFERROR(__xludf.DUMMYFUNCTION("""COMPUTED_VALUE"""),0.25)</f>
        <v>0.25</v>
      </c>
      <c r="E44" s="492">
        <f>IFERROR(__xludf.DUMMYFUNCTION("""COMPUTED_VALUE"""),44.5)</f>
        <v>44.5</v>
      </c>
      <c r="F44" s="492">
        <f>IFERROR(__xludf.DUMMYFUNCTION("""COMPUTED_VALUE"""),3.75)</f>
        <v>3.75</v>
      </c>
      <c r="G44" s="492">
        <f>IFERROR(__xludf.DUMMYFUNCTION("""COMPUTED_VALUE"""),59.25)</f>
        <v>59.25</v>
      </c>
      <c r="H44" s="492">
        <f>IFERROR(__xludf.DUMMYFUNCTION("""COMPUTED_VALUE"""),-14.75)</f>
        <v>-14.75</v>
      </c>
      <c r="I44" s="492">
        <f>IFERROR(__xludf.DUMMYFUNCTION("""COMPUTED_VALUE"""),3.5)</f>
        <v>3.5</v>
      </c>
      <c r="J44" s="492">
        <f>IFERROR(__xludf.DUMMYFUNCTION("""COMPUTED_VALUE"""),1.25)</f>
        <v>1.25</v>
      </c>
      <c r="K44" s="492">
        <f>IFERROR(__xludf.DUMMYFUNCTION("""COMPUTED_VALUE"""),646.75)</f>
        <v>646.75</v>
      </c>
      <c r="L44" s="492">
        <f>IFERROR(__xludf.DUMMYFUNCTION("""COMPUTED_VALUE"""),899.5)</f>
        <v>899.5</v>
      </c>
      <c r="M44" s="492">
        <f>IFERROR(__xludf.DUMMYFUNCTION("""COMPUTED_VALUE"""),10.5)</f>
        <v>10.5</v>
      </c>
      <c r="N44" s="492">
        <f>IFERROR(__xludf.DUMMYFUNCTION("""COMPUTED_VALUE"""),0.25)</f>
        <v>0.25</v>
      </c>
      <c r="O44" s="492">
        <f>IFERROR(__xludf.DUMMYFUNCTION("""COMPUTED_VALUE"""),0.0)</f>
        <v>0</v>
      </c>
      <c r="P44" s="492">
        <f>IFERROR(__xludf.DUMMYFUNCTION("""COMPUTED_VALUE"""),0.0)</f>
        <v>0</v>
      </c>
      <c r="Q44" s="492">
        <f>IFERROR(__xludf.DUMMYFUNCTION("""COMPUTED_VALUE"""),0.0)</f>
        <v>0</v>
      </c>
      <c r="R44" s="492">
        <f>IFERROR(__xludf.DUMMYFUNCTION("""COMPUTED_VALUE"""),0.0)</f>
        <v>0</v>
      </c>
      <c r="S44" s="492">
        <f>IFERROR(__xludf.DUMMYFUNCTION("""COMPUTED_VALUE"""),6.5)</f>
        <v>6.5</v>
      </c>
      <c r="T44" s="492">
        <f>IFERROR(__xludf.DUMMYFUNCTION("""COMPUTED_VALUE"""),0.25)</f>
        <v>0.25</v>
      </c>
      <c r="U44" s="492">
        <f>IFERROR(__xludf.DUMMYFUNCTION("""COMPUTED_VALUE"""),0.0)</f>
        <v>0</v>
      </c>
      <c r="V44" s="492">
        <f>IFERROR(__xludf.DUMMYFUNCTION("""COMPUTED_VALUE"""),0.0)</f>
        <v>0</v>
      </c>
      <c r="W44" s="492">
        <f>IFERROR(__xludf.DUMMYFUNCTION("""COMPUTED_VALUE"""),0.0)</f>
        <v>0</v>
      </c>
      <c r="X44" s="492">
        <f>IFERROR(__xludf.DUMMYFUNCTION("""COMPUTED_VALUE"""),0.0)</f>
        <v>0</v>
      </c>
      <c r="Y44" s="492">
        <f>IFERROR(__xludf.DUMMYFUNCTION("""COMPUTED_VALUE"""),0.0)</f>
        <v>0</v>
      </c>
      <c r="Z44" s="492">
        <f>IFERROR(__xludf.DUMMYFUNCTION("""COMPUTED_VALUE"""),0.0)</f>
        <v>0</v>
      </c>
      <c r="AA44" s="492">
        <f>IFERROR(__xludf.DUMMYFUNCTION("""COMPUTED_VALUE"""),0.0)</f>
        <v>0</v>
      </c>
      <c r="AB44" s="492">
        <f>IFERROR(__xludf.DUMMYFUNCTION("""COMPUTED_VALUE"""),0.0)</f>
        <v>0</v>
      </c>
      <c r="AC44" s="492">
        <f>IFERROR(__xludf.DUMMYFUNCTION("""COMPUTED_VALUE"""),2.75)</f>
        <v>2.75</v>
      </c>
      <c r="AD44" s="492">
        <f>IFERROR(__xludf.DUMMYFUNCTION("""COMPUTED_VALUE"""),0.0)</f>
        <v>0</v>
      </c>
      <c r="AE44" s="492">
        <f>IFERROR(__xludf.DUMMYFUNCTION("""COMPUTED_VALUE"""),0.25)</f>
        <v>0.25</v>
      </c>
      <c r="AF44" s="492"/>
      <c r="AG44" s="492"/>
      <c r="AH44" s="492"/>
      <c r="AI44" s="492"/>
      <c r="AJ44" s="492"/>
      <c r="AK44" s="492"/>
      <c r="AL44" s="492"/>
      <c r="AM44" s="492"/>
      <c r="AN44" s="492"/>
      <c r="AO44" s="492"/>
      <c r="AP44" s="492"/>
      <c r="AQ44" s="492"/>
      <c r="AR44" s="492"/>
      <c r="AS44" s="492"/>
      <c r="AT44" s="492"/>
      <c r="AU44" s="492"/>
      <c r="AV44" s="492"/>
      <c r="AW44" s="492"/>
      <c r="AX44" s="492"/>
    </row>
    <row r="45">
      <c r="A45" s="492" t="str">
        <f>IFERROR(__xludf.DUMMYFUNCTION("""COMPUTED_VALUE"""),"e Jolts")</f>
        <v>e Jolts</v>
      </c>
      <c r="B45" s="492">
        <f>IFERROR(__xludf.DUMMYFUNCTION("""COMPUTED_VALUE"""),0.25)</f>
        <v>0.25</v>
      </c>
      <c r="C45" s="492">
        <f>IFERROR(__xludf.DUMMYFUNCTION("""COMPUTED_VALUE"""),0.75)</f>
        <v>0.75</v>
      </c>
      <c r="D45" s="492">
        <f>IFERROR(__xludf.DUMMYFUNCTION("""COMPUTED_VALUE"""),0.0)</f>
        <v>0</v>
      </c>
      <c r="E45" s="492">
        <f>IFERROR(__xludf.DUMMYFUNCTION("""COMPUTED_VALUE"""),62.5)</f>
        <v>62.5</v>
      </c>
      <c r="F45" s="492">
        <f>IFERROR(__xludf.DUMMYFUNCTION("""COMPUTED_VALUE"""),3.75)</f>
        <v>3.75</v>
      </c>
      <c r="G45" s="492">
        <f>IFERROR(__xludf.DUMMYFUNCTION("""COMPUTED_VALUE"""),106.0)</f>
        <v>106</v>
      </c>
      <c r="H45" s="492">
        <f>IFERROR(__xludf.DUMMYFUNCTION("""COMPUTED_VALUE"""),-43.5)</f>
        <v>-43.5</v>
      </c>
      <c r="I45" s="492">
        <f>IFERROR(__xludf.DUMMYFUNCTION("""COMPUTED_VALUE"""),3.25)</f>
        <v>3.25</v>
      </c>
      <c r="J45" s="492">
        <f>IFERROR(__xludf.DUMMYFUNCTION("""COMPUTED_VALUE"""),0.75)</f>
        <v>0.75</v>
      </c>
      <c r="K45" s="492">
        <f>IFERROR(__xludf.DUMMYFUNCTION("""COMPUTED_VALUE"""),1357.5)</f>
        <v>1357.5</v>
      </c>
      <c r="L45" s="492">
        <f>IFERROR(__xludf.DUMMYFUNCTION("""COMPUTED_VALUE"""),1762.75)</f>
        <v>1762.75</v>
      </c>
      <c r="M45" s="492">
        <f>IFERROR(__xludf.DUMMYFUNCTION("""COMPUTED_VALUE"""),12.5)</f>
        <v>12.5</v>
      </c>
      <c r="N45" s="492">
        <f>IFERROR(__xludf.DUMMYFUNCTION("""COMPUTED_VALUE"""),0.25)</f>
        <v>0.25</v>
      </c>
      <c r="O45" s="492">
        <f>IFERROR(__xludf.DUMMYFUNCTION("""COMPUTED_VALUE"""),0.0)</f>
        <v>0</v>
      </c>
      <c r="P45" s="492">
        <f>IFERROR(__xludf.DUMMYFUNCTION("""COMPUTED_VALUE"""),0.0)</f>
        <v>0</v>
      </c>
      <c r="Q45" s="492">
        <f>IFERROR(__xludf.DUMMYFUNCTION("""COMPUTED_VALUE"""),0.0)</f>
        <v>0</v>
      </c>
      <c r="R45" s="492">
        <f>IFERROR(__xludf.DUMMYFUNCTION("""COMPUTED_VALUE"""),0.0)</f>
        <v>0</v>
      </c>
      <c r="S45" s="492">
        <f>IFERROR(__xludf.DUMMYFUNCTION("""COMPUTED_VALUE"""),4.25)</f>
        <v>4.25</v>
      </c>
      <c r="T45" s="492">
        <f>IFERROR(__xludf.DUMMYFUNCTION("""COMPUTED_VALUE"""),0.75)</f>
        <v>0.75</v>
      </c>
      <c r="U45" s="492">
        <f>IFERROR(__xludf.DUMMYFUNCTION("""COMPUTED_VALUE"""),0.25)</f>
        <v>0.25</v>
      </c>
      <c r="V45" s="492">
        <f>IFERROR(__xludf.DUMMYFUNCTION("""COMPUTED_VALUE"""),0.0)</f>
        <v>0</v>
      </c>
      <c r="W45" s="492">
        <f>IFERROR(__xludf.DUMMYFUNCTION("""COMPUTED_VALUE"""),0.0)</f>
        <v>0</v>
      </c>
      <c r="X45" s="492">
        <f>IFERROR(__xludf.DUMMYFUNCTION("""COMPUTED_VALUE"""),0.0)</f>
        <v>0</v>
      </c>
      <c r="Y45" s="492">
        <f>IFERROR(__xludf.DUMMYFUNCTION("""COMPUTED_VALUE"""),0.0)</f>
        <v>0</v>
      </c>
      <c r="Z45" s="492">
        <f>IFERROR(__xludf.DUMMYFUNCTION("""COMPUTED_VALUE"""),0.0)</f>
        <v>0</v>
      </c>
      <c r="AA45" s="492">
        <f>IFERROR(__xludf.DUMMYFUNCTION("""COMPUTED_VALUE"""),0.0)</f>
        <v>0</v>
      </c>
      <c r="AB45" s="492">
        <f>IFERROR(__xludf.DUMMYFUNCTION("""COMPUTED_VALUE"""),0.0)</f>
        <v>0</v>
      </c>
      <c r="AC45" s="492">
        <f>IFERROR(__xludf.DUMMYFUNCTION("""COMPUTED_VALUE"""),3.25)</f>
        <v>3.25</v>
      </c>
      <c r="AD45" s="492">
        <f>IFERROR(__xludf.DUMMYFUNCTION("""COMPUTED_VALUE"""),0.0)</f>
        <v>0</v>
      </c>
      <c r="AE45" s="492">
        <f>IFERROR(__xludf.DUMMYFUNCTION("""COMPUTED_VALUE"""),0.25)</f>
        <v>0.25</v>
      </c>
      <c r="AF45" s="492"/>
      <c r="AG45" s="492"/>
      <c r="AH45" s="492"/>
      <c r="AI45" s="492"/>
      <c r="AJ45" s="492"/>
      <c r="AK45" s="492"/>
      <c r="AL45" s="492"/>
      <c r="AM45" s="492"/>
      <c r="AN45" s="492"/>
      <c r="AO45" s="492"/>
      <c r="AP45" s="492"/>
      <c r="AQ45" s="492"/>
      <c r="AR45" s="492"/>
      <c r="AS45" s="492"/>
      <c r="AT45" s="492"/>
      <c r="AU45" s="492"/>
      <c r="AV45" s="492"/>
      <c r="AW45" s="492"/>
      <c r="AX45" s="492"/>
    </row>
    <row r="46">
      <c r="A46" s="492" t="str">
        <f>IFERROR(__xludf.DUMMYFUNCTION("""COMPUTED_VALUE"""),"ixjaga")</f>
        <v>ixjaga</v>
      </c>
      <c r="B46" s="492">
        <f>IFERROR(__xludf.DUMMYFUNCTION("""COMPUTED_VALUE"""),0.3333333333333333)</f>
        <v>0.3333333333</v>
      </c>
      <c r="C46" s="492">
        <f>IFERROR(__xludf.DUMMYFUNCTION("""COMPUTED_VALUE"""),0.6666666666666666)</f>
        <v>0.6666666667</v>
      </c>
      <c r="D46" s="492">
        <f>IFERROR(__xludf.DUMMYFUNCTION("""COMPUTED_VALUE"""),0.3333333333333333)</f>
        <v>0.3333333333</v>
      </c>
      <c r="E46" s="492">
        <f>IFERROR(__xludf.DUMMYFUNCTION("""COMPUTED_VALUE"""),100.66666666666667)</f>
        <v>100.6666667</v>
      </c>
      <c r="F46" s="492">
        <f>IFERROR(__xludf.DUMMYFUNCTION("""COMPUTED_VALUE"""),5.333333333333333)</f>
        <v>5.333333333</v>
      </c>
      <c r="G46" s="492">
        <f>IFERROR(__xludf.DUMMYFUNCTION("""COMPUTED_VALUE"""),115.33333333333333)</f>
        <v>115.3333333</v>
      </c>
      <c r="H46" s="492">
        <f>IFERROR(__xludf.DUMMYFUNCTION("""COMPUTED_VALUE"""),-14.666666666666666)</f>
        <v>-14.66666667</v>
      </c>
      <c r="I46" s="492">
        <f>IFERROR(__xludf.DUMMYFUNCTION("""COMPUTED_VALUE"""),5.0)</f>
        <v>5</v>
      </c>
      <c r="J46" s="492">
        <f>IFERROR(__xludf.DUMMYFUNCTION("""COMPUTED_VALUE"""),2.3333333333333335)</f>
        <v>2.333333333</v>
      </c>
      <c r="K46" s="492">
        <f>IFERROR(__xludf.DUMMYFUNCTION("""COMPUTED_VALUE"""),1670.6666666666667)</f>
        <v>1670.666667</v>
      </c>
      <c r="L46" s="492">
        <f>IFERROR(__xludf.DUMMYFUNCTION("""COMPUTED_VALUE"""),2111.0)</f>
        <v>2111</v>
      </c>
      <c r="M46" s="492">
        <f>IFERROR(__xludf.DUMMYFUNCTION("""COMPUTED_VALUE"""),13.666666666666666)</f>
        <v>13.66666667</v>
      </c>
      <c r="N46" s="492">
        <f>IFERROR(__xludf.DUMMYFUNCTION("""COMPUTED_VALUE"""),1.3333333333333333)</f>
        <v>1.333333333</v>
      </c>
      <c r="O46" s="492">
        <f>IFERROR(__xludf.DUMMYFUNCTION("""COMPUTED_VALUE"""),0.0)</f>
        <v>0</v>
      </c>
      <c r="P46" s="492">
        <f>IFERROR(__xludf.DUMMYFUNCTION("""COMPUTED_VALUE"""),0.0)</f>
        <v>0</v>
      </c>
      <c r="Q46" s="492">
        <f>IFERROR(__xludf.DUMMYFUNCTION("""COMPUTED_VALUE"""),0.0)</f>
        <v>0</v>
      </c>
      <c r="R46" s="492">
        <f>IFERROR(__xludf.DUMMYFUNCTION("""COMPUTED_VALUE"""),0.0)</f>
        <v>0</v>
      </c>
      <c r="S46" s="492">
        <f>IFERROR(__xludf.DUMMYFUNCTION("""COMPUTED_VALUE"""),14.0)</f>
        <v>14</v>
      </c>
      <c r="T46" s="492">
        <f>IFERROR(__xludf.DUMMYFUNCTION("""COMPUTED_VALUE"""),3.3333333333333335)</f>
        <v>3.333333333</v>
      </c>
      <c r="U46" s="492">
        <f>IFERROR(__xludf.DUMMYFUNCTION("""COMPUTED_VALUE"""),0.0)</f>
        <v>0</v>
      </c>
      <c r="V46" s="492">
        <f>IFERROR(__xludf.DUMMYFUNCTION("""COMPUTED_VALUE"""),0.0)</f>
        <v>0</v>
      </c>
      <c r="W46" s="492">
        <f>IFERROR(__xludf.DUMMYFUNCTION("""COMPUTED_VALUE"""),0.0)</f>
        <v>0</v>
      </c>
      <c r="X46" s="492">
        <f>IFERROR(__xludf.DUMMYFUNCTION("""COMPUTED_VALUE"""),0.0)</f>
        <v>0</v>
      </c>
      <c r="Y46" s="492">
        <f>IFERROR(__xludf.DUMMYFUNCTION("""COMPUTED_VALUE"""),0.0)</f>
        <v>0</v>
      </c>
      <c r="Z46" s="492">
        <f>IFERROR(__xludf.DUMMYFUNCTION("""COMPUTED_VALUE"""),0.0)</f>
        <v>0</v>
      </c>
      <c r="AA46" s="492">
        <f>IFERROR(__xludf.DUMMYFUNCTION("""COMPUTED_VALUE"""),0.0)</f>
        <v>0</v>
      </c>
      <c r="AB46" s="492">
        <f>IFERROR(__xludf.DUMMYFUNCTION("""COMPUTED_VALUE"""),0.0)</f>
        <v>0</v>
      </c>
      <c r="AC46" s="492">
        <f>IFERROR(__xludf.DUMMYFUNCTION("""COMPUTED_VALUE"""),4.0)</f>
        <v>4</v>
      </c>
      <c r="AD46" s="492">
        <f>IFERROR(__xludf.DUMMYFUNCTION("""COMPUTED_VALUE"""),0.0)</f>
        <v>0</v>
      </c>
      <c r="AE46" s="492">
        <f>IFERROR(__xludf.DUMMYFUNCTION("""COMPUTED_VALUE"""),1.0)</f>
        <v>1</v>
      </c>
      <c r="AF46" s="492"/>
      <c r="AG46" s="492"/>
      <c r="AH46" s="492"/>
      <c r="AI46" s="492"/>
      <c r="AJ46" s="492"/>
      <c r="AK46" s="492"/>
      <c r="AL46" s="492"/>
      <c r="AM46" s="492"/>
      <c r="AN46" s="492"/>
      <c r="AO46" s="492"/>
      <c r="AP46" s="492"/>
      <c r="AQ46" s="492"/>
      <c r="AR46" s="492"/>
      <c r="AS46" s="492"/>
      <c r="AT46" s="492"/>
      <c r="AU46" s="492"/>
      <c r="AV46" s="492"/>
      <c r="AW46" s="492"/>
      <c r="AX46" s="492"/>
    </row>
    <row r="47">
      <c r="A47" s="492" t="str">
        <f>IFERROR(__xludf.DUMMYFUNCTION("""COMPUTED_VALUE"""),"noketone")</f>
        <v>noketone</v>
      </c>
      <c r="B47" s="492">
        <f>IFERROR(__xludf.DUMMYFUNCTION("""COMPUTED_VALUE"""),0.0)</f>
        <v>0</v>
      </c>
      <c r="C47" s="492">
        <f>IFERROR(__xludf.DUMMYFUNCTION("""COMPUTED_VALUE"""),1.0)</f>
        <v>1</v>
      </c>
      <c r="D47" s="492">
        <f>IFERROR(__xludf.DUMMYFUNCTION("""COMPUTED_VALUE"""),0.0)</f>
        <v>0</v>
      </c>
      <c r="E47" s="492">
        <f>IFERROR(__xludf.DUMMYFUNCTION("""COMPUTED_VALUE"""),53.0)</f>
        <v>53</v>
      </c>
      <c r="F47" s="492">
        <f>IFERROR(__xludf.DUMMYFUNCTION("""COMPUTED_VALUE"""),6.0)</f>
        <v>6</v>
      </c>
      <c r="G47" s="492">
        <f>IFERROR(__xludf.DUMMYFUNCTION("""COMPUTED_VALUE"""),84.0)</f>
        <v>84</v>
      </c>
      <c r="H47" s="492">
        <f>IFERROR(__xludf.DUMMYFUNCTION("""COMPUTED_VALUE"""),-31.0)</f>
        <v>-31</v>
      </c>
      <c r="I47" s="492">
        <f>IFERROR(__xludf.DUMMYFUNCTION("""COMPUTED_VALUE"""),4.0)</f>
        <v>4</v>
      </c>
      <c r="J47" s="492">
        <f>IFERROR(__xludf.DUMMYFUNCTION("""COMPUTED_VALUE"""),1.0)</f>
        <v>1</v>
      </c>
      <c r="K47" s="492">
        <f>IFERROR(__xludf.DUMMYFUNCTION("""COMPUTED_VALUE"""),1088.0)</f>
        <v>1088</v>
      </c>
      <c r="L47" s="492">
        <f>IFERROR(__xludf.DUMMYFUNCTION("""COMPUTED_VALUE"""),1416.0)</f>
        <v>1416</v>
      </c>
      <c r="M47" s="492">
        <f>IFERROR(__xludf.DUMMYFUNCTION("""COMPUTED_VALUE"""),12.0)</f>
        <v>12</v>
      </c>
      <c r="N47" s="492">
        <f>IFERROR(__xludf.DUMMYFUNCTION("""COMPUTED_VALUE"""),0.0)</f>
        <v>0</v>
      </c>
      <c r="O47" s="492">
        <f>IFERROR(__xludf.DUMMYFUNCTION("""COMPUTED_VALUE"""),0.0)</f>
        <v>0</v>
      </c>
      <c r="P47" s="492">
        <f>IFERROR(__xludf.DUMMYFUNCTION("""COMPUTED_VALUE"""),0.0)</f>
        <v>0</v>
      </c>
      <c r="Q47" s="492">
        <f>IFERROR(__xludf.DUMMYFUNCTION("""COMPUTED_VALUE"""),0.0)</f>
        <v>0</v>
      </c>
      <c r="R47" s="492">
        <f>IFERROR(__xludf.DUMMYFUNCTION("""COMPUTED_VALUE"""),0.0)</f>
        <v>0</v>
      </c>
      <c r="S47" s="492">
        <f>IFERROR(__xludf.DUMMYFUNCTION("""COMPUTED_VALUE"""),7.0)</f>
        <v>7</v>
      </c>
      <c r="T47" s="492">
        <f>IFERROR(__xludf.DUMMYFUNCTION("""COMPUTED_VALUE"""),1.0)</f>
        <v>1</v>
      </c>
      <c r="U47" s="492">
        <f>IFERROR(__xludf.DUMMYFUNCTION("""COMPUTED_VALUE"""),0.0)</f>
        <v>0</v>
      </c>
      <c r="V47" s="492">
        <f>IFERROR(__xludf.DUMMYFUNCTION("""COMPUTED_VALUE"""),0.0)</f>
        <v>0</v>
      </c>
      <c r="W47" s="492">
        <f>IFERROR(__xludf.DUMMYFUNCTION("""COMPUTED_VALUE"""),0.0)</f>
        <v>0</v>
      </c>
      <c r="X47" s="492">
        <f>IFERROR(__xludf.DUMMYFUNCTION("""COMPUTED_VALUE"""),0.0)</f>
        <v>0</v>
      </c>
      <c r="Y47" s="492">
        <f>IFERROR(__xludf.DUMMYFUNCTION("""COMPUTED_VALUE"""),0.0)</f>
        <v>0</v>
      </c>
      <c r="Z47" s="492">
        <f>IFERROR(__xludf.DUMMYFUNCTION("""COMPUTED_VALUE"""),0.0)</f>
        <v>0</v>
      </c>
      <c r="AA47" s="492">
        <f>IFERROR(__xludf.DUMMYFUNCTION("""COMPUTED_VALUE"""),0.0)</f>
        <v>0</v>
      </c>
      <c r="AB47" s="492">
        <f>IFERROR(__xludf.DUMMYFUNCTION("""COMPUTED_VALUE"""),0.0)</f>
        <v>0</v>
      </c>
      <c r="AC47" s="492">
        <f>IFERROR(__xludf.DUMMYFUNCTION("""COMPUTED_VALUE"""),2.0)</f>
        <v>2</v>
      </c>
      <c r="AD47" s="492">
        <f>IFERROR(__xludf.DUMMYFUNCTION("""COMPUTED_VALUE"""),0.0)</f>
        <v>0</v>
      </c>
      <c r="AE47" s="492">
        <f>IFERROR(__xludf.DUMMYFUNCTION("""COMPUTED_VALUE"""),0.0)</f>
        <v>0</v>
      </c>
      <c r="AF47" s="492"/>
      <c r="AG47" s="492"/>
      <c r="AH47" s="492"/>
      <c r="AI47" s="492"/>
      <c r="AJ47" s="492"/>
      <c r="AK47" s="492"/>
      <c r="AL47" s="492"/>
      <c r="AM47" s="492"/>
      <c r="AN47" s="492"/>
      <c r="AO47" s="492"/>
      <c r="AP47" s="492"/>
      <c r="AQ47" s="492"/>
      <c r="AR47" s="492"/>
      <c r="AS47" s="492"/>
      <c r="AT47" s="492"/>
      <c r="AU47" s="492"/>
      <c r="AV47" s="492"/>
      <c r="AW47" s="492"/>
      <c r="AX47" s="492"/>
    </row>
    <row r="48">
      <c r="A48" s="492" t="str">
        <f>IFERROR(__xludf.DUMMYFUNCTION("""COMPUTED_VALUE"""),"oDhmon")</f>
        <v>oDhmon</v>
      </c>
      <c r="B48" s="492">
        <f>IFERROR(__xludf.DUMMYFUNCTION("""COMPUTED_VALUE"""),0.25)</f>
        <v>0.25</v>
      </c>
      <c r="C48" s="492">
        <f>IFERROR(__xludf.DUMMYFUNCTION("""COMPUTED_VALUE"""),0.75)</f>
        <v>0.75</v>
      </c>
      <c r="D48" s="492">
        <f>IFERROR(__xludf.DUMMYFUNCTION("""COMPUTED_VALUE"""),1.0)</f>
        <v>1</v>
      </c>
      <c r="E48" s="492">
        <f>IFERROR(__xludf.DUMMYFUNCTION("""COMPUTED_VALUE"""),83.75)</f>
        <v>83.75</v>
      </c>
      <c r="F48" s="492">
        <f>IFERROR(__xludf.DUMMYFUNCTION("""COMPUTED_VALUE"""),5.5)</f>
        <v>5.5</v>
      </c>
      <c r="G48" s="492">
        <f>IFERROR(__xludf.DUMMYFUNCTION("""COMPUTED_VALUE"""),63.0)</f>
        <v>63</v>
      </c>
      <c r="H48" s="492">
        <f>IFERROR(__xludf.DUMMYFUNCTION("""COMPUTED_VALUE"""),20.75)</f>
        <v>20.75</v>
      </c>
      <c r="I48" s="492">
        <f>IFERROR(__xludf.DUMMYFUNCTION("""COMPUTED_VALUE"""),6.25)</f>
        <v>6.25</v>
      </c>
      <c r="J48" s="492">
        <f>IFERROR(__xludf.DUMMYFUNCTION("""COMPUTED_VALUE"""),0.5)</f>
        <v>0.5</v>
      </c>
      <c r="K48" s="492">
        <f>IFERROR(__xludf.DUMMYFUNCTION("""COMPUTED_VALUE"""),1212.0)</f>
        <v>1212</v>
      </c>
      <c r="L48" s="492">
        <f>IFERROR(__xludf.DUMMYFUNCTION("""COMPUTED_VALUE"""),1476.0)</f>
        <v>1476</v>
      </c>
      <c r="M48" s="492">
        <f>IFERROR(__xludf.DUMMYFUNCTION("""COMPUTED_VALUE"""),19.25)</f>
        <v>19.25</v>
      </c>
      <c r="N48" s="492">
        <f>IFERROR(__xludf.DUMMYFUNCTION("""COMPUTED_VALUE"""),2.5)</f>
        <v>2.5</v>
      </c>
      <c r="O48" s="492">
        <f>IFERROR(__xludf.DUMMYFUNCTION("""COMPUTED_VALUE"""),0.0)</f>
        <v>0</v>
      </c>
      <c r="P48" s="492">
        <f>IFERROR(__xludf.DUMMYFUNCTION("""COMPUTED_VALUE"""),0.0)</f>
        <v>0</v>
      </c>
      <c r="Q48" s="492">
        <f>IFERROR(__xludf.DUMMYFUNCTION("""COMPUTED_VALUE"""),0.0)</f>
        <v>0</v>
      </c>
      <c r="R48" s="492">
        <f>IFERROR(__xludf.DUMMYFUNCTION("""COMPUTED_VALUE"""),0.0)</f>
        <v>0</v>
      </c>
      <c r="S48" s="492">
        <f>IFERROR(__xludf.DUMMYFUNCTION("""COMPUTED_VALUE"""),13.5)</f>
        <v>13.5</v>
      </c>
      <c r="T48" s="492">
        <f>IFERROR(__xludf.DUMMYFUNCTION("""COMPUTED_VALUE"""),3.25)</f>
        <v>3.25</v>
      </c>
      <c r="U48" s="492">
        <f>IFERROR(__xludf.DUMMYFUNCTION("""COMPUTED_VALUE"""),0.5)</f>
        <v>0.5</v>
      </c>
      <c r="V48" s="492">
        <f>IFERROR(__xludf.DUMMYFUNCTION("""COMPUTED_VALUE"""),0.0)</f>
        <v>0</v>
      </c>
      <c r="W48" s="492">
        <f>IFERROR(__xludf.DUMMYFUNCTION("""COMPUTED_VALUE"""),0.0)</f>
        <v>0</v>
      </c>
      <c r="X48" s="492">
        <f>IFERROR(__xludf.DUMMYFUNCTION("""COMPUTED_VALUE"""),0.0)</f>
        <v>0</v>
      </c>
      <c r="Y48" s="492">
        <f>IFERROR(__xludf.DUMMYFUNCTION("""COMPUTED_VALUE"""),0.0)</f>
        <v>0</v>
      </c>
      <c r="Z48" s="492">
        <f>IFERROR(__xludf.DUMMYFUNCTION("""COMPUTED_VALUE"""),0.0)</f>
        <v>0</v>
      </c>
      <c r="AA48" s="492">
        <f>IFERROR(__xludf.DUMMYFUNCTION("""COMPUTED_VALUE"""),0.0)</f>
        <v>0</v>
      </c>
      <c r="AB48" s="492">
        <f>IFERROR(__xludf.DUMMYFUNCTION("""COMPUTED_VALUE"""),0.0)</f>
        <v>0</v>
      </c>
      <c r="AC48" s="492">
        <f>IFERROR(__xludf.DUMMYFUNCTION("""COMPUTED_VALUE"""),5.5)</f>
        <v>5.5</v>
      </c>
      <c r="AD48" s="492">
        <f>IFERROR(__xludf.DUMMYFUNCTION("""COMPUTED_VALUE"""),0.0)</f>
        <v>0</v>
      </c>
      <c r="AE48" s="492">
        <f>IFERROR(__xludf.DUMMYFUNCTION("""COMPUTED_VALUE"""),2.0)</f>
        <v>2</v>
      </c>
      <c r="AF48" s="492"/>
      <c r="AG48" s="492"/>
      <c r="AH48" s="492"/>
      <c r="AI48" s="492"/>
      <c r="AJ48" s="492"/>
      <c r="AK48" s="492"/>
      <c r="AL48" s="492"/>
      <c r="AM48" s="492"/>
      <c r="AN48" s="492"/>
      <c r="AO48" s="492"/>
      <c r="AP48" s="492"/>
      <c r="AQ48" s="492"/>
      <c r="AR48" s="492"/>
      <c r="AS48" s="492"/>
      <c r="AT48" s="492"/>
      <c r="AU48" s="492"/>
      <c r="AV48" s="492"/>
      <c r="AW48" s="492"/>
      <c r="AX48" s="492"/>
    </row>
    <row r="49">
      <c r="A49" s="492" t="str">
        <f>IFERROR(__xludf.DUMMYFUNCTION("""COMPUTED_VALUE"""),"siIIy kids")</f>
        <v>siIIy kids</v>
      </c>
      <c r="B49" s="492">
        <f>IFERROR(__xludf.DUMMYFUNCTION("""COMPUTED_VALUE"""),0.5)</f>
        <v>0.5</v>
      </c>
      <c r="C49" s="492">
        <f>IFERROR(__xludf.DUMMYFUNCTION("""COMPUTED_VALUE"""),0.5)</f>
        <v>0.5</v>
      </c>
      <c r="D49" s="492">
        <f>IFERROR(__xludf.DUMMYFUNCTION("""COMPUTED_VALUE"""),0.0)</f>
        <v>0</v>
      </c>
      <c r="E49" s="492">
        <f>IFERROR(__xludf.DUMMYFUNCTION("""COMPUTED_VALUE"""),34.5)</f>
        <v>34.5</v>
      </c>
      <c r="F49" s="492">
        <f>IFERROR(__xludf.DUMMYFUNCTION("""COMPUTED_VALUE"""),2.5)</f>
        <v>2.5</v>
      </c>
      <c r="G49" s="492">
        <f>IFERROR(__xludf.DUMMYFUNCTION("""COMPUTED_VALUE"""),39.0)</f>
        <v>39</v>
      </c>
      <c r="H49" s="492">
        <f>IFERROR(__xludf.DUMMYFUNCTION("""COMPUTED_VALUE"""),-4.5)</f>
        <v>-4.5</v>
      </c>
      <c r="I49" s="492">
        <f>IFERROR(__xludf.DUMMYFUNCTION("""COMPUTED_VALUE"""),4.0)</f>
        <v>4</v>
      </c>
      <c r="J49" s="492">
        <f>IFERROR(__xludf.DUMMYFUNCTION("""COMPUTED_VALUE"""),1.5)</f>
        <v>1.5</v>
      </c>
      <c r="K49" s="492">
        <f>IFERROR(__xludf.DUMMYFUNCTION("""COMPUTED_VALUE"""),390.0)</f>
        <v>390</v>
      </c>
      <c r="L49" s="492">
        <f>IFERROR(__xludf.DUMMYFUNCTION("""COMPUTED_VALUE"""),572.0)</f>
        <v>572</v>
      </c>
      <c r="M49" s="492">
        <f>IFERROR(__xludf.DUMMYFUNCTION("""COMPUTED_VALUE"""),9.0)</f>
        <v>9</v>
      </c>
      <c r="N49" s="492">
        <f>IFERROR(__xludf.DUMMYFUNCTION("""COMPUTED_VALUE"""),0.5)</f>
        <v>0.5</v>
      </c>
      <c r="O49" s="492">
        <f>IFERROR(__xludf.DUMMYFUNCTION("""COMPUTED_VALUE"""),0.0)</f>
        <v>0</v>
      </c>
      <c r="P49" s="492">
        <f>IFERROR(__xludf.DUMMYFUNCTION("""COMPUTED_VALUE"""),0.0)</f>
        <v>0</v>
      </c>
      <c r="Q49" s="492">
        <f>IFERROR(__xludf.DUMMYFUNCTION("""COMPUTED_VALUE"""),0.0)</f>
        <v>0</v>
      </c>
      <c r="R49" s="492">
        <f>IFERROR(__xludf.DUMMYFUNCTION("""COMPUTED_VALUE"""),0.0)</f>
        <v>0</v>
      </c>
      <c r="S49" s="492">
        <f>IFERROR(__xludf.DUMMYFUNCTION("""COMPUTED_VALUE"""),5.5)</f>
        <v>5.5</v>
      </c>
      <c r="T49" s="492">
        <f>IFERROR(__xludf.DUMMYFUNCTION("""COMPUTED_VALUE"""),1.0)</f>
        <v>1</v>
      </c>
      <c r="U49" s="492">
        <f>IFERROR(__xludf.DUMMYFUNCTION("""COMPUTED_VALUE"""),0.0)</f>
        <v>0</v>
      </c>
      <c r="V49" s="492">
        <f>IFERROR(__xludf.DUMMYFUNCTION("""COMPUTED_VALUE"""),0.0)</f>
        <v>0</v>
      </c>
      <c r="W49" s="492">
        <f>IFERROR(__xludf.DUMMYFUNCTION("""COMPUTED_VALUE"""),0.0)</f>
        <v>0</v>
      </c>
      <c r="X49" s="492">
        <f>IFERROR(__xludf.DUMMYFUNCTION("""COMPUTED_VALUE"""),0.0)</f>
        <v>0</v>
      </c>
      <c r="Y49" s="492">
        <f>IFERROR(__xludf.DUMMYFUNCTION("""COMPUTED_VALUE"""),0.0)</f>
        <v>0</v>
      </c>
      <c r="Z49" s="492">
        <f>IFERROR(__xludf.DUMMYFUNCTION("""COMPUTED_VALUE"""),0.0)</f>
        <v>0</v>
      </c>
      <c r="AA49" s="492">
        <f>IFERROR(__xludf.DUMMYFUNCTION("""COMPUTED_VALUE"""),0.0)</f>
        <v>0</v>
      </c>
      <c r="AB49" s="492">
        <f>IFERROR(__xludf.DUMMYFUNCTION("""COMPUTED_VALUE"""),0.0)</f>
        <v>0</v>
      </c>
      <c r="AC49" s="492">
        <f>IFERROR(__xludf.DUMMYFUNCTION("""COMPUTED_VALUE"""),0.0)</f>
        <v>0</v>
      </c>
      <c r="AD49" s="492">
        <f>IFERROR(__xludf.DUMMYFUNCTION("""COMPUTED_VALUE"""),0.0)</f>
        <v>0</v>
      </c>
      <c r="AE49" s="492">
        <f>IFERROR(__xludf.DUMMYFUNCTION("""COMPUTED_VALUE"""),0.5)</f>
        <v>0.5</v>
      </c>
      <c r="AF49" s="492"/>
      <c r="AG49" s="492"/>
      <c r="AH49" s="492"/>
      <c r="AI49" s="492"/>
      <c r="AJ49" s="492"/>
      <c r="AK49" s="492"/>
      <c r="AL49" s="492"/>
      <c r="AM49" s="492"/>
      <c r="AN49" s="492"/>
      <c r="AO49" s="492"/>
      <c r="AP49" s="492"/>
      <c r="AQ49" s="492"/>
      <c r="AR49" s="492"/>
      <c r="AS49" s="492"/>
      <c r="AT49" s="492"/>
      <c r="AU49" s="492"/>
      <c r="AV49" s="492"/>
      <c r="AW49" s="492"/>
      <c r="AX49" s="492"/>
    </row>
    <row r="50">
      <c r="A50" s="492" t="str">
        <f>IFERROR(__xludf.DUMMYFUNCTION("""COMPUTED_VALUE"""),"unbes")</f>
        <v>unbes</v>
      </c>
      <c r="B50" s="492">
        <f>IFERROR(__xludf.DUMMYFUNCTION("""COMPUTED_VALUE"""),1.0)</f>
        <v>1</v>
      </c>
      <c r="C50" s="492">
        <f>IFERROR(__xludf.DUMMYFUNCTION("""COMPUTED_VALUE"""),0.0)</f>
        <v>0</v>
      </c>
      <c r="D50" s="492">
        <f>IFERROR(__xludf.DUMMYFUNCTION("""COMPUTED_VALUE"""),0.25)</f>
        <v>0.25</v>
      </c>
      <c r="E50" s="492">
        <f>IFERROR(__xludf.DUMMYFUNCTION("""COMPUTED_VALUE"""),62.0)</f>
        <v>62</v>
      </c>
      <c r="F50" s="492">
        <f>IFERROR(__xludf.DUMMYFUNCTION("""COMPUTED_VALUE"""),3.75)</f>
        <v>3.75</v>
      </c>
      <c r="G50" s="492">
        <f>IFERROR(__xludf.DUMMYFUNCTION("""COMPUTED_VALUE"""),48.25)</f>
        <v>48.25</v>
      </c>
      <c r="H50" s="492">
        <f>IFERROR(__xludf.DUMMYFUNCTION("""COMPUTED_VALUE"""),13.75)</f>
        <v>13.75</v>
      </c>
      <c r="I50" s="492">
        <f>IFERROR(__xludf.DUMMYFUNCTION("""COMPUTED_VALUE"""),5.75)</f>
        <v>5.75</v>
      </c>
      <c r="J50" s="492">
        <f>IFERROR(__xludf.DUMMYFUNCTION("""COMPUTED_VALUE"""),1.75)</f>
        <v>1.75</v>
      </c>
      <c r="K50" s="492">
        <f>IFERROR(__xludf.DUMMYFUNCTION("""COMPUTED_VALUE"""),678.0)</f>
        <v>678</v>
      </c>
      <c r="L50" s="492">
        <f>IFERROR(__xludf.DUMMYFUNCTION("""COMPUTED_VALUE"""),899.5)</f>
        <v>899.5</v>
      </c>
      <c r="M50" s="492">
        <f>IFERROR(__xludf.DUMMYFUNCTION("""COMPUTED_VALUE"""),14.0)</f>
        <v>14</v>
      </c>
      <c r="N50" s="492">
        <f>IFERROR(__xludf.DUMMYFUNCTION("""COMPUTED_VALUE"""),1.25)</f>
        <v>1.25</v>
      </c>
      <c r="O50" s="492">
        <f>IFERROR(__xludf.DUMMYFUNCTION("""COMPUTED_VALUE"""),0.0)</f>
        <v>0</v>
      </c>
      <c r="P50" s="492">
        <f>IFERROR(__xludf.DUMMYFUNCTION("""COMPUTED_VALUE"""),0.0)</f>
        <v>0</v>
      </c>
      <c r="Q50" s="492">
        <f>IFERROR(__xludf.DUMMYFUNCTION("""COMPUTED_VALUE"""),0.0)</f>
        <v>0</v>
      </c>
      <c r="R50" s="492">
        <f>IFERROR(__xludf.DUMMYFUNCTION("""COMPUTED_VALUE"""),0.0)</f>
        <v>0</v>
      </c>
      <c r="S50" s="492">
        <f>IFERROR(__xludf.DUMMYFUNCTION("""COMPUTED_VALUE"""),11.25)</f>
        <v>11.25</v>
      </c>
      <c r="T50" s="492">
        <f>IFERROR(__xludf.DUMMYFUNCTION("""COMPUTED_VALUE"""),3.5)</f>
        <v>3.5</v>
      </c>
      <c r="U50" s="492">
        <f>IFERROR(__xludf.DUMMYFUNCTION("""COMPUTED_VALUE"""),1.0)</f>
        <v>1</v>
      </c>
      <c r="V50" s="492">
        <f>IFERROR(__xludf.DUMMYFUNCTION("""COMPUTED_VALUE"""),0.25)</f>
        <v>0.25</v>
      </c>
      <c r="W50" s="492">
        <f>IFERROR(__xludf.DUMMYFUNCTION("""COMPUTED_VALUE"""),0.0)</f>
        <v>0</v>
      </c>
      <c r="X50" s="492">
        <f>IFERROR(__xludf.DUMMYFUNCTION("""COMPUTED_VALUE"""),0.0)</f>
        <v>0</v>
      </c>
      <c r="Y50" s="492">
        <f>IFERROR(__xludf.DUMMYFUNCTION("""COMPUTED_VALUE"""),0.0)</f>
        <v>0</v>
      </c>
      <c r="Z50" s="492">
        <f>IFERROR(__xludf.DUMMYFUNCTION("""COMPUTED_VALUE"""),0.0)</f>
        <v>0</v>
      </c>
      <c r="AA50" s="492">
        <f>IFERROR(__xludf.DUMMYFUNCTION("""COMPUTED_VALUE"""),0.0)</f>
        <v>0</v>
      </c>
      <c r="AB50" s="492">
        <f>IFERROR(__xludf.DUMMYFUNCTION("""COMPUTED_VALUE"""),0.0)</f>
        <v>0</v>
      </c>
      <c r="AC50" s="492">
        <f>IFERROR(__xludf.DUMMYFUNCTION("""COMPUTED_VALUE"""),4.0)</f>
        <v>4</v>
      </c>
      <c r="AD50" s="492">
        <f>IFERROR(__xludf.DUMMYFUNCTION("""COMPUTED_VALUE"""),0.0)</f>
        <v>0</v>
      </c>
      <c r="AE50" s="492">
        <f>IFERROR(__xludf.DUMMYFUNCTION("""COMPUTED_VALUE"""),1.0)</f>
        <v>1</v>
      </c>
      <c r="AF50" s="492"/>
      <c r="AG50" s="492"/>
      <c r="AH50" s="492"/>
      <c r="AI50" s="492"/>
      <c r="AJ50" s="492"/>
      <c r="AK50" s="492"/>
      <c r="AL50" s="492"/>
      <c r="AM50" s="492"/>
      <c r="AN50" s="492"/>
      <c r="AO50" s="492"/>
      <c r="AP50" s="492"/>
      <c r="AQ50" s="492"/>
      <c r="AR50" s="492"/>
      <c r="AS50" s="492"/>
      <c r="AT50" s="492"/>
      <c r="AU50" s="492"/>
      <c r="AV50" s="492"/>
      <c r="AW50" s="492"/>
      <c r="AX50" s="492"/>
    </row>
    <row r="51">
      <c r="A51" s="492" t="str">
        <f>IFERROR(__xludf.DUMMYFUNCTION("""COMPUTED_VALUE"""),"yLuxe")</f>
        <v>yLuxe</v>
      </c>
      <c r="B51" s="492">
        <f>IFERROR(__xludf.DUMMYFUNCTION("""COMPUTED_VALUE"""),1.0)</f>
        <v>1</v>
      </c>
      <c r="C51" s="492">
        <f>IFERROR(__xludf.DUMMYFUNCTION("""COMPUTED_VALUE"""),0.0)</f>
        <v>0</v>
      </c>
      <c r="D51" s="492">
        <f>IFERROR(__xludf.DUMMYFUNCTION("""COMPUTED_VALUE"""),3.5)</f>
        <v>3.5</v>
      </c>
      <c r="E51" s="492">
        <f>IFERROR(__xludf.DUMMYFUNCTION("""COMPUTED_VALUE"""),41.5)</f>
        <v>41.5</v>
      </c>
      <c r="F51" s="492">
        <f>IFERROR(__xludf.DUMMYFUNCTION("""COMPUTED_VALUE"""),1.25)</f>
        <v>1.25</v>
      </c>
      <c r="G51" s="492">
        <f>IFERROR(__xludf.DUMMYFUNCTION("""COMPUTED_VALUE"""),24.25)</f>
        <v>24.25</v>
      </c>
      <c r="H51" s="492">
        <f>IFERROR(__xludf.DUMMYFUNCTION("""COMPUTED_VALUE"""),17.25)</f>
        <v>17.25</v>
      </c>
      <c r="I51" s="492">
        <f>IFERROR(__xludf.DUMMYFUNCTION("""COMPUTED_VALUE"""),8.5)</f>
        <v>8.5</v>
      </c>
      <c r="J51" s="492">
        <f>IFERROR(__xludf.DUMMYFUNCTION("""COMPUTED_VALUE"""),0.5)</f>
        <v>0.5</v>
      </c>
      <c r="K51" s="492">
        <f>IFERROR(__xludf.DUMMYFUNCTION("""COMPUTED_VALUE"""),746.75)</f>
        <v>746.75</v>
      </c>
      <c r="L51" s="492">
        <f>IFERROR(__xludf.DUMMYFUNCTION("""COMPUTED_VALUE"""),899.5)</f>
        <v>899.5</v>
      </c>
      <c r="M51" s="492">
        <f>IFERROR(__xludf.DUMMYFUNCTION("""COMPUTED_VALUE"""),33.0)</f>
        <v>33</v>
      </c>
      <c r="N51" s="492">
        <f>IFERROR(__xludf.DUMMYFUNCTION("""COMPUTED_VALUE"""),2.0)</f>
        <v>2</v>
      </c>
      <c r="O51" s="492">
        <f>IFERROR(__xludf.DUMMYFUNCTION("""COMPUTED_VALUE"""),0.25)</f>
        <v>0.25</v>
      </c>
      <c r="P51" s="492">
        <f>IFERROR(__xludf.DUMMYFUNCTION("""COMPUTED_VALUE"""),0.25)</f>
        <v>0.25</v>
      </c>
      <c r="Q51" s="492">
        <f>IFERROR(__xludf.DUMMYFUNCTION("""COMPUTED_VALUE"""),0.0)</f>
        <v>0</v>
      </c>
      <c r="R51" s="492">
        <f>IFERROR(__xludf.DUMMYFUNCTION("""COMPUTED_VALUE"""),0.0)</f>
        <v>0</v>
      </c>
      <c r="S51" s="492">
        <f>IFERROR(__xludf.DUMMYFUNCTION("""COMPUTED_VALUE"""),5.75)</f>
        <v>5.75</v>
      </c>
      <c r="T51" s="492">
        <f>IFERROR(__xludf.DUMMYFUNCTION("""COMPUTED_VALUE"""),0.75)</f>
        <v>0.75</v>
      </c>
      <c r="U51" s="492">
        <f>IFERROR(__xludf.DUMMYFUNCTION("""COMPUTED_VALUE"""),0.0)</f>
        <v>0</v>
      </c>
      <c r="V51" s="492">
        <f>IFERROR(__xludf.DUMMYFUNCTION("""COMPUTED_VALUE"""),0.0)</f>
        <v>0</v>
      </c>
      <c r="W51" s="492">
        <f>IFERROR(__xludf.DUMMYFUNCTION("""COMPUTED_VALUE"""),0.0)</f>
        <v>0</v>
      </c>
      <c r="X51" s="492">
        <f>IFERROR(__xludf.DUMMYFUNCTION("""COMPUTED_VALUE"""),0.0)</f>
        <v>0</v>
      </c>
      <c r="Y51" s="492">
        <f>IFERROR(__xludf.DUMMYFUNCTION("""COMPUTED_VALUE"""),0.0)</f>
        <v>0</v>
      </c>
      <c r="Z51" s="492">
        <f>IFERROR(__xludf.DUMMYFUNCTION("""COMPUTED_VALUE"""),0.0)</f>
        <v>0</v>
      </c>
      <c r="AA51" s="492">
        <f>IFERROR(__xludf.DUMMYFUNCTION("""COMPUTED_VALUE"""),0.0)</f>
        <v>0</v>
      </c>
      <c r="AB51" s="492">
        <f>IFERROR(__xludf.DUMMYFUNCTION("""COMPUTED_VALUE"""),0.0)</f>
        <v>0</v>
      </c>
      <c r="AC51" s="492">
        <f>IFERROR(__xludf.DUMMYFUNCTION("""COMPUTED_VALUE"""),0.75)</f>
        <v>0.75</v>
      </c>
      <c r="AD51" s="492">
        <f>IFERROR(__xludf.DUMMYFUNCTION("""COMPUTED_VALUE"""),0.0)</f>
        <v>0</v>
      </c>
      <c r="AE51" s="492">
        <f>IFERROR(__xludf.DUMMYFUNCTION("""COMPUTED_VALUE"""),0.25)</f>
        <v>0.25</v>
      </c>
      <c r="AF51" s="492"/>
      <c r="AG51" s="492"/>
      <c r="AH51" s="492"/>
      <c r="AI51" s="492"/>
      <c r="AJ51" s="492"/>
      <c r="AK51" s="492"/>
      <c r="AL51" s="492"/>
      <c r="AM51" s="492"/>
      <c r="AN51" s="492"/>
      <c r="AO51" s="492"/>
      <c r="AP51" s="492"/>
      <c r="AQ51" s="492"/>
      <c r="AR51" s="492"/>
      <c r="AS51" s="492"/>
      <c r="AT51" s="492"/>
      <c r="AU51" s="492"/>
      <c r="AV51" s="492"/>
      <c r="AW51" s="492"/>
      <c r="AX51" s="492"/>
    </row>
    <row r="52" hidden="1">
      <c r="A52" s="493"/>
      <c r="B52" s="493"/>
      <c r="C52" s="493"/>
      <c r="D52" s="493"/>
      <c r="E52" s="493"/>
      <c r="F52" s="493"/>
      <c r="G52" s="493"/>
      <c r="H52" s="493"/>
      <c r="I52" s="493"/>
      <c r="J52" s="493"/>
      <c r="K52" s="493"/>
      <c r="L52" s="493"/>
      <c r="M52" s="493"/>
      <c r="N52" s="493"/>
      <c r="O52" s="493"/>
      <c r="P52" s="493"/>
      <c r="Q52" s="493"/>
      <c r="R52" s="493"/>
      <c r="S52" s="493"/>
      <c r="T52" s="493"/>
      <c r="U52" s="493"/>
      <c r="V52" s="493"/>
      <c r="W52" s="493"/>
      <c r="X52" s="493"/>
      <c r="Y52" s="493"/>
      <c r="Z52" s="493"/>
      <c r="AA52" s="493"/>
      <c r="AB52" s="493"/>
      <c r="AC52" s="493"/>
      <c r="AD52" s="493"/>
      <c r="AE52" s="493"/>
      <c r="AF52" s="493"/>
      <c r="AG52" s="493"/>
      <c r="AH52" s="493"/>
      <c r="AI52" s="493"/>
      <c r="AJ52" s="493"/>
      <c r="AK52" s="493"/>
      <c r="AL52" s="493"/>
      <c r="AM52" s="493"/>
      <c r="AN52" s="493"/>
      <c r="AO52" s="493"/>
      <c r="AP52" s="493"/>
      <c r="AQ52" s="493"/>
      <c r="AR52" s="493"/>
      <c r="AS52" s="493"/>
      <c r="AT52" s="493"/>
      <c r="AU52" s="493"/>
      <c r="AV52" s="485"/>
      <c r="AW52" s="485"/>
      <c r="AX52" s="485"/>
    </row>
    <row r="53" hidden="1">
      <c r="A53" s="494" t="s">
        <v>132</v>
      </c>
      <c r="B53" s="493"/>
      <c r="C53" s="493"/>
      <c r="D53" s="493"/>
      <c r="E53" s="493"/>
      <c r="F53" s="493"/>
      <c r="G53" s="493"/>
      <c r="H53" s="493"/>
      <c r="I53" s="493"/>
      <c r="J53" s="493"/>
      <c r="K53" s="493"/>
      <c r="L53" s="493"/>
      <c r="M53" s="493"/>
      <c r="N53" s="493"/>
      <c r="O53" s="493"/>
      <c r="P53" s="493"/>
      <c r="Q53" s="493"/>
      <c r="R53" s="493"/>
      <c r="S53" s="493"/>
      <c r="T53" s="493"/>
      <c r="U53" s="493"/>
      <c r="V53" s="493"/>
      <c r="W53" s="493"/>
      <c r="X53" s="493"/>
      <c r="Y53" s="493"/>
      <c r="Z53" s="493"/>
      <c r="AA53" s="493"/>
      <c r="AB53" s="493"/>
      <c r="AC53" s="493"/>
      <c r="AD53" s="493"/>
      <c r="AE53" s="493"/>
      <c r="AF53" s="493"/>
      <c r="AG53" s="493"/>
      <c r="AH53" s="493"/>
      <c r="AI53" s="493"/>
      <c r="AJ53" s="493"/>
      <c r="AK53" s="493"/>
      <c r="AL53" s="493"/>
      <c r="AM53" s="493"/>
      <c r="AN53" s="493"/>
      <c r="AO53" s="493"/>
      <c r="AP53" s="493"/>
      <c r="AQ53" s="493"/>
      <c r="AR53" s="493"/>
      <c r="AS53" s="493"/>
      <c r="AT53" s="493"/>
      <c r="AU53" s="493"/>
      <c r="AV53" s="493"/>
      <c r="AW53" s="485"/>
      <c r="AX53" s="485"/>
    </row>
    <row r="54" hidden="1">
      <c r="A54" s="486" t="s">
        <v>450</v>
      </c>
      <c r="B54" s="495" t="str">
        <f>IFERROR(__xludf.DUMMYFUNCTION("QUERY('Round 1'!A:BA, ""select Avg(H),Avg(I),Avg(J),Avg(K),Avg(L),Avg(M),Avg(N),Avg(O),Avg(P),Avg(Q),Avg(R),Avg(S),Avg(T),Avg(U),Avg(V),Avg(W),Avg(X),Avg(Y),Avg(Z),Avg(AA),Avg(AB),Avg(AC),Avg(AD),Avg(AE),Avg(AF),Avg(AG),Avg(AH),Avg(AI),Avg(AJ),Avg(AK),Avg"&amp;"(AL),Avg(AM),Avg(AN),Avg(AO),Avg(AP),Avg(AQ),Avg(AR),Avg(AS),Avg(AT),Avg(AU),Avg(AV),Avg(AW),Avg(AX),Avg(AY),Avg(AZ),Avg(BA),Avg(BB)"",1)"),"#VALUE!")</f>
        <v>#VALUE!</v>
      </c>
      <c r="C54" s="496"/>
      <c r="D54" s="496"/>
      <c r="E54" s="496"/>
      <c r="F54" s="496"/>
      <c r="G54" s="496"/>
      <c r="H54" s="496"/>
      <c r="I54" s="496"/>
      <c r="J54" s="496"/>
      <c r="K54" s="496"/>
      <c r="L54" s="496"/>
      <c r="M54" s="496"/>
      <c r="N54" s="496"/>
      <c r="O54" s="496"/>
      <c r="P54" s="496"/>
      <c r="Q54" s="496"/>
      <c r="R54" s="496"/>
      <c r="S54" s="496"/>
      <c r="T54" s="496"/>
      <c r="U54" s="496"/>
      <c r="V54" s="496"/>
      <c r="W54" s="496"/>
      <c r="X54" s="496"/>
      <c r="Y54" s="496"/>
      <c r="Z54" s="496"/>
      <c r="AA54" s="496"/>
      <c r="AB54" s="496"/>
      <c r="AC54" s="496"/>
      <c r="AD54" s="496"/>
      <c r="AE54" s="496"/>
      <c r="AF54" s="496"/>
      <c r="AG54" s="496"/>
      <c r="AH54" s="496"/>
      <c r="AI54" s="496"/>
      <c r="AJ54" s="496"/>
      <c r="AK54" s="496"/>
      <c r="AL54" s="496"/>
      <c r="AM54" s="496"/>
      <c r="AN54" s="496"/>
      <c r="AO54" s="496"/>
      <c r="AP54" s="496"/>
      <c r="AQ54" s="496"/>
      <c r="AR54" s="496"/>
      <c r="AS54" s="496"/>
      <c r="AT54" s="496"/>
      <c r="AU54" s="496"/>
      <c r="AV54" s="496"/>
      <c r="AW54" s="485"/>
      <c r="AX54" s="485"/>
    </row>
    <row r="55" hidden="1">
      <c r="A55" s="493"/>
      <c r="B55" s="485"/>
      <c r="C55" s="485"/>
      <c r="D55" s="485"/>
      <c r="E55" s="485"/>
      <c r="F55" s="485"/>
      <c r="G55" s="485"/>
      <c r="H55" s="485"/>
      <c r="I55" s="485"/>
      <c r="J55" s="485"/>
      <c r="K55" s="485"/>
      <c r="L55" s="485"/>
      <c r="M55" s="485"/>
      <c r="N55" s="485"/>
      <c r="O55" s="485"/>
      <c r="P55" s="485"/>
      <c r="Q55" s="485"/>
      <c r="R55" s="485"/>
      <c r="S55" s="485"/>
      <c r="T55" s="485"/>
      <c r="U55" s="485"/>
      <c r="V55" s="485"/>
      <c r="W55" s="485"/>
      <c r="X55" s="485"/>
      <c r="Y55" s="485"/>
      <c r="Z55" s="485"/>
      <c r="AA55" s="485"/>
      <c r="AB55" s="485"/>
      <c r="AC55" s="485"/>
      <c r="AD55" s="485"/>
      <c r="AE55" s="485"/>
      <c r="AF55" s="485"/>
      <c r="AG55" s="485"/>
      <c r="AH55" s="485"/>
      <c r="AI55" s="485"/>
      <c r="AJ55" s="485"/>
      <c r="AK55" s="485"/>
      <c r="AL55" s="485"/>
      <c r="AM55" s="485"/>
      <c r="AN55" s="485"/>
      <c r="AO55" s="485"/>
      <c r="AP55" s="485"/>
      <c r="AQ55" s="485"/>
      <c r="AR55" s="485"/>
      <c r="AS55" s="485"/>
      <c r="AT55" s="485"/>
      <c r="AU55" s="485"/>
      <c r="AV55" s="485"/>
      <c r="AW55" s="485"/>
      <c r="AX55" s="485"/>
    </row>
    <row r="56" hidden="1">
      <c r="A56" s="494" t="s">
        <v>133</v>
      </c>
      <c r="B56" s="493"/>
      <c r="C56" s="493"/>
      <c r="D56" s="493"/>
      <c r="E56" s="493"/>
      <c r="F56" s="493"/>
      <c r="G56" s="493"/>
      <c r="H56" s="493"/>
      <c r="I56" s="493"/>
      <c r="J56" s="493"/>
      <c r="K56" s="493"/>
      <c r="L56" s="493"/>
      <c r="M56" s="493"/>
      <c r="N56" s="493"/>
      <c r="O56" s="493"/>
      <c r="P56" s="493"/>
      <c r="Q56" s="493"/>
      <c r="R56" s="493"/>
      <c r="S56" s="493"/>
      <c r="T56" s="493"/>
      <c r="U56" s="493"/>
      <c r="V56" s="493"/>
      <c r="W56" s="493"/>
      <c r="X56" s="493"/>
      <c r="Y56" s="493"/>
      <c r="Z56" s="493"/>
      <c r="AA56" s="493"/>
      <c r="AB56" s="493"/>
      <c r="AC56" s="493"/>
      <c r="AD56" s="493"/>
      <c r="AE56" s="493"/>
      <c r="AF56" s="493"/>
      <c r="AG56" s="493"/>
      <c r="AH56" s="493"/>
      <c r="AI56" s="493"/>
      <c r="AJ56" s="493"/>
      <c r="AK56" s="493"/>
      <c r="AL56" s="493"/>
      <c r="AM56" s="493"/>
      <c r="AN56" s="493"/>
      <c r="AO56" s="493"/>
      <c r="AP56" s="493"/>
      <c r="AQ56" s="493"/>
      <c r="AR56" s="493"/>
      <c r="AS56" s="493"/>
      <c r="AT56" s="493"/>
      <c r="AU56" s="493"/>
      <c r="AV56" s="493"/>
      <c r="AW56" s="485"/>
      <c r="AX56" s="485"/>
    </row>
    <row r="57" hidden="1">
      <c r="A57" s="486" t="s">
        <v>450</v>
      </c>
      <c r="B57" s="495" t="str">
        <f>IFERROR(__xludf.DUMMYFUNCTION("QUERY('Round 2'!A:BA, ""select Avg(H),Avg(I),Avg(J),Avg(K),Avg(L),Avg(M),Avg(N),Avg(O),Avg(P),Avg(Q),Avg(R),Avg(S),Avg(T),Avg(U),Avg(V),Avg(W),Avg(X),Avg(Y),Avg(Z),Avg(AA),Avg(AB),Avg(AC),Avg(AD),Avg(AE),Avg(AF),Avg(AG),Avg(AH),Avg(AI),Avg(AJ),Avg(AK),Avg"&amp;"(AL),Avg(AM),Avg(AN),Avg(AO),Avg(AP),Avg(AQ),Avg(AR),Avg(AS),Avg(AT),Avg(AU),Avg(AV),Avg(AW),Avg(AX),Avg(AY),Avg(AZ),Avg(BA),Avg(BB)"",1)"),"#VALUE!")</f>
        <v>#VALUE!</v>
      </c>
      <c r="C57" s="496"/>
      <c r="D57" s="496"/>
      <c r="E57" s="496"/>
      <c r="F57" s="496"/>
      <c r="G57" s="496"/>
      <c r="H57" s="496"/>
      <c r="I57" s="496"/>
      <c r="J57" s="496"/>
      <c r="K57" s="496"/>
      <c r="L57" s="496"/>
      <c r="M57" s="496"/>
      <c r="N57" s="496"/>
      <c r="O57" s="496"/>
      <c r="P57" s="496"/>
      <c r="Q57" s="496"/>
      <c r="R57" s="496"/>
      <c r="S57" s="496"/>
      <c r="T57" s="496"/>
      <c r="U57" s="496"/>
      <c r="V57" s="496"/>
      <c r="W57" s="496"/>
      <c r="X57" s="496"/>
      <c r="Y57" s="496"/>
      <c r="Z57" s="496"/>
      <c r="AA57" s="496"/>
      <c r="AB57" s="496"/>
      <c r="AC57" s="496"/>
      <c r="AD57" s="496"/>
      <c r="AE57" s="496"/>
      <c r="AF57" s="496"/>
      <c r="AG57" s="496"/>
      <c r="AH57" s="496"/>
      <c r="AI57" s="496"/>
      <c r="AJ57" s="496"/>
      <c r="AK57" s="496"/>
      <c r="AL57" s="496"/>
      <c r="AM57" s="496"/>
      <c r="AN57" s="496"/>
      <c r="AO57" s="496"/>
      <c r="AP57" s="496"/>
      <c r="AQ57" s="496"/>
      <c r="AR57" s="496"/>
      <c r="AS57" s="496"/>
      <c r="AT57" s="496"/>
      <c r="AU57" s="496"/>
      <c r="AV57" s="496"/>
      <c r="AW57" s="485"/>
      <c r="AX57" s="485"/>
    </row>
    <row r="58" hidden="1">
      <c r="A58" s="493"/>
      <c r="B58" s="485"/>
      <c r="C58" s="485"/>
      <c r="D58" s="485"/>
      <c r="E58" s="485"/>
      <c r="F58" s="485"/>
      <c r="G58" s="485"/>
      <c r="H58" s="485"/>
      <c r="I58" s="485"/>
      <c r="J58" s="485"/>
      <c r="K58" s="485"/>
      <c r="L58" s="485"/>
      <c r="M58" s="485"/>
      <c r="N58" s="485"/>
      <c r="O58" s="485"/>
      <c r="P58" s="485"/>
      <c r="Q58" s="485"/>
      <c r="R58" s="485"/>
      <c r="S58" s="485"/>
      <c r="T58" s="485"/>
      <c r="U58" s="485"/>
      <c r="V58" s="485"/>
      <c r="W58" s="485"/>
      <c r="X58" s="485"/>
      <c r="Y58" s="485"/>
      <c r="Z58" s="485"/>
      <c r="AA58" s="485"/>
      <c r="AB58" s="485"/>
      <c r="AC58" s="485"/>
      <c r="AD58" s="485"/>
      <c r="AE58" s="485"/>
      <c r="AF58" s="485"/>
      <c r="AG58" s="485"/>
      <c r="AH58" s="485"/>
      <c r="AI58" s="485"/>
      <c r="AJ58" s="485"/>
      <c r="AK58" s="485"/>
      <c r="AL58" s="485"/>
      <c r="AM58" s="485"/>
      <c r="AN58" s="485"/>
      <c r="AO58" s="485"/>
      <c r="AP58" s="485"/>
      <c r="AQ58" s="485"/>
      <c r="AR58" s="485"/>
      <c r="AS58" s="485"/>
      <c r="AT58" s="485"/>
      <c r="AU58" s="485"/>
      <c r="AV58" s="485"/>
      <c r="AW58" s="485"/>
      <c r="AX58" s="485"/>
    </row>
    <row r="59" hidden="1">
      <c r="A59" s="494" t="s">
        <v>134</v>
      </c>
      <c r="B59" s="493"/>
      <c r="C59" s="493"/>
      <c r="D59" s="493"/>
      <c r="E59" s="493"/>
      <c r="F59" s="493"/>
      <c r="G59" s="493"/>
      <c r="H59" s="493"/>
      <c r="I59" s="493"/>
      <c r="J59" s="493"/>
      <c r="K59" s="493"/>
      <c r="L59" s="493"/>
      <c r="M59" s="493"/>
      <c r="N59" s="493"/>
      <c r="O59" s="493"/>
      <c r="P59" s="493"/>
      <c r="Q59" s="493"/>
      <c r="R59" s="493"/>
      <c r="S59" s="493"/>
      <c r="T59" s="493"/>
      <c r="U59" s="493"/>
      <c r="V59" s="493"/>
      <c r="W59" s="493"/>
      <c r="X59" s="493"/>
      <c r="Y59" s="493"/>
      <c r="Z59" s="493"/>
      <c r="AA59" s="493"/>
      <c r="AB59" s="493"/>
      <c r="AC59" s="493"/>
      <c r="AD59" s="493"/>
      <c r="AE59" s="493"/>
      <c r="AF59" s="493"/>
      <c r="AG59" s="493"/>
      <c r="AH59" s="493"/>
      <c r="AI59" s="493"/>
      <c r="AJ59" s="493"/>
      <c r="AK59" s="493"/>
      <c r="AL59" s="493"/>
      <c r="AM59" s="493"/>
      <c r="AN59" s="493"/>
      <c r="AO59" s="493"/>
      <c r="AP59" s="493"/>
      <c r="AQ59" s="493"/>
      <c r="AR59" s="493"/>
      <c r="AS59" s="493"/>
      <c r="AT59" s="493"/>
      <c r="AU59" s="493"/>
      <c r="AV59" s="493"/>
      <c r="AW59" s="485"/>
      <c r="AX59" s="485"/>
    </row>
    <row r="60" hidden="1">
      <c r="A60" s="486" t="s">
        <v>450</v>
      </c>
      <c r="B60" s="496" t="str">
        <f>IFERROR(__xludf.DUMMYFUNCTION("QUERY('Round 3'!A:BC, ""select Avg(H),Avg(I),Avg(J),Avg(K),Avg(L),Avg(M),Avg(N),Avg(O),Avg(P),Avg(Q),Avg(R),Avg(S),Avg(T),Avg(U),Avg(V),Avg(W),Avg(X),Avg(Y),Avg(Z),Avg(AA),Avg(AB),Avg(AC),Avg(AD),Avg(AE),Avg(AF),Avg(AG),Avg(AH),Avg(AI),Avg(AJ),Avg(AK),Avg"&amp;"(AL),Avg(AM),Avg(AN),Avg(AO),Avg(AP),Avg(AQ),Avg(AR),Avg(AS),Avg(AT),Avg(AU),Avg(AV),Avg(AW),Avg(AX),Avg(AY),Avg(AZ),Avg(BA),Avg(BB)"",1)"),"#VALUE!")</f>
        <v>#VALUE!</v>
      </c>
      <c r="C60" s="496"/>
      <c r="D60" s="496"/>
      <c r="E60" s="496"/>
      <c r="F60" s="496"/>
      <c r="G60" s="496"/>
      <c r="H60" s="496"/>
      <c r="I60" s="496"/>
      <c r="J60" s="496"/>
      <c r="K60" s="496"/>
      <c r="L60" s="496"/>
      <c r="M60" s="496"/>
      <c r="N60" s="496"/>
      <c r="O60" s="496"/>
      <c r="P60" s="496"/>
      <c r="Q60" s="496"/>
      <c r="R60" s="496"/>
      <c r="S60" s="496"/>
      <c r="T60" s="496"/>
      <c r="U60" s="496"/>
      <c r="V60" s="496"/>
      <c r="W60" s="496"/>
      <c r="X60" s="496"/>
      <c r="Y60" s="496"/>
      <c r="Z60" s="496"/>
      <c r="AA60" s="496"/>
      <c r="AB60" s="496"/>
      <c r="AC60" s="496"/>
      <c r="AD60" s="496"/>
      <c r="AE60" s="496"/>
      <c r="AF60" s="496"/>
      <c r="AG60" s="496"/>
      <c r="AH60" s="496"/>
      <c r="AI60" s="496"/>
      <c r="AJ60" s="496"/>
      <c r="AK60" s="496"/>
      <c r="AL60" s="496"/>
      <c r="AM60" s="496"/>
      <c r="AN60" s="496"/>
      <c r="AO60" s="496"/>
      <c r="AP60" s="496"/>
      <c r="AQ60" s="496"/>
      <c r="AR60" s="496"/>
      <c r="AS60" s="496"/>
      <c r="AT60" s="496"/>
      <c r="AU60" s="496"/>
      <c r="AV60" s="496"/>
      <c r="AW60" s="485"/>
      <c r="AX60" s="485"/>
    </row>
    <row r="61" hidden="1">
      <c r="A61" s="493"/>
      <c r="B61" s="485"/>
      <c r="C61" s="485"/>
      <c r="D61" s="485"/>
      <c r="E61" s="485"/>
      <c r="F61" s="485"/>
      <c r="G61" s="485"/>
      <c r="H61" s="485"/>
      <c r="I61" s="485"/>
      <c r="J61" s="485"/>
      <c r="K61" s="485"/>
      <c r="L61" s="485"/>
      <c r="M61" s="485"/>
      <c r="N61" s="485"/>
      <c r="O61" s="485"/>
      <c r="P61" s="485"/>
      <c r="Q61" s="485"/>
      <c r="R61" s="485"/>
      <c r="S61" s="485"/>
      <c r="T61" s="485"/>
      <c r="U61" s="485"/>
      <c r="V61" s="485"/>
      <c r="W61" s="485"/>
      <c r="X61" s="485"/>
      <c r="Y61" s="485"/>
      <c r="Z61" s="485"/>
      <c r="AA61" s="485"/>
      <c r="AB61" s="485"/>
      <c r="AC61" s="485"/>
      <c r="AD61" s="485"/>
      <c r="AE61" s="485"/>
      <c r="AF61" s="485"/>
      <c r="AG61" s="485"/>
      <c r="AH61" s="485"/>
      <c r="AI61" s="485"/>
      <c r="AJ61" s="485"/>
      <c r="AK61" s="485"/>
      <c r="AL61" s="485"/>
      <c r="AM61" s="485"/>
      <c r="AN61" s="485"/>
      <c r="AO61" s="485"/>
      <c r="AP61" s="485"/>
      <c r="AQ61" s="485"/>
      <c r="AR61" s="485"/>
      <c r="AS61" s="485"/>
      <c r="AT61" s="485"/>
      <c r="AU61" s="485"/>
      <c r="AV61" s="485"/>
      <c r="AW61" s="485"/>
      <c r="AX61" s="485"/>
    </row>
    <row r="62" hidden="1">
      <c r="A62" s="494" t="s">
        <v>451</v>
      </c>
      <c r="B62" s="493"/>
      <c r="C62" s="493"/>
      <c r="D62" s="493"/>
      <c r="E62" s="493"/>
      <c r="F62" s="493"/>
      <c r="G62" s="493"/>
      <c r="H62" s="493"/>
      <c r="I62" s="493"/>
      <c r="J62" s="493"/>
      <c r="K62" s="493"/>
      <c r="L62" s="493"/>
      <c r="M62" s="493"/>
      <c r="N62" s="493"/>
      <c r="O62" s="493"/>
      <c r="P62" s="493"/>
      <c r="Q62" s="493"/>
      <c r="R62" s="493"/>
      <c r="S62" s="493"/>
      <c r="T62" s="493"/>
      <c r="U62" s="493"/>
      <c r="V62" s="493"/>
      <c r="W62" s="493"/>
      <c r="X62" s="493"/>
      <c r="Y62" s="493"/>
      <c r="Z62" s="493"/>
      <c r="AA62" s="493"/>
      <c r="AB62" s="493"/>
      <c r="AC62" s="493"/>
      <c r="AD62" s="493"/>
      <c r="AE62" s="493"/>
      <c r="AF62" s="493"/>
      <c r="AG62" s="493"/>
      <c r="AH62" s="493"/>
      <c r="AI62" s="493"/>
      <c r="AJ62" s="493"/>
      <c r="AK62" s="493"/>
      <c r="AL62" s="493"/>
      <c r="AM62" s="493"/>
      <c r="AN62" s="493"/>
      <c r="AO62" s="493"/>
      <c r="AP62" s="493"/>
      <c r="AQ62" s="493"/>
      <c r="AR62" s="493"/>
      <c r="AS62" s="493"/>
      <c r="AT62" s="493"/>
      <c r="AU62" s="493"/>
      <c r="AV62" s="493"/>
      <c r="AW62" s="485"/>
      <c r="AX62" s="485"/>
    </row>
    <row r="63" hidden="1">
      <c r="A63" s="486" t="s">
        <v>450</v>
      </c>
      <c r="B63" s="496" t="str">
        <f>IFERROR(__xludf.DUMMYFUNCTION("QUERY(Semifinals!A:BB, ""select Avg(H),Avg(I),Avg(J),Avg(K),Avg(L),Avg(M),Avg(N),Avg(O),Avg(P),Avg(Q),Avg(R),Avg(S),Avg(T),Avg(U),Avg(V),Avg(W),Avg(X),Avg(Y),Avg(Z),Avg(AA),Avg(AB),Avg(AC),Avg(AD),Avg(AE),Avg(AF),Avg(AG),Avg(AH),Avg(AI),Avg(AJ),Avg(AK),Av"&amp;"g(AL),Avg(AM),Avg(AN),Avg(AO),Avg(AP),Avg(AQ),Avg(AR),Avg(AS),Avg(AT),Avg(AU),Avg(AV),Avg(AW),Avg(AX),Avg(AY),Avg(AZ),Avg(BA),Avg(BB)"",1)"),"#VALUE!")</f>
        <v>#VALUE!</v>
      </c>
      <c r="C63" s="496"/>
      <c r="D63" s="496"/>
      <c r="E63" s="496"/>
      <c r="F63" s="496"/>
      <c r="G63" s="496"/>
      <c r="H63" s="496"/>
      <c r="I63" s="496"/>
      <c r="J63" s="496"/>
      <c r="K63" s="496"/>
      <c r="L63" s="496"/>
      <c r="M63" s="496"/>
      <c r="N63" s="496"/>
      <c r="O63" s="496"/>
      <c r="P63" s="496"/>
      <c r="Q63" s="496"/>
      <c r="R63" s="496"/>
      <c r="S63" s="496"/>
      <c r="T63" s="496"/>
      <c r="U63" s="496"/>
      <c r="V63" s="496"/>
      <c r="W63" s="496"/>
      <c r="X63" s="496"/>
      <c r="Y63" s="496"/>
      <c r="Z63" s="496"/>
      <c r="AA63" s="496"/>
      <c r="AB63" s="496"/>
      <c r="AC63" s="496"/>
      <c r="AD63" s="496"/>
      <c r="AE63" s="496"/>
      <c r="AF63" s="496"/>
      <c r="AG63" s="496"/>
      <c r="AH63" s="496"/>
      <c r="AI63" s="496"/>
      <c r="AJ63" s="496"/>
      <c r="AK63" s="496"/>
      <c r="AL63" s="496"/>
      <c r="AM63" s="496"/>
      <c r="AN63" s="496"/>
      <c r="AO63" s="496"/>
      <c r="AP63" s="496"/>
      <c r="AQ63" s="496"/>
      <c r="AR63" s="496"/>
      <c r="AS63" s="496"/>
      <c r="AT63" s="496"/>
      <c r="AU63" s="496"/>
      <c r="AV63" s="496"/>
      <c r="AW63" s="485"/>
      <c r="AX63" s="485"/>
    </row>
    <row r="64" hidden="1">
      <c r="A64" s="493"/>
      <c r="B64" s="485"/>
      <c r="C64" s="485"/>
      <c r="D64" s="485"/>
      <c r="E64" s="485"/>
      <c r="F64" s="485"/>
      <c r="G64" s="485"/>
      <c r="H64" s="485"/>
      <c r="I64" s="485"/>
      <c r="J64" s="485"/>
      <c r="K64" s="485"/>
      <c r="L64" s="485"/>
      <c r="M64" s="485"/>
      <c r="N64" s="485"/>
      <c r="O64" s="485"/>
      <c r="P64" s="485"/>
      <c r="Q64" s="485"/>
      <c r="R64" s="485"/>
      <c r="S64" s="485"/>
      <c r="T64" s="485"/>
      <c r="U64" s="485"/>
      <c r="V64" s="485"/>
      <c r="W64" s="485"/>
      <c r="X64" s="485"/>
      <c r="Y64" s="485"/>
      <c r="Z64" s="485"/>
      <c r="AA64" s="485"/>
      <c r="AB64" s="485"/>
      <c r="AC64" s="485"/>
      <c r="AD64" s="485"/>
      <c r="AE64" s="485"/>
      <c r="AF64" s="485"/>
      <c r="AG64" s="485"/>
      <c r="AH64" s="485"/>
      <c r="AI64" s="485"/>
      <c r="AJ64" s="485"/>
      <c r="AK64" s="485"/>
      <c r="AL64" s="485"/>
      <c r="AM64" s="485"/>
      <c r="AN64" s="485"/>
      <c r="AO64" s="485"/>
      <c r="AP64" s="485"/>
      <c r="AQ64" s="485"/>
      <c r="AR64" s="485"/>
      <c r="AS64" s="485"/>
      <c r="AT64" s="485"/>
      <c r="AU64" s="485"/>
      <c r="AV64" s="485"/>
      <c r="AW64" s="485"/>
      <c r="AX64" s="485"/>
    </row>
    <row r="65" hidden="1">
      <c r="A65" s="494" t="s">
        <v>136</v>
      </c>
      <c r="B65" s="493"/>
      <c r="C65" s="493"/>
      <c r="D65" s="493"/>
      <c r="E65" s="493"/>
      <c r="F65" s="493"/>
      <c r="G65" s="493"/>
      <c r="H65" s="493"/>
      <c r="I65" s="493"/>
      <c r="J65" s="493"/>
      <c r="K65" s="493"/>
      <c r="L65" s="493"/>
      <c r="M65" s="493"/>
      <c r="N65" s="493"/>
      <c r="O65" s="493"/>
      <c r="P65" s="493"/>
      <c r="Q65" s="493"/>
      <c r="R65" s="493"/>
      <c r="S65" s="493"/>
      <c r="T65" s="493"/>
      <c r="U65" s="493"/>
      <c r="V65" s="493"/>
      <c r="W65" s="493"/>
      <c r="X65" s="493"/>
      <c r="Y65" s="493"/>
      <c r="Z65" s="493"/>
      <c r="AA65" s="493"/>
      <c r="AB65" s="493"/>
      <c r="AC65" s="493"/>
      <c r="AD65" s="493"/>
      <c r="AE65" s="493"/>
      <c r="AF65" s="493"/>
      <c r="AG65" s="493"/>
      <c r="AH65" s="493"/>
      <c r="AI65" s="493"/>
      <c r="AJ65" s="493"/>
      <c r="AK65" s="493"/>
      <c r="AL65" s="493"/>
      <c r="AM65" s="493"/>
      <c r="AN65" s="493"/>
      <c r="AO65" s="493"/>
      <c r="AP65" s="493"/>
      <c r="AQ65" s="493"/>
      <c r="AR65" s="493"/>
      <c r="AS65" s="493"/>
      <c r="AT65" s="493"/>
      <c r="AU65" s="493"/>
      <c r="AV65" s="493"/>
      <c r="AW65" s="485"/>
      <c r="AX65" s="485"/>
    </row>
    <row r="66" hidden="1">
      <c r="A66" s="486" t="s">
        <v>450</v>
      </c>
      <c r="B66" s="496" t="str">
        <f>IFERROR(__xludf.DUMMYFUNCTION("QUERY(Finals!A:BB, ""select Avg(H),Avg(I),Avg(J),Avg(K),Avg(L),Avg(M),Avg(N),Avg(O),Avg(P),Avg(Q),Avg(R),Avg(S),Avg(T),Avg(U),Avg(V),Avg(W),Avg(X),Avg(Y),Avg(Z),Avg(AA),Avg(AB),Avg(AC),Avg(AD),Avg(AE),Avg(AF),Avg(AG),Avg(AH),Avg(AI),Avg(AJ),Avg(AK),Avg(AL"&amp;"),Avg(AM),Avg(AN),Avg(AO),Avg(AP),Avg(AQ),Avg(AR),Avg(AS),Avg(AT),Avg(AU),Avg(AV),Avg(AW),Avg(AX),Avg(AY),Avg(AZ),Avg(BA),Avg(BB)"",1)"),"#VALUE!")</f>
        <v>#VALUE!</v>
      </c>
      <c r="C66" s="496"/>
      <c r="D66" s="496"/>
      <c r="E66" s="496"/>
      <c r="F66" s="496"/>
      <c r="G66" s="496"/>
      <c r="H66" s="496"/>
      <c r="I66" s="496"/>
      <c r="J66" s="496"/>
      <c r="K66" s="496"/>
      <c r="L66" s="496"/>
      <c r="M66" s="496"/>
      <c r="N66" s="496"/>
      <c r="O66" s="496"/>
      <c r="P66" s="496"/>
      <c r="Q66" s="496"/>
      <c r="R66" s="496"/>
      <c r="S66" s="496"/>
      <c r="T66" s="496"/>
      <c r="U66" s="496"/>
      <c r="V66" s="496"/>
      <c r="W66" s="496"/>
      <c r="X66" s="496"/>
      <c r="Y66" s="496"/>
      <c r="Z66" s="496"/>
      <c r="AA66" s="496"/>
      <c r="AB66" s="496"/>
      <c r="AC66" s="496"/>
      <c r="AD66" s="496"/>
      <c r="AE66" s="496"/>
      <c r="AF66" s="496"/>
      <c r="AG66" s="496"/>
      <c r="AH66" s="496"/>
      <c r="AI66" s="496"/>
      <c r="AJ66" s="496"/>
      <c r="AK66" s="496"/>
      <c r="AL66" s="496"/>
      <c r="AM66" s="496"/>
      <c r="AN66" s="496"/>
      <c r="AO66" s="496"/>
      <c r="AP66" s="496"/>
      <c r="AQ66" s="496"/>
      <c r="AR66" s="496"/>
      <c r="AS66" s="496"/>
      <c r="AT66" s="496"/>
      <c r="AU66" s="496"/>
      <c r="AV66" s="496"/>
      <c r="AW66" s="485"/>
      <c r="AX66" s="485"/>
    </row>
    <row r="67" hidden="1">
      <c r="A67" s="493"/>
      <c r="B67" s="485"/>
      <c r="C67" s="485"/>
      <c r="D67" s="485"/>
      <c r="E67" s="485"/>
      <c r="F67" s="485"/>
      <c r="G67" s="485"/>
      <c r="H67" s="485"/>
      <c r="I67" s="485"/>
      <c r="J67" s="485"/>
      <c r="K67" s="485"/>
      <c r="L67" s="485"/>
      <c r="M67" s="485"/>
      <c r="N67" s="485"/>
      <c r="O67" s="485"/>
      <c r="P67" s="485"/>
      <c r="Q67" s="485"/>
      <c r="R67" s="485"/>
      <c r="S67" s="485"/>
      <c r="T67" s="485"/>
      <c r="U67" s="485"/>
      <c r="V67" s="485"/>
      <c r="W67" s="485"/>
      <c r="X67" s="485"/>
      <c r="Y67" s="485"/>
      <c r="Z67" s="485"/>
      <c r="AA67" s="485"/>
      <c r="AB67" s="485"/>
      <c r="AC67" s="485"/>
      <c r="AD67" s="485"/>
      <c r="AE67" s="485"/>
      <c r="AF67" s="485"/>
      <c r="AG67" s="485"/>
      <c r="AH67" s="485"/>
      <c r="AI67" s="485"/>
      <c r="AJ67" s="485"/>
      <c r="AK67" s="485"/>
      <c r="AL67" s="485"/>
      <c r="AM67" s="485"/>
      <c r="AN67" s="485"/>
      <c r="AO67" s="485"/>
      <c r="AP67" s="485"/>
      <c r="AQ67" s="485"/>
      <c r="AR67" s="485"/>
      <c r="AS67" s="485"/>
      <c r="AT67" s="485"/>
      <c r="AU67" s="485"/>
      <c r="AV67" s="485"/>
      <c r="AW67" s="485"/>
      <c r="AX67" s="485"/>
    </row>
    <row r="68" hidden="1">
      <c r="A68" s="493"/>
      <c r="B68" s="493"/>
      <c r="C68" s="493"/>
      <c r="D68" s="493"/>
      <c r="E68" s="493"/>
      <c r="F68" s="493"/>
      <c r="G68" s="493"/>
      <c r="H68" s="493"/>
      <c r="I68" s="493"/>
      <c r="J68" s="493"/>
      <c r="K68" s="493"/>
      <c r="L68" s="493"/>
      <c r="M68" s="493"/>
      <c r="N68" s="493"/>
      <c r="O68" s="493"/>
      <c r="P68" s="493"/>
      <c r="Q68" s="493"/>
      <c r="R68" s="493"/>
      <c r="S68" s="493"/>
      <c r="T68" s="493"/>
      <c r="U68" s="493"/>
      <c r="V68" s="493"/>
      <c r="W68" s="493"/>
      <c r="X68" s="493"/>
      <c r="Y68" s="493"/>
      <c r="Z68" s="493"/>
      <c r="AA68" s="493"/>
      <c r="AB68" s="493"/>
      <c r="AC68" s="493"/>
      <c r="AD68" s="493"/>
      <c r="AE68" s="493"/>
      <c r="AF68" s="493"/>
      <c r="AG68" s="493"/>
      <c r="AH68" s="493"/>
      <c r="AI68" s="493"/>
      <c r="AJ68" s="493"/>
      <c r="AK68" s="493"/>
      <c r="AL68" s="493"/>
      <c r="AM68" s="493"/>
      <c r="AN68" s="493"/>
      <c r="AO68" s="493"/>
      <c r="AP68" s="493"/>
      <c r="AQ68" s="493"/>
      <c r="AR68" s="493"/>
      <c r="AS68" s="493"/>
      <c r="AT68" s="493"/>
      <c r="AU68" s="493"/>
      <c r="AV68" s="485"/>
      <c r="AW68" s="485"/>
      <c r="AX68" s="485"/>
    </row>
    <row r="69" hidden="1">
      <c r="A69" s="485"/>
      <c r="B69" s="485"/>
      <c r="C69" s="485"/>
      <c r="D69" s="485"/>
      <c r="E69" s="485"/>
      <c r="F69" s="485"/>
      <c r="G69" s="485"/>
      <c r="H69" s="485"/>
      <c r="I69" s="485"/>
      <c r="J69" s="485"/>
      <c r="K69" s="485"/>
      <c r="L69" s="485"/>
      <c r="M69" s="485"/>
      <c r="N69" s="485"/>
      <c r="O69" s="485"/>
      <c r="P69" s="485"/>
      <c r="Q69" s="485"/>
      <c r="R69" s="485"/>
      <c r="S69" s="485"/>
      <c r="T69" s="485"/>
      <c r="U69" s="485"/>
      <c r="V69" s="485"/>
      <c r="W69" s="485"/>
      <c r="X69" s="485"/>
      <c r="Y69" s="485"/>
      <c r="Z69" s="485"/>
      <c r="AA69" s="485"/>
      <c r="AB69" s="485"/>
      <c r="AC69" s="485"/>
      <c r="AD69" s="485"/>
      <c r="AE69" s="485"/>
      <c r="AF69" s="485"/>
      <c r="AG69" s="485"/>
      <c r="AH69" s="485"/>
      <c r="AI69" s="485"/>
      <c r="AJ69" s="485"/>
      <c r="AK69" s="485"/>
      <c r="AL69" s="485"/>
      <c r="AM69" s="485"/>
      <c r="AN69" s="485"/>
      <c r="AO69" s="485"/>
      <c r="AP69" s="485"/>
      <c r="AQ69" s="485"/>
      <c r="AR69" s="485"/>
      <c r="AS69" s="485"/>
      <c r="AT69" s="485"/>
      <c r="AU69" s="485"/>
      <c r="AV69" s="485"/>
      <c r="AW69" s="485"/>
      <c r="AX69" s="485"/>
    </row>
    <row r="70" hidden="1">
      <c r="A70" s="485"/>
      <c r="B70" s="485"/>
      <c r="C70" s="485"/>
      <c r="D70" s="485"/>
      <c r="E70" s="485"/>
      <c r="F70" s="485"/>
      <c r="G70" s="485"/>
      <c r="H70" s="485"/>
      <c r="I70" s="485"/>
      <c r="J70" s="485"/>
      <c r="K70" s="485"/>
      <c r="L70" s="485"/>
      <c r="M70" s="485"/>
      <c r="N70" s="485"/>
      <c r="O70" s="485"/>
      <c r="P70" s="485"/>
      <c r="Q70" s="485"/>
      <c r="R70" s="485"/>
      <c r="S70" s="485"/>
      <c r="T70" s="485"/>
      <c r="U70" s="485"/>
      <c r="V70" s="485"/>
      <c r="W70" s="485"/>
      <c r="X70" s="485"/>
      <c r="Y70" s="485"/>
      <c r="Z70" s="485"/>
      <c r="AA70" s="485"/>
      <c r="AB70" s="485"/>
      <c r="AC70" s="485"/>
      <c r="AD70" s="485"/>
      <c r="AE70" s="485"/>
      <c r="AF70" s="485"/>
      <c r="AG70" s="485"/>
      <c r="AH70" s="485"/>
      <c r="AI70" s="485"/>
      <c r="AJ70" s="485"/>
      <c r="AK70" s="485"/>
      <c r="AL70" s="485"/>
      <c r="AM70" s="485"/>
      <c r="AN70" s="485"/>
      <c r="AO70" s="485"/>
      <c r="AP70" s="485"/>
      <c r="AQ70" s="485"/>
      <c r="AR70" s="485"/>
      <c r="AS70" s="485"/>
      <c r="AT70" s="485"/>
      <c r="AU70" s="485"/>
      <c r="AV70" s="485"/>
      <c r="AW70" s="485"/>
      <c r="AX70" s="485"/>
    </row>
    <row r="71" hidden="1">
      <c r="A71" s="485"/>
      <c r="B71" s="485"/>
      <c r="C71" s="485"/>
      <c r="D71" s="485"/>
      <c r="E71" s="485"/>
      <c r="F71" s="485"/>
      <c r="G71" s="485"/>
      <c r="H71" s="485"/>
      <c r="I71" s="485"/>
      <c r="J71" s="485"/>
      <c r="K71" s="485"/>
      <c r="L71" s="485"/>
      <c r="M71" s="485"/>
      <c r="N71" s="485"/>
      <c r="O71" s="485"/>
      <c r="P71" s="485"/>
      <c r="Q71" s="485"/>
      <c r="R71" s="485"/>
      <c r="S71" s="485"/>
      <c r="T71" s="485"/>
      <c r="U71" s="485"/>
      <c r="V71" s="485"/>
      <c r="W71" s="485"/>
      <c r="X71" s="485"/>
      <c r="Y71" s="485"/>
      <c r="Z71" s="485"/>
      <c r="AA71" s="485"/>
      <c r="AB71" s="485"/>
      <c r="AC71" s="485"/>
      <c r="AD71" s="485"/>
      <c r="AE71" s="485"/>
      <c r="AF71" s="485"/>
      <c r="AG71" s="485"/>
      <c r="AH71" s="485"/>
      <c r="AI71" s="485"/>
      <c r="AJ71" s="485"/>
      <c r="AK71" s="485"/>
      <c r="AL71" s="485"/>
      <c r="AM71" s="485"/>
      <c r="AN71" s="485"/>
      <c r="AO71" s="485"/>
      <c r="AP71" s="485"/>
      <c r="AQ71" s="485"/>
      <c r="AR71" s="485"/>
      <c r="AS71" s="485"/>
      <c r="AT71" s="485"/>
      <c r="AU71" s="485"/>
      <c r="AV71" s="485"/>
      <c r="AW71" s="485"/>
      <c r="AX71" s="485"/>
    </row>
    <row r="72" hidden="1">
      <c r="A72" s="485"/>
      <c r="B72" s="485"/>
      <c r="C72" s="485"/>
      <c r="D72" s="485"/>
      <c r="E72" s="485"/>
      <c r="F72" s="485"/>
      <c r="G72" s="485"/>
      <c r="H72" s="485"/>
      <c r="I72" s="485"/>
      <c r="J72" s="485"/>
      <c r="K72" s="485"/>
      <c r="L72" s="485"/>
      <c r="M72" s="485"/>
      <c r="N72" s="485"/>
      <c r="O72" s="485"/>
      <c r="P72" s="485"/>
      <c r="Q72" s="485"/>
      <c r="R72" s="485"/>
      <c r="S72" s="485"/>
      <c r="T72" s="485"/>
      <c r="U72" s="485"/>
      <c r="V72" s="485"/>
      <c r="W72" s="485"/>
      <c r="X72" s="485"/>
      <c r="Y72" s="485"/>
      <c r="Z72" s="485"/>
      <c r="AA72" s="485"/>
      <c r="AB72" s="485"/>
      <c r="AC72" s="485"/>
      <c r="AD72" s="485"/>
      <c r="AE72" s="485"/>
      <c r="AF72" s="485"/>
      <c r="AG72" s="485"/>
      <c r="AH72" s="485"/>
      <c r="AI72" s="485"/>
      <c r="AJ72" s="485"/>
      <c r="AK72" s="485"/>
      <c r="AL72" s="485"/>
      <c r="AM72" s="485"/>
      <c r="AN72" s="485"/>
      <c r="AO72" s="485"/>
      <c r="AP72" s="485"/>
      <c r="AQ72" s="485"/>
      <c r="AR72" s="485"/>
      <c r="AS72" s="485"/>
      <c r="AT72" s="485"/>
      <c r="AU72" s="485"/>
      <c r="AV72" s="485"/>
      <c r="AW72" s="485"/>
      <c r="AX72" s="485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5"/>
    <col customWidth="1" min="2" max="2" width="24.0"/>
    <col customWidth="1" min="3" max="3" width="14.5"/>
    <col customWidth="1" hidden="1" min="4" max="6" width="5.25"/>
    <col customWidth="1" min="7" max="7" width="5.0"/>
    <col customWidth="1" min="8" max="8" width="5.88"/>
    <col customWidth="1" min="9" max="9" width="5.0"/>
    <col customWidth="1" min="10" max="10" width="5.88"/>
    <col customWidth="1" min="11" max="11" width="6.88"/>
    <col customWidth="1" min="12" max="12" width="6.5"/>
    <col customWidth="1" min="13" max="13" width="6.63"/>
    <col customWidth="1" min="14" max="14" width="6.5"/>
    <col customWidth="1" min="15" max="15" width="8.5"/>
    <col customWidth="1" min="16" max="16" width="8.88"/>
    <col customWidth="1" min="17" max="17" width="9.5"/>
    <col customWidth="1" min="18" max="18" width="10.5"/>
    <col customWidth="1" min="19" max="19" width="10.38"/>
    <col customWidth="1" min="20" max="20" width="11.63"/>
    <col customWidth="1" min="21" max="21" width="12.88"/>
    <col customWidth="1" min="22" max="22" width="11.88"/>
    <col customWidth="1" min="23" max="23" width="9.38"/>
    <col customWidth="1" min="24" max="24" width="11.63"/>
    <col customWidth="1" min="25" max="25" width="10.13"/>
    <col customWidth="1" min="26" max="26" width="9.0"/>
    <col customWidth="1" min="27" max="27" width="8.0"/>
    <col customWidth="1" min="28" max="28" width="10.0"/>
    <col customWidth="1" min="29" max="29" width="10.13"/>
    <col customWidth="1" min="30" max="30" width="11.88"/>
    <col customWidth="1" min="31" max="31" width="11.13"/>
    <col customWidth="1" min="32" max="32" width="12.63"/>
    <col customWidth="1" min="33" max="33" width="9.0"/>
    <col customWidth="1" min="34" max="34" width="7.63"/>
    <col customWidth="1" min="35" max="35" width="9.0"/>
    <col customWidth="1" min="36" max="36" width="12.5"/>
    <col customWidth="1" min="37" max="37" width="13.25"/>
    <col customWidth="1" min="38" max="38" width="8.5"/>
    <col customWidth="1" min="39" max="39" width="9.13"/>
    <col customWidth="1" min="40" max="40" width="13.25"/>
    <col customWidth="1" min="41" max="41" width="15.0"/>
    <col customWidth="1" min="42" max="42" width="7.5"/>
    <col customWidth="1" min="43" max="43" width="10.0"/>
    <col customWidth="1" min="44" max="44" width="10.13"/>
    <col customWidth="1" min="45" max="45" width="11.38"/>
    <col customWidth="1" min="46" max="46" width="12.13"/>
    <col customWidth="1" min="47" max="47" width="11.25"/>
    <col customWidth="1" min="48" max="48" width="11.13"/>
    <col customWidth="1" min="49" max="49" width="11.5"/>
    <col customWidth="1" min="50" max="50" width="10.75"/>
    <col customWidth="1" min="51" max="51" width="11.0"/>
    <col customWidth="1" min="52" max="52" width="9.38"/>
    <col customWidth="1" min="53" max="53" width="9.63"/>
    <col customWidth="1" hidden="1" min="54" max="54" width="9.38"/>
  </cols>
  <sheetData>
    <row r="1">
      <c r="A1" s="12" t="s">
        <v>148</v>
      </c>
      <c r="B1" s="12" t="s">
        <v>149</v>
      </c>
      <c r="C1" s="12" t="s">
        <v>62</v>
      </c>
      <c r="D1" s="12" t="s">
        <v>305</v>
      </c>
      <c r="E1" s="1" t="s">
        <v>117</v>
      </c>
      <c r="F1" s="1" t="s">
        <v>306</v>
      </c>
      <c r="G1" s="12" t="s">
        <v>307</v>
      </c>
      <c r="H1" s="12" t="s">
        <v>308</v>
      </c>
      <c r="I1" s="12" t="s">
        <v>20</v>
      </c>
      <c r="J1" s="12" t="s">
        <v>21</v>
      </c>
      <c r="K1" s="12" t="s">
        <v>22</v>
      </c>
      <c r="L1" s="12" t="s">
        <v>23</v>
      </c>
      <c r="M1" s="12" t="s">
        <v>24</v>
      </c>
      <c r="N1" s="12" t="s">
        <v>25</v>
      </c>
      <c r="O1" s="12" t="s">
        <v>26</v>
      </c>
      <c r="P1" s="12" t="s">
        <v>27</v>
      </c>
      <c r="Q1" s="12" t="s">
        <v>28</v>
      </c>
      <c r="R1" s="12" t="s">
        <v>29</v>
      </c>
      <c r="S1" s="12" t="s">
        <v>30</v>
      </c>
      <c r="T1" s="12" t="s">
        <v>31</v>
      </c>
      <c r="U1" s="12" t="s">
        <v>32</v>
      </c>
      <c r="V1" s="12" t="s">
        <v>118</v>
      </c>
      <c r="W1" s="12" t="s">
        <v>309</v>
      </c>
      <c r="X1" s="12" t="s">
        <v>310</v>
      </c>
      <c r="Y1" s="12" t="s">
        <v>33</v>
      </c>
      <c r="Z1" s="12" t="s">
        <v>34</v>
      </c>
      <c r="AA1" s="12" t="s">
        <v>35</v>
      </c>
      <c r="AB1" s="12" t="s">
        <v>36</v>
      </c>
      <c r="AC1" s="12" t="s">
        <v>37</v>
      </c>
      <c r="AD1" s="12" t="s">
        <v>38</v>
      </c>
      <c r="AE1" s="12" t="s">
        <v>39</v>
      </c>
      <c r="AF1" s="12" t="s">
        <v>311</v>
      </c>
      <c r="AG1" s="12" t="s">
        <v>312</v>
      </c>
      <c r="AH1" s="12" t="s">
        <v>313</v>
      </c>
      <c r="AI1" s="12" t="s">
        <v>40</v>
      </c>
      <c r="AJ1" s="12" t="s">
        <v>452</v>
      </c>
      <c r="AK1" s="12" t="s">
        <v>314</v>
      </c>
      <c r="AL1" s="12" t="s">
        <v>41</v>
      </c>
      <c r="AM1" s="12" t="s">
        <v>42</v>
      </c>
      <c r="AN1" s="12" t="s">
        <v>453</v>
      </c>
      <c r="AO1" s="12" t="s">
        <v>43</v>
      </c>
      <c r="AP1" s="12" t="s">
        <v>44</v>
      </c>
      <c r="AQ1" s="12" t="s">
        <v>45</v>
      </c>
      <c r="AR1" s="12" t="s">
        <v>46</v>
      </c>
      <c r="AS1" s="12" t="s">
        <v>47</v>
      </c>
      <c r="AT1" s="12" t="s">
        <v>48</v>
      </c>
      <c r="AU1" s="12" t="s">
        <v>49</v>
      </c>
      <c r="AV1" s="12" t="s">
        <v>50</v>
      </c>
      <c r="AW1" s="12" t="s">
        <v>51</v>
      </c>
      <c r="AX1" s="12" t="s">
        <v>52</v>
      </c>
      <c r="AY1" s="12" t="s">
        <v>53</v>
      </c>
      <c r="AZ1" s="12" t="s">
        <v>54</v>
      </c>
      <c r="BA1" s="12" t="s">
        <v>55</v>
      </c>
      <c r="BB1" s="1" t="s">
        <v>316</v>
      </c>
    </row>
    <row r="2">
      <c r="A2" s="497" t="str">
        <f t="array" ref="A2">IFERROR(INDEX(TeamInfo!$1:$45,MATCH(C2,TeamInfo!C:C,0),1),"")</f>
        <v/>
      </c>
      <c r="B2" s="497" t="str">
        <f t="array" ref="B2">IFERROR(INDEX(TeamInfo!$1:$45,MATCH(C2,TeamInfo!C:C,0),2),"")</f>
        <v/>
      </c>
      <c r="C2" s="498"/>
      <c r="D2" s="498"/>
      <c r="E2" s="498"/>
      <c r="F2" s="498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499"/>
      <c r="AE2" s="499"/>
      <c r="AF2" s="499"/>
      <c r="AG2" s="499"/>
      <c r="AH2" s="499"/>
      <c r="AI2" s="499"/>
      <c r="AJ2" s="499"/>
      <c r="AK2" s="499"/>
      <c r="AL2" s="499"/>
      <c r="AM2" s="499"/>
      <c r="AN2" s="499"/>
      <c r="AO2" s="499"/>
      <c r="AP2" s="499"/>
      <c r="AQ2" s="499"/>
      <c r="AR2" s="499"/>
      <c r="AS2" s="499"/>
      <c r="AT2" s="499"/>
      <c r="AU2" s="499"/>
      <c r="AV2" s="499"/>
      <c r="AW2" s="499"/>
      <c r="AX2" s="499"/>
      <c r="AY2" s="499"/>
      <c r="AZ2" s="499"/>
      <c r="BA2" s="499"/>
      <c r="BB2" s="500"/>
    </row>
    <row r="3">
      <c r="A3" s="497" t="str">
        <f t="array" ref="A3">IFERROR(INDEX(TeamInfo!$1:$45,MATCH(C3,TeamInfo!C:C,0),1),"")</f>
        <v/>
      </c>
      <c r="B3" s="497" t="str">
        <f t="array" ref="B3">IFERROR(INDEX(TeamInfo!$1:$45,MATCH(C3,TeamInfo!C:C,0),2),"")</f>
        <v/>
      </c>
      <c r="C3" s="498"/>
      <c r="D3" s="498"/>
      <c r="E3" s="498"/>
      <c r="F3" s="498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  <c r="T3" s="499"/>
      <c r="U3" s="499"/>
      <c r="V3" s="499"/>
      <c r="W3" s="499"/>
      <c r="X3" s="499"/>
      <c r="Y3" s="499"/>
      <c r="Z3" s="499"/>
      <c r="AA3" s="499"/>
      <c r="AB3" s="499"/>
      <c r="AC3" s="499"/>
      <c r="AD3" s="499"/>
      <c r="AE3" s="499"/>
      <c r="AF3" s="499"/>
      <c r="AG3" s="499"/>
      <c r="AH3" s="499"/>
      <c r="AI3" s="499"/>
      <c r="AJ3" s="499"/>
      <c r="AK3" s="499"/>
      <c r="AL3" s="499"/>
      <c r="AM3" s="499"/>
      <c r="AN3" s="499"/>
      <c r="AO3" s="499"/>
      <c r="AP3" s="499"/>
      <c r="AQ3" s="499"/>
      <c r="AR3" s="499"/>
      <c r="AS3" s="499"/>
      <c r="AT3" s="499"/>
      <c r="AU3" s="499"/>
      <c r="AV3" s="499"/>
      <c r="AW3" s="499"/>
      <c r="AX3" s="499"/>
      <c r="AY3" s="499"/>
      <c r="AZ3" s="499"/>
      <c r="BA3" s="499"/>
      <c r="BB3" s="500"/>
    </row>
    <row r="4">
      <c r="A4" s="497" t="str">
        <f t="array" ref="A4">IFERROR(INDEX(TeamInfo!$1:$45,MATCH(C4,TeamInfo!C:C,0),1),"")</f>
        <v/>
      </c>
      <c r="B4" s="497" t="str">
        <f t="array" ref="B4">IFERROR(INDEX(TeamInfo!$1:$45,MATCH(C4,TeamInfo!C:C,0),2),"")</f>
        <v/>
      </c>
      <c r="C4" s="498"/>
      <c r="D4" s="498"/>
      <c r="E4" s="498"/>
      <c r="F4" s="498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499"/>
      <c r="R4" s="499"/>
      <c r="S4" s="499"/>
      <c r="T4" s="499"/>
      <c r="U4" s="499"/>
      <c r="V4" s="499"/>
      <c r="W4" s="499"/>
      <c r="X4" s="499"/>
      <c r="Y4" s="499"/>
      <c r="Z4" s="499"/>
      <c r="AA4" s="499"/>
      <c r="AB4" s="499"/>
      <c r="AC4" s="499"/>
      <c r="AD4" s="499"/>
      <c r="AE4" s="499"/>
      <c r="AF4" s="499"/>
      <c r="AG4" s="499"/>
      <c r="AH4" s="499"/>
      <c r="AI4" s="499"/>
      <c r="AJ4" s="499"/>
      <c r="AK4" s="499"/>
      <c r="AL4" s="499"/>
      <c r="AM4" s="499"/>
      <c r="AN4" s="499"/>
      <c r="AO4" s="499"/>
      <c r="AP4" s="499"/>
      <c r="AQ4" s="499"/>
      <c r="AR4" s="499"/>
      <c r="AS4" s="499"/>
      <c r="AT4" s="499"/>
      <c r="AU4" s="499"/>
      <c r="AV4" s="499"/>
      <c r="AW4" s="499"/>
      <c r="AX4" s="499"/>
      <c r="AY4" s="499"/>
      <c r="AZ4" s="499"/>
      <c r="BA4" s="499"/>
      <c r="BB4" s="500"/>
    </row>
    <row r="5">
      <c r="A5" s="497" t="str">
        <f t="array" ref="A5">IFERROR(INDEX(TeamInfo!$1:$45,MATCH(C5,TeamInfo!C:C,0),1),"")</f>
        <v/>
      </c>
      <c r="B5" s="497" t="str">
        <f t="array" ref="B5">IFERROR(INDEX(TeamInfo!$1:$45,MATCH(C5,TeamInfo!C:C,0),2),"")</f>
        <v/>
      </c>
      <c r="C5" s="498"/>
      <c r="D5" s="498"/>
      <c r="E5" s="498"/>
      <c r="F5" s="498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499"/>
      <c r="X5" s="499"/>
      <c r="Y5" s="499"/>
      <c r="Z5" s="499"/>
      <c r="AA5" s="499"/>
      <c r="AB5" s="499"/>
      <c r="AC5" s="499"/>
      <c r="AD5" s="499"/>
      <c r="AE5" s="499"/>
      <c r="AF5" s="499"/>
      <c r="AG5" s="499"/>
      <c r="AH5" s="499"/>
      <c r="AI5" s="499"/>
      <c r="AJ5" s="499"/>
      <c r="AK5" s="499"/>
      <c r="AL5" s="499"/>
      <c r="AM5" s="499"/>
      <c r="AN5" s="499"/>
      <c r="AO5" s="499"/>
      <c r="AP5" s="499"/>
      <c r="AQ5" s="499"/>
      <c r="AR5" s="499"/>
      <c r="AS5" s="499"/>
      <c r="AT5" s="499"/>
      <c r="AU5" s="499"/>
      <c r="AV5" s="499"/>
      <c r="AW5" s="499"/>
      <c r="AX5" s="499"/>
      <c r="AY5" s="499"/>
      <c r="AZ5" s="499"/>
      <c r="BA5" s="499"/>
      <c r="BB5" s="500"/>
    </row>
    <row r="6">
      <c r="A6" s="501" t="str">
        <f t="array" ref="A6">IFERROR(INDEX(TeamInfo!$1:$45,MATCH(C6,TeamInfo!C:C,0),1),"")</f>
        <v/>
      </c>
      <c r="B6" s="501" t="str">
        <f t="array" ref="B6">IFERROR(INDEX(TeamInfo!$1:$45,MATCH(C6,TeamInfo!C:C,0),2),"")</f>
        <v/>
      </c>
      <c r="C6" s="364"/>
      <c r="D6" s="364"/>
      <c r="E6" s="364"/>
      <c r="F6" s="364"/>
      <c r="G6" s="502"/>
      <c r="H6" s="502"/>
      <c r="I6" s="502"/>
      <c r="J6" s="502"/>
      <c r="K6" s="502"/>
      <c r="L6" s="502"/>
      <c r="M6" s="502"/>
      <c r="N6" s="502"/>
      <c r="O6" s="502"/>
      <c r="P6" s="502"/>
      <c r="Q6" s="502"/>
      <c r="R6" s="502"/>
      <c r="S6" s="502"/>
      <c r="T6" s="502"/>
      <c r="U6" s="502"/>
      <c r="V6" s="502"/>
      <c r="W6" s="502"/>
      <c r="X6" s="502"/>
      <c r="Y6" s="502"/>
      <c r="Z6" s="502"/>
      <c r="AA6" s="502"/>
      <c r="AB6" s="502"/>
      <c r="AC6" s="502"/>
      <c r="AD6" s="502"/>
      <c r="AE6" s="502"/>
      <c r="AF6" s="502"/>
      <c r="AG6" s="502"/>
      <c r="AH6" s="502"/>
      <c r="AI6" s="502"/>
      <c r="AJ6" s="502"/>
      <c r="AK6" s="502"/>
      <c r="AL6" s="502"/>
      <c r="AM6" s="502"/>
      <c r="AN6" s="502"/>
      <c r="AO6" s="502"/>
      <c r="AP6" s="502"/>
      <c r="AQ6" s="502"/>
      <c r="AR6" s="502"/>
      <c r="AS6" s="502"/>
      <c r="AT6" s="502"/>
      <c r="AU6" s="502"/>
      <c r="AV6" s="502"/>
      <c r="AW6" s="502"/>
      <c r="AX6" s="502"/>
      <c r="AY6" s="502"/>
      <c r="AZ6" s="502"/>
      <c r="BA6" s="502"/>
      <c r="BB6" s="481"/>
    </row>
    <row r="7">
      <c r="A7" s="501" t="str">
        <f t="array" ref="A7">IFERROR(INDEX(TeamInfo!$1:$45,MATCH(C7,TeamInfo!C:C,0),1),"")</f>
        <v/>
      </c>
      <c r="B7" s="501" t="str">
        <f t="array" ref="B7">IFERROR(INDEX(TeamInfo!$1:$45,MATCH(C7,TeamInfo!C:C,0),2),"")</f>
        <v/>
      </c>
      <c r="C7" s="364"/>
      <c r="D7" s="364"/>
      <c r="E7" s="364"/>
      <c r="F7" s="364"/>
      <c r="G7" s="502"/>
      <c r="H7" s="502"/>
      <c r="I7" s="502"/>
      <c r="J7" s="502"/>
      <c r="K7" s="502"/>
      <c r="L7" s="502"/>
      <c r="M7" s="502"/>
      <c r="N7" s="502"/>
      <c r="O7" s="502"/>
      <c r="P7" s="502"/>
      <c r="Q7" s="502"/>
      <c r="R7" s="502"/>
      <c r="S7" s="502"/>
      <c r="T7" s="502"/>
      <c r="U7" s="502"/>
      <c r="V7" s="502"/>
      <c r="W7" s="502"/>
      <c r="X7" s="502"/>
      <c r="Y7" s="502"/>
      <c r="Z7" s="502"/>
      <c r="AA7" s="502"/>
      <c r="AB7" s="502"/>
      <c r="AC7" s="502"/>
      <c r="AD7" s="502"/>
      <c r="AE7" s="502"/>
      <c r="AF7" s="502"/>
      <c r="AG7" s="502"/>
      <c r="AH7" s="502"/>
      <c r="AI7" s="502"/>
      <c r="AJ7" s="502"/>
      <c r="AK7" s="502"/>
      <c r="AL7" s="502"/>
      <c r="AM7" s="502"/>
      <c r="AN7" s="502"/>
      <c r="AO7" s="502"/>
      <c r="AP7" s="502"/>
      <c r="AQ7" s="502"/>
      <c r="AR7" s="502"/>
      <c r="AS7" s="502"/>
      <c r="AT7" s="502"/>
      <c r="AU7" s="502"/>
      <c r="AV7" s="502"/>
      <c r="AW7" s="502"/>
      <c r="AX7" s="502"/>
      <c r="AY7" s="502"/>
      <c r="AZ7" s="502"/>
      <c r="BA7" s="502"/>
      <c r="BB7" s="481"/>
    </row>
    <row r="8">
      <c r="A8" s="501" t="str">
        <f t="array" ref="A8">IFERROR(INDEX(TeamInfo!$1:$45,MATCH(C8,TeamInfo!C:C,0),1),"")</f>
        <v/>
      </c>
      <c r="B8" s="501" t="str">
        <f t="array" ref="B8">IFERROR(INDEX(TeamInfo!$1:$45,MATCH(C8,TeamInfo!C:C,0),2),"")</f>
        <v/>
      </c>
      <c r="C8" s="364"/>
      <c r="D8" s="364"/>
      <c r="E8" s="364"/>
      <c r="F8" s="364"/>
      <c r="G8" s="502"/>
      <c r="H8" s="502"/>
      <c r="I8" s="502"/>
      <c r="J8" s="502"/>
      <c r="K8" s="502"/>
      <c r="L8" s="502"/>
      <c r="M8" s="502"/>
      <c r="N8" s="502"/>
      <c r="O8" s="502"/>
      <c r="P8" s="502"/>
      <c r="Q8" s="502"/>
      <c r="R8" s="502"/>
      <c r="S8" s="502"/>
      <c r="T8" s="502"/>
      <c r="U8" s="502"/>
      <c r="V8" s="502"/>
      <c r="W8" s="502"/>
      <c r="X8" s="502"/>
      <c r="Y8" s="502"/>
      <c r="Z8" s="502"/>
      <c r="AA8" s="502"/>
      <c r="AB8" s="502"/>
      <c r="AC8" s="502"/>
      <c r="AD8" s="502"/>
      <c r="AE8" s="502"/>
      <c r="AF8" s="502"/>
      <c r="AG8" s="502"/>
      <c r="AH8" s="502"/>
      <c r="AI8" s="502"/>
      <c r="AJ8" s="502"/>
      <c r="AK8" s="502"/>
      <c r="AL8" s="502"/>
      <c r="AM8" s="502"/>
      <c r="AN8" s="502"/>
      <c r="AO8" s="502"/>
      <c r="AP8" s="502"/>
      <c r="AQ8" s="502"/>
      <c r="AR8" s="502"/>
      <c r="AS8" s="502"/>
      <c r="AT8" s="502"/>
      <c r="AU8" s="502"/>
      <c r="AV8" s="502"/>
      <c r="AW8" s="502"/>
      <c r="AX8" s="502"/>
      <c r="AY8" s="502"/>
      <c r="AZ8" s="502"/>
      <c r="BA8" s="502"/>
      <c r="BB8" s="481"/>
    </row>
    <row r="9">
      <c r="A9" s="501" t="str">
        <f t="array" ref="A9">IFERROR(INDEX(TeamInfo!$1:$45,MATCH(C9,TeamInfo!C:C,0),1),"")</f>
        <v/>
      </c>
      <c r="B9" s="501" t="str">
        <f t="array" ref="B9">IFERROR(INDEX(TeamInfo!$1:$45,MATCH(C9,TeamInfo!C:C,0),2),"")</f>
        <v/>
      </c>
      <c r="C9" s="364"/>
      <c r="D9" s="364"/>
      <c r="E9" s="364"/>
      <c r="F9" s="364"/>
      <c r="G9" s="502"/>
      <c r="H9" s="502"/>
      <c r="I9" s="502"/>
      <c r="J9" s="502"/>
      <c r="K9" s="502"/>
      <c r="L9" s="502"/>
      <c r="M9" s="502"/>
      <c r="N9" s="502"/>
      <c r="O9" s="502"/>
      <c r="P9" s="502"/>
      <c r="Q9" s="502"/>
      <c r="R9" s="502"/>
      <c r="S9" s="502"/>
      <c r="T9" s="502"/>
      <c r="U9" s="502"/>
      <c r="V9" s="502"/>
      <c r="W9" s="502"/>
      <c r="X9" s="502"/>
      <c r="Y9" s="502"/>
      <c r="Z9" s="502"/>
      <c r="AA9" s="502"/>
      <c r="AB9" s="502"/>
      <c r="AC9" s="502"/>
      <c r="AD9" s="502"/>
      <c r="AE9" s="502"/>
      <c r="AF9" s="502"/>
      <c r="AG9" s="502"/>
      <c r="AH9" s="502"/>
      <c r="AI9" s="502"/>
      <c r="AJ9" s="502"/>
      <c r="AK9" s="502"/>
      <c r="AL9" s="502"/>
      <c r="AM9" s="502"/>
      <c r="AN9" s="502"/>
      <c r="AO9" s="502"/>
      <c r="AP9" s="502"/>
      <c r="AQ9" s="502"/>
      <c r="AR9" s="502"/>
      <c r="AS9" s="502"/>
      <c r="AT9" s="502"/>
      <c r="AU9" s="502"/>
      <c r="AV9" s="502"/>
      <c r="AW9" s="502"/>
      <c r="AX9" s="502"/>
      <c r="AY9" s="502"/>
      <c r="AZ9" s="502"/>
      <c r="BA9" s="502"/>
      <c r="BB9" s="481"/>
    </row>
    <row r="10">
      <c r="A10" s="497" t="str">
        <f t="array" ref="A10">IFERROR(INDEX(TeamInfo!$1:$45,MATCH(C10,TeamInfo!C:C,0),1),"")</f>
        <v/>
      </c>
      <c r="B10" s="497" t="str">
        <f t="array" ref="B10">IFERROR(INDEX(TeamInfo!$1:$45,MATCH(C10,TeamInfo!C:C,0),2),"")</f>
        <v/>
      </c>
      <c r="C10" s="498"/>
      <c r="D10" s="500"/>
      <c r="E10" s="500"/>
      <c r="F10" s="500"/>
      <c r="G10" s="499"/>
      <c r="H10" s="499"/>
      <c r="I10" s="499"/>
      <c r="J10" s="499"/>
      <c r="K10" s="499"/>
      <c r="L10" s="499"/>
      <c r="M10" s="499"/>
      <c r="N10" s="499"/>
      <c r="O10" s="499"/>
      <c r="P10" s="499"/>
      <c r="Q10" s="499"/>
      <c r="R10" s="499"/>
      <c r="S10" s="499"/>
      <c r="T10" s="499"/>
      <c r="U10" s="499"/>
      <c r="V10" s="499"/>
      <c r="W10" s="499"/>
      <c r="X10" s="499"/>
      <c r="Y10" s="499"/>
      <c r="Z10" s="499"/>
      <c r="AA10" s="499"/>
      <c r="AB10" s="499"/>
      <c r="AC10" s="499"/>
      <c r="AD10" s="499"/>
      <c r="AE10" s="499"/>
      <c r="AF10" s="499"/>
      <c r="AG10" s="499"/>
      <c r="AH10" s="499"/>
      <c r="AI10" s="499"/>
      <c r="AJ10" s="499"/>
      <c r="AK10" s="499"/>
      <c r="AL10" s="499"/>
      <c r="AM10" s="499"/>
      <c r="AN10" s="499"/>
      <c r="AO10" s="499"/>
      <c r="AP10" s="499"/>
      <c r="AQ10" s="499"/>
      <c r="AR10" s="499"/>
      <c r="AS10" s="499"/>
      <c r="AT10" s="499"/>
      <c r="AU10" s="499"/>
      <c r="AV10" s="499"/>
      <c r="AW10" s="499"/>
      <c r="AX10" s="499"/>
      <c r="AY10" s="499"/>
      <c r="AZ10" s="499"/>
      <c r="BA10" s="499"/>
      <c r="BB10" s="500"/>
    </row>
    <row r="11">
      <c r="A11" s="497" t="str">
        <f t="array" ref="A11">IFERROR(INDEX(TeamInfo!$1:$45,MATCH(C11,TeamInfo!C:C,0),1),"")</f>
        <v/>
      </c>
      <c r="B11" s="497" t="str">
        <f t="array" ref="B11">IFERROR(INDEX(TeamInfo!$1:$45,MATCH(C11,TeamInfo!C:C,0),2),"")</f>
        <v/>
      </c>
      <c r="C11" s="498"/>
      <c r="D11" s="500"/>
      <c r="E11" s="500"/>
      <c r="F11" s="500"/>
      <c r="G11" s="499"/>
      <c r="H11" s="499"/>
      <c r="I11" s="499"/>
      <c r="J11" s="499"/>
      <c r="K11" s="499"/>
      <c r="L11" s="499"/>
      <c r="M11" s="499"/>
      <c r="N11" s="499"/>
      <c r="O11" s="499"/>
      <c r="P11" s="499"/>
      <c r="Q11" s="499"/>
      <c r="R11" s="499"/>
      <c r="S11" s="499"/>
      <c r="T11" s="499"/>
      <c r="U11" s="499"/>
      <c r="V11" s="499"/>
      <c r="W11" s="499"/>
      <c r="X11" s="499"/>
      <c r="Y11" s="499"/>
      <c r="Z11" s="499"/>
      <c r="AA11" s="499"/>
      <c r="AB11" s="499"/>
      <c r="AC11" s="499"/>
      <c r="AD11" s="499"/>
      <c r="AE11" s="499"/>
      <c r="AF11" s="499"/>
      <c r="AG11" s="499"/>
      <c r="AH11" s="499"/>
      <c r="AI11" s="499"/>
      <c r="AJ11" s="499"/>
      <c r="AK11" s="499"/>
      <c r="AL11" s="499"/>
      <c r="AM11" s="499"/>
      <c r="AN11" s="499"/>
      <c r="AO11" s="499"/>
      <c r="AP11" s="499"/>
      <c r="AQ11" s="499"/>
      <c r="AR11" s="499"/>
      <c r="AS11" s="499"/>
      <c r="AT11" s="499"/>
      <c r="AU11" s="499"/>
      <c r="AV11" s="499"/>
      <c r="AW11" s="499"/>
      <c r="AX11" s="499"/>
      <c r="AY11" s="499"/>
      <c r="AZ11" s="499"/>
      <c r="BA11" s="499"/>
      <c r="BB11" s="500"/>
    </row>
    <row r="12">
      <c r="A12" s="497" t="str">
        <f t="array" ref="A12">IFERROR(INDEX(TeamInfo!$1:$45,MATCH(C12,TeamInfo!C:C,0),1),"")</f>
        <v/>
      </c>
      <c r="B12" s="497" t="str">
        <f t="array" ref="B12">IFERROR(INDEX(TeamInfo!$1:$45,MATCH(C12,TeamInfo!C:C,0),2),"")</f>
        <v/>
      </c>
      <c r="C12" s="498"/>
      <c r="D12" s="500"/>
      <c r="E12" s="500"/>
      <c r="F12" s="500"/>
      <c r="G12" s="499"/>
      <c r="H12" s="499"/>
      <c r="I12" s="499"/>
      <c r="J12" s="499"/>
      <c r="K12" s="499"/>
      <c r="L12" s="499"/>
      <c r="M12" s="499"/>
      <c r="N12" s="499"/>
      <c r="O12" s="499"/>
      <c r="P12" s="499"/>
      <c r="Q12" s="499"/>
      <c r="R12" s="499"/>
      <c r="S12" s="499"/>
      <c r="T12" s="499"/>
      <c r="U12" s="499"/>
      <c r="V12" s="499"/>
      <c r="W12" s="499"/>
      <c r="X12" s="499"/>
      <c r="Y12" s="499"/>
      <c r="Z12" s="499"/>
      <c r="AA12" s="499"/>
      <c r="AB12" s="499"/>
      <c r="AC12" s="499"/>
      <c r="AD12" s="499"/>
      <c r="AE12" s="499"/>
      <c r="AF12" s="499"/>
      <c r="AG12" s="499"/>
      <c r="AH12" s="499"/>
      <c r="AI12" s="499"/>
      <c r="AJ12" s="499"/>
      <c r="AK12" s="499"/>
      <c r="AL12" s="499"/>
      <c r="AM12" s="499"/>
      <c r="AN12" s="499"/>
      <c r="AO12" s="499"/>
      <c r="AP12" s="499"/>
      <c r="AQ12" s="499"/>
      <c r="AR12" s="499"/>
      <c r="AS12" s="499"/>
      <c r="AT12" s="499"/>
      <c r="AU12" s="499"/>
      <c r="AV12" s="499"/>
      <c r="AW12" s="499"/>
      <c r="AX12" s="499"/>
      <c r="AY12" s="499"/>
      <c r="AZ12" s="499"/>
      <c r="BA12" s="499"/>
      <c r="BB12" s="500"/>
    </row>
    <row r="13">
      <c r="A13" s="497" t="str">
        <f t="array" ref="A13">IFERROR(INDEX(TeamInfo!$1:$45,MATCH(C13,TeamInfo!C:C,0),1),"")</f>
        <v/>
      </c>
      <c r="B13" s="497" t="str">
        <f t="array" ref="B13">IFERROR(INDEX(TeamInfo!$1:$45,MATCH(C13,TeamInfo!C:C,0),2),"")</f>
        <v/>
      </c>
      <c r="C13" s="498"/>
      <c r="D13" s="503"/>
      <c r="E13" s="503"/>
      <c r="F13" s="503"/>
      <c r="G13" s="499"/>
      <c r="H13" s="499"/>
      <c r="I13" s="499"/>
      <c r="J13" s="499"/>
      <c r="K13" s="499"/>
      <c r="L13" s="499"/>
      <c r="M13" s="499"/>
      <c r="N13" s="499"/>
      <c r="O13" s="499"/>
      <c r="P13" s="499"/>
      <c r="Q13" s="499"/>
      <c r="R13" s="499"/>
      <c r="S13" s="499"/>
      <c r="T13" s="499"/>
      <c r="U13" s="499"/>
      <c r="V13" s="499"/>
      <c r="W13" s="499"/>
      <c r="X13" s="499"/>
      <c r="Y13" s="499"/>
      <c r="Z13" s="499"/>
      <c r="AA13" s="499"/>
      <c r="AB13" s="499"/>
      <c r="AC13" s="499"/>
      <c r="AD13" s="499"/>
      <c r="AE13" s="499"/>
      <c r="AF13" s="499"/>
      <c r="AG13" s="499"/>
      <c r="AH13" s="499"/>
      <c r="AI13" s="499"/>
      <c r="AJ13" s="499"/>
      <c r="AK13" s="499"/>
      <c r="AL13" s="499"/>
      <c r="AM13" s="499"/>
      <c r="AN13" s="499"/>
      <c r="AO13" s="499"/>
      <c r="AP13" s="499"/>
      <c r="AQ13" s="499"/>
      <c r="AR13" s="499"/>
      <c r="AS13" s="499"/>
      <c r="AT13" s="499"/>
      <c r="AU13" s="499"/>
      <c r="AV13" s="499"/>
      <c r="AW13" s="499"/>
      <c r="AX13" s="499"/>
      <c r="AY13" s="499"/>
      <c r="AZ13" s="499"/>
      <c r="BA13" s="499"/>
      <c r="BB13" s="500"/>
    </row>
    <row r="14">
      <c r="A14" s="501" t="str">
        <f t="array" ref="A14">IFERROR(INDEX(TeamInfo!$1:$45,MATCH(C14,TeamInfo!C:C,0),1),"")</f>
        <v/>
      </c>
      <c r="B14" s="501" t="str">
        <f t="array" ref="B14">IFERROR(INDEX(TeamInfo!$1:$45,MATCH(C14,TeamInfo!C:C,0),2),"")</f>
        <v/>
      </c>
      <c r="C14" s="364"/>
      <c r="D14" s="504"/>
      <c r="E14" s="504"/>
      <c r="F14" s="504"/>
      <c r="G14" s="502"/>
      <c r="H14" s="502"/>
      <c r="I14" s="502"/>
      <c r="J14" s="502"/>
      <c r="K14" s="502"/>
      <c r="L14" s="502"/>
      <c r="M14" s="502"/>
      <c r="N14" s="502"/>
      <c r="O14" s="502"/>
      <c r="P14" s="502"/>
      <c r="Q14" s="502"/>
      <c r="R14" s="502"/>
      <c r="S14" s="502"/>
      <c r="T14" s="502"/>
      <c r="U14" s="502"/>
      <c r="V14" s="502"/>
      <c r="W14" s="502"/>
      <c r="X14" s="502"/>
      <c r="Y14" s="502"/>
      <c r="Z14" s="502"/>
      <c r="AA14" s="502"/>
      <c r="AB14" s="502"/>
      <c r="AC14" s="502"/>
      <c r="AD14" s="502"/>
      <c r="AE14" s="502"/>
      <c r="AF14" s="502"/>
      <c r="AG14" s="502"/>
      <c r="AH14" s="502"/>
      <c r="AI14" s="502"/>
      <c r="AJ14" s="502"/>
      <c r="AK14" s="502"/>
      <c r="AL14" s="502"/>
      <c r="AM14" s="502"/>
      <c r="AN14" s="502"/>
      <c r="AO14" s="502"/>
      <c r="AP14" s="502"/>
      <c r="AQ14" s="502"/>
      <c r="AR14" s="502"/>
      <c r="AS14" s="502"/>
      <c r="AT14" s="502"/>
      <c r="AU14" s="502"/>
      <c r="AV14" s="502"/>
      <c r="AW14" s="502"/>
      <c r="AX14" s="502"/>
      <c r="AY14" s="502"/>
      <c r="AZ14" s="502"/>
      <c r="BA14" s="502"/>
      <c r="BB14" s="481"/>
    </row>
    <row r="15">
      <c r="A15" s="501" t="str">
        <f t="array" ref="A15">IFERROR(INDEX(TeamInfo!$1:$45,MATCH(C15,TeamInfo!C:C,0),1),"")</f>
        <v/>
      </c>
      <c r="B15" s="501" t="str">
        <f t="array" ref="B15">IFERROR(INDEX(TeamInfo!$1:$45,MATCH(C15,TeamInfo!C:C,0),2),"")</f>
        <v/>
      </c>
      <c r="C15" s="364"/>
      <c r="D15" s="481"/>
      <c r="E15" s="481"/>
      <c r="F15" s="481"/>
      <c r="G15" s="502"/>
      <c r="H15" s="502"/>
      <c r="I15" s="502"/>
      <c r="J15" s="502"/>
      <c r="K15" s="502"/>
      <c r="L15" s="502"/>
      <c r="M15" s="502"/>
      <c r="N15" s="502"/>
      <c r="O15" s="502"/>
      <c r="P15" s="502"/>
      <c r="Q15" s="502"/>
      <c r="R15" s="502"/>
      <c r="S15" s="502"/>
      <c r="T15" s="502"/>
      <c r="U15" s="502"/>
      <c r="V15" s="502"/>
      <c r="W15" s="502"/>
      <c r="X15" s="502"/>
      <c r="Y15" s="502"/>
      <c r="Z15" s="502"/>
      <c r="AA15" s="502"/>
      <c r="AB15" s="502"/>
      <c r="AC15" s="502"/>
      <c r="AD15" s="502"/>
      <c r="AE15" s="502"/>
      <c r="AF15" s="502"/>
      <c r="AG15" s="502"/>
      <c r="AH15" s="502"/>
      <c r="AI15" s="502"/>
      <c r="AJ15" s="502"/>
      <c r="AK15" s="502"/>
      <c r="AL15" s="502"/>
      <c r="AM15" s="502"/>
      <c r="AN15" s="502"/>
      <c r="AO15" s="502"/>
      <c r="AP15" s="502"/>
      <c r="AQ15" s="502"/>
      <c r="AR15" s="502"/>
      <c r="AS15" s="502"/>
      <c r="AT15" s="502"/>
      <c r="AU15" s="502"/>
      <c r="AV15" s="502"/>
      <c r="AW15" s="502"/>
      <c r="AX15" s="502"/>
      <c r="AY15" s="502"/>
      <c r="AZ15" s="502"/>
      <c r="BA15" s="502"/>
      <c r="BB15" s="481"/>
    </row>
    <row r="16">
      <c r="A16" s="501" t="str">
        <f t="array" ref="A16">IFERROR(INDEX(TeamInfo!$1:$45,MATCH(C16,TeamInfo!C:C,0),1),"")</f>
        <v/>
      </c>
      <c r="B16" s="501" t="str">
        <f t="array" ref="B16">IFERROR(INDEX(TeamInfo!$1:$45,MATCH(C16,TeamInfo!C:C,0),2),"")</f>
        <v/>
      </c>
      <c r="C16" s="364"/>
      <c r="D16" s="481"/>
      <c r="E16" s="481"/>
      <c r="F16" s="481"/>
      <c r="G16" s="502"/>
      <c r="H16" s="502"/>
      <c r="I16" s="502"/>
      <c r="J16" s="502"/>
      <c r="K16" s="502"/>
      <c r="L16" s="502"/>
      <c r="M16" s="502"/>
      <c r="N16" s="502"/>
      <c r="O16" s="502"/>
      <c r="P16" s="502"/>
      <c r="Q16" s="502"/>
      <c r="R16" s="502"/>
      <c r="S16" s="502"/>
      <c r="T16" s="502"/>
      <c r="U16" s="502"/>
      <c r="V16" s="502"/>
      <c r="W16" s="502"/>
      <c r="X16" s="502"/>
      <c r="Y16" s="502"/>
      <c r="Z16" s="502"/>
      <c r="AA16" s="502"/>
      <c r="AB16" s="502"/>
      <c r="AC16" s="502"/>
      <c r="AD16" s="502"/>
      <c r="AE16" s="502"/>
      <c r="AF16" s="502"/>
      <c r="AG16" s="502"/>
      <c r="AH16" s="502"/>
      <c r="AI16" s="502"/>
      <c r="AJ16" s="502"/>
      <c r="AK16" s="502"/>
      <c r="AL16" s="502"/>
      <c r="AM16" s="502"/>
      <c r="AN16" s="502"/>
      <c r="AO16" s="502"/>
      <c r="AP16" s="502"/>
      <c r="AQ16" s="502"/>
      <c r="AR16" s="502"/>
      <c r="AS16" s="502"/>
      <c r="AT16" s="502"/>
      <c r="AU16" s="502"/>
      <c r="AV16" s="502"/>
      <c r="AW16" s="502"/>
      <c r="AX16" s="502"/>
      <c r="AY16" s="502"/>
      <c r="AZ16" s="502"/>
      <c r="BA16" s="502"/>
      <c r="BB16" s="481"/>
    </row>
    <row r="17">
      <c r="A17" s="501" t="str">
        <f t="array" ref="A17">IFERROR(INDEX(TeamInfo!$1:$45,MATCH(C17,TeamInfo!C:C,0),1),"")</f>
        <v/>
      </c>
      <c r="B17" s="501" t="str">
        <f t="array" ref="B17">IFERROR(INDEX(TeamInfo!$1:$45,MATCH(C17,TeamInfo!C:C,0),2),"")</f>
        <v/>
      </c>
      <c r="C17" s="364"/>
      <c r="D17" s="481"/>
      <c r="E17" s="481"/>
      <c r="F17" s="481"/>
      <c r="G17" s="502"/>
      <c r="H17" s="502"/>
      <c r="I17" s="502"/>
      <c r="J17" s="502"/>
      <c r="K17" s="502"/>
      <c r="L17" s="502"/>
      <c r="M17" s="502"/>
      <c r="N17" s="502"/>
      <c r="O17" s="502"/>
      <c r="P17" s="502"/>
      <c r="Q17" s="502"/>
      <c r="R17" s="502"/>
      <c r="S17" s="502"/>
      <c r="T17" s="502"/>
      <c r="U17" s="502"/>
      <c r="V17" s="502"/>
      <c r="W17" s="502"/>
      <c r="X17" s="502"/>
      <c r="Y17" s="502"/>
      <c r="Z17" s="502"/>
      <c r="AA17" s="502"/>
      <c r="AB17" s="502"/>
      <c r="AC17" s="502"/>
      <c r="AD17" s="502"/>
      <c r="AE17" s="502"/>
      <c r="AF17" s="502"/>
      <c r="AG17" s="502"/>
      <c r="AH17" s="502"/>
      <c r="AI17" s="502"/>
      <c r="AJ17" s="502"/>
      <c r="AK17" s="502"/>
      <c r="AL17" s="502"/>
      <c r="AM17" s="502"/>
      <c r="AN17" s="502"/>
      <c r="AO17" s="502"/>
      <c r="AP17" s="502"/>
      <c r="AQ17" s="502"/>
      <c r="AR17" s="502"/>
      <c r="AS17" s="502"/>
      <c r="AT17" s="502"/>
      <c r="AU17" s="502"/>
      <c r="AV17" s="502"/>
      <c r="AW17" s="502"/>
      <c r="AX17" s="502"/>
      <c r="AY17" s="502"/>
      <c r="AZ17" s="502"/>
      <c r="BA17" s="502"/>
      <c r="BB17" s="481"/>
    </row>
    <row r="18">
      <c r="A18" s="497" t="str">
        <f t="array" ref="A18">IFERROR(INDEX(TeamInfo!$1:$45,MATCH(C18,TeamInfo!C:C,0),1),"")</f>
        <v/>
      </c>
      <c r="B18" s="497" t="str">
        <f t="array" ref="B18">IFERROR(INDEX(TeamInfo!$1:$45,MATCH(C18,TeamInfo!C:C,0),2),"")</f>
        <v/>
      </c>
      <c r="C18" s="505"/>
      <c r="D18" s="498"/>
      <c r="E18" s="498"/>
      <c r="F18" s="498"/>
      <c r="G18" s="499"/>
      <c r="H18" s="499"/>
      <c r="I18" s="506"/>
      <c r="J18" s="506"/>
      <c r="K18" s="506"/>
      <c r="L18" s="506"/>
      <c r="M18" s="506"/>
      <c r="N18" s="506"/>
      <c r="O18" s="506"/>
      <c r="P18" s="506"/>
      <c r="Q18" s="506"/>
      <c r="R18" s="506"/>
      <c r="S18" s="506"/>
      <c r="T18" s="506"/>
      <c r="U18" s="506"/>
      <c r="V18" s="506"/>
      <c r="W18" s="506"/>
      <c r="X18" s="506"/>
      <c r="Y18" s="506"/>
      <c r="Z18" s="506"/>
      <c r="AA18" s="506"/>
      <c r="AB18" s="506"/>
      <c r="AC18" s="506"/>
      <c r="AD18" s="506"/>
      <c r="AE18" s="506"/>
      <c r="AF18" s="506"/>
      <c r="AG18" s="506"/>
      <c r="AH18" s="506"/>
      <c r="AI18" s="506"/>
      <c r="AJ18" s="506"/>
      <c r="AK18" s="506"/>
      <c r="AL18" s="506"/>
      <c r="AM18" s="506"/>
      <c r="AN18" s="506"/>
      <c r="AO18" s="506"/>
      <c r="AP18" s="506"/>
      <c r="AQ18" s="506"/>
      <c r="AR18" s="506"/>
      <c r="AS18" s="506"/>
      <c r="AT18" s="506"/>
      <c r="AU18" s="506"/>
      <c r="AV18" s="506"/>
      <c r="AW18" s="506"/>
      <c r="AX18" s="506"/>
      <c r="AY18" s="506"/>
      <c r="AZ18" s="506"/>
      <c r="BA18" s="506"/>
      <c r="BB18" s="500"/>
    </row>
    <row r="19">
      <c r="A19" s="497" t="str">
        <f t="array" ref="A19">IFERROR(INDEX(TeamInfo!$1:$45,MATCH(C19,TeamInfo!C:C,0),1),"")</f>
        <v/>
      </c>
      <c r="B19" s="497" t="str">
        <f t="array" ref="B19">IFERROR(INDEX(TeamInfo!$1:$45,MATCH(C19,TeamInfo!C:C,0),2),"")</f>
        <v/>
      </c>
      <c r="C19" s="505"/>
      <c r="D19" s="498"/>
      <c r="E19" s="498"/>
      <c r="F19" s="498"/>
      <c r="G19" s="499"/>
      <c r="H19" s="499"/>
      <c r="I19" s="506"/>
      <c r="J19" s="506"/>
      <c r="K19" s="506"/>
      <c r="L19" s="506"/>
      <c r="M19" s="506"/>
      <c r="N19" s="506"/>
      <c r="O19" s="506"/>
      <c r="P19" s="506"/>
      <c r="Q19" s="506"/>
      <c r="R19" s="506"/>
      <c r="S19" s="506"/>
      <c r="T19" s="506"/>
      <c r="U19" s="506"/>
      <c r="V19" s="506"/>
      <c r="W19" s="506"/>
      <c r="X19" s="506"/>
      <c r="Y19" s="506"/>
      <c r="Z19" s="506"/>
      <c r="AA19" s="506"/>
      <c r="AB19" s="506"/>
      <c r="AC19" s="506"/>
      <c r="AD19" s="506"/>
      <c r="AE19" s="506"/>
      <c r="AF19" s="506"/>
      <c r="AG19" s="506"/>
      <c r="AH19" s="506"/>
      <c r="AI19" s="506"/>
      <c r="AJ19" s="506"/>
      <c r="AK19" s="506"/>
      <c r="AL19" s="506"/>
      <c r="AM19" s="506"/>
      <c r="AN19" s="506"/>
      <c r="AO19" s="506"/>
      <c r="AP19" s="506"/>
      <c r="AQ19" s="506"/>
      <c r="AR19" s="506"/>
      <c r="AS19" s="506"/>
      <c r="AT19" s="506"/>
      <c r="AU19" s="506"/>
      <c r="AV19" s="506"/>
      <c r="AW19" s="506"/>
      <c r="AX19" s="506"/>
      <c r="AY19" s="506"/>
      <c r="AZ19" s="506"/>
      <c r="BA19" s="506"/>
      <c r="BB19" s="500"/>
    </row>
    <row r="20">
      <c r="A20" s="497" t="str">
        <f t="array" ref="A20">IFERROR(INDEX(TeamInfo!$1:$45,MATCH(C20,TeamInfo!C:C,0),1),"")</f>
        <v/>
      </c>
      <c r="B20" s="497" t="str">
        <f t="array" ref="B20">IFERROR(INDEX(TeamInfo!$1:$45,MATCH(C20,TeamInfo!C:C,0),2),"")</f>
        <v/>
      </c>
      <c r="C20" s="505"/>
      <c r="D20" s="498"/>
      <c r="E20" s="498"/>
      <c r="F20" s="498"/>
      <c r="G20" s="499"/>
      <c r="H20" s="499"/>
      <c r="I20" s="506"/>
      <c r="J20" s="506"/>
      <c r="K20" s="506"/>
      <c r="L20" s="506"/>
      <c r="M20" s="506"/>
      <c r="N20" s="506"/>
      <c r="O20" s="506"/>
      <c r="P20" s="506"/>
      <c r="Q20" s="506"/>
      <c r="R20" s="506"/>
      <c r="S20" s="506"/>
      <c r="T20" s="506"/>
      <c r="U20" s="506"/>
      <c r="V20" s="506"/>
      <c r="W20" s="506"/>
      <c r="X20" s="506"/>
      <c r="Y20" s="506"/>
      <c r="Z20" s="506"/>
      <c r="AA20" s="506"/>
      <c r="AB20" s="506"/>
      <c r="AC20" s="506"/>
      <c r="AD20" s="506"/>
      <c r="AE20" s="506"/>
      <c r="AF20" s="506"/>
      <c r="AG20" s="506"/>
      <c r="AH20" s="506"/>
      <c r="AI20" s="506"/>
      <c r="AJ20" s="506"/>
      <c r="AK20" s="506"/>
      <c r="AL20" s="506"/>
      <c r="AM20" s="506"/>
      <c r="AN20" s="506"/>
      <c r="AO20" s="506"/>
      <c r="AP20" s="506"/>
      <c r="AQ20" s="506"/>
      <c r="AR20" s="506"/>
      <c r="AS20" s="506"/>
      <c r="AT20" s="506"/>
      <c r="AU20" s="506"/>
      <c r="AV20" s="506"/>
      <c r="AW20" s="506"/>
      <c r="AX20" s="506"/>
      <c r="AY20" s="506"/>
      <c r="AZ20" s="506"/>
      <c r="BA20" s="506"/>
      <c r="BB20" s="500"/>
    </row>
    <row r="21">
      <c r="A21" s="497" t="str">
        <f t="array" ref="A21">IFERROR(INDEX(TeamInfo!$1:$45,MATCH(C21,TeamInfo!C:C,0),1),"")</f>
        <v/>
      </c>
      <c r="B21" s="497" t="str">
        <f t="array" ref="B21">IFERROR(INDEX(TeamInfo!$1:$45,MATCH(C21,TeamInfo!C:C,0),2),"")</f>
        <v/>
      </c>
      <c r="C21" s="505"/>
      <c r="D21" s="498"/>
      <c r="E21" s="498"/>
      <c r="F21" s="498"/>
      <c r="G21" s="499"/>
      <c r="H21" s="499"/>
      <c r="I21" s="506"/>
      <c r="J21" s="506"/>
      <c r="K21" s="506"/>
      <c r="L21" s="506"/>
      <c r="M21" s="506"/>
      <c r="N21" s="506"/>
      <c r="O21" s="506"/>
      <c r="P21" s="506"/>
      <c r="Q21" s="506"/>
      <c r="R21" s="506"/>
      <c r="S21" s="506"/>
      <c r="T21" s="506"/>
      <c r="U21" s="506"/>
      <c r="V21" s="506"/>
      <c r="W21" s="506"/>
      <c r="X21" s="506"/>
      <c r="Y21" s="506"/>
      <c r="Z21" s="506"/>
      <c r="AA21" s="506"/>
      <c r="AB21" s="506"/>
      <c r="AC21" s="506"/>
      <c r="AD21" s="506"/>
      <c r="AE21" s="506"/>
      <c r="AF21" s="506"/>
      <c r="AG21" s="506"/>
      <c r="AH21" s="506"/>
      <c r="AI21" s="506"/>
      <c r="AJ21" s="506"/>
      <c r="AK21" s="506"/>
      <c r="AL21" s="506"/>
      <c r="AM21" s="506"/>
      <c r="AN21" s="506"/>
      <c r="AO21" s="506"/>
      <c r="AP21" s="506"/>
      <c r="AQ21" s="506"/>
      <c r="AR21" s="506"/>
      <c r="AS21" s="506"/>
      <c r="AT21" s="506"/>
      <c r="AU21" s="506"/>
      <c r="AV21" s="506"/>
      <c r="AW21" s="506"/>
      <c r="AX21" s="506"/>
      <c r="AY21" s="506"/>
      <c r="AZ21" s="506"/>
      <c r="BA21" s="506"/>
      <c r="BB21" s="500"/>
    </row>
    <row r="22">
      <c r="A22" s="501" t="str">
        <f t="array" ref="A22">IFERROR(INDEX(TeamInfo!$1:$45,MATCH(C22,TeamInfo!C:C,0),1),"")</f>
        <v/>
      </c>
      <c r="B22" s="501" t="str">
        <f t="array" ref="B22">IFERROR(INDEX(TeamInfo!$1:$45,MATCH(C22,TeamInfo!C:C,0),2),"")</f>
        <v/>
      </c>
      <c r="C22" s="507"/>
      <c r="D22" s="508"/>
      <c r="E22" s="508"/>
      <c r="F22" s="508"/>
      <c r="G22" s="502"/>
      <c r="H22" s="502"/>
      <c r="I22" s="509"/>
      <c r="J22" s="509"/>
      <c r="K22" s="509"/>
      <c r="L22" s="509"/>
      <c r="M22" s="509"/>
      <c r="N22" s="509"/>
      <c r="O22" s="509"/>
      <c r="P22" s="509"/>
      <c r="Q22" s="509"/>
      <c r="R22" s="509"/>
      <c r="S22" s="509"/>
      <c r="T22" s="509"/>
      <c r="U22" s="509"/>
      <c r="V22" s="509"/>
      <c r="W22" s="509"/>
      <c r="X22" s="509"/>
      <c r="Y22" s="509"/>
      <c r="Z22" s="509"/>
      <c r="AA22" s="509"/>
      <c r="AB22" s="509"/>
      <c r="AC22" s="509"/>
      <c r="AD22" s="509"/>
      <c r="AE22" s="509"/>
      <c r="AF22" s="509"/>
      <c r="AG22" s="509"/>
      <c r="AH22" s="509"/>
      <c r="AI22" s="509"/>
      <c r="AJ22" s="509"/>
      <c r="AK22" s="509"/>
      <c r="AL22" s="509"/>
      <c r="AM22" s="509"/>
      <c r="AN22" s="509"/>
      <c r="AO22" s="509"/>
      <c r="AP22" s="509"/>
      <c r="AQ22" s="509"/>
      <c r="AR22" s="509"/>
      <c r="AS22" s="509"/>
      <c r="AT22" s="509"/>
      <c r="AU22" s="509"/>
      <c r="AV22" s="509"/>
      <c r="AW22" s="509"/>
      <c r="AX22" s="509"/>
      <c r="AY22" s="509"/>
      <c r="AZ22" s="509"/>
      <c r="BA22" s="509"/>
      <c r="BB22" s="510"/>
    </row>
    <row r="23">
      <c r="A23" s="501" t="str">
        <f t="array" ref="A23">IFERROR(INDEX(TeamInfo!$1:$45,MATCH(C23,TeamInfo!C:C,0),1),"")</f>
        <v/>
      </c>
      <c r="B23" s="501" t="str">
        <f t="array" ref="B23">IFERROR(INDEX(TeamInfo!$1:$45,MATCH(C23,TeamInfo!C:C,0),2),"")</f>
        <v/>
      </c>
      <c r="C23" s="507"/>
      <c r="D23" s="508"/>
      <c r="E23" s="508"/>
      <c r="F23" s="508"/>
      <c r="G23" s="502"/>
      <c r="H23" s="502"/>
      <c r="I23" s="509"/>
      <c r="J23" s="509"/>
      <c r="K23" s="509"/>
      <c r="L23" s="509"/>
      <c r="M23" s="509"/>
      <c r="N23" s="509"/>
      <c r="O23" s="509"/>
      <c r="P23" s="509"/>
      <c r="Q23" s="509"/>
      <c r="R23" s="509"/>
      <c r="S23" s="509"/>
      <c r="T23" s="509"/>
      <c r="U23" s="509"/>
      <c r="V23" s="509"/>
      <c r="W23" s="509"/>
      <c r="X23" s="509"/>
      <c r="Y23" s="509"/>
      <c r="Z23" s="509"/>
      <c r="AA23" s="509"/>
      <c r="AB23" s="509"/>
      <c r="AC23" s="509"/>
      <c r="AD23" s="509"/>
      <c r="AE23" s="509"/>
      <c r="AF23" s="509"/>
      <c r="AG23" s="509"/>
      <c r="AH23" s="509"/>
      <c r="AI23" s="509"/>
      <c r="AJ23" s="509"/>
      <c r="AK23" s="509"/>
      <c r="AL23" s="509"/>
      <c r="AM23" s="509"/>
      <c r="AN23" s="509"/>
      <c r="AO23" s="509"/>
      <c r="AP23" s="509"/>
      <c r="AQ23" s="509"/>
      <c r="AR23" s="509"/>
      <c r="AS23" s="509"/>
      <c r="AT23" s="509"/>
      <c r="AU23" s="509"/>
      <c r="AV23" s="509"/>
      <c r="AW23" s="509"/>
      <c r="AX23" s="509"/>
      <c r="AY23" s="509"/>
      <c r="AZ23" s="509"/>
      <c r="BA23" s="509"/>
      <c r="BB23" s="510"/>
    </row>
    <row r="24">
      <c r="A24" s="501" t="str">
        <f t="array" ref="A24">IFERROR(INDEX(TeamInfo!$1:$45,MATCH(C24,TeamInfo!C:C,0),1),"")</f>
        <v/>
      </c>
      <c r="B24" s="501" t="str">
        <f t="array" ref="B24">IFERROR(INDEX(TeamInfo!$1:$45,MATCH(C24,TeamInfo!C:C,0),2),"")</f>
        <v/>
      </c>
      <c r="C24" s="507"/>
      <c r="D24" s="508"/>
      <c r="E24" s="508"/>
      <c r="F24" s="508"/>
      <c r="G24" s="502"/>
      <c r="H24" s="502"/>
      <c r="I24" s="509"/>
      <c r="J24" s="509"/>
      <c r="K24" s="509"/>
      <c r="L24" s="509"/>
      <c r="M24" s="509"/>
      <c r="N24" s="509"/>
      <c r="O24" s="509"/>
      <c r="P24" s="509"/>
      <c r="Q24" s="509"/>
      <c r="R24" s="509"/>
      <c r="S24" s="509"/>
      <c r="T24" s="509"/>
      <c r="U24" s="509"/>
      <c r="V24" s="509"/>
      <c r="W24" s="509"/>
      <c r="X24" s="509"/>
      <c r="Y24" s="509"/>
      <c r="Z24" s="509"/>
      <c r="AA24" s="509"/>
      <c r="AB24" s="509"/>
      <c r="AC24" s="509"/>
      <c r="AD24" s="509"/>
      <c r="AE24" s="509"/>
      <c r="AF24" s="509"/>
      <c r="AG24" s="509"/>
      <c r="AH24" s="509"/>
      <c r="AI24" s="509"/>
      <c r="AJ24" s="509"/>
      <c r="AK24" s="509"/>
      <c r="AL24" s="509"/>
      <c r="AM24" s="509"/>
      <c r="AN24" s="509"/>
      <c r="AO24" s="509"/>
      <c r="AP24" s="509"/>
      <c r="AQ24" s="509"/>
      <c r="AR24" s="509"/>
      <c r="AS24" s="509"/>
      <c r="AT24" s="509"/>
      <c r="AU24" s="509"/>
      <c r="AV24" s="509"/>
      <c r="AW24" s="509"/>
      <c r="AX24" s="509"/>
      <c r="AY24" s="509"/>
      <c r="AZ24" s="509"/>
      <c r="BA24" s="509"/>
      <c r="BB24" s="510"/>
    </row>
    <row r="25">
      <c r="A25" s="501" t="str">
        <f t="array" ref="A25">IFERROR(INDEX(TeamInfo!$1:$45,MATCH(C25,TeamInfo!C:C,0),1),"")</f>
        <v/>
      </c>
      <c r="B25" s="501" t="str">
        <f t="array" ref="B25">IFERROR(INDEX(TeamInfo!$1:$45,MATCH(C25,TeamInfo!C:C,0),2),"")</f>
        <v/>
      </c>
      <c r="C25" s="507"/>
      <c r="D25" s="508"/>
      <c r="E25" s="508"/>
      <c r="F25" s="508"/>
      <c r="G25" s="502"/>
      <c r="H25" s="502"/>
      <c r="I25" s="509"/>
      <c r="J25" s="509"/>
      <c r="K25" s="509"/>
      <c r="L25" s="509"/>
      <c r="M25" s="509"/>
      <c r="N25" s="509"/>
      <c r="O25" s="509"/>
      <c r="P25" s="509"/>
      <c r="Q25" s="509"/>
      <c r="R25" s="509"/>
      <c r="S25" s="509"/>
      <c r="T25" s="509"/>
      <c r="U25" s="509"/>
      <c r="V25" s="509"/>
      <c r="W25" s="509"/>
      <c r="X25" s="509"/>
      <c r="Y25" s="509"/>
      <c r="Z25" s="509"/>
      <c r="AA25" s="509"/>
      <c r="AB25" s="509"/>
      <c r="AC25" s="509"/>
      <c r="AD25" s="509"/>
      <c r="AE25" s="509"/>
      <c r="AF25" s="509"/>
      <c r="AG25" s="509"/>
      <c r="AH25" s="509"/>
      <c r="AI25" s="509"/>
      <c r="AJ25" s="509"/>
      <c r="AK25" s="509"/>
      <c r="AL25" s="509"/>
      <c r="AM25" s="509"/>
      <c r="AN25" s="509"/>
      <c r="AO25" s="509"/>
      <c r="AP25" s="509"/>
      <c r="AQ25" s="509"/>
      <c r="AR25" s="509"/>
      <c r="AS25" s="509"/>
      <c r="AT25" s="509"/>
      <c r="AU25" s="509"/>
      <c r="AV25" s="509"/>
      <c r="AW25" s="509"/>
      <c r="AX25" s="509"/>
      <c r="AY25" s="509"/>
      <c r="AZ25" s="509"/>
      <c r="BA25" s="509"/>
      <c r="BB25" s="510"/>
    </row>
    <row r="26">
      <c r="A26" s="511" t="s">
        <v>454</v>
      </c>
      <c r="B26" s="512"/>
      <c r="C26" s="513"/>
      <c r="D26" s="513"/>
      <c r="E26" s="513"/>
      <c r="F26" s="513"/>
      <c r="G26" s="513"/>
      <c r="H26" s="513"/>
      <c r="I26" s="513"/>
      <c r="J26" s="513"/>
      <c r="K26" s="513"/>
      <c r="L26" s="513"/>
      <c r="M26" s="513"/>
      <c r="N26" s="513"/>
      <c r="O26" s="513"/>
      <c r="P26" s="514"/>
      <c r="Q26" s="513"/>
      <c r="R26" s="513"/>
      <c r="S26" s="513"/>
      <c r="T26" s="513"/>
      <c r="U26" s="513"/>
      <c r="V26" s="513"/>
      <c r="W26" s="513"/>
      <c r="X26" s="513"/>
      <c r="Y26" s="513"/>
      <c r="Z26" s="513"/>
      <c r="AA26" s="513"/>
      <c r="AB26" s="513"/>
      <c r="AC26" s="513"/>
      <c r="AD26" s="513"/>
      <c r="AE26" s="513"/>
      <c r="AF26" s="513"/>
      <c r="AG26" s="513"/>
      <c r="AH26" s="513"/>
      <c r="AI26" s="513"/>
      <c r="AJ26" s="513"/>
      <c r="AK26" s="513"/>
      <c r="AL26" s="513"/>
      <c r="AM26" s="513"/>
      <c r="AN26" s="513"/>
      <c r="AO26" s="513"/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1"/>
    </row>
    <row r="27">
      <c r="A27" s="508" t="str">
        <f t="array" ref="A27">IFERROR(INDEX(TeamInfo!$1:$45,MATCH(C27,TeamInfo!C:C,0),1),"")</f>
        <v/>
      </c>
      <c r="B27" s="515" t="str">
        <f t="array" ref="B27">IFERROR(INDEX(TeamInfo!$1:$45,MATCH($C27,TeamInfo!C:C,0),2),"")</f>
        <v/>
      </c>
      <c r="C27" s="364"/>
      <c r="D27" s="508"/>
      <c r="E27" s="508"/>
      <c r="F27" s="508"/>
      <c r="G27" s="504"/>
      <c r="H27" s="504"/>
      <c r="I27" s="504"/>
      <c r="J27" s="504"/>
      <c r="K27" s="504"/>
      <c r="L27" s="504"/>
      <c r="M27" s="504"/>
      <c r="N27" s="504"/>
      <c r="O27" s="504"/>
      <c r="P27" s="504"/>
      <c r="Q27" s="504"/>
      <c r="R27" s="504"/>
      <c r="S27" s="504"/>
      <c r="T27" s="504"/>
      <c r="U27" s="504"/>
      <c r="V27" s="504"/>
      <c r="W27" s="504"/>
      <c r="X27" s="504"/>
      <c r="Y27" s="504"/>
      <c r="Z27" s="504"/>
      <c r="AA27" s="504"/>
      <c r="AB27" s="504"/>
      <c r="AC27" s="504"/>
      <c r="AD27" s="504"/>
      <c r="AE27" s="504"/>
      <c r="AF27" s="504"/>
      <c r="AG27" s="504"/>
      <c r="AH27" s="504"/>
      <c r="AI27" s="504"/>
      <c r="AJ27" s="504"/>
      <c r="AK27" s="504"/>
      <c r="AL27" s="504"/>
      <c r="AM27" s="504"/>
      <c r="AN27" s="504"/>
      <c r="AO27" s="504"/>
      <c r="AP27" s="504"/>
      <c r="AQ27" s="504"/>
      <c r="AR27" s="504"/>
      <c r="AS27" s="504"/>
      <c r="AT27" s="504"/>
      <c r="AU27" s="504"/>
      <c r="AV27" s="504"/>
      <c r="AW27" s="504"/>
      <c r="AX27" s="504"/>
      <c r="AY27" s="504"/>
      <c r="AZ27" s="504"/>
      <c r="BA27" s="504"/>
      <c r="BB27" s="510"/>
    </row>
    <row r="28">
      <c r="A28" s="508" t="str">
        <f t="array" ref="A28">IFERROR(INDEX(TeamInfo!$1:$45,MATCH(C28,TeamInfo!C:C,0),1),"")</f>
        <v/>
      </c>
      <c r="B28" s="515" t="str">
        <f t="array" ref="B28">IFERROR(INDEX(TeamInfo!$1:$45,MATCH($C28,TeamInfo!C:C,0),2),"")</f>
        <v/>
      </c>
      <c r="C28" s="364"/>
      <c r="D28" s="508"/>
      <c r="E28" s="508"/>
      <c r="F28" s="508"/>
      <c r="G28" s="502"/>
      <c r="H28" s="502"/>
      <c r="I28" s="502"/>
      <c r="J28" s="502"/>
      <c r="K28" s="502"/>
      <c r="L28" s="502"/>
      <c r="M28" s="502"/>
      <c r="N28" s="502"/>
      <c r="O28" s="502"/>
      <c r="P28" s="502"/>
      <c r="Q28" s="502"/>
      <c r="R28" s="502"/>
      <c r="S28" s="502"/>
      <c r="T28" s="502"/>
      <c r="U28" s="502"/>
      <c r="V28" s="502"/>
      <c r="W28" s="502"/>
      <c r="X28" s="502"/>
      <c r="Y28" s="502"/>
      <c r="Z28" s="502"/>
      <c r="AA28" s="502"/>
      <c r="AB28" s="502"/>
      <c r="AC28" s="502"/>
      <c r="AD28" s="502"/>
      <c r="AE28" s="502"/>
      <c r="AF28" s="502"/>
      <c r="AG28" s="502"/>
      <c r="AH28" s="502"/>
      <c r="AI28" s="502"/>
      <c r="AJ28" s="502"/>
      <c r="AK28" s="502"/>
      <c r="AL28" s="502"/>
      <c r="AM28" s="502"/>
      <c r="AN28" s="502"/>
      <c r="AO28" s="502"/>
      <c r="AP28" s="502"/>
      <c r="AQ28" s="502"/>
      <c r="AR28" s="502"/>
      <c r="AS28" s="502"/>
      <c r="AT28" s="502"/>
      <c r="AU28" s="502"/>
      <c r="AV28" s="502"/>
      <c r="AW28" s="502"/>
      <c r="AX28" s="502"/>
      <c r="AY28" s="502"/>
      <c r="AZ28" s="502"/>
      <c r="BA28" s="502"/>
      <c r="BB28" s="510"/>
    </row>
    <row r="29">
      <c r="A29" s="508" t="str">
        <f t="array" ref="A29">IFERROR(INDEX(TeamInfo!$1:$45,MATCH(C29,TeamInfo!C:C,0),1),"")</f>
        <v/>
      </c>
      <c r="B29" s="515" t="str">
        <f t="array" ref="B29">IFERROR(INDEX(TeamInfo!$1:$45,MATCH($C29,TeamInfo!C:C,0),2),"")</f>
        <v/>
      </c>
      <c r="C29" s="364"/>
      <c r="D29" s="508"/>
      <c r="E29" s="508"/>
      <c r="F29" s="508"/>
      <c r="G29" s="502"/>
      <c r="H29" s="502"/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Y29" s="502"/>
      <c r="Z29" s="502"/>
      <c r="AA29" s="502"/>
      <c r="AB29" s="502"/>
      <c r="AC29" s="502"/>
      <c r="AD29" s="502"/>
      <c r="AE29" s="502"/>
      <c r="AF29" s="502"/>
      <c r="AG29" s="502"/>
      <c r="AH29" s="502"/>
      <c r="AI29" s="502"/>
      <c r="AJ29" s="502"/>
      <c r="AK29" s="502"/>
      <c r="AL29" s="502"/>
      <c r="AM29" s="502"/>
      <c r="AN29" s="502"/>
      <c r="AO29" s="502"/>
      <c r="AP29" s="502"/>
      <c r="AQ29" s="502"/>
      <c r="AR29" s="502"/>
      <c r="AS29" s="502"/>
      <c r="AT29" s="502"/>
      <c r="AU29" s="502"/>
      <c r="AV29" s="502"/>
      <c r="AW29" s="502"/>
      <c r="AX29" s="502"/>
      <c r="AY29" s="502"/>
      <c r="AZ29" s="502"/>
      <c r="BA29" s="502"/>
      <c r="BB29" s="510"/>
    </row>
    <row r="30">
      <c r="A30" s="508" t="str">
        <f t="array" ref="A30">IFERROR(INDEX(TeamInfo!$1:$45,MATCH(C30,TeamInfo!C:C,0),1),"")</f>
        <v/>
      </c>
      <c r="B30" s="515" t="str">
        <f t="array" ref="B30">IFERROR(INDEX(TeamInfo!$1:$45,MATCH($C30,TeamInfo!C:C,0),2),"")</f>
        <v/>
      </c>
      <c r="C30" s="364"/>
      <c r="D30" s="508"/>
      <c r="E30" s="508"/>
      <c r="F30" s="508"/>
      <c r="G30" s="502"/>
      <c r="H30" s="502"/>
      <c r="I30" s="502"/>
      <c r="J30" s="502"/>
      <c r="K30" s="502"/>
      <c r="L30" s="502"/>
      <c r="M30" s="502"/>
      <c r="N30" s="502"/>
      <c r="O30" s="502"/>
      <c r="P30" s="502"/>
      <c r="Q30" s="502"/>
      <c r="R30" s="502"/>
      <c r="S30" s="502"/>
      <c r="T30" s="502"/>
      <c r="U30" s="502"/>
      <c r="V30" s="502"/>
      <c r="W30" s="502"/>
      <c r="X30" s="502"/>
      <c r="Y30" s="502"/>
      <c r="Z30" s="502"/>
      <c r="AA30" s="502"/>
      <c r="AB30" s="502"/>
      <c r="AC30" s="502"/>
      <c r="AD30" s="502"/>
      <c r="AE30" s="502"/>
      <c r="AF30" s="502"/>
      <c r="AG30" s="502"/>
      <c r="AH30" s="502"/>
      <c r="AI30" s="502"/>
      <c r="AJ30" s="502"/>
      <c r="AK30" s="502"/>
      <c r="AL30" s="502"/>
      <c r="AM30" s="502"/>
      <c r="AN30" s="502"/>
      <c r="AO30" s="502"/>
      <c r="AP30" s="502"/>
      <c r="AQ30" s="502"/>
      <c r="AR30" s="502"/>
      <c r="AS30" s="502"/>
      <c r="AT30" s="502"/>
      <c r="AU30" s="502"/>
      <c r="AV30" s="502"/>
      <c r="AW30" s="502"/>
      <c r="AX30" s="502"/>
      <c r="AY30" s="502"/>
      <c r="AZ30" s="502"/>
      <c r="BA30" s="502"/>
      <c r="BB30" s="510"/>
    </row>
    <row r="31">
      <c r="A31" s="516" t="str">
        <f t="array" ref="A31">IFERROR(INDEX(TeamInfo!$1:$45,MATCH(C31,TeamInfo!C:C,0),1),"")</f>
        <v/>
      </c>
      <c r="B31" s="517" t="str">
        <f t="array" ref="B31">IFERROR(INDEX(TeamInfo!$1:$45,MATCH($C31,TeamInfo!C:C,0),2),"")</f>
        <v/>
      </c>
      <c r="C31" s="498"/>
      <c r="D31" s="498"/>
      <c r="E31" s="498"/>
      <c r="F31" s="498"/>
      <c r="G31" s="499"/>
      <c r="H31" s="499"/>
      <c r="I31" s="499"/>
      <c r="J31" s="499"/>
      <c r="K31" s="499"/>
      <c r="L31" s="499"/>
      <c r="M31" s="499"/>
      <c r="N31" s="499"/>
      <c r="O31" s="499"/>
      <c r="P31" s="499"/>
      <c r="Q31" s="499"/>
      <c r="R31" s="499"/>
      <c r="S31" s="499"/>
      <c r="T31" s="499"/>
      <c r="U31" s="499"/>
      <c r="V31" s="499"/>
      <c r="W31" s="499"/>
      <c r="X31" s="499"/>
      <c r="Y31" s="499"/>
      <c r="Z31" s="499"/>
      <c r="AA31" s="499"/>
      <c r="AB31" s="499"/>
      <c r="AC31" s="499"/>
      <c r="AD31" s="499"/>
      <c r="AE31" s="499"/>
      <c r="AF31" s="499"/>
      <c r="AG31" s="499"/>
      <c r="AH31" s="499"/>
      <c r="AI31" s="499"/>
      <c r="AJ31" s="499"/>
      <c r="AK31" s="499"/>
      <c r="AL31" s="499"/>
      <c r="AM31" s="499"/>
      <c r="AN31" s="499"/>
      <c r="AO31" s="499"/>
      <c r="AP31" s="499"/>
      <c r="AQ31" s="499"/>
      <c r="AR31" s="499"/>
      <c r="AS31" s="499"/>
      <c r="AT31" s="499"/>
      <c r="AU31" s="499"/>
      <c r="AV31" s="499"/>
      <c r="AW31" s="499"/>
      <c r="AX31" s="499"/>
      <c r="AY31" s="499"/>
      <c r="AZ31" s="499"/>
      <c r="BA31" s="499"/>
      <c r="BB31" s="500"/>
    </row>
    <row r="32">
      <c r="A32" s="516" t="str">
        <f t="array" ref="A32">IFERROR(INDEX(TeamInfo!$1:$45,MATCH(C32,TeamInfo!C:C,0),1),"")</f>
        <v/>
      </c>
      <c r="B32" s="517" t="str">
        <f t="array" ref="B32">IFERROR(INDEX(TeamInfo!$1:$45,MATCH($C32,TeamInfo!C:C,0),2),"")</f>
        <v/>
      </c>
      <c r="C32" s="498"/>
      <c r="D32" s="498"/>
      <c r="E32" s="498"/>
      <c r="F32" s="498"/>
      <c r="G32" s="499"/>
      <c r="H32" s="499"/>
      <c r="I32" s="499"/>
      <c r="J32" s="499"/>
      <c r="K32" s="499"/>
      <c r="L32" s="499"/>
      <c r="M32" s="499"/>
      <c r="N32" s="499"/>
      <c r="O32" s="499"/>
      <c r="P32" s="499"/>
      <c r="Q32" s="499"/>
      <c r="R32" s="499"/>
      <c r="S32" s="499"/>
      <c r="T32" s="499"/>
      <c r="U32" s="499"/>
      <c r="V32" s="499"/>
      <c r="W32" s="499"/>
      <c r="X32" s="499"/>
      <c r="Y32" s="499"/>
      <c r="Z32" s="499"/>
      <c r="AA32" s="499"/>
      <c r="AB32" s="499"/>
      <c r="AC32" s="499"/>
      <c r="AD32" s="499"/>
      <c r="AE32" s="499"/>
      <c r="AF32" s="499"/>
      <c r="AG32" s="499"/>
      <c r="AH32" s="499"/>
      <c r="AI32" s="499"/>
      <c r="AJ32" s="499"/>
      <c r="AK32" s="499"/>
      <c r="AL32" s="499"/>
      <c r="AM32" s="499"/>
      <c r="AN32" s="499"/>
      <c r="AO32" s="499"/>
      <c r="AP32" s="499"/>
      <c r="AQ32" s="499"/>
      <c r="AR32" s="499"/>
      <c r="AS32" s="499"/>
      <c r="AT32" s="499"/>
      <c r="AU32" s="499"/>
      <c r="AV32" s="499"/>
      <c r="AW32" s="499"/>
      <c r="AX32" s="499"/>
      <c r="AY32" s="499"/>
      <c r="AZ32" s="499"/>
      <c r="BA32" s="499"/>
      <c r="BB32" s="500"/>
    </row>
    <row r="33">
      <c r="A33" s="516" t="str">
        <f t="array" ref="A33">IFERROR(INDEX(TeamInfo!$1:$45,MATCH(C33,TeamInfo!C:C,0),1),"")</f>
        <v/>
      </c>
      <c r="B33" s="517" t="str">
        <f t="array" ref="B33">IFERROR(INDEX(TeamInfo!$1:$45,MATCH($C33,TeamInfo!C:C,0),2),"")</f>
        <v/>
      </c>
      <c r="C33" s="498"/>
      <c r="D33" s="498"/>
      <c r="E33" s="498"/>
      <c r="F33" s="498"/>
      <c r="G33" s="499"/>
      <c r="H33" s="499"/>
      <c r="I33" s="499"/>
      <c r="J33" s="499"/>
      <c r="K33" s="499"/>
      <c r="L33" s="499"/>
      <c r="M33" s="499"/>
      <c r="N33" s="499"/>
      <c r="O33" s="499"/>
      <c r="P33" s="499"/>
      <c r="Q33" s="499"/>
      <c r="R33" s="499"/>
      <c r="S33" s="499"/>
      <c r="T33" s="499"/>
      <c r="U33" s="499"/>
      <c r="V33" s="499"/>
      <c r="W33" s="499"/>
      <c r="X33" s="499"/>
      <c r="Y33" s="499"/>
      <c r="Z33" s="499"/>
      <c r="AA33" s="499"/>
      <c r="AB33" s="499"/>
      <c r="AC33" s="499"/>
      <c r="AD33" s="499"/>
      <c r="AE33" s="499"/>
      <c r="AF33" s="499"/>
      <c r="AG33" s="499"/>
      <c r="AH33" s="499"/>
      <c r="AI33" s="499"/>
      <c r="AJ33" s="499"/>
      <c r="AK33" s="499"/>
      <c r="AL33" s="499"/>
      <c r="AM33" s="499"/>
      <c r="AN33" s="499"/>
      <c r="AO33" s="499"/>
      <c r="AP33" s="499"/>
      <c r="AQ33" s="499"/>
      <c r="AR33" s="499"/>
      <c r="AS33" s="499"/>
      <c r="AT33" s="499"/>
      <c r="AU33" s="499"/>
      <c r="AV33" s="499"/>
      <c r="AW33" s="499"/>
      <c r="AX33" s="499"/>
      <c r="AY33" s="499"/>
      <c r="AZ33" s="499"/>
      <c r="BA33" s="499"/>
      <c r="BB33" s="500"/>
    </row>
    <row r="34">
      <c r="A34" s="516" t="str">
        <f t="array" ref="A34">IFERROR(INDEX(TeamInfo!$1:$45,MATCH(C34,TeamInfo!C:C,0),1),"")</f>
        <v/>
      </c>
      <c r="B34" s="517" t="str">
        <f t="array" ref="B34">IFERROR(INDEX(TeamInfo!$1:$45,MATCH($C34,TeamInfo!C:C,0),2),"")</f>
        <v/>
      </c>
      <c r="C34" s="498"/>
      <c r="D34" s="498"/>
      <c r="E34" s="498"/>
      <c r="F34" s="498"/>
      <c r="G34" s="499"/>
      <c r="H34" s="499"/>
      <c r="I34" s="499"/>
      <c r="J34" s="499"/>
      <c r="K34" s="499"/>
      <c r="L34" s="499"/>
      <c r="M34" s="499"/>
      <c r="N34" s="499"/>
      <c r="O34" s="499"/>
      <c r="P34" s="499"/>
      <c r="Q34" s="499"/>
      <c r="R34" s="499"/>
      <c r="S34" s="499"/>
      <c r="T34" s="499"/>
      <c r="U34" s="499"/>
      <c r="V34" s="499"/>
      <c r="W34" s="499"/>
      <c r="X34" s="499"/>
      <c r="Y34" s="499"/>
      <c r="Z34" s="499"/>
      <c r="AA34" s="499"/>
      <c r="AB34" s="499"/>
      <c r="AC34" s="499"/>
      <c r="AD34" s="499"/>
      <c r="AE34" s="499"/>
      <c r="AF34" s="499"/>
      <c r="AG34" s="499"/>
      <c r="AH34" s="499"/>
      <c r="AI34" s="499"/>
      <c r="AJ34" s="499"/>
      <c r="AK34" s="499"/>
      <c r="AL34" s="499"/>
      <c r="AM34" s="499"/>
      <c r="AN34" s="499"/>
      <c r="AO34" s="499"/>
      <c r="AP34" s="499"/>
      <c r="AQ34" s="499"/>
      <c r="AR34" s="499"/>
      <c r="AS34" s="499"/>
      <c r="AT34" s="499"/>
      <c r="AU34" s="499"/>
      <c r="AV34" s="499"/>
      <c r="AW34" s="499"/>
      <c r="AX34" s="499"/>
      <c r="AY34" s="499"/>
      <c r="AZ34" s="499"/>
      <c r="BA34" s="499"/>
      <c r="BB34" s="500"/>
    </row>
    <row r="35">
      <c r="A35" s="518" t="str">
        <f t="array" ref="A35">IFERROR(INDEX(TeamInfo!$1:$45,MATCH(C35,TeamInfo!C:C,0),1),"")</f>
        <v/>
      </c>
      <c r="B35" s="519" t="str">
        <f t="array" ref="B35">IFERROR(INDEX(TeamInfo!$1:$45,MATCH($C35,TeamInfo!C:C,0),2),"")</f>
        <v/>
      </c>
      <c r="C35" s="520"/>
      <c r="D35" s="521"/>
      <c r="E35" s="521"/>
      <c r="F35" s="521"/>
      <c r="G35" s="504"/>
      <c r="H35" s="504"/>
      <c r="I35" s="504"/>
      <c r="J35" s="504"/>
      <c r="K35" s="504"/>
      <c r="L35" s="504"/>
      <c r="M35" s="504"/>
      <c r="N35" s="504"/>
      <c r="O35" s="504"/>
      <c r="P35" s="504"/>
      <c r="Q35" s="504"/>
      <c r="R35" s="504"/>
      <c r="S35" s="504"/>
      <c r="T35" s="504"/>
      <c r="U35" s="504"/>
      <c r="V35" s="504"/>
      <c r="W35" s="504"/>
      <c r="X35" s="504"/>
      <c r="Y35" s="504"/>
      <c r="Z35" s="504"/>
      <c r="AA35" s="504"/>
      <c r="AB35" s="504"/>
      <c r="AC35" s="504"/>
      <c r="AD35" s="504"/>
      <c r="AE35" s="504"/>
      <c r="AF35" s="504"/>
      <c r="AG35" s="504"/>
      <c r="AH35" s="504"/>
      <c r="AI35" s="504"/>
      <c r="AJ35" s="504"/>
      <c r="AK35" s="504"/>
      <c r="AL35" s="504"/>
      <c r="AM35" s="504"/>
      <c r="AN35" s="504"/>
      <c r="AO35" s="504"/>
      <c r="AP35" s="504"/>
      <c r="AQ35" s="504"/>
      <c r="AR35" s="504"/>
      <c r="AS35" s="504"/>
      <c r="AT35" s="504"/>
      <c r="AU35" s="504"/>
      <c r="AV35" s="504"/>
      <c r="AW35" s="504"/>
      <c r="AX35" s="504"/>
      <c r="AY35" s="504"/>
      <c r="AZ35" s="504"/>
      <c r="BA35" s="504"/>
      <c r="BB35" s="522"/>
    </row>
    <row r="36">
      <c r="A36" s="523" t="str">
        <f t="array" ref="A36">IFERROR(INDEX(TeamInfo!$1:$45,MATCH(C36,TeamInfo!C:C,0),1),"")</f>
        <v/>
      </c>
      <c r="B36" s="515" t="str">
        <f t="array" ref="B36">IFERROR(INDEX(TeamInfo!$1:$45,MATCH($C36,TeamInfo!C:C,0),2),"")</f>
        <v/>
      </c>
      <c r="C36" s="364"/>
      <c r="D36" s="508"/>
      <c r="E36" s="508"/>
      <c r="F36" s="508"/>
      <c r="G36" s="502"/>
      <c r="H36" s="502"/>
      <c r="I36" s="502"/>
      <c r="J36" s="502"/>
      <c r="K36" s="502"/>
      <c r="L36" s="502"/>
      <c r="M36" s="502"/>
      <c r="N36" s="502"/>
      <c r="O36" s="502"/>
      <c r="P36" s="502"/>
      <c r="Q36" s="502"/>
      <c r="R36" s="502"/>
      <c r="S36" s="502"/>
      <c r="T36" s="502"/>
      <c r="U36" s="502"/>
      <c r="V36" s="502"/>
      <c r="W36" s="502"/>
      <c r="X36" s="502"/>
      <c r="Y36" s="502"/>
      <c r="Z36" s="502"/>
      <c r="AA36" s="502"/>
      <c r="AB36" s="502"/>
      <c r="AC36" s="502"/>
      <c r="AD36" s="502"/>
      <c r="AE36" s="502"/>
      <c r="AF36" s="502"/>
      <c r="AG36" s="502"/>
      <c r="AH36" s="502"/>
      <c r="AI36" s="502"/>
      <c r="AJ36" s="502"/>
      <c r="AK36" s="502"/>
      <c r="AL36" s="502"/>
      <c r="AM36" s="502"/>
      <c r="AN36" s="502"/>
      <c r="AO36" s="502"/>
      <c r="AP36" s="502"/>
      <c r="AQ36" s="502"/>
      <c r="AR36" s="502"/>
      <c r="AS36" s="502"/>
      <c r="AT36" s="502"/>
      <c r="AU36" s="502"/>
      <c r="AV36" s="502"/>
      <c r="AW36" s="502"/>
      <c r="AX36" s="502"/>
      <c r="AY36" s="502"/>
      <c r="AZ36" s="502"/>
      <c r="BA36" s="502"/>
      <c r="BB36" s="524"/>
    </row>
    <row r="37">
      <c r="A37" s="523" t="str">
        <f t="array" ref="A37">IFERROR(INDEX(TeamInfo!$1:$45,MATCH(C37,TeamInfo!C:C,0),1),"")</f>
        <v/>
      </c>
      <c r="B37" s="515" t="str">
        <f t="array" ref="B37">IFERROR(INDEX(TeamInfo!$1:$45,MATCH($C37,TeamInfo!C:C,0),2),"")</f>
        <v/>
      </c>
      <c r="C37" s="364"/>
      <c r="D37" s="508"/>
      <c r="E37" s="508"/>
      <c r="F37" s="508"/>
      <c r="G37" s="502"/>
      <c r="H37" s="502"/>
      <c r="I37" s="502"/>
      <c r="J37" s="502"/>
      <c r="K37" s="502"/>
      <c r="L37" s="502"/>
      <c r="M37" s="502"/>
      <c r="N37" s="502"/>
      <c r="O37" s="502"/>
      <c r="P37" s="502"/>
      <c r="Q37" s="502"/>
      <c r="R37" s="502"/>
      <c r="S37" s="502"/>
      <c r="T37" s="502"/>
      <c r="U37" s="502"/>
      <c r="V37" s="502"/>
      <c r="W37" s="502"/>
      <c r="X37" s="502"/>
      <c r="Y37" s="502"/>
      <c r="Z37" s="502"/>
      <c r="AA37" s="502"/>
      <c r="AB37" s="502"/>
      <c r="AC37" s="502"/>
      <c r="AD37" s="502"/>
      <c r="AE37" s="502"/>
      <c r="AF37" s="502"/>
      <c r="AG37" s="502"/>
      <c r="AH37" s="502"/>
      <c r="AI37" s="502"/>
      <c r="AJ37" s="502"/>
      <c r="AK37" s="502"/>
      <c r="AL37" s="502"/>
      <c r="AM37" s="502"/>
      <c r="AN37" s="502"/>
      <c r="AO37" s="502"/>
      <c r="AP37" s="502"/>
      <c r="AQ37" s="502"/>
      <c r="AR37" s="502"/>
      <c r="AS37" s="502"/>
      <c r="AT37" s="502"/>
      <c r="AU37" s="502"/>
      <c r="AV37" s="502"/>
      <c r="AW37" s="502"/>
      <c r="AX37" s="502"/>
      <c r="AY37" s="502"/>
      <c r="AZ37" s="502"/>
      <c r="BA37" s="502"/>
      <c r="BB37" s="524"/>
    </row>
    <row r="38">
      <c r="A38" s="523" t="str">
        <f t="array" ref="A38">IFERROR(INDEX(TeamInfo!$1:$45,MATCH(C38,TeamInfo!C:C,0),1),"")</f>
        <v/>
      </c>
      <c r="B38" s="515" t="str">
        <f t="array" ref="B38">IFERROR(INDEX(TeamInfo!$1:$45,MATCH($C38,TeamInfo!C:C,0),2),"")</f>
        <v/>
      </c>
      <c r="C38" s="364"/>
      <c r="D38" s="508"/>
      <c r="E38" s="508"/>
      <c r="F38" s="508"/>
      <c r="G38" s="502"/>
      <c r="H38" s="502"/>
      <c r="I38" s="502"/>
      <c r="J38" s="502"/>
      <c r="K38" s="502"/>
      <c r="L38" s="502"/>
      <c r="M38" s="502"/>
      <c r="N38" s="502"/>
      <c r="O38" s="502"/>
      <c r="P38" s="502"/>
      <c r="Q38" s="502"/>
      <c r="R38" s="502"/>
      <c r="S38" s="502"/>
      <c r="T38" s="502"/>
      <c r="U38" s="502"/>
      <c r="V38" s="502"/>
      <c r="W38" s="502"/>
      <c r="X38" s="502"/>
      <c r="Y38" s="502"/>
      <c r="Z38" s="502"/>
      <c r="AA38" s="502"/>
      <c r="AB38" s="502"/>
      <c r="AC38" s="502"/>
      <c r="AD38" s="502"/>
      <c r="AE38" s="502"/>
      <c r="AF38" s="502"/>
      <c r="AG38" s="502"/>
      <c r="AH38" s="502"/>
      <c r="AI38" s="502"/>
      <c r="AJ38" s="502"/>
      <c r="AK38" s="502"/>
      <c r="AL38" s="502"/>
      <c r="AM38" s="502"/>
      <c r="AN38" s="502"/>
      <c r="AO38" s="502"/>
      <c r="AP38" s="502"/>
      <c r="AQ38" s="502"/>
      <c r="AR38" s="502"/>
      <c r="AS38" s="502"/>
      <c r="AT38" s="502"/>
      <c r="AU38" s="502"/>
      <c r="AV38" s="502"/>
      <c r="AW38" s="502"/>
      <c r="AX38" s="502"/>
      <c r="AY38" s="502"/>
      <c r="AZ38" s="502"/>
      <c r="BA38" s="502"/>
      <c r="BB38" s="524"/>
    </row>
    <row r="39">
      <c r="A39" s="525" t="str">
        <f t="array" ref="A39">IFERROR(INDEX(TeamInfo!$1:$45,MATCH(C39,TeamInfo!C:C,0),1),"")</f>
        <v/>
      </c>
      <c r="B39" s="517" t="str">
        <f t="array" ref="B39">IFERROR(INDEX(TeamInfo!$1:$45,MATCH($C39,TeamInfo!C:C,0),2),"")</f>
        <v/>
      </c>
      <c r="C39" s="498"/>
      <c r="D39" s="498"/>
      <c r="E39" s="498"/>
      <c r="F39" s="498"/>
      <c r="G39" s="499"/>
      <c r="H39" s="499"/>
      <c r="I39" s="499"/>
      <c r="J39" s="499"/>
      <c r="K39" s="499"/>
      <c r="L39" s="499"/>
      <c r="M39" s="499"/>
      <c r="N39" s="499"/>
      <c r="O39" s="499"/>
      <c r="P39" s="499"/>
      <c r="Q39" s="499"/>
      <c r="R39" s="499"/>
      <c r="S39" s="499"/>
      <c r="T39" s="499"/>
      <c r="U39" s="499"/>
      <c r="V39" s="499"/>
      <c r="W39" s="499"/>
      <c r="X39" s="499"/>
      <c r="Y39" s="499"/>
      <c r="Z39" s="499"/>
      <c r="AA39" s="499"/>
      <c r="AB39" s="499"/>
      <c r="AC39" s="499"/>
      <c r="AD39" s="499"/>
      <c r="AE39" s="499"/>
      <c r="AF39" s="499"/>
      <c r="AG39" s="499"/>
      <c r="AH39" s="499"/>
      <c r="AI39" s="499"/>
      <c r="AJ39" s="499"/>
      <c r="AK39" s="499"/>
      <c r="AL39" s="499"/>
      <c r="AM39" s="499"/>
      <c r="AN39" s="499"/>
      <c r="AO39" s="499"/>
      <c r="AP39" s="499"/>
      <c r="AQ39" s="499"/>
      <c r="AR39" s="499"/>
      <c r="AS39" s="499"/>
      <c r="AT39" s="499"/>
      <c r="AU39" s="499"/>
      <c r="AV39" s="499"/>
      <c r="AW39" s="499"/>
      <c r="AX39" s="499"/>
      <c r="AY39" s="499"/>
      <c r="AZ39" s="499"/>
      <c r="BA39" s="499"/>
      <c r="BB39" s="526"/>
    </row>
    <row r="40">
      <c r="A40" s="525" t="str">
        <f t="array" ref="A40">IFERROR(INDEX(TeamInfo!$1:$45,MATCH(C40,TeamInfo!C:C,0),1),"")</f>
        <v/>
      </c>
      <c r="B40" s="517" t="str">
        <f t="array" ref="B40">IFERROR(INDEX(TeamInfo!$1:$45,MATCH($C40,TeamInfo!C:C,0),2),"")</f>
        <v/>
      </c>
      <c r="C40" s="498"/>
      <c r="D40" s="498"/>
      <c r="E40" s="498"/>
      <c r="F40" s="498"/>
      <c r="G40" s="499"/>
      <c r="H40" s="499"/>
      <c r="I40" s="499"/>
      <c r="J40" s="499"/>
      <c r="K40" s="499"/>
      <c r="L40" s="499"/>
      <c r="M40" s="499"/>
      <c r="N40" s="499"/>
      <c r="O40" s="499"/>
      <c r="P40" s="499"/>
      <c r="Q40" s="499"/>
      <c r="R40" s="499"/>
      <c r="S40" s="499"/>
      <c r="T40" s="499"/>
      <c r="U40" s="499"/>
      <c r="V40" s="499"/>
      <c r="W40" s="499"/>
      <c r="X40" s="499"/>
      <c r="Y40" s="499"/>
      <c r="Z40" s="499"/>
      <c r="AA40" s="499"/>
      <c r="AB40" s="499"/>
      <c r="AC40" s="499"/>
      <c r="AD40" s="499"/>
      <c r="AE40" s="499"/>
      <c r="AF40" s="499"/>
      <c r="AG40" s="499"/>
      <c r="AH40" s="499"/>
      <c r="AI40" s="499"/>
      <c r="AJ40" s="499"/>
      <c r="AK40" s="499"/>
      <c r="AL40" s="499"/>
      <c r="AM40" s="499"/>
      <c r="AN40" s="499"/>
      <c r="AO40" s="499"/>
      <c r="AP40" s="499"/>
      <c r="AQ40" s="499"/>
      <c r="AR40" s="499"/>
      <c r="AS40" s="499"/>
      <c r="AT40" s="499"/>
      <c r="AU40" s="499"/>
      <c r="AV40" s="499"/>
      <c r="AW40" s="499"/>
      <c r="AX40" s="499"/>
      <c r="AY40" s="499"/>
      <c r="AZ40" s="499"/>
      <c r="BA40" s="499"/>
      <c r="BB40" s="526"/>
    </row>
    <row r="41">
      <c r="A41" s="525" t="str">
        <f t="array" ref="A41">IFERROR(INDEX(TeamInfo!$1:$45,MATCH(C41,TeamInfo!C:C,0),1),"")</f>
        <v/>
      </c>
      <c r="B41" s="517" t="str">
        <f t="array" ref="B41">IFERROR(INDEX(TeamInfo!$1:$45,MATCH($C41,TeamInfo!C:C,0),2),"")</f>
        <v/>
      </c>
      <c r="C41" s="498"/>
      <c r="D41" s="498"/>
      <c r="E41" s="498"/>
      <c r="F41" s="498"/>
      <c r="G41" s="499"/>
      <c r="H41" s="499"/>
      <c r="I41" s="499"/>
      <c r="J41" s="499"/>
      <c r="K41" s="499"/>
      <c r="L41" s="499"/>
      <c r="M41" s="499"/>
      <c r="N41" s="499"/>
      <c r="O41" s="499"/>
      <c r="P41" s="499"/>
      <c r="Q41" s="499"/>
      <c r="R41" s="499"/>
      <c r="S41" s="499"/>
      <c r="T41" s="499"/>
      <c r="U41" s="499"/>
      <c r="V41" s="499"/>
      <c r="W41" s="499"/>
      <c r="X41" s="499"/>
      <c r="Y41" s="499"/>
      <c r="Z41" s="499"/>
      <c r="AA41" s="499"/>
      <c r="AB41" s="499"/>
      <c r="AC41" s="499"/>
      <c r="AD41" s="499"/>
      <c r="AE41" s="499"/>
      <c r="AF41" s="499"/>
      <c r="AG41" s="499"/>
      <c r="AH41" s="499"/>
      <c r="AI41" s="499"/>
      <c r="AJ41" s="499"/>
      <c r="AK41" s="499"/>
      <c r="AL41" s="499"/>
      <c r="AM41" s="499"/>
      <c r="AN41" s="499"/>
      <c r="AO41" s="499"/>
      <c r="AP41" s="499"/>
      <c r="AQ41" s="499"/>
      <c r="AR41" s="499"/>
      <c r="AS41" s="499"/>
      <c r="AT41" s="499"/>
      <c r="AU41" s="499"/>
      <c r="AV41" s="499"/>
      <c r="AW41" s="499"/>
      <c r="AX41" s="499"/>
      <c r="AY41" s="499"/>
      <c r="AZ41" s="499"/>
      <c r="BA41" s="499"/>
      <c r="BB41" s="526"/>
    </row>
    <row r="42">
      <c r="A42" s="527" t="str">
        <f t="array" ref="A42">IFERROR(INDEX(TeamInfo!$1:$45,MATCH(C42,TeamInfo!C:C,0),1),"")</f>
        <v/>
      </c>
      <c r="B42" s="528" t="str">
        <f t="array" ref="B42">IFERROR(INDEX(TeamInfo!$1:$45,MATCH($C42,TeamInfo!C:C,0),2),"")</f>
        <v/>
      </c>
      <c r="C42" s="529"/>
      <c r="D42" s="529"/>
      <c r="E42" s="529"/>
      <c r="F42" s="529"/>
      <c r="G42" s="503"/>
      <c r="H42" s="503"/>
      <c r="I42" s="503"/>
      <c r="J42" s="503"/>
      <c r="K42" s="503"/>
      <c r="L42" s="503"/>
      <c r="M42" s="503"/>
      <c r="N42" s="503"/>
      <c r="O42" s="503"/>
      <c r="P42" s="503"/>
      <c r="Q42" s="503"/>
      <c r="R42" s="503"/>
      <c r="S42" s="503"/>
      <c r="T42" s="503"/>
      <c r="U42" s="503"/>
      <c r="V42" s="503"/>
      <c r="W42" s="503"/>
      <c r="X42" s="503"/>
      <c r="Y42" s="503"/>
      <c r="Z42" s="503"/>
      <c r="AA42" s="503"/>
      <c r="AB42" s="503"/>
      <c r="AC42" s="503"/>
      <c r="AD42" s="503"/>
      <c r="AE42" s="503"/>
      <c r="AF42" s="503"/>
      <c r="AG42" s="503"/>
      <c r="AH42" s="503"/>
      <c r="AI42" s="503"/>
      <c r="AJ42" s="503"/>
      <c r="AK42" s="503"/>
      <c r="AL42" s="503"/>
      <c r="AM42" s="503"/>
      <c r="AN42" s="503"/>
      <c r="AO42" s="503"/>
      <c r="AP42" s="503"/>
      <c r="AQ42" s="503"/>
      <c r="AR42" s="503"/>
      <c r="AS42" s="503"/>
      <c r="AT42" s="503"/>
      <c r="AU42" s="503"/>
      <c r="AV42" s="503"/>
      <c r="AW42" s="503"/>
      <c r="AX42" s="503"/>
      <c r="AY42" s="503"/>
      <c r="AZ42" s="503"/>
      <c r="BA42" s="503"/>
      <c r="BB42" s="530"/>
    </row>
    <row r="43">
      <c r="A43" s="531" t="str">
        <f t="array" ref="A43">IFERROR(INDEX(TeamInfo!$1:$45,MATCH(C43,TeamInfo!C:C,0),1),"")</f>
        <v/>
      </c>
      <c r="B43" s="532" t="str">
        <f t="array" ref="B43">IFERROR(INDEX(TeamInfo!$1:$45,MATCH($C43,TeamInfo!C:C,0),2),"")</f>
        <v/>
      </c>
      <c r="C43" s="533"/>
      <c r="D43" s="533"/>
      <c r="E43" s="533"/>
      <c r="F43" s="533"/>
      <c r="G43" s="534"/>
      <c r="H43" s="534"/>
      <c r="I43" s="534"/>
      <c r="J43" s="534"/>
      <c r="K43" s="534"/>
      <c r="L43" s="534"/>
      <c r="M43" s="534"/>
      <c r="N43" s="534"/>
      <c r="O43" s="534"/>
      <c r="P43" s="534"/>
      <c r="Q43" s="534"/>
      <c r="R43" s="534"/>
      <c r="S43" s="534"/>
      <c r="T43" s="534"/>
      <c r="U43" s="534"/>
      <c r="V43" s="534"/>
      <c r="W43" s="534"/>
      <c r="X43" s="534"/>
      <c r="Y43" s="534"/>
      <c r="Z43" s="534"/>
      <c r="AA43" s="534"/>
      <c r="AB43" s="534"/>
      <c r="AC43" s="534"/>
      <c r="AD43" s="534"/>
      <c r="AE43" s="534"/>
      <c r="AF43" s="534"/>
      <c r="AG43" s="534"/>
      <c r="AH43" s="534"/>
      <c r="AI43" s="534"/>
      <c r="AJ43" s="534"/>
      <c r="AK43" s="534"/>
      <c r="AL43" s="534"/>
      <c r="AM43" s="534"/>
      <c r="AN43" s="534"/>
      <c r="AO43" s="534"/>
      <c r="AP43" s="534"/>
      <c r="AQ43" s="534"/>
      <c r="AR43" s="534"/>
      <c r="AS43" s="534"/>
      <c r="AT43" s="534"/>
      <c r="AU43" s="534"/>
      <c r="AV43" s="534"/>
      <c r="AW43" s="534"/>
      <c r="AX43" s="534"/>
      <c r="AY43" s="534"/>
      <c r="AZ43" s="534"/>
      <c r="BA43" s="534"/>
      <c r="BB43" s="535"/>
    </row>
    <row r="44">
      <c r="A44" s="525" t="str">
        <f t="array" ref="A44">IFERROR(INDEX(TeamInfo!$1:$45,MATCH(C44,TeamInfo!C:C,0),1),"")</f>
        <v/>
      </c>
      <c r="B44" s="517" t="str">
        <f t="array" ref="B44">IFERROR(INDEX(TeamInfo!$1:$45,MATCH($C44,TeamInfo!C:C,0),2),"")</f>
        <v/>
      </c>
      <c r="C44" s="498"/>
      <c r="D44" s="498"/>
      <c r="E44" s="498"/>
      <c r="F44" s="498"/>
      <c r="G44" s="499"/>
      <c r="H44" s="499"/>
      <c r="I44" s="499"/>
      <c r="J44" s="499"/>
      <c r="K44" s="499"/>
      <c r="L44" s="499"/>
      <c r="M44" s="499"/>
      <c r="N44" s="499"/>
      <c r="O44" s="499"/>
      <c r="P44" s="499"/>
      <c r="Q44" s="499"/>
      <c r="R44" s="499"/>
      <c r="S44" s="499"/>
      <c r="T44" s="499"/>
      <c r="U44" s="499"/>
      <c r="V44" s="499"/>
      <c r="W44" s="499"/>
      <c r="X44" s="499"/>
      <c r="Y44" s="499"/>
      <c r="Z44" s="499"/>
      <c r="AA44" s="499"/>
      <c r="AB44" s="499"/>
      <c r="AC44" s="499"/>
      <c r="AD44" s="499"/>
      <c r="AE44" s="499"/>
      <c r="AF44" s="499"/>
      <c r="AG44" s="499"/>
      <c r="AH44" s="499"/>
      <c r="AI44" s="499"/>
      <c r="AJ44" s="499"/>
      <c r="AK44" s="499"/>
      <c r="AL44" s="499"/>
      <c r="AM44" s="499"/>
      <c r="AN44" s="499"/>
      <c r="AO44" s="499"/>
      <c r="AP44" s="499"/>
      <c r="AQ44" s="499"/>
      <c r="AR44" s="499"/>
      <c r="AS44" s="499"/>
      <c r="AT44" s="499"/>
      <c r="AU44" s="499"/>
      <c r="AV44" s="499"/>
      <c r="AW44" s="499"/>
      <c r="AX44" s="499"/>
      <c r="AY44" s="499"/>
      <c r="AZ44" s="499"/>
      <c r="BA44" s="499"/>
      <c r="BB44" s="526"/>
    </row>
    <row r="45">
      <c r="A45" s="525" t="str">
        <f t="array" ref="A45">IFERROR(INDEX(TeamInfo!$1:$45,MATCH(C45,TeamInfo!C:C,0),1),"")</f>
        <v/>
      </c>
      <c r="B45" s="517" t="str">
        <f t="array" ref="B45">IFERROR(INDEX(TeamInfo!$1:$45,MATCH($C45,TeamInfo!C:C,0),2),"")</f>
        <v/>
      </c>
      <c r="C45" s="498"/>
      <c r="D45" s="498"/>
      <c r="E45" s="498"/>
      <c r="F45" s="498"/>
      <c r="G45" s="499"/>
      <c r="H45" s="499"/>
      <c r="I45" s="499"/>
      <c r="J45" s="499"/>
      <c r="K45" s="499"/>
      <c r="L45" s="499"/>
      <c r="M45" s="499"/>
      <c r="N45" s="499"/>
      <c r="O45" s="499"/>
      <c r="P45" s="499"/>
      <c r="Q45" s="499"/>
      <c r="R45" s="499"/>
      <c r="S45" s="499"/>
      <c r="T45" s="499"/>
      <c r="U45" s="499"/>
      <c r="V45" s="499"/>
      <c r="W45" s="499"/>
      <c r="X45" s="499"/>
      <c r="Y45" s="499"/>
      <c r="Z45" s="499"/>
      <c r="AA45" s="499"/>
      <c r="AB45" s="499"/>
      <c r="AC45" s="499"/>
      <c r="AD45" s="499"/>
      <c r="AE45" s="499"/>
      <c r="AF45" s="499"/>
      <c r="AG45" s="499"/>
      <c r="AH45" s="499"/>
      <c r="AI45" s="499"/>
      <c r="AJ45" s="499"/>
      <c r="AK45" s="499"/>
      <c r="AL45" s="499"/>
      <c r="AM45" s="499"/>
      <c r="AN45" s="499"/>
      <c r="AO45" s="499"/>
      <c r="AP45" s="499"/>
      <c r="AQ45" s="499"/>
      <c r="AR45" s="499"/>
      <c r="AS45" s="499"/>
      <c r="AT45" s="499"/>
      <c r="AU45" s="499"/>
      <c r="AV45" s="499"/>
      <c r="AW45" s="499"/>
      <c r="AX45" s="499"/>
      <c r="AY45" s="499"/>
      <c r="AZ45" s="499"/>
      <c r="BA45" s="499"/>
      <c r="BB45" s="526"/>
    </row>
    <row r="46">
      <c r="A46" s="525" t="str">
        <f t="array" ref="A46">IFERROR(INDEX(TeamInfo!$1:$45,MATCH(C46,TeamInfo!C:C,0),1),"")</f>
        <v/>
      </c>
      <c r="B46" s="517" t="str">
        <f t="array" ref="B46">IFERROR(INDEX(TeamInfo!$1:$45,MATCH($C46,TeamInfo!C:C,0),2),"")</f>
        <v/>
      </c>
      <c r="C46" s="498"/>
      <c r="D46" s="498"/>
      <c r="E46" s="498"/>
      <c r="F46" s="498"/>
      <c r="G46" s="499"/>
      <c r="H46" s="499"/>
      <c r="I46" s="499"/>
      <c r="J46" s="499"/>
      <c r="K46" s="499"/>
      <c r="L46" s="499"/>
      <c r="M46" s="499"/>
      <c r="N46" s="499"/>
      <c r="O46" s="499"/>
      <c r="P46" s="499"/>
      <c r="Q46" s="499"/>
      <c r="R46" s="499"/>
      <c r="S46" s="499"/>
      <c r="T46" s="499"/>
      <c r="U46" s="499"/>
      <c r="V46" s="499"/>
      <c r="W46" s="499"/>
      <c r="X46" s="499"/>
      <c r="Y46" s="499"/>
      <c r="Z46" s="499"/>
      <c r="AA46" s="499"/>
      <c r="AB46" s="499"/>
      <c r="AC46" s="499"/>
      <c r="AD46" s="499"/>
      <c r="AE46" s="499"/>
      <c r="AF46" s="499"/>
      <c r="AG46" s="499"/>
      <c r="AH46" s="499"/>
      <c r="AI46" s="499"/>
      <c r="AJ46" s="499"/>
      <c r="AK46" s="499"/>
      <c r="AL46" s="499"/>
      <c r="AM46" s="499"/>
      <c r="AN46" s="499"/>
      <c r="AO46" s="499"/>
      <c r="AP46" s="499"/>
      <c r="AQ46" s="499"/>
      <c r="AR46" s="499"/>
      <c r="AS46" s="499"/>
      <c r="AT46" s="499"/>
      <c r="AU46" s="499"/>
      <c r="AV46" s="499"/>
      <c r="AW46" s="499"/>
      <c r="AX46" s="499"/>
      <c r="AY46" s="499"/>
      <c r="AZ46" s="499"/>
      <c r="BA46" s="499"/>
      <c r="BB46" s="526"/>
    </row>
    <row r="47">
      <c r="A47" s="523" t="str">
        <f t="array" ref="A47">IFERROR(INDEX(TeamInfo!$1:$45,MATCH(C47,TeamInfo!C:C,0),1),"")</f>
        <v/>
      </c>
      <c r="B47" s="515" t="str">
        <f t="array" ref="B47">IFERROR(INDEX(TeamInfo!$1:$45,MATCH($C47,TeamInfo!C:C,0),2),"")</f>
        <v/>
      </c>
      <c r="C47" s="364"/>
      <c r="D47" s="508"/>
      <c r="E47" s="508"/>
      <c r="F47" s="508"/>
      <c r="G47" s="502"/>
      <c r="H47" s="502"/>
      <c r="I47" s="502"/>
      <c r="J47" s="502"/>
      <c r="K47" s="502"/>
      <c r="L47" s="502"/>
      <c r="M47" s="502"/>
      <c r="N47" s="502"/>
      <c r="O47" s="502"/>
      <c r="P47" s="502"/>
      <c r="Q47" s="502"/>
      <c r="R47" s="502"/>
      <c r="S47" s="502"/>
      <c r="T47" s="502"/>
      <c r="U47" s="502"/>
      <c r="V47" s="502"/>
      <c r="W47" s="502"/>
      <c r="X47" s="502"/>
      <c r="Y47" s="502"/>
      <c r="Z47" s="502"/>
      <c r="AA47" s="502"/>
      <c r="AB47" s="502"/>
      <c r="AC47" s="502"/>
      <c r="AD47" s="502"/>
      <c r="AE47" s="502"/>
      <c r="AF47" s="502"/>
      <c r="AG47" s="502"/>
      <c r="AH47" s="502"/>
      <c r="AI47" s="502"/>
      <c r="AJ47" s="502"/>
      <c r="AK47" s="502"/>
      <c r="AL47" s="502"/>
      <c r="AM47" s="502"/>
      <c r="AN47" s="502"/>
      <c r="AO47" s="502"/>
      <c r="AP47" s="502"/>
      <c r="AQ47" s="502"/>
      <c r="AR47" s="502"/>
      <c r="AS47" s="502"/>
      <c r="AT47" s="502"/>
      <c r="AU47" s="502"/>
      <c r="AV47" s="502"/>
      <c r="AW47" s="502"/>
      <c r="AX47" s="502"/>
      <c r="AY47" s="502"/>
      <c r="AZ47" s="502"/>
      <c r="BA47" s="502"/>
      <c r="BB47" s="524"/>
    </row>
    <row r="48">
      <c r="A48" s="523" t="str">
        <f t="array" ref="A48">IFERROR(INDEX(TeamInfo!$1:$45,MATCH(C48,TeamInfo!C:C,0),1),"")</f>
        <v/>
      </c>
      <c r="B48" s="515" t="str">
        <f t="array" ref="B48">IFERROR(INDEX(TeamInfo!$1:$45,MATCH($C48,TeamInfo!C:C,0),2),"")</f>
        <v/>
      </c>
      <c r="C48" s="364"/>
      <c r="D48" s="508"/>
      <c r="E48" s="508"/>
      <c r="F48" s="508"/>
      <c r="G48" s="502"/>
      <c r="H48" s="502"/>
      <c r="I48" s="502"/>
      <c r="J48" s="502"/>
      <c r="K48" s="502"/>
      <c r="L48" s="502"/>
      <c r="M48" s="502"/>
      <c r="N48" s="502"/>
      <c r="O48" s="502"/>
      <c r="P48" s="502"/>
      <c r="Q48" s="502"/>
      <c r="R48" s="502"/>
      <c r="S48" s="502"/>
      <c r="T48" s="502"/>
      <c r="U48" s="502"/>
      <c r="V48" s="502"/>
      <c r="W48" s="502"/>
      <c r="X48" s="502"/>
      <c r="Y48" s="502"/>
      <c r="Z48" s="502"/>
      <c r="AA48" s="502"/>
      <c r="AB48" s="502"/>
      <c r="AC48" s="502"/>
      <c r="AD48" s="502"/>
      <c r="AE48" s="502"/>
      <c r="AF48" s="502"/>
      <c r="AG48" s="502"/>
      <c r="AH48" s="502"/>
      <c r="AI48" s="502"/>
      <c r="AJ48" s="502"/>
      <c r="AK48" s="502"/>
      <c r="AL48" s="502"/>
      <c r="AM48" s="502"/>
      <c r="AN48" s="502"/>
      <c r="AO48" s="502"/>
      <c r="AP48" s="502"/>
      <c r="AQ48" s="502"/>
      <c r="AR48" s="502"/>
      <c r="AS48" s="502"/>
      <c r="AT48" s="502"/>
      <c r="AU48" s="502"/>
      <c r="AV48" s="502"/>
      <c r="AW48" s="502"/>
      <c r="AX48" s="502"/>
      <c r="AY48" s="502"/>
      <c r="AZ48" s="502"/>
      <c r="BA48" s="502"/>
      <c r="BB48" s="524"/>
    </row>
    <row r="49">
      <c r="A49" s="523" t="str">
        <f t="array" ref="A49">IFERROR(INDEX(TeamInfo!$1:$45,MATCH(C49,TeamInfo!C:C,0),1),"")</f>
        <v/>
      </c>
      <c r="B49" s="515" t="str">
        <f t="array" ref="B49">IFERROR(INDEX(TeamInfo!$1:$45,MATCH($C49,TeamInfo!C:C,0),2),"")</f>
        <v/>
      </c>
      <c r="C49" s="364"/>
      <c r="D49" s="508"/>
      <c r="E49" s="508"/>
      <c r="F49" s="508"/>
      <c r="G49" s="502"/>
      <c r="H49" s="502"/>
      <c r="I49" s="502"/>
      <c r="J49" s="502"/>
      <c r="K49" s="502"/>
      <c r="L49" s="502"/>
      <c r="M49" s="502"/>
      <c r="N49" s="502"/>
      <c r="O49" s="502"/>
      <c r="P49" s="502"/>
      <c r="Q49" s="502"/>
      <c r="R49" s="502"/>
      <c r="S49" s="502"/>
      <c r="T49" s="502"/>
      <c r="U49" s="502"/>
      <c r="V49" s="502"/>
      <c r="W49" s="502"/>
      <c r="X49" s="502"/>
      <c r="Y49" s="502"/>
      <c r="Z49" s="502"/>
      <c r="AA49" s="502"/>
      <c r="AB49" s="502"/>
      <c r="AC49" s="502"/>
      <c r="AD49" s="502"/>
      <c r="AE49" s="502"/>
      <c r="AF49" s="502"/>
      <c r="AG49" s="502"/>
      <c r="AH49" s="502"/>
      <c r="AI49" s="502"/>
      <c r="AJ49" s="502"/>
      <c r="AK49" s="502"/>
      <c r="AL49" s="502"/>
      <c r="AM49" s="502"/>
      <c r="AN49" s="502"/>
      <c r="AO49" s="502"/>
      <c r="AP49" s="502"/>
      <c r="AQ49" s="502"/>
      <c r="AR49" s="502"/>
      <c r="AS49" s="502"/>
      <c r="AT49" s="502"/>
      <c r="AU49" s="502"/>
      <c r="AV49" s="502"/>
      <c r="AW49" s="502"/>
      <c r="AX49" s="502"/>
      <c r="AY49" s="502"/>
      <c r="AZ49" s="502"/>
      <c r="BA49" s="502"/>
      <c r="BB49" s="524"/>
    </row>
    <row r="50">
      <c r="A50" s="536" t="str">
        <f t="array" ref="A50">IFERROR(INDEX(TeamInfo!$1:$45,MATCH(C50,TeamInfo!C:C,0),1),"")</f>
        <v/>
      </c>
      <c r="B50" s="537" t="str">
        <f t="array" ref="B50">IFERROR(INDEX(TeamInfo!$1:$45,MATCH($C50,TeamInfo!C:C,0),2),"")</f>
        <v/>
      </c>
      <c r="C50" s="538"/>
      <c r="D50" s="539"/>
      <c r="E50" s="539"/>
      <c r="F50" s="539"/>
      <c r="G50" s="540"/>
      <c r="H50" s="540"/>
      <c r="I50" s="540"/>
      <c r="J50" s="540"/>
      <c r="K50" s="540"/>
      <c r="L50" s="540"/>
      <c r="M50" s="540"/>
      <c r="N50" s="540"/>
      <c r="O50" s="540"/>
      <c r="P50" s="540"/>
      <c r="Q50" s="540"/>
      <c r="R50" s="540"/>
      <c r="S50" s="540"/>
      <c r="T50" s="540"/>
      <c r="U50" s="540"/>
      <c r="V50" s="540"/>
      <c r="W50" s="540"/>
      <c r="X50" s="540"/>
      <c r="Y50" s="540"/>
      <c r="Z50" s="540"/>
      <c r="AA50" s="540"/>
      <c r="AB50" s="540"/>
      <c r="AC50" s="540"/>
      <c r="AD50" s="540"/>
      <c r="AE50" s="540"/>
      <c r="AF50" s="540"/>
      <c r="AG50" s="540"/>
      <c r="AH50" s="540"/>
      <c r="AI50" s="540"/>
      <c r="AJ50" s="540"/>
      <c r="AK50" s="540"/>
      <c r="AL50" s="540"/>
      <c r="AM50" s="540"/>
      <c r="AN50" s="540"/>
      <c r="AO50" s="540"/>
      <c r="AP50" s="540"/>
      <c r="AQ50" s="540"/>
      <c r="AR50" s="540"/>
      <c r="AS50" s="540"/>
      <c r="AT50" s="540"/>
      <c r="AU50" s="540"/>
      <c r="AV50" s="540"/>
      <c r="AW50" s="540"/>
      <c r="AX50" s="540"/>
      <c r="AY50" s="540"/>
      <c r="AZ50" s="540"/>
      <c r="BA50" s="540"/>
      <c r="BB50" s="54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75"/>
    <col customWidth="1" min="2" max="2" width="24.0"/>
    <col customWidth="1" min="3" max="3" width="14.5"/>
    <col customWidth="1" hidden="1" min="4" max="6" width="5.25"/>
    <col customWidth="1" min="7" max="7" width="5.0"/>
    <col customWidth="1" min="8" max="8" width="5.88"/>
    <col customWidth="1" min="9" max="9" width="5.63"/>
    <col customWidth="1" min="10" max="10" width="4.5"/>
    <col customWidth="1" min="11" max="11" width="6.88"/>
    <col customWidth="1" min="12" max="12" width="6.5"/>
    <col customWidth="1" min="13" max="13" width="6.63"/>
    <col customWidth="1" min="14" max="14" width="6.13"/>
    <col customWidth="1" min="15" max="15" width="8.5"/>
    <col customWidth="1" min="16" max="16" width="8.88"/>
    <col customWidth="1" min="17" max="17" width="9.5"/>
    <col customWidth="1" min="18" max="18" width="10.5"/>
    <col customWidth="1" min="19" max="19" width="10.38"/>
    <col customWidth="1" min="20" max="20" width="11.63"/>
    <col customWidth="1" min="21" max="21" width="12.88"/>
    <col customWidth="1" min="22" max="22" width="11.88"/>
    <col customWidth="1" min="23" max="23" width="9.38"/>
    <col customWidth="1" min="24" max="24" width="11.63"/>
    <col customWidth="1" min="25" max="25" width="10.13"/>
    <col customWidth="1" min="26" max="26" width="9.0"/>
    <col customWidth="1" min="27" max="27" width="8.0"/>
    <col customWidth="1" min="28" max="28" width="10.0"/>
    <col customWidth="1" min="29" max="29" width="10.13"/>
    <col customWidth="1" min="30" max="30" width="11.88"/>
    <col customWidth="1" min="31" max="31" width="11.13"/>
    <col customWidth="1" min="32" max="32" width="12.63"/>
    <col customWidth="1" min="33" max="33" width="9.0"/>
    <col customWidth="1" min="34" max="34" width="7.63"/>
    <col customWidth="1" min="35" max="35" width="8.25"/>
    <col customWidth="1" min="36" max="36" width="12.5"/>
    <col customWidth="1" min="37" max="37" width="13.25"/>
    <col customWidth="1" min="38" max="38" width="8.5"/>
    <col customWidth="1" min="39" max="39" width="9.13"/>
    <col customWidth="1" min="40" max="40" width="13.25"/>
    <col customWidth="1" min="41" max="41" width="15.0"/>
    <col customWidth="1" min="42" max="42" width="7.5"/>
    <col customWidth="1" min="43" max="43" width="10.0"/>
    <col customWidth="1" min="44" max="44" width="10.13"/>
    <col customWidth="1" min="45" max="45" width="11.38"/>
    <col customWidth="1" min="46" max="46" width="12.13"/>
    <col customWidth="1" min="47" max="47" width="11.25"/>
    <col customWidth="1" min="48" max="48" width="11.13"/>
    <col customWidth="1" min="49" max="49" width="11.5"/>
    <col customWidth="1" min="50" max="50" width="10.75"/>
    <col customWidth="1" min="51" max="51" width="11.0"/>
    <col customWidth="1" min="52" max="52" width="9.38"/>
    <col customWidth="1" min="53" max="53" width="9.63"/>
  </cols>
  <sheetData>
    <row r="1">
      <c r="A1" s="12" t="s">
        <v>148</v>
      </c>
      <c r="B1" s="12" t="s">
        <v>149</v>
      </c>
      <c r="C1" s="12" t="s">
        <v>62</v>
      </c>
      <c r="D1" s="12" t="s">
        <v>305</v>
      </c>
      <c r="E1" s="1" t="s">
        <v>117</v>
      </c>
      <c r="F1" s="1" t="s">
        <v>306</v>
      </c>
      <c r="G1" s="12" t="s">
        <v>307</v>
      </c>
      <c r="H1" s="12" t="s">
        <v>308</v>
      </c>
      <c r="I1" s="12" t="s">
        <v>20</v>
      </c>
      <c r="J1" s="12" t="s">
        <v>21</v>
      </c>
      <c r="K1" s="12" t="s">
        <v>22</v>
      </c>
      <c r="L1" s="12" t="s">
        <v>23</v>
      </c>
      <c r="M1" s="12" t="s">
        <v>24</v>
      </c>
      <c r="N1" s="12" t="s">
        <v>25</v>
      </c>
      <c r="O1" s="12" t="s">
        <v>26</v>
      </c>
      <c r="P1" s="12" t="s">
        <v>27</v>
      </c>
      <c r="Q1" s="12" t="s">
        <v>28</v>
      </c>
      <c r="R1" s="12" t="s">
        <v>29</v>
      </c>
      <c r="S1" s="12" t="s">
        <v>30</v>
      </c>
      <c r="T1" s="12" t="s">
        <v>31</v>
      </c>
      <c r="U1" s="12" t="s">
        <v>32</v>
      </c>
      <c r="V1" s="12" t="s">
        <v>118</v>
      </c>
      <c r="W1" s="12" t="s">
        <v>309</v>
      </c>
      <c r="X1" s="12" t="s">
        <v>310</v>
      </c>
      <c r="Y1" s="12" t="s">
        <v>33</v>
      </c>
      <c r="Z1" s="12" t="s">
        <v>34</v>
      </c>
      <c r="AA1" s="12" t="s">
        <v>35</v>
      </c>
      <c r="AB1" s="12" t="s">
        <v>36</v>
      </c>
      <c r="AC1" s="12" t="s">
        <v>37</v>
      </c>
      <c r="AD1" s="12" t="s">
        <v>38</v>
      </c>
      <c r="AE1" s="12" t="s">
        <v>39</v>
      </c>
      <c r="AF1" s="12" t="s">
        <v>311</v>
      </c>
      <c r="AG1" s="12" t="s">
        <v>312</v>
      </c>
      <c r="AH1" s="12" t="s">
        <v>313</v>
      </c>
      <c r="AI1" s="12" t="s">
        <v>40</v>
      </c>
      <c r="AJ1" s="12" t="s">
        <v>452</v>
      </c>
      <c r="AK1" s="12" t="s">
        <v>314</v>
      </c>
      <c r="AL1" s="12" t="s">
        <v>41</v>
      </c>
      <c r="AM1" s="12" t="s">
        <v>42</v>
      </c>
      <c r="AN1" s="12" t="s">
        <v>455</v>
      </c>
      <c r="AO1" s="12" t="s">
        <v>453</v>
      </c>
      <c r="AP1" s="12" t="s">
        <v>43</v>
      </c>
      <c r="AQ1" s="12" t="s">
        <v>44</v>
      </c>
      <c r="AR1" s="12" t="s">
        <v>45</v>
      </c>
      <c r="AS1" s="12" t="s">
        <v>46</v>
      </c>
      <c r="AT1" s="12" t="s">
        <v>47</v>
      </c>
      <c r="AU1" s="12" t="s">
        <v>48</v>
      </c>
      <c r="AV1" s="12" t="s">
        <v>49</v>
      </c>
      <c r="AW1" s="12" t="s">
        <v>50</v>
      </c>
      <c r="AX1" s="12" t="s">
        <v>51</v>
      </c>
      <c r="AY1" s="12" t="s">
        <v>52</v>
      </c>
      <c r="AZ1" s="12" t="s">
        <v>456</v>
      </c>
      <c r="BA1" s="12" t="s">
        <v>53</v>
      </c>
      <c r="BB1" s="12" t="s">
        <v>54</v>
      </c>
      <c r="BC1" s="12" t="s">
        <v>55</v>
      </c>
      <c r="BD1" s="12"/>
    </row>
    <row r="2">
      <c r="A2" s="542"/>
      <c r="B2" s="543"/>
      <c r="C2" s="544"/>
      <c r="D2" s="534"/>
      <c r="E2" s="534"/>
      <c r="F2" s="534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5"/>
      <c r="W2" s="545"/>
      <c r="X2" s="545"/>
      <c r="Y2" s="545"/>
      <c r="Z2" s="545"/>
      <c r="AA2" s="545"/>
      <c r="AB2" s="545"/>
      <c r="AC2" s="545"/>
      <c r="AD2" s="545"/>
      <c r="AE2" s="545"/>
      <c r="AF2" s="545"/>
      <c r="AG2" s="545"/>
      <c r="AH2" s="545"/>
      <c r="AI2" s="545"/>
      <c r="AJ2" s="545"/>
      <c r="AK2" s="545"/>
      <c r="AL2" s="545"/>
      <c r="AM2" s="545"/>
      <c r="AN2" s="545"/>
      <c r="AO2" s="545"/>
      <c r="AP2" s="545"/>
      <c r="AQ2" s="545"/>
      <c r="AR2" s="545"/>
      <c r="AS2" s="545"/>
      <c r="AT2" s="545"/>
      <c r="AU2" s="545"/>
      <c r="AV2" s="545"/>
      <c r="AW2" s="545"/>
      <c r="AX2" s="545"/>
      <c r="AY2" s="545"/>
      <c r="AZ2" s="545"/>
      <c r="BA2" s="545"/>
      <c r="BB2" s="546"/>
      <c r="BC2" s="547"/>
      <c r="BD2" s="548"/>
    </row>
    <row r="3">
      <c r="A3" s="549"/>
      <c r="B3" s="501"/>
      <c r="C3" s="550"/>
      <c r="D3" s="500"/>
      <c r="E3" s="500"/>
      <c r="F3" s="500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551"/>
      <c r="Z3" s="551"/>
      <c r="AA3" s="551"/>
      <c r="AB3" s="551"/>
      <c r="AC3" s="551"/>
      <c r="AD3" s="551"/>
      <c r="AE3" s="551"/>
      <c r="AF3" s="551"/>
      <c r="AG3" s="551"/>
      <c r="AH3" s="551"/>
      <c r="AI3" s="551"/>
      <c r="AJ3" s="551"/>
      <c r="AK3" s="551"/>
      <c r="AL3" s="551"/>
      <c r="AM3" s="551"/>
      <c r="AN3" s="551"/>
      <c r="AO3" s="551"/>
      <c r="AP3" s="551"/>
      <c r="AQ3" s="551"/>
      <c r="AR3" s="551"/>
      <c r="AS3" s="551"/>
      <c r="AT3" s="551"/>
      <c r="AU3" s="551"/>
      <c r="AV3" s="551"/>
      <c r="AW3" s="551"/>
      <c r="AX3" s="551"/>
      <c r="AY3" s="551"/>
      <c r="AZ3" s="551"/>
      <c r="BA3" s="551"/>
      <c r="BB3" s="548"/>
      <c r="BC3" s="552"/>
      <c r="BD3" s="548"/>
    </row>
    <row r="4">
      <c r="A4" s="549"/>
      <c r="B4" s="501"/>
      <c r="C4" s="550"/>
      <c r="D4" s="500"/>
      <c r="E4" s="500"/>
      <c r="F4" s="500"/>
      <c r="G4" s="551"/>
      <c r="H4" s="551"/>
      <c r="I4" s="551"/>
      <c r="J4" s="551"/>
      <c r="K4" s="551"/>
      <c r="L4" s="551"/>
      <c r="M4" s="551"/>
      <c r="N4" s="551"/>
      <c r="O4" s="551"/>
      <c r="P4" s="551"/>
      <c r="Q4" s="551"/>
      <c r="R4" s="551"/>
      <c r="S4" s="551"/>
      <c r="T4" s="551"/>
      <c r="U4" s="551"/>
      <c r="V4" s="551"/>
      <c r="W4" s="551"/>
      <c r="X4" s="551"/>
      <c r="Y4" s="551"/>
      <c r="Z4" s="551"/>
      <c r="AA4" s="551"/>
      <c r="AB4" s="551"/>
      <c r="AC4" s="551"/>
      <c r="AD4" s="551"/>
      <c r="AE4" s="551"/>
      <c r="AF4" s="551"/>
      <c r="AG4" s="551"/>
      <c r="AH4" s="551"/>
      <c r="AI4" s="551"/>
      <c r="AJ4" s="551"/>
      <c r="AK4" s="551"/>
      <c r="AL4" s="551"/>
      <c r="AM4" s="551"/>
      <c r="AN4" s="551"/>
      <c r="AO4" s="551"/>
      <c r="AP4" s="551"/>
      <c r="AQ4" s="551"/>
      <c r="AR4" s="551"/>
      <c r="AS4" s="551"/>
      <c r="AT4" s="551"/>
      <c r="AU4" s="551"/>
      <c r="AV4" s="551"/>
      <c r="AW4" s="551"/>
      <c r="AX4" s="551"/>
      <c r="AY4" s="551"/>
      <c r="AZ4" s="551"/>
      <c r="BA4" s="551"/>
      <c r="BB4" s="548"/>
      <c r="BC4" s="552"/>
      <c r="BD4" s="548"/>
    </row>
    <row r="5">
      <c r="A5" s="549"/>
      <c r="B5" s="501"/>
      <c r="C5" s="550"/>
      <c r="D5" s="500"/>
      <c r="E5" s="500"/>
      <c r="F5" s="500"/>
      <c r="G5" s="551"/>
      <c r="H5" s="551"/>
      <c r="I5" s="551"/>
      <c r="J5" s="551"/>
      <c r="K5" s="551"/>
      <c r="L5" s="551"/>
      <c r="M5" s="551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1"/>
      <c r="AB5" s="551"/>
      <c r="AC5" s="551"/>
      <c r="AD5" s="551"/>
      <c r="AE5" s="551"/>
      <c r="AF5" s="551"/>
      <c r="AG5" s="551"/>
      <c r="AH5" s="551"/>
      <c r="AI5" s="551"/>
      <c r="AJ5" s="551"/>
      <c r="AK5" s="551"/>
      <c r="AL5" s="551"/>
      <c r="AM5" s="551"/>
      <c r="AN5" s="551"/>
      <c r="AO5" s="551"/>
      <c r="AP5" s="551"/>
      <c r="AQ5" s="551"/>
      <c r="AR5" s="551"/>
      <c r="AS5" s="551"/>
      <c r="AT5" s="551"/>
      <c r="AU5" s="551"/>
      <c r="AV5" s="551"/>
      <c r="AW5" s="551"/>
      <c r="AX5" s="551"/>
      <c r="AY5" s="551"/>
      <c r="AZ5" s="551"/>
      <c r="BA5" s="551"/>
      <c r="BB5" s="548"/>
      <c r="BC5" s="552"/>
      <c r="BD5" s="548"/>
    </row>
    <row r="6">
      <c r="A6" s="553"/>
      <c r="B6" s="497"/>
      <c r="C6" s="554"/>
      <c r="D6" s="481"/>
      <c r="E6" s="481"/>
      <c r="F6" s="481"/>
      <c r="G6" s="555"/>
      <c r="H6" s="555"/>
      <c r="I6" s="555"/>
      <c r="J6" s="555"/>
      <c r="K6" s="555"/>
      <c r="L6" s="555"/>
      <c r="M6" s="555"/>
      <c r="N6" s="555"/>
      <c r="O6" s="555"/>
      <c r="P6" s="555"/>
      <c r="Q6" s="555"/>
      <c r="R6" s="555"/>
      <c r="S6" s="555"/>
      <c r="T6" s="555"/>
      <c r="U6" s="555"/>
      <c r="V6" s="555"/>
      <c r="W6" s="555"/>
      <c r="X6" s="555"/>
      <c r="Y6" s="555"/>
      <c r="Z6" s="555"/>
      <c r="AA6" s="555"/>
      <c r="AB6" s="555"/>
      <c r="AC6" s="555"/>
      <c r="AD6" s="555"/>
      <c r="AE6" s="555"/>
      <c r="AF6" s="555"/>
      <c r="AG6" s="555"/>
      <c r="AH6" s="555"/>
      <c r="AI6" s="555"/>
      <c r="AJ6" s="555"/>
      <c r="AK6" s="555"/>
      <c r="AL6" s="555"/>
      <c r="AM6" s="555"/>
      <c r="AN6" s="555"/>
      <c r="AO6" s="555"/>
      <c r="AP6" s="555"/>
      <c r="AQ6" s="555"/>
      <c r="AR6" s="555"/>
      <c r="AS6" s="555"/>
      <c r="AT6" s="555"/>
      <c r="AU6" s="555"/>
      <c r="AV6" s="555"/>
      <c r="AW6" s="555"/>
      <c r="AX6" s="555"/>
      <c r="AY6" s="555"/>
      <c r="AZ6" s="555"/>
      <c r="BA6" s="555"/>
      <c r="BB6" s="556"/>
      <c r="BC6" s="557"/>
      <c r="BD6" s="556"/>
    </row>
    <row r="7">
      <c r="A7" s="553"/>
      <c r="B7" s="497"/>
      <c r="C7" s="554"/>
      <c r="D7" s="481"/>
      <c r="E7" s="481"/>
      <c r="F7" s="481"/>
      <c r="G7" s="555"/>
      <c r="H7" s="555"/>
      <c r="I7" s="555"/>
      <c r="J7" s="555"/>
      <c r="K7" s="555"/>
      <c r="L7" s="555"/>
      <c r="M7" s="555"/>
      <c r="N7" s="555"/>
      <c r="O7" s="555"/>
      <c r="P7" s="555"/>
      <c r="Q7" s="555"/>
      <c r="R7" s="555"/>
      <c r="S7" s="555"/>
      <c r="T7" s="555"/>
      <c r="U7" s="555"/>
      <c r="V7" s="555"/>
      <c r="W7" s="555"/>
      <c r="X7" s="555"/>
      <c r="Y7" s="555"/>
      <c r="Z7" s="555"/>
      <c r="AA7" s="555"/>
      <c r="AB7" s="555"/>
      <c r="AC7" s="555"/>
      <c r="AD7" s="555"/>
      <c r="AE7" s="555"/>
      <c r="AF7" s="555"/>
      <c r="AG7" s="555"/>
      <c r="AH7" s="555"/>
      <c r="AI7" s="555"/>
      <c r="AJ7" s="555"/>
      <c r="AK7" s="555"/>
      <c r="AL7" s="555"/>
      <c r="AM7" s="555"/>
      <c r="AN7" s="555"/>
      <c r="AO7" s="555"/>
      <c r="AP7" s="555"/>
      <c r="AQ7" s="555"/>
      <c r="AR7" s="555"/>
      <c r="AS7" s="555"/>
      <c r="AT7" s="555"/>
      <c r="AU7" s="555"/>
      <c r="AV7" s="555"/>
      <c r="AW7" s="555"/>
      <c r="AX7" s="555"/>
      <c r="AY7" s="555"/>
      <c r="AZ7" s="555"/>
      <c r="BA7" s="555"/>
      <c r="BB7" s="556"/>
      <c r="BC7" s="557"/>
      <c r="BD7" s="556"/>
    </row>
    <row r="8">
      <c r="A8" s="553"/>
      <c r="B8" s="497"/>
      <c r="C8" s="554"/>
      <c r="D8" s="481"/>
      <c r="E8" s="481"/>
      <c r="F8" s="481"/>
      <c r="G8" s="555"/>
      <c r="H8" s="555"/>
      <c r="I8" s="555"/>
      <c r="J8" s="555"/>
      <c r="K8" s="555"/>
      <c r="L8" s="555"/>
      <c r="M8" s="555"/>
      <c r="N8" s="555"/>
      <c r="O8" s="555"/>
      <c r="P8" s="555"/>
      <c r="Q8" s="555"/>
      <c r="R8" s="555"/>
      <c r="S8" s="555"/>
      <c r="T8" s="555"/>
      <c r="U8" s="555"/>
      <c r="V8" s="555"/>
      <c r="W8" s="555"/>
      <c r="X8" s="555"/>
      <c r="Y8" s="555"/>
      <c r="Z8" s="555"/>
      <c r="AA8" s="555"/>
      <c r="AB8" s="555"/>
      <c r="AC8" s="555"/>
      <c r="AD8" s="555"/>
      <c r="AE8" s="555"/>
      <c r="AF8" s="555"/>
      <c r="AG8" s="555"/>
      <c r="AH8" s="555"/>
      <c r="AI8" s="555"/>
      <c r="AJ8" s="555"/>
      <c r="AK8" s="555"/>
      <c r="AL8" s="555"/>
      <c r="AM8" s="555"/>
      <c r="AN8" s="555"/>
      <c r="AO8" s="555"/>
      <c r="AP8" s="555"/>
      <c r="AQ8" s="555"/>
      <c r="AR8" s="555"/>
      <c r="AS8" s="555"/>
      <c r="AT8" s="555"/>
      <c r="AU8" s="555"/>
      <c r="AV8" s="555"/>
      <c r="AW8" s="555"/>
      <c r="AX8" s="555"/>
      <c r="AY8" s="555"/>
      <c r="AZ8" s="555"/>
      <c r="BA8" s="555"/>
      <c r="BB8" s="556"/>
      <c r="BC8" s="557"/>
      <c r="BD8" s="556"/>
    </row>
    <row r="9">
      <c r="A9" s="558"/>
      <c r="B9" s="559"/>
      <c r="C9" s="554"/>
      <c r="D9" s="540"/>
      <c r="E9" s="540"/>
      <c r="F9" s="540"/>
      <c r="G9" s="560"/>
      <c r="H9" s="560"/>
      <c r="I9" s="555"/>
      <c r="J9" s="555"/>
      <c r="K9" s="555"/>
      <c r="L9" s="555"/>
      <c r="M9" s="555"/>
      <c r="N9" s="555"/>
      <c r="O9" s="555"/>
      <c r="P9" s="555"/>
      <c r="Q9" s="555"/>
      <c r="R9" s="555"/>
      <c r="S9" s="555"/>
      <c r="T9" s="555"/>
      <c r="U9" s="555"/>
      <c r="V9" s="555"/>
      <c r="W9" s="555"/>
      <c r="X9" s="555"/>
      <c r="Y9" s="555"/>
      <c r="Z9" s="555"/>
      <c r="AA9" s="555"/>
      <c r="AB9" s="555"/>
      <c r="AC9" s="555"/>
      <c r="AD9" s="555"/>
      <c r="AE9" s="555"/>
      <c r="AF9" s="555"/>
      <c r="AG9" s="555"/>
      <c r="AH9" s="555"/>
      <c r="AI9" s="555"/>
      <c r="AJ9" s="555"/>
      <c r="AK9" s="555"/>
      <c r="AL9" s="555"/>
      <c r="AM9" s="555"/>
      <c r="AN9" s="555"/>
      <c r="AO9" s="555"/>
      <c r="AP9" s="555"/>
      <c r="AQ9" s="555"/>
      <c r="AR9" s="555"/>
      <c r="AS9" s="555"/>
      <c r="AT9" s="555"/>
      <c r="AU9" s="555"/>
      <c r="AV9" s="555"/>
      <c r="AW9" s="555"/>
      <c r="AX9" s="555"/>
      <c r="AY9" s="555"/>
      <c r="AZ9" s="555"/>
      <c r="BA9" s="555"/>
      <c r="BB9" s="561"/>
      <c r="BC9" s="562"/>
      <c r="BD9" s="556"/>
    </row>
    <row r="10">
      <c r="A10" s="563" t="str">
        <f t="array" ref="A10">IFERROR(INDEX(TeamInfo!$1:$45,MATCH(C10,TeamInfo!C:C,0),1),"")</f>
        <v/>
      </c>
      <c r="B10" s="564" t="str">
        <f t="array" ref="B10">IFERROR(INDEX(TeamInfo!$1:$45,MATCH(C10,TeamInfo!C:C,0),2),"")</f>
        <v/>
      </c>
      <c r="C10" s="533"/>
      <c r="D10" s="533"/>
      <c r="E10" s="533"/>
      <c r="F10" s="533"/>
      <c r="G10" s="534"/>
      <c r="H10" s="534"/>
      <c r="I10" s="534"/>
      <c r="J10" s="534"/>
      <c r="K10" s="534"/>
      <c r="L10" s="534"/>
      <c r="M10" s="534"/>
      <c r="N10" s="534"/>
      <c r="O10" s="534"/>
      <c r="P10" s="534"/>
      <c r="Q10" s="534"/>
      <c r="R10" s="534"/>
      <c r="S10" s="534"/>
      <c r="T10" s="534"/>
      <c r="U10" s="534"/>
      <c r="V10" s="534"/>
      <c r="W10" s="534"/>
      <c r="X10" s="534"/>
      <c r="Y10" s="534"/>
      <c r="Z10" s="534"/>
      <c r="AA10" s="534"/>
      <c r="AB10" s="534"/>
      <c r="AC10" s="534"/>
      <c r="AD10" s="534"/>
      <c r="AE10" s="534"/>
      <c r="AF10" s="534"/>
      <c r="AG10" s="534"/>
      <c r="AH10" s="534"/>
      <c r="AI10" s="534"/>
      <c r="AJ10" s="534"/>
      <c r="AK10" s="534"/>
      <c r="AL10" s="534"/>
      <c r="AM10" s="534"/>
      <c r="AN10" s="534"/>
      <c r="AO10" s="534"/>
      <c r="AP10" s="534"/>
      <c r="AQ10" s="534"/>
      <c r="AR10" s="534"/>
      <c r="AS10" s="534"/>
      <c r="AT10" s="534"/>
      <c r="AU10" s="534"/>
      <c r="AV10" s="534"/>
      <c r="AW10" s="534"/>
      <c r="AX10" s="534"/>
      <c r="AY10" s="534"/>
      <c r="AZ10" s="534"/>
      <c r="BA10" s="534"/>
      <c r="BB10" s="535"/>
      <c r="BC10" s="500"/>
      <c r="BD10" s="500"/>
    </row>
    <row r="11">
      <c r="A11" s="553" t="str">
        <f t="array" ref="A11">IFERROR(INDEX(TeamInfo!$1:$45,MATCH(C11,TeamInfo!C:C,0),1),"")</f>
        <v/>
      </c>
      <c r="B11" s="497" t="str">
        <f t="array" ref="B11">IFERROR(INDEX(TeamInfo!$1:$45,MATCH(C11,TeamInfo!C:C,0),2),"")</f>
        <v/>
      </c>
      <c r="C11" s="498"/>
      <c r="D11" s="498"/>
      <c r="E11" s="498"/>
      <c r="F11" s="498"/>
      <c r="G11" s="499"/>
      <c r="H11" s="499"/>
      <c r="I11" s="499"/>
      <c r="J11" s="499"/>
      <c r="K11" s="499"/>
      <c r="L11" s="499"/>
      <c r="M11" s="499"/>
      <c r="N11" s="499"/>
      <c r="O11" s="499"/>
      <c r="P11" s="499"/>
      <c r="Q11" s="499"/>
      <c r="R11" s="499"/>
      <c r="S11" s="499"/>
      <c r="T11" s="499"/>
      <c r="U11" s="499"/>
      <c r="V11" s="499"/>
      <c r="W11" s="499"/>
      <c r="X11" s="499"/>
      <c r="Y11" s="499"/>
      <c r="Z11" s="499"/>
      <c r="AA11" s="499"/>
      <c r="AB11" s="499"/>
      <c r="AC11" s="499"/>
      <c r="AD11" s="499"/>
      <c r="AE11" s="499"/>
      <c r="AF11" s="499"/>
      <c r="AG11" s="499"/>
      <c r="AH11" s="499"/>
      <c r="AI11" s="499"/>
      <c r="AJ11" s="499"/>
      <c r="AK11" s="499"/>
      <c r="AL11" s="499"/>
      <c r="AM11" s="499"/>
      <c r="AN11" s="499"/>
      <c r="AO11" s="499"/>
      <c r="AP11" s="499"/>
      <c r="AQ11" s="499"/>
      <c r="AR11" s="499"/>
      <c r="AS11" s="499"/>
      <c r="AT11" s="499"/>
      <c r="AU11" s="499"/>
      <c r="AV11" s="499"/>
      <c r="AW11" s="499"/>
      <c r="AX11" s="499"/>
      <c r="AY11" s="499"/>
      <c r="AZ11" s="499"/>
      <c r="BA11" s="499"/>
      <c r="BB11" s="526"/>
      <c r="BC11" s="500"/>
      <c r="BD11" s="500"/>
    </row>
    <row r="12">
      <c r="A12" s="553" t="str">
        <f t="array" ref="A12">IFERROR(INDEX(TeamInfo!$1:$45,MATCH(C12,TeamInfo!C:C,0),1),"")</f>
        <v/>
      </c>
      <c r="B12" s="497" t="str">
        <f t="array" ref="B12">IFERROR(INDEX(TeamInfo!$1:$45,MATCH(C12,TeamInfo!C:C,0),2),"")</f>
        <v/>
      </c>
      <c r="C12" s="498"/>
      <c r="D12" s="498"/>
      <c r="E12" s="498"/>
      <c r="F12" s="498"/>
      <c r="G12" s="499"/>
      <c r="H12" s="499"/>
      <c r="I12" s="499"/>
      <c r="J12" s="499"/>
      <c r="K12" s="499"/>
      <c r="L12" s="499"/>
      <c r="M12" s="499"/>
      <c r="N12" s="499"/>
      <c r="O12" s="499"/>
      <c r="P12" s="499"/>
      <c r="Q12" s="499"/>
      <c r="R12" s="499"/>
      <c r="S12" s="499"/>
      <c r="T12" s="499"/>
      <c r="U12" s="499"/>
      <c r="V12" s="499"/>
      <c r="W12" s="499"/>
      <c r="X12" s="499"/>
      <c r="Y12" s="499"/>
      <c r="Z12" s="499"/>
      <c r="AA12" s="499"/>
      <c r="AB12" s="499"/>
      <c r="AC12" s="499"/>
      <c r="AD12" s="499"/>
      <c r="AE12" s="499"/>
      <c r="AF12" s="499"/>
      <c r="AG12" s="499"/>
      <c r="AH12" s="499"/>
      <c r="AI12" s="499"/>
      <c r="AJ12" s="499"/>
      <c r="AK12" s="499"/>
      <c r="AL12" s="499"/>
      <c r="AM12" s="499"/>
      <c r="AN12" s="499"/>
      <c r="AO12" s="499"/>
      <c r="AP12" s="499"/>
      <c r="AQ12" s="499"/>
      <c r="AR12" s="499"/>
      <c r="AS12" s="499"/>
      <c r="AT12" s="499"/>
      <c r="AU12" s="499"/>
      <c r="AV12" s="499"/>
      <c r="AW12" s="499"/>
      <c r="AX12" s="499"/>
      <c r="AY12" s="499"/>
      <c r="AZ12" s="499"/>
      <c r="BA12" s="499"/>
      <c r="BB12" s="526"/>
      <c r="BC12" s="500"/>
      <c r="BD12" s="500"/>
    </row>
    <row r="13">
      <c r="A13" s="553" t="str">
        <f t="array" ref="A13">IFERROR(INDEX(TeamInfo!$1:$45,MATCH(C13,TeamInfo!C:C,0),1),"")</f>
        <v/>
      </c>
      <c r="B13" s="497" t="str">
        <f t="array" ref="B13">IFERROR(INDEX(TeamInfo!$1:$45,MATCH(C13,TeamInfo!C:C,0),2),"")</f>
        <v/>
      </c>
      <c r="C13" s="498"/>
      <c r="D13" s="498"/>
      <c r="E13" s="498"/>
      <c r="F13" s="498"/>
      <c r="G13" s="499"/>
      <c r="H13" s="499"/>
      <c r="I13" s="499"/>
      <c r="J13" s="499"/>
      <c r="K13" s="499"/>
      <c r="L13" s="499"/>
      <c r="M13" s="499"/>
      <c r="N13" s="499"/>
      <c r="O13" s="499"/>
      <c r="P13" s="499"/>
      <c r="Q13" s="499"/>
      <c r="R13" s="499"/>
      <c r="S13" s="499"/>
      <c r="T13" s="499"/>
      <c r="U13" s="499"/>
      <c r="V13" s="499"/>
      <c r="W13" s="499"/>
      <c r="X13" s="499"/>
      <c r="Y13" s="499"/>
      <c r="Z13" s="499"/>
      <c r="AA13" s="499"/>
      <c r="AB13" s="499"/>
      <c r="AC13" s="499"/>
      <c r="AD13" s="499"/>
      <c r="AE13" s="499"/>
      <c r="AF13" s="499"/>
      <c r="AG13" s="499"/>
      <c r="AH13" s="499"/>
      <c r="AI13" s="499"/>
      <c r="AJ13" s="499"/>
      <c r="AK13" s="499"/>
      <c r="AL13" s="499"/>
      <c r="AM13" s="499"/>
      <c r="AN13" s="499"/>
      <c r="AO13" s="499"/>
      <c r="AP13" s="499"/>
      <c r="AQ13" s="499"/>
      <c r="AR13" s="499"/>
      <c r="AS13" s="499"/>
      <c r="AT13" s="499"/>
      <c r="AU13" s="499"/>
      <c r="AV13" s="499"/>
      <c r="AW13" s="499"/>
      <c r="AX13" s="499"/>
      <c r="AY13" s="499"/>
      <c r="AZ13" s="499"/>
      <c r="BA13" s="499"/>
      <c r="BB13" s="526"/>
      <c r="BC13" s="500"/>
      <c r="BD13" s="500"/>
    </row>
    <row r="14">
      <c r="A14" s="549" t="str">
        <f t="array" ref="A14">IFERROR(INDEX(TeamInfo!$1:$45,MATCH(C14,TeamInfo!C:C,0),1),"")</f>
        <v/>
      </c>
      <c r="B14" s="501" t="str">
        <f t="array" ref="B14">IFERROR(INDEX(TeamInfo!$1:$45,MATCH(C14,TeamInfo!C:C,0),2),"")</f>
        <v/>
      </c>
      <c r="C14" s="364"/>
      <c r="D14" s="508"/>
      <c r="E14" s="508"/>
      <c r="F14" s="508"/>
      <c r="G14" s="510"/>
      <c r="H14" s="510"/>
      <c r="I14" s="510"/>
      <c r="J14" s="510"/>
      <c r="K14" s="510"/>
      <c r="L14" s="510"/>
      <c r="M14" s="510"/>
      <c r="N14" s="510"/>
      <c r="O14" s="510"/>
      <c r="P14" s="510"/>
      <c r="Q14" s="510"/>
      <c r="R14" s="510"/>
      <c r="S14" s="510"/>
      <c r="T14" s="510"/>
      <c r="U14" s="510"/>
      <c r="V14" s="510"/>
      <c r="W14" s="510"/>
      <c r="X14" s="510"/>
      <c r="Y14" s="510"/>
      <c r="Z14" s="510"/>
      <c r="AA14" s="510"/>
      <c r="AB14" s="510"/>
      <c r="AC14" s="510"/>
      <c r="AD14" s="510"/>
      <c r="AE14" s="510"/>
      <c r="AF14" s="510"/>
      <c r="AG14" s="510"/>
      <c r="AH14" s="510"/>
      <c r="AI14" s="510"/>
      <c r="AJ14" s="510"/>
      <c r="AK14" s="510"/>
      <c r="AL14" s="510"/>
      <c r="AM14" s="510"/>
      <c r="AN14" s="510"/>
      <c r="AO14" s="510"/>
      <c r="AP14" s="510"/>
      <c r="AQ14" s="510"/>
      <c r="AR14" s="510"/>
      <c r="AS14" s="510"/>
      <c r="AT14" s="510"/>
      <c r="AU14" s="510"/>
      <c r="AV14" s="510"/>
      <c r="AW14" s="510"/>
      <c r="AX14" s="510"/>
      <c r="AY14" s="510"/>
      <c r="AZ14" s="510"/>
      <c r="BA14" s="510"/>
      <c r="BB14" s="524"/>
      <c r="BC14" s="510"/>
      <c r="BD14" s="510"/>
    </row>
    <row r="15">
      <c r="A15" s="549" t="str">
        <f t="array" ref="A15">IFERROR(INDEX(TeamInfo!$1:$45,MATCH(C15,TeamInfo!C:C,0),1),"")</f>
        <v/>
      </c>
      <c r="B15" s="501" t="str">
        <f t="array" ref="B15">IFERROR(INDEX(TeamInfo!$1:$45,MATCH(C15,TeamInfo!C:C,0),2),"")</f>
        <v/>
      </c>
      <c r="C15" s="364"/>
      <c r="D15" s="508"/>
      <c r="E15" s="508"/>
      <c r="F15" s="508"/>
      <c r="G15" s="510"/>
      <c r="H15" s="510"/>
      <c r="I15" s="510"/>
      <c r="J15" s="510"/>
      <c r="K15" s="510"/>
      <c r="L15" s="510"/>
      <c r="M15" s="510"/>
      <c r="N15" s="510"/>
      <c r="O15" s="510"/>
      <c r="P15" s="510"/>
      <c r="Q15" s="510"/>
      <c r="R15" s="510"/>
      <c r="S15" s="510"/>
      <c r="T15" s="510"/>
      <c r="U15" s="510"/>
      <c r="V15" s="510"/>
      <c r="W15" s="510"/>
      <c r="X15" s="510"/>
      <c r="Y15" s="510"/>
      <c r="Z15" s="510"/>
      <c r="AA15" s="510"/>
      <c r="AB15" s="510"/>
      <c r="AC15" s="510"/>
      <c r="AD15" s="510"/>
      <c r="AE15" s="510"/>
      <c r="AF15" s="510"/>
      <c r="AG15" s="510"/>
      <c r="AH15" s="510"/>
      <c r="AI15" s="510"/>
      <c r="AJ15" s="510"/>
      <c r="AK15" s="510"/>
      <c r="AL15" s="510"/>
      <c r="AM15" s="510"/>
      <c r="AN15" s="510"/>
      <c r="AO15" s="510"/>
      <c r="AP15" s="510"/>
      <c r="AQ15" s="510"/>
      <c r="AR15" s="510"/>
      <c r="AS15" s="510"/>
      <c r="AT15" s="510"/>
      <c r="AU15" s="510"/>
      <c r="AV15" s="510"/>
      <c r="AW15" s="510"/>
      <c r="AX15" s="510"/>
      <c r="AY15" s="510"/>
      <c r="AZ15" s="510"/>
      <c r="BA15" s="510"/>
      <c r="BB15" s="524"/>
      <c r="BC15" s="510"/>
      <c r="BD15" s="510"/>
    </row>
    <row r="16">
      <c r="A16" s="549" t="str">
        <f t="array" ref="A16">IFERROR(INDEX(TeamInfo!$1:$45,MATCH(C16,TeamInfo!C:C,0),1),"")</f>
        <v/>
      </c>
      <c r="B16" s="501" t="str">
        <f t="array" ref="B16">IFERROR(INDEX(TeamInfo!$1:$45,MATCH(C16,TeamInfo!C:C,0),2),"")</f>
        <v/>
      </c>
      <c r="C16" s="364"/>
      <c r="D16" s="508"/>
      <c r="E16" s="508"/>
      <c r="F16" s="508"/>
      <c r="G16" s="510"/>
      <c r="H16" s="510"/>
      <c r="I16" s="510"/>
      <c r="J16" s="510"/>
      <c r="K16" s="510"/>
      <c r="L16" s="510"/>
      <c r="M16" s="510"/>
      <c r="N16" s="510"/>
      <c r="O16" s="510"/>
      <c r="P16" s="510"/>
      <c r="Q16" s="510"/>
      <c r="R16" s="510"/>
      <c r="S16" s="510"/>
      <c r="T16" s="510"/>
      <c r="U16" s="510"/>
      <c r="V16" s="510"/>
      <c r="W16" s="510"/>
      <c r="X16" s="510"/>
      <c r="Y16" s="510"/>
      <c r="Z16" s="510"/>
      <c r="AA16" s="510"/>
      <c r="AB16" s="510"/>
      <c r="AC16" s="510"/>
      <c r="AD16" s="510"/>
      <c r="AE16" s="510"/>
      <c r="AF16" s="510"/>
      <c r="AG16" s="510"/>
      <c r="AH16" s="510"/>
      <c r="AI16" s="510"/>
      <c r="AJ16" s="510"/>
      <c r="AK16" s="510"/>
      <c r="AL16" s="510"/>
      <c r="AM16" s="510"/>
      <c r="AN16" s="510"/>
      <c r="AO16" s="510"/>
      <c r="AP16" s="510"/>
      <c r="AQ16" s="510"/>
      <c r="AR16" s="510"/>
      <c r="AS16" s="510"/>
      <c r="AT16" s="510"/>
      <c r="AU16" s="510"/>
      <c r="AV16" s="510"/>
      <c r="AW16" s="510"/>
      <c r="AX16" s="510"/>
      <c r="AY16" s="510"/>
      <c r="AZ16" s="510"/>
      <c r="BA16" s="510"/>
      <c r="BB16" s="524"/>
      <c r="BC16" s="510"/>
      <c r="BD16" s="510"/>
    </row>
    <row r="17">
      <c r="A17" s="565" t="str">
        <f t="array" ref="A17">IFERROR(INDEX(TeamInfo!$1:$45,MATCH(C17,TeamInfo!C:C,0),1),"")</f>
        <v/>
      </c>
      <c r="B17" s="566" t="str">
        <f t="array" ref="B17">IFERROR(INDEX(TeamInfo!$1:$45,MATCH(C17,TeamInfo!C:C,0),2),"")</f>
        <v/>
      </c>
      <c r="C17" s="538"/>
      <c r="D17" s="539"/>
      <c r="E17" s="539"/>
      <c r="F17" s="539"/>
      <c r="G17" s="567"/>
      <c r="H17" s="567"/>
      <c r="I17" s="567"/>
      <c r="J17" s="567"/>
      <c r="K17" s="567"/>
      <c r="L17" s="567"/>
      <c r="M17" s="567"/>
      <c r="N17" s="567"/>
      <c r="O17" s="567"/>
      <c r="P17" s="567"/>
      <c r="Q17" s="567"/>
      <c r="R17" s="567"/>
      <c r="S17" s="567"/>
      <c r="T17" s="567"/>
      <c r="U17" s="567"/>
      <c r="V17" s="567"/>
      <c r="W17" s="567"/>
      <c r="X17" s="567"/>
      <c r="Y17" s="567"/>
      <c r="Z17" s="567"/>
      <c r="AA17" s="567"/>
      <c r="AB17" s="567"/>
      <c r="AC17" s="567"/>
      <c r="AD17" s="567"/>
      <c r="AE17" s="567"/>
      <c r="AF17" s="567"/>
      <c r="AG17" s="567"/>
      <c r="AH17" s="567"/>
      <c r="AI17" s="567"/>
      <c r="AJ17" s="567"/>
      <c r="AK17" s="567"/>
      <c r="AL17" s="567"/>
      <c r="AM17" s="567"/>
      <c r="AN17" s="567"/>
      <c r="AO17" s="567"/>
      <c r="AP17" s="567"/>
      <c r="AQ17" s="567"/>
      <c r="AR17" s="567"/>
      <c r="AS17" s="567"/>
      <c r="AT17" s="567"/>
      <c r="AU17" s="567"/>
      <c r="AV17" s="567"/>
      <c r="AW17" s="567"/>
      <c r="AX17" s="567"/>
      <c r="AY17" s="567"/>
      <c r="AZ17" s="567"/>
      <c r="BA17" s="567"/>
      <c r="BB17" s="541"/>
      <c r="BC17" s="510"/>
      <c r="BD17" s="510"/>
    </row>
    <row r="18">
      <c r="A18" s="563" t="str">
        <f t="array" ref="A18">IFERROR(INDEX(TeamInfo!$1:$45,MATCH(C18,TeamInfo!C:C,0),1),"")</f>
        <v/>
      </c>
      <c r="B18" s="564" t="str">
        <f t="array" ref="B18">IFERROR(INDEX(TeamInfo!$1:$45,MATCH(C18,TeamInfo!C:C,0),2),"")</f>
        <v/>
      </c>
      <c r="C18" s="533"/>
      <c r="D18" s="533"/>
      <c r="E18" s="533"/>
      <c r="F18" s="533"/>
      <c r="G18" s="533"/>
      <c r="H18" s="533"/>
      <c r="I18" s="533"/>
      <c r="J18" s="533"/>
      <c r="K18" s="533"/>
      <c r="L18" s="533"/>
      <c r="M18" s="533"/>
      <c r="N18" s="533"/>
      <c r="O18" s="533"/>
      <c r="P18" s="533"/>
      <c r="Q18" s="533"/>
      <c r="R18" s="533"/>
      <c r="S18" s="533"/>
      <c r="T18" s="533"/>
      <c r="U18" s="533"/>
      <c r="V18" s="533"/>
      <c r="W18" s="533"/>
      <c r="X18" s="533"/>
      <c r="Y18" s="533"/>
      <c r="Z18" s="533"/>
      <c r="AA18" s="533"/>
      <c r="AB18" s="533"/>
      <c r="AC18" s="533"/>
      <c r="AD18" s="533"/>
      <c r="AE18" s="533"/>
      <c r="AF18" s="533"/>
      <c r="AG18" s="533"/>
      <c r="AH18" s="533"/>
      <c r="AI18" s="533"/>
      <c r="AJ18" s="533"/>
      <c r="AK18" s="533"/>
      <c r="AL18" s="533"/>
      <c r="AM18" s="533"/>
      <c r="AN18" s="533"/>
      <c r="AO18" s="533"/>
      <c r="AP18" s="533"/>
      <c r="AQ18" s="533"/>
      <c r="AR18" s="533"/>
      <c r="AS18" s="533"/>
      <c r="AT18" s="533"/>
      <c r="AU18" s="533"/>
      <c r="AV18" s="533"/>
      <c r="AW18" s="533"/>
      <c r="AX18" s="533"/>
      <c r="AY18" s="533"/>
      <c r="AZ18" s="533"/>
      <c r="BA18" s="533"/>
      <c r="BB18" s="535"/>
      <c r="BC18" s="500"/>
      <c r="BD18" s="500"/>
    </row>
    <row r="19">
      <c r="A19" s="553" t="str">
        <f t="array" ref="A19">IFERROR(INDEX(TeamInfo!$1:$45,MATCH(C19,TeamInfo!C:C,0),1),"")</f>
        <v/>
      </c>
      <c r="B19" s="497" t="str">
        <f t="array" ref="B19">IFERROR(INDEX(TeamInfo!$1:$45,MATCH(C19,TeamInfo!C:C,0),2),"")</f>
        <v/>
      </c>
      <c r="C19" s="498"/>
      <c r="D19" s="498"/>
      <c r="E19" s="498"/>
      <c r="F19" s="498"/>
      <c r="G19" s="499"/>
      <c r="H19" s="499"/>
      <c r="I19" s="499"/>
      <c r="J19" s="499"/>
      <c r="K19" s="499"/>
      <c r="L19" s="499"/>
      <c r="M19" s="499"/>
      <c r="N19" s="499"/>
      <c r="O19" s="499"/>
      <c r="P19" s="499"/>
      <c r="Q19" s="499"/>
      <c r="R19" s="499"/>
      <c r="S19" s="499"/>
      <c r="T19" s="499"/>
      <c r="U19" s="499"/>
      <c r="V19" s="499"/>
      <c r="W19" s="499"/>
      <c r="X19" s="499"/>
      <c r="Y19" s="499"/>
      <c r="Z19" s="499"/>
      <c r="AA19" s="499"/>
      <c r="AB19" s="499"/>
      <c r="AC19" s="499"/>
      <c r="AD19" s="499"/>
      <c r="AE19" s="499"/>
      <c r="AF19" s="499"/>
      <c r="AG19" s="499"/>
      <c r="AH19" s="499"/>
      <c r="AI19" s="499"/>
      <c r="AJ19" s="499"/>
      <c r="AK19" s="499"/>
      <c r="AL19" s="499"/>
      <c r="AM19" s="499"/>
      <c r="AN19" s="499"/>
      <c r="AO19" s="499"/>
      <c r="AP19" s="499"/>
      <c r="AQ19" s="499"/>
      <c r="AR19" s="499"/>
      <c r="AS19" s="499"/>
      <c r="AT19" s="499"/>
      <c r="AU19" s="499"/>
      <c r="AV19" s="499"/>
      <c r="AW19" s="499"/>
      <c r="AX19" s="499"/>
      <c r="AY19" s="499"/>
      <c r="AZ19" s="499"/>
      <c r="BA19" s="499"/>
      <c r="BB19" s="526"/>
      <c r="BC19" s="500"/>
      <c r="BD19" s="500"/>
    </row>
    <row r="20">
      <c r="A20" s="553" t="str">
        <f t="array" ref="A20">IFERROR(INDEX(TeamInfo!$1:$45,MATCH(C20,TeamInfo!C:C,0),1),"")</f>
        <v/>
      </c>
      <c r="B20" s="497" t="str">
        <f t="array" ref="B20">IFERROR(INDEX(TeamInfo!$1:$45,MATCH(C20,TeamInfo!C:C,0),2),"")</f>
        <v/>
      </c>
      <c r="C20" s="498"/>
      <c r="D20" s="498"/>
      <c r="E20" s="498"/>
      <c r="F20" s="498"/>
      <c r="G20" s="499"/>
      <c r="H20" s="499"/>
      <c r="I20" s="499"/>
      <c r="J20" s="499"/>
      <c r="K20" s="499"/>
      <c r="L20" s="499"/>
      <c r="M20" s="499"/>
      <c r="N20" s="499"/>
      <c r="O20" s="499"/>
      <c r="P20" s="499"/>
      <c r="Q20" s="499"/>
      <c r="R20" s="499"/>
      <c r="S20" s="499"/>
      <c r="T20" s="499"/>
      <c r="U20" s="499"/>
      <c r="V20" s="499"/>
      <c r="W20" s="499"/>
      <c r="X20" s="499"/>
      <c r="Y20" s="499"/>
      <c r="Z20" s="499"/>
      <c r="AA20" s="499"/>
      <c r="AB20" s="499"/>
      <c r="AC20" s="499"/>
      <c r="AD20" s="499"/>
      <c r="AE20" s="499"/>
      <c r="AF20" s="499"/>
      <c r="AG20" s="499"/>
      <c r="AH20" s="499"/>
      <c r="AI20" s="499"/>
      <c r="AJ20" s="499"/>
      <c r="AK20" s="499"/>
      <c r="AL20" s="499"/>
      <c r="AM20" s="499"/>
      <c r="AN20" s="499"/>
      <c r="AO20" s="499"/>
      <c r="AP20" s="499"/>
      <c r="AQ20" s="499"/>
      <c r="AR20" s="499"/>
      <c r="AS20" s="499"/>
      <c r="AT20" s="499"/>
      <c r="AU20" s="499"/>
      <c r="AV20" s="499"/>
      <c r="AW20" s="499"/>
      <c r="AX20" s="499"/>
      <c r="AY20" s="499"/>
      <c r="AZ20" s="499"/>
      <c r="BA20" s="499"/>
      <c r="BB20" s="526"/>
      <c r="BC20" s="500"/>
      <c r="BD20" s="500"/>
    </row>
    <row r="21">
      <c r="A21" s="553" t="str">
        <f t="array" ref="A21">IFERROR(INDEX(TeamInfo!$1:$45,MATCH(C21,TeamInfo!C:C,0),1),"")</f>
        <v/>
      </c>
      <c r="B21" s="497" t="str">
        <f t="array" ref="B21">IFERROR(INDEX(TeamInfo!$1:$45,MATCH(C21,TeamInfo!C:C,0),2),"")</f>
        <v/>
      </c>
      <c r="C21" s="498"/>
      <c r="D21" s="498"/>
      <c r="E21" s="498"/>
      <c r="F21" s="498"/>
      <c r="G21" s="499"/>
      <c r="H21" s="499"/>
      <c r="I21" s="499"/>
      <c r="J21" s="499"/>
      <c r="K21" s="499"/>
      <c r="L21" s="499"/>
      <c r="M21" s="499"/>
      <c r="N21" s="499"/>
      <c r="O21" s="499"/>
      <c r="P21" s="499"/>
      <c r="Q21" s="499"/>
      <c r="R21" s="499"/>
      <c r="S21" s="499"/>
      <c r="T21" s="499"/>
      <c r="U21" s="499"/>
      <c r="V21" s="499"/>
      <c r="W21" s="499"/>
      <c r="X21" s="499"/>
      <c r="Y21" s="499"/>
      <c r="Z21" s="499"/>
      <c r="AA21" s="499"/>
      <c r="AB21" s="499"/>
      <c r="AC21" s="499"/>
      <c r="AD21" s="499"/>
      <c r="AE21" s="499"/>
      <c r="AF21" s="499"/>
      <c r="AG21" s="499"/>
      <c r="AH21" s="499"/>
      <c r="AI21" s="499"/>
      <c r="AJ21" s="499"/>
      <c r="AK21" s="499"/>
      <c r="AL21" s="499"/>
      <c r="AM21" s="499"/>
      <c r="AN21" s="499"/>
      <c r="AO21" s="499"/>
      <c r="AP21" s="499"/>
      <c r="AQ21" s="499"/>
      <c r="AR21" s="499"/>
      <c r="AS21" s="499"/>
      <c r="AT21" s="499"/>
      <c r="AU21" s="499"/>
      <c r="AV21" s="499"/>
      <c r="AW21" s="499"/>
      <c r="AX21" s="499"/>
      <c r="AY21" s="499"/>
      <c r="AZ21" s="499"/>
      <c r="BA21" s="499"/>
      <c r="BB21" s="526"/>
      <c r="BC21" s="500"/>
      <c r="BD21" s="500"/>
    </row>
    <row r="22">
      <c r="A22" s="549" t="str">
        <f t="array" ref="A22">IFERROR(INDEX(TeamInfo!$1:$45,MATCH(C22,TeamInfo!C:C,0),1),"")</f>
        <v/>
      </c>
      <c r="B22" s="501" t="str">
        <f t="array" ref="B22">IFERROR(INDEX(TeamInfo!$1:$45,MATCH(C22,TeamInfo!C:C,0),2),"")</f>
        <v/>
      </c>
      <c r="C22" s="364"/>
      <c r="D22" s="508"/>
      <c r="E22" s="508"/>
      <c r="F22" s="508"/>
      <c r="G22" s="502"/>
      <c r="H22" s="502"/>
      <c r="I22" s="502"/>
      <c r="J22" s="502"/>
      <c r="K22" s="502"/>
      <c r="L22" s="502"/>
      <c r="M22" s="502"/>
      <c r="N22" s="502"/>
      <c r="O22" s="502"/>
      <c r="P22" s="502"/>
      <c r="Q22" s="502"/>
      <c r="R22" s="502"/>
      <c r="S22" s="502"/>
      <c r="T22" s="502"/>
      <c r="U22" s="502"/>
      <c r="V22" s="502"/>
      <c r="W22" s="502"/>
      <c r="X22" s="502"/>
      <c r="Y22" s="502"/>
      <c r="Z22" s="502"/>
      <c r="AA22" s="502"/>
      <c r="AB22" s="502"/>
      <c r="AC22" s="502"/>
      <c r="AD22" s="502"/>
      <c r="AE22" s="502"/>
      <c r="AF22" s="502"/>
      <c r="AG22" s="502"/>
      <c r="AH22" s="502"/>
      <c r="AI22" s="502"/>
      <c r="AJ22" s="502"/>
      <c r="AK22" s="502"/>
      <c r="AL22" s="502"/>
      <c r="AM22" s="502"/>
      <c r="AN22" s="502"/>
      <c r="AO22" s="502"/>
      <c r="AP22" s="502"/>
      <c r="AQ22" s="502"/>
      <c r="AR22" s="502"/>
      <c r="AS22" s="502"/>
      <c r="AT22" s="502"/>
      <c r="AU22" s="502"/>
      <c r="AV22" s="502"/>
      <c r="AW22" s="502"/>
      <c r="AX22" s="502"/>
      <c r="AY22" s="502"/>
      <c r="AZ22" s="502"/>
      <c r="BA22" s="502"/>
      <c r="BB22" s="524"/>
      <c r="BC22" s="510"/>
      <c r="BD22" s="510"/>
    </row>
    <row r="23">
      <c r="A23" s="549" t="str">
        <f t="array" ref="A23">IFERROR(INDEX(TeamInfo!$1:$45,MATCH(C23,TeamInfo!C:C,0),1),"")</f>
        <v/>
      </c>
      <c r="B23" s="501" t="str">
        <f t="array" ref="B23">IFERROR(INDEX(TeamInfo!$1:$45,MATCH(C23,TeamInfo!C:C,0),2),"")</f>
        <v/>
      </c>
      <c r="C23" s="364"/>
      <c r="D23" s="508"/>
      <c r="E23" s="508"/>
      <c r="F23" s="508"/>
      <c r="G23" s="502"/>
      <c r="H23" s="502"/>
      <c r="I23" s="502"/>
      <c r="J23" s="502"/>
      <c r="K23" s="502"/>
      <c r="L23" s="502"/>
      <c r="M23" s="502"/>
      <c r="N23" s="502"/>
      <c r="O23" s="502"/>
      <c r="P23" s="502"/>
      <c r="Q23" s="502"/>
      <c r="R23" s="502"/>
      <c r="S23" s="502"/>
      <c r="T23" s="502"/>
      <c r="U23" s="502"/>
      <c r="V23" s="502"/>
      <c r="W23" s="502"/>
      <c r="X23" s="502"/>
      <c r="Y23" s="502"/>
      <c r="Z23" s="502"/>
      <c r="AA23" s="502"/>
      <c r="AB23" s="502"/>
      <c r="AC23" s="502"/>
      <c r="AD23" s="502"/>
      <c r="AE23" s="502"/>
      <c r="AF23" s="502"/>
      <c r="AG23" s="502"/>
      <c r="AH23" s="502"/>
      <c r="AI23" s="502"/>
      <c r="AJ23" s="502"/>
      <c r="AK23" s="502"/>
      <c r="AL23" s="502"/>
      <c r="AM23" s="502"/>
      <c r="AN23" s="502"/>
      <c r="AO23" s="502"/>
      <c r="AP23" s="502"/>
      <c r="AQ23" s="502"/>
      <c r="AR23" s="502"/>
      <c r="AS23" s="502"/>
      <c r="AT23" s="502"/>
      <c r="AU23" s="502"/>
      <c r="AV23" s="502"/>
      <c r="AW23" s="502"/>
      <c r="AX23" s="502"/>
      <c r="AY23" s="502"/>
      <c r="AZ23" s="502"/>
      <c r="BA23" s="502"/>
      <c r="BB23" s="524"/>
      <c r="BC23" s="510"/>
      <c r="BD23" s="510"/>
    </row>
    <row r="24">
      <c r="A24" s="549" t="str">
        <f t="array" ref="A24">IFERROR(INDEX(TeamInfo!$1:$45,MATCH(C24,TeamInfo!C:C,0),1),"")</f>
        <v/>
      </c>
      <c r="B24" s="501" t="str">
        <f t="array" ref="B24">IFERROR(INDEX(TeamInfo!$1:$45,MATCH(C24,TeamInfo!C:C,0),2),"")</f>
        <v/>
      </c>
      <c r="C24" s="364"/>
      <c r="D24" s="508"/>
      <c r="E24" s="508"/>
      <c r="F24" s="508"/>
      <c r="G24" s="502"/>
      <c r="H24" s="502"/>
      <c r="I24" s="502"/>
      <c r="J24" s="502"/>
      <c r="K24" s="502"/>
      <c r="L24" s="502"/>
      <c r="M24" s="502"/>
      <c r="N24" s="502"/>
      <c r="O24" s="502"/>
      <c r="P24" s="502"/>
      <c r="Q24" s="502"/>
      <c r="R24" s="502"/>
      <c r="S24" s="502"/>
      <c r="T24" s="502"/>
      <c r="U24" s="502"/>
      <c r="V24" s="502"/>
      <c r="W24" s="502"/>
      <c r="X24" s="502"/>
      <c r="Y24" s="502"/>
      <c r="Z24" s="502"/>
      <c r="AA24" s="502"/>
      <c r="AB24" s="502"/>
      <c r="AC24" s="502"/>
      <c r="AD24" s="502"/>
      <c r="AE24" s="502"/>
      <c r="AF24" s="502"/>
      <c r="AG24" s="502"/>
      <c r="AH24" s="502"/>
      <c r="AI24" s="502"/>
      <c r="AJ24" s="502"/>
      <c r="AK24" s="502"/>
      <c r="AL24" s="502"/>
      <c r="AM24" s="502"/>
      <c r="AN24" s="502"/>
      <c r="AO24" s="502"/>
      <c r="AP24" s="502"/>
      <c r="AQ24" s="502"/>
      <c r="AR24" s="502"/>
      <c r="AS24" s="502"/>
      <c r="AT24" s="502"/>
      <c r="AU24" s="502"/>
      <c r="AV24" s="502"/>
      <c r="AW24" s="502"/>
      <c r="AX24" s="502"/>
      <c r="AY24" s="502"/>
      <c r="AZ24" s="502"/>
      <c r="BA24" s="502"/>
      <c r="BB24" s="524"/>
      <c r="BC24" s="510"/>
      <c r="BD24" s="510"/>
    </row>
    <row r="25">
      <c r="A25" s="565" t="str">
        <f t="array" ref="A25">IFERROR(INDEX(TeamInfo!$1:$45,MATCH(C25,TeamInfo!C:C,0),1),"")</f>
        <v/>
      </c>
      <c r="B25" s="566" t="str">
        <f t="array" ref="B25">IFERROR(INDEX(TeamInfo!$1:$45,MATCH(C25,TeamInfo!C:C,0),2),"")</f>
        <v/>
      </c>
      <c r="C25" s="538"/>
      <c r="D25" s="539"/>
      <c r="E25" s="539"/>
      <c r="F25" s="539"/>
      <c r="G25" s="538"/>
      <c r="H25" s="538"/>
      <c r="I25" s="538"/>
      <c r="J25" s="538"/>
      <c r="K25" s="538"/>
      <c r="L25" s="538"/>
      <c r="M25" s="538"/>
      <c r="N25" s="538"/>
      <c r="O25" s="538"/>
      <c r="P25" s="538"/>
      <c r="Q25" s="538"/>
      <c r="R25" s="538"/>
      <c r="S25" s="538"/>
      <c r="T25" s="538"/>
      <c r="U25" s="538"/>
      <c r="V25" s="538"/>
      <c r="W25" s="538"/>
      <c r="X25" s="538"/>
      <c r="Y25" s="538"/>
      <c r="Z25" s="538"/>
      <c r="AA25" s="538"/>
      <c r="AB25" s="538"/>
      <c r="AC25" s="538"/>
      <c r="AD25" s="538"/>
      <c r="AE25" s="538"/>
      <c r="AF25" s="538"/>
      <c r="AG25" s="538"/>
      <c r="AH25" s="538"/>
      <c r="AI25" s="538"/>
      <c r="AJ25" s="538"/>
      <c r="AK25" s="538"/>
      <c r="AL25" s="538"/>
      <c r="AM25" s="538"/>
      <c r="AN25" s="538"/>
      <c r="AO25" s="538"/>
      <c r="AP25" s="538"/>
      <c r="AQ25" s="538"/>
      <c r="AR25" s="538"/>
      <c r="AS25" s="538"/>
      <c r="AT25" s="538"/>
      <c r="AU25" s="538"/>
      <c r="AV25" s="538"/>
      <c r="AW25" s="538"/>
      <c r="AX25" s="538"/>
      <c r="AY25" s="538"/>
      <c r="AZ25" s="538"/>
      <c r="BA25" s="538"/>
      <c r="BB25" s="541"/>
      <c r="BC25" s="510"/>
      <c r="BD25" s="510"/>
    </row>
    <row r="26">
      <c r="A26" s="542" t="str">
        <f t="array" ref="A26">IFERROR(INDEX(TeamInfo!$1:$45,MATCH(C26,TeamInfo!C:C,0),1),"")</f>
        <v/>
      </c>
      <c r="B26" s="543" t="str">
        <f t="array" ref="B26">IFERROR(INDEX(TeamInfo!$1:$45,MATCH(C26,TeamInfo!C:C,0),2),"")</f>
        <v/>
      </c>
      <c r="C26" s="520"/>
      <c r="D26" s="520"/>
      <c r="E26" s="520"/>
      <c r="F26" s="520"/>
      <c r="G26" s="504"/>
      <c r="H26" s="504"/>
      <c r="I26" s="504"/>
      <c r="J26" s="504"/>
      <c r="K26" s="504"/>
      <c r="L26" s="504"/>
      <c r="M26" s="504"/>
      <c r="N26" s="504"/>
      <c r="O26" s="504"/>
      <c r="P26" s="504"/>
      <c r="Q26" s="504"/>
      <c r="R26" s="504"/>
      <c r="S26" s="504"/>
      <c r="T26" s="504"/>
      <c r="U26" s="504"/>
      <c r="V26" s="504"/>
      <c r="W26" s="504"/>
      <c r="X26" s="504"/>
      <c r="Y26" s="504"/>
      <c r="Z26" s="504"/>
      <c r="AA26" s="504"/>
      <c r="AB26" s="504"/>
      <c r="AC26" s="504"/>
      <c r="AD26" s="504"/>
      <c r="AE26" s="504"/>
      <c r="AF26" s="504"/>
      <c r="AG26" s="504"/>
      <c r="AH26" s="504"/>
      <c r="AI26" s="504"/>
      <c r="AJ26" s="504"/>
      <c r="AK26" s="504"/>
      <c r="AL26" s="504"/>
      <c r="AM26" s="504"/>
      <c r="AN26" s="504"/>
      <c r="AO26" s="504"/>
      <c r="AP26" s="504"/>
      <c r="AQ26" s="504"/>
      <c r="AR26" s="504"/>
      <c r="AS26" s="504"/>
      <c r="AT26" s="504"/>
      <c r="AU26" s="504"/>
      <c r="AV26" s="504"/>
      <c r="AW26" s="504"/>
      <c r="AX26" s="504"/>
      <c r="AY26" s="504"/>
      <c r="AZ26" s="504"/>
      <c r="BA26" s="504"/>
      <c r="BB26" s="568"/>
      <c r="BC26" s="481"/>
      <c r="BD26" s="481"/>
    </row>
    <row r="27">
      <c r="A27" s="549" t="str">
        <f t="array" ref="A27">IFERROR(INDEX(TeamInfo!$1:$45,MATCH(C27,TeamInfo!C:C,0),1),"")</f>
        <v/>
      </c>
      <c r="B27" s="501" t="str">
        <f t="array" ref="B27">IFERROR(INDEX(TeamInfo!$1:$45,MATCH(C27,TeamInfo!C:C,0),2),"")</f>
        <v/>
      </c>
      <c r="C27" s="364"/>
      <c r="D27" s="364"/>
      <c r="E27" s="364"/>
      <c r="F27" s="364"/>
      <c r="G27" s="502"/>
      <c r="H27" s="502"/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Y27" s="502"/>
      <c r="Z27" s="502"/>
      <c r="AA27" s="502"/>
      <c r="AB27" s="502"/>
      <c r="AC27" s="502"/>
      <c r="AD27" s="502"/>
      <c r="AE27" s="502"/>
      <c r="AF27" s="502"/>
      <c r="AG27" s="502"/>
      <c r="AH27" s="502"/>
      <c r="AI27" s="502"/>
      <c r="AJ27" s="502"/>
      <c r="AK27" s="502"/>
      <c r="AL27" s="502"/>
      <c r="AM27" s="502"/>
      <c r="AN27" s="502"/>
      <c r="AO27" s="502"/>
      <c r="AP27" s="502"/>
      <c r="AQ27" s="502"/>
      <c r="AR27" s="502"/>
      <c r="AS27" s="502"/>
      <c r="AT27" s="502"/>
      <c r="AU27" s="502"/>
      <c r="AV27" s="502"/>
      <c r="AW27" s="502"/>
      <c r="AX27" s="502"/>
      <c r="AY27" s="502"/>
      <c r="AZ27" s="502"/>
      <c r="BA27" s="502"/>
      <c r="BB27" s="569"/>
      <c r="BC27" s="481"/>
      <c r="BD27" s="481"/>
    </row>
    <row r="28">
      <c r="A28" s="549" t="str">
        <f t="array" ref="A28">IFERROR(INDEX(TeamInfo!$1:$45,MATCH(C28,TeamInfo!C:C,0),1),"")</f>
        <v/>
      </c>
      <c r="B28" s="501" t="str">
        <f t="array" ref="B28">IFERROR(INDEX(TeamInfo!$1:$45,MATCH(C28,TeamInfo!C:C,0),2),"")</f>
        <v/>
      </c>
      <c r="C28" s="364"/>
      <c r="D28" s="364"/>
      <c r="E28" s="364"/>
      <c r="F28" s="364"/>
      <c r="G28" s="502"/>
      <c r="H28" s="502"/>
      <c r="I28" s="502"/>
      <c r="J28" s="502"/>
      <c r="K28" s="502"/>
      <c r="L28" s="502"/>
      <c r="M28" s="502"/>
      <c r="N28" s="502"/>
      <c r="O28" s="502"/>
      <c r="P28" s="502"/>
      <c r="Q28" s="502"/>
      <c r="R28" s="502"/>
      <c r="S28" s="502"/>
      <c r="T28" s="502"/>
      <c r="U28" s="502"/>
      <c r="V28" s="502"/>
      <c r="W28" s="502"/>
      <c r="X28" s="502"/>
      <c r="Y28" s="502"/>
      <c r="Z28" s="502"/>
      <c r="AA28" s="502"/>
      <c r="AB28" s="502"/>
      <c r="AC28" s="502"/>
      <c r="AD28" s="502"/>
      <c r="AE28" s="502"/>
      <c r="AF28" s="502"/>
      <c r="AG28" s="502"/>
      <c r="AH28" s="502"/>
      <c r="AI28" s="502"/>
      <c r="AJ28" s="502"/>
      <c r="AK28" s="502"/>
      <c r="AL28" s="502"/>
      <c r="AM28" s="502"/>
      <c r="AN28" s="502"/>
      <c r="AO28" s="502"/>
      <c r="AP28" s="502"/>
      <c r="AQ28" s="502"/>
      <c r="AR28" s="502"/>
      <c r="AS28" s="502"/>
      <c r="AT28" s="502"/>
      <c r="AU28" s="502"/>
      <c r="AV28" s="502"/>
      <c r="AW28" s="502"/>
      <c r="AX28" s="502"/>
      <c r="AY28" s="502"/>
      <c r="AZ28" s="502"/>
      <c r="BA28" s="502"/>
      <c r="BB28" s="569"/>
      <c r="BC28" s="481"/>
      <c r="BD28" s="481"/>
    </row>
    <row r="29">
      <c r="A29" s="549" t="str">
        <f t="array" ref="A29">IFERROR(INDEX(TeamInfo!$1:$45,MATCH(C29,TeamInfo!C:C,0),1),"")</f>
        <v/>
      </c>
      <c r="B29" s="501" t="str">
        <f t="array" ref="B29">IFERROR(INDEX(TeamInfo!$1:$45,MATCH(C29,TeamInfo!C:C,0),2),"")</f>
        <v/>
      </c>
      <c r="C29" s="364"/>
      <c r="D29" s="364"/>
      <c r="E29" s="364"/>
      <c r="F29" s="364"/>
      <c r="G29" s="502"/>
      <c r="H29" s="502"/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Y29" s="502"/>
      <c r="Z29" s="502"/>
      <c r="AA29" s="502"/>
      <c r="AB29" s="502"/>
      <c r="AC29" s="502"/>
      <c r="AD29" s="502"/>
      <c r="AE29" s="502"/>
      <c r="AF29" s="502"/>
      <c r="AG29" s="502"/>
      <c r="AH29" s="502"/>
      <c r="AI29" s="502"/>
      <c r="AJ29" s="502"/>
      <c r="AK29" s="502"/>
      <c r="AL29" s="502"/>
      <c r="AM29" s="502"/>
      <c r="AN29" s="502"/>
      <c r="AO29" s="502"/>
      <c r="AP29" s="502"/>
      <c r="AQ29" s="502"/>
      <c r="AR29" s="502"/>
      <c r="AS29" s="502"/>
      <c r="AT29" s="502"/>
      <c r="AU29" s="502"/>
      <c r="AV29" s="502"/>
      <c r="AW29" s="502"/>
      <c r="AX29" s="502"/>
      <c r="AY29" s="502"/>
      <c r="AZ29" s="502"/>
      <c r="BA29" s="502"/>
      <c r="BB29" s="569"/>
      <c r="BC29" s="481"/>
      <c r="BD29" s="481"/>
    </row>
    <row r="30">
      <c r="A30" s="553" t="str">
        <f t="array" ref="A30">IFERROR(INDEX(TeamInfo!$1:$45,MATCH(C30,TeamInfo!C:C,0),1),"")</f>
        <v/>
      </c>
      <c r="B30" s="497" t="str">
        <f t="array" ref="B30">IFERROR(INDEX(TeamInfo!$1:$45,MATCH(C30,TeamInfo!C:C,0),2),"")</f>
        <v/>
      </c>
      <c r="C30" s="498"/>
      <c r="D30" s="498"/>
      <c r="E30" s="498"/>
      <c r="F30" s="498"/>
      <c r="G30" s="499"/>
      <c r="H30" s="499"/>
      <c r="I30" s="499"/>
      <c r="J30" s="499"/>
      <c r="K30" s="499"/>
      <c r="L30" s="499"/>
      <c r="M30" s="499"/>
      <c r="N30" s="499"/>
      <c r="O30" s="499"/>
      <c r="P30" s="499"/>
      <c r="Q30" s="499"/>
      <c r="R30" s="499"/>
      <c r="S30" s="499"/>
      <c r="T30" s="499"/>
      <c r="U30" s="499"/>
      <c r="V30" s="499"/>
      <c r="W30" s="499"/>
      <c r="X30" s="499"/>
      <c r="Y30" s="499"/>
      <c r="Z30" s="499"/>
      <c r="AA30" s="499"/>
      <c r="AB30" s="499"/>
      <c r="AC30" s="499"/>
      <c r="AD30" s="499"/>
      <c r="AE30" s="499"/>
      <c r="AF30" s="499"/>
      <c r="AG30" s="499"/>
      <c r="AH30" s="499"/>
      <c r="AI30" s="499"/>
      <c r="AJ30" s="499"/>
      <c r="AK30" s="499"/>
      <c r="AL30" s="499"/>
      <c r="AM30" s="499"/>
      <c r="AN30" s="499"/>
      <c r="AO30" s="499"/>
      <c r="AP30" s="499"/>
      <c r="AQ30" s="499"/>
      <c r="AR30" s="499"/>
      <c r="AS30" s="499"/>
      <c r="AT30" s="499"/>
      <c r="AU30" s="499"/>
      <c r="AV30" s="499"/>
      <c r="AW30" s="499"/>
      <c r="AX30" s="499"/>
      <c r="AY30" s="499"/>
      <c r="AZ30" s="499"/>
      <c r="BA30" s="499"/>
      <c r="BB30" s="526"/>
      <c r="BC30" s="500"/>
      <c r="BD30" s="500"/>
    </row>
    <row r="31">
      <c r="A31" s="553" t="str">
        <f t="array" ref="A31">IFERROR(INDEX(TeamInfo!$1:$45,MATCH(C31,TeamInfo!C:C,0),1),"")</f>
        <v/>
      </c>
      <c r="B31" s="497" t="str">
        <f t="array" ref="B31">IFERROR(INDEX(TeamInfo!$1:$45,MATCH(C31,TeamInfo!C:C,0),2),"")</f>
        <v/>
      </c>
      <c r="C31" s="498"/>
      <c r="D31" s="498"/>
      <c r="E31" s="498"/>
      <c r="F31" s="498"/>
      <c r="G31" s="499"/>
      <c r="H31" s="499"/>
      <c r="I31" s="499"/>
      <c r="J31" s="499"/>
      <c r="K31" s="499"/>
      <c r="L31" s="499"/>
      <c r="M31" s="499"/>
      <c r="N31" s="499"/>
      <c r="O31" s="499"/>
      <c r="P31" s="499"/>
      <c r="Q31" s="499"/>
      <c r="R31" s="499"/>
      <c r="S31" s="499"/>
      <c r="T31" s="499"/>
      <c r="U31" s="499"/>
      <c r="V31" s="499"/>
      <c r="W31" s="499"/>
      <c r="X31" s="499"/>
      <c r="Y31" s="499"/>
      <c r="Z31" s="499"/>
      <c r="AA31" s="499"/>
      <c r="AB31" s="499"/>
      <c r="AC31" s="499"/>
      <c r="AD31" s="499"/>
      <c r="AE31" s="499"/>
      <c r="AF31" s="499"/>
      <c r="AG31" s="499"/>
      <c r="AH31" s="499"/>
      <c r="AI31" s="499"/>
      <c r="AJ31" s="499"/>
      <c r="AK31" s="499"/>
      <c r="AL31" s="499"/>
      <c r="AM31" s="499"/>
      <c r="AN31" s="499"/>
      <c r="AO31" s="499"/>
      <c r="AP31" s="499"/>
      <c r="AQ31" s="499"/>
      <c r="AR31" s="499"/>
      <c r="AS31" s="499"/>
      <c r="AT31" s="499"/>
      <c r="AU31" s="499"/>
      <c r="AV31" s="499"/>
      <c r="AW31" s="499"/>
      <c r="AX31" s="499"/>
      <c r="AY31" s="499"/>
      <c r="AZ31" s="499"/>
      <c r="BA31" s="499"/>
      <c r="BB31" s="526"/>
      <c r="BC31" s="500"/>
      <c r="BD31" s="500"/>
    </row>
    <row r="32">
      <c r="A32" s="553" t="str">
        <f t="array" ref="A32">IFERROR(INDEX(TeamInfo!$1:$45,MATCH(C32,TeamInfo!C:C,0),1),"")</f>
        <v/>
      </c>
      <c r="B32" s="497" t="str">
        <f t="array" ref="B32">IFERROR(INDEX(TeamInfo!$1:$45,MATCH(C32,TeamInfo!C:C,0),2),"")</f>
        <v/>
      </c>
      <c r="C32" s="498"/>
      <c r="D32" s="498"/>
      <c r="E32" s="498"/>
      <c r="F32" s="498"/>
      <c r="G32" s="499"/>
      <c r="H32" s="499"/>
      <c r="I32" s="499"/>
      <c r="J32" s="499"/>
      <c r="K32" s="499"/>
      <c r="L32" s="499"/>
      <c r="M32" s="499"/>
      <c r="N32" s="499"/>
      <c r="O32" s="499"/>
      <c r="P32" s="499"/>
      <c r="Q32" s="499"/>
      <c r="R32" s="499"/>
      <c r="S32" s="499"/>
      <c r="T32" s="499"/>
      <c r="U32" s="499"/>
      <c r="V32" s="499"/>
      <c r="W32" s="499"/>
      <c r="X32" s="499"/>
      <c r="Y32" s="499"/>
      <c r="Z32" s="499"/>
      <c r="AA32" s="499"/>
      <c r="AB32" s="499"/>
      <c r="AC32" s="499"/>
      <c r="AD32" s="499"/>
      <c r="AE32" s="499"/>
      <c r="AF32" s="499"/>
      <c r="AG32" s="499"/>
      <c r="AH32" s="499"/>
      <c r="AI32" s="499"/>
      <c r="AJ32" s="499"/>
      <c r="AK32" s="499"/>
      <c r="AL32" s="499"/>
      <c r="AM32" s="499"/>
      <c r="AN32" s="499"/>
      <c r="AO32" s="499"/>
      <c r="AP32" s="499"/>
      <c r="AQ32" s="499"/>
      <c r="AR32" s="499"/>
      <c r="AS32" s="499"/>
      <c r="AT32" s="499"/>
      <c r="AU32" s="499"/>
      <c r="AV32" s="499"/>
      <c r="AW32" s="499"/>
      <c r="AX32" s="499"/>
      <c r="AY32" s="499"/>
      <c r="AZ32" s="499"/>
      <c r="BA32" s="499"/>
      <c r="BB32" s="526"/>
      <c r="BC32" s="500"/>
      <c r="BD32" s="500"/>
    </row>
    <row r="33">
      <c r="A33" s="558" t="str">
        <f t="array" ref="A33">IFERROR(INDEX(TeamInfo!$1:$45,MATCH(C33,TeamInfo!C:C,0),1),"")</f>
        <v/>
      </c>
      <c r="B33" s="559" t="str">
        <f t="array" ref="B33">IFERROR(INDEX(TeamInfo!$1:$45,MATCH(C33,TeamInfo!C:C,0),2),"")</f>
        <v/>
      </c>
      <c r="C33" s="529"/>
      <c r="D33" s="529"/>
      <c r="E33" s="529"/>
      <c r="F33" s="529"/>
      <c r="G33" s="503"/>
      <c r="H33" s="503"/>
      <c r="I33" s="503"/>
      <c r="J33" s="503"/>
      <c r="K33" s="503"/>
      <c r="L33" s="503"/>
      <c r="M33" s="503"/>
      <c r="N33" s="503"/>
      <c r="O33" s="503"/>
      <c r="P33" s="503"/>
      <c r="Q33" s="503"/>
      <c r="R33" s="503"/>
      <c r="S33" s="503"/>
      <c r="T33" s="503"/>
      <c r="U33" s="503"/>
      <c r="V33" s="503"/>
      <c r="W33" s="503"/>
      <c r="X33" s="503"/>
      <c r="Y33" s="503"/>
      <c r="Z33" s="503"/>
      <c r="AA33" s="503"/>
      <c r="AB33" s="503"/>
      <c r="AC33" s="503"/>
      <c r="AD33" s="503"/>
      <c r="AE33" s="503"/>
      <c r="AF33" s="503"/>
      <c r="AG33" s="503"/>
      <c r="AH33" s="503"/>
      <c r="AI33" s="503"/>
      <c r="AJ33" s="503"/>
      <c r="AK33" s="503"/>
      <c r="AL33" s="503"/>
      <c r="AM33" s="503"/>
      <c r="AN33" s="503"/>
      <c r="AO33" s="503"/>
      <c r="AP33" s="503"/>
      <c r="AQ33" s="503"/>
      <c r="AR33" s="503"/>
      <c r="AS33" s="503"/>
      <c r="AT33" s="503"/>
      <c r="AU33" s="503"/>
      <c r="AV33" s="503"/>
      <c r="AW33" s="503"/>
      <c r="AX33" s="503"/>
      <c r="AY33" s="503"/>
      <c r="AZ33" s="503"/>
      <c r="BA33" s="503"/>
      <c r="BB33" s="530"/>
      <c r="BC33" s="500"/>
      <c r="BD33" s="500"/>
    </row>
    <row r="34">
      <c r="A34" s="511" t="s">
        <v>457</v>
      </c>
      <c r="B34" s="511"/>
      <c r="C34" s="511"/>
      <c r="D34" s="513"/>
      <c r="E34" s="513"/>
      <c r="F34" s="513"/>
      <c r="G34" s="513"/>
      <c r="H34" s="513"/>
      <c r="I34" s="513"/>
      <c r="J34" s="513"/>
      <c r="K34" s="513"/>
      <c r="L34" s="513"/>
      <c r="M34" s="513"/>
      <c r="N34" s="513"/>
      <c r="O34" s="513"/>
      <c r="P34" s="513"/>
      <c r="Q34" s="513"/>
      <c r="R34" s="513"/>
      <c r="S34" s="513"/>
      <c r="T34" s="513"/>
      <c r="U34" s="513"/>
      <c r="V34" s="513"/>
      <c r="W34" s="513"/>
      <c r="X34" s="513"/>
      <c r="Y34" s="513"/>
      <c r="Z34" s="513"/>
      <c r="AA34" s="513"/>
      <c r="AB34" s="513"/>
      <c r="AC34" s="513"/>
      <c r="AD34" s="513"/>
      <c r="AE34" s="513"/>
      <c r="AF34" s="513"/>
      <c r="AG34" s="513"/>
      <c r="AH34" s="513"/>
      <c r="AI34" s="513"/>
      <c r="AJ34" s="513"/>
      <c r="AK34" s="513"/>
      <c r="AL34" s="513"/>
      <c r="AM34" s="513"/>
      <c r="AN34" s="513"/>
      <c r="AO34" s="513"/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1"/>
      <c r="BC34" s="511"/>
      <c r="BD34" s="511"/>
    </row>
    <row r="35">
      <c r="A35" s="542" t="str">
        <f t="array" ref="A35">IFERROR(INDEX(TeamInfo!$1:$45,MATCH(C35,TeamInfo!C:C,0),1),"")</f>
        <v/>
      </c>
      <c r="B35" s="543" t="str">
        <f t="array" ref="B35">IFERROR(INDEX(TeamInfo!$1:$45,MATCH(C35,TeamInfo!C:C,0),2),"")</f>
        <v/>
      </c>
      <c r="C35" s="520"/>
      <c r="D35" s="520"/>
      <c r="E35" s="520"/>
      <c r="F35" s="520"/>
      <c r="G35" s="504"/>
      <c r="H35" s="504"/>
      <c r="I35" s="504"/>
      <c r="J35" s="504"/>
      <c r="K35" s="504"/>
      <c r="L35" s="504"/>
      <c r="M35" s="504"/>
      <c r="N35" s="504"/>
      <c r="O35" s="504"/>
      <c r="P35" s="504"/>
      <c r="Q35" s="504"/>
      <c r="R35" s="504"/>
      <c r="S35" s="504"/>
      <c r="T35" s="504"/>
      <c r="U35" s="504"/>
      <c r="V35" s="504"/>
      <c r="W35" s="504"/>
      <c r="X35" s="504"/>
      <c r="Y35" s="504"/>
      <c r="Z35" s="504"/>
      <c r="AA35" s="504"/>
      <c r="AB35" s="504"/>
      <c r="AC35" s="504"/>
      <c r="AD35" s="504"/>
      <c r="AE35" s="504"/>
      <c r="AF35" s="504"/>
      <c r="AG35" s="504"/>
      <c r="AH35" s="504"/>
      <c r="AI35" s="504"/>
      <c r="AJ35" s="504"/>
      <c r="AK35" s="504"/>
      <c r="AL35" s="504"/>
      <c r="AM35" s="504"/>
      <c r="AN35" s="504"/>
      <c r="AO35" s="504"/>
      <c r="AP35" s="504"/>
      <c r="AQ35" s="504"/>
      <c r="AR35" s="504"/>
      <c r="AS35" s="504"/>
      <c r="AT35" s="504"/>
      <c r="AU35" s="504"/>
      <c r="AV35" s="504"/>
      <c r="AW35" s="504"/>
      <c r="AX35" s="504"/>
      <c r="AY35" s="504"/>
      <c r="AZ35" s="504"/>
      <c r="BA35" s="504"/>
      <c r="BB35" s="568"/>
      <c r="BC35" s="481"/>
      <c r="BD35" s="481"/>
    </row>
    <row r="36">
      <c r="A36" s="549" t="str">
        <f t="array" ref="A36">IFERROR(INDEX(TeamInfo!$1:$45,MATCH(C36,TeamInfo!C:C,0),1),"")</f>
        <v/>
      </c>
      <c r="B36" s="501" t="str">
        <f t="array" ref="B36">IFERROR(INDEX(TeamInfo!$1:$45,MATCH(C36,TeamInfo!C:C,0),2),"")</f>
        <v/>
      </c>
      <c r="C36" s="364"/>
      <c r="D36" s="364"/>
      <c r="E36" s="364"/>
      <c r="F36" s="364"/>
      <c r="G36" s="502"/>
      <c r="H36" s="502"/>
      <c r="I36" s="502"/>
      <c r="J36" s="502"/>
      <c r="K36" s="502"/>
      <c r="L36" s="502"/>
      <c r="M36" s="502"/>
      <c r="N36" s="502"/>
      <c r="O36" s="502"/>
      <c r="P36" s="502"/>
      <c r="Q36" s="502"/>
      <c r="R36" s="502"/>
      <c r="S36" s="502"/>
      <c r="T36" s="502"/>
      <c r="U36" s="502"/>
      <c r="V36" s="502"/>
      <c r="W36" s="502"/>
      <c r="X36" s="502"/>
      <c r="Y36" s="502"/>
      <c r="Z36" s="502"/>
      <c r="AA36" s="502"/>
      <c r="AB36" s="502"/>
      <c r="AC36" s="502"/>
      <c r="AD36" s="502"/>
      <c r="AE36" s="502"/>
      <c r="AF36" s="502"/>
      <c r="AG36" s="502"/>
      <c r="AH36" s="502"/>
      <c r="AI36" s="502"/>
      <c r="AJ36" s="502"/>
      <c r="AK36" s="502"/>
      <c r="AL36" s="502"/>
      <c r="AM36" s="502"/>
      <c r="AN36" s="502"/>
      <c r="AO36" s="502"/>
      <c r="AP36" s="502"/>
      <c r="AQ36" s="502"/>
      <c r="AR36" s="502"/>
      <c r="AS36" s="502"/>
      <c r="AT36" s="502"/>
      <c r="AU36" s="502"/>
      <c r="AV36" s="502"/>
      <c r="AW36" s="502"/>
      <c r="AX36" s="502"/>
      <c r="AY36" s="502"/>
      <c r="AZ36" s="502"/>
      <c r="BA36" s="502"/>
      <c r="BB36" s="569"/>
      <c r="BC36" s="481"/>
      <c r="BD36" s="481"/>
    </row>
    <row r="37">
      <c r="A37" s="549" t="str">
        <f t="array" ref="A37">IFERROR(INDEX(TeamInfo!$1:$45,MATCH(C37,TeamInfo!C:C,0),1),"")</f>
        <v/>
      </c>
      <c r="B37" s="501" t="str">
        <f t="array" ref="B37">IFERROR(INDEX(TeamInfo!$1:$45,MATCH(C37,TeamInfo!C:C,0),2),"")</f>
        <v/>
      </c>
      <c r="C37" s="364"/>
      <c r="D37" s="364"/>
      <c r="E37" s="364"/>
      <c r="F37" s="364"/>
      <c r="G37" s="502"/>
      <c r="H37" s="502"/>
      <c r="I37" s="502"/>
      <c r="J37" s="502"/>
      <c r="K37" s="502"/>
      <c r="L37" s="502"/>
      <c r="M37" s="502"/>
      <c r="N37" s="502"/>
      <c r="O37" s="502"/>
      <c r="P37" s="502"/>
      <c r="Q37" s="502"/>
      <c r="R37" s="502"/>
      <c r="S37" s="502"/>
      <c r="T37" s="502"/>
      <c r="U37" s="502"/>
      <c r="V37" s="502"/>
      <c r="W37" s="502"/>
      <c r="X37" s="502"/>
      <c r="Y37" s="502"/>
      <c r="Z37" s="502"/>
      <c r="AA37" s="502"/>
      <c r="AB37" s="502"/>
      <c r="AC37" s="502"/>
      <c r="AD37" s="502"/>
      <c r="AE37" s="502"/>
      <c r="AF37" s="502"/>
      <c r="AG37" s="502"/>
      <c r="AH37" s="502"/>
      <c r="AI37" s="502"/>
      <c r="AJ37" s="502"/>
      <c r="AK37" s="502"/>
      <c r="AL37" s="502"/>
      <c r="AM37" s="502"/>
      <c r="AN37" s="502"/>
      <c r="AO37" s="502"/>
      <c r="AP37" s="502"/>
      <c r="AQ37" s="502"/>
      <c r="AR37" s="502"/>
      <c r="AS37" s="502"/>
      <c r="AT37" s="502"/>
      <c r="AU37" s="502"/>
      <c r="AV37" s="502"/>
      <c r="AW37" s="502"/>
      <c r="AX37" s="502"/>
      <c r="AY37" s="502"/>
      <c r="AZ37" s="502"/>
      <c r="BA37" s="502"/>
      <c r="BB37" s="569"/>
      <c r="BC37" s="481"/>
      <c r="BD37" s="481"/>
    </row>
    <row r="38">
      <c r="A38" s="549" t="str">
        <f t="array" ref="A38">IFERROR(INDEX(TeamInfo!$1:$45,MATCH(C38,TeamInfo!C:C,0),1),"")</f>
        <v/>
      </c>
      <c r="B38" s="501" t="str">
        <f t="array" ref="B38">IFERROR(INDEX(TeamInfo!$1:$45,MATCH(C38,TeamInfo!C:C,0),2),"")</f>
        <v/>
      </c>
      <c r="C38" s="364"/>
      <c r="D38" s="364"/>
      <c r="E38" s="364"/>
      <c r="F38" s="364"/>
      <c r="G38" s="502"/>
      <c r="H38" s="502"/>
      <c r="I38" s="502"/>
      <c r="J38" s="502"/>
      <c r="K38" s="502"/>
      <c r="L38" s="502"/>
      <c r="M38" s="502"/>
      <c r="N38" s="502"/>
      <c r="O38" s="502"/>
      <c r="P38" s="502"/>
      <c r="Q38" s="502"/>
      <c r="R38" s="502"/>
      <c r="S38" s="502"/>
      <c r="T38" s="502"/>
      <c r="U38" s="502"/>
      <c r="V38" s="502"/>
      <c r="W38" s="502"/>
      <c r="X38" s="502"/>
      <c r="Y38" s="502"/>
      <c r="Z38" s="502"/>
      <c r="AA38" s="502"/>
      <c r="AB38" s="502"/>
      <c r="AC38" s="502"/>
      <c r="AD38" s="502"/>
      <c r="AE38" s="502"/>
      <c r="AF38" s="502"/>
      <c r="AG38" s="502"/>
      <c r="AH38" s="502"/>
      <c r="AI38" s="502"/>
      <c r="AJ38" s="502"/>
      <c r="AK38" s="502"/>
      <c r="AL38" s="502"/>
      <c r="AM38" s="502"/>
      <c r="AN38" s="502"/>
      <c r="AO38" s="502"/>
      <c r="AP38" s="502"/>
      <c r="AQ38" s="502"/>
      <c r="AR38" s="502"/>
      <c r="AS38" s="502"/>
      <c r="AT38" s="502"/>
      <c r="AU38" s="502"/>
      <c r="AV38" s="502"/>
      <c r="AW38" s="502"/>
      <c r="AX38" s="502"/>
      <c r="AY38" s="502"/>
      <c r="AZ38" s="502"/>
      <c r="BA38" s="502"/>
      <c r="BB38" s="569"/>
      <c r="BC38" s="481"/>
      <c r="BD38" s="481"/>
    </row>
    <row r="39">
      <c r="A39" s="553" t="str">
        <f t="array" ref="A39">IFERROR(INDEX(TeamInfo!$1:$45,MATCH(C39,TeamInfo!C:C,0),1),"")</f>
        <v/>
      </c>
      <c r="B39" s="497" t="str">
        <f t="array" ref="B39">IFERROR(INDEX(TeamInfo!$1:$45,MATCH(C39,TeamInfo!C:C,0),2),"")</f>
        <v/>
      </c>
      <c r="C39" s="498"/>
      <c r="D39" s="498"/>
      <c r="E39" s="498"/>
      <c r="F39" s="498"/>
      <c r="G39" s="499"/>
      <c r="H39" s="499"/>
      <c r="I39" s="499"/>
      <c r="J39" s="499"/>
      <c r="K39" s="499"/>
      <c r="L39" s="499"/>
      <c r="M39" s="499"/>
      <c r="N39" s="499"/>
      <c r="O39" s="499"/>
      <c r="P39" s="499"/>
      <c r="Q39" s="499"/>
      <c r="R39" s="499"/>
      <c r="S39" s="499"/>
      <c r="T39" s="499"/>
      <c r="U39" s="499"/>
      <c r="V39" s="499"/>
      <c r="W39" s="499"/>
      <c r="X39" s="499"/>
      <c r="Y39" s="499"/>
      <c r="Z39" s="499"/>
      <c r="AA39" s="499"/>
      <c r="AB39" s="499"/>
      <c r="AC39" s="499"/>
      <c r="AD39" s="499"/>
      <c r="AE39" s="499"/>
      <c r="AF39" s="499"/>
      <c r="AG39" s="499"/>
      <c r="AH39" s="499"/>
      <c r="AI39" s="499"/>
      <c r="AJ39" s="499"/>
      <c r="AK39" s="499"/>
      <c r="AL39" s="499"/>
      <c r="AM39" s="499"/>
      <c r="AN39" s="499"/>
      <c r="AO39" s="499"/>
      <c r="AP39" s="499"/>
      <c r="AQ39" s="499"/>
      <c r="AR39" s="499"/>
      <c r="AS39" s="499"/>
      <c r="AT39" s="499"/>
      <c r="AU39" s="499"/>
      <c r="AV39" s="499"/>
      <c r="AW39" s="499"/>
      <c r="AX39" s="499"/>
      <c r="AY39" s="499"/>
      <c r="AZ39" s="499"/>
      <c r="BA39" s="499"/>
      <c r="BB39" s="526"/>
      <c r="BC39" s="500"/>
      <c r="BD39" s="500"/>
    </row>
    <row r="40">
      <c r="A40" s="553" t="str">
        <f t="array" ref="A40">IFERROR(INDEX(TeamInfo!$1:$45,MATCH(C40,TeamInfo!C:C,0),1),"")</f>
        <v/>
      </c>
      <c r="B40" s="497" t="str">
        <f t="array" ref="B40">IFERROR(INDEX(TeamInfo!$1:$45,MATCH(C40,TeamInfo!C:C,0),2),"")</f>
        <v/>
      </c>
      <c r="C40" s="498"/>
      <c r="D40" s="498"/>
      <c r="E40" s="498"/>
      <c r="F40" s="498"/>
      <c r="G40" s="499"/>
      <c r="H40" s="499"/>
      <c r="I40" s="499"/>
      <c r="J40" s="499"/>
      <c r="K40" s="499"/>
      <c r="L40" s="499"/>
      <c r="M40" s="499"/>
      <c r="N40" s="499"/>
      <c r="O40" s="499"/>
      <c r="P40" s="499"/>
      <c r="Q40" s="499"/>
      <c r="R40" s="499"/>
      <c r="S40" s="499"/>
      <c r="T40" s="499"/>
      <c r="U40" s="499"/>
      <c r="V40" s="499"/>
      <c r="W40" s="499"/>
      <c r="X40" s="499"/>
      <c r="Y40" s="499"/>
      <c r="Z40" s="499"/>
      <c r="AA40" s="499"/>
      <c r="AB40" s="499"/>
      <c r="AC40" s="499"/>
      <c r="AD40" s="499"/>
      <c r="AE40" s="499"/>
      <c r="AF40" s="499"/>
      <c r="AG40" s="499"/>
      <c r="AH40" s="499"/>
      <c r="AI40" s="499"/>
      <c r="AJ40" s="499"/>
      <c r="AK40" s="499"/>
      <c r="AL40" s="499"/>
      <c r="AM40" s="499"/>
      <c r="AN40" s="499"/>
      <c r="AO40" s="499"/>
      <c r="AP40" s="499"/>
      <c r="AQ40" s="499"/>
      <c r="AR40" s="499"/>
      <c r="AS40" s="499"/>
      <c r="AT40" s="499"/>
      <c r="AU40" s="499"/>
      <c r="AV40" s="499"/>
      <c r="AW40" s="499"/>
      <c r="AX40" s="499"/>
      <c r="AY40" s="499"/>
      <c r="AZ40" s="499"/>
      <c r="BA40" s="499"/>
      <c r="BB40" s="526"/>
      <c r="BC40" s="500"/>
      <c r="BD40" s="500"/>
    </row>
    <row r="41">
      <c r="A41" s="553" t="str">
        <f t="array" ref="A41">IFERROR(INDEX(TeamInfo!$1:$45,MATCH(C41,TeamInfo!C:C,0),1),"")</f>
        <v/>
      </c>
      <c r="B41" s="497" t="str">
        <f t="array" ref="B41">IFERROR(INDEX(TeamInfo!$1:$45,MATCH(C41,TeamInfo!C:C,0),2),"")</f>
        <v/>
      </c>
      <c r="C41" s="498"/>
      <c r="D41" s="498"/>
      <c r="E41" s="498"/>
      <c r="F41" s="498"/>
      <c r="G41" s="499"/>
      <c r="H41" s="499"/>
      <c r="I41" s="499"/>
      <c r="J41" s="499"/>
      <c r="K41" s="499"/>
      <c r="L41" s="499"/>
      <c r="M41" s="499"/>
      <c r="N41" s="499"/>
      <c r="O41" s="499"/>
      <c r="P41" s="499"/>
      <c r="Q41" s="499"/>
      <c r="R41" s="499"/>
      <c r="S41" s="499"/>
      <c r="T41" s="499"/>
      <c r="U41" s="499"/>
      <c r="V41" s="499"/>
      <c r="W41" s="499"/>
      <c r="X41" s="499"/>
      <c r="Y41" s="499"/>
      <c r="Z41" s="499"/>
      <c r="AA41" s="499"/>
      <c r="AB41" s="499"/>
      <c r="AC41" s="499"/>
      <c r="AD41" s="499"/>
      <c r="AE41" s="499"/>
      <c r="AF41" s="499"/>
      <c r="AG41" s="499"/>
      <c r="AH41" s="499"/>
      <c r="AI41" s="499"/>
      <c r="AJ41" s="499"/>
      <c r="AK41" s="499"/>
      <c r="AL41" s="499"/>
      <c r="AM41" s="499"/>
      <c r="AN41" s="499"/>
      <c r="AO41" s="499"/>
      <c r="AP41" s="499"/>
      <c r="AQ41" s="499"/>
      <c r="AR41" s="499"/>
      <c r="AS41" s="499"/>
      <c r="AT41" s="499"/>
      <c r="AU41" s="499"/>
      <c r="AV41" s="499"/>
      <c r="AW41" s="499"/>
      <c r="AX41" s="499"/>
      <c r="AY41" s="499"/>
      <c r="AZ41" s="499"/>
      <c r="BA41" s="499"/>
      <c r="BB41" s="526"/>
      <c r="BC41" s="500"/>
      <c r="BD41" s="500"/>
    </row>
    <row r="42">
      <c r="A42" s="558" t="str">
        <f t="array" ref="A42">IFERROR(INDEX(TeamInfo!$1:$45,MATCH(C42,TeamInfo!C:C,0),1),"")</f>
        <v/>
      </c>
      <c r="B42" s="559" t="str">
        <f t="array" ref="B42">IFERROR(INDEX(TeamInfo!$1:$45,MATCH(C42,TeamInfo!C:C,0),2),"")</f>
        <v/>
      </c>
      <c r="C42" s="529"/>
      <c r="D42" s="529"/>
      <c r="E42" s="529"/>
      <c r="F42" s="529"/>
      <c r="G42" s="503"/>
      <c r="H42" s="503"/>
      <c r="I42" s="503"/>
      <c r="J42" s="503"/>
      <c r="K42" s="503"/>
      <c r="L42" s="503"/>
      <c r="M42" s="503"/>
      <c r="N42" s="503"/>
      <c r="O42" s="503"/>
      <c r="P42" s="503"/>
      <c r="Q42" s="503"/>
      <c r="R42" s="503"/>
      <c r="S42" s="503"/>
      <c r="T42" s="503"/>
      <c r="U42" s="503"/>
      <c r="V42" s="503"/>
      <c r="W42" s="503"/>
      <c r="X42" s="503"/>
      <c r="Y42" s="503"/>
      <c r="Z42" s="503"/>
      <c r="AA42" s="503"/>
      <c r="AB42" s="503"/>
      <c r="AC42" s="503"/>
      <c r="AD42" s="503"/>
      <c r="AE42" s="503"/>
      <c r="AF42" s="503"/>
      <c r="AG42" s="503"/>
      <c r="AH42" s="503"/>
      <c r="AI42" s="503"/>
      <c r="AJ42" s="503"/>
      <c r="AK42" s="503"/>
      <c r="AL42" s="503"/>
      <c r="AM42" s="503"/>
      <c r="AN42" s="503"/>
      <c r="AO42" s="503"/>
      <c r="AP42" s="503"/>
      <c r="AQ42" s="503"/>
      <c r="AR42" s="503"/>
      <c r="AS42" s="503"/>
      <c r="AT42" s="503"/>
      <c r="AU42" s="503"/>
      <c r="AV42" s="503"/>
      <c r="AW42" s="503"/>
      <c r="AX42" s="503"/>
      <c r="AY42" s="503"/>
      <c r="AZ42" s="503"/>
      <c r="BA42" s="503"/>
      <c r="BB42" s="530"/>
      <c r="BC42" s="500"/>
      <c r="BD42" s="500"/>
    </row>
    <row r="43">
      <c r="A43" s="563" t="str">
        <f t="array" ref="A43">IFERROR(INDEX(TeamInfo!$1:$45,MATCH(C43,TeamInfo!C:C,0),1),"")</f>
        <v/>
      </c>
      <c r="B43" s="564" t="str">
        <f t="array" ref="B43">IFERROR(INDEX(TeamInfo!$1:$45,MATCH(C43,TeamInfo!C:C,0),2),"")</f>
        <v/>
      </c>
      <c r="C43" s="533"/>
      <c r="D43" s="533"/>
      <c r="E43" s="533"/>
      <c r="F43" s="533"/>
      <c r="G43" s="534"/>
      <c r="H43" s="534"/>
      <c r="I43" s="534"/>
      <c r="J43" s="534"/>
      <c r="K43" s="534"/>
      <c r="L43" s="534"/>
      <c r="M43" s="534"/>
      <c r="N43" s="534"/>
      <c r="O43" s="534"/>
      <c r="P43" s="534"/>
      <c r="Q43" s="534"/>
      <c r="R43" s="534"/>
      <c r="S43" s="534"/>
      <c r="T43" s="534"/>
      <c r="U43" s="534"/>
      <c r="V43" s="534"/>
      <c r="W43" s="534"/>
      <c r="X43" s="534"/>
      <c r="Y43" s="534"/>
      <c r="Z43" s="534"/>
      <c r="AA43" s="534"/>
      <c r="AB43" s="534"/>
      <c r="AC43" s="534"/>
      <c r="AD43" s="534"/>
      <c r="AE43" s="534"/>
      <c r="AF43" s="534"/>
      <c r="AG43" s="534"/>
      <c r="AH43" s="534"/>
      <c r="AI43" s="534"/>
      <c r="AJ43" s="534"/>
      <c r="AK43" s="534"/>
      <c r="AL43" s="534"/>
      <c r="AM43" s="534"/>
      <c r="AN43" s="534"/>
      <c r="AO43" s="534"/>
      <c r="AP43" s="534"/>
      <c r="AQ43" s="534"/>
      <c r="AR43" s="534"/>
      <c r="AS43" s="534"/>
      <c r="AT43" s="534"/>
      <c r="AU43" s="534"/>
      <c r="AV43" s="534"/>
      <c r="AW43" s="534"/>
      <c r="AX43" s="534"/>
      <c r="AY43" s="534"/>
      <c r="AZ43" s="534"/>
      <c r="BA43" s="534"/>
      <c r="BB43" s="535"/>
      <c r="BC43" s="500"/>
      <c r="BD43" s="500"/>
    </row>
    <row r="44">
      <c r="A44" s="553" t="str">
        <f t="array" ref="A44">IFERROR(INDEX(TeamInfo!$1:$45,MATCH(C44,TeamInfo!C:C,0),1),"")</f>
        <v/>
      </c>
      <c r="B44" s="497" t="str">
        <f t="array" ref="B44">IFERROR(INDEX(TeamInfo!$1:$45,MATCH(C44,TeamInfo!C:C,0),2),"")</f>
        <v/>
      </c>
      <c r="C44" s="498"/>
      <c r="D44" s="498"/>
      <c r="E44" s="498"/>
      <c r="F44" s="498"/>
      <c r="G44" s="499"/>
      <c r="H44" s="499"/>
      <c r="I44" s="499"/>
      <c r="J44" s="499"/>
      <c r="K44" s="499"/>
      <c r="L44" s="499"/>
      <c r="M44" s="499"/>
      <c r="N44" s="499"/>
      <c r="O44" s="499"/>
      <c r="P44" s="499"/>
      <c r="Q44" s="499"/>
      <c r="R44" s="499"/>
      <c r="S44" s="499"/>
      <c r="T44" s="499"/>
      <c r="U44" s="499"/>
      <c r="V44" s="499"/>
      <c r="W44" s="499"/>
      <c r="X44" s="499"/>
      <c r="Y44" s="499"/>
      <c r="Z44" s="499"/>
      <c r="AA44" s="499"/>
      <c r="AB44" s="499"/>
      <c r="AC44" s="499"/>
      <c r="AD44" s="499"/>
      <c r="AE44" s="499"/>
      <c r="AF44" s="499"/>
      <c r="AG44" s="499"/>
      <c r="AH44" s="499"/>
      <c r="AI44" s="499"/>
      <c r="AJ44" s="499"/>
      <c r="AK44" s="499"/>
      <c r="AL44" s="499"/>
      <c r="AM44" s="499"/>
      <c r="AN44" s="499"/>
      <c r="AO44" s="499"/>
      <c r="AP44" s="499"/>
      <c r="AQ44" s="499"/>
      <c r="AR44" s="499"/>
      <c r="AS44" s="499"/>
      <c r="AT44" s="499"/>
      <c r="AU44" s="499"/>
      <c r="AV44" s="499"/>
      <c r="AW44" s="499"/>
      <c r="AX44" s="499"/>
      <c r="AY44" s="499"/>
      <c r="AZ44" s="499"/>
      <c r="BA44" s="499"/>
      <c r="BB44" s="526"/>
      <c r="BC44" s="500"/>
      <c r="BD44" s="500"/>
    </row>
    <row r="45">
      <c r="A45" s="553" t="str">
        <f t="array" ref="A45">IFERROR(INDEX(TeamInfo!$1:$45,MATCH(C45,TeamInfo!C:C,0),1),"")</f>
        <v/>
      </c>
      <c r="B45" s="497" t="str">
        <f t="array" ref="B45">IFERROR(INDEX(TeamInfo!$1:$45,MATCH(C45,TeamInfo!C:C,0),2),"")</f>
        <v/>
      </c>
      <c r="C45" s="498"/>
      <c r="D45" s="498"/>
      <c r="E45" s="498"/>
      <c r="F45" s="498"/>
      <c r="G45" s="499"/>
      <c r="H45" s="499"/>
      <c r="I45" s="499"/>
      <c r="J45" s="499"/>
      <c r="K45" s="499"/>
      <c r="L45" s="499"/>
      <c r="M45" s="499"/>
      <c r="N45" s="499"/>
      <c r="O45" s="499"/>
      <c r="P45" s="499"/>
      <c r="Q45" s="499"/>
      <c r="R45" s="499"/>
      <c r="S45" s="499"/>
      <c r="T45" s="499"/>
      <c r="U45" s="499"/>
      <c r="V45" s="499"/>
      <c r="W45" s="499"/>
      <c r="X45" s="499"/>
      <c r="Y45" s="499"/>
      <c r="Z45" s="499"/>
      <c r="AA45" s="499"/>
      <c r="AB45" s="499"/>
      <c r="AC45" s="499"/>
      <c r="AD45" s="499"/>
      <c r="AE45" s="499"/>
      <c r="AF45" s="499"/>
      <c r="AG45" s="499"/>
      <c r="AH45" s="499"/>
      <c r="AI45" s="499"/>
      <c r="AJ45" s="499"/>
      <c r="AK45" s="499"/>
      <c r="AL45" s="499"/>
      <c r="AM45" s="499"/>
      <c r="AN45" s="499"/>
      <c r="AO45" s="499"/>
      <c r="AP45" s="499"/>
      <c r="AQ45" s="499"/>
      <c r="AR45" s="499"/>
      <c r="AS45" s="499"/>
      <c r="AT45" s="499"/>
      <c r="AU45" s="499"/>
      <c r="AV45" s="499"/>
      <c r="AW45" s="499"/>
      <c r="AX45" s="499"/>
      <c r="AY45" s="499"/>
      <c r="AZ45" s="499"/>
      <c r="BA45" s="499"/>
      <c r="BB45" s="526"/>
      <c r="BC45" s="500"/>
      <c r="BD45" s="500"/>
    </row>
    <row r="46">
      <c r="A46" s="553" t="str">
        <f t="array" ref="A46">IFERROR(INDEX(TeamInfo!$1:$45,MATCH(C46,TeamInfo!C:C,0),1),"")</f>
        <v/>
      </c>
      <c r="B46" s="497" t="str">
        <f t="array" ref="B46">IFERROR(INDEX(TeamInfo!$1:$45,MATCH(C46,TeamInfo!C:C,0),2),"")</f>
        <v/>
      </c>
      <c r="C46" s="498"/>
      <c r="D46" s="498"/>
      <c r="E46" s="498"/>
      <c r="F46" s="498"/>
      <c r="G46" s="499"/>
      <c r="H46" s="499"/>
      <c r="I46" s="499"/>
      <c r="J46" s="499"/>
      <c r="K46" s="499"/>
      <c r="L46" s="499"/>
      <c r="M46" s="499"/>
      <c r="N46" s="499"/>
      <c r="O46" s="499"/>
      <c r="P46" s="499"/>
      <c r="Q46" s="499"/>
      <c r="R46" s="499"/>
      <c r="S46" s="499"/>
      <c r="T46" s="499"/>
      <c r="U46" s="499"/>
      <c r="V46" s="499"/>
      <c r="W46" s="499"/>
      <c r="X46" s="499"/>
      <c r="Y46" s="499"/>
      <c r="Z46" s="499"/>
      <c r="AA46" s="499"/>
      <c r="AB46" s="499"/>
      <c r="AC46" s="499"/>
      <c r="AD46" s="499"/>
      <c r="AE46" s="499"/>
      <c r="AF46" s="499"/>
      <c r="AG46" s="499"/>
      <c r="AH46" s="499"/>
      <c r="AI46" s="499"/>
      <c r="AJ46" s="499"/>
      <c r="AK46" s="499"/>
      <c r="AL46" s="499"/>
      <c r="AM46" s="499"/>
      <c r="AN46" s="499"/>
      <c r="AO46" s="499"/>
      <c r="AP46" s="499"/>
      <c r="AQ46" s="499"/>
      <c r="AR46" s="499"/>
      <c r="AS46" s="499"/>
      <c r="AT46" s="499"/>
      <c r="AU46" s="499"/>
      <c r="AV46" s="499"/>
      <c r="AW46" s="499"/>
      <c r="AX46" s="499"/>
      <c r="AY46" s="499"/>
      <c r="AZ46" s="499"/>
      <c r="BA46" s="499"/>
      <c r="BB46" s="526"/>
      <c r="BC46" s="500"/>
      <c r="BD46" s="500"/>
    </row>
    <row r="47">
      <c r="A47" s="549" t="str">
        <f t="array" ref="A47">IFERROR(INDEX(TeamInfo!$1:$45,MATCH(C47,TeamInfo!C:C,0),1),"")</f>
        <v/>
      </c>
      <c r="B47" s="501" t="str">
        <f t="array" ref="B47">IFERROR(INDEX(TeamInfo!$1:$45,MATCH(C47,TeamInfo!C:C,0),2),"")</f>
        <v/>
      </c>
      <c r="C47" s="364"/>
      <c r="D47" s="364"/>
      <c r="E47" s="364"/>
      <c r="F47" s="364"/>
      <c r="G47" s="502"/>
      <c r="H47" s="502"/>
      <c r="I47" s="502"/>
      <c r="J47" s="502"/>
      <c r="K47" s="502"/>
      <c r="L47" s="502"/>
      <c r="M47" s="502"/>
      <c r="N47" s="502"/>
      <c r="O47" s="502"/>
      <c r="P47" s="502"/>
      <c r="Q47" s="502"/>
      <c r="R47" s="502"/>
      <c r="S47" s="502"/>
      <c r="T47" s="502"/>
      <c r="U47" s="502"/>
      <c r="V47" s="502"/>
      <c r="W47" s="502"/>
      <c r="X47" s="502"/>
      <c r="Y47" s="502"/>
      <c r="Z47" s="502"/>
      <c r="AA47" s="502"/>
      <c r="AB47" s="502"/>
      <c r="AC47" s="502"/>
      <c r="AD47" s="502"/>
      <c r="AE47" s="502"/>
      <c r="AF47" s="502"/>
      <c r="AG47" s="502"/>
      <c r="AH47" s="502"/>
      <c r="AI47" s="502"/>
      <c r="AJ47" s="502"/>
      <c r="AK47" s="502"/>
      <c r="AL47" s="502"/>
      <c r="AM47" s="502"/>
      <c r="AN47" s="502"/>
      <c r="AO47" s="502"/>
      <c r="AP47" s="502"/>
      <c r="AQ47" s="502"/>
      <c r="AR47" s="502"/>
      <c r="AS47" s="502"/>
      <c r="AT47" s="502"/>
      <c r="AU47" s="502"/>
      <c r="AV47" s="502"/>
      <c r="AW47" s="502"/>
      <c r="AX47" s="502"/>
      <c r="AY47" s="502"/>
      <c r="AZ47" s="502"/>
      <c r="BA47" s="502"/>
      <c r="BB47" s="569"/>
      <c r="BC47" s="481"/>
      <c r="BD47" s="481"/>
    </row>
    <row r="48">
      <c r="A48" s="549" t="str">
        <f t="array" ref="A48">IFERROR(INDEX(TeamInfo!$1:$45,MATCH(C48,TeamInfo!C:C,0),1),"")</f>
        <v/>
      </c>
      <c r="B48" s="501" t="str">
        <f t="array" ref="B48">IFERROR(INDEX(TeamInfo!$1:$45,MATCH(C48,TeamInfo!C:C,0),2),"")</f>
        <v/>
      </c>
      <c r="C48" s="364"/>
      <c r="D48" s="364"/>
      <c r="E48" s="364"/>
      <c r="F48" s="364"/>
      <c r="G48" s="502"/>
      <c r="H48" s="502"/>
      <c r="I48" s="502"/>
      <c r="J48" s="502"/>
      <c r="K48" s="502"/>
      <c r="L48" s="502"/>
      <c r="M48" s="502"/>
      <c r="N48" s="502"/>
      <c r="O48" s="502"/>
      <c r="P48" s="502"/>
      <c r="Q48" s="502"/>
      <c r="R48" s="502"/>
      <c r="S48" s="502"/>
      <c r="T48" s="502"/>
      <c r="U48" s="502"/>
      <c r="V48" s="502"/>
      <c r="W48" s="502"/>
      <c r="X48" s="502"/>
      <c r="Y48" s="502"/>
      <c r="Z48" s="502"/>
      <c r="AA48" s="502"/>
      <c r="AB48" s="502"/>
      <c r="AC48" s="502"/>
      <c r="AD48" s="502"/>
      <c r="AE48" s="502"/>
      <c r="AF48" s="502"/>
      <c r="AG48" s="502"/>
      <c r="AH48" s="502"/>
      <c r="AI48" s="502"/>
      <c r="AJ48" s="502"/>
      <c r="AK48" s="502"/>
      <c r="AL48" s="502"/>
      <c r="AM48" s="502"/>
      <c r="AN48" s="502"/>
      <c r="AO48" s="502"/>
      <c r="AP48" s="502"/>
      <c r="AQ48" s="502"/>
      <c r="AR48" s="502"/>
      <c r="AS48" s="502"/>
      <c r="AT48" s="502"/>
      <c r="AU48" s="502"/>
      <c r="AV48" s="502"/>
      <c r="AW48" s="502"/>
      <c r="AX48" s="502"/>
      <c r="AY48" s="502"/>
      <c r="AZ48" s="502"/>
      <c r="BA48" s="502"/>
      <c r="BB48" s="569"/>
      <c r="BC48" s="481"/>
      <c r="BD48" s="481"/>
    </row>
    <row r="49">
      <c r="A49" s="549" t="str">
        <f t="array" ref="A49">IFERROR(INDEX(TeamInfo!$1:$45,MATCH(C49,TeamInfo!C:C,0),1),"")</f>
        <v/>
      </c>
      <c r="B49" s="501" t="str">
        <f t="array" ref="B49">IFERROR(INDEX(TeamInfo!$1:$45,MATCH(C49,TeamInfo!C:C,0),2),"")</f>
        <v/>
      </c>
      <c r="C49" s="364"/>
      <c r="D49" s="364"/>
      <c r="E49" s="364"/>
      <c r="F49" s="364"/>
      <c r="G49" s="502"/>
      <c r="H49" s="502"/>
      <c r="I49" s="502"/>
      <c r="J49" s="502"/>
      <c r="K49" s="502"/>
      <c r="L49" s="502"/>
      <c r="M49" s="502"/>
      <c r="N49" s="502"/>
      <c r="O49" s="502"/>
      <c r="P49" s="502"/>
      <c r="Q49" s="502"/>
      <c r="R49" s="502"/>
      <c r="S49" s="502"/>
      <c r="T49" s="502"/>
      <c r="U49" s="502"/>
      <c r="V49" s="502"/>
      <c r="W49" s="502"/>
      <c r="X49" s="502"/>
      <c r="Y49" s="502"/>
      <c r="Z49" s="502"/>
      <c r="AA49" s="502"/>
      <c r="AB49" s="502"/>
      <c r="AC49" s="502"/>
      <c r="AD49" s="502"/>
      <c r="AE49" s="502"/>
      <c r="AF49" s="502"/>
      <c r="AG49" s="502"/>
      <c r="AH49" s="502"/>
      <c r="AI49" s="502"/>
      <c r="AJ49" s="502"/>
      <c r="AK49" s="502"/>
      <c r="AL49" s="502"/>
      <c r="AM49" s="502"/>
      <c r="AN49" s="502"/>
      <c r="AO49" s="502"/>
      <c r="AP49" s="502"/>
      <c r="AQ49" s="502"/>
      <c r="AR49" s="502"/>
      <c r="AS49" s="502"/>
      <c r="AT49" s="502"/>
      <c r="AU49" s="502"/>
      <c r="AV49" s="502"/>
      <c r="AW49" s="502"/>
      <c r="AX49" s="502"/>
      <c r="AY49" s="502"/>
      <c r="AZ49" s="502"/>
      <c r="BA49" s="502"/>
      <c r="BB49" s="569"/>
      <c r="BC49" s="481"/>
      <c r="BD49" s="481"/>
    </row>
    <row r="50">
      <c r="A50" s="565" t="str">
        <f t="array" ref="A50">IFERROR(INDEX(TeamInfo!$1:$45,MATCH(C50,TeamInfo!C:C,0),1),"")</f>
        <v/>
      </c>
      <c r="B50" s="566" t="str">
        <f t="array" ref="B50">IFERROR(INDEX(TeamInfo!$1:$45,MATCH(C50,TeamInfo!C:C,0),2),"")</f>
        <v/>
      </c>
      <c r="C50" s="538"/>
      <c r="D50" s="538"/>
      <c r="E50" s="538"/>
      <c r="F50" s="538"/>
      <c r="G50" s="540"/>
      <c r="H50" s="540"/>
      <c r="I50" s="540"/>
      <c r="J50" s="540"/>
      <c r="K50" s="540"/>
      <c r="L50" s="540"/>
      <c r="M50" s="540"/>
      <c r="N50" s="540"/>
      <c r="O50" s="540"/>
      <c r="P50" s="540"/>
      <c r="Q50" s="540"/>
      <c r="R50" s="540"/>
      <c r="S50" s="540"/>
      <c r="T50" s="540"/>
      <c r="U50" s="540"/>
      <c r="V50" s="540"/>
      <c r="W50" s="540"/>
      <c r="X50" s="540"/>
      <c r="Y50" s="540"/>
      <c r="Z50" s="540"/>
      <c r="AA50" s="540"/>
      <c r="AB50" s="540"/>
      <c r="AC50" s="540"/>
      <c r="AD50" s="540"/>
      <c r="AE50" s="540"/>
      <c r="AF50" s="540"/>
      <c r="AG50" s="540"/>
      <c r="AH50" s="540"/>
      <c r="AI50" s="540"/>
      <c r="AJ50" s="540"/>
      <c r="AK50" s="540"/>
      <c r="AL50" s="540"/>
      <c r="AM50" s="540"/>
      <c r="AN50" s="540"/>
      <c r="AO50" s="540"/>
      <c r="AP50" s="540"/>
      <c r="AQ50" s="540"/>
      <c r="AR50" s="540"/>
      <c r="AS50" s="540"/>
      <c r="AT50" s="540"/>
      <c r="AU50" s="540"/>
      <c r="AV50" s="540"/>
      <c r="AW50" s="540"/>
      <c r="AX50" s="540"/>
      <c r="AY50" s="540"/>
      <c r="AZ50" s="540"/>
      <c r="BA50" s="540"/>
      <c r="BB50" s="570"/>
      <c r="BC50" s="481"/>
      <c r="BD50" s="481"/>
    </row>
    <row r="51" hidden="1">
      <c r="B51" s="357"/>
    </row>
    <row r="52" hidden="1">
      <c r="B52" s="357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38"/>
    <col customWidth="1" min="3" max="3" width="8.63"/>
    <col customWidth="1" min="4" max="4" width="8.5"/>
    <col customWidth="1" min="5" max="5" width="7.88"/>
    <col customWidth="1" min="6" max="7" width="9.38"/>
    <col customWidth="1" min="8" max="8" width="11.25"/>
    <col customWidth="1" min="9" max="9" width="10.75"/>
    <col customWidth="1" min="10" max="10" width="11.13"/>
    <col customWidth="1" min="11" max="11" width="11.38"/>
    <col customWidth="1" min="12" max="12" width="12.38"/>
    <col customWidth="1" min="13" max="13" width="13.0"/>
    <col customWidth="1" min="14" max="14" width="12.75"/>
    <col customWidth="1" min="15" max="15" width="13.88"/>
    <col customWidth="1" min="16" max="16" width="15.0"/>
    <col customWidth="1" min="17" max="17" width="14.13"/>
    <col customWidth="1" min="18" max="18" width="12.25"/>
    <col customWidth="1" min="19" max="19" width="14.13"/>
    <col customWidth="1" min="20" max="20" width="12.5"/>
    <col customWidth="1" min="21" max="21" width="11.25"/>
    <col customWidth="1" min="22" max="22" width="11.63"/>
    <col customWidth="1" min="23" max="23" width="12.25"/>
    <col customWidth="1" min="24" max="24" width="12.63"/>
    <col customWidth="1" min="25" max="25" width="14.13"/>
    <col customWidth="1" min="26" max="26" width="13.38"/>
    <col customWidth="1" min="27" max="27" width="14.75"/>
    <col customWidth="1" min="28" max="28" width="11.38"/>
    <col customWidth="1" min="29" max="29" width="10.25"/>
    <col customWidth="1" min="30" max="30" width="10.63"/>
    <col customWidth="1" min="31" max="31" width="14.5"/>
    <col customWidth="1" min="32" max="32" width="15.25"/>
    <col customWidth="1" min="33" max="33" width="11.13"/>
    <col customWidth="1" min="34" max="34" width="11.75"/>
    <col customWidth="1" min="35" max="35" width="15.25"/>
    <col customWidth="1" min="36" max="36" width="16.75"/>
    <col customWidth="1" min="37" max="37" width="11.63"/>
    <col customWidth="1" min="38" max="38" width="12.63"/>
    <col customWidth="1" min="39" max="39" width="12.5"/>
    <col customWidth="1" min="40" max="40" width="13.63"/>
    <col customWidth="1" min="41" max="41" width="14.75"/>
    <col customWidth="1" min="42" max="42" width="13.88"/>
    <col customWidth="1" min="43" max="43" width="13.63"/>
    <col customWidth="1" min="44" max="44" width="13.75"/>
    <col customWidth="1" min="45" max="45" width="13.0"/>
    <col customWidth="1" min="46" max="46" width="13.63"/>
    <col customWidth="1" min="47" max="47" width="12.63"/>
    <col customWidth="1" min="48" max="48" width="11.88"/>
  </cols>
  <sheetData>
    <row r="1">
      <c r="A1" s="571" t="s">
        <v>132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2"/>
      <c r="AG1" s="572"/>
      <c r="AH1" s="572"/>
      <c r="AI1" s="572"/>
      <c r="AJ1" s="572"/>
      <c r="AK1" s="572"/>
      <c r="AL1" s="572"/>
      <c r="AM1" s="572"/>
      <c r="AN1" s="572"/>
      <c r="AO1" s="572"/>
      <c r="AP1" s="572"/>
      <c r="AQ1" s="572"/>
      <c r="AR1" s="572"/>
      <c r="AS1" s="572"/>
      <c r="AT1" s="572"/>
      <c r="AU1" s="572"/>
      <c r="AV1" s="572"/>
      <c r="AW1" s="72"/>
    </row>
    <row r="2">
      <c r="A2" s="573" t="s">
        <v>450</v>
      </c>
      <c r="B2" s="574" t="str">
        <f>IFERROR(__xludf.DUMMYFUNCTION("QUERY('Round 1'!A:BA,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#VALUE!")</f>
        <v>#VALUE!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</row>
    <row r="3">
      <c r="A3" s="5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</row>
    <row r="4">
      <c r="A4" s="571" t="s">
        <v>133</v>
      </c>
      <c r="B4" s="572"/>
      <c r="C4" s="572"/>
      <c r="D4" s="572"/>
      <c r="E4" s="572"/>
      <c r="F4" s="572"/>
      <c r="G4" s="572"/>
      <c r="H4" s="572"/>
      <c r="I4" s="572"/>
      <c r="J4" s="572"/>
      <c r="K4" s="572"/>
      <c r="L4" s="572"/>
      <c r="M4" s="572"/>
      <c r="N4" s="572"/>
      <c r="O4" s="572"/>
      <c r="P4" s="572"/>
      <c r="Q4" s="572"/>
      <c r="R4" s="572"/>
      <c r="S4" s="572"/>
      <c r="T4" s="572"/>
      <c r="U4" s="572"/>
      <c r="V4" s="572"/>
      <c r="W4" s="572"/>
      <c r="X4" s="572"/>
      <c r="Y4" s="572"/>
      <c r="Z4" s="572"/>
      <c r="AA4" s="572"/>
      <c r="AB4" s="572"/>
      <c r="AC4" s="572"/>
      <c r="AD4" s="572"/>
      <c r="AE4" s="572"/>
      <c r="AF4" s="572"/>
      <c r="AG4" s="572"/>
      <c r="AH4" s="572"/>
      <c r="AI4" s="572"/>
      <c r="AJ4" s="572"/>
      <c r="AK4" s="572"/>
      <c r="AL4" s="572"/>
      <c r="AM4" s="572"/>
      <c r="AN4" s="572"/>
      <c r="AO4" s="572"/>
      <c r="AP4" s="572"/>
      <c r="AQ4" s="572"/>
      <c r="AR4" s="572"/>
      <c r="AS4" s="572"/>
      <c r="AT4" s="572"/>
      <c r="AU4" s="572"/>
      <c r="AV4" s="572"/>
      <c r="AW4" s="72"/>
    </row>
    <row r="5">
      <c r="A5" s="573" t="s">
        <v>450</v>
      </c>
      <c r="B5" s="574" t="str">
        <f>IFERROR(__xludf.DUMMYFUNCTION("QUERY('Round 2'!A:BA,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#VALUE!")</f>
        <v>#VALUE!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</row>
    <row r="6">
      <c r="A6" s="5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</row>
    <row r="7">
      <c r="A7" s="571" t="s">
        <v>134</v>
      </c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2"/>
      <c r="Q7" s="572"/>
      <c r="R7" s="572"/>
      <c r="S7" s="572"/>
      <c r="T7" s="572"/>
      <c r="U7" s="572"/>
      <c r="V7" s="572"/>
      <c r="W7" s="572"/>
      <c r="X7" s="572"/>
      <c r="Y7" s="572"/>
      <c r="Z7" s="572"/>
      <c r="AA7" s="572"/>
      <c r="AB7" s="572"/>
      <c r="AC7" s="572"/>
      <c r="AD7" s="572"/>
      <c r="AE7" s="572"/>
      <c r="AF7" s="572"/>
      <c r="AG7" s="572"/>
      <c r="AH7" s="572"/>
      <c r="AI7" s="572"/>
      <c r="AJ7" s="572"/>
      <c r="AK7" s="572"/>
      <c r="AL7" s="572"/>
      <c r="AM7" s="572"/>
      <c r="AN7" s="572"/>
      <c r="AO7" s="572"/>
      <c r="AP7" s="572"/>
      <c r="AQ7" s="572"/>
      <c r="AR7" s="572"/>
      <c r="AS7" s="572"/>
      <c r="AT7" s="572"/>
      <c r="AU7" s="572"/>
      <c r="AV7" s="572"/>
      <c r="AW7" s="72"/>
    </row>
    <row r="8">
      <c r="A8" s="573" t="s">
        <v>450</v>
      </c>
      <c r="B8" s="72" t="str">
        <f>IFERROR(__xludf.DUMMYFUNCTION("QUERY('Round 3'!A:BC,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#VALUE!")</f>
        <v>#VALUE!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</row>
    <row r="9">
      <c r="A9" s="5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</row>
    <row r="10">
      <c r="A10" s="571" t="s">
        <v>451</v>
      </c>
      <c r="B10" s="572"/>
      <c r="C10" s="572"/>
      <c r="D10" s="572"/>
      <c r="E10" s="572"/>
      <c r="F10" s="572"/>
      <c r="G10" s="572"/>
      <c r="H10" s="572"/>
      <c r="I10" s="572"/>
      <c r="J10" s="572"/>
      <c r="K10" s="572"/>
      <c r="L10" s="572"/>
      <c r="M10" s="572"/>
      <c r="N10" s="572"/>
      <c r="O10" s="572"/>
      <c r="P10" s="572"/>
      <c r="Q10" s="572"/>
      <c r="R10" s="572"/>
      <c r="S10" s="572"/>
      <c r="T10" s="572"/>
      <c r="U10" s="572"/>
      <c r="V10" s="572"/>
      <c r="W10" s="572"/>
      <c r="X10" s="572"/>
      <c r="Y10" s="572"/>
      <c r="Z10" s="572"/>
      <c r="AA10" s="572"/>
      <c r="AB10" s="572"/>
      <c r="AC10" s="572"/>
      <c r="AD10" s="572"/>
      <c r="AE10" s="572"/>
      <c r="AF10" s="572"/>
      <c r="AG10" s="572"/>
      <c r="AH10" s="572"/>
      <c r="AI10" s="572"/>
      <c r="AJ10" s="572"/>
      <c r="AK10" s="572"/>
      <c r="AL10" s="572"/>
      <c r="AM10" s="572"/>
      <c r="AN10" s="572"/>
      <c r="AO10" s="572"/>
      <c r="AP10" s="572"/>
      <c r="AQ10" s="572"/>
      <c r="AR10" s="572"/>
      <c r="AS10" s="572"/>
      <c r="AT10" s="572"/>
      <c r="AU10" s="572"/>
      <c r="AV10" s="572"/>
      <c r="AW10" s="72"/>
    </row>
    <row r="11">
      <c r="A11" s="573" t="s">
        <v>450</v>
      </c>
      <c r="B11" s="72" t="str">
        <f>IFERROR(__xludf.DUMMYFUNCTION("QUERY(Semifinals!A:BB, ""select Avg(E),Avg(F),Avg(G),Avg(H),Avg(I),Avg(J),Avg(K),Avg(L),Avg(M),Avg(N),Avg(O),Avg(P),Avg(Q),Avg(R),Avg(S),Avg(T),Avg(U),Avg(V),Avg(W),Avg(X),Avg(Y),Avg(Z),Avg(AA),Avg(AB),Avg(AC),Avg(AD),Avg(AE),Avg(AF),Avg(AG),Avg(AH),Avg(A"&amp;"I),Avg(AJ),Avg(AK),Avg(AL),Avg(AM),Avg(AN),Avg(AO),Avg(AP),Avg(AQ),Avg(AR),Avg(AS),Avg(AT),Avg(AU),Avg(AV),Avg(AW),Avg(AX),Avg(AY)"",1)"),"#VALUE!")</f>
        <v>#VALUE!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</row>
    <row r="12">
      <c r="A12" s="5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</row>
    <row r="13">
      <c r="A13" s="571" t="s">
        <v>136</v>
      </c>
      <c r="B13" s="572"/>
      <c r="C13" s="572"/>
      <c r="D13" s="572"/>
      <c r="E13" s="572"/>
      <c r="F13" s="572"/>
      <c r="G13" s="572"/>
      <c r="H13" s="572"/>
      <c r="I13" s="572"/>
      <c r="J13" s="572"/>
      <c r="K13" s="572"/>
      <c r="L13" s="572"/>
      <c r="M13" s="572"/>
      <c r="N13" s="572"/>
      <c r="O13" s="572"/>
      <c r="P13" s="572"/>
      <c r="Q13" s="572"/>
      <c r="R13" s="572"/>
      <c r="S13" s="572"/>
      <c r="T13" s="572"/>
      <c r="U13" s="572"/>
      <c r="V13" s="572"/>
      <c r="W13" s="572"/>
      <c r="X13" s="572"/>
      <c r="Y13" s="572"/>
      <c r="Z13" s="572"/>
      <c r="AA13" s="572"/>
      <c r="AB13" s="572"/>
      <c r="AC13" s="572"/>
      <c r="AD13" s="572"/>
      <c r="AE13" s="572"/>
      <c r="AF13" s="572"/>
      <c r="AG13" s="572"/>
      <c r="AH13" s="572"/>
      <c r="AI13" s="572"/>
      <c r="AJ13" s="572"/>
      <c r="AK13" s="572"/>
      <c r="AL13" s="572"/>
      <c r="AM13" s="572"/>
      <c r="AN13" s="572"/>
      <c r="AO13" s="572"/>
      <c r="AP13" s="572"/>
      <c r="AQ13" s="572"/>
      <c r="AR13" s="572"/>
      <c r="AS13" s="572"/>
      <c r="AT13" s="572"/>
      <c r="AU13" s="572"/>
      <c r="AV13" s="572"/>
      <c r="AW13" s="72"/>
    </row>
    <row r="14">
      <c r="A14" s="573" t="s">
        <v>450</v>
      </c>
      <c r="B14" s="72" t="str">
        <f>IFERROR(__xludf.DUMMYFUNCTION("QUERY(Finals!A:BB, ""select Avg(E),Avg(F),Avg(G),Avg(H),Avg(I),Avg(J),Avg(K),Avg(L),Avg(M),Avg(N),Avg(O),Avg(P),Avg(Q),Avg(R),Avg(S),Avg(T),Avg(U),Avg(V),Avg(W),Avg(X),Avg(Y),Avg(Z),Avg(AA),Avg(AB),Avg(AC),Avg(AD),Avg(AE),Avg(AF),Avg(AG),Avg(AH),Avg(AI),A"&amp;"vg(AJ),Avg(AK),Avg(AL),Avg(AM),Avg(AN),Avg(AO),Avg(AP),Avg(AQ),Avg(AR),Avg(AS),Avg(AT),Avg(AU),Avg(AV),Avg(AW),Avg(AX),Avg(AY)"",1)"),"#VALUE!")</f>
        <v>#VALUE!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</row>
    <row r="15">
      <c r="A15" s="5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</row>
    <row r="16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</row>
    <row r="17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</row>
    <row r="18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</row>
    <row r="19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</row>
    <row r="20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</row>
    <row r="2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</row>
    <row r="22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</row>
    <row r="2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</row>
    <row r="24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</row>
    <row r="2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</row>
    <row r="26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</row>
    <row r="27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</row>
    <row r="28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</row>
    <row r="29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</row>
    <row r="30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</row>
    <row r="3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</row>
    <row r="3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</row>
    <row r="3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</row>
    <row r="3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</row>
    <row r="3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</row>
    <row r="3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</row>
    <row r="37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</row>
    <row r="38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</row>
    <row r="39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</row>
    <row r="40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</row>
    <row r="4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</row>
    <row r="4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</row>
    <row r="4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</row>
    <row r="4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</row>
    <row r="4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</row>
    <row r="4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</row>
    <row r="47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</row>
    <row r="48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</row>
    <row r="49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</row>
    <row r="5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25"/>
    <col customWidth="1" min="2" max="2" width="24.0"/>
    <col customWidth="1" min="3" max="3" width="14.5"/>
    <col customWidth="1" hidden="1" min="4" max="6" width="5.25"/>
    <col customWidth="1" min="7" max="7" width="5.0"/>
    <col customWidth="1" min="8" max="8" width="5.88"/>
    <col customWidth="1" min="9" max="9" width="5.63"/>
    <col customWidth="1" min="10" max="10" width="4.5"/>
    <col customWidth="1" min="11" max="11" width="6.88"/>
    <col customWidth="1" min="12" max="12" width="6.5"/>
    <col customWidth="1" min="13" max="13" width="6.63"/>
    <col customWidth="1" min="14" max="14" width="6.13"/>
    <col customWidth="1" min="15" max="15" width="8.5"/>
    <col customWidth="1" min="16" max="16" width="8.88"/>
    <col customWidth="1" min="17" max="17" width="9.5"/>
    <col customWidth="1" min="18" max="18" width="10.5"/>
    <col customWidth="1" min="19" max="19" width="10.38"/>
    <col customWidth="1" min="20" max="20" width="11.63"/>
    <col customWidth="1" min="21" max="21" width="12.88"/>
    <col customWidth="1" min="22" max="22" width="11.88"/>
    <col customWidth="1" min="23" max="23" width="9.38"/>
    <col customWidth="1" min="24" max="24" width="11.63"/>
    <col customWidth="1" min="25" max="25" width="10.13"/>
    <col customWidth="1" min="26" max="26" width="9.0"/>
    <col customWidth="1" min="27" max="27" width="8.0"/>
    <col customWidth="1" min="28" max="28" width="10.0"/>
    <col customWidth="1" min="29" max="29" width="10.13"/>
    <col customWidth="1" min="30" max="30" width="11.88"/>
    <col customWidth="1" min="31" max="31" width="11.13"/>
    <col customWidth="1" min="32" max="32" width="12.63"/>
    <col customWidth="1" min="33" max="33" width="9.0"/>
    <col customWidth="1" min="34" max="34" width="7.63"/>
    <col customWidth="1" min="35" max="35" width="8.25"/>
    <col customWidth="1" min="36" max="36" width="12.5"/>
    <col customWidth="1" min="37" max="37" width="13.25"/>
    <col customWidth="1" min="38" max="38" width="8.5"/>
    <col customWidth="1" min="39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2" width="10.75"/>
    <col customWidth="1" min="53" max="53" width="11.0"/>
    <col customWidth="1" min="54" max="54" width="9.38"/>
    <col customWidth="1" min="55" max="57" width="9.63"/>
    <col customWidth="1" hidden="1" min="58" max="58" width="9.63"/>
  </cols>
  <sheetData>
    <row r="1">
      <c r="A1" s="12" t="s">
        <v>148</v>
      </c>
      <c r="B1" s="12" t="s">
        <v>149</v>
      </c>
      <c r="C1" s="12" t="s">
        <v>62</v>
      </c>
      <c r="D1" s="12" t="s">
        <v>305</v>
      </c>
      <c r="E1" s="1" t="s">
        <v>117</v>
      </c>
      <c r="F1" s="1" t="s">
        <v>306</v>
      </c>
      <c r="G1" s="12" t="s">
        <v>307</v>
      </c>
      <c r="H1" s="12" t="s">
        <v>308</v>
      </c>
      <c r="I1" s="12" t="s">
        <v>20</v>
      </c>
      <c r="J1" s="12" t="s">
        <v>21</v>
      </c>
      <c r="K1" s="12" t="s">
        <v>22</v>
      </c>
      <c r="L1" s="12" t="s">
        <v>23</v>
      </c>
      <c r="M1" s="12" t="s">
        <v>24</v>
      </c>
      <c r="N1" s="12" t="s">
        <v>25</v>
      </c>
      <c r="O1" s="12" t="s">
        <v>26</v>
      </c>
      <c r="P1" s="12" t="s">
        <v>27</v>
      </c>
      <c r="Q1" s="12" t="s">
        <v>28</v>
      </c>
      <c r="R1" s="12" t="s">
        <v>29</v>
      </c>
      <c r="S1" s="12" t="s">
        <v>30</v>
      </c>
      <c r="T1" s="12" t="s">
        <v>31</v>
      </c>
      <c r="U1" s="12" t="s">
        <v>32</v>
      </c>
      <c r="V1" s="12" t="s">
        <v>118</v>
      </c>
      <c r="W1" s="12" t="s">
        <v>309</v>
      </c>
      <c r="X1" s="12" t="s">
        <v>310</v>
      </c>
      <c r="Y1" s="12" t="s">
        <v>33</v>
      </c>
      <c r="Z1" s="12" t="s">
        <v>34</v>
      </c>
      <c r="AA1" s="12" t="s">
        <v>35</v>
      </c>
      <c r="AB1" s="12" t="s">
        <v>36</v>
      </c>
      <c r="AC1" s="12" t="s">
        <v>37</v>
      </c>
      <c r="AD1" s="12" t="s">
        <v>38</v>
      </c>
      <c r="AE1" s="12" t="s">
        <v>39</v>
      </c>
      <c r="AF1" s="12" t="s">
        <v>311</v>
      </c>
      <c r="AG1" s="12" t="s">
        <v>312</v>
      </c>
      <c r="AH1" s="12" t="s">
        <v>313</v>
      </c>
      <c r="AI1" s="12" t="s">
        <v>40</v>
      </c>
      <c r="AJ1" s="12" t="s">
        <v>452</v>
      </c>
      <c r="AK1" s="12" t="s">
        <v>314</v>
      </c>
      <c r="AL1" s="12" t="s">
        <v>41</v>
      </c>
      <c r="AM1" s="12" t="s">
        <v>42</v>
      </c>
      <c r="AN1" s="12" t="s">
        <v>455</v>
      </c>
      <c r="AO1" s="12" t="s">
        <v>453</v>
      </c>
      <c r="AP1" s="12" t="s">
        <v>43</v>
      </c>
      <c r="AQ1" s="12" t="s">
        <v>44</v>
      </c>
      <c r="AR1" s="12" t="s">
        <v>45</v>
      </c>
      <c r="AS1" s="12" t="s">
        <v>46</v>
      </c>
      <c r="AT1" s="12" t="s">
        <v>47</v>
      </c>
      <c r="AU1" s="12" t="s">
        <v>48</v>
      </c>
      <c r="AV1" s="12" t="s">
        <v>49</v>
      </c>
      <c r="AW1" s="12" t="s">
        <v>50</v>
      </c>
      <c r="AX1" s="12" t="s">
        <v>51</v>
      </c>
      <c r="AY1" s="12" t="s">
        <v>52</v>
      </c>
      <c r="AZ1" s="12" t="s">
        <v>456</v>
      </c>
      <c r="BA1" s="12" t="s">
        <v>53</v>
      </c>
      <c r="BB1" s="12" t="s">
        <v>54</v>
      </c>
      <c r="BC1" s="12" t="s">
        <v>55</v>
      </c>
      <c r="BD1" s="12"/>
      <c r="BE1" s="12"/>
      <c r="BF1" s="1" t="s">
        <v>316</v>
      </c>
    </row>
    <row r="2">
      <c r="A2" s="564"/>
      <c r="B2" s="564"/>
      <c r="C2" s="575"/>
      <c r="D2" s="520"/>
      <c r="E2" s="520"/>
      <c r="F2" s="520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6"/>
      <c r="X2" s="576"/>
      <c r="Y2" s="576"/>
      <c r="Z2" s="576"/>
      <c r="AA2" s="576"/>
      <c r="AB2" s="576"/>
      <c r="AC2" s="576"/>
      <c r="AD2" s="576"/>
      <c r="AE2" s="576"/>
      <c r="AF2" s="576"/>
      <c r="AG2" s="576"/>
      <c r="AH2" s="576"/>
      <c r="AI2" s="576"/>
      <c r="AJ2" s="576"/>
      <c r="AK2" s="576"/>
      <c r="AL2" s="576"/>
      <c r="AM2" s="576"/>
      <c r="AN2" s="576"/>
      <c r="AO2" s="576"/>
      <c r="AP2" s="576"/>
      <c r="AQ2" s="576"/>
      <c r="AR2" s="576"/>
      <c r="AS2" s="576"/>
      <c r="AT2" s="576"/>
      <c r="AU2" s="576"/>
      <c r="AV2" s="576"/>
      <c r="AW2" s="576"/>
      <c r="AX2" s="576"/>
      <c r="AY2" s="576"/>
      <c r="AZ2" s="576"/>
      <c r="BA2" s="576"/>
      <c r="BB2" s="577"/>
      <c r="BC2" s="578"/>
      <c r="BD2" s="579"/>
      <c r="BE2" s="580"/>
      <c r="BF2" s="502"/>
    </row>
    <row r="3">
      <c r="A3" s="497"/>
      <c r="B3" s="497"/>
      <c r="C3" s="554"/>
      <c r="D3" s="364"/>
      <c r="E3" s="364"/>
      <c r="F3" s="364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55"/>
      <c r="X3" s="555"/>
      <c r="Y3" s="555"/>
      <c r="Z3" s="555"/>
      <c r="AA3" s="555"/>
      <c r="AB3" s="555"/>
      <c r="AC3" s="555"/>
      <c r="AD3" s="555"/>
      <c r="AE3" s="555"/>
      <c r="AF3" s="555"/>
      <c r="AG3" s="555"/>
      <c r="AH3" s="555"/>
      <c r="AI3" s="555"/>
      <c r="AJ3" s="555"/>
      <c r="AK3" s="555"/>
      <c r="AL3" s="555"/>
      <c r="AM3" s="555"/>
      <c r="AN3" s="555"/>
      <c r="AO3" s="555"/>
      <c r="AP3" s="555"/>
      <c r="AQ3" s="555"/>
      <c r="AR3" s="555"/>
      <c r="AS3" s="555"/>
      <c r="AT3" s="555"/>
      <c r="AU3" s="555"/>
      <c r="AV3" s="555"/>
      <c r="AW3" s="555"/>
      <c r="AX3" s="555"/>
      <c r="AY3" s="555"/>
      <c r="AZ3" s="555"/>
      <c r="BA3" s="555"/>
      <c r="BB3" s="556"/>
      <c r="BC3" s="557"/>
      <c r="BD3" s="556"/>
      <c r="BE3" s="581"/>
      <c r="BF3" s="502"/>
    </row>
    <row r="4">
      <c r="A4" s="497"/>
      <c r="B4" s="497"/>
      <c r="C4" s="554"/>
      <c r="D4" s="364"/>
      <c r="E4" s="364"/>
      <c r="F4" s="364"/>
      <c r="G4" s="555"/>
      <c r="H4" s="555"/>
      <c r="I4" s="555"/>
      <c r="J4" s="555"/>
      <c r="K4" s="555"/>
      <c r="L4" s="555"/>
      <c r="M4" s="555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55"/>
      <c r="Y4" s="555"/>
      <c r="Z4" s="555"/>
      <c r="AA4" s="555"/>
      <c r="AB4" s="555"/>
      <c r="AC4" s="555"/>
      <c r="AD4" s="555"/>
      <c r="AE4" s="555"/>
      <c r="AF4" s="555"/>
      <c r="AG4" s="555"/>
      <c r="AH4" s="555"/>
      <c r="AI4" s="555"/>
      <c r="AJ4" s="555"/>
      <c r="AK4" s="555"/>
      <c r="AL4" s="555"/>
      <c r="AM4" s="555"/>
      <c r="AN4" s="555"/>
      <c r="AO4" s="555"/>
      <c r="AP4" s="555"/>
      <c r="AQ4" s="555"/>
      <c r="AR4" s="555"/>
      <c r="AS4" s="555"/>
      <c r="AT4" s="555"/>
      <c r="AU4" s="555"/>
      <c r="AV4" s="555"/>
      <c r="AW4" s="555"/>
      <c r="AX4" s="555"/>
      <c r="AY4" s="555"/>
      <c r="AZ4" s="555"/>
      <c r="BA4" s="555"/>
      <c r="BB4" s="556"/>
      <c r="BC4" s="557"/>
      <c r="BD4" s="556"/>
      <c r="BE4" s="581"/>
      <c r="BF4" s="502"/>
    </row>
    <row r="5">
      <c r="A5" s="497"/>
      <c r="B5" s="497"/>
      <c r="C5" s="554"/>
      <c r="D5" s="364"/>
      <c r="E5" s="364"/>
      <c r="F5" s="364"/>
      <c r="G5" s="555"/>
      <c r="H5" s="555"/>
      <c r="I5" s="555"/>
      <c r="J5" s="555"/>
      <c r="K5" s="555"/>
      <c r="L5" s="555"/>
      <c r="M5" s="555"/>
      <c r="N5" s="555"/>
      <c r="O5" s="555"/>
      <c r="P5" s="555"/>
      <c r="Q5" s="555"/>
      <c r="R5" s="555"/>
      <c r="S5" s="555"/>
      <c r="T5" s="555"/>
      <c r="U5" s="555"/>
      <c r="V5" s="555"/>
      <c r="W5" s="555"/>
      <c r="X5" s="555"/>
      <c r="Y5" s="555"/>
      <c r="Z5" s="555"/>
      <c r="AA5" s="555"/>
      <c r="AB5" s="555"/>
      <c r="AC5" s="555"/>
      <c r="AD5" s="555"/>
      <c r="AE5" s="555"/>
      <c r="AF5" s="555"/>
      <c r="AG5" s="555"/>
      <c r="AH5" s="555"/>
      <c r="AI5" s="555"/>
      <c r="AJ5" s="555"/>
      <c r="AK5" s="555"/>
      <c r="AL5" s="555"/>
      <c r="AM5" s="555"/>
      <c r="AN5" s="555"/>
      <c r="AO5" s="555"/>
      <c r="AP5" s="555"/>
      <c r="AQ5" s="555"/>
      <c r="AR5" s="555"/>
      <c r="AS5" s="555"/>
      <c r="AT5" s="555"/>
      <c r="AU5" s="555"/>
      <c r="AV5" s="555"/>
      <c r="AW5" s="555"/>
      <c r="AX5" s="555"/>
      <c r="AY5" s="555"/>
      <c r="AZ5" s="555"/>
      <c r="BA5" s="555"/>
      <c r="BB5" s="556"/>
      <c r="BC5" s="557"/>
      <c r="BD5" s="556"/>
      <c r="BE5" s="581"/>
      <c r="BF5" s="502"/>
    </row>
    <row r="6">
      <c r="A6" s="501"/>
      <c r="B6" s="501"/>
      <c r="C6" s="550"/>
      <c r="D6" s="498"/>
      <c r="E6" s="498"/>
      <c r="F6" s="498"/>
      <c r="G6" s="551"/>
      <c r="H6" s="551"/>
      <c r="I6" s="551"/>
      <c r="J6" s="551"/>
      <c r="K6" s="551"/>
      <c r="L6" s="551"/>
      <c r="M6" s="551"/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  <c r="Y6" s="551"/>
      <c r="Z6" s="551"/>
      <c r="AA6" s="551"/>
      <c r="AB6" s="551"/>
      <c r="AC6" s="551"/>
      <c r="AD6" s="551"/>
      <c r="AE6" s="551"/>
      <c r="AF6" s="551"/>
      <c r="AG6" s="551"/>
      <c r="AH6" s="551"/>
      <c r="AI6" s="551"/>
      <c r="AJ6" s="551"/>
      <c r="AK6" s="551"/>
      <c r="AL6" s="551"/>
      <c r="AM6" s="551"/>
      <c r="AN6" s="551"/>
      <c r="AO6" s="551"/>
      <c r="AP6" s="551"/>
      <c r="AQ6" s="551"/>
      <c r="AR6" s="551"/>
      <c r="AS6" s="551"/>
      <c r="AT6" s="551"/>
      <c r="AU6" s="551"/>
      <c r="AV6" s="551"/>
      <c r="AW6" s="551"/>
      <c r="AX6" s="551"/>
      <c r="AY6" s="551"/>
      <c r="AZ6" s="551"/>
      <c r="BA6" s="551"/>
      <c r="BB6" s="548"/>
      <c r="BC6" s="552"/>
      <c r="BD6" s="548"/>
      <c r="BE6" s="582"/>
      <c r="BF6" s="499"/>
    </row>
    <row r="7">
      <c r="A7" s="501"/>
      <c r="B7" s="501"/>
      <c r="C7" s="550"/>
      <c r="D7" s="498"/>
      <c r="E7" s="498"/>
      <c r="F7" s="498"/>
      <c r="G7" s="551"/>
      <c r="H7" s="551"/>
      <c r="I7" s="551"/>
      <c r="J7" s="551"/>
      <c r="K7" s="551"/>
      <c r="L7" s="551"/>
      <c r="M7" s="551"/>
      <c r="N7" s="551"/>
      <c r="O7" s="551"/>
      <c r="P7" s="551"/>
      <c r="Q7" s="551"/>
      <c r="R7" s="551"/>
      <c r="S7" s="551"/>
      <c r="T7" s="551"/>
      <c r="U7" s="551"/>
      <c r="V7" s="551"/>
      <c r="W7" s="551"/>
      <c r="X7" s="551"/>
      <c r="Y7" s="551"/>
      <c r="Z7" s="551"/>
      <c r="AA7" s="551"/>
      <c r="AB7" s="551"/>
      <c r="AC7" s="551"/>
      <c r="AD7" s="551"/>
      <c r="AE7" s="551"/>
      <c r="AF7" s="551"/>
      <c r="AG7" s="551"/>
      <c r="AH7" s="551"/>
      <c r="AI7" s="551"/>
      <c r="AJ7" s="551"/>
      <c r="AK7" s="551"/>
      <c r="AL7" s="551"/>
      <c r="AM7" s="551"/>
      <c r="AN7" s="551"/>
      <c r="AO7" s="551"/>
      <c r="AP7" s="551"/>
      <c r="AQ7" s="551"/>
      <c r="AR7" s="551"/>
      <c r="AS7" s="551"/>
      <c r="AT7" s="551"/>
      <c r="AU7" s="551"/>
      <c r="AV7" s="551"/>
      <c r="AW7" s="551"/>
      <c r="AX7" s="551"/>
      <c r="AY7" s="551"/>
      <c r="AZ7" s="551"/>
      <c r="BA7" s="551"/>
      <c r="BB7" s="548"/>
      <c r="BC7" s="552"/>
      <c r="BD7" s="548"/>
      <c r="BE7" s="582"/>
      <c r="BF7" s="499"/>
    </row>
    <row r="8">
      <c r="A8" s="501"/>
      <c r="B8" s="501"/>
      <c r="C8" s="550"/>
      <c r="D8" s="498"/>
      <c r="E8" s="498"/>
      <c r="F8" s="498"/>
      <c r="G8" s="551"/>
      <c r="H8" s="551"/>
      <c r="I8" s="551"/>
      <c r="J8" s="551"/>
      <c r="K8" s="551"/>
      <c r="L8" s="551"/>
      <c r="M8" s="551"/>
      <c r="N8" s="551"/>
      <c r="O8" s="551"/>
      <c r="P8" s="551"/>
      <c r="Q8" s="551"/>
      <c r="R8" s="551"/>
      <c r="S8" s="551"/>
      <c r="T8" s="551"/>
      <c r="U8" s="551"/>
      <c r="V8" s="551"/>
      <c r="W8" s="551"/>
      <c r="X8" s="551"/>
      <c r="Y8" s="551"/>
      <c r="Z8" s="551"/>
      <c r="AA8" s="551"/>
      <c r="AB8" s="551"/>
      <c r="AC8" s="551"/>
      <c r="AD8" s="551"/>
      <c r="AE8" s="551"/>
      <c r="AF8" s="551"/>
      <c r="AG8" s="551"/>
      <c r="AH8" s="551"/>
      <c r="AI8" s="551"/>
      <c r="AJ8" s="551"/>
      <c r="AK8" s="551"/>
      <c r="AL8" s="551"/>
      <c r="AM8" s="551"/>
      <c r="AN8" s="551"/>
      <c r="AO8" s="551"/>
      <c r="AP8" s="551"/>
      <c r="AQ8" s="551"/>
      <c r="AR8" s="551"/>
      <c r="AS8" s="551"/>
      <c r="AT8" s="551"/>
      <c r="AU8" s="551"/>
      <c r="AV8" s="551"/>
      <c r="AW8" s="551"/>
      <c r="AX8" s="551"/>
      <c r="AY8" s="551"/>
      <c r="AZ8" s="551"/>
      <c r="BA8" s="551"/>
      <c r="BB8" s="548"/>
      <c r="BC8" s="552"/>
      <c r="BD8" s="548"/>
      <c r="BE8" s="582"/>
      <c r="BF8" s="499"/>
    </row>
    <row r="9">
      <c r="A9" s="566"/>
      <c r="B9" s="566"/>
      <c r="C9" s="583"/>
      <c r="D9" s="529"/>
      <c r="E9" s="529"/>
      <c r="F9" s="529"/>
      <c r="G9" s="584"/>
      <c r="H9" s="584"/>
      <c r="I9" s="584"/>
      <c r="J9" s="584"/>
      <c r="K9" s="584"/>
      <c r="L9" s="584"/>
      <c r="M9" s="584"/>
      <c r="N9" s="584"/>
      <c r="O9" s="584"/>
      <c r="P9" s="584"/>
      <c r="Q9" s="584"/>
      <c r="R9" s="584"/>
      <c r="S9" s="584"/>
      <c r="T9" s="584"/>
      <c r="U9" s="584"/>
      <c r="V9" s="584"/>
      <c r="W9" s="584"/>
      <c r="X9" s="584"/>
      <c r="Y9" s="584"/>
      <c r="Z9" s="584"/>
      <c r="AA9" s="584"/>
      <c r="AB9" s="584"/>
      <c r="AC9" s="584"/>
      <c r="AD9" s="584"/>
      <c r="AE9" s="584"/>
      <c r="AF9" s="584"/>
      <c r="AG9" s="584"/>
      <c r="AH9" s="584"/>
      <c r="AI9" s="584"/>
      <c r="AJ9" s="584"/>
      <c r="AK9" s="584"/>
      <c r="AL9" s="584"/>
      <c r="AM9" s="584"/>
      <c r="AN9" s="584"/>
      <c r="AO9" s="584"/>
      <c r="AP9" s="584"/>
      <c r="AQ9" s="584"/>
      <c r="AR9" s="584"/>
      <c r="AS9" s="584"/>
      <c r="AT9" s="584"/>
      <c r="AU9" s="584"/>
      <c r="AV9" s="584"/>
      <c r="AW9" s="584"/>
      <c r="AX9" s="584"/>
      <c r="AY9" s="584"/>
      <c r="AZ9" s="584"/>
      <c r="BA9" s="584"/>
      <c r="BB9" s="585"/>
      <c r="BC9" s="586"/>
      <c r="BD9" s="548"/>
      <c r="BE9" s="582"/>
      <c r="BF9" s="499"/>
    </row>
    <row r="10">
      <c r="A10" s="563"/>
      <c r="B10" s="564"/>
      <c r="C10" s="575"/>
      <c r="D10" s="533"/>
      <c r="E10" s="533"/>
      <c r="F10" s="533"/>
      <c r="G10" s="576"/>
      <c r="H10" s="576"/>
      <c r="I10" s="576"/>
      <c r="J10" s="576"/>
      <c r="K10" s="576"/>
      <c r="L10" s="576"/>
      <c r="M10" s="576"/>
      <c r="N10" s="576"/>
      <c r="O10" s="576"/>
      <c r="P10" s="576"/>
      <c r="Q10" s="576"/>
      <c r="R10" s="576"/>
      <c r="S10" s="576"/>
      <c r="T10" s="576"/>
      <c r="U10" s="576"/>
      <c r="V10" s="576"/>
      <c r="W10" s="576"/>
      <c r="X10" s="576"/>
      <c r="Y10" s="576"/>
      <c r="Z10" s="576"/>
      <c r="AA10" s="576"/>
      <c r="AB10" s="576"/>
      <c r="AC10" s="576"/>
      <c r="AD10" s="576"/>
      <c r="AE10" s="576"/>
      <c r="AF10" s="576"/>
      <c r="AG10" s="576"/>
      <c r="AH10" s="576"/>
      <c r="AI10" s="576"/>
      <c r="AJ10" s="576"/>
      <c r="AK10" s="576"/>
      <c r="AL10" s="576"/>
      <c r="AM10" s="576"/>
      <c r="AN10" s="576"/>
      <c r="AO10" s="576"/>
      <c r="AP10" s="576"/>
      <c r="AQ10" s="576"/>
      <c r="AR10" s="576"/>
      <c r="AS10" s="576"/>
      <c r="AT10" s="576"/>
      <c r="AU10" s="576"/>
      <c r="AV10" s="576"/>
      <c r="AW10" s="576"/>
      <c r="AX10" s="576"/>
      <c r="AY10" s="576"/>
      <c r="AZ10" s="576"/>
      <c r="BA10" s="576"/>
      <c r="BB10" s="577"/>
      <c r="BC10" s="576"/>
      <c r="BD10" s="554"/>
      <c r="BE10" s="557"/>
      <c r="BF10" s="587"/>
    </row>
    <row r="11">
      <c r="A11" s="553"/>
      <c r="B11" s="497"/>
      <c r="C11" s="554"/>
      <c r="D11" s="498"/>
      <c r="E11" s="498"/>
      <c r="F11" s="498"/>
      <c r="G11" s="555"/>
      <c r="H11" s="555"/>
      <c r="I11" s="555"/>
      <c r="J11" s="555"/>
      <c r="K11" s="555"/>
      <c r="L11" s="555"/>
      <c r="M11" s="555"/>
      <c r="N11" s="555"/>
      <c r="O11" s="555"/>
      <c r="P11" s="555"/>
      <c r="Q11" s="555"/>
      <c r="R11" s="555"/>
      <c r="S11" s="555"/>
      <c r="T11" s="555"/>
      <c r="U11" s="555"/>
      <c r="V11" s="555"/>
      <c r="W11" s="555"/>
      <c r="X11" s="555"/>
      <c r="Y11" s="555"/>
      <c r="Z11" s="555"/>
      <c r="AA11" s="555"/>
      <c r="AB11" s="555"/>
      <c r="AC11" s="555"/>
      <c r="AD11" s="555"/>
      <c r="AE11" s="555"/>
      <c r="AF11" s="555"/>
      <c r="AG11" s="555"/>
      <c r="AH11" s="555"/>
      <c r="AI11" s="555"/>
      <c r="AJ11" s="555"/>
      <c r="AK11" s="555"/>
      <c r="AL11" s="555"/>
      <c r="AM11" s="555"/>
      <c r="AN11" s="555"/>
      <c r="AO11" s="555"/>
      <c r="AP11" s="555"/>
      <c r="AQ11" s="555"/>
      <c r="AR11" s="555"/>
      <c r="AS11" s="555"/>
      <c r="AT11" s="555"/>
      <c r="AU11" s="555"/>
      <c r="AV11" s="555"/>
      <c r="AW11" s="555"/>
      <c r="AX11" s="555"/>
      <c r="AY11" s="555"/>
      <c r="AZ11" s="555"/>
      <c r="BA11" s="555"/>
      <c r="BB11" s="556"/>
      <c r="BC11" s="557"/>
      <c r="BD11" s="556"/>
      <c r="BE11" s="557"/>
      <c r="BF11" s="588"/>
    </row>
    <row r="12">
      <c r="A12" s="553"/>
      <c r="B12" s="497"/>
      <c r="C12" s="554"/>
      <c r="D12" s="498"/>
      <c r="E12" s="498"/>
      <c r="F12" s="498"/>
      <c r="G12" s="555"/>
      <c r="H12" s="555"/>
      <c r="I12" s="555"/>
      <c r="J12" s="555"/>
      <c r="K12" s="555"/>
      <c r="L12" s="555"/>
      <c r="M12" s="555"/>
      <c r="N12" s="555"/>
      <c r="O12" s="555"/>
      <c r="P12" s="555"/>
      <c r="Q12" s="555"/>
      <c r="R12" s="555"/>
      <c r="S12" s="555"/>
      <c r="T12" s="555"/>
      <c r="U12" s="555"/>
      <c r="V12" s="555"/>
      <c r="W12" s="555"/>
      <c r="X12" s="555"/>
      <c r="Y12" s="555"/>
      <c r="Z12" s="555"/>
      <c r="AA12" s="555"/>
      <c r="AB12" s="555"/>
      <c r="AC12" s="555"/>
      <c r="AD12" s="555"/>
      <c r="AE12" s="555"/>
      <c r="AF12" s="555"/>
      <c r="AG12" s="555"/>
      <c r="AH12" s="555"/>
      <c r="AI12" s="555"/>
      <c r="AJ12" s="555"/>
      <c r="AK12" s="555"/>
      <c r="AL12" s="555"/>
      <c r="AM12" s="555"/>
      <c r="AN12" s="555"/>
      <c r="AO12" s="555"/>
      <c r="AP12" s="555"/>
      <c r="AQ12" s="555"/>
      <c r="AR12" s="555"/>
      <c r="AS12" s="555"/>
      <c r="AT12" s="555"/>
      <c r="AU12" s="555"/>
      <c r="AV12" s="555"/>
      <c r="AW12" s="555"/>
      <c r="AX12" s="555"/>
      <c r="AY12" s="555"/>
      <c r="AZ12" s="555"/>
      <c r="BA12" s="555"/>
      <c r="BB12" s="556"/>
      <c r="BC12" s="557"/>
      <c r="BD12" s="556"/>
      <c r="BE12" s="557"/>
      <c r="BF12" s="588"/>
    </row>
    <row r="13">
      <c r="A13" s="553"/>
      <c r="B13" s="497"/>
      <c r="C13" s="554"/>
      <c r="D13" s="498"/>
      <c r="E13" s="498"/>
      <c r="F13" s="498"/>
      <c r="G13" s="555"/>
      <c r="H13" s="555"/>
      <c r="I13" s="555"/>
      <c r="J13" s="555"/>
      <c r="K13" s="555"/>
      <c r="L13" s="555"/>
      <c r="M13" s="555"/>
      <c r="N13" s="555"/>
      <c r="O13" s="555"/>
      <c r="P13" s="555"/>
      <c r="Q13" s="555"/>
      <c r="R13" s="555"/>
      <c r="S13" s="555"/>
      <c r="T13" s="555"/>
      <c r="U13" s="555"/>
      <c r="V13" s="555"/>
      <c r="W13" s="555"/>
      <c r="X13" s="555"/>
      <c r="Y13" s="555"/>
      <c r="Z13" s="555"/>
      <c r="AA13" s="555"/>
      <c r="AB13" s="555"/>
      <c r="AC13" s="555"/>
      <c r="AD13" s="555"/>
      <c r="AE13" s="555"/>
      <c r="AF13" s="555"/>
      <c r="AG13" s="555"/>
      <c r="AH13" s="555"/>
      <c r="AI13" s="555"/>
      <c r="AJ13" s="555"/>
      <c r="AK13" s="555"/>
      <c r="AL13" s="555"/>
      <c r="AM13" s="555"/>
      <c r="AN13" s="555"/>
      <c r="AO13" s="555"/>
      <c r="AP13" s="555"/>
      <c r="AQ13" s="555"/>
      <c r="AR13" s="555"/>
      <c r="AS13" s="555"/>
      <c r="AT13" s="555"/>
      <c r="AU13" s="555"/>
      <c r="AV13" s="555"/>
      <c r="AW13" s="555"/>
      <c r="AX13" s="555"/>
      <c r="AY13" s="555"/>
      <c r="AZ13" s="555"/>
      <c r="BA13" s="555"/>
      <c r="BB13" s="556"/>
      <c r="BC13" s="557"/>
      <c r="BD13" s="556"/>
      <c r="BE13" s="557"/>
      <c r="BF13" s="588"/>
    </row>
    <row r="14">
      <c r="A14" s="549"/>
      <c r="B14" s="501"/>
      <c r="C14" s="550"/>
      <c r="D14" s="364"/>
      <c r="E14" s="364"/>
      <c r="F14" s="364"/>
      <c r="G14" s="551"/>
      <c r="H14" s="551"/>
      <c r="I14" s="551"/>
      <c r="J14" s="551"/>
      <c r="K14" s="551"/>
      <c r="L14" s="551"/>
      <c r="M14" s="551"/>
      <c r="N14" s="551"/>
      <c r="O14" s="551"/>
      <c r="P14" s="551"/>
      <c r="Q14" s="551"/>
      <c r="R14" s="551"/>
      <c r="S14" s="551"/>
      <c r="T14" s="551"/>
      <c r="U14" s="551"/>
      <c r="V14" s="551"/>
      <c r="W14" s="551"/>
      <c r="X14" s="551"/>
      <c r="Y14" s="551"/>
      <c r="Z14" s="551"/>
      <c r="AA14" s="551"/>
      <c r="AB14" s="551"/>
      <c r="AC14" s="551"/>
      <c r="AD14" s="551"/>
      <c r="AE14" s="551"/>
      <c r="AF14" s="551"/>
      <c r="AG14" s="551"/>
      <c r="AH14" s="551"/>
      <c r="AI14" s="551"/>
      <c r="AJ14" s="551"/>
      <c r="AK14" s="551"/>
      <c r="AL14" s="551"/>
      <c r="AM14" s="551"/>
      <c r="AN14" s="551"/>
      <c r="AO14" s="551"/>
      <c r="AP14" s="551"/>
      <c r="AQ14" s="551"/>
      <c r="AR14" s="551"/>
      <c r="AS14" s="551"/>
      <c r="AT14" s="551"/>
      <c r="AU14" s="551"/>
      <c r="AV14" s="551"/>
      <c r="AW14" s="551"/>
      <c r="AX14" s="551"/>
      <c r="AY14" s="551"/>
      <c r="AZ14" s="551"/>
      <c r="BA14" s="551"/>
      <c r="BB14" s="548"/>
      <c r="BC14" s="552"/>
      <c r="BD14" s="548"/>
      <c r="BE14" s="552"/>
      <c r="BF14" s="589"/>
    </row>
    <row r="15">
      <c r="A15" s="549"/>
      <c r="B15" s="501"/>
      <c r="C15" s="550"/>
      <c r="D15" s="364"/>
      <c r="E15" s="364"/>
      <c r="F15" s="364"/>
      <c r="G15" s="551"/>
      <c r="H15" s="551"/>
      <c r="I15" s="551"/>
      <c r="J15" s="551"/>
      <c r="K15" s="551"/>
      <c r="L15" s="551"/>
      <c r="M15" s="551"/>
      <c r="N15" s="551"/>
      <c r="O15" s="551"/>
      <c r="P15" s="551"/>
      <c r="Q15" s="551"/>
      <c r="R15" s="551"/>
      <c r="S15" s="551"/>
      <c r="T15" s="551"/>
      <c r="U15" s="551"/>
      <c r="V15" s="551"/>
      <c r="W15" s="551"/>
      <c r="X15" s="551"/>
      <c r="Y15" s="551"/>
      <c r="Z15" s="551"/>
      <c r="AA15" s="551"/>
      <c r="AB15" s="551"/>
      <c r="AC15" s="551"/>
      <c r="AD15" s="551"/>
      <c r="AE15" s="551"/>
      <c r="AF15" s="551"/>
      <c r="AG15" s="551"/>
      <c r="AH15" s="551"/>
      <c r="AI15" s="551"/>
      <c r="AJ15" s="551"/>
      <c r="AK15" s="551"/>
      <c r="AL15" s="551"/>
      <c r="AM15" s="551"/>
      <c r="AN15" s="551"/>
      <c r="AO15" s="551"/>
      <c r="AP15" s="551"/>
      <c r="AQ15" s="551"/>
      <c r="AR15" s="551"/>
      <c r="AS15" s="551"/>
      <c r="AT15" s="551"/>
      <c r="AU15" s="551"/>
      <c r="AV15" s="551"/>
      <c r="AW15" s="551"/>
      <c r="AX15" s="551"/>
      <c r="AY15" s="551"/>
      <c r="AZ15" s="551"/>
      <c r="BA15" s="551"/>
      <c r="BB15" s="548"/>
      <c r="BC15" s="552"/>
      <c r="BD15" s="548"/>
      <c r="BE15" s="552"/>
      <c r="BF15" s="589"/>
    </row>
    <row r="16">
      <c r="A16" s="549"/>
      <c r="B16" s="501"/>
      <c r="C16" s="550"/>
      <c r="D16" s="364"/>
      <c r="E16" s="364"/>
      <c r="F16" s="364"/>
      <c r="G16" s="551"/>
      <c r="H16" s="551"/>
      <c r="I16" s="551"/>
      <c r="J16" s="551"/>
      <c r="K16" s="551"/>
      <c r="L16" s="551"/>
      <c r="M16" s="551"/>
      <c r="N16" s="551"/>
      <c r="O16" s="551"/>
      <c r="P16" s="551"/>
      <c r="Q16" s="551"/>
      <c r="R16" s="551"/>
      <c r="S16" s="551"/>
      <c r="T16" s="551"/>
      <c r="U16" s="551"/>
      <c r="V16" s="551"/>
      <c r="W16" s="551"/>
      <c r="X16" s="551"/>
      <c r="Y16" s="551"/>
      <c r="Z16" s="551"/>
      <c r="AA16" s="551"/>
      <c r="AB16" s="551"/>
      <c r="AC16" s="551"/>
      <c r="AD16" s="551"/>
      <c r="AE16" s="551"/>
      <c r="AF16" s="551"/>
      <c r="AG16" s="551"/>
      <c r="AH16" s="551"/>
      <c r="AI16" s="551"/>
      <c r="AJ16" s="551"/>
      <c r="AK16" s="551"/>
      <c r="AL16" s="551"/>
      <c r="AM16" s="551"/>
      <c r="AN16" s="551"/>
      <c r="AO16" s="551"/>
      <c r="AP16" s="551"/>
      <c r="AQ16" s="551"/>
      <c r="AR16" s="551"/>
      <c r="AS16" s="551"/>
      <c r="AT16" s="551"/>
      <c r="AU16" s="551"/>
      <c r="AV16" s="551"/>
      <c r="AW16" s="551"/>
      <c r="AX16" s="551"/>
      <c r="AY16" s="551"/>
      <c r="AZ16" s="551"/>
      <c r="BA16" s="551"/>
      <c r="BB16" s="548"/>
      <c r="BC16" s="552"/>
      <c r="BD16" s="548"/>
      <c r="BE16" s="552"/>
      <c r="BF16" s="589"/>
    </row>
    <row r="17">
      <c r="A17" s="565"/>
      <c r="B17" s="566"/>
      <c r="C17" s="583"/>
      <c r="D17" s="538"/>
      <c r="E17" s="538"/>
      <c r="F17" s="538"/>
      <c r="G17" s="584"/>
      <c r="H17" s="584"/>
      <c r="I17" s="584"/>
      <c r="J17" s="584"/>
      <c r="K17" s="584"/>
      <c r="L17" s="584"/>
      <c r="M17" s="584"/>
      <c r="N17" s="584"/>
      <c r="O17" s="584"/>
      <c r="P17" s="584"/>
      <c r="Q17" s="584"/>
      <c r="R17" s="584"/>
      <c r="S17" s="584"/>
      <c r="T17" s="584"/>
      <c r="U17" s="584"/>
      <c r="V17" s="584"/>
      <c r="W17" s="584"/>
      <c r="X17" s="584"/>
      <c r="Y17" s="584"/>
      <c r="Z17" s="584"/>
      <c r="AA17" s="584"/>
      <c r="AB17" s="584"/>
      <c r="AC17" s="584"/>
      <c r="AD17" s="584"/>
      <c r="AE17" s="584"/>
      <c r="AF17" s="584"/>
      <c r="AG17" s="584"/>
      <c r="AH17" s="584"/>
      <c r="AI17" s="584"/>
      <c r="AJ17" s="584"/>
      <c r="AK17" s="584"/>
      <c r="AL17" s="584"/>
      <c r="AM17" s="584"/>
      <c r="AN17" s="584"/>
      <c r="AO17" s="584"/>
      <c r="AP17" s="584"/>
      <c r="AQ17" s="584"/>
      <c r="AR17" s="584"/>
      <c r="AS17" s="584"/>
      <c r="AT17" s="584"/>
      <c r="AU17" s="584"/>
      <c r="AV17" s="584"/>
      <c r="AW17" s="584"/>
      <c r="AX17" s="584"/>
      <c r="AY17" s="584"/>
      <c r="AZ17" s="584"/>
      <c r="BA17" s="584"/>
      <c r="BB17" s="585"/>
      <c r="BC17" s="586"/>
      <c r="BD17" s="548"/>
      <c r="BE17" s="586"/>
      <c r="BF17" s="590"/>
    </row>
    <row r="18">
      <c r="A18" s="591"/>
      <c r="B18" s="592"/>
      <c r="C18" s="511"/>
      <c r="D18" s="593"/>
      <c r="E18" s="59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593"/>
      <c r="Q18" s="593"/>
      <c r="R18" s="593"/>
      <c r="S18" s="593"/>
      <c r="T18" s="593"/>
      <c r="U18" s="593"/>
      <c r="V18" s="593"/>
      <c r="W18" s="593"/>
      <c r="X18" s="593"/>
      <c r="Y18" s="593"/>
      <c r="Z18" s="593"/>
      <c r="AA18" s="593"/>
      <c r="AB18" s="593"/>
      <c r="AC18" s="593"/>
      <c r="AD18" s="593"/>
      <c r="AE18" s="593"/>
      <c r="AF18" s="593"/>
      <c r="AG18" s="593"/>
      <c r="AH18" s="593"/>
      <c r="AI18" s="593"/>
      <c r="AJ18" s="593"/>
      <c r="AK18" s="593"/>
      <c r="AL18" s="593"/>
      <c r="AM18" s="593"/>
      <c r="AN18" s="593"/>
      <c r="AO18" s="593"/>
      <c r="AP18" s="593"/>
      <c r="AQ18" s="593"/>
      <c r="AR18" s="593"/>
      <c r="AS18" s="593"/>
      <c r="AT18" s="593"/>
      <c r="AU18" s="593"/>
      <c r="AV18" s="593"/>
      <c r="AW18" s="593"/>
      <c r="AX18" s="593"/>
      <c r="AY18" s="593"/>
      <c r="AZ18" s="593"/>
      <c r="BA18" s="593"/>
      <c r="BB18" s="593"/>
      <c r="BC18" s="594"/>
      <c r="BD18" s="513"/>
      <c r="BE18" s="513"/>
      <c r="BF18" s="513"/>
    </row>
    <row r="19">
      <c r="A19" s="542"/>
      <c r="B19" s="543"/>
      <c r="C19" s="544"/>
      <c r="D19" s="520"/>
      <c r="E19" s="520"/>
      <c r="F19" s="520"/>
      <c r="G19" s="545"/>
      <c r="H19" s="545"/>
      <c r="I19" s="545"/>
      <c r="J19" s="545"/>
      <c r="K19" s="545"/>
      <c r="L19" s="545"/>
      <c r="M19" s="545"/>
      <c r="N19" s="545"/>
      <c r="O19" s="545"/>
      <c r="P19" s="545"/>
      <c r="Q19" s="545"/>
      <c r="R19" s="545"/>
      <c r="S19" s="545"/>
      <c r="T19" s="545"/>
      <c r="U19" s="545"/>
      <c r="V19" s="545"/>
      <c r="W19" s="545"/>
      <c r="X19" s="545"/>
      <c r="Y19" s="545"/>
      <c r="Z19" s="545"/>
      <c r="AA19" s="545"/>
      <c r="AB19" s="545"/>
      <c r="AC19" s="545"/>
      <c r="AD19" s="545"/>
      <c r="AE19" s="545"/>
      <c r="AF19" s="545"/>
      <c r="AG19" s="545"/>
      <c r="AH19" s="545"/>
      <c r="AI19" s="545"/>
      <c r="AJ19" s="545"/>
      <c r="AK19" s="545"/>
      <c r="AL19" s="545"/>
      <c r="AM19" s="545"/>
      <c r="AN19" s="545"/>
      <c r="AO19" s="545"/>
      <c r="AP19" s="545"/>
      <c r="AQ19" s="545"/>
      <c r="AR19" s="545"/>
      <c r="AS19" s="545"/>
      <c r="AT19" s="545"/>
      <c r="AU19" s="545"/>
      <c r="AV19" s="545"/>
      <c r="AW19" s="545"/>
      <c r="AX19" s="545"/>
      <c r="AY19" s="545"/>
      <c r="AZ19" s="545"/>
      <c r="BA19" s="545"/>
      <c r="BB19" s="546"/>
      <c r="BC19" s="547"/>
      <c r="BD19" s="548"/>
      <c r="BE19" s="504"/>
      <c r="BF19" s="595"/>
    </row>
    <row r="20">
      <c r="A20" s="549"/>
      <c r="B20" s="501"/>
      <c r="C20" s="550"/>
      <c r="D20" s="364"/>
      <c r="E20" s="364"/>
      <c r="F20" s="364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51"/>
      <c r="AB20" s="551"/>
      <c r="AC20" s="551"/>
      <c r="AD20" s="551"/>
      <c r="AE20" s="551"/>
      <c r="AF20" s="551"/>
      <c r="AG20" s="551"/>
      <c r="AH20" s="551"/>
      <c r="AI20" s="551"/>
      <c r="AJ20" s="551"/>
      <c r="AK20" s="551"/>
      <c r="AL20" s="551"/>
      <c r="AM20" s="551"/>
      <c r="AN20" s="551"/>
      <c r="AO20" s="551"/>
      <c r="AP20" s="551"/>
      <c r="AQ20" s="551"/>
      <c r="AR20" s="551"/>
      <c r="AS20" s="551"/>
      <c r="AT20" s="551"/>
      <c r="AU20" s="551"/>
      <c r="AV20" s="551"/>
      <c r="AW20" s="551"/>
      <c r="AX20" s="551"/>
      <c r="AY20" s="551"/>
      <c r="AZ20" s="551"/>
      <c r="BA20" s="551"/>
      <c r="BB20" s="548"/>
      <c r="BC20" s="552"/>
      <c r="BD20" s="548"/>
      <c r="BE20" s="502"/>
      <c r="BF20" s="596"/>
    </row>
    <row r="21">
      <c r="A21" s="549"/>
      <c r="B21" s="501"/>
      <c r="C21" s="550"/>
      <c r="D21" s="364"/>
      <c r="E21" s="364"/>
      <c r="F21" s="364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51"/>
      <c r="AB21" s="551"/>
      <c r="AC21" s="551"/>
      <c r="AD21" s="551"/>
      <c r="AE21" s="551"/>
      <c r="AF21" s="551"/>
      <c r="AG21" s="551"/>
      <c r="AH21" s="551"/>
      <c r="AI21" s="551"/>
      <c r="AJ21" s="551"/>
      <c r="AK21" s="551"/>
      <c r="AL21" s="551"/>
      <c r="AM21" s="551"/>
      <c r="AN21" s="551"/>
      <c r="AO21" s="551"/>
      <c r="AP21" s="551"/>
      <c r="AQ21" s="551"/>
      <c r="AR21" s="551"/>
      <c r="AS21" s="551"/>
      <c r="AT21" s="551"/>
      <c r="AU21" s="551"/>
      <c r="AV21" s="551"/>
      <c r="AW21" s="551"/>
      <c r="AX21" s="551"/>
      <c r="AY21" s="551"/>
      <c r="AZ21" s="551"/>
      <c r="BA21" s="551"/>
      <c r="BB21" s="548"/>
      <c r="BC21" s="552"/>
      <c r="BD21" s="548"/>
      <c r="BE21" s="502"/>
      <c r="BF21" s="596"/>
    </row>
    <row r="22">
      <c r="A22" s="549"/>
      <c r="B22" s="501"/>
      <c r="C22" s="550"/>
      <c r="D22" s="364"/>
      <c r="E22" s="364"/>
      <c r="F22" s="364"/>
      <c r="G22" s="551"/>
      <c r="H22" s="551"/>
      <c r="I22" s="551"/>
      <c r="J22" s="551"/>
      <c r="K22" s="551"/>
      <c r="L22" s="551"/>
      <c r="M22" s="551"/>
      <c r="N22" s="551"/>
      <c r="O22" s="551"/>
      <c r="P22" s="551"/>
      <c r="Q22" s="551"/>
      <c r="R22" s="551"/>
      <c r="S22" s="551"/>
      <c r="T22" s="551"/>
      <c r="U22" s="551"/>
      <c r="V22" s="551"/>
      <c r="W22" s="551"/>
      <c r="X22" s="551"/>
      <c r="Y22" s="551"/>
      <c r="Z22" s="551"/>
      <c r="AA22" s="551"/>
      <c r="AB22" s="551"/>
      <c r="AC22" s="551"/>
      <c r="AD22" s="551"/>
      <c r="AE22" s="551"/>
      <c r="AF22" s="551"/>
      <c r="AG22" s="551"/>
      <c r="AH22" s="551"/>
      <c r="AI22" s="551"/>
      <c r="AJ22" s="551"/>
      <c r="AK22" s="551"/>
      <c r="AL22" s="551"/>
      <c r="AM22" s="551"/>
      <c r="AN22" s="551"/>
      <c r="AO22" s="551"/>
      <c r="AP22" s="551"/>
      <c r="AQ22" s="551"/>
      <c r="AR22" s="551"/>
      <c r="AS22" s="551"/>
      <c r="AT22" s="551"/>
      <c r="AU22" s="551"/>
      <c r="AV22" s="551"/>
      <c r="AW22" s="551"/>
      <c r="AX22" s="551"/>
      <c r="AY22" s="551"/>
      <c r="AZ22" s="551"/>
      <c r="BA22" s="551"/>
      <c r="BB22" s="548"/>
      <c r="BC22" s="552"/>
      <c r="BD22" s="548"/>
      <c r="BE22" s="502"/>
      <c r="BF22" s="589"/>
    </row>
    <row r="23">
      <c r="A23" s="553"/>
      <c r="B23" s="497"/>
      <c r="C23" s="554"/>
      <c r="D23" s="498"/>
      <c r="E23" s="498"/>
      <c r="F23" s="498"/>
      <c r="G23" s="555"/>
      <c r="H23" s="555"/>
      <c r="I23" s="555"/>
      <c r="J23" s="555"/>
      <c r="K23" s="555"/>
      <c r="L23" s="555"/>
      <c r="M23" s="555"/>
      <c r="N23" s="555"/>
      <c r="O23" s="555"/>
      <c r="P23" s="555"/>
      <c r="Q23" s="555"/>
      <c r="R23" s="555"/>
      <c r="S23" s="555"/>
      <c r="T23" s="555"/>
      <c r="U23" s="555"/>
      <c r="V23" s="555"/>
      <c r="W23" s="555"/>
      <c r="X23" s="555"/>
      <c r="Y23" s="555"/>
      <c r="Z23" s="555"/>
      <c r="AA23" s="555"/>
      <c r="AB23" s="555"/>
      <c r="AC23" s="555"/>
      <c r="AD23" s="555"/>
      <c r="AE23" s="555"/>
      <c r="AF23" s="555"/>
      <c r="AG23" s="555"/>
      <c r="AH23" s="555"/>
      <c r="AI23" s="555"/>
      <c r="AJ23" s="555"/>
      <c r="AK23" s="555"/>
      <c r="AL23" s="555"/>
      <c r="AM23" s="555"/>
      <c r="AN23" s="555"/>
      <c r="AO23" s="555"/>
      <c r="AP23" s="555"/>
      <c r="AQ23" s="555"/>
      <c r="AR23" s="555"/>
      <c r="AS23" s="555"/>
      <c r="AT23" s="555"/>
      <c r="AU23" s="555"/>
      <c r="AV23" s="555"/>
      <c r="AW23" s="555"/>
      <c r="AX23" s="555"/>
      <c r="AY23" s="555"/>
      <c r="AZ23" s="555"/>
      <c r="BA23" s="555"/>
      <c r="BB23" s="556"/>
      <c r="BC23" s="557"/>
      <c r="BD23" s="556"/>
      <c r="BE23" s="499"/>
      <c r="BF23" s="588"/>
    </row>
    <row r="24">
      <c r="A24" s="553"/>
      <c r="B24" s="497"/>
      <c r="C24" s="554"/>
      <c r="D24" s="498"/>
      <c r="E24" s="498"/>
      <c r="F24" s="498"/>
      <c r="G24" s="555"/>
      <c r="H24" s="555"/>
      <c r="I24" s="555"/>
      <c r="J24" s="555"/>
      <c r="K24" s="555"/>
      <c r="L24" s="555"/>
      <c r="M24" s="555"/>
      <c r="N24" s="555"/>
      <c r="O24" s="555"/>
      <c r="P24" s="555"/>
      <c r="Q24" s="555"/>
      <c r="R24" s="555"/>
      <c r="S24" s="555"/>
      <c r="T24" s="555"/>
      <c r="U24" s="555"/>
      <c r="V24" s="555"/>
      <c r="W24" s="555"/>
      <c r="X24" s="555"/>
      <c r="Y24" s="555"/>
      <c r="Z24" s="555"/>
      <c r="AA24" s="555"/>
      <c r="AB24" s="555"/>
      <c r="AC24" s="555"/>
      <c r="AD24" s="555"/>
      <c r="AE24" s="555"/>
      <c r="AF24" s="555"/>
      <c r="AG24" s="555"/>
      <c r="AH24" s="555"/>
      <c r="AI24" s="555"/>
      <c r="AJ24" s="555"/>
      <c r="AK24" s="555"/>
      <c r="AL24" s="555"/>
      <c r="AM24" s="555"/>
      <c r="AN24" s="555"/>
      <c r="AO24" s="555"/>
      <c r="AP24" s="555"/>
      <c r="AQ24" s="555"/>
      <c r="AR24" s="555"/>
      <c r="AS24" s="555"/>
      <c r="AT24" s="555"/>
      <c r="AU24" s="555"/>
      <c r="AV24" s="555"/>
      <c r="AW24" s="555"/>
      <c r="AX24" s="555"/>
      <c r="AY24" s="555"/>
      <c r="AZ24" s="555"/>
      <c r="BA24" s="555"/>
      <c r="BB24" s="556"/>
      <c r="BC24" s="557"/>
      <c r="BD24" s="556"/>
      <c r="BE24" s="499"/>
      <c r="BF24" s="597"/>
    </row>
    <row r="25">
      <c r="A25" s="553"/>
      <c r="B25" s="497"/>
      <c r="C25" s="554"/>
      <c r="D25" s="498"/>
      <c r="E25" s="498"/>
      <c r="F25" s="498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55"/>
      <c r="AB25" s="555"/>
      <c r="AC25" s="555"/>
      <c r="AD25" s="555"/>
      <c r="AE25" s="555"/>
      <c r="AF25" s="555"/>
      <c r="AG25" s="555"/>
      <c r="AH25" s="555"/>
      <c r="AI25" s="555"/>
      <c r="AJ25" s="555"/>
      <c r="AK25" s="555"/>
      <c r="AL25" s="555"/>
      <c r="AM25" s="555"/>
      <c r="AN25" s="555"/>
      <c r="AO25" s="555"/>
      <c r="AP25" s="555"/>
      <c r="AQ25" s="555"/>
      <c r="AR25" s="555"/>
      <c r="AS25" s="555"/>
      <c r="AT25" s="555"/>
      <c r="AU25" s="555"/>
      <c r="AV25" s="555"/>
      <c r="AW25" s="555"/>
      <c r="AX25" s="555"/>
      <c r="AY25" s="555"/>
      <c r="AZ25" s="555"/>
      <c r="BA25" s="555"/>
      <c r="BB25" s="556"/>
      <c r="BC25" s="557"/>
      <c r="BD25" s="556"/>
      <c r="BE25" s="499"/>
      <c r="BF25" s="597"/>
    </row>
    <row r="26">
      <c r="A26" s="558"/>
      <c r="B26" s="559"/>
      <c r="C26" s="598"/>
      <c r="D26" s="529"/>
      <c r="E26" s="529"/>
      <c r="F26" s="529"/>
      <c r="G26" s="560"/>
      <c r="H26" s="560"/>
      <c r="I26" s="560"/>
      <c r="J26" s="560"/>
      <c r="K26" s="560"/>
      <c r="L26" s="560"/>
      <c r="M26" s="560"/>
      <c r="N26" s="560"/>
      <c r="O26" s="560"/>
      <c r="P26" s="560"/>
      <c r="Q26" s="560"/>
      <c r="R26" s="560"/>
      <c r="S26" s="560"/>
      <c r="T26" s="560"/>
      <c r="U26" s="560"/>
      <c r="V26" s="560"/>
      <c r="W26" s="560"/>
      <c r="X26" s="560"/>
      <c r="Y26" s="560"/>
      <c r="Z26" s="560"/>
      <c r="AA26" s="560"/>
      <c r="AB26" s="560"/>
      <c r="AC26" s="560"/>
      <c r="AD26" s="560"/>
      <c r="AE26" s="560"/>
      <c r="AF26" s="560"/>
      <c r="AG26" s="560"/>
      <c r="AH26" s="560"/>
      <c r="AI26" s="560"/>
      <c r="AJ26" s="560"/>
      <c r="AK26" s="560"/>
      <c r="AL26" s="560"/>
      <c r="AM26" s="560"/>
      <c r="AN26" s="560"/>
      <c r="AO26" s="560"/>
      <c r="AP26" s="560"/>
      <c r="AQ26" s="560"/>
      <c r="AR26" s="560"/>
      <c r="AS26" s="560"/>
      <c r="AT26" s="560"/>
      <c r="AU26" s="560"/>
      <c r="AV26" s="560"/>
      <c r="AW26" s="560"/>
      <c r="AX26" s="560"/>
      <c r="AY26" s="560"/>
      <c r="AZ26" s="560"/>
      <c r="BA26" s="560"/>
      <c r="BB26" s="561"/>
      <c r="BC26" s="562"/>
      <c r="BD26" s="556"/>
      <c r="BE26" s="503"/>
      <c r="BF26" s="599"/>
    </row>
    <row r="27">
      <c r="A27" s="501"/>
      <c r="B27" s="501"/>
      <c r="C27" s="544"/>
      <c r="D27" s="533"/>
      <c r="E27" s="533"/>
      <c r="F27" s="533"/>
      <c r="G27" s="545"/>
      <c r="H27" s="545"/>
      <c r="I27" s="545"/>
      <c r="J27" s="545"/>
      <c r="K27" s="545"/>
      <c r="L27" s="545"/>
      <c r="M27" s="545"/>
      <c r="N27" s="545"/>
      <c r="O27" s="545"/>
      <c r="P27" s="545"/>
      <c r="Q27" s="545"/>
      <c r="R27" s="545"/>
      <c r="S27" s="545"/>
      <c r="T27" s="545"/>
      <c r="U27" s="545"/>
      <c r="V27" s="545"/>
      <c r="W27" s="545"/>
      <c r="X27" s="545"/>
      <c r="Y27" s="545"/>
      <c r="Z27" s="545"/>
      <c r="AA27" s="545"/>
      <c r="AB27" s="545"/>
      <c r="AC27" s="545"/>
      <c r="AD27" s="545"/>
      <c r="AE27" s="545"/>
      <c r="AF27" s="545"/>
      <c r="AG27" s="545"/>
      <c r="AH27" s="545"/>
      <c r="AI27" s="545"/>
      <c r="AJ27" s="545"/>
      <c r="AK27" s="545"/>
      <c r="AL27" s="545"/>
      <c r="AM27" s="545"/>
      <c r="AN27" s="545"/>
      <c r="AO27" s="545"/>
      <c r="AP27" s="545"/>
      <c r="AQ27" s="545"/>
      <c r="AR27" s="545"/>
      <c r="AS27" s="545"/>
      <c r="AT27" s="545"/>
      <c r="AU27" s="545"/>
      <c r="AV27" s="545"/>
      <c r="AW27" s="545"/>
      <c r="AX27" s="545"/>
      <c r="AY27" s="545"/>
      <c r="AZ27" s="545"/>
      <c r="BA27" s="545"/>
      <c r="BB27" s="546"/>
      <c r="BC27" s="547"/>
      <c r="BD27" s="548"/>
      <c r="BE27" s="502"/>
      <c r="BF27" s="499"/>
    </row>
    <row r="28">
      <c r="A28" s="501"/>
      <c r="B28" s="501"/>
      <c r="C28" s="550"/>
      <c r="D28" s="498"/>
      <c r="E28" s="498"/>
      <c r="F28" s="498"/>
      <c r="G28" s="551"/>
      <c r="H28" s="551"/>
      <c r="I28" s="551"/>
      <c r="J28" s="551"/>
      <c r="K28" s="551"/>
      <c r="L28" s="551"/>
      <c r="M28" s="551"/>
      <c r="N28" s="551"/>
      <c r="O28" s="551"/>
      <c r="P28" s="551"/>
      <c r="Q28" s="551"/>
      <c r="R28" s="551"/>
      <c r="S28" s="551"/>
      <c r="T28" s="551"/>
      <c r="U28" s="551"/>
      <c r="V28" s="551"/>
      <c r="W28" s="551"/>
      <c r="X28" s="551"/>
      <c r="Y28" s="551"/>
      <c r="Z28" s="551"/>
      <c r="AA28" s="551"/>
      <c r="AB28" s="551"/>
      <c r="AC28" s="551"/>
      <c r="AD28" s="551"/>
      <c r="AE28" s="551"/>
      <c r="AF28" s="551"/>
      <c r="AG28" s="551"/>
      <c r="AH28" s="551"/>
      <c r="AI28" s="551"/>
      <c r="AJ28" s="551"/>
      <c r="AK28" s="551"/>
      <c r="AL28" s="551"/>
      <c r="AM28" s="551"/>
      <c r="AN28" s="551"/>
      <c r="AO28" s="551"/>
      <c r="AP28" s="551"/>
      <c r="AQ28" s="551"/>
      <c r="AR28" s="551"/>
      <c r="AS28" s="551"/>
      <c r="AT28" s="551"/>
      <c r="AU28" s="551"/>
      <c r="AV28" s="551"/>
      <c r="AW28" s="551"/>
      <c r="AX28" s="551"/>
      <c r="AY28" s="551"/>
      <c r="AZ28" s="551"/>
      <c r="BA28" s="551"/>
      <c r="BB28" s="548"/>
      <c r="BC28" s="552"/>
      <c r="BD28" s="548"/>
      <c r="BE28" s="502"/>
      <c r="BF28" s="499"/>
    </row>
    <row r="29">
      <c r="A29" s="501"/>
      <c r="B29" s="501"/>
      <c r="C29" s="550"/>
      <c r="D29" s="498"/>
      <c r="E29" s="498"/>
      <c r="F29" s="498"/>
      <c r="G29" s="551"/>
      <c r="H29" s="551"/>
      <c r="I29" s="551"/>
      <c r="J29" s="551"/>
      <c r="K29" s="551"/>
      <c r="L29" s="551"/>
      <c r="M29" s="551"/>
      <c r="N29" s="551"/>
      <c r="O29" s="551"/>
      <c r="P29" s="551"/>
      <c r="Q29" s="551"/>
      <c r="R29" s="551"/>
      <c r="S29" s="551"/>
      <c r="T29" s="551"/>
      <c r="U29" s="551"/>
      <c r="V29" s="551"/>
      <c r="W29" s="551"/>
      <c r="X29" s="551"/>
      <c r="Y29" s="551"/>
      <c r="Z29" s="551"/>
      <c r="AA29" s="551"/>
      <c r="AB29" s="551"/>
      <c r="AC29" s="551"/>
      <c r="AD29" s="551"/>
      <c r="AE29" s="551"/>
      <c r="AF29" s="551"/>
      <c r="AG29" s="551"/>
      <c r="AH29" s="551"/>
      <c r="AI29" s="551"/>
      <c r="AJ29" s="551"/>
      <c r="AK29" s="551"/>
      <c r="AL29" s="551"/>
      <c r="AM29" s="551"/>
      <c r="AN29" s="551"/>
      <c r="AO29" s="551"/>
      <c r="AP29" s="551"/>
      <c r="AQ29" s="551"/>
      <c r="AR29" s="551"/>
      <c r="AS29" s="551"/>
      <c r="AT29" s="551"/>
      <c r="AU29" s="551"/>
      <c r="AV29" s="551"/>
      <c r="AW29" s="551"/>
      <c r="AX29" s="551"/>
      <c r="AY29" s="551"/>
      <c r="AZ29" s="551"/>
      <c r="BA29" s="551"/>
      <c r="BB29" s="548"/>
      <c r="BC29" s="552"/>
      <c r="BD29" s="548"/>
      <c r="BE29" s="502"/>
      <c r="BF29" s="499"/>
    </row>
    <row r="30">
      <c r="A30" s="501"/>
      <c r="B30" s="501"/>
      <c r="C30" s="550"/>
      <c r="D30" s="498"/>
      <c r="E30" s="498"/>
      <c r="F30" s="498"/>
      <c r="G30" s="551"/>
      <c r="H30" s="551"/>
      <c r="I30" s="551"/>
      <c r="J30" s="551"/>
      <c r="K30" s="551"/>
      <c r="L30" s="551"/>
      <c r="M30" s="551"/>
      <c r="N30" s="551"/>
      <c r="O30" s="551"/>
      <c r="P30" s="551"/>
      <c r="Q30" s="551"/>
      <c r="R30" s="551"/>
      <c r="S30" s="551"/>
      <c r="T30" s="551"/>
      <c r="U30" s="551"/>
      <c r="V30" s="551"/>
      <c r="W30" s="551"/>
      <c r="X30" s="551"/>
      <c r="Y30" s="551"/>
      <c r="Z30" s="551"/>
      <c r="AA30" s="551"/>
      <c r="AB30" s="551"/>
      <c r="AC30" s="551"/>
      <c r="AD30" s="551"/>
      <c r="AE30" s="551"/>
      <c r="AF30" s="551"/>
      <c r="AG30" s="551"/>
      <c r="AH30" s="551"/>
      <c r="AI30" s="551"/>
      <c r="AJ30" s="551"/>
      <c r="AK30" s="551"/>
      <c r="AL30" s="551"/>
      <c r="AM30" s="551"/>
      <c r="AN30" s="551"/>
      <c r="AO30" s="551"/>
      <c r="AP30" s="551"/>
      <c r="AQ30" s="551"/>
      <c r="AR30" s="551"/>
      <c r="AS30" s="551"/>
      <c r="AT30" s="551"/>
      <c r="AU30" s="551"/>
      <c r="AV30" s="551"/>
      <c r="AW30" s="551"/>
      <c r="AX30" s="551"/>
      <c r="AY30" s="551"/>
      <c r="AZ30" s="551"/>
      <c r="BA30" s="551"/>
      <c r="BB30" s="548"/>
      <c r="BC30" s="552"/>
      <c r="BD30" s="548"/>
      <c r="BE30" s="502"/>
      <c r="BF30" s="499"/>
    </row>
    <row r="31">
      <c r="A31" s="497"/>
      <c r="B31" s="497"/>
      <c r="C31" s="554"/>
      <c r="D31" s="364"/>
      <c r="E31" s="364"/>
      <c r="F31" s="364"/>
      <c r="G31" s="555"/>
      <c r="H31" s="555"/>
      <c r="I31" s="555"/>
      <c r="J31" s="555"/>
      <c r="K31" s="555"/>
      <c r="L31" s="555"/>
      <c r="M31" s="555"/>
      <c r="N31" s="555"/>
      <c r="O31" s="555"/>
      <c r="P31" s="555"/>
      <c r="Q31" s="555"/>
      <c r="R31" s="555"/>
      <c r="S31" s="555"/>
      <c r="T31" s="555"/>
      <c r="U31" s="555"/>
      <c r="V31" s="555"/>
      <c r="W31" s="555"/>
      <c r="X31" s="555"/>
      <c r="Y31" s="555"/>
      <c r="Z31" s="555"/>
      <c r="AA31" s="555"/>
      <c r="AB31" s="555"/>
      <c r="AC31" s="555"/>
      <c r="AD31" s="555"/>
      <c r="AE31" s="555"/>
      <c r="AF31" s="555"/>
      <c r="AG31" s="555"/>
      <c r="AH31" s="555"/>
      <c r="AI31" s="555"/>
      <c r="AJ31" s="555"/>
      <c r="AK31" s="555"/>
      <c r="AL31" s="555"/>
      <c r="AM31" s="555"/>
      <c r="AN31" s="555"/>
      <c r="AO31" s="555"/>
      <c r="AP31" s="555"/>
      <c r="AQ31" s="555"/>
      <c r="AR31" s="555"/>
      <c r="AS31" s="555"/>
      <c r="AT31" s="555"/>
      <c r="AU31" s="555"/>
      <c r="AV31" s="555"/>
      <c r="AW31" s="555"/>
      <c r="AX31" s="555"/>
      <c r="AY31" s="555"/>
      <c r="AZ31" s="555"/>
      <c r="BA31" s="555"/>
      <c r="BB31" s="556"/>
      <c r="BC31" s="557"/>
      <c r="BD31" s="556"/>
      <c r="BE31" s="499"/>
      <c r="BF31" s="502"/>
    </row>
    <row r="32">
      <c r="A32" s="497"/>
      <c r="B32" s="497"/>
      <c r="C32" s="554"/>
      <c r="D32" s="364"/>
      <c r="E32" s="364"/>
      <c r="F32" s="364"/>
      <c r="G32" s="555"/>
      <c r="H32" s="555"/>
      <c r="I32" s="555"/>
      <c r="J32" s="555"/>
      <c r="K32" s="555"/>
      <c r="L32" s="555"/>
      <c r="M32" s="555"/>
      <c r="N32" s="555"/>
      <c r="O32" s="555"/>
      <c r="P32" s="555"/>
      <c r="Q32" s="555"/>
      <c r="R32" s="555"/>
      <c r="S32" s="555"/>
      <c r="T32" s="555"/>
      <c r="U32" s="555"/>
      <c r="V32" s="555"/>
      <c r="W32" s="555"/>
      <c r="X32" s="555"/>
      <c r="Y32" s="555"/>
      <c r="Z32" s="555"/>
      <c r="AA32" s="555"/>
      <c r="AB32" s="555"/>
      <c r="AC32" s="555"/>
      <c r="AD32" s="555"/>
      <c r="AE32" s="555"/>
      <c r="AF32" s="555"/>
      <c r="AG32" s="555"/>
      <c r="AH32" s="555"/>
      <c r="AI32" s="555"/>
      <c r="AJ32" s="555"/>
      <c r="AK32" s="555"/>
      <c r="AL32" s="555"/>
      <c r="AM32" s="555"/>
      <c r="AN32" s="555"/>
      <c r="AO32" s="555"/>
      <c r="AP32" s="555"/>
      <c r="AQ32" s="555"/>
      <c r="AR32" s="555"/>
      <c r="AS32" s="555"/>
      <c r="AT32" s="555"/>
      <c r="AU32" s="555"/>
      <c r="AV32" s="555"/>
      <c r="AW32" s="555"/>
      <c r="AX32" s="555"/>
      <c r="AY32" s="555"/>
      <c r="AZ32" s="555"/>
      <c r="BA32" s="555"/>
      <c r="BB32" s="556"/>
      <c r="BC32" s="557"/>
      <c r="BD32" s="556"/>
      <c r="BE32" s="499"/>
      <c r="BF32" s="502"/>
    </row>
    <row r="33">
      <c r="A33" s="497"/>
      <c r="B33" s="497"/>
      <c r="C33" s="554"/>
      <c r="D33" s="364"/>
      <c r="E33" s="364"/>
      <c r="F33" s="364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55"/>
      <c r="AB33" s="555"/>
      <c r="AC33" s="555"/>
      <c r="AD33" s="555"/>
      <c r="AE33" s="555"/>
      <c r="AF33" s="555"/>
      <c r="AG33" s="555"/>
      <c r="AH33" s="555"/>
      <c r="AI33" s="555"/>
      <c r="AJ33" s="555"/>
      <c r="AK33" s="555"/>
      <c r="AL33" s="555"/>
      <c r="AM33" s="555"/>
      <c r="AN33" s="555"/>
      <c r="AO33" s="555"/>
      <c r="AP33" s="555"/>
      <c r="AQ33" s="555"/>
      <c r="AR33" s="555"/>
      <c r="AS33" s="555"/>
      <c r="AT33" s="555"/>
      <c r="AU33" s="555"/>
      <c r="AV33" s="555"/>
      <c r="AW33" s="555"/>
      <c r="AX33" s="555"/>
      <c r="AY33" s="555"/>
      <c r="AZ33" s="555"/>
      <c r="BA33" s="555"/>
      <c r="BB33" s="556"/>
      <c r="BC33" s="557"/>
      <c r="BD33" s="556"/>
      <c r="BE33" s="499"/>
      <c r="BF33" s="502"/>
    </row>
    <row r="34">
      <c r="A34" s="559"/>
      <c r="B34" s="559"/>
      <c r="C34" s="598"/>
      <c r="D34" s="538"/>
      <c r="E34" s="538"/>
      <c r="F34" s="538"/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560"/>
      <c r="Y34" s="560"/>
      <c r="Z34" s="560"/>
      <c r="AA34" s="560"/>
      <c r="AB34" s="560"/>
      <c r="AC34" s="560"/>
      <c r="AD34" s="560"/>
      <c r="AE34" s="560"/>
      <c r="AF34" s="560"/>
      <c r="AG34" s="560"/>
      <c r="AH34" s="560"/>
      <c r="AI34" s="560"/>
      <c r="AJ34" s="560"/>
      <c r="AK34" s="560"/>
      <c r="AL34" s="560"/>
      <c r="AM34" s="560"/>
      <c r="AN34" s="560"/>
      <c r="AO34" s="560"/>
      <c r="AP34" s="560"/>
      <c r="AQ34" s="560"/>
      <c r="AR34" s="560"/>
      <c r="AS34" s="560"/>
      <c r="AT34" s="560"/>
      <c r="AU34" s="560"/>
      <c r="AV34" s="560"/>
      <c r="AW34" s="560"/>
      <c r="AX34" s="560"/>
      <c r="AY34" s="560"/>
      <c r="AZ34" s="560"/>
      <c r="BA34" s="560"/>
      <c r="BB34" s="561"/>
      <c r="BC34" s="562"/>
      <c r="BD34" s="556"/>
      <c r="BE34" s="499"/>
      <c r="BF34" s="502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25"/>
    <col customWidth="1" min="2" max="2" width="34.63"/>
    <col customWidth="1" min="3" max="3" width="15.25"/>
    <col customWidth="1" hidden="1" min="4" max="6" width="5.25"/>
    <col customWidth="1" min="7" max="7" width="5.0"/>
    <col customWidth="1" min="8" max="8" width="5.88"/>
    <col customWidth="1" min="9" max="9" width="5.63"/>
    <col customWidth="1" min="10" max="10" width="4.5"/>
    <col customWidth="1" min="11" max="11" width="6.88"/>
    <col customWidth="1" min="12" max="12" width="6.5"/>
    <col customWidth="1" min="13" max="13" width="6.63"/>
    <col customWidth="1" min="14" max="14" width="6.13"/>
    <col customWidth="1" min="15" max="15" width="8.5"/>
    <col customWidth="1" min="16" max="16" width="8.88"/>
    <col customWidth="1" min="17" max="17" width="9.5"/>
    <col customWidth="1" min="18" max="18" width="10.5"/>
    <col customWidth="1" min="19" max="19" width="10.38"/>
    <col customWidth="1" min="20" max="20" width="11.63"/>
    <col customWidth="1" min="21" max="21" width="12.88"/>
    <col customWidth="1" min="22" max="22" width="11.88"/>
    <col customWidth="1" min="23" max="23" width="9.38"/>
    <col customWidth="1" min="24" max="24" width="11.63"/>
    <col customWidth="1" min="25" max="25" width="10.13"/>
    <col customWidth="1" min="26" max="26" width="9.0"/>
    <col customWidth="1" min="27" max="27" width="8.0"/>
    <col customWidth="1" min="28" max="28" width="10.0"/>
    <col customWidth="1" min="29" max="29" width="10.13"/>
    <col customWidth="1" min="30" max="30" width="11.88"/>
    <col customWidth="1" min="31" max="31" width="11.13"/>
    <col customWidth="1" min="32" max="32" width="12.63"/>
    <col customWidth="1" min="33" max="33" width="9.0"/>
    <col customWidth="1" min="34" max="34" width="7.63"/>
    <col customWidth="1" min="35" max="35" width="8.25"/>
    <col customWidth="1" min="36" max="36" width="12.5"/>
    <col customWidth="1" min="37" max="37" width="13.25"/>
    <col customWidth="1" min="38" max="38" width="8.5"/>
    <col customWidth="1" min="39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1" width="10.75"/>
    <col customWidth="1" min="52" max="52" width="11.0"/>
    <col customWidth="1" min="53" max="53" width="9.38"/>
    <col customWidth="1" min="54" max="54" width="9.63"/>
    <col customWidth="1" hidden="1" min="55" max="55" width="9.63"/>
    <col customWidth="1" min="56" max="58" width="9.63"/>
  </cols>
  <sheetData>
    <row r="1">
      <c r="A1" s="12" t="s">
        <v>148</v>
      </c>
      <c r="B1" s="12" t="s">
        <v>149</v>
      </c>
      <c r="C1" s="12" t="s">
        <v>62</v>
      </c>
      <c r="D1" s="12" t="s">
        <v>305</v>
      </c>
      <c r="E1" s="1" t="s">
        <v>117</v>
      </c>
      <c r="F1" s="1" t="s">
        <v>306</v>
      </c>
      <c r="G1" s="12" t="s">
        <v>307</v>
      </c>
      <c r="H1" s="12" t="s">
        <v>308</v>
      </c>
      <c r="I1" s="12" t="s">
        <v>20</v>
      </c>
      <c r="J1" s="12" t="s">
        <v>21</v>
      </c>
      <c r="K1" s="12" t="s">
        <v>22</v>
      </c>
      <c r="L1" s="12" t="s">
        <v>23</v>
      </c>
      <c r="M1" s="12" t="s">
        <v>24</v>
      </c>
      <c r="N1" s="12" t="s">
        <v>25</v>
      </c>
      <c r="O1" s="12" t="s">
        <v>26</v>
      </c>
      <c r="P1" s="12" t="s">
        <v>27</v>
      </c>
      <c r="Q1" s="12" t="s">
        <v>28</v>
      </c>
      <c r="R1" s="12" t="s">
        <v>29</v>
      </c>
      <c r="S1" s="12" t="s">
        <v>30</v>
      </c>
      <c r="T1" s="12" t="s">
        <v>31</v>
      </c>
      <c r="U1" s="12" t="s">
        <v>32</v>
      </c>
      <c r="V1" s="12" t="s">
        <v>118</v>
      </c>
      <c r="W1" s="12" t="s">
        <v>309</v>
      </c>
      <c r="X1" s="12" t="s">
        <v>310</v>
      </c>
      <c r="Y1" s="12" t="s">
        <v>33</v>
      </c>
      <c r="Z1" s="12" t="s">
        <v>34</v>
      </c>
      <c r="AA1" s="12" t="s">
        <v>35</v>
      </c>
      <c r="AB1" s="12" t="s">
        <v>36</v>
      </c>
      <c r="AC1" s="12" t="s">
        <v>37</v>
      </c>
      <c r="AD1" s="12" t="s">
        <v>38</v>
      </c>
      <c r="AE1" s="12" t="s">
        <v>39</v>
      </c>
      <c r="AF1" s="12" t="s">
        <v>311</v>
      </c>
      <c r="AG1" s="12" t="s">
        <v>312</v>
      </c>
      <c r="AH1" s="12" t="s">
        <v>313</v>
      </c>
      <c r="AI1" s="12" t="s">
        <v>40</v>
      </c>
      <c r="AJ1" s="12" t="s">
        <v>452</v>
      </c>
      <c r="AK1" s="12" t="s">
        <v>314</v>
      </c>
      <c r="AL1" s="12" t="s">
        <v>41</v>
      </c>
      <c r="AM1" s="12" t="s">
        <v>42</v>
      </c>
      <c r="AN1" s="12" t="s">
        <v>455</v>
      </c>
      <c r="AO1" s="12" t="s">
        <v>453</v>
      </c>
      <c r="AP1" s="12" t="s">
        <v>43</v>
      </c>
      <c r="AQ1" s="12" t="s">
        <v>44</v>
      </c>
      <c r="AR1" s="12" t="s">
        <v>45</v>
      </c>
      <c r="AS1" s="12" t="s">
        <v>46</v>
      </c>
      <c r="AT1" s="12" t="s">
        <v>47</v>
      </c>
      <c r="AU1" s="12" t="s">
        <v>48</v>
      </c>
      <c r="AV1" s="12" t="s">
        <v>49</v>
      </c>
      <c r="AW1" s="12" t="s">
        <v>50</v>
      </c>
      <c r="AX1" s="12" t="s">
        <v>51</v>
      </c>
      <c r="AY1" s="12" t="s">
        <v>52</v>
      </c>
      <c r="AZ1" s="12" t="s">
        <v>456</v>
      </c>
      <c r="BA1" s="12" t="s">
        <v>53</v>
      </c>
      <c r="BB1" s="12" t="s">
        <v>54</v>
      </c>
      <c r="BC1" s="1" t="s">
        <v>316</v>
      </c>
      <c r="BD1" s="12" t="s">
        <v>55</v>
      </c>
      <c r="BE1" s="12"/>
      <c r="BF1" s="12"/>
    </row>
    <row r="2">
      <c r="A2" s="497"/>
      <c r="B2" s="497"/>
      <c r="C2" s="575"/>
      <c r="D2" s="498"/>
      <c r="E2" s="498"/>
      <c r="F2" s="498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6"/>
      <c r="X2" s="576"/>
      <c r="Y2" s="576"/>
      <c r="Z2" s="576"/>
      <c r="AA2" s="576"/>
      <c r="AB2" s="576"/>
      <c r="AC2" s="576"/>
      <c r="AD2" s="576"/>
      <c r="AE2" s="576"/>
      <c r="AF2" s="576"/>
      <c r="AG2" s="576"/>
      <c r="AH2" s="576"/>
      <c r="AI2" s="576"/>
      <c r="AJ2" s="576"/>
      <c r="AK2" s="576"/>
      <c r="AL2" s="576"/>
      <c r="AM2" s="576"/>
      <c r="AN2" s="576"/>
      <c r="AO2" s="576"/>
      <c r="AP2" s="576"/>
      <c r="AQ2" s="576"/>
      <c r="AR2" s="576"/>
      <c r="AS2" s="576"/>
      <c r="AT2" s="576"/>
      <c r="AU2" s="576"/>
      <c r="AV2" s="576"/>
      <c r="AW2" s="576"/>
      <c r="AX2" s="576"/>
      <c r="AY2" s="576"/>
      <c r="AZ2" s="576"/>
      <c r="BA2" s="576"/>
      <c r="BB2" s="577"/>
      <c r="BC2" s="578"/>
      <c r="BD2" s="578"/>
      <c r="BE2" s="579"/>
      <c r="BF2" s="580"/>
    </row>
    <row r="3">
      <c r="A3" s="497"/>
      <c r="B3" s="497"/>
      <c r="C3" s="554"/>
      <c r="D3" s="498"/>
      <c r="E3" s="498"/>
      <c r="F3" s="498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55"/>
      <c r="X3" s="555"/>
      <c r="Y3" s="555"/>
      <c r="Z3" s="555"/>
      <c r="AA3" s="555"/>
      <c r="AB3" s="555"/>
      <c r="AC3" s="555"/>
      <c r="AD3" s="555"/>
      <c r="AE3" s="555"/>
      <c r="AF3" s="555"/>
      <c r="AG3" s="555"/>
      <c r="AH3" s="555"/>
      <c r="AI3" s="555"/>
      <c r="AJ3" s="555"/>
      <c r="AK3" s="555"/>
      <c r="AL3" s="555"/>
      <c r="AM3" s="555"/>
      <c r="AN3" s="555"/>
      <c r="AO3" s="555"/>
      <c r="AP3" s="555"/>
      <c r="AQ3" s="555"/>
      <c r="AR3" s="555"/>
      <c r="AS3" s="555"/>
      <c r="AT3" s="555"/>
      <c r="AU3" s="555"/>
      <c r="AV3" s="555"/>
      <c r="AW3" s="555"/>
      <c r="AX3" s="555"/>
      <c r="AY3" s="555"/>
      <c r="AZ3" s="555"/>
      <c r="BA3" s="555"/>
      <c r="BB3" s="556"/>
      <c r="BC3" s="557"/>
      <c r="BD3" s="557"/>
      <c r="BE3" s="556"/>
      <c r="BF3" s="581"/>
    </row>
    <row r="4">
      <c r="A4" s="497"/>
      <c r="B4" s="497"/>
      <c r="C4" s="554"/>
      <c r="D4" s="498"/>
      <c r="E4" s="498"/>
      <c r="F4" s="498"/>
      <c r="G4" s="555"/>
      <c r="H4" s="555"/>
      <c r="I4" s="555"/>
      <c r="J4" s="555"/>
      <c r="K4" s="555"/>
      <c r="L4" s="555"/>
      <c r="M4" s="555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55"/>
      <c r="Y4" s="555"/>
      <c r="Z4" s="555"/>
      <c r="AA4" s="555"/>
      <c r="AB4" s="555"/>
      <c r="AC4" s="555"/>
      <c r="AD4" s="555"/>
      <c r="AE4" s="555"/>
      <c r="AF4" s="555"/>
      <c r="AG4" s="555"/>
      <c r="AH4" s="555"/>
      <c r="AI4" s="555"/>
      <c r="AJ4" s="555"/>
      <c r="AK4" s="555"/>
      <c r="AL4" s="555"/>
      <c r="AM4" s="555"/>
      <c r="AN4" s="555"/>
      <c r="AO4" s="555"/>
      <c r="AP4" s="555"/>
      <c r="AQ4" s="555"/>
      <c r="AR4" s="555"/>
      <c r="AS4" s="555"/>
      <c r="AT4" s="555"/>
      <c r="AU4" s="555"/>
      <c r="AV4" s="555"/>
      <c r="AW4" s="555"/>
      <c r="AX4" s="555"/>
      <c r="AY4" s="555"/>
      <c r="AZ4" s="555"/>
      <c r="BA4" s="555"/>
      <c r="BB4" s="556"/>
      <c r="BC4" s="557"/>
      <c r="BD4" s="557"/>
      <c r="BE4" s="556"/>
      <c r="BF4" s="581"/>
    </row>
    <row r="5">
      <c r="A5" s="497"/>
      <c r="B5" s="497"/>
      <c r="C5" s="554"/>
      <c r="D5" s="498"/>
      <c r="E5" s="498"/>
      <c r="F5" s="498"/>
      <c r="G5" s="555"/>
      <c r="H5" s="555"/>
      <c r="I5" s="555"/>
      <c r="J5" s="555"/>
      <c r="K5" s="555"/>
      <c r="L5" s="555"/>
      <c r="M5" s="555"/>
      <c r="N5" s="555"/>
      <c r="O5" s="555"/>
      <c r="P5" s="555"/>
      <c r="Q5" s="555"/>
      <c r="R5" s="555"/>
      <c r="S5" s="555"/>
      <c r="T5" s="555"/>
      <c r="U5" s="555"/>
      <c r="V5" s="555"/>
      <c r="W5" s="555"/>
      <c r="X5" s="555"/>
      <c r="Y5" s="555"/>
      <c r="Z5" s="555"/>
      <c r="AA5" s="555"/>
      <c r="AB5" s="555"/>
      <c r="AC5" s="555"/>
      <c r="AD5" s="555"/>
      <c r="AE5" s="555"/>
      <c r="AF5" s="555"/>
      <c r="AG5" s="555"/>
      <c r="AH5" s="555"/>
      <c r="AI5" s="555"/>
      <c r="AJ5" s="555"/>
      <c r="AK5" s="555"/>
      <c r="AL5" s="555"/>
      <c r="AM5" s="555"/>
      <c r="AN5" s="555"/>
      <c r="AO5" s="555"/>
      <c r="AP5" s="555"/>
      <c r="AQ5" s="555"/>
      <c r="AR5" s="555"/>
      <c r="AS5" s="555"/>
      <c r="AT5" s="555"/>
      <c r="AU5" s="555"/>
      <c r="AV5" s="555"/>
      <c r="AW5" s="555"/>
      <c r="AX5" s="555"/>
      <c r="AY5" s="555"/>
      <c r="AZ5" s="555"/>
      <c r="BA5" s="555"/>
      <c r="BB5" s="556"/>
      <c r="BC5" s="557"/>
      <c r="BD5" s="557"/>
      <c r="BE5" s="556"/>
      <c r="BF5" s="581"/>
    </row>
    <row r="6">
      <c r="A6" s="501"/>
      <c r="B6" s="501"/>
      <c r="C6" s="550"/>
      <c r="D6" s="364"/>
      <c r="E6" s="364"/>
      <c r="F6" s="364"/>
      <c r="G6" s="551"/>
      <c r="H6" s="551"/>
      <c r="I6" s="551"/>
      <c r="J6" s="551"/>
      <c r="K6" s="551"/>
      <c r="L6" s="551"/>
      <c r="M6" s="551"/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  <c r="Y6" s="551"/>
      <c r="Z6" s="551"/>
      <c r="AA6" s="551"/>
      <c r="AB6" s="551"/>
      <c r="AC6" s="551"/>
      <c r="AD6" s="551"/>
      <c r="AE6" s="551"/>
      <c r="AF6" s="551"/>
      <c r="AG6" s="551"/>
      <c r="AH6" s="551"/>
      <c r="AI6" s="551"/>
      <c r="AJ6" s="551"/>
      <c r="AK6" s="551"/>
      <c r="AL6" s="551"/>
      <c r="AM6" s="551"/>
      <c r="AN6" s="551"/>
      <c r="AO6" s="551"/>
      <c r="AP6" s="551"/>
      <c r="AQ6" s="551"/>
      <c r="AR6" s="551"/>
      <c r="AS6" s="551"/>
      <c r="AT6" s="551"/>
      <c r="AU6" s="551"/>
      <c r="AV6" s="551"/>
      <c r="AW6" s="551"/>
      <c r="AX6" s="551"/>
      <c r="AY6" s="551"/>
      <c r="AZ6" s="551"/>
      <c r="BA6" s="551"/>
      <c r="BB6" s="548"/>
      <c r="BC6" s="552"/>
      <c r="BD6" s="552"/>
      <c r="BE6" s="548"/>
      <c r="BF6" s="582"/>
    </row>
    <row r="7">
      <c r="A7" s="501"/>
      <c r="B7" s="501"/>
      <c r="C7" s="550"/>
      <c r="D7" s="364"/>
      <c r="E7" s="364"/>
      <c r="F7" s="364"/>
      <c r="G7" s="551"/>
      <c r="H7" s="551"/>
      <c r="I7" s="551"/>
      <c r="J7" s="551"/>
      <c r="K7" s="551"/>
      <c r="L7" s="551"/>
      <c r="M7" s="551"/>
      <c r="N7" s="551"/>
      <c r="O7" s="551"/>
      <c r="P7" s="551"/>
      <c r="Q7" s="551"/>
      <c r="R7" s="551"/>
      <c r="S7" s="551"/>
      <c r="T7" s="551"/>
      <c r="U7" s="551"/>
      <c r="V7" s="551"/>
      <c r="W7" s="551"/>
      <c r="X7" s="551"/>
      <c r="Y7" s="551"/>
      <c r="Z7" s="551"/>
      <c r="AA7" s="551"/>
      <c r="AB7" s="551"/>
      <c r="AC7" s="551"/>
      <c r="AD7" s="551"/>
      <c r="AE7" s="551"/>
      <c r="AF7" s="551"/>
      <c r="AG7" s="551"/>
      <c r="AH7" s="551"/>
      <c r="AI7" s="551"/>
      <c r="AJ7" s="551"/>
      <c r="AK7" s="551"/>
      <c r="AL7" s="551"/>
      <c r="AM7" s="551"/>
      <c r="AN7" s="551"/>
      <c r="AO7" s="551"/>
      <c r="AP7" s="551"/>
      <c r="AQ7" s="551"/>
      <c r="AR7" s="551"/>
      <c r="AS7" s="551"/>
      <c r="AT7" s="551"/>
      <c r="AU7" s="551"/>
      <c r="AV7" s="551"/>
      <c r="AW7" s="551"/>
      <c r="AX7" s="551"/>
      <c r="AY7" s="551"/>
      <c r="AZ7" s="551"/>
      <c r="BA7" s="551"/>
      <c r="BB7" s="548"/>
      <c r="BC7" s="552"/>
      <c r="BD7" s="552"/>
      <c r="BE7" s="548"/>
      <c r="BF7" s="582"/>
    </row>
    <row r="8">
      <c r="A8" s="501"/>
      <c r="B8" s="501"/>
      <c r="C8" s="550"/>
      <c r="D8" s="364"/>
      <c r="E8" s="364"/>
      <c r="F8" s="364"/>
      <c r="G8" s="551"/>
      <c r="H8" s="551"/>
      <c r="I8" s="551"/>
      <c r="J8" s="551"/>
      <c r="K8" s="551"/>
      <c r="L8" s="551"/>
      <c r="M8" s="551"/>
      <c r="N8" s="551"/>
      <c r="O8" s="551"/>
      <c r="P8" s="551"/>
      <c r="Q8" s="551"/>
      <c r="R8" s="551"/>
      <c r="S8" s="551"/>
      <c r="T8" s="551"/>
      <c r="U8" s="551"/>
      <c r="V8" s="551"/>
      <c r="W8" s="551"/>
      <c r="X8" s="551"/>
      <c r="Y8" s="551"/>
      <c r="Z8" s="551"/>
      <c r="AA8" s="551"/>
      <c r="AB8" s="551"/>
      <c r="AC8" s="551"/>
      <c r="AD8" s="551"/>
      <c r="AE8" s="551"/>
      <c r="AF8" s="551"/>
      <c r="AG8" s="551"/>
      <c r="AH8" s="551"/>
      <c r="AI8" s="551"/>
      <c r="AJ8" s="551"/>
      <c r="AK8" s="551"/>
      <c r="AL8" s="551"/>
      <c r="AM8" s="551"/>
      <c r="AN8" s="551"/>
      <c r="AO8" s="551"/>
      <c r="AP8" s="551"/>
      <c r="AQ8" s="551"/>
      <c r="AR8" s="551"/>
      <c r="AS8" s="551"/>
      <c r="AT8" s="551"/>
      <c r="AU8" s="551"/>
      <c r="AV8" s="551"/>
      <c r="AW8" s="551"/>
      <c r="AX8" s="551"/>
      <c r="AY8" s="551"/>
      <c r="AZ8" s="551"/>
      <c r="BA8" s="551"/>
      <c r="BB8" s="548"/>
      <c r="BC8" s="552"/>
      <c r="BD8" s="552"/>
      <c r="BE8" s="548"/>
      <c r="BF8" s="582"/>
    </row>
    <row r="9">
      <c r="A9" s="501"/>
      <c r="B9" s="501"/>
      <c r="C9" s="583"/>
      <c r="D9" s="364"/>
      <c r="E9" s="364"/>
      <c r="F9" s="364"/>
      <c r="G9" s="584"/>
      <c r="H9" s="584"/>
      <c r="I9" s="584"/>
      <c r="J9" s="584"/>
      <c r="K9" s="584"/>
      <c r="L9" s="584"/>
      <c r="M9" s="584"/>
      <c r="N9" s="584"/>
      <c r="O9" s="584"/>
      <c r="P9" s="584"/>
      <c r="Q9" s="584"/>
      <c r="R9" s="584"/>
      <c r="S9" s="584"/>
      <c r="T9" s="584"/>
      <c r="U9" s="584"/>
      <c r="V9" s="584"/>
      <c r="W9" s="584"/>
      <c r="X9" s="584"/>
      <c r="Y9" s="584"/>
      <c r="Z9" s="584"/>
      <c r="AA9" s="584"/>
      <c r="AB9" s="584"/>
      <c r="AC9" s="584"/>
      <c r="AD9" s="584"/>
      <c r="AE9" s="584"/>
      <c r="AF9" s="584"/>
      <c r="AG9" s="584"/>
      <c r="AH9" s="584"/>
      <c r="AI9" s="584"/>
      <c r="AJ9" s="584"/>
      <c r="AK9" s="584"/>
      <c r="AL9" s="584"/>
      <c r="AM9" s="584"/>
      <c r="AN9" s="584"/>
      <c r="AO9" s="584"/>
      <c r="AP9" s="584"/>
      <c r="AQ9" s="584"/>
      <c r="AR9" s="584"/>
      <c r="AS9" s="584"/>
      <c r="AT9" s="584"/>
      <c r="AU9" s="584"/>
      <c r="AV9" s="584"/>
      <c r="AW9" s="584"/>
      <c r="AX9" s="584"/>
      <c r="AY9" s="584"/>
      <c r="AZ9" s="584"/>
      <c r="BA9" s="584"/>
      <c r="BB9" s="585"/>
      <c r="BC9" s="586"/>
      <c r="BD9" s="586"/>
      <c r="BE9" s="548"/>
      <c r="BF9" s="582"/>
    </row>
    <row r="10">
      <c r="A10" s="511"/>
      <c r="B10" s="511"/>
      <c r="C10" s="512"/>
      <c r="D10" s="513"/>
      <c r="E10" s="513"/>
      <c r="F10" s="513"/>
      <c r="G10" s="513"/>
      <c r="H10" s="513"/>
      <c r="I10" s="513"/>
      <c r="J10" s="513"/>
      <c r="K10" s="513"/>
      <c r="L10" s="513"/>
      <c r="M10" s="513"/>
      <c r="N10" s="513"/>
      <c r="O10" s="513"/>
      <c r="P10" s="513"/>
      <c r="Q10" s="513"/>
      <c r="R10" s="513"/>
      <c r="S10" s="513"/>
      <c r="T10" s="513"/>
      <c r="U10" s="513"/>
      <c r="V10" s="513"/>
      <c r="W10" s="513"/>
      <c r="X10" s="513"/>
      <c r="Y10" s="513"/>
      <c r="Z10" s="513"/>
      <c r="AA10" s="513"/>
      <c r="AB10" s="513"/>
      <c r="AC10" s="513"/>
      <c r="AD10" s="513"/>
      <c r="AE10" s="513"/>
      <c r="AF10" s="513"/>
      <c r="AG10" s="513"/>
      <c r="AH10" s="513"/>
      <c r="AI10" s="513"/>
      <c r="AJ10" s="513"/>
      <c r="AK10" s="513"/>
      <c r="AL10" s="513"/>
      <c r="AM10" s="513"/>
      <c r="AN10" s="513"/>
      <c r="AO10" s="513"/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</row>
    <row r="11">
      <c r="A11" s="501"/>
      <c r="B11" s="501"/>
      <c r="C11" s="544"/>
      <c r="D11" s="498"/>
      <c r="E11" s="498"/>
      <c r="F11" s="498"/>
      <c r="G11" s="545"/>
      <c r="H11" s="545"/>
      <c r="I11" s="545"/>
      <c r="J11" s="545"/>
      <c r="K11" s="545"/>
      <c r="L11" s="545"/>
      <c r="M11" s="545"/>
      <c r="N11" s="545"/>
      <c r="O11" s="545"/>
      <c r="P11" s="545"/>
      <c r="Q11" s="545"/>
      <c r="R11" s="545"/>
      <c r="S11" s="545"/>
      <c r="T11" s="545"/>
      <c r="U11" s="545"/>
      <c r="V11" s="545"/>
      <c r="W11" s="545"/>
      <c r="X11" s="545"/>
      <c r="Y11" s="545"/>
      <c r="Z11" s="545"/>
      <c r="AA11" s="545"/>
      <c r="AB11" s="545"/>
      <c r="AC11" s="545"/>
      <c r="AD11" s="545"/>
      <c r="AE11" s="545"/>
      <c r="AF11" s="545"/>
      <c r="AG11" s="545"/>
      <c r="AH11" s="545"/>
      <c r="AI11" s="545"/>
      <c r="AJ11" s="545"/>
      <c r="AK11" s="545"/>
      <c r="AL11" s="545"/>
      <c r="AM11" s="545"/>
      <c r="AN11" s="545"/>
      <c r="AO11" s="545"/>
      <c r="AP11" s="545"/>
      <c r="AQ11" s="545"/>
      <c r="AR11" s="545"/>
      <c r="AS11" s="545"/>
      <c r="AT11" s="545"/>
      <c r="AU11" s="545"/>
      <c r="AV11" s="545"/>
      <c r="AW11" s="545"/>
      <c r="AX11" s="545"/>
      <c r="AY11" s="545"/>
      <c r="AZ11" s="545"/>
      <c r="BA11" s="545"/>
      <c r="BB11" s="546"/>
      <c r="BC11" s="547"/>
      <c r="BD11" s="547"/>
      <c r="BE11" s="548"/>
      <c r="BF11" s="600"/>
    </row>
    <row r="12">
      <c r="A12" s="501"/>
      <c r="B12" s="501"/>
      <c r="C12" s="550"/>
      <c r="D12" s="498"/>
      <c r="E12" s="498"/>
      <c r="F12" s="498"/>
      <c r="G12" s="551"/>
      <c r="H12" s="551"/>
      <c r="I12" s="551"/>
      <c r="J12" s="551"/>
      <c r="K12" s="551"/>
      <c r="L12" s="551"/>
      <c r="M12" s="551"/>
      <c r="N12" s="551"/>
      <c r="O12" s="551"/>
      <c r="P12" s="551"/>
      <c r="Q12" s="551"/>
      <c r="R12" s="551"/>
      <c r="S12" s="551"/>
      <c r="T12" s="551"/>
      <c r="U12" s="551"/>
      <c r="V12" s="551"/>
      <c r="W12" s="551"/>
      <c r="X12" s="551"/>
      <c r="Y12" s="551"/>
      <c r="Z12" s="551"/>
      <c r="AA12" s="551"/>
      <c r="AB12" s="551"/>
      <c r="AC12" s="551"/>
      <c r="AD12" s="551"/>
      <c r="AE12" s="551"/>
      <c r="AF12" s="551"/>
      <c r="AG12" s="551"/>
      <c r="AH12" s="551"/>
      <c r="AI12" s="551"/>
      <c r="AJ12" s="551"/>
      <c r="AK12" s="551"/>
      <c r="AL12" s="551"/>
      <c r="AM12" s="551"/>
      <c r="AN12" s="551"/>
      <c r="AO12" s="551"/>
      <c r="AP12" s="551"/>
      <c r="AQ12" s="551"/>
      <c r="AR12" s="551"/>
      <c r="AS12" s="551"/>
      <c r="AT12" s="551"/>
      <c r="AU12" s="551"/>
      <c r="AV12" s="551"/>
      <c r="AW12" s="551"/>
      <c r="AX12" s="551"/>
      <c r="AY12" s="551"/>
      <c r="AZ12" s="551"/>
      <c r="BA12" s="551"/>
      <c r="BB12" s="548"/>
      <c r="BC12" s="552"/>
      <c r="BD12" s="552"/>
      <c r="BE12" s="548"/>
      <c r="BF12" s="600"/>
    </row>
    <row r="13">
      <c r="A13" s="501"/>
      <c r="B13" s="501"/>
      <c r="C13" s="550"/>
      <c r="D13" s="498"/>
      <c r="E13" s="498"/>
      <c r="F13" s="498"/>
      <c r="G13" s="551"/>
      <c r="H13" s="551"/>
      <c r="I13" s="551"/>
      <c r="J13" s="551"/>
      <c r="K13" s="551"/>
      <c r="L13" s="551"/>
      <c r="M13" s="551"/>
      <c r="N13" s="551"/>
      <c r="O13" s="551"/>
      <c r="P13" s="551"/>
      <c r="Q13" s="551"/>
      <c r="R13" s="551"/>
      <c r="S13" s="551"/>
      <c r="T13" s="551"/>
      <c r="U13" s="551"/>
      <c r="V13" s="551"/>
      <c r="W13" s="551"/>
      <c r="X13" s="551"/>
      <c r="Y13" s="551"/>
      <c r="Z13" s="551"/>
      <c r="AA13" s="551"/>
      <c r="AB13" s="551"/>
      <c r="AC13" s="551"/>
      <c r="AD13" s="551"/>
      <c r="AE13" s="551"/>
      <c r="AF13" s="551"/>
      <c r="AG13" s="551"/>
      <c r="AH13" s="551"/>
      <c r="AI13" s="551"/>
      <c r="AJ13" s="551"/>
      <c r="AK13" s="551"/>
      <c r="AL13" s="551"/>
      <c r="AM13" s="551"/>
      <c r="AN13" s="551"/>
      <c r="AO13" s="551"/>
      <c r="AP13" s="551"/>
      <c r="AQ13" s="551"/>
      <c r="AR13" s="551"/>
      <c r="AS13" s="551"/>
      <c r="AT13" s="551"/>
      <c r="AU13" s="551"/>
      <c r="AV13" s="551"/>
      <c r="AW13" s="551"/>
      <c r="AX13" s="551"/>
      <c r="AY13" s="551"/>
      <c r="AZ13" s="551"/>
      <c r="BA13" s="551"/>
      <c r="BB13" s="548"/>
      <c r="BC13" s="552"/>
      <c r="BD13" s="552"/>
      <c r="BE13" s="548"/>
      <c r="BF13" s="600"/>
    </row>
    <row r="14">
      <c r="A14" s="501"/>
      <c r="B14" s="501"/>
      <c r="C14" s="550"/>
      <c r="D14" s="498"/>
      <c r="E14" s="498"/>
      <c r="F14" s="498"/>
      <c r="G14" s="551"/>
      <c r="H14" s="551"/>
      <c r="I14" s="551"/>
      <c r="J14" s="551"/>
      <c r="K14" s="551"/>
      <c r="L14" s="551"/>
      <c r="M14" s="551"/>
      <c r="N14" s="551"/>
      <c r="O14" s="551"/>
      <c r="P14" s="551"/>
      <c r="Q14" s="551"/>
      <c r="R14" s="551"/>
      <c r="S14" s="551"/>
      <c r="T14" s="551"/>
      <c r="U14" s="551"/>
      <c r="V14" s="551"/>
      <c r="W14" s="551"/>
      <c r="X14" s="551"/>
      <c r="Y14" s="551"/>
      <c r="Z14" s="551"/>
      <c r="AA14" s="551"/>
      <c r="AB14" s="551"/>
      <c r="AC14" s="551"/>
      <c r="AD14" s="551"/>
      <c r="AE14" s="551"/>
      <c r="AF14" s="551"/>
      <c r="AG14" s="551"/>
      <c r="AH14" s="551"/>
      <c r="AI14" s="551"/>
      <c r="AJ14" s="551"/>
      <c r="AK14" s="551"/>
      <c r="AL14" s="551"/>
      <c r="AM14" s="551"/>
      <c r="AN14" s="551"/>
      <c r="AO14" s="551"/>
      <c r="AP14" s="551"/>
      <c r="AQ14" s="551"/>
      <c r="AR14" s="551"/>
      <c r="AS14" s="551"/>
      <c r="AT14" s="551"/>
      <c r="AU14" s="551"/>
      <c r="AV14" s="551"/>
      <c r="AW14" s="551"/>
      <c r="AX14" s="551"/>
      <c r="AY14" s="551"/>
      <c r="AZ14" s="551"/>
      <c r="BA14" s="551"/>
      <c r="BB14" s="548"/>
      <c r="BC14" s="552"/>
      <c r="BD14" s="552"/>
      <c r="BE14" s="548"/>
      <c r="BF14" s="600"/>
    </row>
    <row r="15">
      <c r="A15" s="497"/>
      <c r="B15" s="497"/>
      <c r="C15" s="554"/>
      <c r="D15" s="364"/>
      <c r="E15" s="364"/>
      <c r="F15" s="364"/>
      <c r="G15" s="555"/>
      <c r="H15" s="555"/>
      <c r="I15" s="555"/>
      <c r="J15" s="555"/>
      <c r="K15" s="555"/>
      <c r="L15" s="555"/>
      <c r="M15" s="555"/>
      <c r="N15" s="555"/>
      <c r="O15" s="555"/>
      <c r="P15" s="555"/>
      <c r="Q15" s="555"/>
      <c r="R15" s="555"/>
      <c r="S15" s="555"/>
      <c r="T15" s="555"/>
      <c r="U15" s="555"/>
      <c r="V15" s="555"/>
      <c r="W15" s="555"/>
      <c r="X15" s="555"/>
      <c r="Y15" s="555"/>
      <c r="Z15" s="555"/>
      <c r="AA15" s="555"/>
      <c r="AB15" s="555"/>
      <c r="AC15" s="555"/>
      <c r="AD15" s="555"/>
      <c r="AE15" s="555"/>
      <c r="AF15" s="555"/>
      <c r="AG15" s="555"/>
      <c r="AH15" s="555"/>
      <c r="AI15" s="555"/>
      <c r="AJ15" s="555"/>
      <c r="AK15" s="555"/>
      <c r="AL15" s="555"/>
      <c r="AM15" s="555"/>
      <c r="AN15" s="555"/>
      <c r="AO15" s="555"/>
      <c r="AP15" s="555"/>
      <c r="AQ15" s="555"/>
      <c r="AR15" s="555"/>
      <c r="AS15" s="555"/>
      <c r="AT15" s="555"/>
      <c r="AU15" s="555"/>
      <c r="AV15" s="555"/>
      <c r="AW15" s="555"/>
      <c r="AX15" s="555"/>
      <c r="AY15" s="555"/>
      <c r="AZ15" s="555"/>
      <c r="BA15" s="555"/>
      <c r="BB15" s="556"/>
      <c r="BC15" s="557"/>
      <c r="BD15" s="557"/>
      <c r="BE15" s="556"/>
      <c r="BF15" s="601"/>
    </row>
    <row r="16">
      <c r="A16" s="497"/>
      <c r="B16" s="497"/>
      <c r="C16" s="554"/>
      <c r="D16" s="364"/>
      <c r="E16" s="364"/>
      <c r="F16" s="364"/>
      <c r="G16" s="555"/>
      <c r="H16" s="555"/>
      <c r="I16" s="555"/>
      <c r="J16" s="555"/>
      <c r="K16" s="555"/>
      <c r="L16" s="555"/>
      <c r="M16" s="555"/>
      <c r="N16" s="555"/>
      <c r="O16" s="555"/>
      <c r="P16" s="555"/>
      <c r="Q16" s="555"/>
      <c r="R16" s="555"/>
      <c r="S16" s="555"/>
      <c r="T16" s="555"/>
      <c r="U16" s="555"/>
      <c r="V16" s="555"/>
      <c r="W16" s="555"/>
      <c r="X16" s="555"/>
      <c r="Y16" s="555"/>
      <c r="Z16" s="555"/>
      <c r="AA16" s="555"/>
      <c r="AB16" s="555"/>
      <c r="AC16" s="555"/>
      <c r="AD16" s="555"/>
      <c r="AE16" s="555"/>
      <c r="AF16" s="555"/>
      <c r="AG16" s="555"/>
      <c r="AH16" s="555"/>
      <c r="AI16" s="555"/>
      <c r="AJ16" s="555"/>
      <c r="AK16" s="555"/>
      <c r="AL16" s="555"/>
      <c r="AM16" s="555"/>
      <c r="AN16" s="555"/>
      <c r="AO16" s="555"/>
      <c r="AP16" s="555"/>
      <c r="AQ16" s="555"/>
      <c r="AR16" s="555"/>
      <c r="AS16" s="555"/>
      <c r="AT16" s="555"/>
      <c r="AU16" s="555"/>
      <c r="AV16" s="555"/>
      <c r="AW16" s="555"/>
      <c r="AX16" s="555"/>
      <c r="AY16" s="555"/>
      <c r="AZ16" s="555"/>
      <c r="BA16" s="555"/>
      <c r="BB16" s="556"/>
      <c r="BC16" s="557"/>
      <c r="BD16" s="557"/>
      <c r="BE16" s="556"/>
      <c r="BF16" s="601"/>
    </row>
    <row r="17">
      <c r="A17" s="497"/>
      <c r="B17" s="497"/>
      <c r="C17" s="554"/>
      <c r="D17" s="364"/>
      <c r="E17" s="364"/>
      <c r="F17" s="364"/>
      <c r="G17" s="555"/>
      <c r="H17" s="555"/>
      <c r="I17" s="555"/>
      <c r="J17" s="555"/>
      <c r="K17" s="555"/>
      <c r="L17" s="555"/>
      <c r="M17" s="555"/>
      <c r="N17" s="555"/>
      <c r="O17" s="555"/>
      <c r="P17" s="555"/>
      <c r="Q17" s="555"/>
      <c r="R17" s="555"/>
      <c r="S17" s="555"/>
      <c r="T17" s="555"/>
      <c r="U17" s="555"/>
      <c r="V17" s="555"/>
      <c r="W17" s="555"/>
      <c r="X17" s="555"/>
      <c r="Y17" s="555"/>
      <c r="Z17" s="555"/>
      <c r="AA17" s="555"/>
      <c r="AB17" s="555"/>
      <c r="AC17" s="555"/>
      <c r="AD17" s="555"/>
      <c r="AE17" s="555"/>
      <c r="AF17" s="555"/>
      <c r="AG17" s="555"/>
      <c r="AH17" s="555"/>
      <c r="AI17" s="555"/>
      <c r="AJ17" s="555"/>
      <c r="AK17" s="555"/>
      <c r="AL17" s="555"/>
      <c r="AM17" s="555"/>
      <c r="AN17" s="555"/>
      <c r="AO17" s="555"/>
      <c r="AP17" s="555"/>
      <c r="AQ17" s="555"/>
      <c r="AR17" s="555"/>
      <c r="AS17" s="555"/>
      <c r="AT17" s="555"/>
      <c r="AU17" s="555"/>
      <c r="AV17" s="555"/>
      <c r="AW17" s="555"/>
      <c r="AX17" s="555"/>
      <c r="AY17" s="555"/>
      <c r="AZ17" s="555"/>
      <c r="BA17" s="555"/>
      <c r="BB17" s="556"/>
      <c r="BC17" s="557"/>
      <c r="BD17" s="557"/>
      <c r="BE17" s="556"/>
      <c r="BF17" s="601"/>
    </row>
    <row r="18">
      <c r="A18" s="497"/>
      <c r="B18" s="497"/>
      <c r="C18" s="598"/>
      <c r="D18" s="364"/>
      <c r="E18" s="364"/>
      <c r="F18" s="364"/>
      <c r="G18" s="560"/>
      <c r="H18" s="560"/>
      <c r="I18" s="560"/>
      <c r="J18" s="560"/>
      <c r="K18" s="560"/>
      <c r="L18" s="560"/>
      <c r="M18" s="560"/>
      <c r="N18" s="560"/>
      <c r="O18" s="560"/>
      <c r="P18" s="560"/>
      <c r="Q18" s="560"/>
      <c r="R18" s="560"/>
      <c r="S18" s="560"/>
      <c r="T18" s="560"/>
      <c r="U18" s="560"/>
      <c r="V18" s="560"/>
      <c r="W18" s="560"/>
      <c r="X18" s="560"/>
      <c r="Y18" s="560"/>
      <c r="Z18" s="560"/>
      <c r="AA18" s="560"/>
      <c r="AB18" s="560"/>
      <c r="AC18" s="560"/>
      <c r="AD18" s="560"/>
      <c r="AE18" s="560"/>
      <c r="AF18" s="560"/>
      <c r="AG18" s="560"/>
      <c r="AH18" s="560"/>
      <c r="AI18" s="560"/>
      <c r="AJ18" s="560"/>
      <c r="AK18" s="560"/>
      <c r="AL18" s="560"/>
      <c r="AM18" s="560"/>
      <c r="AN18" s="560"/>
      <c r="AO18" s="560"/>
      <c r="AP18" s="560"/>
      <c r="AQ18" s="560"/>
      <c r="AR18" s="560"/>
      <c r="AS18" s="560"/>
      <c r="AT18" s="560"/>
      <c r="AU18" s="560"/>
      <c r="AV18" s="560"/>
      <c r="AW18" s="560"/>
      <c r="AX18" s="560"/>
      <c r="AY18" s="560"/>
      <c r="AZ18" s="560"/>
      <c r="BA18" s="560"/>
      <c r="BB18" s="561"/>
      <c r="BC18" s="562"/>
      <c r="BD18" s="562"/>
      <c r="BE18" s="602"/>
      <c r="BF18" s="60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5"/>
    <col customWidth="1" min="2" max="2" width="31.63"/>
    <col customWidth="1" min="3" max="3" width="13.88"/>
    <col customWidth="1" hidden="1" min="4" max="6" width="5.25"/>
    <col customWidth="1" min="7" max="7" width="5.0"/>
    <col customWidth="1" min="8" max="8" width="5.88"/>
    <col customWidth="1" min="9" max="9" width="5.63"/>
    <col customWidth="1" min="10" max="10" width="4.5"/>
    <col customWidth="1" min="11" max="11" width="6.88"/>
    <col customWidth="1" min="12" max="12" width="6.5"/>
    <col customWidth="1" min="13" max="13" width="6.63"/>
    <col customWidth="1" min="14" max="14" width="6.13"/>
    <col customWidth="1" min="15" max="15" width="8.5"/>
    <col customWidth="1" min="16" max="16" width="8.88"/>
    <col customWidth="1" min="17" max="17" width="9.5"/>
    <col customWidth="1" min="18" max="18" width="10.5"/>
    <col customWidth="1" min="19" max="19" width="10.38"/>
    <col customWidth="1" min="20" max="20" width="11.63"/>
    <col customWidth="1" min="21" max="21" width="12.88"/>
    <col customWidth="1" min="22" max="22" width="11.88"/>
    <col customWidth="1" min="23" max="23" width="9.38"/>
    <col customWidth="1" min="24" max="24" width="11.63"/>
    <col customWidth="1" min="25" max="25" width="10.13"/>
    <col customWidth="1" min="26" max="26" width="9.0"/>
    <col customWidth="1" min="27" max="27" width="8.0"/>
    <col customWidth="1" min="28" max="28" width="10.0"/>
    <col customWidth="1" min="29" max="29" width="10.13"/>
    <col customWidth="1" min="30" max="30" width="11.88"/>
    <col customWidth="1" min="31" max="31" width="11.13"/>
    <col customWidth="1" min="32" max="32" width="12.63"/>
    <col customWidth="1" min="33" max="33" width="9.0"/>
    <col customWidth="1" min="34" max="34" width="7.63"/>
    <col customWidth="1" min="35" max="35" width="8.25"/>
    <col customWidth="1" min="36" max="36" width="12.5"/>
    <col customWidth="1" min="37" max="37" width="13.25"/>
    <col customWidth="1" min="38" max="38" width="8.5"/>
    <col customWidth="1" min="39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1" width="10.75"/>
    <col customWidth="1" min="52" max="52" width="11.0"/>
    <col customWidth="1" min="53" max="53" width="9.38"/>
    <col customWidth="1" min="54" max="54" width="9.63"/>
    <col customWidth="1" hidden="1" min="55" max="55" width="9.63"/>
    <col customWidth="1" min="56" max="58" width="9.63"/>
  </cols>
  <sheetData>
    <row r="1">
      <c r="A1" s="12" t="s">
        <v>148</v>
      </c>
      <c r="B1" s="12" t="s">
        <v>149</v>
      </c>
      <c r="C1" s="12" t="s">
        <v>62</v>
      </c>
      <c r="D1" s="12" t="s">
        <v>305</v>
      </c>
      <c r="E1" s="1" t="s">
        <v>117</v>
      </c>
      <c r="F1" s="1" t="s">
        <v>306</v>
      </c>
      <c r="G1" s="12" t="s">
        <v>307</v>
      </c>
      <c r="H1" s="12" t="s">
        <v>308</v>
      </c>
      <c r="I1" s="12" t="s">
        <v>20</v>
      </c>
      <c r="J1" s="12" t="s">
        <v>21</v>
      </c>
      <c r="K1" s="12" t="s">
        <v>22</v>
      </c>
      <c r="L1" s="12" t="s">
        <v>23</v>
      </c>
      <c r="M1" s="12" t="s">
        <v>24</v>
      </c>
      <c r="N1" s="12" t="s">
        <v>25</v>
      </c>
      <c r="O1" s="12" t="s">
        <v>26</v>
      </c>
      <c r="P1" s="12" t="s">
        <v>27</v>
      </c>
      <c r="Q1" s="12" t="s">
        <v>28</v>
      </c>
      <c r="R1" s="12" t="s">
        <v>29</v>
      </c>
      <c r="S1" s="12" t="s">
        <v>30</v>
      </c>
      <c r="T1" s="12" t="s">
        <v>31</v>
      </c>
      <c r="U1" s="12" t="s">
        <v>32</v>
      </c>
      <c r="V1" s="12" t="s">
        <v>118</v>
      </c>
      <c r="W1" s="12" t="s">
        <v>309</v>
      </c>
      <c r="X1" s="12" t="s">
        <v>310</v>
      </c>
      <c r="Y1" s="12" t="s">
        <v>33</v>
      </c>
      <c r="Z1" s="12" t="s">
        <v>34</v>
      </c>
      <c r="AA1" s="12" t="s">
        <v>35</v>
      </c>
      <c r="AB1" s="12" t="s">
        <v>36</v>
      </c>
      <c r="AC1" s="12" t="s">
        <v>37</v>
      </c>
      <c r="AD1" s="12" t="s">
        <v>38</v>
      </c>
      <c r="AE1" s="12" t="s">
        <v>39</v>
      </c>
      <c r="AF1" s="12" t="s">
        <v>311</v>
      </c>
      <c r="AG1" s="12" t="s">
        <v>312</v>
      </c>
      <c r="AH1" s="12" t="s">
        <v>313</v>
      </c>
      <c r="AI1" s="12" t="s">
        <v>40</v>
      </c>
      <c r="AJ1" s="12" t="s">
        <v>452</v>
      </c>
      <c r="AK1" s="12" t="s">
        <v>314</v>
      </c>
      <c r="AL1" s="12" t="s">
        <v>41</v>
      </c>
      <c r="AM1" s="12" t="s">
        <v>42</v>
      </c>
      <c r="AN1" s="12" t="s">
        <v>455</v>
      </c>
      <c r="AO1" s="12" t="s">
        <v>453</v>
      </c>
      <c r="AP1" s="12" t="s">
        <v>43</v>
      </c>
      <c r="AQ1" s="12" t="s">
        <v>44</v>
      </c>
      <c r="AR1" s="12" t="s">
        <v>45</v>
      </c>
      <c r="AS1" s="12" t="s">
        <v>46</v>
      </c>
      <c r="AT1" s="12" t="s">
        <v>47</v>
      </c>
      <c r="AU1" s="12" t="s">
        <v>48</v>
      </c>
      <c r="AV1" s="12" t="s">
        <v>49</v>
      </c>
      <c r="AW1" s="12" t="s">
        <v>50</v>
      </c>
      <c r="AX1" s="12" t="s">
        <v>51</v>
      </c>
      <c r="AY1" s="12" t="s">
        <v>52</v>
      </c>
      <c r="AZ1" s="12" t="s">
        <v>456</v>
      </c>
      <c r="BA1" s="12" t="s">
        <v>53</v>
      </c>
      <c r="BB1" s="12" t="s">
        <v>54</v>
      </c>
      <c r="BC1" s="1" t="s">
        <v>316</v>
      </c>
      <c r="BD1" s="12" t="s">
        <v>55</v>
      </c>
      <c r="BE1" s="1"/>
      <c r="BF1" s="1"/>
    </row>
    <row r="2">
      <c r="A2" s="563"/>
      <c r="B2" s="564"/>
      <c r="C2" s="575"/>
      <c r="D2" s="576"/>
      <c r="E2" s="576"/>
      <c r="F2" s="576"/>
      <c r="G2" s="576"/>
      <c r="H2" s="576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04"/>
      <c r="Y2" s="604"/>
      <c r="Z2" s="604"/>
      <c r="AA2" s="604"/>
      <c r="AB2" s="604"/>
      <c r="AC2" s="604"/>
      <c r="AD2" s="604"/>
      <c r="AE2" s="604"/>
      <c r="AF2" s="604"/>
      <c r="AG2" s="604"/>
      <c r="AH2" s="604"/>
      <c r="AI2" s="604"/>
      <c r="AJ2" s="604"/>
      <c r="AK2" s="604"/>
      <c r="AL2" s="604"/>
      <c r="AM2" s="604"/>
      <c r="AN2" s="604"/>
      <c r="AO2" s="604"/>
      <c r="AP2" s="604"/>
      <c r="AQ2" s="604"/>
      <c r="AR2" s="604"/>
      <c r="AS2" s="604"/>
      <c r="AT2" s="604"/>
      <c r="AU2" s="604"/>
      <c r="AV2" s="604"/>
      <c r="AW2" s="604"/>
      <c r="AX2" s="604"/>
      <c r="AY2" s="604"/>
      <c r="AZ2" s="604"/>
      <c r="BA2" s="604"/>
      <c r="BB2" s="577"/>
      <c r="BC2" s="576"/>
      <c r="BD2" s="576"/>
      <c r="BE2" s="575"/>
      <c r="BF2" s="605"/>
    </row>
    <row r="3">
      <c r="A3" s="553"/>
      <c r="B3" s="497"/>
      <c r="C3" s="554"/>
      <c r="D3" s="555"/>
      <c r="E3" s="555"/>
      <c r="F3" s="555"/>
      <c r="G3" s="555"/>
      <c r="H3" s="555"/>
      <c r="I3" s="606"/>
      <c r="J3" s="606"/>
      <c r="K3" s="606"/>
      <c r="L3" s="606"/>
      <c r="M3" s="606"/>
      <c r="N3" s="606"/>
      <c r="O3" s="606"/>
      <c r="P3" s="606"/>
      <c r="Q3" s="606"/>
      <c r="R3" s="606"/>
      <c r="S3" s="606"/>
      <c r="T3" s="606"/>
      <c r="U3" s="606"/>
      <c r="V3" s="606"/>
      <c r="W3" s="606"/>
      <c r="X3" s="606"/>
      <c r="Y3" s="606"/>
      <c r="Z3" s="606"/>
      <c r="AA3" s="606"/>
      <c r="AB3" s="606"/>
      <c r="AC3" s="606"/>
      <c r="AD3" s="606"/>
      <c r="AE3" s="606"/>
      <c r="AF3" s="606"/>
      <c r="AG3" s="606"/>
      <c r="AH3" s="606"/>
      <c r="AI3" s="606"/>
      <c r="AJ3" s="606"/>
      <c r="AK3" s="606"/>
      <c r="AL3" s="606"/>
      <c r="AM3" s="606"/>
      <c r="AN3" s="606"/>
      <c r="AO3" s="606"/>
      <c r="AP3" s="606"/>
      <c r="AQ3" s="606"/>
      <c r="AR3" s="606"/>
      <c r="AS3" s="606"/>
      <c r="AT3" s="606"/>
      <c r="AU3" s="606"/>
      <c r="AV3" s="606"/>
      <c r="AW3" s="606"/>
      <c r="AX3" s="606"/>
      <c r="AY3" s="606"/>
      <c r="AZ3" s="606"/>
      <c r="BA3" s="606"/>
      <c r="BB3" s="556"/>
      <c r="BC3" s="555"/>
      <c r="BD3" s="555"/>
      <c r="BE3" s="554"/>
      <c r="BF3" s="607"/>
    </row>
    <row r="4">
      <c r="A4" s="553"/>
      <c r="B4" s="497"/>
      <c r="C4" s="554"/>
      <c r="D4" s="555"/>
      <c r="E4" s="555"/>
      <c r="F4" s="555"/>
      <c r="G4" s="555"/>
      <c r="H4" s="555"/>
      <c r="I4" s="606"/>
      <c r="J4" s="606"/>
      <c r="K4" s="606"/>
      <c r="L4" s="606"/>
      <c r="M4" s="606"/>
      <c r="N4" s="606"/>
      <c r="O4" s="606"/>
      <c r="P4" s="606"/>
      <c r="Q4" s="606"/>
      <c r="R4" s="606"/>
      <c r="S4" s="606"/>
      <c r="T4" s="606"/>
      <c r="U4" s="606"/>
      <c r="V4" s="606"/>
      <c r="W4" s="606"/>
      <c r="X4" s="606"/>
      <c r="Y4" s="606"/>
      <c r="Z4" s="606"/>
      <c r="AA4" s="606"/>
      <c r="AB4" s="606"/>
      <c r="AC4" s="606"/>
      <c r="AD4" s="606"/>
      <c r="AE4" s="606"/>
      <c r="AF4" s="606"/>
      <c r="AG4" s="606"/>
      <c r="AH4" s="606"/>
      <c r="AI4" s="606"/>
      <c r="AJ4" s="606"/>
      <c r="AK4" s="606"/>
      <c r="AL4" s="606"/>
      <c r="AM4" s="606"/>
      <c r="AN4" s="606"/>
      <c r="AO4" s="606"/>
      <c r="AP4" s="606"/>
      <c r="AQ4" s="606"/>
      <c r="AR4" s="606"/>
      <c r="AS4" s="606"/>
      <c r="AT4" s="606"/>
      <c r="AU4" s="606"/>
      <c r="AV4" s="606"/>
      <c r="AW4" s="606"/>
      <c r="AX4" s="606"/>
      <c r="AY4" s="606"/>
      <c r="AZ4" s="606"/>
      <c r="BA4" s="606"/>
      <c r="BB4" s="556"/>
      <c r="BC4" s="555"/>
      <c r="BD4" s="555"/>
      <c r="BE4" s="554"/>
      <c r="BF4" s="607"/>
    </row>
    <row r="5">
      <c r="A5" s="553"/>
      <c r="B5" s="497"/>
      <c r="C5" s="554"/>
      <c r="D5" s="555"/>
      <c r="E5" s="555"/>
      <c r="F5" s="555"/>
      <c r="G5" s="555"/>
      <c r="H5" s="555"/>
      <c r="I5" s="606"/>
      <c r="J5" s="606"/>
      <c r="K5" s="606"/>
      <c r="L5" s="606"/>
      <c r="M5" s="606"/>
      <c r="N5" s="606"/>
      <c r="O5" s="606"/>
      <c r="P5" s="606"/>
      <c r="Q5" s="606"/>
      <c r="R5" s="606"/>
      <c r="S5" s="606"/>
      <c r="T5" s="606"/>
      <c r="U5" s="606"/>
      <c r="V5" s="606"/>
      <c r="W5" s="606"/>
      <c r="X5" s="606"/>
      <c r="Y5" s="606"/>
      <c r="Z5" s="606"/>
      <c r="AA5" s="606"/>
      <c r="AB5" s="606"/>
      <c r="AC5" s="606"/>
      <c r="AD5" s="606"/>
      <c r="AE5" s="606"/>
      <c r="AF5" s="606"/>
      <c r="AG5" s="606"/>
      <c r="AH5" s="606"/>
      <c r="AI5" s="606"/>
      <c r="AJ5" s="606"/>
      <c r="AK5" s="606"/>
      <c r="AL5" s="606"/>
      <c r="AM5" s="606"/>
      <c r="AN5" s="606"/>
      <c r="AO5" s="606"/>
      <c r="AP5" s="606"/>
      <c r="AQ5" s="606"/>
      <c r="AR5" s="606"/>
      <c r="AS5" s="606"/>
      <c r="AT5" s="606"/>
      <c r="AU5" s="606"/>
      <c r="AV5" s="606"/>
      <c r="AW5" s="606"/>
      <c r="AX5" s="606"/>
      <c r="AY5" s="606"/>
      <c r="AZ5" s="606"/>
      <c r="BA5" s="606"/>
      <c r="BB5" s="556"/>
      <c r="BC5" s="555"/>
      <c r="BD5" s="555"/>
      <c r="BE5" s="554"/>
      <c r="BF5" s="607"/>
    </row>
    <row r="6">
      <c r="A6" s="608"/>
      <c r="B6" s="609"/>
      <c r="C6" s="550"/>
      <c r="D6" s="551"/>
      <c r="E6" s="551"/>
      <c r="F6" s="551"/>
      <c r="G6" s="551"/>
      <c r="H6" s="551"/>
      <c r="I6" s="610"/>
      <c r="J6" s="610"/>
      <c r="K6" s="610"/>
      <c r="L6" s="610"/>
      <c r="M6" s="610"/>
      <c r="N6" s="610"/>
      <c r="O6" s="610"/>
      <c r="P6" s="610"/>
      <c r="Q6" s="610"/>
      <c r="R6" s="610"/>
      <c r="S6" s="610"/>
      <c r="T6" s="610"/>
      <c r="U6" s="610"/>
      <c r="V6" s="610"/>
      <c r="W6" s="610"/>
      <c r="X6" s="610"/>
      <c r="Y6" s="610"/>
      <c r="Z6" s="610"/>
      <c r="AA6" s="610"/>
      <c r="AB6" s="610"/>
      <c r="AC6" s="610"/>
      <c r="AD6" s="610"/>
      <c r="AE6" s="610"/>
      <c r="AF6" s="610"/>
      <c r="AG6" s="610"/>
      <c r="AH6" s="610"/>
      <c r="AI6" s="610"/>
      <c r="AJ6" s="610"/>
      <c r="AK6" s="610"/>
      <c r="AL6" s="610"/>
      <c r="AM6" s="610"/>
      <c r="AN6" s="610"/>
      <c r="AO6" s="610"/>
      <c r="AP6" s="610"/>
      <c r="AQ6" s="610"/>
      <c r="AR6" s="610"/>
      <c r="AS6" s="610"/>
      <c r="AT6" s="610"/>
      <c r="AU6" s="610"/>
      <c r="AV6" s="610"/>
      <c r="AW6" s="610"/>
      <c r="AX6" s="610"/>
      <c r="AY6" s="610"/>
      <c r="AZ6" s="610"/>
      <c r="BA6" s="610"/>
      <c r="BB6" s="548"/>
      <c r="BC6" s="551"/>
      <c r="BD6" s="551"/>
      <c r="BE6" s="550"/>
      <c r="BF6" s="611"/>
    </row>
    <row r="7">
      <c r="A7" s="608"/>
      <c r="B7" s="609"/>
      <c r="C7" s="550"/>
      <c r="D7" s="551"/>
      <c r="E7" s="551"/>
      <c r="F7" s="551"/>
      <c r="G7" s="551"/>
      <c r="H7" s="551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610"/>
      <c r="X7" s="610"/>
      <c r="Y7" s="610"/>
      <c r="Z7" s="610"/>
      <c r="AA7" s="610"/>
      <c r="AB7" s="610"/>
      <c r="AC7" s="610"/>
      <c r="AD7" s="610"/>
      <c r="AE7" s="610"/>
      <c r="AF7" s="610"/>
      <c r="AG7" s="610"/>
      <c r="AH7" s="610"/>
      <c r="AI7" s="610"/>
      <c r="AJ7" s="610"/>
      <c r="AK7" s="610"/>
      <c r="AL7" s="610"/>
      <c r="AM7" s="610"/>
      <c r="AN7" s="610"/>
      <c r="AO7" s="610"/>
      <c r="AP7" s="610"/>
      <c r="AQ7" s="610"/>
      <c r="AR7" s="610"/>
      <c r="AS7" s="610"/>
      <c r="AT7" s="610"/>
      <c r="AU7" s="610"/>
      <c r="AV7" s="610"/>
      <c r="AW7" s="610"/>
      <c r="AX7" s="610"/>
      <c r="AY7" s="610"/>
      <c r="AZ7" s="610"/>
      <c r="BA7" s="610"/>
      <c r="BB7" s="548"/>
      <c r="BC7" s="551"/>
      <c r="BD7" s="551"/>
      <c r="BE7" s="550"/>
      <c r="BF7" s="611"/>
    </row>
    <row r="8">
      <c r="A8" s="608"/>
      <c r="B8" s="609"/>
      <c r="C8" s="550"/>
      <c r="D8" s="551"/>
      <c r="E8" s="551"/>
      <c r="F8" s="551"/>
      <c r="G8" s="551"/>
      <c r="H8" s="551"/>
      <c r="I8" s="610"/>
      <c r="J8" s="610"/>
      <c r="K8" s="610"/>
      <c r="L8" s="610"/>
      <c r="M8" s="610"/>
      <c r="N8" s="610"/>
      <c r="O8" s="610"/>
      <c r="P8" s="610"/>
      <c r="Q8" s="610"/>
      <c r="R8" s="610"/>
      <c r="S8" s="610"/>
      <c r="T8" s="610"/>
      <c r="U8" s="610"/>
      <c r="V8" s="610"/>
      <c r="W8" s="610"/>
      <c r="X8" s="610"/>
      <c r="Y8" s="610"/>
      <c r="Z8" s="610"/>
      <c r="AA8" s="610"/>
      <c r="AB8" s="610"/>
      <c r="AC8" s="610"/>
      <c r="AD8" s="610"/>
      <c r="AE8" s="610"/>
      <c r="AF8" s="610"/>
      <c r="AG8" s="610"/>
      <c r="AH8" s="610"/>
      <c r="AI8" s="610"/>
      <c r="AJ8" s="610"/>
      <c r="AK8" s="610"/>
      <c r="AL8" s="610"/>
      <c r="AM8" s="610"/>
      <c r="AN8" s="610"/>
      <c r="AO8" s="610"/>
      <c r="AP8" s="610"/>
      <c r="AQ8" s="610"/>
      <c r="AR8" s="610"/>
      <c r="AS8" s="610"/>
      <c r="AT8" s="610"/>
      <c r="AU8" s="610"/>
      <c r="AV8" s="610"/>
      <c r="AW8" s="610"/>
      <c r="AX8" s="610"/>
      <c r="AY8" s="610"/>
      <c r="AZ8" s="610"/>
      <c r="BA8" s="610"/>
      <c r="BB8" s="548"/>
      <c r="BC8" s="551"/>
      <c r="BD8" s="551"/>
      <c r="BE8" s="550"/>
      <c r="BF8" s="611"/>
    </row>
    <row r="9">
      <c r="A9" s="612"/>
      <c r="B9" s="613"/>
      <c r="C9" s="583"/>
      <c r="D9" s="584"/>
      <c r="E9" s="584"/>
      <c r="F9" s="584"/>
      <c r="G9" s="584"/>
      <c r="H9" s="584"/>
      <c r="I9" s="614"/>
      <c r="J9" s="614"/>
      <c r="K9" s="614"/>
      <c r="L9" s="614"/>
      <c r="M9" s="614"/>
      <c r="N9" s="614"/>
      <c r="O9" s="614"/>
      <c r="P9" s="614"/>
      <c r="Q9" s="614"/>
      <c r="R9" s="614"/>
      <c r="S9" s="614"/>
      <c r="T9" s="614"/>
      <c r="U9" s="614"/>
      <c r="V9" s="614"/>
      <c r="W9" s="614"/>
      <c r="X9" s="614"/>
      <c r="Y9" s="614"/>
      <c r="Z9" s="614"/>
      <c r="AA9" s="614"/>
      <c r="AB9" s="614"/>
      <c r="AC9" s="614"/>
      <c r="AD9" s="614"/>
      <c r="AE9" s="614"/>
      <c r="AF9" s="614"/>
      <c r="AG9" s="614"/>
      <c r="AH9" s="614"/>
      <c r="AI9" s="614"/>
      <c r="AJ9" s="614"/>
      <c r="AK9" s="614"/>
      <c r="AL9" s="614"/>
      <c r="AM9" s="614"/>
      <c r="AN9" s="614"/>
      <c r="AO9" s="614"/>
      <c r="AP9" s="614"/>
      <c r="AQ9" s="614"/>
      <c r="AR9" s="614"/>
      <c r="AS9" s="614"/>
      <c r="AT9" s="614"/>
      <c r="AU9" s="614"/>
      <c r="AV9" s="614"/>
      <c r="AW9" s="614"/>
      <c r="AX9" s="614"/>
      <c r="AY9" s="614"/>
      <c r="AZ9" s="614"/>
      <c r="BA9" s="614"/>
      <c r="BB9" s="585"/>
      <c r="BC9" s="584"/>
      <c r="BD9" s="584"/>
      <c r="BE9" s="583"/>
      <c r="BF9" s="615"/>
    </row>
    <row r="10">
      <c r="A10" s="608"/>
      <c r="B10" s="609"/>
      <c r="C10" s="544"/>
      <c r="D10" s="545"/>
      <c r="E10" s="545"/>
      <c r="F10" s="545"/>
      <c r="G10" s="545"/>
      <c r="H10" s="545"/>
      <c r="I10" s="616"/>
      <c r="J10" s="616"/>
      <c r="K10" s="616"/>
      <c r="L10" s="616"/>
      <c r="M10" s="616"/>
      <c r="N10" s="616"/>
      <c r="O10" s="616"/>
      <c r="P10" s="616"/>
      <c r="Q10" s="616"/>
      <c r="R10" s="616"/>
      <c r="S10" s="616"/>
      <c r="T10" s="616"/>
      <c r="U10" s="616"/>
      <c r="V10" s="616"/>
      <c r="W10" s="616"/>
      <c r="X10" s="616"/>
      <c r="Y10" s="616"/>
      <c r="Z10" s="616"/>
      <c r="AA10" s="616"/>
      <c r="AB10" s="616"/>
      <c r="AC10" s="616"/>
      <c r="AD10" s="616"/>
      <c r="AE10" s="616"/>
      <c r="AF10" s="616"/>
      <c r="AG10" s="616"/>
      <c r="AH10" s="616"/>
      <c r="AI10" s="616"/>
      <c r="AJ10" s="616"/>
      <c r="AK10" s="616"/>
      <c r="AL10" s="616"/>
      <c r="AM10" s="616"/>
      <c r="AN10" s="616"/>
      <c r="AO10" s="616"/>
      <c r="AP10" s="616"/>
      <c r="AQ10" s="616"/>
      <c r="AR10" s="616"/>
      <c r="AS10" s="616"/>
      <c r="AT10" s="616"/>
      <c r="AU10" s="616"/>
      <c r="AV10" s="616"/>
      <c r="AW10" s="616"/>
      <c r="AX10" s="616"/>
      <c r="AY10" s="616"/>
      <c r="AZ10" s="616"/>
      <c r="BA10" s="616"/>
      <c r="BB10" s="546"/>
      <c r="BC10" s="545"/>
      <c r="BD10" s="545"/>
      <c r="BE10" s="544"/>
      <c r="BF10" s="617"/>
    </row>
    <row r="11">
      <c r="A11" s="608"/>
      <c r="B11" s="609"/>
      <c r="C11" s="550"/>
      <c r="D11" s="551"/>
      <c r="E11" s="551"/>
      <c r="F11" s="551"/>
      <c r="G11" s="551"/>
      <c r="H11" s="551"/>
      <c r="I11" s="610"/>
      <c r="J11" s="610"/>
      <c r="K11" s="610"/>
      <c r="L11" s="610"/>
      <c r="M11" s="610"/>
      <c r="N11" s="610"/>
      <c r="O11" s="610"/>
      <c r="P11" s="610"/>
      <c r="Q11" s="610"/>
      <c r="R11" s="610"/>
      <c r="S11" s="610"/>
      <c r="T11" s="610"/>
      <c r="U11" s="610"/>
      <c r="V11" s="610"/>
      <c r="W11" s="610"/>
      <c r="X11" s="610"/>
      <c r="Y11" s="610"/>
      <c r="Z11" s="610"/>
      <c r="AA11" s="610"/>
      <c r="AB11" s="610"/>
      <c r="AC11" s="610"/>
      <c r="AD11" s="610"/>
      <c r="AE11" s="610"/>
      <c r="AF11" s="610"/>
      <c r="AG11" s="610"/>
      <c r="AH11" s="610"/>
      <c r="AI11" s="610"/>
      <c r="AJ11" s="610"/>
      <c r="AK11" s="610"/>
      <c r="AL11" s="610"/>
      <c r="AM11" s="610"/>
      <c r="AN11" s="610"/>
      <c r="AO11" s="610"/>
      <c r="AP11" s="610"/>
      <c r="AQ11" s="610"/>
      <c r="AR11" s="610"/>
      <c r="AS11" s="610"/>
      <c r="AT11" s="610"/>
      <c r="AU11" s="610"/>
      <c r="AV11" s="610"/>
      <c r="AW11" s="610"/>
      <c r="AX11" s="610"/>
      <c r="AY11" s="610"/>
      <c r="AZ11" s="610"/>
      <c r="BA11" s="610"/>
      <c r="BB11" s="548"/>
      <c r="BC11" s="551"/>
      <c r="BD11" s="551"/>
      <c r="BE11" s="550"/>
      <c r="BF11" s="611"/>
    </row>
    <row r="12">
      <c r="A12" s="608"/>
      <c r="B12" s="609"/>
      <c r="C12" s="550"/>
      <c r="D12" s="551"/>
      <c r="E12" s="551"/>
      <c r="F12" s="551"/>
      <c r="G12" s="551"/>
      <c r="H12" s="551"/>
      <c r="I12" s="610"/>
      <c r="J12" s="610"/>
      <c r="K12" s="610"/>
      <c r="L12" s="610"/>
      <c r="M12" s="610"/>
      <c r="N12" s="610"/>
      <c r="O12" s="610"/>
      <c r="P12" s="610"/>
      <c r="Q12" s="610"/>
      <c r="R12" s="610"/>
      <c r="S12" s="610"/>
      <c r="T12" s="610"/>
      <c r="U12" s="610"/>
      <c r="V12" s="610"/>
      <c r="W12" s="610"/>
      <c r="X12" s="610"/>
      <c r="Y12" s="610"/>
      <c r="Z12" s="610"/>
      <c r="AA12" s="610"/>
      <c r="AB12" s="610"/>
      <c r="AC12" s="610"/>
      <c r="AD12" s="610"/>
      <c r="AE12" s="610"/>
      <c r="AF12" s="610"/>
      <c r="AG12" s="610"/>
      <c r="AH12" s="610"/>
      <c r="AI12" s="610"/>
      <c r="AJ12" s="610"/>
      <c r="AK12" s="610"/>
      <c r="AL12" s="610"/>
      <c r="AM12" s="610"/>
      <c r="AN12" s="610"/>
      <c r="AO12" s="610"/>
      <c r="AP12" s="610"/>
      <c r="AQ12" s="610"/>
      <c r="AR12" s="610"/>
      <c r="AS12" s="610"/>
      <c r="AT12" s="610"/>
      <c r="AU12" s="610"/>
      <c r="AV12" s="610"/>
      <c r="AW12" s="610"/>
      <c r="AX12" s="610"/>
      <c r="AY12" s="610"/>
      <c r="AZ12" s="610"/>
      <c r="BA12" s="610"/>
      <c r="BB12" s="548"/>
      <c r="BC12" s="551"/>
      <c r="BD12" s="551"/>
      <c r="BE12" s="550"/>
      <c r="BF12" s="611"/>
    </row>
    <row r="13">
      <c r="A13" s="608"/>
      <c r="B13" s="609"/>
      <c r="C13" s="550"/>
      <c r="D13" s="551"/>
      <c r="E13" s="551"/>
      <c r="F13" s="551"/>
      <c r="G13" s="551"/>
      <c r="H13" s="551"/>
      <c r="I13" s="610"/>
      <c r="J13" s="610"/>
      <c r="K13" s="610"/>
      <c r="L13" s="610"/>
      <c r="M13" s="610"/>
      <c r="N13" s="610"/>
      <c r="O13" s="610"/>
      <c r="P13" s="610"/>
      <c r="Q13" s="610"/>
      <c r="R13" s="610"/>
      <c r="S13" s="610"/>
      <c r="T13" s="610"/>
      <c r="U13" s="610"/>
      <c r="V13" s="610"/>
      <c r="W13" s="610"/>
      <c r="X13" s="610"/>
      <c r="Y13" s="610"/>
      <c r="Z13" s="610"/>
      <c r="AA13" s="610"/>
      <c r="AB13" s="610"/>
      <c r="AC13" s="610"/>
      <c r="AD13" s="610"/>
      <c r="AE13" s="610"/>
      <c r="AF13" s="610"/>
      <c r="AG13" s="610"/>
      <c r="AH13" s="610"/>
      <c r="AI13" s="610"/>
      <c r="AJ13" s="610"/>
      <c r="AK13" s="610"/>
      <c r="AL13" s="610"/>
      <c r="AM13" s="610"/>
      <c r="AN13" s="610"/>
      <c r="AO13" s="610"/>
      <c r="AP13" s="610"/>
      <c r="AQ13" s="610"/>
      <c r="AR13" s="610"/>
      <c r="AS13" s="610"/>
      <c r="AT13" s="610"/>
      <c r="AU13" s="610"/>
      <c r="AV13" s="610"/>
      <c r="AW13" s="610"/>
      <c r="AX13" s="610"/>
      <c r="AY13" s="610"/>
      <c r="AZ13" s="610"/>
      <c r="BA13" s="610"/>
      <c r="BB13" s="548"/>
      <c r="BC13" s="551"/>
      <c r="BD13" s="551"/>
      <c r="BE13" s="550"/>
      <c r="BF13" s="611"/>
    </row>
    <row r="14">
      <c r="A14" s="618"/>
      <c r="B14" s="619"/>
      <c r="C14" s="554"/>
      <c r="D14" s="555"/>
      <c r="E14" s="555"/>
      <c r="F14" s="555"/>
      <c r="G14" s="555"/>
      <c r="H14" s="555"/>
      <c r="I14" s="606"/>
      <c r="J14" s="606"/>
      <c r="K14" s="606"/>
      <c r="L14" s="606"/>
      <c r="M14" s="606"/>
      <c r="N14" s="606"/>
      <c r="O14" s="606"/>
      <c r="P14" s="606"/>
      <c r="Q14" s="606"/>
      <c r="R14" s="606"/>
      <c r="S14" s="606"/>
      <c r="T14" s="606"/>
      <c r="U14" s="606"/>
      <c r="V14" s="606"/>
      <c r="W14" s="606"/>
      <c r="X14" s="606"/>
      <c r="Y14" s="606"/>
      <c r="Z14" s="606"/>
      <c r="AA14" s="606"/>
      <c r="AB14" s="606"/>
      <c r="AC14" s="606"/>
      <c r="AD14" s="606"/>
      <c r="AE14" s="606"/>
      <c r="AF14" s="606"/>
      <c r="AG14" s="606"/>
      <c r="AH14" s="606"/>
      <c r="AI14" s="606"/>
      <c r="AJ14" s="606"/>
      <c r="AK14" s="606"/>
      <c r="AL14" s="606"/>
      <c r="AM14" s="606"/>
      <c r="AN14" s="606"/>
      <c r="AO14" s="606"/>
      <c r="AP14" s="606"/>
      <c r="AQ14" s="606"/>
      <c r="AR14" s="606"/>
      <c r="AS14" s="606"/>
      <c r="AT14" s="606"/>
      <c r="AU14" s="606"/>
      <c r="AV14" s="606"/>
      <c r="AW14" s="606"/>
      <c r="AX14" s="606"/>
      <c r="AY14" s="606"/>
      <c r="AZ14" s="606"/>
      <c r="BA14" s="606"/>
      <c r="BB14" s="556"/>
      <c r="BC14" s="555"/>
      <c r="BD14" s="555"/>
      <c r="BE14" s="554"/>
      <c r="BF14" s="607"/>
    </row>
    <row r="15">
      <c r="A15" s="618"/>
      <c r="B15" s="619"/>
      <c r="C15" s="554"/>
      <c r="D15" s="555"/>
      <c r="E15" s="555"/>
      <c r="F15" s="555"/>
      <c r="G15" s="555"/>
      <c r="H15" s="555"/>
      <c r="I15" s="606"/>
      <c r="J15" s="606"/>
      <c r="K15" s="606"/>
      <c r="L15" s="606"/>
      <c r="M15" s="606"/>
      <c r="N15" s="606"/>
      <c r="O15" s="606"/>
      <c r="P15" s="606"/>
      <c r="Q15" s="606"/>
      <c r="R15" s="606"/>
      <c r="S15" s="606"/>
      <c r="T15" s="606"/>
      <c r="U15" s="606"/>
      <c r="V15" s="606"/>
      <c r="W15" s="606"/>
      <c r="X15" s="606"/>
      <c r="Y15" s="606"/>
      <c r="Z15" s="606"/>
      <c r="AA15" s="606"/>
      <c r="AB15" s="606"/>
      <c r="AC15" s="606"/>
      <c r="AD15" s="606"/>
      <c r="AE15" s="606"/>
      <c r="AF15" s="606"/>
      <c r="AG15" s="606"/>
      <c r="AH15" s="606"/>
      <c r="AI15" s="606"/>
      <c r="AJ15" s="606"/>
      <c r="AK15" s="606"/>
      <c r="AL15" s="606"/>
      <c r="AM15" s="606"/>
      <c r="AN15" s="606"/>
      <c r="AO15" s="606"/>
      <c r="AP15" s="606"/>
      <c r="AQ15" s="606"/>
      <c r="AR15" s="606"/>
      <c r="AS15" s="606"/>
      <c r="AT15" s="606"/>
      <c r="AU15" s="606"/>
      <c r="AV15" s="606"/>
      <c r="AW15" s="606"/>
      <c r="AX15" s="606"/>
      <c r="AY15" s="606"/>
      <c r="AZ15" s="606"/>
      <c r="BA15" s="606"/>
      <c r="BB15" s="556"/>
      <c r="BC15" s="555"/>
      <c r="BD15" s="555"/>
      <c r="BE15" s="554"/>
      <c r="BF15" s="607"/>
    </row>
    <row r="16">
      <c r="A16" s="618"/>
      <c r="B16" s="619"/>
      <c r="C16" s="554"/>
      <c r="D16" s="555"/>
      <c r="E16" s="555"/>
      <c r="F16" s="555"/>
      <c r="G16" s="555"/>
      <c r="H16" s="555"/>
      <c r="I16" s="606"/>
      <c r="J16" s="606"/>
      <c r="K16" s="606"/>
      <c r="L16" s="606"/>
      <c r="M16" s="606"/>
      <c r="N16" s="606"/>
      <c r="O16" s="606"/>
      <c r="P16" s="606"/>
      <c r="Q16" s="606"/>
      <c r="R16" s="606"/>
      <c r="S16" s="606"/>
      <c r="T16" s="606"/>
      <c r="U16" s="606"/>
      <c r="V16" s="606"/>
      <c r="W16" s="606"/>
      <c r="X16" s="606"/>
      <c r="Y16" s="606"/>
      <c r="Z16" s="606"/>
      <c r="AA16" s="606"/>
      <c r="AB16" s="606"/>
      <c r="AC16" s="606"/>
      <c r="AD16" s="606"/>
      <c r="AE16" s="606"/>
      <c r="AF16" s="606"/>
      <c r="AG16" s="606"/>
      <c r="AH16" s="606"/>
      <c r="AI16" s="606"/>
      <c r="AJ16" s="606"/>
      <c r="AK16" s="606"/>
      <c r="AL16" s="606"/>
      <c r="AM16" s="606"/>
      <c r="AN16" s="606"/>
      <c r="AO16" s="606"/>
      <c r="AP16" s="606"/>
      <c r="AQ16" s="606"/>
      <c r="AR16" s="606"/>
      <c r="AS16" s="606"/>
      <c r="AT16" s="606"/>
      <c r="AU16" s="606"/>
      <c r="AV16" s="606"/>
      <c r="AW16" s="606"/>
      <c r="AX16" s="606"/>
      <c r="AY16" s="606"/>
      <c r="AZ16" s="606"/>
      <c r="BA16" s="606"/>
      <c r="BB16" s="556"/>
      <c r="BC16" s="555"/>
      <c r="BD16" s="555"/>
      <c r="BE16" s="554"/>
      <c r="BF16" s="607"/>
    </row>
    <row r="17">
      <c r="A17" s="620"/>
      <c r="B17" s="621"/>
      <c r="C17" s="598"/>
      <c r="D17" s="560"/>
      <c r="E17" s="560"/>
      <c r="F17" s="560"/>
      <c r="G17" s="560"/>
      <c r="H17" s="560"/>
      <c r="I17" s="622"/>
      <c r="J17" s="622"/>
      <c r="K17" s="622"/>
      <c r="L17" s="622"/>
      <c r="M17" s="622"/>
      <c r="N17" s="622"/>
      <c r="O17" s="622"/>
      <c r="P17" s="622"/>
      <c r="Q17" s="622"/>
      <c r="R17" s="622"/>
      <c r="S17" s="622"/>
      <c r="T17" s="622"/>
      <c r="U17" s="622"/>
      <c r="V17" s="622"/>
      <c r="W17" s="622"/>
      <c r="X17" s="622"/>
      <c r="Y17" s="622"/>
      <c r="Z17" s="622"/>
      <c r="AA17" s="622"/>
      <c r="AB17" s="622"/>
      <c r="AC17" s="622"/>
      <c r="AD17" s="622"/>
      <c r="AE17" s="622"/>
      <c r="AF17" s="622"/>
      <c r="AG17" s="622"/>
      <c r="AH17" s="622"/>
      <c r="AI17" s="622"/>
      <c r="AJ17" s="622"/>
      <c r="AK17" s="622"/>
      <c r="AL17" s="622"/>
      <c r="AM17" s="622"/>
      <c r="AN17" s="622"/>
      <c r="AO17" s="622"/>
      <c r="AP17" s="622"/>
      <c r="AQ17" s="622"/>
      <c r="AR17" s="622"/>
      <c r="AS17" s="622"/>
      <c r="AT17" s="622"/>
      <c r="AU17" s="622"/>
      <c r="AV17" s="622"/>
      <c r="AW17" s="622"/>
      <c r="AX17" s="622"/>
      <c r="AY17" s="622"/>
      <c r="AZ17" s="622"/>
      <c r="BA17" s="622"/>
      <c r="BB17" s="561"/>
      <c r="BC17" s="560"/>
      <c r="BD17" s="560"/>
      <c r="BE17" s="598"/>
      <c r="BF17" s="623"/>
    </row>
    <row r="18">
      <c r="A18" s="511"/>
      <c r="B18" s="511"/>
      <c r="C18" s="511"/>
      <c r="D18" s="513"/>
      <c r="E18" s="513"/>
      <c r="F18" s="513"/>
      <c r="G18" s="513"/>
      <c r="H18" s="513"/>
      <c r="I18" s="513"/>
      <c r="J18" s="513"/>
      <c r="K18" s="513"/>
      <c r="L18" s="513"/>
      <c r="M18" s="513"/>
      <c r="N18" s="513"/>
      <c r="O18" s="513"/>
      <c r="P18" s="513"/>
      <c r="Q18" s="513"/>
      <c r="R18" s="513"/>
      <c r="S18" s="513"/>
      <c r="T18" s="513"/>
      <c r="U18" s="513"/>
      <c r="V18" s="513"/>
      <c r="W18" s="513"/>
      <c r="X18" s="513"/>
      <c r="Y18" s="513"/>
      <c r="Z18" s="513"/>
      <c r="AA18" s="513"/>
      <c r="AB18" s="513"/>
      <c r="AC18" s="513"/>
      <c r="AD18" s="513"/>
      <c r="AE18" s="513"/>
      <c r="AF18" s="513"/>
      <c r="AG18" s="513"/>
      <c r="AH18" s="513"/>
      <c r="AI18" s="513"/>
      <c r="AJ18" s="513"/>
      <c r="AK18" s="513"/>
      <c r="AL18" s="513"/>
      <c r="AM18" s="513"/>
      <c r="AN18" s="513"/>
      <c r="AO18" s="513"/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</row>
    <row r="19">
      <c r="A19" s="624"/>
      <c r="B19" s="625"/>
      <c r="C19" s="575"/>
      <c r="D19" s="576"/>
      <c r="E19" s="576"/>
      <c r="F19" s="576"/>
      <c r="G19" s="576"/>
      <c r="H19" s="576"/>
      <c r="I19" s="604"/>
      <c r="J19" s="604"/>
      <c r="K19" s="604"/>
      <c r="L19" s="604"/>
      <c r="M19" s="604"/>
      <c r="N19" s="604"/>
      <c r="O19" s="604"/>
      <c r="P19" s="604"/>
      <c r="Q19" s="604"/>
      <c r="R19" s="604"/>
      <c r="S19" s="604"/>
      <c r="T19" s="604"/>
      <c r="U19" s="604"/>
      <c r="V19" s="604"/>
      <c r="W19" s="604"/>
      <c r="X19" s="604"/>
      <c r="Y19" s="604"/>
      <c r="Z19" s="604"/>
      <c r="AA19" s="604"/>
      <c r="AB19" s="604"/>
      <c r="AC19" s="604"/>
      <c r="AD19" s="604"/>
      <c r="AE19" s="604"/>
      <c r="AF19" s="604"/>
      <c r="AG19" s="604"/>
      <c r="AH19" s="604"/>
      <c r="AI19" s="604"/>
      <c r="AJ19" s="604"/>
      <c r="AK19" s="604"/>
      <c r="AL19" s="604"/>
      <c r="AM19" s="604"/>
      <c r="AN19" s="604"/>
      <c r="AO19" s="604"/>
      <c r="AP19" s="604"/>
      <c r="AQ19" s="604"/>
      <c r="AR19" s="604"/>
      <c r="AS19" s="604"/>
      <c r="AT19" s="604"/>
      <c r="AU19" s="604"/>
      <c r="AV19" s="604"/>
      <c r="AW19" s="604"/>
      <c r="AX19" s="604"/>
      <c r="AY19" s="604"/>
      <c r="AZ19" s="604"/>
      <c r="BA19" s="604"/>
      <c r="BB19" s="577"/>
      <c r="BC19" s="578"/>
      <c r="BD19" s="578"/>
      <c r="BE19" s="577"/>
      <c r="BF19" s="605"/>
    </row>
    <row r="20">
      <c r="A20" s="618"/>
      <c r="B20" s="619"/>
      <c r="C20" s="554"/>
      <c r="D20" s="555"/>
      <c r="E20" s="555"/>
      <c r="F20" s="555"/>
      <c r="G20" s="555"/>
      <c r="H20" s="555"/>
      <c r="I20" s="606"/>
      <c r="J20" s="606"/>
      <c r="K20" s="606"/>
      <c r="L20" s="606"/>
      <c r="M20" s="606"/>
      <c r="N20" s="606"/>
      <c r="O20" s="606"/>
      <c r="P20" s="606"/>
      <c r="Q20" s="606"/>
      <c r="R20" s="606"/>
      <c r="S20" s="606"/>
      <c r="T20" s="606"/>
      <c r="U20" s="606"/>
      <c r="V20" s="606"/>
      <c r="W20" s="606"/>
      <c r="X20" s="606"/>
      <c r="Y20" s="606"/>
      <c r="Z20" s="606"/>
      <c r="AA20" s="606"/>
      <c r="AB20" s="606"/>
      <c r="AC20" s="606"/>
      <c r="AD20" s="606"/>
      <c r="AE20" s="606"/>
      <c r="AF20" s="606"/>
      <c r="AG20" s="606"/>
      <c r="AH20" s="606"/>
      <c r="AI20" s="606"/>
      <c r="AJ20" s="606"/>
      <c r="AK20" s="606"/>
      <c r="AL20" s="606"/>
      <c r="AM20" s="606"/>
      <c r="AN20" s="606"/>
      <c r="AO20" s="606"/>
      <c r="AP20" s="606"/>
      <c r="AQ20" s="606"/>
      <c r="AR20" s="606"/>
      <c r="AS20" s="606"/>
      <c r="AT20" s="606"/>
      <c r="AU20" s="606"/>
      <c r="AV20" s="606"/>
      <c r="AW20" s="606"/>
      <c r="AX20" s="606"/>
      <c r="AY20" s="606"/>
      <c r="AZ20" s="606"/>
      <c r="BA20" s="606"/>
      <c r="BB20" s="556"/>
      <c r="BC20" s="557"/>
      <c r="BD20" s="557"/>
      <c r="BE20" s="556"/>
      <c r="BF20" s="607"/>
    </row>
    <row r="21">
      <c r="A21" s="618"/>
      <c r="B21" s="619"/>
      <c r="C21" s="554"/>
      <c r="D21" s="555"/>
      <c r="E21" s="555"/>
      <c r="F21" s="555"/>
      <c r="G21" s="555"/>
      <c r="H21" s="555"/>
      <c r="I21" s="606"/>
      <c r="J21" s="606"/>
      <c r="K21" s="606"/>
      <c r="L21" s="606"/>
      <c r="M21" s="606"/>
      <c r="N21" s="606"/>
      <c r="O21" s="606"/>
      <c r="P21" s="606"/>
      <c r="Q21" s="606"/>
      <c r="R21" s="606"/>
      <c r="S21" s="606"/>
      <c r="T21" s="606"/>
      <c r="U21" s="606"/>
      <c r="V21" s="606"/>
      <c r="W21" s="606"/>
      <c r="X21" s="606"/>
      <c r="Y21" s="606"/>
      <c r="Z21" s="606"/>
      <c r="AA21" s="606"/>
      <c r="AB21" s="606"/>
      <c r="AC21" s="606"/>
      <c r="AD21" s="606"/>
      <c r="AE21" s="606"/>
      <c r="AF21" s="606"/>
      <c r="AG21" s="606"/>
      <c r="AH21" s="606"/>
      <c r="AI21" s="606"/>
      <c r="AJ21" s="606"/>
      <c r="AK21" s="606"/>
      <c r="AL21" s="606"/>
      <c r="AM21" s="606"/>
      <c r="AN21" s="606"/>
      <c r="AO21" s="606"/>
      <c r="AP21" s="606"/>
      <c r="AQ21" s="606"/>
      <c r="AR21" s="606"/>
      <c r="AS21" s="606"/>
      <c r="AT21" s="606"/>
      <c r="AU21" s="606"/>
      <c r="AV21" s="606"/>
      <c r="AW21" s="606"/>
      <c r="AX21" s="606"/>
      <c r="AY21" s="606"/>
      <c r="AZ21" s="606"/>
      <c r="BA21" s="606"/>
      <c r="BB21" s="556"/>
      <c r="BC21" s="557"/>
      <c r="BD21" s="557"/>
      <c r="BE21" s="556"/>
      <c r="BF21" s="607"/>
    </row>
    <row r="22">
      <c r="A22" s="618"/>
      <c r="B22" s="619"/>
      <c r="C22" s="554"/>
      <c r="D22" s="555"/>
      <c r="E22" s="555"/>
      <c r="F22" s="555"/>
      <c r="G22" s="555"/>
      <c r="H22" s="555"/>
      <c r="I22" s="606"/>
      <c r="J22" s="606"/>
      <c r="K22" s="606"/>
      <c r="L22" s="606"/>
      <c r="M22" s="606"/>
      <c r="N22" s="606"/>
      <c r="O22" s="606"/>
      <c r="P22" s="606"/>
      <c r="Q22" s="606"/>
      <c r="R22" s="606"/>
      <c r="S22" s="606"/>
      <c r="T22" s="606"/>
      <c r="U22" s="606"/>
      <c r="V22" s="606"/>
      <c r="W22" s="606"/>
      <c r="X22" s="606"/>
      <c r="Y22" s="606"/>
      <c r="Z22" s="606"/>
      <c r="AA22" s="606"/>
      <c r="AB22" s="606"/>
      <c r="AC22" s="606"/>
      <c r="AD22" s="606"/>
      <c r="AE22" s="606"/>
      <c r="AF22" s="606"/>
      <c r="AG22" s="606"/>
      <c r="AH22" s="606"/>
      <c r="AI22" s="606"/>
      <c r="AJ22" s="606"/>
      <c r="AK22" s="606"/>
      <c r="AL22" s="606"/>
      <c r="AM22" s="606"/>
      <c r="AN22" s="606"/>
      <c r="AO22" s="606"/>
      <c r="AP22" s="606"/>
      <c r="AQ22" s="606"/>
      <c r="AR22" s="606"/>
      <c r="AS22" s="606"/>
      <c r="AT22" s="606"/>
      <c r="AU22" s="606"/>
      <c r="AV22" s="606"/>
      <c r="AW22" s="606"/>
      <c r="AX22" s="606"/>
      <c r="AY22" s="606"/>
      <c r="AZ22" s="606"/>
      <c r="BA22" s="606"/>
      <c r="BB22" s="556"/>
      <c r="BC22" s="557"/>
      <c r="BD22" s="557"/>
      <c r="BE22" s="556"/>
      <c r="BF22" s="607"/>
    </row>
    <row r="23">
      <c r="A23" s="608"/>
      <c r="B23" s="609"/>
      <c r="C23" s="550"/>
      <c r="D23" s="551"/>
      <c r="E23" s="551"/>
      <c r="F23" s="551"/>
      <c r="G23" s="551"/>
      <c r="H23" s="551"/>
      <c r="I23" s="610"/>
      <c r="J23" s="610"/>
      <c r="K23" s="610"/>
      <c r="L23" s="610"/>
      <c r="M23" s="610"/>
      <c r="N23" s="610"/>
      <c r="O23" s="610"/>
      <c r="P23" s="610"/>
      <c r="Q23" s="610"/>
      <c r="R23" s="610"/>
      <c r="S23" s="610"/>
      <c r="T23" s="610"/>
      <c r="U23" s="610"/>
      <c r="V23" s="610"/>
      <c r="W23" s="610"/>
      <c r="X23" s="610"/>
      <c r="Y23" s="610"/>
      <c r="Z23" s="610"/>
      <c r="AA23" s="610"/>
      <c r="AB23" s="610"/>
      <c r="AC23" s="610"/>
      <c r="AD23" s="610"/>
      <c r="AE23" s="610"/>
      <c r="AF23" s="610"/>
      <c r="AG23" s="610"/>
      <c r="AH23" s="610"/>
      <c r="AI23" s="610"/>
      <c r="AJ23" s="610"/>
      <c r="AK23" s="610"/>
      <c r="AL23" s="610"/>
      <c r="AM23" s="610"/>
      <c r="AN23" s="610"/>
      <c r="AO23" s="610"/>
      <c r="AP23" s="610"/>
      <c r="AQ23" s="610"/>
      <c r="AR23" s="610"/>
      <c r="AS23" s="610"/>
      <c r="AT23" s="610"/>
      <c r="AU23" s="610"/>
      <c r="AV23" s="610"/>
      <c r="AW23" s="610"/>
      <c r="AX23" s="610"/>
      <c r="AY23" s="610"/>
      <c r="AZ23" s="610"/>
      <c r="BA23" s="610"/>
      <c r="BB23" s="548"/>
      <c r="BC23" s="552"/>
      <c r="BD23" s="552"/>
      <c r="BE23" s="548"/>
      <c r="BF23" s="611"/>
    </row>
    <row r="24">
      <c r="A24" s="608"/>
      <c r="B24" s="609"/>
      <c r="C24" s="550"/>
      <c r="D24" s="551"/>
      <c r="E24" s="551"/>
      <c r="F24" s="551"/>
      <c r="G24" s="551"/>
      <c r="H24" s="551"/>
      <c r="I24" s="610"/>
      <c r="J24" s="610"/>
      <c r="K24" s="610"/>
      <c r="L24" s="610"/>
      <c r="M24" s="610"/>
      <c r="N24" s="610"/>
      <c r="O24" s="610"/>
      <c r="P24" s="610"/>
      <c r="Q24" s="610"/>
      <c r="R24" s="610"/>
      <c r="S24" s="610"/>
      <c r="T24" s="610"/>
      <c r="U24" s="610"/>
      <c r="V24" s="610"/>
      <c r="W24" s="610"/>
      <c r="X24" s="610"/>
      <c r="Y24" s="610"/>
      <c r="Z24" s="610"/>
      <c r="AA24" s="610"/>
      <c r="AB24" s="610"/>
      <c r="AC24" s="610"/>
      <c r="AD24" s="610"/>
      <c r="AE24" s="610"/>
      <c r="AF24" s="610"/>
      <c r="AG24" s="610"/>
      <c r="AH24" s="610"/>
      <c r="AI24" s="610"/>
      <c r="AJ24" s="610"/>
      <c r="AK24" s="610"/>
      <c r="AL24" s="610"/>
      <c r="AM24" s="610"/>
      <c r="AN24" s="610"/>
      <c r="AO24" s="610"/>
      <c r="AP24" s="610"/>
      <c r="AQ24" s="610"/>
      <c r="AR24" s="610"/>
      <c r="AS24" s="610"/>
      <c r="AT24" s="610"/>
      <c r="AU24" s="610"/>
      <c r="AV24" s="610"/>
      <c r="AW24" s="610"/>
      <c r="AX24" s="610"/>
      <c r="AY24" s="610"/>
      <c r="AZ24" s="610"/>
      <c r="BA24" s="610"/>
      <c r="BB24" s="548"/>
      <c r="BC24" s="552"/>
      <c r="BD24" s="552"/>
      <c r="BE24" s="548"/>
      <c r="BF24" s="611"/>
    </row>
    <row r="25">
      <c r="A25" s="608"/>
      <c r="B25" s="609"/>
      <c r="C25" s="550"/>
      <c r="D25" s="551"/>
      <c r="E25" s="551"/>
      <c r="F25" s="551"/>
      <c r="G25" s="551"/>
      <c r="H25" s="551"/>
      <c r="I25" s="610"/>
      <c r="J25" s="610"/>
      <c r="K25" s="610"/>
      <c r="L25" s="610"/>
      <c r="M25" s="610"/>
      <c r="N25" s="610"/>
      <c r="O25" s="610"/>
      <c r="P25" s="610"/>
      <c r="Q25" s="610"/>
      <c r="R25" s="610"/>
      <c r="S25" s="610"/>
      <c r="T25" s="610"/>
      <c r="U25" s="610"/>
      <c r="V25" s="610"/>
      <c r="W25" s="610"/>
      <c r="X25" s="610"/>
      <c r="Y25" s="610"/>
      <c r="Z25" s="610"/>
      <c r="AA25" s="610"/>
      <c r="AB25" s="610"/>
      <c r="AC25" s="610"/>
      <c r="AD25" s="610"/>
      <c r="AE25" s="610"/>
      <c r="AF25" s="610"/>
      <c r="AG25" s="610"/>
      <c r="AH25" s="610"/>
      <c r="AI25" s="610"/>
      <c r="AJ25" s="610"/>
      <c r="AK25" s="610"/>
      <c r="AL25" s="610"/>
      <c r="AM25" s="610"/>
      <c r="AN25" s="610"/>
      <c r="AO25" s="610"/>
      <c r="AP25" s="610"/>
      <c r="AQ25" s="610"/>
      <c r="AR25" s="610"/>
      <c r="AS25" s="610"/>
      <c r="AT25" s="610"/>
      <c r="AU25" s="610"/>
      <c r="AV25" s="610"/>
      <c r="AW25" s="610"/>
      <c r="AX25" s="610"/>
      <c r="AY25" s="610"/>
      <c r="AZ25" s="610"/>
      <c r="BA25" s="610"/>
      <c r="BB25" s="548"/>
      <c r="BC25" s="552"/>
      <c r="BD25" s="552"/>
      <c r="BE25" s="548"/>
      <c r="BF25" s="611"/>
    </row>
    <row r="26">
      <c r="A26" s="612"/>
      <c r="B26" s="613"/>
      <c r="C26" s="583"/>
      <c r="D26" s="584"/>
      <c r="E26" s="584"/>
      <c r="F26" s="584"/>
      <c r="G26" s="584"/>
      <c r="H26" s="584"/>
      <c r="I26" s="614"/>
      <c r="J26" s="614"/>
      <c r="K26" s="614"/>
      <c r="L26" s="614"/>
      <c r="M26" s="614"/>
      <c r="N26" s="614"/>
      <c r="O26" s="614"/>
      <c r="P26" s="614"/>
      <c r="Q26" s="614"/>
      <c r="R26" s="614"/>
      <c r="S26" s="614"/>
      <c r="T26" s="614"/>
      <c r="U26" s="614"/>
      <c r="V26" s="614"/>
      <c r="W26" s="614"/>
      <c r="X26" s="614"/>
      <c r="Y26" s="614"/>
      <c r="Z26" s="614"/>
      <c r="AA26" s="614"/>
      <c r="AB26" s="614"/>
      <c r="AC26" s="614"/>
      <c r="AD26" s="614"/>
      <c r="AE26" s="614"/>
      <c r="AF26" s="614"/>
      <c r="AG26" s="614"/>
      <c r="AH26" s="614"/>
      <c r="AI26" s="614"/>
      <c r="AJ26" s="614"/>
      <c r="AK26" s="614"/>
      <c r="AL26" s="614"/>
      <c r="AM26" s="614"/>
      <c r="AN26" s="614"/>
      <c r="AO26" s="614"/>
      <c r="AP26" s="614"/>
      <c r="AQ26" s="614"/>
      <c r="AR26" s="614"/>
      <c r="AS26" s="614"/>
      <c r="AT26" s="614"/>
      <c r="AU26" s="614"/>
      <c r="AV26" s="614"/>
      <c r="AW26" s="614"/>
      <c r="AX26" s="614"/>
      <c r="AY26" s="614"/>
      <c r="AZ26" s="614"/>
      <c r="BA26" s="614"/>
      <c r="BB26" s="585"/>
      <c r="BC26" s="586"/>
      <c r="BD26" s="586"/>
      <c r="BE26" s="585"/>
      <c r="BF26" s="615"/>
    </row>
  </sheetData>
  <drawing r:id="rId1"/>
</worksheet>
</file>