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&amp; Player Stats" sheetId="1" r:id="rId5"/>
    <sheet state="visible" name="Playoff Stats" sheetId="2" r:id="rId6"/>
  </sheets>
  <definedNames/>
  <calcPr/>
</workbook>
</file>

<file path=xl/sharedStrings.xml><?xml version="1.0" encoding="utf-8"?>
<sst xmlns="http://schemas.openxmlformats.org/spreadsheetml/2006/main" count="119" uniqueCount="76">
  <si>
    <t>Team Name</t>
  </si>
  <si>
    <t>Abb.</t>
  </si>
  <si>
    <t>Wins</t>
  </si>
  <si>
    <t>Losses</t>
  </si>
  <si>
    <t>Goals</t>
  </si>
  <si>
    <t>Goals Against</t>
  </si>
  <si>
    <t>Goal Differential</t>
  </si>
  <si>
    <t>Remaining Games to Find</t>
  </si>
  <si>
    <t>Grifballs Deep</t>
  </si>
  <si>
    <t>GD</t>
  </si>
  <si>
    <t>GBD vs MGGA</t>
  </si>
  <si>
    <t>Respawn All-Stars</t>
  </si>
  <si>
    <t>RAS</t>
  </si>
  <si>
    <t>MGGA vs FS</t>
  </si>
  <si>
    <t>Junkyard Dogs</t>
  </si>
  <si>
    <t>JYD</t>
  </si>
  <si>
    <t>JYD vs IAR</t>
  </si>
  <si>
    <t>I'm a Runner</t>
  </si>
  <si>
    <t>IaR</t>
  </si>
  <si>
    <t>MGGA</t>
  </si>
  <si>
    <t>GBD vs FRNT</t>
  </si>
  <si>
    <t>Fornt</t>
  </si>
  <si>
    <t>FRNT</t>
  </si>
  <si>
    <t>GBD vs RAS</t>
  </si>
  <si>
    <t>Free Ship</t>
  </si>
  <si>
    <t>FS</t>
  </si>
  <si>
    <t>Team</t>
  </si>
  <si>
    <t>Player</t>
  </si>
  <si>
    <t>Games Played</t>
  </si>
  <si>
    <t>Minutes Played</t>
  </si>
  <si>
    <t>Kills</t>
  </si>
  <si>
    <t>Assists</t>
  </si>
  <si>
    <t>Deaths</t>
  </si>
  <si>
    <t>Spread</t>
  </si>
  <si>
    <t>Medals</t>
  </si>
  <si>
    <t>Average Life (Seconds)</t>
  </si>
  <si>
    <t>Regresser</t>
  </si>
  <si>
    <t>Silva</t>
  </si>
  <si>
    <t>L1fe</t>
  </si>
  <si>
    <t>Scet1663</t>
  </si>
  <si>
    <t>Chibifoxkit1</t>
  </si>
  <si>
    <t>Mstell96</t>
  </si>
  <si>
    <t>DJ Blue PDX (c)</t>
  </si>
  <si>
    <t>DlGITAL PAIN</t>
  </si>
  <si>
    <t>Its Rainin MenZ</t>
  </si>
  <si>
    <t>LT PapaBear MG</t>
  </si>
  <si>
    <t>Drez01</t>
  </si>
  <si>
    <t>Dizlc</t>
  </si>
  <si>
    <t>nkotb4evah (c)</t>
  </si>
  <si>
    <t>SaltyPeterBread</t>
  </si>
  <si>
    <t>Grunt Padre</t>
  </si>
  <si>
    <t>Doerstopper</t>
  </si>
  <si>
    <t>Thadak1sm</t>
  </si>
  <si>
    <t>Codingus</t>
  </si>
  <si>
    <t>L1ght5aber (c)</t>
  </si>
  <si>
    <t>ixGingy</t>
  </si>
  <si>
    <t>ixSnarf</t>
  </si>
  <si>
    <t>Samuel Adams</t>
  </si>
  <si>
    <t>TommyWstSide793</t>
  </si>
  <si>
    <t>Eltwinkinator68</t>
  </si>
  <si>
    <t>ixJaga (c)</t>
  </si>
  <si>
    <t>Rage More Nerd</t>
  </si>
  <si>
    <t>AJ DaJuiceMayne</t>
  </si>
  <si>
    <t>x Zeg x</t>
  </si>
  <si>
    <t>rydingus</t>
  </si>
  <si>
    <t>Conra</t>
  </si>
  <si>
    <t>ixLiono (c)</t>
  </si>
  <si>
    <t>DCleak</t>
  </si>
  <si>
    <t>Zarathustratic</t>
  </si>
  <si>
    <t>AwareMosquito</t>
  </si>
  <si>
    <t>a sneaky fatcat</t>
  </si>
  <si>
    <t>Sharty Magert (c)</t>
  </si>
  <si>
    <t>ACE B S1lentND1</t>
  </si>
  <si>
    <t>Mercury Owl</t>
  </si>
  <si>
    <t>SonicNachos</t>
  </si>
  <si>
    <t>LilPanther117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</si>
</sst>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4.0"/>
      <color rgb="FFFFFFFF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center" readingOrder="0" vertical="bottom"/>
    </xf>
    <xf borderId="0" fillId="4" fontId="6" numFmtId="0" xfId="0" applyAlignment="1" applyFill="1" applyFont="1">
      <alignment horizontal="center" readingOrder="0" vertical="bottom"/>
    </xf>
    <xf borderId="0" fillId="5" fontId="6" numFmtId="0" xfId="0" applyAlignment="1" applyFill="1" applyFont="1">
      <alignment horizontal="center" readingOrder="0" vertical="bottom"/>
    </xf>
    <xf borderId="0" fillId="6" fontId="7" numFmtId="0" xfId="0" applyAlignment="1" applyFill="1" applyFont="1">
      <alignment horizontal="center" readingOrder="0" vertical="bottom"/>
    </xf>
    <xf borderId="0" fillId="7" fontId="7" numFmtId="0" xfId="0" applyAlignment="1" applyFill="1" applyFont="1">
      <alignment horizontal="center" readingOrder="0" vertical="bottom"/>
    </xf>
    <xf borderId="0" fillId="8" fontId="8" numFmtId="0" xfId="0" applyAlignment="1" applyFill="1" applyFont="1">
      <alignment horizontal="center" readingOrder="0" vertical="bottom"/>
    </xf>
    <xf borderId="0" fillId="8" fontId="7" numFmtId="0" xfId="0" applyAlignment="1" applyFill="1" applyFont="1">
      <alignment vertical="bottom"/>
    </xf>
    <xf borderId="0" fillId="7" fontId="7" numFmtId="0" xfId="0" applyAlignment="1" applyFill="1" applyFont="1">
      <alignment horizontal="center" readingOrder="0" vertical="bottom"/>
    </xf>
    <xf borderId="0" fillId="7" fontId="7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1.88"/>
    <col customWidth="1" min="3" max="3" width="13.13"/>
    <col customWidth="1" min="6" max="6" width="19.25"/>
    <col customWidth="1" min="7" max="7" width="18.63"/>
    <col customWidth="1" min="12" max="12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M1" s="3" t="s">
        <v>7</v>
      </c>
    </row>
    <row r="2">
      <c r="A2" s="4" t="s">
        <v>8</v>
      </c>
      <c r="B2" s="5" t="s">
        <v>9</v>
      </c>
      <c r="C2" s="6">
        <v>1.0</v>
      </c>
      <c r="D2" s="6">
        <v>8.0</v>
      </c>
      <c r="E2" s="6">
        <v>13.0</v>
      </c>
      <c r="F2" s="6">
        <v>38.0</v>
      </c>
      <c r="G2" s="6">
        <f t="shared" ref="G2:G8" si="1">E2-F2</f>
        <v>-25</v>
      </c>
      <c r="M2" s="7" t="s">
        <v>10</v>
      </c>
    </row>
    <row r="3">
      <c r="A3" s="4" t="s">
        <v>11</v>
      </c>
      <c r="B3" s="5" t="s">
        <v>12</v>
      </c>
      <c r="C3" s="6">
        <v>4.0</v>
      </c>
      <c r="D3" s="6">
        <v>6.0</v>
      </c>
      <c r="E3" s="6">
        <v>10.0</v>
      </c>
      <c r="F3" s="6">
        <v>26.0</v>
      </c>
      <c r="G3" s="6">
        <f t="shared" si="1"/>
        <v>-16</v>
      </c>
      <c r="M3" s="7" t="s">
        <v>13</v>
      </c>
    </row>
    <row r="4">
      <c r="A4" s="5" t="s">
        <v>14</v>
      </c>
      <c r="B4" s="5" t="s">
        <v>15</v>
      </c>
      <c r="C4" s="6">
        <v>6.0</v>
      </c>
      <c r="D4" s="6">
        <v>5.0</v>
      </c>
      <c r="E4" s="6">
        <v>32.0</v>
      </c>
      <c r="F4" s="6">
        <v>24.0</v>
      </c>
      <c r="G4" s="6">
        <f t="shared" si="1"/>
        <v>8</v>
      </c>
      <c r="M4" s="7" t="s">
        <v>16</v>
      </c>
    </row>
    <row r="5">
      <c r="A5" s="5" t="s">
        <v>17</v>
      </c>
      <c r="B5" s="5" t="s">
        <v>18</v>
      </c>
      <c r="C5" s="6">
        <v>6.0</v>
      </c>
      <c r="D5" s="6">
        <v>4.0</v>
      </c>
      <c r="E5" s="6">
        <v>35.0</v>
      </c>
      <c r="F5" s="6">
        <v>26.0</v>
      </c>
      <c r="G5" s="6">
        <f t="shared" si="1"/>
        <v>9</v>
      </c>
    </row>
    <row r="6">
      <c r="A6" s="5" t="s">
        <v>19</v>
      </c>
      <c r="B6" s="5" t="s">
        <v>19</v>
      </c>
      <c r="C6" s="6">
        <v>6.0</v>
      </c>
      <c r="D6" s="6">
        <v>4.0</v>
      </c>
      <c r="E6" s="6">
        <v>35.0</v>
      </c>
      <c r="F6" s="6">
        <v>24.0</v>
      </c>
      <c r="G6" s="6">
        <f t="shared" si="1"/>
        <v>11</v>
      </c>
      <c r="M6" s="7" t="s">
        <v>20</v>
      </c>
    </row>
    <row r="7">
      <c r="A7" s="5" t="s">
        <v>21</v>
      </c>
      <c r="B7" s="5" t="s">
        <v>22</v>
      </c>
      <c r="C7" s="6">
        <v>5.0</v>
      </c>
      <c r="D7" s="6">
        <v>5.0</v>
      </c>
      <c r="E7" s="6">
        <v>38.0</v>
      </c>
      <c r="F7" s="6">
        <v>35.0</v>
      </c>
      <c r="G7" s="6">
        <f t="shared" si="1"/>
        <v>3</v>
      </c>
      <c r="M7" s="7" t="s">
        <v>23</v>
      </c>
    </row>
    <row r="8">
      <c r="A8" s="5" t="s">
        <v>24</v>
      </c>
      <c r="B8" s="5" t="s">
        <v>25</v>
      </c>
      <c r="C8" s="6">
        <v>6.0</v>
      </c>
      <c r="D8" s="6">
        <v>4.0</v>
      </c>
      <c r="E8" s="6">
        <v>40.0</v>
      </c>
      <c r="F8" s="6">
        <v>30.0</v>
      </c>
      <c r="G8" s="6">
        <f t="shared" si="1"/>
        <v>10</v>
      </c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7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7"/>
    </row>
    <row r="11">
      <c r="A11" s="8" t="s">
        <v>26</v>
      </c>
      <c r="B11" s="8" t="s">
        <v>27</v>
      </c>
      <c r="C11" s="8" t="s">
        <v>28</v>
      </c>
      <c r="D11" s="8" t="s">
        <v>2</v>
      </c>
      <c r="E11" s="8" t="s">
        <v>29</v>
      </c>
      <c r="F11" s="9" t="s">
        <v>4</v>
      </c>
      <c r="G11" s="9" t="s">
        <v>30</v>
      </c>
      <c r="H11" s="9" t="s">
        <v>31</v>
      </c>
      <c r="I11" s="9" t="s">
        <v>32</v>
      </c>
      <c r="J11" s="9" t="s">
        <v>33</v>
      </c>
      <c r="K11" s="10" t="s">
        <v>34</v>
      </c>
      <c r="L11" s="10" t="s">
        <v>35</v>
      </c>
      <c r="M11" s="7"/>
    </row>
    <row r="12">
      <c r="A12" s="11" t="s">
        <v>24</v>
      </c>
      <c r="B12" s="12" t="s">
        <v>36</v>
      </c>
      <c r="C12" s="12">
        <v>10.0</v>
      </c>
      <c r="D12" s="12">
        <v>6.0</v>
      </c>
      <c r="E12" s="12">
        <v>154.0</v>
      </c>
      <c r="F12" s="12">
        <v>29.0</v>
      </c>
      <c r="G12" s="12">
        <v>560.0</v>
      </c>
      <c r="H12" s="12">
        <v>32.0</v>
      </c>
      <c r="I12" s="12">
        <v>594.0</v>
      </c>
      <c r="J12" s="12">
        <f t="shared" ref="J12:J17" si="2">G12-I12</f>
        <v>-34</v>
      </c>
      <c r="K12" s="12">
        <v>886.0</v>
      </c>
      <c r="L12" s="12">
        <f>(14+12+14+16+12+15+14+11)/C12</f>
        <v>10.8</v>
      </c>
    </row>
    <row r="13">
      <c r="A13" s="11" t="s">
        <v>24</v>
      </c>
      <c r="B13" s="12" t="s">
        <v>37</v>
      </c>
      <c r="C13" s="12">
        <v>4.0</v>
      </c>
      <c r="D13" s="12">
        <v>3.0</v>
      </c>
      <c r="E13" s="12">
        <v>85.0</v>
      </c>
      <c r="F13" s="12">
        <f>1</f>
        <v>1</v>
      </c>
      <c r="G13" s="12">
        <v>428.0</v>
      </c>
      <c r="H13" s="12">
        <v>18.0</v>
      </c>
      <c r="I13" s="12">
        <v>367.0</v>
      </c>
      <c r="J13" s="12">
        <f t="shared" si="2"/>
        <v>61</v>
      </c>
      <c r="K13" s="12">
        <v>679.0</v>
      </c>
      <c r="L13" s="12">
        <f>(14+12+13)/C13</f>
        <v>9.75</v>
      </c>
    </row>
    <row r="14">
      <c r="A14" s="11" t="s">
        <v>24</v>
      </c>
      <c r="B14" s="12" t="s">
        <v>38</v>
      </c>
      <c r="C14" s="12">
        <v>10.0</v>
      </c>
      <c r="D14" s="12">
        <v>5.0</v>
      </c>
      <c r="E14" s="12">
        <v>154.0</v>
      </c>
      <c r="F14" s="12">
        <f>1+1+1</f>
        <v>3</v>
      </c>
      <c r="G14" s="12">
        <v>884.0</v>
      </c>
      <c r="H14" s="12">
        <v>51.0</v>
      </c>
      <c r="I14" s="12">
        <v>578.0</v>
      </c>
      <c r="J14" s="12">
        <f t="shared" si="2"/>
        <v>306</v>
      </c>
      <c r="K14" s="12">
        <v>1558.0</v>
      </c>
      <c r="L14" s="12">
        <f>(13+18+14+13+14+13+18+12)/C14</f>
        <v>11.5</v>
      </c>
    </row>
    <row r="15">
      <c r="A15" s="11" t="s">
        <v>24</v>
      </c>
      <c r="B15" s="12" t="s">
        <v>39</v>
      </c>
      <c r="C15" s="12">
        <v>7.0</v>
      </c>
      <c r="D15" s="12">
        <v>4.0</v>
      </c>
      <c r="E15" s="12">
        <v>129.0</v>
      </c>
      <c r="F15" s="12">
        <v>4.0</v>
      </c>
      <c r="G15" s="12">
        <v>445.0</v>
      </c>
      <c r="H15" s="12">
        <v>28.0</v>
      </c>
      <c r="I15" s="12">
        <v>520.0</v>
      </c>
      <c r="J15" s="12">
        <f t="shared" si="2"/>
        <v>-75</v>
      </c>
      <c r="K15" s="12">
        <v>680.0</v>
      </c>
      <c r="L15" s="12">
        <f>(15+12+13+12+13+12)/C15</f>
        <v>11</v>
      </c>
    </row>
    <row r="16">
      <c r="A16" s="11" t="s">
        <v>24</v>
      </c>
      <c r="B16" s="12" t="s">
        <v>40</v>
      </c>
      <c r="C16" s="12">
        <v>5.0</v>
      </c>
      <c r="D16" s="12">
        <v>2.0</v>
      </c>
      <c r="E16" s="12">
        <f>13+12+19+19+12</f>
        <v>75</v>
      </c>
      <c r="F16" s="12">
        <f>1</f>
        <v>1</v>
      </c>
      <c r="G16" s="12">
        <f>39+37+51+43+25</f>
        <v>195</v>
      </c>
      <c r="H16" s="12">
        <f>1+4+5+2</f>
        <v>12</v>
      </c>
      <c r="I16" s="12">
        <f>52+52+94+103+58</f>
        <v>359</v>
      </c>
      <c r="J16" s="12">
        <f t="shared" si="2"/>
        <v>-164</v>
      </c>
      <c r="K16" s="12">
        <f>52+56+77+66+35</f>
        <v>286</v>
      </c>
      <c r="L16" s="12">
        <f>(11+11+9+8+9)/C16</f>
        <v>9.6</v>
      </c>
    </row>
    <row r="17">
      <c r="A17" s="11" t="s">
        <v>24</v>
      </c>
      <c r="B17" s="12" t="s">
        <v>41</v>
      </c>
      <c r="C17" s="12">
        <v>2.0</v>
      </c>
      <c r="D17" s="12">
        <v>1.0</v>
      </c>
      <c r="E17" s="12">
        <f>12+7</f>
        <v>19</v>
      </c>
      <c r="F17" s="12">
        <f>0</f>
        <v>0</v>
      </c>
      <c r="G17" s="12">
        <f>17+11</f>
        <v>28</v>
      </c>
      <c r="H17" s="12">
        <f>4+2</f>
        <v>6</v>
      </c>
      <c r="I17" s="12">
        <f>35+22</f>
        <v>57</v>
      </c>
      <c r="J17" s="12">
        <f t="shared" si="2"/>
        <v>-29</v>
      </c>
      <c r="K17" s="12">
        <f>29+18</f>
        <v>47</v>
      </c>
      <c r="L17" s="12">
        <f>(18+16)/C17</f>
        <v>17</v>
      </c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>
      <c r="A19" s="11" t="s">
        <v>11</v>
      </c>
      <c r="B19" s="12" t="s">
        <v>42</v>
      </c>
      <c r="C19" s="12">
        <v>7.0</v>
      </c>
      <c r="D19" s="12">
        <v>1.0</v>
      </c>
      <c r="E19" s="12">
        <v>163.0</v>
      </c>
      <c r="F19" s="12">
        <f>1</f>
        <v>1</v>
      </c>
      <c r="G19" s="12">
        <v>559.0</v>
      </c>
      <c r="H19" s="12">
        <v>26.0</v>
      </c>
      <c r="I19" s="12">
        <v>860.0</v>
      </c>
      <c r="J19" s="12">
        <f t="shared" ref="J19:J24" si="3">G19-I19</f>
        <v>-301</v>
      </c>
      <c r="K19" s="12">
        <v>778.0</v>
      </c>
      <c r="L19" s="12">
        <f>(10+7+10+8+9+7+8)/(C19+1)</f>
        <v>7.375</v>
      </c>
    </row>
    <row r="20">
      <c r="A20" s="11" t="s">
        <v>11</v>
      </c>
      <c r="B20" s="12" t="s">
        <v>43</v>
      </c>
      <c r="C20" s="12">
        <v>10.0</v>
      </c>
      <c r="D20" s="12">
        <v>4.0</v>
      </c>
      <c r="E20" s="12">
        <v>273.0</v>
      </c>
      <c r="F20" s="12">
        <v>3.0</v>
      </c>
      <c r="G20" s="12">
        <v>1197.0</v>
      </c>
      <c r="H20" s="12">
        <v>52.0</v>
      </c>
      <c r="I20" s="12">
        <v>844.0</v>
      </c>
      <c r="J20" s="12">
        <f t="shared" si="3"/>
        <v>353</v>
      </c>
      <c r="K20" s="12">
        <v>1968.0</v>
      </c>
      <c r="L20" s="12">
        <f>(17+14+15+16+14+17+16)/(C20+1)</f>
        <v>9.909090909</v>
      </c>
    </row>
    <row r="21">
      <c r="A21" s="11" t="s">
        <v>11</v>
      </c>
      <c r="B21" s="15" t="s">
        <v>44</v>
      </c>
      <c r="C21" s="12">
        <v>8.0</v>
      </c>
      <c r="D21" s="12">
        <v>3.0</v>
      </c>
      <c r="E21" s="12">
        <v>243.0</v>
      </c>
      <c r="F21" s="12">
        <f>1</f>
        <v>1</v>
      </c>
      <c r="G21" s="12">
        <v>997.0</v>
      </c>
      <c r="H21" s="12">
        <v>49.0</v>
      </c>
      <c r="I21" s="12">
        <v>971.0</v>
      </c>
      <c r="J21" s="12">
        <f t="shared" si="3"/>
        <v>26</v>
      </c>
      <c r="K21" s="12">
        <v>1571.0</v>
      </c>
      <c r="L21" s="12">
        <f>(9+8+9+11+10)/(C21+1)</f>
        <v>5.222222222</v>
      </c>
    </row>
    <row r="22">
      <c r="A22" s="11" t="s">
        <v>11</v>
      </c>
      <c r="B22" s="12" t="s">
        <v>45</v>
      </c>
      <c r="C22" s="12">
        <v>8.0</v>
      </c>
      <c r="D22" s="12">
        <v>4.0</v>
      </c>
      <c r="E22" s="12">
        <v>227.0</v>
      </c>
      <c r="F22" s="12">
        <v>20.0</v>
      </c>
      <c r="G22" s="12">
        <v>399.0</v>
      </c>
      <c r="H22" s="12">
        <v>5.0</v>
      </c>
      <c r="I22" s="12">
        <v>516.0</v>
      </c>
      <c r="J22" s="12">
        <f t="shared" si="3"/>
        <v>-117</v>
      </c>
      <c r="K22" s="12">
        <v>560.0</v>
      </c>
      <c r="L22" s="12">
        <f>(32+32+17+16)/C22</f>
        <v>12.125</v>
      </c>
    </row>
    <row r="23">
      <c r="A23" s="11" t="s">
        <v>11</v>
      </c>
      <c r="B23" s="12" t="s">
        <v>46</v>
      </c>
      <c r="C23" s="12">
        <v>7.0</v>
      </c>
      <c r="D23" s="12">
        <v>4.0</v>
      </c>
      <c r="E23" s="12">
        <v>186.0</v>
      </c>
      <c r="F23" s="12">
        <v>1.0</v>
      </c>
      <c r="G23" s="12">
        <v>621.0</v>
      </c>
      <c r="H23" s="12">
        <v>40.0</v>
      </c>
      <c r="I23" s="12">
        <v>808.0</v>
      </c>
      <c r="J23" s="12">
        <f t="shared" si="3"/>
        <v>-187</v>
      </c>
      <c r="K23" s="12">
        <v>920.0</v>
      </c>
      <c r="L23" s="12">
        <f>(10+14+17+10+8)/(C23+1)</f>
        <v>7.375</v>
      </c>
    </row>
    <row r="24">
      <c r="A24" s="11" t="s">
        <v>11</v>
      </c>
      <c r="B24" s="12" t="s">
        <v>47</v>
      </c>
      <c r="C24" s="12">
        <v>0.0</v>
      </c>
      <c r="D24" s="12">
        <v>0.0</v>
      </c>
      <c r="E24" s="12">
        <v>0.0</v>
      </c>
      <c r="F24" s="12">
        <f t="shared" ref="F24:I24" si="4">0</f>
        <v>0</v>
      </c>
      <c r="G24" s="12">
        <f t="shared" si="4"/>
        <v>0</v>
      </c>
      <c r="H24" s="12">
        <f t="shared" si="4"/>
        <v>0</v>
      </c>
      <c r="I24" s="12">
        <f t="shared" si="4"/>
        <v>0</v>
      </c>
      <c r="J24" s="12">
        <f t="shared" si="3"/>
        <v>0</v>
      </c>
      <c r="K24" s="12">
        <f>0</f>
        <v>0</v>
      </c>
      <c r="L24" s="12" t="str">
        <f>(0)/C24</f>
        <v>#DIV/0!</v>
      </c>
    </row>
    <row r="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>
      <c r="A26" s="11" t="s">
        <v>14</v>
      </c>
      <c r="B26" s="12" t="s">
        <v>48</v>
      </c>
      <c r="C26" s="12">
        <v>10.0</v>
      </c>
      <c r="D26" s="12">
        <v>6.0</v>
      </c>
      <c r="E26" s="12">
        <v>275.0</v>
      </c>
      <c r="F26" s="12">
        <v>28.0</v>
      </c>
      <c r="G26" s="12">
        <v>727.0</v>
      </c>
      <c r="H26" s="12">
        <v>14.0</v>
      </c>
      <c r="I26" s="12">
        <v>774.0</v>
      </c>
      <c r="J26" s="12">
        <f t="shared" ref="J26:J31" si="5">G26-I26</f>
        <v>-47</v>
      </c>
      <c r="K26" s="12">
        <v>1166.0</v>
      </c>
      <c r="L26" s="12">
        <f>(20+17+17+16+23+30+26+21)/C26</f>
        <v>17</v>
      </c>
    </row>
    <row r="27">
      <c r="A27" s="11" t="s">
        <v>14</v>
      </c>
      <c r="B27" s="12" t="s">
        <v>49</v>
      </c>
      <c r="C27" s="12">
        <v>10.0</v>
      </c>
      <c r="D27" s="12">
        <v>6.0</v>
      </c>
      <c r="E27" s="12">
        <v>275.0</v>
      </c>
      <c r="F27" s="12">
        <f>1+2+1+2</f>
        <v>6</v>
      </c>
      <c r="G27" s="12">
        <v>1269.0</v>
      </c>
      <c r="H27" s="12">
        <v>70.0</v>
      </c>
      <c r="I27" s="12">
        <v>1349.0</v>
      </c>
      <c r="J27" s="12">
        <f t="shared" si="5"/>
        <v>-80</v>
      </c>
      <c r="K27" s="12">
        <v>1687.0</v>
      </c>
      <c r="L27" s="12">
        <f>(11+11+13+14+10+9+8+8)/C27</f>
        <v>8.4</v>
      </c>
    </row>
    <row r="28">
      <c r="A28" s="11" t="s">
        <v>14</v>
      </c>
      <c r="B28" s="12" t="s">
        <v>50</v>
      </c>
      <c r="C28" s="12">
        <v>10.0</v>
      </c>
      <c r="D28" s="12">
        <v>6.0</v>
      </c>
      <c r="E28" s="12">
        <v>275.0</v>
      </c>
      <c r="F28" s="12">
        <f>1+1+1+1</f>
        <v>4</v>
      </c>
      <c r="G28" s="12">
        <v>1177.0</v>
      </c>
      <c r="H28" s="12">
        <v>93.0</v>
      </c>
      <c r="I28" s="12">
        <v>1485.0</v>
      </c>
      <c r="J28" s="12">
        <f t="shared" si="5"/>
        <v>-308</v>
      </c>
      <c r="K28" s="12">
        <v>1688.0</v>
      </c>
      <c r="L28" s="12">
        <f>(7+8+10+8+8+8+9+9)/C28</f>
        <v>6.7</v>
      </c>
    </row>
    <row r="29">
      <c r="A29" s="11" t="s">
        <v>14</v>
      </c>
      <c r="B29" s="12" t="s">
        <v>51</v>
      </c>
      <c r="C29" s="12">
        <v>10.0</v>
      </c>
      <c r="D29" s="12">
        <v>6.0</v>
      </c>
      <c r="E29" s="12">
        <v>275.0</v>
      </c>
      <c r="F29" s="12">
        <f>1</f>
        <v>1</v>
      </c>
      <c r="G29" s="12">
        <v>1122.0</v>
      </c>
      <c r="H29" s="12">
        <v>47.0</v>
      </c>
      <c r="I29" s="12">
        <v>1366.0</v>
      </c>
      <c r="J29" s="12">
        <f t="shared" si="5"/>
        <v>-244</v>
      </c>
      <c r="K29" s="12">
        <v>1672.0</v>
      </c>
      <c r="L29" s="12">
        <f>(10+9+10+11+10+8+8+11)/C29</f>
        <v>7.7</v>
      </c>
    </row>
    <row r="30">
      <c r="A30" s="11" t="s">
        <v>14</v>
      </c>
      <c r="B30" s="12" t="s">
        <v>52</v>
      </c>
      <c r="C30" s="12">
        <v>0.0</v>
      </c>
      <c r="D30" s="12">
        <v>0.0</v>
      </c>
      <c r="E30" s="12">
        <v>0.0</v>
      </c>
      <c r="F30" s="12">
        <v>0.0</v>
      </c>
      <c r="G30" s="12">
        <f t="shared" ref="G30:I30" si="6">0</f>
        <v>0</v>
      </c>
      <c r="H30" s="12">
        <f t="shared" si="6"/>
        <v>0</v>
      </c>
      <c r="I30" s="12">
        <f t="shared" si="6"/>
        <v>0</v>
      </c>
      <c r="J30" s="12">
        <f t="shared" si="5"/>
        <v>0</v>
      </c>
      <c r="K30" s="12">
        <f t="shared" ref="K30:K31" si="8">0</f>
        <v>0</v>
      </c>
      <c r="L30" s="12" t="str">
        <f>(20+17)/C30</f>
        <v>#DIV/0!</v>
      </c>
    </row>
    <row r="31">
      <c r="A31" s="11" t="s">
        <v>14</v>
      </c>
      <c r="B31" s="12" t="s">
        <v>53</v>
      </c>
      <c r="C31" s="12">
        <v>0.0</v>
      </c>
      <c r="D31" s="12">
        <v>0.0</v>
      </c>
      <c r="E31" s="12">
        <v>0.0</v>
      </c>
      <c r="F31" s="12">
        <f t="shared" ref="F31:I31" si="7">0</f>
        <v>0</v>
      </c>
      <c r="G31" s="12">
        <f t="shared" si="7"/>
        <v>0</v>
      </c>
      <c r="H31" s="12">
        <f t="shared" si="7"/>
        <v>0</v>
      </c>
      <c r="I31" s="12">
        <f t="shared" si="7"/>
        <v>0</v>
      </c>
      <c r="J31" s="12">
        <f t="shared" si="5"/>
        <v>0</v>
      </c>
      <c r="K31" s="12">
        <f t="shared" si="8"/>
        <v>0</v>
      </c>
      <c r="L31" s="12" t="str">
        <f>(0)/C31</f>
        <v>#DIV/0!</v>
      </c>
    </row>
    <row r="32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>
      <c r="A33" s="11" t="s">
        <v>17</v>
      </c>
      <c r="B33" s="12" t="s">
        <v>54</v>
      </c>
      <c r="C33" s="12">
        <v>10.0</v>
      </c>
      <c r="D33" s="12">
        <v>6.0</v>
      </c>
      <c r="E33" s="12">
        <v>182.0</v>
      </c>
      <c r="F33" s="12">
        <v>5.0</v>
      </c>
      <c r="G33" s="12">
        <v>767.0</v>
      </c>
      <c r="H33" s="12">
        <v>51.0</v>
      </c>
      <c r="I33" s="12">
        <v>716.0</v>
      </c>
      <c r="J33" s="12">
        <f t="shared" ref="J33:J38" si="9">G33-I33</f>
        <v>51</v>
      </c>
      <c r="K33" s="12">
        <v>1203.0</v>
      </c>
      <c r="L33" s="12">
        <f>(14+12+14+17+12+16+14+12+14+11)/(C33+2)</f>
        <v>11.33333333</v>
      </c>
    </row>
    <row r="34">
      <c r="A34" s="11" t="s">
        <v>17</v>
      </c>
      <c r="B34" s="12" t="s">
        <v>55</v>
      </c>
      <c r="C34" s="12">
        <v>10.0</v>
      </c>
      <c r="D34" s="12">
        <v>6.0</v>
      </c>
      <c r="E34" s="12">
        <v>182.0</v>
      </c>
      <c r="F34" s="12">
        <v>28.0</v>
      </c>
      <c r="G34" s="12">
        <v>684.0</v>
      </c>
      <c r="H34" s="12">
        <v>14.0</v>
      </c>
      <c r="I34" s="12">
        <v>443.0</v>
      </c>
      <c r="J34" s="12">
        <f t="shared" si="9"/>
        <v>241</v>
      </c>
      <c r="K34" s="12">
        <v>1105.0</v>
      </c>
      <c r="L34" s="12">
        <f>(16+28+51+22+12+36+23+28+21+42)/(C34+2)</f>
        <v>23.25</v>
      </c>
    </row>
    <row r="35">
      <c r="A35" s="11" t="s">
        <v>17</v>
      </c>
      <c r="B35" s="12" t="s">
        <v>56</v>
      </c>
      <c r="C35" s="12">
        <v>10.0</v>
      </c>
      <c r="D35" s="12">
        <v>6.0</v>
      </c>
      <c r="E35" s="12">
        <v>182.0</v>
      </c>
      <c r="F35" s="12">
        <f t="shared" ref="F35:F36" si="10">1</f>
        <v>1</v>
      </c>
      <c r="G35" s="12">
        <v>678.0</v>
      </c>
      <c r="H35" s="12">
        <v>26.0</v>
      </c>
      <c r="I35" s="12">
        <v>768.0</v>
      </c>
      <c r="J35" s="12">
        <f t="shared" si="9"/>
        <v>-90</v>
      </c>
      <c r="K35" s="12">
        <v>955.0</v>
      </c>
      <c r="L35" s="12">
        <f>(13+10+13+11+10+13+15+11+13+13)/(C35+2)</f>
        <v>10.16666667</v>
      </c>
    </row>
    <row r="36">
      <c r="A36" s="11" t="s">
        <v>17</v>
      </c>
      <c r="B36" s="12" t="s">
        <v>57</v>
      </c>
      <c r="C36" s="12">
        <v>6.0</v>
      </c>
      <c r="D36" s="12">
        <v>4.0</v>
      </c>
      <c r="E36" s="12">
        <f>27+35+11+18+9</f>
        <v>100</v>
      </c>
      <c r="F36" s="12">
        <f t="shared" si="10"/>
        <v>1</v>
      </c>
      <c r="G36" s="12">
        <v>347.0</v>
      </c>
      <c r="H36" s="12">
        <v>20.0</v>
      </c>
      <c r="I36" s="12">
        <v>410.0</v>
      </c>
      <c r="J36" s="12">
        <f t="shared" si="9"/>
        <v>-63</v>
      </c>
      <c r="K36" s="12">
        <v>528.0</v>
      </c>
      <c r="L36" s="12">
        <f>(13+13+16+14+13)/(C36+1)</f>
        <v>9.857142857</v>
      </c>
    </row>
    <row r="37">
      <c r="A37" s="11" t="s">
        <v>17</v>
      </c>
      <c r="B37" s="12" t="s">
        <v>58</v>
      </c>
      <c r="C37" s="12">
        <v>4.0</v>
      </c>
      <c r="D37" s="12">
        <v>2.0</v>
      </c>
      <c r="E37" s="12">
        <v>82.0</v>
      </c>
      <c r="F37" s="12">
        <f t="shared" ref="F37:F38" si="11">0</f>
        <v>0</v>
      </c>
      <c r="G37" s="12">
        <v>263.0</v>
      </c>
      <c r="H37" s="12">
        <v>14.0</v>
      </c>
      <c r="I37" s="12">
        <v>337.0</v>
      </c>
      <c r="J37" s="12">
        <f t="shared" si="9"/>
        <v>-74</v>
      </c>
      <c r="K37" s="12">
        <v>395.0</v>
      </c>
      <c r="L37" s="12">
        <f>(9+11+9+15+10)/(C37+1)</f>
        <v>10.8</v>
      </c>
    </row>
    <row r="38">
      <c r="A38" s="11" t="s">
        <v>17</v>
      </c>
      <c r="B38" s="12" t="s">
        <v>59</v>
      </c>
      <c r="C38" s="12">
        <v>0.0</v>
      </c>
      <c r="D38" s="12">
        <v>0.0</v>
      </c>
      <c r="E38" s="12">
        <v>0.0</v>
      </c>
      <c r="F38" s="12">
        <f t="shared" si="11"/>
        <v>0</v>
      </c>
      <c r="G38" s="12">
        <f t="shared" ref="G38:I38" si="12">0</f>
        <v>0</v>
      </c>
      <c r="H38" s="12">
        <f t="shared" si="12"/>
        <v>0</v>
      </c>
      <c r="I38" s="12">
        <f t="shared" si="12"/>
        <v>0</v>
      </c>
      <c r="J38" s="12">
        <f t="shared" si="9"/>
        <v>0</v>
      </c>
      <c r="K38" s="12">
        <f>0</f>
        <v>0</v>
      </c>
      <c r="L38" s="12" t="str">
        <f>(0)/C38</f>
        <v>#DIV/0!</v>
      </c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>
      <c r="A40" s="11" t="s">
        <v>19</v>
      </c>
      <c r="B40" s="12" t="s">
        <v>60</v>
      </c>
      <c r="C40" s="12">
        <v>10.0</v>
      </c>
      <c r="D40" s="12">
        <v>6.0</v>
      </c>
      <c r="E40" s="12">
        <v>278.0</v>
      </c>
      <c r="F40" s="12">
        <f>1</f>
        <v>1</v>
      </c>
      <c r="G40" s="12">
        <v>1124.0</v>
      </c>
      <c r="H40" s="12">
        <v>81.0</v>
      </c>
      <c r="I40" s="12">
        <v>1137.0</v>
      </c>
      <c r="J40" s="12">
        <f t="shared" ref="J40:J45" si="13">G40-I40</f>
        <v>-13</v>
      </c>
      <c r="K40" s="12">
        <v>1808.0</v>
      </c>
      <c r="L40" s="12">
        <f>(15+15+12+16+13+12+16+16)/C40</f>
        <v>11.5</v>
      </c>
    </row>
    <row r="41">
      <c r="A41" s="11" t="s">
        <v>19</v>
      </c>
      <c r="B41" s="12" t="s">
        <v>61</v>
      </c>
      <c r="C41" s="12">
        <v>10.0</v>
      </c>
      <c r="D41" s="12">
        <v>6.0</v>
      </c>
      <c r="E41" s="12">
        <v>278.0</v>
      </c>
      <c r="F41" s="12">
        <v>34.0</v>
      </c>
      <c r="G41" s="12">
        <v>1050.0</v>
      </c>
      <c r="H41" s="12">
        <v>36.0</v>
      </c>
      <c r="I41" s="12">
        <v>863.0</v>
      </c>
      <c r="J41" s="12">
        <f t="shared" si="13"/>
        <v>187</v>
      </c>
      <c r="K41" s="12">
        <v>1614.0</v>
      </c>
      <c r="L41" s="12">
        <f>(34+16+15+13+20+16+93+26)/C41</f>
        <v>23.3</v>
      </c>
    </row>
    <row r="42">
      <c r="A42" s="11" t="s">
        <v>19</v>
      </c>
      <c r="B42" s="12" t="s">
        <v>62</v>
      </c>
      <c r="C42" s="12">
        <v>10.0</v>
      </c>
      <c r="D42" s="12">
        <v>6.0</v>
      </c>
      <c r="E42" s="12">
        <v>278.0</v>
      </c>
      <c r="F42" s="12">
        <f>1+1+1</f>
        <v>3</v>
      </c>
      <c r="G42" s="12">
        <v>1462.0</v>
      </c>
      <c r="H42" s="12">
        <v>100.0</v>
      </c>
      <c r="I42" s="12">
        <v>1197.0</v>
      </c>
      <c r="J42" s="12">
        <f t="shared" si="13"/>
        <v>265</v>
      </c>
      <c r="K42" s="12">
        <v>2408.0</v>
      </c>
      <c r="L42" s="12">
        <f>(14+13+13+13+12+12+13+14)/C42</f>
        <v>10.4</v>
      </c>
    </row>
    <row r="43">
      <c r="A43" s="11" t="s">
        <v>19</v>
      </c>
      <c r="B43" s="12" t="s">
        <v>63</v>
      </c>
      <c r="C43" s="12">
        <v>10.0</v>
      </c>
      <c r="D43" s="12">
        <v>6.0</v>
      </c>
      <c r="E43" s="12">
        <v>278.0</v>
      </c>
      <c r="F43" s="12">
        <f>1+1</f>
        <v>2</v>
      </c>
      <c r="G43" s="12">
        <v>1074.0</v>
      </c>
      <c r="H43" s="12">
        <v>50.0</v>
      </c>
      <c r="I43" s="12">
        <v>1199.0</v>
      </c>
      <c r="J43" s="12">
        <f t="shared" si="13"/>
        <v>-125</v>
      </c>
      <c r="K43" s="12">
        <v>1584.0</v>
      </c>
      <c r="L43" s="12">
        <f>(11+11+13+12+10+15+20+19)/C43</f>
        <v>11.1</v>
      </c>
    </row>
    <row r="44">
      <c r="A44" s="11" t="s">
        <v>19</v>
      </c>
      <c r="B44" s="12" t="s">
        <v>64</v>
      </c>
      <c r="C44" s="12">
        <v>0.0</v>
      </c>
      <c r="D44" s="12">
        <v>0.0</v>
      </c>
      <c r="E44" s="12">
        <v>0.0</v>
      </c>
      <c r="F44" s="12">
        <v>0.0</v>
      </c>
      <c r="G44" s="12">
        <f t="shared" ref="G44:I44" si="14">0</f>
        <v>0</v>
      </c>
      <c r="H44" s="12">
        <f t="shared" si="14"/>
        <v>0</v>
      </c>
      <c r="I44" s="12">
        <f t="shared" si="14"/>
        <v>0</v>
      </c>
      <c r="J44" s="12">
        <f t="shared" si="13"/>
        <v>0</v>
      </c>
      <c r="K44" s="12">
        <f t="shared" ref="K44:K45" si="16">0</f>
        <v>0</v>
      </c>
      <c r="L44" s="12" t="str">
        <f t="shared" ref="L44:L45" si="17">(0)/C44</f>
        <v>#DIV/0!</v>
      </c>
    </row>
    <row r="45">
      <c r="A45" s="11" t="s">
        <v>19</v>
      </c>
      <c r="B45" s="12" t="s">
        <v>65</v>
      </c>
      <c r="C45" s="12">
        <v>0.0</v>
      </c>
      <c r="D45" s="12">
        <v>0.0</v>
      </c>
      <c r="E45" s="12">
        <v>0.0</v>
      </c>
      <c r="F45" s="12">
        <v>0.0</v>
      </c>
      <c r="G45" s="12">
        <f t="shared" ref="G45:I45" si="15">0</f>
        <v>0</v>
      </c>
      <c r="H45" s="12">
        <f t="shared" si="15"/>
        <v>0</v>
      </c>
      <c r="I45" s="12">
        <f t="shared" si="15"/>
        <v>0</v>
      </c>
      <c r="J45" s="12">
        <f t="shared" si="13"/>
        <v>0</v>
      </c>
      <c r="K45" s="12">
        <f t="shared" si="16"/>
        <v>0</v>
      </c>
      <c r="L45" s="12" t="str">
        <f t="shared" si="17"/>
        <v>#DIV/0!</v>
      </c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>
      <c r="A47" s="11" t="s">
        <v>21</v>
      </c>
      <c r="B47" s="12" t="s">
        <v>66</v>
      </c>
      <c r="C47" s="12">
        <v>10.0</v>
      </c>
      <c r="D47" s="12">
        <v>5.0</v>
      </c>
      <c r="E47" s="12">
        <f t="shared" ref="E47:E49" si="18">25+39+8+10+8+19+19+18+29+41</f>
        <v>216</v>
      </c>
      <c r="F47" s="12">
        <f>1</f>
        <v>1</v>
      </c>
      <c r="G47" s="12">
        <f>139+224+39+44+52+92+100+84+144+175+186</f>
        <v>1279</v>
      </c>
      <c r="H47" s="12">
        <f>9+13+4+8+2+5+6+5+18</f>
        <v>70</v>
      </c>
      <c r="I47" s="12">
        <f>105+170+32+48+27+85+79+66+125+160+181</f>
        <v>1078</v>
      </c>
      <c r="J47" s="12">
        <f t="shared" ref="J47:J51" si="19">G47-I47</f>
        <v>201</v>
      </c>
      <c r="K47" s="12">
        <f>222+374+55+74+75+153+155+137+219+262+296</f>
        <v>2022</v>
      </c>
      <c r="L47" s="12">
        <f>(11+10+11+9+13+10+11+13+10+12+11)/(C47+1)</f>
        <v>11</v>
      </c>
    </row>
    <row r="48">
      <c r="A48" s="11" t="s">
        <v>21</v>
      </c>
      <c r="B48" s="12" t="s">
        <v>67</v>
      </c>
      <c r="C48" s="12">
        <v>10.0</v>
      </c>
      <c r="D48" s="12">
        <v>5.0</v>
      </c>
      <c r="E48" s="12">
        <f t="shared" si="18"/>
        <v>216</v>
      </c>
      <c r="F48" s="12">
        <f>3+2+5+5+3+5+4+4+4</f>
        <v>35</v>
      </c>
      <c r="G48" s="12">
        <f>69+91+20+34+23+50+53+55+64+109+75</f>
        <v>643</v>
      </c>
      <c r="H48" s="12">
        <f>1+3+2+3+1+1+3+1</f>
        <v>15</v>
      </c>
      <c r="I48" s="12">
        <f>65+94+28+33+21+40+53+51+73+117+88</f>
        <v>663</v>
      </c>
      <c r="J48" s="12">
        <f t="shared" si="19"/>
        <v>-20</v>
      </c>
      <c r="K48" s="12">
        <f>110+133+26+49+35+77+86+81+102+166+109</f>
        <v>974</v>
      </c>
      <c r="L48" s="12">
        <f>(20+21+13+15+18+25+18+17+20+17+26)/(C48+1)</f>
        <v>19.09090909</v>
      </c>
    </row>
    <row r="49">
      <c r="A49" s="11" t="s">
        <v>21</v>
      </c>
      <c r="B49" s="12" t="s">
        <v>68</v>
      </c>
      <c r="C49" s="12">
        <v>10.0</v>
      </c>
      <c r="D49" s="12">
        <v>5.0</v>
      </c>
      <c r="E49" s="12">
        <f t="shared" si="18"/>
        <v>216</v>
      </c>
      <c r="F49" s="12">
        <f>0</f>
        <v>0</v>
      </c>
      <c r="G49" s="12">
        <f>100+142+20+25+26+54+70+68+108+122+143</f>
        <v>878</v>
      </c>
      <c r="H49" s="12">
        <f>11+8+2+2+5+11+4+11+10+11</f>
        <v>75</v>
      </c>
      <c r="I49" s="12">
        <f>89+146+25+34+24+64+62+56+102+157+169</f>
        <v>928</v>
      </c>
      <c r="J49" s="12">
        <f t="shared" si="19"/>
        <v>-50</v>
      </c>
      <c r="K49" s="12">
        <f>163+216+27+40+37+85+115+107+171+197+220</f>
        <v>1378</v>
      </c>
      <c r="L49" s="12">
        <f>(13+12+15+14+15+14+15+15+13+12+12)/(C49+1)</f>
        <v>13.63636364</v>
      </c>
    </row>
    <row r="50">
      <c r="A50" s="11" t="s">
        <v>21</v>
      </c>
      <c r="B50" s="12" t="s">
        <v>69</v>
      </c>
      <c r="C50" s="12">
        <v>9.0</v>
      </c>
      <c r="D50" s="12">
        <v>4.0</v>
      </c>
      <c r="E50" s="12">
        <f>25+39+8+10+19+19+18+29+41</f>
        <v>208</v>
      </c>
      <c r="F50" s="12">
        <f>1+1</f>
        <v>2</v>
      </c>
      <c r="G50" s="12">
        <f>112+183+18+31+70+62+80+121+166+202</f>
        <v>1045</v>
      </c>
      <c r="H50" s="12">
        <f>10+2+1+2+1+3+5+6+2</f>
        <v>32</v>
      </c>
      <c r="I50" s="12">
        <f>125+202+29+50+85+83+76+136+212+237</f>
        <v>1235</v>
      </c>
      <c r="J50" s="12">
        <f t="shared" si="19"/>
        <v>-190</v>
      </c>
      <c r="K50" s="12">
        <f>157+284+28+38+96+85+130+183+241+275</f>
        <v>1517</v>
      </c>
      <c r="L50" s="12">
        <f>(9+8+13+9+10+9+11+9+8+8)/(C50+1)</f>
        <v>9.4</v>
      </c>
    </row>
    <row r="51">
      <c r="A51" s="11" t="s">
        <v>21</v>
      </c>
      <c r="B51" s="12" t="s">
        <v>70</v>
      </c>
      <c r="C51" s="12">
        <v>1.0</v>
      </c>
      <c r="D51" s="12">
        <v>1.0</v>
      </c>
      <c r="E51" s="12">
        <f>8</f>
        <v>8</v>
      </c>
      <c r="F51" s="12">
        <f>0</f>
        <v>0</v>
      </c>
      <c r="G51" s="12">
        <f>18</f>
        <v>18</v>
      </c>
      <c r="H51" s="12">
        <f>3</f>
        <v>3</v>
      </c>
      <c r="I51" s="12">
        <f>36</f>
        <v>36</v>
      </c>
      <c r="J51" s="12">
        <f t="shared" si="19"/>
        <v>-18</v>
      </c>
      <c r="K51" s="12">
        <f>29</f>
        <v>29</v>
      </c>
      <c r="L51" s="12">
        <f>(9)/C51</f>
        <v>9</v>
      </c>
    </row>
    <row r="52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>
      <c r="A54" s="11" t="s">
        <v>8</v>
      </c>
      <c r="B54" s="12" t="s">
        <v>71</v>
      </c>
      <c r="C54" s="12">
        <v>8.0</v>
      </c>
      <c r="D54" s="12">
        <v>1.0</v>
      </c>
      <c r="E54" s="12">
        <f t="shared" ref="E54:E55" si="20">10+20+11+13+12+7+8+16</f>
        <v>97</v>
      </c>
      <c r="F54" s="12">
        <f>0</f>
        <v>0</v>
      </c>
      <c r="G54" s="12">
        <f>25+51+22+15+44+29+9+26</f>
        <v>221</v>
      </c>
      <c r="H54" s="12">
        <f>10+3+2+1+1+1+5</f>
        <v>23</v>
      </c>
      <c r="I54" s="12">
        <f>39+75+49+29+43+30+35+72</f>
        <v>372</v>
      </c>
      <c r="J54" s="12">
        <f t="shared" ref="J54:J58" si="21">G54-I54</f>
        <v>-151</v>
      </c>
      <c r="K54" s="12">
        <f>82+46+27+22+57+44+11+39</f>
        <v>328</v>
      </c>
      <c r="L54" s="12">
        <f>(11+12+12+19+14+11+10+10)/C54</f>
        <v>12.375</v>
      </c>
    </row>
    <row r="55">
      <c r="A55" s="11" t="s">
        <v>8</v>
      </c>
      <c r="B55" s="16" t="s">
        <v>72</v>
      </c>
      <c r="C55" s="12">
        <v>8.0</v>
      </c>
      <c r="D55" s="12">
        <v>1.0</v>
      </c>
      <c r="E55" s="12">
        <f t="shared" si="20"/>
        <v>97</v>
      </c>
      <c r="F55" s="12">
        <f>3+1+5+3+1</f>
        <v>13</v>
      </c>
      <c r="G55" s="12">
        <f>45+76+42+47+40+25+25+53</f>
        <v>353</v>
      </c>
      <c r="H55" s="12">
        <f>3+6+2+2+1</f>
        <v>14</v>
      </c>
      <c r="I55" s="12">
        <f>45+54+41+54+28+19+21+62</f>
        <v>324</v>
      </c>
      <c r="J55" s="12">
        <f t="shared" si="21"/>
        <v>29</v>
      </c>
      <c r="K55" s="12">
        <f>137+83+69+70+60+41+44+90</f>
        <v>594</v>
      </c>
      <c r="L55" s="12">
        <f>(9+18+15+9+22+19+19+12)/C55</f>
        <v>15.375</v>
      </c>
    </row>
    <row r="56">
      <c r="A56" s="11" t="s">
        <v>8</v>
      </c>
      <c r="B56" s="12" t="s">
        <v>73</v>
      </c>
      <c r="C56" s="12">
        <v>6.0</v>
      </c>
      <c r="D56" s="12">
        <v>1.0</v>
      </c>
      <c r="E56" s="12">
        <f>11+13+12+7+8+16</f>
        <v>67</v>
      </c>
      <c r="F56" s="12">
        <f t="shared" ref="F56:F58" si="22">0</f>
        <v>0</v>
      </c>
      <c r="G56" s="12">
        <f>50+21+41+22+19+34</f>
        <v>187</v>
      </c>
      <c r="H56" s="12">
        <f>2+1+5</f>
        <v>8</v>
      </c>
      <c r="I56" s="12">
        <f>69+38+47+32+38+81</f>
        <v>305</v>
      </c>
      <c r="J56" s="12">
        <f t="shared" si="21"/>
        <v>-118</v>
      </c>
      <c r="K56" s="12">
        <f>74+27+61+33+33+56</f>
        <v>284</v>
      </c>
      <c r="L56" s="12">
        <f>(7+14+12+10+9+9)/C56</f>
        <v>10.16666667</v>
      </c>
    </row>
    <row r="57">
      <c r="A57" s="11" t="s">
        <v>8</v>
      </c>
      <c r="B57" s="12" t="s">
        <v>74</v>
      </c>
      <c r="C57" s="12">
        <v>6.0</v>
      </c>
      <c r="D57" s="12">
        <v>1.0</v>
      </c>
      <c r="E57" s="12">
        <f>10+20+12+7+8+16</f>
        <v>73</v>
      </c>
      <c r="F57" s="12">
        <f t="shared" si="22"/>
        <v>0</v>
      </c>
      <c r="G57" s="12">
        <f>33+91+35+18+15+59</f>
        <v>251</v>
      </c>
      <c r="H57" s="12">
        <f>5+3+1+3+4+4</f>
        <v>20</v>
      </c>
      <c r="I57" s="12">
        <f>54+117+55+39+44+80</f>
        <v>389</v>
      </c>
      <c r="J57" s="12">
        <f t="shared" si="21"/>
        <v>-138</v>
      </c>
      <c r="K57" s="12">
        <f>149+48+54+24+26+92</f>
        <v>393</v>
      </c>
      <c r="L57" s="12">
        <f>(7+6+10+8+7+9)/C57</f>
        <v>7.833333333</v>
      </c>
    </row>
    <row r="58">
      <c r="A58" s="11" t="s">
        <v>8</v>
      </c>
      <c r="B58" s="12" t="s">
        <v>75</v>
      </c>
      <c r="C58" s="12">
        <v>4.0</v>
      </c>
      <c r="D58" s="12">
        <v>0.0</v>
      </c>
      <c r="E58" s="12">
        <f>10+20+11+13</f>
        <v>54</v>
      </c>
      <c r="F58" s="12">
        <f t="shared" si="22"/>
        <v>0</v>
      </c>
      <c r="G58" s="12">
        <f>31+81+28+33</f>
        <v>173</v>
      </c>
      <c r="H58" s="12">
        <f>2+1+1+1</f>
        <v>5</v>
      </c>
      <c r="I58" s="12">
        <f>44+103+61+49</f>
        <v>257</v>
      </c>
      <c r="J58" s="12">
        <f t="shared" si="21"/>
        <v>-84</v>
      </c>
      <c r="K58" s="12">
        <f>126+47+43+46</f>
        <v>262</v>
      </c>
      <c r="L58" s="12">
        <f>(10+8+9+10)/C58</f>
        <v>9.25</v>
      </c>
    </row>
    <row r="59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